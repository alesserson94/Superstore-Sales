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aronless/Desktop/Data Analysis Porfolio Projects/Marketing:Sales/Superstore Data/"/>
    </mc:Choice>
  </mc:AlternateContent>
  <xr:revisionPtr revIDLastSave="0" documentId="13_ncr:1_{DD930711-43C6-5C47-9F12-88AA9FCCCD97}" xr6:coauthVersionLast="47" xr6:coauthVersionMax="47" xr10:uidLastSave="{00000000-0000-0000-0000-000000000000}"/>
  <bookViews>
    <workbookView xWindow="680" yWindow="660" windowWidth="28040" windowHeight="17160" activeTab="1" xr2:uid="{47010F0E-1E78-4649-BDBA-3B2BAF6355B4}"/>
  </bookViews>
  <sheets>
    <sheet name="Transactions" sheetId="1" r:id="rId1"/>
    <sheet name="Transactions (Cleaned)" sheetId="2" r:id="rId2"/>
  </sheets>
  <definedNames>
    <definedName name="_xlnm._FilterDatabase" localSheetId="1" hidden="1">'Transactions (Cleaned)'!$C$1:$C$5412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2" l="1"/>
  <c r="J3" i="2" s="1"/>
  <c r="I4" i="2"/>
  <c r="J4" i="2" s="1"/>
  <c r="I5" i="2"/>
  <c r="J5" i="2" s="1"/>
  <c r="I6" i="2"/>
  <c r="J6" i="2" s="1"/>
  <c r="I7" i="2"/>
  <c r="J7" i="2" s="1"/>
  <c r="I8" i="2"/>
  <c r="J8" i="2" s="1"/>
  <c r="I9" i="2"/>
  <c r="J9" i="2" s="1"/>
  <c r="I10" i="2"/>
  <c r="J10" i="2" s="1"/>
  <c r="I11" i="2"/>
  <c r="J11" i="2" s="1"/>
  <c r="I12" i="2"/>
  <c r="J12" i="2" s="1"/>
  <c r="I13" i="2"/>
  <c r="J13" i="2" s="1"/>
  <c r="I14" i="2"/>
  <c r="J14" i="2" s="1"/>
  <c r="I15" i="2"/>
  <c r="J15" i="2" s="1"/>
  <c r="I16" i="2"/>
  <c r="J16" i="2" s="1"/>
  <c r="I17" i="2"/>
  <c r="J17" i="2" s="1"/>
  <c r="I18" i="2"/>
  <c r="J18" i="2" s="1"/>
  <c r="I19" i="2"/>
  <c r="J19" i="2" s="1"/>
  <c r="I20" i="2"/>
  <c r="J20" i="2" s="1"/>
  <c r="I21" i="2"/>
  <c r="J21" i="2" s="1"/>
  <c r="I22" i="2"/>
  <c r="J22" i="2" s="1"/>
  <c r="I23" i="2"/>
  <c r="J23" i="2" s="1"/>
  <c r="I24" i="2"/>
  <c r="J24" i="2" s="1"/>
  <c r="I25" i="2"/>
  <c r="J25" i="2" s="1"/>
  <c r="I26" i="2"/>
  <c r="J26" i="2" s="1"/>
  <c r="I27" i="2"/>
  <c r="J27" i="2" s="1"/>
  <c r="I28" i="2"/>
  <c r="J28" i="2" s="1"/>
  <c r="I29" i="2"/>
  <c r="J29" i="2" s="1"/>
  <c r="I30" i="2"/>
  <c r="J30" i="2" s="1"/>
  <c r="I31" i="2"/>
  <c r="J31" i="2" s="1"/>
  <c r="I32" i="2"/>
  <c r="J32" i="2" s="1"/>
  <c r="I33" i="2"/>
  <c r="J33" i="2" s="1"/>
  <c r="I34" i="2"/>
  <c r="J34" i="2" s="1"/>
  <c r="I35" i="2"/>
  <c r="J35" i="2" s="1"/>
  <c r="I36" i="2"/>
  <c r="J36" i="2" s="1"/>
  <c r="I37" i="2"/>
  <c r="J37" i="2" s="1"/>
  <c r="I38" i="2"/>
  <c r="J38" i="2" s="1"/>
  <c r="I39" i="2"/>
  <c r="J39" i="2" s="1"/>
  <c r="I40" i="2"/>
  <c r="J40" i="2" s="1"/>
  <c r="I41" i="2"/>
  <c r="J41" i="2" s="1"/>
  <c r="I42" i="2"/>
  <c r="J42" i="2" s="1"/>
  <c r="I43" i="2"/>
  <c r="J43" i="2" s="1"/>
  <c r="I44" i="2"/>
  <c r="J44" i="2" s="1"/>
  <c r="I45" i="2"/>
  <c r="J45" i="2" s="1"/>
  <c r="I46" i="2"/>
  <c r="J46" i="2" s="1"/>
  <c r="I47" i="2"/>
  <c r="J47" i="2" s="1"/>
  <c r="I48" i="2"/>
  <c r="J48" i="2" s="1"/>
  <c r="I49" i="2"/>
  <c r="J49" i="2" s="1"/>
  <c r="I50" i="2"/>
  <c r="J50" i="2" s="1"/>
  <c r="I51" i="2"/>
  <c r="J51" i="2" s="1"/>
  <c r="I52" i="2"/>
  <c r="J52" i="2" s="1"/>
  <c r="I53" i="2"/>
  <c r="J53" i="2" s="1"/>
  <c r="I54" i="2"/>
  <c r="J54" i="2" s="1"/>
  <c r="I55" i="2"/>
  <c r="J55" i="2" s="1"/>
  <c r="I56" i="2"/>
  <c r="J56" i="2" s="1"/>
  <c r="I57" i="2"/>
  <c r="J57" i="2" s="1"/>
  <c r="I58" i="2"/>
  <c r="J58" i="2" s="1"/>
  <c r="I59" i="2"/>
  <c r="J59" i="2" s="1"/>
  <c r="I60" i="2"/>
  <c r="J60" i="2" s="1"/>
  <c r="I61" i="2"/>
  <c r="J61" i="2" s="1"/>
  <c r="I62" i="2"/>
  <c r="J62" i="2" s="1"/>
  <c r="I63" i="2"/>
  <c r="J63" i="2" s="1"/>
  <c r="I64" i="2"/>
  <c r="J64" i="2" s="1"/>
  <c r="I65" i="2"/>
  <c r="J65" i="2" s="1"/>
  <c r="I66" i="2"/>
  <c r="J66" i="2" s="1"/>
  <c r="I67" i="2"/>
  <c r="J67" i="2" s="1"/>
  <c r="I68" i="2"/>
  <c r="J68" i="2" s="1"/>
  <c r="I69" i="2"/>
  <c r="J69" i="2" s="1"/>
  <c r="I70" i="2"/>
  <c r="J70" i="2" s="1"/>
  <c r="I71" i="2"/>
  <c r="J71" i="2" s="1"/>
  <c r="I72" i="2"/>
  <c r="J72" i="2" s="1"/>
  <c r="I73" i="2"/>
  <c r="J73" i="2" s="1"/>
  <c r="I74" i="2"/>
  <c r="J74" i="2" s="1"/>
  <c r="I75" i="2"/>
  <c r="J75" i="2" s="1"/>
  <c r="I76" i="2"/>
  <c r="J76" i="2" s="1"/>
  <c r="I77" i="2"/>
  <c r="J77" i="2" s="1"/>
  <c r="I78" i="2"/>
  <c r="J78" i="2" s="1"/>
  <c r="I79" i="2"/>
  <c r="J79" i="2" s="1"/>
  <c r="I80" i="2"/>
  <c r="J80" i="2" s="1"/>
  <c r="I81" i="2"/>
  <c r="J81" i="2" s="1"/>
  <c r="I82" i="2"/>
  <c r="J82" i="2" s="1"/>
  <c r="I83" i="2"/>
  <c r="J83" i="2" s="1"/>
  <c r="I84" i="2"/>
  <c r="J84" i="2" s="1"/>
  <c r="I85" i="2"/>
  <c r="J85" i="2" s="1"/>
  <c r="I86" i="2"/>
  <c r="J86" i="2" s="1"/>
  <c r="I87" i="2"/>
  <c r="J87" i="2" s="1"/>
  <c r="I88" i="2"/>
  <c r="J88" i="2" s="1"/>
  <c r="I89" i="2"/>
  <c r="J89" i="2" s="1"/>
  <c r="I90" i="2"/>
  <c r="J90" i="2" s="1"/>
  <c r="I91" i="2"/>
  <c r="J91" i="2" s="1"/>
  <c r="I92" i="2"/>
  <c r="J92" i="2" s="1"/>
  <c r="I93" i="2"/>
  <c r="J93" i="2" s="1"/>
  <c r="I94" i="2"/>
  <c r="J94" i="2" s="1"/>
  <c r="I95" i="2"/>
  <c r="J95" i="2" s="1"/>
  <c r="I96" i="2"/>
  <c r="J96" i="2" s="1"/>
  <c r="I97" i="2"/>
  <c r="J97" i="2" s="1"/>
  <c r="I98" i="2"/>
  <c r="J98" i="2" s="1"/>
  <c r="I99" i="2"/>
  <c r="J99" i="2" s="1"/>
  <c r="I100" i="2"/>
  <c r="J100" i="2" s="1"/>
  <c r="I101" i="2"/>
  <c r="J101" i="2" s="1"/>
  <c r="I102" i="2"/>
  <c r="J102" i="2" s="1"/>
  <c r="I103" i="2"/>
  <c r="J103" i="2" s="1"/>
  <c r="I104" i="2"/>
  <c r="J104" i="2" s="1"/>
  <c r="I105" i="2"/>
  <c r="J105" i="2" s="1"/>
  <c r="I106" i="2"/>
  <c r="J106" i="2" s="1"/>
  <c r="I107" i="2"/>
  <c r="J107" i="2" s="1"/>
  <c r="I108" i="2"/>
  <c r="J108" i="2" s="1"/>
  <c r="I109" i="2"/>
  <c r="J109" i="2" s="1"/>
  <c r="I110" i="2"/>
  <c r="J110" i="2" s="1"/>
  <c r="I111" i="2"/>
  <c r="J111" i="2" s="1"/>
  <c r="I112" i="2"/>
  <c r="J112" i="2" s="1"/>
  <c r="I113" i="2"/>
  <c r="J113" i="2" s="1"/>
  <c r="I114" i="2"/>
  <c r="J114" i="2" s="1"/>
  <c r="I115" i="2"/>
  <c r="J115" i="2" s="1"/>
  <c r="I116" i="2"/>
  <c r="J116" i="2" s="1"/>
  <c r="I117" i="2"/>
  <c r="J117" i="2" s="1"/>
  <c r="I118" i="2"/>
  <c r="J118" i="2" s="1"/>
  <c r="I119" i="2"/>
  <c r="J119" i="2" s="1"/>
  <c r="I120" i="2"/>
  <c r="J120" i="2" s="1"/>
  <c r="I121" i="2"/>
  <c r="J121" i="2" s="1"/>
  <c r="I122" i="2"/>
  <c r="J122" i="2" s="1"/>
  <c r="I123" i="2"/>
  <c r="J123" i="2" s="1"/>
  <c r="I124" i="2"/>
  <c r="J124" i="2" s="1"/>
  <c r="I125" i="2"/>
  <c r="J125" i="2" s="1"/>
  <c r="I126" i="2"/>
  <c r="J126" i="2" s="1"/>
  <c r="I127" i="2"/>
  <c r="J127" i="2" s="1"/>
  <c r="I128" i="2"/>
  <c r="J128" i="2" s="1"/>
  <c r="I129" i="2"/>
  <c r="J129" i="2" s="1"/>
  <c r="I130" i="2"/>
  <c r="J130" i="2" s="1"/>
  <c r="I131" i="2"/>
  <c r="J131" i="2" s="1"/>
  <c r="I132" i="2"/>
  <c r="J132" i="2" s="1"/>
  <c r="I133" i="2"/>
  <c r="J133" i="2" s="1"/>
  <c r="I134" i="2"/>
  <c r="J134" i="2" s="1"/>
  <c r="I135" i="2"/>
  <c r="J135" i="2" s="1"/>
  <c r="I136" i="2"/>
  <c r="J136" i="2" s="1"/>
  <c r="I137" i="2"/>
  <c r="J137" i="2" s="1"/>
  <c r="I138" i="2"/>
  <c r="J138" i="2" s="1"/>
  <c r="I139" i="2"/>
  <c r="J139" i="2" s="1"/>
  <c r="I140" i="2"/>
  <c r="J140" i="2" s="1"/>
  <c r="I141" i="2"/>
  <c r="J141" i="2" s="1"/>
  <c r="I142" i="2"/>
  <c r="J142" i="2" s="1"/>
  <c r="I143" i="2"/>
  <c r="J143" i="2" s="1"/>
  <c r="I144" i="2"/>
  <c r="J144" i="2" s="1"/>
  <c r="I145" i="2"/>
  <c r="J145" i="2" s="1"/>
  <c r="I146" i="2"/>
  <c r="J146" i="2" s="1"/>
  <c r="I147" i="2"/>
  <c r="J147" i="2" s="1"/>
  <c r="I148" i="2"/>
  <c r="J148" i="2" s="1"/>
  <c r="I149" i="2"/>
  <c r="J149" i="2" s="1"/>
  <c r="I150" i="2"/>
  <c r="J150" i="2" s="1"/>
  <c r="I151" i="2"/>
  <c r="J151" i="2" s="1"/>
  <c r="I152" i="2"/>
  <c r="J152" i="2" s="1"/>
  <c r="I153" i="2"/>
  <c r="J153" i="2" s="1"/>
  <c r="I154" i="2"/>
  <c r="J154" i="2" s="1"/>
  <c r="I155" i="2"/>
  <c r="J155" i="2" s="1"/>
  <c r="I156" i="2"/>
  <c r="J156" i="2" s="1"/>
  <c r="I157" i="2"/>
  <c r="J157" i="2" s="1"/>
  <c r="I158" i="2"/>
  <c r="J158" i="2" s="1"/>
  <c r="I159" i="2"/>
  <c r="J159" i="2" s="1"/>
  <c r="I160" i="2"/>
  <c r="J160" i="2" s="1"/>
  <c r="I161" i="2"/>
  <c r="J161" i="2" s="1"/>
  <c r="I162" i="2"/>
  <c r="J162" i="2" s="1"/>
  <c r="I163" i="2"/>
  <c r="J163" i="2" s="1"/>
  <c r="I164" i="2"/>
  <c r="J164" i="2" s="1"/>
  <c r="I165" i="2"/>
  <c r="J165" i="2" s="1"/>
  <c r="I166" i="2"/>
  <c r="J166" i="2" s="1"/>
  <c r="I167" i="2"/>
  <c r="J167" i="2" s="1"/>
  <c r="I168" i="2"/>
  <c r="J168" i="2" s="1"/>
  <c r="I169" i="2"/>
  <c r="J169" i="2" s="1"/>
  <c r="I170" i="2"/>
  <c r="J170" i="2" s="1"/>
  <c r="I171" i="2"/>
  <c r="J171" i="2" s="1"/>
  <c r="I172" i="2"/>
  <c r="J172" i="2" s="1"/>
  <c r="I173" i="2"/>
  <c r="J173" i="2" s="1"/>
  <c r="I174" i="2"/>
  <c r="J174" i="2" s="1"/>
  <c r="I175" i="2"/>
  <c r="J175" i="2" s="1"/>
  <c r="I176" i="2"/>
  <c r="J176" i="2" s="1"/>
  <c r="I177" i="2"/>
  <c r="J177" i="2" s="1"/>
  <c r="I178" i="2"/>
  <c r="J178" i="2" s="1"/>
  <c r="I179" i="2"/>
  <c r="J179" i="2" s="1"/>
  <c r="I180" i="2"/>
  <c r="J180" i="2" s="1"/>
  <c r="I181" i="2"/>
  <c r="J181" i="2" s="1"/>
  <c r="I182" i="2"/>
  <c r="J182" i="2" s="1"/>
  <c r="I183" i="2"/>
  <c r="J183" i="2" s="1"/>
  <c r="I184" i="2"/>
  <c r="J184" i="2" s="1"/>
  <c r="I185" i="2"/>
  <c r="J185" i="2" s="1"/>
  <c r="I186" i="2"/>
  <c r="J186" i="2" s="1"/>
  <c r="I187" i="2"/>
  <c r="J187" i="2" s="1"/>
  <c r="I188" i="2"/>
  <c r="J188" i="2" s="1"/>
  <c r="I189" i="2"/>
  <c r="J189" i="2" s="1"/>
  <c r="I190" i="2"/>
  <c r="J190" i="2" s="1"/>
  <c r="I191" i="2"/>
  <c r="J191" i="2" s="1"/>
  <c r="I192" i="2"/>
  <c r="J192" i="2" s="1"/>
  <c r="I193" i="2"/>
  <c r="J193" i="2" s="1"/>
  <c r="I194" i="2"/>
  <c r="J194" i="2" s="1"/>
  <c r="I195" i="2"/>
  <c r="J195" i="2" s="1"/>
  <c r="I196" i="2"/>
  <c r="J196" i="2" s="1"/>
  <c r="I197" i="2"/>
  <c r="J197" i="2" s="1"/>
  <c r="I198" i="2"/>
  <c r="J198" i="2" s="1"/>
  <c r="I199" i="2"/>
  <c r="J199" i="2" s="1"/>
  <c r="I200" i="2"/>
  <c r="J200" i="2" s="1"/>
  <c r="I201" i="2"/>
  <c r="J201" i="2" s="1"/>
  <c r="I202" i="2"/>
  <c r="J202" i="2" s="1"/>
  <c r="I203" i="2"/>
  <c r="J203" i="2" s="1"/>
  <c r="I204" i="2"/>
  <c r="J204" i="2" s="1"/>
  <c r="I205" i="2"/>
  <c r="J205" i="2" s="1"/>
  <c r="I206" i="2"/>
  <c r="J206" i="2" s="1"/>
  <c r="I207" i="2"/>
  <c r="J207" i="2" s="1"/>
  <c r="I208" i="2"/>
  <c r="J208" i="2" s="1"/>
  <c r="I209" i="2"/>
  <c r="J209" i="2" s="1"/>
  <c r="I210" i="2"/>
  <c r="J210" i="2" s="1"/>
  <c r="I211" i="2"/>
  <c r="J211" i="2" s="1"/>
  <c r="I212" i="2"/>
  <c r="J212" i="2" s="1"/>
  <c r="I213" i="2"/>
  <c r="J213" i="2" s="1"/>
  <c r="I214" i="2"/>
  <c r="J214" i="2" s="1"/>
  <c r="I215" i="2"/>
  <c r="J215" i="2" s="1"/>
  <c r="I216" i="2"/>
  <c r="J216" i="2" s="1"/>
  <c r="I217" i="2"/>
  <c r="J217" i="2" s="1"/>
  <c r="I218" i="2"/>
  <c r="J218" i="2" s="1"/>
  <c r="I219" i="2"/>
  <c r="J219" i="2" s="1"/>
  <c r="I220" i="2"/>
  <c r="J220" i="2" s="1"/>
  <c r="I221" i="2"/>
  <c r="J221" i="2" s="1"/>
  <c r="I222" i="2"/>
  <c r="J222" i="2" s="1"/>
  <c r="I223" i="2"/>
  <c r="J223" i="2" s="1"/>
  <c r="I224" i="2"/>
  <c r="J224" i="2" s="1"/>
  <c r="I225" i="2"/>
  <c r="J225" i="2" s="1"/>
  <c r="I226" i="2"/>
  <c r="J226" i="2" s="1"/>
  <c r="I227" i="2"/>
  <c r="J227" i="2" s="1"/>
  <c r="I228" i="2"/>
  <c r="J228" i="2" s="1"/>
  <c r="I229" i="2"/>
  <c r="J229" i="2" s="1"/>
  <c r="I230" i="2"/>
  <c r="J230" i="2" s="1"/>
  <c r="I231" i="2"/>
  <c r="J231" i="2" s="1"/>
  <c r="I232" i="2"/>
  <c r="J232" i="2" s="1"/>
  <c r="I233" i="2"/>
  <c r="J233" i="2" s="1"/>
  <c r="I234" i="2"/>
  <c r="J234" i="2" s="1"/>
  <c r="I235" i="2"/>
  <c r="J235" i="2" s="1"/>
  <c r="I236" i="2"/>
  <c r="J236" i="2" s="1"/>
  <c r="I237" i="2"/>
  <c r="J237" i="2" s="1"/>
  <c r="I238" i="2"/>
  <c r="J238" i="2" s="1"/>
  <c r="I239" i="2"/>
  <c r="J239" i="2" s="1"/>
  <c r="I240" i="2"/>
  <c r="J240" i="2" s="1"/>
  <c r="I241" i="2"/>
  <c r="J241" i="2" s="1"/>
  <c r="I242" i="2"/>
  <c r="J242" i="2" s="1"/>
  <c r="I243" i="2"/>
  <c r="J243" i="2" s="1"/>
  <c r="I244" i="2"/>
  <c r="J244" i="2" s="1"/>
  <c r="I245" i="2"/>
  <c r="J245" i="2" s="1"/>
  <c r="I246" i="2"/>
  <c r="J246" i="2" s="1"/>
  <c r="I247" i="2"/>
  <c r="J247" i="2" s="1"/>
  <c r="I248" i="2"/>
  <c r="J248" i="2" s="1"/>
  <c r="I249" i="2"/>
  <c r="J249" i="2" s="1"/>
  <c r="I250" i="2"/>
  <c r="J250" i="2" s="1"/>
  <c r="I251" i="2"/>
  <c r="J251" i="2" s="1"/>
  <c r="I252" i="2"/>
  <c r="J252" i="2" s="1"/>
  <c r="I253" i="2"/>
  <c r="J253" i="2" s="1"/>
  <c r="I254" i="2"/>
  <c r="J254" i="2" s="1"/>
  <c r="I255" i="2"/>
  <c r="J255" i="2" s="1"/>
  <c r="I256" i="2"/>
  <c r="J256" i="2" s="1"/>
  <c r="I257" i="2"/>
  <c r="J257" i="2" s="1"/>
  <c r="I258" i="2"/>
  <c r="J258" i="2" s="1"/>
  <c r="I259" i="2"/>
  <c r="J259" i="2" s="1"/>
  <c r="I260" i="2"/>
  <c r="J260" i="2" s="1"/>
  <c r="I261" i="2"/>
  <c r="J261" i="2" s="1"/>
  <c r="I262" i="2"/>
  <c r="J262" i="2" s="1"/>
  <c r="I263" i="2"/>
  <c r="J263" i="2" s="1"/>
  <c r="I264" i="2"/>
  <c r="J264" i="2" s="1"/>
  <c r="I265" i="2"/>
  <c r="J265" i="2" s="1"/>
  <c r="I266" i="2"/>
  <c r="J266" i="2" s="1"/>
  <c r="I267" i="2"/>
  <c r="J267" i="2" s="1"/>
  <c r="I268" i="2"/>
  <c r="J268" i="2" s="1"/>
  <c r="I269" i="2"/>
  <c r="J269" i="2" s="1"/>
  <c r="I270" i="2"/>
  <c r="J270" i="2" s="1"/>
  <c r="I271" i="2"/>
  <c r="J271" i="2" s="1"/>
  <c r="I272" i="2"/>
  <c r="J272" i="2" s="1"/>
  <c r="I273" i="2"/>
  <c r="J273" i="2" s="1"/>
  <c r="I274" i="2"/>
  <c r="J274" i="2" s="1"/>
  <c r="I275" i="2"/>
  <c r="J275" i="2" s="1"/>
  <c r="I276" i="2"/>
  <c r="J276" i="2" s="1"/>
  <c r="I277" i="2"/>
  <c r="J277" i="2" s="1"/>
  <c r="I278" i="2"/>
  <c r="J278" i="2" s="1"/>
  <c r="I279" i="2"/>
  <c r="J279" i="2" s="1"/>
  <c r="I280" i="2"/>
  <c r="J280" i="2" s="1"/>
  <c r="I281" i="2"/>
  <c r="J281" i="2" s="1"/>
  <c r="I282" i="2"/>
  <c r="J282" i="2" s="1"/>
  <c r="I283" i="2"/>
  <c r="J283" i="2" s="1"/>
  <c r="I284" i="2"/>
  <c r="J284" i="2" s="1"/>
  <c r="I285" i="2"/>
  <c r="J285" i="2" s="1"/>
  <c r="I286" i="2"/>
  <c r="J286" i="2" s="1"/>
  <c r="I287" i="2"/>
  <c r="J287" i="2" s="1"/>
  <c r="I288" i="2"/>
  <c r="J288" i="2" s="1"/>
  <c r="I289" i="2"/>
  <c r="J289" i="2" s="1"/>
  <c r="I290" i="2"/>
  <c r="J290" i="2" s="1"/>
  <c r="I291" i="2"/>
  <c r="J291" i="2" s="1"/>
  <c r="I292" i="2"/>
  <c r="J292" i="2" s="1"/>
  <c r="I293" i="2"/>
  <c r="J293" i="2" s="1"/>
  <c r="I294" i="2"/>
  <c r="J294" i="2" s="1"/>
  <c r="I295" i="2"/>
  <c r="J295" i="2" s="1"/>
  <c r="I296" i="2"/>
  <c r="J296" i="2" s="1"/>
  <c r="I297" i="2"/>
  <c r="J297" i="2" s="1"/>
  <c r="I298" i="2"/>
  <c r="J298" i="2" s="1"/>
  <c r="I299" i="2"/>
  <c r="J299" i="2" s="1"/>
  <c r="I300" i="2"/>
  <c r="J300" i="2" s="1"/>
  <c r="I301" i="2"/>
  <c r="J301" i="2" s="1"/>
  <c r="I302" i="2"/>
  <c r="J302" i="2" s="1"/>
  <c r="I303" i="2"/>
  <c r="J303" i="2" s="1"/>
  <c r="I304" i="2"/>
  <c r="J304" i="2" s="1"/>
  <c r="I305" i="2"/>
  <c r="J305" i="2" s="1"/>
  <c r="I306" i="2"/>
  <c r="J306" i="2" s="1"/>
  <c r="I307" i="2"/>
  <c r="J307" i="2" s="1"/>
  <c r="I308" i="2"/>
  <c r="J308" i="2" s="1"/>
  <c r="I309" i="2"/>
  <c r="J309" i="2" s="1"/>
  <c r="I310" i="2"/>
  <c r="J310" i="2" s="1"/>
  <c r="I311" i="2"/>
  <c r="J311" i="2" s="1"/>
  <c r="I312" i="2"/>
  <c r="J312" i="2" s="1"/>
  <c r="I313" i="2"/>
  <c r="J313" i="2" s="1"/>
  <c r="I314" i="2"/>
  <c r="J314" i="2" s="1"/>
  <c r="I315" i="2"/>
  <c r="J315" i="2" s="1"/>
  <c r="I316" i="2"/>
  <c r="J316" i="2" s="1"/>
  <c r="I317" i="2"/>
  <c r="J317" i="2" s="1"/>
  <c r="I318" i="2"/>
  <c r="J318" i="2" s="1"/>
  <c r="I319" i="2"/>
  <c r="J319" i="2" s="1"/>
  <c r="I320" i="2"/>
  <c r="J320" i="2" s="1"/>
  <c r="I321" i="2"/>
  <c r="J321" i="2" s="1"/>
  <c r="I322" i="2"/>
  <c r="J322" i="2" s="1"/>
  <c r="I323" i="2"/>
  <c r="J323" i="2" s="1"/>
  <c r="I324" i="2"/>
  <c r="J324" i="2" s="1"/>
  <c r="I325" i="2"/>
  <c r="J325" i="2" s="1"/>
  <c r="I326" i="2"/>
  <c r="J326" i="2" s="1"/>
  <c r="I327" i="2"/>
  <c r="J327" i="2" s="1"/>
  <c r="I328" i="2"/>
  <c r="J328" i="2" s="1"/>
  <c r="I329" i="2"/>
  <c r="J329" i="2" s="1"/>
  <c r="I330" i="2"/>
  <c r="J330" i="2" s="1"/>
  <c r="I331" i="2"/>
  <c r="J331" i="2" s="1"/>
  <c r="I332" i="2"/>
  <c r="J332" i="2" s="1"/>
  <c r="I333" i="2"/>
  <c r="J333" i="2" s="1"/>
  <c r="I334" i="2"/>
  <c r="J334" i="2" s="1"/>
  <c r="I335" i="2"/>
  <c r="J335" i="2" s="1"/>
  <c r="I336" i="2"/>
  <c r="J336" i="2" s="1"/>
  <c r="I337" i="2"/>
  <c r="J337" i="2" s="1"/>
  <c r="I338" i="2"/>
  <c r="J338" i="2" s="1"/>
  <c r="I339" i="2"/>
  <c r="J339" i="2" s="1"/>
  <c r="I340" i="2"/>
  <c r="J340" i="2" s="1"/>
  <c r="I341" i="2"/>
  <c r="J341" i="2" s="1"/>
  <c r="I342" i="2"/>
  <c r="J342" i="2" s="1"/>
  <c r="I343" i="2"/>
  <c r="J343" i="2" s="1"/>
  <c r="I344" i="2"/>
  <c r="J344" i="2" s="1"/>
  <c r="I345" i="2"/>
  <c r="J345" i="2" s="1"/>
  <c r="I346" i="2"/>
  <c r="J346" i="2" s="1"/>
  <c r="I347" i="2"/>
  <c r="J347" i="2" s="1"/>
  <c r="I348" i="2"/>
  <c r="J348" i="2" s="1"/>
  <c r="I349" i="2"/>
  <c r="J349" i="2" s="1"/>
  <c r="I350" i="2"/>
  <c r="J350" i="2" s="1"/>
  <c r="I351" i="2"/>
  <c r="J351" i="2" s="1"/>
  <c r="I352" i="2"/>
  <c r="J352" i="2" s="1"/>
  <c r="I353" i="2"/>
  <c r="J353" i="2" s="1"/>
  <c r="I354" i="2"/>
  <c r="J354" i="2" s="1"/>
  <c r="I355" i="2"/>
  <c r="J355" i="2" s="1"/>
  <c r="I356" i="2"/>
  <c r="J356" i="2" s="1"/>
  <c r="I357" i="2"/>
  <c r="J357" i="2" s="1"/>
  <c r="I358" i="2"/>
  <c r="J358" i="2" s="1"/>
  <c r="I359" i="2"/>
  <c r="J359" i="2" s="1"/>
  <c r="I360" i="2"/>
  <c r="J360" i="2" s="1"/>
  <c r="I361" i="2"/>
  <c r="J361" i="2" s="1"/>
  <c r="I362" i="2"/>
  <c r="J362" i="2" s="1"/>
  <c r="I363" i="2"/>
  <c r="J363" i="2" s="1"/>
  <c r="I364" i="2"/>
  <c r="J364" i="2" s="1"/>
  <c r="I365" i="2"/>
  <c r="J365" i="2" s="1"/>
  <c r="I366" i="2"/>
  <c r="J366" i="2" s="1"/>
  <c r="I367" i="2"/>
  <c r="J367" i="2" s="1"/>
  <c r="I368" i="2"/>
  <c r="J368" i="2" s="1"/>
  <c r="I369" i="2"/>
  <c r="J369" i="2" s="1"/>
  <c r="I370" i="2"/>
  <c r="J370" i="2" s="1"/>
  <c r="I371" i="2"/>
  <c r="J371" i="2" s="1"/>
  <c r="I372" i="2"/>
  <c r="J372" i="2" s="1"/>
  <c r="I373" i="2"/>
  <c r="J373" i="2" s="1"/>
  <c r="I374" i="2"/>
  <c r="J374" i="2" s="1"/>
  <c r="I375" i="2"/>
  <c r="J375" i="2" s="1"/>
  <c r="I376" i="2"/>
  <c r="J376" i="2" s="1"/>
  <c r="I377" i="2"/>
  <c r="J377" i="2" s="1"/>
  <c r="I378" i="2"/>
  <c r="J378" i="2" s="1"/>
  <c r="I379" i="2"/>
  <c r="J379" i="2" s="1"/>
  <c r="I380" i="2"/>
  <c r="J380" i="2" s="1"/>
  <c r="I381" i="2"/>
  <c r="J381" i="2" s="1"/>
  <c r="I382" i="2"/>
  <c r="J382" i="2" s="1"/>
  <c r="I383" i="2"/>
  <c r="J383" i="2" s="1"/>
  <c r="I384" i="2"/>
  <c r="J384" i="2" s="1"/>
  <c r="I385" i="2"/>
  <c r="J385" i="2" s="1"/>
  <c r="I386" i="2"/>
  <c r="J386" i="2" s="1"/>
  <c r="I387" i="2"/>
  <c r="J387" i="2" s="1"/>
  <c r="I388" i="2"/>
  <c r="J388" i="2" s="1"/>
  <c r="I389" i="2"/>
  <c r="J389" i="2" s="1"/>
  <c r="I390" i="2"/>
  <c r="J390" i="2" s="1"/>
  <c r="I391" i="2"/>
  <c r="J391" i="2" s="1"/>
  <c r="I392" i="2"/>
  <c r="J392" i="2" s="1"/>
  <c r="I393" i="2"/>
  <c r="J393" i="2" s="1"/>
  <c r="I394" i="2"/>
  <c r="J394" i="2" s="1"/>
  <c r="I395" i="2"/>
  <c r="J395" i="2" s="1"/>
  <c r="I396" i="2"/>
  <c r="J396" i="2" s="1"/>
  <c r="I397" i="2"/>
  <c r="J397" i="2" s="1"/>
  <c r="I398" i="2"/>
  <c r="J398" i="2" s="1"/>
  <c r="I399" i="2"/>
  <c r="J399" i="2" s="1"/>
  <c r="I400" i="2"/>
  <c r="J400" i="2" s="1"/>
  <c r="I401" i="2"/>
  <c r="J401" i="2" s="1"/>
  <c r="I402" i="2"/>
  <c r="J402" i="2" s="1"/>
  <c r="I403" i="2"/>
  <c r="J403" i="2" s="1"/>
  <c r="I404" i="2"/>
  <c r="J404" i="2" s="1"/>
  <c r="I405" i="2"/>
  <c r="J405" i="2" s="1"/>
  <c r="I406" i="2"/>
  <c r="J406" i="2" s="1"/>
  <c r="I407" i="2"/>
  <c r="J407" i="2" s="1"/>
  <c r="I408" i="2"/>
  <c r="J408" i="2" s="1"/>
  <c r="I409" i="2"/>
  <c r="J409" i="2" s="1"/>
  <c r="I410" i="2"/>
  <c r="J410" i="2" s="1"/>
  <c r="I411" i="2"/>
  <c r="J411" i="2" s="1"/>
  <c r="I412" i="2"/>
  <c r="J412" i="2" s="1"/>
  <c r="I413" i="2"/>
  <c r="J413" i="2" s="1"/>
  <c r="I414" i="2"/>
  <c r="J414" i="2" s="1"/>
  <c r="I415" i="2"/>
  <c r="J415" i="2" s="1"/>
  <c r="I416" i="2"/>
  <c r="J416" i="2" s="1"/>
  <c r="I417" i="2"/>
  <c r="J417" i="2" s="1"/>
  <c r="I418" i="2"/>
  <c r="J418" i="2" s="1"/>
  <c r="I419" i="2"/>
  <c r="J419" i="2" s="1"/>
  <c r="I420" i="2"/>
  <c r="J420" i="2" s="1"/>
  <c r="I421" i="2"/>
  <c r="J421" i="2" s="1"/>
  <c r="I422" i="2"/>
  <c r="J422" i="2" s="1"/>
  <c r="I423" i="2"/>
  <c r="J423" i="2" s="1"/>
  <c r="I424" i="2"/>
  <c r="J424" i="2" s="1"/>
  <c r="I425" i="2"/>
  <c r="J425" i="2" s="1"/>
  <c r="I426" i="2"/>
  <c r="J426" i="2" s="1"/>
  <c r="I427" i="2"/>
  <c r="J427" i="2" s="1"/>
  <c r="I428" i="2"/>
  <c r="J428" i="2" s="1"/>
  <c r="I429" i="2"/>
  <c r="J429" i="2" s="1"/>
  <c r="I430" i="2"/>
  <c r="J430" i="2" s="1"/>
  <c r="I431" i="2"/>
  <c r="J431" i="2" s="1"/>
  <c r="I432" i="2"/>
  <c r="J432" i="2" s="1"/>
  <c r="I433" i="2"/>
  <c r="J433" i="2" s="1"/>
  <c r="I434" i="2"/>
  <c r="J434" i="2" s="1"/>
  <c r="I435" i="2"/>
  <c r="J435" i="2" s="1"/>
  <c r="I436" i="2"/>
  <c r="J436" i="2" s="1"/>
  <c r="I437" i="2"/>
  <c r="J437" i="2" s="1"/>
  <c r="I438" i="2"/>
  <c r="J438" i="2" s="1"/>
  <c r="I439" i="2"/>
  <c r="J439" i="2" s="1"/>
  <c r="I440" i="2"/>
  <c r="J440" i="2" s="1"/>
  <c r="I441" i="2"/>
  <c r="J441" i="2" s="1"/>
  <c r="I442" i="2"/>
  <c r="J442" i="2" s="1"/>
  <c r="I443" i="2"/>
  <c r="J443" i="2" s="1"/>
  <c r="I444" i="2"/>
  <c r="J444" i="2" s="1"/>
  <c r="I445" i="2"/>
  <c r="J445" i="2" s="1"/>
  <c r="I446" i="2"/>
  <c r="J446" i="2" s="1"/>
  <c r="I447" i="2"/>
  <c r="J447" i="2" s="1"/>
  <c r="I448" i="2"/>
  <c r="J448" i="2" s="1"/>
  <c r="I449" i="2"/>
  <c r="J449" i="2" s="1"/>
  <c r="I450" i="2"/>
  <c r="J450" i="2" s="1"/>
  <c r="I451" i="2"/>
  <c r="J451" i="2" s="1"/>
  <c r="I452" i="2"/>
  <c r="J452" i="2" s="1"/>
  <c r="I453" i="2"/>
  <c r="J453" i="2" s="1"/>
  <c r="I454" i="2"/>
  <c r="J454" i="2" s="1"/>
  <c r="I455" i="2"/>
  <c r="J455" i="2" s="1"/>
  <c r="I456" i="2"/>
  <c r="J456" i="2" s="1"/>
  <c r="I457" i="2"/>
  <c r="J457" i="2" s="1"/>
  <c r="I458" i="2"/>
  <c r="J458" i="2" s="1"/>
  <c r="I459" i="2"/>
  <c r="J459" i="2" s="1"/>
  <c r="I460" i="2"/>
  <c r="J460" i="2" s="1"/>
  <c r="I461" i="2"/>
  <c r="J461" i="2" s="1"/>
  <c r="I462" i="2"/>
  <c r="J462" i="2" s="1"/>
  <c r="I463" i="2"/>
  <c r="J463" i="2" s="1"/>
  <c r="I464" i="2"/>
  <c r="J464" i="2" s="1"/>
  <c r="I465" i="2"/>
  <c r="J465" i="2" s="1"/>
  <c r="I466" i="2"/>
  <c r="J466" i="2" s="1"/>
  <c r="I467" i="2"/>
  <c r="J467" i="2" s="1"/>
  <c r="I468" i="2"/>
  <c r="J468" i="2" s="1"/>
  <c r="I469" i="2"/>
  <c r="J469" i="2" s="1"/>
  <c r="I470" i="2"/>
  <c r="J470" i="2" s="1"/>
  <c r="I471" i="2"/>
  <c r="J471" i="2" s="1"/>
  <c r="I472" i="2"/>
  <c r="J472" i="2" s="1"/>
  <c r="I473" i="2"/>
  <c r="J473" i="2" s="1"/>
  <c r="I474" i="2"/>
  <c r="J474" i="2" s="1"/>
  <c r="I475" i="2"/>
  <c r="J475" i="2" s="1"/>
  <c r="I476" i="2"/>
  <c r="J476" i="2" s="1"/>
  <c r="I477" i="2"/>
  <c r="J477" i="2" s="1"/>
  <c r="I478" i="2"/>
  <c r="J478" i="2" s="1"/>
  <c r="I479" i="2"/>
  <c r="J479" i="2" s="1"/>
  <c r="I480" i="2"/>
  <c r="J480" i="2" s="1"/>
  <c r="I481" i="2"/>
  <c r="J481" i="2" s="1"/>
  <c r="I482" i="2"/>
  <c r="J482" i="2" s="1"/>
  <c r="I483" i="2"/>
  <c r="J483" i="2" s="1"/>
  <c r="I484" i="2"/>
  <c r="J484" i="2" s="1"/>
  <c r="I485" i="2"/>
  <c r="J485" i="2" s="1"/>
  <c r="I486" i="2"/>
  <c r="J486" i="2" s="1"/>
  <c r="I487" i="2"/>
  <c r="J487" i="2" s="1"/>
  <c r="I488" i="2"/>
  <c r="J488" i="2" s="1"/>
  <c r="I489" i="2"/>
  <c r="J489" i="2" s="1"/>
  <c r="I490" i="2"/>
  <c r="J490" i="2" s="1"/>
  <c r="I491" i="2"/>
  <c r="J491" i="2" s="1"/>
  <c r="I492" i="2"/>
  <c r="J492" i="2" s="1"/>
  <c r="I493" i="2"/>
  <c r="J493" i="2" s="1"/>
  <c r="I494" i="2"/>
  <c r="J494" i="2" s="1"/>
  <c r="I495" i="2"/>
  <c r="J495" i="2" s="1"/>
  <c r="I496" i="2"/>
  <c r="J496" i="2" s="1"/>
  <c r="I497" i="2"/>
  <c r="J497" i="2" s="1"/>
  <c r="I498" i="2"/>
  <c r="J498" i="2" s="1"/>
  <c r="I499" i="2"/>
  <c r="J499" i="2" s="1"/>
  <c r="I500" i="2"/>
  <c r="J500" i="2" s="1"/>
  <c r="I501" i="2"/>
  <c r="J501" i="2" s="1"/>
  <c r="I502" i="2"/>
  <c r="J502" i="2" s="1"/>
  <c r="I503" i="2"/>
  <c r="J503" i="2" s="1"/>
  <c r="I504" i="2"/>
  <c r="J504" i="2" s="1"/>
  <c r="I505" i="2"/>
  <c r="J505" i="2" s="1"/>
  <c r="I506" i="2"/>
  <c r="J506" i="2" s="1"/>
  <c r="I507" i="2"/>
  <c r="J507" i="2" s="1"/>
  <c r="I508" i="2"/>
  <c r="J508" i="2" s="1"/>
  <c r="I509" i="2"/>
  <c r="J509" i="2" s="1"/>
  <c r="I510" i="2"/>
  <c r="J510" i="2" s="1"/>
  <c r="I511" i="2"/>
  <c r="J511" i="2" s="1"/>
  <c r="I512" i="2"/>
  <c r="J512" i="2" s="1"/>
  <c r="I513" i="2"/>
  <c r="J513" i="2" s="1"/>
  <c r="I514" i="2"/>
  <c r="J514" i="2" s="1"/>
  <c r="I515" i="2"/>
  <c r="J515" i="2" s="1"/>
  <c r="I516" i="2"/>
  <c r="J516" i="2" s="1"/>
  <c r="I517" i="2"/>
  <c r="J517" i="2" s="1"/>
  <c r="I518" i="2"/>
  <c r="J518" i="2" s="1"/>
  <c r="I519" i="2"/>
  <c r="J519" i="2" s="1"/>
  <c r="I520" i="2"/>
  <c r="J520" i="2" s="1"/>
  <c r="I521" i="2"/>
  <c r="J521" i="2" s="1"/>
  <c r="I522" i="2"/>
  <c r="J522" i="2" s="1"/>
  <c r="I523" i="2"/>
  <c r="J523" i="2" s="1"/>
  <c r="I524" i="2"/>
  <c r="J524" i="2" s="1"/>
  <c r="I525" i="2"/>
  <c r="J525" i="2" s="1"/>
  <c r="I526" i="2"/>
  <c r="J526" i="2" s="1"/>
  <c r="I527" i="2"/>
  <c r="J527" i="2" s="1"/>
  <c r="I528" i="2"/>
  <c r="J528" i="2" s="1"/>
  <c r="I529" i="2"/>
  <c r="J529" i="2" s="1"/>
  <c r="I530" i="2"/>
  <c r="J530" i="2" s="1"/>
  <c r="I531" i="2"/>
  <c r="J531" i="2" s="1"/>
  <c r="I532" i="2"/>
  <c r="J532" i="2" s="1"/>
  <c r="I533" i="2"/>
  <c r="J533" i="2" s="1"/>
  <c r="I534" i="2"/>
  <c r="J534" i="2" s="1"/>
  <c r="I535" i="2"/>
  <c r="J535" i="2" s="1"/>
  <c r="I536" i="2"/>
  <c r="J536" i="2" s="1"/>
  <c r="I537" i="2"/>
  <c r="J537" i="2" s="1"/>
  <c r="I538" i="2"/>
  <c r="J538" i="2" s="1"/>
  <c r="I539" i="2"/>
  <c r="J539" i="2" s="1"/>
  <c r="I540" i="2"/>
  <c r="J540" i="2" s="1"/>
  <c r="I541" i="2"/>
  <c r="J541" i="2" s="1"/>
  <c r="I542" i="2"/>
  <c r="J542" i="2" s="1"/>
  <c r="I543" i="2"/>
  <c r="J543" i="2" s="1"/>
  <c r="I544" i="2"/>
  <c r="J544" i="2" s="1"/>
  <c r="I545" i="2"/>
  <c r="J545" i="2" s="1"/>
  <c r="I546" i="2"/>
  <c r="J546" i="2" s="1"/>
  <c r="I547" i="2"/>
  <c r="J547" i="2" s="1"/>
  <c r="I548" i="2"/>
  <c r="J548" i="2" s="1"/>
  <c r="I549" i="2"/>
  <c r="J549" i="2" s="1"/>
  <c r="I550" i="2"/>
  <c r="J550" i="2" s="1"/>
  <c r="I551" i="2"/>
  <c r="J551" i="2" s="1"/>
  <c r="I552" i="2"/>
  <c r="J552" i="2" s="1"/>
  <c r="I553" i="2"/>
  <c r="J553" i="2" s="1"/>
  <c r="I554" i="2"/>
  <c r="J554" i="2" s="1"/>
  <c r="I555" i="2"/>
  <c r="J555" i="2" s="1"/>
  <c r="I556" i="2"/>
  <c r="J556" i="2" s="1"/>
  <c r="I557" i="2"/>
  <c r="J557" i="2" s="1"/>
  <c r="I558" i="2"/>
  <c r="J558" i="2" s="1"/>
  <c r="I559" i="2"/>
  <c r="J559" i="2" s="1"/>
  <c r="I560" i="2"/>
  <c r="J560" i="2" s="1"/>
  <c r="I561" i="2"/>
  <c r="J561" i="2" s="1"/>
  <c r="I562" i="2"/>
  <c r="J562" i="2" s="1"/>
  <c r="I563" i="2"/>
  <c r="J563" i="2" s="1"/>
  <c r="I564" i="2"/>
  <c r="J564" i="2" s="1"/>
  <c r="I565" i="2"/>
  <c r="J565" i="2" s="1"/>
  <c r="I566" i="2"/>
  <c r="J566" i="2" s="1"/>
  <c r="I567" i="2"/>
  <c r="J567" i="2" s="1"/>
  <c r="I568" i="2"/>
  <c r="J568" i="2" s="1"/>
  <c r="I569" i="2"/>
  <c r="J569" i="2" s="1"/>
  <c r="I570" i="2"/>
  <c r="J570" i="2" s="1"/>
  <c r="I571" i="2"/>
  <c r="J571" i="2" s="1"/>
  <c r="I572" i="2"/>
  <c r="J572" i="2" s="1"/>
  <c r="I573" i="2"/>
  <c r="J573" i="2" s="1"/>
  <c r="I574" i="2"/>
  <c r="J574" i="2" s="1"/>
  <c r="I575" i="2"/>
  <c r="J575" i="2" s="1"/>
  <c r="I576" i="2"/>
  <c r="J576" i="2" s="1"/>
  <c r="I577" i="2"/>
  <c r="J577" i="2" s="1"/>
  <c r="I578" i="2"/>
  <c r="J578" i="2" s="1"/>
  <c r="I579" i="2"/>
  <c r="J579" i="2" s="1"/>
  <c r="I580" i="2"/>
  <c r="J580" i="2" s="1"/>
  <c r="I581" i="2"/>
  <c r="J581" i="2" s="1"/>
  <c r="I582" i="2"/>
  <c r="J582" i="2" s="1"/>
  <c r="I583" i="2"/>
  <c r="J583" i="2" s="1"/>
  <c r="I584" i="2"/>
  <c r="J584" i="2" s="1"/>
  <c r="I585" i="2"/>
  <c r="J585" i="2" s="1"/>
  <c r="I586" i="2"/>
  <c r="J586" i="2" s="1"/>
  <c r="I587" i="2"/>
  <c r="J587" i="2" s="1"/>
  <c r="I588" i="2"/>
  <c r="J588" i="2" s="1"/>
  <c r="I589" i="2"/>
  <c r="J589" i="2" s="1"/>
  <c r="I590" i="2"/>
  <c r="J590" i="2" s="1"/>
  <c r="I591" i="2"/>
  <c r="J591" i="2" s="1"/>
  <c r="I592" i="2"/>
  <c r="J592" i="2" s="1"/>
  <c r="I593" i="2"/>
  <c r="J593" i="2" s="1"/>
  <c r="I594" i="2"/>
  <c r="J594" i="2" s="1"/>
  <c r="I595" i="2"/>
  <c r="J595" i="2" s="1"/>
  <c r="I596" i="2"/>
  <c r="J596" i="2" s="1"/>
  <c r="I597" i="2"/>
  <c r="J597" i="2" s="1"/>
  <c r="I598" i="2"/>
  <c r="J598" i="2" s="1"/>
  <c r="I599" i="2"/>
  <c r="J599" i="2" s="1"/>
  <c r="I600" i="2"/>
  <c r="J600" i="2" s="1"/>
  <c r="I601" i="2"/>
  <c r="J601" i="2" s="1"/>
  <c r="I602" i="2"/>
  <c r="J602" i="2" s="1"/>
  <c r="I603" i="2"/>
  <c r="J603" i="2" s="1"/>
  <c r="I604" i="2"/>
  <c r="J604" i="2" s="1"/>
  <c r="I605" i="2"/>
  <c r="J605" i="2" s="1"/>
  <c r="I606" i="2"/>
  <c r="J606" i="2" s="1"/>
  <c r="I607" i="2"/>
  <c r="J607" i="2" s="1"/>
  <c r="I608" i="2"/>
  <c r="J608" i="2" s="1"/>
  <c r="I609" i="2"/>
  <c r="J609" i="2" s="1"/>
  <c r="I610" i="2"/>
  <c r="J610" i="2" s="1"/>
  <c r="I611" i="2"/>
  <c r="J611" i="2" s="1"/>
  <c r="I612" i="2"/>
  <c r="J612" i="2" s="1"/>
  <c r="I613" i="2"/>
  <c r="J613" i="2" s="1"/>
  <c r="I614" i="2"/>
  <c r="J614" i="2" s="1"/>
  <c r="I615" i="2"/>
  <c r="J615" i="2" s="1"/>
  <c r="I616" i="2"/>
  <c r="J616" i="2" s="1"/>
  <c r="I617" i="2"/>
  <c r="J617" i="2" s="1"/>
  <c r="I618" i="2"/>
  <c r="J618" i="2" s="1"/>
  <c r="I619" i="2"/>
  <c r="J619" i="2" s="1"/>
  <c r="I620" i="2"/>
  <c r="J620" i="2" s="1"/>
  <c r="I621" i="2"/>
  <c r="J621" i="2" s="1"/>
  <c r="I622" i="2"/>
  <c r="J622" i="2" s="1"/>
  <c r="I623" i="2"/>
  <c r="J623" i="2" s="1"/>
  <c r="I624" i="2"/>
  <c r="J624" i="2" s="1"/>
  <c r="I625" i="2"/>
  <c r="J625" i="2" s="1"/>
  <c r="I626" i="2"/>
  <c r="J626" i="2" s="1"/>
  <c r="I627" i="2"/>
  <c r="J627" i="2" s="1"/>
  <c r="I628" i="2"/>
  <c r="J628" i="2" s="1"/>
  <c r="I629" i="2"/>
  <c r="J629" i="2" s="1"/>
  <c r="I630" i="2"/>
  <c r="J630" i="2" s="1"/>
  <c r="I631" i="2"/>
  <c r="J631" i="2" s="1"/>
  <c r="I632" i="2"/>
  <c r="J632" i="2" s="1"/>
  <c r="I633" i="2"/>
  <c r="J633" i="2" s="1"/>
  <c r="I634" i="2"/>
  <c r="J634" i="2" s="1"/>
  <c r="I635" i="2"/>
  <c r="J635" i="2" s="1"/>
  <c r="I636" i="2"/>
  <c r="J636" i="2" s="1"/>
  <c r="I637" i="2"/>
  <c r="J637" i="2" s="1"/>
  <c r="I638" i="2"/>
  <c r="J638" i="2" s="1"/>
  <c r="I639" i="2"/>
  <c r="J639" i="2" s="1"/>
  <c r="I640" i="2"/>
  <c r="J640" i="2" s="1"/>
  <c r="I641" i="2"/>
  <c r="J641" i="2" s="1"/>
  <c r="I642" i="2"/>
  <c r="J642" i="2" s="1"/>
  <c r="I643" i="2"/>
  <c r="J643" i="2" s="1"/>
  <c r="I644" i="2"/>
  <c r="J644" i="2" s="1"/>
  <c r="I645" i="2"/>
  <c r="J645" i="2" s="1"/>
  <c r="I646" i="2"/>
  <c r="J646" i="2" s="1"/>
  <c r="I647" i="2"/>
  <c r="J647" i="2" s="1"/>
  <c r="I648" i="2"/>
  <c r="J648" i="2" s="1"/>
  <c r="I649" i="2"/>
  <c r="J649" i="2" s="1"/>
  <c r="I650" i="2"/>
  <c r="J650" i="2" s="1"/>
  <c r="I651" i="2"/>
  <c r="J651" i="2" s="1"/>
  <c r="I652" i="2"/>
  <c r="J652" i="2" s="1"/>
  <c r="I653" i="2"/>
  <c r="J653" i="2" s="1"/>
  <c r="I654" i="2"/>
  <c r="J654" i="2" s="1"/>
  <c r="I655" i="2"/>
  <c r="J655" i="2" s="1"/>
  <c r="I656" i="2"/>
  <c r="J656" i="2" s="1"/>
  <c r="I657" i="2"/>
  <c r="J657" i="2" s="1"/>
  <c r="I658" i="2"/>
  <c r="J658" i="2" s="1"/>
  <c r="I659" i="2"/>
  <c r="J659" i="2" s="1"/>
  <c r="I660" i="2"/>
  <c r="J660" i="2" s="1"/>
  <c r="I661" i="2"/>
  <c r="J661" i="2" s="1"/>
  <c r="I662" i="2"/>
  <c r="J662" i="2" s="1"/>
  <c r="I663" i="2"/>
  <c r="J663" i="2" s="1"/>
  <c r="I664" i="2"/>
  <c r="J664" i="2" s="1"/>
  <c r="I665" i="2"/>
  <c r="J665" i="2" s="1"/>
  <c r="I666" i="2"/>
  <c r="J666" i="2" s="1"/>
  <c r="I667" i="2"/>
  <c r="J667" i="2" s="1"/>
  <c r="I668" i="2"/>
  <c r="J668" i="2" s="1"/>
  <c r="I669" i="2"/>
  <c r="J669" i="2" s="1"/>
  <c r="I670" i="2"/>
  <c r="J670" i="2" s="1"/>
  <c r="I671" i="2"/>
  <c r="J671" i="2" s="1"/>
  <c r="I672" i="2"/>
  <c r="J672" i="2" s="1"/>
  <c r="I673" i="2"/>
  <c r="J673" i="2" s="1"/>
  <c r="I674" i="2"/>
  <c r="J674" i="2" s="1"/>
  <c r="I675" i="2"/>
  <c r="J675" i="2" s="1"/>
  <c r="I676" i="2"/>
  <c r="J676" i="2" s="1"/>
  <c r="I677" i="2"/>
  <c r="J677" i="2" s="1"/>
  <c r="I678" i="2"/>
  <c r="J678" i="2" s="1"/>
  <c r="I679" i="2"/>
  <c r="J679" i="2" s="1"/>
  <c r="I680" i="2"/>
  <c r="J680" i="2" s="1"/>
  <c r="I681" i="2"/>
  <c r="J681" i="2" s="1"/>
  <c r="I682" i="2"/>
  <c r="J682" i="2" s="1"/>
  <c r="I683" i="2"/>
  <c r="J683" i="2" s="1"/>
  <c r="I684" i="2"/>
  <c r="J684" i="2" s="1"/>
  <c r="I685" i="2"/>
  <c r="J685" i="2" s="1"/>
  <c r="I686" i="2"/>
  <c r="J686" i="2" s="1"/>
  <c r="I687" i="2"/>
  <c r="J687" i="2" s="1"/>
  <c r="I688" i="2"/>
  <c r="J688" i="2" s="1"/>
  <c r="I689" i="2"/>
  <c r="J689" i="2" s="1"/>
  <c r="I690" i="2"/>
  <c r="J690" i="2" s="1"/>
  <c r="I691" i="2"/>
  <c r="J691" i="2" s="1"/>
  <c r="I692" i="2"/>
  <c r="J692" i="2" s="1"/>
  <c r="I693" i="2"/>
  <c r="J693" i="2" s="1"/>
  <c r="I694" i="2"/>
  <c r="J694" i="2" s="1"/>
  <c r="I695" i="2"/>
  <c r="J695" i="2" s="1"/>
  <c r="I696" i="2"/>
  <c r="J696" i="2" s="1"/>
  <c r="I697" i="2"/>
  <c r="J697" i="2" s="1"/>
  <c r="I698" i="2"/>
  <c r="J698" i="2" s="1"/>
  <c r="I699" i="2"/>
  <c r="J699" i="2" s="1"/>
  <c r="I700" i="2"/>
  <c r="J700" i="2" s="1"/>
  <c r="I701" i="2"/>
  <c r="J701" i="2" s="1"/>
  <c r="I702" i="2"/>
  <c r="J702" i="2" s="1"/>
  <c r="I703" i="2"/>
  <c r="J703" i="2" s="1"/>
  <c r="I704" i="2"/>
  <c r="J704" i="2" s="1"/>
  <c r="I705" i="2"/>
  <c r="J705" i="2" s="1"/>
  <c r="I706" i="2"/>
  <c r="J706" i="2" s="1"/>
  <c r="I707" i="2"/>
  <c r="J707" i="2" s="1"/>
  <c r="I708" i="2"/>
  <c r="J708" i="2" s="1"/>
  <c r="I709" i="2"/>
  <c r="J709" i="2" s="1"/>
  <c r="I710" i="2"/>
  <c r="J710" i="2" s="1"/>
  <c r="I711" i="2"/>
  <c r="J711" i="2" s="1"/>
  <c r="I712" i="2"/>
  <c r="J712" i="2" s="1"/>
  <c r="I713" i="2"/>
  <c r="J713" i="2" s="1"/>
  <c r="I714" i="2"/>
  <c r="J714" i="2" s="1"/>
  <c r="I715" i="2"/>
  <c r="J715" i="2" s="1"/>
  <c r="I716" i="2"/>
  <c r="J716" i="2" s="1"/>
  <c r="I717" i="2"/>
  <c r="J717" i="2" s="1"/>
  <c r="I718" i="2"/>
  <c r="J718" i="2" s="1"/>
  <c r="I719" i="2"/>
  <c r="J719" i="2" s="1"/>
  <c r="I720" i="2"/>
  <c r="J720" i="2" s="1"/>
  <c r="I721" i="2"/>
  <c r="J721" i="2" s="1"/>
  <c r="I722" i="2"/>
  <c r="J722" i="2" s="1"/>
  <c r="I723" i="2"/>
  <c r="J723" i="2" s="1"/>
  <c r="I724" i="2"/>
  <c r="J724" i="2" s="1"/>
  <c r="I725" i="2"/>
  <c r="J725" i="2" s="1"/>
  <c r="I726" i="2"/>
  <c r="J726" i="2" s="1"/>
  <c r="I727" i="2"/>
  <c r="J727" i="2" s="1"/>
  <c r="I728" i="2"/>
  <c r="J728" i="2" s="1"/>
  <c r="I729" i="2"/>
  <c r="J729" i="2" s="1"/>
  <c r="I730" i="2"/>
  <c r="J730" i="2" s="1"/>
  <c r="I731" i="2"/>
  <c r="J731" i="2" s="1"/>
  <c r="I732" i="2"/>
  <c r="J732" i="2" s="1"/>
  <c r="I733" i="2"/>
  <c r="J733" i="2" s="1"/>
  <c r="I734" i="2"/>
  <c r="J734" i="2" s="1"/>
  <c r="I735" i="2"/>
  <c r="J735" i="2" s="1"/>
  <c r="I736" i="2"/>
  <c r="J736" i="2" s="1"/>
  <c r="I737" i="2"/>
  <c r="J737" i="2" s="1"/>
  <c r="I738" i="2"/>
  <c r="J738" i="2" s="1"/>
  <c r="I739" i="2"/>
  <c r="J739" i="2" s="1"/>
  <c r="I740" i="2"/>
  <c r="J740" i="2" s="1"/>
  <c r="I741" i="2"/>
  <c r="J741" i="2" s="1"/>
  <c r="I742" i="2"/>
  <c r="J742" i="2" s="1"/>
  <c r="I743" i="2"/>
  <c r="J743" i="2" s="1"/>
  <c r="I744" i="2"/>
  <c r="J744" i="2" s="1"/>
  <c r="I745" i="2"/>
  <c r="J745" i="2" s="1"/>
  <c r="I746" i="2"/>
  <c r="J746" i="2" s="1"/>
  <c r="I747" i="2"/>
  <c r="J747" i="2" s="1"/>
  <c r="I748" i="2"/>
  <c r="J748" i="2" s="1"/>
  <c r="I749" i="2"/>
  <c r="J749" i="2" s="1"/>
  <c r="I750" i="2"/>
  <c r="J750" i="2" s="1"/>
  <c r="I751" i="2"/>
  <c r="J751" i="2" s="1"/>
  <c r="I752" i="2"/>
  <c r="J752" i="2" s="1"/>
  <c r="I753" i="2"/>
  <c r="J753" i="2" s="1"/>
  <c r="I754" i="2"/>
  <c r="J754" i="2" s="1"/>
  <c r="I755" i="2"/>
  <c r="J755" i="2" s="1"/>
  <c r="I756" i="2"/>
  <c r="J756" i="2" s="1"/>
  <c r="I757" i="2"/>
  <c r="J757" i="2" s="1"/>
  <c r="I758" i="2"/>
  <c r="J758" i="2" s="1"/>
  <c r="I759" i="2"/>
  <c r="J759" i="2" s="1"/>
  <c r="I760" i="2"/>
  <c r="J760" i="2" s="1"/>
  <c r="I761" i="2"/>
  <c r="J761" i="2" s="1"/>
  <c r="I762" i="2"/>
  <c r="J762" i="2" s="1"/>
  <c r="I763" i="2"/>
  <c r="J763" i="2" s="1"/>
  <c r="I764" i="2"/>
  <c r="J764" i="2" s="1"/>
  <c r="I765" i="2"/>
  <c r="J765" i="2" s="1"/>
  <c r="I766" i="2"/>
  <c r="J766" i="2" s="1"/>
  <c r="I767" i="2"/>
  <c r="J767" i="2" s="1"/>
  <c r="I768" i="2"/>
  <c r="J768" i="2" s="1"/>
  <c r="I769" i="2"/>
  <c r="J769" i="2" s="1"/>
  <c r="I770" i="2"/>
  <c r="J770" i="2" s="1"/>
  <c r="I771" i="2"/>
  <c r="J771" i="2" s="1"/>
  <c r="I772" i="2"/>
  <c r="J772" i="2" s="1"/>
  <c r="I773" i="2"/>
  <c r="J773" i="2" s="1"/>
  <c r="I774" i="2"/>
  <c r="J774" i="2" s="1"/>
  <c r="I775" i="2"/>
  <c r="J775" i="2" s="1"/>
  <c r="I776" i="2"/>
  <c r="J776" i="2" s="1"/>
  <c r="I777" i="2"/>
  <c r="J777" i="2" s="1"/>
  <c r="I778" i="2"/>
  <c r="J778" i="2" s="1"/>
  <c r="I779" i="2"/>
  <c r="J779" i="2" s="1"/>
  <c r="I780" i="2"/>
  <c r="J780" i="2" s="1"/>
  <c r="I781" i="2"/>
  <c r="J781" i="2" s="1"/>
  <c r="I782" i="2"/>
  <c r="J782" i="2" s="1"/>
  <c r="I783" i="2"/>
  <c r="J783" i="2" s="1"/>
  <c r="I784" i="2"/>
  <c r="J784" i="2" s="1"/>
  <c r="I785" i="2"/>
  <c r="J785" i="2" s="1"/>
  <c r="I786" i="2"/>
  <c r="J786" i="2" s="1"/>
  <c r="I787" i="2"/>
  <c r="J787" i="2" s="1"/>
  <c r="I788" i="2"/>
  <c r="J788" i="2" s="1"/>
  <c r="I789" i="2"/>
  <c r="J789" i="2" s="1"/>
  <c r="I790" i="2"/>
  <c r="J790" i="2" s="1"/>
  <c r="I791" i="2"/>
  <c r="J791" i="2" s="1"/>
  <c r="I792" i="2"/>
  <c r="J792" i="2" s="1"/>
  <c r="I793" i="2"/>
  <c r="J793" i="2" s="1"/>
  <c r="I794" i="2"/>
  <c r="J794" i="2" s="1"/>
  <c r="I795" i="2"/>
  <c r="J795" i="2" s="1"/>
  <c r="I796" i="2"/>
  <c r="J796" i="2" s="1"/>
  <c r="I797" i="2"/>
  <c r="J797" i="2" s="1"/>
  <c r="I798" i="2"/>
  <c r="J798" i="2" s="1"/>
  <c r="I799" i="2"/>
  <c r="J799" i="2" s="1"/>
  <c r="I800" i="2"/>
  <c r="J800" i="2" s="1"/>
  <c r="I801" i="2"/>
  <c r="J801" i="2" s="1"/>
  <c r="I802" i="2"/>
  <c r="J802" i="2" s="1"/>
  <c r="I803" i="2"/>
  <c r="J803" i="2" s="1"/>
  <c r="I804" i="2"/>
  <c r="J804" i="2" s="1"/>
  <c r="I805" i="2"/>
  <c r="J805" i="2" s="1"/>
  <c r="I806" i="2"/>
  <c r="J806" i="2" s="1"/>
  <c r="I807" i="2"/>
  <c r="J807" i="2" s="1"/>
  <c r="I808" i="2"/>
  <c r="J808" i="2" s="1"/>
  <c r="I809" i="2"/>
  <c r="J809" i="2" s="1"/>
  <c r="I810" i="2"/>
  <c r="J810" i="2" s="1"/>
  <c r="I811" i="2"/>
  <c r="J811" i="2" s="1"/>
  <c r="I812" i="2"/>
  <c r="J812" i="2" s="1"/>
  <c r="I813" i="2"/>
  <c r="J813" i="2" s="1"/>
  <c r="I814" i="2"/>
  <c r="J814" i="2" s="1"/>
  <c r="I815" i="2"/>
  <c r="J815" i="2" s="1"/>
  <c r="I816" i="2"/>
  <c r="J816" i="2" s="1"/>
  <c r="I817" i="2"/>
  <c r="J817" i="2" s="1"/>
  <c r="I818" i="2"/>
  <c r="J818" i="2" s="1"/>
  <c r="I819" i="2"/>
  <c r="J819" i="2" s="1"/>
  <c r="I820" i="2"/>
  <c r="J820" i="2" s="1"/>
  <c r="I821" i="2"/>
  <c r="J821" i="2" s="1"/>
  <c r="I822" i="2"/>
  <c r="J822" i="2" s="1"/>
  <c r="I823" i="2"/>
  <c r="J823" i="2" s="1"/>
  <c r="I824" i="2"/>
  <c r="J824" i="2" s="1"/>
  <c r="I825" i="2"/>
  <c r="J825" i="2" s="1"/>
  <c r="I826" i="2"/>
  <c r="J826" i="2" s="1"/>
  <c r="I827" i="2"/>
  <c r="J827" i="2" s="1"/>
  <c r="I828" i="2"/>
  <c r="J828" i="2" s="1"/>
  <c r="I829" i="2"/>
  <c r="J829" i="2" s="1"/>
  <c r="I830" i="2"/>
  <c r="J830" i="2" s="1"/>
  <c r="I831" i="2"/>
  <c r="J831" i="2" s="1"/>
  <c r="I832" i="2"/>
  <c r="J832" i="2" s="1"/>
  <c r="I833" i="2"/>
  <c r="J833" i="2" s="1"/>
  <c r="I834" i="2"/>
  <c r="J834" i="2" s="1"/>
  <c r="I835" i="2"/>
  <c r="J835" i="2" s="1"/>
  <c r="I836" i="2"/>
  <c r="J836" i="2" s="1"/>
  <c r="I837" i="2"/>
  <c r="J837" i="2" s="1"/>
  <c r="I838" i="2"/>
  <c r="J838" i="2" s="1"/>
  <c r="I839" i="2"/>
  <c r="J839" i="2" s="1"/>
  <c r="I840" i="2"/>
  <c r="J840" i="2" s="1"/>
  <c r="I841" i="2"/>
  <c r="J841" i="2" s="1"/>
  <c r="I842" i="2"/>
  <c r="J842" i="2" s="1"/>
  <c r="I843" i="2"/>
  <c r="J843" i="2" s="1"/>
  <c r="I844" i="2"/>
  <c r="J844" i="2" s="1"/>
  <c r="I845" i="2"/>
  <c r="J845" i="2" s="1"/>
  <c r="I846" i="2"/>
  <c r="J846" i="2" s="1"/>
  <c r="I847" i="2"/>
  <c r="J847" i="2" s="1"/>
  <c r="I848" i="2"/>
  <c r="J848" i="2" s="1"/>
  <c r="I849" i="2"/>
  <c r="J849" i="2" s="1"/>
  <c r="I850" i="2"/>
  <c r="J850" i="2" s="1"/>
  <c r="I851" i="2"/>
  <c r="J851" i="2" s="1"/>
  <c r="I852" i="2"/>
  <c r="J852" i="2" s="1"/>
  <c r="I853" i="2"/>
  <c r="J853" i="2" s="1"/>
  <c r="I854" i="2"/>
  <c r="J854" i="2" s="1"/>
  <c r="I855" i="2"/>
  <c r="J855" i="2" s="1"/>
  <c r="I856" i="2"/>
  <c r="J856" i="2" s="1"/>
  <c r="I857" i="2"/>
  <c r="J857" i="2" s="1"/>
  <c r="I858" i="2"/>
  <c r="J858" i="2" s="1"/>
  <c r="I859" i="2"/>
  <c r="J859" i="2" s="1"/>
  <c r="I860" i="2"/>
  <c r="J860" i="2" s="1"/>
  <c r="I861" i="2"/>
  <c r="J861" i="2" s="1"/>
  <c r="I862" i="2"/>
  <c r="J862" i="2" s="1"/>
  <c r="I863" i="2"/>
  <c r="J863" i="2" s="1"/>
  <c r="I864" i="2"/>
  <c r="J864" i="2" s="1"/>
  <c r="I865" i="2"/>
  <c r="J865" i="2" s="1"/>
  <c r="I866" i="2"/>
  <c r="J866" i="2" s="1"/>
  <c r="I867" i="2"/>
  <c r="J867" i="2" s="1"/>
  <c r="I868" i="2"/>
  <c r="J868" i="2" s="1"/>
  <c r="I869" i="2"/>
  <c r="J869" i="2" s="1"/>
  <c r="I870" i="2"/>
  <c r="J870" i="2" s="1"/>
  <c r="I871" i="2"/>
  <c r="J871" i="2" s="1"/>
  <c r="I872" i="2"/>
  <c r="J872" i="2" s="1"/>
  <c r="I873" i="2"/>
  <c r="J873" i="2" s="1"/>
  <c r="I874" i="2"/>
  <c r="J874" i="2" s="1"/>
  <c r="I875" i="2"/>
  <c r="J875" i="2" s="1"/>
  <c r="I876" i="2"/>
  <c r="J876" i="2" s="1"/>
  <c r="I877" i="2"/>
  <c r="J877" i="2" s="1"/>
  <c r="I878" i="2"/>
  <c r="J878" i="2" s="1"/>
  <c r="I879" i="2"/>
  <c r="J879" i="2" s="1"/>
  <c r="I880" i="2"/>
  <c r="J880" i="2" s="1"/>
  <c r="I881" i="2"/>
  <c r="J881" i="2" s="1"/>
  <c r="I882" i="2"/>
  <c r="J882" i="2" s="1"/>
  <c r="I883" i="2"/>
  <c r="J883" i="2" s="1"/>
  <c r="I884" i="2"/>
  <c r="J884" i="2" s="1"/>
  <c r="I885" i="2"/>
  <c r="J885" i="2" s="1"/>
  <c r="I886" i="2"/>
  <c r="J886" i="2" s="1"/>
  <c r="I887" i="2"/>
  <c r="J887" i="2" s="1"/>
  <c r="I888" i="2"/>
  <c r="J888" i="2" s="1"/>
  <c r="I889" i="2"/>
  <c r="J889" i="2" s="1"/>
  <c r="I890" i="2"/>
  <c r="J890" i="2" s="1"/>
  <c r="I891" i="2"/>
  <c r="J891" i="2" s="1"/>
  <c r="I892" i="2"/>
  <c r="J892" i="2" s="1"/>
  <c r="I893" i="2"/>
  <c r="J893" i="2" s="1"/>
  <c r="I894" i="2"/>
  <c r="J894" i="2" s="1"/>
  <c r="I895" i="2"/>
  <c r="J895" i="2" s="1"/>
  <c r="I896" i="2"/>
  <c r="J896" i="2" s="1"/>
  <c r="I897" i="2"/>
  <c r="J897" i="2" s="1"/>
  <c r="I898" i="2"/>
  <c r="J898" i="2" s="1"/>
  <c r="I899" i="2"/>
  <c r="J899" i="2" s="1"/>
  <c r="I900" i="2"/>
  <c r="J900" i="2" s="1"/>
  <c r="I901" i="2"/>
  <c r="J901" i="2" s="1"/>
  <c r="I902" i="2"/>
  <c r="J902" i="2" s="1"/>
  <c r="I903" i="2"/>
  <c r="J903" i="2" s="1"/>
  <c r="I904" i="2"/>
  <c r="J904" i="2" s="1"/>
  <c r="I905" i="2"/>
  <c r="J905" i="2" s="1"/>
  <c r="I906" i="2"/>
  <c r="J906" i="2" s="1"/>
  <c r="I907" i="2"/>
  <c r="J907" i="2" s="1"/>
  <c r="I908" i="2"/>
  <c r="J908" i="2" s="1"/>
  <c r="I909" i="2"/>
  <c r="J909" i="2" s="1"/>
  <c r="I910" i="2"/>
  <c r="J910" i="2" s="1"/>
  <c r="I911" i="2"/>
  <c r="J911" i="2" s="1"/>
  <c r="I912" i="2"/>
  <c r="J912" i="2" s="1"/>
  <c r="I913" i="2"/>
  <c r="J913" i="2" s="1"/>
  <c r="I914" i="2"/>
  <c r="J914" i="2" s="1"/>
  <c r="I915" i="2"/>
  <c r="J915" i="2" s="1"/>
  <c r="I916" i="2"/>
  <c r="J916" i="2" s="1"/>
  <c r="I917" i="2"/>
  <c r="J917" i="2" s="1"/>
  <c r="I918" i="2"/>
  <c r="J918" i="2" s="1"/>
  <c r="I919" i="2"/>
  <c r="J919" i="2" s="1"/>
  <c r="I920" i="2"/>
  <c r="J920" i="2" s="1"/>
  <c r="I921" i="2"/>
  <c r="J921" i="2" s="1"/>
  <c r="I922" i="2"/>
  <c r="J922" i="2" s="1"/>
  <c r="I923" i="2"/>
  <c r="J923" i="2" s="1"/>
  <c r="I924" i="2"/>
  <c r="J924" i="2" s="1"/>
  <c r="I925" i="2"/>
  <c r="J925" i="2" s="1"/>
  <c r="I926" i="2"/>
  <c r="J926" i="2" s="1"/>
  <c r="I927" i="2"/>
  <c r="J927" i="2" s="1"/>
  <c r="I928" i="2"/>
  <c r="J928" i="2" s="1"/>
  <c r="I929" i="2"/>
  <c r="J929" i="2" s="1"/>
  <c r="I930" i="2"/>
  <c r="J930" i="2" s="1"/>
  <c r="I931" i="2"/>
  <c r="J931" i="2" s="1"/>
  <c r="I932" i="2"/>
  <c r="J932" i="2" s="1"/>
  <c r="I933" i="2"/>
  <c r="J933" i="2" s="1"/>
  <c r="I934" i="2"/>
  <c r="J934" i="2" s="1"/>
  <c r="I935" i="2"/>
  <c r="J935" i="2" s="1"/>
  <c r="I936" i="2"/>
  <c r="J936" i="2" s="1"/>
  <c r="I937" i="2"/>
  <c r="J937" i="2" s="1"/>
  <c r="I938" i="2"/>
  <c r="J938" i="2" s="1"/>
  <c r="I939" i="2"/>
  <c r="J939" i="2" s="1"/>
  <c r="I940" i="2"/>
  <c r="J940" i="2" s="1"/>
  <c r="I941" i="2"/>
  <c r="J941" i="2" s="1"/>
  <c r="I942" i="2"/>
  <c r="J942" i="2" s="1"/>
  <c r="I943" i="2"/>
  <c r="J943" i="2" s="1"/>
  <c r="I944" i="2"/>
  <c r="J944" i="2" s="1"/>
  <c r="I945" i="2"/>
  <c r="J945" i="2" s="1"/>
  <c r="I946" i="2"/>
  <c r="J946" i="2" s="1"/>
  <c r="I947" i="2"/>
  <c r="J947" i="2" s="1"/>
  <c r="I948" i="2"/>
  <c r="J948" i="2" s="1"/>
  <c r="I949" i="2"/>
  <c r="J949" i="2" s="1"/>
  <c r="I950" i="2"/>
  <c r="J950" i="2" s="1"/>
  <c r="I951" i="2"/>
  <c r="J951" i="2" s="1"/>
  <c r="I952" i="2"/>
  <c r="J952" i="2" s="1"/>
  <c r="I953" i="2"/>
  <c r="J953" i="2" s="1"/>
  <c r="I954" i="2"/>
  <c r="J954" i="2" s="1"/>
  <c r="I955" i="2"/>
  <c r="J955" i="2" s="1"/>
  <c r="I956" i="2"/>
  <c r="J956" i="2" s="1"/>
  <c r="I957" i="2"/>
  <c r="J957" i="2" s="1"/>
  <c r="I958" i="2"/>
  <c r="J958" i="2" s="1"/>
  <c r="I959" i="2"/>
  <c r="J959" i="2" s="1"/>
  <c r="I960" i="2"/>
  <c r="J960" i="2" s="1"/>
  <c r="I961" i="2"/>
  <c r="J961" i="2" s="1"/>
  <c r="I962" i="2"/>
  <c r="J962" i="2" s="1"/>
  <c r="I963" i="2"/>
  <c r="J963" i="2" s="1"/>
  <c r="I964" i="2"/>
  <c r="J964" i="2" s="1"/>
  <c r="I965" i="2"/>
  <c r="J965" i="2" s="1"/>
  <c r="I966" i="2"/>
  <c r="J966" i="2" s="1"/>
  <c r="I967" i="2"/>
  <c r="J967" i="2" s="1"/>
  <c r="I968" i="2"/>
  <c r="J968" i="2" s="1"/>
  <c r="I969" i="2"/>
  <c r="J969" i="2" s="1"/>
  <c r="I970" i="2"/>
  <c r="J970" i="2" s="1"/>
  <c r="I971" i="2"/>
  <c r="J971" i="2" s="1"/>
  <c r="I972" i="2"/>
  <c r="J972" i="2" s="1"/>
  <c r="I973" i="2"/>
  <c r="J973" i="2" s="1"/>
  <c r="I974" i="2"/>
  <c r="J974" i="2" s="1"/>
  <c r="I975" i="2"/>
  <c r="J975" i="2" s="1"/>
  <c r="I976" i="2"/>
  <c r="J976" i="2" s="1"/>
  <c r="I977" i="2"/>
  <c r="J977" i="2" s="1"/>
  <c r="I978" i="2"/>
  <c r="J978" i="2" s="1"/>
  <c r="I979" i="2"/>
  <c r="J979" i="2" s="1"/>
  <c r="I980" i="2"/>
  <c r="J980" i="2" s="1"/>
  <c r="I981" i="2"/>
  <c r="J981" i="2" s="1"/>
  <c r="I982" i="2"/>
  <c r="J982" i="2" s="1"/>
  <c r="I983" i="2"/>
  <c r="J983" i="2" s="1"/>
  <c r="I984" i="2"/>
  <c r="J984" i="2" s="1"/>
  <c r="I985" i="2"/>
  <c r="J985" i="2" s="1"/>
  <c r="I986" i="2"/>
  <c r="J986" i="2" s="1"/>
  <c r="I987" i="2"/>
  <c r="J987" i="2" s="1"/>
  <c r="I988" i="2"/>
  <c r="J988" i="2" s="1"/>
  <c r="I989" i="2"/>
  <c r="J989" i="2" s="1"/>
  <c r="I990" i="2"/>
  <c r="J990" i="2" s="1"/>
  <c r="I991" i="2"/>
  <c r="J991" i="2" s="1"/>
  <c r="I992" i="2"/>
  <c r="J992" i="2" s="1"/>
  <c r="I993" i="2"/>
  <c r="J993" i="2" s="1"/>
  <c r="I994" i="2"/>
  <c r="J994" i="2" s="1"/>
  <c r="I995" i="2"/>
  <c r="J995" i="2" s="1"/>
  <c r="I996" i="2"/>
  <c r="J996" i="2" s="1"/>
  <c r="I997" i="2"/>
  <c r="J997" i="2" s="1"/>
  <c r="I998" i="2"/>
  <c r="J998" i="2" s="1"/>
  <c r="I999" i="2"/>
  <c r="J999" i="2" s="1"/>
  <c r="I1000" i="2"/>
  <c r="J1000" i="2" s="1"/>
  <c r="I1001" i="2"/>
  <c r="J1001" i="2" s="1"/>
  <c r="I1002" i="2"/>
  <c r="J1002" i="2" s="1"/>
  <c r="I1003" i="2"/>
  <c r="J1003" i="2" s="1"/>
  <c r="I1004" i="2"/>
  <c r="J1004" i="2" s="1"/>
  <c r="I1005" i="2"/>
  <c r="J1005" i="2" s="1"/>
  <c r="I1006" i="2"/>
  <c r="J1006" i="2" s="1"/>
  <c r="I1007" i="2"/>
  <c r="J1007" i="2" s="1"/>
  <c r="I1008" i="2"/>
  <c r="J1008" i="2" s="1"/>
  <c r="I1009" i="2"/>
  <c r="J1009" i="2" s="1"/>
  <c r="I1010" i="2"/>
  <c r="J1010" i="2" s="1"/>
  <c r="I1011" i="2"/>
  <c r="J1011" i="2" s="1"/>
  <c r="I1012" i="2"/>
  <c r="J1012" i="2" s="1"/>
  <c r="I1013" i="2"/>
  <c r="J1013" i="2" s="1"/>
  <c r="I1014" i="2"/>
  <c r="J1014" i="2" s="1"/>
  <c r="I1015" i="2"/>
  <c r="J1015" i="2" s="1"/>
  <c r="I1016" i="2"/>
  <c r="J1016" i="2" s="1"/>
  <c r="I1017" i="2"/>
  <c r="J1017" i="2" s="1"/>
  <c r="I1018" i="2"/>
  <c r="J1018" i="2" s="1"/>
  <c r="I1019" i="2"/>
  <c r="J1019" i="2" s="1"/>
  <c r="I1020" i="2"/>
  <c r="J1020" i="2" s="1"/>
  <c r="I1021" i="2"/>
  <c r="J1021" i="2" s="1"/>
  <c r="I1022" i="2"/>
  <c r="J1022" i="2" s="1"/>
  <c r="I1023" i="2"/>
  <c r="J1023" i="2" s="1"/>
  <c r="I1024" i="2"/>
  <c r="J1024" i="2" s="1"/>
  <c r="I1025" i="2"/>
  <c r="J1025" i="2" s="1"/>
  <c r="I1026" i="2"/>
  <c r="J1026" i="2" s="1"/>
  <c r="I1027" i="2"/>
  <c r="J1027" i="2" s="1"/>
  <c r="I1028" i="2"/>
  <c r="J1028" i="2" s="1"/>
  <c r="I1029" i="2"/>
  <c r="J1029" i="2" s="1"/>
  <c r="I1030" i="2"/>
  <c r="J1030" i="2" s="1"/>
  <c r="I1031" i="2"/>
  <c r="J1031" i="2" s="1"/>
  <c r="I1032" i="2"/>
  <c r="J1032" i="2" s="1"/>
  <c r="I1033" i="2"/>
  <c r="J1033" i="2" s="1"/>
  <c r="I1034" i="2"/>
  <c r="J1034" i="2" s="1"/>
  <c r="I1035" i="2"/>
  <c r="J1035" i="2" s="1"/>
  <c r="I1036" i="2"/>
  <c r="J1036" i="2" s="1"/>
  <c r="I1037" i="2"/>
  <c r="J1037" i="2" s="1"/>
  <c r="I1038" i="2"/>
  <c r="J1038" i="2" s="1"/>
  <c r="I1039" i="2"/>
  <c r="J1039" i="2" s="1"/>
  <c r="I1040" i="2"/>
  <c r="J1040" i="2" s="1"/>
  <c r="I1041" i="2"/>
  <c r="J1041" i="2" s="1"/>
  <c r="I1042" i="2"/>
  <c r="J1042" i="2" s="1"/>
  <c r="I1043" i="2"/>
  <c r="J1043" i="2" s="1"/>
  <c r="I1044" i="2"/>
  <c r="J1044" i="2" s="1"/>
  <c r="I1045" i="2"/>
  <c r="J1045" i="2" s="1"/>
  <c r="I1046" i="2"/>
  <c r="J1046" i="2" s="1"/>
  <c r="I1047" i="2"/>
  <c r="J1047" i="2" s="1"/>
  <c r="I1048" i="2"/>
  <c r="J1048" i="2" s="1"/>
  <c r="I1049" i="2"/>
  <c r="J1049" i="2" s="1"/>
  <c r="I1050" i="2"/>
  <c r="J1050" i="2" s="1"/>
  <c r="I1051" i="2"/>
  <c r="J1051" i="2" s="1"/>
  <c r="I1052" i="2"/>
  <c r="J1052" i="2" s="1"/>
  <c r="I1053" i="2"/>
  <c r="J1053" i="2" s="1"/>
  <c r="I1054" i="2"/>
  <c r="J1054" i="2" s="1"/>
  <c r="I1055" i="2"/>
  <c r="J1055" i="2" s="1"/>
  <c r="I1056" i="2"/>
  <c r="J1056" i="2" s="1"/>
  <c r="I1057" i="2"/>
  <c r="J1057" i="2" s="1"/>
  <c r="I1058" i="2"/>
  <c r="J1058" i="2" s="1"/>
  <c r="I1059" i="2"/>
  <c r="J1059" i="2" s="1"/>
  <c r="I1060" i="2"/>
  <c r="J1060" i="2" s="1"/>
  <c r="I1061" i="2"/>
  <c r="J1061" i="2" s="1"/>
  <c r="I1062" i="2"/>
  <c r="J1062" i="2" s="1"/>
  <c r="I1063" i="2"/>
  <c r="J1063" i="2" s="1"/>
  <c r="I1064" i="2"/>
  <c r="J1064" i="2" s="1"/>
  <c r="I1065" i="2"/>
  <c r="J1065" i="2" s="1"/>
  <c r="I1066" i="2"/>
  <c r="J1066" i="2" s="1"/>
  <c r="I1067" i="2"/>
  <c r="J1067" i="2" s="1"/>
  <c r="I1068" i="2"/>
  <c r="J1068" i="2" s="1"/>
  <c r="I1069" i="2"/>
  <c r="J1069" i="2" s="1"/>
  <c r="I1070" i="2"/>
  <c r="J1070" i="2" s="1"/>
  <c r="I1071" i="2"/>
  <c r="J1071" i="2" s="1"/>
  <c r="I1072" i="2"/>
  <c r="J1072" i="2" s="1"/>
  <c r="I1073" i="2"/>
  <c r="J1073" i="2" s="1"/>
  <c r="I1074" i="2"/>
  <c r="J1074" i="2" s="1"/>
  <c r="I1075" i="2"/>
  <c r="J1075" i="2" s="1"/>
  <c r="I1076" i="2"/>
  <c r="J1076" i="2" s="1"/>
  <c r="I1077" i="2"/>
  <c r="J1077" i="2" s="1"/>
  <c r="I1078" i="2"/>
  <c r="J1078" i="2" s="1"/>
  <c r="I1079" i="2"/>
  <c r="J1079" i="2" s="1"/>
  <c r="I1080" i="2"/>
  <c r="J1080" i="2" s="1"/>
  <c r="I1081" i="2"/>
  <c r="J1081" i="2" s="1"/>
  <c r="I1082" i="2"/>
  <c r="J1082" i="2" s="1"/>
  <c r="I1083" i="2"/>
  <c r="J1083" i="2" s="1"/>
  <c r="I1084" i="2"/>
  <c r="J1084" i="2" s="1"/>
  <c r="I1085" i="2"/>
  <c r="J1085" i="2" s="1"/>
  <c r="I1086" i="2"/>
  <c r="J1086" i="2" s="1"/>
  <c r="I1087" i="2"/>
  <c r="J1087" i="2" s="1"/>
  <c r="I1088" i="2"/>
  <c r="J1088" i="2" s="1"/>
  <c r="I1089" i="2"/>
  <c r="J1089" i="2" s="1"/>
  <c r="I1090" i="2"/>
  <c r="J1090" i="2" s="1"/>
  <c r="I1091" i="2"/>
  <c r="J1091" i="2" s="1"/>
  <c r="I1092" i="2"/>
  <c r="J1092" i="2" s="1"/>
  <c r="I1093" i="2"/>
  <c r="J1093" i="2" s="1"/>
  <c r="I1094" i="2"/>
  <c r="J1094" i="2" s="1"/>
  <c r="I1095" i="2"/>
  <c r="J1095" i="2" s="1"/>
  <c r="I1096" i="2"/>
  <c r="J1096" i="2" s="1"/>
  <c r="I1097" i="2"/>
  <c r="J1097" i="2" s="1"/>
  <c r="I1098" i="2"/>
  <c r="J1098" i="2" s="1"/>
  <c r="I1099" i="2"/>
  <c r="J1099" i="2" s="1"/>
  <c r="I1100" i="2"/>
  <c r="J1100" i="2" s="1"/>
  <c r="I1101" i="2"/>
  <c r="J1101" i="2" s="1"/>
  <c r="I1102" i="2"/>
  <c r="J1102" i="2" s="1"/>
  <c r="I1103" i="2"/>
  <c r="J1103" i="2" s="1"/>
  <c r="I1104" i="2"/>
  <c r="J1104" i="2" s="1"/>
  <c r="I1105" i="2"/>
  <c r="J1105" i="2" s="1"/>
  <c r="I1106" i="2"/>
  <c r="J1106" i="2" s="1"/>
  <c r="I1107" i="2"/>
  <c r="J1107" i="2" s="1"/>
  <c r="I1108" i="2"/>
  <c r="J1108" i="2" s="1"/>
  <c r="I1109" i="2"/>
  <c r="J1109" i="2" s="1"/>
  <c r="I1110" i="2"/>
  <c r="J1110" i="2" s="1"/>
  <c r="I1111" i="2"/>
  <c r="J1111" i="2" s="1"/>
  <c r="I1112" i="2"/>
  <c r="J1112" i="2" s="1"/>
  <c r="I1113" i="2"/>
  <c r="J1113" i="2" s="1"/>
  <c r="I1114" i="2"/>
  <c r="J1114" i="2" s="1"/>
  <c r="I1115" i="2"/>
  <c r="J1115" i="2" s="1"/>
  <c r="I1116" i="2"/>
  <c r="J1116" i="2" s="1"/>
  <c r="I1117" i="2"/>
  <c r="J1117" i="2" s="1"/>
  <c r="I1118" i="2"/>
  <c r="J1118" i="2" s="1"/>
  <c r="I1119" i="2"/>
  <c r="J1119" i="2" s="1"/>
  <c r="I1120" i="2"/>
  <c r="J1120" i="2" s="1"/>
  <c r="I1121" i="2"/>
  <c r="J1121" i="2" s="1"/>
  <c r="I1122" i="2"/>
  <c r="J1122" i="2" s="1"/>
  <c r="I1123" i="2"/>
  <c r="J1123" i="2" s="1"/>
  <c r="I1124" i="2"/>
  <c r="J1124" i="2" s="1"/>
  <c r="I1125" i="2"/>
  <c r="J1125" i="2" s="1"/>
  <c r="I1126" i="2"/>
  <c r="J1126" i="2" s="1"/>
  <c r="I1127" i="2"/>
  <c r="J1127" i="2" s="1"/>
  <c r="I1128" i="2"/>
  <c r="J1128" i="2" s="1"/>
  <c r="I1129" i="2"/>
  <c r="J1129" i="2" s="1"/>
  <c r="I1130" i="2"/>
  <c r="J1130" i="2" s="1"/>
  <c r="I1131" i="2"/>
  <c r="J1131" i="2" s="1"/>
  <c r="I1132" i="2"/>
  <c r="J1132" i="2" s="1"/>
  <c r="I1133" i="2"/>
  <c r="J1133" i="2" s="1"/>
  <c r="I1134" i="2"/>
  <c r="J1134" i="2" s="1"/>
  <c r="I1135" i="2"/>
  <c r="J1135" i="2" s="1"/>
  <c r="I1136" i="2"/>
  <c r="J1136" i="2" s="1"/>
  <c r="I1137" i="2"/>
  <c r="J1137" i="2" s="1"/>
  <c r="I1138" i="2"/>
  <c r="J1138" i="2" s="1"/>
  <c r="I1139" i="2"/>
  <c r="J1139" i="2" s="1"/>
  <c r="I1140" i="2"/>
  <c r="J1140" i="2" s="1"/>
  <c r="I1141" i="2"/>
  <c r="J1141" i="2" s="1"/>
  <c r="I1142" i="2"/>
  <c r="J1142" i="2" s="1"/>
  <c r="I1143" i="2"/>
  <c r="J1143" i="2" s="1"/>
  <c r="I1144" i="2"/>
  <c r="J1144" i="2" s="1"/>
  <c r="I1145" i="2"/>
  <c r="J1145" i="2" s="1"/>
  <c r="I1146" i="2"/>
  <c r="J1146" i="2" s="1"/>
  <c r="I1147" i="2"/>
  <c r="J1147" i="2" s="1"/>
  <c r="I1148" i="2"/>
  <c r="J1148" i="2" s="1"/>
  <c r="I1149" i="2"/>
  <c r="J1149" i="2" s="1"/>
  <c r="I1150" i="2"/>
  <c r="J1150" i="2" s="1"/>
  <c r="I1151" i="2"/>
  <c r="J1151" i="2" s="1"/>
  <c r="I1152" i="2"/>
  <c r="J1152" i="2" s="1"/>
  <c r="I1153" i="2"/>
  <c r="J1153" i="2" s="1"/>
  <c r="I1154" i="2"/>
  <c r="J1154" i="2" s="1"/>
  <c r="I1155" i="2"/>
  <c r="J1155" i="2" s="1"/>
  <c r="I1156" i="2"/>
  <c r="J1156" i="2" s="1"/>
  <c r="I1157" i="2"/>
  <c r="J1157" i="2" s="1"/>
  <c r="I1158" i="2"/>
  <c r="J1158" i="2" s="1"/>
  <c r="I1159" i="2"/>
  <c r="J1159" i="2" s="1"/>
  <c r="I1160" i="2"/>
  <c r="J1160" i="2" s="1"/>
  <c r="I1161" i="2"/>
  <c r="J1161" i="2" s="1"/>
  <c r="I1162" i="2"/>
  <c r="J1162" i="2" s="1"/>
  <c r="I1163" i="2"/>
  <c r="J1163" i="2" s="1"/>
  <c r="I1164" i="2"/>
  <c r="J1164" i="2" s="1"/>
  <c r="I1165" i="2"/>
  <c r="J1165" i="2" s="1"/>
  <c r="I1166" i="2"/>
  <c r="J1166" i="2" s="1"/>
  <c r="I1167" i="2"/>
  <c r="J1167" i="2" s="1"/>
  <c r="I1168" i="2"/>
  <c r="J1168" i="2" s="1"/>
  <c r="I1169" i="2"/>
  <c r="J1169" i="2" s="1"/>
  <c r="I1170" i="2"/>
  <c r="J1170" i="2" s="1"/>
  <c r="I1171" i="2"/>
  <c r="J1171" i="2" s="1"/>
  <c r="I1172" i="2"/>
  <c r="J1172" i="2" s="1"/>
  <c r="I1173" i="2"/>
  <c r="J1173" i="2" s="1"/>
  <c r="I1174" i="2"/>
  <c r="J1174" i="2" s="1"/>
  <c r="I1175" i="2"/>
  <c r="J1175" i="2" s="1"/>
  <c r="I1176" i="2"/>
  <c r="J1176" i="2" s="1"/>
  <c r="I1177" i="2"/>
  <c r="J1177" i="2" s="1"/>
  <c r="I1178" i="2"/>
  <c r="J1178" i="2" s="1"/>
  <c r="I1179" i="2"/>
  <c r="J1179" i="2" s="1"/>
  <c r="I1180" i="2"/>
  <c r="J1180" i="2" s="1"/>
  <c r="I1181" i="2"/>
  <c r="J1181" i="2" s="1"/>
  <c r="I1182" i="2"/>
  <c r="J1182" i="2" s="1"/>
  <c r="I1183" i="2"/>
  <c r="J1183" i="2" s="1"/>
  <c r="I1184" i="2"/>
  <c r="J1184" i="2" s="1"/>
  <c r="I1185" i="2"/>
  <c r="J1185" i="2" s="1"/>
  <c r="I1186" i="2"/>
  <c r="J1186" i="2" s="1"/>
  <c r="I1187" i="2"/>
  <c r="J1187" i="2" s="1"/>
  <c r="I1188" i="2"/>
  <c r="J1188" i="2" s="1"/>
  <c r="I1189" i="2"/>
  <c r="J1189" i="2" s="1"/>
  <c r="I1190" i="2"/>
  <c r="J1190" i="2" s="1"/>
  <c r="I1191" i="2"/>
  <c r="J1191" i="2" s="1"/>
  <c r="I1192" i="2"/>
  <c r="J1192" i="2" s="1"/>
  <c r="I1193" i="2"/>
  <c r="J1193" i="2" s="1"/>
  <c r="I1194" i="2"/>
  <c r="J1194" i="2" s="1"/>
  <c r="I1195" i="2"/>
  <c r="J1195" i="2" s="1"/>
  <c r="I1196" i="2"/>
  <c r="J1196" i="2" s="1"/>
  <c r="I1197" i="2"/>
  <c r="J1197" i="2" s="1"/>
  <c r="I1198" i="2"/>
  <c r="J1198" i="2" s="1"/>
  <c r="I1199" i="2"/>
  <c r="J1199" i="2" s="1"/>
  <c r="I1200" i="2"/>
  <c r="J1200" i="2" s="1"/>
  <c r="I1201" i="2"/>
  <c r="J1201" i="2" s="1"/>
  <c r="I1202" i="2"/>
  <c r="J1202" i="2" s="1"/>
  <c r="I1203" i="2"/>
  <c r="J1203" i="2" s="1"/>
  <c r="I1204" i="2"/>
  <c r="J1204" i="2" s="1"/>
  <c r="I1205" i="2"/>
  <c r="J1205" i="2" s="1"/>
  <c r="I1206" i="2"/>
  <c r="J1206" i="2" s="1"/>
  <c r="I1207" i="2"/>
  <c r="J1207" i="2" s="1"/>
  <c r="I1208" i="2"/>
  <c r="J1208" i="2" s="1"/>
  <c r="I1209" i="2"/>
  <c r="J1209" i="2" s="1"/>
  <c r="I1210" i="2"/>
  <c r="J1210" i="2" s="1"/>
  <c r="I1211" i="2"/>
  <c r="J1211" i="2" s="1"/>
  <c r="I1212" i="2"/>
  <c r="J1212" i="2" s="1"/>
  <c r="I1213" i="2"/>
  <c r="J1213" i="2" s="1"/>
  <c r="I1214" i="2"/>
  <c r="J1214" i="2" s="1"/>
  <c r="I1215" i="2"/>
  <c r="J1215" i="2" s="1"/>
  <c r="I1216" i="2"/>
  <c r="J1216" i="2" s="1"/>
  <c r="I1217" i="2"/>
  <c r="J1217" i="2" s="1"/>
  <c r="I1218" i="2"/>
  <c r="J1218" i="2" s="1"/>
  <c r="I1219" i="2"/>
  <c r="J1219" i="2" s="1"/>
  <c r="I1220" i="2"/>
  <c r="J1220" i="2" s="1"/>
  <c r="I1221" i="2"/>
  <c r="J1221" i="2" s="1"/>
  <c r="I1222" i="2"/>
  <c r="J1222" i="2" s="1"/>
  <c r="I1223" i="2"/>
  <c r="J1223" i="2" s="1"/>
  <c r="I1224" i="2"/>
  <c r="J1224" i="2" s="1"/>
  <c r="I1225" i="2"/>
  <c r="J1225" i="2" s="1"/>
  <c r="I1226" i="2"/>
  <c r="J1226" i="2" s="1"/>
  <c r="I1227" i="2"/>
  <c r="J1227" i="2" s="1"/>
  <c r="I1228" i="2"/>
  <c r="J1228" i="2" s="1"/>
  <c r="I1229" i="2"/>
  <c r="J1229" i="2" s="1"/>
  <c r="I1230" i="2"/>
  <c r="J1230" i="2" s="1"/>
  <c r="I1231" i="2"/>
  <c r="J1231" i="2" s="1"/>
  <c r="I1232" i="2"/>
  <c r="J1232" i="2" s="1"/>
  <c r="I1233" i="2"/>
  <c r="J1233" i="2" s="1"/>
  <c r="I1234" i="2"/>
  <c r="J1234" i="2" s="1"/>
  <c r="I1235" i="2"/>
  <c r="J1235" i="2" s="1"/>
  <c r="I1236" i="2"/>
  <c r="J1236" i="2" s="1"/>
  <c r="I1237" i="2"/>
  <c r="J1237" i="2" s="1"/>
  <c r="I1238" i="2"/>
  <c r="J1238" i="2" s="1"/>
  <c r="I1239" i="2"/>
  <c r="J1239" i="2" s="1"/>
  <c r="I1240" i="2"/>
  <c r="J1240" i="2" s="1"/>
  <c r="I1241" i="2"/>
  <c r="J1241" i="2" s="1"/>
  <c r="I1242" i="2"/>
  <c r="J1242" i="2" s="1"/>
  <c r="I1243" i="2"/>
  <c r="J1243" i="2" s="1"/>
  <c r="I1244" i="2"/>
  <c r="J1244" i="2" s="1"/>
  <c r="I1245" i="2"/>
  <c r="J1245" i="2" s="1"/>
  <c r="I1246" i="2"/>
  <c r="J1246" i="2" s="1"/>
  <c r="I1247" i="2"/>
  <c r="J1247" i="2" s="1"/>
  <c r="I1248" i="2"/>
  <c r="J1248" i="2" s="1"/>
  <c r="I1249" i="2"/>
  <c r="J1249" i="2" s="1"/>
  <c r="I1250" i="2"/>
  <c r="J1250" i="2" s="1"/>
  <c r="I1251" i="2"/>
  <c r="J1251" i="2" s="1"/>
  <c r="I1252" i="2"/>
  <c r="J1252" i="2" s="1"/>
  <c r="I1253" i="2"/>
  <c r="J1253" i="2" s="1"/>
  <c r="I1254" i="2"/>
  <c r="J1254" i="2" s="1"/>
  <c r="I1255" i="2"/>
  <c r="J1255" i="2" s="1"/>
  <c r="I1256" i="2"/>
  <c r="J1256" i="2" s="1"/>
  <c r="I1257" i="2"/>
  <c r="J1257" i="2" s="1"/>
  <c r="I1258" i="2"/>
  <c r="J1258" i="2" s="1"/>
  <c r="I1259" i="2"/>
  <c r="J1259" i="2" s="1"/>
  <c r="I1260" i="2"/>
  <c r="J1260" i="2" s="1"/>
  <c r="I1261" i="2"/>
  <c r="J1261" i="2" s="1"/>
  <c r="I1262" i="2"/>
  <c r="J1262" i="2" s="1"/>
  <c r="I1263" i="2"/>
  <c r="J1263" i="2" s="1"/>
  <c r="I1264" i="2"/>
  <c r="J1264" i="2" s="1"/>
  <c r="I1265" i="2"/>
  <c r="J1265" i="2" s="1"/>
  <c r="I1266" i="2"/>
  <c r="J1266" i="2" s="1"/>
  <c r="I1267" i="2"/>
  <c r="J1267" i="2" s="1"/>
  <c r="I1268" i="2"/>
  <c r="J1268" i="2" s="1"/>
  <c r="I1269" i="2"/>
  <c r="J1269" i="2" s="1"/>
  <c r="I1270" i="2"/>
  <c r="J1270" i="2" s="1"/>
  <c r="I1271" i="2"/>
  <c r="J1271" i="2" s="1"/>
  <c r="I1272" i="2"/>
  <c r="J1272" i="2" s="1"/>
  <c r="I1273" i="2"/>
  <c r="J1273" i="2" s="1"/>
  <c r="I1274" i="2"/>
  <c r="J1274" i="2" s="1"/>
  <c r="I1275" i="2"/>
  <c r="J1275" i="2" s="1"/>
  <c r="I1276" i="2"/>
  <c r="J1276" i="2" s="1"/>
  <c r="I1277" i="2"/>
  <c r="J1277" i="2" s="1"/>
  <c r="I1278" i="2"/>
  <c r="J1278" i="2" s="1"/>
  <c r="I1279" i="2"/>
  <c r="J1279" i="2" s="1"/>
  <c r="I1280" i="2"/>
  <c r="J1280" i="2" s="1"/>
  <c r="I1281" i="2"/>
  <c r="J1281" i="2" s="1"/>
  <c r="I1282" i="2"/>
  <c r="J1282" i="2" s="1"/>
  <c r="I1283" i="2"/>
  <c r="J1283" i="2" s="1"/>
  <c r="I1284" i="2"/>
  <c r="J1284" i="2" s="1"/>
  <c r="I1285" i="2"/>
  <c r="J1285" i="2" s="1"/>
  <c r="I1286" i="2"/>
  <c r="J1286" i="2" s="1"/>
  <c r="I1287" i="2"/>
  <c r="J1287" i="2" s="1"/>
  <c r="I1288" i="2"/>
  <c r="J1288" i="2" s="1"/>
  <c r="I1289" i="2"/>
  <c r="J1289" i="2" s="1"/>
  <c r="I1290" i="2"/>
  <c r="J1290" i="2" s="1"/>
  <c r="I1291" i="2"/>
  <c r="J1291" i="2" s="1"/>
  <c r="I1292" i="2"/>
  <c r="J1292" i="2" s="1"/>
  <c r="I1293" i="2"/>
  <c r="J1293" i="2" s="1"/>
  <c r="I1294" i="2"/>
  <c r="J1294" i="2" s="1"/>
  <c r="I1295" i="2"/>
  <c r="J1295" i="2" s="1"/>
  <c r="I1296" i="2"/>
  <c r="J1296" i="2" s="1"/>
  <c r="I1297" i="2"/>
  <c r="J1297" i="2" s="1"/>
  <c r="I1298" i="2"/>
  <c r="J1298" i="2" s="1"/>
  <c r="I1299" i="2"/>
  <c r="J1299" i="2" s="1"/>
  <c r="I1300" i="2"/>
  <c r="J1300" i="2" s="1"/>
  <c r="I1301" i="2"/>
  <c r="J1301" i="2" s="1"/>
  <c r="I1302" i="2"/>
  <c r="J1302" i="2" s="1"/>
  <c r="I1303" i="2"/>
  <c r="J1303" i="2" s="1"/>
  <c r="I1304" i="2"/>
  <c r="J1304" i="2" s="1"/>
  <c r="I1305" i="2"/>
  <c r="J1305" i="2" s="1"/>
  <c r="I1306" i="2"/>
  <c r="J1306" i="2" s="1"/>
  <c r="I1307" i="2"/>
  <c r="J1307" i="2" s="1"/>
  <c r="I1308" i="2"/>
  <c r="J1308" i="2" s="1"/>
  <c r="I1309" i="2"/>
  <c r="J1309" i="2" s="1"/>
  <c r="I1310" i="2"/>
  <c r="J1310" i="2" s="1"/>
  <c r="I1311" i="2"/>
  <c r="J1311" i="2" s="1"/>
  <c r="I1312" i="2"/>
  <c r="J1312" i="2" s="1"/>
  <c r="I1313" i="2"/>
  <c r="J1313" i="2" s="1"/>
  <c r="I1314" i="2"/>
  <c r="J1314" i="2" s="1"/>
  <c r="I1315" i="2"/>
  <c r="J1315" i="2" s="1"/>
  <c r="I1316" i="2"/>
  <c r="J1316" i="2" s="1"/>
  <c r="I1317" i="2"/>
  <c r="J1317" i="2" s="1"/>
  <c r="I1318" i="2"/>
  <c r="J1318" i="2" s="1"/>
  <c r="I1319" i="2"/>
  <c r="J1319" i="2" s="1"/>
  <c r="I1320" i="2"/>
  <c r="J1320" i="2" s="1"/>
  <c r="I1321" i="2"/>
  <c r="J1321" i="2" s="1"/>
  <c r="I1322" i="2"/>
  <c r="J1322" i="2" s="1"/>
  <c r="I1323" i="2"/>
  <c r="J1323" i="2" s="1"/>
  <c r="I1324" i="2"/>
  <c r="J1324" i="2" s="1"/>
  <c r="I1325" i="2"/>
  <c r="J1325" i="2" s="1"/>
  <c r="I1326" i="2"/>
  <c r="J1326" i="2" s="1"/>
  <c r="I1327" i="2"/>
  <c r="J1327" i="2" s="1"/>
  <c r="I1328" i="2"/>
  <c r="J1328" i="2" s="1"/>
  <c r="I1329" i="2"/>
  <c r="J1329" i="2" s="1"/>
  <c r="I1330" i="2"/>
  <c r="J1330" i="2" s="1"/>
  <c r="I1331" i="2"/>
  <c r="J1331" i="2" s="1"/>
  <c r="I1332" i="2"/>
  <c r="J1332" i="2" s="1"/>
  <c r="I1333" i="2"/>
  <c r="J1333" i="2" s="1"/>
  <c r="I1334" i="2"/>
  <c r="J1334" i="2" s="1"/>
  <c r="I1335" i="2"/>
  <c r="J1335" i="2" s="1"/>
  <c r="I1336" i="2"/>
  <c r="J1336" i="2" s="1"/>
  <c r="I1337" i="2"/>
  <c r="J1337" i="2" s="1"/>
  <c r="I1338" i="2"/>
  <c r="J1338" i="2" s="1"/>
  <c r="I1339" i="2"/>
  <c r="J1339" i="2" s="1"/>
  <c r="I1340" i="2"/>
  <c r="J1340" i="2" s="1"/>
  <c r="I1341" i="2"/>
  <c r="J1341" i="2" s="1"/>
  <c r="I1342" i="2"/>
  <c r="J1342" i="2" s="1"/>
  <c r="I1343" i="2"/>
  <c r="J1343" i="2" s="1"/>
  <c r="I1344" i="2"/>
  <c r="J1344" i="2" s="1"/>
  <c r="I1345" i="2"/>
  <c r="J1345" i="2" s="1"/>
  <c r="I1346" i="2"/>
  <c r="J1346" i="2" s="1"/>
  <c r="I1347" i="2"/>
  <c r="J1347" i="2" s="1"/>
  <c r="I1348" i="2"/>
  <c r="J1348" i="2" s="1"/>
  <c r="I1349" i="2"/>
  <c r="J1349" i="2" s="1"/>
  <c r="I1350" i="2"/>
  <c r="J1350" i="2" s="1"/>
  <c r="I1351" i="2"/>
  <c r="J1351" i="2" s="1"/>
  <c r="I1352" i="2"/>
  <c r="J1352" i="2" s="1"/>
  <c r="I1353" i="2"/>
  <c r="J1353" i="2" s="1"/>
  <c r="I1354" i="2"/>
  <c r="J1354" i="2" s="1"/>
  <c r="I1355" i="2"/>
  <c r="J1355" i="2" s="1"/>
  <c r="I1356" i="2"/>
  <c r="J1356" i="2" s="1"/>
  <c r="I1357" i="2"/>
  <c r="J1357" i="2" s="1"/>
  <c r="I1358" i="2"/>
  <c r="J1358" i="2" s="1"/>
  <c r="I1359" i="2"/>
  <c r="J1359" i="2" s="1"/>
  <c r="I1360" i="2"/>
  <c r="J1360" i="2" s="1"/>
  <c r="I1361" i="2"/>
  <c r="J1361" i="2" s="1"/>
  <c r="I1362" i="2"/>
  <c r="J1362" i="2" s="1"/>
  <c r="I1363" i="2"/>
  <c r="J1363" i="2" s="1"/>
  <c r="I1364" i="2"/>
  <c r="J1364" i="2" s="1"/>
  <c r="I1365" i="2"/>
  <c r="J1365" i="2" s="1"/>
  <c r="I1366" i="2"/>
  <c r="J1366" i="2" s="1"/>
  <c r="I1367" i="2"/>
  <c r="J1367" i="2" s="1"/>
  <c r="I1368" i="2"/>
  <c r="J1368" i="2" s="1"/>
  <c r="I1369" i="2"/>
  <c r="J1369" i="2" s="1"/>
  <c r="I1370" i="2"/>
  <c r="J1370" i="2" s="1"/>
  <c r="I1371" i="2"/>
  <c r="J1371" i="2" s="1"/>
  <c r="I1372" i="2"/>
  <c r="J1372" i="2" s="1"/>
  <c r="I1373" i="2"/>
  <c r="J1373" i="2" s="1"/>
  <c r="I1374" i="2"/>
  <c r="J1374" i="2" s="1"/>
  <c r="I1375" i="2"/>
  <c r="J1375" i="2" s="1"/>
  <c r="I1376" i="2"/>
  <c r="J1376" i="2" s="1"/>
  <c r="I1377" i="2"/>
  <c r="J1377" i="2" s="1"/>
  <c r="I1378" i="2"/>
  <c r="J1378" i="2" s="1"/>
  <c r="I1379" i="2"/>
  <c r="J1379" i="2" s="1"/>
  <c r="I1380" i="2"/>
  <c r="J1380" i="2" s="1"/>
  <c r="I1381" i="2"/>
  <c r="J1381" i="2" s="1"/>
  <c r="I1382" i="2"/>
  <c r="J1382" i="2" s="1"/>
  <c r="I1383" i="2"/>
  <c r="J1383" i="2" s="1"/>
  <c r="I1384" i="2"/>
  <c r="J1384" i="2" s="1"/>
  <c r="I1385" i="2"/>
  <c r="J1385" i="2" s="1"/>
  <c r="I1386" i="2"/>
  <c r="J1386" i="2" s="1"/>
  <c r="I1387" i="2"/>
  <c r="J1387" i="2" s="1"/>
  <c r="I1388" i="2"/>
  <c r="J1388" i="2" s="1"/>
  <c r="I1389" i="2"/>
  <c r="J1389" i="2" s="1"/>
  <c r="I1390" i="2"/>
  <c r="J1390" i="2" s="1"/>
  <c r="I1391" i="2"/>
  <c r="J1391" i="2" s="1"/>
  <c r="I1392" i="2"/>
  <c r="J1392" i="2" s="1"/>
  <c r="I1393" i="2"/>
  <c r="J1393" i="2" s="1"/>
  <c r="I1394" i="2"/>
  <c r="J1394" i="2" s="1"/>
  <c r="I1395" i="2"/>
  <c r="J1395" i="2" s="1"/>
  <c r="I1396" i="2"/>
  <c r="J1396" i="2" s="1"/>
  <c r="I1397" i="2"/>
  <c r="J1397" i="2" s="1"/>
  <c r="I1398" i="2"/>
  <c r="J1398" i="2" s="1"/>
  <c r="I1399" i="2"/>
  <c r="J1399" i="2" s="1"/>
  <c r="I1400" i="2"/>
  <c r="J1400" i="2" s="1"/>
  <c r="I1401" i="2"/>
  <c r="J1401" i="2" s="1"/>
  <c r="I1402" i="2"/>
  <c r="J1402" i="2" s="1"/>
  <c r="I1403" i="2"/>
  <c r="J1403" i="2" s="1"/>
  <c r="I1404" i="2"/>
  <c r="J1404" i="2" s="1"/>
  <c r="I1405" i="2"/>
  <c r="J1405" i="2" s="1"/>
  <c r="I1406" i="2"/>
  <c r="J1406" i="2" s="1"/>
  <c r="I1407" i="2"/>
  <c r="J1407" i="2" s="1"/>
  <c r="I1408" i="2"/>
  <c r="J1408" i="2" s="1"/>
  <c r="I1409" i="2"/>
  <c r="J1409" i="2" s="1"/>
  <c r="I1410" i="2"/>
  <c r="J1410" i="2" s="1"/>
  <c r="I1411" i="2"/>
  <c r="J1411" i="2" s="1"/>
  <c r="I1412" i="2"/>
  <c r="J1412" i="2" s="1"/>
  <c r="I1413" i="2"/>
  <c r="J1413" i="2" s="1"/>
  <c r="I1414" i="2"/>
  <c r="J1414" i="2" s="1"/>
  <c r="I1415" i="2"/>
  <c r="J1415" i="2" s="1"/>
  <c r="I1416" i="2"/>
  <c r="J1416" i="2" s="1"/>
  <c r="I1417" i="2"/>
  <c r="J1417" i="2" s="1"/>
  <c r="I1418" i="2"/>
  <c r="J1418" i="2" s="1"/>
  <c r="I1419" i="2"/>
  <c r="J1419" i="2" s="1"/>
  <c r="I1420" i="2"/>
  <c r="J1420" i="2" s="1"/>
  <c r="I1421" i="2"/>
  <c r="J1421" i="2" s="1"/>
  <c r="I1422" i="2"/>
  <c r="J1422" i="2" s="1"/>
  <c r="I1423" i="2"/>
  <c r="J1423" i="2" s="1"/>
  <c r="I1424" i="2"/>
  <c r="J1424" i="2" s="1"/>
  <c r="I1425" i="2"/>
  <c r="J1425" i="2" s="1"/>
  <c r="I1426" i="2"/>
  <c r="J1426" i="2" s="1"/>
  <c r="I1427" i="2"/>
  <c r="J1427" i="2" s="1"/>
  <c r="I1428" i="2"/>
  <c r="J1428" i="2" s="1"/>
  <c r="I1429" i="2"/>
  <c r="J1429" i="2" s="1"/>
  <c r="I1430" i="2"/>
  <c r="J1430" i="2" s="1"/>
  <c r="I1431" i="2"/>
  <c r="J1431" i="2" s="1"/>
  <c r="I1432" i="2"/>
  <c r="J1432" i="2" s="1"/>
  <c r="I1433" i="2"/>
  <c r="J1433" i="2" s="1"/>
  <c r="I1434" i="2"/>
  <c r="J1434" i="2" s="1"/>
  <c r="I1435" i="2"/>
  <c r="J1435" i="2" s="1"/>
  <c r="I1436" i="2"/>
  <c r="J1436" i="2" s="1"/>
  <c r="I1437" i="2"/>
  <c r="J1437" i="2" s="1"/>
  <c r="I1438" i="2"/>
  <c r="J1438" i="2" s="1"/>
  <c r="I1439" i="2"/>
  <c r="J1439" i="2" s="1"/>
  <c r="I1440" i="2"/>
  <c r="J1440" i="2" s="1"/>
  <c r="I1441" i="2"/>
  <c r="J1441" i="2" s="1"/>
  <c r="I1442" i="2"/>
  <c r="J1442" i="2" s="1"/>
  <c r="I1443" i="2"/>
  <c r="J1443" i="2" s="1"/>
  <c r="I1444" i="2"/>
  <c r="J1444" i="2" s="1"/>
  <c r="I1445" i="2"/>
  <c r="J1445" i="2" s="1"/>
  <c r="I1446" i="2"/>
  <c r="J1446" i="2" s="1"/>
  <c r="I1447" i="2"/>
  <c r="J1447" i="2" s="1"/>
  <c r="I1448" i="2"/>
  <c r="J1448" i="2" s="1"/>
  <c r="I1449" i="2"/>
  <c r="J1449" i="2" s="1"/>
  <c r="I1450" i="2"/>
  <c r="J1450" i="2" s="1"/>
  <c r="I1451" i="2"/>
  <c r="J1451" i="2" s="1"/>
  <c r="I1452" i="2"/>
  <c r="J1452" i="2" s="1"/>
  <c r="I1453" i="2"/>
  <c r="J1453" i="2" s="1"/>
  <c r="I1454" i="2"/>
  <c r="J1454" i="2" s="1"/>
  <c r="I1455" i="2"/>
  <c r="J1455" i="2" s="1"/>
  <c r="I1456" i="2"/>
  <c r="J1456" i="2" s="1"/>
  <c r="I1457" i="2"/>
  <c r="J1457" i="2" s="1"/>
  <c r="I1458" i="2"/>
  <c r="J1458" i="2" s="1"/>
  <c r="I1459" i="2"/>
  <c r="J1459" i="2" s="1"/>
  <c r="I1460" i="2"/>
  <c r="J1460" i="2" s="1"/>
  <c r="I1461" i="2"/>
  <c r="J1461" i="2" s="1"/>
  <c r="I1462" i="2"/>
  <c r="J1462" i="2" s="1"/>
  <c r="I1463" i="2"/>
  <c r="J1463" i="2" s="1"/>
  <c r="I1464" i="2"/>
  <c r="J1464" i="2" s="1"/>
  <c r="I1465" i="2"/>
  <c r="J1465" i="2" s="1"/>
  <c r="I1466" i="2"/>
  <c r="J1466" i="2" s="1"/>
  <c r="I1467" i="2"/>
  <c r="J1467" i="2" s="1"/>
  <c r="I1468" i="2"/>
  <c r="J1468" i="2" s="1"/>
  <c r="I1469" i="2"/>
  <c r="J1469" i="2" s="1"/>
  <c r="I1470" i="2"/>
  <c r="J1470" i="2" s="1"/>
  <c r="I1471" i="2"/>
  <c r="J1471" i="2" s="1"/>
  <c r="I1472" i="2"/>
  <c r="J1472" i="2" s="1"/>
  <c r="I1473" i="2"/>
  <c r="J1473" i="2" s="1"/>
  <c r="I1474" i="2"/>
  <c r="J1474" i="2" s="1"/>
  <c r="I1475" i="2"/>
  <c r="J1475" i="2" s="1"/>
  <c r="I1476" i="2"/>
  <c r="J1476" i="2" s="1"/>
  <c r="I1477" i="2"/>
  <c r="J1477" i="2" s="1"/>
  <c r="I1478" i="2"/>
  <c r="J1478" i="2" s="1"/>
  <c r="I1479" i="2"/>
  <c r="J1479" i="2" s="1"/>
  <c r="I1480" i="2"/>
  <c r="J1480" i="2" s="1"/>
  <c r="I1481" i="2"/>
  <c r="J1481" i="2" s="1"/>
  <c r="I1482" i="2"/>
  <c r="J1482" i="2" s="1"/>
  <c r="I1483" i="2"/>
  <c r="J1483" i="2" s="1"/>
  <c r="I1484" i="2"/>
  <c r="J1484" i="2" s="1"/>
  <c r="I1485" i="2"/>
  <c r="J1485" i="2" s="1"/>
  <c r="I1486" i="2"/>
  <c r="J1486" i="2" s="1"/>
  <c r="I1487" i="2"/>
  <c r="J1487" i="2" s="1"/>
  <c r="I1488" i="2"/>
  <c r="J1488" i="2" s="1"/>
  <c r="I1489" i="2"/>
  <c r="J1489" i="2" s="1"/>
  <c r="I1490" i="2"/>
  <c r="J1490" i="2" s="1"/>
  <c r="I1491" i="2"/>
  <c r="J1491" i="2" s="1"/>
  <c r="I1492" i="2"/>
  <c r="J1492" i="2" s="1"/>
  <c r="I1493" i="2"/>
  <c r="J1493" i="2" s="1"/>
  <c r="I1494" i="2"/>
  <c r="J1494" i="2" s="1"/>
  <c r="I1495" i="2"/>
  <c r="J1495" i="2" s="1"/>
  <c r="I1496" i="2"/>
  <c r="J1496" i="2" s="1"/>
  <c r="I1497" i="2"/>
  <c r="J1497" i="2" s="1"/>
  <c r="I1498" i="2"/>
  <c r="J1498" i="2" s="1"/>
  <c r="I1499" i="2"/>
  <c r="J1499" i="2" s="1"/>
  <c r="I1500" i="2"/>
  <c r="J1500" i="2" s="1"/>
  <c r="I1501" i="2"/>
  <c r="J1501" i="2" s="1"/>
  <c r="I1502" i="2"/>
  <c r="J1502" i="2" s="1"/>
  <c r="I1503" i="2"/>
  <c r="J1503" i="2" s="1"/>
  <c r="I1504" i="2"/>
  <c r="J1504" i="2" s="1"/>
  <c r="I1505" i="2"/>
  <c r="J1505" i="2" s="1"/>
  <c r="I1506" i="2"/>
  <c r="J1506" i="2" s="1"/>
  <c r="I1507" i="2"/>
  <c r="J1507" i="2" s="1"/>
  <c r="I1508" i="2"/>
  <c r="J1508" i="2" s="1"/>
  <c r="I1509" i="2"/>
  <c r="J1509" i="2" s="1"/>
  <c r="I1510" i="2"/>
  <c r="J1510" i="2" s="1"/>
  <c r="I1511" i="2"/>
  <c r="J1511" i="2" s="1"/>
  <c r="I1512" i="2"/>
  <c r="J1512" i="2" s="1"/>
  <c r="I1513" i="2"/>
  <c r="J1513" i="2" s="1"/>
  <c r="I1514" i="2"/>
  <c r="J1514" i="2" s="1"/>
  <c r="I1515" i="2"/>
  <c r="J1515" i="2" s="1"/>
  <c r="I1516" i="2"/>
  <c r="J1516" i="2" s="1"/>
  <c r="I1517" i="2"/>
  <c r="J1517" i="2" s="1"/>
  <c r="I1518" i="2"/>
  <c r="J1518" i="2" s="1"/>
  <c r="I1519" i="2"/>
  <c r="J1519" i="2" s="1"/>
  <c r="I1520" i="2"/>
  <c r="J1520" i="2" s="1"/>
  <c r="I1521" i="2"/>
  <c r="J1521" i="2" s="1"/>
  <c r="I1522" i="2"/>
  <c r="J1522" i="2" s="1"/>
  <c r="I1523" i="2"/>
  <c r="J1523" i="2" s="1"/>
  <c r="I1524" i="2"/>
  <c r="J1524" i="2" s="1"/>
  <c r="I1525" i="2"/>
  <c r="J1525" i="2" s="1"/>
  <c r="I1526" i="2"/>
  <c r="J1526" i="2" s="1"/>
  <c r="I1527" i="2"/>
  <c r="J1527" i="2" s="1"/>
  <c r="I1528" i="2"/>
  <c r="J1528" i="2" s="1"/>
  <c r="I1529" i="2"/>
  <c r="J1529" i="2" s="1"/>
  <c r="I1530" i="2"/>
  <c r="J1530" i="2" s="1"/>
  <c r="I1531" i="2"/>
  <c r="J1531" i="2" s="1"/>
  <c r="I1532" i="2"/>
  <c r="J1532" i="2" s="1"/>
  <c r="I1533" i="2"/>
  <c r="J1533" i="2" s="1"/>
  <c r="I1534" i="2"/>
  <c r="J1534" i="2" s="1"/>
  <c r="I1535" i="2"/>
  <c r="J1535" i="2" s="1"/>
  <c r="I1536" i="2"/>
  <c r="J1536" i="2" s="1"/>
  <c r="I1537" i="2"/>
  <c r="J1537" i="2" s="1"/>
  <c r="I1538" i="2"/>
  <c r="J1538" i="2" s="1"/>
  <c r="I1539" i="2"/>
  <c r="J1539" i="2" s="1"/>
  <c r="I1540" i="2"/>
  <c r="J1540" i="2" s="1"/>
  <c r="I1541" i="2"/>
  <c r="J1541" i="2" s="1"/>
  <c r="I1542" i="2"/>
  <c r="J1542" i="2" s="1"/>
  <c r="I1543" i="2"/>
  <c r="J1543" i="2" s="1"/>
  <c r="I1544" i="2"/>
  <c r="J1544" i="2" s="1"/>
  <c r="I1545" i="2"/>
  <c r="J1545" i="2" s="1"/>
  <c r="I1546" i="2"/>
  <c r="J1546" i="2" s="1"/>
  <c r="I1547" i="2"/>
  <c r="J1547" i="2" s="1"/>
  <c r="I1548" i="2"/>
  <c r="J1548" i="2" s="1"/>
  <c r="I1549" i="2"/>
  <c r="J1549" i="2" s="1"/>
  <c r="I1550" i="2"/>
  <c r="J1550" i="2" s="1"/>
  <c r="I1551" i="2"/>
  <c r="J1551" i="2" s="1"/>
  <c r="I1552" i="2"/>
  <c r="J1552" i="2" s="1"/>
  <c r="I1553" i="2"/>
  <c r="J1553" i="2" s="1"/>
  <c r="I1554" i="2"/>
  <c r="J1554" i="2" s="1"/>
  <c r="I1555" i="2"/>
  <c r="J1555" i="2" s="1"/>
  <c r="I1556" i="2"/>
  <c r="J1556" i="2" s="1"/>
  <c r="I1557" i="2"/>
  <c r="J1557" i="2" s="1"/>
  <c r="I1558" i="2"/>
  <c r="J1558" i="2" s="1"/>
  <c r="I1559" i="2"/>
  <c r="J1559" i="2" s="1"/>
  <c r="I1560" i="2"/>
  <c r="J1560" i="2" s="1"/>
  <c r="I1561" i="2"/>
  <c r="J1561" i="2" s="1"/>
  <c r="I1562" i="2"/>
  <c r="J1562" i="2" s="1"/>
  <c r="I1563" i="2"/>
  <c r="J1563" i="2" s="1"/>
  <c r="I1564" i="2"/>
  <c r="J1564" i="2" s="1"/>
  <c r="I1565" i="2"/>
  <c r="J1565" i="2" s="1"/>
  <c r="I1566" i="2"/>
  <c r="J1566" i="2" s="1"/>
  <c r="I1567" i="2"/>
  <c r="J1567" i="2" s="1"/>
  <c r="I1568" i="2"/>
  <c r="J1568" i="2" s="1"/>
  <c r="I1569" i="2"/>
  <c r="J1569" i="2" s="1"/>
  <c r="I1570" i="2"/>
  <c r="J1570" i="2" s="1"/>
  <c r="I1571" i="2"/>
  <c r="J1571" i="2" s="1"/>
  <c r="I1572" i="2"/>
  <c r="J1572" i="2" s="1"/>
  <c r="I1573" i="2"/>
  <c r="J1573" i="2" s="1"/>
  <c r="I1574" i="2"/>
  <c r="J1574" i="2" s="1"/>
  <c r="I1575" i="2"/>
  <c r="J1575" i="2" s="1"/>
  <c r="I1576" i="2"/>
  <c r="J1576" i="2" s="1"/>
  <c r="I1577" i="2"/>
  <c r="J1577" i="2" s="1"/>
  <c r="I1578" i="2"/>
  <c r="J1578" i="2" s="1"/>
  <c r="I1579" i="2"/>
  <c r="J1579" i="2" s="1"/>
  <c r="I1580" i="2"/>
  <c r="J1580" i="2" s="1"/>
  <c r="I1581" i="2"/>
  <c r="J1581" i="2" s="1"/>
  <c r="I1582" i="2"/>
  <c r="J1582" i="2" s="1"/>
  <c r="I1583" i="2"/>
  <c r="J1583" i="2" s="1"/>
  <c r="I1584" i="2"/>
  <c r="J1584" i="2" s="1"/>
  <c r="I1585" i="2"/>
  <c r="J1585" i="2" s="1"/>
  <c r="I1586" i="2"/>
  <c r="J1586" i="2" s="1"/>
  <c r="I1587" i="2"/>
  <c r="J1587" i="2" s="1"/>
  <c r="I1588" i="2"/>
  <c r="J1588" i="2" s="1"/>
  <c r="I1589" i="2"/>
  <c r="J1589" i="2" s="1"/>
  <c r="I1590" i="2"/>
  <c r="J1590" i="2" s="1"/>
  <c r="I1591" i="2"/>
  <c r="J1591" i="2" s="1"/>
  <c r="I1592" i="2"/>
  <c r="J1592" i="2" s="1"/>
  <c r="I1593" i="2"/>
  <c r="J1593" i="2" s="1"/>
  <c r="I1594" i="2"/>
  <c r="J1594" i="2" s="1"/>
  <c r="I1595" i="2"/>
  <c r="J1595" i="2" s="1"/>
  <c r="I1596" i="2"/>
  <c r="J1596" i="2" s="1"/>
  <c r="I1597" i="2"/>
  <c r="J1597" i="2" s="1"/>
  <c r="I1598" i="2"/>
  <c r="J1598" i="2" s="1"/>
  <c r="I1599" i="2"/>
  <c r="J1599" i="2" s="1"/>
  <c r="I1600" i="2"/>
  <c r="J1600" i="2" s="1"/>
  <c r="I1601" i="2"/>
  <c r="J1601" i="2" s="1"/>
  <c r="I1602" i="2"/>
  <c r="J1602" i="2" s="1"/>
  <c r="I1603" i="2"/>
  <c r="J1603" i="2" s="1"/>
  <c r="I1604" i="2"/>
  <c r="J1604" i="2" s="1"/>
  <c r="I1605" i="2"/>
  <c r="J1605" i="2" s="1"/>
  <c r="I1606" i="2"/>
  <c r="J1606" i="2" s="1"/>
  <c r="I1607" i="2"/>
  <c r="J1607" i="2" s="1"/>
  <c r="I1608" i="2"/>
  <c r="J1608" i="2" s="1"/>
  <c r="I1609" i="2"/>
  <c r="J1609" i="2" s="1"/>
  <c r="I1610" i="2"/>
  <c r="J1610" i="2" s="1"/>
  <c r="I1611" i="2"/>
  <c r="J1611" i="2" s="1"/>
  <c r="I1612" i="2"/>
  <c r="J1612" i="2" s="1"/>
  <c r="I1613" i="2"/>
  <c r="J1613" i="2" s="1"/>
  <c r="I1614" i="2"/>
  <c r="J1614" i="2" s="1"/>
  <c r="I1615" i="2"/>
  <c r="J1615" i="2" s="1"/>
  <c r="I1616" i="2"/>
  <c r="J1616" i="2" s="1"/>
  <c r="I1617" i="2"/>
  <c r="J1617" i="2" s="1"/>
  <c r="I1618" i="2"/>
  <c r="J1618" i="2" s="1"/>
  <c r="I1619" i="2"/>
  <c r="J1619" i="2" s="1"/>
  <c r="I1620" i="2"/>
  <c r="J1620" i="2" s="1"/>
  <c r="I1621" i="2"/>
  <c r="J1621" i="2" s="1"/>
  <c r="I1622" i="2"/>
  <c r="J1622" i="2" s="1"/>
  <c r="I1623" i="2"/>
  <c r="J1623" i="2" s="1"/>
  <c r="I1624" i="2"/>
  <c r="J1624" i="2" s="1"/>
  <c r="I1625" i="2"/>
  <c r="J1625" i="2" s="1"/>
  <c r="I1626" i="2"/>
  <c r="J1626" i="2" s="1"/>
  <c r="I1627" i="2"/>
  <c r="J1627" i="2" s="1"/>
  <c r="I1628" i="2"/>
  <c r="J1628" i="2" s="1"/>
  <c r="I1629" i="2"/>
  <c r="J1629" i="2" s="1"/>
  <c r="I1630" i="2"/>
  <c r="J1630" i="2" s="1"/>
  <c r="I1631" i="2"/>
  <c r="J1631" i="2" s="1"/>
  <c r="I1632" i="2"/>
  <c r="J1632" i="2" s="1"/>
  <c r="I1633" i="2"/>
  <c r="J1633" i="2" s="1"/>
  <c r="I1634" i="2"/>
  <c r="J1634" i="2" s="1"/>
  <c r="I1635" i="2"/>
  <c r="J1635" i="2" s="1"/>
  <c r="I1636" i="2"/>
  <c r="J1636" i="2" s="1"/>
  <c r="I1637" i="2"/>
  <c r="J1637" i="2" s="1"/>
  <c r="I1638" i="2"/>
  <c r="J1638" i="2" s="1"/>
  <c r="I1639" i="2"/>
  <c r="J1639" i="2" s="1"/>
  <c r="I1640" i="2"/>
  <c r="J1640" i="2" s="1"/>
  <c r="I1641" i="2"/>
  <c r="J1641" i="2" s="1"/>
  <c r="I1642" i="2"/>
  <c r="J1642" i="2" s="1"/>
  <c r="I1643" i="2"/>
  <c r="J1643" i="2" s="1"/>
  <c r="I1644" i="2"/>
  <c r="J1644" i="2" s="1"/>
  <c r="I1645" i="2"/>
  <c r="J1645" i="2" s="1"/>
  <c r="I1646" i="2"/>
  <c r="J1646" i="2" s="1"/>
  <c r="I1647" i="2"/>
  <c r="J1647" i="2" s="1"/>
  <c r="I1648" i="2"/>
  <c r="J1648" i="2" s="1"/>
  <c r="I1649" i="2"/>
  <c r="J1649" i="2" s="1"/>
  <c r="I1650" i="2"/>
  <c r="J1650" i="2" s="1"/>
  <c r="I1651" i="2"/>
  <c r="J1651" i="2" s="1"/>
  <c r="I1652" i="2"/>
  <c r="J1652" i="2" s="1"/>
  <c r="I1653" i="2"/>
  <c r="J1653" i="2" s="1"/>
  <c r="I1654" i="2"/>
  <c r="J1654" i="2" s="1"/>
  <c r="I1655" i="2"/>
  <c r="J1655" i="2" s="1"/>
  <c r="I1656" i="2"/>
  <c r="J1656" i="2" s="1"/>
  <c r="I1657" i="2"/>
  <c r="J1657" i="2" s="1"/>
  <c r="I1658" i="2"/>
  <c r="J1658" i="2" s="1"/>
  <c r="I1659" i="2"/>
  <c r="J1659" i="2" s="1"/>
  <c r="I1660" i="2"/>
  <c r="J1660" i="2" s="1"/>
  <c r="I1661" i="2"/>
  <c r="J1661" i="2" s="1"/>
  <c r="I1662" i="2"/>
  <c r="J1662" i="2" s="1"/>
  <c r="I1663" i="2"/>
  <c r="J1663" i="2" s="1"/>
  <c r="I1664" i="2"/>
  <c r="J1664" i="2" s="1"/>
  <c r="I1665" i="2"/>
  <c r="J1665" i="2" s="1"/>
  <c r="I1666" i="2"/>
  <c r="J1666" i="2" s="1"/>
  <c r="I1667" i="2"/>
  <c r="J1667" i="2" s="1"/>
  <c r="I1668" i="2"/>
  <c r="J1668" i="2" s="1"/>
  <c r="I1669" i="2"/>
  <c r="J1669" i="2" s="1"/>
  <c r="I1670" i="2"/>
  <c r="J1670" i="2" s="1"/>
  <c r="I1671" i="2"/>
  <c r="J1671" i="2" s="1"/>
  <c r="I1672" i="2"/>
  <c r="J1672" i="2" s="1"/>
  <c r="I1673" i="2"/>
  <c r="J1673" i="2" s="1"/>
  <c r="I1674" i="2"/>
  <c r="J1674" i="2" s="1"/>
  <c r="I1675" i="2"/>
  <c r="J1675" i="2" s="1"/>
  <c r="I1676" i="2"/>
  <c r="J1676" i="2" s="1"/>
  <c r="I1677" i="2"/>
  <c r="J1677" i="2" s="1"/>
  <c r="I1678" i="2"/>
  <c r="J1678" i="2" s="1"/>
  <c r="I1679" i="2"/>
  <c r="J1679" i="2" s="1"/>
  <c r="I1680" i="2"/>
  <c r="J1680" i="2" s="1"/>
  <c r="I1681" i="2"/>
  <c r="J1681" i="2" s="1"/>
  <c r="I1682" i="2"/>
  <c r="J1682" i="2" s="1"/>
  <c r="I1683" i="2"/>
  <c r="J1683" i="2" s="1"/>
  <c r="I1684" i="2"/>
  <c r="J1684" i="2" s="1"/>
  <c r="I1685" i="2"/>
  <c r="J1685" i="2" s="1"/>
  <c r="I1686" i="2"/>
  <c r="J1686" i="2" s="1"/>
  <c r="I1687" i="2"/>
  <c r="J1687" i="2" s="1"/>
  <c r="I1688" i="2"/>
  <c r="J1688" i="2" s="1"/>
  <c r="I1689" i="2"/>
  <c r="J1689" i="2" s="1"/>
  <c r="I1690" i="2"/>
  <c r="J1690" i="2" s="1"/>
  <c r="I1691" i="2"/>
  <c r="J1691" i="2" s="1"/>
  <c r="I1692" i="2"/>
  <c r="J1692" i="2" s="1"/>
  <c r="I1693" i="2"/>
  <c r="J1693" i="2" s="1"/>
  <c r="I1694" i="2"/>
  <c r="J1694" i="2" s="1"/>
  <c r="I1695" i="2"/>
  <c r="J1695" i="2" s="1"/>
  <c r="I1696" i="2"/>
  <c r="J1696" i="2" s="1"/>
  <c r="I1697" i="2"/>
  <c r="J1697" i="2" s="1"/>
  <c r="I1698" i="2"/>
  <c r="J1698" i="2" s="1"/>
  <c r="I1699" i="2"/>
  <c r="J1699" i="2" s="1"/>
  <c r="I1700" i="2"/>
  <c r="J1700" i="2" s="1"/>
  <c r="I1701" i="2"/>
  <c r="J1701" i="2" s="1"/>
  <c r="I1702" i="2"/>
  <c r="J1702" i="2" s="1"/>
  <c r="I1703" i="2"/>
  <c r="J1703" i="2" s="1"/>
  <c r="I1704" i="2"/>
  <c r="J1704" i="2" s="1"/>
  <c r="I1705" i="2"/>
  <c r="J1705" i="2" s="1"/>
  <c r="I1706" i="2"/>
  <c r="J1706" i="2" s="1"/>
  <c r="I1707" i="2"/>
  <c r="J1707" i="2" s="1"/>
  <c r="I1708" i="2"/>
  <c r="J1708" i="2" s="1"/>
  <c r="I1709" i="2"/>
  <c r="J1709" i="2" s="1"/>
  <c r="I1710" i="2"/>
  <c r="J1710" i="2" s="1"/>
  <c r="I1711" i="2"/>
  <c r="J1711" i="2" s="1"/>
  <c r="I1712" i="2"/>
  <c r="J1712" i="2" s="1"/>
  <c r="I1713" i="2"/>
  <c r="J1713" i="2" s="1"/>
  <c r="I1714" i="2"/>
  <c r="J1714" i="2" s="1"/>
  <c r="I1715" i="2"/>
  <c r="J1715" i="2" s="1"/>
  <c r="I1716" i="2"/>
  <c r="J1716" i="2" s="1"/>
  <c r="I1717" i="2"/>
  <c r="J1717" i="2" s="1"/>
  <c r="I1718" i="2"/>
  <c r="J1718" i="2" s="1"/>
  <c r="I1719" i="2"/>
  <c r="J1719" i="2" s="1"/>
  <c r="I1720" i="2"/>
  <c r="J1720" i="2" s="1"/>
  <c r="I1721" i="2"/>
  <c r="J1721" i="2" s="1"/>
  <c r="I1722" i="2"/>
  <c r="J1722" i="2" s="1"/>
  <c r="I1723" i="2"/>
  <c r="J1723" i="2" s="1"/>
  <c r="I1724" i="2"/>
  <c r="J1724" i="2" s="1"/>
  <c r="I1725" i="2"/>
  <c r="J1725" i="2" s="1"/>
  <c r="I1726" i="2"/>
  <c r="J1726" i="2" s="1"/>
  <c r="I1727" i="2"/>
  <c r="J1727" i="2" s="1"/>
  <c r="I1728" i="2"/>
  <c r="J1728" i="2" s="1"/>
  <c r="I1729" i="2"/>
  <c r="J1729" i="2" s="1"/>
  <c r="I1730" i="2"/>
  <c r="J1730" i="2" s="1"/>
  <c r="I1731" i="2"/>
  <c r="J1731" i="2" s="1"/>
  <c r="I1732" i="2"/>
  <c r="J1732" i="2" s="1"/>
  <c r="I1733" i="2"/>
  <c r="J1733" i="2" s="1"/>
  <c r="I1734" i="2"/>
  <c r="J1734" i="2" s="1"/>
  <c r="I1735" i="2"/>
  <c r="J1735" i="2" s="1"/>
  <c r="I1736" i="2"/>
  <c r="J1736" i="2" s="1"/>
  <c r="I1737" i="2"/>
  <c r="J1737" i="2" s="1"/>
  <c r="I1738" i="2"/>
  <c r="J1738" i="2" s="1"/>
  <c r="I1739" i="2"/>
  <c r="J1739" i="2" s="1"/>
  <c r="I1740" i="2"/>
  <c r="J1740" i="2" s="1"/>
  <c r="I1741" i="2"/>
  <c r="J1741" i="2" s="1"/>
  <c r="I1742" i="2"/>
  <c r="J1742" i="2" s="1"/>
  <c r="I1743" i="2"/>
  <c r="J1743" i="2" s="1"/>
  <c r="I1744" i="2"/>
  <c r="J1744" i="2" s="1"/>
  <c r="I1745" i="2"/>
  <c r="J1745" i="2" s="1"/>
  <c r="I1746" i="2"/>
  <c r="J1746" i="2" s="1"/>
  <c r="I1747" i="2"/>
  <c r="J1747" i="2" s="1"/>
  <c r="I1748" i="2"/>
  <c r="J1748" i="2" s="1"/>
  <c r="I1749" i="2"/>
  <c r="J1749" i="2" s="1"/>
  <c r="I1750" i="2"/>
  <c r="J1750" i="2" s="1"/>
  <c r="I1751" i="2"/>
  <c r="J1751" i="2" s="1"/>
  <c r="I1752" i="2"/>
  <c r="J1752" i="2" s="1"/>
  <c r="I1753" i="2"/>
  <c r="J1753" i="2" s="1"/>
  <c r="I1754" i="2"/>
  <c r="J1754" i="2" s="1"/>
  <c r="I1755" i="2"/>
  <c r="J1755" i="2" s="1"/>
  <c r="I1756" i="2"/>
  <c r="J1756" i="2" s="1"/>
  <c r="I1757" i="2"/>
  <c r="J1757" i="2" s="1"/>
  <c r="I1758" i="2"/>
  <c r="J1758" i="2" s="1"/>
  <c r="I1759" i="2"/>
  <c r="J1759" i="2" s="1"/>
  <c r="I1760" i="2"/>
  <c r="J1760" i="2" s="1"/>
  <c r="I1761" i="2"/>
  <c r="J1761" i="2" s="1"/>
  <c r="I1762" i="2"/>
  <c r="J1762" i="2" s="1"/>
  <c r="I1763" i="2"/>
  <c r="J1763" i="2" s="1"/>
  <c r="I1764" i="2"/>
  <c r="J1764" i="2" s="1"/>
  <c r="I1765" i="2"/>
  <c r="J1765" i="2" s="1"/>
  <c r="I1766" i="2"/>
  <c r="J1766" i="2" s="1"/>
  <c r="I1767" i="2"/>
  <c r="J1767" i="2" s="1"/>
  <c r="I1768" i="2"/>
  <c r="J1768" i="2" s="1"/>
  <c r="I1769" i="2"/>
  <c r="J1769" i="2" s="1"/>
  <c r="I1770" i="2"/>
  <c r="J1770" i="2" s="1"/>
  <c r="I1771" i="2"/>
  <c r="J1771" i="2" s="1"/>
  <c r="I1772" i="2"/>
  <c r="J1772" i="2" s="1"/>
  <c r="I1773" i="2"/>
  <c r="J1773" i="2" s="1"/>
  <c r="I1774" i="2"/>
  <c r="J1774" i="2" s="1"/>
  <c r="I1775" i="2"/>
  <c r="J1775" i="2" s="1"/>
  <c r="I1776" i="2"/>
  <c r="J1776" i="2" s="1"/>
  <c r="I1777" i="2"/>
  <c r="J1777" i="2" s="1"/>
  <c r="I1778" i="2"/>
  <c r="J1778" i="2" s="1"/>
  <c r="I1779" i="2"/>
  <c r="J1779" i="2" s="1"/>
  <c r="I1780" i="2"/>
  <c r="J1780" i="2" s="1"/>
  <c r="I1781" i="2"/>
  <c r="J1781" i="2" s="1"/>
  <c r="I1782" i="2"/>
  <c r="J1782" i="2" s="1"/>
  <c r="I1783" i="2"/>
  <c r="J1783" i="2" s="1"/>
  <c r="I1784" i="2"/>
  <c r="J1784" i="2" s="1"/>
  <c r="I1785" i="2"/>
  <c r="J1785" i="2" s="1"/>
  <c r="I1786" i="2"/>
  <c r="J1786" i="2" s="1"/>
  <c r="I1787" i="2"/>
  <c r="J1787" i="2" s="1"/>
  <c r="I1788" i="2"/>
  <c r="J1788" i="2" s="1"/>
  <c r="I1789" i="2"/>
  <c r="J1789" i="2" s="1"/>
  <c r="I1790" i="2"/>
  <c r="J1790" i="2" s="1"/>
  <c r="I1791" i="2"/>
  <c r="J1791" i="2" s="1"/>
  <c r="I1792" i="2"/>
  <c r="J1792" i="2" s="1"/>
  <c r="I1793" i="2"/>
  <c r="J1793" i="2" s="1"/>
  <c r="I1794" i="2"/>
  <c r="J1794" i="2" s="1"/>
  <c r="I1795" i="2"/>
  <c r="J1795" i="2" s="1"/>
  <c r="I1796" i="2"/>
  <c r="J1796" i="2" s="1"/>
  <c r="I1797" i="2"/>
  <c r="J1797" i="2" s="1"/>
  <c r="I1798" i="2"/>
  <c r="J1798" i="2" s="1"/>
  <c r="I1799" i="2"/>
  <c r="J1799" i="2" s="1"/>
  <c r="I1800" i="2"/>
  <c r="J1800" i="2" s="1"/>
  <c r="I1801" i="2"/>
  <c r="J1801" i="2" s="1"/>
  <c r="I1802" i="2"/>
  <c r="J1802" i="2" s="1"/>
  <c r="I1803" i="2"/>
  <c r="J1803" i="2" s="1"/>
  <c r="I1804" i="2"/>
  <c r="J1804" i="2" s="1"/>
  <c r="I1805" i="2"/>
  <c r="J1805" i="2" s="1"/>
  <c r="I1806" i="2"/>
  <c r="J1806" i="2" s="1"/>
  <c r="I1807" i="2"/>
  <c r="J1807" i="2" s="1"/>
  <c r="I1808" i="2"/>
  <c r="J1808" i="2" s="1"/>
  <c r="I1809" i="2"/>
  <c r="J1809" i="2" s="1"/>
  <c r="I1810" i="2"/>
  <c r="J1810" i="2" s="1"/>
  <c r="I1811" i="2"/>
  <c r="J1811" i="2" s="1"/>
  <c r="I1812" i="2"/>
  <c r="J1812" i="2" s="1"/>
  <c r="I1813" i="2"/>
  <c r="J1813" i="2" s="1"/>
  <c r="I1814" i="2"/>
  <c r="J1814" i="2" s="1"/>
  <c r="I1815" i="2"/>
  <c r="J1815" i="2" s="1"/>
  <c r="I1816" i="2"/>
  <c r="J1816" i="2" s="1"/>
  <c r="I1817" i="2"/>
  <c r="J1817" i="2" s="1"/>
  <c r="I1818" i="2"/>
  <c r="J1818" i="2" s="1"/>
  <c r="I1819" i="2"/>
  <c r="J1819" i="2" s="1"/>
  <c r="I1820" i="2"/>
  <c r="J1820" i="2" s="1"/>
  <c r="I1821" i="2"/>
  <c r="J1821" i="2" s="1"/>
  <c r="I1822" i="2"/>
  <c r="J1822" i="2" s="1"/>
  <c r="I1823" i="2"/>
  <c r="J1823" i="2" s="1"/>
  <c r="I1824" i="2"/>
  <c r="J1824" i="2" s="1"/>
  <c r="I1825" i="2"/>
  <c r="J1825" i="2" s="1"/>
  <c r="I1826" i="2"/>
  <c r="J1826" i="2" s="1"/>
  <c r="I1827" i="2"/>
  <c r="J1827" i="2" s="1"/>
  <c r="I1828" i="2"/>
  <c r="J1828" i="2" s="1"/>
  <c r="I1829" i="2"/>
  <c r="J1829" i="2" s="1"/>
  <c r="I1830" i="2"/>
  <c r="J1830" i="2" s="1"/>
  <c r="I1831" i="2"/>
  <c r="J1831" i="2" s="1"/>
  <c r="I1832" i="2"/>
  <c r="J1832" i="2" s="1"/>
  <c r="I1833" i="2"/>
  <c r="J1833" i="2" s="1"/>
  <c r="I1834" i="2"/>
  <c r="J1834" i="2" s="1"/>
  <c r="I1835" i="2"/>
  <c r="J1835" i="2" s="1"/>
  <c r="I1836" i="2"/>
  <c r="J1836" i="2" s="1"/>
  <c r="I1837" i="2"/>
  <c r="J1837" i="2" s="1"/>
  <c r="I1838" i="2"/>
  <c r="J1838" i="2" s="1"/>
  <c r="I1839" i="2"/>
  <c r="J1839" i="2" s="1"/>
  <c r="I1840" i="2"/>
  <c r="J1840" i="2" s="1"/>
  <c r="I1841" i="2"/>
  <c r="J1841" i="2" s="1"/>
  <c r="I1842" i="2"/>
  <c r="J1842" i="2" s="1"/>
  <c r="I1843" i="2"/>
  <c r="J1843" i="2" s="1"/>
  <c r="I1844" i="2"/>
  <c r="J1844" i="2" s="1"/>
  <c r="I1845" i="2"/>
  <c r="J1845" i="2" s="1"/>
  <c r="I1846" i="2"/>
  <c r="J1846" i="2" s="1"/>
  <c r="I1847" i="2"/>
  <c r="J1847" i="2" s="1"/>
  <c r="I1848" i="2"/>
  <c r="J1848" i="2" s="1"/>
  <c r="I1849" i="2"/>
  <c r="J1849" i="2" s="1"/>
  <c r="I1850" i="2"/>
  <c r="J1850" i="2" s="1"/>
  <c r="I1851" i="2"/>
  <c r="J1851" i="2" s="1"/>
  <c r="I1852" i="2"/>
  <c r="J1852" i="2" s="1"/>
  <c r="I1853" i="2"/>
  <c r="J1853" i="2" s="1"/>
  <c r="I1854" i="2"/>
  <c r="J1854" i="2" s="1"/>
  <c r="I1855" i="2"/>
  <c r="J1855" i="2" s="1"/>
  <c r="I1856" i="2"/>
  <c r="J1856" i="2" s="1"/>
  <c r="I1857" i="2"/>
  <c r="J1857" i="2" s="1"/>
  <c r="I1858" i="2"/>
  <c r="J1858" i="2" s="1"/>
  <c r="I1859" i="2"/>
  <c r="J1859" i="2" s="1"/>
  <c r="I1860" i="2"/>
  <c r="J1860" i="2" s="1"/>
  <c r="I1861" i="2"/>
  <c r="J1861" i="2" s="1"/>
  <c r="I1862" i="2"/>
  <c r="J1862" i="2" s="1"/>
  <c r="I1863" i="2"/>
  <c r="J1863" i="2" s="1"/>
  <c r="I1864" i="2"/>
  <c r="J1864" i="2" s="1"/>
  <c r="I1865" i="2"/>
  <c r="J1865" i="2" s="1"/>
  <c r="I1866" i="2"/>
  <c r="J1866" i="2" s="1"/>
  <c r="I1867" i="2"/>
  <c r="J1867" i="2" s="1"/>
  <c r="I1868" i="2"/>
  <c r="J1868" i="2" s="1"/>
  <c r="I1869" i="2"/>
  <c r="J1869" i="2" s="1"/>
  <c r="I1870" i="2"/>
  <c r="J1870" i="2" s="1"/>
  <c r="I1871" i="2"/>
  <c r="J1871" i="2" s="1"/>
  <c r="I1872" i="2"/>
  <c r="J1872" i="2" s="1"/>
  <c r="I1873" i="2"/>
  <c r="J1873" i="2" s="1"/>
  <c r="I1874" i="2"/>
  <c r="J1874" i="2" s="1"/>
  <c r="I1875" i="2"/>
  <c r="J1875" i="2" s="1"/>
  <c r="I1876" i="2"/>
  <c r="J1876" i="2" s="1"/>
  <c r="I1877" i="2"/>
  <c r="J1877" i="2" s="1"/>
  <c r="I1878" i="2"/>
  <c r="J1878" i="2" s="1"/>
  <c r="I1879" i="2"/>
  <c r="J1879" i="2" s="1"/>
  <c r="I1880" i="2"/>
  <c r="J1880" i="2" s="1"/>
  <c r="I1881" i="2"/>
  <c r="J1881" i="2" s="1"/>
  <c r="I1882" i="2"/>
  <c r="J1882" i="2" s="1"/>
  <c r="I1883" i="2"/>
  <c r="J1883" i="2" s="1"/>
  <c r="I1884" i="2"/>
  <c r="J1884" i="2" s="1"/>
  <c r="I1885" i="2"/>
  <c r="J1885" i="2" s="1"/>
  <c r="I1886" i="2"/>
  <c r="J1886" i="2" s="1"/>
  <c r="I1887" i="2"/>
  <c r="J1887" i="2" s="1"/>
  <c r="I1888" i="2"/>
  <c r="J1888" i="2" s="1"/>
  <c r="I1889" i="2"/>
  <c r="J1889" i="2" s="1"/>
  <c r="I1890" i="2"/>
  <c r="J1890" i="2" s="1"/>
  <c r="I1891" i="2"/>
  <c r="J1891" i="2" s="1"/>
  <c r="I1892" i="2"/>
  <c r="J1892" i="2" s="1"/>
  <c r="I1893" i="2"/>
  <c r="J1893" i="2" s="1"/>
  <c r="I1894" i="2"/>
  <c r="J1894" i="2" s="1"/>
  <c r="I1895" i="2"/>
  <c r="J1895" i="2" s="1"/>
  <c r="I1896" i="2"/>
  <c r="J1896" i="2" s="1"/>
  <c r="I1897" i="2"/>
  <c r="J1897" i="2" s="1"/>
  <c r="I1898" i="2"/>
  <c r="J1898" i="2" s="1"/>
  <c r="I1899" i="2"/>
  <c r="J1899" i="2" s="1"/>
  <c r="I1900" i="2"/>
  <c r="J1900" i="2" s="1"/>
  <c r="I1901" i="2"/>
  <c r="J1901" i="2" s="1"/>
  <c r="I1902" i="2"/>
  <c r="J1902" i="2" s="1"/>
  <c r="I1903" i="2"/>
  <c r="J1903" i="2" s="1"/>
  <c r="I1904" i="2"/>
  <c r="J1904" i="2" s="1"/>
  <c r="I1905" i="2"/>
  <c r="J1905" i="2" s="1"/>
  <c r="I1906" i="2"/>
  <c r="J1906" i="2" s="1"/>
  <c r="I1907" i="2"/>
  <c r="J1907" i="2" s="1"/>
  <c r="I1908" i="2"/>
  <c r="J1908" i="2" s="1"/>
  <c r="I1909" i="2"/>
  <c r="J1909" i="2" s="1"/>
  <c r="I1910" i="2"/>
  <c r="J1910" i="2" s="1"/>
  <c r="I1911" i="2"/>
  <c r="J1911" i="2" s="1"/>
  <c r="I1912" i="2"/>
  <c r="J1912" i="2" s="1"/>
  <c r="I1913" i="2"/>
  <c r="J1913" i="2" s="1"/>
  <c r="I1914" i="2"/>
  <c r="J1914" i="2" s="1"/>
  <c r="I1915" i="2"/>
  <c r="J1915" i="2" s="1"/>
  <c r="I1916" i="2"/>
  <c r="J1916" i="2" s="1"/>
  <c r="I1917" i="2"/>
  <c r="J1917" i="2" s="1"/>
  <c r="I1918" i="2"/>
  <c r="J1918" i="2" s="1"/>
  <c r="I1919" i="2"/>
  <c r="J1919" i="2" s="1"/>
  <c r="I1920" i="2"/>
  <c r="J1920" i="2" s="1"/>
  <c r="I1921" i="2"/>
  <c r="J1921" i="2" s="1"/>
  <c r="I1922" i="2"/>
  <c r="J1922" i="2" s="1"/>
  <c r="I1923" i="2"/>
  <c r="J1923" i="2" s="1"/>
  <c r="I1924" i="2"/>
  <c r="J1924" i="2" s="1"/>
  <c r="I1925" i="2"/>
  <c r="J1925" i="2" s="1"/>
  <c r="I1926" i="2"/>
  <c r="J1926" i="2" s="1"/>
  <c r="I1927" i="2"/>
  <c r="J1927" i="2" s="1"/>
  <c r="I1928" i="2"/>
  <c r="J1928" i="2" s="1"/>
  <c r="I1929" i="2"/>
  <c r="J1929" i="2" s="1"/>
  <c r="I1930" i="2"/>
  <c r="J1930" i="2" s="1"/>
  <c r="I1931" i="2"/>
  <c r="J1931" i="2" s="1"/>
  <c r="I1932" i="2"/>
  <c r="J1932" i="2" s="1"/>
  <c r="I1933" i="2"/>
  <c r="J1933" i="2" s="1"/>
  <c r="I1934" i="2"/>
  <c r="J1934" i="2" s="1"/>
  <c r="I1935" i="2"/>
  <c r="J1935" i="2" s="1"/>
  <c r="I1936" i="2"/>
  <c r="J1936" i="2" s="1"/>
  <c r="I1937" i="2"/>
  <c r="J1937" i="2" s="1"/>
  <c r="I1938" i="2"/>
  <c r="J1938" i="2" s="1"/>
  <c r="I1939" i="2"/>
  <c r="J1939" i="2" s="1"/>
  <c r="I1940" i="2"/>
  <c r="J1940" i="2" s="1"/>
  <c r="I1941" i="2"/>
  <c r="J1941" i="2" s="1"/>
  <c r="I1942" i="2"/>
  <c r="J1942" i="2" s="1"/>
  <c r="I1943" i="2"/>
  <c r="J1943" i="2" s="1"/>
  <c r="I1944" i="2"/>
  <c r="J1944" i="2" s="1"/>
  <c r="I1945" i="2"/>
  <c r="J1945" i="2" s="1"/>
  <c r="I1946" i="2"/>
  <c r="J1946" i="2" s="1"/>
  <c r="I1947" i="2"/>
  <c r="J1947" i="2" s="1"/>
  <c r="I1948" i="2"/>
  <c r="J1948" i="2" s="1"/>
  <c r="I1949" i="2"/>
  <c r="J1949" i="2" s="1"/>
  <c r="I1950" i="2"/>
  <c r="J1950" i="2" s="1"/>
  <c r="I1951" i="2"/>
  <c r="J1951" i="2" s="1"/>
  <c r="I1952" i="2"/>
  <c r="J1952" i="2" s="1"/>
  <c r="I1953" i="2"/>
  <c r="J1953" i="2" s="1"/>
  <c r="I1954" i="2"/>
  <c r="J1954" i="2" s="1"/>
  <c r="I1955" i="2"/>
  <c r="J1955" i="2" s="1"/>
  <c r="I1956" i="2"/>
  <c r="J1956" i="2" s="1"/>
  <c r="I1957" i="2"/>
  <c r="J1957" i="2" s="1"/>
  <c r="I1958" i="2"/>
  <c r="J1958" i="2" s="1"/>
  <c r="I1959" i="2"/>
  <c r="J1959" i="2" s="1"/>
  <c r="I1960" i="2"/>
  <c r="J1960" i="2" s="1"/>
  <c r="I1961" i="2"/>
  <c r="J1961" i="2" s="1"/>
  <c r="I1962" i="2"/>
  <c r="J1962" i="2" s="1"/>
  <c r="I1963" i="2"/>
  <c r="J1963" i="2" s="1"/>
  <c r="I1964" i="2"/>
  <c r="J1964" i="2" s="1"/>
  <c r="I1965" i="2"/>
  <c r="J1965" i="2" s="1"/>
  <c r="I1966" i="2"/>
  <c r="J1966" i="2" s="1"/>
  <c r="I1967" i="2"/>
  <c r="J1967" i="2" s="1"/>
  <c r="I1968" i="2"/>
  <c r="J1968" i="2" s="1"/>
  <c r="I1969" i="2"/>
  <c r="J1969" i="2" s="1"/>
  <c r="I1970" i="2"/>
  <c r="J1970" i="2" s="1"/>
  <c r="I1971" i="2"/>
  <c r="J1971" i="2" s="1"/>
  <c r="I1972" i="2"/>
  <c r="J1972" i="2" s="1"/>
  <c r="I1973" i="2"/>
  <c r="J1973" i="2" s="1"/>
  <c r="I1974" i="2"/>
  <c r="J1974" i="2" s="1"/>
  <c r="I1975" i="2"/>
  <c r="J1975" i="2" s="1"/>
  <c r="I1976" i="2"/>
  <c r="J1976" i="2" s="1"/>
  <c r="I1977" i="2"/>
  <c r="J1977" i="2" s="1"/>
  <c r="I1978" i="2"/>
  <c r="J1978" i="2" s="1"/>
  <c r="I1979" i="2"/>
  <c r="J1979" i="2" s="1"/>
  <c r="I1980" i="2"/>
  <c r="J1980" i="2" s="1"/>
  <c r="I1981" i="2"/>
  <c r="J1981" i="2" s="1"/>
  <c r="I1982" i="2"/>
  <c r="J1982" i="2" s="1"/>
  <c r="I1983" i="2"/>
  <c r="J1983" i="2" s="1"/>
  <c r="I1984" i="2"/>
  <c r="J1984" i="2" s="1"/>
  <c r="I1985" i="2"/>
  <c r="J1985" i="2" s="1"/>
  <c r="I1986" i="2"/>
  <c r="J1986" i="2" s="1"/>
  <c r="I1987" i="2"/>
  <c r="J1987" i="2" s="1"/>
  <c r="I1988" i="2"/>
  <c r="J1988" i="2" s="1"/>
  <c r="I1989" i="2"/>
  <c r="J1989" i="2" s="1"/>
  <c r="I1990" i="2"/>
  <c r="J1990" i="2" s="1"/>
  <c r="I1991" i="2"/>
  <c r="J1991" i="2" s="1"/>
  <c r="I1992" i="2"/>
  <c r="J1992" i="2" s="1"/>
  <c r="I1993" i="2"/>
  <c r="J1993" i="2" s="1"/>
  <c r="I1994" i="2"/>
  <c r="J1994" i="2" s="1"/>
  <c r="I1995" i="2"/>
  <c r="J1995" i="2" s="1"/>
  <c r="I1996" i="2"/>
  <c r="J1996" i="2" s="1"/>
  <c r="I1997" i="2"/>
  <c r="J1997" i="2" s="1"/>
  <c r="I1998" i="2"/>
  <c r="J1998" i="2" s="1"/>
  <c r="I1999" i="2"/>
  <c r="J1999" i="2" s="1"/>
  <c r="I2000" i="2"/>
  <c r="J2000" i="2" s="1"/>
  <c r="I2001" i="2"/>
  <c r="J2001" i="2" s="1"/>
  <c r="I2002" i="2"/>
  <c r="J2002" i="2" s="1"/>
  <c r="I2003" i="2"/>
  <c r="J2003" i="2" s="1"/>
  <c r="I2004" i="2"/>
  <c r="J2004" i="2" s="1"/>
  <c r="I2005" i="2"/>
  <c r="J2005" i="2" s="1"/>
  <c r="I2006" i="2"/>
  <c r="J2006" i="2" s="1"/>
  <c r="I2007" i="2"/>
  <c r="J2007" i="2" s="1"/>
  <c r="I2008" i="2"/>
  <c r="J2008" i="2" s="1"/>
  <c r="I2009" i="2"/>
  <c r="J2009" i="2" s="1"/>
  <c r="I2010" i="2"/>
  <c r="J2010" i="2" s="1"/>
  <c r="I2011" i="2"/>
  <c r="J2011" i="2" s="1"/>
  <c r="I2012" i="2"/>
  <c r="J2012" i="2" s="1"/>
  <c r="I2013" i="2"/>
  <c r="J2013" i="2" s="1"/>
  <c r="I2014" i="2"/>
  <c r="J2014" i="2" s="1"/>
  <c r="I2015" i="2"/>
  <c r="J2015" i="2" s="1"/>
  <c r="I2016" i="2"/>
  <c r="J2016" i="2" s="1"/>
  <c r="I2017" i="2"/>
  <c r="J2017" i="2" s="1"/>
  <c r="I2018" i="2"/>
  <c r="J2018" i="2" s="1"/>
  <c r="I2019" i="2"/>
  <c r="J2019" i="2" s="1"/>
  <c r="I2020" i="2"/>
  <c r="J2020" i="2" s="1"/>
  <c r="I2021" i="2"/>
  <c r="J2021" i="2" s="1"/>
  <c r="I2022" i="2"/>
  <c r="J2022" i="2" s="1"/>
  <c r="I2023" i="2"/>
  <c r="J2023" i="2" s="1"/>
  <c r="I2024" i="2"/>
  <c r="J2024" i="2" s="1"/>
  <c r="I2025" i="2"/>
  <c r="J2025" i="2" s="1"/>
  <c r="I2026" i="2"/>
  <c r="J2026" i="2" s="1"/>
  <c r="I2027" i="2"/>
  <c r="J2027" i="2" s="1"/>
  <c r="I2028" i="2"/>
  <c r="J2028" i="2" s="1"/>
  <c r="I2029" i="2"/>
  <c r="J2029" i="2" s="1"/>
  <c r="I2030" i="2"/>
  <c r="J2030" i="2" s="1"/>
  <c r="I2031" i="2"/>
  <c r="J2031" i="2" s="1"/>
  <c r="I2032" i="2"/>
  <c r="J2032" i="2" s="1"/>
  <c r="I2033" i="2"/>
  <c r="J2033" i="2" s="1"/>
  <c r="I2034" i="2"/>
  <c r="J2034" i="2" s="1"/>
  <c r="I2035" i="2"/>
  <c r="J2035" i="2" s="1"/>
  <c r="I2036" i="2"/>
  <c r="J2036" i="2" s="1"/>
  <c r="I2037" i="2"/>
  <c r="J2037" i="2" s="1"/>
  <c r="I2038" i="2"/>
  <c r="J2038" i="2" s="1"/>
  <c r="I2039" i="2"/>
  <c r="J2039" i="2" s="1"/>
  <c r="I2040" i="2"/>
  <c r="J2040" i="2" s="1"/>
  <c r="I2041" i="2"/>
  <c r="J2041" i="2" s="1"/>
  <c r="I2042" i="2"/>
  <c r="J2042" i="2" s="1"/>
  <c r="I2043" i="2"/>
  <c r="J2043" i="2" s="1"/>
  <c r="I2044" i="2"/>
  <c r="J2044" i="2" s="1"/>
  <c r="I2045" i="2"/>
  <c r="J2045" i="2" s="1"/>
  <c r="I2046" i="2"/>
  <c r="J2046" i="2" s="1"/>
  <c r="I2047" i="2"/>
  <c r="J2047" i="2" s="1"/>
  <c r="I2048" i="2"/>
  <c r="J2048" i="2" s="1"/>
  <c r="I2049" i="2"/>
  <c r="J2049" i="2" s="1"/>
  <c r="I2050" i="2"/>
  <c r="J2050" i="2" s="1"/>
  <c r="I2051" i="2"/>
  <c r="J2051" i="2" s="1"/>
  <c r="I2052" i="2"/>
  <c r="J2052" i="2" s="1"/>
  <c r="I2053" i="2"/>
  <c r="J2053" i="2" s="1"/>
  <c r="I2054" i="2"/>
  <c r="J2054" i="2" s="1"/>
  <c r="I2055" i="2"/>
  <c r="J2055" i="2" s="1"/>
  <c r="I2056" i="2"/>
  <c r="J2056" i="2" s="1"/>
  <c r="I2057" i="2"/>
  <c r="J2057" i="2" s="1"/>
  <c r="I2058" i="2"/>
  <c r="J2058" i="2" s="1"/>
  <c r="I2059" i="2"/>
  <c r="J2059" i="2" s="1"/>
  <c r="I2060" i="2"/>
  <c r="J2060" i="2" s="1"/>
  <c r="I2061" i="2"/>
  <c r="J2061" i="2" s="1"/>
  <c r="I2062" i="2"/>
  <c r="J2062" i="2" s="1"/>
  <c r="I2063" i="2"/>
  <c r="J2063" i="2" s="1"/>
  <c r="I2064" i="2"/>
  <c r="J2064" i="2" s="1"/>
  <c r="I2065" i="2"/>
  <c r="J2065" i="2" s="1"/>
  <c r="I2066" i="2"/>
  <c r="J2066" i="2" s="1"/>
  <c r="I2067" i="2"/>
  <c r="J2067" i="2" s="1"/>
  <c r="I2068" i="2"/>
  <c r="J2068" i="2" s="1"/>
  <c r="I2069" i="2"/>
  <c r="J2069" i="2" s="1"/>
  <c r="I2070" i="2"/>
  <c r="J2070" i="2" s="1"/>
  <c r="I2071" i="2"/>
  <c r="J2071" i="2" s="1"/>
  <c r="I2072" i="2"/>
  <c r="J2072" i="2" s="1"/>
  <c r="I2073" i="2"/>
  <c r="J2073" i="2" s="1"/>
  <c r="I2074" i="2"/>
  <c r="J2074" i="2" s="1"/>
  <c r="I2075" i="2"/>
  <c r="J2075" i="2" s="1"/>
  <c r="I2076" i="2"/>
  <c r="J2076" i="2" s="1"/>
  <c r="I2077" i="2"/>
  <c r="J2077" i="2" s="1"/>
  <c r="I2078" i="2"/>
  <c r="J2078" i="2" s="1"/>
  <c r="I2079" i="2"/>
  <c r="J2079" i="2" s="1"/>
  <c r="I2080" i="2"/>
  <c r="J2080" i="2" s="1"/>
  <c r="I2081" i="2"/>
  <c r="J2081" i="2" s="1"/>
  <c r="I2082" i="2"/>
  <c r="J2082" i="2" s="1"/>
  <c r="I2083" i="2"/>
  <c r="J2083" i="2" s="1"/>
  <c r="I2084" i="2"/>
  <c r="J2084" i="2" s="1"/>
  <c r="I2085" i="2"/>
  <c r="J2085" i="2" s="1"/>
  <c r="I2086" i="2"/>
  <c r="J2086" i="2" s="1"/>
  <c r="I2087" i="2"/>
  <c r="J2087" i="2" s="1"/>
  <c r="I2088" i="2"/>
  <c r="J2088" i="2" s="1"/>
  <c r="I2089" i="2"/>
  <c r="J2089" i="2" s="1"/>
  <c r="I2090" i="2"/>
  <c r="J2090" i="2" s="1"/>
  <c r="I2091" i="2"/>
  <c r="J2091" i="2" s="1"/>
  <c r="I2092" i="2"/>
  <c r="J2092" i="2" s="1"/>
  <c r="I2093" i="2"/>
  <c r="J2093" i="2" s="1"/>
  <c r="I2094" i="2"/>
  <c r="J2094" i="2" s="1"/>
  <c r="I2095" i="2"/>
  <c r="J2095" i="2" s="1"/>
  <c r="I2096" i="2"/>
  <c r="J2096" i="2" s="1"/>
  <c r="I2097" i="2"/>
  <c r="J2097" i="2" s="1"/>
  <c r="I2098" i="2"/>
  <c r="J2098" i="2" s="1"/>
  <c r="I2099" i="2"/>
  <c r="J2099" i="2" s="1"/>
  <c r="I2100" i="2"/>
  <c r="J2100" i="2" s="1"/>
  <c r="I2101" i="2"/>
  <c r="J2101" i="2" s="1"/>
  <c r="I2102" i="2"/>
  <c r="J2102" i="2" s="1"/>
  <c r="I2103" i="2"/>
  <c r="J2103" i="2" s="1"/>
  <c r="I2104" i="2"/>
  <c r="J2104" i="2" s="1"/>
  <c r="I2105" i="2"/>
  <c r="J2105" i="2" s="1"/>
  <c r="I2106" i="2"/>
  <c r="J2106" i="2" s="1"/>
  <c r="I2107" i="2"/>
  <c r="J2107" i="2" s="1"/>
  <c r="I2108" i="2"/>
  <c r="J2108" i="2" s="1"/>
  <c r="I2109" i="2"/>
  <c r="J2109" i="2" s="1"/>
  <c r="I2110" i="2"/>
  <c r="J2110" i="2" s="1"/>
  <c r="I2111" i="2"/>
  <c r="J2111" i="2" s="1"/>
  <c r="I2112" i="2"/>
  <c r="J2112" i="2" s="1"/>
  <c r="I2113" i="2"/>
  <c r="J2113" i="2" s="1"/>
  <c r="I2114" i="2"/>
  <c r="J2114" i="2" s="1"/>
  <c r="I2115" i="2"/>
  <c r="J2115" i="2" s="1"/>
  <c r="I2116" i="2"/>
  <c r="J2116" i="2" s="1"/>
  <c r="I2117" i="2"/>
  <c r="J2117" i="2" s="1"/>
  <c r="I2118" i="2"/>
  <c r="J2118" i="2" s="1"/>
  <c r="I2119" i="2"/>
  <c r="J2119" i="2" s="1"/>
  <c r="I2120" i="2"/>
  <c r="J2120" i="2" s="1"/>
  <c r="I2121" i="2"/>
  <c r="J2121" i="2" s="1"/>
  <c r="I2122" i="2"/>
  <c r="J2122" i="2" s="1"/>
  <c r="I2123" i="2"/>
  <c r="J2123" i="2" s="1"/>
  <c r="I2124" i="2"/>
  <c r="J2124" i="2" s="1"/>
  <c r="I2125" i="2"/>
  <c r="J2125" i="2" s="1"/>
  <c r="I2126" i="2"/>
  <c r="J2126" i="2" s="1"/>
  <c r="I2127" i="2"/>
  <c r="J2127" i="2" s="1"/>
  <c r="I2128" i="2"/>
  <c r="J2128" i="2" s="1"/>
  <c r="I2129" i="2"/>
  <c r="J2129" i="2" s="1"/>
  <c r="I2130" i="2"/>
  <c r="J2130" i="2" s="1"/>
  <c r="I2131" i="2"/>
  <c r="J2131" i="2" s="1"/>
  <c r="I2132" i="2"/>
  <c r="J2132" i="2" s="1"/>
  <c r="I2133" i="2"/>
  <c r="J2133" i="2" s="1"/>
  <c r="I2134" i="2"/>
  <c r="J2134" i="2" s="1"/>
  <c r="I2135" i="2"/>
  <c r="J2135" i="2" s="1"/>
  <c r="I2136" i="2"/>
  <c r="J2136" i="2" s="1"/>
  <c r="I2137" i="2"/>
  <c r="J2137" i="2" s="1"/>
  <c r="I2138" i="2"/>
  <c r="J2138" i="2" s="1"/>
  <c r="I2139" i="2"/>
  <c r="J2139" i="2" s="1"/>
  <c r="I2140" i="2"/>
  <c r="J2140" i="2" s="1"/>
  <c r="I2141" i="2"/>
  <c r="J2141" i="2" s="1"/>
  <c r="I2142" i="2"/>
  <c r="J2142" i="2" s="1"/>
  <c r="I2143" i="2"/>
  <c r="J2143" i="2" s="1"/>
  <c r="I2144" i="2"/>
  <c r="J2144" i="2" s="1"/>
  <c r="I2145" i="2"/>
  <c r="J2145" i="2" s="1"/>
  <c r="I2146" i="2"/>
  <c r="J2146" i="2" s="1"/>
  <c r="I2147" i="2"/>
  <c r="J2147" i="2" s="1"/>
  <c r="I2148" i="2"/>
  <c r="J2148" i="2" s="1"/>
  <c r="I2149" i="2"/>
  <c r="J2149" i="2" s="1"/>
  <c r="I2150" i="2"/>
  <c r="J2150" i="2" s="1"/>
  <c r="I2151" i="2"/>
  <c r="J2151" i="2" s="1"/>
  <c r="I2152" i="2"/>
  <c r="J2152" i="2" s="1"/>
  <c r="I2153" i="2"/>
  <c r="J2153" i="2" s="1"/>
  <c r="I2154" i="2"/>
  <c r="J2154" i="2" s="1"/>
  <c r="I2155" i="2"/>
  <c r="J2155" i="2" s="1"/>
  <c r="I2156" i="2"/>
  <c r="J2156" i="2" s="1"/>
  <c r="I2157" i="2"/>
  <c r="J2157" i="2" s="1"/>
  <c r="I2158" i="2"/>
  <c r="J2158" i="2" s="1"/>
  <c r="I2159" i="2"/>
  <c r="J2159" i="2" s="1"/>
  <c r="I2160" i="2"/>
  <c r="J2160" i="2" s="1"/>
  <c r="I2161" i="2"/>
  <c r="J2161" i="2" s="1"/>
  <c r="I2162" i="2"/>
  <c r="J2162" i="2" s="1"/>
  <c r="I2163" i="2"/>
  <c r="J2163" i="2" s="1"/>
  <c r="I2164" i="2"/>
  <c r="J2164" i="2" s="1"/>
  <c r="I2165" i="2"/>
  <c r="J2165" i="2" s="1"/>
  <c r="I2166" i="2"/>
  <c r="J2166" i="2" s="1"/>
  <c r="I2167" i="2"/>
  <c r="J2167" i="2" s="1"/>
  <c r="I2168" i="2"/>
  <c r="J2168" i="2" s="1"/>
  <c r="I2169" i="2"/>
  <c r="J2169" i="2" s="1"/>
  <c r="I2170" i="2"/>
  <c r="J2170" i="2" s="1"/>
  <c r="I2171" i="2"/>
  <c r="J2171" i="2" s="1"/>
  <c r="I2172" i="2"/>
  <c r="J2172" i="2" s="1"/>
  <c r="I2173" i="2"/>
  <c r="J2173" i="2" s="1"/>
  <c r="I2174" i="2"/>
  <c r="J2174" i="2" s="1"/>
  <c r="I2175" i="2"/>
  <c r="J2175" i="2" s="1"/>
  <c r="I2176" i="2"/>
  <c r="J2176" i="2" s="1"/>
  <c r="I2177" i="2"/>
  <c r="J2177" i="2" s="1"/>
  <c r="I2178" i="2"/>
  <c r="J2178" i="2" s="1"/>
  <c r="I2179" i="2"/>
  <c r="J2179" i="2" s="1"/>
  <c r="I2180" i="2"/>
  <c r="J2180" i="2" s="1"/>
  <c r="I2181" i="2"/>
  <c r="J2181" i="2" s="1"/>
  <c r="I2182" i="2"/>
  <c r="J2182" i="2" s="1"/>
  <c r="I2183" i="2"/>
  <c r="J2183" i="2" s="1"/>
  <c r="I2184" i="2"/>
  <c r="J2184" i="2" s="1"/>
  <c r="I2185" i="2"/>
  <c r="J2185" i="2" s="1"/>
  <c r="I2186" i="2"/>
  <c r="J2186" i="2" s="1"/>
  <c r="I2187" i="2"/>
  <c r="J2187" i="2" s="1"/>
  <c r="I2188" i="2"/>
  <c r="J2188" i="2" s="1"/>
  <c r="I2189" i="2"/>
  <c r="J2189" i="2" s="1"/>
  <c r="I2190" i="2"/>
  <c r="J2190" i="2" s="1"/>
  <c r="I2191" i="2"/>
  <c r="J2191" i="2" s="1"/>
  <c r="I2192" i="2"/>
  <c r="J2192" i="2" s="1"/>
  <c r="I2193" i="2"/>
  <c r="J2193" i="2" s="1"/>
  <c r="I2194" i="2"/>
  <c r="J2194" i="2" s="1"/>
  <c r="I2195" i="2"/>
  <c r="J2195" i="2" s="1"/>
  <c r="I2196" i="2"/>
  <c r="J2196" i="2" s="1"/>
  <c r="I2197" i="2"/>
  <c r="J2197" i="2" s="1"/>
  <c r="I2198" i="2"/>
  <c r="J2198" i="2" s="1"/>
  <c r="I2199" i="2"/>
  <c r="J2199" i="2" s="1"/>
  <c r="I2200" i="2"/>
  <c r="J2200" i="2" s="1"/>
  <c r="I2201" i="2"/>
  <c r="J2201" i="2" s="1"/>
  <c r="I2202" i="2"/>
  <c r="J2202" i="2" s="1"/>
  <c r="I2203" i="2"/>
  <c r="J2203" i="2" s="1"/>
  <c r="I2204" i="2"/>
  <c r="J2204" i="2" s="1"/>
  <c r="I2205" i="2"/>
  <c r="J2205" i="2" s="1"/>
  <c r="I2206" i="2"/>
  <c r="J2206" i="2" s="1"/>
  <c r="I2207" i="2"/>
  <c r="J2207" i="2" s="1"/>
  <c r="I2208" i="2"/>
  <c r="J2208" i="2" s="1"/>
  <c r="I2209" i="2"/>
  <c r="J2209" i="2" s="1"/>
  <c r="I2210" i="2"/>
  <c r="J2210" i="2" s="1"/>
  <c r="I2211" i="2"/>
  <c r="J2211" i="2" s="1"/>
  <c r="I2212" i="2"/>
  <c r="J2212" i="2" s="1"/>
  <c r="I2213" i="2"/>
  <c r="J2213" i="2" s="1"/>
  <c r="I2214" i="2"/>
  <c r="J2214" i="2" s="1"/>
  <c r="I2215" i="2"/>
  <c r="J2215" i="2" s="1"/>
  <c r="I2216" i="2"/>
  <c r="J2216" i="2" s="1"/>
  <c r="I2217" i="2"/>
  <c r="J2217" i="2" s="1"/>
  <c r="I2218" i="2"/>
  <c r="J2218" i="2" s="1"/>
  <c r="I2219" i="2"/>
  <c r="J2219" i="2" s="1"/>
  <c r="I2220" i="2"/>
  <c r="J2220" i="2" s="1"/>
  <c r="I2221" i="2"/>
  <c r="J2221" i="2" s="1"/>
  <c r="I2222" i="2"/>
  <c r="J2222" i="2" s="1"/>
  <c r="I2223" i="2"/>
  <c r="J2223" i="2" s="1"/>
  <c r="I2224" i="2"/>
  <c r="J2224" i="2" s="1"/>
  <c r="I2225" i="2"/>
  <c r="J2225" i="2" s="1"/>
  <c r="I2226" i="2"/>
  <c r="J2226" i="2" s="1"/>
  <c r="I2227" i="2"/>
  <c r="J2227" i="2" s="1"/>
  <c r="I2228" i="2"/>
  <c r="J2228" i="2" s="1"/>
  <c r="I2229" i="2"/>
  <c r="J2229" i="2" s="1"/>
  <c r="I2230" i="2"/>
  <c r="J2230" i="2" s="1"/>
  <c r="I2231" i="2"/>
  <c r="J2231" i="2" s="1"/>
  <c r="I2232" i="2"/>
  <c r="J2232" i="2" s="1"/>
  <c r="I2233" i="2"/>
  <c r="J2233" i="2" s="1"/>
  <c r="I2234" i="2"/>
  <c r="J2234" i="2" s="1"/>
  <c r="I2235" i="2"/>
  <c r="J2235" i="2" s="1"/>
  <c r="I2236" i="2"/>
  <c r="J2236" i="2" s="1"/>
  <c r="I2237" i="2"/>
  <c r="J2237" i="2" s="1"/>
  <c r="I2238" i="2"/>
  <c r="J2238" i="2" s="1"/>
  <c r="I2239" i="2"/>
  <c r="J2239" i="2" s="1"/>
  <c r="I2240" i="2"/>
  <c r="J2240" i="2" s="1"/>
  <c r="I2241" i="2"/>
  <c r="J2241" i="2" s="1"/>
  <c r="I2242" i="2"/>
  <c r="J2242" i="2" s="1"/>
  <c r="I2243" i="2"/>
  <c r="J2243" i="2" s="1"/>
  <c r="I2244" i="2"/>
  <c r="J2244" i="2" s="1"/>
  <c r="I2245" i="2"/>
  <c r="J2245" i="2" s="1"/>
  <c r="I2246" i="2"/>
  <c r="J2246" i="2" s="1"/>
  <c r="I2247" i="2"/>
  <c r="J2247" i="2" s="1"/>
  <c r="I2248" i="2"/>
  <c r="J2248" i="2" s="1"/>
  <c r="I2249" i="2"/>
  <c r="J2249" i="2" s="1"/>
  <c r="I2250" i="2"/>
  <c r="J2250" i="2" s="1"/>
  <c r="I2251" i="2"/>
  <c r="J2251" i="2" s="1"/>
  <c r="I2252" i="2"/>
  <c r="J2252" i="2" s="1"/>
  <c r="I2253" i="2"/>
  <c r="J2253" i="2" s="1"/>
  <c r="I2254" i="2"/>
  <c r="J2254" i="2" s="1"/>
  <c r="I2255" i="2"/>
  <c r="J2255" i="2" s="1"/>
  <c r="I2256" i="2"/>
  <c r="J2256" i="2" s="1"/>
  <c r="I2257" i="2"/>
  <c r="J2257" i="2" s="1"/>
  <c r="I2258" i="2"/>
  <c r="J2258" i="2" s="1"/>
  <c r="I2259" i="2"/>
  <c r="J2259" i="2" s="1"/>
  <c r="I2260" i="2"/>
  <c r="J2260" i="2" s="1"/>
  <c r="I2261" i="2"/>
  <c r="J2261" i="2" s="1"/>
  <c r="I2262" i="2"/>
  <c r="J2262" i="2" s="1"/>
  <c r="I2263" i="2"/>
  <c r="J2263" i="2" s="1"/>
  <c r="I2264" i="2"/>
  <c r="J2264" i="2" s="1"/>
  <c r="I2265" i="2"/>
  <c r="J2265" i="2" s="1"/>
  <c r="I2266" i="2"/>
  <c r="J2266" i="2" s="1"/>
  <c r="I2267" i="2"/>
  <c r="J2267" i="2" s="1"/>
  <c r="I2268" i="2"/>
  <c r="J2268" i="2" s="1"/>
  <c r="I2269" i="2"/>
  <c r="J2269" i="2" s="1"/>
  <c r="I2270" i="2"/>
  <c r="J2270" i="2" s="1"/>
  <c r="I2271" i="2"/>
  <c r="J2271" i="2" s="1"/>
  <c r="I2272" i="2"/>
  <c r="J2272" i="2" s="1"/>
  <c r="I2273" i="2"/>
  <c r="J2273" i="2" s="1"/>
  <c r="I2274" i="2"/>
  <c r="J2274" i="2" s="1"/>
  <c r="I2275" i="2"/>
  <c r="J2275" i="2" s="1"/>
  <c r="I2276" i="2"/>
  <c r="J2276" i="2" s="1"/>
  <c r="I2277" i="2"/>
  <c r="J2277" i="2" s="1"/>
  <c r="I2278" i="2"/>
  <c r="J2278" i="2" s="1"/>
  <c r="I2279" i="2"/>
  <c r="J2279" i="2" s="1"/>
  <c r="I2280" i="2"/>
  <c r="J2280" i="2" s="1"/>
  <c r="I2281" i="2"/>
  <c r="J2281" i="2" s="1"/>
  <c r="I2282" i="2"/>
  <c r="J2282" i="2" s="1"/>
  <c r="I2283" i="2"/>
  <c r="J2283" i="2" s="1"/>
  <c r="I2284" i="2"/>
  <c r="J2284" i="2" s="1"/>
  <c r="I2285" i="2"/>
  <c r="J2285" i="2" s="1"/>
  <c r="I2286" i="2"/>
  <c r="J2286" i="2" s="1"/>
  <c r="I2287" i="2"/>
  <c r="J2287" i="2" s="1"/>
  <c r="I2288" i="2"/>
  <c r="J2288" i="2" s="1"/>
  <c r="I2289" i="2"/>
  <c r="J2289" i="2" s="1"/>
  <c r="I2290" i="2"/>
  <c r="J2290" i="2" s="1"/>
  <c r="I2291" i="2"/>
  <c r="J2291" i="2" s="1"/>
  <c r="I2292" i="2"/>
  <c r="J2292" i="2" s="1"/>
  <c r="I2293" i="2"/>
  <c r="J2293" i="2" s="1"/>
  <c r="I2294" i="2"/>
  <c r="J2294" i="2" s="1"/>
  <c r="I2295" i="2"/>
  <c r="J2295" i="2" s="1"/>
  <c r="I2296" i="2"/>
  <c r="J2296" i="2" s="1"/>
  <c r="I2297" i="2"/>
  <c r="J2297" i="2" s="1"/>
  <c r="I2298" i="2"/>
  <c r="J2298" i="2" s="1"/>
  <c r="I2299" i="2"/>
  <c r="J2299" i="2" s="1"/>
  <c r="I2300" i="2"/>
  <c r="J2300" i="2" s="1"/>
  <c r="I2301" i="2"/>
  <c r="J2301" i="2" s="1"/>
  <c r="I2302" i="2"/>
  <c r="J2302" i="2" s="1"/>
  <c r="I2303" i="2"/>
  <c r="J2303" i="2" s="1"/>
  <c r="I2304" i="2"/>
  <c r="J2304" i="2" s="1"/>
  <c r="I2305" i="2"/>
  <c r="J2305" i="2" s="1"/>
  <c r="I2306" i="2"/>
  <c r="J2306" i="2" s="1"/>
  <c r="I2307" i="2"/>
  <c r="J2307" i="2" s="1"/>
  <c r="I2308" i="2"/>
  <c r="J2308" i="2" s="1"/>
  <c r="I2309" i="2"/>
  <c r="J2309" i="2" s="1"/>
  <c r="I2310" i="2"/>
  <c r="J2310" i="2" s="1"/>
  <c r="I2311" i="2"/>
  <c r="J2311" i="2" s="1"/>
  <c r="I2312" i="2"/>
  <c r="J2312" i="2" s="1"/>
  <c r="I2313" i="2"/>
  <c r="J2313" i="2" s="1"/>
  <c r="I2314" i="2"/>
  <c r="J2314" i="2" s="1"/>
  <c r="I2315" i="2"/>
  <c r="J2315" i="2" s="1"/>
  <c r="I2316" i="2"/>
  <c r="J2316" i="2" s="1"/>
  <c r="I2317" i="2"/>
  <c r="J2317" i="2" s="1"/>
  <c r="I2318" i="2"/>
  <c r="J2318" i="2" s="1"/>
  <c r="I2319" i="2"/>
  <c r="J2319" i="2" s="1"/>
  <c r="I2320" i="2"/>
  <c r="J2320" i="2" s="1"/>
  <c r="I2321" i="2"/>
  <c r="J2321" i="2" s="1"/>
  <c r="I2322" i="2"/>
  <c r="J2322" i="2" s="1"/>
  <c r="I2323" i="2"/>
  <c r="J2323" i="2" s="1"/>
  <c r="I2324" i="2"/>
  <c r="J2324" i="2" s="1"/>
  <c r="I2325" i="2"/>
  <c r="J2325" i="2" s="1"/>
  <c r="I2326" i="2"/>
  <c r="J2326" i="2" s="1"/>
  <c r="I2327" i="2"/>
  <c r="J2327" i="2" s="1"/>
  <c r="I2328" i="2"/>
  <c r="J2328" i="2" s="1"/>
  <c r="I2329" i="2"/>
  <c r="J2329" i="2" s="1"/>
  <c r="I2330" i="2"/>
  <c r="J2330" i="2" s="1"/>
  <c r="I2331" i="2"/>
  <c r="J2331" i="2" s="1"/>
  <c r="I2332" i="2"/>
  <c r="J2332" i="2" s="1"/>
  <c r="I2333" i="2"/>
  <c r="J2333" i="2" s="1"/>
  <c r="I2334" i="2"/>
  <c r="J2334" i="2" s="1"/>
  <c r="I2335" i="2"/>
  <c r="J2335" i="2" s="1"/>
  <c r="I2336" i="2"/>
  <c r="J2336" i="2" s="1"/>
  <c r="I2337" i="2"/>
  <c r="J2337" i="2" s="1"/>
  <c r="I2338" i="2"/>
  <c r="J2338" i="2" s="1"/>
  <c r="I2339" i="2"/>
  <c r="J2339" i="2" s="1"/>
  <c r="I2340" i="2"/>
  <c r="J2340" i="2" s="1"/>
  <c r="I2341" i="2"/>
  <c r="J2341" i="2" s="1"/>
  <c r="I2342" i="2"/>
  <c r="J2342" i="2" s="1"/>
  <c r="I2343" i="2"/>
  <c r="J2343" i="2" s="1"/>
  <c r="I2344" i="2"/>
  <c r="J2344" i="2" s="1"/>
  <c r="I2345" i="2"/>
  <c r="J2345" i="2" s="1"/>
  <c r="I2346" i="2"/>
  <c r="J2346" i="2" s="1"/>
  <c r="I2347" i="2"/>
  <c r="J2347" i="2" s="1"/>
  <c r="I2348" i="2"/>
  <c r="J2348" i="2" s="1"/>
  <c r="I2349" i="2"/>
  <c r="J2349" i="2" s="1"/>
  <c r="I2350" i="2"/>
  <c r="J2350" i="2" s="1"/>
  <c r="I2351" i="2"/>
  <c r="J2351" i="2" s="1"/>
  <c r="I2352" i="2"/>
  <c r="J2352" i="2" s="1"/>
  <c r="I2353" i="2"/>
  <c r="J2353" i="2" s="1"/>
  <c r="I2354" i="2"/>
  <c r="J2354" i="2" s="1"/>
  <c r="I2355" i="2"/>
  <c r="J2355" i="2" s="1"/>
  <c r="I2356" i="2"/>
  <c r="J2356" i="2" s="1"/>
  <c r="I2357" i="2"/>
  <c r="J2357" i="2" s="1"/>
  <c r="I2358" i="2"/>
  <c r="J2358" i="2" s="1"/>
  <c r="I2359" i="2"/>
  <c r="J2359" i="2" s="1"/>
  <c r="I2360" i="2"/>
  <c r="J2360" i="2" s="1"/>
  <c r="I2361" i="2"/>
  <c r="J2361" i="2" s="1"/>
  <c r="I2362" i="2"/>
  <c r="J2362" i="2" s="1"/>
  <c r="I2363" i="2"/>
  <c r="J2363" i="2" s="1"/>
  <c r="I2364" i="2"/>
  <c r="J2364" i="2" s="1"/>
  <c r="I2365" i="2"/>
  <c r="J2365" i="2" s="1"/>
  <c r="I2366" i="2"/>
  <c r="J2366" i="2" s="1"/>
  <c r="I2367" i="2"/>
  <c r="J2367" i="2" s="1"/>
  <c r="I2368" i="2"/>
  <c r="J2368" i="2" s="1"/>
  <c r="I2369" i="2"/>
  <c r="J2369" i="2" s="1"/>
  <c r="I2370" i="2"/>
  <c r="J2370" i="2" s="1"/>
  <c r="I2371" i="2"/>
  <c r="J2371" i="2" s="1"/>
  <c r="I2372" i="2"/>
  <c r="J2372" i="2" s="1"/>
  <c r="I2373" i="2"/>
  <c r="J2373" i="2" s="1"/>
  <c r="I2374" i="2"/>
  <c r="J2374" i="2" s="1"/>
  <c r="I2375" i="2"/>
  <c r="J2375" i="2" s="1"/>
  <c r="I2376" i="2"/>
  <c r="J2376" i="2" s="1"/>
  <c r="I2377" i="2"/>
  <c r="J2377" i="2" s="1"/>
  <c r="I2378" i="2"/>
  <c r="J2378" i="2" s="1"/>
  <c r="I2379" i="2"/>
  <c r="J2379" i="2" s="1"/>
  <c r="I2380" i="2"/>
  <c r="J2380" i="2" s="1"/>
  <c r="I2381" i="2"/>
  <c r="J2381" i="2" s="1"/>
  <c r="I2382" i="2"/>
  <c r="J2382" i="2" s="1"/>
  <c r="I2383" i="2"/>
  <c r="J2383" i="2" s="1"/>
  <c r="I2384" i="2"/>
  <c r="J2384" i="2" s="1"/>
  <c r="I2385" i="2"/>
  <c r="J2385" i="2" s="1"/>
  <c r="I2386" i="2"/>
  <c r="J2386" i="2" s="1"/>
  <c r="I2387" i="2"/>
  <c r="J2387" i="2" s="1"/>
  <c r="I2388" i="2"/>
  <c r="J2388" i="2" s="1"/>
  <c r="I2389" i="2"/>
  <c r="J2389" i="2" s="1"/>
  <c r="I2390" i="2"/>
  <c r="J2390" i="2" s="1"/>
  <c r="I2391" i="2"/>
  <c r="J2391" i="2" s="1"/>
  <c r="I2392" i="2"/>
  <c r="J2392" i="2" s="1"/>
  <c r="I2393" i="2"/>
  <c r="J2393" i="2" s="1"/>
  <c r="I2394" i="2"/>
  <c r="J2394" i="2" s="1"/>
  <c r="I2395" i="2"/>
  <c r="J2395" i="2" s="1"/>
  <c r="I2396" i="2"/>
  <c r="J2396" i="2" s="1"/>
  <c r="I2397" i="2"/>
  <c r="J2397" i="2" s="1"/>
  <c r="I2398" i="2"/>
  <c r="J2398" i="2" s="1"/>
  <c r="I2399" i="2"/>
  <c r="J2399" i="2" s="1"/>
  <c r="I2400" i="2"/>
  <c r="J2400" i="2" s="1"/>
  <c r="I2401" i="2"/>
  <c r="J2401" i="2" s="1"/>
  <c r="I2402" i="2"/>
  <c r="J2402" i="2" s="1"/>
  <c r="I2403" i="2"/>
  <c r="J2403" i="2" s="1"/>
  <c r="I2404" i="2"/>
  <c r="J2404" i="2" s="1"/>
  <c r="I2405" i="2"/>
  <c r="J2405" i="2" s="1"/>
  <c r="I2406" i="2"/>
  <c r="J2406" i="2" s="1"/>
  <c r="I2407" i="2"/>
  <c r="J2407" i="2" s="1"/>
  <c r="I2408" i="2"/>
  <c r="J2408" i="2" s="1"/>
  <c r="I2409" i="2"/>
  <c r="J2409" i="2" s="1"/>
  <c r="I2410" i="2"/>
  <c r="J2410" i="2" s="1"/>
  <c r="I2411" i="2"/>
  <c r="J2411" i="2" s="1"/>
  <c r="I2412" i="2"/>
  <c r="J2412" i="2" s="1"/>
  <c r="I2413" i="2"/>
  <c r="J2413" i="2" s="1"/>
  <c r="I2414" i="2"/>
  <c r="J2414" i="2" s="1"/>
  <c r="I2415" i="2"/>
  <c r="J2415" i="2" s="1"/>
  <c r="I2416" i="2"/>
  <c r="J2416" i="2" s="1"/>
  <c r="I2417" i="2"/>
  <c r="J2417" i="2" s="1"/>
  <c r="I2418" i="2"/>
  <c r="J2418" i="2" s="1"/>
  <c r="I2419" i="2"/>
  <c r="J2419" i="2" s="1"/>
  <c r="I2420" i="2"/>
  <c r="J2420" i="2" s="1"/>
  <c r="I2421" i="2"/>
  <c r="J2421" i="2" s="1"/>
  <c r="I2422" i="2"/>
  <c r="J2422" i="2" s="1"/>
  <c r="I2423" i="2"/>
  <c r="J2423" i="2" s="1"/>
  <c r="I2424" i="2"/>
  <c r="J2424" i="2" s="1"/>
  <c r="I2425" i="2"/>
  <c r="J2425" i="2" s="1"/>
  <c r="I2426" i="2"/>
  <c r="J2426" i="2" s="1"/>
  <c r="I2427" i="2"/>
  <c r="J2427" i="2" s="1"/>
  <c r="I2428" i="2"/>
  <c r="J2428" i="2" s="1"/>
  <c r="I2429" i="2"/>
  <c r="J2429" i="2" s="1"/>
  <c r="I2430" i="2"/>
  <c r="J2430" i="2" s="1"/>
  <c r="I2431" i="2"/>
  <c r="J2431" i="2" s="1"/>
  <c r="I2432" i="2"/>
  <c r="J2432" i="2" s="1"/>
  <c r="I2433" i="2"/>
  <c r="J2433" i="2" s="1"/>
  <c r="I2434" i="2"/>
  <c r="J2434" i="2" s="1"/>
  <c r="I2435" i="2"/>
  <c r="J2435" i="2" s="1"/>
  <c r="I2436" i="2"/>
  <c r="J2436" i="2" s="1"/>
  <c r="I2437" i="2"/>
  <c r="J2437" i="2" s="1"/>
  <c r="I2438" i="2"/>
  <c r="J2438" i="2" s="1"/>
  <c r="I2439" i="2"/>
  <c r="J2439" i="2" s="1"/>
  <c r="I2440" i="2"/>
  <c r="J2440" i="2" s="1"/>
  <c r="I2441" i="2"/>
  <c r="J2441" i="2" s="1"/>
  <c r="I2442" i="2"/>
  <c r="J2442" i="2" s="1"/>
  <c r="I2443" i="2"/>
  <c r="J2443" i="2" s="1"/>
  <c r="I2444" i="2"/>
  <c r="J2444" i="2" s="1"/>
  <c r="I2445" i="2"/>
  <c r="J2445" i="2" s="1"/>
  <c r="I2446" i="2"/>
  <c r="J2446" i="2" s="1"/>
  <c r="I2447" i="2"/>
  <c r="J2447" i="2" s="1"/>
  <c r="I2448" i="2"/>
  <c r="J2448" i="2" s="1"/>
  <c r="I2449" i="2"/>
  <c r="J2449" i="2" s="1"/>
  <c r="I2450" i="2"/>
  <c r="J2450" i="2" s="1"/>
  <c r="I2451" i="2"/>
  <c r="J2451" i="2" s="1"/>
  <c r="I2452" i="2"/>
  <c r="J2452" i="2" s="1"/>
  <c r="I2453" i="2"/>
  <c r="J2453" i="2" s="1"/>
  <c r="I2454" i="2"/>
  <c r="J2454" i="2" s="1"/>
  <c r="I2455" i="2"/>
  <c r="J2455" i="2" s="1"/>
  <c r="I2456" i="2"/>
  <c r="J2456" i="2" s="1"/>
  <c r="I2457" i="2"/>
  <c r="J2457" i="2" s="1"/>
  <c r="I2458" i="2"/>
  <c r="J2458" i="2" s="1"/>
  <c r="I2459" i="2"/>
  <c r="J2459" i="2" s="1"/>
  <c r="I2460" i="2"/>
  <c r="J2460" i="2" s="1"/>
  <c r="I2461" i="2"/>
  <c r="J2461" i="2" s="1"/>
  <c r="I2462" i="2"/>
  <c r="J2462" i="2" s="1"/>
  <c r="I2463" i="2"/>
  <c r="J2463" i="2" s="1"/>
  <c r="I2464" i="2"/>
  <c r="J2464" i="2" s="1"/>
  <c r="I2465" i="2"/>
  <c r="J2465" i="2" s="1"/>
  <c r="I2466" i="2"/>
  <c r="J2466" i="2" s="1"/>
  <c r="I2467" i="2"/>
  <c r="J2467" i="2" s="1"/>
  <c r="I2468" i="2"/>
  <c r="J2468" i="2" s="1"/>
  <c r="I2469" i="2"/>
  <c r="J2469" i="2" s="1"/>
  <c r="I2470" i="2"/>
  <c r="J2470" i="2" s="1"/>
  <c r="I2471" i="2"/>
  <c r="J2471" i="2" s="1"/>
  <c r="I2472" i="2"/>
  <c r="J2472" i="2" s="1"/>
  <c r="I2473" i="2"/>
  <c r="J2473" i="2" s="1"/>
  <c r="I2474" i="2"/>
  <c r="J2474" i="2" s="1"/>
  <c r="I2475" i="2"/>
  <c r="J2475" i="2" s="1"/>
  <c r="I2476" i="2"/>
  <c r="J2476" i="2" s="1"/>
  <c r="I2477" i="2"/>
  <c r="J2477" i="2" s="1"/>
  <c r="I2478" i="2"/>
  <c r="J2478" i="2" s="1"/>
  <c r="I2479" i="2"/>
  <c r="J2479" i="2" s="1"/>
  <c r="I2480" i="2"/>
  <c r="J2480" i="2" s="1"/>
  <c r="I2481" i="2"/>
  <c r="J2481" i="2" s="1"/>
  <c r="I2482" i="2"/>
  <c r="J2482" i="2" s="1"/>
  <c r="I2483" i="2"/>
  <c r="J2483" i="2" s="1"/>
  <c r="I2484" i="2"/>
  <c r="J2484" i="2" s="1"/>
  <c r="I2485" i="2"/>
  <c r="J2485" i="2" s="1"/>
  <c r="I2486" i="2"/>
  <c r="J2486" i="2" s="1"/>
  <c r="I2487" i="2"/>
  <c r="J2487" i="2" s="1"/>
  <c r="I2488" i="2"/>
  <c r="J2488" i="2" s="1"/>
  <c r="I2489" i="2"/>
  <c r="J2489" i="2" s="1"/>
  <c r="I2490" i="2"/>
  <c r="J2490" i="2" s="1"/>
  <c r="I2491" i="2"/>
  <c r="J2491" i="2" s="1"/>
  <c r="I2492" i="2"/>
  <c r="J2492" i="2" s="1"/>
  <c r="I2493" i="2"/>
  <c r="J2493" i="2" s="1"/>
  <c r="I2494" i="2"/>
  <c r="J2494" i="2" s="1"/>
  <c r="I2495" i="2"/>
  <c r="J2495" i="2" s="1"/>
  <c r="I2496" i="2"/>
  <c r="J2496" i="2" s="1"/>
  <c r="I2497" i="2"/>
  <c r="J2497" i="2" s="1"/>
  <c r="I2498" i="2"/>
  <c r="J2498" i="2" s="1"/>
  <c r="I2499" i="2"/>
  <c r="J2499" i="2" s="1"/>
  <c r="I2500" i="2"/>
  <c r="J2500" i="2" s="1"/>
  <c r="I2501" i="2"/>
  <c r="J2501" i="2" s="1"/>
  <c r="I2502" i="2"/>
  <c r="J2502" i="2" s="1"/>
  <c r="I2503" i="2"/>
  <c r="J2503" i="2" s="1"/>
  <c r="I2504" i="2"/>
  <c r="J2504" i="2" s="1"/>
  <c r="I2505" i="2"/>
  <c r="J2505" i="2" s="1"/>
  <c r="I2506" i="2"/>
  <c r="J2506" i="2" s="1"/>
  <c r="I2507" i="2"/>
  <c r="J2507" i="2" s="1"/>
  <c r="I2508" i="2"/>
  <c r="J2508" i="2" s="1"/>
  <c r="I2509" i="2"/>
  <c r="J2509" i="2" s="1"/>
  <c r="I2510" i="2"/>
  <c r="J2510" i="2" s="1"/>
  <c r="I2511" i="2"/>
  <c r="J2511" i="2" s="1"/>
  <c r="I2512" i="2"/>
  <c r="J2512" i="2" s="1"/>
  <c r="I2513" i="2"/>
  <c r="J2513" i="2" s="1"/>
  <c r="I2514" i="2"/>
  <c r="J2514" i="2" s="1"/>
  <c r="I2515" i="2"/>
  <c r="J2515" i="2" s="1"/>
  <c r="I2516" i="2"/>
  <c r="J2516" i="2" s="1"/>
  <c r="I2517" i="2"/>
  <c r="J2517" i="2" s="1"/>
  <c r="I2518" i="2"/>
  <c r="J2518" i="2" s="1"/>
  <c r="I2519" i="2"/>
  <c r="J2519" i="2" s="1"/>
  <c r="I2520" i="2"/>
  <c r="J2520" i="2" s="1"/>
  <c r="I2521" i="2"/>
  <c r="J2521" i="2" s="1"/>
  <c r="I2522" i="2"/>
  <c r="J2522" i="2" s="1"/>
  <c r="I2523" i="2"/>
  <c r="J2523" i="2" s="1"/>
  <c r="I2524" i="2"/>
  <c r="J2524" i="2" s="1"/>
  <c r="I2525" i="2"/>
  <c r="J2525" i="2" s="1"/>
  <c r="I2526" i="2"/>
  <c r="J2526" i="2" s="1"/>
  <c r="I2527" i="2"/>
  <c r="J2527" i="2" s="1"/>
  <c r="I2528" i="2"/>
  <c r="J2528" i="2" s="1"/>
  <c r="I2529" i="2"/>
  <c r="J2529" i="2" s="1"/>
  <c r="I2530" i="2"/>
  <c r="J2530" i="2" s="1"/>
  <c r="I2531" i="2"/>
  <c r="J2531" i="2" s="1"/>
  <c r="I2532" i="2"/>
  <c r="J2532" i="2" s="1"/>
  <c r="I2533" i="2"/>
  <c r="J2533" i="2" s="1"/>
  <c r="I2534" i="2"/>
  <c r="J2534" i="2" s="1"/>
  <c r="I2535" i="2"/>
  <c r="J2535" i="2" s="1"/>
  <c r="I2536" i="2"/>
  <c r="J2536" i="2" s="1"/>
  <c r="I2537" i="2"/>
  <c r="J2537" i="2" s="1"/>
  <c r="I2538" i="2"/>
  <c r="J2538" i="2" s="1"/>
  <c r="I2539" i="2"/>
  <c r="J2539" i="2" s="1"/>
  <c r="I2540" i="2"/>
  <c r="J2540" i="2" s="1"/>
  <c r="I2541" i="2"/>
  <c r="J2541" i="2" s="1"/>
  <c r="I2542" i="2"/>
  <c r="J2542" i="2" s="1"/>
  <c r="I2543" i="2"/>
  <c r="J2543" i="2" s="1"/>
  <c r="I2544" i="2"/>
  <c r="J2544" i="2" s="1"/>
  <c r="I2545" i="2"/>
  <c r="J2545" i="2" s="1"/>
  <c r="I2546" i="2"/>
  <c r="J2546" i="2" s="1"/>
  <c r="I2547" i="2"/>
  <c r="J2547" i="2" s="1"/>
  <c r="I2548" i="2"/>
  <c r="J2548" i="2" s="1"/>
  <c r="I2549" i="2"/>
  <c r="J2549" i="2" s="1"/>
  <c r="I2550" i="2"/>
  <c r="J2550" i="2" s="1"/>
  <c r="I2551" i="2"/>
  <c r="J2551" i="2" s="1"/>
  <c r="I2552" i="2"/>
  <c r="J2552" i="2" s="1"/>
  <c r="I2553" i="2"/>
  <c r="J2553" i="2" s="1"/>
  <c r="I2554" i="2"/>
  <c r="J2554" i="2" s="1"/>
  <c r="I2555" i="2"/>
  <c r="J2555" i="2" s="1"/>
  <c r="I2556" i="2"/>
  <c r="J2556" i="2" s="1"/>
  <c r="I2557" i="2"/>
  <c r="J2557" i="2" s="1"/>
  <c r="I2558" i="2"/>
  <c r="J2558" i="2" s="1"/>
  <c r="I2559" i="2"/>
  <c r="J2559" i="2" s="1"/>
  <c r="I2560" i="2"/>
  <c r="J2560" i="2" s="1"/>
  <c r="I2561" i="2"/>
  <c r="J2561" i="2" s="1"/>
  <c r="I2562" i="2"/>
  <c r="J2562" i="2" s="1"/>
  <c r="I2563" i="2"/>
  <c r="J2563" i="2" s="1"/>
  <c r="I2564" i="2"/>
  <c r="J2564" i="2" s="1"/>
  <c r="I2565" i="2"/>
  <c r="J2565" i="2" s="1"/>
  <c r="I2566" i="2"/>
  <c r="J2566" i="2" s="1"/>
  <c r="I2567" i="2"/>
  <c r="J2567" i="2" s="1"/>
  <c r="I2568" i="2"/>
  <c r="J2568" i="2" s="1"/>
  <c r="I2569" i="2"/>
  <c r="J2569" i="2" s="1"/>
  <c r="I2570" i="2"/>
  <c r="J2570" i="2" s="1"/>
  <c r="I2571" i="2"/>
  <c r="J2571" i="2" s="1"/>
  <c r="I2572" i="2"/>
  <c r="J2572" i="2" s="1"/>
  <c r="I2573" i="2"/>
  <c r="J2573" i="2" s="1"/>
  <c r="I2574" i="2"/>
  <c r="J2574" i="2" s="1"/>
  <c r="I2575" i="2"/>
  <c r="J2575" i="2" s="1"/>
  <c r="I2576" i="2"/>
  <c r="J2576" i="2" s="1"/>
  <c r="I2577" i="2"/>
  <c r="J2577" i="2" s="1"/>
  <c r="I2578" i="2"/>
  <c r="J2578" i="2" s="1"/>
  <c r="I2579" i="2"/>
  <c r="J2579" i="2" s="1"/>
  <c r="I2580" i="2"/>
  <c r="J2580" i="2" s="1"/>
  <c r="I2581" i="2"/>
  <c r="J2581" i="2" s="1"/>
  <c r="I2582" i="2"/>
  <c r="J2582" i="2" s="1"/>
  <c r="I2583" i="2"/>
  <c r="J2583" i="2" s="1"/>
  <c r="I2584" i="2"/>
  <c r="J2584" i="2" s="1"/>
  <c r="I2585" i="2"/>
  <c r="J2585" i="2" s="1"/>
  <c r="I2586" i="2"/>
  <c r="J2586" i="2" s="1"/>
  <c r="I2587" i="2"/>
  <c r="J2587" i="2" s="1"/>
  <c r="I2588" i="2"/>
  <c r="J2588" i="2" s="1"/>
  <c r="I2589" i="2"/>
  <c r="J2589" i="2" s="1"/>
  <c r="I2590" i="2"/>
  <c r="J2590" i="2" s="1"/>
  <c r="I2591" i="2"/>
  <c r="J2591" i="2" s="1"/>
  <c r="I2592" i="2"/>
  <c r="J2592" i="2" s="1"/>
  <c r="I2593" i="2"/>
  <c r="J2593" i="2" s="1"/>
  <c r="I2594" i="2"/>
  <c r="J2594" i="2" s="1"/>
  <c r="I2595" i="2"/>
  <c r="J2595" i="2" s="1"/>
  <c r="I2596" i="2"/>
  <c r="J2596" i="2" s="1"/>
  <c r="I2597" i="2"/>
  <c r="J2597" i="2" s="1"/>
  <c r="I2598" i="2"/>
  <c r="J2598" i="2" s="1"/>
  <c r="I2599" i="2"/>
  <c r="J2599" i="2" s="1"/>
  <c r="I2600" i="2"/>
  <c r="J2600" i="2" s="1"/>
  <c r="I2601" i="2"/>
  <c r="J2601" i="2" s="1"/>
  <c r="I2602" i="2"/>
  <c r="J2602" i="2" s="1"/>
  <c r="I2603" i="2"/>
  <c r="J2603" i="2" s="1"/>
  <c r="I2604" i="2"/>
  <c r="J2604" i="2" s="1"/>
  <c r="I2605" i="2"/>
  <c r="J2605" i="2" s="1"/>
  <c r="I2606" i="2"/>
  <c r="J2606" i="2" s="1"/>
  <c r="I2607" i="2"/>
  <c r="J2607" i="2" s="1"/>
  <c r="I2608" i="2"/>
  <c r="J2608" i="2" s="1"/>
  <c r="I2609" i="2"/>
  <c r="J2609" i="2" s="1"/>
  <c r="I2610" i="2"/>
  <c r="J2610" i="2" s="1"/>
  <c r="I2611" i="2"/>
  <c r="J2611" i="2" s="1"/>
  <c r="I2612" i="2"/>
  <c r="J2612" i="2" s="1"/>
  <c r="I2613" i="2"/>
  <c r="J2613" i="2" s="1"/>
  <c r="I2614" i="2"/>
  <c r="J2614" i="2" s="1"/>
  <c r="I2615" i="2"/>
  <c r="J2615" i="2" s="1"/>
  <c r="I2616" i="2"/>
  <c r="J2616" i="2" s="1"/>
  <c r="I2617" i="2"/>
  <c r="J2617" i="2" s="1"/>
  <c r="I2618" i="2"/>
  <c r="J2618" i="2" s="1"/>
  <c r="I2619" i="2"/>
  <c r="J2619" i="2" s="1"/>
  <c r="I2620" i="2"/>
  <c r="J2620" i="2" s="1"/>
  <c r="I2621" i="2"/>
  <c r="J2621" i="2" s="1"/>
  <c r="I2622" i="2"/>
  <c r="J2622" i="2" s="1"/>
  <c r="I2623" i="2"/>
  <c r="J2623" i="2" s="1"/>
  <c r="I2624" i="2"/>
  <c r="J2624" i="2" s="1"/>
  <c r="I2625" i="2"/>
  <c r="J2625" i="2" s="1"/>
  <c r="I2626" i="2"/>
  <c r="J2626" i="2" s="1"/>
  <c r="I2627" i="2"/>
  <c r="J2627" i="2" s="1"/>
  <c r="I2628" i="2"/>
  <c r="J2628" i="2" s="1"/>
  <c r="I2629" i="2"/>
  <c r="J2629" i="2" s="1"/>
  <c r="I2630" i="2"/>
  <c r="J2630" i="2" s="1"/>
  <c r="I2631" i="2"/>
  <c r="J2631" i="2" s="1"/>
  <c r="I2632" i="2"/>
  <c r="J2632" i="2" s="1"/>
  <c r="I2633" i="2"/>
  <c r="J2633" i="2" s="1"/>
  <c r="I2634" i="2"/>
  <c r="J2634" i="2" s="1"/>
  <c r="I2635" i="2"/>
  <c r="J2635" i="2" s="1"/>
  <c r="I2636" i="2"/>
  <c r="J2636" i="2" s="1"/>
  <c r="I2637" i="2"/>
  <c r="J2637" i="2" s="1"/>
  <c r="I2638" i="2"/>
  <c r="J2638" i="2" s="1"/>
  <c r="I2639" i="2"/>
  <c r="J2639" i="2" s="1"/>
  <c r="I2640" i="2"/>
  <c r="J2640" i="2" s="1"/>
  <c r="I2641" i="2"/>
  <c r="J2641" i="2" s="1"/>
  <c r="I2642" i="2"/>
  <c r="J2642" i="2" s="1"/>
  <c r="I2643" i="2"/>
  <c r="J2643" i="2" s="1"/>
  <c r="I2644" i="2"/>
  <c r="J2644" i="2" s="1"/>
  <c r="I2645" i="2"/>
  <c r="J2645" i="2" s="1"/>
  <c r="I2646" i="2"/>
  <c r="J2646" i="2" s="1"/>
  <c r="I2647" i="2"/>
  <c r="J2647" i="2" s="1"/>
  <c r="I2648" i="2"/>
  <c r="J2648" i="2" s="1"/>
  <c r="I2649" i="2"/>
  <c r="J2649" i="2" s="1"/>
  <c r="I2650" i="2"/>
  <c r="J2650" i="2" s="1"/>
  <c r="I2651" i="2"/>
  <c r="J2651" i="2" s="1"/>
  <c r="I2652" i="2"/>
  <c r="J2652" i="2" s="1"/>
  <c r="I2653" i="2"/>
  <c r="J2653" i="2" s="1"/>
  <c r="I2654" i="2"/>
  <c r="J2654" i="2" s="1"/>
  <c r="I2655" i="2"/>
  <c r="J2655" i="2" s="1"/>
  <c r="I2656" i="2"/>
  <c r="J2656" i="2" s="1"/>
  <c r="I2657" i="2"/>
  <c r="J2657" i="2" s="1"/>
  <c r="I2658" i="2"/>
  <c r="J2658" i="2" s="1"/>
  <c r="I2659" i="2"/>
  <c r="J2659" i="2" s="1"/>
  <c r="I2660" i="2"/>
  <c r="J2660" i="2" s="1"/>
  <c r="I2661" i="2"/>
  <c r="J2661" i="2" s="1"/>
  <c r="I2662" i="2"/>
  <c r="J2662" i="2" s="1"/>
  <c r="I2663" i="2"/>
  <c r="J2663" i="2" s="1"/>
  <c r="I2664" i="2"/>
  <c r="J2664" i="2" s="1"/>
  <c r="I2665" i="2"/>
  <c r="J2665" i="2" s="1"/>
  <c r="I2666" i="2"/>
  <c r="J2666" i="2" s="1"/>
  <c r="I2667" i="2"/>
  <c r="J2667" i="2" s="1"/>
  <c r="I2668" i="2"/>
  <c r="J2668" i="2" s="1"/>
  <c r="I2669" i="2"/>
  <c r="J2669" i="2" s="1"/>
  <c r="I2670" i="2"/>
  <c r="J2670" i="2" s="1"/>
  <c r="I2671" i="2"/>
  <c r="J2671" i="2" s="1"/>
  <c r="I2672" i="2"/>
  <c r="J2672" i="2" s="1"/>
  <c r="I2673" i="2"/>
  <c r="J2673" i="2" s="1"/>
  <c r="I2674" i="2"/>
  <c r="J2674" i="2" s="1"/>
  <c r="I2675" i="2"/>
  <c r="J2675" i="2" s="1"/>
  <c r="I2676" i="2"/>
  <c r="J2676" i="2" s="1"/>
  <c r="I2677" i="2"/>
  <c r="J2677" i="2" s="1"/>
  <c r="I2678" i="2"/>
  <c r="J2678" i="2" s="1"/>
  <c r="I2679" i="2"/>
  <c r="J2679" i="2" s="1"/>
  <c r="I2680" i="2"/>
  <c r="J2680" i="2" s="1"/>
  <c r="I2681" i="2"/>
  <c r="J2681" i="2" s="1"/>
  <c r="I2682" i="2"/>
  <c r="J2682" i="2" s="1"/>
  <c r="I2683" i="2"/>
  <c r="J2683" i="2" s="1"/>
  <c r="I2684" i="2"/>
  <c r="J2684" i="2" s="1"/>
  <c r="I2685" i="2"/>
  <c r="J2685" i="2" s="1"/>
  <c r="I2686" i="2"/>
  <c r="J2686" i="2" s="1"/>
  <c r="I2687" i="2"/>
  <c r="J2687" i="2" s="1"/>
  <c r="I2688" i="2"/>
  <c r="J2688" i="2" s="1"/>
  <c r="I2689" i="2"/>
  <c r="J2689" i="2" s="1"/>
  <c r="I2690" i="2"/>
  <c r="J2690" i="2" s="1"/>
  <c r="I2691" i="2"/>
  <c r="J2691" i="2" s="1"/>
  <c r="I2692" i="2"/>
  <c r="J2692" i="2" s="1"/>
  <c r="I2693" i="2"/>
  <c r="J2693" i="2" s="1"/>
  <c r="I2694" i="2"/>
  <c r="J2694" i="2" s="1"/>
  <c r="I2695" i="2"/>
  <c r="J2695" i="2" s="1"/>
  <c r="I2696" i="2"/>
  <c r="J2696" i="2" s="1"/>
  <c r="I2697" i="2"/>
  <c r="J2697" i="2" s="1"/>
  <c r="I2698" i="2"/>
  <c r="J2698" i="2" s="1"/>
  <c r="I2699" i="2"/>
  <c r="J2699" i="2" s="1"/>
  <c r="I2700" i="2"/>
  <c r="J2700" i="2" s="1"/>
  <c r="I2701" i="2"/>
  <c r="J2701" i="2" s="1"/>
  <c r="I2702" i="2"/>
  <c r="J2702" i="2" s="1"/>
  <c r="I2703" i="2"/>
  <c r="J2703" i="2" s="1"/>
  <c r="I2704" i="2"/>
  <c r="J2704" i="2" s="1"/>
  <c r="I2705" i="2"/>
  <c r="J2705" i="2" s="1"/>
  <c r="I2706" i="2"/>
  <c r="J2706" i="2" s="1"/>
  <c r="I2707" i="2"/>
  <c r="J2707" i="2" s="1"/>
  <c r="I2708" i="2"/>
  <c r="J2708" i="2" s="1"/>
  <c r="I2709" i="2"/>
  <c r="J2709" i="2" s="1"/>
  <c r="I2710" i="2"/>
  <c r="J2710" i="2" s="1"/>
  <c r="I2711" i="2"/>
  <c r="J2711" i="2" s="1"/>
  <c r="I2712" i="2"/>
  <c r="J2712" i="2" s="1"/>
  <c r="I2713" i="2"/>
  <c r="J2713" i="2" s="1"/>
  <c r="I2714" i="2"/>
  <c r="J2714" i="2" s="1"/>
  <c r="I2715" i="2"/>
  <c r="J2715" i="2" s="1"/>
  <c r="I2716" i="2"/>
  <c r="J2716" i="2" s="1"/>
  <c r="I2717" i="2"/>
  <c r="J2717" i="2" s="1"/>
  <c r="I2718" i="2"/>
  <c r="J2718" i="2" s="1"/>
  <c r="I2719" i="2"/>
  <c r="J2719" i="2" s="1"/>
  <c r="I2720" i="2"/>
  <c r="J2720" i="2" s="1"/>
  <c r="I2721" i="2"/>
  <c r="J2721" i="2" s="1"/>
  <c r="I2722" i="2"/>
  <c r="J2722" i="2" s="1"/>
  <c r="I2723" i="2"/>
  <c r="J2723" i="2" s="1"/>
  <c r="I2724" i="2"/>
  <c r="J2724" i="2" s="1"/>
  <c r="I2725" i="2"/>
  <c r="J2725" i="2" s="1"/>
  <c r="I2726" i="2"/>
  <c r="J2726" i="2" s="1"/>
  <c r="I2727" i="2"/>
  <c r="J2727" i="2" s="1"/>
  <c r="I2728" i="2"/>
  <c r="J2728" i="2" s="1"/>
  <c r="I2729" i="2"/>
  <c r="J2729" i="2" s="1"/>
  <c r="I2730" i="2"/>
  <c r="J2730" i="2" s="1"/>
  <c r="I2731" i="2"/>
  <c r="J2731" i="2" s="1"/>
  <c r="I2732" i="2"/>
  <c r="J2732" i="2" s="1"/>
  <c r="I2733" i="2"/>
  <c r="J2733" i="2" s="1"/>
  <c r="I2734" i="2"/>
  <c r="J2734" i="2" s="1"/>
  <c r="I2735" i="2"/>
  <c r="J2735" i="2" s="1"/>
  <c r="I2736" i="2"/>
  <c r="J2736" i="2" s="1"/>
  <c r="I2737" i="2"/>
  <c r="J2737" i="2" s="1"/>
  <c r="I2738" i="2"/>
  <c r="J2738" i="2" s="1"/>
  <c r="I2739" i="2"/>
  <c r="J2739" i="2" s="1"/>
  <c r="I2740" i="2"/>
  <c r="J2740" i="2" s="1"/>
  <c r="I2741" i="2"/>
  <c r="J2741" i="2" s="1"/>
  <c r="I2742" i="2"/>
  <c r="J2742" i="2" s="1"/>
  <c r="I2743" i="2"/>
  <c r="J2743" i="2" s="1"/>
  <c r="I2744" i="2"/>
  <c r="J2744" i="2" s="1"/>
  <c r="I2745" i="2"/>
  <c r="J2745" i="2" s="1"/>
  <c r="I2746" i="2"/>
  <c r="J2746" i="2" s="1"/>
  <c r="I2747" i="2"/>
  <c r="J2747" i="2" s="1"/>
  <c r="I2748" i="2"/>
  <c r="J2748" i="2" s="1"/>
  <c r="I2749" i="2"/>
  <c r="J2749" i="2" s="1"/>
  <c r="I2750" i="2"/>
  <c r="J2750" i="2" s="1"/>
  <c r="I2751" i="2"/>
  <c r="J2751" i="2" s="1"/>
  <c r="I2752" i="2"/>
  <c r="J2752" i="2" s="1"/>
  <c r="I2753" i="2"/>
  <c r="J2753" i="2" s="1"/>
  <c r="I2754" i="2"/>
  <c r="J2754" i="2" s="1"/>
  <c r="I2755" i="2"/>
  <c r="J2755" i="2" s="1"/>
  <c r="I2756" i="2"/>
  <c r="J2756" i="2" s="1"/>
  <c r="I2757" i="2"/>
  <c r="J2757" i="2" s="1"/>
  <c r="I2758" i="2"/>
  <c r="J2758" i="2" s="1"/>
  <c r="I2759" i="2"/>
  <c r="J2759" i="2" s="1"/>
  <c r="I2760" i="2"/>
  <c r="J2760" i="2" s="1"/>
  <c r="I2761" i="2"/>
  <c r="J2761" i="2" s="1"/>
  <c r="I2762" i="2"/>
  <c r="J2762" i="2" s="1"/>
  <c r="I2763" i="2"/>
  <c r="J2763" i="2" s="1"/>
  <c r="I2764" i="2"/>
  <c r="J2764" i="2" s="1"/>
  <c r="I2765" i="2"/>
  <c r="J2765" i="2" s="1"/>
  <c r="I2766" i="2"/>
  <c r="J2766" i="2" s="1"/>
  <c r="I2767" i="2"/>
  <c r="J2767" i="2" s="1"/>
  <c r="I2768" i="2"/>
  <c r="J2768" i="2" s="1"/>
  <c r="I2769" i="2"/>
  <c r="J2769" i="2" s="1"/>
  <c r="I2770" i="2"/>
  <c r="J2770" i="2" s="1"/>
  <c r="I2771" i="2"/>
  <c r="J2771" i="2" s="1"/>
  <c r="I2772" i="2"/>
  <c r="J2772" i="2" s="1"/>
  <c r="I2773" i="2"/>
  <c r="J2773" i="2" s="1"/>
  <c r="I2774" i="2"/>
  <c r="J2774" i="2" s="1"/>
  <c r="I2775" i="2"/>
  <c r="J2775" i="2" s="1"/>
  <c r="I2776" i="2"/>
  <c r="J2776" i="2" s="1"/>
  <c r="I2777" i="2"/>
  <c r="J2777" i="2" s="1"/>
  <c r="I2778" i="2"/>
  <c r="J2778" i="2" s="1"/>
  <c r="I2779" i="2"/>
  <c r="J2779" i="2" s="1"/>
  <c r="I2780" i="2"/>
  <c r="J2780" i="2" s="1"/>
  <c r="I2781" i="2"/>
  <c r="J2781" i="2" s="1"/>
  <c r="I2782" i="2"/>
  <c r="J2782" i="2" s="1"/>
  <c r="I2783" i="2"/>
  <c r="J2783" i="2" s="1"/>
  <c r="I2784" i="2"/>
  <c r="J2784" i="2" s="1"/>
  <c r="I2785" i="2"/>
  <c r="J2785" i="2" s="1"/>
  <c r="I2786" i="2"/>
  <c r="J2786" i="2" s="1"/>
  <c r="I2787" i="2"/>
  <c r="J2787" i="2" s="1"/>
  <c r="I2788" i="2"/>
  <c r="J2788" i="2" s="1"/>
  <c r="I2789" i="2"/>
  <c r="J2789" i="2" s="1"/>
  <c r="I2790" i="2"/>
  <c r="J2790" i="2" s="1"/>
  <c r="I2791" i="2"/>
  <c r="J2791" i="2" s="1"/>
  <c r="I2792" i="2"/>
  <c r="J2792" i="2" s="1"/>
  <c r="I2793" i="2"/>
  <c r="J2793" i="2" s="1"/>
  <c r="I2794" i="2"/>
  <c r="J2794" i="2" s="1"/>
  <c r="I2795" i="2"/>
  <c r="J2795" i="2" s="1"/>
  <c r="I2796" i="2"/>
  <c r="J2796" i="2" s="1"/>
  <c r="I2797" i="2"/>
  <c r="J2797" i="2" s="1"/>
  <c r="I2798" i="2"/>
  <c r="J2798" i="2" s="1"/>
  <c r="I2799" i="2"/>
  <c r="J2799" i="2" s="1"/>
  <c r="I2800" i="2"/>
  <c r="J2800" i="2" s="1"/>
  <c r="I2801" i="2"/>
  <c r="J2801" i="2" s="1"/>
  <c r="I2802" i="2"/>
  <c r="J2802" i="2" s="1"/>
  <c r="I2803" i="2"/>
  <c r="J2803" i="2" s="1"/>
  <c r="I2804" i="2"/>
  <c r="J2804" i="2" s="1"/>
  <c r="I2805" i="2"/>
  <c r="J2805" i="2" s="1"/>
  <c r="I2806" i="2"/>
  <c r="J2806" i="2" s="1"/>
  <c r="I2807" i="2"/>
  <c r="J2807" i="2" s="1"/>
  <c r="I2808" i="2"/>
  <c r="J2808" i="2" s="1"/>
  <c r="I2809" i="2"/>
  <c r="J2809" i="2" s="1"/>
  <c r="I2810" i="2"/>
  <c r="J2810" i="2" s="1"/>
  <c r="I2811" i="2"/>
  <c r="J2811" i="2" s="1"/>
  <c r="I2812" i="2"/>
  <c r="J2812" i="2" s="1"/>
  <c r="I2813" i="2"/>
  <c r="J2813" i="2" s="1"/>
  <c r="I2814" i="2"/>
  <c r="J2814" i="2" s="1"/>
  <c r="I2815" i="2"/>
  <c r="J2815" i="2" s="1"/>
  <c r="I2816" i="2"/>
  <c r="J2816" i="2" s="1"/>
  <c r="I2817" i="2"/>
  <c r="J2817" i="2" s="1"/>
  <c r="I2818" i="2"/>
  <c r="J2818" i="2" s="1"/>
  <c r="I2819" i="2"/>
  <c r="J2819" i="2" s="1"/>
  <c r="I2820" i="2"/>
  <c r="J2820" i="2" s="1"/>
  <c r="I2821" i="2"/>
  <c r="J2821" i="2" s="1"/>
  <c r="I2822" i="2"/>
  <c r="J2822" i="2" s="1"/>
  <c r="I2823" i="2"/>
  <c r="J2823" i="2" s="1"/>
  <c r="I2824" i="2"/>
  <c r="J2824" i="2" s="1"/>
  <c r="I2825" i="2"/>
  <c r="J2825" i="2" s="1"/>
  <c r="I2826" i="2"/>
  <c r="J2826" i="2" s="1"/>
  <c r="I2827" i="2"/>
  <c r="J2827" i="2" s="1"/>
  <c r="I2828" i="2"/>
  <c r="J2828" i="2" s="1"/>
  <c r="I2829" i="2"/>
  <c r="J2829" i="2" s="1"/>
  <c r="I2830" i="2"/>
  <c r="J2830" i="2" s="1"/>
  <c r="I2831" i="2"/>
  <c r="J2831" i="2" s="1"/>
  <c r="I2832" i="2"/>
  <c r="J2832" i="2" s="1"/>
  <c r="I2833" i="2"/>
  <c r="J2833" i="2" s="1"/>
  <c r="I2834" i="2"/>
  <c r="J2834" i="2" s="1"/>
  <c r="I2835" i="2"/>
  <c r="J2835" i="2" s="1"/>
  <c r="I2836" i="2"/>
  <c r="J2836" i="2" s="1"/>
  <c r="I2837" i="2"/>
  <c r="J2837" i="2" s="1"/>
  <c r="I2838" i="2"/>
  <c r="J2838" i="2" s="1"/>
  <c r="I2839" i="2"/>
  <c r="J2839" i="2" s="1"/>
  <c r="I2840" i="2"/>
  <c r="J2840" i="2" s="1"/>
  <c r="I2841" i="2"/>
  <c r="J2841" i="2" s="1"/>
  <c r="I2842" i="2"/>
  <c r="J2842" i="2" s="1"/>
  <c r="I2843" i="2"/>
  <c r="J2843" i="2" s="1"/>
  <c r="I2844" i="2"/>
  <c r="J2844" i="2" s="1"/>
  <c r="I2845" i="2"/>
  <c r="J2845" i="2" s="1"/>
  <c r="I2846" i="2"/>
  <c r="J2846" i="2" s="1"/>
  <c r="I2847" i="2"/>
  <c r="J2847" i="2" s="1"/>
  <c r="I2848" i="2"/>
  <c r="J2848" i="2" s="1"/>
  <c r="I2849" i="2"/>
  <c r="J2849" i="2" s="1"/>
  <c r="I2850" i="2"/>
  <c r="J2850" i="2" s="1"/>
  <c r="I2851" i="2"/>
  <c r="J2851" i="2" s="1"/>
  <c r="I2852" i="2"/>
  <c r="J2852" i="2" s="1"/>
  <c r="I2853" i="2"/>
  <c r="J2853" i="2" s="1"/>
  <c r="I2854" i="2"/>
  <c r="J2854" i="2" s="1"/>
  <c r="I2855" i="2"/>
  <c r="J2855" i="2" s="1"/>
  <c r="I2856" i="2"/>
  <c r="J2856" i="2" s="1"/>
  <c r="I2857" i="2"/>
  <c r="J2857" i="2" s="1"/>
  <c r="I2858" i="2"/>
  <c r="J2858" i="2" s="1"/>
  <c r="I2859" i="2"/>
  <c r="J2859" i="2" s="1"/>
  <c r="I2860" i="2"/>
  <c r="J2860" i="2" s="1"/>
  <c r="I2861" i="2"/>
  <c r="J2861" i="2" s="1"/>
  <c r="I2862" i="2"/>
  <c r="J2862" i="2" s="1"/>
  <c r="I2863" i="2"/>
  <c r="J2863" i="2" s="1"/>
  <c r="I2864" i="2"/>
  <c r="J2864" i="2" s="1"/>
  <c r="I2865" i="2"/>
  <c r="J2865" i="2" s="1"/>
  <c r="I2866" i="2"/>
  <c r="J2866" i="2" s="1"/>
  <c r="I2867" i="2"/>
  <c r="J2867" i="2" s="1"/>
  <c r="I2868" i="2"/>
  <c r="J2868" i="2" s="1"/>
  <c r="I2869" i="2"/>
  <c r="J2869" i="2" s="1"/>
  <c r="I2870" i="2"/>
  <c r="J2870" i="2" s="1"/>
  <c r="I2871" i="2"/>
  <c r="J2871" i="2" s="1"/>
  <c r="I2872" i="2"/>
  <c r="J2872" i="2" s="1"/>
  <c r="I2873" i="2"/>
  <c r="J2873" i="2" s="1"/>
  <c r="I2874" i="2"/>
  <c r="J2874" i="2" s="1"/>
  <c r="I2875" i="2"/>
  <c r="J2875" i="2" s="1"/>
  <c r="I2876" i="2"/>
  <c r="J2876" i="2" s="1"/>
  <c r="I2877" i="2"/>
  <c r="J2877" i="2" s="1"/>
  <c r="I2878" i="2"/>
  <c r="J2878" i="2" s="1"/>
  <c r="I2879" i="2"/>
  <c r="J2879" i="2" s="1"/>
  <c r="I2880" i="2"/>
  <c r="J2880" i="2" s="1"/>
  <c r="I2881" i="2"/>
  <c r="J2881" i="2" s="1"/>
  <c r="I2882" i="2"/>
  <c r="J2882" i="2" s="1"/>
  <c r="I2883" i="2"/>
  <c r="J2883" i="2" s="1"/>
  <c r="I2884" i="2"/>
  <c r="J2884" i="2" s="1"/>
  <c r="I2885" i="2"/>
  <c r="J2885" i="2" s="1"/>
  <c r="I2886" i="2"/>
  <c r="J2886" i="2" s="1"/>
  <c r="I2887" i="2"/>
  <c r="J2887" i="2" s="1"/>
  <c r="I2888" i="2"/>
  <c r="J2888" i="2" s="1"/>
  <c r="I2889" i="2"/>
  <c r="J2889" i="2" s="1"/>
  <c r="I2890" i="2"/>
  <c r="J2890" i="2" s="1"/>
  <c r="I2891" i="2"/>
  <c r="J2891" i="2" s="1"/>
  <c r="I2892" i="2"/>
  <c r="J2892" i="2" s="1"/>
  <c r="I2893" i="2"/>
  <c r="J2893" i="2" s="1"/>
  <c r="I2894" i="2"/>
  <c r="J2894" i="2" s="1"/>
  <c r="I2895" i="2"/>
  <c r="J2895" i="2" s="1"/>
  <c r="I2896" i="2"/>
  <c r="J2896" i="2" s="1"/>
  <c r="I2897" i="2"/>
  <c r="J2897" i="2" s="1"/>
  <c r="I2898" i="2"/>
  <c r="J2898" i="2" s="1"/>
  <c r="I2899" i="2"/>
  <c r="J2899" i="2" s="1"/>
  <c r="I2900" i="2"/>
  <c r="J2900" i="2" s="1"/>
  <c r="I2901" i="2"/>
  <c r="J2901" i="2" s="1"/>
  <c r="I2902" i="2"/>
  <c r="J2902" i="2" s="1"/>
  <c r="I2903" i="2"/>
  <c r="J2903" i="2" s="1"/>
  <c r="I2904" i="2"/>
  <c r="J2904" i="2" s="1"/>
  <c r="I2905" i="2"/>
  <c r="J2905" i="2" s="1"/>
  <c r="I2906" i="2"/>
  <c r="J2906" i="2" s="1"/>
  <c r="I2907" i="2"/>
  <c r="J2907" i="2" s="1"/>
  <c r="I2908" i="2"/>
  <c r="J2908" i="2" s="1"/>
  <c r="I2909" i="2"/>
  <c r="J2909" i="2" s="1"/>
  <c r="I2910" i="2"/>
  <c r="J2910" i="2" s="1"/>
  <c r="I2911" i="2"/>
  <c r="J2911" i="2" s="1"/>
  <c r="I2912" i="2"/>
  <c r="J2912" i="2" s="1"/>
  <c r="I2913" i="2"/>
  <c r="J2913" i="2" s="1"/>
  <c r="I2914" i="2"/>
  <c r="J2914" i="2" s="1"/>
  <c r="I2915" i="2"/>
  <c r="J2915" i="2" s="1"/>
  <c r="I2916" i="2"/>
  <c r="J2916" i="2" s="1"/>
  <c r="I2917" i="2"/>
  <c r="J2917" i="2" s="1"/>
  <c r="I2918" i="2"/>
  <c r="J2918" i="2" s="1"/>
  <c r="I2919" i="2"/>
  <c r="J2919" i="2" s="1"/>
  <c r="I2920" i="2"/>
  <c r="J2920" i="2" s="1"/>
  <c r="I2921" i="2"/>
  <c r="J2921" i="2" s="1"/>
  <c r="I2922" i="2"/>
  <c r="J2922" i="2" s="1"/>
  <c r="I2923" i="2"/>
  <c r="J2923" i="2" s="1"/>
  <c r="I2924" i="2"/>
  <c r="J2924" i="2" s="1"/>
  <c r="I2925" i="2"/>
  <c r="J2925" i="2" s="1"/>
  <c r="I2926" i="2"/>
  <c r="J2926" i="2" s="1"/>
  <c r="I2927" i="2"/>
  <c r="J2927" i="2" s="1"/>
  <c r="I2928" i="2"/>
  <c r="J2928" i="2" s="1"/>
  <c r="I2929" i="2"/>
  <c r="J2929" i="2" s="1"/>
  <c r="I2930" i="2"/>
  <c r="J2930" i="2" s="1"/>
  <c r="I2931" i="2"/>
  <c r="J2931" i="2" s="1"/>
  <c r="I2932" i="2"/>
  <c r="J2932" i="2" s="1"/>
  <c r="I2933" i="2"/>
  <c r="J2933" i="2" s="1"/>
  <c r="I2934" i="2"/>
  <c r="J2934" i="2" s="1"/>
  <c r="I2935" i="2"/>
  <c r="J2935" i="2" s="1"/>
  <c r="I2936" i="2"/>
  <c r="J2936" i="2" s="1"/>
  <c r="I2937" i="2"/>
  <c r="J2937" i="2" s="1"/>
  <c r="I2938" i="2"/>
  <c r="J2938" i="2" s="1"/>
  <c r="I2939" i="2"/>
  <c r="J2939" i="2" s="1"/>
  <c r="I2940" i="2"/>
  <c r="J2940" i="2" s="1"/>
  <c r="I2941" i="2"/>
  <c r="J2941" i="2" s="1"/>
  <c r="I2942" i="2"/>
  <c r="J2942" i="2" s="1"/>
  <c r="I2943" i="2"/>
  <c r="J2943" i="2" s="1"/>
  <c r="I2944" i="2"/>
  <c r="J2944" i="2" s="1"/>
  <c r="I2945" i="2"/>
  <c r="J2945" i="2" s="1"/>
  <c r="I2946" i="2"/>
  <c r="J2946" i="2" s="1"/>
  <c r="I2947" i="2"/>
  <c r="J2947" i="2" s="1"/>
  <c r="I2948" i="2"/>
  <c r="J2948" i="2" s="1"/>
  <c r="I2949" i="2"/>
  <c r="J2949" i="2" s="1"/>
  <c r="I2950" i="2"/>
  <c r="J2950" i="2" s="1"/>
  <c r="I2951" i="2"/>
  <c r="J2951" i="2" s="1"/>
  <c r="I2952" i="2"/>
  <c r="J2952" i="2" s="1"/>
  <c r="I2953" i="2"/>
  <c r="J2953" i="2" s="1"/>
  <c r="I2954" i="2"/>
  <c r="J2954" i="2" s="1"/>
  <c r="I2955" i="2"/>
  <c r="J2955" i="2" s="1"/>
  <c r="I2956" i="2"/>
  <c r="J2956" i="2" s="1"/>
  <c r="I2957" i="2"/>
  <c r="J2957" i="2" s="1"/>
  <c r="I2958" i="2"/>
  <c r="J2958" i="2" s="1"/>
  <c r="I2959" i="2"/>
  <c r="J2959" i="2" s="1"/>
  <c r="I2960" i="2"/>
  <c r="J2960" i="2" s="1"/>
  <c r="I2961" i="2"/>
  <c r="J2961" i="2" s="1"/>
  <c r="I2962" i="2"/>
  <c r="J2962" i="2" s="1"/>
  <c r="I2963" i="2"/>
  <c r="J2963" i="2" s="1"/>
  <c r="I2964" i="2"/>
  <c r="J2964" i="2" s="1"/>
  <c r="I2965" i="2"/>
  <c r="J2965" i="2" s="1"/>
  <c r="I2966" i="2"/>
  <c r="J2966" i="2" s="1"/>
  <c r="I2967" i="2"/>
  <c r="J2967" i="2" s="1"/>
  <c r="I2968" i="2"/>
  <c r="J2968" i="2" s="1"/>
  <c r="I2969" i="2"/>
  <c r="J2969" i="2" s="1"/>
  <c r="I2970" i="2"/>
  <c r="J2970" i="2" s="1"/>
  <c r="I2971" i="2"/>
  <c r="J2971" i="2" s="1"/>
  <c r="I2972" i="2"/>
  <c r="J2972" i="2" s="1"/>
  <c r="I2973" i="2"/>
  <c r="J2973" i="2" s="1"/>
  <c r="I2974" i="2"/>
  <c r="J2974" i="2" s="1"/>
  <c r="I2975" i="2"/>
  <c r="J2975" i="2" s="1"/>
  <c r="I2976" i="2"/>
  <c r="J2976" i="2" s="1"/>
  <c r="I2977" i="2"/>
  <c r="J2977" i="2" s="1"/>
  <c r="I2978" i="2"/>
  <c r="J2978" i="2" s="1"/>
  <c r="I2979" i="2"/>
  <c r="J2979" i="2" s="1"/>
  <c r="I2980" i="2"/>
  <c r="J2980" i="2" s="1"/>
  <c r="I2981" i="2"/>
  <c r="J2981" i="2" s="1"/>
  <c r="I2982" i="2"/>
  <c r="J2982" i="2" s="1"/>
  <c r="I2983" i="2"/>
  <c r="J2983" i="2" s="1"/>
  <c r="I2984" i="2"/>
  <c r="J2984" i="2" s="1"/>
  <c r="I2985" i="2"/>
  <c r="J2985" i="2" s="1"/>
  <c r="I2986" i="2"/>
  <c r="J2986" i="2" s="1"/>
  <c r="I2987" i="2"/>
  <c r="J2987" i="2" s="1"/>
  <c r="I2988" i="2"/>
  <c r="J2988" i="2" s="1"/>
  <c r="I2989" i="2"/>
  <c r="J2989" i="2" s="1"/>
  <c r="I2990" i="2"/>
  <c r="J2990" i="2" s="1"/>
  <c r="I2991" i="2"/>
  <c r="J2991" i="2" s="1"/>
  <c r="I2992" i="2"/>
  <c r="J2992" i="2" s="1"/>
  <c r="I2993" i="2"/>
  <c r="J2993" i="2" s="1"/>
  <c r="I2994" i="2"/>
  <c r="J2994" i="2" s="1"/>
  <c r="I2995" i="2"/>
  <c r="J2995" i="2" s="1"/>
  <c r="I2996" i="2"/>
  <c r="J2996" i="2" s="1"/>
  <c r="I2997" i="2"/>
  <c r="J2997" i="2" s="1"/>
  <c r="I2998" i="2"/>
  <c r="J2998" i="2" s="1"/>
  <c r="I2999" i="2"/>
  <c r="J2999" i="2" s="1"/>
  <c r="I3000" i="2"/>
  <c r="J3000" i="2" s="1"/>
  <c r="I3001" i="2"/>
  <c r="J3001" i="2" s="1"/>
  <c r="I3002" i="2"/>
  <c r="J3002" i="2" s="1"/>
  <c r="I3003" i="2"/>
  <c r="J3003" i="2" s="1"/>
  <c r="I3004" i="2"/>
  <c r="J3004" i="2" s="1"/>
  <c r="I3005" i="2"/>
  <c r="J3005" i="2" s="1"/>
  <c r="I3006" i="2"/>
  <c r="J3006" i="2" s="1"/>
  <c r="I3007" i="2"/>
  <c r="J3007" i="2" s="1"/>
  <c r="I3008" i="2"/>
  <c r="J3008" i="2" s="1"/>
  <c r="I3009" i="2"/>
  <c r="J3009" i="2" s="1"/>
  <c r="I3010" i="2"/>
  <c r="J3010" i="2" s="1"/>
  <c r="I3011" i="2"/>
  <c r="J3011" i="2" s="1"/>
  <c r="I3012" i="2"/>
  <c r="J3012" i="2" s="1"/>
  <c r="I3013" i="2"/>
  <c r="J3013" i="2" s="1"/>
  <c r="I3014" i="2"/>
  <c r="J3014" i="2" s="1"/>
  <c r="I3015" i="2"/>
  <c r="J3015" i="2" s="1"/>
  <c r="I3016" i="2"/>
  <c r="J3016" i="2" s="1"/>
  <c r="I3017" i="2"/>
  <c r="J3017" i="2" s="1"/>
  <c r="I3018" i="2"/>
  <c r="J3018" i="2" s="1"/>
  <c r="I3019" i="2"/>
  <c r="J3019" i="2" s="1"/>
  <c r="I3020" i="2"/>
  <c r="J3020" i="2" s="1"/>
  <c r="I3021" i="2"/>
  <c r="J3021" i="2" s="1"/>
  <c r="I3022" i="2"/>
  <c r="J3022" i="2" s="1"/>
  <c r="I3023" i="2"/>
  <c r="J3023" i="2" s="1"/>
  <c r="I3024" i="2"/>
  <c r="J3024" i="2" s="1"/>
  <c r="I3025" i="2"/>
  <c r="J3025" i="2" s="1"/>
  <c r="I3026" i="2"/>
  <c r="J3026" i="2" s="1"/>
  <c r="I3027" i="2"/>
  <c r="J3027" i="2" s="1"/>
  <c r="I3028" i="2"/>
  <c r="J3028" i="2" s="1"/>
  <c r="I3029" i="2"/>
  <c r="J3029" i="2" s="1"/>
  <c r="I3030" i="2"/>
  <c r="J3030" i="2" s="1"/>
  <c r="I3031" i="2"/>
  <c r="J3031" i="2" s="1"/>
  <c r="I3032" i="2"/>
  <c r="J3032" i="2" s="1"/>
  <c r="I3033" i="2"/>
  <c r="J3033" i="2" s="1"/>
  <c r="I3034" i="2"/>
  <c r="J3034" i="2" s="1"/>
  <c r="I3035" i="2"/>
  <c r="J3035" i="2" s="1"/>
  <c r="I3036" i="2"/>
  <c r="J3036" i="2" s="1"/>
  <c r="I3037" i="2"/>
  <c r="J3037" i="2" s="1"/>
  <c r="I3038" i="2"/>
  <c r="J3038" i="2" s="1"/>
  <c r="I3039" i="2"/>
  <c r="J3039" i="2" s="1"/>
  <c r="I3040" i="2"/>
  <c r="J3040" i="2" s="1"/>
  <c r="I3041" i="2"/>
  <c r="J3041" i="2" s="1"/>
  <c r="I3042" i="2"/>
  <c r="J3042" i="2" s="1"/>
  <c r="I3043" i="2"/>
  <c r="J3043" i="2" s="1"/>
  <c r="I3044" i="2"/>
  <c r="J3044" i="2" s="1"/>
  <c r="I3045" i="2"/>
  <c r="J3045" i="2" s="1"/>
  <c r="I3046" i="2"/>
  <c r="J3046" i="2" s="1"/>
  <c r="I3047" i="2"/>
  <c r="J3047" i="2" s="1"/>
  <c r="I3048" i="2"/>
  <c r="J3048" i="2" s="1"/>
  <c r="I3049" i="2"/>
  <c r="J3049" i="2" s="1"/>
  <c r="I3050" i="2"/>
  <c r="J3050" i="2" s="1"/>
  <c r="I3051" i="2"/>
  <c r="J3051" i="2" s="1"/>
  <c r="I3052" i="2"/>
  <c r="J3052" i="2" s="1"/>
  <c r="I3053" i="2"/>
  <c r="J3053" i="2" s="1"/>
  <c r="I3054" i="2"/>
  <c r="J3054" i="2" s="1"/>
  <c r="I3055" i="2"/>
  <c r="J3055" i="2" s="1"/>
  <c r="I3056" i="2"/>
  <c r="J3056" i="2" s="1"/>
  <c r="I3057" i="2"/>
  <c r="J3057" i="2" s="1"/>
  <c r="I3058" i="2"/>
  <c r="J3058" i="2" s="1"/>
  <c r="I3059" i="2"/>
  <c r="J3059" i="2" s="1"/>
  <c r="I3060" i="2"/>
  <c r="J3060" i="2" s="1"/>
  <c r="I3061" i="2"/>
  <c r="J3061" i="2" s="1"/>
  <c r="I3062" i="2"/>
  <c r="J3062" i="2" s="1"/>
  <c r="I3063" i="2"/>
  <c r="J3063" i="2" s="1"/>
  <c r="I3064" i="2"/>
  <c r="J3064" i="2" s="1"/>
  <c r="I3065" i="2"/>
  <c r="J3065" i="2" s="1"/>
  <c r="I3066" i="2"/>
  <c r="J3066" i="2" s="1"/>
  <c r="I3067" i="2"/>
  <c r="J3067" i="2" s="1"/>
  <c r="I3068" i="2"/>
  <c r="J3068" i="2" s="1"/>
  <c r="I3069" i="2"/>
  <c r="J3069" i="2" s="1"/>
  <c r="I3070" i="2"/>
  <c r="J3070" i="2" s="1"/>
  <c r="I3071" i="2"/>
  <c r="J3071" i="2" s="1"/>
  <c r="I3072" i="2"/>
  <c r="J3072" i="2" s="1"/>
  <c r="I3073" i="2"/>
  <c r="J3073" i="2" s="1"/>
  <c r="I3074" i="2"/>
  <c r="J3074" i="2" s="1"/>
  <c r="I3075" i="2"/>
  <c r="J3075" i="2" s="1"/>
  <c r="I3076" i="2"/>
  <c r="J3076" i="2" s="1"/>
  <c r="I3077" i="2"/>
  <c r="J3077" i="2" s="1"/>
  <c r="I3078" i="2"/>
  <c r="J3078" i="2" s="1"/>
  <c r="I3079" i="2"/>
  <c r="J3079" i="2" s="1"/>
  <c r="I3080" i="2"/>
  <c r="J3080" i="2" s="1"/>
  <c r="I3081" i="2"/>
  <c r="J3081" i="2" s="1"/>
  <c r="I3082" i="2"/>
  <c r="J3082" i="2" s="1"/>
  <c r="I3083" i="2"/>
  <c r="J3083" i="2" s="1"/>
  <c r="I3084" i="2"/>
  <c r="J3084" i="2" s="1"/>
  <c r="I3085" i="2"/>
  <c r="J3085" i="2" s="1"/>
  <c r="I3086" i="2"/>
  <c r="J3086" i="2" s="1"/>
  <c r="I3087" i="2"/>
  <c r="J3087" i="2" s="1"/>
  <c r="I3088" i="2"/>
  <c r="J3088" i="2" s="1"/>
  <c r="I3089" i="2"/>
  <c r="J3089" i="2" s="1"/>
  <c r="I3090" i="2"/>
  <c r="J3090" i="2" s="1"/>
  <c r="I3091" i="2"/>
  <c r="J3091" i="2" s="1"/>
  <c r="I3092" i="2"/>
  <c r="J3092" i="2" s="1"/>
  <c r="I3093" i="2"/>
  <c r="J3093" i="2" s="1"/>
  <c r="I3094" i="2"/>
  <c r="J3094" i="2" s="1"/>
  <c r="I3095" i="2"/>
  <c r="J3095" i="2" s="1"/>
  <c r="I3096" i="2"/>
  <c r="J3096" i="2" s="1"/>
  <c r="I3097" i="2"/>
  <c r="J3097" i="2" s="1"/>
  <c r="I3098" i="2"/>
  <c r="J3098" i="2" s="1"/>
  <c r="I3099" i="2"/>
  <c r="J3099" i="2" s="1"/>
  <c r="I3100" i="2"/>
  <c r="J3100" i="2" s="1"/>
  <c r="I3101" i="2"/>
  <c r="J3101" i="2" s="1"/>
  <c r="I3102" i="2"/>
  <c r="J3102" i="2" s="1"/>
  <c r="I3103" i="2"/>
  <c r="J3103" i="2" s="1"/>
  <c r="I3104" i="2"/>
  <c r="J3104" i="2" s="1"/>
  <c r="I3105" i="2"/>
  <c r="J3105" i="2" s="1"/>
  <c r="I3106" i="2"/>
  <c r="J3106" i="2" s="1"/>
  <c r="I3107" i="2"/>
  <c r="J3107" i="2" s="1"/>
  <c r="I3108" i="2"/>
  <c r="J3108" i="2" s="1"/>
  <c r="I3109" i="2"/>
  <c r="J3109" i="2" s="1"/>
  <c r="I3110" i="2"/>
  <c r="J3110" i="2" s="1"/>
  <c r="I3111" i="2"/>
  <c r="J3111" i="2" s="1"/>
  <c r="I3112" i="2"/>
  <c r="J3112" i="2" s="1"/>
  <c r="I3113" i="2"/>
  <c r="J3113" i="2" s="1"/>
  <c r="I3114" i="2"/>
  <c r="J3114" i="2" s="1"/>
  <c r="I3115" i="2"/>
  <c r="J3115" i="2" s="1"/>
  <c r="I3116" i="2"/>
  <c r="J3116" i="2" s="1"/>
  <c r="I3117" i="2"/>
  <c r="J3117" i="2" s="1"/>
  <c r="I3118" i="2"/>
  <c r="J3118" i="2" s="1"/>
  <c r="I3119" i="2"/>
  <c r="J3119" i="2" s="1"/>
  <c r="I3120" i="2"/>
  <c r="J3120" i="2" s="1"/>
  <c r="I3121" i="2"/>
  <c r="J3121" i="2" s="1"/>
  <c r="I3122" i="2"/>
  <c r="J3122" i="2" s="1"/>
  <c r="I3123" i="2"/>
  <c r="J3123" i="2" s="1"/>
  <c r="I3124" i="2"/>
  <c r="J3124" i="2" s="1"/>
  <c r="I3125" i="2"/>
  <c r="J3125" i="2" s="1"/>
  <c r="I3126" i="2"/>
  <c r="J3126" i="2" s="1"/>
  <c r="I3127" i="2"/>
  <c r="J3127" i="2" s="1"/>
  <c r="I3128" i="2"/>
  <c r="J3128" i="2" s="1"/>
  <c r="I3129" i="2"/>
  <c r="J3129" i="2" s="1"/>
  <c r="I3130" i="2"/>
  <c r="J3130" i="2" s="1"/>
  <c r="I3131" i="2"/>
  <c r="J3131" i="2" s="1"/>
  <c r="I3132" i="2"/>
  <c r="J3132" i="2" s="1"/>
  <c r="I3133" i="2"/>
  <c r="J3133" i="2" s="1"/>
  <c r="I3134" i="2"/>
  <c r="J3134" i="2" s="1"/>
  <c r="I3135" i="2"/>
  <c r="J3135" i="2" s="1"/>
  <c r="I3136" i="2"/>
  <c r="J3136" i="2" s="1"/>
  <c r="I3137" i="2"/>
  <c r="J3137" i="2" s="1"/>
  <c r="I3138" i="2"/>
  <c r="J3138" i="2" s="1"/>
  <c r="I3139" i="2"/>
  <c r="J3139" i="2" s="1"/>
  <c r="I3140" i="2"/>
  <c r="J3140" i="2" s="1"/>
  <c r="I3141" i="2"/>
  <c r="J3141" i="2" s="1"/>
  <c r="I3142" i="2"/>
  <c r="J3142" i="2" s="1"/>
  <c r="I3143" i="2"/>
  <c r="J3143" i="2" s="1"/>
  <c r="I3144" i="2"/>
  <c r="J3144" i="2" s="1"/>
  <c r="I3145" i="2"/>
  <c r="J3145" i="2" s="1"/>
  <c r="I3146" i="2"/>
  <c r="J3146" i="2" s="1"/>
  <c r="I3147" i="2"/>
  <c r="J3147" i="2" s="1"/>
  <c r="I3148" i="2"/>
  <c r="J3148" i="2" s="1"/>
  <c r="I3149" i="2"/>
  <c r="J3149" i="2" s="1"/>
  <c r="I3150" i="2"/>
  <c r="J3150" i="2" s="1"/>
  <c r="I3151" i="2"/>
  <c r="J3151" i="2" s="1"/>
  <c r="I3152" i="2"/>
  <c r="J3152" i="2" s="1"/>
  <c r="I3153" i="2"/>
  <c r="J3153" i="2" s="1"/>
  <c r="I3154" i="2"/>
  <c r="J3154" i="2" s="1"/>
  <c r="I3155" i="2"/>
  <c r="J3155" i="2" s="1"/>
  <c r="I3156" i="2"/>
  <c r="J3156" i="2" s="1"/>
  <c r="I3157" i="2"/>
  <c r="J3157" i="2" s="1"/>
  <c r="I3158" i="2"/>
  <c r="J3158" i="2" s="1"/>
  <c r="I3159" i="2"/>
  <c r="J3159" i="2" s="1"/>
  <c r="I3160" i="2"/>
  <c r="J3160" i="2" s="1"/>
  <c r="I3161" i="2"/>
  <c r="J3161" i="2" s="1"/>
  <c r="I3162" i="2"/>
  <c r="J3162" i="2" s="1"/>
  <c r="I3163" i="2"/>
  <c r="J3163" i="2" s="1"/>
  <c r="I3164" i="2"/>
  <c r="J3164" i="2" s="1"/>
  <c r="I3165" i="2"/>
  <c r="J3165" i="2" s="1"/>
  <c r="I3166" i="2"/>
  <c r="J3166" i="2" s="1"/>
  <c r="I3167" i="2"/>
  <c r="J3167" i="2" s="1"/>
  <c r="I3168" i="2"/>
  <c r="J3168" i="2" s="1"/>
  <c r="I3169" i="2"/>
  <c r="J3169" i="2" s="1"/>
  <c r="I3170" i="2"/>
  <c r="J3170" i="2" s="1"/>
  <c r="I3171" i="2"/>
  <c r="J3171" i="2" s="1"/>
  <c r="I3172" i="2"/>
  <c r="J3172" i="2" s="1"/>
  <c r="I3173" i="2"/>
  <c r="J3173" i="2" s="1"/>
  <c r="I3174" i="2"/>
  <c r="J3174" i="2" s="1"/>
  <c r="I3175" i="2"/>
  <c r="J3175" i="2" s="1"/>
  <c r="I3176" i="2"/>
  <c r="J3176" i="2" s="1"/>
  <c r="I3177" i="2"/>
  <c r="J3177" i="2" s="1"/>
  <c r="I3178" i="2"/>
  <c r="J3178" i="2" s="1"/>
  <c r="I3179" i="2"/>
  <c r="J3179" i="2" s="1"/>
  <c r="I3180" i="2"/>
  <c r="J3180" i="2" s="1"/>
  <c r="I3181" i="2"/>
  <c r="J3181" i="2" s="1"/>
  <c r="I3182" i="2"/>
  <c r="J3182" i="2" s="1"/>
  <c r="I3183" i="2"/>
  <c r="J3183" i="2" s="1"/>
  <c r="I3184" i="2"/>
  <c r="J3184" i="2" s="1"/>
  <c r="I3185" i="2"/>
  <c r="J3185" i="2" s="1"/>
  <c r="I3186" i="2"/>
  <c r="J3186" i="2" s="1"/>
  <c r="I3187" i="2"/>
  <c r="J3187" i="2" s="1"/>
  <c r="I3188" i="2"/>
  <c r="J3188" i="2" s="1"/>
  <c r="I3189" i="2"/>
  <c r="J3189" i="2" s="1"/>
  <c r="I3190" i="2"/>
  <c r="J3190" i="2" s="1"/>
  <c r="I3191" i="2"/>
  <c r="J3191" i="2" s="1"/>
  <c r="I3192" i="2"/>
  <c r="J3192" i="2" s="1"/>
  <c r="I3193" i="2"/>
  <c r="J3193" i="2" s="1"/>
  <c r="I3194" i="2"/>
  <c r="J3194" i="2" s="1"/>
  <c r="I3195" i="2"/>
  <c r="J3195" i="2" s="1"/>
  <c r="I3196" i="2"/>
  <c r="J3196" i="2" s="1"/>
  <c r="I3197" i="2"/>
  <c r="J3197" i="2" s="1"/>
  <c r="I3198" i="2"/>
  <c r="J3198" i="2" s="1"/>
  <c r="I3199" i="2"/>
  <c r="J3199" i="2" s="1"/>
  <c r="I3200" i="2"/>
  <c r="J3200" i="2" s="1"/>
  <c r="I3201" i="2"/>
  <c r="J3201" i="2" s="1"/>
  <c r="I3202" i="2"/>
  <c r="J3202" i="2" s="1"/>
  <c r="I3203" i="2"/>
  <c r="J3203" i="2" s="1"/>
  <c r="I3204" i="2"/>
  <c r="J3204" i="2" s="1"/>
  <c r="I3205" i="2"/>
  <c r="J3205" i="2" s="1"/>
  <c r="I3206" i="2"/>
  <c r="J3206" i="2" s="1"/>
  <c r="I3207" i="2"/>
  <c r="J3207" i="2" s="1"/>
  <c r="I3208" i="2"/>
  <c r="J3208" i="2" s="1"/>
  <c r="I3209" i="2"/>
  <c r="J3209" i="2" s="1"/>
  <c r="I3210" i="2"/>
  <c r="J3210" i="2" s="1"/>
  <c r="I3211" i="2"/>
  <c r="J3211" i="2" s="1"/>
  <c r="I3212" i="2"/>
  <c r="J3212" i="2" s="1"/>
  <c r="I3213" i="2"/>
  <c r="J3213" i="2" s="1"/>
  <c r="I3214" i="2"/>
  <c r="J3214" i="2" s="1"/>
  <c r="I3215" i="2"/>
  <c r="J3215" i="2" s="1"/>
  <c r="I3216" i="2"/>
  <c r="J3216" i="2" s="1"/>
  <c r="I3217" i="2"/>
  <c r="J3217" i="2" s="1"/>
  <c r="I3218" i="2"/>
  <c r="J3218" i="2" s="1"/>
  <c r="I3219" i="2"/>
  <c r="J3219" i="2" s="1"/>
  <c r="I3220" i="2"/>
  <c r="J3220" i="2" s="1"/>
  <c r="I3221" i="2"/>
  <c r="J3221" i="2" s="1"/>
  <c r="I3222" i="2"/>
  <c r="J3222" i="2" s="1"/>
  <c r="I3223" i="2"/>
  <c r="J3223" i="2" s="1"/>
  <c r="I3224" i="2"/>
  <c r="J3224" i="2" s="1"/>
  <c r="I3225" i="2"/>
  <c r="J3225" i="2" s="1"/>
  <c r="I3226" i="2"/>
  <c r="J3226" i="2" s="1"/>
  <c r="I3227" i="2"/>
  <c r="J3227" i="2" s="1"/>
  <c r="I3228" i="2"/>
  <c r="J3228" i="2" s="1"/>
  <c r="I3229" i="2"/>
  <c r="J3229" i="2" s="1"/>
  <c r="I3230" i="2"/>
  <c r="J3230" i="2" s="1"/>
  <c r="I3231" i="2"/>
  <c r="J3231" i="2" s="1"/>
  <c r="I3232" i="2"/>
  <c r="J3232" i="2" s="1"/>
  <c r="I3233" i="2"/>
  <c r="J3233" i="2" s="1"/>
  <c r="I3234" i="2"/>
  <c r="J3234" i="2" s="1"/>
  <c r="I3235" i="2"/>
  <c r="J3235" i="2" s="1"/>
  <c r="I3236" i="2"/>
  <c r="J3236" i="2" s="1"/>
  <c r="I3237" i="2"/>
  <c r="J3237" i="2" s="1"/>
  <c r="I3238" i="2"/>
  <c r="J3238" i="2" s="1"/>
  <c r="I3239" i="2"/>
  <c r="J3239" i="2" s="1"/>
  <c r="I3240" i="2"/>
  <c r="J3240" i="2" s="1"/>
  <c r="I3241" i="2"/>
  <c r="J3241" i="2" s="1"/>
  <c r="I3242" i="2"/>
  <c r="J3242" i="2" s="1"/>
  <c r="I3243" i="2"/>
  <c r="J3243" i="2" s="1"/>
  <c r="I3244" i="2"/>
  <c r="J3244" i="2" s="1"/>
  <c r="I3245" i="2"/>
  <c r="J3245" i="2" s="1"/>
  <c r="I3246" i="2"/>
  <c r="J3246" i="2" s="1"/>
  <c r="I3247" i="2"/>
  <c r="J3247" i="2" s="1"/>
  <c r="I3248" i="2"/>
  <c r="J3248" i="2" s="1"/>
  <c r="I3249" i="2"/>
  <c r="J3249" i="2" s="1"/>
  <c r="I3250" i="2"/>
  <c r="J3250" i="2" s="1"/>
  <c r="I3251" i="2"/>
  <c r="J3251" i="2" s="1"/>
  <c r="I3252" i="2"/>
  <c r="J3252" i="2" s="1"/>
  <c r="I3253" i="2"/>
  <c r="J3253" i="2" s="1"/>
  <c r="I3254" i="2"/>
  <c r="J3254" i="2" s="1"/>
  <c r="I3255" i="2"/>
  <c r="J3255" i="2" s="1"/>
  <c r="I3256" i="2"/>
  <c r="J3256" i="2" s="1"/>
  <c r="I3257" i="2"/>
  <c r="J3257" i="2" s="1"/>
  <c r="I3258" i="2"/>
  <c r="J3258" i="2" s="1"/>
  <c r="I3259" i="2"/>
  <c r="J3259" i="2" s="1"/>
  <c r="I3260" i="2"/>
  <c r="J3260" i="2" s="1"/>
  <c r="I3261" i="2"/>
  <c r="J3261" i="2" s="1"/>
  <c r="I3262" i="2"/>
  <c r="J3262" i="2" s="1"/>
  <c r="I3263" i="2"/>
  <c r="J3263" i="2" s="1"/>
  <c r="I3264" i="2"/>
  <c r="J3264" i="2" s="1"/>
  <c r="I3265" i="2"/>
  <c r="J3265" i="2" s="1"/>
  <c r="I3266" i="2"/>
  <c r="J3266" i="2" s="1"/>
  <c r="I3267" i="2"/>
  <c r="J3267" i="2" s="1"/>
  <c r="I3268" i="2"/>
  <c r="J3268" i="2" s="1"/>
  <c r="I3269" i="2"/>
  <c r="J3269" i="2" s="1"/>
  <c r="I3270" i="2"/>
  <c r="J3270" i="2" s="1"/>
  <c r="I3271" i="2"/>
  <c r="J3271" i="2" s="1"/>
  <c r="I3272" i="2"/>
  <c r="J3272" i="2" s="1"/>
  <c r="I3273" i="2"/>
  <c r="J3273" i="2" s="1"/>
  <c r="I3274" i="2"/>
  <c r="J3274" i="2" s="1"/>
  <c r="I3275" i="2"/>
  <c r="J3275" i="2" s="1"/>
  <c r="I3276" i="2"/>
  <c r="J3276" i="2" s="1"/>
  <c r="I3277" i="2"/>
  <c r="J3277" i="2" s="1"/>
  <c r="I3278" i="2"/>
  <c r="J3278" i="2" s="1"/>
  <c r="I3279" i="2"/>
  <c r="J3279" i="2" s="1"/>
  <c r="I3280" i="2"/>
  <c r="J3280" i="2" s="1"/>
  <c r="I3281" i="2"/>
  <c r="J3281" i="2" s="1"/>
  <c r="I3282" i="2"/>
  <c r="J3282" i="2" s="1"/>
  <c r="I3283" i="2"/>
  <c r="J3283" i="2" s="1"/>
  <c r="I3284" i="2"/>
  <c r="J3284" i="2" s="1"/>
  <c r="I3285" i="2"/>
  <c r="J3285" i="2" s="1"/>
  <c r="I3286" i="2"/>
  <c r="J3286" i="2" s="1"/>
  <c r="I3287" i="2"/>
  <c r="J3287" i="2" s="1"/>
  <c r="I3288" i="2"/>
  <c r="J3288" i="2" s="1"/>
  <c r="I3289" i="2"/>
  <c r="J3289" i="2" s="1"/>
  <c r="I3290" i="2"/>
  <c r="J3290" i="2" s="1"/>
  <c r="I3291" i="2"/>
  <c r="J3291" i="2" s="1"/>
  <c r="I3292" i="2"/>
  <c r="J3292" i="2" s="1"/>
  <c r="I3293" i="2"/>
  <c r="J3293" i="2" s="1"/>
  <c r="I3294" i="2"/>
  <c r="J3294" i="2" s="1"/>
  <c r="I3295" i="2"/>
  <c r="J3295" i="2" s="1"/>
  <c r="I3296" i="2"/>
  <c r="J3296" i="2" s="1"/>
  <c r="I3297" i="2"/>
  <c r="J3297" i="2" s="1"/>
  <c r="I3298" i="2"/>
  <c r="J3298" i="2" s="1"/>
  <c r="I3299" i="2"/>
  <c r="J3299" i="2" s="1"/>
  <c r="I3300" i="2"/>
  <c r="J3300" i="2" s="1"/>
  <c r="I3301" i="2"/>
  <c r="J3301" i="2" s="1"/>
  <c r="I3302" i="2"/>
  <c r="J3302" i="2" s="1"/>
  <c r="I3303" i="2"/>
  <c r="J3303" i="2" s="1"/>
  <c r="I3304" i="2"/>
  <c r="J3304" i="2" s="1"/>
  <c r="I3305" i="2"/>
  <c r="J3305" i="2" s="1"/>
  <c r="I3306" i="2"/>
  <c r="J3306" i="2" s="1"/>
  <c r="I3307" i="2"/>
  <c r="J3307" i="2" s="1"/>
  <c r="I3308" i="2"/>
  <c r="J3308" i="2" s="1"/>
  <c r="I3309" i="2"/>
  <c r="J3309" i="2" s="1"/>
  <c r="I3310" i="2"/>
  <c r="J3310" i="2" s="1"/>
  <c r="I3311" i="2"/>
  <c r="J3311" i="2" s="1"/>
  <c r="I3312" i="2"/>
  <c r="J3312" i="2" s="1"/>
  <c r="I3313" i="2"/>
  <c r="J3313" i="2" s="1"/>
  <c r="I3314" i="2"/>
  <c r="J3314" i="2" s="1"/>
  <c r="I3315" i="2"/>
  <c r="J3315" i="2" s="1"/>
  <c r="I3316" i="2"/>
  <c r="J3316" i="2" s="1"/>
  <c r="I3317" i="2"/>
  <c r="J3317" i="2" s="1"/>
  <c r="I3318" i="2"/>
  <c r="J3318" i="2" s="1"/>
  <c r="I3319" i="2"/>
  <c r="J3319" i="2" s="1"/>
  <c r="I3320" i="2"/>
  <c r="J3320" i="2" s="1"/>
  <c r="I3321" i="2"/>
  <c r="J3321" i="2" s="1"/>
  <c r="I3322" i="2"/>
  <c r="J3322" i="2" s="1"/>
  <c r="I3323" i="2"/>
  <c r="J3323" i="2" s="1"/>
  <c r="I3324" i="2"/>
  <c r="J3324" i="2" s="1"/>
  <c r="I3325" i="2"/>
  <c r="J3325" i="2" s="1"/>
  <c r="I3326" i="2"/>
  <c r="J3326" i="2" s="1"/>
  <c r="I3327" i="2"/>
  <c r="J3327" i="2" s="1"/>
  <c r="I3328" i="2"/>
  <c r="J3328" i="2" s="1"/>
  <c r="I3329" i="2"/>
  <c r="J3329" i="2" s="1"/>
  <c r="I3330" i="2"/>
  <c r="J3330" i="2" s="1"/>
  <c r="I3331" i="2"/>
  <c r="J3331" i="2" s="1"/>
  <c r="I3332" i="2"/>
  <c r="J3332" i="2" s="1"/>
  <c r="I3333" i="2"/>
  <c r="J3333" i="2" s="1"/>
  <c r="I3334" i="2"/>
  <c r="J3334" i="2" s="1"/>
  <c r="I3335" i="2"/>
  <c r="J3335" i="2" s="1"/>
  <c r="I3336" i="2"/>
  <c r="J3336" i="2" s="1"/>
  <c r="I3337" i="2"/>
  <c r="J3337" i="2" s="1"/>
  <c r="I3338" i="2"/>
  <c r="J3338" i="2" s="1"/>
  <c r="I3339" i="2"/>
  <c r="J3339" i="2" s="1"/>
  <c r="I3340" i="2"/>
  <c r="J3340" i="2" s="1"/>
  <c r="I3341" i="2"/>
  <c r="J3341" i="2" s="1"/>
  <c r="I3342" i="2"/>
  <c r="J3342" i="2" s="1"/>
  <c r="I3343" i="2"/>
  <c r="J3343" i="2" s="1"/>
  <c r="I3344" i="2"/>
  <c r="J3344" i="2" s="1"/>
  <c r="I3345" i="2"/>
  <c r="J3345" i="2" s="1"/>
  <c r="I3346" i="2"/>
  <c r="J3346" i="2" s="1"/>
  <c r="I3347" i="2"/>
  <c r="J3347" i="2" s="1"/>
  <c r="I3348" i="2"/>
  <c r="J3348" i="2" s="1"/>
  <c r="I3349" i="2"/>
  <c r="J3349" i="2" s="1"/>
  <c r="I3350" i="2"/>
  <c r="J3350" i="2" s="1"/>
  <c r="I3351" i="2"/>
  <c r="J3351" i="2" s="1"/>
  <c r="I3352" i="2"/>
  <c r="J3352" i="2" s="1"/>
  <c r="I3353" i="2"/>
  <c r="J3353" i="2" s="1"/>
  <c r="I3354" i="2"/>
  <c r="J3354" i="2" s="1"/>
  <c r="I3355" i="2"/>
  <c r="J3355" i="2" s="1"/>
  <c r="I3356" i="2"/>
  <c r="J3356" i="2" s="1"/>
  <c r="I3357" i="2"/>
  <c r="J3357" i="2" s="1"/>
  <c r="I3358" i="2"/>
  <c r="J3358" i="2" s="1"/>
  <c r="I3359" i="2"/>
  <c r="J3359" i="2" s="1"/>
  <c r="I3360" i="2"/>
  <c r="J3360" i="2" s="1"/>
  <c r="I3361" i="2"/>
  <c r="J3361" i="2" s="1"/>
  <c r="I3362" i="2"/>
  <c r="J3362" i="2" s="1"/>
  <c r="I3363" i="2"/>
  <c r="J3363" i="2" s="1"/>
  <c r="I3364" i="2"/>
  <c r="J3364" i="2" s="1"/>
  <c r="I3365" i="2"/>
  <c r="J3365" i="2" s="1"/>
  <c r="I3366" i="2"/>
  <c r="J3366" i="2" s="1"/>
  <c r="I3367" i="2"/>
  <c r="J3367" i="2" s="1"/>
  <c r="I3368" i="2"/>
  <c r="J3368" i="2" s="1"/>
  <c r="I3369" i="2"/>
  <c r="J3369" i="2" s="1"/>
  <c r="I3370" i="2"/>
  <c r="J3370" i="2" s="1"/>
  <c r="I3371" i="2"/>
  <c r="J3371" i="2" s="1"/>
  <c r="I3372" i="2"/>
  <c r="J3372" i="2" s="1"/>
  <c r="I3373" i="2"/>
  <c r="J3373" i="2" s="1"/>
  <c r="I3374" i="2"/>
  <c r="J3374" i="2" s="1"/>
  <c r="I3375" i="2"/>
  <c r="J3375" i="2" s="1"/>
  <c r="I3376" i="2"/>
  <c r="J3376" i="2" s="1"/>
  <c r="I3377" i="2"/>
  <c r="J3377" i="2" s="1"/>
  <c r="I3378" i="2"/>
  <c r="J3378" i="2" s="1"/>
  <c r="I3379" i="2"/>
  <c r="J3379" i="2" s="1"/>
  <c r="I3380" i="2"/>
  <c r="J3380" i="2" s="1"/>
  <c r="I3381" i="2"/>
  <c r="J3381" i="2" s="1"/>
  <c r="I3382" i="2"/>
  <c r="J3382" i="2" s="1"/>
  <c r="I3383" i="2"/>
  <c r="J3383" i="2" s="1"/>
  <c r="I3384" i="2"/>
  <c r="J3384" i="2" s="1"/>
  <c r="I3385" i="2"/>
  <c r="J3385" i="2" s="1"/>
  <c r="I3386" i="2"/>
  <c r="J3386" i="2" s="1"/>
  <c r="I3387" i="2"/>
  <c r="J3387" i="2" s="1"/>
  <c r="I3388" i="2"/>
  <c r="J3388" i="2" s="1"/>
  <c r="I3389" i="2"/>
  <c r="J3389" i="2" s="1"/>
  <c r="I3390" i="2"/>
  <c r="J3390" i="2" s="1"/>
  <c r="I3391" i="2"/>
  <c r="J3391" i="2" s="1"/>
  <c r="I3392" i="2"/>
  <c r="J3392" i="2" s="1"/>
  <c r="I3393" i="2"/>
  <c r="J3393" i="2" s="1"/>
  <c r="I3394" i="2"/>
  <c r="J3394" i="2" s="1"/>
  <c r="I3395" i="2"/>
  <c r="J3395" i="2" s="1"/>
  <c r="I3396" i="2"/>
  <c r="J3396" i="2" s="1"/>
  <c r="I3397" i="2"/>
  <c r="J3397" i="2" s="1"/>
  <c r="I3398" i="2"/>
  <c r="J3398" i="2" s="1"/>
  <c r="I3399" i="2"/>
  <c r="J3399" i="2" s="1"/>
  <c r="I3400" i="2"/>
  <c r="J3400" i="2" s="1"/>
  <c r="I3401" i="2"/>
  <c r="J3401" i="2" s="1"/>
  <c r="I3402" i="2"/>
  <c r="J3402" i="2" s="1"/>
  <c r="I3403" i="2"/>
  <c r="J3403" i="2" s="1"/>
  <c r="I3404" i="2"/>
  <c r="J3404" i="2" s="1"/>
  <c r="I3405" i="2"/>
  <c r="J3405" i="2" s="1"/>
  <c r="I3406" i="2"/>
  <c r="J3406" i="2" s="1"/>
  <c r="I3407" i="2"/>
  <c r="J3407" i="2" s="1"/>
  <c r="I3408" i="2"/>
  <c r="J3408" i="2" s="1"/>
  <c r="I3409" i="2"/>
  <c r="J3409" i="2" s="1"/>
  <c r="I3410" i="2"/>
  <c r="J3410" i="2" s="1"/>
  <c r="I3411" i="2"/>
  <c r="J3411" i="2" s="1"/>
  <c r="I3412" i="2"/>
  <c r="J3412" i="2" s="1"/>
  <c r="I3413" i="2"/>
  <c r="J3413" i="2" s="1"/>
  <c r="I3414" i="2"/>
  <c r="J3414" i="2" s="1"/>
  <c r="I3415" i="2"/>
  <c r="J3415" i="2" s="1"/>
  <c r="I3416" i="2"/>
  <c r="J3416" i="2" s="1"/>
  <c r="I3417" i="2"/>
  <c r="J3417" i="2" s="1"/>
  <c r="I3418" i="2"/>
  <c r="J3418" i="2" s="1"/>
  <c r="I3419" i="2"/>
  <c r="J3419" i="2" s="1"/>
  <c r="I3420" i="2"/>
  <c r="J3420" i="2" s="1"/>
  <c r="I3421" i="2"/>
  <c r="J3421" i="2" s="1"/>
  <c r="I3422" i="2"/>
  <c r="J3422" i="2" s="1"/>
  <c r="I3423" i="2"/>
  <c r="J3423" i="2" s="1"/>
  <c r="I3424" i="2"/>
  <c r="J3424" i="2" s="1"/>
  <c r="I3425" i="2"/>
  <c r="J3425" i="2" s="1"/>
  <c r="I3426" i="2"/>
  <c r="J3426" i="2" s="1"/>
  <c r="I3427" i="2"/>
  <c r="J3427" i="2" s="1"/>
  <c r="I3428" i="2"/>
  <c r="J3428" i="2" s="1"/>
  <c r="I3429" i="2"/>
  <c r="J3429" i="2" s="1"/>
  <c r="I3430" i="2"/>
  <c r="J3430" i="2" s="1"/>
  <c r="I3431" i="2"/>
  <c r="J3431" i="2" s="1"/>
  <c r="I3432" i="2"/>
  <c r="J3432" i="2" s="1"/>
  <c r="I3433" i="2"/>
  <c r="J3433" i="2" s="1"/>
  <c r="I3434" i="2"/>
  <c r="J3434" i="2" s="1"/>
  <c r="I3435" i="2"/>
  <c r="J3435" i="2" s="1"/>
  <c r="I3436" i="2"/>
  <c r="J3436" i="2" s="1"/>
  <c r="I3437" i="2"/>
  <c r="J3437" i="2" s="1"/>
  <c r="I3438" i="2"/>
  <c r="J3438" i="2" s="1"/>
  <c r="I3439" i="2"/>
  <c r="J3439" i="2" s="1"/>
  <c r="I3440" i="2"/>
  <c r="J3440" i="2" s="1"/>
  <c r="I3441" i="2"/>
  <c r="J3441" i="2" s="1"/>
  <c r="I3442" i="2"/>
  <c r="J3442" i="2" s="1"/>
  <c r="I3443" i="2"/>
  <c r="J3443" i="2" s="1"/>
  <c r="I3444" i="2"/>
  <c r="J3444" i="2" s="1"/>
  <c r="I3445" i="2"/>
  <c r="J3445" i="2" s="1"/>
  <c r="I3446" i="2"/>
  <c r="J3446" i="2" s="1"/>
  <c r="I3447" i="2"/>
  <c r="J3447" i="2" s="1"/>
  <c r="I3448" i="2"/>
  <c r="J3448" i="2" s="1"/>
  <c r="I3449" i="2"/>
  <c r="J3449" i="2" s="1"/>
  <c r="I3450" i="2"/>
  <c r="J3450" i="2" s="1"/>
  <c r="I3451" i="2"/>
  <c r="J3451" i="2" s="1"/>
  <c r="I3452" i="2"/>
  <c r="J3452" i="2" s="1"/>
  <c r="I3453" i="2"/>
  <c r="J3453" i="2" s="1"/>
  <c r="I3454" i="2"/>
  <c r="J3454" i="2" s="1"/>
  <c r="I3455" i="2"/>
  <c r="J3455" i="2" s="1"/>
  <c r="I3456" i="2"/>
  <c r="J3456" i="2" s="1"/>
  <c r="I3457" i="2"/>
  <c r="J3457" i="2" s="1"/>
  <c r="I3458" i="2"/>
  <c r="J3458" i="2" s="1"/>
  <c r="I3459" i="2"/>
  <c r="J3459" i="2" s="1"/>
  <c r="I3460" i="2"/>
  <c r="J3460" i="2" s="1"/>
  <c r="I3461" i="2"/>
  <c r="J3461" i="2" s="1"/>
  <c r="I3462" i="2"/>
  <c r="J3462" i="2" s="1"/>
  <c r="I3463" i="2"/>
  <c r="J3463" i="2" s="1"/>
  <c r="I3464" i="2"/>
  <c r="J3464" i="2" s="1"/>
  <c r="I3465" i="2"/>
  <c r="J3465" i="2" s="1"/>
  <c r="I3466" i="2"/>
  <c r="J3466" i="2" s="1"/>
  <c r="I3467" i="2"/>
  <c r="J3467" i="2" s="1"/>
  <c r="I3468" i="2"/>
  <c r="J3468" i="2" s="1"/>
  <c r="I3469" i="2"/>
  <c r="J3469" i="2" s="1"/>
  <c r="I3470" i="2"/>
  <c r="J3470" i="2" s="1"/>
  <c r="I3471" i="2"/>
  <c r="J3471" i="2" s="1"/>
  <c r="I3472" i="2"/>
  <c r="J3472" i="2" s="1"/>
  <c r="I3473" i="2"/>
  <c r="J3473" i="2" s="1"/>
  <c r="I3474" i="2"/>
  <c r="J3474" i="2" s="1"/>
  <c r="I3475" i="2"/>
  <c r="J3475" i="2" s="1"/>
  <c r="I3476" i="2"/>
  <c r="J3476" i="2" s="1"/>
  <c r="I3477" i="2"/>
  <c r="J3477" i="2" s="1"/>
  <c r="I3478" i="2"/>
  <c r="J3478" i="2" s="1"/>
  <c r="I3479" i="2"/>
  <c r="J3479" i="2" s="1"/>
  <c r="I3480" i="2"/>
  <c r="J3480" i="2" s="1"/>
  <c r="I3481" i="2"/>
  <c r="J3481" i="2" s="1"/>
  <c r="I3482" i="2"/>
  <c r="J3482" i="2" s="1"/>
  <c r="I3483" i="2"/>
  <c r="J3483" i="2" s="1"/>
  <c r="I3484" i="2"/>
  <c r="J3484" i="2" s="1"/>
  <c r="I3485" i="2"/>
  <c r="J3485" i="2" s="1"/>
  <c r="I3486" i="2"/>
  <c r="J3486" i="2" s="1"/>
  <c r="I3487" i="2"/>
  <c r="J3487" i="2" s="1"/>
  <c r="I3488" i="2"/>
  <c r="J3488" i="2" s="1"/>
  <c r="I3489" i="2"/>
  <c r="J3489" i="2" s="1"/>
  <c r="I3490" i="2"/>
  <c r="J3490" i="2" s="1"/>
  <c r="I3491" i="2"/>
  <c r="J3491" i="2" s="1"/>
  <c r="I3492" i="2"/>
  <c r="J3492" i="2" s="1"/>
  <c r="I3493" i="2"/>
  <c r="J3493" i="2" s="1"/>
  <c r="I3494" i="2"/>
  <c r="J3494" i="2" s="1"/>
  <c r="I3495" i="2"/>
  <c r="J3495" i="2" s="1"/>
  <c r="I3496" i="2"/>
  <c r="J3496" i="2" s="1"/>
  <c r="I3497" i="2"/>
  <c r="J3497" i="2" s="1"/>
  <c r="I3498" i="2"/>
  <c r="J3498" i="2" s="1"/>
  <c r="I3499" i="2"/>
  <c r="J3499" i="2" s="1"/>
  <c r="I3500" i="2"/>
  <c r="J3500" i="2" s="1"/>
  <c r="I3501" i="2"/>
  <c r="J3501" i="2" s="1"/>
  <c r="I3502" i="2"/>
  <c r="J3502" i="2" s="1"/>
  <c r="I3503" i="2"/>
  <c r="J3503" i="2" s="1"/>
  <c r="I3504" i="2"/>
  <c r="J3504" i="2" s="1"/>
  <c r="I3505" i="2"/>
  <c r="J3505" i="2" s="1"/>
  <c r="I3506" i="2"/>
  <c r="J3506" i="2" s="1"/>
  <c r="I3507" i="2"/>
  <c r="J3507" i="2" s="1"/>
  <c r="I3508" i="2"/>
  <c r="J3508" i="2" s="1"/>
  <c r="I3509" i="2"/>
  <c r="J3509" i="2" s="1"/>
  <c r="I3510" i="2"/>
  <c r="J3510" i="2" s="1"/>
  <c r="I3511" i="2"/>
  <c r="J3511" i="2" s="1"/>
  <c r="I3512" i="2"/>
  <c r="J3512" i="2" s="1"/>
  <c r="I3513" i="2"/>
  <c r="J3513" i="2" s="1"/>
  <c r="I3514" i="2"/>
  <c r="J3514" i="2" s="1"/>
  <c r="I3515" i="2"/>
  <c r="J3515" i="2" s="1"/>
  <c r="I3516" i="2"/>
  <c r="J3516" i="2" s="1"/>
  <c r="I3517" i="2"/>
  <c r="J3517" i="2" s="1"/>
  <c r="I3518" i="2"/>
  <c r="J3518" i="2" s="1"/>
  <c r="I3519" i="2"/>
  <c r="J3519" i="2" s="1"/>
  <c r="I3520" i="2"/>
  <c r="J3520" i="2" s="1"/>
  <c r="I3521" i="2"/>
  <c r="J3521" i="2" s="1"/>
  <c r="I3522" i="2"/>
  <c r="J3522" i="2" s="1"/>
  <c r="I3523" i="2"/>
  <c r="J3523" i="2" s="1"/>
  <c r="I3524" i="2"/>
  <c r="J3524" i="2" s="1"/>
  <c r="I3525" i="2"/>
  <c r="J3525" i="2" s="1"/>
  <c r="I3526" i="2"/>
  <c r="J3526" i="2" s="1"/>
  <c r="I3527" i="2"/>
  <c r="J3527" i="2" s="1"/>
  <c r="I3528" i="2"/>
  <c r="J3528" i="2" s="1"/>
  <c r="I3529" i="2"/>
  <c r="J3529" i="2" s="1"/>
  <c r="I3530" i="2"/>
  <c r="J3530" i="2" s="1"/>
  <c r="I3531" i="2"/>
  <c r="J3531" i="2" s="1"/>
  <c r="I3532" i="2"/>
  <c r="J3532" i="2" s="1"/>
  <c r="I3533" i="2"/>
  <c r="J3533" i="2" s="1"/>
  <c r="I3534" i="2"/>
  <c r="J3534" i="2" s="1"/>
  <c r="I3535" i="2"/>
  <c r="J3535" i="2" s="1"/>
  <c r="I3536" i="2"/>
  <c r="J3536" i="2" s="1"/>
  <c r="I3537" i="2"/>
  <c r="J3537" i="2" s="1"/>
  <c r="I3538" i="2"/>
  <c r="J3538" i="2" s="1"/>
  <c r="I3539" i="2"/>
  <c r="J3539" i="2" s="1"/>
  <c r="I3540" i="2"/>
  <c r="J3540" i="2" s="1"/>
  <c r="I3541" i="2"/>
  <c r="J3541" i="2" s="1"/>
  <c r="I3542" i="2"/>
  <c r="J3542" i="2" s="1"/>
  <c r="I3543" i="2"/>
  <c r="J3543" i="2" s="1"/>
  <c r="I3544" i="2"/>
  <c r="J3544" i="2" s="1"/>
  <c r="I3545" i="2"/>
  <c r="J3545" i="2" s="1"/>
  <c r="I3546" i="2"/>
  <c r="J3546" i="2" s="1"/>
  <c r="I3547" i="2"/>
  <c r="J3547" i="2" s="1"/>
  <c r="I3548" i="2"/>
  <c r="J3548" i="2" s="1"/>
  <c r="I3549" i="2"/>
  <c r="J3549" i="2" s="1"/>
  <c r="I3550" i="2"/>
  <c r="J3550" i="2" s="1"/>
  <c r="I3551" i="2"/>
  <c r="J3551" i="2" s="1"/>
  <c r="I3552" i="2"/>
  <c r="J3552" i="2" s="1"/>
  <c r="I3553" i="2"/>
  <c r="J3553" i="2" s="1"/>
  <c r="I3554" i="2"/>
  <c r="J3554" i="2" s="1"/>
  <c r="I3555" i="2"/>
  <c r="J3555" i="2" s="1"/>
  <c r="I3556" i="2"/>
  <c r="J3556" i="2" s="1"/>
  <c r="I3557" i="2"/>
  <c r="J3557" i="2" s="1"/>
  <c r="I3558" i="2"/>
  <c r="J3558" i="2" s="1"/>
  <c r="I3559" i="2"/>
  <c r="J3559" i="2" s="1"/>
  <c r="I3560" i="2"/>
  <c r="J3560" i="2" s="1"/>
  <c r="I3561" i="2"/>
  <c r="J3561" i="2" s="1"/>
  <c r="I3562" i="2"/>
  <c r="J3562" i="2" s="1"/>
  <c r="I3563" i="2"/>
  <c r="J3563" i="2" s="1"/>
  <c r="I3564" i="2"/>
  <c r="J3564" i="2" s="1"/>
  <c r="I3565" i="2"/>
  <c r="J3565" i="2" s="1"/>
  <c r="I3566" i="2"/>
  <c r="J3566" i="2" s="1"/>
  <c r="I3567" i="2"/>
  <c r="J3567" i="2" s="1"/>
  <c r="I3568" i="2"/>
  <c r="J3568" i="2" s="1"/>
  <c r="I3569" i="2"/>
  <c r="J3569" i="2" s="1"/>
  <c r="I3570" i="2"/>
  <c r="J3570" i="2" s="1"/>
  <c r="I3571" i="2"/>
  <c r="J3571" i="2" s="1"/>
  <c r="I3572" i="2"/>
  <c r="J3572" i="2" s="1"/>
  <c r="I3573" i="2"/>
  <c r="J3573" i="2" s="1"/>
  <c r="I3574" i="2"/>
  <c r="J3574" i="2" s="1"/>
  <c r="I3575" i="2"/>
  <c r="J3575" i="2" s="1"/>
  <c r="I3576" i="2"/>
  <c r="J3576" i="2" s="1"/>
  <c r="I3577" i="2"/>
  <c r="J3577" i="2" s="1"/>
  <c r="I3578" i="2"/>
  <c r="J3578" i="2" s="1"/>
  <c r="I3579" i="2"/>
  <c r="J3579" i="2" s="1"/>
  <c r="I3580" i="2"/>
  <c r="J3580" i="2" s="1"/>
  <c r="I3581" i="2"/>
  <c r="J3581" i="2" s="1"/>
  <c r="I3582" i="2"/>
  <c r="J3582" i="2" s="1"/>
  <c r="I3583" i="2"/>
  <c r="J3583" i="2" s="1"/>
  <c r="I3584" i="2"/>
  <c r="J3584" i="2" s="1"/>
  <c r="I3585" i="2"/>
  <c r="J3585" i="2" s="1"/>
  <c r="I3586" i="2"/>
  <c r="J3586" i="2" s="1"/>
  <c r="I3587" i="2"/>
  <c r="J3587" i="2" s="1"/>
  <c r="I3588" i="2"/>
  <c r="J3588" i="2" s="1"/>
  <c r="I3589" i="2"/>
  <c r="J3589" i="2" s="1"/>
  <c r="I3590" i="2"/>
  <c r="J3590" i="2" s="1"/>
  <c r="I3591" i="2"/>
  <c r="J3591" i="2" s="1"/>
  <c r="I3592" i="2"/>
  <c r="J3592" i="2" s="1"/>
  <c r="I3593" i="2"/>
  <c r="J3593" i="2" s="1"/>
  <c r="I3594" i="2"/>
  <c r="J3594" i="2" s="1"/>
  <c r="I3595" i="2"/>
  <c r="J3595" i="2" s="1"/>
  <c r="I3596" i="2"/>
  <c r="J3596" i="2" s="1"/>
  <c r="I3597" i="2"/>
  <c r="J3597" i="2" s="1"/>
  <c r="I3598" i="2"/>
  <c r="J3598" i="2" s="1"/>
  <c r="I3599" i="2"/>
  <c r="J3599" i="2" s="1"/>
  <c r="I3600" i="2"/>
  <c r="J3600" i="2" s="1"/>
  <c r="I3601" i="2"/>
  <c r="J3601" i="2" s="1"/>
  <c r="I3602" i="2"/>
  <c r="J3602" i="2" s="1"/>
  <c r="I3603" i="2"/>
  <c r="J3603" i="2" s="1"/>
  <c r="I3604" i="2"/>
  <c r="J3604" i="2" s="1"/>
  <c r="I3605" i="2"/>
  <c r="J3605" i="2" s="1"/>
  <c r="I3606" i="2"/>
  <c r="J3606" i="2" s="1"/>
  <c r="I3607" i="2"/>
  <c r="J3607" i="2" s="1"/>
  <c r="I3608" i="2"/>
  <c r="J3608" i="2" s="1"/>
  <c r="I3609" i="2"/>
  <c r="J3609" i="2" s="1"/>
  <c r="I3610" i="2"/>
  <c r="J3610" i="2" s="1"/>
  <c r="I3611" i="2"/>
  <c r="J3611" i="2" s="1"/>
  <c r="I3612" i="2"/>
  <c r="J3612" i="2" s="1"/>
  <c r="I3613" i="2"/>
  <c r="J3613" i="2" s="1"/>
  <c r="I3614" i="2"/>
  <c r="J3614" i="2" s="1"/>
  <c r="I3615" i="2"/>
  <c r="J3615" i="2" s="1"/>
  <c r="I3616" i="2"/>
  <c r="J3616" i="2" s="1"/>
  <c r="I3617" i="2"/>
  <c r="J3617" i="2" s="1"/>
  <c r="I3618" i="2"/>
  <c r="J3618" i="2" s="1"/>
  <c r="I3619" i="2"/>
  <c r="J3619" i="2" s="1"/>
  <c r="I3620" i="2"/>
  <c r="J3620" i="2" s="1"/>
  <c r="I3621" i="2"/>
  <c r="J3621" i="2" s="1"/>
  <c r="I3622" i="2"/>
  <c r="J3622" i="2" s="1"/>
  <c r="I3623" i="2"/>
  <c r="J3623" i="2" s="1"/>
  <c r="I3624" i="2"/>
  <c r="J3624" i="2" s="1"/>
  <c r="I3625" i="2"/>
  <c r="J3625" i="2" s="1"/>
  <c r="I3626" i="2"/>
  <c r="J3626" i="2" s="1"/>
  <c r="I3627" i="2"/>
  <c r="J3627" i="2" s="1"/>
  <c r="I3628" i="2"/>
  <c r="J3628" i="2" s="1"/>
  <c r="I3629" i="2"/>
  <c r="J3629" i="2" s="1"/>
  <c r="I3630" i="2"/>
  <c r="J3630" i="2" s="1"/>
  <c r="I3631" i="2"/>
  <c r="J3631" i="2" s="1"/>
  <c r="I3632" i="2"/>
  <c r="J3632" i="2" s="1"/>
  <c r="I3633" i="2"/>
  <c r="J3633" i="2" s="1"/>
  <c r="I3634" i="2"/>
  <c r="J3634" i="2" s="1"/>
  <c r="I3635" i="2"/>
  <c r="J3635" i="2" s="1"/>
  <c r="I3636" i="2"/>
  <c r="J3636" i="2" s="1"/>
  <c r="I3637" i="2"/>
  <c r="J3637" i="2" s="1"/>
  <c r="I3638" i="2"/>
  <c r="J3638" i="2" s="1"/>
  <c r="I3639" i="2"/>
  <c r="J3639" i="2" s="1"/>
  <c r="I3640" i="2"/>
  <c r="J3640" i="2" s="1"/>
  <c r="I3641" i="2"/>
  <c r="J3641" i="2" s="1"/>
  <c r="I3642" i="2"/>
  <c r="J3642" i="2" s="1"/>
  <c r="I3643" i="2"/>
  <c r="J3643" i="2" s="1"/>
  <c r="I3644" i="2"/>
  <c r="J3644" i="2" s="1"/>
  <c r="I3645" i="2"/>
  <c r="J3645" i="2" s="1"/>
  <c r="I3646" i="2"/>
  <c r="J3646" i="2" s="1"/>
  <c r="I3647" i="2"/>
  <c r="J3647" i="2" s="1"/>
  <c r="I3648" i="2"/>
  <c r="J3648" i="2" s="1"/>
  <c r="I3649" i="2"/>
  <c r="J3649" i="2" s="1"/>
  <c r="I3650" i="2"/>
  <c r="J3650" i="2" s="1"/>
  <c r="I3651" i="2"/>
  <c r="J3651" i="2" s="1"/>
  <c r="I3652" i="2"/>
  <c r="J3652" i="2" s="1"/>
  <c r="I3653" i="2"/>
  <c r="J3653" i="2" s="1"/>
  <c r="I3654" i="2"/>
  <c r="J3654" i="2" s="1"/>
  <c r="I3655" i="2"/>
  <c r="J3655" i="2" s="1"/>
  <c r="I3656" i="2"/>
  <c r="J3656" i="2" s="1"/>
  <c r="I3657" i="2"/>
  <c r="J3657" i="2" s="1"/>
  <c r="I3658" i="2"/>
  <c r="J3658" i="2" s="1"/>
  <c r="I3659" i="2"/>
  <c r="J3659" i="2" s="1"/>
  <c r="I3660" i="2"/>
  <c r="J3660" i="2" s="1"/>
  <c r="I3661" i="2"/>
  <c r="J3661" i="2" s="1"/>
  <c r="I3662" i="2"/>
  <c r="J3662" i="2" s="1"/>
  <c r="I3663" i="2"/>
  <c r="J3663" i="2" s="1"/>
  <c r="I3664" i="2"/>
  <c r="J3664" i="2" s="1"/>
  <c r="I3665" i="2"/>
  <c r="J3665" i="2" s="1"/>
  <c r="I3666" i="2"/>
  <c r="J3666" i="2" s="1"/>
  <c r="I3667" i="2"/>
  <c r="J3667" i="2" s="1"/>
  <c r="I3668" i="2"/>
  <c r="J3668" i="2" s="1"/>
  <c r="I3669" i="2"/>
  <c r="J3669" i="2" s="1"/>
  <c r="I3670" i="2"/>
  <c r="J3670" i="2" s="1"/>
  <c r="I3671" i="2"/>
  <c r="J3671" i="2" s="1"/>
  <c r="I3672" i="2"/>
  <c r="J3672" i="2" s="1"/>
  <c r="I3673" i="2"/>
  <c r="J3673" i="2" s="1"/>
  <c r="I3674" i="2"/>
  <c r="J3674" i="2" s="1"/>
  <c r="I3675" i="2"/>
  <c r="J3675" i="2" s="1"/>
  <c r="I3676" i="2"/>
  <c r="J3676" i="2" s="1"/>
  <c r="I3677" i="2"/>
  <c r="J3677" i="2" s="1"/>
  <c r="I3678" i="2"/>
  <c r="J3678" i="2" s="1"/>
  <c r="I3679" i="2"/>
  <c r="J3679" i="2" s="1"/>
  <c r="I3680" i="2"/>
  <c r="J3680" i="2" s="1"/>
  <c r="I3681" i="2"/>
  <c r="J3681" i="2" s="1"/>
  <c r="I3682" i="2"/>
  <c r="J3682" i="2" s="1"/>
  <c r="I3683" i="2"/>
  <c r="J3683" i="2" s="1"/>
  <c r="I3684" i="2"/>
  <c r="J3684" i="2" s="1"/>
  <c r="I3685" i="2"/>
  <c r="J3685" i="2" s="1"/>
  <c r="I3686" i="2"/>
  <c r="J3686" i="2" s="1"/>
  <c r="I3687" i="2"/>
  <c r="J3687" i="2" s="1"/>
  <c r="I3688" i="2"/>
  <c r="J3688" i="2" s="1"/>
  <c r="I3689" i="2"/>
  <c r="J3689" i="2" s="1"/>
  <c r="I3690" i="2"/>
  <c r="J3690" i="2" s="1"/>
  <c r="I3691" i="2"/>
  <c r="J3691" i="2" s="1"/>
  <c r="I3692" i="2"/>
  <c r="J3692" i="2" s="1"/>
  <c r="I3693" i="2"/>
  <c r="J3693" i="2" s="1"/>
  <c r="I3694" i="2"/>
  <c r="J3694" i="2" s="1"/>
  <c r="I3695" i="2"/>
  <c r="J3695" i="2" s="1"/>
  <c r="I3696" i="2"/>
  <c r="J3696" i="2" s="1"/>
  <c r="I3697" i="2"/>
  <c r="J3697" i="2" s="1"/>
  <c r="I3698" i="2"/>
  <c r="J3698" i="2" s="1"/>
  <c r="I3699" i="2"/>
  <c r="J3699" i="2" s="1"/>
  <c r="I3700" i="2"/>
  <c r="J3700" i="2" s="1"/>
  <c r="I3701" i="2"/>
  <c r="J3701" i="2" s="1"/>
  <c r="I3702" i="2"/>
  <c r="J3702" i="2" s="1"/>
  <c r="I3703" i="2"/>
  <c r="J3703" i="2" s="1"/>
  <c r="I3704" i="2"/>
  <c r="J3704" i="2" s="1"/>
  <c r="I3705" i="2"/>
  <c r="J3705" i="2" s="1"/>
  <c r="I3706" i="2"/>
  <c r="J3706" i="2" s="1"/>
  <c r="I3707" i="2"/>
  <c r="J3707" i="2" s="1"/>
  <c r="I3708" i="2"/>
  <c r="J3708" i="2" s="1"/>
  <c r="I3709" i="2"/>
  <c r="J3709" i="2" s="1"/>
  <c r="I3710" i="2"/>
  <c r="J3710" i="2" s="1"/>
  <c r="I3711" i="2"/>
  <c r="J3711" i="2" s="1"/>
  <c r="I3712" i="2"/>
  <c r="J3712" i="2" s="1"/>
  <c r="I3713" i="2"/>
  <c r="J3713" i="2" s="1"/>
  <c r="I3714" i="2"/>
  <c r="J3714" i="2" s="1"/>
  <c r="I3715" i="2"/>
  <c r="J3715" i="2" s="1"/>
  <c r="I3716" i="2"/>
  <c r="J3716" i="2" s="1"/>
  <c r="I3717" i="2"/>
  <c r="J3717" i="2" s="1"/>
  <c r="I3718" i="2"/>
  <c r="J3718" i="2" s="1"/>
  <c r="I3719" i="2"/>
  <c r="J3719" i="2" s="1"/>
  <c r="I3720" i="2"/>
  <c r="J3720" i="2" s="1"/>
  <c r="I3721" i="2"/>
  <c r="J3721" i="2" s="1"/>
  <c r="I3722" i="2"/>
  <c r="J3722" i="2" s="1"/>
  <c r="I3723" i="2"/>
  <c r="J3723" i="2" s="1"/>
  <c r="I3724" i="2"/>
  <c r="J3724" i="2" s="1"/>
  <c r="I3725" i="2"/>
  <c r="J3725" i="2" s="1"/>
  <c r="I3726" i="2"/>
  <c r="J3726" i="2" s="1"/>
  <c r="I3727" i="2"/>
  <c r="J3727" i="2" s="1"/>
  <c r="I3728" i="2"/>
  <c r="J3728" i="2" s="1"/>
  <c r="I3729" i="2"/>
  <c r="J3729" i="2" s="1"/>
  <c r="I3730" i="2"/>
  <c r="J3730" i="2" s="1"/>
  <c r="I3731" i="2"/>
  <c r="J3731" i="2" s="1"/>
  <c r="I3732" i="2"/>
  <c r="J3732" i="2" s="1"/>
  <c r="I3733" i="2"/>
  <c r="J3733" i="2" s="1"/>
  <c r="I3734" i="2"/>
  <c r="J3734" i="2" s="1"/>
  <c r="I3735" i="2"/>
  <c r="J3735" i="2" s="1"/>
  <c r="I3736" i="2"/>
  <c r="J3736" i="2" s="1"/>
  <c r="I3737" i="2"/>
  <c r="J3737" i="2" s="1"/>
  <c r="I3738" i="2"/>
  <c r="J3738" i="2" s="1"/>
  <c r="I3739" i="2"/>
  <c r="J3739" i="2" s="1"/>
  <c r="I3740" i="2"/>
  <c r="J3740" i="2" s="1"/>
  <c r="I3741" i="2"/>
  <c r="J3741" i="2" s="1"/>
  <c r="I3742" i="2"/>
  <c r="J3742" i="2" s="1"/>
  <c r="I3743" i="2"/>
  <c r="J3743" i="2" s="1"/>
  <c r="I3744" i="2"/>
  <c r="J3744" i="2" s="1"/>
  <c r="I3745" i="2"/>
  <c r="J3745" i="2" s="1"/>
  <c r="I3746" i="2"/>
  <c r="J3746" i="2" s="1"/>
  <c r="I3747" i="2"/>
  <c r="J3747" i="2" s="1"/>
  <c r="I3748" i="2"/>
  <c r="J3748" i="2" s="1"/>
  <c r="I3749" i="2"/>
  <c r="J3749" i="2" s="1"/>
  <c r="I3750" i="2"/>
  <c r="J3750" i="2" s="1"/>
  <c r="I3751" i="2"/>
  <c r="J3751" i="2" s="1"/>
  <c r="I3752" i="2"/>
  <c r="J3752" i="2" s="1"/>
  <c r="I3753" i="2"/>
  <c r="J3753" i="2" s="1"/>
  <c r="I3754" i="2"/>
  <c r="J3754" i="2" s="1"/>
  <c r="I3755" i="2"/>
  <c r="J3755" i="2" s="1"/>
  <c r="I3756" i="2"/>
  <c r="J3756" i="2" s="1"/>
  <c r="I3757" i="2"/>
  <c r="J3757" i="2" s="1"/>
  <c r="I3758" i="2"/>
  <c r="J3758" i="2" s="1"/>
  <c r="I3759" i="2"/>
  <c r="J3759" i="2" s="1"/>
  <c r="I3760" i="2"/>
  <c r="J3760" i="2" s="1"/>
  <c r="I3761" i="2"/>
  <c r="J3761" i="2" s="1"/>
  <c r="I3762" i="2"/>
  <c r="J3762" i="2" s="1"/>
  <c r="I3763" i="2"/>
  <c r="J3763" i="2" s="1"/>
  <c r="I3764" i="2"/>
  <c r="J3764" i="2" s="1"/>
  <c r="I3765" i="2"/>
  <c r="J3765" i="2" s="1"/>
  <c r="I3766" i="2"/>
  <c r="J3766" i="2" s="1"/>
  <c r="I3767" i="2"/>
  <c r="J3767" i="2" s="1"/>
  <c r="I3768" i="2"/>
  <c r="J3768" i="2" s="1"/>
  <c r="I3769" i="2"/>
  <c r="J3769" i="2" s="1"/>
  <c r="I3770" i="2"/>
  <c r="J3770" i="2" s="1"/>
  <c r="I3771" i="2"/>
  <c r="J3771" i="2" s="1"/>
  <c r="I3772" i="2"/>
  <c r="J3772" i="2" s="1"/>
  <c r="I3773" i="2"/>
  <c r="J3773" i="2" s="1"/>
  <c r="I3774" i="2"/>
  <c r="J3774" i="2" s="1"/>
  <c r="I3775" i="2"/>
  <c r="J3775" i="2" s="1"/>
  <c r="I3776" i="2"/>
  <c r="J3776" i="2" s="1"/>
  <c r="I3777" i="2"/>
  <c r="J3777" i="2" s="1"/>
  <c r="I3778" i="2"/>
  <c r="J3778" i="2" s="1"/>
  <c r="I3779" i="2"/>
  <c r="J3779" i="2" s="1"/>
  <c r="I3780" i="2"/>
  <c r="J3780" i="2" s="1"/>
  <c r="I3781" i="2"/>
  <c r="J3781" i="2" s="1"/>
  <c r="I3782" i="2"/>
  <c r="J3782" i="2" s="1"/>
  <c r="I3783" i="2"/>
  <c r="J3783" i="2" s="1"/>
  <c r="I3784" i="2"/>
  <c r="J3784" i="2" s="1"/>
  <c r="I3785" i="2"/>
  <c r="J3785" i="2" s="1"/>
  <c r="I3786" i="2"/>
  <c r="J3786" i="2" s="1"/>
  <c r="I3787" i="2"/>
  <c r="J3787" i="2" s="1"/>
  <c r="I3788" i="2"/>
  <c r="J3788" i="2" s="1"/>
  <c r="I3789" i="2"/>
  <c r="J3789" i="2" s="1"/>
  <c r="I3790" i="2"/>
  <c r="J3790" i="2" s="1"/>
  <c r="I3791" i="2"/>
  <c r="J3791" i="2" s="1"/>
  <c r="I3792" i="2"/>
  <c r="J3792" i="2" s="1"/>
  <c r="I3793" i="2"/>
  <c r="J3793" i="2" s="1"/>
  <c r="I3794" i="2"/>
  <c r="J3794" i="2" s="1"/>
  <c r="I3795" i="2"/>
  <c r="J3795" i="2" s="1"/>
  <c r="I3796" i="2"/>
  <c r="J3796" i="2" s="1"/>
  <c r="I3797" i="2"/>
  <c r="J3797" i="2" s="1"/>
  <c r="I3798" i="2"/>
  <c r="J3798" i="2" s="1"/>
  <c r="I3799" i="2"/>
  <c r="J3799" i="2" s="1"/>
  <c r="I3800" i="2"/>
  <c r="J3800" i="2" s="1"/>
  <c r="I3801" i="2"/>
  <c r="J3801" i="2" s="1"/>
  <c r="I3802" i="2"/>
  <c r="J3802" i="2" s="1"/>
  <c r="I3803" i="2"/>
  <c r="J3803" i="2" s="1"/>
  <c r="I3804" i="2"/>
  <c r="J3804" i="2" s="1"/>
  <c r="I3805" i="2"/>
  <c r="J3805" i="2" s="1"/>
  <c r="I3806" i="2"/>
  <c r="J3806" i="2" s="1"/>
  <c r="I3807" i="2"/>
  <c r="J3807" i="2" s="1"/>
  <c r="I3808" i="2"/>
  <c r="J3808" i="2" s="1"/>
  <c r="I3809" i="2"/>
  <c r="J3809" i="2" s="1"/>
  <c r="I3810" i="2"/>
  <c r="J3810" i="2" s="1"/>
  <c r="I3811" i="2"/>
  <c r="J3811" i="2" s="1"/>
  <c r="I3812" i="2"/>
  <c r="J3812" i="2" s="1"/>
  <c r="I3813" i="2"/>
  <c r="J3813" i="2" s="1"/>
  <c r="I3814" i="2"/>
  <c r="J3814" i="2" s="1"/>
  <c r="I3815" i="2"/>
  <c r="J3815" i="2" s="1"/>
  <c r="I3816" i="2"/>
  <c r="J3816" i="2" s="1"/>
  <c r="I3817" i="2"/>
  <c r="J3817" i="2" s="1"/>
  <c r="I3818" i="2"/>
  <c r="J3818" i="2" s="1"/>
  <c r="I3819" i="2"/>
  <c r="J3819" i="2" s="1"/>
  <c r="I3820" i="2"/>
  <c r="J3820" i="2" s="1"/>
  <c r="I3821" i="2"/>
  <c r="J3821" i="2" s="1"/>
  <c r="I3822" i="2"/>
  <c r="J3822" i="2" s="1"/>
  <c r="I3823" i="2"/>
  <c r="J3823" i="2" s="1"/>
  <c r="I3824" i="2"/>
  <c r="J3824" i="2" s="1"/>
  <c r="I3825" i="2"/>
  <c r="J3825" i="2" s="1"/>
  <c r="I3826" i="2"/>
  <c r="J3826" i="2" s="1"/>
  <c r="I3827" i="2"/>
  <c r="J3827" i="2" s="1"/>
  <c r="I3828" i="2"/>
  <c r="J3828" i="2" s="1"/>
  <c r="I3829" i="2"/>
  <c r="J3829" i="2" s="1"/>
  <c r="I3830" i="2"/>
  <c r="J3830" i="2" s="1"/>
  <c r="I3831" i="2"/>
  <c r="J3831" i="2" s="1"/>
  <c r="I3832" i="2"/>
  <c r="J3832" i="2" s="1"/>
  <c r="I3833" i="2"/>
  <c r="J3833" i="2" s="1"/>
  <c r="I3834" i="2"/>
  <c r="J3834" i="2" s="1"/>
  <c r="I3835" i="2"/>
  <c r="J3835" i="2" s="1"/>
  <c r="I3836" i="2"/>
  <c r="J3836" i="2" s="1"/>
  <c r="I3837" i="2"/>
  <c r="J3837" i="2" s="1"/>
  <c r="I3838" i="2"/>
  <c r="J3838" i="2" s="1"/>
  <c r="I3839" i="2"/>
  <c r="J3839" i="2" s="1"/>
  <c r="I3840" i="2"/>
  <c r="J3840" i="2" s="1"/>
  <c r="I3841" i="2"/>
  <c r="J3841" i="2" s="1"/>
  <c r="I3842" i="2"/>
  <c r="J3842" i="2" s="1"/>
  <c r="I3843" i="2"/>
  <c r="J3843" i="2" s="1"/>
  <c r="I3844" i="2"/>
  <c r="J3844" i="2" s="1"/>
  <c r="I3845" i="2"/>
  <c r="J3845" i="2" s="1"/>
  <c r="I3846" i="2"/>
  <c r="J3846" i="2" s="1"/>
  <c r="I3847" i="2"/>
  <c r="J3847" i="2" s="1"/>
  <c r="I3848" i="2"/>
  <c r="J3848" i="2" s="1"/>
  <c r="I3849" i="2"/>
  <c r="J3849" i="2" s="1"/>
  <c r="I3850" i="2"/>
  <c r="J3850" i="2" s="1"/>
  <c r="I3851" i="2"/>
  <c r="J3851" i="2" s="1"/>
  <c r="I3852" i="2"/>
  <c r="J3852" i="2" s="1"/>
  <c r="I3853" i="2"/>
  <c r="J3853" i="2" s="1"/>
  <c r="I3854" i="2"/>
  <c r="J3854" i="2" s="1"/>
  <c r="I3855" i="2"/>
  <c r="J3855" i="2" s="1"/>
  <c r="I3856" i="2"/>
  <c r="J3856" i="2" s="1"/>
  <c r="I3857" i="2"/>
  <c r="J3857" i="2" s="1"/>
  <c r="I3858" i="2"/>
  <c r="J3858" i="2" s="1"/>
  <c r="I3859" i="2"/>
  <c r="J3859" i="2" s="1"/>
  <c r="I3860" i="2"/>
  <c r="J3860" i="2" s="1"/>
  <c r="I3861" i="2"/>
  <c r="J3861" i="2" s="1"/>
  <c r="I3862" i="2"/>
  <c r="J3862" i="2" s="1"/>
  <c r="I3863" i="2"/>
  <c r="J3863" i="2" s="1"/>
  <c r="I3864" i="2"/>
  <c r="J3864" i="2" s="1"/>
  <c r="I3865" i="2"/>
  <c r="J3865" i="2" s="1"/>
  <c r="I3866" i="2"/>
  <c r="J3866" i="2" s="1"/>
  <c r="I3867" i="2"/>
  <c r="J3867" i="2" s="1"/>
  <c r="I3868" i="2"/>
  <c r="J3868" i="2" s="1"/>
  <c r="I3869" i="2"/>
  <c r="J3869" i="2" s="1"/>
  <c r="I3870" i="2"/>
  <c r="J3870" i="2" s="1"/>
  <c r="I3871" i="2"/>
  <c r="J3871" i="2" s="1"/>
  <c r="I3872" i="2"/>
  <c r="J3872" i="2" s="1"/>
  <c r="I3873" i="2"/>
  <c r="J3873" i="2" s="1"/>
  <c r="I3874" i="2"/>
  <c r="J3874" i="2" s="1"/>
  <c r="I3875" i="2"/>
  <c r="J3875" i="2" s="1"/>
  <c r="I3876" i="2"/>
  <c r="J3876" i="2" s="1"/>
  <c r="I3877" i="2"/>
  <c r="J3877" i="2" s="1"/>
  <c r="I3878" i="2"/>
  <c r="J3878" i="2" s="1"/>
  <c r="I3879" i="2"/>
  <c r="J3879" i="2" s="1"/>
  <c r="I3880" i="2"/>
  <c r="J3880" i="2" s="1"/>
  <c r="I3881" i="2"/>
  <c r="J3881" i="2" s="1"/>
  <c r="I3882" i="2"/>
  <c r="J3882" i="2" s="1"/>
  <c r="I3883" i="2"/>
  <c r="J3883" i="2" s="1"/>
  <c r="I3884" i="2"/>
  <c r="J3884" i="2" s="1"/>
  <c r="I3885" i="2"/>
  <c r="J3885" i="2" s="1"/>
  <c r="I3886" i="2"/>
  <c r="J3886" i="2" s="1"/>
  <c r="I3887" i="2"/>
  <c r="J3887" i="2" s="1"/>
  <c r="I3888" i="2"/>
  <c r="J3888" i="2" s="1"/>
  <c r="I3889" i="2"/>
  <c r="J3889" i="2" s="1"/>
  <c r="I3890" i="2"/>
  <c r="J3890" i="2" s="1"/>
  <c r="I3891" i="2"/>
  <c r="J3891" i="2" s="1"/>
  <c r="I3892" i="2"/>
  <c r="J3892" i="2" s="1"/>
  <c r="I3893" i="2"/>
  <c r="J3893" i="2" s="1"/>
  <c r="I3894" i="2"/>
  <c r="J3894" i="2" s="1"/>
  <c r="I3895" i="2"/>
  <c r="J3895" i="2" s="1"/>
  <c r="I3896" i="2"/>
  <c r="J3896" i="2" s="1"/>
  <c r="I3897" i="2"/>
  <c r="J3897" i="2" s="1"/>
  <c r="I3898" i="2"/>
  <c r="J3898" i="2" s="1"/>
  <c r="I3899" i="2"/>
  <c r="J3899" i="2" s="1"/>
  <c r="I3900" i="2"/>
  <c r="J3900" i="2" s="1"/>
  <c r="I3901" i="2"/>
  <c r="J3901" i="2" s="1"/>
  <c r="I3902" i="2"/>
  <c r="J3902" i="2" s="1"/>
  <c r="I3903" i="2"/>
  <c r="J3903" i="2" s="1"/>
  <c r="I3904" i="2"/>
  <c r="J3904" i="2" s="1"/>
  <c r="I3905" i="2"/>
  <c r="J3905" i="2" s="1"/>
  <c r="I3906" i="2"/>
  <c r="J3906" i="2" s="1"/>
  <c r="I3907" i="2"/>
  <c r="J3907" i="2" s="1"/>
  <c r="I3908" i="2"/>
  <c r="J3908" i="2" s="1"/>
  <c r="I3909" i="2"/>
  <c r="J3909" i="2" s="1"/>
  <c r="I3910" i="2"/>
  <c r="J3910" i="2" s="1"/>
  <c r="I3911" i="2"/>
  <c r="J3911" i="2" s="1"/>
  <c r="I3912" i="2"/>
  <c r="J3912" i="2" s="1"/>
  <c r="I3913" i="2"/>
  <c r="J3913" i="2" s="1"/>
  <c r="I3914" i="2"/>
  <c r="J3914" i="2" s="1"/>
  <c r="I3915" i="2"/>
  <c r="J3915" i="2" s="1"/>
  <c r="I3916" i="2"/>
  <c r="J3916" i="2" s="1"/>
  <c r="I3917" i="2"/>
  <c r="J3917" i="2" s="1"/>
  <c r="I3918" i="2"/>
  <c r="J3918" i="2" s="1"/>
  <c r="I3919" i="2"/>
  <c r="J3919" i="2" s="1"/>
  <c r="I3920" i="2"/>
  <c r="J3920" i="2" s="1"/>
  <c r="I3921" i="2"/>
  <c r="J3921" i="2" s="1"/>
  <c r="I3922" i="2"/>
  <c r="J3922" i="2" s="1"/>
  <c r="I3923" i="2"/>
  <c r="J3923" i="2" s="1"/>
  <c r="I3924" i="2"/>
  <c r="J3924" i="2" s="1"/>
  <c r="I3925" i="2"/>
  <c r="J3925" i="2" s="1"/>
  <c r="I3926" i="2"/>
  <c r="J3926" i="2" s="1"/>
  <c r="I3927" i="2"/>
  <c r="J3927" i="2" s="1"/>
  <c r="I3928" i="2"/>
  <c r="J3928" i="2" s="1"/>
  <c r="I3929" i="2"/>
  <c r="J3929" i="2" s="1"/>
  <c r="I3930" i="2"/>
  <c r="J3930" i="2" s="1"/>
  <c r="I3931" i="2"/>
  <c r="J3931" i="2" s="1"/>
  <c r="I3932" i="2"/>
  <c r="J3932" i="2" s="1"/>
  <c r="I3933" i="2"/>
  <c r="J3933" i="2" s="1"/>
  <c r="I3934" i="2"/>
  <c r="J3934" i="2" s="1"/>
  <c r="I3935" i="2"/>
  <c r="J3935" i="2" s="1"/>
  <c r="I3936" i="2"/>
  <c r="J3936" i="2" s="1"/>
  <c r="I3937" i="2"/>
  <c r="J3937" i="2" s="1"/>
  <c r="I3938" i="2"/>
  <c r="J3938" i="2" s="1"/>
  <c r="I3939" i="2"/>
  <c r="J3939" i="2" s="1"/>
  <c r="I3940" i="2"/>
  <c r="J3940" i="2" s="1"/>
  <c r="I3941" i="2"/>
  <c r="J3941" i="2" s="1"/>
  <c r="I3942" i="2"/>
  <c r="J3942" i="2" s="1"/>
  <c r="I3943" i="2"/>
  <c r="J3943" i="2" s="1"/>
  <c r="I3944" i="2"/>
  <c r="J3944" i="2" s="1"/>
  <c r="I3945" i="2"/>
  <c r="J3945" i="2" s="1"/>
  <c r="I3946" i="2"/>
  <c r="J3946" i="2" s="1"/>
  <c r="I3947" i="2"/>
  <c r="J3947" i="2" s="1"/>
  <c r="I3948" i="2"/>
  <c r="J3948" i="2" s="1"/>
  <c r="I3949" i="2"/>
  <c r="J3949" i="2" s="1"/>
  <c r="I3950" i="2"/>
  <c r="J3950" i="2" s="1"/>
  <c r="I3951" i="2"/>
  <c r="J3951" i="2" s="1"/>
  <c r="I3952" i="2"/>
  <c r="J3952" i="2" s="1"/>
  <c r="I3953" i="2"/>
  <c r="J3953" i="2" s="1"/>
  <c r="I3954" i="2"/>
  <c r="J3954" i="2" s="1"/>
  <c r="I3955" i="2"/>
  <c r="J3955" i="2" s="1"/>
  <c r="I3956" i="2"/>
  <c r="J3956" i="2" s="1"/>
  <c r="I3957" i="2"/>
  <c r="J3957" i="2" s="1"/>
  <c r="I3958" i="2"/>
  <c r="J3958" i="2" s="1"/>
  <c r="I3959" i="2"/>
  <c r="J3959" i="2" s="1"/>
  <c r="I3960" i="2"/>
  <c r="J3960" i="2" s="1"/>
  <c r="I3961" i="2"/>
  <c r="J3961" i="2" s="1"/>
  <c r="I3962" i="2"/>
  <c r="J3962" i="2" s="1"/>
  <c r="I3963" i="2"/>
  <c r="J3963" i="2" s="1"/>
  <c r="I3964" i="2"/>
  <c r="J3964" i="2" s="1"/>
  <c r="I3965" i="2"/>
  <c r="J3965" i="2" s="1"/>
  <c r="I3966" i="2"/>
  <c r="J3966" i="2" s="1"/>
  <c r="I3967" i="2"/>
  <c r="J3967" i="2" s="1"/>
  <c r="I3968" i="2"/>
  <c r="J3968" i="2" s="1"/>
  <c r="I3969" i="2"/>
  <c r="J3969" i="2" s="1"/>
  <c r="I3970" i="2"/>
  <c r="J3970" i="2" s="1"/>
  <c r="I3971" i="2"/>
  <c r="J3971" i="2" s="1"/>
  <c r="I3972" i="2"/>
  <c r="J3972" i="2" s="1"/>
  <c r="I3973" i="2"/>
  <c r="J3973" i="2" s="1"/>
  <c r="I3974" i="2"/>
  <c r="J3974" i="2" s="1"/>
  <c r="I3975" i="2"/>
  <c r="J3975" i="2" s="1"/>
  <c r="I3976" i="2"/>
  <c r="J3976" i="2" s="1"/>
  <c r="I3977" i="2"/>
  <c r="J3977" i="2" s="1"/>
  <c r="I3978" i="2"/>
  <c r="J3978" i="2" s="1"/>
  <c r="I3979" i="2"/>
  <c r="J3979" i="2" s="1"/>
  <c r="I3980" i="2"/>
  <c r="J3980" i="2" s="1"/>
  <c r="I3981" i="2"/>
  <c r="J3981" i="2" s="1"/>
  <c r="I3982" i="2"/>
  <c r="J3982" i="2" s="1"/>
  <c r="I3983" i="2"/>
  <c r="J3983" i="2" s="1"/>
  <c r="I3984" i="2"/>
  <c r="J3984" i="2" s="1"/>
  <c r="I3985" i="2"/>
  <c r="J3985" i="2" s="1"/>
  <c r="I3986" i="2"/>
  <c r="J3986" i="2" s="1"/>
  <c r="I3987" i="2"/>
  <c r="J3987" i="2" s="1"/>
  <c r="I3988" i="2"/>
  <c r="J3988" i="2" s="1"/>
  <c r="I3989" i="2"/>
  <c r="J3989" i="2" s="1"/>
  <c r="I3990" i="2"/>
  <c r="J3990" i="2" s="1"/>
  <c r="I3991" i="2"/>
  <c r="J3991" i="2" s="1"/>
  <c r="I3992" i="2"/>
  <c r="J3992" i="2" s="1"/>
  <c r="I3993" i="2"/>
  <c r="J3993" i="2" s="1"/>
  <c r="I3994" i="2"/>
  <c r="J3994" i="2" s="1"/>
  <c r="I3995" i="2"/>
  <c r="J3995" i="2" s="1"/>
  <c r="I3996" i="2"/>
  <c r="J3996" i="2" s="1"/>
  <c r="I3997" i="2"/>
  <c r="J3997" i="2" s="1"/>
  <c r="I3998" i="2"/>
  <c r="J3998" i="2" s="1"/>
  <c r="I3999" i="2"/>
  <c r="J3999" i="2" s="1"/>
  <c r="I4000" i="2"/>
  <c r="J4000" i="2" s="1"/>
  <c r="I4001" i="2"/>
  <c r="J4001" i="2" s="1"/>
  <c r="I4002" i="2"/>
  <c r="J4002" i="2" s="1"/>
  <c r="I4003" i="2"/>
  <c r="J4003" i="2" s="1"/>
  <c r="I4004" i="2"/>
  <c r="J4004" i="2" s="1"/>
  <c r="I4005" i="2"/>
  <c r="J4005" i="2" s="1"/>
  <c r="I4006" i="2"/>
  <c r="J4006" i="2" s="1"/>
  <c r="I4007" i="2"/>
  <c r="J4007" i="2" s="1"/>
  <c r="I4008" i="2"/>
  <c r="J4008" i="2" s="1"/>
  <c r="I4009" i="2"/>
  <c r="J4009" i="2" s="1"/>
  <c r="I4010" i="2"/>
  <c r="J4010" i="2" s="1"/>
  <c r="I4011" i="2"/>
  <c r="J4011" i="2" s="1"/>
  <c r="I4012" i="2"/>
  <c r="J4012" i="2" s="1"/>
  <c r="I4013" i="2"/>
  <c r="J4013" i="2" s="1"/>
  <c r="I4014" i="2"/>
  <c r="J4014" i="2" s="1"/>
  <c r="I4015" i="2"/>
  <c r="J4015" i="2" s="1"/>
  <c r="I4016" i="2"/>
  <c r="J4016" i="2" s="1"/>
  <c r="I4017" i="2"/>
  <c r="J4017" i="2" s="1"/>
  <c r="I4018" i="2"/>
  <c r="J4018" i="2" s="1"/>
  <c r="I4019" i="2"/>
  <c r="J4019" i="2" s="1"/>
  <c r="I4020" i="2"/>
  <c r="J4020" i="2" s="1"/>
  <c r="I4021" i="2"/>
  <c r="J4021" i="2" s="1"/>
  <c r="I4022" i="2"/>
  <c r="J4022" i="2" s="1"/>
  <c r="I4023" i="2"/>
  <c r="J4023" i="2" s="1"/>
  <c r="I4024" i="2"/>
  <c r="J4024" i="2" s="1"/>
  <c r="I4025" i="2"/>
  <c r="J4025" i="2" s="1"/>
  <c r="I4026" i="2"/>
  <c r="J4026" i="2" s="1"/>
  <c r="I4027" i="2"/>
  <c r="J4027" i="2" s="1"/>
  <c r="I4028" i="2"/>
  <c r="J4028" i="2" s="1"/>
  <c r="I4029" i="2"/>
  <c r="J4029" i="2" s="1"/>
  <c r="I4030" i="2"/>
  <c r="J4030" i="2" s="1"/>
  <c r="I4031" i="2"/>
  <c r="J4031" i="2" s="1"/>
  <c r="I4032" i="2"/>
  <c r="J4032" i="2" s="1"/>
  <c r="I4033" i="2"/>
  <c r="J4033" i="2" s="1"/>
  <c r="I4034" i="2"/>
  <c r="J4034" i="2" s="1"/>
  <c r="I4035" i="2"/>
  <c r="J4035" i="2" s="1"/>
  <c r="I4036" i="2"/>
  <c r="J4036" i="2" s="1"/>
  <c r="I4037" i="2"/>
  <c r="J4037" i="2" s="1"/>
  <c r="I4038" i="2"/>
  <c r="J4038" i="2" s="1"/>
  <c r="I4039" i="2"/>
  <c r="J4039" i="2" s="1"/>
  <c r="I4040" i="2"/>
  <c r="J4040" i="2" s="1"/>
  <c r="I4041" i="2"/>
  <c r="J4041" i="2" s="1"/>
  <c r="I4042" i="2"/>
  <c r="J4042" i="2" s="1"/>
  <c r="I4043" i="2"/>
  <c r="J4043" i="2" s="1"/>
  <c r="I4044" i="2"/>
  <c r="J4044" i="2" s="1"/>
  <c r="I4045" i="2"/>
  <c r="J4045" i="2" s="1"/>
  <c r="I4046" i="2"/>
  <c r="J4046" i="2" s="1"/>
  <c r="I4047" i="2"/>
  <c r="J4047" i="2" s="1"/>
  <c r="I4048" i="2"/>
  <c r="J4048" i="2" s="1"/>
  <c r="I4049" i="2"/>
  <c r="J4049" i="2" s="1"/>
  <c r="I4050" i="2"/>
  <c r="J4050" i="2" s="1"/>
  <c r="I4051" i="2"/>
  <c r="J4051" i="2" s="1"/>
  <c r="I4052" i="2"/>
  <c r="J4052" i="2" s="1"/>
  <c r="I4053" i="2"/>
  <c r="J4053" i="2" s="1"/>
  <c r="I4054" i="2"/>
  <c r="J4054" i="2" s="1"/>
  <c r="I4055" i="2"/>
  <c r="J4055" i="2" s="1"/>
  <c r="I4056" i="2"/>
  <c r="J4056" i="2" s="1"/>
  <c r="I4057" i="2"/>
  <c r="J4057" i="2" s="1"/>
  <c r="I4058" i="2"/>
  <c r="J4058" i="2" s="1"/>
  <c r="I4059" i="2"/>
  <c r="J4059" i="2" s="1"/>
  <c r="I4060" i="2"/>
  <c r="J4060" i="2" s="1"/>
  <c r="I4061" i="2"/>
  <c r="J4061" i="2" s="1"/>
  <c r="I4062" i="2"/>
  <c r="J4062" i="2" s="1"/>
  <c r="I4063" i="2"/>
  <c r="J4063" i="2" s="1"/>
  <c r="I4064" i="2"/>
  <c r="J4064" i="2" s="1"/>
  <c r="I4065" i="2"/>
  <c r="J4065" i="2" s="1"/>
  <c r="I4066" i="2"/>
  <c r="J4066" i="2" s="1"/>
  <c r="I4067" i="2"/>
  <c r="J4067" i="2" s="1"/>
  <c r="I4068" i="2"/>
  <c r="J4068" i="2" s="1"/>
  <c r="I4069" i="2"/>
  <c r="J4069" i="2" s="1"/>
  <c r="I4070" i="2"/>
  <c r="J4070" i="2" s="1"/>
  <c r="I4071" i="2"/>
  <c r="J4071" i="2" s="1"/>
  <c r="I4072" i="2"/>
  <c r="J4072" i="2" s="1"/>
  <c r="I4073" i="2"/>
  <c r="J4073" i="2" s="1"/>
  <c r="I4074" i="2"/>
  <c r="J4074" i="2" s="1"/>
  <c r="I4075" i="2"/>
  <c r="J4075" i="2" s="1"/>
  <c r="I4076" i="2"/>
  <c r="J4076" i="2" s="1"/>
  <c r="I4077" i="2"/>
  <c r="J4077" i="2" s="1"/>
  <c r="I4078" i="2"/>
  <c r="J4078" i="2" s="1"/>
  <c r="I4079" i="2"/>
  <c r="J4079" i="2" s="1"/>
  <c r="I4080" i="2"/>
  <c r="J4080" i="2" s="1"/>
  <c r="I4081" i="2"/>
  <c r="J4081" i="2" s="1"/>
  <c r="I4082" i="2"/>
  <c r="J4082" i="2" s="1"/>
  <c r="I4083" i="2"/>
  <c r="J4083" i="2" s="1"/>
  <c r="I4084" i="2"/>
  <c r="J4084" i="2" s="1"/>
  <c r="I4085" i="2"/>
  <c r="J4085" i="2" s="1"/>
  <c r="I4086" i="2"/>
  <c r="J4086" i="2" s="1"/>
  <c r="I4087" i="2"/>
  <c r="J4087" i="2" s="1"/>
  <c r="I4088" i="2"/>
  <c r="J4088" i="2" s="1"/>
  <c r="I4089" i="2"/>
  <c r="J4089" i="2" s="1"/>
  <c r="I4090" i="2"/>
  <c r="J4090" i="2" s="1"/>
  <c r="I4091" i="2"/>
  <c r="J4091" i="2" s="1"/>
  <c r="I4092" i="2"/>
  <c r="J4092" i="2" s="1"/>
  <c r="I4093" i="2"/>
  <c r="J4093" i="2" s="1"/>
  <c r="I4094" i="2"/>
  <c r="J4094" i="2" s="1"/>
  <c r="I4095" i="2"/>
  <c r="J4095" i="2" s="1"/>
  <c r="I4096" i="2"/>
  <c r="J4096" i="2" s="1"/>
  <c r="I4097" i="2"/>
  <c r="J4097" i="2" s="1"/>
  <c r="I4098" i="2"/>
  <c r="J4098" i="2" s="1"/>
  <c r="I4099" i="2"/>
  <c r="J4099" i="2" s="1"/>
  <c r="I4100" i="2"/>
  <c r="J4100" i="2" s="1"/>
  <c r="I4101" i="2"/>
  <c r="J4101" i="2" s="1"/>
  <c r="I4102" i="2"/>
  <c r="J4102" i="2" s="1"/>
  <c r="I4103" i="2"/>
  <c r="J4103" i="2" s="1"/>
  <c r="I4104" i="2"/>
  <c r="J4104" i="2" s="1"/>
  <c r="I4105" i="2"/>
  <c r="J4105" i="2" s="1"/>
  <c r="I4106" i="2"/>
  <c r="J4106" i="2" s="1"/>
  <c r="I4107" i="2"/>
  <c r="J4107" i="2" s="1"/>
  <c r="I4108" i="2"/>
  <c r="J4108" i="2" s="1"/>
  <c r="I4109" i="2"/>
  <c r="J4109" i="2" s="1"/>
  <c r="I4110" i="2"/>
  <c r="J4110" i="2" s="1"/>
  <c r="I4111" i="2"/>
  <c r="J4111" i="2" s="1"/>
  <c r="I4112" i="2"/>
  <c r="J4112" i="2" s="1"/>
  <c r="I4113" i="2"/>
  <c r="J4113" i="2" s="1"/>
  <c r="I4114" i="2"/>
  <c r="J4114" i="2" s="1"/>
  <c r="I4115" i="2"/>
  <c r="J4115" i="2" s="1"/>
  <c r="I4116" i="2"/>
  <c r="J4116" i="2" s="1"/>
  <c r="I4117" i="2"/>
  <c r="J4117" i="2" s="1"/>
  <c r="I4118" i="2"/>
  <c r="J4118" i="2" s="1"/>
  <c r="I4119" i="2"/>
  <c r="J4119" i="2" s="1"/>
  <c r="I4120" i="2"/>
  <c r="J4120" i="2" s="1"/>
  <c r="I4121" i="2"/>
  <c r="J4121" i="2" s="1"/>
  <c r="I4122" i="2"/>
  <c r="J4122" i="2" s="1"/>
  <c r="I4123" i="2"/>
  <c r="J4123" i="2" s="1"/>
  <c r="I4124" i="2"/>
  <c r="J4124" i="2" s="1"/>
  <c r="I4125" i="2"/>
  <c r="J4125" i="2" s="1"/>
  <c r="I4126" i="2"/>
  <c r="J4126" i="2" s="1"/>
  <c r="I4127" i="2"/>
  <c r="J4127" i="2" s="1"/>
  <c r="I4128" i="2"/>
  <c r="J4128" i="2" s="1"/>
  <c r="I4129" i="2"/>
  <c r="J4129" i="2" s="1"/>
  <c r="I4130" i="2"/>
  <c r="J4130" i="2" s="1"/>
  <c r="I4131" i="2"/>
  <c r="J4131" i="2" s="1"/>
  <c r="I4132" i="2"/>
  <c r="J4132" i="2" s="1"/>
  <c r="I4133" i="2"/>
  <c r="J4133" i="2" s="1"/>
  <c r="I4134" i="2"/>
  <c r="J4134" i="2" s="1"/>
  <c r="I4135" i="2"/>
  <c r="J4135" i="2" s="1"/>
  <c r="I4136" i="2"/>
  <c r="J4136" i="2" s="1"/>
  <c r="I4137" i="2"/>
  <c r="J4137" i="2" s="1"/>
  <c r="I4138" i="2"/>
  <c r="J4138" i="2" s="1"/>
  <c r="I4139" i="2"/>
  <c r="J4139" i="2" s="1"/>
  <c r="I4140" i="2"/>
  <c r="J4140" i="2" s="1"/>
  <c r="I4141" i="2"/>
  <c r="J4141" i="2" s="1"/>
  <c r="I4142" i="2"/>
  <c r="J4142" i="2" s="1"/>
  <c r="I4143" i="2"/>
  <c r="J4143" i="2" s="1"/>
  <c r="I4144" i="2"/>
  <c r="J4144" i="2" s="1"/>
  <c r="I4145" i="2"/>
  <c r="J4145" i="2" s="1"/>
  <c r="I4146" i="2"/>
  <c r="J4146" i="2" s="1"/>
  <c r="I4147" i="2"/>
  <c r="J4147" i="2" s="1"/>
  <c r="I4148" i="2"/>
  <c r="J4148" i="2" s="1"/>
  <c r="I4149" i="2"/>
  <c r="J4149" i="2" s="1"/>
  <c r="I4150" i="2"/>
  <c r="J4150" i="2" s="1"/>
  <c r="I4151" i="2"/>
  <c r="J4151" i="2" s="1"/>
  <c r="I4152" i="2"/>
  <c r="J4152" i="2" s="1"/>
  <c r="I4153" i="2"/>
  <c r="J4153" i="2" s="1"/>
  <c r="I4154" i="2"/>
  <c r="J4154" i="2" s="1"/>
  <c r="I4155" i="2"/>
  <c r="J4155" i="2" s="1"/>
  <c r="I4156" i="2"/>
  <c r="J4156" i="2" s="1"/>
  <c r="I4157" i="2"/>
  <c r="J4157" i="2" s="1"/>
  <c r="I4158" i="2"/>
  <c r="J4158" i="2" s="1"/>
  <c r="I4159" i="2"/>
  <c r="J4159" i="2" s="1"/>
  <c r="I4160" i="2"/>
  <c r="J4160" i="2" s="1"/>
  <c r="I4161" i="2"/>
  <c r="J4161" i="2" s="1"/>
  <c r="I4162" i="2"/>
  <c r="J4162" i="2" s="1"/>
  <c r="I4163" i="2"/>
  <c r="J4163" i="2" s="1"/>
  <c r="I4164" i="2"/>
  <c r="J4164" i="2" s="1"/>
  <c r="I4165" i="2"/>
  <c r="J4165" i="2" s="1"/>
  <c r="I4166" i="2"/>
  <c r="J4166" i="2" s="1"/>
  <c r="I4167" i="2"/>
  <c r="J4167" i="2" s="1"/>
  <c r="I4168" i="2"/>
  <c r="J4168" i="2" s="1"/>
  <c r="I4169" i="2"/>
  <c r="J4169" i="2" s="1"/>
  <c r="I4170" i="2"/>
  <c r="J4170" i="2" s="1"/>
  <c r="I4171" i="2"/>
  <c r="J4171" i="2" s="1"/>
  <c r="I4172" i="2"/>
  <c r="J4172" i="2" s="1"/>
  <c r="I4173" i="2"/>
  <c r="J4173" i="2" s="1"/>
  <c r="I4174" i="2"/>
  <c r="J4174" i="2" s="1"/>
  <c r="I4175" i="2"/>
  <c r="J4175" i="2" s="1"/>
  <c r="I4176" i="2"/>
  <c r="J4176" i="2" s="1"/>
  <c r="I4177" i="2"/>
  <c r="J4177" i="2" s="1"/>
  <c r="I4178" i="2"/>
  <c r="J4178" i="2" s="1"/>
  <c r="I4179" i="2"/>
  <c r="J4179" i="2" s="1"/>
  <c r="I4180" i="2"/>
  <c r="J4180" i="2" s="1"/>
  <c r="I4181" i="2"/>
  <c r="J4181" i="2" s="1"/>
  <c r="I4182" i="2"/>
  <c r="J4182" i="2" s="1"/>
  <c r="I4183" i="2"/>
  <c r="J4183" i="2" s="1"/>
  <c r="I4184" i="2"/>
  <c r="J4184" i="2" s="1"/>
  <c r="I4185" i="2"/>
  <c r="J4185" i="2" s="1"/>
  <c r="I4186" i="2"/>
  <c r="J4186" i="2" s="1"/>
  <c r="I4187" i="2"/>
  <c r="J4187" i="2" s="1"/>
  <c r="I4188" i="2"/>
  <c r="J4188" i="2" s="1"/>
  <c r="I4189" i="2"/>
  <c r="J4189" i="2" s="1"/>
  <c r="I4190" i="2"/>
  <c r="J4190" i="2" s="1"/>
  <c r="I4191" i="2"/>
  <c r="J4191" i="2" s="1"/>
  <c r="I4192" i="2"/>
  <c r="J4192" i="2" s="1"/>
  <c r="I4193" i="2"/>
  <c r="J4193" i="2" s="1"/>
  <c r="I4194" i="2"/>
  <c r="J4194" i="2" s="1"/>
  <c r="I4195" i="2"/>
  <c r="J4195" i="2" s="1"/>
  <c r="I4196" i="2"/>
  <c r="J4196" i="2" s="1"/>
  <c r="I4197" i="2"/>
  <c r="J4197" i="2" s="1"/>
  <c r="I4198" i="2"/>
  <c r="J4198" i="2" s="1"/>
  <c r="I4199" i="2"/>
  <c r="J4199" i="2" s="1"/>
  <c r="I4200" i="2"/>
  <c r="J4200" i="2" s="1"/>
  <c r="I4201" i="2"/>
  <c r="J4201" i="2" s="1"/>
  <c r="I4202" i="2"/>
  <c r="J4202" i="2" s="1"/>
  <c r="I4203" i="2"/>
  <c r="J4203" i="2" s="1"/>
  <c r="I4204" i="2"/>
  <c r="J4204" i="2" s="1"/>
  <c r="I4205" i="2"/>
  <c r="J4205" i="2" s="1"/>
  <c r="I4206" i="2"/>
  <c r="J4206" i="2" s="1"/>
  <c r="I4207" i="2"/>
  <c r="J4207" i="2" s="1"/>
  <c r="I4208" i="2"/>
  <c r="J4208" i="2" s="1"/>
  <c r="I4209" i="2"/>
  <c r="J4209" i="2" s="1"/>
  <c r="I4210" i="2"/>
  <c r="J4210" i="2" s="1"/>
  <c r="I4211" i="2"/>
  <c r="J4211" i="2" s="1"/>
  <c r="I4212" i="2"/>
  <c r="J4212" i="2" s="1"/>
  <c r="I4213" i="2"/>
  <c r="J4213" i="2" s="1"/>
  <c r="I4214" i="2"/>
  <c r="J4214" i="2" s="1"/>
  <c r="I4215" i="2"/>
  <c r="J4215" i="2" s="1"/>
  <c r="I4216" i="2"/>
  <c r="J4216" i="2" s="1"/>
  <c r="I4217" i="2"/>
  <c r="J4217" i="2" s="1"/>
  <c r="I4218" i="2"/>
  <c r="J4218" i="2" s="1"/>
  <c r="I4219" i="2"/>
  <c r="J4219" i="2" s="1"/>
  <c r="I4220" i="2"/>
  <c r="J4220" i="2" s="1"/>
  <c r="I4221" i="2"/>
  <c r="J4221" i="2" s="1"/>
  <c r="I4222" i="2"/>
  <c r="J4222" i="2" s="1"/>
  <c r="I4223" i="2"/>
  <c r="J4223" i="2" s="1"/>
  <c r="I4224" i="2"/>
  <c r="J4224" i="2" s="1"/>
  <c r="I4225" i="2"/>
  <c r="J4225" i="2" s="1"/>
  <c r="I4226" i="2"/>
  <c r="J4226" i="2" s="1"/>
  <c r="I4227" i="2"/>
  <c r="J4227" i="2" s="1"/>
  <c r="I4228" i="2"/>
  <c r="J4228" i="2" s="1"/>
  <c r="I4229" i="2"/>
  <c r="J4229" i="2" s="1"/>
  <c r="I4230" i="2"/>
  <c r="J4230" i="2" s="1"/>
  <c r="I4231" i="2"/>
  <c r="J4231" i="2" s="1"/>
  <c r="I4232" i="2"/>
  <c r="J4232" i="2" s="1"/>
  <c r="I4233" i="2"/>
  <c r="J4233" i="2" s="1"/>
  <c r="I4234" i="2"/>
  <c r="J4234" i="2" s="1"/>
  <c r="I4235" i="2"/>
  <c r="J4235" i="2" s="1"/>
  <c r="I4236" i="2"/>
  <c r="J4236" i="2" s="1"/>
  <c r="I4237" i="2"/>
  <c r="J4237" i="2" s="1"/>
  <c r="I4238" i="2"/>
  <c r="J4238" i="2" s="1"/>
  <c r="I4239" i="2"/>
  <c r="J4239" i="2" s="1"/>
  <c r="I4240" i="2"/>
  <c r="J4240" i="2" s="1"/>
  <c r="I4241" i="2"/>
  <c r="J4241" i="2" s="1"/>
  <c r="I4242" i="2"/>
  <c r="J4242" i="2" s="1"/>
  <c r="I4243" i="2"/>
  <c r="J4243" i="2" s="1"/>
  <c r="I4244" i="2"/>
  <c r="J4244" i="2" s="1"/>
  <c r="I4245" i="2"/>
  <c r="J4245" i="2" s="1"/>
  <c r="I4246" i="2"/>
  <c r="J4246" i="2" s="1"/>
  <c r="I4247" i="2"/>
  <c r="J4247" i="2" s="1"/>
  <c r="I4248" i="2"/>
  <c r="J4248" i="2" s="1"/>
  <c r="I4249" i="2"/>
  <c r="J4249" i="2" s="1"/>
  <c r="I4250" i="2"/>
  <c r="J4250" i="2" s="1"/>
  <c r="I4251" i="2"/>
  <c r="J4251" i="2" s="1"/>
  <c r="I4252" i="2"/>
  <c r="J4252" i="2" s="1"/>
  <c r="I4253" i="2"/>
  <c r="J4253" i="2" s="1"/>
  <c r="I4254" i="2"/>
  <c r="J4254" i="2" s="1"/>
  <c r="I4255" i="2"/>
  <c r="J4255" i="2" s="1"/>
  <c r="I4256" i="2"/>
  <c r="J4256" i="2" s="1"/>
  <c r="I4257" i="2"/>
  <c r="J4257" i="2" s="1"/>
  <c r="I4258" i="2"/>
  <c r="J4258" i="2" s="1"/>
  <c r="I4259" i="2"/>
  <c r="J4259" i="2" s="1"/>
  <c r="I4260" i="2"/>
  <c r="J4260" i="2" s="1"/>
  <c r="I4261" i="2"/>
  <c r="J4261" i="2" s="1"/>
  <c r="I4262" i="2"/>
  <c r="J4262" i="2" s="1"/>
  <c r="I4263" i="2"/>
  <c r="J4263" i="2" s="1"/>
  <c r="I4264" i="2"/>
  <c r="J4264" i="2" s="1"/>
  <c r="I4265" i="2"/>
  <c r="J4265" i="2" s="1"/>
  <c r="I4266" i="2"/>
  <c r="J4266" i="2" s="1"/>
  <c r="I4267" i="2"/>
  <c r="J4267" i="2" s="1"/>
  <c r="I4268" i="2"/>
  <c r="J4268" i="2" s="1"/>
  <c r="I4269" i="2"/>
  <c r="J4269" i="2" s="1"/>
  <c r="I4270" i="2"/>
  <c r="J4270" i="2" s="1"/>
  <c r="I4271" i="2"/>
  <c r="J4271" i="2" s="1"/>
  <c r="I4272" i="2"/>
  <c r="J4272" i="2" s="1"/>
  <c r="I4273" i="2"/>
  <c r="J4273" i="2" s="1"/>
  <c r="I4274" i="2"/>
  <c r="J4274" i="2" s="1"/>
  <c r="I4275" i="2"/>
  <c r="J4275" i="2" s="1"/>
  <c r="I4276" i="2"/>
  <c r="J4276" i="2" s="1"/>
  <c r="I4277" i="2"/>
  <c r="J4277" i="2" s="1"/>
  <c r="I4278" i="2"/>
  <c r="J4278" i="2" s="1"/>
  <c r="I4279" i="2"/>
  <c r="J4279" i="2" s="1"/>
  <c r="I4280" i="2"/>
  <c r="J4280" i="2" s="1"/>
  <c r="I4281" i="2"/>
  <c r="J4281" i="2" s="1"/>
  <c r="I4282" i="2"/>
  <c r="J4282" i="2" s="1"/>
  <c r="I4283" i="2"/>
  <c r="J4283" i="2" s="1"/>
  <c r="I4284" i="2"/>
  <c r="J4284" i="2" s="1"/>
  <c r="I4285" i="2"/>
  <c r="J4285" i="2" s="1"/>
  <c r="I4286" i="2"/>
  <c r="J4286" i="2" s="1"/>
  <c r="I4287" i="2"/>
  <c r="J4287" i="2" s="1"/>
  <c r="I4288" i="2"/>
  <c r="J4288" i="2" s="1"/>
  <c r="I4289" i="2"/>
  <c r="J4289" i="2" s="1"/>
  <c r="I4290" i="2"/>
  <c r="J4290" i="2" s="1"/>
  <c r="I4291" i="2"/>
  <c r="J4291" i="2" s="1"/>
  <c r="I4292" i="2"/>
  <c r="J4292" i="2" s="1"/>
  <c r="I4293" i="2"/>
  <c r="J4293" i="2" s="1"/>
  <c r="I4294" i="2"/>
  <c r="J4294" i="2" s="1"/>
  <c r="I4295" i="2"/>
  <c r="J4295" i="2" s="1"/>
  <c r="I4296" i="2"/>
  <c r="J4296" i="2" s="1"/>
  <c r="I4297" i="2"/>
  <c r="J4297" i="2" s="1"/>
  <c r="I4298" i="2"/>
  <c r="J4298" i="2" s="1"/>
  <c r="I4299" i="2"/>
  <c r="J4299" i="2" s="1"/>
  <c r="I4300" i="2"/>
  <c r="J4300" i="2" s="1"/>
  <c r="I4301" i="2"/>
  <c r="J4301" i="2" s="1"/>
  <c r="I4302" i="2"/>
  <c r="J4302" i="2" s="1"/>
  <c r="I4303" i="2"/>
  <c r="J4303" i="2" s="1"/>
  <c r="I4304" i="2"/>
  <c r="J4304" i="2" s="1"/>
  <c r="I4305" i="2"/>
  <c r="J4305" i="2" s="1"/>
  <c r="I4306" i="2"/>
  <c r="J4306" i="2" s="1"/>
  <c r="I4307" i="2"/>
  <c r="J4307" i="2" s="1"/>
  <c r="I4308" i="2"/>
  <c r="J4308" i="2" s="1"/>
  <c r="I4309" i="2"/>
  <c r="J4309" i="2" s="1"/>
  <c r="I4310" i="2"/>
  <c r="J4310" i="2" s="1"/>
  <c r="I4311" i="2"/>
  <c r="J4311" i="2" s="1"/>
  <c r="I4312" i="2"/>
  <c r="J4312" i="2" s="1"/>
  <c r="I4313" i="2"/>
  <c r="J4313" i="2" s="1"/>
  <c r="I4314" i="2"/>
  <c r="J4314" i="2" s="1"/>
  <c r="I4315" i="2"/>
  <c r="J4315" i="2" s="1"/>
  <c r="I4316" i="2"/>
  <c r="J4316" i="2" s="1"/>
  <c r="I4317" i="2"/>
  <c r="J4317" i="2" s="1"/>
  <c r="I4318" i="2"/>
  <c r="J4318" i="2" s="1"/>
  <c r="I4319" i="2"/>
  <c r="J4319" i="2" s="1"/>
  <c r="I4320" i="2"/>
  <c r="J4320" i="2" s="1"/>
  <c r="I4321" i="2"/>
  <c r="J4321" i="2" s="1"/>
  <c r="I4322" i="2"/>
  <c r="J4322" i="2" s="1"/>
  <c r="I4323" i="2"/>
  <c r="J4323" i="2" s="1"/>
  <c r="I4324" i="2"/>
  <c r="J4324" i="2" s="1"/>
  <c r="I4325" i="2"/>
  <c r="J4325" i="2" s="1"/>
  <c r="I4326" i="2"/>
  <c r="J4326" i="2" s="1"/>
  <c r="I4327" i="2"/>
  <c r="J4327" i="2" s="1"/>
  <c r="I4328" i="2"/>
  <c r="J4328" i="2" s="1"/>
  <c r="I4329" i="2"/>
  <c r="J4329" i="2" s="1"/>
  <c r="I4330" i="2"/>
  <c r="J4330" i="2" s="1"/>
  <c r="I4331" i="2"/>
  <c r="J4331" i="2" s="1"/>
  <c r="I4332" i="2"/>
  <c r="J4332" i="2" s="1"/>
  <c r="I4333" i="2"/>
  <c r="J4333" i="2" s="1"/>
  <c r="I4334" i="2"/>
  <c r="J4334" i="2" s="1"/>
  <c r="I4335" i="2"/>
  <c r="J4335" i="2" s="1"/>
  <c r="I4336" i="2"/>
  <c r="J4336" i="2" s="1"/>
  <c r="I4337" i="2"/>
  <c r="J4337" i="2" s="1"/>
  <c r="I4338" i="2"/>
  <c r="J4338" i="2" s="1"/>
  <c r="I4339" i="2"/>
  <c r="J4339" i="2" s="1"/>
  <c r="I4340" i="2"/>
  <c r="J4340" i="2" s="1"/>
  <c r="I4341" i="2"/>
  <c r="J4341" i="2" s="1"/>
  <c r="I4342" i="2"/>
  <c r="J4342" i="2" s="1"/>
  <c r="I4343" i="2"/>
  <c r="J4343" i="2" s="1"/>
  <c r="I4344" i="2"/>
  <c r="J4344" i="2" s="1"/>
  <c r="I4345" i="2"/>
  <c r="J4345" i="2" s="1"/>
  <c r="I4346" i="2"/>
  <c r="J4346" i="2" s="1"/>
  <c r="I4347" i="2"/>
  <c r="J4347" i="2" s="1"/>
  <c r="I4348" i="2"/>
  <c r="J4348" i="2" s="1"/>
  <c r="I4349" i="2"/>
  <c r="J4349" i="2" s="1"/>
  <c r="I4350" i="2"/>
  <c r="J4350" i="2" s="1"/>
  <c r="I4351" i="2"/>
  <c r="J4351" i="2" s="1"/>
  <c r="I4352" i="2"/>
  <c r="J4352" i="2" s="1"/>
  <c r="I4353" i="2"/>
  <c r="J4353" i="2" s="1"/>
  <c r="I4354" i="2"/>
  <c r="J4354" i="2" s="1"/>
  <c r="I4355" i="2"/>
  <c r="J4355" i="2" s="1"/>
  <c r="I4356" i="2"/>
  <c r="J4356" i="2" s="1"/>
  <c r="I4357" i="2"/>
  <c r="J4357" i="2" s="1"/>
  <c r="I4358" i="2"/>
  <c r="J4358" i="2" s="1"/>
  <c r="I4359" i="2"/>
  <c r="J4359" i="2" s="1"/>
  <c r="I4360" i="2"/>
  <c r="J4360" i="2" s="1"/>
  <c r="I4361" i="2"/>
  <c r="J4361" i="2" s="1"/>
  <c r="I4362" i="2"/>
  <c r="J4362" i="2" s="1"/>
  <c r="I4363" i="2"/>
  <c r="J4363" i="2" s="1"/>
  <c r="I4364" i="2"/>
  <c r="J4364" i="2" s="1"/>
  <c r="I4365" i="2"/>
  <c r="J4365" i="2" s="1"/>
  <c r="I4366" i="2"/>
  <c r="J4366" i="2" s="1"/>
  <c r="I4367" i="2"/>
  <c r="J4367" i="2" s="1"/>
  <c r="I4368" i="2"/>
  <c r="J4368" i="2" s="1"/>
  <c r="I4369" i="2"/>
  <c r="J4369" i="2" s="1"/>
  <c r="I4370" i="2"/>
  <c r="J4370" i="2" s="1"/>
  <c r="I4371" i="2"/>
  <c r="J4371" i="2" s="1"/>
  <c r="I4372" i="2"/>
  <c r="J4372" i="2" s="1"/>
  <c r="I4373" i="2"/>
  <c r="J4373" i="2" s="1"/>
  <c r="I4374" i="2"/>
  <c r="J4374" i="2" s="1"/>
  <c r="I4375" i="2"/>
  <c r="J4375" i="2" s="1"/>
  <c r="I4376" i="2"/>
  <c r="J4376" i="2" s="1"/>
  <c r="I4377" i="2"/>
  <c r="J4377" i="2" s="1"/>
  <c r="I4378" i="2"/>
  <c r="J4378" i="2" s="1"/>
  <c r="I4379" i="2"/>
  <c r="J4379" i="2" s="1"/>
  <c r="I4380" i="2"/>
  <c r="J4380" i="2" s="1"/>
  <c r="I4381" i="2"/>
  <c r="J4381" i="2" s="1"/>
  <c r="I4382" i="2"/>
  <c r="J4382" i="2" s="1"/>
  <c r="I4383" i="2"/>
  <c r="J4383" i="2" s="1"/>
  <c r="I4384" i="2"/>
  <c r="J4384" i="2" s="1"/>
  <c r="I4385" i="2"/>
  <c r="J4385" i="2" s="1"/>
  <c r="I4386" i="2"/>
  <c r="J4386" i="2" s="1"/>
  <c r="I4387" i="2"/>
  <c r="J4387" i="2" s="1"/>
  <c r="I4388" i="2"/>
  <c r="J4388" i="2" s="1"/>
  <c r="I4389" i="2"/>
  <c r="J4389" i="2" s="1"/>
  <c r="I4390" i="2"/>
  <c r="J4390" i="2" s="1"/>
  <c r="I4391" i="2"/>
  <c r="J4391" i="2" s="1"/>
  <c r="I4392" i="2"/>
  <c r="J4392" i="2" s="1"/>
  <c r="I4393" i="2"/>
  <c r="J4393" i="2" s="1"/>
  <c r="I4394" i="2"/>
  <c r="J4394" i="2" s="1"/>
  <c r="I4395" i="2"/>
  <c r="J4395" i="2" s="1"/>
  <c r="I4396" i="2"/>
  <c r="J4396" i="2" s="1"/>
  <c r="I4397" i="2"/>
  <c r="J4397" i="2" s="1"/>
  <c r="I4398" i="2"/>
  <c r="J4398" i="2" s="1"/>
  <c r="I4399" i="2"/>
  <c r="J4399" i="2" s="1"/>
  <c r="I4400" i="2"/>
  <c r="J4400" i="2" s="1"/>
  <c r="I4401" i="2"/>
  <c r="J4401" i="2" s="1"/>
  <c r="I4402" i="2"/>
  <c r="J4402" i="2" s="1"/>
  <c r="I4403" i="2"/>
  <c r="J4403" i="2" s="1"/>
  <c r="I4404" i="2"/>
  <c r="J4404" i="2" s="1"/>
  <c r="I4405" i="2"/>
  <c r="J4405" i="2" s="1"/>
  <c r="I4406" i="2"/>
  <c r="J4406" i="2" s="1"/>
  <c r="I4407" i="2"/>
  <c r="J4407" i="2" s="1"/>
  <c r="I4408" i="2"/>
  <c r="J4408" i="2" s="1"/>
  <c r="I4409" i="2"/>
  <c r="J4409" i="2" s="1"/>
  <c r="I4410" i="2"/>
  <c r="J4410" i="2" s="1"/>
  <c r="I4411" i="2"/>
  <c r="J4411" i="2" s="1"/>
  <c r="I4412" i="2"/>
  <c r="J4412" i="2" s="1"/>
  <c r="I4413" i="2"/>
  <c r="J4413" i="2" s="1"/>
  <c r="I4414" i="2"/>
  <c r="J4414" i="2" s="1"/>
  <c r="I4415" i="2"/>
  <c r="J4415" i="2" s="1"/>
  <c r="I4416" i="2"/>
  <c r="J4416" i="2" s="1"/>
  <c r="I4417" i="2"/>
  <c r="J4417" i="2" s="1"/>
  <c r="I4418" i="2"/>
  <c r="J4418" i="2" s="1"/>
  <c r="I4419" i="2"/>
  <c r="J4419" i="2" s="1"/>
  <c r="I4420" i="2"/>
  <c r="J4420" i="2" s="1"/>
  <c r="I4421" i="2"/>
  <c r="J4421" i="2" s="1"/>
  <c r="I4422" i="2"/>
  <c r="J4422" i="2" s="1"/>
  <c r="I4423" i="2"/>
  <c r="J4423" i="2" s="1"/>
  <c r="I4424" i="2"/>
  <c r="J4424" i="2" s="1"/>
  <c r="I4425" i="2"/>
  <c r="J4425" i="2" s="1"/>
  <c r="I4426" i="2"/>
  <c r="J4426" i="2" s="1"/>
  <c r="I4427" i="2"/>
  <c r="J4427" i="2" s="1"/>
  <c r="I4428" i="2"/>
  <c r="J4428" i="2" s="1"/>
  <c r="I4429" i="2"/>
  <c r="J4429" i="2" s="1"/>
  <c r="I4430" i="2"/>
  <c r="J4430" i="2" s="1"/>
  <c r="I4431" i="2"/>
  <c r="J4431" i="2" s="1"/>
  <c r="I4432" i="2"/>
  <c r="J4432" i="2" s="1"/>
  <c r="I4433" i="2"/>
  <c r="J4433" i="2" s="1"/>
  <c r="I4434" i="2"/>
  <c r="J4434" i="2" s="1"/>
  <c r="I4435" i="2"/>
  <c r="J4435" i="2" s="1"/>
  <c r="I4436" i="2"/>
  <c r="J4436" i="2" s="1"/>
  <c r="I4437" i="2"/>
  <c r="J4437" i="2" s="1"/>
  <c r="I4438" i="2"/>
  <c r="J4438" i="2" s="1"/>
  <c r="I4439" i="2"/>
  <c r="J4439" i="2" s="1"/>
  <c r="I4440" i="2"/>
  <c r="J4440" i="2" s="1"/>
  <c r="I4441" i="2"/>
  <c r="J4441" i="2" s="1"/>
  <c r="I4442" i="2"/>
  <c r="J4442" i="2" s="1"/>
  <c r="I4443" i="2"/>
  <c r="J4443" i="2" s="1"/>
  <c r="I4444" i="2"/>
  <c r="J4444" i="2" s="1"/>
  <c r="I4445" i="2"/>
  <c r="J4445" i="2" s="1"/>
  <c r="I4446" i="2"/>
  <c r="J4446" i="2" s="1"/>
  <c r="I4447" i="2"/>
  <c r="J4447" i="2" s="1"/>
  <c r="I4448" i="2"/>
  <c r="J4448" i="2" s="1"/>
  <c r="I4449" i="2"/>
  <c r="J4449" i="2" s="1"/>
  <c r="I4450" i="2"/>
  <c r="J4450" i="2" s="1"/>
  <c r="I4451" i="2"/>
  <c r="J4451" i="2" s="1"/>
  <c r="I4452" i="2"/>
  <c r="J4452" i="2" s="1"/>
  <c r="I4453" i="2"/>
  <c r="J4453" i="2" s="1"/>
  <c r="I4454" i="2"/>
  <c r="J4454" i="2" s="1"/>
  <c r="I4455" i="2"/>
  <c r="J4455" i="2" s="1"/>
  <c r="I4456" i="2"/>
  <c r="J4456" i="2" s="1"/>
  <c r="I4457" i="2"/>
  <c r="J4457" i="2" s="1"/>
  <c r="I4458" i="2"/>
  <c r="J4458" i="2" s="1"/>
  <c r="I4459" i="2"/>
  <c r="J4459" i="2" s="1"/>
  <c r="I4460" i="2"/>
  <c r="J4460" i="2" s="1"/>
  <c r="I4461" i="2"/>
  <c r="J4461" i="2" s="1"/>
  <c r="I4462" i="2"/>
  <c r="J4462" i="2" s="1"/>
  <c r="I4463" i="2"/>
  <c r="J4463" i="2" s="1"/>
  <c r="I4464" i="2"/>
  <c r="J4464" i="2" s="1"/>
  <c r="I4465" i="2"/>
  <c r="J4465" i="2" s="1"/>
  <c r="I4466" i="2"/>
  <c r="J4466" i="2" s="1"/>
  <c r="I4467" i="2"/>
  <c r="J4467" i="2" s="1"/>
  <c r="I4468" i="2"/>
  <c r="J4468" i="2" s="1"/>
  <c r="I4469" i="2"/>
  <c r="J4469" i="2" s="1"/>
  <c r="I4470" i="2"/>
  <c r="J4470" i="2" s="1"/>
  <c r="I4471" i="2"/>
  <c r="J4471" i="2" s="1"/>
  <c r="I4472" i="2"/>
  <c r="J4472" i="2" s="1"/>
  <c r="I4473" i="2"/>
  <c r="J4473" i="2" s="1"/>
  <c r="I4474" i="2"/>
  <c r="J4474" i="2" s="1"/>
  <c r="I4475" i="2"/>
  <c r="J4475" i="2" s="1"/>
  <c r="I4476" i="2"/>
  <c r="J4476" i="2" s="1"/>
  <c r="I4477" i="2"/>
  <c r="J4477" i="2" s="1"/>
  <c r="I4478" i="2"/>
  <c r="J4478" i="2" s="1"/>
  <c r="I4479" i="2"/>
  <c r="J4479" i="2" s="1"/>
  <c r="I4480" i="2"/>
  <c r="J4480" i="2" s="1"/>
  <c r="I4481" i="2"/>
  <c r="J4481" i="2" s="1"/>
  <c r="I4482" i="2"/>
  <c r="J4482" i="2" s="1"/>
  <c r="I4483" i="2"/>
  <c r="J4483" i="2" s="1"/>
  <c r="I4484" i="2"/>
  <c r="J4484" i="2" s="1"/>
  <c r="I4485" i="2"/>
  <c r="J4485" i="2" s="1"/>
  <c r="I4486" i="2"/>
  <c r="J4486" i="2" s="1"/>
  <c r="I4487" i="2"/>
  <c r="J4487" i="2" s="1"/>
  <c r="I4488" i="2"/>
  <c r="J4488" i="2" s="1"/>
  <c r="I4489" i="2"/>
  <c r="J4489" i="2" s="1"/>
  <c r="I4490" i="2"/>
  <c r="J4490" i="2" s="1"/>
  <c r="I4491" i="2"/>
  <c r="J4491" i="2" s="1"/>
  <c r="I4492" i="2"/>
  <c r="J4492" i="2" s="1"/>
  <c r="I4493" i="2"/>
  <c r="J4493" i="2" s="1"/>
  <c r="I4494" i="2"/>
  <c r="J4494" i="2" s="1"/>
  <c r="I4495" i="2"/>
  <c r="J4495" i="2" s="1"/>
  <c r="I4496" i="2"/>
  <c r="J4496" i="2" s="1"/>
  <c r="I4497" i="2"/>
  <c r="J4497" i="2" s="1"/>
  <c r="I4498" i="2"/>
  <c r="J4498" i="2" s="1"/>
  <c r="I4499" i="2"/>
  <c r="J4499" i="2" s="1"/>
  <c r="I4500" i="2"/>
  <c r="J4500" i="2" s="1"/>
  <c r="I4501" i="2"/>
  <c r="J4501" i="2" s="1"/>
  <c r="I4502" i="2"/>
  <c r="J4502" i="2" s="1"/>
  <c r="I4503" i="2"/>
  <c r="J4503" i="2" s="1"/>
  <c r="I4504" i="2"/>
  <c r="J4504" i="2" s="1"/>
  <c r="I4505" i="2"/>
  <c r="J4505" i="2" s="1"/>
  <c r="I4506" i="2"/>
  <c r="J4506" i="2" s="1"/>
  <c r="I4507" i="2"/>
  <c r="J4507" i="2" s="1"/>
  <c r="I4508" i="2"/>
  <c r="J4508" i="2" s="1"/>
  <c r="I4509" i="2"/>
  <c r="J4509" i="2" s="1"/>
  <c r="I4510" i="2"/>
  <c r="J4510" i="2" s="1"/>
  <c r="I4511" i="2"/>
  <c r="J4511" i="2" s="1"/>
  <c r="I4512" i="2"/>
  <c r="J4512" i="2" s="1"/>
  <c r="I4513" i="2"/>
  <c r="J4513" i="2" s="1"/>
  <c r="I4514" i="2"/>
  <c r="J4514" i="2" s="1"/>
  <c r="I4515" i="2"/>
  <c r="J4515" i="2" s="1"/>
  <c r="I4516" i="2"/>
  <c r="J4516" i="2" s="1"/>
  <c r="I4517" i="2"/>
  <c r="J4517" i="2" s="1"/>
  <c r="I4518" i="2"/>
  <c r="J4518" i="2" s="1"/>
  <c r="I4519" i="2"/>
  <c r="J4519" i="2" s="1"/>
  <c r="I4520" i="2"/>
  <c r="J4520" i="2" s="1"/>
  <c r="I4521" i="2"/>
  <c r="J4521" i="2" s="1"/>
  <c r="I4522" i="2"/>
  <c r="J4522" i="2" s="1"/>
  <c r="I4523" i="2"/>
  <c r="J4523" i="2" s="1"/>
  <c r="I4524" i="2"/>
  <c r="J4524" i="2" s="1"/>
  <c r="I4525" i="2"/>
  <c r="J4525" i="2" s="1"/>
  <c r="I4526" i="2"/>
  <c r="J4526" i="2" s="1"/>
  <c r="I4527" i="2"/>
  <c r="J4527" i="2" s="1"/>
  <c r="I4528" i="2"/>
  <c r="J4528" i="2" s="1"/>
  <c r="I4529" i="2"/>
  <c r="J4529" i="2" s="1"/>
  <c r="I4530" i="2"/>
  <c r="J4530" i="2" s="1"/>
  <c r="I4531" i="2"/>
  <c r="J4531" i="2" s="1"/>
  <c r="I4532" i="2"/>
  <c r="J4532" i="2" s="1"/>
  <c r="I4533" i="2"/>
  <c r="J4533" i="2" s="1"/>
  <c r="I4534" i="2"/>
  <c r="J4534" i="2" s="1"/>
  <c r="I4535" i="2"/>
  <c r="J4535" i="2" s="1"/>
  <c r="I4536" i="2"/>
  <c r="J4536" i="2" s="1"/>
  <c r="I4537" i="2"/>
  <c r="J4537" i="2" s="1"/>
  <c r="I4538" i="2"/>
  <c r="J4538" i="2" s="1"/>
  <c r="I4539" i="2"/>
  <c r="J4539" i="2" s="1"/>
  <c r="I4540" i="2"/>
  <c r="J4540" i="2" s="1"/>
  <c r="I4541" i="2"/>
  <c r="J4541" i="2" s="1"/>
  <c r="I4542" i="2"/>
  <c r="J4542" i="2" s="1"/>
  <c r="I4543" i="2"/>
  <c r="J4543" i="2" s="1"/>
  <c r="I4544" i="2"/>
  <c r="J4544" i="2" s="1"/>
  <c r="I4545" i="2"/>
  <c r="J4545" i="2" s="1"/>
  <c r="I4546" i="2"/>
  <c r="J4546" i="2" s="1"/>
  <c r="I4547" i="2"/>
  <c r="J4547" i="2" s="1"/>
  <c r="I4548" i="2"/>
  <c r="J4548" i="2" s="1"/>
  <c r="I4549" i="2"/>
  <c r="J4549" i="2" s="1"/>
  <c r="I4550" i="2"/>
  <c r="J4550" i="2" s="1"/>
  <c r="I4551" i="2"/>
  <c r="J4551" i="2" s="1"/>
  <c r="I4552" i="2"/>
  <c r="J4552" i="2" s="1"/>
  <c r="I4553" i="2"/>
  <c r="J4553" i="2" s="1"/>
  <c r="I4554" i="2"/>
  <c r="J4554" i="2" s="1"/>
  <c r="I4555" i="2"/>
  <c r="J4555" i="2" s="1"/>
  <c r="I4556" i="2"/>
  <c r="J4556" i="2" s="1"/>
  <c r="I4557" i="2"/>
  <c r="J4557" i="2" s="1"/>
  <c r="I4558" i="2"/>
  <c r="J4558" i="2" s="1"/>
  <c r="I4559" i="2"/>
  <c r="J4559" i="2" s="1"/>
  <c r="I4560" i="2"/>
  <c r="J4560" i="2" s="1"/>
  <c r="I4561" i="2"/>
  <c r="J4561" i="2" s="1"/>
  <c r="I4562" i="2"/>
  <c r="J4562" i="2" s="1"/>
  <c r="I4563" i="2"/>
  <c r="J4563" i="2" s="1"/>
  <c r="I4564" i="2"/>
  <c r="J4564" i="2" s="1"/>
  <c r="I4565" i="2"/>
  <c r="J4565" i="2" s="1"/>
  <c r="I4566" i="2"/>
  <c r="J4566" i="2" s="1"/>
  <c r="I4567" i="2"/>
  <c r="J4567" i="2" s="1"/>
  <c r="I4568" i="2"/>
  <c r="J4568" i="2" s="1"/>
  <c r="I4569" i="2"/>
  <c r="J4569" i="2" s="1"/>
  <c r="I4570" i="2"/>
  <c r="J4570" i="2" s="1"/>
  <c r="I4571" i="2"/>
  <c r="J4571" i="2" s="1"/>
  <c r="I4572" i="2"/>
  <c r="J4572" i="2" s="1"/>
  <c r="I4573" i="2"/>
  <c r="J4573" i="2" s="1"/>
  <c r="I4574" i="2"/>
  <c r="J4574" i="2" s="1"/>
  <c r="I4575" i="2"/>
  <c r="J4575" i="2" s="1"/>
  <c r="I4576" i="2"/>
  <c r="J4576" i="2" s="1"/>
  <c r="I4577" i="2"/>
  <c r="J4577" i="2" s="1"/>
  <c r="I4578" i="2"/>
  <c r="J4578" i="2" s="1"/>
  <c r="I4579" i="2"/>
  <c r="J4579" i="2" s="1"/>
  <c r="I4580" i="2"/>
  <c r="J4580" i="2" s="1"/>
  <c r="I4581" i="2"/>
  <c r="J4581" i="2" s="1"/>
  <c r="I4582" i="2"/>
  <c r="J4582" i="2" s="1"/>
  <c r="I4583" i="2"/>
  <c r="J4583" i="2" s="1"/>
  <c r="I4584" i="2"/>
  <c r="J4584" i="2" s="1"/>
  <c r="I4585" i="2"/>
  <c r="J4585" i="2" s="1"/>
  <c r="I4586" i="2"/>
  <c r="J4586" i="2" s="1"/>
  <c r="I4587" i="2"/>
  <c r="J4587" i="2" s="1"/>
  <c r="I4588" i="2"/>
  <c r="J4588" i="2" s="1"/>
  <c r="I4589" i="2"/>
  <c r="J4589" i="2" s="1"/>
  <c r="I4590" i="2"/>
  <c r="J4590" i="2" s="1"/>
  <c r="I4591" i="2"/>
  <c r="J4591" i="2" s="1"/>
  <c r="I4592" i="2"/>
  <c r="J4592" i="2" s="1"/>
  <c r="I4593" i="2"/>
  <c r="J4593" i="2" s="1"/>
  <c r="I4594" i="2"/>
  <c r="J4594" i="2" s="1"/>
  <c r="I4595" i="2"/>
  <c r="J4595" i="2" s="1"/>
  <c r="I4596" i="2"/>
  <c r="J4596" i="2" s="1"/>
  <c r="I4597" i="2"/>
  <c r="J4597" i="2" s="1"/>
  <c r="I4598" i="2"/>
  <c r="J4598" i="2" s="1"/>
  <c r="I4599" i="2"/>
  <c r="J4599" i="2" s="1"/>
  <c r="I4600" i="2"/>
  <c r="J4600" i="2" s="1"/>
  <c r="I4601" i="2"/>
  <c r="J4601" i="2" s="1"/>
  <c r="I4602" i="2"/>
  <c r="J4602" i="2" s="1"/>
  <c r="I4603" i="2"/>
  <c r="J4603" i="2" s="1"/>
  <c r="I4604" i="2"/>
  <c r="J4604" i="2" s="1"/>
  <c r="I4605" i="2"/>
  <c r="J4605" i="2" s="1"/>
  <c r="I4606" i="2"/>
  <c r="J4606" i="2" s="1"/>
  <c r="I4607" i="2"/>
  <c r="J4607" i="2" s="1"/>
  <c r="I4608" i="2"/>
  <c r="J4608" i="2" s="1"/>
  <c r="I4609" i="2"/>
  <c r="J4609" i="2" s="1"/>
  <c r="I4610" i="2"/>
  <c r="J4610" i="2" s="1"/>
  <c r="I4611" i="2"/>
  <c r="J4611" i="2" s="1"/>
  <c r="I4612" i="2"/>
  <c r="J4612" i="2" s="1"/>
  <c r="I4613" i="2"/>
  <c r="J4613" i="2" s="1"/>
  <c r="I4614" i="2"/>
  <c r="J4614" i="2" s="1"/>
  <c r="I4615" i="2"/>
  <c r="J4615" i="2" s="1"/>
  <c r="I4616" i="2"/>
  <c r="J4616" i="2" s="1"/>
  <c r="I4617" i="2"/>
  <c r="J4617" i="2" s="1"/>
  <c r="I4618" i="2"/>
  <c r="J4618" i="2" s="1"/>
  <c r="I4619" i="2"/>
  <c r="J4619" i="2" s="1"/>
  <c r="I4620" i="2"/>
  <c r="J4620" i="2" s="1"/>
  <c r="I4621" i="2"/>
  <c r="J4621" i="2" s="1"/>
  <c r="I4622" i="2"/>
  <c r="J4622" i="2" s="1"/>
  <c r="I4623" i="2"/>
  <c r="J4623" i="2" s="1"/>
  <c r="I4624" i="2"/>
  <c r="J4624" i="2" s="1"/>
  <c r="I4625" i="2"/>
  <c r="J4625" i="2" s="1"/>
  <c r="I4626" i="2"/>
  <c r="J4626" i="2" s="1"/>
  <c r="I4627" i="2"/>
  <c r="J4627" i="2" s="1"/>
  <c r="I4628" i="2"/>
  <c r="J4628" i="2" s="1"/>
  <c r="I4629" i="2"/>
  <c r="J4629" i="2" s="1"/>
  <c r="I4630" i="2"/>
  <c r="J4630" i="2" s="1"/>
  <c r="I4631" i="2"/>
  <c r="J4631" i="2" s="1"/>
  <c r="I4632" i="2"/>
  <c r="J4632" i="2" s="1"/>
  <c r="I4633" i="2"/>
  <c r="J4633" i="2" s="1"/>
  <c r="I4634" i="2"/>
  <c r="J4634" i="2" s="1"/>
  <c r="I4635" i="2"/>
  <c r="J4635" i="2" s="1"/>
  <c r="I4636" i="2"/>
  <c r="J4636" i="2" s="1"/>
  <c r="I4637" i="2"/>
  <c r="J4637" i="2" s="1"/>
  <c r="I4638" i="2"/>
  <c r="J4638" i="2" s="1"/>
  <c r="I4639" i="2"/>
  <c r="J4639" i="2" s="1"/>
  <c r="I4640" i="2"/>
  <c r="J4640" i="2" s="1"/>
  <c r="I4641" i="2"/>
  <c r="J4641" i="2" s="1"/>
  <c r="I4642" i="2"/>
  <c r="J4642" i="2" s="1"/>
  <c r="I4643" i="2"/>
  <c r="J4643" i="2" s="1"/>
  <c r="I4644" i="2"/>
  <c r="J4644" i="2" s="1"/>
  <c r="I4645" i="2"/>
  <c r="J4645" i="2" s="1"/>
  <c r="I4646" i="2"/>
  <c r="J4646" i="2" s="1"/>
  <c r="I4647" i="2"/>
  <c r="J4647" i="2" s="1"/>
  <c r="I4648" i="2"/>
  <c r="J4648" i="2" s="1"/>
  <c r="I4649" i="2"/>
  <c r="J4649" i="2" s="1"/>
  <c r="I4650" i="2"/>
  <c r="J4650" i="2" s="1"/>
  <c r="I4651" i="2"/>
  <c r="J4651" i="2" s="1"/>
  <c r="I4652" i="2"/>
  <c r="J4652" i="2" s="1"/>
  <c r="I4653" i="2"/>
  <c r="J4653" i="2" s="1"/>
  <c r="I4654" i="2"/>
  <c r="J4654" i="2" s="1"/>
  <c r="I4655" i="2"/>
  <c r="J4655" i="2" s="1"/>
  <c r="I4656" i="2"/>
  <c r="J4656" i="2" s="1"/>
  <c r="I4657" i="2"/>
  <c r="J4657" i="2" s="1"/>
  <c r="I4658" i="2"/>
  <c r="J4658" i="2" s="1"/>
  <c r="I4659" i="2"/>
  <c r="J4659" i="2" s="1"/>
  <c r="I4660" i="2"/>
  <c r="J4660" i="2" s="1"/>
  <c r="I4661" i="2"/>
  <c r="J4661" i="2" s="1"/>
  <c r="I4662" i="2"/>
  <c r="J4662" i="2" s="1"/>
  <c r="I4663" i="2"/>
  <c r="J4663" i="2" s="1"/>
  <c r="I4664" i="2"/>
  <c r="J4664" i="2" s="1"/>
  <c r="I4665" i="2"/>
  <c r="J4665" i="2" s="1"/>
  <c r="I4666" i="2"/>
  <c r="J4666" i="2" s="1"/>
  <c r="I4667" i="2"/>
  <c r="J4667" i="2" s="1"/>
  <c r="I4668" i="2"/>
  <c r="J4668" i="2" s="1"/>
  <c r="I4669" i="2"/>
  <c r="J4669" i="2" s="1"/>
  <c r="I4670" i="2"/>
  <c r="J4670" i="2" s="1"/>
  <c r="I4671" i="2"/>
  <c r="J4671" i="2" s="1"/>
  <c r="I4672" i="2"/>
  <c r="J4672" i="2" s="1"/>
  <c r="I4673" i="2"/>
  <c r="J4673" i="2" s="1"/>
  <c r="I4674" i="2"/>
  <c r="J4674" i="2" s="1"/>
  <c r="I4675" i="2"/>
  <c r="J4675" i="2" s="1"/>
  <c r="I4676" i="2"/>
  <c r="J4676" i="2" s="1"/>
  <c r="I4677" i="2"/>
  <c r="J4677" i="2" s="1"/>
  <c r="I4678" i="2"/>
  <c r="J4678" i="2" s="1"/>
  <c r="I4679" i="2"/>
  <c r="J4679" i="2" s="1"/>
  <c r="I4680" i="2"/>
  <c r="J4680" i="2" s="1"/>
  <c r="I4681" i="2"/>
  <c r="J4681" i="2" s="1"/>
  <c r="I4682" i="2"/>
  <c r="J4682" i="2" s="1"/>
  <c r="I4683" i="2"/>
  <c r="J4683" i="2" s="1"/>
  <c r="I4684" i="2"/>
  <c r="J4684" i="2" s="1"/>
  <c r="I4685" i="2"/>
  <c r="J4685" i="2" s="1"/>
  <c r="I4686" i="2"/>
  <c r="J4686" i="2" s="1"/>
  <c r="I4687" i="2"/>
  <c r="J4687" i="2" s="1"/>
  <c r="I4688" i="2"/>
  <c r="J4688" i="2" s="1"/>
  <c r="I4689" i="2"/>
  <c r="J4689" i="2" s="1"/>
  <c r="I4690" i="2"/>
  <c r="J4690" i="2" s="1"/>
  <c r="I4691" i="2"/>
  <c r="J4691" i="2" s="1"/>
  <c r="I4692" i="2"/>
  <c r="J4692" i="2" s="1"/>
  <c r="I4693" i="2"/>
  <c r="J4693" i="2" s="1"/>
  <c r="I4694" i="2"/>
  <c r="J4694" i="2" s="1"/>
  <c r="I4695" i="2"/>
  <c r="J4695" i="2" s="1"/>
  <c r="I4696" i="2"/>
  <c r="J4696" i="2" s="1"/>
  <c r="I4697" i="2"/>
  <c r="J4697" i="2" s="1"/>
  <c r="I4698" i="2"/>
  <c r="J4698" i="2" s="1"/>
  <c r="I4699" i="2"/>
  <c r="J4699" i="2" s="1"/>
  <c r="I4700" i="2"/>
  <c r="J4700" i="2" s="1"/>
  <c r="I4701" i="2"/>
  <c r="J4701" i="2" s="1"/>
  <c r="I4702" i="2"/>
  <c r="J4702" i="2" s="1"/>
  <c r="I4703" i="2"/>
  <c r="J4703" i="2" s="1"/>
  <c r="I4704" i="2"/>
  <c r="J4704" i="2" s="1"/>
  <c r="I4705" i="2"/>
  <c r="J4705" i="2" s="1"/>
  <c r="I4706" i="2"/>
  <c r="J4706" i="2" s="1"/>
  <c r="I4707" i="2"/>
  <c r="J4707" i="2" s="1"/>
  <c r="I4708" i="2"/>
  <c r="J4708" i="2" s="1"/>
  <c r="I4709" i="2"/>
  <c r="J4709" i="2" s="1"/>
  <c r="I4710" i="2"/>
  <c r="J4710" i="2" s="1"/>
  <c r="I4711" i="2"/>
  <c r="J4711" i="2" s="1"/>
  <c r="I4712" i="2"/>
  <c r="J4712" i="2" s="1"/>
  <c r="I4713" i="2"/>
  <c r="J4713" i="2" s="1"/>
  <c r="I4714" i="2"/>
  <c r="J4714" i="2" s="1"/>
  <c r="I4715" i="2"/>
  <c r="J4715" i="2" s="1"/>
  <c r="I4716" i="2"/>
  <c r="J4716" i="2" s="1"/>
  <c r="I4717" i="2"/>
  <c r="J4717" i="2" s="1"/>
  <c r="I4718" i="2"/>
  <c r="J4718" i="2" s="1"/>
  <c r="I4719" i="2"/>
  <c r="J4719" i="2" s="1"/>
  <c r="I4720" i="2"/>
  <c r="J4720" i="2" s="1"/>
  <c r="I4721" i="2"/>
  <c r="J4721" i="2" s="1"/>
  <c r="I4722" i="2"/>
  <c r="J4722" i="2" s="1"/>
  <c r="I4723" i="2"/>
  <c r="J4723" i="2" s="1"/>
  <c r="I4724" i="2"/>
  <c r="J4724" i="2" s="1"/>
  <c r="I4725" i="2"/>
  <c r="J4725" i="2" s="1"/>
  <c r="I4726" i="2"/>
  <c r="J4726" i="2" s="1"/>
  <c r="I4727" i="2"/>
  <c r="J4727" i="2" s="1"/>
  <c r="I4728" i="2"/>
  <c r="J4728" i="2" s="1"/>
  <c r="I4729" i="2"/>
  <c r="J4729" i="2" s="1"/>
  <c r="I4730" i="2"/>
  <c r="J4730" i="2" s="1"/>
  <c r="I4731" i="2"/>
  <c r="J4731" i="2" s="1"/>
  <c r="I4732" i="2"/>
  <c r="J4732" i="2" s="1"/>
  <c r="I4733" i="2"/>
  <c r="J4733" i="2" s="1"/>
  <c r="I4734" i="2"/>
  <c r="J4734" i="2" s="1"/>
  <c r="I4735" i="2"/>
  <c r="J4735" i="2" s="1"/>
  <c r="I4736" i="2"/>
  <c r="J4736" i="2" s="1"/>
  <c r="I4737" i="2"/>
  <c r="J4737" i="2" s="1"/>
  <c r="I4738" i="2"/>
  <c r="J4738" i="2" s="1"/>
  <c r="I4739" i="2"/>
  <c r="J4739" i="2" s="1"/>
  <c r="I4740" i="2"/>
  <c r="J4740" i="2" s="1"/>
  <c r="I4741" i="2"/>
  <c r="J4741" i="2" s="1"/>
  <c r="I4742" i="2"/>
  <c r="J4742" i="2" s="1"/>
  <c r="I4743" i="2"/>
  <c r="J4743" i="2" s="1"/>
  <c r="I4744" i="2"/>
  <c r="J4744" i="2" s="1"/>
  <c r="I4745" i="2"/>
  <c r="J4745" i="2" s="1"/>
  <c r="I4746" i="2"/>
  <c r="J4746" i="2" s="1"/>
  <c r="I4747" i="2"/>
  <c r="J4747" i="2" s="1"/>
  <c r="I4748" i="2"/>
  <c r="J4748" i="2" s="1"/>
  <c r="I4749" i="2"/>
  <c r="J4749" i="2" s="1"/>
  <c r="I4750" i="2"/>
  <c r="J4750" i="2" s="1"/>
  <c r="I4751" i="2"/>
  <c r="J4751" i="2" s="1"/>
  <c r="I4752" i="2"/>
  <c r="J4752" i="2" s="1"/>
  <c r="I4753" i="2"/>
  <c r="J4753" i="2" s="1"/>
  <c r="I4754" i="2"/>
  <c r="J4754" i="2" s="1"/>
  <c r="I4755" i="2"/>
  <c r="J4755" i="2" s="1"/>
  <c r="I4756" i="2"/>
  <c r="J4756" i="2" s="1"/>
  <c r="I4757" i="2"/>
  <c r="J4757" i="2" s="1"/>
  <c r="I4758" i="2"/>
  <c r="J4758" i="2" s="1"/>
  <c r="I4759" i="2"/>
  <c r="J4759" i="2" s="1"/>
  <c r="I4760" i="2"/>
  <c r="J4760" i="2" s="1"/>
  <c r="I4761" i="2"/>
  <c r="J4761" i="2" s="1"/>
  <c r="I4762" i="2"/>
  <c r="J4762" i="2" s="1"/>
  <c r="I4763" i="2"/>
  <c r="J4763" i="2" s="1"/>
  <c r="I4764" i="2"/>
  <c r="J4764" i="2" s="1"/>
  <c r="I4765" i="2"/>
  <c r="J4765" i="2" s="1"/>
  <c r="I4766" i="2"/>
  <c r="J4766" i="2" s="1"/>
  <c r="I4767" i="2"/>
  <c r="J4767" i="2" s="1"/>
  <c r="I4768" i="2"/>
  <c r="J4768" i="2" s="1"/>
  <c r="I4769" i="2"/>
  <c r="J4769" i="2" s="1"/>
  <c r="I4770" i="2"/>
  <c r="J4770" i="2" s="1"/>
  <c r="I4771" i="2"/>
  <c r="J4771" i="2" s="1"/>
  <c r="I4772" i="2"/>
  <c r="J4772" i="2" s="1"/>
  <c r="I4773" i="2"/>
  <c r="J4773" i="2" s="1"/>
  <c r="I4774" i="2"/>
  <c r="J4774" i="2" s="1"/>
  <c r="I4775" i="2"/>
  <c r="J4775" i="2" s="1"/>
  <c r="I4776" i="2"/>
  <c r="J4776" i="2" s="1"/>
  <c r="I4777" i="2"/>
  <c r="J4777" i="2" s="1"/>
  <c r="I4778" i="2"/>
  <c r="J4778" i="2" s="1"/>
  <c r="I4779" i="2"/>
  <c r="J4779" i="2" s="1"/>
  <c r="I4780" i="2"/>
  <c r="J4780" i="2" s="1"/>
  <c r="I4781" i="2"/>
  <c r="J4781" i="2" s="1"/>
  <c r="I4782" i="2"/>
  <c r="J4782" i="2" s="1"/>
  <c r="I4783" i="2"/>
  <c r="J4783" i="2" s="1"/>
  <c r="I4784" i="2"/>
  <c r="J4784" i="2" s="1"/>
  <c r="I4785" i="2"/>
  <c r="J4785" i="2" s="1"/>
  <c r="I4786" i="2"/>
  <c r="J4786" i="2" s="1"/>
  <c r="I4787" i="2"/>
  <c r="J4787" i="2" s="1"/>
  <c r="I4788" i="2"/>
  <c r="J4788" i="2" s="1"/>
  <c r="I4789" i="2"/>
  <c r="J4789" i="2" s="1"/>
  <c r="I4790" i="2"/>
  <c r="J4790" i="2" s="1"/>
  <c r="I4791" i="2"/>
  <c r="J4791" i="2" s="1"/>
  <c r="I4792" i="2"/>
  <c r="J4792" i="2" s="1"/>
  <c r="I4793" i="2"/>
  <c r="J4793" i="2" s="1"/>
  <c r="I4794" i="2"/>
  <c r="J4794" i="2" s="1"/>
  <c r="I4795" i="2"/>
  <c r="J4795" i="2" s="1"/>
  <c r="I4796" i="2"/>
  <c r="J4796" i="2" s="1"/>
  <c r="I4797" i="2"/>
  <c r="J4797" i="2" s="1"/>
  <c r="I4798" i="2"/>
  <c r="J4798" i="2" s="1"/>
  <c r="I4799" i="2"/>
  <c r="J4799" i="2" s="1"/>
  <c r="I4800" i="2"/>
  <c r="J4800" i="2" s="1"/>
  <c r="I4801" i="2"/>
  <c r="J4801" i="2" s="1"/>
  <c r="I4802" i="2"/>
  <c r="J4802" i="2" s="1"/>
  <c r="I4803" i="2"/>
  <c r="J4803" i="2" s="1"/>
  <c r="I4804" i="2"/>
  <c r="J4804" i="2" s="1"/>
  <c r="I4805" i="2"/>
  <c r="J4805" i="2" s="1"/>
  <c r="I4806" i="2"/>
  <c r="J4806" i="2" s="1"/>
  <c r="I4807" i="2"/>
  <c r="J4807" i="2" s="1"/>
  <c r="I4808" i="2"/>
  <c r="J4808" i="2" s="1"/>
  <c r="I4809" i="2"/>
  <c r="J4809" i="2" s="1"/>
  <c r="I4810" i="2"/>
  <c r="J4810" i="2" s="1"/>
  <c r="I4811" i="2"/>
  <c r="J4811" i="2" s="1"/>
  <c r="I4812" i="2"/>
  <c r="J4812" i="2" s="1"/>
  <c r="I4813" i="2"/>
  <c r="J4813" i="2" s="1"/>
  <c r="I4814" i="2"/>
  <c r="J4814" i="2" s="1"/>
  <c r="I4815" i="2"/>
  <c r="J4815" i="2" s="1"/>
  <c r="I4816" i="2"/>
  <c r="J4816" i="2" s="1"/>
  <c r="I4817" i="2"/>
  <c r="J4817" i="2" s="1"/>
  <c r="I4818" i="2"/>
  <c r="J4818" i="2" s="1"/>
  <c r="I4819" i="2"/>
  <c r="J4819" i="2" s="1"/>
  <c r="I4820" i="2"/>
  <c r="J4820" i="2" s="1"/>
  <c r="I4821" i="2"/>
  <c r="J4821" i="2" s="1"/>
  <c r="I4822" i="2"/>
  <c r="J4822" i="2" s="1"/>
  <c r="I4823" i="2"/>
  <c r="J4823" i="2" s="1"/>
  <c r="I4824" i="2"/>
  <c r="J4824" i="2" s="1"/>
  <c r="I4825" i="2"/>
  <c r="J4825" i="2" s="1"/>
  <c r="I4826" i="2"/>
  <c r="J4826" i="2" s="1"/>
  <c r="I4827" i="2"/>
  <c r="J4827" i="2" s="1"/>
  <c r="I4828" i="2"/>
  <c r="J4828" i="2" s="1"/>
  <c r="I4829" i="2"/>
  <c r="J4829" i="2" s="1"/>
  <c r="I4830" i="2"/>
  <c r="J4830" i="2" s="1"/>
  <c r="I4831" i="2"/>
  <c r="J4831" i="2" s="1"/>
  <c r="I4832" i="2"/>
  <c r="J4832" i="2" s="1"/>
  <c r="I4833" i="2"/>
  <c r="J4833" i="2" s="1"/>
  <c r="I4834" i="2"/>
  <c r="J4834" i="2" s="1"/>
  <c r="I4835" i="2"/>
  <c r="J4835" i="2" s="1"/>
  <c r="I4836" i="2"/>
  <c r="J4836" i="2" s="1"/>
  <c r="I4837" i="2"/>
  <c r="J4837" i="2" s="1"/>
  <c r="I4838" i="2"/>
  <c r="J4838" i="2" s="1"/>
  <c r="I4839" i="2"/>
  <c r="J4839" i="2" s="1"/>
  <c r="I4840" i="2"/>
  <c r="J4840" i="2" s="1"/>
  <c r="I4841" i="2"/>
  <c r="J4841" i="2" s="1"/>
  <c r="I4842" i="2"/>
  <c r="J4842" i="2" s="1"/>
  <c r="I4843" i="2"/>
  <c r="J4843" i="2" s="1"/>
  <c r="I4844" i="2"/>
  <c r="J4844" i="2" s="1"/>
  <c r="I4845" i="2"/>
  <c r="J4845" i="2" s="1"/>
  <c r="I4846" i="2"/>
  <c r="J4846" i="2" s="1"/>
  <c r="I4847" i="2"/>
  <c r="J4847" i="2" s="1"/>
  <c r="I4848" i="2"/>
  <c r="J4848" i="2" s="1"/>
  <c r="I4849" i="2"/>
  <c r="J4849" i="2" s="1"/>
  <c r="I4850" i="2"/>
  <c r="J4850" i="2" s="1"/>
  <c r="I4851" i="2"/>
  <c r="J4851" i="2" s="1"/>
  <c r="I4852" i="2"/>
  <c r="J4852" i="2" s="1"/>
  <c r="I4853" i="2"/>
  <c r="J4853" i="2" s="1"/>
  <c r="I4854" i="2"/>
  <c r="J4854" i="2" s="1"/>
  <c r="I4855" i="2"/>
  <c r="J4855" i="2" s="1"/>
  <c r="I4856" i="2"/>
  <c r="J4856" i="2" s="1"/>
  <c r="I4857" i="2"/>
  <c r="J4857" i="2" s="1"/>
  <c r="I4858" i="2"/>
  <c r="J4858" i="2" s="1"/>
  <c r="I4859" i="2"/>
  <c r="J4859" i="2" s="1"/>
  <c r="I4860" i="2"/>
  <c r="J4860" i="2" s="1"/>
  <c r="I4861" i="2"/>
  <c r="J4861" i="2" s="1"/>
  <c r="I4862" i="2"/>
  <c r="J4862" i="2" s="1"/>
  <c r="I4863" i="2"/>
  <c r="J4863" i="2" s="1"/>
  <c r="I4864" i="2"/>
  <c r="J4864" i="2" s="1"/>
  <c r="I4865" i="2"/>
  <c r="J4865" i="2" s="1"/>
  <c r="I4866" i="2"/>
  <c r="J4866" i="2" s="1"/>
  <c r="I4867" i="2"/>
  <c r="J4867" i="2" s="1"/>
  <c r="I4868" i="2"/>
  <c r="J4868" i="2" s="1"/>
  <c r="I4869" i="2"/>
  <c r="J4869" i="2" s="1"/>
  <c r="I4870" i="2"/>
  <c r="J4870" i="2" s="1"/>
  <c r="I4871" i="2"/>
  <c r="J4871" i="2" s="1"/>
  <c r="I4872" i="2"/>
  <c r="J4872" i="2" s="1"/>
  <c r="I4873" i="2"/>
  <c r="J4873" i="2" s="1"/>
  <c r="I4874" i="2"/>
  <c r="J4874" i="2" s="1"/>
  <c r="I4875" i="2"/>
  <c r="J4875" i="2" s="1"/>
  <c r="I4876" i="2"/>
  <c r="J4876" i="2" s="1"/>
  <c r="I4877" i="2"/>
  <c r="J4877" i="2" s="1"/>
  <c r="I4878" i="2"/>
  <c r="J4878" i="2" s="1"/>
  <c r="I4879" i="2"/>
  <c r="J4879" i="2" s="1"/>
  <c r="I4880" i="2"/>
  <c r="J4880" i="2" s="1"/>
  <c r="I4881" i="2"/>
  <c r="J4881" i="2" s="1"/>
  <c r="I4882" i="2"/>
  <c r="J4882" i="2" s="1"/>
  <c r="I4883" i="2"/>
  <c r="J4883" i="2" s="1"/>
  <c r="I4884" i="2"/>
  <c r="J4884" i="2" s="1"/>
  <c r="I4885" i="2"/>
  <c r="J4885" i="2" s="1"/>
  <c r="I4886" i="2"/>
  <c r="J4886" i="2" s="1"/>
  <c r="I4887" i="2"/>
  <c r="J4887" i="2" s="1"/>
  <c r="I4888" i="2"/>
  <c r="J4888" i="2" s="1"/>
  <c r="I4889" i="2"/>
  <c r="J4889" i="2" s="1"/>
  <c r="I4890" i="2"/>
  <c r="J4890" i="2" s="1"/>
  <c r="I4891" i="2"/>
  <c r="J4891" i="2" s="1"/>
  <c r="I4892" i="2"/>
  <c r="J4892" i="2" s="1"/>
  <c r="I4893" i="2"/>
  <c r="J4893" i="2" s="1"/>
  <c r="I4894" i="2"/>
  <c r="J4894" i="2" s="1"/>
  <c r="I4895" i="2"/>
  <c r="J4895" i="2" s="1"/>
  <c r="I4896" i="2"/>
  <c r="J4896" i="2" s="1"/>
  <c r="I4897" i="2"/>
  <c r="J4897" i="2" s="1"/>
  <c r="I4898" i="2"/>
  <c r="J4898" i="2" s="1"/>
  <c r="I4899" i="2"/>
  <c r="J4899" i="2" s="1"/>
  <c r="I4900" i="2"/>
  <c r="J4900" i="2" s="1"/>
  <c r="I4901" i="2"/>
  <c r="J4901" i="2" s="1"/>
  <c r="I4902" i="2"/>
  <c r="J4902" i="2" s="1"/>
  <c r="I4903" i="2"/>
  <c r="J4903" i="2" s="1"/>
  <c r="I4904" i="2"/>
  <c r="J4904" i="2" s="1"/>
  <c r="I4905" i="2"/>
  <c r="J4905" i="2" s="1"/>
  <c r="I4906" i="2"/>
  <c r="J4906" i="2" s="1"/>
  <c r="I4907" i="2"/>
  <c r="J4907" i="2" s="1"/>
  <c r="I4908" i="2"/>
  <c r="J4908" i="2" s="1"/>
  <c r="I4909" i="2"/>
  <c r="J4909" i="2" s="1"/>
  <c r="I4910" i="2"/>
  <c r="J4910" i="2" s="1"/>
  <c r="I4911" i="2"/>
  <c r="J4911" i="2" s="1"/>
  <c r="I4912" i="2"/>
  <c r="J4912" i="2" s="1"/>
  <c r="I4913" i="2"/>
  <c r="J4913" i="2" s="1"/>
  <c r="I4914" i="2"/>
  <c r="J4914" i="2" s="1"/>
  <c r="I4915" i="2"/>
  <c r="J4915" i="2" s="1"/>
  <c r="I4916" i="2"/>
  <c r="J4916" i="2" s="1"/>
  <c r="I4917" i="2"/>
  <c r="J4917" i="2" s="1"/>
  <c r="I4918" i="2"/>
  <c r="J4918" i="2" s="1"/>
  <c r="I4919" i="2"/>
  <c r="J4919" i="2" s="1"/>
  <c r="I4920" i="2"/>
  <c r="J4920" i="2" s="1"/>
  <c r="I4921" i="2"/>
  <c r="J4921" i="2" s="1"/>
  <c r="I4922" i="2"/>
  <c r="J4922" i="2" s="1"/>
  <c r="I4923" i="2"/>
  <c r="J4923" i="2" s="1"/>
  <c r="I4924" i="2"/>
  <c r="J4924" i="2" s="1"/>
  <c r="I4925" i="2"/>
  <c r="J4925" i="2" s="1"/>
  <c r="I4926" i="2"/>
  <c r="J4926" i="2" s="1"/>
  <c r="I4927" i="2"/>
  <c r="J4927" i="2" s="1"/>
  <c r="I4928" i="2"/>
  <c r="J4928" i="2" s="1"/>
  <c r="I4929" i="2"/>
  <c r="J4929" i="2" s="1"/>
  <c r="I4930" i="2"/>
  <c r="J4930" i="2" s="1"/>
  <c r="I4931" i="2"/>
  <c r="J4931" i="2" s="1"/>
  <c r="I4932" i="2"/>
  <c r="J4932" i="2" s="1"/>
  <c r="I4933" i="2"/>
  <c r="J4933" i="2" s="1"/>
  <c r="I4934" i="2"/>
  <c r="J4934" i="2" s="1"/>
  <c r="I4935" i="2"/>
  <c r="J4935" i="2" s="1"/>
  <c r="I4936" i="2"/>
  <c r="J4936" i="2" s="1"/>
  <c r="I4937" i="2"/>
  <c r="J4937" i="2" s="1"/>
  <c r="I4938" i="2"/>
  <c r="J4938" i="2" s="1"/>
  <c r="I4939" i="2"/>
  <c r="J4939" i="2" s="1"/>
  <c r="I4940" i="2"/>
  <c r="J4940" i="2" s="1"/>
  <c r="I4941" i="2"/>
  <c r="J4941" i="2" s="1"/>
  <c r="I4942" i="2"/>
  <c r="J4942" i="2" s="1"/>
  <c r="I4943" i="2"/>
  <c r="J4943" i="2" s="1"/>
  <c r="I4944" i="2"/>
  <c r="J4944" i="2" s="1"/>
  <c r="I4945" i="2"/>
  <c r="J4945" i="2" s="1"/>
  <c r="I4946" i="2"/>
  <c r="J4946" i="2" s="1"/>
  <c r="I4947" i="2"/>
  <c r="J4947" i="2" s="1"/>
  <c r="I4948" i="2"/>
  <c r="J4948" i="2" s="1"/>
  <c r="I4949" i="2"/>
  <c r="J4949" i="2" s="1"/>
  <c r="I4950" i="2"/>
  <c r="J4950" i="2" s="1"/>
  <c r="I4951" i="2"/>
  <c r="J4951" i="2" s="1"/>
  <c r="I4952" i="2"/>
  <c r="J4952" i="2" s="1"/>
  <c r="I4953" i="2"/>
  <c r="J4953" i="2" s="1"/>
  <c r="I4954" i="2"/>
  <c r="J4954" i="2" s="1"/>
  <c r="I4955" i="2"/>
  <c r="J4955" i="2" s="1"/>
  <c r="I4956" i="2"/>
  <c r="J4956" i="2" s="1"/>
  <c r="I4957" i="2"/>
  <c r="J4957" i="2" s="1"/>
  <c r="I4958" i="2"/>
  <c r="J4958" i="2" s="1"/>
  <c r="I4959" i="2"/>
  <c r="J4959" i="2" s="1"/>
  <c r="I4960" i="2"/>
  <c r="J4960" i="2" s="1"/>
  <c r="I4961" i="2"/>
  <c r="J4961" i="2" s="1"/>
  <c r="I4962" i="2"/>
  <c r="J4962" i="2" s="1"/>
  <c r="I4963" i="2"/>
  <c r="J4963" i="2" s="1"/>
  <c r="I4964" i="2"/>
  <c r="J4964" i="2" s="1"/>
  <c r="I4965" i="2"/>
  <c r="J4965" i="2" s="1"/>
  <c r="I4966" i="2"/>
  <c r="J4966" i="2" s="1"/>
  <c r="I4967" i="2"/>
  <c r="J4967" i="2" s="1"/>
  <c r="I4968" i="2"/>
  <c r="J4968" i="2" s="1"/>
  <c r="I4969" i="2"/>
  <c r="J4969" i="2" s="1"/>
  <c r="I4970" i="2"/>
  <c r="J4970" i="2" s="1"/>
  <c r="I4971" i="2"/>
  <c r="J4971" i="2" s="1"/>
  <c r="I4972" i="2"/>
  <c r="J4972" i="2" s="1"/>
  <c r="I4973" i="2"/>
  <c r="J4973" i="2" s="1"/>
  <c r="I4974" i="2"/>
  <c r="J4974" i="2" s="1"/>
  <c r="I4975" i="2"/>
  <c r="J4975" i="2" s="1"/>
  <c r="I4976" i="2"/>
  <c r="J4976" i="2" s="1"/>
  <c r="I4977" i="2"/>
  <c r="J4977" i="2" s="1"/>
  <c r="I4978" i="2"/>
  <c r="J4978" i="2" s="1"/>
  <c r="I4979" i="2"/>
  <c r="J4979" i="2" s="1"/>
  <c r="I4980" i="2"/>
  <c r="J4980" i="2" s="1"/>
  <c r="I4981" i="2"/>
  <c r="J4981" i="2" s="1"/>
  <c r="I4982" i="2"/>
  <c r="J4982" i="2" s="1"/>
  <c r="I4983" i="2"/>
  <c r="J4983" i="2" s="1"/>
  <c r="I4984" i="2"/>
  <c r="J4984" i="2" s="1"/>
  <c r="I4985" i="2"/>
  <c r="J4985" i="2" s="1"/>
  <c r="I4986" i="2"/>
  <c r="J4986" i="2" s="1"/>
  <c r="I4987" i="2"/>
  <c r="J4987" i="2" s="1"/>
  <c r="I4988" i="2"/>
  <c r="J4988" i="2" s="1"/>
  <c r="I4989" i="2"/>
  <c r="J4989" i="2" s="1"/>
  <c r="I4990" i="2"/>
  <c r="J4990" i="2" s="1"/>
  <c r="I4991" i="2"/>
  <c r="J4991" i="2" s="1"/>
  <c r="I4992" i="2"/>
  <c r="J4992" i="2" s="1"/>
  <c r="I4993" i="2"/>
  <c r="J4993" i="2" s="1"/>
  <c r="I4994" i="2"/>
  <c r="J4994" i="2" s="1"/>
  <c r="I4995" i="2"/>
  <c r="J4995" i="2" s="1"/>
  <c r="I4996" i="2"/>
  <c r="J4996" i="2" s="1"/>
  <c r="I4997" i="2"/>
  <c r="J4997" i="2" s="1"/>
  <c r="I4998" i="2"/>
  <c r="J4998" i="2" s="1"/>
  <c r="I4999" i="2"/>
  <c r="J4999" i="2" s="1"/>
  <c r="I5000" i="2"/>
  <c r="J5000" i="2" s="1"/>
  <c r="I5001" i="2"/>
  <c r="J5001" i="2" s="1"/>
  <c r="I5002" i="2"/>
  <c r="J5002" i="2" s="1"/>
  <c r="I5003" i="2"/>
  <c r="J5003" i="2" s="1"/>
  <c r="I5004" i="2"/>
  <c r="J5004" i="2" s="1"/>
  <c r="I5005" i="2"/>
  <c r="J5005" i="2" s="1"/>
  <c r="I5006" i="2"/>
  <c r="J5006" i="2" s="1"/>
  <c r="I5007" i="2"/>
  <c r="J5007" i="2" s="1"/>
  <c r="I5008" i="2"/>
  <c r="J5008" i="2" s="1"/>
  <c r="I5009" i="2"/>
  <c r="J5009" i="2" s="1"/>
  <c r="I5010" i="2"/>
  <c r="J5010" i="2" s="1"/>
  <c r="I5011" i="2"/>
  <c r="J5011" i="2" s="1"/>
  <c r="I5012" i="2"/>
  <c r="J5012" i="2" s="1"/>
  <c r="I5013" i="2"/>
  <c r="J5013" i="2" s="1"/>
  <c r="I5014" i="2"/>
  <c r="J5014" i="2" s="1"/>
  <c r="I5015" i="2"/>
  <c r="J5015" i="2" s="1"/>
  <c r="I5016" i="2"/>
  <c r="J5016" i="2" s="1"/>
  <c r="I5017" i="2"/>
  <c r="J5017" i="2" s="1"/>
  <c r="I5018" i="2"/>
  <c r="J5018" i="2" s="1"/>
  <c r="I5019" i="2"/>
  <c r="J5019" i="2" s="1"/>
  <c r="I5020" i="2"/>
  <c r="J5020" i="2" s="1"/>
  <c r="I5021" i="2"/>
  <c r="J5021" i="2" s="1"/>
  <c r="I5022" i="2"/>
  <c r="J5022" i="2" s="1"/>
  <c r="I5023" i="2"/>
  <c r="J5023" i="2" s="1"/>
  <c r="I5024" i="2"/>
  <c r="J5024" i="2" s="1"/>
  <c r="I5025" i="2"/>
  <c r="J5025" i="2" s="1"/>
  <c r="I5026" i="2"/>
  <c r="J5026" i="2" s="1"/>
  <c r="I5027" i="2"/>
  <c r="J5027" i="2" s="1"/>
  <c r="I5028" i="2"/>
  <c r="J5028" i="2" s="1"/>
  <c r="I5029" i="2"/>
  <c r="J5029" i="2" s="1"/>
  <c r="I5030" i="2"/>
  <c r="J5030" i="2" s="1"/>
  <c r="I5031" i="2"/>
  <c r="J5031" i="2" s="1"/>
  <c r="I5032" i="2"/>
  <c r="J5032" i="2" s="1"/>
  <c r="I5033" i="2"/>
  <c r="J5033" i="2" s="1"/>
  <c r="I5034" i="2"/>
  <c r="J5034" i="2" s="1"/>
  <c r="I5035" i="2"/>
  <c r="J5035" i="2" s="1"/>
  <c r="I5036" i="2"/>
  <c r="J5036" i="2" s="1"/>
  <c r="I5037" i="2"/>
  <c r="J5037" i="2" s="1"/>
  <c r="I5038" i="2"/>
  <c r="J5038" i="2" s="1"/>
  <c r="I5039" i="2"/>
  <c r="J5039" i="2" s="1"/>
  <c r="I5040" i="2"/>
  <c r="J5040" i="2" s="1"/>
  <c r="I5041" i="2"/>
  <c r="J5041" i="2" s="1"/>
  <c r="I5042" i="2"/>
  <c r="J5042" i="2" s="1"/>
  <c r="I5043" i="2"/>
  <c r="J5043" i="2" s="1"/>
  <c r="I5044" i="2"/>
  <c r="J5044" i="2" s="1"/>
  <c r="I5045" i="2"/>
  <c r="J5045" i="2" s="1"/>
  <c r="I5046" i="2"/>
  <c r="J5046" i="2" s="1"/>
  <c r="I5047" i="2"/>
  <c r="J5047" i="2" s="1"/>
  <c r="I5048" i="2"/>
  <c r="J5048" i="2" s="1"/>
  <c r="I5049" i="2"/>
  <c r="J5049" i="2" s="1"/>
  <c r="I5050" i="2"/>
  <c r="J5050" i="2" s="1"/>
  <c r="I5051" i="2"/>
  <c r="J5051" i="2" s="1"/>
  <c r="I5052" i="2"/>
  <c r="J5052" i="2" s="1"/>
  <c r="I5053" i="2"/>
  <c r="J5053" i="2" s="1"/>
  <c r="I5054" i="2"/>
  <c r="J5054" i="2" s="1"/>
  <c r="I5055" i="2"/>
  <c r="J5055" i="2" s="1"/>
  <c r="I5056" i="2"/>
  <c r="J5056" i="2" s="1"/>
  <c r="I5057" i="2"/>
  <c r="J5057" i="2" s="1"/>
  <c r="I5058" i="2"/>
  <c r="J5058" i="2" s="1"/>
  <c r="I5059" i="2"/>
  <c r="J5059" i="2" s="1"/>
  <c r="I5060" i="2"/>
  <c r="J5060" i="2" s="1"/>
  <c r="I5061" i="2"/>
  <c r="J5061" i="2" s="1"/>
  <c r="I5062" i="2"/>
  <c r="J5062" i="2" s="1"/>
  <c r="I5063" i="2"/>
  <c r="J5063" i="2" s="1"/>
  <c r="I5064" i="2"/>
  <c r="J5064" i="2" s="1"/>
  <c r="I5065" i="2"/>
  <c r="J5065" i="2" s="1"/>
  <c r="I5066" i="2"/>
  <c r="J5066" i="2" s="1"/>
  <c r="I5067" i="2"/>
  <c r="J5067" i="2" s="1"/>
  <c r="I5068" i="2"/>
  <c r="J5068" i="2" s="1"/>
  <c r="I5069" i="2"/>
  <c r="J5069" i="2" s="1"/>
  <c r="I5070" i="2"/>
  <c r="J5070" i="2" s="1"/>
  <c r="I5071" i="2"/>
  <c r="J5071" i="2" s="1"/>
  <c r="I5072" i="2"/>
  <c r="J5072" i="2" s="1"/>
  <c r="I5073" i="2"/>
  <c r="J5073" i="2" s="1"/>
  <c r="I5074" i="2"/>
  <c r="J5074" i="2" s="1"/>
  <c r="I5075" i="2"/>
  <c r="J5075" i="2" s="1"/>
  <c r="I5076" i="2"/>
  <c r="J5076" i="2" s="1"/>
  <c r="I5077" i="2"/>
  <c r="J5077" i="2" s="1"/>
  <c r="I5078" i="2"/>
  <c r="J5078" i="2" s="1"/>
  <c r="I5079" i="2"/>
  <c r="J5079" i="2" s="1"/>
  <c r="I5080" i="2"/>
  <c r="J5080" i="2" s="1"/>
  <c r="I5081" i="2"/>
  <c r="J5081" i="2" s="1"/>
  <c r="I5082" i="2"/>
  <c r="J5082" i="2" s="1"/>
  <c r="I5083" i="2"/>
  <c r="J5083" i="2" s="1"/>
  <c r="I5084" i="2"/>
  <c r="J5084" i="2" s="1"/>
  <c r="I5085" i="2"/>
  <c r="J5085" i="2" s="1"/>
  <c r="I5086" i="2"/>
  <c r="J5086" i="2" s="1"/>
  <c r="I5087" i="2"/>
  <c r="J5087" i="2" s="1"/>
  <c r="I5088" i="2"/>
  <c r="J5088" i="2" s="1"/>
  <c r="I5089" i="2"/>
  <c r="J5089" i="2" s="1"/>
  <c r="I5090" i="2"/>
  <c r="J5090" i="2" s="1"/>
  <c r="I5091" i="2"/>
  <c r="J5091" i="2" s="1"/>
  <c r="I5092" i="2"/>
  <c r="J5092" i="2" s="1"/>
  <c r="I5093" i="2"/>
  <c r="J5093" i="2" s="1"/>
  <c r="I5094" i="2"/>
  <c r="J5094" i="2" s="1"/>
  <c r="I5095" i="2"/>
  <c r="J5095" i="2" s="1"/>
  <c r="I5096" i="2"/>
  <c r="J5096" i="2" s="1"/>
  <c r="I5097" i="2"/>
  <c r="J5097" i="2" s="1"/>
  <c r="I5098" i="2"/>
  <c r="J5098" i="2" s="1"/>
  <c r="I5099" i="2"/>
  <c r="J5099" i="2" s="1"/>
  <c r="I5100" i="2"/>
  <c r="J5100" i="2" s="1"/>
  <c r="I5101" i="2"/>
  <c r="J5101" i="2" s="1"/>
  <c r="I5102" i="2"/>
  <c r="J5102" i="2" s="1"/>
  <c r="I5103" i="2"/>
  <c r="J5103" i="2" s="1"/>
  <c r="I5104" i="2"/>
  <c r="J5104" i="2" s="1"/>
  <c r="I5105" i="2"/>
  <c r="J5105" i="2" s="1"/>
  <c r="I5106" i="2"/>
  <c r="J5106" i="2" s="1"/>
  <c r="I5107" i="2"/>
  <c r="J5107" i="2" s="1"/>
  <c r="I5108" i="2"/>
  <c r="J5108" i="2" s="1"/>
  <c r="I5109" i="2"/>
  <c r="J5109" i="2" s="1"/>
  <c r="I5110" i="2"/>
  <c r="J5110" i="2" s="1"/>
  <c r="I5111" i="2"/>
  <c r="J5111" i="2" s="1"/>
  <c r="I5112" i="2"/>
  <c r="J5112" i="2" s="1"/>
  <c r="I5113" i="2"/>
  <c r="J5113" i="2" s="1"/>
  <c r="I5114" i="2"/>
  <c r="J5114" i="2" s="1"/>
  <c r="I5115" i="2"/>
  <c r="J5115" i="2" s="1"/>
  <c r="I5116" i="2"/>
  <c r="J5116" i="2" s="1"/>
  <c r="I5117" i="2"/>
  <c r="J5117" i="2" s="1"/>
  <c r="I5118" i="2"/>
  <c r="J5118" i="2" s="1"/>
  <c r="I5119" i="2"/>
  <c r="J5119" i="2" s="1"/>
  <c r="I5120" i="2"/>
  <c r="J5120" i="2" s="1"/>
  <c r="I5121" i="2"/>
  <c r="J5121" i="2" s="1"/>
  <c r="I5122" i="2"/>
  <c r="J5122" i="2" s="1"/>
  <c r="I5123" i="2"/>
  <c r="J5123" i="2" s="1"/>
  <c r="I5124" i="2"/>
  <c r="J5124" i="2" s="1"/>
  <c r="I5125" i="2"/>
  <c r="J5125" i="2" s="1"/>
  <c r="I5126" i="2"/>
  <c r="J5126" i="2" s="1"/>
  <c r="I5127" i="2"/>
  <c r="J5127" i="2" s="1"/>
  <c r="I5128" i="2"/>
  <c r="J5128" i="2" s="1"/>
  <c r="I5129" i="2"/>
  <c r="J5129" i="2" s="1"/>
  <c r="I5130" i="2"/>
  <c r="J5130" i="2" s="1"/>
  <c r="I5131" i="2"/>
  <c r="J5131" i="2" s="1"/>
  <c r="I5132" i="2"/>
  <c r="J5132" i="2" s="1"/>
  <c r="I5133" i="2"/>
  <c r="J5133" i="2" s="1"/>
  <c r="I5134" i="2"/>
  <c r="J5134" i="2" s="1"/>
  <c r="I5135" i="2"/>
  <c r="J5135" i="2" s="1"/>
  <c r="I5136" i="2"/>
  <c r="J5136" i="2" s="1"/>
  <c r="I5137" i="2"/>
  <c r="J5137" i="2" s="1"/>
  <c r="I5138" i="2"/>
  <c r="J5138" i="2" s="1"/>
  <c r="I5139" i="2"/>
  <c r="J5139" i="2" s="1"/>
  <c r="I5140" i="2"/>
  <c r="J5140" i="2" s="1"/>
  <c r="I5141" i="2"/>
  <c r="J5141" i="2" s="1"/>
  <c r="I5142" i="2"/>
  <c r="J5142" i="2" s="1"/>
  <c r="I5143" i="2"/>
  <c r="J5143" i="2" s="1"/>
  <c r="I5144" i="2"/>
  <c r="J5144" i="2" s="1"/>
  <c r="I5145" i="2"/>
  <c r="J5145" i="2" s="1"/>
  <c r="I5146" i="2"/>
  <c r="J5146" i="2" s="1"/>
  <c r="I5147" i="2"/>
  <c r="J5147" i="2" s="1"/>
  <c r="I5148" i="2"/>
  <c r="J5148" i="2" s="1"/>
  <c r="I5149" i="2"/>
  <c r="J5149" i="2" s="1"/>
  <c r="I5150" i="2"/>
  <c r="J5150" i="2" s="1"/>
  <c r="I5151" i="2"/>
  <c r="J5151" i="2" s="1"/>
  <c r="I5152" i="2"/>
  <c r="J5152" i="2" s="1"/>
  <c r="I5153" i="2"/>
  <c r="J5153" i="2" s="1"/>
  <c r="I5154" i="2"/>
  <c r="J5154" i="2" s="1"/>
  <c r="I5155" i="2"/>
  <c r="J5155" i="2" s="1"/>
  <c r="I5156" i="2"/>
  <c r="J5156" i="2" s="1"/>
  <c r="I5157" i="2"/>
  <c r="J5157" i="2" s="1"/>
  <c r="I5158" i="2"/>
  <c r="J5158" i="2" s="1"/>
  <c r="I5159" i="2"/>
  <c r="J5159" i="2" s="1"/>
  <c r="I5160" i="2"/>
  <c r="J5160" i="2" s="1"/>
  <c r="I5161" i="2"/>
  <c r="J5161" i="2" s="1"/>
  <c r="I5162" i="2"/>
  <c r="J5162" i="2" s="1"/>
  <c r="I5163" i="2"/>
  <c r="J5163" i="2" s="1"/>
  <c r="I5164" i="2"/>
  <c r="J5164" i="2" s="1"/>
  <c r="I5165" i="2"/>
  <c r="J5165" i="2" s="1"/>
  <c r="I5166" i="2"/>
  <c r="J5166" i="2" s="1"/>
  <c r="I5167" i="2"/>
  <c r="J5167" i="2" s="1"/>
  <c r="I5168" i="2"/>
  <c r="J5168" i="2" s="1"/>
  <c r="I5169" i="2"/>
  <c r="J5169" i="2" s="1"/>
  <c r="I5170" i="2"/>
  <c r="J5170" i="2" s="1"/>
  <c r="I5171" i="2"/>
  <c r="J5171" i="2" s="1"/>
  <c r="I5172" i="2"/>
  <c r="J5172" i="2" s="1"/>
  <c r="I5173" i="2"/>
  <c r="J5173" i="2" s="1"/>
  <c r="I5174" i="2"/>
  <c r="J5174" i="2" s="1"/>
  <c r="I5175" i="2"/>
  <c r="J5175" i="2" s="1"/>
  <c r="I5176" i="2"/>
  <c r="J5176" i="2" s="1"/>
  <c r="I5177" i="2"/>
  <c r="J5177" i="2" s="1"/>
  <c r="I5178" i="2"/>
  <c r="J5178" i="2" s="1"/>
  <c r="I5179" i="2"/>
  <c r="J5179" i="2" s="1"/>
  <c r="I5180" i="2"/>
  <c r="J5180" i="2" s="1"/>
  <c r="I5181" i="2"/>
  <c r="J5181" i="2" s="1"/>
  <c r="I5182" i="2"/>
  <c r="J5182" i="2" s="1"/>
  <c r="I5183" i="2"/>
  <c r="J5183" i="2" s="1"/>
  <c r="I5184" i="2"/>
  <c r="J5184" i="2" s="1"/>
  <c r="I5185" i="2"/>
  <c r="J5185" i="2" s="1"/>
  <c r="I5186" i="2"/>
  <c r="J5186" i="2" s="1"/>
  <c r="I5187" i="2"/>
  <c r="J5187" i="2" s="1"/>
  <c r="I5188" i="2"/>
  <c r="J5188" i="2" s="1"/>
  <c r="I5189" i="2"/>
  <c r="J5189" i="2" s="1"/>
  <c r="I5190" i="2"/>
  <c r="J5190" i="2" s="1"/>
  <c r="I5191" i="2"/>
  <c r="J5191" i="2" s="1"/>
  <c r="I5192" i="2"/>
  <c r="J5192" i="2" s="1"/>
  <c r="I5193" i="2"/>
  <c r="J5193" i="2" s="1"/>
  <c r="I5194" i="2"/>
  <c r="J5194" i="2" s="1"/>
  <c r="I5195" i="2"/>
  <c r="J5195" i="2" s="1"/>
  <c r="I5196" i="2"/>
  <c r="J5196" i="2" s="1"/>
  <c r="I5197" i="2"/>
  <c r="J5197" i="2" s="1"/>
  <c r="I5198" i="2"/>
  <c r="J5198" i="2" s="1"/>
  <c r="I5199" i="2"/>
  <c r="J5199" i="2" s="1"/>
  <c r="I5200" i="2"/>
  <c r="J5200" i="2" s="1"/>
  <c r="I5201" i="2"/>
  <c r="J5201" i="2" s="1"/>
  <c r="I5202" i="2"/>
  <c r="J5202" i="2" s="1"/>
  <c r="I5203" i="2"/>
  <c r="J5203" i="2" s="1"/>
  <c r="I5204" i="2"/>
  <c r="J5204" i="2" s="1"/>
  <c r="I5205" i="2"/>
  <c r="J5205" i="2" s="1"/>
  <c r="I5206" i="2"/>
  <c r="J5206" i="2" s="1"/>
  <c r="I5207" i="2"/>
  <c r="J5207" i="2" s="1"/>
  <c r="I5208" i="2"/>
  <c r="J5208" i="2" s="1"/>
  <c r="I5209" i="2"/>
  <c r="J5209" i="2" s="1"/>
  <c r="I5210" i="2"/>
  <c r="J5210" i="2" s="1"/>
  <c r="I5211" i="2"/>
  <c r="J5211" i="2" s="1"/>
  <c r="I5212" i="2"/>
  <c r="J5212" i="2" s="1"/>
  <c r="I5213" i="2"/>
  <c r="J5213" i="2" s="1"/>
  <c r="I5214" i="2"/>
  <c r="J5214" i="2" s="1"/>
  <c r="I5215" i="2"/>
  <c r="J5215" i="2" s="1"/>
  <c r="I5216" i="2"/>
  <c r="J5216" i="2" s="1"/>
  <c r="I5217" i="2"/>
  <c r="J5217" i="2" s="1"/>
  <c r="I5218" i="2"/>
  <c r="J5218" i="2" s="1"/>
  <c r="I5219" i="2"/>
  <c r="J5219" i="2" s="1"/>
  <c r="I5220" i="2"/>
  <c r="J5220" i="2" s="1"/>
  <c r="I5221" i="2"/>
  <c r="J5221" i="2" s="1"/>
  <c r="I5222" i="2"/>
  <c r="J5222" i="2" s="1"/>
  <c r="I5223" i="2"/>
  <c r="J5223" i="2" s="1"/>
  <c r="I5224" i="2"/>
  <c r="J5224" i="2" s="1"/>
  <c r="I5225" i="2"/>
  <c r="J5225" i="2" s="1"/>
  <c r="I5226" i="2"/>
  <c r="J5226" i="2" s="1"/>
  <c r="I5227" i="2"/>
  <c r="J5227" i="2" s="1"/>
  <c r="I5228" i="2"/>
  <c r="J5228" i="2" s="1"/>
  <c r="I5229" i="2"/>
  <c r="J5229" i="2" s="1"/>
  <c r="I5230" i="2"/>
  <c r="J5230" i="2" s="1"/>
  <c r="I5231" i="2"/>
  <c r="J5231" i="2" s="1"/>
  <c r="I5232" i="2"/>
  <c r="J5232" i="2" s="1"/>
  <c r="I5233" i="2"/>
  <c r="J5233" i="2" s="1"/>
  <c r="I5234" i="2"/>
  <c r="J5234" i="2" s="1"/>
  <c r="I5235" i="2"/>
  <c r="J5235" i="2" s="1"/>
  <c r="I5236" i="2"/>
  <c r="J5236" i="2" s="1"/>
  <c r="I5237" i="2"/>
  <c r="J5237" i="2" s="1"/>
  <c r="I5238" i="2"/>
  <c r="J5238" i="2" s="1"/>
  <c r="I5239" i="2"/>
  <c r="J5239" i="2" s="1"/>
  <c r="I5240" i="2"/>
  <c r="J5240" i="2" s="1"/>
  <c r="I5241" i="2"/>
  <c r="J5241" i="2" s="1"/>
  <c r="I5242" i="2"/>
  <c r="J5242" i="2" s="1"/>
  <c r="I5243" i="2"/>
  <c r="J5243" i="2" s="1"/>
  <c r="I5244" i="2"/>
  <c r="J5244" i="2" s="1"/>
  <c r="I5245" i="2"/>
  <c r="J5245" i="2" s="1"/>
  <c r="I5246" i="2"/>
  <c r="J5246" i="2" s="1"/>
  <c r="I5247" i="2"/>
  <c r="J5247" i="2" s="1"/>
  <c r="I5248" i="2"/>
  <c r="J5248" i="2" s="1"/>
  <c r="I5249" i="2"/>
  <c r="J5249" i="2" s="1"/>
  <c r="I5250" i="2"/>
  <c r="J5250" i="2" s="1"/>
  <c r="I5251" i="2"/>
  <c r="J5251" i="2" s="1"/>
  <c r="I5252" i="2"/>
  <c r="J5252" i="2" s="1"/>
  <c r="I5253" i="2"/>
  <c r="J5253" i="2" s="1"/>
  <c r="I5254" i="2"/>
  <c r="J5254" i="2" s="1"/>
  <c r="I5255" i="2"/>
  <c r="J5255" i="2" s="1"/>
  <c r="I5256" i="2"/>
  <c r="J5256" i="2" s="1"/>
  <c r="I5257" i="2"/>
  <c r="J5257" i="2" s="1"/>
  <c r="I5258" i="2"/>
  <c r="J5258" i="2" s="1"/>
  <c r="I5259" i="2"/>
  <c r="J5259" i="2" s="1"/>
  <c r="I5260" i="2"/>
  <c r="J5260" i="2" s="1"/>
  <c r="I5261" i="2"/>
  <c r="J5261" i="2" s="1"/>
  <c r="I5262" i="2"/>
  <c r="J5262" i="2" s="1"/>
  <c r="I5263" i="2"/>
  <c r="J5263" i="2" s="1"/>
  <c r="I5264" i="2"/>
  <c r="J5264" i="2" s="1"/>
  <c r="I5265" i="2"/>
  <c r="J5265" i="2" s="1"/>
  <c r="I5266" i="2"/>
  <c r="J5266" i="2" s="1"/>
  <c r="I5267" i="2"/>
  <c r="J5267" i="2" s="1"/>
  <c r="I5268" i="2"/>
  <c r="J5268" i="2" s="1"/>
  <c r="I5269" i="2"/>
  <c r="J5269" i="2" s="1"/>
  <c r="I5270" i="2"/>
  <c r="J5270" i="2" s="1"/>
  <c r="I5271" i="2"/>
  <c r="J5271" i="2" s="1"/>
  <c r="I5272" i="2"/>
  <c r="J5272" i="2" s="1"/>
  <c r="I5273" i="2"/>
  <c r="J5273" i="2" s="1"/>
  <c r="I5274" i="2"/>
  <c r="J5274" i="2" s="1"/>
  <c r="I5275" i="2"/>
  <c r="J5275" i="2" s="1"/>
  <c r="I5276" i="2"/>
  <c r="J5276" i="2" s="1"/>
  <c r="I5277" i="2"/>
  <c r="J5277" i="2" s="1"/>
  <c r="I5278" i="2"/>
  <c r="J5278" i="2" s="1"/>
  <c r="I5279" i="2"/>
  <c r="J5279" i="2" s="1"/>
  <c r="I5280" i="2"/>
  <c r="J5280" i="2" s="1"/>
  <c r="I5281" i="2"/>
  <c r="J5281" i="2" s="1"/>
  <c r="I5282" i="2"/>
  <c r="J5282" i="2" s="1"/>
  <c r="I5283" i="2"/>
  <c r="J5283" i="2" s="1"/>
  <c r="I5284" i="2"/>
  <c r="J5284" i="2" s="1"/>
  <c r="I5285" i="2"/>
  <c r="J5285" i="2" s="1"/>
  <c r="I5286" i="2"/>
  <c r="J5286" i="2" s="1"/>
  <c r="I5287" i="2"/>
  <c r="J5287" i="2" s="1"/>
  <c r="I5288" i="2"/>
  <c r="J5288" i="2" s="1"/>
  <c r="I5289" i="2"/>
  <c r="J5289" i="2" s="1"/>
  <c r="I5290" i="2"/>
  <c r="J5290" i="2" s="1"/>
  <c r="I5291" i="2"/>
  <c r="J5291" i="2" s="1"/>
  <c r="I5292" i="2"/>
  <c r="J5292" i="2" s="1"/>
  <c r="I5293" i="2"/>
  <c r="J5293" i="2" s="1"/>
  <c r="I5294" i="2"/>
  <c r="J5294" i="2" s="1"/>
  <c r="I5295" i="2"/>
  <c r="J5295" i="2" s="1"/>
  <c r="I5296" i="2"/>
  <c r="J5296" i="2" s="1"/>
  <c r="I5297" i="2"/>
  <c r="J5297" i="2" s="1"/>
  <c r="I5298" i="2"/>
  <c r="J5298" i="2" s="1"/>
  <c r="I5299" i="2"/>
  <c r="J5299" i="2" s="1"/>
  <c r="I5300" i="2"/>
  <c r="J5300" i="2" s="1"/>
  <c r="I5301" i="2"/>
  <c r="J5301" i="2" s="1"/>
  <c r="I5302" i="2"/>
  <c r="J5302" i="2" s="1"/>
  <c r="I5303" i="2"/>
  <c r="J5303" i="2" s="1"/>
  <c r="I5304" i="2"/>
  <c r="J5304" i="2" s="1"/>
  <c r="I5305" i="2"/>
  <c r="J5305" i="2" s="1"/>
  <c r="I5306" i="2"/>
  <c r="J5306" i="2" s="1"/>
  <c r="I5307" i="2"/>
  <c r="J5307" i="2" s="1"/>
  <c r="I5308" i="2"/>
  <c r="J5308" i="2" s="1"/>
  <c r="I5309" i="2"/>
  <c r="J5309" i="2" s="1"/>
  <c r="I5310" i="2"/>
  <c r="J5310" i="2" s="1"/>
  <c r="I5311" i="2"/>
  <c r="J5311" i="2" s="1"/>
  <c r="I5312" i="2"/>
  <c r="J5312" i="2" s="1"/>
  <c r="I5313" i="2"/>
  <c r="J5313" i="2" s="1"/>
  <c r="I5314" i="2"/>
  <c r="J5314" i="2" s="1"/>
  <c r="I5315" i="2"/>
  <c r="J5315" i="2" s="1"/>
  <c r="I5316" i="2"/>
  <c r="J5316" i="2" s="1"/>
  <c r="I5317" i="2"/>
  <c r="J5317" i="2" s="1"/>
  <c r="I5318" i="2"/>
  <c r="J5318" i="2" s="1"/>
  <c r="I5319" i="2"/>
  <c r="J5319" i="2" s="1"/>
  <c r="I5320" i="2"/>
  <c r="J5320" i="2" s="1"/>
  <c r="I5321" i="2"/>
  <c r="J5321" i="2" s="1"/>
  <c r="I5322" i="2"/>
  <c r="J5322" i="2" s="1"/>
  <c r="I5323" i="2"/>
  <c r="J5323" i="2" s="1"/>
  <c r="I5324" i="2"/>
  <c r="J5324" i="2" s="1"/>
  <c r="I5325" i="2"/>
  <c r="J5325" i="2" s="1"/>
  <c r="I5326" i="2"/>
  <c r="J5326" i="2" s="1"/>
  <c r="I5327" i="2"/>
  <c r="J5327" i="2" s="1"/>
  <c r="I5328" i="2"/>
  <c r="J5328" i="2" s="1"/>
  <c r="I5329" i="2"/>
  <c r="J5329" i="2" s="1"/>
  <c r="I5330" i="2"/>
  <c r="J5330" i="2" s="1"/>
  <c r="I5331" i="2"/>
  <c r="J5331" i="2" s="1"/>
  <c r="I5332" i="2"/>
  <c r="J5332" i="2" s="1"/>
  <c r="I5333" i="2"/>
  <c r="J5333" i="2" s="1"/>
  <c r="I5334" i="2"/>
  <c r="J5334" i="2" s="1"/>
  <c r="I5335" i="2"/>
  <c r="J5335" i="2" s="1"/>
  <c r="I5336" i="2"/>
  <c r="J5336" i="2" s="1"/>
  <c r="I5337" i="2"/>
  <c r="J5337" i="2" s="1"/>
  <c r="I5338" i="2"/>
  <c r="J5338" i="2" s="1"/>
  <c r="I5339" i="2"/>
  <c r="J5339" i="2" s="1"/>
  <c r="I5340" i="2"/>
  <c r="J5340" i="2" s="1"/>
  <c r="I5341" i="2"/>
  <c r="J5341" i="2" s="1"/>
  <c r="I5342" i="2"/>
  <c r="J5342" i="2" s="1"/>
  <c r="I5343" i="2"/>
  <c r="J5343" i="2" s="1"/>
  <c r="I5344" i="2"/>
  <c r="J5344" i="2" s="1"/>
  <c r="I5345" i="2"/>
  <c r="J5345" i="2" s="1"/>
  <c r="I5346" i="2"/>
  <c r="J5346" i="2" s="1"/>
  <c r="I5347" i="2"/>
  <c r="J5347" i="2" s="1"/>
  <c r="I5348" i="2"/>
  <c r="J5348" i="2" s="1"/>
  <c r="I5349" i="2"/>
  <c r="J5349" i="2" s="1"/>
  <c r="I5350" i="2"/>
  <c r="J5350" i="2" s="1"/>
  <c r="I5351" i="2"/>
  <c r="J5351" i="2" s="1"/>
  <c r="I5352" i="2"/>
  <c r="J5352" i="2" s="1"/>
  <c r="I5353" i="2"/>
  <c r="J5353" i="2" s="1"/>
  <c r="I5354" i="2"/>
  <c r="J5354" i="2" s="1"/>
  <c r="I5355" i="2"/>
  <c r="J5355" i="2" s="1"/>
  <c r="I5356" i="2"/>
  <c r="J5356" i="2" s="1"/>
  <c r="I5357" i="2"/>
  <c r="J5357" i="2" s="1"/>
  <c r="I5358" i="2"/>
  <c r="J5358" i="2" s="1"/>
  <c r="I5359" i="2"/>
  <c r="J5359" i="2" s="1"/>
  <c r="I5360" i="2"/>
  <c r="J5360" i="2" s="1"/>
  <c r="I5361" i="2"/>
  <c r="J5361" i="2" s="1"/>
  <c r="I5362" i="2"/>
  <c r="J5362" i="2" s="1"/>
  <c r="I5363" i="2"/>
  <c r="J5363" i="2" s="1"/>
  <c r="I5364" i="2"/>
  <c r="J5364" i="2" s="1"/>
  <c r="I5365" i="2"/>
  <c r="J5365" i="2" s="1"/>
  <c r="I5366" i="2"/>
  <c r="J5366" i="2" s="1"/>
  <c r="I5367" i="2"/>
  <c r="J5367" i="2" s="1"/>
  <c r="I5368" i="2"/>
  <c r="J5368" i="2" s="1"/>
  <c r="I5369" i="2"/>
  <c r="J5369" i="2" s="1"/>
  <c r="I5370" i="2"/>
  <c r="J5370" i="2" s="1"/>
  <c r="I5371" i="2"/>
  <c r="J5371" i="2" s="1"/>
  <c r="I5372" i="2"/>
  <c r="J5372" i="2" s="1"/>
  <c r="I5373" i="2"/>
  <c r="J5373" i="2" s="1"/>
  <c r="I5374" i="2"/>
  <c r="J5374" i="2" s="1"/>
  <c r="I5375" i="2"/>
  <c r="J5375" i="2" s="1"/>
  <c r="I5376" i="2"/>
  <c r="J5376" i="2" s="1"/>
  <c r="I5377" i="2"/>
  <c r="J5377" i="2" s="1"/>
  <c r="I5378" i="2"/>
  <c r="J5378" i="2" s="1"/>
  <c r="I5379" i="2"/>
  <c r="J5379" i="2" s="1"/>
  <c r="I5380" i="2"/>
  <c r="J5380" i="2" s="1"/>
  <c r="I5381" i="2"/>
  <c r="J5381" i="2" s="1"/>
  <c r="I5382" i="2"/>
  <c r="J5382" i="2" s="1"/>
  <c r="I5383" i="2"/>
  <c r="J5383" i="2" s="1"/>
  <c r="I5384" i="2"/>
  <c r="J5384" i="2" s="1"/>
  <c r="I5385" i="2"/>
  <c r="J5385" i="2" s="1"/>
  <c r="I5386" i="2"/>
  <c r="J5386" i="2" s="1"/>
  <c r="I5387" i="2"/>
  <c r="J5387" i="2" s="1"/>
  <c r="I5388" i="2"/>
  <c r="J5388" i="2" s="1"/>
  <c r="I5389" i="2"/>
  <c r="J5389" i="2" s="1"/>
  <c r="I5390" i="2"/>
  <c r="J5390" i="2" s="1"/>
  <c r="I5391" i="2"/>
  <c r="J5391" i="2" s="1"/>
  <c r="I5392" i="2"/>
  <c r="J5392" i="2" s="1"/>
  <c r="I5393" i="2"/>
  <c r="J5393" i="2" s="1"/>
  <c r="I5394" i="2"/>
  <c r="J5394" i="2" s="1"/>
  <c r="I5395" i="2"/>
  <c r="J5395" i="2" s="1"/>
  <c r="I5396" i="2"/>
  <c r="J5396" i="2" s="1"/>
  <c r="I5397" i="2"/>
  <c r="J5397" i="2" s="1"/>
  <c r="I5398" i="2"/>
  <c r="J5398" i="2" s="1"/>
  <c r="I5399" i="2"/>
  <c r="J5399" i="2" s="1"/>
  <c r="I5400" i="2"/>
  <c r="J5400" i="2" s="1"/>
  <c r="I5401" i="2"/>
  <c r="J5401" i="2" s="1"/>
  <c r="I5402" i="2"/>
  <c r="J5402" i="2" s="1"/>
  <c r="I5403" i="2"/>
  <c r="J5403" i="2" s="1"/>
  <c r="I5404" i="2"/>
  <c r="J5404" i="2" s="1"/>
  <c r="I5405" i="2"/>
  <c r="J5405" i="2" s="1"/>
  <c r="I5406" i="2"/>
  <c r="J5406" i="2" s="1"/>
  <c r="I5407" i="2"/>
  <c r="J5407" i="2" s="1"/>
  <c r="I5408" i="2"/>
  <c r="J5408" i="2" s="1"/>
  <c r="I5409" i="2"/>
  <c r="J5409" i="2" s="1"/>
  <c r="I5410" i="2"/>
  <c r="J5410" i="2" s="1"/>
  <c r="I5411" i="2"/>
  <c r="J5411" i="2" s="1"/>
  <c r="I5412" i="2"/>
  <c r="J5412" i="2" s="1"/>
  <c r="I2" i="2"/>
  <c r="J2" i="2" s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D1472" i="2"/>
  <c r="D1473" i="2"/>
  <c r="D1474" i="2"/>
  <c r="D1475" i="2"/>
  <c r="D1476" i="2"/>
  <c r="D1477" i="2"/>
  <c r="D1478" i="2"/>
  <c r="D1479" i="2"/>
  <c r="D1480" i="2"/>
  <c r="D1481" i="2"/>
  <c r="D1482" i="2"/>
  <c r="D1483" i="2"/>
  <c r="D1484" i="2"/>
  <c r="D1485" i="2"/>
  <c r="D1486" i="2"/>
  <c r="D1487" i="2"/>
  <c r="D1488" i="2"/>
  <c r="D1489" i="2"/>
  <c r="D1490" i="2"/>
  <c r="D1491" i="2"/>
  <c r="D1492" i="2"/>
  <c r="D1493" i="2"/>
  <c r="D1494" i="2"/>
  <c r="D1495" i="2"/>
  <c r="D1496" i="2"/>
  <c r="D1497" i="2"/>
  <c r="D1498" i="2"/>
  <c r="D1499" i="2"/>
  <c r="D1500" i="2"/>
  <c r="D1501" i="2"/>
  <c r="D1502" i="2"/>
  <c r="D1503" i="2"/>
  <c r="D1504" i="2"/>
  <c r="D1505" i="2"/>
  <c r="D1506" i="2"/>
  <c r="D1507" i="2"/>
  <c r="D1508" i="2"/>
  <c r="D1509" i="2"/>
  <c r="D1510" i="2"/>
  <c r="D1511" i="2"/>
  <c r="D1512" i="2"/>
  <c r="D1513" i="2"/>
  <c r="D1514" i="2"/>
  <c r="D1515" i="2"/>
  <c r="D1516" i="2"/>
  <c r="D1517" i="2"/>
  <c r="D1518" i="2"/>
  <c r="D1519" i="2"/>
  <c r="D1520" i="2"/>
  <c r="D1521" i="2"/>
  <c r="D1522" i="2"/>
  <c r="D1523" i="2"/>
  <c r="D1524" i="2"/>
  <c r="D1525" i="2"/>
  <c r="D1526" i="2"/>
  <c r="D1527" i="2"/>
  <c r="D1528" i="2"/>
  <c r="D1529" i="2"/>
  <c r="D1530" i="2"/>
  <c r="D1531" i="2"/>
  <c r="D1532" i="2"/>
  <c r="D1533" i="2"/>
  <c r="D1534" i="2"/>
  <c r="D1535" i="2"/>
  <c r="D1536" i="2"/>
  <c r="D1537" i="2"/>
  <c r="D1538" i="2"/>
  <c r="D1539" i="2"/>
  <c r="D1540" i="2"/>
  <c r="D1541" i="2"/>
  <c r="D1542" i="2"/>
  <c r="D1543" i="2"/>
  <c r="D1544" i="2"/>
  <c r="D1545" i="2"/>
  <c r="D1546" i="2"/>
  <c r="D1547" i="2"/>
  <c r="D1548" i="2"/>
  <c r="D1549" i="2"/>
  <c r="D1550" i="2"/>
  <c r="D1551" i="2"/>
  <c r="D1552" i="2"/>
  <c r="D1553" i="2"/>
  <c r="D1554" i="2"/>
  <c r="D1555" i="2"/>
  <c r="D1556" i="2"/>
  <c r="D1557" i="2"/>
  <c r="D1558" i="2"/>
  <c r="D1559" i="2"/>
  <c r="D1560" i="2"/>
  <c r="D1561" i="2"/>
  <c r="D1562" i="2"/>
  <c r="D1563" i="2"/>
  <c r="D1564" i="2"/>
  <c r="D1565" i="2"/>
  <c r="D1566" i="2"/>
  <c r="D1567" i="2"/>
  <c r="D1568" i="2"/>
  <c r="D1569" i="2"/>
  <c r="D1570" i="2"/>
  <c r="D1571" i="2"/>
  <c r="D1572" i="2"/>
  <c r="D1573" i="2"/>
  <c r="D1574" i="2"/>
  <c r="D1575" i="2"/>
  <c r="D1576" i="2"/>
  <c r="D1577" i="2"/>
  <c r="D1578" i="2"/>
  <c r="D1579" i="2"/>
  <c r="D1580" i="2"/>
  <c r="D1581" i="2"/>
  <c r="D1582" i="2"/>
  <c r="D1583" i="2"/>
  <c r="D1584" i="2"/>
  <c r="D1585" i="2"/>
  <c r="D1586" i="2"/>
  <c r="D1587" i="2"/>
  <c r="D1588" i="2"/>
  <c r="D1589" i="2"/>
  <c r="D1590" i="2"/>
  <c r="D1591" i="2"/>
  <c r="D1592" i="2"/>
  <c r="D1593" i="2"/>
  <c r="D1594" i="2"/>
  <c r="D1595" i="2"/>
  <c r="D1596" i="2"/>
  <c r="D1597" i="2"/>
  <c r="D1598" i="2"/>
  <c r="D1599" i="2"/>
  <c r="D1600" i="2"/>
  <c r="D1601" i="2"/>
  <c r="D1602" i="2"/>
  <c r="D1603" i="2"/>
  <c r="D1604" i="2"/>
  <c r="D1605" i="2"/>
  <c r="D1606" i="2"/>
  <c r="D1607" i="2"/>
  <c r="D1608" i="2"/>
  <c r="D1609" i="2"/>
  <c r="D1610" i="2"/>
  <c r="D1611" i="2"/>
  <c r="D1612" i="2"/>
  <c r="D1613" i="2"/>
  <c r="D1614" i="2"/>
  <c r="D1615" i="2"/>
  <c r="D1616" i="2"/>
  <c r="D1617" i="2"/>
  <c r="D1618" i="2"/>
  <c r="D1619" i="2"/>
  <c r="D1620" i="2"/>
  <c r="D1621" i="2"/>
  <c r="D1622" i="2"/>
  <c r="D1623" i="2"/>
  <c r="D1624" i="2"/>
  <c r="D1625" i="2"/>
  <c r="D1626" i="2"/>
  <c r="D1627" i="2"/>
  <c r="D1628" i="2"/>
  <c r="D1629" i="2"/>
  <c r="D1630" i="2"/>
  <c r="D1631" i="2"/>
  <c r="D1632" i="2"/>
  <c r="D1633" i="2"/>
  <c r="D1634" i="2"/>
  <c r="D1635" i="2"/>
  <c r="D1636" i="2"/>
  <c r="D1637" i="2"/>
  <c r="D1638" i="2"/>
  <c r="D1639" i="2"/>
  <c r="D1640" i="2"/>
  <c r="D1641" i="2"/>
  <c r="D1642" i="2"/>
  <c r="D1643" i="2"/>
  <c r="D1644" i="2"/>
  <c r="D1645" i="2"/>
  <c r="D1646" i="2"/>
  <c r="D1647" i="2"/>
  <c r="D1648" i="2"/>
  <c r="D1649" i="2"/>
  <c r="D1650" i="2"/>
  <c r="D1651" i="2"/>
  <c r="D1652" i="2"/>
  <c r="D1653" i="2"/>
  <c r="D1654" i="2"/>
  <c r="D1655" i="2"/>
  <c r="D1656" i="2"/>
  <c r="D1657" i="2"/>
  <c r="D1658" i="2"/>
  <c r="D1659" i="2"/>
  <c r="D1660" i="2"/>
  <c r="D1661" i="2"/>
  <c r="D1662" i="2"/>
  <c r="D1663" i="2"/>
  <c r="D1664" i="2"/>
  <c r="D1665" i="2"/>
  <c r="D1666" i="2"/>
  <c r="D1667" i="2"/>
  <c r="D1668" i="2"/>
  <c r="D1669" i="2"/>
  <c r="D1670" i="2"/>
  <c r="D1671" i="2"/>
  <c r="D1672" i="2"/>
  <c r="D1673" i="2"/>
  <c r="D1674" i="2"/>
  <c r="D1675" i="2"/>
  <c r="D1676" i="2"/>
  <c r="D1677" i="2"/>
  <c r="D1678" i="2"/>
  <c r="D1679" i="2"/>
  <c r="D1680" i="2"/>
  <c r="D1681" i="2"/>
  <c r="D1682" i="2"/>
  <c r="D1683" i="2"/>
  <c r="D1684" i="2"/>
  <c r="D1685" i="2"/>
  <c r="D1686" i="2"/>
  <c r="D1687" i="2"/>
  <c r="D1688" i="2"/>
  <c r="D1689" i="2"/>
  <c r="D1690" i="2"/>
  <c r="D1691" i="2"/>
  <c r="D1692" i="2"/>
  <c r="D1693" i="2"/>
  <c r="D1694" i="2"/>
  <c r="D1695" i="2"/>
  <c r="D1696" i="2"/>
  <c r="D1697" i="2"/>
  <c r="D1698" i="2"/>
  <c r="D1699" i="2"/>
  <c r="D1700" i="2"/>
  <c r="D1701" i="2"/>
  <c r="D1702" i="2"/>
  <c r="D1703" i="2"/>
  <c r="D1704" i="2"/>
  <c r="D1705" i="2"/>
  <c r="D1706" i="2"/>
  <c r="D1707" i="2"/>
  <c r="D1708" i="2"/>
  <c r="D1709" i="2"/>
  <c r="D1710" i="2"/>
  <c r="D1711" i="2"/>
  <c r="D1712" i="2"/>
  <c r="D1713" i="2"/>
  <c r="D1714" i="2"/>
  <c r="D1715" i="2"/>
  <c r="D1716" i="2"/>
  <c r="D1717" i="2"/>
  <c r="D1718" i="2"/>
  <c r="D1719" i="2"/>
  <c r="D1720" i="2"/>
  <c r="D1721" i="2"/>
  <c r="D1722" i="2"/>
  <c r="D1723" i="2"/>
  <c r="D1724" i="2"/>
  <c r="D1725" i="2"/>
  <c r="D1726" i="2"/>
  <c r="D1727" i="2"/>
  <c r="D1728" i="2"/>
  <c r="D1729" i="2"/>
  <c r="D1730" i="2"/>
  <c r="D1731" i="2"/>
  <c r="D1732" i="2"/>
  <c r="D1733" i="2"/>
  <c r="D1734" i="2"/>
  <c r="D1735" i="2"/>
  <c r="D1736" i="2"/>
  <c r="D1737" i="2"/>
  <c r="D1738" i="2"/>
  <c r="D1739" i="2"/>
  <c r="D1740" i="2"/>
  <c r="D1741" i="2"/>
  <c r="D1742" i="2"/>
  <c r="D1743" i="2"/>
  <c r="D1744" i="2"/>
  <c r="D1745" i="2"/>
  <c r="D1746" i="2"/>
  <c r="D1747" i="2"/>
  <c r="D1748" i="2"/>
  <c r="D1749" i="2"/>
  <c r="D1750" i="2"/>
  <c r="D1751" i="2"/>
  <c r="D1752" i="2"/>
  <c r="D1753" i="2"/>
  <c r="D1754" i="2"/>
  <c r="D1755" i="2"/>
  <c r="D1756" i="2"/>
  <c r="D1757" i="2"/>
  <c r="D1758" i="2"/>
  <c r="D1759" i="2"/>
  <c r="D1760" i="2"/>
  <c r="D1761" i="2"/>
  <c r="D1762" i="2"/>
  <c r="D1763" i="2"/>
  <c r="D1764" i="2"/>
  <c r="D1765" i="2"/>
  <c r="D1766" i="2"/>
  <c r="D1767" i="2"/>
  <c r="D1768" i="2"/>
  <c r="D1769" i="2"/>
  <c r="D1770" i="2"/>
  <c r="D1771" i="2"/>
  <c r="D1772" i="2"/>
  <c r="D1773" i="2"/>
  <c r="D1774" i="2"/>
  <c r="D1775" i="2"/>
  <c r="D1776" i="2"/>
  <c r="D1777" i="2"/>
  <c r="D1778" i="2"/>
  <c r="D1779" i="2"/>
  <c r="D1780" i="2"/>
  <c r="D1781" i="2"/>
  <c r="D1782" i="2"/>
  <c r="D1783" i="2"/>
  <c r="D1784" i="2"/>
  <c r="D1785" i="2"/>
  <c r="D1786" i="2"/>
  <c r="D1787" i="2"/>
  <c r="D1788" i="2"/>
  <c r="D1789" i="2"/>
  <c r="D1790" i="2"/>
  <c r="D1791" i="2"/>
  <c r="D1792" i="2"/>
  <c r="D1793" i="2"/>
  <c r="D1794" i="2"/>
  <c r="D1795" i="2"/>
  <c r="D1796" i="2"/>
  <c r="D1797" i="2"/>
  <c r="D1798" i="2"/>
  <c r="D1799" i="2"/>
  <c r="D1800" i="2"/>
  <c r="D1801" i="2"/>
  <c r="D1802" i="2"/>
  <c r="D1803" i="2"/>
  <c r="D1804" i="2"/>
  <c r="D1805" i="2"/>
  <c r="D1806" i="2"/>
  <c r="D1807" i="2"/>
  <c r="D1808" i="2"/>
  <c r="D1809" i="2"/>
  <c r="D1810" i="2"/>
  <c r="D1811" i="2"/>
  <c r="D1812" i="2"/>
  <c r="D1813" i="2"/>
  <c r="D1814" i="2"/>
  <c r="D1815" i="2"/>
  <c r="D1816" i="2"/>
  <c r="D1817" i="2"/>
  <c r="D1818" i="2"/>
  <c r="D1819" i="2"/>
  <c r="D1820" i="2"/>
  <c r="D1821" i="2"/>
  <c r="D1822" i="2"/>
  <c r="D1823" i="2"/>
  <c r="D1824" i="2"/>
  <c r="D1825" i="2"/>
  <c r="D1826" i="2"/>
  <c r="D1827" i="2"/>
  <c r="D1828" i="2"/>
  <c r="D1829" i="2"/>
  <c r="D1830" i="2"/>
  <c r="D1831" i="2"/>
  <c r="D1832" i="2"/>
  <c r="D1833" i="2"/>
  <c r="D1834" i="2"/>
  <c r="D1835" i="2"/>
  <c r="D1836" i="2"/>
  <c r="D1837" i="2"/>
  <c r="D1838" i="2"/>
  <c r="D1839" i="2"/>
  <c r="D1840" i="2"/>
  <c r="D1841" i="2"/>
  <c r="D1842" i="2"/>
  <c r="D1843" i="2"/>
  <c r="D1844" i="2"/>
  <c r="D1845" i="2"/>
  <c r="D1846" i="2"/>
  <c r="D1847" i="2"/>
  <c r="D1848" i="2"/>
  <c r="D1849" i="2"/>
  <c r="D1850" i="2"/>
  <c r="D1851" i="2"/>
  <c r="D1852" i="2"/>
  <c r="D1853" i="2"/>
  <c r="D1854" i="2"/>
  <c r="D1855" i="2"/>
  <c r="D1856" i="2"/>
  <c r="D1857" i="2"/>
  <c r="D1858" i="2"/>
  <c r="D1859" i="2"/>
  <c r="D1860" i="2"/>
  <c r="D1861" i="2"/>
  <c r="D1862" i="2"/>
  <c r="D1863" i="2"/>
  <c r="D1864" i="2"/>
  <c r="D1865" i="2"/>
  <c r="D1866" i="2"/>
  <c r="D1867" i="2"/>
  <c r="D1868" i="2"/>
  <c r="D1869" i="2"/>
  <c r="D1870" i="2"/>
  <c r="D1871" i="2"/>
  <c r="D1872" i="2"/>
  <c r="D1873" i="2"/>
  <c r="D1874" i="2"/>
  <c r="D1875" i="2"/>
  <c r="D1876" i="2"/>
  <c r="D1877" i="2"/>
  <c r="D1878" i="2"/>
  <c r="D1879" i="2"/>
  <c r="D1880" i="2"/>
  <c r="D1881" i="2"/>
  <c r="D1882" i="2"/>
  <c r="D1883" i="2"/>
  <c r="D1884" i="2"/>
  <c r="D1885" i="2"/>
  <c r="D1886" i="2"/>
  <c r="D1887" i="2"/>
  <c r="D1888" i="2"/>
  <c r="D1889" i="2"/>
  <c r="D1890" i="2"/>
  <c r="D1891" i="2"/>
  <c r="D1892" i="2"/>
  <c r="D1893" i="2"/>
  <c r="D1894" i="2"/>
  <c r="D1895" i="2"/>
  <c r="D1896" i="2"/>
  <c r="D1897" i="2"/>
  <c r="D1898" i="2"/>
  <c r="D1899" i="2"/>
  <c r="D1900" i="2"/>
  <c r="D1901" i="2"/>
  <c r="D1902" i="2"/>
  <c r="D1903" i="2"/>
  <c r="D1904" i="2"/>
  <c r="D1905" i="2"/>
  <c r="D1906" i="2"/>
  <c r="D1907" i="2"/>
  <c r="D1908" i="2"/>
  <c r="D1909" i="2"/>
  <c r="D1910" i="2"/>
  <c r="D1911" i="2"/>
  <c r="D1912" i="2"/>
  <c r="D1913" i="2"/>
  <c r="D1914" i="2"/>
  <c r="D1915" i="2"/>
  <c r="D1916" i="2"/>
  <c r="D1917" i="2"/>
  <c r="D1918" i="2"/>
  <c r="D1919" i="2"/>
  <c r="D1920" i="2"/>
  <c r="D1921" i="2"/>
  <c r="D1922" i="2"/>
  <c r="D1923" i="2"/>
  <c r="D1924" i="2"/>
  <c r="D1925" i="2"/>
  <c r="D1926" i="2"/>
  <c r="D1927" i="2"/>
  <c r="D1928" i="2"/>
  <c r="D1929" i="2"/>
  <c r="D1930" i="2"/>
  <c r="D1931" i="2"/>
  <c r="D1932" i="2"/>
  <c r="D1933" i="2"/>
  <c r="D1934" i="2"/>
  <c r="D1935" i="2"/>
  <c r="D1936" i="2"/>
  <c r="D1937" i="2"/>
  <c r="D1938" i="2"/>
  <c r="D1939" i="2"/>
  <c r="D1940" i="2"/>
  <c r="D1941" i="2"/>
  <c r="D1942" i="2"/>
  <c r="D1943" i="2"/>
  <c r="D1944" i="2"/>
  <c r="D1945" i="2"/>
  <c r="D1946" i="2"/>
  <c r="D1947" i="2"/>
  <c r="D1948" i="2"/>
  <c r="D1949" i="2"/>
  <c r="D1950" i="2"/>
  <c r="D1951" i="2"/>
  <c r="D1952" i="2"/>
  <c r="D1953" i="2"/>
  <c r="D1954" i="2"/>
  <c r="D1955" i="2"/>
  <c r="D1956" i="2"/>
  <c r="D1957" i="2"/>
  <c r="D1958" i="2"/>
  <c r="D1959" i="2"/>
  <c r="D1960" i="2"/>
  <c r="D1961" i="2"/>
  <c r="D1962" i="2"/>
  <c r="D1963" i="2"/>
  <c r="D1964" i="2"/>
  <c r="D1965" i="2"/>
  <c r="D1966" i="2"/>
  <c r="D1967" i="2"/>
  <c r="D1968" i="2"/>
  <c r="D1969" i="2"/>
  <c r="D1970" i="2"/>
  <c r="D1971" i="2"/>
  <c r="D1972" i="2"/>
  <c r="D1973" i="2"/>
  <c r="D1974" i="2"/>
  <c r="D1975" i="2"/>
  <c r="D1976" i="2"/>
  <c r="D1977" i="2"/>
  <c r="D1978" i="2"/>
  <c r="D1979" i="2"/>
  <c r="D1980" i="2"/>
  <c r="D1981" i="2"/>
  <c r="D1982" i="2"/>
  <c r="D1983" i="2"/>
  <c r="D1984" i="2"/>
  <c r="D1985" i="2"/>
  <c r="D1986" i="2"/>
  <c r="D1987" i="2"/>
  <c r="D1988" i="2"/>
  <c r="D1989" i="2"/>
  <c r="D1990" i="2"/>
  <c r="D1991" i="2"/>
  <c r="D1992" i="2"/>
  <c r="D1993" i="2"/>
  <c r="D1994" i="2"/>
  <c r="D1995" i="2"/>
  <c r="D1996" i="2"/>
  <c r="D1997" i="2"/>
  <c r="D1998" i="2"/>
  <c r="D1999" i="2"/>
  <c r="D2000" i="2"/>
  <c r="D2001" i="2"/>
  <c r="D2002" i="2"/>
  <c r="D2003" i="2"/>
  <c r="D2004" i="2"/>
  <c r="D2005" i="2"/>
  <c r="D2006" i="2"/>
  <c r="D2007" i="2"/>
  <c r="D2008" i="2"/>
  <c r="D2009" i="2"/>
  <c r="D2010" i="2"/>
  <c r="D2011" i="2"/>
  <c r="D2012" i="2"/>
  <c r="D2013" i="2"/>
  <c r="D2014" i="2"/>
  <c r="D2015" i="2"/>
  <c r="D2016" i="2"/>
  <c r="D2017" i="2"/>
  <c r="D2018" i="2"/>
  <c r="D2019" i="2"/>
  <c r="D2020" i="2"/>
  <c r="D2021" i="2"/>
  <c r="D2022" i="2"/>
  <c r="D2023" i="2"/>
  <c r="D2024" i="2"/>
  <c r="D2025" i="2"/>
  <c r="D2026" i="2"/>
  <c r="D2027" i="2"/>
  <c r="D2028" i="2"/>
  <c r="D2029" i="2"/>
  <c r="D2030" i="2"/>
  <c r="D2031" i="2"/>
  <c r="D2032" i="2"/>
  <c r="D2033" i="2"/>
  <c r="D2034" i="2"/>
  <c r="D2035" i="2"/>
  <c r="D2036" i="2"/>
  <c r="D2037" i="2"/>
  <c r="D2038" i="2"/>
  <c r="D2039" i="2"/>
  <c r="D2040" i="2"/>
  <c r="D2041" i="2"/>
  <c r="D2042" i="2"/>
  <c r="D2043" i="2"/>
  <c r="D2044" i="2"/>
  <c r="D2045" i="2"/>
  <c r="D2046" i="2"/>
  <c r="D2047" i="2"/>
  <c r="D2048" i="2"/>
  <c r="D2049" i="2"/>
  <c r="D2050" i="2"/>
  <c r="D2051" i="2"/>
  <c r="D2052" i="2"/>
  <c r="D2053" i="2"/>
  <c r="D2054" i="2"/>
  <c r="D2055" i="2"/>
  <c r="D2056" i="2"/>
  <c r="D2057" i="2"/>
  <c r="D2058" i="2"/>
  <c r="D2059" i="2"/>
  <c r="D2060" i="2"/>
  <c r="D2061" i="2"/>
  <c r="D2062" i="2"/>
  <c r="D2063" i="2"/>
  <c r="D2064" i="2"/>
  <c r="D2065" i="2"/>
  <c r="D2066" i="2"/>
  <c r="D2067" i="2"/>
  <c r="D2068" i="2"/>
  <c r="D2069" i="2"/>
  <c r="D2070" i="2"/>
  <c r="D2071" i="2"/>
  <c r="D2072" i="2"/>
  <c r="D2073" i="2"/>
  <c r="D2074" i="2"/>
  <c r="D2075" i="2"/>
  <c r="D2076" i="2"/>
  <c r="D2077" i="2"/>
  <c r="D2078" i="2"/>
  <c r="D2079" i="2"/>
  <c r="D2080" i="2"/>
  <c r="D2081" i="2"/>
  <c r="D2082" i="2"/>
  <c r="D2083" i="2"/>
  <c r="D2084" i="2"/>
  <c r="D2085" i="2"/>
  <c r="D2086" i="2"/>
  <c r="D2087" i="2"/>
  <c r="D2088" i="2"/>
  <c r="D2089" i="2"/>
  <c r="D2090" i="2"/>
  <c r="D2091" i="2"/>
  <c r="D2092" i="2"/>
  <c r="D2093" i="2"/>
  <c r="D2094" i="2"/>
  <c r="D2095" i="2"/>
  <c r="D2096" i="2"/>
  <c r="D2097" i="2"/>
  <c r="D2098" i="2"/>
  <c r="D2099" i="2"/>
  <c r="D2100" i="2"/>
  <c r="D2101" i="2"/>
  <c r="D2102" i="2"/>
  <c r="D2103" i="2"/>
  <c r="D2104" i="2"/>
  <c r="D2105" i="2"/>
  <c r="D2106" i="2"/>
  <c r="D2107" i="2"/>
  <c r="D2108" i="2"/>
  <c r="D2109" i="2"/>
  <c r="D2110" i="2"/>
  <c r="D2111" i="2"/>
  <c r="D2112" i="2"/>
  <c r="D2113" i="2"/>
  <c r="D2114" i="2"/>
  <c r="D2115" i="2"/>
  <c r="D2116" i="2"/>
  <c r="D2117" i="2"/>
  <c r="D2118" i="2"/>
  <c r="D2119" i="2"/>
  <c r="D2120" i="2"/>
  <c r="D2121" i="2"/>
  <c r="D2122" i="2"/>
  <c r="D2123" i="2"/>
  <c r="D2124" i="2"/>
  <c r="D2125" i="2"/>
  <c r="D2126" i="2"/>
  <c r="D2127" i="2"/>
  <c r="D2128" i="2"/>
  <c r="D2129" i="2"/>
  <c r="D2130" i="2"/>
  <c r="D2131" i="2"/>
  <c r="D2132" i="2"/>
  <c r="D2133" i="2"/>
  <c r="D2134" i="2"/>
  <c r="D2135" i="2"/>
  <c r="D2136" i="2"/>
  <c r="D2137" i="2"/>
  <c r="D2138" i="2"/>
  <c r="D2139" i="2"/>
  <c r="D2140" i="2"/>
  <c r="D2141" i="2"/>
  <c r="D2142" i="2"/>
  <c r="D2143" i="2"/>
  <c r="D2144" i="2"/>
  <c r="D2145" i="2"/>
  <c r="D2146" i="2"/>
  <c r="D2147" i="2"/>
  <c r="D2148" i="2"/>
  <c r="D2149" i="2"/>
  <c r="D2150" i="2"/>
  <c r="D2151" i="2"/>
  <c r="D2152" i="2"/>
  <c r="D2153" i="2"/>
  <c r="D2154" i="2"/>
  <c r="D2155" i="2"/>
  <c r="D2156" i="2"/>
  <c r="D2157" i="2"/>
  <c r="D2158" i="2"/>
  <c r="D2159" i="2"/>
  <c r="D2160" i="2"/>
  <c r="D2161" i="2"/>
  <c r="D2162" i="2"/>
  <c r="D2163" i="2"/>
  <c r="D2164" i="2"/>
  <c r="D2165" i="2"/>
  <c r="D2166" i="2"/>
  <c r="D2167" i="2"/>
  <c r="D2168" i="2"/>
  <c r="D2169" i="2"/>
  <c r="D2170" i="2"/>
  <c r="D2171" i="2"/>
  <c r="D2172" i="2"/>
  <c r="D2173" i="2"/>
  <c r="D2174" i="2"/>
  <c r="D2175" i="2"/>
  <c r="D2176" i="2"/>
  <c r="D2177" i="2"/>
  <c r="D2178" i="2"/>
  <c r="D2179" i="2"/>
  <c r="D2180" i="2"/>
  <c r="D2181" i="2"/>
  <c r="D2182" i="2"/>
  <c r="D2183" i="2"/>
  <c r="D2184" i="2"/>
  <c r="D2185" i="2"/>
  <c r="D2186" i="2"/>
  <c r="D2187" i="2"/>
  <c r="D2188" i="2"/>
  <c r="D2189" i="2"/>
  <c r="D2190" i="2"/>
  <c r="D2191" i="2"/>
  <c r="D2192" i="2"/>
  <c r="D2193" i="2"/>
  <c r="D2194" i="2"/>
  <c r="D2195" i="2"/>
  <c r="D2196" i="2"/>
  <c r="D2197" i="2"/>
  <c r="D2198" i="2"/>
  <c r="D2199" i="2"/>
  <c r="D2200" i="2"/>
  <c r="D2201" i="2"/>
  <c r="D2202" i="2"/>
  <c r="D2203" i="2"/>
  <c r="D2204" i="2"/>
  <c r="D2205" i="2"/>
  <c r="D2206" i="2"/>
  <c r="D2207" i="2"/>
  <c r="D2208" i="2"/>
  <c r="D2209" i="2"/>
  <c r="D2210" i="2"/>
  <c r="D2211" i="2"/>
  <c r="D2212" i="2"/>
  <c r="D2213" i="2"/>
  <c r="D2214" i="2"/>
  <c r="D2215" i="2"/>
  <c r="D2216" i="2"/>
  <c r="D2217" i="2"/>
  <c r="D2218" i="2"/>
  <c r="D2219" i="2"/>
  <c r="D2220" i="2"/>
  <c r="D2221" i="2"/>
  <c r="D2222" i="2"/>
  <c r="D2223" i="2"/>
  <c r="D2224" i="2"/>
  <c r="D2225" i="2"/>
  <c r="D2226" i="2"/>
  <c r="D2227" i="2"/>
  <c r="D2228" i="2"/>
  <c r="D2229" i="2"/>
  <c r="D2230" i="2"/>
  <c r="D2231" i="2"/>
  <c r="D2232" i="2"/>
  <c r="D2233" i="2"/>
  <c r="D2234" i="2"/>
  <c r="D2235" i="2"/>
  <c r="D2236" i="2"/>
  <c r="D2237" i="2"/>
  <c r="D2238" i="2"/>
  <c r="D2239" i="2"/>
  <c r="D2240" i="2"/>
  <c r="D2241" i="2"/>
  <c r="D2242" i="2"/>
  <c r="D2243" i="2"/>
  <c r="D2244" i="2"/>
  <c r="D2245" i="2"/>
  <c r="D2246" i="2"/>
  <c r="D2247" i="2"/>
  <c r="D2248" i="2"/>
  <c r="D2249" i="2"/>
  <c r="D2250" i="2"/>
  <c r="D2251" i="2"/>
  <c r="D2252" i="2"/>
  <c r="D2253" i="2"/>
  <c r="D2254" i="2"/>
  <c r="D2255" i="2"/>
  <c r="D2256" i="2"/>
  <c r="D2257" i="2"/>
  <c r="D2258" i="2"/>
  <c r="D2259" i="2"/>
  <c r="D2260" i="2"/>
  <c r="D2261" i="2"/>
  <c r="D2262" i="2"/>
  <c r="D2263" i="2"/>
  <c r="D2264" i="2"/>
  <c r="D2265" i="2"/>
  <c r="D2266" i="2"/>
  <c r="D2267" i="2"/>
  <c r="D2268" i="2"/>
  <c r="D2269" i="2"/>
  <c r="D2270" i="2"/>
  <c r="D2271" i="2"/>
  <c r="D2272" i="2"/>
  <c r="D2273" i="2"/>
  <c r="D2274" i="2"/>
  <c r="D2275" i="2"/>
  <c r="D2276" i="2"/>
  <c r="D2277" i="2"/>
  <c r="D2278" i="2"/>
  <c r="D2279" i="2"/>
  <c r="D2280" i="2"/>
  <c r="D2281" i="2"/>
  <c r="D2282" i="2"/>
  <c r="D2283" i="2"/>
  <c r="D2284" i="2"/>
  <c r="D2285" i="2"/>
  <c r="D2286" i="2"/>
  <c r="D2287" i="2"/>
  <c r="D2288" i="2"/>
  <c r="D2289" i="2"/>
  <c r="D2290" i="2"/>
  <c r="D2291" i="2"/>
  <c r="D2292" i="2"/>
  <c r="D2293" i="2"/>
  <c r="D2294" i="2"/>
  <c r="D2295" i="2"/>
  <c r="D2296" i="2"/>
  <c r="D2297" i="2"/>
  <c r="D2298" i="2"/>
  <c r="D2299" i="2"/>
  <c r="D2300" i="2"/>
  <c r="D2301" i="2"/>
  <c r="D2302" i="2"/>
  <c r="D2303" i="2"/>
  <c r="D2304" i="2"/>
  <c r="D2305" i="2"/>
  <c r="D2306" i="2"/>
  <c r="D2307" i="2"/>
  <c r="D2308" i="2"/>
  <c r="D2309" i="2"/>
  <c r="D2310" i="2"/>
  <c r="D2311" i="2"/>
  <c r="D2312" i="2"/>
  <c r="D2313" i="2"/>
  <c r="D2314" i="2"/>
  <c r="D2315" i="2"/>
  <c r="D2316" i="2"/>
  <c r="D2317" i="2"/>
  <c r="D2318" i="2"/>
  <c r="D2319" i="2"/>
  <c r="D2320" i="2"/>
  <c r="D2321" i="2"/>
  <c r="D2322" i="2"/>
  <c r="D2323" i="2"/>
  <c r="D2324" i="2"/>
  <c r="D2325" i="2"/>
  <c r="D2326" i="2"/>
  <c r="D2327" i="2"/>
  <c r="D2328" i="2"/>
  <c r="D2329" i="2"/>
  <c r="D2330" i="2"/>
  <c r="D2331" i="2"/>
  <c r="D2332" i="2"/>
  <c r="D2333" i="2"/>
  <c r="D2334" i="2"/>
  <c r="D2335" i="2"/>
  <c r="D2336" i="2"/>
  <c r="D2337" i="2"/>
  <c r="D2338" i="2"/>
  <c r="D2339" i="2"/>
  <c r="D2340" i="2"/>
  <c r="D2341" i="2"/>
  <c r="D2342" i="2"/>
  <c r="D2343" i="2"/>
  <c r="D2344" i="2"/>
  <c r="D2345" i="2"/>
  <c r="D2346" i="2"/>
  <c r="D2347" i="2"/>
  <c r="D2348" i="2"/>
  <c r="D2349" i="2"/>
  <c r="D2350" i="2"/>
  <c r="D2351" i="2"/>
  <c r="D2352" i="2"/>
  <c r="D2353" i="2"/>
  <c r="D2354" i="2"/>
  <c r="D2355" i="2"/>
  <c r="D2356" i="2"/>
  <c r="D2357" i="2"/>
  <c r="D2358" i="2"/>
  <c r="D2359" i="2"/>
  <c r="D2360" i="2"/>
  <c r="D2361" i="2"/>
  <c r="D2362" i="2"/>
  <c r="D2363" i="2"/>
  <c r="D2364" i="2"/>
  <c r="D2365" i="2"/>
  <c r="D2366" i="2"/>
  <c r="D2367" i="2"/>
  <c r="D2368" i="2"/>
  <c r="D2369" i="2"/>
  <c r="D2370" i="2"/>
  <c r="D2371" i="2"/>
  <c r="D2372" i="2"/>
  <c r="D2373" i="2"/>
  <c r="D2374" i="2"/>
  <c r="D2375" i="2"/>
  <c r="D2376" i="2"/>
  <c r="D2377" i="2"/>
  <c r="D2378" i="2"/>
  <c r="D2379" i="2"/>
  <c r="D2380" i="2"/>
  <c r="D2381" i="2"/>
  <c r="D2382" i="2"/>
  <c r="D2383" i="2"/>
  <c r="D2384" i="2"/>
  <c r="D2385" i="2"/>
  <c r="D2386" i="2"/>
  <c r="D2387" i="2"/>
  <c r="D2388" i="2"/>
  <c r="D2389" i="2"/>
  <c r="D2390" i="2"/>
  <c r="D2391" i="2"/>
  <c r="D2392" i="2"/>
  <c r="D2393" i="2"/>
  <c r="D2394" i="2"/>
  <c r="D2395" i="2"/>
  <c r="D2396" i="2"/>
  <c r="D2397" i="2"/>
  <c r="D2398" i="2"/>
  <c r="D2399" i="2"/>
  <c r="D2400" i="2"/>
  <c r="D2401" i="2"/>
  <c r="D2402" i="2"/>
  <c r="D2403" i="2"/>
  <c r="D2404" i="2"/>
  <c r="D2405" i="2"/>
  <c r="D2406" i="2"/>
  <c r="D2407" i="2"/>
  <c r="D2408" i="2"/>
  <c r="D2409" i="2"/>
  <c r="D2410" i="2"/>
  <c r="D2411" i="2"/>
  <c r="D2412" i="2"/>
  <c r="D2413" i="2"/>
  <c r="D2414" i="2"/>
  <c r="D2415" i="2"/>
  <c r="D2416" i="2"/>
  <c r="D2417" i="2"/>
  <c r="D2418" i="2"/>
  <c r="D2419" i="2"/>
  <c r="D2420" i="2"/>
  <c r="D2421" i="2"/>
  <c r="D2422" i="2"/>
  <c r="D2423" i="2"/>
  <c r="D2424" i="2"/>
  <c r="D2425" i="2"/>
  <c r="D2426" i="2"/>
  <c r="D2427" i="2"/>
  <c r="D2428" i="2"/>
  <c r="D2429" i="2"/>
  <c r="D2430" i="2"/>
  <c r="D2431" i="2"/>
  <c r="D2432" i="2"/>
  <c r="D2433" i="2"/>
  <c r="D2434" i="2"/>
  <c r="D2435" i="2"/>
  <c r="D2436" i="2"/>
  <c r="D2437" i="2"/>
  <c r="D2438" i="2"/>
  <c r="D2439" i="2"/>
  <c r="D2440" i="2"/>
  <c r="D2441" i="2"/>
  <c r="D2442" i="2"/>
  <c r="D2443" i="2"/>
  <c r="D2444" i="2"/>
  <c r="D2445" i="2"/>
  <c r="D2446" i="2"/>
  <c r="D2447" i="2"/>
  <c r="D2448" i="2"/>
  <c r="D2449" i="2"/>
  <c r="D2450" i="2"/>
  <c r="D2451" i="2"/>
  <c r="D2452" i="2"/>
  <c r="D2453" i="2"/>
  <c r="D2454" i="2"/>
  <c r="D2455" i="2"/>
  <c r="D2456" i="2"/>
  <c r="D2457" i="2"/>
  <c r="D2458" i="2"/>
  <c r="D2459" i="2"/>
  <c r="D2460" i="2"/>
  <c r="D2461" i="2"/>
  <c r="D2462" i="2"/>
  <c r="D2463" i="2"/>
  <c r="D2464" i="2"/>
  <c r="D2465" i="2"/>
  <c r="D2466" i="2"/>
  <c r="D2467" i="2"/>
  <c r="D2468" i="2"/>
  <c r="D2469" i="2"/>
  <c r="D2470" i="2"/>
  <c r="D2471" i="2"/>
  <c r="D2472" i="2"/>
  <c r="D2473" i="2"/>
  <c r="D2474" i="2"/>
  <c r="D2475" i="2"/>
  <c r="D2476" i="2"/>
  <c r="D2477" i="2"/>
  <c r="D2478" i="2"/>
  <c r="D2479" i="2"/>
  <c r="D2480" i="2"/>
  <c r="D2481" i="2"/>
  <c r="D2482" i="2"/>
  <c r="D2483" i="2"/>
  <c r="D2484" i="2"/>
  <c r="D2485" i="2"/>
  <c r="D2486" i="2"/>
  <c r="D2487" i="2"/>
  <c r="D2488" i="2"/>
  <c r="D2489" i="2"/>
  <c r="D2490" i="2"/>
  <c r="D2491" i="2"/>
  <c r="D2492" i="2"/>
  <c r="D2493" i="2"/>
  <c r="D2494" i="2"/>
  <c r="D2495" i="2"/>
  <c r="D2496" i="2"/>
  <c r="D2497" i="2"/>
  <c r="D2498" i="2"/>
  <c r="D2499" i="2"/>
  <c r="D2500" i="2"/>
  <c r="D2501" i="2"/>
  <c r="D2502" i="2"/>
  <c r="D2503" i="2"/>
  <c r="D2504" i="2"/>
  <c r="D2505" i="2"/>
  <c r="D2506" i="2"/>
  <c r="D2507" i="2"/>
  <c r="D2508" i="2"/>
  <c r="D2509" i="2"/>
  <c r="D2510" i="2"/>
  <c r="D2511" i="2"/>
  <c r="D2512" i="2"/>
  <c r="D2513" i="2"/>
  <c r="D2514" i="2"/>
  <c r="D2515" i="2"/>
  <c r="D2516" i="2"/>
  <c r="D2517" i="2"/>
  <c r="D2518" i="2"/>
  <c r="D2519" i="2"/>
  <c r="D2520" i="2"/>
  <c r="D2521" i="2"/>
  <c r="D2522" i="2"/>
  <c r="D2523" i="2"/>
  <c r="D2524" i="2"/>
  <c r="D2525" i="2"/>
  <c r="D2526" i="2"/>
  <c r="D2527" i="2"/>
  <c r="D2528" i="2"/>
  <c r="D2529" i="2"/>
  <c r="D2530" i="2"/>
  <c r="D2531" i="2"/>
  <c r="D2532" i="2"/>
  <c r="D2533" i="2"/>
  <c r="D2534" i="2"/>
  <c r="D2535" i="2"/>
  <c r="D2536" i="2"/>
  <c r="D2537" i="2"/>
  <c r="D2538" i="2"/>
  <c r="D2539" i="2"/>
  <c r="D2540" i="2"/>
  <c r="D2541" i="2"/>
  <c r="D2542" i="2"/>
  <c r="D2543" i="2"/>
  <c r="D2544" i="2"/>
  <c r="D2545" i="2"/>
  <c r="D2546" i="2"/>
  <c r="D2547" i="2"/>
  <c r="D2548" i="2"/>
  <c r="D2549" i="2"/>
  <c r="D2550" i="2"/>
  <c r="D2551" i="2"/>
  <c r="D2552" i="2"/>
  <c r="D2553" i="2"/>
  <c r="D2554" i="2"/>
  <c r="D2555" i="2"/>
  <c r="D2556" i="2"/>
  <c r="D2557" i="2"/>
  <c r="D2558" i="2"/>
  <c r="D2559" i="2"/>
  <c r="D2560" i="2"/>
  <c r="D2561" i="2"/>
  <c r="D2562" i="2"/>
  <c r="D2563" i="2"/>
  <c r="D2564" i="2"/>
  <c r="D2565" i="2"/>
  <c r="D2566" i="2"/>
  <c r="D2567" i="2"/>
  <c r="D2568" i="2"/>
  <c r="D2569" i="2"/>
  <c r="D2570" i="2"/>
  <c r="D2571" i="2"/>
  <c r="D2572" i="2"/>
  <c r="D2573" i="2"/>
  <c r="D2574" i="2"/>
  <c r="D2575" i="2"/>
  <c r="D2576" i="2"/>
  <c r="D2577" i="2"/>
  <c r="D2578" i="2"/>
  <c r="D2579" i="2"/>
  <c r="D2580" i="2"/>
  <c r="D2581" i="2"/>
  <c r="D2582" i="2"/>
  <c r="D2583" i="2"/>
  <c r="D2584" i="2"/>
  <c r="D2585" i="2"/>
  <c r="D2586" i="2"/>
  <c r="D2587" i="2"/>
  <c r="D2588" i="2"/>
  <c r="D2589" i="2"/>
  <c r="D2590" i="2"/>
  <c r="D2591" i="2"/>
  <c r="D2592" i="2"/>
  <c r="D2593" i="2"/>
  <c r="D2594" i="2"/>
  <c r="D2595" i="2"/>
  <c r="D2596" i="2"/>
  <c r="D2597" i="2"/>
  <c r="D2598" i="2"/>
  <c r="D2599" i="2"/>
  <c r="D2600" i="2"/>
  <c r="D2601" i="2"/>
  <c r="D2602" i="2"/>
  <c r="D2603" i="2"/>
  <c r="D2604" i="2"/>
  <c r="D2605" i="2"/>
  <c r="D2606" i="2"/>
  <c r="D2607" i="2"/>
  <c r="D2608" i="2"/>
  <c r="D2609" i="2"/>
  <c r="D2610" i="2"/>
  <c r="D2611" i="2"/>
  <c r="D2612" i="2"/>
  <c r="D2613" i="2"/>
  <c r="D2614" i="2"/>
  <c r="D2615" i="2"/>
  <c r="D2616" i="2"/>
  <c r="D2617" i="2"/>
  <c r="D2618" i="2"/>
  <c r="D2619" i="2"/>
  <c r="D2620" i="2"/>
  <c r="D2621" i="2"/>
  <c r="D2622" i="2"/>
  <c r="D2623" i="2"/>
  <c r="D2624" i="2"/>
  <c r="D2625" i="2"/>
  <c r="D2626" i="2"/>
  <c r="D2627" i="2"/>
  <c r="D2628" i="2"/>
  <c r="D2629" i="2"/>
  <c r="D2630" i="2"/>
  <c r="D2631" i="2"/>
  <c r="D2632" i="2"/>
  <c r="D2633" i="2"/>
  <c r="D2634" i="2"/>
  <c r="D2635" i="2"/>
  <c r="D2636" i="2"/>
  <c r="D2637" i="2"/>
  <c r="D2638" i="2"/>
  <c r="D2639" i="2"/>
  <c r="D2640" i="2"/>
  <c r="D2641" i="2"/>
  <c r="D2642" i="2"/>
  <c r="D2643" i="2"/>
  <c r="D2644" i="2"/>
  <c r="D2645" i="2"/>
  <c r="D2646" i="2"/>
  <c r="D2647" i="2"/>
  <c r="D2648" i="2"/>
  <c r="D2649" i="2"/>
  <c r="D2650" i="2"/>
  <c r="D2651" i="2"/>
  <c r="D2652" i="2"/>
  <c r="D2653" i="2"/>
  <c r="D2654" i="2"/>
  <c r="D2655" i="2"/>
  <c r="D2656" i="2"/>
  <c r="D2657" i="2"/>
  <c r="D2658" i="2"/>
  <c r="D2659" i="2"/>
  <c r="D2660" i="2"/>
  <c r="D2661" i="2"/>
  <c r="D2662" i="2"/>
  <c r="D2663" i="2"/>
  <c r="D2664" i="2"/>
  <c r="D2665" i="2"/>
  <c r="D2666" i="2"/>
  <c r="D2667" i="2"/>
  <c r="D2668" i="2"/>
  <c r="D2669" i="2"/>
  <c r="D2670" i="2"/>
  <c r="D2671" i="2"/>
  <c r="D2672" i="2"/>
  <c r="D2673" i="2"/>
  <c r="D2674" i="2"/>
  <c r="D2675" i="2"/>
  <c r="D2676" i="2"/>
  <c r="D2677" i="2"/>
  <c r="D2678" i="2"/>
  <c r="D2679" i="2"/>
  <c r="D2680" i="2"/>
  <c r="D2681" i="2"/>
  <c r="D2682" i="2"/>
  <c r="D2683" i="2"/>
  <c r="D2684" i="2"/>
  <c r="D2685" i="2"/>
  <c r="D2686" i="2"/>
  <c r="D2687" i="2"/>
  <c r="D2688" i="2"/>
  <c r="D2689" i="2"/>
  <c r="D2690" i="2"/>
  <c r="D2691" i="2"/>
  <c r="D2692" i="2"/>
  <c r="D2693" i="2"/>
  <c r="D2694" i="2"/>
  <c r="D2695" i="2"/>
  <c r="D2696" i="2"/>
  <c r="D2697" i="2"/>
  <c r="D2698" i="2"/>
  <c r="D2699" i="2"/>
  <c r="D2700" i="2"/>
  <c r="D2701" i="2"/>
  <c r="D2702" i="2"/>
  <c r="D2703" i="2"/>
  <c r="D2704" i="2"/>
  <c r="D2705" i="2"/>
  <c r="D2706" i="2"/>
  <c r="D2707" i="2"/>
  <c r="D2708" i="2"/>
  <c r="D2709" i="2"/>
  <c r="D2710" i="2"/>
  <c r="D2711" i="2"/>
  <c r="D2712" i="2"/>
  <c r="D2713" i="2"/>
  <c r="D2714" i="2"/>
  <c r="D2715" i="2"/>
  <c r="D2716" i="2"/>
  <c r="D2717" i="2"/>
  <c r="D2718" i="2"/>
  <c r="D2719" i="2"/>
  <c r="D2720" i="2"/>
  <c r="D2721" i="2"/>
  <c r="D2722" i="2"/>
  <c r="D2723" i="2"/>
  <c r="D2724" i="2"/>
  <c r="D2725" i="2"/>
  <c r="D2726" i="2"/>
  <c r="D2727" i="2"/>
  <c r="D2728" i="2"/>
  <c r="D2729" i="2"/>
  <c r="D2730" i="2"/>
  <c r="D2731" i="2"/>
  <c r="D2732" i="2"/>
  <c r="D2733" i="2"/>
  <c r="D2734" i="2"/>
  <c r="D2735" i="2"/>
  <c r="D2736" i="2"/>
  <c r="D2737" i="2"/>
  <c r="D2738" i="2"/>
  <c r="D2739" i="2"/>
  <c r="D2740" i="2"/>
  <c r="D2741" i="2"/>
  <c r="D2742" i="2"/>
  <c r="D2743" i="2"/>
  <c r="D2744" i="2"/>
  <c r="D2745" i="2"/>
  <c r="D2746" i="2"/>
  <c r="D2747" i="2"/>
  <c r="D2748" i="2"/>
  <c r="D2749" i="2"/>
  <c r="D2750" i="2"/>
  <c r="D2751" i="2"/>
  <c r="D2752" i="2"/>
  <c r="D2753" i="2"/>
  <c r="D2754" i="2"/>
  <c r="D2755" i="2"/>
  <c r="D2756" i="2"/>
  <c r="D2757" i="2"/>
  <c r="D2758" i="2"/>
  <c r="D2759" i="2"/>
  <c r="D2760" i="2"/>
  <c r="D2761" i="2"/>
  <c r="D2762" i="2"/>
  <c r="D2763" i="2"/>
  <c r="D2764" i="2"/>
  <c r="D2765" i="2"/>
  <c r="D2766" i="2"/>
  <c r="D2767" i="2"/>
  <c r="D2768" i="2"/>
  <c r="D2769" i="2"/>
  <c r="D2770" i="2"/>
  <c r="D2771" i="2"/>
  <c r="D2772" i="2"/>
  <c r="D2773" i="2"/>
  <c r="D2774" i="2"/>
  <c r="D2775" i="2"/>
  <c r="D2776" i="2"/>
  <c r="D2777" i="2"/>
  <c r="D2778" i="2"/>
  <c r="D2779" i="2"/>
  <c r="D2780" i="2"/>
  <c r="D2781" i="2"/>
  <c r="D2782" i="2"/>
  <c r="D2783" i="2"/>
  <c r="D2784" i="2"/>
  <c r="D2785" i="2"/>
  <c r="D2786" i="2"/>
  <c r="D2787" i="2"/>
  <c r="D2788" i="2"/>
  <c r="D2789" i="2"/>
  <c r="D2790" i="2"/>
  <c r="D2791" i="2"/>
  <c r="D2792" i="2"/>
  <c r="D2793" i="2"/>
  <c r="D2794" i="2"/>
  <c r="D2795" i="2"/>
  <c r="D2796" i="2"/>
  <c r="D2797" i="2"/>
  <c r="D2798" i="2"/>
  <c r="D2799" i="2"/>
  <c r="D2800" i="2"/>
  <c r="D2801" i="2"/>
  <c r="D2802" i="2"/>
  <c r="D2803" i="2"/>
  <c r="D2804" i="2"/>
  <c r="D2805" i="2"/>
  <c r="D2806" i="2"/>
  <c r="D2807" i="2"/>
  <c r="D2808" i="2"/>
  <c r="D2809" i="2"/>
  <c r="D2810" i="2"/>
  <c r="D2811" i="2"/>
  <c r="D2812" i="2"/>
  <c r="D2813" i="2"/>
  <c r="D2814" i="2"/>
  <c r="D2815" i="2"/>
  <c r="D2816" i="2"/>
  <c r="D2817" i="2"/>
  <c r="D2818" i="2"/>
  <c r="D2819" i="2"/>
  <c r="D2820" i="2"/>
  <c r="D2821" i="2"/>
  <c r="D2822" i="2"/>
  <c r="D2823" i="2"/>
  <c r="D2824" i="2"/>
  <c r="D2825" i="2"/>
  <c r="D2826" i="2"/>
  <c r="D2827" i="2"/>
  <c r="D2828" i="2"/>
  <c r="D2829" i="2"/>
  <c r="D2830" i="2"/>
  <c r="D2831" i="2"/>
  <c r="D2832" i="2"/>
  <c r="D2833" i="2"/>
  <c r="D2834" i="2"/>
  <c r="D2835" i="2"/>
  <c r="D2836" i="2"/>
  <c r="D2837" i="2"/>
  <c r="D2838" i="2"/>
  <c r="D2839" i="2"/>
  <c r="D2840" i="2"/>
  <c r="D2841" i="2"/>
  <c r="D2842" i="2"/>
  <c r="D2843" i="2"/>
  <c r="D2844" i="2"/>
  <c r="D2845" i="2"/>
  <c r="D2846" i="2"/>
  <c r="D2847" i="2"/>
  <c r="D2848" i="2"/>
  <c r="D2849" i="2"/>
  <c r="D2850" i="2"/>
  <c r="D2851" i="2"/>
  <c r="D2852" i="2"/>
  <c r="D2853" i="2"/>
  <c r="D2854" i="2"/>
  <c r="D2855" i="2"/>
  <c r="D2856" i="2"/>
  <c r="D2857" i="2"/>
  <c r="D2858" i="2"/>
  <c r="D2859" i="2"/>
  <c r="D2860" i="2"/>
  <c r="D2861" i="2"/>
  <c r="D2862" i="2"/>
  <c r="D2863" i="2"/>
  <c r="D2864" i="2"/>
  <c r="D2865" i="2"/>
  <c r="D2866" i="2"/>
  <c r="D2867" i="2"/>
  <c r="D2868" i="2"/>
  <c r="D2869" i="2"/>
  <c r="D2870" i="2"/>
  <c r="D2871" i="2"/>
  <c r="D2872" i="2"/>
  <c r="D2873" i="2"/>
  <c r="D2874" i="2"/>
  <c r="D2875" i="2"/>
  <c r="D2876" i="2"/>
  <c r="D2877" i="2"/>
  <c r="D2878" i="2"/>
  <c r="D2879" i="2"/>
  <c r="D2880" i="2"/>
  <c r="D2881" i="2"/>
  <c r="D2882" i="2"/>
  <c r="D2883" i="2"/>
  <c r="D2884" i="2"/>
  <c r="D2885" i="2"/>
  <c r="D2886" i="2"/>
  <c r="D2887" i="2"/>
  <c r="D2888" i="2"/>
  <c r="D2889" i="2"/>
  <c r="D2890" i="2"/>
  <c r="D2891" i="2"/>
  <c r="D2892" i="2"/>
  <c r="D2893" i="2"/>
  <c r="D2894" i="2"/>
  <c r="D2895" i="2"/>
  <c r="D2896" i="2"/>
  <c r="D2897" i="2"/>
  <c r="D2898" i="2"/>
  <c r="D2899" i="2"/>
  <c r="D2900" i="2"/>
  <c r="D2901" i="2"/>
  <c r="D2902" i="2"/>
  <c r="D2903" i="2"/>
  <c r="D2904" i="2"/>
  <c r="D2905" i="2"/>
  <c r="D2906" i="2"/>
  <c r="D2907" i="2"/>
  <c r="D2908" i="2"/>
  <c r="D2909" i="2"/>
  <c r="D2910" i="2"/>
  <c r="D2911" i="2"/>
  <c r="D2912" i="2"/>
  <c r="D2913" i="2"/>
  <c r="D2914" i="2"/>
  <c r="D2915" i="2"/>
  <c r="D2916" i="2"/>
  <c r="D2917" i="2"/>
  <c r="D2918" i="2"/>
  <c r="D2919" i="2"/>
  <c r="D2920" i="2"/>
  <c r="D2921" i="2"/>
  <c r="D2922" i="2"/>
  <c r="D2923" i="2"/>
  <c r="D2924" i="2"/>
  <c r="D2925" i="2"/>
  <c r="D2926" i="2"/>
  <c r="D2927" i="2"/>
  <c r="D2928" i="2"/>
  <c r="D2929" i="2"/>
  <c r="D2930" i="2"/>
  <c r="D2931" i="2"/>
  <c r="D2932" i="2"/>
  <c r="D2933" i="2"/>
  <c r="D2934" i="2"/>
  <c r="D2935" i="2"/>
  <c r="D2936" i="2"/>
  <c r="D2937" i="2"/>
  <c r="D2938" i="2"/>
  <c r="D2939" i="2"/>
  <c r="D2940" i="2"/>
  <c r="D2941" i="2"/>
  <c r="D2942" i="2"/>
  <c r="D2943" i="2"/>
  <c r="D2944" i="2"/>
  <c r="D2945" i="2"/>
  <c r="D2946" i="2"/>
  <c r="D2947" i="2"/>
  <c r="D2948" i="2"/>
  <c r="D2949" i="2"/>
  <c r="D2950" i="2"/>
  <c r="D2951" i="2"/>
  <c r="D2952" i="2"/>
  <c r="D2953" i="2"/>
  <c r="D2954" i="2"/>
  <c r="D2955" i="2"/>
  <c r="D2956" i="2"/>
  <c r="D2957" i="2"/>
  <c r="D2958" i="2"/>
  <c r="D2959" i="2"/>
  <c r="D2960" i="2"/>
  <c r="D2961" i="2"/>
  <c r="D2962" i="2"/>
  <c r="D2963" i="2"/>
  <c r="D2964" i="2"/>
  <c r="D2965" i="2"/>
  <c r="D2966" i="2"/>
  <c r="D2967" i="2"/>
  <c r="D2968" i="2"/>
  <c r="D2969" i="2"/>
  <c r="D2970" i="2"/>
  <c r="D2971" i="2"/>
  <c r="D2972" i="2"/>
  <c r="D2973" i="2"/>
  <c r="D2974" i="2"/>
  <c r="D2975" i="2"/>
  <c r="D2976" i="2"/>
  <c r="D2977" i="2"/>
  <c r="D2978" i="2"/>
  <c r="D2979" i="2"/>
  <c r="D2980" i="2"/>
  <c r="D2981" i="2"/>
  <c r="D2982" i="2"/>
  <c r="D2983" i="2"/>
  <c r="D2984" i="2"/>
  <c r="D2985" i="2"/>
  <c r="D2986" i="2"/>
  <c r="D2987" i="2"/>
  <c r="D2988" i="2"/>
  <c r="D2989" i="2"/>
  <c r="D2990" i="2"/>
  <c r="D2991" i="2"/>
  <c r="D2992" i="2"/>
  <c r="D2993" i="2"/>
  <c r="D2994" i="2"/>
  <c r="D2995" i="2"/>
  <c r="D2996" i="2"/>
  <c r="D2997" i="2"/>
  <c r="D2998" i="2"/>
  <c r="D2999" i="2"/>
  <c r="D3000" i="2"/>
  <c r="D3001" i="2"/>
  <c r="D3002" i="2"/>
  <c r="D3003" i="2"/>
  <c r="D3004" i="2"/>
  <c r="D3005" i="2"/>
  <c r="D3006" i="2"/>
  <c r="D3007" i="2"/>
  <c r="D3008" i="2"/>
  <c r="D3009" i="2"/>
  <c r="D3010" i="2"/>
  <c r="D3011" i="2"/>
  <c r="D3012" i="2"/>
  <c r="D3013" i="2"/>
  <c r="D3014" i="2"/>
  <c r="D3015" i="2"/>
  <c r="D3016" i="2"/>
  <c r="D3017" i="2"/>
  <c r="D3018" i="2"/>
  <c r="D3019" i="2"/>
  <c r="D3020" i="2"/>
  <c r="D3021" i="2"/>
  <c r="D3022" i="2"/>
  <c r="D3023" i="2"/>
  <c r="D3024" i="2"/>
  <c r="D3025" i="2"/>
  <c r="D3026" i="2"/>
  <c r="D3027" i="2"/>
  <c r="D3028" i="2"/>
  <c r="D3029" i="2"/>
  <c r="D3030" i="2"/>
  <c r="D3031" i="2"/>
  <c r="D3032" i="2"/>
  <c r="D3033" i="2"/>
  <c r="D3034" i="2"/>
  <c r="D3035" i="2"/>
  <c r="D3036" i="2"/>
  <c r="D3037" i="2"/>
  <c r="D3038" i="2"/>
  <c r="D3039" i="2"/>
  <c r="D3040" i="2"/>
  <c r="D3041" i="2"/>
  <c r="D3042" i="2"/>
  <c r="D3043" i="2"/>
  <c r="D3044" i="2"/>
  <c r="D3045" i="2"/>
  <c r="D3046" i="2"/>
  <c r="D3047" i="2"/>
  <c r="D3048" i="2"/>
  <c r="D3049" i="2"/>
  <c r="D3050" i="2"/>
  <c r="D3051" i="2"/>
  <c r="D3052" i="2"/>
  <c r="D3053" i="2"/>
  <c r="D3054" i="2"/>
  <c r="D3055" i="2"/>
  <c r="D3056" i="2"/>
  <c r="D3057" i="2"/>
  <c r="D3058" i="2"/>
  <c r="D3059" i="2"/>
  <c r="D3060" i="2"/>
  <c r="D3061" i="2"/>
  <c r="D3062" i="2"/>
  <c r="D3063" i="2"/>
  <c r="D3064" i="2"/>
  <c r="D3065" i="2"/>
  <c r="D3066" i="2"/>
  <c r="D3067" i="2"/>
  <c r="D3068" i="2"/>
  <c r="D3069" i="2"/>
  <c r="D3070" i="2"/>
  <c r="D3071" i="2"/>
  <c r="D3072" i="2"/>
  <c r="D3073" i="2"/>
  <c r="D3074" i="2"/>
  <c r="D3075" i="2"/>
  <c r="D3076" i="2"/>
  <c r="D3077" i="2"/>
  <c r="D3078" i="2"/>
  <c r="D3079" i="2"/>
  <c r="D3080" i="2"/>
  <c r="D3081" i="2"/>
  <c r="D3082" i="2"/>
  <c r="D3083" i="2"/>
  <c r="D3084" i="2"/>
  <c r="D3085" i="2"/>
  <c r="D3086" i="2"/>
  <c r="D3087" i="2"/>
  <c r="D3088" i="2"/>
  <c r="D3089" i="2"/>
  <c r="D3090" i="2"/>
  <c r="D3091" i="2"/>
  <c r="D3092" i="2"/>
  <c r="D3093" i="2"/>
  <c r="D3094" i="2"/>
  <c r="D3095" i="2"/>
  <c r="D3096" i="2"/>
  <c r="D3097" i="2"/>
  <c r="D3098" i="2"/>
  <c r="D3099" i="2"/>
  <c r="D3100" i="2"/>
  <c r="D3101" i="2"/>
  <c r="D3102" i="2"/>
  <c r="D3103" i="2"/>
  <c r="D3104" i="2"/>
  <c r="D3105" i="2"/>
  <c r="D3106" i="2"/>
  <c r="D3107" i="2"/>
  <c r="D3108" i="2"/>
  <c r="D3109" i="2"/>
  <c r="D3110" i="2"/>
  <c r="D3111" i="2"/>
  <c r="D3112" i="2"/>
  <c r="D3113" i="2"/>
  <c r="D3114" i="2"/>
  <c r="D3115" i="2"/>
  <c r="D3116" i="2"/>
  <c r="D3117" i="2"/>
  <c r="D3118" i="2"/>
  <c r="D3119" i="2"/>
  <c r="D3120" i="2"/>
  <c r="D3121" i="2"/>
  <c r="D3122" i="2"/>
  <c r="D3123" i="2"/>
  <c r="D3124" i="2"/>
  <c r="D3125" i="2"/>
  <c r="D3126" i="2"/>
  <c r="D3127" i="2"/>
  <c r="D3128" i="2"/>
  <c r="D3129" i="2"/>
  <c r="D3130" i="2"/>
  <c r="D3131" i="2"/>
  <c r="D3132" i="2"/>
  <c r="D3133" i="2"/>
  <c r="D3134" i="2"/>
  <c r="D3135" i="2"/>
  <c r="D3136" i="2"/>
  <c r="D3137" i="2"/>
  <c r="D3138" i="2"/>
  <c r="D3139" i="2"/>
  <c r="D3140" i="2"/>
  <c r="D3141" i="2"/>
  <c r="D3142" i="2"/>
  <c r="D3143" i="2"/>
  <c r="D3144" i="2"/>
  <c r="D3145" i="2"/>
  <c r="D3146" i="2"/>
  <c r="D3147" i="2"/>
  <c r="D3148" i="2"/>
  <c r="D3149" i="2"/>
  <c r="D3150" i="2"/>
  <c r="D3151" i="2"/>
  <c r="D3152" i="2"/>
  <c r="D3153" i="2"/>
  <c r="D3154" i="2"/>
  <c r="D3155" i="2"/>
  <c r="D3156" i="2"/>
  <c r="D3157" i="2"/>
  <c r="D3158" i="2"/>
  <c r="D3159" i="2"/>
  <c r="D3160" i="2"/>
  <c r="D3161" i="2"/>
  <c r="D3162" i="2"/>
  <c r="D3163" i="2"/>
  <c r="D3164" i="2"/>
  <c r="D3165" i="2"/>
  <c r="D3166" i="2"/>
  <c r="D3167" i="2"/>
  <c r="D3168" i="2"/>
  <c r="D3169" i="2"/>
  <c r="D3170" i="2"/>
  <c r="D3171" i="2"/>
  <c r="D3172" i="2"/>
  <c r="D3173" i="2"/>
  <c r="D3174" i="2"/>
  <c r="D3175" i="2"/>
  <c r="D3176" i="2"/>
  <c r="D3177" i="2"/>
  <c r="D3178" i="2"/>
  <c r="D3179" i="2"/>
  <c r="D3180" i="2"/>
  <c r="D3181" i="2"/>
  <c r="D3182" i="2"/>
  <c r="D3183" i="2"/>
  <c r="D3184" i="2"/>
  <c r="D3185" i="2"/>
  <c r="D3186" i="2"/>
  <c r="D3187" i="2"/>
  <c r="D3188" i="2"/>
  <c r="D3189" i="2"/>
  <c r="D3190" i="2"/>
  <c r="D3191" i="2"/>
  <c r="D3192" i="2"/>
  <c r="D3193" i="2"/>
  <c r="D3194" i="2"/>
  <c r="D3195" i="2"/>
  <c r="D3196" i="2"/>
  <c r="D3197" i="2"/>
  <c r="D3198" i="2"/>
  <c r="D3199" i="2"/>
  <c r="D3200" i="2"/>
  <c r="D3201" i="2"/>
  <c r="D3202" i="2"/>
  <c r="D3203" i="2"/>
  <c r="D3204" i="2"/>
  <c r="D3205" i="2"/>
  <c r="D3206" i="2"/>
  <c r="D3207" i="2"/>
  <c r="D3208" i="2"/>
  <c r="D3209" i="2"/>
  <c r="D3210" i="2"/>
  <c r="D3211" i="2"/>
  <c r="D3212" i="2"/>
  <c r="D3213" i="2"/>
  <c r="D3214" i="2"/>
  <c r="D3215" i="2"/>
  <c r="D3216" i="2"/>
  <c r="D3217" i="2"/>
  <c r="D3218" i="2"/>
  <c r="D3219" i="2"/>
  <c r="D3220" i="2"/>
  <c r="D3221" i="2"/>
  <c r="D3222" i="2"/>
  <c r="D3223" i="2"/>
  <c r="D3224" i="2"/>
  <c r="D3225" i="2"/>
  <c r="D3226" i="2"/>
  <c r="D3227" i="2"/>
  <c r="D3228" i="2"/>
  <c r="D3229" i="2"/>
  <c r="D3230" i="2"/>
  <c r="D3231" i="2"/>
  <c r="D3232" i="2"/>
  <c r="D3233" i="2"/>
  <c r="D3234" i="2"/>
  <c r="D3235" i="2"/>
  <c r="D3236" i="2"/>
  <c r="D3237" i="2"/>
  <c r="D3238" i="2"/>
  <c r="D3239" i="2"/>
  <c r="D3240" i="2"/>
  <c r="D3241" i="2"/>
  <c r="D3242" i="2"/>
  <c r="D3243" i="2"/>
  <c r="D3244" i="2"/>
  <c r="D3245" i="2"/>
  <c r="D3246" i="2"/>
  <c r="D3247" i="2"/>
  <c r="D3248" i="2"/>
  <c r="D3249" i="2"/>
  <c r="D3250" i="2"/>
  <c r="D3251" i="2"/>
  <c r="D3252" i="2"/>
  <c r="D3253" i="2"/>
  <c r="D3254" i="2"/>
  <c r="D3255" i="2"/>
  <c r="D3256" i="2"/>
  <c r="D3257" i="2"/>
  <c r="D3258" i="2"/>
  <c r="D3259" i="2"/>
  <c r="D3260" i="2"/>
  <c r="D3261" i="2"/>
  <c r="D3262" i="2"/>
  <c r="D3263" i="2"/>
  <c r="D3264" i="2"/>
  <c r="D3265" i="2"/>
  <c r="D3266" i="2"/>
  <c r="D3267" i="2"/>
  <c r="D3268" i="2"/>
  <c r="D3269" i="2"/>
  <c r="D3270" i="2"/>
  <c r="D3271" i="2"/>
  <c r="D3272" i="2"/>
  <c r="D3273" i="2"/>
  <c r="D3274" i="2"/>
  <c r="D3275" i="2"/>
  <c r="D3276" i="2"/>
  <c r="D3277" i="2"/>
  <c r="D3278" i="2"/>
  <c r="D3279" i="2"/>
  <c r="D3280" i="2"/>
  <c r="D3281" i="2"/>
  <c r="D3282" i="2"/>
  <c r="D3283" i="2"/>
  <c r="D3284" i="2"/>
  <c r="D3285" i="2"/>
  <c r="D3286" i="2"/>
  <c r="D3287" i="2"/>
  <c r="D3288" i="2"/>
  <c r="D3289" i="2"/>
  <c r="D3290" i="2"/>
  <c r="D3291" i="2"/>
  <c r="D3292" i="2"/>
  <c r="D3293" i="2"/>
  <c r="D3294" i="2"/>
  <c r="D3295" i="2"/>
  <c r="D3296" i="2"/>
  <c r="D3297" i="2"/>
  <c r="D3298" i="2"/>
  <c r="D3299" i="2"/>
  <c r="D3300" i="2"/>
  <c r="D3301" i="2"/>
  <c r="D3302" i="2"/>
  <c r="D3303" i="2"/>
  <c r="D3304" i="2"/>
  <c r="D3305" i="2"/>
  <c r="D3306" i="2"/>
  <c r="D3307" i="2"/>
  <c r="D3308" i="2"/>
  <c r="D3309" i="2"/>
  <c r="D3310" i="2"/>
  <c r="D3311" i="2"/>
  <c r="D3312" i="2"/>
  <c r="D3313" i="2"/>
  <c r="D3314" i="2"/>
  <c r="D3315" i="2"/>
  <c r="D3316" i="2"/>
  <c r="D3317" i="2"/>
  <c r="D3318" i="2"/>
  <c r="D3319" i="2"/>
  <c r="D3320" i="2"/>
  <c r="D3321" i="2"/>
  <c r="D3322" i="2"/>
  <c r="D3323" i="2"/>
  <c r="D3324" i="2"/>
  <c r="D3325" i="2"/>
  <c r="D3326" i="2"/>
  <c r="D3327" i="2"/>
  <c r="D3328" i="2"/>
  <c r="D3329" i="2"/>
  <c r="D3330" i="2"/>
  <c r="D3331" i="2"/>
  <c r="D3332" i="2"/>
  <c r="D3333" i="2"/>
  <c r="D3334" i="2"/>
  <c r="D3335" i="2"/>
  <c r="D3336" i="2"/>
  <c r="D3337" i="2"/>
  <c r="D3338" i="2"/>
  <c r="D3339" i="2"/>
  <c r="D3340" i="2"/>
  <c r="D3341" i="2"/>
  <c r="D3342" i="2"/>
  <c r="D3343" i="2"/>
  <c r="D3344" i="2"/>
  <c r="D3345" i="2"/>
  <c r="D3346" i="2"/>
  <c r="D3347" i="2"/>
  <c r="D3348" i="2"/>
  <c r="D3349" i="2"/>
  <c r="D3350" i="2"/>
  <c r="D3351" i="2"/>
  <c r="D3352" i="2"/>
  <c r="D3353" i="2"/>
  <c r="D3354" i="2"/>
  <c r="D3355" i="2"/>
  <c r="D3356" i="2"/>
  <c r="D3357" i="2"/>
  <c r="D3358" i="2"/>
  <c r="D3359" i="2"/>
  <c r="D3360" i="2"/>
  <c r="D3361" i="2"/>
  <c r="D3362" i="2"/>
  <c r="D3363" i="2"/>
  <c r="D3364" i="2"/>
  <c r="D3365" i="2"/>
  <c r="D3366" i="2"/>
  <c r="D3367" i="2"/>
  <c r="D3368" i="2"/>
  <c r="D3369" i="2"/>
  <c r="D3370" i="2"/>
  <c r="D3371" i="2"/>
  <c r="D3372" i="2"/>
  <c r="D3373" i="2"/>
  <c r="D3374" i="2"/>
  <c r="D3375" i="2"/>
  <c r="D3376" i="2"/>
  <c r="D3377" i="2"/>
  <c r="D3378" i="2"/>
  <c r="D3379" i="2"/>
  <c r="D3380" i="2"/>
  <c r="D3381" i="2"/>
  <c r="D3382" i="2"/>
  <c r="D3383" i="2"/>
  <c r="D3384" i="2"/>
  <c r="D3385" i="2"/>
  <c r="D3386" i="2"/>
  <c r="D3387" i="2"/>
  <c r="D3388" i="2"/>
  <c r="D3389" i="2"/>
  <c r="D3390" i="2"/>
  <c r="D3391" i="2"/>
  <c r="D3392" i="2"/>
  <c r="D3393" i="2"/>
  <c r="D3394" i="2"/>
  <c r="D3395" i="2"/>
  <c r="D3396" i="2"/>
  <c r="D3397" i="2"/>
  <c r="D3398" i="2"/>
  <c r="D3399" i="2"/>
  <c r="D3400" i="2"/>
  <c r="D3401" i="2"/>
  <c r="D3402" i="2"/>
  <c r="D3403" i="2"/>
  <c r="D3404" i="2"/>
  <c r="D3405" i="2"/>
  <c r="D3406" i="2"/>
  <c r="D3407" i="2"/>
  <c r="D3408" i="2"/>
  <c r="D3409" i="2"/>
  <c r="D3410" i="2"/>
  <c r="D3411" i="2"/>
  <c r="D3412" i="2"/>
  <c r="D3413" i="2"/>
  <c r="D3414" i="2"/>
  <c r="D3415" i="2"/>
  <c r="D3416" i="2"/>
  <c r="D3417" i="2"/>
  <c r="D3418" i="2"/>
  <c r="D3419" i="2"/>
  <c r="D3420" i="2"/>
  <c r="D3421" i="2"/>
  <c r="D3422" i="2"/>
  <c r="D3423" i="2"/>
  <c r="D3424" i="2"/>
  <c r="D3425" i="2"/>
  <c r="D3426" i="2"/>
  <c r="D3427" i="2"/>
  <c r="D3428" i="2"/>
  <c r="D3429" i="2"/>
  <c r="D3430" i="2"/>
  <c r="D3431" i="2"/>
  <c r="D3432" i="2"/>
  <c r="D3433" i="2"/>
  <c r="D3434" i="2"/>
  <c r="D3435" i="2"/>
  <c r="D3436" i="2"/>
  <c r="D3437" i="2"/>
  <c r="D3438" i="2"/>
  <c r="D3439" i="2"/>
  <c r="D3440" i="2"/>
  <c r="D3441" i="2"/>
  <c r="D3442" i="2"/>
  <c r="D3443" i="2"/>
  <c r="D3444" i="2"/>
  <c r="D3445" i="2"/>
  <c r="D3446" i="2"/>
  <c r="D3447" i="2"/>
  <c r="D3448" i="2"/>
  <c r="D3449" i="2"/>
  <c r="D3450" i="2"/>
  <c r="D3451" i="2"/>
  <c r="D3452" i="2"/>
  <c r="D3453" i="2"/>
  <c r="D3454" i="2"/>
  <c r="D3455" i="2"/>
  <c r="D3456" i="2"/>
  <c r="D3457" i="2"/>
  <c r="D3458" i="2"/>
  <c r="D3459" i="2"/>
  <c r="D3460" i="2"/>
  <c r="D3461" i="2"/>
  <c r="D3462" i="2"/>
  <c r="D3463" i="2"/>
  <c r="D3464" i="2"/>
  <c r="D3465" i="2"/>
  <c r="D3466" i="2"/>
  <c r="D3467" i="2"/>
  <c r="D3468" i="2"/>
  <c r="D3469" i="2"/>
  <c r="D3470" i="2"/>
  <c r="D3471" i="2"/>
  <c r="D3472" i="2"/>
  <c r="D3473" i="2"/>
  <c r="D3474" i="2"/>
  <c r="D3475" i="2"/>
  <c r="D3476" i="2"/>
  <c r="D3477" i="2"/>
  <c r="D3478" i="2"/>
  <c r="D3479" i="2"/>
  <c r="D3480" i="2"/>
  <c r="D3481" i="2"/>
  <c r="D3482" i="2"/>
  <c r="D3483" i="2"/>
  <c r="D3484" i="2"/>
  <c r="D3485" i="2"/>
  <c r="D3486" i="2"/>
  <c r="D3487" i="2"/>
  <c r="D3488" i="2"/>
  <c r="D3489" i="2"/>
  <c r="D3490" i="2"/>
  <c r="D3491" i="2"/>
  <c r="D3492" i="2"/>
  <c r="D3493" i="2"/>
  <c r="D3494" i="2"/>
  <c r="D3495" i="2"/>
  <c r="D3496" i="2"/>
  <c r="D3497" i="2"/>
  <c r="D3498" i="2"/>
  <c r="D3499" i="2"/>
  <c r="D3500" i="2"/>
  <c r="D3501" i="2"/>
  <c r="D3502" i="2"/>
  <c r="D3503" i="2"/>
  <c r="D3504" i="2"/>
  <c r="D3505" i="2"/>
  <c r="D3506" i="2"/>
  <c r="D3507" i="2"/>
  <c r="D3508" i="2"/>
  <c r="D3509" i="2"/>
  <c r="D3510" i="2"/>
  <c r="D3511" i="2"/>
  <c r="D3512" i="2"/>
  <c r="D3513" i="2"/>
  <c r="D3514" i="2"/>
  <c r="D3515" i="2"/>
  <c r="D3516" i="2"/>
  <c r="D3517" i="2"/>
  <c r="D3518" i="2"/>
  <c r="D3519" i="2"/>
  <c r="D3520" i="2"/>
  <c r="D3521" i="2"/>
  <c r="D3522" i="2"/>
  <c r="D3523" i="2"/>
  <c r="D3524" i="2"/>
  <c r="D3525" i="2"/>
  <c r="D3526" i="2"/>
  <c r="D3527" i="2"/>
  <c r="D3528" i="2"/>
  <c r="D3529" i="2"/>
  <c r="D3530" i="2"/>
  <c r="D3531" i="2"/>
  <c r="D3532" i="2"/>
  <c r="D3533" i="2"/>
  <c r="D3534" i="2"/>
  <c r="D3535" i="2"/>
  <c r="D3536" i="2"/>
  <c r="D3537" i="2"/>
  <c r="D3538" i="2"/>
  <c r="D3539" i="2"/>
  <c r="D3540" i="2"/>
  <c r="D3541" i="2"/>
  <c r="D3542" i="2"/>
  <c r="D3543" i="2"/>
  <c r="D3544" i="2"/>
  <c r="D3545" i="2"/>
  <c r="D3546" i="2"/>
  <c r="D3547" i="2"/>
  <c r="D3548" i="2"/>
  <c r="D3549" i="2"/>
  <c r="D3550" i="2"/>
  <c r="D3551" i="2"/>
  <c r="D3552" i="2"/>
  <c r="D3553" i="2"/>
  <c r="D3554" i="2"/>
  <c r="D3555" i="2"/>
  <c r="D3556" i="2"/>
  <c r="D3557" i="2"/>
  <c r="D3558" i="2"/>
  <c r="D3559" i="2"/>
  <c r="D3560" i="2"/>
  <c r="D3561" i="2"/>
  <c r="D3562" i="2"/>
  <c r="D3563" i="2"/>
  <c r="D3564" i="2"/>
  <c r="D3565" i="2"/>
  <c r="D3566" i="2"/>
  <c r="D3567" i="2"/>
  <c r="D3568" i="2"/>
  <c r="D3569" i="2"/>
  <c r="D3570" i="2"/>
  <c r="D3571" i="2"/>
  <c r="D3572" i="2"/>
  <c r="D3573" i="2"/>
  <c r="D3574" i="2"/>
  <c r="D3575" i="2"/>
  <c r="D3576" i="2"/>
  <c r="D3577" i="2"/>
  <c r="D3578" i="2"/>
  <c r="D3579" i="2"/>
  <c r="D3580" i="2"/>
  <c r="D3581" i="2"/>
  <c r="D3582" i="2"/>
  <c r="D3583" i="2"/>
  <c r="D3584" i="2"/>
  <c r="D3585" i="2"/>
  <c r="D3586" i="2"/>
  <c r="D3587" i="2"/>
  <c r="D3588" i="2"/>
  <c r="D3589" i="2"/>
  <c r="D3590" i="2"/>
  <c r="D3591" i="2"/>
  <c r="D3592" i="2"/>
  <c r="D3593" i="2"/>
  <c r="D3594" i="2"/>
  <c r="D3595" i="2"/>
  <c r="D3596" i="2"/>
  <c r="D3597" i="2"/>
  <c r="D3598" i="2"/>
  <c r="D3599" i="2"/>
  <c r="D3600" i="2"/>
  <c r="D3601" i="2"/>
  <c r="D3602" i="2"/>
  <c r="D3603" i="2"/>
  <c r="D3604" i="2"/>
  <c r="D3605" i="2"/>
  <c r="D3606" i="2"/>
  <c r="D3607" i="2"/>
  <c r="D3608" i="2"/>
  <c r="D3609" i="2"/>
  <c r="D3610" i="2"/>
  <c r="D3611" i="2"/>
  <c r="D3612" i="2"/>
  <c r="D3613" i="2"/>
  <c r="D3614" i="2"/>
  <c r="D3615" i="2"/>
  <c r="D3616" i="2"/>
  <c r="D3617" i="2"/>
  <c r="D3618" i="2"/>
  <c r="D3619" i="2"/>
  <c r="D3620" i="2"/>
  <c r="D3621" i="2"/>
  <c r="D3622" i="2"/>
  <c r="D3623" i="2"/>
  <c r="D3624" i="2"/>
  <c r="D3625" i="2"/>
  <c r="D3626" i="2"/>
  <c r="D3627" i="2"/>
  <c r="D3628" i="2"/>
  <c r="D3629" i="2"/>
  <c r="D3630" i="2"/>
  <c r="D3631" i="2"/>
  <c r="D3632" i="2"/>
  <c r="D3633" i="2"/>
  <c r="D3634" i="2"/>
  <c r="D3635" i="2"/>
  <c r="D3636" i="2"/>
  <c r="D3637" i="2"/>
  <c r="D3638" i="2"/>
  <c r="D3639" i="2"/>
  <c r="D3640" i="2"/>
  <c r="D3641" i="2"/>
  <c r="D3642" i="2"/>
  <c r="D3643" i="2"/>
  <c r="D3644" i="2"/>
  <c r="D3645" i="2"/>
  <c r="D3646" i="2"/>
  <c r="D3647" i="2"/>
  <c r="D3648" i="2"/>
  <c r="D3649" i="2"/>
  <c r="D3650" i="2"/>
  <c r="D3651" i="2"/>
  <c r="D3652" i="2"/>
  <c r="D3653" i="2"/>
  <c r="D3654" i="2"/>
  <c r="D3655" i="2"/>
  <c r="D3656" i="2"/>
  <c r="D3657" i="2"/>
  <c r="D3658" i="2"/>
  <c r="D3659" i="2"/>
  <c r="D3660" i="2"/>
  <c r="D3661" i="2"/>
  <c r="D3662" i="2"/>
  <c r="D3663" i="2"/>
  <c r="D3664" i="2"/>
  <c r="D3665" i="2"/>
  <c r="D3666" i="2"/>
  <c r="D3667" i="2"/>
  <c r="D3668" i="2"/>
  <c r="D3669" i="2"/>
  <c r="D3670" i="2"/>
  <c r="D3671" i="2"/>
  <c r="D3672" i="2"/>
  <c r="D3673" i="2"/>
  <c r="D3674" i="2"/>
  <c r="D3675" i="2"/>
  <c r="D3676" i="2"/>
  <c r="D3677" i="2"/>
  <c r="D3678" i="2"/>
  <c r="D3679" i="2"/>
  <c r="D3680" i="2"/>
  <c r="D3681" i="2"/>
  <c r="D3682" i="2"/>
  <c r="D3683" i="2"/>
  <c r="D3684" i="2"/>
  <c r="D3685" i="2"/>
  <c r="D3686" i="2"/>
  <c r="D3687" i="2"/>
  <c r="D3688" i="2"/>
  <c r="D3689" i="2"/>
  <c r="D3690" i="2"/>
  <c r="D3691" i="2"/>
  <c r="D3692" i="2"/>
  <c r="D3693" i="2"/>
  <c r="D3694" i="2"/>
  <c r="D3695" i="2"/>
  <c r="D3696" i="2"/>
  <c r="D3697" i="2"/>
  <c r="D3698" i="2"/>
  <c r="D3699" i="2"/>
  <c r="D3700" i="2"/>
  <c r="D3701" i="2"/>
  <c r="D3702" i="2"/>
  <c r="D3703" i="2"/>
  <c r="D3704" i="2"/>
  <c r="D3705" i="2"/>
  <c r="D3706" i="2"/>
  <c r="D3707" i="2"/>
  <c r="D3708" i="2"/>
  <c r="D3709" i="2"/>
  <c r="D3710" i="2"/>
  <c r="D3711" i="2"/>
  <c r="D3712" i="2"/>
  <c r="D3713" i="2"/>
  <c r="D3714" i="2"/>
  <c r="D3715" i="2"/>
  <c r="D3716" i="2"/>
  <c r="D3717" i="2"/>
  <c r="D3718" i="2"/>
  <c r="D3719" i="2"/>
  <c r="D3720" i="2"/>
  <c r="D3721" i="2"/>
  <c r="D3722" i="2"/>
  <c r="D3723" i="2"/>
  <c r="D3724" i="2"/>
  <c r="D3725" i="2"/>
  <c r="D3726" i="2"/>
  <c r="D3727" i="2"/>
  <c r="D3728" i="2"/>
  <c r="D3729" i="2"/>
  <c r="D3730" i="2"/>
  <c r="D3731" i="2"/>
  <c r="D3732" i="2"/>
  <c r="D3733" i="2"/>
  <c r="D3734" i="2"/>
  <c r="D3735" i="2"/>
  <c r="D3736" i="2"/>
  <c r="D3737" i="2"/>
  <c r="D3738" i="2"/>
  <c r="D3739" i="2"/>
  <c r="D3740" i="2"/>
  <c r="D3741" i="2"/>
  <c r="D3742" i="2"/>
  <c r="D3743" i="2"/>
  <c r="D3744" i="2"/>
  <c r="D3745" i="2"/>
  <c r="D3746" i="2"/>
  <c r="D3747" i="2"/>
  <c r="D3748" i="2"/>
  <c r="D3749" i="2"/>
  <c r="D3750" i="2"/>
  <c r="D3751" i="2"/>
  <c r="D3752" i="2"/>
  <c r="D3753" i="2"/>
  <c r="D3754" i="2"/>
  <c r="D3755" i="2"/>
  <c r="D3756" i="2"/>
  <c r="D3757" i="2"/>
  <c r="D3758" i="2"/>
  <c r="D3759" i="2"/>
  <c r="D3760" i="2"/>
  <c r="D3761" i="2"/>
  <c r="D3762" i="2"/>
  <c r="D3763" i="2"/>
  <c r="D3764" i="2"/>
  <c r="D3765" i="2"/>
  <c r="D3766" i="2"/>
  <c r="D3767" i="2"/>
  <c r="D3768" i="2"/>
  <c r="D3769" i="2"/>
  <c r="D3770" i="2"/>
  <c r="D3771" i="2"/>
  <c r="D3772" i="2"/>
  <c r="D3773" i="2"/>
  <c r="D3774" i="2"/>
  <c r="D3775" i="2"/>
  <c r="D3776" i="2"/>
  <c r="D3777" i="2"/>
  <c r="D3778" i="2"/>
  <c r="D3779" i="2"/>
  <c r="D3780" i="2"/>
  <c r="D3781" i="2"/>
  <c r="D3782" i="2"/>
  <c r="D3783" i="2"/>
  <c r="D3784" i="2"/>
  <c r="D3785" i="2"/>
  <c r="D3786" i="2"/>
  <c r="D3787" i="2"/>
  <c r="D3788" i="2"/>
  <c r="D3789" i="2"/>
  <c r="D3790" i="2"/>
  <c r="D3791" i="2"/>
  <c r="D3792" i="2"/>
  <c r="D3793" i="2"/>
  <c r="D3794" i="2"/>
  <c r="D3795" i="2"/>
  <c r="D3796" i="2"/>
  <c r="D3797" i="2"/>
  <c r="D3798" i="2"/>
  <c r="D3799" i="2"/>
  <c r="D3800" i="2"/>
  <c r="D3801" i="2"/>
  <c r="D3802" i="2"/>
  <c r="D3803" i="2"/>
  <c r="D3804" i="2"/>
  <c r="D3805" i="2"/>
  <c r="D3806" i="2"/>
  <c r="D3807" i="2"/>
  <c r="D3808" i="2"/>
  <c r="D3809" i="2"/>
  <c r="D3810" i="2"/>
  <c r="D3811" i="2"/>
  <c r="D3812" i="2"/>
  <c r="D3813" i="2"/>
  <c r="D3814" i="2"/>
  <c r="D3815" i="2"/>
  <c r="D3816" i="2"/>
  <c r="D3817" i="2"/>
  <c r="D3818" i="2"/>
  <c r="D3819" i="2"/>
  <c r="D3820" i="2"/>
  <c r="D3821" i="2"/>
  <c r="D3822" i="2"/>
  <c r="D3823" i="2"/>
  <c r="D3824" i="2"/>
  <c r="D3825" i="2"/>
  <c r="D3826" i="2"/>
  <c r="D3827" i="2"/>
  <c r="D3828" i="2"/>
  <c r="D3829" i="2"/>
  <c r="D3830" i="2"/>
  <c r="D3831" i="2"/>
  <c r="D3832" i="2"/>
  <c r="D3833" i="2"/>
  <c r="D3834" i="2"/>
  <c r="D3835" i="2"/>
  <c r="D3836" i="2"/>
  <c r="D3837" i="2"/>
  <c r="D3838" i="2"/>
  <c r="D3839" i="2"/>
  <c r="D3840" i="2"/>
  <c r="D3841" i="2"/>
  <c r="D3842" i="2"/>
  <c r="D3843" i="2"/>
  <c r="D3844" i="2"/>
  <c r="D3845" i="2"/>
  <c r="D3846" i="2"/>
  <c r="D3847" i="2"/>
  <c r="D3848" i="2"/>
  <c r="D3849" i="2"/>
  <c r="D3850" i="2"/>
  <c r="D3851" i="2"/>
  <c r="D3852" i="2"/>
  <c r="D3853" i="2"/>
  <c r="D3854" i="2"/>
  <c r="D3855" i="2"/>
  <c r="D3856" i="2"/>
  <c r="D3857" i="2"/>
  <c r="D3858" i="2"/>
  <c r="D3859" i="2"/>
  <c r="D3860" i="2"/>
  <c r="D3861" i="2"/>
  <c r="D3862" i="2"/>
  <c r="D3863" i="2"/>
  <c r="D3864" i="2"/>
  <c r="D3865" i="2"/>
  <c r="D3866" i="2"/>
  <c r="D3867" i="2"/>
  <c r="D3868" i="2"/>
  <c r="D3869" i="2"/>
  <c r="D3870" i="2"/>
  <c r="D3871" i="2"/>
  <c r="D3872" i="2"/>
  <c r="D3873" i="2"/>
  <c r="D3874" i="2"/>
  <c r="D3875" i="2"/>
  <c r="D3876" i="2"/>
  <c r="D3877" i="2"/>
  <c r="D3878" i="2"/>
  <c r="D3879" i="2"/>
  <c r="D3880" i="2"/>
  <c r="D3881" i="2"/>
  <c r="D3882" i="2"/>
  <c r="D3883" i="2"/>
  <c r="D3884" i="2"/>
  <c r="D3885" i="2"/>
  <c r="D3886" i="2"/>
  <c r="D3887" i="2"/>
  <c r="D3888" i="2"/>
  <c r="D3889" i="2"/>
  <c r="D3890" i="2"/>
  <c r="D3891" i="2"/>
  <c r="D3892" i="2"/>
  <c r="D3893" i="2"/>
  <c r="D3894" i="2"/>
  <c r="D3895" i="2"/>
  <c r="D3896" i="2"/>
  <c r="D3897" i="2"/>
  <c r="D3898" i="2"/>
  <c r="D3899" i="2"/>
  <c r="D3900" i="2"/>
  <c r="D3901" i="2"/>
  <c r="D3902" i="2"/>
  <c r="D3903" i="2"/>
  <c r="D3904" i="2"/>
  <c r="D3905" i="2"/>
  <c r="D3906" i="2"/>
  <c r="D3907" i="2"/>
  <c r="D3908" i="2"/>
  <c r="D3909" i="2"/>
  <c r="D3910" i="2"/>
  <c r="D3911" i="2"/>
  <c r="D3912" i="2"/>
  <c r="D3913" i="2"/>
  <c r="D3914" i="2"/>
  <c r="D3915" i="2"/>
  <c r="D3916" i="2"/>
  <c r="D3917" i="2"/>
  <c r="D3918" i="2"/>
  <c r="D3919" i="2"/>
  <c r="D3920" i="2"/>
  <c r="D3921" i="2"/>
  <c r="D3922" i="2"/>
  <c r="D3923" i="2"/>
  <c r="D3924" i="2"/>
  <c r="D3925" i="2"/>
  <c r="D3926" i="2"/>
  <c r="D3927" i="2"/>
  <c r="D3928" i="2"/>
  <c r="D3929" i="2"/>
  <c r="D3930" i="2"/>
  <c r="D3931" i="2"/>
  <c r="D3932" i="2"/>
  <c r="D3933" i="2"/>
  <c r="D3934" i="2"/>
  <c r="D3935" i="2"/>
  <c r="D3936" i="2"/>
  <c r="D3937" i="2"/>
  <c r="D3938" i="2"/>
  <c r="D3939" i="2"/>
  <c r="D3940" i="2"/>
  <c r="D3941" i="2"/>
  <c r="D3942" i="2"/>
  <c r="D3943" i="2"/>
  <c r="D3944" i="2"/>
  <c r="D3945" i="2"/>
  <c r="D3946" i="2"/>
  <c r="D3947" i="2"/>
  <c r="D3948" i="2"/>
  <c r="D3949" i="2"/>
  <c r="D3950" i="2"/>
  <c r="D3951" i="2"/>
  <c r="D3952" i="2"/>
  <c r="D3953" i="2"/>
  <c r="D3954" i="2"/>
  <c r="D3955" i="2"/>
  <c r="D3956" i="2"/>
  <c r="D3957" i="2"/>
  <c r="D3958" i="2"/>
  <c r="D3959" i="2"/>
  <c r="D3960" i="2"/>
  <c r="D3961" i="2"/>
  <c r="D3962" i="2"/>
  <c r="D3963" i="2"/>
  <c r="D3964" i="2"/>
  <c r="D3965" i="2"/>
  <c r="D3966" i="2"/>
  <c r="D3967" i="2"/>
  <c r="D3968" i="2"/>
  <c r="D3969" i="2"/>
  <c r="D3970" i="2"/>
  <c r="D3971" i="2"/>
  <c r="D3972" i="2"/>
  <c r="D3973" i="2"/>
  <c r="D3974" i="2"/>
  <c r="D3975" i="2"/>
  <c r="D3976" i="2"/>
  <c r="D3977" i="2"/>
  <c r="D3978" i="2"/>
  <c r="D3979" i="2"/>
  <c r="D3980" i="2"/>
  <c r="D3981" i="2"/>
  <c r="D3982" i="2"/>
  <c r="D3983" i="2"/>
  <c r="D3984" i="2"/>
  <c r="D3985" i="2"/>
  <c r="D3986" i="2"/>
  <c r="D3987" i="2"/>
  <c r="D3988" i="2"/>
  <c r="D3989" i="2"/>
  <c r="D3990" i="2"/>
  <c r="D3991" i="2"/>
  <c r="D3992" i="2"/>
  <c r="D3993" i="2"/>
  <c r="D3994" i="2"/>
  <c r="D3995" i="2"/>
  <c r="D3996" i="2"/>
  <c r="D3997" i="2"/>
  <c r="D3998" i="2"/>
  <c r="D3999" i="2"/>
  <c r="D4000" i="2"/>
  <c r="D4001" i="2"/>
  <c r="D4002" i="2"/>
  <c r="D4003" i="2"/>
  <c r="D4004" i="2"/>
  <c r="D4005" i="2"/>
  <c r="D4006" i="2"/>
  <c r="D4007" i="2"/>
  <c r="D4008" i="2"/>
  <c r="D4009" i="2"/>
  <c r="D4010" i="2"/>
  <c r="D4011" i="2"/>
  <c r="D4012" i="2"/>
  <c r="D4013" i="2"/>
  <c r="D4014" i="2"/>
  <c r="D4015" i="2"/>
  <c r="D4016" i="2"/>
  <c r="D4017" i="2"/>
  <c r="D4018" i="2"/>
  <c r="D4019" i="2"/>
  <c r="D4020" i="2"/>
  <c r="D4021" i="2"/>
  <c r="D4022" i="2"/>
  <c r="D4023" i="2"/>
  <c r="D4024" i="2"/>
  <c r="D4025" i="2"/>
  <c r="D4026" i="2"/>
  <c r="D4027" i="2"/>
  <c r="D4028" i="2"/>
  <c r="D4029" i="2"/>
  <c r="D4030" i="2"/>
  <c r="D4031" i="2"/>
  <c r="D4032" i="2"/>
  <c r="D4033" i="2"/>
  <c r="D4034" i="2"/>
  <c r="D4035" i="2"/>
  <c r="D4036" i="2"/>
  <c r="D4037" i="2"/>
  <c r="D4038" i="2"/>
  <c r="D4039" i="2"/>
  <c r="D4040" i="2"/>
  <c r="D4041" i="2"/>
  <c r="D4042" i="2"/>
  <c r="D4043" i="2"/>
  <c r="D4044" i="2"/>
  <c r="D4045" i="2"/>
  <c r="D4046" i="2"/>
  <c r="D4047" i="2"/>
  <c r="D4048" i="2"/>
  <c r="D4049" i="2"/>
  <c r="D4050" i="2"/>
  <c r="D4051" i="2"/>
  <c r="D4052" i="2"/>
  <c r="D4053" i="2"/>
  <c r="D4054" i="2"/>
  <c r="D4055" i="2"/>
  <c r="D4056" i="2"/>
  <c r="D4057" i="2"/>
  <c r="D4058" i="2"/>
  <c r="D4059" i="2"/>
  <c r="D4060" i="2"/>
  <c r="D4061" i="2"/>
  <c r="D4062" i="2"/>
  <c r="D4063" i="2"/>
  <c r="D4064" i="2"/>
  <c r="D4065" i="2"/>
  <c r="D4066" i="2"/>
  <c r="D4067" i="2"/>
  <c r="D4068" i="2"/>
  <c r="D4069" i="2"/>
  <c r="D4070" i="2"/>
  <c r="D4071" i="2"/>
  <c r="D4072" i="2"/>
  <c r="D4073" i="2"/>
  <c r="D4074" i="2"/>
  <c r="D4075" i="2"/>
  <c r="D4076" i="2"/>
  <c r="D4077" i="2"/>
  <c r="D4078" i="2"/>
  <c r="D4079" i="2"/>
  <c r="D4080" i="2"/>
  <c r="D4081" i="2"/>
  <c r="D4082" i="2"/>
  <c r="D4083" i="2"/>
  <c r="D4084" i="2"/>
  <c r="D4085" i="2"/>
  <c r="D4086" i="2"/>
  <c r="D4087" i="2"/>
  <c r="D4088" i="2"/>
  <c r="D4089" i="2"/>
  <c r="D4090" i="2"/>
  <c r="D4091" i="2"/>
  <c r="D4092" i="2"/>
  <c r="D4093" i="2"/>
  <c r="D4094" i="2"/>
  <c r="D4095" i="2"/>
  <c r="D4096" i="2"/>
  <c r="D4097" i="2"/>
  <c r="D4098" i="2"/>
  <c r="D4099" i="2"/>
  <c r="D4100" i="2"/>
  <c r="D4101" i="2"/>
  <c r="D4102" i="2"/>
  <c r="D4103" i="2"/>
  <c r="D4104" i="2"/>
  <c r="D4105" i="2"/>
  <c r="D4106" i="2"/>
  <c r="D4107" i="2"/>
  <c r="D4108" i="2"/>
  <c r="D4109" i="2"/>
  <c r="D4110" i="2"/>
  <c r="D4111" i="2"/>
  <c r="D4112" i="2"/>
  <c r="D4113" i="2"/>
  <c r="D4114" i="2"/>
  <c r="D4115" i="2"/>
  <c r="D4116" i="2"/>
  <c r="D4117" i="2"/>
  <c r="D4118" i="2"/>
  <c r="D4119" i="2"/>
  <c r="D4120" i="2"/>
  <c r="D4121" i="2"/>
  <c r="D4122" i="2"/>
  <c r="D4123" i="2"/>
  <c r="D4124" i="2"/>
  <c r="D4125" i="2"/>
  <c r="D4126" i="2"/>
  <c r="D4127" i="2"/>
  <c r="D4128" i="2"/>
  <c r="D4129" i="2"/>
  <c r="D4130" i="2"/>
  <c r="D4131" i="2"/>
  <c r="D4132" i="2"/>
  <c r="D4133" i="2"/>
  <c r="D4134" i="2"/>
  <c r="D4135" i="2"/>
  <c r="D4136" i="2"/>
  <c r="D4137" i="2"/>
  <c r="D4138" i="2"/>
  <c r="D4139" i="2"/>
  <c r="D4140" i="2"/>
  <c r="D4141" i="2"/>
  <c r="D4142" i="2"/>
  <c r="D4143" i="2"/>
  <c r="D4144" i="2"/>
  <c r="D4145" i="2"/>
  <c r="D4146" i="2"/>
  <c r="D4147" i="2"/>
  <c r="D4148" i="2"/>
  <c r="D4149" i="2"/>
  <c r="D4150" i="2"/>
  <c r="D4151" i="2"/>
  <c r="D4152" i="2"/>
  <c r="D4153" i="2"/>
  <c r="D4154" i="2"/>
  <c r="D4155" i="2"/>
  <c r="D4156" i="2"/>
  <c r="D4157" i="2"/>
  <c r="D4158" i="2"/>
  <c r="D4159" i="2"/>
  <c r="D4160" i="2"/>
  <c r="D4161" i="2"/>
  <c r="D4162" i="2"/>
  <c r="D4163" i="2"/>
  <c r="D4164" i="2"/>
  <c r="D4165" i="2"/>
  <c r="D4166" i="2"/>
  <c r="D4167" i="2"/>
  <c r="D4168" i="2"/>
  <c r="D4169" i="2"/>
  <c r="D4170" i="2"/>
  <c r="D4171" i="2"/>
  <c r="D4172" i="2"/>
  <c r="D4173" i="2"/>
  <c r="D4174" i="2"/>
  <c r="D4175" i="2"/>
  <c r="D4176" i="2"/>
  <c r="D4177" i="2"/>
  <c r="D4178" i="2"/>
  <c r="D4179" i="2"/>
  <c r="D4180" i="2"/>
  <c r="D4181" i="2"/>
  <c r="D4182" i="2"/>
  <c r="D4183" i="2"/>
  <c r="D4184" i="2"/>
  <c r="D4185" i="2"/>
  <c r="D4186" i="2"/>
  <c r="D4187" i="2"/>
  <c r="D4188" i="2"/>
  <c r="D4189" i="2"/>
  <c r="D4190" i="2"/>
  <c r="D4191" i="2"/>
  <c r="D4192" i="2"/>
  <c r="D4193" i="2"/>
  <c r="D4194" i="2"/>
  <c r="D4195" i="2"/>
  <c r="D4196" i="2"/>
  <c r="D4197" i="2"/>
  <c r="D4198" i="2"/>
  <c r="D4199" i="2"/>
  <c r="D4200" i="2"/>
  <c r="D4201" i="2"/>
  <c r="D4202" i="2"/>
  <c r="D4203" i="2"/>
  <c r="D4204" i="2"/>
  <c r="D4205" i="2"/>
  <c r="D4206" i="2"/>
  <c r="D4207" i="2"/>
  <c r="D4208" i="2"/>
  <c r="D4209" i="2"/>
  <c r="D4210" i="2"/>
  <c r="D4211" i="2"/>
  <c r="D4212" i="2"/>
  <c r="D4213" i="2"/>
  <c r="D4214" i="2"/>
  <c r="D4215" i="2"/>
  <c r="D4216" i="2"/>
  <c r="D4217" i="2"/>
  <c r="D4218" i="2"/>
  <c r="D4219" i="2"/>
  <c r="D4220" i="2"/>
  <c r="D4221" i="2"/>
  <c r="D4222" i="2"/>
  <c r="D4223" i="2"/>
  <c r="D4224" i="2"/>
  <c r="D4225" i="2"/>
  <c r="D4226" i="2"/>
  <c r="D4227" i="2"/>
  <c r="D4228" i="2"/>
  <c r="D4229" i="2"/>
  <c r="D4230" i="2"/>
  <c r="D4231" i="2"/>
  <c r="D4232" i="2"/>
  <c r="D4233" i="2"/>
  <c r="D4234" i="2"/>
  <c r="D4235" i="2"/>
  <c r="D4236" i="2"/>
  <c r="D4237" i="2"/>
  <c r="D4238" i="2"/>
  <c r="D4239" i="2"/>
  <c r="D4240" i="2"/>
  <c r="D4241" i="2"/>
  <c r="D4242" i="2"/>
  <c r="D4243" i="2"/>
  <c r="D4244" i="2"/>
  <c r="D4245" i="2"/>
  <c r="D4246" i="2"/>
  <c r="D4247" i="2"/>
  <c r="D4248" i="2"/>
  <c r="D4249" i="2"/>
  <c r="D4250" i="2"/>
  <c r="D4251" i="2"/>
  <c r="D4252" i="2"/>
  <c r="D4253" i="2"/>
  <c r="D4254" i="2"/>
  <c r="D4255" i="2"/>
  <c r="D4256" i="2"/>
  <c r="D4257" i="2"/>
  <c r="D4258" i="2"/>
  <c r="D4259" i="2"/>
  <c r="D4260" i="2"/>
  <c r="D4261" i="2"/>
  <c r="D4262" i="2"/>
  <c r="D4263" i="2"/>
  <c r="D4264" i="2"/>
  <c r="D4265" i="2"/>
  <c r="D4266" i="2"/>
  <c r="D4267" i="2"/>
  <c r="D4268" i="2"/>
  <c r="D4269" i="2"/>
  <c r="D4270" i="2"/>
  <c r="D4271" i="2"/>
  <c r="D4272" i="2"/>
  <c r="D4273" i="2"/>
  <c r="D4274" i="2"/>
  <c r="D4275" i="2"/>
  <c r="D4276" i="2"/>
  <c r="D4277" i="2"/>
  <c r="D4278" i="2"/>
  <c r="D4279" i="2"/>
  <c r="D4280" i="2"/>
  <c r="D4281" i="2"/>
  <c r="D4282" i="2"/>
  <c r="D4283" i="2"/>
  <c r="D4284" i="2"/>
  <c r="D4285" i="2"/>
  <c r="D4286" i="2"/>
  <c r="D4287" i="2"/>
  <c r="D4288" i="2"/>
  <c r="D4289" i="2"/>
  <c r="D4290" i="2"/>
  <c r="D4291" i="2"/>
  <c r="D4292" i="2"/>
  <c r="D4293" i="2"/>
  <c r="D4294" i="2"/>
  <c r="D4295" i="2"/>
  <c r="D4296" i="2"/>
  <c r="D4297" i="2"/>
  <c r="D4298" i="2"/>
  <c r="D4299" i="2"/>
  <c r="D4300" i="2"/>
  <c r="D4301" i="2"/>
  <c r="D4302" i="2"/>
  <c r="D4303" i="2"/>
  <c r="D4304" i="2"/>
  <c r="D4305" i="2"/>
  <c r="D4306" i="2"/>
  <c r="D4307" i="2"/>
  <c r="D4308" i="2"/>
  <c r="D4309" i="2"/>
  <c r="D4310" i="2"/>
  <c r="D4311" i="2"/>
  <c r="D4312" i="2"/>
  <c r="D4313" i="2"/>
  <c r="D4314" i="2"/>
  <c r="D4315" i="2"/>
  <c r="D4316" i="2"/>
  <c r="D4317" i="2"/>
  <c r="D4318" i="2"/>
  <c r="D4319" i="2"/>
  <c r="D4320" i="2"/>
  <c r="D4321" i="2"/>
  <c r="D4322" i="2"/>
  <c r="D4323" i="2"/>
  <c r="D4324" i="2"/>
  <c r="D4325" i="2"/>
  <c r="D4326" i="2"/>
  <c r="D4327" i="2"/>
  <c r="D4328" i="2"/>
  <c r="D4329" i="2"/>
  <c r="D4330" i="2"/>
  <c r="D4331" i="2"/>
  <c r="D4332" i="2"/>
  <c r="D4333" i="2"/>
  <c r="D4334" i="2"/>
  <c r="D4335" i="2"/>
  <c r="D4336" i="2"/>
  <c r="D4337" i="2"/>
  <c r="D4338" i="2"/>
  <c r="D4339" i="2"/>
  <c r="D4340" i="2"/>
  <c r="D4341" i="2"/>
  <c r="D4342" i="2"/>
  <c r="D4343" i="2"/>
  <c r="D4344" i="2"/>
  <c r="D4345" i="2"/>
  <c r="D4346" i="2"/>
  <c r="D4347" i="2"/>
  <c r="D4348" i="2"/>
  <c r="D4349" i="2"/>
  <c r="D4350" i="2"/>
  <c r="D4351" i="2"/>
  <c r="D4352" i="2"/>
  <c r="D4353" i="2"/>
  <c r="D4354" i="2"/>
  <c r="D4355" i="2"/>
  <c r="D4356" i="2"/>
  <c r="D4357" i="2"/>
  <c r="D4358" i="2"/>
  <c r="D4359" i="2"/>
  <c r="D4360" i="2"/>
  <c r="D4361" i="2"/>
  <c r="D4362" i="2"/>
  <c r="D4363" i="2"/>
  <c r="D4364" i="2"/>
  <c r="D4365" i="2"/>
  <c r="D4366" i="2"/>
  <c r="D4367" i="2"/>
  <c r="D4368" i="2"/>
  <c r="D4369" i="2"/>
  <c r="D4370" i="2"/>
  <c r="D4371" i="2"/>
  <c r="D4372" i="2"/>
  <c r="D4373" i="2"/>
  <c r="D4374" i="2"/>
  <c r="D4375" i="2"/>
  <c r="D4376" i="2"/>
  <c r="D4377" i="2"/>
  <c r="D4378" i="2"/>
  <c r="D4379" i="2"/>
  <c r="D4380" i="2"/>
  <c r="D4381" i="2"/>
  <c r="D4382" i="2"/>
  <c r="D4383" i="2"/>
  <c r="D4384" i="2"/>
  <c r="D4385" i="2"/>
  <c r="D4386" i="2"/>
  <c r="D4387" i="2"/>
  <c r="D4388" i="2"/>
  <c r="D4389" i="2"/>
  <c r="D4390" i="2"/>
  <c r="D4391" i="2"/>
  <c r="D4392" i="2"/>
  <c r="D4393" i="2"/>
  <c r="D4394" i="2"/>
  <c r="D4395" i="2"/>
  <c r="D4396" i="2"/>
  <c r="D4397" i="2"/>
  <c r="D4398" i="2"/>
  <c r="D4399" i="2"/>
  <c r="D4400" i="2"/>
  <c r="D4401" i="2"/>
  <c r="D4402" i="2"/>
  <c r="D4403" i="2"/>
  <c r="D4404" i="2"/>
  <c r="D4405" i="2"/>
  <c r="D4406" i="2"/>
  <c r="D4407" i="2"/>
  <c r="D4408" i="2"/>
  <c r="D4409" i="2"/>
  <c r="D4410" i="2"/>
  <c r="D4411" i="2"/>
  <c r="D4412" i="2"/>
  <c r="D4413" i="2"/>
  <c r="D4414" i="2"/>
  <c r="D4415" i="2"/>
  <c r="D4416" i="2"/>
  <c r="D4417" i="2"/>
  <c r="D4418" i="2"/>
  <c r="D4419" i="2"/>
  <c r="D4420" i="2"/>
  <c r="D4421" i="2"/>
  <c r="D4422" i="2"/>
  <c r="D4423" i="2"/>
  <c r="D4424" i="2"/>
  <c r="D4425" i="2"/>
  <c r="D4426" i="2"/>
  <c r="D4427" i="2"/>
  <c r="D4428" i="2"/>
  <c r="D4429" i="2"/>
  <c r="D4430" i="2"/>
  <c r="D4431" i="2"/>
  <c r="D4432" i="2"/>
  <c r="D4433" i="2"/>
  <c r="D4434" i="2"/>
  <c r="D4435" i="2"/>
  <c r="D4436" i="2"/>
  <c r="D4437" i="2"/>
  <c r="D4438" i="2"/>
  <c r="D4439" i="2"/>
  <c r="D4440" i="2"/>
  <c r="D4441" i="2"/>
  <c r="D4442" i="2"/>
  <c r="D4443" i="2"/>
  <c r="D4444" i="2"/>
  <c r="D4445" i="2"/>
  <c r="D4446" i="2"/>
  <c r="D4447" i="2"/>
  <c r="D4448" i="2"/>
  <c r="D4449" i="2"/>
  <c r="D4450" i="2"/>
  <c r="D4451" i="2"/>
  <c r="D4452" i="2"/>
  <c r="D4453" i="2"/>
  <c r="D4454" i="2"/>
  <c r="D4455" i="2"/>
  <c r="D4456" i="2"/>
  <c r="D4457" i="2"/>
  <c r="D4458" i="2"/>
  <c r="D4459" i="2"/>
  <c r="D4460" i="2"/>
  <c r="D4461" i="2"/>
  <c r="D4462" i="2"/>
  <c r="D4463" i="2"/>
  <c r="D4464" i="2"/>
  <c r="D4465" i="2"/>
  <c r="D4466" i="2"/>
  <c r="D4467" i="2"/>
  <c r="D4468" i="2"/>
  <c r="D4469" i="2"/>
  <c r="D4470" i="2"/>
  <c r="D4471" i="2"/>
  <c r="D4472" i="2"/>
  <c r="D4473" i="2"/>
  <c r="D4474" i="2"/>
  <c r="D4475" i="2"/>
  <c r="D4476" i="2"/>
  <c r="D4477" i="2"/>
  <c r="D4478" i="2"/>
  <c r="D4479" i="2"/>
  <c r="D4480" i="2"/>
  <c r="D4481" i="2"/>
  <c r="D4482" i="2"/>
  <c r="D4483" i="2"/>
  <c r="D4484" i="2"/>
  <c r="D4485" i="2"/>
  <c r="D4486" i="2"/>
  <c r="D4487" i="2"/>
  <c r="D4488" i="2"/>
  <c r="D4489" i="2"/>
  <c r="D4490" i="2"/>
  <c r="D4491" i="2"/>
  <c r="D4492" i="2"/>
  <c r="D4493" i="2"/>
  <c r="D4494" i="2"/>
  <c r="D4495" i="2"/>
  <c r="D4496" i="2"/>
  <c r="D4497" i="2"/>
  <c r="D4498" i="2"/>
  <c r="D4499" i="2"/>
  <c r="D4500" i="2"/>
  <c r="D4501" i="2"/>
  <c r="D4502" i="2"/>
  <c r="D4503" i="2"/>
  <c r="D4504" i="2"/>
  <c r="D4505" i="2"/>
  <c r="D4506" i="2"/>
  <c r="D4507" i="2"/>
  <c r="D4508" i="2"/>
  <c r="D4509" i="2"/>
  <c r="D4510" i="2"/>
  <c r="D4511" i="2"/>
  <c r="D4512" i="2"/>
  <c r="D4513" i="2"/>
  <c r="D4514" i="2"/>
  <c r="D4515" i="2"/>
  <c r="D4516" i="2"/>
  <c r="D4517" i="2"/>
  <c r="D4518" i="2"/>
  <c r="D4519" i="2"/>
  <c r="D4520" i="2"/>
  <c r="D4521" i="2"/>
  <c r="D4522" i="2"/>
  <c r="D4523" i="2"/>
  <c r="D4524" i="2"/>
  <c r="D4525" i="2"/>
  <c r="D4526" i="2"/>
  <c r="D4527" i="2"/>
  <c r="D4528" i="2"/>
  <c r="D4529" i="2"/>
  <c r="D4530" i="2"/>
  <c r="D4531" i="2"/>
  <c r="D4532" i="2"/>
  <c r="D4533" i="2"/>
  <c r="D4534" i="2"/>
  <c r="D4535" i="2"/>
  <c r="D4536" i="2"/>
  <c r="D4537" i="2"/>
  <c r="D4538" i="2"/>
  <c r="D4539" i="2"/>
  <c r="D4540" i="2"/>
  <c r="D4541" i="2"/>
  <c r="D4542" i="2"/>
  <c r="D4543" i="2"/>
  <c r="D4544" i="2"/>
  <c r="D4545" i="2"/>
  <c r="D4546" i="2"/>
  <c r="D4547" i="2"/>
  <c r="D4548" i="2"/>
  <c r="D4549" i="2"/>
  <c r="D4550" i="2"/>
  <c r="D4551" i="2"/>
  <c r="D4552" i="2"/>
  <c r="D4553" i="2"/>
  <c r="D4554" i="2"/>
  <c r="D4555" i="2"/>
  <c r="D4556" i="2"/>
  <c r="D4557" i="2"/>
  <c r="D4558" i="2"/>
  <c r="D4559" i="2"/>
  <c r="D4560" i="2"/>
  <c r="D4561" i="2"/>
  <c r="D4562" i="2"/>
  <c r="D4563" i="2"/>
  <c r="D4564" i="2"/>
  <c r="D4565" i="2"/>
  <c r="D4566" i="2"/>
  <c r="D4567" i="2"/>
  <c r="D4568" i="2"/>
  <c r="D4569" i="2"/>
  <c r="D4570" i="2"/>
  <c r="D4571" i="2"/>
  <c r="D4572" i="2"/>
  <c r="D4573" i="2"/>
  <c r="D4574" i="2"/>
  <c r="D4575" i="2"/>
  <c r="D4576" i="2"/>
  <c r="D4577" i="2"/>
  <c r="D4578" i="2"/>
  <c r="D4579" i="2"/>
  <c r="D4580" i="2"/>
  <c r="D4581" i="2"/>
  <c r="D4582" i="2"/>
  <c r="D4583" i="2"/>
  <c r="D4584" i="2"/>
  <c r="D4585" i="2"/>
  <c r="D4586" i="2"/>
  <c r="D4587" i="2"/>
  <c r="D4588" i="2"/>
  <c r="D4589" i="2"/>
  <c r="D4590" i="2"/>
  <c r="D4591" i="2"/>
  <c r="D4592" i="2"/>
  <c r="D4593" i="2"/>
  <c r="D4594" i="2"/>
  <c r="D4595" i="2"/>
  <c r="D4596" i="2"/>
  <c r="D4597" i="2"/>
  <c r="D4598" i="2"/>
  <c r="D4599" i="2"/>
  <c r="D4600" i="2"/>
  <c r="D4601" i="2"/>
  <c r="D4602" i="2"/>
  <c r="D4603" i="2"/>
  <c r="D4604" i="2"/>
  <c r="D4605" i="2"/>
  <c r="D4606" i="2"/>
  <c r="D4607" i="2"/>
  <c r="D4608" i="2"/>
  <c r="D4609" i="2"/>
  <c r="D4610" i="2"/>
  <c r="D4611" i="2"/>
  <c r="D4612" i="2"/>
  <c r="D4613" i="2"/>
  <c r="D4614" i="2"/>
  <c r="D4615" i="2"/>
  <c r="D4616" i="2"/>
  <c r="D4617" i="2"/>
  <c r="D4618" i="2"/>
  <c r="D4619" i="2"/>
  <c r="D4620" i="2"/>
  <c r="D4621" i="2"/>
  <c r="D4622" i="2"/>
  <c r="D4623" i="2"/>
  <c r="D4624" i="2"/>
  <c r="D4625" i="2"/>
  <c r="D4626" i="2"/>
  <c r="D4627" i="2"/>
  <c r="D4628" i="2"/>
  <c r="D4629" i="2"/>
  <c r="D4630" i="2"/>
  <c r="D4631" i="2"/>
  <c r="D4632" i="2"/>
  <c r="D4633" i="2"/>
  <c r="D4634" i="2"/>
  <c r="D4635" i="2"/>
  <c r="D4636" i="2"/>
  <c r="D4637" i="2"/>
  <c r="D4638" i="2"/>
  <c r="D4639" i="2"/>
  <c r="D4640" i="2"/>
  <c r="D4641" i="2"/>
  <c r="D4642" i="2"/>
  <c r="D4643" i="2"/>
  <c r="D4644" i="2"/>
  <c r="D4645" i="2"/>
  <c r="D4646" i="2"/>
  <c r="D4647" i="2"/>
  <c r="D4648" i="2"/>
  <c r="D4649" i="2"/>
  <c r="D4650" i="2"/>
  <c r="D4651" i="2"/>
  <c r="D4652" i="2"/>
  <c r="D4653" i="2"/>
  <c r="D4654" i="2"/>
  <c r="D4655" i="2"/>
  <c r="D4656" i="2"/>
  <c r="D4657" i="2"/>
  <c r="D4658" i="2"/>
  <c r="D4659" i="2"/>
  <c r="D4660" i="2"/>
  <c r="D4661" i="2"/>
  <c r="D4662" i="2"/>
  <c r="D4663" i="2"/>
  <c r="D4664" i="2"/>
  <c r="D4665" i="2"/>
  <c r="D4666" i="2"/>
  <c r="D4667" i="2"/>
  <c r="D4668" i="2"/>
  <c r="D4669" i="2"/>
  <c r="D4670" i="2"/>
  <c r="D4671" i="2"/>
  <c r="D4672" i="2"/>
  <c r="D4673" i="2"/>
  <c r="D4674" i="2"/>
  <c r="D4675" i="2"/>
  <c r="D4676" i="2"/>
  <c r="D4677" i="2"/>
  <c r="D4678" i="2"/>
  <c r="D4679" i="2"/>
  <c r="D4680" i="2"/>
  <c r="D4681" i="2"/>
  <c r="D4682" i="2"/>
  <c r="D4683" i="2"/>
  <c r="D4684" i="2"/>
  <c r="D4685" i="2"/>
  <c r="D4686" i="2"/>
  <c r="D4687" i="2"/>
  <c r="D4688" i="2"/>
  <c r="D4689" i="2"/>
  <c r="D4690" i="2"/>
  <c r="D4691" i="2"/>
  <c r="D4692" i="2"/>
  <c r="D4693" i="2"/>
  <c r="D4694" i="2"/>
  <c r="D4695" i="2"/>
  <c r="D4696" i="2"/>
  <c r="D4697" i="2"/>
  <c r="D4698" i="2"/>
  <c r="D4699" i="2"/>
  <c r="D4700" i="2"/>
  <c r="D4701" i="2"/>
  <c r="D4702" i="2"/>
  <c r="D4703" i="2"/>
  <c r="D4704" i="2"/>
  <c r="D4705" i="2"/>
  <c r="D4706" i="2"/>
  <c r="D4707" i="2"/>
  <c r="D4708" i="2"/>
  <c r="D4709" i="2"/>
  <c r="D4710" i="2"/>
  <c r="D4711" i="2"/>
  <c r="D4712" i="2"/>
  <c r="D4713" i="2"/>
  <c r="D4714" i="2"/>
  <c r="D4715" i="2"/>
  <c r="D4716" i="2"/>
  <c r="D4717" i="2"/>
  <c r="D4718" i="2"/>
  <c r="D4719" i="2"/>
  <c r="D4720" i="2"/>
  <c r="D4721" i="2"/>
  <c r="D4722" i="2"/>
  <c r="D4723" i="2"/>
  <c r="D4724" i="2"/>
  <c r="D4725" i="2"/>
  <c r="D4726" i="2"/>
  <c r="D4727" i="2"/>
  <c r="D4728" i="2"/>
  <c r="D4729" i="2"/>
  <c r="D4730" i="2"/>
  <c r="D4731" i="2"/>
  <c r="D4732" i="2"/>
  <c r="D4733" i="2"/>
  <c r="D4734" i="2"/>
  <c r="D4735" i="2"/>
  <c r="D4736" i="2"/>
  <c r="D4737" i="2"/>
  <c r="D4738" i="2"/>
  <c r="D4739" i="2"/>
  <c r="D4740" i="2"/>
  <c r="D4741" i="2"/>
  <c r="D4742" i="2"/>
  <c r="D4743" i="2"/>
  <c r="D4744" i="2"/>
  <c r="D4745" i="2"/>
  <c r="D4746" i="2"/>
  <c r="D4747" i="2"/>
  <c r="D4748" i="2"/>
  <c r="D4749" i="2"/>
  <c r="D4750" i="2"/>
  <c r="D4751" i="2"/>
  <c r="D4752" i="2"/>
  <c r="D4753" i="2"/>
  <c r="D4754" i="2"/>
  <c r="D4755" i="2"/>
  <c r="D4756" i="2"/>
  <c r="D4757" i="2"/>
  <c r="D4758" i="2"/>
  <c r="D4759" i="2"/>
  <c r="D4760" i="2"/>
  <c r="D4761" i="2"/>
  <c r="D4762" i="2"/>
  <c r="D4763" i="2"/>
  <c r="D4764" i="2"/>
  <c r="D4765" i="2"/>
  <c r="D4766" i="2"/>
  <c r="D4767" i="2"/>
  <c r="D4768" i="2"/>
  <c r="D4769" i="2"/>
  <c r="D4770" i="2"/>
  <c r="D4771" i="2"/>
  <c r="D4772" i="2"/>
  <c r="D4773" i="2"/>
  <c r="D4774" i="2"/>
  <c r="D4775" i="2"/>
  <c r="D4776" i="2"/>
  <c r="D4777" i="2"/>
  <c r="D4778" i="2"/>
  <c r="D4779" i="2"/>
  <c r="D4780" i="2"/>
  <c r="D4781" i="2"/>
  <c r="D4782" i="2"/>
  <c r="D4783" i="2"/>
  <c r="D4784" i="2"/>
  <c r="D4785" i="2"/>
  <c r="D4786" i="2"/>
  <c r="D4787" i="2"/>
  <c r="D4788" i="2"/>
  <c r="D4789" i="2"/>
  <c r="D4790" i="2"/>
  <c r="D4791" i="2"/>
  <c r="D4792" i="2"/>
  <c r="D4793" i="2"/>
  <c r="D4794" i="2"/>
  <c r="D4795" i="2"/>
  <c r="D4796" i="2"/>
  <c r="D4797" i="2"/>
  <c r="D4798" i="2"/>
  <c r="D4799" i="2"/>
  <c r="D4800" i="2"/>
  <c r="D4801" i="2"/>
  <c r="D4802" i="2"/>
  <c r="D4803" i="2"/>
  <c r="D4804" i="2"/>
  <c r="D4805" i="2"/>
  <c r="D4806" i="2"/>
  <c r="D4807" i="2"/>
  <c r="D4808" i="2"/>
  <c r="D4809" i="2"/>
  <c r="D4810" i="2"/>
  <c r="D4811" i="2"/>
  <c r="D4812" i="2"/>
  <c r="D4813" i="2"/>
  <c r="D4814" i="2"/>
  <c r="D4815" i="2"/>
  <c r="D4816" i="2"/>
  <c r="D4817" i="2"/>
  <c r="D4818" i="2"/>
  <c r="D4819" i="2"/>
  <c r="D4820" i="2"/>
  <c r="D4821" i="2"/>
  <c r="D4822" i="2"/>
  <c r="D4823" i="2"/>
  <c r="D4824" i="2"/>
  <c r="D4825" i="2"/>
  <c r="D4826" i="2"/>
  <c r="D4827" i="2"/>
  <c r="D4828" i="2"/>
  <c r="D4829" i="2"/>
  <c r="D4830" i="2"/>
  <c r="D4831" i="2"/>
  <c r="D4832" i="2"/>
  <c r="D4833" i="2"/>
  <c r="D4834" i="2"/>
  <c r="D4835" i="2"/>
  <c r="D4836" i="2"/>
  <c r="D4837" i="2"/>
  <c r="D4838" i="2"/>
  <c r="D4839" i="2"/>
  <c r="D4840" i="2"/>
  <c r="D4841" i="2"/>
  <c r="D4842" i="2"/>
  <c r="D4843" i="2"/>
  <c r="D4844" i="2"/>
  <c r="D4845" i="2"/>
  <c r="D4846" i="2"/>
  <c r="D4847" i="2"/>
  <c r="D4848" i="2"/>
  <c r="D4849" i="2"/>
  <c r="D4850" i="2"/>
  <c r="D4851" i="2"/>
  <c r="D4852" i="2"/>
  <c r="D4853" i="2"/>
  <c r="D4854" i="2"/>
  <c r="D4855" i="2"/>
  <c r="D4856" i="2"/>
  <c r="D4857" i="2"/>
  <c r="D4858" i="2"/>
  <c r="D4859" i="2"/>
  <c r="D4860" i="2"/>
  <c r="D4861" i="2"/>
  <c r="D4862" i="2"/>
  <c r="D4863" i="2"/>
  <c r="D4864" i="2"/>
  <c r="D4865" i="2"/>
  <c r="D4866" i="2"/>
  <c r="D4867" i="2"/>
  <c r="D4868" i="2"/>
  <c r="D4869" i="2"/>
  <c r="D4870" i="2"/>
  <c r="D4871" i="2"/>
  <c r="D4872" i="2"/>
  <c r="D4873" i="2"/>
  <c r="D4874" i="2"/>
  <c r="D4875" i="2"/>
  <c r="D4876" i="2"/>
  <c r="D4877" i="2"/>
  <c r="D4878" i="2"/>
  <c r="D4879" i="2"/>
  <c r="D4880" i="2"/>
  <c r="D4881" i="2"/>
  <c r="D4882" i="2"/>
  <c r="D4883" i="2"/>
  <c r="D4884" i="2"/>
  <c r="D4885" i="2"/>
  <c r="D4886" i="2"/>
  <c r="D4887" i="2"/>
  <c r="D4888" i="2"/>
  <c r="D4889" i="2"/>
  <c r="D4890" i="2"/>
  <c r="D4891" i="2"/>
  <c r="D4892" i="2"/>
  <c r="D4893" i="2"/>
  <c r="D4894" i="2"/>
  <c r="D4895" i="2"/>
  <c r="D4896" i="2"/>
  <c r="D4897" i="2"/>
  <c r="D4898" i="2"/>
  <c r="D4899" i="2"/>
  <c r="D4900" i="2"/>
  <c r="D4901" i="2"/>
  <c r="D4902" i="2"/>
  <c r="D4903" i="2"/>
  <c r="D4904" i="2"/>
  <c r="D4905" i="2"/>
  <c r="D4906" i="2"/>
  <c r="D4907" i="2"/>
  <c r="D4908" i="2"/>
  <c r="D4909" i="2"/>
  <c r="D4910" i="2"/>
  <c r="D4911" i="2"/>
  <c r="D4912" i="2"/>
  <c r="D4913" i="2"/>
  <c r="D4914" i="2"/>
  <c r="D4915" i="2"/>
  <c r="D4916" i="2"/>
  <c r="D4917" i="2"/>
  <c r="D4918" i="2"/>
  <c r="D4919" i="2"/>
  <c r="D4920" i="2"/>
  <c r="D4921" i="2"/>
  <c r="D4922" i="2"/>
  <c r="D4923" i="2"/>
  <c r="D4924" i="2"/>
  <c r="D4925" i="2"/>
  <c r="D4926" i="2"/>
  <c r="D4927" i="2"/>
  <c r="D4928" i="2"/>
  <c r="D4929" i="2"/>
  <c r="D4930" i="2"/>
  <c r="D4931" i="2"/>
  <c r="D4932" i="2"/>
  <c r="D4933" i="2"/>
  <c r="D4934" i="2"/>
  <c r="D4935" i="2"/>
  <c r="D4936" i="2"/>
  <c r="D4937" i="2"/>
  <c r="D4938" i="2"/>
  <c r="D4939" i="2"/>
  <c r="D4940" i="2"/>
  <c r="D4941" i="2"/>
  <c r="D4942" i="2"/>
  <c r="D4943" i="2"/>
  <c r="D4944" i="2"/>
  <c r="D4945" i="2"/>
  <c r="D4946" i="2"/>
  <c r="D4947" i="2"/>
  <c r="D4948" i="2"/>
  <c r="D4949" i="2"/>
  <c r="D4950" i="2"/>
  <c r="D4951" i="2"/>
  <c r="D4952" i="2"/>
  <c r="D4953" i="2"/>
  <c r="D4954" i="2"/>
  <c r="D4955" i="2"/>
  <c r="D4956" i="2"/>
  <c r="D4957" i="2"/>
  <c r="D4958" i="2"/>
  <c r="D4959" i="2"/>
  <c r="D4960" i="2"/>
  <c r="D4961" i="2"/>
  <c r="D4962" i="2"/>
  <c r="D4963" i="2"/>
  <c r="D4964" i="2"/>
  <c r="D4965" i="2"/>
  <c r="D4966" i="2"/>
  <c r="D4967" i="2"/>
  <c r="D4968" i="2"/>
  <c r="D4969" i="2"/>
  <c r="D4970" i="2"/>
  <c r="D4971" i="2"/>
  <c r="D4972" i="2"/>
  <c r="D4973" i="2"/>
  <c r="D4974" i="2"/>
  <c r="D4975" i="2"/>
  <c r="D4976" i="2"/>
  <c r="D4977" i="2"/>
  <c r="D4978" i="2"/>
  <c r="D4979" i="2"/>
  <c r="D4980" i="2"/>
  <c r="D4981" i="2"/>
  <c r="D4982" i="2"/>
  <c r="D4983" i="2"/>
  <c r="D4984" i="2"/>
  <c r="D4985" i="2"/>
  <c r="D4986" i="2"/>
  <c r="D4987" i="2"/>
  <c r="D4988" i="2"/>
  <c r="D4989" i="2"/>
  <c r="D4990" i="2"/>
  <c r="D4991" i="2"/>
  <c r="D4992" i="2"/>
  <c r="D4993" i="2"/>
  <c r="D4994" i="2"/>
  <c r="D4995" i="2"/>
  <c r="D4996" i="2"/>
  <c r="D4997" i="2"/>
  <c r="D4998" i="2"/>
  <c r="D4999" i="2"/>
  <c r="D5000" i="2"/>
  <c r="D5001" i="2"/>
  <c r="D5002" i="2"/>
  <c r="D5003" i="2"/>
  <c r="D5004" i="2"/>
  <c r="D5005" i="2"/>
  <c r="D5006" i="2"/>
  <c r="D5007" i="2"/>
  <c r="D5008" i="2"/>
  <c r="D5009" i="2"/>
  <c r="D5010" i="2"/>
  <c r="D5011" i="2"/>
  <c r="D5012" i="2"/>
  <c r="D5013" i="2"/>
  <c r="D5014" i="2"/>
  <c r="D5015" i="2"/>
  <c r="D5016" i="2"/>
  <c r="D5017" i="2"/>
  <c r="D5018" i="2"/>
  <c r="D5019" i="2"/>
  <c r="D5020" i="2"/>
  <c r="D5021" i="2"/>
  <c r="D5022" i="2"/>
  <c r="D5023" i="2"/>
  <c r="D5024" i="2"/>
  <c r="D5025" i="2"/>
  <c r="D5026" i="2"/>
  <c r="D5027" i="2"/>
  <c r="D5028" i="2"/>
  <c r="D5029" i="2"/>
  <c r="D5030" i="2"/>
  <c r="D5031" i="2"/>
  <c r="D5032" i="2"/>
  <c r="D5033" i="2"/>
  <c r="D5034" i="2"/>
  <c r="D5035" i="2"/>
  <c r="D5036" i="2"/>
  <c r="D5037" i="2"/>
  <c r="D5038" i="2"/>
  <c r="D5039" i="2"/>
  <c r="D5040" i="2"/>
  <c r="D5041" i="2"/>
  <c r="D5042" i="2"/>
  <c r="D5043" i="2"/>
  <c r="D5044" i="2"/>
  <c r="D5045" i="2"/>
  <c r="D5046" i="2"/>
  <c r="D5047" i="2"/>
  <c r="D5048" i="2"/>
  <c r="D5049" i="2"/>
  <c r="D5050" i="2"/>
  <c r="D5051" i="2"/>
  <c r="D5052" i="2"/>
  <c r="D5053" i="2"/>
  <c r="D5054" i="2"/>
  <c r="D5055" i="2"/>
  <c r="D5056" i="2"/>
  <c r="D5057" i="2"/>
  <c r="D5058" i="2"/>
  <c r="D5059" i="2"/>
  <c r="D5060" i="2"/>
  <c r="D5061" i="2"/>
  <c r="D5062" i="2"/>
  <c r="D5063" i="2"/>
  <c r="D5064" i="2"/>
  <c r="D5065" i="2"/>
  <c r="D5066" i="2"/>
  <c r="D5067" i="2"/>
  <c r="D5068" i="2"/>
  <c r="D5069" i="2"/>
  <c r="D5070" i="2"/>
  <c r="D5071" i="2"/>
  <c r="D5072" i="2"/>
  <c r="D5073" i="2"/>
  <c r="D5074" i="2"/>
  <c r="D5075" i="2"/>
  <c r="D5076" i="2"/>
  <c r="D5077" i="2"/>
  <c r="D5078" i="2"/>
  <c r="D5079" i="2"/>
  <c r="D5080" i="2"/>
  <c r="D5081" i="2"/>
  <c r="D5082" i="2"/>
  <c r="D5083" i="2"/>
  <c r="D5084" i="2"/>
  <c r="D5085" i="2"/>
  <c r="D5086" i="2"/>
  <c r="D5087" i="2"/>
  <c r="D5088" i="2"/>
  <c r="D5089" i="2"/>
  <c r="D5090" i="2"/>
  <c r="D5091" i="2"/>
  <c r="D5092" i="2"/>
  <c r="D5093" i="2"/>
  <c r="D5094" i="2"/>
  <c r="D5095" i="2"/>
  <c r="D5096" i="2"/>
  <c r="D5097" i="2"/>
  <c r="D5098" i="2"/>
  <c r="D5099" i="2"/>
  <c r="D5100" i="2"/>
  <c r="D5101" i="2"/>
  <c r="D5102" i="2"/>
  <c r="D5103" i="2"/>
  <c r="D5104" i="2"/>
  <c r="D5105" i="2"/>
  <c r="D5106" i="2"/>
  <c r="D5107" i="2"/>
  <c r="D5108" i="2"/>
  <c r="D5109" i="2"/>
  <c r="D5110" i="2"/>
  <c r="D5111" i="2"/>
  <c r="D5112" i="2"/>
  <c r="D5113" i="2"/>
  <c r="D5114" i="2"/>
  <c r="D5115" i="2"/>
  <c r="D5116" i="2"/>
  <c r="D5117" i="2"/>
  <c r="D5118" i="2"/>
  <c r="D5119" i="2"/>
  <c r="D5120" i="2"/>
  <c r="D5121" i="2"/>
  <c r="D5122" i="2"/>
  <c r="D5123" i="2"/>
  <c r="D5124" i="2"/>
  <c r="D5125" i="2"/>
  <c r="D5126" i="2"/>
  <c r="D5127" i="2"/>
  <c r="D5128" i="2"/>
  <c r="D5129" i="2"/>
  <c r="D5130" i="2"/>
  <c r="D5131" i="2"/>
  <c r="D5132" i="2"/>
  <c r="D5133" i="2"/>
  <c r="D5134" i="2"/>
  <c r="D5135" i="2"/>
  <c r="D5136" i="2"/>
  <c r="D5137" i="2"/>
  <c r="D5138" i="2"/>
  <c r="D5139" i="2"/>
  <c r="D5140" i="2"/>
  <c r="D5141" i="2"/>
  <c r="D5142" i="2"/>
  <c r="D5143" i="2"/>
  <c r="D5144" i="2"/>
  <c r="D5145" i="2"/>
  <c r="D5146" i="2"/>
  <c r="D5147" i="2"/>
  <c r="D5148" i="2"/>
  <c r="D5149" i="2"/>
  <c r="D5150" i="2"/>
  <c r="D5151" i="2"/>
  <c r="D5152" i="2"/>
  <c r="D5153" i="2"/>
  <c r="D5154" i="2"/>
  <c r="D5155" i="2"/>
  <c r="D5156" i="2"/>
  <c r="D5157" i="2"/>
  <c r="D5158" i="2"/>
  <c r="D5159" i="2"/>
  <c r="D5160" i="2"/>
  <c r="D5161" i="2"/>
  <c r="D5162" i="2"/>
  <c r="D5163" i="2"/>
  <c r="D5164" i="2"/>
  <c r="D5165" i="2"/>
  <c r="D5166" i="2"/>
  <c r="D5167" i="2"/>
  <c r="D5168" i="2"/>
  <c r="D5169" i="2"/>
  <c r="D5170" i="2"/>
  <c r="D5171" i="2"/>
  <c r="D5172" i="2"/>
  <c r="D5173" i="2"/>
  <c r="D5174" i="2"/>
  <c r="D5175" i="2"/>
  <c r="D5176" i="2"/>
  <c r="D5177" i="2"/>
  <c r="D5178" i="2"/>
  <c r="D5179" i="2"/>
  <c r="D5180" i="2"/>
  <c r="D5181" i="2"/>
  <c r="D5182" i="2"/>
  <c r="D5183" i="2"/>
  <c r="D5184" i="2"/>
  <c r="D5185" i="2"/>
  <c r="D5186" i="2"/>
  <c r="D5187" i="2"/>
  <c r="D5188" i="2"/>
  <c r="D5189" i="2"/>
  <c r="D5190" i="2"/>
  <c r="D5191" i="2"/>
  <c r="D5192" i="2"/>
  <c r="D5193" i="2"/>
  <c r="D5194" i="2"/>
  <c r="D5195" i="2"/>
  <c r="D5196" i="2"/>
  <c r="D5197" i="2"/>
  <c r="D5198" i="2"/>
  <c r="D5199" i="2"/>
  <c r="D5200" i="2"/>
  <c r="D5201" i="2"/>
  <c r="D5202" i="2"/>
  <c r="D5203" i="2"/>
  <c r="D5204" i="2"/>
  <c r="D5205" i="2"/>
  <c r="D5206" i="2"/>
  <c r="D5207" i="2"/>
  <c r="D5208" i="2"/>
  <c r="D5209" i="2"/>
  <c r="D5210" i="2"/>
  <c r="D5211" i="2"/>
  <c r="D5212" i="2"/>
  <c r="D5213" i="2"/>
  <c r="D5214" i="2"/>
  <c r="D5215" i="2"/>
  <c r="D5216" i="2"/>
  <c r="D5217" i="2"/>
  <c r="D5218" i="2"/>
  <c r="D5219" i="2"/>
  <c r="D5220" i="2"/>
  <c r="D5221" i="2"/>
  <c r="D5222" i="2"/>
  <c r="D5223" i="2"/>
  <c r="D5224" i="2"/>
  <c r="D5225" i="2"/>
  <c r="D5226" i="2"/>
  <c r="D5227" i="2"/>
  <c r="D5228" i="2"/>
  <c r="D5229" i="2"/>
  <c r="D5230" i="2"/>
  <c r="D5231" i="2"/>
  <c r="D5232" i="2"/>
  <c r="D5233" i="2"/>
  <c r="D5234" i="2"/>
  <c r="D5235" i="2"/>
  <c r="D5236" i="2"/>
  <c r="D5237" i="2"/>
  <c r="D5238" i="2"/>
  <c r="D5239" i="2"/>
  <c r="D5240" i="2"/>
  <c r="D5241" i="2"/>
  <c r="D5242" i="2"/>
  <c r="D5243" i="2"/>
  <c r="D5244" i="2"/>
  <c r="D5245" i="2"/>
  <c r="D5246" i="2"/>
  <c r="D5247" i="2"/>
  <c r="D5248" i="2"/>
  <c r="D5249" i="2"/>
  <c r="D5250" i="2"/>
  <c r="D5251" i="2"/>
  <c r="D5252" i="2"/>
  <c r="D5253" i="2"/>
  <c r="D5254" i="2"/>
  <c r="D5255" i="2"/>
  <c r="D5256" i="2"/>
  <c r="D5257" i="2"/>
  <c r="D5258" i="2"/>
  <c r="D5259" i="2"/>
  <c r="D5260" i="2"/>
  <c r="D5261" i="2"/>
  <c r="D5262" i="2"/>
  <c r="D5263" i="2"/>
  <c r="D5264" i="2"/>
  <c r="D5265" i="2"/>
  <c r="D5266" i="2"/>
  <c r="D5267" i="2"/>
  <c r="D5268" i="2"/>
  <c r="D5269" i="2"/>
  <c r="D5270" i="2"/>
  <c r="D5271" i="2"/>
  <c r="D5272" i="2"/>
  <c r="D5273" i="2"/>
  <c r="D5274" i="2"/>
  <c r="D5275" i="2"/>
  <c r="D5276" i="2"/>
  <c r="D5277" i="2"/>
  <c r="D5278" i="2"/>
  <c r="D5279" i="2"/>
  <c r="D5280" i="2"/>
  <c r="D5281" i="2"/>
  <c r="D5282" i="2"/>
  <c r="D5283" i="2"/>
  <c r="D5284" i="2"/>
  <c r="D5285" i="2"/>
  <c r="D5286" i="2"/>
  <c r="D5287" i="2"/>
  <c r="D5288" i="2"/>
  <c r="D5289" i="2"/>
  <c r="D5290" i="2"/>
  <c r="D5291" i="2"/>
  <c r="D5292" i="2"/>
  <c r="D5293" i="2"/>
  <c r="D5294" i="2"/>
  <c r="D5295" i="2"/>
  <c r="D5296" i="2"/>
  <c r="D5297" i="2"/>
  <c r="D5298" i="2"/>
  <c r="D5299" i="2"/>
  <c r="D5300" i="2"/>
  <c r="D5301" i="2"/>
  <c r="D5302" i="2"/>
  <c r="D5303" i="2"/>
  <c r="D5304" i="2"/>
  <c r="D5305" i="2"/>
  <c r="D5306" i="2"/>
  <c r="D5307" i="2"/>
  <c r="D5308" i="2"/>
  <c r="D5309" i="2"/>
  <c r="D5310" i="2"/>
  <c r="D5311" i="2"/>
  <c r="D5312" i="2"/>
  <c r="D5313" i="2"/>
  <c r="D5314" i="2"/>
  <c r="D5315" i="2"/>
  <c r="D5316" i="2"/>
  <c r="D5317" i="2"/>
  <c r="D5318" i="2"/>
  <c r="D5319" i="2"/>
  <c r="D5320" i="2"/>
  <c r="D5321" i="2"/>
  <c r="D5322" i="2"/>
  <c r="D5323" i="2"/>
  <c r="D5324" i="2"/>
  <c r="D5325" i="2"/>
  <c r="D5326" i="2"/>
  <c r="D5327" i="2"/>
  <c r="D5328" i="2"/>
  <c r="D5329" i="2"/>
  <c r="D5330" i="2"/>
  <c r="D5331" i="2"/>
  <c r="D5332" i="2"/>
  <c r="D5333" i="2"/>
  <c r="D5334" i="2"/>
  <c r="D5335" i="2"/>
  <c r="D5336" i="2"/>
  <c r="D5337" i="2"/>
  <c r="D5338" i="2"/>
  <c r="D5339" i="2"/>
  <c r="D5340" i="2"/>
  <c r="D5341" i="2"/>
  <c r="D5342" i="2"/>
  <c r="D5343" i="2"/>
  <c r="D5344" i="2"/>
  <c r="D5345" i="2"/>
  <c r="D5346" i="2"/>
  <c r="D5347" i="2"/>
  <c r="D5348" i="2"/>
  <c r="D5349" i="2"/>
  <c r="D5350" i="2"/>
  <c r="D5351" i="2"/>
  <c r="D5352" i="2"/>
  <c r="D5353" i="2"/>
  <c r="D5354" i="2"/>
  <c r="D5355" i="2"/>
  <c r="D5356" i="2"/>
  <c r="D5357" i="2"/>
  <c r="D5358" i="2"/>
  <c r="D5359" i="2"/>
  <c r="D5360" i="2"/>
  <c r="D5361" i="2"/>
  <c r="D5362" i="2"/>
  <c r="D5363" i="2"/>
  <c r="D5364" i="2"/>
  <c r="D5365" i="2"/>
  <c r="D5366" i="2"/>
  <c r="D5367" i="2"/>
  <c r="D5368" i="2"/>
  <c r="D5369" i="2"/>
  <c r="D5370" i="2"/>
  <c r="D5371" i="2"/>
  <c r="D5372" i="2"/>
  <c r="D5373" i="2"/>
  <c r="D5374" i="2"/>
  <c r="D5375" i="2"/>
  <c r="D5376" i="2"/>
  <c r="D5377" i="2"/>
  <c r="D5378" i="2"/>
  <c r="D5379" i="2"/>
  <c r="D5380" i="2"/>
  <c r="D5381" i="2"/>
  <c r="D5382" i="2"/>
  <c r="D5383" i="2"/>
  <c r="D5384" i="2"/>
  <c r="D5385" i="2"/>
  <c r="D5386" i="2"/>
  <c r="D5387" i="2"/>
  <c r="D5388" i="2"/>
  <c r="D5389" i="2"/>
  <c r="D5390" i="2"/>
  <c r="D5391" i="2"/>
  <c r="D5392" i="2"/>
  <c r="D5393" i="2"/>
  <c r="D5394" i="2"/>
  <c r="D5395" i="2"/>
  <c r="D5396" i="2"/>
  <c r="D5397" i="2"/>
  <c r="D5398" i="2"/>
  <c r="D5399" i="2"/>
  <c r="D5400" i="2"/>
  <c r="D5401" i="2"/>
  <c r="D5402" i="2"/>
  <c r="D5403" i="2"/>
  <c r="D5404" i="2"/>
  <c r="D5405" i="2"/>
  <c r="D5406" i="2"/>
  <c r="D5407" i="2"/>
  <c r="D5408" i="2"/>
  <c r="D5409" i="2"/>
  <c r="D5410" i="2"/>
  <c r="D5411" i="2"/>
  <c r="D5412" i="2"/>
  <c r="D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  <c r="M1002" i="2"/>
  <c r="M1003" i="2"/>
  <c r="M1004" i="2"/>
  <c r="M1005" i="2"/>
  <c r="M1006" i="2"/>
  <c r="M1007" i="2"/>
  <c r="M1008" i="2"/>
  <c r="M1009" i="2"/>
  <c r="M1010" i="2"/>
  <c r="M1011" i="2"/>
  <c r="M1012" i="2"/>
  <c r="M1013" i="2"/>
  <c r="M1014" i="2"/>
  <c r="M1015" i="2"/>
  <c r="M1016" i="2"/>
  <c r="M1017" i="2"/>
  <c r="M1018" i="2"/>
  <c r="M1019" i="2"/>
  <c r="M1020" i="2"/>
  <c r="M1021" i="2"/>
  <c r="M1022" i="2"/>
  <c r="M1023" i="2"/>
  <c r="M1024" i="2"/>
  <c r="M1025" i="2"/>
  <c r="M1026" i="2"/>
  <c r="M1027" i="2"/>
  <c r="M1028" i="2"/>
  <c r="M1029" i="2"/>
  <c r="M1030" i="2"/>
  <c r="M1031" i="2"/>
  <c r="M1032" i="2"/>
  <c r="M1033" i="2"/>
  <c r="M1034" i="2"/>
  <c r="M1035" i="2"/>
  <c r="M1036" i="2"/>
  <c r="M1037" i="2"/>
  <c r="M1038" i="2"/>
  <c r="M1039" i="2"/>
  <c r="M1040" i="2"/>
  <c r="M1041" i="2"/>
  <c r="M1042" i="2"/>
  <c r="M1043" i="2"/>
  <c r="M1044" i="2"/>
  <c r="M1045" i="2"/>
  <c r="M1046" i="2"/>
  <c r="M1047" i="2"/>
  <c r="M1048" i="2"/>
  <c r="M1049" i="2"/>
  <c r="M1050" i="2"/>
  <c r="M1051" i="2"/>
  <c r="M1052" i="2"/>
  <c r="M1053" i="2"/>
  <c r="M1054" i="2"/>
  <c r="M1055" i="2"/>
  <c r="M1056" i="2"/>
  <c r="M1057" i="2"/>
  <c r="M1058" i="2"/>
  <c r="M1059" i="2"/>
  <c r="M1060" i="2"/>
  <c r="M1061" i="2"/>
  <c r="M1062" i="2"/>
  <c r="M1063" i="2"/>
  <c r="M1064" i="2"/>
  <c r="M1065" i="2"/>
  <c r="M1066" i="2"/>
  <c r="M1067" i="2"/>
  <c r="M1068" i="2"/>
  <c r="M1069" i="2"/>
  <c r="M1070" i="2"/>
  <c r="M1071" i="2"/>
  <c r="M1072" i="2"/>
  <c r="M1073" i="2"/>
  <c r="M1074" i="2"/>
  <c r="M1075" i="2"/>
  <c r="M1076" i="2"/>
  <c r="M1077" i="2"/>
  <c r="M1078" i="2"/>
  <c r="M1079" i="2"/>
  <c r="M1080" i="2"/>
  <c r="M1081" i="2"/>
  <c r="M1082" i="2"/>
  <c r="M1083" i="2"/>
  <c r="M1084" i="2"/>
  <c r="M1085" i="2"/>
  <c r="M1086" i="2"/>
  <c r="M1087" i="2"/>
  <c r="M1088" i="2"/>
  <c r="M1089" i="2"/>
  <c r="M1090" i="2"/>
  <c r="M1091" i="2"/>
  <c r="M1092" i="2"/>
  <c r="M1093" i="2"/>
  <c r="M1094" i="2"/>
  <c r="M1095" i="2"/>
  <c r="M1096" i="2"/>
  <c r="M1097" i="2"/>
  <c r="M1098" i="2"/>
  <c r="M1099" i="2"/>
  <c r="M1100" i="2"/>
  <c r="M1101" i="2"/>
  <c r="M1102" i="2"/>
  <c r="M1103" i="2"/>
  <c r="M1104" i="2"/>
  <c r="M1105" i="2"/>
  <c r="M1106" i="2"/>
  <c r="M1107" i="2"/>
  <c r="M1108" i="2"/>
  <c r="M1109" i="2"/>
  <c r="M1110" i="2"/>
  <c r="M1111" i="2"/>
  <c r="M1112" i="2"/>
  <c r="M1113" i="2"/>
  <c r="M1114" i="2"/>
  <c r="M1115" i="2"/>
  <c r="M1116" i="2"/>
  <c r="M1117" i="2"/>
  <c r="M1118" i="2"/>
  <c r="M1119" i="2"/>
  <c r="M1120" i="2"/>
  <c r="M1121" i="2"/>
  <c r="M1122" i="2"/>
  <c r="M1123" i="2"/>
  <c r="M1124" i="2"/>
  <c r="M1125" i="2"/>
  <c r="M1126" i="2"/>
  <c r="M1127" i="2"/>
  <c r="M1128" i="2"/>
  <c r="M1129" i="2"/>
  <c r="M1130" i="2"/>
  <c r="M1131" i="2"/>
  <c r="M1132" i="2"/>
  <c r="M1133" i="2"/>
  <c r="M1134" i="2"/>
  <c r="M1135" i="2"/>
  <c r="M1136" i="2"/>
  <c r="M1137" i="2"/>
  <c r="M1138" i="2"/>
  <c r="M1139" i="2"/>
  <c r="M1140" i="2"/>
  <c r="M1141" i="2"/>
  <c r="M1142" i="2"/>
  <c r="M1143" i="2"/>
  <c r="M1144" i="2"/>
  <c r="M1145" i="2"/>
  <c r="M1146" i="2"/>
  <c r="M1147" i="2"/>
  <c r="M1148" i="2"/>
  <c r="M1149" i="2"/>
  <c r="M1150" i="2"/>
  <c r="M1151" i="2"/>
  <c r="M1152" i="2"/>
  <c r="M1153" i="2"/>
  <c r="M1154" i="2"/>
  <c r="M1155" i="2"/>
  <c r="M1156" i="2"/>
  <c r="M1157" i="2"/>
  <c r="M1158" i="2"/>
  <c r="M1159" i="2"/>
  <c r="M1160" i="2"/>
  <c r="M1161" i="2"/>
  <c r="M1162" i="2"/>
  <c r="M1163" i="2"/>
  <c r="M1164" i="2"/>
  <c r="M1165" i="2"/>
  <c r="M1166" i="2"/>
  <c r="M1167" i="2"/>
  <c r="M1168" i="2"/>
  <c r="M1169" i="2"/>
  <c r="M1170" i="2"/>
  <c r="M1171" i="2"/>
  <c r="M1172" i="2"/>
  <c r="M1173" i="2"/>
  <c r="M1174" i="2"/>
  <c r="M1175" i="2"/>
  <c r="M1176" i="2"/>
  <c r="M1177" i="2"/>
  <c r="M1178" i="2"/>
  <c r="M1179" i="2"/>
  <c r="M1180" i="2"/>
  <c r="M1181" i="2"/>
  <c r="M1182" i="2"/>
  <c r="M1183" i="2"/>
  <c r="M1184" i="2"/>
  <c r="M1185" i="2"/>
  <c r="M1186" i="2"/>
  <c r="M1187" i="2"/>
  <c r="M1188" i="2"/>
  <c r="M1189" i="2"/>
  <c r="M1190" i="2"/>
  <c r="M1191" i="2"/>
  <c r="M1192" i="2"/>
  <c r="M1193" i="2"/>
  <c r="M1194" i="2"/>
  <c r="M1195" i="2"/>
  <c r="M1196" i="2"/>
  <c r="M1197" i="2"/>
  <c r="M1198" i="2"/>
  <c r="M1199" i="2"/>
  <c r="M1200" i="2"/>
  <c r="M1201" i="2"/>
  <c r="M1202" i="2"/>
  <c r="M1203" i="2"/>
  <c r="M1204" i="2"/>
  <c r="M1205" i="2"/>
  <c r="M1206" i="2"/>
  <c r="M1207" i="2"/>
  <c r="M1208" i="2"/>
  <c r="M1209" i="2"/>
  <c r="M1210" i="2"/>
  <c r="M1211" i="2"/>
  <c r="M1212" i="2"/>
  <c r="M1213" i="2"/>
  <c r="M1214" i="2"/>
  <c r="M1215" i="2"/>
  <c r="M1216" i="2"/>
  <c r="M1217" i="2"/>
  <c r="M1218" i="2"/>
  <c r="M1219" i="2"/>
  <c r="M1220" i="2"/>
  <c r="M1221" i="2"/>
  <c r="M1222" i="2"/>
  <c r="M1223" i="2"/>
  <c r="M1224" i="2"/>
  <c r="M1225" i="2"/>
  <c r="M1226" i="2"/>
  <c r="M1227" i="2"/>
  <c r="M1228" i="2"/>
  <c r="M1229" i="2"/>
  <c r="M1230" i="2"/>
  <c r="M1231" i="2"/>
  <c r="M1232" i="2"/>
  <c r="M1233" i="2"/>
  <c r="M1234" i="2"/>
  <c r="M1235" i="2"/>
  <c r="M1236" i="2"/>
  <c r="M1237" i="2"/>
  <c r="M1238" i="2"/>
  <c r="M1239" i="2"/>
  <c r="M1240" i="2"/>
  <c r="M1241" i="2"/>
  <c r="M1242" i="2"/>
  <c r="M1243" i="2"/>
  <c r="M1244" i="2"/>
  <c r="M1245" i="2"/>
  <c r="M1246" i="2"/>
  <c r="M1247" i="2"/>
  <c r="M1248" i="2"/>
  <c r="M1249" i="2"/>
  <c r="M1250" i="2"/>
  <c r="M1251" i="2"/>
  <c r="M1252" i="2"/>
  <c r="M1253" i="2"/>
  <c r="M1254" i="2"/>
  <c r="M1255" i="2"/>
  <c r="M1256" i="2"/>
  <c r="M1257" i="2"/>
  <c r="M1258" i="2"/>
  <c r="M1259" i="2"/>
  <c r="M1260" i="2"/>
  <c r="M1261" i="2"/>
  <c r="M1262" i="2"/>
  <c r="M1263" i="2"/>
  <c r="M1264" i="2"/>
  <c r="M1265" i="2"/>
  <c r="M1266" i="2"/>
  <c r="M1267" i="2"/>
  <c r="M1268" i="2"/>
  <c r="M1269" i="2"/>
  <c r="M1270" i="2"/>
  <c r="M1271" i="2"/>
  <c r="M1272" i="2"/>
  <c r="M1273" i="2"/>
  <c r="M1274" i="2"/>
  <c r="M1275" i="2"/>
  <c r="M1276" i="2"/>
  <c r="M1277" i="2"/>
  <c r="M1278" i="2"/>
  <c r="M1279" i="2"/>
  <c r="M1280" i="2"/>
  <c r="M1281" i="2"/>
  <c r="M1282" i="2"/>
  <c r="M1283" i="2"/>
  <c r="M1284" i="2"/>
  <c r="M1285" i="2"/>
  <c r="M1286" i="2"/>
  <c r="M1287" i="2"/>
  <c r="M1288" i="2"/>
  <c r="M1289" i="2"/>
  <c r="M1290" i="2"/>
  <c r="M1291" i="2"/>
  <c r="M1292" i="2"/>
  <c r="M1293" i="2"/>
  <c r="M1294" i="2"/>
  <c r="M1295" i="2"/>
  <c r="M1296" i="2"/>
  <c r="M1297" i="2"/>
  <c r="M1298" i="2"/>
  <c r="M1299" i="2"/>
  <c r="M1300" i="2"/>
  <c r="M1301" i="2"/>
  <c r="M1302" i="2"/>
  <c r="M1303" i="2"/>
  <c r="M1304" i="2"/>
  <c r="M1305" i="2"/>
  <c r="M1306" i="2"/>
  <c r="M1307" i="2"/>
  <c r="M1308" i="2"/>
  <c r="M1309" i="2"/>
  <c r="M1310" i="2"/>
  <c r="M1311" i="2"/>
  <c r="M1312" i="2"/>
  <c r="M1313" i="2"/>
  <c r="M1314" i="2"/>
  <c r="M1315" i="2"/>
  <c r="M1316" i="2"/>
  <c r="M1317" i="2"/>
  <c r="M1318" i="2"/>
  <c r="M1319" i="2"/>
  <c r="M1320" i="2"/>
  <c r="M1321" i="2"/>
  <c r="M1322" i="2"/>
  <c r="M1323" i="2"/>
  <c r="M1324" i="2"/>
  <c r="M1325" i="2"/>
  <c r="M1326" i="2"/>
  <c r="M1327" i="2"/>
  <c r="M1328" i="2"/>
  <c r="M1329" i="2"/>
  <c r="M1330" i="2"/>
  <c r="M1331" i="2"/>
  <c r="M1332" i="2"/>
  <c r="M1333" i="2"/>
  <c r="M1334" i="2"/>
  <c r="M1335" i="2"/>
  <c r="M1336" i="2"/>
  <c r="M1337" i="2"/>
  <c r="M1338" i="2"/>
  <c r="M1339" i="2"/>
  <c r="M1340" i="2"/>
  <c r="M1341" i="2"/>
  <c r="M1342" i="2"/>
  <c r="M1343" i="2"/>
  <c r="M1344" i="2"/>
  <c r="M1345" i="2"/>
  <c r="M1346" i="2"/>
  <c r="M1347" i="2"/>
  <c r="M1348" i="2"/>
  <c r="M1349" i="2"/>
  <c r="M1350" i="2"/>
  <c r="M1351" i="2"/>
  <c r="M1352" i="2"/>
  <c r="M1353" i="2"/>
  <c r="M1354" i="2"/>
  <c r="M1355" i="2"/>
  <c r="M1356" i="2"/>
  <c r="M1357" i="2"/>
  <c r="M1358" i="2"/>
  <c r="M1359" i="2"/>
  <c r="M1360" i="2"/>
  <c r="M1361" i="2"/>
  <c r="M1362" i="2"/>
  <c r="M1363" i="2"/>
  <c r="M1364" i="2"/>
  <c r="M1365" i="2"/>
  <c r="M1366" i="2"/>
  <c r="M1367" i="2"/>
  <c r="M1368" i="2"/>
  <c r="M1369" i="2"/>
  <c r="M1370" i="2"/>
  <c r="M1371" i="2"/>
  <c r="M1372" i="2"/>
  <c r="M1373" i="2"/>
  <c r="M1374" i="2"/>
  <c r="M1375" i="2"/>
  <c r="M1376" i="2"/>
  <c r="M1377" i="2"/>
  <c r="M1378" i="2"/>
  <c r="M1379" i="2"/>
  <c r="M1380" i="2"/>
  <c r="M1381" i="2"/>
  <c r="M1382" i="2"/>
  <c r="M1383" i="2"/>
  <c r="M1384" i="2"/>
  <c r="M1385" i="2"/>
  <c r="M1386" i="2"/>
  <c r="M1387" i="2"/>
  <c r="M1388" i="2"/>
  <c r="M1389" i="2"/>
  <c r="M1390" i="2"/>
  <c r="M1391" i="2"/>
  <c r="M1392" i="2"/>
  <c r="M1393" i="2"/>
  <c r="M1394" i="2"/>
  <c r="M1395" i="2"/>
  <c r="M1396" i="2"/>
  <c r="M1397" i="2"/>
  <c r="M1398" i="2"/>
  <c r="M1399" i="2"/>
  <c r="M1400" i="2"/>
  <c r="M1401" i="2"/>
  <c r="M1402" i="2"/>
  <c r="M1403" i="2"/>
  <c r="M1404" i="2"/>
  <c r="M1405" i="2"/>
  <c r="M1406" i="2"/>
  <c r="M1407" i="2"/>
  <c r="M1408" i="2"/>
  <c r="M1409" i="2"/>
  <c r="M1410" i="2"/>
  <c r="M1411" i="2"/>
  <c r="M1412" i="2"/>
  <c r="M1413" i="2"/>
  <c r="M1414" i="2"/>
  <c r="M1415" i="2"/>
  <c r="M1416" i="2"/>
  <c r="M1417" i="2"/>
  <c r="M1418" i="2"/>
  <c r="M1419" i="2"/>
  <c r="M1420" i="2"/>
  <c r="M1421" i="2"/>
  <c r="M1422" i="2"/>
  <c r="M1423" i="2"/>
  <c r="M1424" i="2"/>
  <c r="M1425" i="2"/>
  <c r="M1426" i="2"/>
  <c r="M1427" i="2"/>
  <c r="M1428" i="2"/>
  <c r="M1429" i="2"/>
  <c r="M1430" i="2"/>
  <c r="M1431" i="2"/>
  <c r="M1432" i="2"/>
  <c r="M1433" i="2"/>
  <c r="M1434" i="2"/>
  <c r="M1435" i="2"/>
  <c r="M1436" i="2"/>
  <c r="M1437" i="2"/>
  <c r="M1438" i="2"/>
  <c r="M1439" i="2"/>
  <c r="M1440" i="2"/>
  <c r="M1441" i="2"/>
  <c r="M1442" i="2"/>
  <c r="M1443" i="2"/>
  <c r="M1444" i="2"/>
  <c r="M1445" i="2"/>
  <c r="M1446" i="2"/>
  <c r="M1447" i="2"/>
  <c r="M1448" i="2"/>
  <c r="M1449" i="2"/>
  <c r="M1450" i="2"/>
  <c r="M1451" i="2"/>
  <c r="M1452" i="2"/>
  <c r="M1453" i="2"/>
  <c r="M1454" i="2"/>
  <c r="M1455" i="2"/>
  <c r="M1456" i="2"/>
  <c r="M1457" i="2"/>
  <c r="M1458" i="2"/>
  <c r="M1459" i="2"/>
  <c r="M1460" i="2"/>
  <c r="M1461" i="2"/>
  <c r="M1462" i="2"/>
  <c r="M1463" i="2"/>
  <c r="M1464" i="2"/>
  <c r="M1465" i="2"/>
  <c r="M1466" i="2"/>
  <c r="M1467" i="2"/>
  <c r="M1468" i="2"/>
  <c r="M1469" i="2"/>
  <c r="M1470" i="2"/>
  <c r="M1471" i="2"/>
  <c r="M1472" i="2"/>
  <c r="M1473" i="2"/>
  <c r="M1474" i="2"/>
  <c r="M1475" i="2"/>
  <c r="M1476" i="2"/>
  <c r="M1477" i="2"/>
  <c r="M1478" i="2"/>
  <c r="M1479" i="2"/>
  <c r="M1480" i="2"/>
  <c r="M1481" i="2"/>
  <c r="M1482" i="2"/>
  <c r="M1483" i="2"/>
  <c r="M1484" i="2"/>
  <c r="M1485" i="2"/>
  <c r="M1486" i="2"/>
  <c r="M1487" i="2"/>
  <c r="M1488" i="2"/>
  <c r="M1489" i="2"/>
  <c r="M1490" i="2"/>
  <c r="M1491" i="2"/>
  <c r="M1492" i="2"/>
  <c r="M1493" i="2"/>
  <c r="M1494" i="2"/>
  <c r="M1495" i="2"/>
  <c r="M1496" i="2"/>
  <c r="M1497" i="2"/>
  <c r="M1498" i="2"/>
  <c r="M1499" i="2"/>
  <c r="M1500" i="2"/>
  <c r="M1501" i="2"/>
  <c r="M1502" i="2"/>
  <c r="M1503" i="2"/>
  <c r="M1504" i="2"/>
  <c r="M1505" i="2"/>
  <c r="M1506" i="2"/>
  <c r="M1507" i="2"/>
  <c r="M1508" i="2"/>
  <c r="M1509" i="2"/>
  <c r="M1510" i="2"/>
  <c r="M1511" i="2"/>
  <c r="M1512" i="2"/>
  <c r="M1513" i="2"/>
  <c r="M1514" i="2"/>
  <c r="M1515" i="2"/>
  <c r="M1516" i="2"/>
  <c r="M1517" i="2"/>
  <c r="M1518" i="2"/>
  <c r="M1519" i="2"/>
  <c r="M1520" i="2"/>
  <c r="M1521" i="2"/>
  <c r="M1522" i="2"/>
  <c r="M1523" i="2"/>
  <c r="M1524" i="2"/>
  <c r="M1525" i="2"/>
  <c r="M1526" i="2"/>
  <c r="M1527" i="2"/>
  <c r="M1528" i="2"/>
  <c r="M1529" i="2"/>
  <c r="M1530" i="2"/>
  <c r="M1531" i="2"/>
  <c r="M1532" i="2"/>
  <c r="M1533" i="2"/>
  <c r="M1534" i="2"/>
  <c r="M1535" i="2"/>
  <c r="M1536" i="2"/>
  <c r="M1537" i="2"/>
  <c r="M1538" i="2"/>
  <c r="M1539" i="2"/>
  <c r="M1540" i="2"/>
  <c r="M1541" i="2"/>
  <c r="M1542" i="2"/>
  <c r="M1543" i="2"/>
  <c r="M1544" i="2"/>
  <c r="M1545" i="2"/>
  <c r="M1546" i="2"/>
  <c r="M1547" i="2"/>
  <c r="M1548" i="2"/>
  <c r="M1549" i="2"/>
  <c r="M1550" i="2"/>
  <c r="M1551" i="2"/>
  <c r="M1552" i="2"/>
  <c r="M1553" i="2"/>
  <c r="M1554" i="2"/>
  <c r="M1555" i="2"/>
  <c r="M1556" i="2"/>
  <c r="M1557" i="2"/>
  <c r="M1558" i="2"/>
  <c r="M1559" i="2"/>
  <c r="M1560" i="2"/>
  <c r="M1561" i="2"/>
  <c r="M1562" i="2"/>
  <c r="M1563" i="2"/>
  <c r="M1564" i="2"/>
  <c r="M1565" i="2"/>
  <c r="M1566" i="2"/>
  <c r="M1567" i="2"/>
  <c r="M1568" i="2"/>
  <c r="M1569" i="2"/>
  <c r="M1570" i="2"/>
  <c r="M1571" i="2"/>
  <c r="M1572" i="2"/>
  <c r="M1573" i="2"/>
  <c r="M1574" i="2"/>
  <c r="M1575" i="2"/>
  <c r="M1576" i="2"/>
  <c r="M1577" i="2"/>
  <c r="M1578" i="2"/>
  <c r="M1579" i="2"/>
  <c r="M1580" i="2"/>
  <c r="M1581" i="2"/>
  <c r="M1582" i="2"/>
  <c r="M1583" i="2"/>
  <c r="M1584" i="2"/>
  <c r="M1585" i="2"/>
  <c r="M1586" i="2"/>
  <c r="M1587" i="2"/>
  <c r="M1588" i="2"/>
  <c r="M1589" i="2"/>
  <c r="M1590" i="2"/>
  <c r="M1591" i="2"/>
  <c r="M1592" i="2"/>
  <c r="M1593" i="2"/>
  <c r="M1594" i="2"/>
  <c r="M1595" i="2"/>
  <c r="M1596" i="2"/>
  <c r="M1597" i="2"/>
  <c r="M1598" i="2"/>
  <c r="M1599" i="2"/>
  <c r="M1600" i="2"/>
  <c r="M1601" i="2"/>
  <c r="M1602" i="2"/>
  <c r="M1603" i="2"/>
  <c r="M1604" i="2"/>
  <c r="M1605" i="2"/>
  <c r="M1606" i="2"/>
  <c r="M1607" i="2"/>
  <c r="M1608" i="2"/>
  <c r="M1609" i="2"/>
  <c r="M1610" i="2"/>
  <c r="M1611" i="2"/>
  <c r="M1612" i="2"/>
  <c r="M1613" i="2"/>
  <c r="M1614" i="2"/>
  <c r="M1615" i="2"/>
  <c r="M1616" i="2"/>
  <c r="M1617" i="2"/>
  <c r="M1618" i="2"/>
  <c r="M1619" i="2"/>
  <c r="M1620" i="2"/>
  <c r="M1621" i="2"/>
  <c r="M1622" i="2"/>
  <c r="M1623" i="2"/>
  <c r="M1624" i="2"/>
  <c r="M1625" i="2"/>
  <c r="M1626" i="2"/>
  <c r="M1627" i="2"/>
  <c r="M1628" i="2"/>
  <c r="M1629" i="2"/>
  <c r="M1630" i="2"/>
  <c r="M1631" i="2"/>
  <c r="M1632" i="2"/>
  <c r="M1633" i="2"/>
  <c r="M1634" i="2"/>
  <c r="M1635" i="2"/>
  <c r="M1636" i="2"/>
  <c r="M1637" i="2"/>
  <c r="M1638" i="2"/>
  <c r="M1639" i="2"/>
  <c r="M1640" i="2"/>
  <c r="M1641" i="2"/>
  <c r="M1642" i="2"/>
  <c r="M1643" i="2"/>
  <c r="M1644" i="2"/>
  <c r="M1645" i="2"/>
  <c r="M1646" i="2"/>
  <c r="M1647" i="2"/>
  <c r="M1648" i="2"/>
  <c r="M1649" i="2"/>
  <c r="M1650" i="2"/>
  <c r="M1651" i="2"/>
  <c r="M1652" i="2"/>
  <c r="M1653" i="2"/>
  <c r="M1654" i="2"/>
  <c r="M1655" i="2"/>
  <c r="M1656" i="2"/>
  <c r="M1657" i="2"/>
  <c r="M1658" i="2"/>
  <c r="M1659" i="2"/>
  <c r="M1660" i="2"/>
  <c r="M1661" i="2"/>
  <c r="M1662" i="2"/>
  <c r="M1663" i="2"/>
  <c r="M1664" i="2"/>
  <c r="M1665" i="2"/>
  <c r="M1666" i="2"/>
  <c r="M1667" i="2"/>
  <c r="M1668" i="2"/>
  <c r="M1669" i="2"/>
  <c r="M1670" i="2"/>
  <c r="M1671" i="2"/>
  <c r="M1672" i="2"/>
  <c r="M1673" i="2"/>
  <c r="M1674" i="2"/>
  <c r="M1675" i="2"/>
  <c r="M1676" i="2"/>
  <c r="M1677" i="2"/>
  <c r="M1678" i="2"/>
  <c r="M1679" i="2"/>
  <c r="M1680" i="2"/>
  <c r="M1681" i="2"/>
  <c r="M1682" i="2"/>
  <c r="M1683" i="2"/>
  <c r="M1684" i="2"/>
  <c r="M1685" i="2"/>
  <c r="M1686" i="2"/>
  <c r="M1687" i="2"/>
  <c r="M1688" i="2"/>
  <c r="M1689" i="2"/>
  <c r="M1690" i="2"/>
  <c r="M1691" i="2"/>
  <c r="M1692" i="2"/>
  <c r="M1693" i="2"/>
  <c r="M1694" i="2"/>
  <c r="M1695" i="2"/>
  <c r="M1696" i="2"/>
  <c r="M1697" i="2"/>
  <c r="M1698" i="2"/>
  <c r="M1699" i="2"/>
  <c r="M1700" i="2"/>
  <c r="M1701" i="2"/>
  <c r="M1702" i="2"/>
  <c r="M1703" i="2"/>
  <c r="M1704" i="2"/>
  <c r="M1705" i="2"/>
  <c r="M1706" i="2"/>
  <c r="M1707" i="2"/>
  <c r="M1708" i="2"/>
  <c r="M1709" i="2"/>
  <c r="M1710" i="2"/>
  <c r="M1711" i="2"/>
  <c r="M1712" i="2"/>
  <c r="M1713" i="2"/>
  <c r="M1714" i="2"/>
  <c r="M1715" i="2"/>
  <c r="M1716" i="2"/>
  <c r="M1717" i="2"/>
  <c r="M1718" i="2"/>
  <c r="M1719" i="2"/>
  <c r="M1720" i="2"/>
  <c r="M1721" i="2"/>
  <c r="M1722" i="2"/>
  <c r="M1723" i="2"/>
  <c r="M1724" i="2"/>
  <c r="M1725" i="2"/>
  <c r="M1726" i="2"/>
  <c r="M1727" i="2"/>
  <c r="M1728" i="2"/>
  <c r="M1729" i="2"/>
  <c r="M1730" i="2"/>
  <c r="M1731" i="2"/>
  <c r="M1732" i="2"/>
  <c r="M1733" i="2"/>
  <c r="M1734" i="2"/>
  <c r="M1735" i="2"/>
  <c r="M1736" i="2"/>
  <c r="M1737" i="2"/>
  <c r="M1738" i="2"/>
  <c r="M1739" i="2"/>
  <c r="M1740" i="2"/>
  <c r="M1741" i="2"/>
  <c r="M1742" i="2"/>
  <c r="M1743" i="2"/>
  <c r="M1744" i="2"/>
  <c r="M1745" i="2"/>
  <c r="M1746" i="2"/>
  <c r="M1747" i="2"/>
  <c r="M1748" i="2"/>
  <c r="M1749" i="2"/>
  <c r="M1750" i="2"/>
  <c r="M1751" i="2"/>
  <c r="M1752" i="2"/>
  <c r="M1753" i="2"/>
  <c r="M1754" i="2"/>
  <c r="M1755" i="2"/>
  <c r="M1756" i="2"/>
  <c r="M1757" i="2"/>
  <c r="M1758" i="2"/>
  <c r="M1759" i="2"/>
  <c r="M1760" i="2"/>
  <c r="M1761" i="2"/>
  <c r="M1762" i="2"/>
  <c r="M1763" i="2"/>
  <c r="M1764" i="2"/>
  <c r="M1765" i="2"/>
  <c r="M1766" i="2"/>
  <c r="M1767" i="2"/>
  <c r="M1768" i="2"/>
  <c r="M1769" i="2"/>
  <c r="M1770" i="2"/>
  <c r="M1771" i="2"/>
  <c r="M1772" i="2"/>
  <c r="M1773" i="2"/>
  <c r="M1774" i="2"/>
  <c r="M1775" i="2"/>
  <c r="M1776" i="2"/>
  <c r="M1777" i="2"/>
  <c r="M1778" i="2"/>
  <c r="M1779" i="2"/>
  <c r="M1780" i="2"/>
  <c r="M1781" i="2"/>
  <c r="M1782" i="2"/>
  <c r="M1783" i="2"/>
  <c r="M1784" i="2"/>
  <c r="M1785" i="2"/>
  <c r="M1786" i="2"/>
  <c r="M1787" i="2"/>
  <c r="M1788" i="2"/>
  <c r="M1789" i="2"/>
  <c r="M1790" i="2"/>
  <c r="M1791" i="2"/>
  <c r="M1792" i="2"/>
  <c r="M1793" i="2"/>
  <c r="M1794" i="2"/>
  <c r="M1795" i="2"/>
  <c r="M1796" i="2"/>
  <c r="M1797" i="2"/>
  <c r="M1798" i="2"/>
  <c r="M1799" i="2"/>
  <c r="M1800" i="2"/>
  <c r="M1801" i="2"/>
  <c r="M1802" i="2"/>
  <c r="M1803" i="2"/>
  <c r="M1804" i="2"/>
  <c r="M1805" i="2"/>
  <c r="M1806" i="2"/>
  <c r="M1807" i="2"/>
  <c r="M1808" i="2"/>
  <c r="M1809" i="2"/>
  <c r="M1810" i="2"/>
  <c r="M1811" i="2"/>
  <c r="M1812" i="2"/>
  <c r="M1813" i="2"/>
  <c r="M1814" i="2"/>
  <c r="M1815" i="2"/>
  <c r="M1816" i="2"/>
  <c r="M1817" i="2"/>
  <c r="M1818" i="2"/>
  <c r="M1819" i="2"/>
  <c r="M1820" i="2"/>
  <c r="M1821" i="2"/>
  <c r="M1822" i="2"/>
  <c r="M1823" i="2"/>
  <c r="M1824" i="2"/>
  <c r="M1825" i="2"/>
  <c r="M1826" i="2"/>
  <c r="M1827" i="2"/>
  <c r="M1828" i="2"/>
  <c r="M1829" i="2"/>
  <c r="M1830" i="2"/>
  <c r="M1831" i="2"/>
  <c r="M1832" i="2"/>
  <c r="M1833" i="2"/>
  <c r="M1834" i="2"/>
  <c r="M1835" i="2"/>
  <c r="M1836" i="2"/>
  <c r="M1837" i="2"/>
  <c r="M1838" i="2"/>
  <c r="M1839" i="2"/>
  <c r="M1840" i="2"/>
  <c r="M1841" i="2"/>
  <c r="M1842" i="2"/>
  <c r="M1843" i="2"/>
  <c r="M1844" i="2"/>
  <c r="M1845" i="2"/>
  <c r="M1846" i="2"/>
  <c r="M1847" i="2"/>
  <c r="M1848" i="2"/>
  <c r="M1849" i="2"/>
  <c r="M1850" i="2"/>
  <c r="M1851" i="2"/>
  <c r="M1852" i="2"/>
  <c r="M1853" i="2"/>
  <c r="M1854" i="2"/>
  <c r="M1855" i="2"/>
  <c r="M1856" i="2"/>
  <c r="M1857" i="2"/>
  <c r="M1858" i="2"/>
  <c r="M1859" i="2"/>
  <c r="M1860" i="2"/>
  <c r="M1861" i="2"/>
  <c r="M1862" i="2"/>
  <c r="M1863" i="2"/>
  <c r="M1864" i="2"/>
  <c r="M1865" i="2"/>
  <c r="M1866" i="2"/>
  <c r="M1867" i="2"/>
  <c r="M1868" i="2"/>
  <c r="M1869" i="2"/>
  <c r="M1870" i="2"/>
  <c r="M1871" i="2"/>
  <c r="M1872" i="2"/>
  <c r="M1873" i="2"/>
  <c r="M1874" i="2"/>
  <c r="M1875" i="2"/>
  <c r="M1876" i="2"/>
  <c r="M1877" i="2"/>
  <c r="M1878" i="2"/>
  <c r="M1879" i="2"/>
  <c r="M1880" i="2"/>
  <c r="M1881" i="2"/>
  <c r="M1882" i="2"/>
  <c r="M1883" i="2"/>
  <c r="M1884" i="2"/>
  <c r="M1885" i="2"/>
  <c r="M1886" i="2"/>
  <c r="M1887" i="2"/>
  <c r="M1888" i="2"/>
  <c r="M1889" i="2"/>
  <c r="M1890" i="2"/>
  <c r="M1891" i="2"/>
  <c r="M1892" i="2"/>
  <c r="M1893" i="2"/>
  <c r="M1894" i="2"/>
  <c r="M1895" i="2"/>
  <c r="M1896" i="2"/>
  <c r="M1897" i="2"/>
  <c r="M1898" i="2"/>
  <c r="M1899" i="2"/>
  <c r="M1900" i="2"/>
  <c r="M1901" i="2"/>
  <c r="M1902" i="2"/>
  <c r="M1903" i="2"/>
  <c r="M1904" i="2"/>
  <c r="M1905" i="2"/>
  <c r="M1906" i="2"/>
  <c r="M1907" i="2"/>
  <c r="M1908" i="2"/>
  <c r="M1909" i="2"/>
  <c r="M1910" i="2"/>
  <c r="M1911" i="2"/>
  <c r="M1912" i="2"/>
  <c r="M1913" i="2"/>
  <c r="M1914" i="2"/>
  <c r="M1915" i="2"/>
  <c r="M1916" i="2"/>
  <c r="M1917" i="2"/>
  <c r="M1918" i="2"/>
  <c r="M1919" i="2"/>
  <c r="M1920" i="2"/>
  <c r="M1921" i="2"/>
  <c r="M1922" i="2"/>
  <c r="M1923" i="2"/>
  <c r="M1924" i="2"/>
  <c r="M1925" i="2"/>
  <c r="M1926" i="2"/>
  <c r="M1927" i="2"/>
  <c r="M1928" i="2"/>
  <c r="M1929" i="2"/>
  <c r="M1930" i="2"/>
  <c r="M1931" i="2"/>
  <c r="M1932" i="2"/>
  <c r="M1933" i="2"/>
  <c r="M1934" i="2"/>
  <c r="M1935" i="2"/>
  <c r="M1936" i="2"/>
  <c r="M1937" i="2"/>
  <c r="M1938" i="2"/>
  <c r="M1939" i="2"/>
  <c r="M1940" i="2"/>
  <c r="M1941" i="2"/>
  <c r="M1942" i="2"/>
  <c r="M1943" i="2"/>
  <c r="M1944" i="2"/>
  <c r="M1945" i="2"/>
  <c r="M1946" i="2"/>
  <c r="M1947" i="2"/>
  <c r="M1948" i="2"/>
  <c r="M1949" i="2"/>
  <c r="M1950" i="2"/>
  <c r="M1951" i="2"/>
  <c r="M1952" i="2"/>
  <c r="M1953" i="2"/>
  <c r="M1954" i="2"/>
  <c r="M1955" i="2"/>
  <c r="M1956" i="2"/>
  <c r="M1957" i="2"/>
  <c r="M1958" i="2"/>
  <c r="M1959" i="2"/>
  <c r="M1960" i="2"/>
  <c r="M1961" i="2"/>
  <c r="M1962" i="2"/>
  <c r="M1963" i="2"/>
  <c r="M1964" i="2"/>
  <c r="M1965" i="2"/>
  <c r="M1966" i="2"/>
  <c r="M1967" i="2"/>
  <c r="M1968" i="2"/>
  <c r="M1969" i="2"/>
  <c r="M1970" i="2"/>
  <c r="M1971" i="2"/>
  <c r="M1972" i="2"/>
  <c r="M1973" i="2"/>
  <c r="M1974" i="2"/>
  <c r="M1975" i="2"/>
  <c r="M1976" i="2"/>
  <c r="M1977" i="2"/>
  <c r="M1978" i="2"/>
  <c r="M1979" i="2"/>
  <c r="M1980" i="2"/>
  <c r="M1981" i="2"/>
  <c r="M1982" i="2"/>
  <c r="M1983" i="2"/>
  <c r="M1984" i="2"/>
  <c r="M1985" i="2"/>
  <c r="M1986" i="2"/>
  <c r="M1987" i="2"/>
  <c r="M1988" i="2"/>
  <c r="M1989" i="2"/>
  <c r="M1990" i="2"/>
  <c r="M1991" i="2"/>
  <c r="M1992" i="2"/>
  <c r="M1993" i="2"/>
  <c r="M1994" i="2"/>
  <c r="M1995" i="2"/>
  <c r="M1996" i="2"/>
  <c r="M1997" i="2"/>
  <c r="M1998" i="2"/>
  <c r="M1999" i="2"/>
  <c r="M2000" i="2"/>
  <c r="M2001" i="2"/>
  <c r="M2002" i="2"/>
  <c r="M2003" i="2"/>
  <c r="M2004" i="2"/>
  <c r="M2005" i="2"/>
  <c r="M2006" i="2"/>
  <c r="M2007" i="2"/>
  <c r="M2008" i="2"/>
  <c r="M2009" i="2"/>
  <c r="M2010" i="2"/>
  <c r="M2011" i="2"/>
  <c r="M2012" i="2"/>
  <c r="M2013" i="2"/>
  <c r="M2014" i="2"/>
  <c r="M2015" i="2"/>
  <c r="M2016" i="2"/>
  <c r="M2017" i="2"/>
  <c r="M2018" i="2"/>
  <c r="M2019" i="2"/>
  <c r="M2020" i="2"/>
  <c r="M2021" i="2"/>
  <c r="M2022" i="2"/>
  <c r="M2023" i="2"/>
  <c r="M2024" i="2"/>
  <c r="M2025" i="2"/>
  <c r="M2026" i="2"/>
  <c r="M2027" i="2"/>
  <c r="M2028" i="2"/>
  <c r="M2029" i="2"/>
  <c r="M2030" i="2"/>
  <c r="M2031" i="2"/>
  <c r="M2032" i="2"/>
  <c r="M2033" i="2"/>
  <c r="M2034" i="2"/>
  <c r="M2035" i="2"/>
  <c r="M2036" i="2"/>
  <c r="M2037" i="2"/>
  <c r="M2038" i="2"/>
  <c r="M2039" i="2"/>
  <c r="M2040" i="2"/>
  <c r="M2041" i="2"/>
  <c r="M2042" i="2"/>
  <c r="M2043" i="2"/>
  <c r="M2044" i="2"/>
  <c r="M2045" i="2"/>
  <c r="M2046" i="2"/>
  <c r="M2047" i="2"/>
  <c r="M2048" i="2"/>
  <c r="M2049" i="2"/>
  <c r="M2050" i="2"/>
  <c r="M2051" i="2"/>
  <c r="M2052" i="2"/>
  <c r="M2053" i="2"/>
  <c r="M2054" i="2"/>
  <c r="M2055" i="2"/>
  <c r="M2056" i="2"/>
  <c r="M2057" i="2"/>
  <c r="M2058" i="2"/>
  <c r="M2059" i="2"/>
  <c r="M2060" i="2"/>
  <c r="M2061" i="2"/>
  <c r="M2062" i="2"/>
  <c r="M2063" i="2"/>
  <c r="M2064" i="2"/>
  <c r="M2065" i="2"/>
  <c r="M2066" i="2"/>
  <c r="M2067" i="2"/>
  <c r="M2068" i="2"/>
  <c r="M2069" i="2"/>
  <c r="M2070" i="2"/>
  <c r="M2071" i="2"/>
  <c r="M2072" i="2"/>
  <c r="M2073" i="2"/>
  <c r="M2074" i="2"/>
  <c r="M2075" i="2"/>
  <c r="M2076" i="2"/>
  <c r="M2077" i="2"/>
  <c r="M2078" i="2"/>
  <c r="M2079" i="2"/>
  <c r="M2080" i="2"/>
  <c r="M2081" i="2"/>
  <c r="M2082" i="2"/>
  <c r="M2083" i="2"/>
  <c r="M2084" i="2"/>
  <c r="M2085" i="2"/>
  <c r="M2086" i="2"/>
  <c r="M2087" i="2"/>
  <c r="M2088" i="2"/>
  <c r="M2089" i="2"/>
  <c r="M2090" i="2"/>
  <c r="M2091" i="2"/>
  <c r="M2092" i="2"/>
  <c r="M2093" i="2"/>
  <c r="M2094" i="2"/>
  <c r="M2095" i="2"/>
  <c r="M2096" i="2"/>
  <c r="M2097" i="2"/>
  <c r="M2098" i="2"/>
  <c r="M2099" i="2"/>
  <c r="M2100" i="2"/>
  <c r="M2101" i="2"/>
  <c r="M2102" i="2"/>
  <c r="M2103" i="2"/>
  <c r="M2104" i="2"/>
  <c r="M2105" i="2"/>
  <c r="M2106" i="2"/>
  <c r="M2107" i="2"/>
  <c r="M2108" i="2"/>
  <c r="M2109" i="2"/>
  <c r="M2110" i="2"/>
  <c r="M2111" i="2"/>
  <c r="M2112" i="2"/>
  <c r="M2113" i="2"/>
  <c r="M2114" i="2"/>
  <c r="M2115" i="2"/>
  <c r="M2116" i="2"/>
  <c r="M2117" i="2"/>
  <c r="M2118" i="2"/>
  <c r="M2119" i="2"/>
  <c r="M2120" i="2"/>
  <c r="M2121" i="2"/>
  <c r="M2122" i="2"/>
  <c r="M2123" i="2"/>
  <c r="M2124" i="2"/>
  <c r="M2125" i="2"/>
  <c r="M2126" i="2"/>
  <c r="M2127" i="2"/>
  <c r="M2128" i="2"/>
  <c r="M2129" i="2"/>
  <c r="M2130" i="2"/>
  <c r="M2131" i="2"/>
  <c r="M2132" i="2"/>
  <c r="M2133" i="2"/>
  <c r="M2134" i="2"/>
  <c r="M2135" i="2"/>
  <c r="M2136" i="2"/>
  <c r="M2137" i="2"/>
  <c r="M2138" i="2"/>
  <c r="M2139" i="2"/>
  <c r="M2140" i="2"/>
  <c r="M2141" i="2"/>
  <c r="M2142" i="2"/>
  <c r="M2143" i="2"/>
  <c r="M2144" i="2"/>
  <c r="M2145" i="2"/>
  <c r="M2146" i="2"/>
  <c r="M2147" i="2"/>
  <c r="M2148" i="2"/>
  <c r="M2149" i="2"/>
  <c r="M2150" i="2"/>
  <c r="M2151" i="2"/>
  <c r="M2152" i="2"/>
  <c r="M2153" i="2"/>
  <c r="M2154" i="2"/>
  <c r="M2155" i="2"/>
  <c r="M2156" i="2"/>
  <c r="M2157" i="2"/>
  <c r="M2158" i="2"/>
  <c r="M2159" i="2"/>
  <c r="M2160" i="2"/>
  <c r="M2161" i="2"/>
  <c r="M2162" i="2"/>
  <c r="M2163" i="2"/>
  <c r="M2164" i="2"/>
  <c r="M2165" i="2"/>
  <c r="M2166" i="2"/>
  <c r="M2167" i="2"/>
  <c r="M2168" i="2"/>
  <c r="M2169" i="2"/>
  <c r="M2170" i="2"/>
  <c r="M2171" i="2"/>
  <c r="M2172" i="2"/>
  <c r="M2173" i="2"/>
  <c r="M2174" i="2"/>
  <c r="M2175" i="2"/>
  <c r="M2176" i="2"/>
  <c r="M2177" i="2"/>
  <c r="M2178" i="2"/>
  <c r="M2179" i="2"/>
  <c r="M2180" i="2"/>
  <c r="M2181" i="2"/>
  <c r="M2182" i="2"/>
  <c r="M2183" i="2"/>
  <c r="M2184" i="2"/>
  <c r="M2185" i="2"/>
  <c r="M2186" i="2"/>
  <c r="M2187" i="2"/>
  <c r="M2188" i="2"/>
  <c r="M2189" i="2"/>
  <c r="M2190" i="2"/>
  <c r="M2191" i="2"/>
  <c r="M2192" i="2"/>
  <c r="M2193" i="2"/>
  <c r="M2194" i="2"/>
  <c r="M2195" i="2"/>
  <c r="M2196" i="2"/>
  <c r="M2197" i="2"/>
  <c r="M2198" i="2"/>
  <c r="M2199" i="2"/>
  <c r="M2200" i="2"/>
  <c r="M2201" i="2"/>
  <c r="M2202" i="2"/>
  <c r="M2203" i="2"/>
  <c r="M2204" i="2"/>
  <c r="M2205" i="2"/>
  <c r="M2206" i="2"/>
  <c r="M2207" i="2"/>
  <c r="M2208" i="2"/>
  <c r="M2209" i="2"/>
  <c r="M2210" i="2"/>
  <c r="M2211" i="2"/>
  <c r="M2212" i="2"/>
  <c r="M2213" i="2"/>
  <c r="M2214" i="2"/>
  <c r="M2215" i="2"/>
  <c r="M2216" i="2"/>
  <c r="M2217" i="2"/>
  <c r="M2218" i="2"/>
  <c r="M2219" i="2"/>
  <c r="M2220" i="2"/>
  <c r="M2221" i="2"/>
  <c r="M2222" i="2"/>
  <c r="M2223" i="2"/>
  <c r="M2224" i="2"/>
  <c r="M2225" i="2"/>
  <c r="M2226" i="2"/>
  <c r="M2227" i="2"/>
  <c r="M2228" i="2"/>
  <c r="M2229" i="2"/>
  <c r="M2230" i="2"/>
  <c r="M2231" i="2"/>
  <c r="M2232" i="2"/>
  <c r="M2233" i="2"/>
  <c r="M2234" i="2"/>
  <c r="M2235" i="2"/>
  <c r="M2236" i="2"/>
  <c r="M2237" i="2"/>
  <c r="M2238" i="2"/>
  <c r="M2239" i="2"/>
  <c r="M2240" i="2"/>
  <c r="M2241" i="2"/>
  <c r="M2242" i="2"/>
  <c r="M2243" i="2"/>
  <c r="M2244" i="2"/>
  <c r="M2245" i="2"/>
  <c r="M2246" i="2"/>
  <c r="M2247" i="2"/>
  <c r="M2248" i="2"/>
  <c r="M2249" i="2"/>
  <c r="M2250" i="2"/>
  <c r="M2251" i="2"/>
  <c r="M2252" i="2"/>
  <c r="M2253" i="2"/>
  <c r="M2254" i="2"/>
  <c r="M2255" i="2"/>
  <c r="M2256" i="2"/>
  <c r="M2257" i="2"/>
  <c r="M2258" i="2"/>
  <c r="M2259" i="2"/>
  <c r="M2260" i="2"/>
  <c r="M2261" i="2"/>
  <c r="M2262" i="2"/>
  <c r="M2263" i="2"/>
  <c r="M2264" i="2"/>
  <c r="M2265" i="2"/>
  <c r="M2266" i="2"/>
  <c r="M2267" i="2"/>
  <c r="M2268" i="2"/>
  <c r="M2269" i="2"/>
  <c r="M2270" i="2"/>
  <c r="M2271" i="2"/>
  <c r="M2272" i="2"/>
  <c r="M2273" i="2"/>
  <c r="M2274" i="2"/>
  <c r="M2275" i="2"/>
  <c r="M2276" i="2"/>
  <c r="M2277" i="2"/>
  <c r="M2278" i="2"/>
  <c r="M2279" i="2"/>
  <c r="M2280" i="2"/>
  <c r="M2281" i="2"/>
  <c r="M2282" i="2"/>
  <c r="M2283" i="2"/>
  <c r="M2284" i="2"/>
  <c r="M2285" i="2"/>
  <c r="M2286" i="2"/>
  <c r="M2287" i="2"/>
  <c r="M2288" i="2"/>
  <c r="M2289" i="2"/>
  <c r="M2290" i="2"/>
  <c r="M2291" i="2"/>
  <c r="M2292" i="2"/>
  <c r="M2293" i="2"/>
  <c r="M2294" i="2"/>
  <c r="M2295" i="2"/>
  <c r="M2296" i="2"/>
  <c r="M2297" i="2"/>
  <c r="M2298" i="2"/>
  <c r="M2299" i="2"/>
  <c r="M2300" i="2"/>
  <c r="M2301" i="2"/>
  <c r="M2302" i="2"/>
  <c r="M2303" i="2"/>
  <c r="M2304" i="2"/>
  <c r="M2305" i="2"/>
  <c r="M2306" i="2"/>
  <c r="M2307" i="2"/>
  <c r="M2308" i="2"/>
  <c r="M2309" i="2"/>
  <c r="M2310" i="2"/>
  <c r="M2311" i="2"/>
  <c r="M2312" i="2"/>
  <c r="M2313" i="2"/>
  <c r="M2314" i="2"/>
  <c r="M2315" i="2"/>
  <c r="M2316" i="2"/>
  <c r="M2317" i="2"/>
  <c r="M2318" i="2"/>
  <c r="M2319" i="2"/>
  <c r="M2320" i="2"/>
  <c r="M2321" i="2"/>
  <c r="M2322" i="2"/>
  <c r="M2323" i="2"/>
  <c r="M2324" i="2"/>
  <c r="M2325" i="2"/>
  <c r="M2326" i="2"/>
  <c r="M2327" i="2"/>
  <c r="M2328" i="2"/>
  <c r="M2329" i="2"/>
  <c r="M2330" i="2"/>
  <c r="M2331" i="2"/>
  <c r="M2332" i="2"/>
  <c r="M2333" i="2"/>
  <c r="M2334" i="2"/>
  <c r="M2335" i="2"/>
  <c r="M2336" i="2"/>
  <c r="M2337" i="2"/>
  <c r="M2338" i="2"/>
  <c r="M2339" i="2"/>
  <c r="M2340" i="2"/>
  <c r="M2341" i="2"/>
  <c r="M2342" i="2"/>
  <c r="M2343" i="2"/>
  <c r="M2344" i="2"/>
  <c r="M2345" i="2"/>
  <c r="M2346" i="2"/>
  <c r="M2347" i="2"/>
  <c r="M2348" i="2"/>
  <c r="M2349" i="2"/>
  <c r="M2350" i="2"/>
  <c r="M2351" i="2"/>
  <c r="M2352" i="2"/>
  <c r="M2353" i="2"/>
  <c r="M2354" i="2"/>
  <c r="M2355" i="2"/>
  <c r="M2356" i="2"/>
  <c r="M2357" i="2"/>
  <c r="M2358" i="2"/>
  <c r="M2359" i="2"/>
  <c r="M2360" i="2"/>
  <c r="M2361" i="2"/>
  <c r="M2362" i="2"/>
  <c r="M2363" i="2"/>
  <c r="M2364" i="2"/>
  <c r="M2365" i="2"/>
  <c r="M2366" i="2"/>
  <c r="M2367" i="2"/>
  <c r="M2368" i="2"/>
  <c r="M2369" i="2"/>
  <c r="M2370" i="2"/>
  <c r="M2371" i="2"/>
  <c r="M2372" i="2"/>
  <c r="M2373" i="2"/>
  <c r="M2374" i="2"/>
  <c r="M2375" i="2"/>
  <c r="M2376" i="2"/>
  <c r="M2377" i="2"/>
  <c r="M2378" i="2"/>
  <c r="M2379" i="2"/>
  <c r="M2380" i="2"/>
  <c r="M2381" i="2"/>
  <c r="M2382" i="2"/>
  <c r="M2383" i="2"/>
  <c r="M2384" i="2"/>
  <c r="M2385" i="2"/>
  <c r="M2386" i="2"/>
  <c r="M2387" i="2"/>
  <c r="M2388" i="2"/>
  <c r="M2389" i="2"/>
  <c r="M2390" i="2"/>
  <c r="M2391" i="2"/>
  <c r="M2392" i="2"/>
  <c r="M2393" i="2"/>
  <c r="M2394" i="2"/>
  <c r="M2395" i="2"/>
  <c r="M2396" i="2"/>
  <c r="M2397" i="2"/>
  <c r="M2398" i="2"/>
  <c r="M2399" i="2"/>
  <c r="M2400" i="2"/>
  <c r="M2401" i="2"/>
  <c r="M2402" i="2"/>
  <c r="M2403" i="2"/>
  <c r="M2404" i="2"/>
  <c r="M2405" i="2"/>
  <c r="M2406" i="2"/>
  <c r="M2407" i="2"/>
  <c r="M2408" i="2"/>
  <c r="M2409" i="2"/>
  <c r="M2410" i="2"/>
  <c r="M2411" i="2"/>
  <c r="M2412" i="2"/>
  <c r="M2413" i="2"/>
  <c r="M2414" i="2"/>
  <c r="M2415" i="2"/>
  <c r="M2416" i="2"/>
  <c r="M2417" i="2"/>
  <c r="M2418" i="2"/>
  <c r="M2419" i="2"/>
  <c r="M2420" i="2"/>
  <c r="M2421" i="2"/>
  <c r="M2422" i="2"/>
  <c r="M2423" i="2"/>
  <c r="M2424" i="2"/>
  <c r="M2425" i="2"/>
  <c r="M2426" i="2"/>
  <c r="M2427" i="2"/>
  <c r="M2428" i="2"/>
  <c r="M2429" i="2"/>
  <c r="M2430" i="2"/>
  <c r="M2431" i="2"/>
  <c r="M2432" i="2"/>
  <c r="M2433" i="2"/>
  <c r="M2434" i="2"/>
  <c r="M2435" i="2"/>
  <c r="M2436" i="2"/>
  <c r="M2437" i="2"/>
  <c r="M2438" i="2"/>
  <c r="M2439" i="2"/>
  <c r="M2440" i="2"/>
  <c r="M2441" i="2"/>
  <c r="M2442" i="2"/>
  <c r="M2443" i="2"/>
  <c r="M2444" i="2"/>
  <c r="M2445" i="2"/>
  <c r="M2446" i="2"/>
  <c r="M2447" i="2"/>
  <c r="M2448" i="2"/>
  <c r="M2449" i="2"/>
  <c r="M2450" i="2"/>
  <c r="M2451" i="2"/>
  <c r="M2452" i="2"/>
  <c r="M2453" i="2"/>
  <c r="M2454" i="2"/>
  <c r="M2455" i="2"/>
  <c r="M2456" i="2"/>
  <c r="M2457" i="2"/>
  <c r="M2458" i="2"/>
  <c r="M2459" i="2"/>
  <c r="M2460" i="2"/>
  <c r="M2461" i="2"/>
  <c r="M2462" i="2"/>
  <c r="M2463" i="2"/>
  <c r="M2464" i="2"/>
  <c r="M2465" i="2"/>
  <c r="M2466" i="2"/>
  <c r="M2467" i="2"/>
  <c r="M2468" i="2"/>
  <c r="M2469" i="2"/>
  <c r="M2470" i="2"/>
  <c r="M2471" i="2"/>
  <c r="M2472" i="2"/>
  <c r="M2473" i="2"/>
  <c r="M2474" i="2"/>
  <c r="M2475" i="2"/>
  <c r="M2476" i="2"/>
  <c r="M2477" i="2"/>
  <c r="M2478" i="2"/>
  <c r="M2479" i="2"/>
  <c r="M2480" i="2"/>
  <c r="M2481" i="2"/>
  <c r="M2482" i="2"/>
  <c r="M2483" i="2"/>
  <c r="M2484" i="2"/>
  <c r="M2485" i="2"/>
  <c r="M2486" i="2"/>
  <c r="M2487" i="2"/>
  <c r="M2488" i="2"/>
  <c r="M2489" i="2"/>
  <c r="M2490" i="2"/>
  <c r="M2491" i="2"/>
  <c r="M2492" i="2"/>
  <c r="M2493" i="2"/>
  <c r="M2494" i="2"/>
  <c r="M2495" i="2"/>
  <c r="M2496" i="2"/>
  <c r="M2497" i="2"/>
  <c r="M2498" i="2"/>
  <c r="M2499" i="2"/>
  <c r="M2500" i="2"/>
  <c r="M2501" i="2"/>
  <c r="M2502" i="2"/>
  <c r="M2503" i="2"/>
  <c r="M2504" i="2"/>
  <c r="M2505" i="2"/>
  <c r="M2506" i="2"/>
  <c r="M2507" i="2"/>
  <c r="M2508" i="2"/>
  <c r="M2509" i="2"/>
  <c r="M2510" i="2"/>
  <c r="M2511" i="2"/>
  <c r="M2512" i="2"/>
  <c r="M2513" i="2"/>
  <c r="M2514" i="2"/>
  <c r="M2515" i="2"/>
  <c r="M2516" i="2"/>
  <c r="M2517" i="2"/>
  <c r="M2518" i="2"/>
  <c r="M2519" i="2"/>
  <c r="M2520" i="2"/>
  <c r="M2521" i="2"/>
  <c r="M2522" i="2"/>
  <c r="M2523" i="2"/>
  <c r="M2524" i="2"/>
  <c r="M2525" i="2"/>
  <c r="M2526" i="2"/>
  <c r="M2527" i="2"/>
  <c r="M2528" i="2"/>
  <c r="M2529" i="2"/>
  <c r="M2530" i="2"/>
  <c r="M2531" i="2"/>
  <c r="M2532" i="2"/>
  <c r="M2533" i="2"/>
  <c r="M2534" i="2"/>
  <c r="M2535" i="2"/>
  <c r="M2536" i="2"/>
  <c r="M2537" i="2"/>
  <c r="M2538" i="2"/>
  <c r="M2539" i="2"/>
  <c r="M2540" i="2"/>
  <c r="M2541" i="2"/>
  <c r="M2542" i="2"/>
  <c r="M2543" i="2"/>
  <c r="M2544" i="2"/>
  <c r="M2545" i="2"/>
  <c r="M2546" i="2"/>
  <c r="M2547" i="2"/>
  <c r="M2548" i="2"/>
  <c r="M2549" i="2"/>
  <c r="M2550" i="2"/>
  <c r="M2551" i="2"/>
  <c r="M2552" i="2"/>
  <c r="M2553" i="2"/>
  <c r="M2554" i="2"/>
  <c r="M2555" i="2"/>
  <c r="M2556" i="2"/>
  <c r="M2557" i="2"/>
  <c r="M2558" i="2"/>
  <c r="M2559" i="2"/>
  <c r="M2560" i="2"/>
  <c r="M2561" i="2"/>
  <c r="M2562" i="2"/>
  <c r="M2563" i="2"/>
  <c r="M2564" i="2"/>
  <c r="M2565" i="2"/>
  <c r="M2566" i="2"/>
  <c r="M2567" i="2"/>
  <c r="M2568" i="2"/>
  <c r="M2569" i="2"/>
  <c r="M2570" i="2"/>
  <c r="M2571" i="2"/>
  <c r="M2572" i="2"/>
  <c r="M2573" i="2"/>
  <c r="M2574" i="2"/>
  <c r="M2575" i="2"/>
  <c r="M2576" i="2"/>
  <c r="M2577" i="2"/>
  <c r="M2578" i="2"/>
  <c r="M2579" i="2"/>
  <c r="M2580" i="2"/>
  <c r="M2581" i="2"/>
  <c r="M2582" i="2"/>
  <c r="M2583" i="2"/>
  <c r="M2584" i="2"/>
  <c r="M2585" i="2"/>
  <c r="M2586" i="2"/>
  <c r="M2587" i="2"/>
  <c r="M2588" i="2"/>
  <c r="M2589" i="2"/>
  <c r="M2590" i="2"/>
  <c r="M2591" i="2"/>
  <c r="M2592" i="2"/>
  <c r="M2593" i="2"/>
  <c r="M2594" i="2"/>
  <c r="M2595" i="2"/>
  <c r="M2596" i="2"/>
  <c r="M2597" i="2"/>
  <c r="M2598" i="2"/>
  <c r="M2599" i="2"/>
  <c r="M2600" i="2"/>
  <c r="M2601" i="2"/>
  <c r="M2602" i="2"/>
  <c r="M2603" i="2"/>
  <c r="M2604" i="2"/>
  <c r="M2605" i="2"/>
  <c r="M2606" i="2"/>
  <c r="M2607" i="2"/>
  <c r="M2608" i="2"/>
  <c r="M2609" i="2"/>
  <c r="M2610" i="2"/>
  <c r="M2611" i="2"/>
  <c r="M2612" i="2"/>
  <c r="M2613" i="2"/>
  <c r="M2614" i="2"/>
  <c r="M2615" i="2"/>
  <c r="M2616" i="2"/>
  <c r="M2617" i="2"/>
  <c r="M2618" i="2"/>
  <c r="M2619" i="2"/>
  <c r="M2620" i="2"/>
  <c r="M2621" i="2"/>
  <c r="M2622" i="2"/>
  <c r="M2623" i="2"/>
  <c r="M2624" i="2"/>
  <c r="M2625" i="2"/>
  <c r="M2626" i="2"/>
  <c r="M2627" i="2"/>
  <c r="M2628" i="2"/>
  <c r="M2629" i="2"/>
  <c r="M2630" i="2"/>
  <c r="M2631" i="2"/>
  <c r="M2632" i="2"/>
  <c r="M2633" i="2"/>
  <c r="M2634" i="2"/>
  <c r="M2635" i="2"/>
  <c r="M2636" i="2"/>
  <c r="M2637" i="2"/>
  <c r="M2638" i="2"/>
  <c r="M2639" i="2"/>
  <c r="M2640" i="2"/>
  <c r="M2641" i="2"/>
  <c r="M2642" i="2"/>
  <c r="M2643" i="2"/>
  <c r="M2644" i="2"/>
  <c r="M2645" i="2"/>
  <c r="M2646" i="2"/>
  <c r="M2647" i="2"/>
  <c r="M2648" i="2"/>
  <c r="M2649" i="2"/>
  <c r="M2650" i="2"/>
  <c r="M2651" i="2"/>
  <c r="M2652" i="2"/>
  <c r="M2653" i="2"/>
  <c r="M2654" i="2"/>
  <c r="M2655" i="2"/>
  <c r="M2656" i="2"/>
  <c r="M2657" i="2"/>
  <c r="M2658" i="2"/>
  <c r="M2659" i="2"/>
  <c r="M2660" i="2"/>
  <c r="M2661" i="2"/>
  <c r="M2662" i="2"/>
  <c r="M2663" i="2"/>
  <c r="M2664" i="2"/>
  <c r="M2665" i="2"/>
  <c r="M2666" i="2"/>
  <c r="M2667" i="2"/>
  <c r="M2668" i="2"/>
  <c r="M2669" i="2"/>
  <c r="M2670" i="2"/>
  <c r="M2671" i="2"/>
  <c r="M2672" i="2"/>
  <c r="M2673" i="2"/>
  <c r="M2674" i="2"/>
  <c r="M2675" i="2"/>
  <c r="M2676" i="2"/>
  <c r="M2677" i="2"/>
  <c r="M2678" i="2"/>
  <c r="M2679" i="2"/>
  <c r="M2680" i="2"/>
  <c r="M2681" i="2"/>
  <c r="M2682" i="2"/>
  <c r="M2683" i="2"/>
  <c r="M2684" i="2"/>
  <c r="M2685" i="2"/>
  <c r="M2686" i="2"/>
  <c r="M2687" i="2"/>
  <c r="M2688" i="2"/>
  <c r="M2689" i="2"/>
  <c r="M2690" i="2"/>
  <c r="M2691" i="2"/>
  <c r="M2692" i="2"/>
  <c r="M2693" i="2"/>
  <c r="M2694" i="2"/>
  <c r="M2695" i="2"/>
  <c r="M2696" i="2"/>
  <c r="M2697" i="2"/>
  <c r="M2698" i="2"/>
  <c r="M2699" i="2"/>
  <c r="M2700" i="2"/>
  <c r="M2701" i="2"/>
  <c r="M2702" i="2"/>
  <c r="M2703" i="2"/>
  <c r="M2704" i="2"/>
  <c r="M2705" i="2"/>
  <c r="M2706" i="2"/>
  <c r="M2707" i="2"/>
  <c r="M2708" i="2"/>
  <c r="M2709" i="2"/>
  <c r="M2710" i="2"/>
  <c r="M2711" i="2"/>
  <c r="M2712" i="2"/>
  <c r="M2713" i="2"/>
  <c r="M2714" i="2"/>
  <c r="M2715" i="2"/>
  <c r="M2716" i="2"/>
  <c r="M2717" i="2"/>
  <c r="M2718" i="2"/>
  <c r="M2719" i="2"/>
  <c r="M2720" i="2"/>
  <c r="M2721" i="2"/>
  <c r="M2722" i="2"/>
  <c r="M2723" i="2"/>
  <c r="M2724" i="2"/>
  <c r="M2725" i="2"/>
  <c r="M2726" i="2"/>
  <c r="M2727" i="2"/>
  <c r="M2728" i="2"/>
  <c r="M2729" i="2"/>
  <c r="M2730" i="2"/>
  <c r="M2731" i="2"/>
  <c r="M2732" i="2"/>
  <c r="M2733" i="2"/>
  <c r="M2734" i="2"/>
  <c r="M2735" i="2"/>
  <c r="M2736" i="2"/>
  <c r="M2737" i="2"/>
  <c r="M2738" i="2"/>
  <c r="M2739" i="2"/>
  <c r="M2740" i="2"/>
  <c r="M2741" i="2"/>
  <c r="M2742" i="2"/>
  <c r="M2743" i="2"/>
  <c r="M2744" i="2"/>
  <c r="M2745" i="2"/>
  <c r="M2746" i="2"/>
  <c r="M2747" i="2"/>
  <c r="M2748" i="2"/>
  <c r="M2749" i="2"/>
  <c r="M2750" i="2"/>
  <c r="M2751" i="2"/>
  <c r="M2752" i="2"/>
  <c r="M2753" i="2"/>
  <c r="M2754" i="2"/>
  <c r="M2755" i="2"/>
  <c r="M2756" i="2"/>
  <c r="M2757" i="2"/>
  <c r="M2758" i="2"/>
  <c r="M2759" i="2"/>
  <c r="M2760" i="2"/>
  <c r="M2761" i="2"/>
  <c r="M2762" i="2"/>
  <c r="M2763" i="2"/>
  <c r="M2764" i="2"/>
  <c r="M2765" i="2"/>
  <c r="M2766" i="2"/>
  <c r="M2767" i="2"/>
  <c r="M2768" i="2"/>
  <c r="M2769" i="2"/>
  <c r="M2770" i="2"/>
  <c r="M2771" i="2"/>
  <c r="M2772" i="2"/>
  <c r="M2773" i="2"/>
  <c r="M2774" i="2"/>
  <c r="M2775" i="2"/>
  <c r="M2776" i="2"/>
  <c r="M2777" i="2"/>
  <c r="M2778" i="2"/>
  <c r="M2779" i="2"/>
  <c r="M2780" i="2"/>
  <c r="M2781" i="2"/>
  <c r="M2782" i="2"/>
  <c r="M2783" i="2"/>
  <c r="M2784" i="2"/>
  <c r="M2785" i="2"/>
  <c r="M2786" i="2"/>
  <c r="M2787" i="2"/>
  <c r="M2788" i="2"/>
  <c r="M2789" i="2"/>
  <c r="M2790" i="2"/>
  <c r="M2791" i="2"/>
  <c r="M2792" i="2"/>
  <c r="M2793" i="2"/>
  <c r="M2794" i="2"/>
  <c r="M2795" i="2"/>
  <c r="M2796" i="2"/>
  <c r="M2797" i="2"/>
  <c r="M2798" i="2"/>
  <c r="M2799" i="2"/>
  <c r="M2800" i="2"/>
  <c r="M2801" i="2"/>
  <c r="M2802" i="2"/>
  <c r="M2803" i="2"/>
  <c r="M2804" i="2"/>
  <c r="M2805" i="2"/>
  <c r="M2806" i="2"/>
  <c r="M2807" i="2"/>
  <c r="M2808" i="2"/>
  <c r="M2809" i="2"/>
  <c r="M2810" i="2"/>
  <c r="M2811" i="2"/>
  <c r="M2812" i="2"/>
  <c r="M2813" i="2"/>
  <c r="M2814" i="2"/>
  <c r="M2815" i="2"/>
  <c r="M2816" i="2"/>
  <c r="M2817" i="2"/>
  <c r="M2818" i="2"/>
  <c r="M2819" i="2"/>
  <c r="M2820" i="2"/>
  <c r="M2821" i="2"/>
  <c r="M2822" i="2"/>
  <c r="M2823" i="2"/>
  <c r="M2824" i="2"/>
  <c r="M2825" i="2"/>
  <c r="M2826" i="2"/>
  <c r="M2827" i="2"/>
  <c r="M2828" i="2"/>
  <c r="M2829" i="2"/>
  <c r="M2830" i="2"/>
  <c r="M2831" i="2"/>
  <c r="M2832" i="2"/>
  <c r="M2833" i="2"/>
  <c r="M2834" i="2"/>
  <c r="M2835" i="2"/>
  <c r="M2836" i="2"/>
  <c r="M2837" i="2"/>
  <c r="M2838" i="2"/>
  <c r="M2839" i="2"/>
  <c r="M2840" i="2"/>
  <c r="M2841" i="2"/>
  <c r="M2842" i="2"/>
  <c r="M2843" i="2"/>
  <c r="M2844" i="2"/>
  <c r="M2845" i="2"/>
  <c r="M2846" i="2"/>
  <c r="M2847" i="2"/>
  <c r="M2848" i="2"/>
  <c r="M2849" i="2"/>
  <c r="M2850" i="2"/>
  <c r="M2851" i="2"/>
  <c r="M2852" i="2"/>
  <c r="M2853" i="2"/>
  <c r="M2854" i="2"/>
  <c r="M2855" i="2"/>
  <c r="M2856" i="2"/>
  <c r="M2857" i="2"/>
  <c r="M2858" i="2"/>
  <c r="M2859" i="2"/>
  <c r="M2860" i="2"/>
  <c r="M2861" i="2"/>
  <c r="M2862" i="2"/>
  <c r="M2863" i="2"/>
  <c r="M2864" i="2"/>
  <c r="M2865" i="2"/>
  <c r="M2866" i="2"/>
  <c r="M2867" i="2"/>
  <c r="M2868" i="2"/>
  <c r="M2869" i="2"/>
  <c r="M2870" i="2"/>
  <c r="M2871" i="2"/>
  <c r="M2872" i="2"/>
  <c r="M2873" i="2"/>
  <c r="M2874" i="2"/>
  <c r="M2875" i="2"/>
  <c r="M2876" i="2"/>
  <c r="M2877" i="2"/>
  <c r="M2878" i="2"/>
  <c r="M2879" i="2"/>
  <c r="M2880" i="2"/>
  <c r="M2881" i="2"/>
  <c r="M2882" i="2"/>
  <c r="M2883" i="2"/>
  <c r="M2884" i="2"/>
  <c r="M2885" i="2"/>
  <c r="M2886" i="2"/>
  <c r="M2887" i="2"/>
  <c r="M2888" i="2"/>
  <c r="M2889" i="2"/>
  <c r="M2890" i="2"/>
  <c r="M2891" i="2"/>
  <c r="M2892" i="2"/>
  <c r="M2893" i="2"/>
  <c r="M2894" i="2"/>
  <c r="M2895" i="2"/>
  <c r="M2896" i="2"/>
  <c r="M2897" i="2"/>
  <c r="M2898" i="2"/>
  <c r="M2899" i="2"/>
  <c r="M2900" i="2"/>
  <c r="M2901" i="2"/>
  <c r="M2902" i="2"/>
  <c r="M2903" i="2"/>
  <c r="M2904" i="2"/>
  <c r="M2905" i="2"/>
  <c r="M2906" i="2"/>
  <c r="M2907" i="2"/>
  <c r="M2908" i="2"/>
  <c r="M2909" i="2"/>
  <c r="M2910" i="2"/>
  <c r="M2911" i="2"/>
  <c r="M2912" i="2"/>
  <c r="M2913" i="2"/>
  <c r="M2914" i="2"/>
  <c r="M2915" i="2"/>
  <c r="M2916" i="2"/>
  <c r="M2917" i="2"/>
  <c r="M2918" i="2"/>
  <c r="M2919" i="2"/>
  <c r="M2920" i="2"/>
  <c r="M2921" i="2"/>
  <c r="M2922" i="2"/>
  <c r="M2923" i="2"/>
  <c r="M2924" i="2"/>
  <c r="M2925" i="2"/>
  <c r="M2926" i="2"/>
  <c r="M2927" i="2"/>
  <c r="M2928" i="2"/>
  <c r="M2929" i="2"/>
  <c r="M2930" i="2"/>
  <c r="M2931" i="2"/>
  <c r="M2932" i="2"/>
  <c r="M2933" i="2"/>
  <c r="M2934" i="2"/>
  <c r="M2935" i="2"/>
  <c r="M2936" i="2"/>
  <c r="M2937" i="2"/>
  <c r="M2938" i="2"/>
  <c r="M2939" i="2"/>
  <c r="M2940" i="2"/>
  <c r="M2941" i="2"/>
  <c r="M2942" i="2"/>
  <c r="M2943" i="2"/>
  <c r="M2944" i="2"/>
  <c r="M2945" i="2"/>
  <c r="M2946" i="2"/>
  <c r="M2947" i="2"/>
  <c r="M2948" i="2"/>
  <c r="M2949" i="2"/>
  <c r="M2950" i="2"/>
  <c r="M2951" i="2"/>
  <c r="M2952" i="2"/>
  <c r="M2953" i="2"/>
  <c r="M2954" i="2"/>
  <c r="M2955" i="2"/>
  <c r="M2956" i="2"/>
  <c r="M2957" i="2"/>
  <c r="M2958" i="2"/>
  <c r="M2959" i="2"/>
  <c r="M2960" i="2"/>
  <c r="M2961" i="2"/>
  <c r="M2962" i="2"/>
  <c r="M2963" i="2"/>
  <c r="M2964" i="2"/>
  <c r="M2965" i="2"/>
  <c r="M2966" i="2"/>
  <c r="M2967" i="2"/>
  <c r="M2968" i="2"/>
  <c r="M2969" i="2"/>
  <c r="M2970" i="2"/>
  <c r="M2971" i="2"/>
  <c r="M2972" i="2"/>
  <c r="M2973" i="2"/>
  <c r="M2974" i="2"/>
  <c r="M2975" i="2"/>
  <c r="M2976" i="2"/>
  <c r="M2977" i="2"/>
  <c r="M2978" i="2"/>
  <c r="M2979" i="2"/>
  <c r="M2980" i="2"/>
  <c r="M2981" i="2"/>
  <c r="M2982" i="2"/>
  <c r="M2983" i="2"/>
  <c r="M2984" i="2"/>
  <c r="M2985" i="2"/>
  <c r="M2986" i="2"/>
  <c r="M2987" i="2"/>
  <c r="M2988" i="2"/>
  <c r="M2989" i="2"/>
  <c r="M2990" i="2"/>
  <c r="M2991" i="2"/>
  <c r="M2992" i="2"/>
  <c r="M2993" i="2"/>
  <c r="M2994" i="2"/>
  <c r="M2995" i="2"/>
  <c r="M2996" i="2"/>
  <c r="M2997" i="2"/>
  <c r="M2998" i="2"/>
  <c r="M2999" i="2"/>
  <c r="M3000" i="2"/>
  <c r="M3001" i="2"/>
  <c r="M3002" i="2"/>
  <c r="M3003" i="2"/>
  <c r="M3004" i="2"/>
  <c r="M3005" i="2"/>
  <c r="M3006" i="2"/>
  <c r="M3007" i="2"/>
  <c r="M3008" i="2"/>
  <c r="M3009" i="2"/>
  <c r="M3010" i="2"/>
  <c r="M3011" i="2"/>
  <c r="M3012" i="2"/>
  <c r="M3013" i="2"/>
  <c r="M3014" i="2"/>
  <c r="M3015" i="2"/>
  <c r="M3016" i="2"/>
  <c r="M3017" i="2"/>
  <c r="M3018" i="2"/>
  <c r="M3019" i="2"/>
  <c r="M3020" i="2"/>
  <c r="M3021" i="2"/>
  <c r="M3022" i="2"/>
  <c r="M3023" i="2"/>
  <c r="M3024" i="2"/>
  <c r="M3025" i="2"/>
  <c r="M3026" i="2"/>
  <c r="M3027" i="2"/>
  <c r="M3028" i="2"/>
  <c r="M3029" i="2"/>
  <c r="M3030" i="2"/>
  <c r="M3031" i="2"/>
  <c r="M3032" i="2"/>
  <c r="M3033" i="2"/>
  <c r="M3034" i="2"/>
  <c r="M3035" i="2"/>
  <c r="M3036" i="2"/>
  <c r="M3037" i="2"/>
  <c r="M3038" i="2"/>
  <c r="M3039" i="2"/>
  <c r="M3040" i="2"/>
  <c r="M3041" i="2"/>
  <c r="M3042" i="2"/>
  <c r="M3043" i="2"/>
  <c r="M3044" i="2"/>
  <c r="M3045" i="2"/>
  <c r="M3046" i="2"/>
  <c r="M3047" i="2"/>
  <c r="M3048" i="2"/>
  <c r="M3049" i="2"/>
  <c r="M3050" i="2"/>
  <c r="M3051" i="2"/>
  <c r="M3052" i="2"/>
  <c r="M3053" i="2"/>
  <c r="M3054" i="2"/>
  <c r="M3055" i="2"/>
  <c r="M3056" i="2"/>
  <c r="M3057" i="2"/>
  <c r="M3058" i="2"/>
  <c r="M3059" i="2"/>
  <c r="M3060" i="2"/>
  <c r="M3061" i="2"/>
  <c r="M3062" i="2"/>
  <c r="M3063" i="2"/>
  <c r="M3064" i="2"/>
  <c r="M3065" i="2"/>
  <c r="M3066" i="2"/>
  <c r="M3067" i="2"/>
  <c r="M3068" i="2"/>
  <c r="M3069" i="2"/>
  <c r="M3070" i="2"/>
  <c r="M3071" i="2"/>
  <c r="M3072" i="2"/>
  <c r="M3073" i="2"/>
  <c r="M3074" i="2"/>
  <c r="M3075" i="2"/>
  <c r="M3076" i="2"/>
  <c r="M3077" i="2"/>
  <c r="M3078" i="2"/>
  <c r="M3079" i="2"/>
  <c r="M3080" i="2"/>
  <c r="M3081" i="2"/>
  <c r="M3082" i="2"/>
  <c r="M3083" i="2"/>
  <c r="M3084" i="2"/>
  <c r="M3085" i="2"/>
  <c r="M3086" i="2"/>
  <c r="M3087" i="2"/>
  <c r="M3088" i="2"/>
  <c r="M3089" i="2"/>
  <c r="M3090" i="2"/>
  <c r="M3091" i="2"/>
  <c r="M3092" i="2"/>
  <c r="M3093" i="2"/>
  <c r="M3094" i="2"/>
  <c r="M3095" i="2"/>
  <c r="M3096" i="2"/>
  <c r="M3097" i="2"/>
  <c r="M3098" i="2"/>
  <c r="M3099" i="2"/>
  <c r="M3100" i="2"/>
  <c r="M3101" i="2"/>
  <c r="M3102" i="2"/>
  <c r="M3103" i="2"/>
  <c r="M3104" i="2"/>
  <c r="M3105" i="2"/>
  <c r="M3106" i="2"/>
  <c r="M3107" i="2"/>
  <c r="M3108" i="2"/>
  <c r="M3109" i="2"/>
  <c r="M3110" i="2"/>
  <c r="M3111" i="2"/>
  <c r="M3112" i="2"/>
  <c r="M3113" i="2"/>
  <c r="M3114" i="2"/>
  <c r="M3115" i="2"/>
  <c r="M3116" i="2"/>
  <c r="M3117" i="2"/>
  <c r="M3118" i="2"/>
  <c r="M3119" i="2"/>
  <c r="M3120" i="2"/>
  <c r="M3121" i="2"/>
  <c r="M3122" i="2"/>
  <c r="M3123" i="2"/>
  <c r="M3124" i="2"/>
  <c r="M3125" i="2"/>
  <c r="M3126" i="2"/>
  <c r="M3127" i="2"/>
  <c r="M3128" i="2"/>
  <c r="M3129" i="2"/>
  <c r="M3130" i="2"/>
  <c r="M3131" i="2"/>
  <c r="M3132" i="2"/>
  <c r="M3133" i="2"/>
  <c r="M3134" i="2"/>
  <c r="M3135" i="2"/>
  <c r="M3136" i="2"/>
  <c r="M3137" i="2"/>
  <c r="M3138" i="2"/>
  <c r="M3139" i="2"/>
  <c r="M3140" i="2"/>
  <c r="M3141" i="2"/>
  <c r="M3142" i="2"/>
  <c r="M3143" i="2"/>
  <c r="M3144" i="2"/>
  <c r="M3145" i="2"/>
  <c r="M3146" i="2"/>
  <c r="M3147" i="2"/>
  <c r="M3148" i="2"/>
  <c r="M3149" i="2"/>
  <c r="M3150" i="2"/>
  <c r="M3151" i="2"/>
  <c r="M3152" i="2"/>
  <c r="M3153" i="2"/>
  <c r="M3154" i="2"/>
  <c r="M3155" i="2"/>
  <c r="M3156" i="2"/>
  <c r="M3157" i="2"/>
  <c r="M3158" i="2"/>
  <c r="M3159" i="2"/>
  <c r="M3160" i="2"/>
  <c r="M3161" i="2"/>
  <c r="M3162" i="2"/>
  <c r="M3163" i="2"/>
  <c r="M3164" i="2"/>
  <c r="M3165" i="2"/>
  <c r="M3166" i="2"/>
  <c r="M3167" i="2"/>
  <c r="M3168" i="2"/>
  <c r="M3169" i="2"/>
  <c r="M3170" i="2"/>
  <c r="M3171" i="2"/>
  <c r="M3172" i="2"/>
  <c r="M3173" i="2"/>
  <c r="M3174" i="2"/>
  <c r="M3175" i="2"/>
  <c r="M3176" i="2"/>
  <c r="M3177" i="2"/>
  <c r="M3178" i="2"/>
  <c r="M3179" i="2"/>
  <c r="M3180" i="2"/>
  <c r="M3181" i="2"/>
  <c r="M3182" i="2"/>
  <c r="M3183" i="2"/>
  <c r="M3184" i="2"/>
  <c r="M3185" i="2"/>
  <c r="M3186" i="2"/>
  <c r="M3187" i="2"/>
  <c r="M3188" i="2"/>
  <c r="M3189" i="2"/>
  <c r="M3190" i="2"/>
  <c r="M3191" i="2"/>
  <c r="M3192" i="2"/>
  <c r="M3193" i="2"/>
  <c r="M3194" i="2"/>
  <c r="M3195" i="2"/>
  <c r="M3196" i="2"/>
  <c r="M3197" i="2"/>
  <c r="M3198" i="2"/>
  <c r="M3199" i="2"/>
  <c r="M3200" i="2"/>
  <c r="M3201" i="2"/>
  <c r="M3202" i="2"/>
  <c r="M3203" i="2"/>
  <c r="M3204" i="2"/>
  <c r="M3205" i="2"/>
  <c r="M3206" i="2"/>
  <c r="M3207" i="2"/>
  <c r="M3208" i="2"/>
  <c r="M3209" i="2"/>
  <c r="M3210" i="2"/>
  <c r="M3211" i="2"/>
  <c r="M3212" i="2"/>
  <c r="M3213" i="2"/>
  <c r="M3214" i="2"/>
  <c r="M3215" i="2"/>
  <c r="M3216" i="2"/>
  <c r="M3217" i="2"/>
  <c r="M3218" i="2"/>
  <c r="M3219" i="2"/>
  <c r="M3220" i="2"/>
  <c r="M3221" i="2"/>
  <c r="M3222" i="2"/>
  <c r="M3223" i="2"/>
  <c r="M3224" i="2"/>
  <c r="M3225" i="2"/>
  <c r="M3226" i="2"/>
  <c r="M3227" i="2"/>
  <c r="M3228" i="2"/>
  <c r="M3229" i="2"/>
  <c r="M3230" i="2"/>
  <c r="M3231" i="2"/>
  <c r="M3232" i="2"/>
  <c r="M3233" i="2"/>
  <c r="M3234" i="2"/>
  <c r="M3235" i="2"/>
  <c r="M3236" i="2"/>
  <c r="M3237" i="2"/>
  <c r="M3238" i="2"/>
  <c r="M3239" i="2"/>
  <c r="M3240" i="2"/>
  <c r="M3241" i="2"/>
  <c r="M3242" i="2"/>
  <c r="M3243" i="2"/>
  <c r="M3244" i="2"/>
  <c r="M3245" i="2"/>
  <c r="M3246" i="2"/>
  <c r="M3247" i="2"/>
  <c r="M3248" i="2"/>
  <c r="M3249" i="2"/>
  <c r="M3250" i="2"/>
  <c r="M3251" i="2"/>
  <c r="M3252" i="2"/>
  <c r="M3253" i="2"/>
  <c r="M3254" i="2"/>
  <c r="M3255" i="2"/>
  <c r="M3256" i="2"/>
  <c r="M3257" i="2"/>
  <c r="M3258" i="2"/>
  <c r="M3259" i="2"/>
  <c r="M3260" i="2"/>
  <c r="M3261" i="2"/>
  <c r="M3262" i="2"/>
  <c r="M3263" i="2"/>
  <c r="M3264" i="2"/>
  <c r="M3265" i="2"/>
  <c r="M3266" i="2"/>
  <c r="M3267" i="2"/>
  <c r="M3268" i="2"/>
  <c r="M3269" i="2"/>
  <c r="M3270" i="2"/>
  <c r="M3271" i="2"/>
  <c r="M3272" i="2"/>
  <c r="M3273" i="2"/>
  <c r="M3274" i="2"/>
  <c r="M3275" i="2"/>
  <c r="M3276" i="2"/>
  <c r="M3277" i="2"/>
  <c r="M3278" i="2"/>
  <c r="M3279" i="2"/>
  <c r="M3280" i="2"/>
  <c r="M3281" i="2"/>
  <c r="M3282" i="2"/>
  <c r="M3283" i="2"/>
  <c r="M3284" i="2"/>
  <c r="M3285" i="2"/>
  <c r="M3286" i="2"/>
  <c r="M3287" i="2"/>
  <c r="M3288" i="2"/>
  <c r="M3289" i="2"/>
  <c r="M3290" i="2"/>
  <c r="M3291" i="2"/>
  <c r="M3292" i="2"/>
  <c r="M3293" i="2"/>
  <c r="M3294" i="2"/>
  <c r="M3295" i="2"/>
  <c r="M3296" i="2"/>
  <c r="M3297" i="2"/>
  <c r="M3298" i="2"/>
  <c r="M3299" i="2"/>
  <c r="M3300" i="2"/>
  <c r="M3301" i="2"/>
  <c r="M3302" i="2"/>
  <c r="M3303" i="2"/>
  <c r="M3304" i="2"/>
  <c r="M3305" i="2"/>
  <c r="M3306" i="2"/>
  <c r="M3307" i="2"/>
  <c r="M3308" i="2"/>
  <c r="M3309" i="2"/>
  <c r="M3310" i="2"/>
  <c r="M3311" i="2"/>
  <c r="M3312" i="2"/>
  <c r="M3313" i="2"/>
  <c r="M3314" i="2"/>
  <c r="M3315" i="2"/>
  <c r="M3316" i="2"/>
  <c r="M3317" i="2"/>
  <c r="M3318" i="2"/>
  <c r="M3319" i="2"/>
  <c r="M3320" i="2"/>
  <c r="M3321" i="2"/>
  <c r="M3322" i="2"/>
  <c r="M3323" i="2"/>
  <c r="M3324" i="2"/>
  <c r="M3325" i="2"/>
  <c r="M3326" i="2"/>
  <c r="M3327" i="2"/>
  <c r="M3328" i="2"/>
  <c r="M3329" i="2"/>
  <c r="M3330" i="2"/>
  <c r="M3331" i="2"/>
  <c r="M3332" i="2"/>
  <c r="M3333" i="2"/>
  <c r="M3334" i="2"/>
  <c r="M3335" i="2"/>
  <c r="M3336" i="2"/>
  <c r="M3337" i="2"/>
  <c r="M3338" i="2"/>
  <c r="M3339" i="2"/>
  <c r="M3340" i="2"/>
  <c r="M3341" i="2"/>
  <c r="M3342" i="2"/>
  <c r="M3343" i="2"/>
  <c r="M3344" i="2"/>
  <c r="M3345" i="2"/>
  <c r="M3346" i="2"/>
  <c r="M3347" i="2"/>
  <c r="M3348" i="2"/>
  <c r="M3349" i="2"/>
  <c r="M3350" i="2"/>
  <c r="M3351" i="2"/>
  <c r="M3352" i="2"/>
  <c r="M3353" i="2"/>
  <c r="M3354" i="2"/>
  <c r="M3355" i="2"/>
  <c r="M3356" i="2"/>
  <c r="M3357" i="2"/>
  <c r="M3358" i="2"/>
  <c r="M3359" i="2"/>
  <c r="M3360" i="2"/>
  <c r="M3361" i="2"/>
  <c r="M3362" i="2"/>
  <c r="M3363" i="2"/>
  <c r="M3364" i="2"/>
  <c r="M3365" i="2"/>
  <c r="M3366" i="2"/>
  <c r="M3367" i="2"/>
  <c r="M3368" i="2"/>
  <c r="M3369" i="2"/>
  <c r="M3370" i="2"/>
  <c r="M3371" i="2"/>
  <c r="M3372" i="2"/>
  <c r="M3373" i="2"/>
  <c r="M3374" i="2"/>
  <c r="M3375" i="2"/>
  <c r="M3376" i="2"/>
  <c r="M3377" i="2"/>
  <c r="M3378" i="2"/>
  <c r="M3379" i="2"/>
  <c r="M3380" i="2"/>
  <c r="M3381" i="2"/>
  <c r="M3382" i="2"/>
  <c r="M3383" i="2"/>
  <c r="M3384" i="2"/>
  <c r="M3385" i="2"/>
  <c r="M3386" i="2"/>
  <c r="M3387" i="2"/>
  <c r="M3388" i="2"/>
  <c r="M3389" i="2"/>
  <c r="M3390" i="2"/>
  <c r="M3391" i="2"/>
  <c r="M3392" i="2"/>
  <c r="M3393" i="2"/>
  <c r="M3394" i="2"/>
  <c r="M3395" i="2"/>
  <c r="M3396" i="2"/>
  <c r="M3397" i="2"/>
  <c r="M3398" i="2"/>
  <c r="M3399" i="2"/>
  <c r="M3400" i="2"/>
  <c r="M3401" i="2"/>
  <c r="M3402" i="2"/>
  <c r="M3403" i="2"/>
  <c r="M3404" i="2"/>
  <c r="M3405" i="2"/>
  <c r="M3406" i="2"/>
  <c r="M3407" i="2"/>
  <c r="M3408" i="2"/>
  <c r="M3409" i="2"/>
  <c r="M3410" i="2"/>
  <c r="M3411" i="2"/>
  <c r="M3412" i="2"/>
  <c r="M3413" i="2"/>
  <c r="M3414" i="2"/>
  <c r="M3415" i="2"/>
  <c r="M3416" i="2"/>
  <c r="M3417" i="2"/>
  <c r="M3418" i="2"/>
  <c r="M3419" i="2"/>
  <c r="M3420" i="2"/>
  <c r="M3421" i="2"/>
  <c r="M3422" i="2"/>
  <c r="M3423" i="2"/>
  <c r="M3424" i="2"/>
  <c r="M3425" i="2"/>
  <c r="M3426" i="2"/>
  <c r="M3427" i="2"/>
  <c r="M3428" i="2"/>
  <c r="M3429" i="2"/>
  <c r="M3430" i="2"/>
  <c r="M3431" i="2"/>
  <c r="M3432" i="2"/>
  <c r="M3433" i="2"/>
  <c r="M3434" i="2"/>
  <c r="M3435" i="2"/>
  <c r="M3436" i="2"/>
  <c r="M3437" i="2"/>
  <c r="M3438" i="2"/>
  <c r="M3439" i="2"/>
  <c r="M3440" i="2"/>
  <c r="M3441" i="2"/>
  <c r="M3442" i="2"/>
  <c r="M3443" i="2"/>
  <c r="M3444" i="2"/>
  <c r="M3445" i="2"/>
  <c r="M3446" i="2"/>
  <c r="M3447" i="2"/>
  <c r="M3448" i="2"/>
  <c r="M3449" i="2"/>
  <c r="M3450" i="2"/>
  <c r="M3451" i="2"/>
  <c r="M3452" i="2"/>
  <c r="M3453" i="2"/>
  <c r="M3454" i="2"/>
  <c r="M3455" i="2"/>
  <c r="M3456" i="2"/>
  <c r="M3457" i="2"/>
  <c r="M3458" i="2"/>
  <c r="M3459" i="2"/>
  <c r="M3460" i="2"/>
  <c r="M3461" i="2"/>
  <c r="M3462" i="2"/>
  <c r="M3463" i="2"/>
  <c r="M3464" i="2"/>
  <c r="M3465" i="2"/>
  <c r="M3466" i="2"/>
  <c r="M3467" i="2"/>
  <c r="M3468" i="2"/>
  <c r="M3469" i="2"/>
  <c r="M3470" i="2"/>
  <c r="M3471" i="2"/>
  <c r="M3472" i="2"/>
  <c r="M3473" i="2"/>
  <c r="M3474" i="2"/>
  <c r="M3475" i="2"/>
  <c r="M3476" i="2"/>
  <c r="M3477" i="2"/>
  <c r="M3478" i="2"/>
  <c r="M3479" i="2"/>
  <c r="M3480" i="2"/>
  <c r="M3481" i="2"/>
  <c r="M3482" i="2"/>
  <c r="M3483" i="2"/>
  <c r="M3484" i="2"/>
  <c r="M3485" i="2"/>
  <c r="M3486" i="2"/>
  <c r="M3487" i="2"/>
  <c r="M3488" i="2"/>
  <c r="M3489" i="2"/>
  <c r="M3490" i="2"/>
  <c r="M3491" i="2"/>
  <c r="M3492" i="2"/>
  <c r="M3493" i="2"/>
  <c r="M3494" i="2"/>
  <c r="M3495" i="2"/>
  <c r="M3496" i="2"/>
  <c r="M3497" i="2"/>
  <c r="M3498" i="2"/>
  <c r="M3499" i="2"/>
  <c r="M3500" i="2"/>
  <c r="M3501" i="2"/>
  <c r="M3502" i="2"/>
  <c r="M3503" i="2"/>
  <c r="M3504" i="2"/>
  <c r="M3505" i="2"/>
  <c r="M3506" i="2"/>
  <c r="M3507" i="2"/>
  <c r="M3508" i="2"/>
  <c r="M3509" i="2"/>
  <c r="M3510" i="2"/>
  <c r="M3511" i="2"/>
  <c r="M3512" i="2"/>
  <c r="M3513" i="2"/>
  <c r="M3514" i="2"/>
  <c r="M3515" i="2"/>
  <c r="M3516" i="2"/>
  <c r="M3517" i="2"/>
  <c r="M3518" i="2"/>
  <c r="M3519" i="2"/>
  <c r="M3520" i="2"/>
  <c r="M3521" i="2"/>
  <c r="M3522" i="2"/>
  <c r="M3523" i="2"/>
  <c r="M3524" i="2"/>
  <c r="M3525" i="2"/>
  <c r="M3526" i="2"/>
  <c r="M3527" i="2"/>
  <c r="M3528" i="2"/>
  <c r="M3529" i="2"/>
  <c r="M3530" i="2"/>
  <c r="M3531" i="2"/>
  <c r="M3532" i="2"/>
  <c r="M3533" i="2"/>
  <c r="M3534" i="2"/>
  <c r="M3535" i="2"/>
  <c r="M3536" i="2"/>
  <c r="M3537" i="2"/>
  <c r="M3538" i="2"/>
  <c r="M3539" i="2"/>
  <c r="M3540" i="2"/>
  <c r="M3541" i="2"/>
  <c r="M3542" i="2"/>
  <c r="M3543" i="2"/>
  <c r="M3544" i="2"/>
  <c r="M3545" i="2"/>
  <c r="M3546" i="2"/>
  <c r="M3547" i="2"/>
  <c r="M3548" i="2"/>
  <c r="M3549" i="2"/>
  <c r="M3550" i="2"/>
  <c r="M3551" i="2"/>
  <c r="M3552" i="2"/>
  <c r="M3553" i="2"/>
  <c r="M3554" i="2"/>
  <c r="M3555" i="2"/>
  <c r="M3556" i="2"/>
  <c r="M3557" i="2"/>
  <c r="M3558" i="2"/>
  <c r="M3559" i="2"/>
  <c r="M3560" i="2"/>
  <c r="M3561" i="2"/>
  <c r="M3562" i="2"/>
  <c r="M3563" i="2"/>
  <c r="M3564" i="2"/>
  <c r="M3565" i="2"/>
  <c r="M3566" i="2"/>
  <c r="M3567" i="2"/>
  <c r="M3568" i="2"/>
  <c r="M3569" i="2"/>
  <c r="M3570" i="2"/>
  <c r="M3571" i="2"/>
  <c r="M3572" i="2"/>
  <c r="M3573" i="2"/>
  <c r="M3574" i="2"/>
  <c r="M3575" i="2"/>
  <c r="M3576" i="2"/>
  <c r="M3577" i="2"/>
  <c r="M3578" i="2"/>
  <c r="M3579" i="2"/>
  <c r="M3580" i="2"/>
  <c r="M3581" i="2"/>
  <c r="M3582" i="2"/>
  <c r="M3583" i="2"/>
  <c r="M3584" i="2"/>
  <c r="M3585" i="2"/>
  <c r="M3586" i="2"/>
  <c r="M3587" i="2"/>
  <c r="M3588" i="2"/>
  <c r="M3589" i="2"/>
  <c r="M3590" i="2"/>
  <c r="M3591" i="2"/>
  <c r="M3592" i="2"/>
  <c r="M3593" i="2"/>
  <c r="M3594" i="2"/>
  <c r="M3595" i="2"/>
  <c r="M3596" i="2"/>
  <c r="M3597" i="2"/>
  <c r="M3598" i="2"/>
  <c r="M3599" i="2"/>
  <c r="M3600" i="2"/>
  <c r="M3601" i="2"/>
  <c r="M3602" i="2"/>
  <c r="M3603" i="2"/>
  <c r="M3604" i="2"/>
  <c r="M3605" i="2"/>
  <c r="M3606" i="2"/>
  <c r="M3607" i="2"/>
  <c r="M3608" i="2"/>
  <c r="M3609" i="2"/>
  <c r="M3610" i="2"/>
  <c r="M3611" i="2"/>
  <c r="M3612" i="2"/>
  <c r="M3613" i="2"/>
  <c r="M3614" i="2"/>
  <c r="M3615" i="2"/>
  <c r="M3616" i="2"/>
  <c r="M3617" i="2"/>
  <c r="M3618" i="2"/>
  <c r="M3619" i="2"/>
  <c r="M3620" i="2"/>
  <c r="M3621" i="2"/>
  <c r="M3622" i="2"/>
  <c r="M3623" i="2"/>
  <c r="M3624" i="2"/>
  <c r="M3625" i="2"/>
  <c r="M3626" i="2"/>
  <c r="M3627" i="2"/>
  <c r="M3628" i="2"/>
  <c r="M3629" i="2"/>
  <c r="M3630" i="2"/>
  <c r="M3631" i="2"/>
  <c r="M3632" i="2"/>
  <c r="M3633" i="2"/>
  <c r="M3634" i="2"/>
  <c r="M3635" i="2"/>
  <c r="M3636" i="2"/>
  <c r="M3637" i="2"/>
  <c r="M3638" i="2"/>
  <c r="M3639" i="2"/>
  <c r="M3640" i="2"/>
  <c r="M3641" i="2"/>
  <c r="M3642" i="2"/>
  <c r="M3643" i="2"/>
  <c r="M3644" i="2"/>
  <c r="M3645" i="2"/>
  <c r="M3646" i="2"/>
  <c r="M3647" i="2"/>
  <c r="M3648" i="2"/>
  <c r="M3649" i="2"/>
  <c r="M3650" i="2"/>
  <c r="M3651" i="2"/>
  <c r="M3652" i="2"/>
  <c r="M3653" i="2"/>
  <c r="M3654" i="2"/>
  <c r="M3655" i="2"/>
  <c r="M3656" i="2"/>
  <c r="M3657" i="2"/>
  <c r="M3658" i="2"/>
  <c r="M3659" i="2"/>
  <c r="M3660" i="2"/>
  <c r="M3661" i="2"/>
  <c r="M3662" i="2"/>
  <c r="M3663" i="2"/>
  <c r="M3664" i="2"/>
  <c r="M3665" i="2"/>
  <c r="M3666" i="2"/>
  <c r="M3667" i="2"/>
  <c r="M3668" i="2"/>
  <c r="M3669" i="2"/>
  <c r="M3670" i="2"/>
  <c r="M3671" i="2"/>
  <c r="M3672" i="2"/>
  <c r="M3673" i="2"/>
  <c r="M3674" i="2"/>
  <c r="M3675" i="2"/>
  <c r="M3676" i="2"/>
  <c r="M3677" i="2"/>
  <c r="M3678" i="2"/>
  <c r="M3679" i="2"/>
  <c r="M3680" i="2"/>
  <c r="M3681" i="2"/>
  <c r="M3682" i="2"/>
  <c r="M3683" i="2"/>
  <c r="M3684" i="2"/>
  <c r="M3685" i="2"/>
  <c r="M3686" i="2"/>
  <c r="M3687" i="2"/>
  <c r="M3688" i="2"/>
  <c r="M3689" i="2"/>
  <c r="M3690" i="2"/>
  <c r="M3691" i="2"/>
  <c r="M3692" i="2"/>
  <c r="M3693" i="2"/>
  <c r="M3694" i="2"/>
  <c r="M3695" i="2"/>
  <c r="M3696" i="2"/>
  <c r="M3697" i="2"/>
  <c r="M3698" i="2"/>
  <c r="M3699" i="2"/>
  <c r="M3700" i="2"/>
  <c r="M3701" i="2"/>
  <c r="M3702" i="2"/>
  <c r="M3703" i="2"/>
  <c r="M3704" i="2"/>
  <c r="M3705" i="2"/>
  <c r="M3706" i="2"/>
  <c r="M3707" i="2"/>
  <c r="M3708" i="2"/>
  <c r="M3709" i="2"/>
  <c r="M3710" i="2"/>
  <c r="M3711" i="2"/>
  <c r="M3712" i="2"/>
  <c r="M3713" i="2"/>
  <c r="M3714" i="2"/>
  <c r="M3715" i="2"/>
  <c r="M3716" i="2"/>
  <c r="M3717" i="2"/>
  <c r="M3718" i="2"/>
  <c r="M3719" i="2"/>
  <c r="M3720" i="2"/>
  <c r="M3721" i="2"/>
  <c r="M3722" i="2"/>
  <c r="M3723" i="2"/>
  <c r="M3724" i="2"/>
  <c r="M3725" i="2"/>
  <c r="M3726" i="2"/>
  <c r="M3727" i="2"/>
  <c r="M3728" i="2"/>
  <c r="M3729" i="2"/>
  <c r="M3730" i="2"/>
  <c r="M3731" i="2"/>
  <c r="M3732" i="2"/>
  <c r="M3733" i="2"/>
  <c r="M3734" i="2"/>
  <c r="M3735" i="2"/>
  <c r="M3736" i="2"/>
  <c r="M3737" i="2"/>
  <c r="M3738" i="2"/>
  <c r="M3739" i="2"/>
  <c r="M3740" i="2"/>
  <c r="M3741" i="2"/>
  <c r="M3742" i="2"/>
  <c r="M3743" i="2"/>
  <c r="M3744" i="2"/>
  <c r="M3745" i="2"/>
  <c r="M3746" i="2"/>
  <c r="M3747" i="2"/>
  <c r="M3748" i="2"/>
  <c r="M3749" i="2"/>
  <c r="M3750" i="2"/>
  <c r="M3751" i="2"/>
  <c r="M3752" i="2"/>
  <c r="M3753" i="2"/>
  <c r="M3754" i="2"/>
  <c r="M3755" i="2"/>
  <c r="M3756" i="2"/>
  <c r="M3757" i="2"/>
  <c r="M3758" i="2"/>
  <c r="M3759" i="2"/>
  <c r="M3760" i="2"/>
  <c r="M3761" i="2"/>
  <c r="M3762" i="2"/>
  <c r="M3763" i="2"/>
  <c r="M3764" i="2"/>
  <c r="M3765" i="2"/>
  <c r="M3766" i="2"/>
  <c r="M3767" i="2"/>
  <c r="M3768" i="2"/>
  <c r="M3769" i="2"/>
  <c r="M3770" i="2"/>
  <c r="M3771" i="2"/>
  <c r="M3772" i="2"/>
  <c r="M3773" i="2"/>
  <c r="M3774" i="2"/>
  <c r="M3775" i="2"/>
  <c r="M3776" i="2"/>
  <c r="M3777" i="2"/>
  <c r="M3778" i="2"/>
  <c r="M3779" i="2"/>
  <c r="M3780" i="2"/>
  <c r="M3781" i="2"/>
  <c r="M3782" i="2"/>
  <c r="M3783" i="2"/>
  <c r="M3784" i="2"/>
  <c r="M3785" i="2"/>
  <c r="M3786" i="2"/>
  <c r="M3787" i="2"/>
  <c r="M3788" i="2"/>
  <c r="M3789" i="2"/>
  <c r="M3790" i="2"/>
  <c r="M3791" i="2"/>
  <c r="M3792" i="2"/>
  <c r="M3793" i="2"/>
  <c r="M3794" i="2"/>
  <c r="M3795" i="2"/>
  <c r="M3796" i="2"/>
  <c r="M3797" i="2"/>
  <c r="M3798" i="2"/>
  <c r="M3799" i="2"/>
  <c r="M3800" i="2"/>
  <c r="M3801" i="2"/>
  <c r="M3802" i="2"/>
  <c r="M3803" i="2"/>
  <c r="M3804" i="2"/>
  <c r="M3805" i="2"/>
  <c r="M3806" i="2"/>
  <c r="M3807" i="2"/>
  <c r="M3808" i="2"/>
  <c r="M3809" i="2"/>
  <c r="M3810" i="2"/>
  <c r="M3811" i="2"/>
  <c r="M3812" i="2"/>
  <c r="M3813" i="2"/>
  <c r="M3814" i="2"/>
  <c r="M3815" i="2"/>
  <c r="M3816" i="2"/>
  <c r="M3817" i="2"/>
  <c r="M3818" i="2"/>
  <c r="M3819" i="2"/>
  <c r="M3820" i="2"/>
  <c r="M3821" i="2"/>
  <c r="M3822" i="2"/>
  <c r="M3823" i="2"/>
  <c r="M3824" i="2"/>
  <c r="M3825" i="2"/>
  <c r="M3826" i="2"/>
  <c r="M3827" i="2"/>
  <c r="M3828" i="2"/>
  <c r="M3829" i="2"/>
  <c r="M3830" i="2"/>
  <c r="M3831" i="2"/>
  <c r="M3832" i="2"/>
  <c r="M3833" i="2"/>
  <c r="M3834" i="2"/>
  <c r="M3835" i="2"/>
  <c r="M3836" i="2"/>
  <c r="M3837" i="2"/>
  <c r="M3838" i="2"/>
  <c r="M3839" i="2"/>
  <c r="M3840" i="2"/>
  <c r="M3841" i="2"/>
  <c r="M3842" i="2"/>
  <c r="M3843" i="2"/>
  <c r="M3844" i="2"/>
  <c r="M3845" i="2"/>
  <c r="M3846" i="2"/>
  <c r="M3847" i="2"/>
  <c r="M3848" i="2"/>
  <c r="M3849" i="2"/>
  <c r="M3850" i="2"/>
  <c r="M3851" i="2"/>
  <c r="M3852" i="2"/>
  <c r="M3853" i="2"/>
  <c r="M3854" i="2"/>
  <c r="M3855" i="2"/>
  <c r="M3856" i="2"/>
  <c r="M3857" i="2"/>
  <c r="M3858" i="2"/>
  <c r="M3859" i="2"/>
  <c r="M3860" i="2"/>
  <c r="M3861" i="2"/>
  <c r="M3862" i="2"/>
  <c r="M3863" i="2"/>
  <c r="M3864" i="2"/>
  <c r="M3865" i="2"/>
  <c r="M3866" i="2"/>
  <c r="M3867" i="2"/>
  <c r="M3868" i="2"/>
  <c r="M3869" i="2"/>
  <c r="M3870" i="2"/>
  <c r="M3871" i="2"/>
  <c r="M3872" i="2"/>
  <c r="M3873" i="2"/>
  <c r="M3874" i="2"/>
  <c r="M3875" i="2"/>
  <c r="M3876" i="2"/>
  <c r="M3877" i="2"/>
  <c r="M3878" i="2"/>
  <c r="M3879" i="2"/>
  <c r="M3880" i="2"/>
  <c r="M3881" i="2"/>
  <c r="M3882" i="2"/>
  <c r="M3883" i="2"/>
  <c r="M3884" i="2"/>
  <c r="M3885" i="2"/>
  <c r="M3886" i="2"/>
  <c r="M3887" i="2"/>
  <c r="M3888" i="2"/>
  <c r="M3889" i="2"/>
  <c r="M3890" i="2"/>
  <c r="M3891" i="2"/>
  <c r="M3892" i="2"/>
  <c r="M3893" i="2"/>
  <c r="M3894" i="2"/>
  <c r="M3895" i="2"/>
  <c r="M3896" i="2"/>
  <c r="M3897" i="2"/>
  <c r="M3898" i="2"/>
  <c r="M3899" i="2"/>
  <c r="M3900" i="2"/>
  <c r="M3901" i="2"/>
  <c r="M3902" i="2"/>
  <c r="M3903" i="2"/>
  <c r="M3904" i="2"/>
  <c r="M3905" i="2"/>
  <c r="M3906" i="2"/>
  <c r="M3907" i="2"/>
  <c r="M3908" i="2"/>
  <c r="M3909" i="2"/>
  <c r="M3910" i="2"/>
  <c r="M3911" i="2"/>
  <c r="M3912" i="2"/>
  <c r="M3913" i="2"/>
  <c r="M3914" i="2"/>
  <c r="M3915" i="2"/>
  <c r="M3916" i="2"/>
  <c r="M3917" i="2"/>
  <c r="M3918" i="2"/>
  <c r="M3919" i="2"/>
  <c r="M3920" i="2"/>
  <c r="M3921" i="2"/>
  <c r="M3922" i="2"/>
  <c r="M3923" i="2"/>
  <c r="M3924" i="2"/>
  <c r="M3925" i="2"/>
  <c r="M3926" i="2"/>
  <c r="M3927" i="2"/>
  <c r="M3928" i="2"/>
  <c r="M3929" i="2"/>
  <c r="M3930" i="2"/>
  <c r="M3931" i="2"/>
  <c r="M3932" i="2"/>
  <c r="M3933" i="2"/>
  <c r="M3934" i="2"/>
  <c r="M3935" i="2"/>
  <c r="M3936" i="2"/>
  <c r="M3937" i="2"/>
  <c r="M3938" i="2"/>
  <c r="M3939" i="2"/>
  <c r="M3940" i="2"/>
  <c r="M3941" i="2"/>
  <c r="M3942" i="2"/>
  <c r="M3943" i="2"/>
  <c r="M3944" i="2"/>
  <c r="M3945" i="2"/>
  <c r="M3946" i="2"/>
  <c r="M3947" i="2"/>
  <c r="M3948" i="2"/>
  <c r="M3949" i="2"/>
  <c r="M3950" i="2"/>
  <c r="M3951" i="2"/>
  <c r="M3952" i="2"/>
  <c r="M3953" i="2"/>
  <c r="M3954" i="2"/>
  <c r="M3955" i="2"/>
  <c r="M3956" i="2"/>
  <c r="M3957" i="2"/>
  <c r="M3958" i="2"/>
  <c r="M3959" i="2"/>
  <c r="M3960" i="2"/>
  <c r="M3961" i="2"/>
  <c r="M3962" i="2"/>
  <c r="M3963" i="2"/>
  <c r="M3964" i="2"/>
  <c r="M3965" i="2"/>
  <c r="M3966" i="2"/>
  <c r="M3967" i="2"/>
  <c r="M3968" i="2"/>
  <c r="M3969" i="2"/>
  <c r="M3970" i="2"/>
  <c r="M3971" i="2"/>
  <c r="M3972" i="2"/>
  <c r="M3973" i="2"/>
  <c r="M3974" i="2"/>
  <c r="M3975" i="2"/>
  <c r="M3976" i="2"/>
  <c r="M3977" i="2"/>
  <c r="M3978" i="2"/>
  <c r="M3979" i="2"/>
  <c r="M3980" i="2"/>
  <c r="M3981" i="2"/>
  <c r="M3982" i="2"/>
  <c r="M3983" i="2"/>
  <c r="M3984" i="2"/>
  <c r="M3985" i="2"/>
  <c r="M3986" i="2"/>
  <c r="M3987" i="2"/>
  <c r="M3988" i="2"/>
  <c r="M3989" i="2"/>
  <c r="M3990" i="2"/>
  <c r="M3991" i="2"/>
  <c r="M3992" i="2"/>
  <c r="M3993" i="2"/>
  <c r="M3994" i="2"/>
  <c r="M3995" i="2"/>
  <c r="M3996" i="2"/>
  <c r="M3997" i="2"/>
  <c r="M3998" i="2"/>
  <c r="M3999" i="2"/>
  <c r="M4000" i="2"/>
  <c r="M4001" i="2"/>
  <c r="M4002" i="2"/>
  <c r="M4003" i="2"/>
  <c r="M4004" i="2"/>
  <c r="M4005" i="2"/>
  <c r="M4006" i="2"/>
  <c r="M4007" i="2"/>
  <c r="M4008" i="2"/>
  <c r="M4009" i="2"/>
  <c r="M4010" i="2"/>
  <c r="M4011" i="2"/>
  <c r="M4012" i="2"/>
  <c r="M4013" i="2"/>
  <c r="M4014" i="2"/>
  <c r="M4015" i="2"/>
  <c r="M4016" i="2"/>
  <c r="M4017" i="2"/>
  <c r="M4018" i="2"/>
  <c r="M4019" i="2"/>
  <c r="M4020" i="2"/>
  <c r="M4021" i="2"/>
  <c r="M4022" i="2"/>
  <c r="M4023" i="2"/>
  <c r="M4024" i="2"/>
  <c r="M4025" i="2"/>
  <c r="M4026" i="2"/>
  <c r="M4027" i="2"/>
  <c r="M4028" i="2"/>
  <c r="M4029" i="2"/>
  <c r="M4030" i="2"/>
  <c r="M4031" i="2"/>
  <c r="M4032" i="2"/>
  <c r="M4033" i="2"/>
  <c r="M4034" i="2"/>
  <c r="M4035" i="2"/>
  <c r="M4036" i="2"/>
  <c r="M4037" i="2"/>
  <c r="M4038" i="2"/>
  <c r="M4039" i="2"/>
  <c r="M4040" i="2"/>
  <c r="M4041" i="2"/>
  <c r="M4042" i="2"/>
  <c r="M4043" i="2"/>
  <c r="M4044" i="2"/>
  <c r="M4045" i="2"/>
  <c r="M4046" i="2"/>
  <c r="M4047" i="2"/>
  <c r="M4048" i="2"/>
  <c r="M4049" i="2"/>
  <c r="M4050" i="2"/>
  <c r="M4051" i="2"/>
  <c r="M4052" i="2"/>
  <c r="M4053" i="2"/>
  <c r="M4054" i="2"/>
  <c r="M4055" i="2"/>
  <c r="M4056" i="2"/>
  <c r="M4057" i="2"/>
  <c r="M4058" i="2"/>
  <c r="M4059" i="2"/>
  <c r="M4060" i="2"/>
  <c r="M4061" i="2"/>
  <c r="M4062" i="2"/>
  <c r="M4063" i="2"/>
  <c r="M4064" i="2"/>
  <c r="M4065" i="2"/>
  <c r="M4066" i="2"/>
  <c r="M4067" i="2"/>
  <c r="M4068" i="2"/>
  <c r="M4069" i="2"/>
  <c r="M4070" i="2"/>
  <c r="M4071" i="2"/>
  <c r="M4072" i="2"/>
  <c r="M4073" i="2"/>
  <c r="M4074" i="2"/>
  <c r="M4075" i="2"/>
  <c r="M4076" i="2"/>
  <c r="M4077" i="2"/>
  <c r="M4078" i="2"/>
  <c r="M4079" i="2"/>
  <c r="M4080" i="2"/>
  <c r="M4081" i="2"/>
  <c r="M4082" i="2"/>
  <c r="M4083" i="2"/>
  <c r="M4084" i="2"/>
  <c r="M4085" i="2"/>
  <c r="M4086" i="2"/>
  <c r="M4087" i="2"/>
  <c r="M4088" i="2"/>
  <c r="M4089" i="2"/>
  <c r="M4090" i="2"/>
  <c r="M4091" i="2"/>
  <c r="M4092" i="2"/>
  <c r="M4093" i="2"/>
  <c r="M4094" i="2"/>
  <c r="M4095" i="2"/>
  <c r="M4096" i="2"/>
  <c r="M4097" i="2"/>
  <c r="M4098" i="2"/>
  <c r="M4099" i="2"/>
  <c r="M4100" i="2"/>
  <c r="M4101" i="2"/>
  <c r="M4102" i="2"/>
  <c r="M4103" i="2"/>
  <c r="M4104" i="2"/>
  <c r="M4105" i="2"/>
  <c r="M4106" i="2"/>
  <c r="M4107" i="2"/>
  <c r="M4108" i="2"/>
  <c r="M4109" i="2"/>
  <c r="M4110" i="2"/>
  <c r="M4111" i="2"/>
  <c r="M4112" i="2"/>
  <c r="M4113" i="2"/>
  <c r="M4114" i="2"/>
  <c r="M4115" i="2"/>
  <c r="M4116" i="2"/>
  <c r="M4117" i="2"/>
  <c r="M4118" i="2"/>
  <c r="M4119" i="2"/>
  <c r="M4120" i="2"/>
  <c r="M4121" i="2"/>
  <c r="M4122" i="2"/>
  <c r="M4123" i="2"/>
  <c r="M4124" i="2"/>
  <c r="M4125" i="2"/>
  <c r="M4126" i="2"/>
  <c r="M4127" i="2"/>
  <c r="M4128" i="2"/>
  <c r="M4129" i="2"/>
  <c r="M4130" i="2"/>
  <c r="M4131" i="2"/>
  <c r="M4132" i="2"/>
  <c r="M4133" i="2"/>
  <c r="M4134" i="2"/>
  <c r="M4135" i="2"/>
  <c r="M4136" i="2"/>
  <c r="M4137" i="2"/>
  <c r="M4138" i="2"/>
  <c r="M4139" i="2"/>
  <c r="M4140" i="2"/>
  <c r="M4141" i="2"/>
  <c r="M4142" i="2"/>
  <c r="M4143" i="2"/>
  <c r="M4144" i="2"/>
  <c r="M4145" i="2"/>
  <c r="M4146" i="2"/>
  <c r="M4147" i="2"/>
  <c r="M4148" i="2"/>
  <c r="M4149" i="2"/>
  <c r="M4150" i="2"/>
  <c r="M4151" i="2"/>
  <c r="M4152" i="2"/>
  <c r="M4153" i="2"/>
  <c r="M4154" i="2"/>
  <c r="M4155" i="2"/>
  <c r="M4156" i="2"/>
  <c r="M4157" i="2"/>
  <c r="M4158" i="2"/>
  <c r="M4159" i="2"/>
  <c r="M4160" i="2"/>
  <c r="M4161" i="2"/>
  <c r="M4162" i="2"/>
  <c r="M4163" i="2"/>
  <c r="M4164" i="2"/>
  <c r="M4165" i="2"/>
  <c r="M4166" i="2"/>
  <c r="M4167" i="2"/>
  <c r="M4168" i="2"/>
  <c r="M4169" i="2"/>
  <c r="M4170" i="2"/>
  <c r="M4171" i="2"/>
  <c r="M4172" i="2"/>
  <c r="M4173" i="2"/>
  <c r="M4174" i="2"/>
  <c r="M4175" i="2"/>
  <c r="M4176" i="2"/>
  <c r="M4177" i="2"/>
  <c r="M4178" i="2"/>
  <c r="M4179" i="2"/>
  <c r="M4180" i="2"/>
  <c r="M4181" i="2"/>
  <c r="M4182" i="2"/>
  <c r="M4183" i="2"/>
  <c r="M4184" i="2"/>
  <c r="M4185" i="2"/>
  <c r="M4186" i="2"/>
  <c r="M4187" i="2"/>
  <c r="M4188" i="2"/>
  <c r="M4189" i="2"/>
  <c r="M4190" i="2"/>
  <c r="M4191" i="2"/>
  <c r="M4192" i="2"/>
  <c r="M4193" i="2"/>
  <c r="M4194" i="2"/>
  <c r="M4195" i="2"/>
  <c r="M4196" i="2"/>
  <c r="M4197" i="2"/>
  <c r="M4198" i="2"/>
  <c r="M4199" i="2"/>
  <c r="M4200" i="2"/>
  <c r="M4201" i="2"/>
  <c r="M4202" i="2"/>
  <c r="M4203" i="2"/>
  <c r="M4204" i="2"/>
  <c r="M4205" i="2"/>
  <c r="M4206" i="2"/>
  <c r="M4207" i="2"/>
  <c r="M4208" i="2"/>
  <c r="M4209" i="2"/>
  <c r="M4210" i="2"/>
  <c r="M4211" i="2"/>
  <c r="M4212" i="2"/>
  <c r="M4213" i="2"/>
  <c r="M4214" i="2"/>
  <c r="M4215" i="2"/>
  <c r="M4216" i="2"/>
  <c r="M4217" i="2"/>
  <c r="M4218" i="2"/>
  <c r="M4219" i="2"/>
  <c r="M4220" i="2"/>
  <c r="M4221" i="2"/>
  <c r="M4222" i="2"/>
  <c r="M4223" i="2"/>
  <c r="M4224" i="2"/>
  <c r="M4225" i="2"/>
  <c r="M4226" i="2"/>
  <c r="M4227" i="2"/>
  <c r="M4228" i="2"/>
  <c r="M4229" i="2"/>
  <c r="M4230" i="2"/>
  <c r="M4231" i="2"/>
  <c r="M4232" i="2"/>
  <c r="M4233" i="2"/>
  <c r="M4234" i="2"/>
  <c r="M4235" i="2"/>
  <c r="M4236" i="2"/>
  <c r="M4237" i="2"/>
  <c r="M4238" i="2"/>
  <c r="M4239" i="2"/>
  <c r="M4240" i="2"/>
  <c r="M4241" i="2"/>
  <c r="M4242" i="2"/>
  <c r="M4243" i="2"/>
  <c r="M4244" i="2"/>
  <c r="M4245" i="2"/>
  <c r="M4246" i="2"/>
  <c r="M4247" i="2"/>
  <c r="M4248" i="2"/>
  <c r="M4249" i="2"/>
  <c r="M4250" i="2"/>
  <c r="M4251" i="2"/>
  <c r="M4252" i="2"/>
  <c r="M4253" i="2"/>
  <c r="M4254" i="2"/>
  <c r="M4255" i="2"/>
  <c r="M4256" i="2"/>
  <c r="M4257" i="2"/>
  <c r="M4258" i="2"/>
  <c r="M4259" i="2"/>
  <c r="M4260" i="2"/>
  <c r="M4261" i="2"/>
  <c r="M4262" i="2"/>
  <c r="M4263" i="2"/>
  <c r="M4264" i="2"/>
  <c r="M4265" i="2"/>
  <c r="M4266" i="2"/>
  <c r="M4267" i="2"/>
  <c r="M4268" i="2"/>
  <c r="M4269" i="2"/>
  <c r="M4270" i="2"/>
  <c r="M4271" i="2"/>
  <c r="M4272" i="2"/>
  <c r="M4273" i="2"/>
  <c r="M4274" i="2"/>
  <c r="M4275" i="2"/>
  <c r="M4276" i="2"/>
  <c r="M4277" i="2"/>
  <c r="M4278" i="2"/>
  <c r="M4279" i="2"/>
  <c r="M4280" i="2"/>
  <c r="M4281" i="2"/>
  <c r="M4282" i="2"/>
  <c r="M4283" i="2"/>
  <c r="M4284" i="2"/>
  <c r="M4285" i="2"/>
  <c r="M4286" i="2"/>
  <c r="M4287" i="2"/>
  <c r="M4288" i="2"/>
  <c r="M4289" i="2"/>
  <c r="M4290" i="2"/>
  <c r="M4291" i="2"/>
  <c r="M4292" i="2"/>
  <c r="M4293" i="2"/>
  <c r="M4294" i="2"/>
  <c r="M4295" i="2"/>
  <c r="M4296" i="2"/>
  <c r="M4297" i="2"/>
  <c r="M4298" i="2"/>
  <c r="M4299" i="2"/>
  <c r="M4300" i="2"/>
  <c r="M4301" i="2"/>
  <c r="M4302" i="2"/>
  <c r="M4303" i="2"/>
  <c r="M4304" i="2"/>
  <c r="M4305" i="2"/>
  <c r="M4306" i="2"/>
  <c r="M4307" i="2"/>
  <c r="M4308" i="2"/>
  <c r="M4309" i="2"/>
  <c r="M4310" i="2"/>
  <c r="M4311" i="2"/>
  <c r="M4312" i="2"/>
  <c r="M4313" i="2"/>
  <c r="M4314" i="2"/>
  <c r="M4315" i="2"/>
  <c r="M4316" i="2"/>
  <c r="M4317" i="2"/>
  <c r="M4318" i="2"/>
  <c r="M4319" i="2"/>
  <c r="M4320" i="2"/>
  <c r="M4321" i="2"/>
  <c r="M4322" i="2"/>
  <c r="M4323" i="2"/>
  <c r="M4324" i="2"/>
  <c r="M4325" i="2"/>
  <c r="M4326" i="2"/>
  <c r="M4327" i="2"/>
  <c r="M4328" i="2"/>
  <c r="M4329" i="2"/>
  <c r="M4330" i="2"/>
  <c r="M4331" i="2"/>
  <c r="M4332" i="2"/>
  <c r="M4333" i="2"/>
  <c r="M4334" i="2"/>
  <c r="M4335" i="2"/>
  <c r="M4336" i="2"/>
  <c r="M4337" i="2"/>
  <c r="M4338" i="2"/>
  <c r="M4339" i="2"/>
  <c r="M4340" i="2"/>
  <c r="M4341" i="2"/>
  <c r="M4342" i="2"/>
  <c r="M4343" i="2"/>
  <c r="M4344" i="2"/>
  <c r="M4345" i="2"/>
  <c r="M4346" i="2"/>
  <c r="M4347" i="2"/>
  <c r="M4348" i="2"/>
  <c r="M4349" i="2"/>
  <c r="M4350" i="2"/>
  <c r="M4351" i="2"/>
  <c r="M4352" i="2"/>
  <c r="M4353" i="2"/>
  <c r="M4354" i="2"/>
  <c r="M4355" i="2"/>
  <c r="M4356" i="2"/>
  <c r="M4357" i="2"/>
  <c r="M4358" i="2"/>
  <c r="M4359" i="2"/>
  <c r="M4360" i="2"/>
  <c r="M4361" i="2"/>
  <c r="M4362" i="2"/>
  <c r="M4363" i="2"/>
  <c r="M4364" i="2"/>
  <c r="M4365" i="2"/>
  <c r="M4366" i="2"/>
  <c r="M4367" i="2"/>
  <c r="M4368" i="2"/>
  <c r="M4369" i="2"/>
  <c r="M4370" i="2"/>
  <c r="M4371" i="2"/>
  <c r="M4372" i="2"/>
  <c r="M4373" i="2"/>
  <c r="M4374" i="2"/>
  <c r="M4375" i="2"/>
  <c r="M4376" i="2"/>
  <c r="M4377" i="2"/>
  <c r="M4378" i="2"/>
  <c r="M4379" i="2"/>
  <c r="M4380" i="2"/>
  <c r="M4381" i="2"/>
  <c r="M4382" i="2"/>
  <c r="M4383" i="2"/>
  <c r="M4384" i="2"/>
  <c r="M4385" i="2"/>
  <c r="M4386" i="2"/>
  <c r="M4387" i="2"/>
  <c r="M4388" i="2"/>
  <c r="M4389" i="2"/>
  <c r="M4390" i="2"/>
  <c r="M4391" i="2"/>
  <c r="M4392" i="2"/>
  <c r="M4393" i="2"/>
  <c r="M4394" i="2"/>
  <c r="M4395" i="2"/>
  <c r="M4396" i="2"/>
  <c r="M4397" i="2"/>
  <c r="M4398" i="2"/>
  <c r="M4399" i="2"/>
  <c r="M4400" i="2"/>
  <c r="M4401" i="2"/>
  <c r="M4402" i="2"/>
  <c r="M4403" i="2"/>
  <c r="M4404" i="2"/>
  <c r="M4405" i="2"/>
  <c r="M4406" i="2"/>
  <c r="M4407" i="2"/>
  <c r="M4408" i="2"/>
  <c r="M4409" i="2"/>
  <c r="M4410" i="2"/>
  <c r="M4411" i="2"/>
  <c r="M4412" i="2"/>
  <c r="M4413" i="2"/>
  <c r="M4414" i="2"/>
  <c r="M4415" i="2"/>
  <c r="M4416" i="2"/>
  <c r="M4417" i="2"/>
  <c r="M4418" i="2"/>
  <c r="M4419" i="2"/>
  <c r="M4420" i="2"/>
  <c r="M4421" i="2"/>
  <c r="M4422" i="2"/>
  <c r="M4423" i="2"/>
  <c r="M4424" i="2"/>
  <c r="M4425" i="2"/>
  <c r="M4426" i="2"/>
  <c r="M4427" i="2"/>
  <c r="M4428" i="2"/>
  <c r="M4429" i="2"/>
  <c r="M4430" i="2"/>
  <c r="M4431" i="2"/>
  <c r="M4432" i="2"/>
  <c r="M4433" i="2"/>
  <c r="M4434" i="2"/>
  <c r="M4435" i="2"/>
  <c r="M4436" i="2"/>
  <c r="M4437" i="2"/>
  <c r="M4438" i="2"/>
  <c r="M4439" i="2"/>
  <c r="M4440" i="2"/>
  <c r="M4441" i="2"/>
  <c r="M4442" i="2"/>
  <c r="M4443" i="2"/>
  <c r="M4444" i="2"/>
  <c r="M4445" i="2"/>
  <c r="M4446" i="2"/>
  <c r="M4447" i="2"/>
  <c r="M4448" i="2"/>
  <c r="M4449" i="2"/>
  <c r="M4450" i="2"/>
  <c r="M4451" i="2"/>
  <c r="M4452" i="2"/>
  <c r="M4453" i="2"/>
  <c r="M4454" i="2"/>
  <c r="M4455" i="2"/>
  <c r="M4456" i="2"/>
  <c r="M4457" i="2"/>
  <c r="M4458" i="2"/>
  <c r="M4459" i="2"/>
  <c r="M4460" i="2"/>
  <c r="M4461" i="2"/>
  <c r="M4462" i="2"/>
  <c r="M4463" i="2"/>
  <c r="M4464" i="2"/>
  <c r="M4465" i="2"/>
  <c r="M4466" i="2"/>
  <c r="M4467" i="2"/>
  <c r="M4468" i="2"/>
  <c r="M4469" i="2"/>
  <c r="M4470" i="2"/>
  <c r="M4471" i="2"/>
  <c r="M4472" i="2"/>
  <c r="M4473" i="2"/>
  <c r="M4474" i="2"/>
  <c r="M4475" i="2"/>
  <c r="M4476" i="2"/>
  <c r="M4477" i="2"/>
  <c r="M4478" i="2"/>
  <c r="M4479" i="2"/>
  <c r="M4480" i="2"/>
  <c r="M4481" i="2"/>
  <c r="M4482" i="2"/>
  <c r="M4483" i="2"/>
  <c r="M4484" i="2"/>
  <c r="M4485" i="2"/>
  <c r="M4486" i="2"/>
  <c r="M4487" i="2"/>
  <c r="M4488" i="2"/>
  <c r="M4489" i="2"/>
  <c r="M4490" i="2"/>
  <c r="M4491" i="2"/>
  <c r="M4492" i="2"/>
  <c r="M4493" i="2"/>
  <c r="M4494" i="2"/>
  <c r="M4495" i="2"/>
  <c r="M4496" i="2"/>
  <c r="M4497" i="2"/>
  <c r="M4498" i="2"/>
  <c r="M4499" i="2"/>
  <c r="M4500" i="2"/>
  <c r="M4501" i="2"/>
  <c r="M4502" i="2"/>
  <c r="M4503" i="2"/>
  <c r="M4504" i="2"/>
  <c r="M4505" i="2"/>
  <c r="M4506" i="2"/>
  <c r="M4507" i="2"/>
  <c r="M4508" i="2"/>
  <c r="M4509" i="2"/>
  <c r="M4510" i="2"/>
  <c r="M4511" i="2"/>
  <c r="M4512" i="2"/>
  <c r="M4513" i="2"/>
  <c r="M4514" i="2"/>
  <c r="M4515" i="2"/>
  <c r="M4516" i="2"/>
  <c r="M4517" i="2"/>
  <c r="M4518" i="2"/>
  <c r="M4519" i="2"/>
  <c r="M4520" i="2"/>
  <c r="M4521" i="2"/>
  <c r="M4522" i="2"/>
  <c r="M4523" i="2"/>
  <c r="M4524" i="2"/>
  <c r="M4525" i="2"/>
  <c r="M4526" i="2"/>
  <c r="M4527" i="2"/>
  <c r="M4528" i="2"/>
  <c r="M4529" i="2"/>
  <c r="M4530" i="2"/>
  <c r="M4531" i="2"/>
  <c r="M4532" i="2"/>
  <c r="M4533" i="2"/>
  <c r="M4534" i="2"/>
  <c r="M4535" i="2"/>
  <c r="M4536" i="2"/>
  <c r="M4537" i="2"/>
  <c r="M4538" i="2"/>
  <c r="M4539" i="2"/>
  <c r="M4540" i="2"/>
  <c r="M4541" i="2"/>
  <c r="M4542" i="2"/>
  <c r="M4543" i="2"/>
  <c r="M4544" i="2"/>
  <c r="M4545" i="2"/>
  <c r="M4546" i="2"/>
  <c r="M4547" i="2"/>
  <c r="M4548" i="2"/>
  <c r="M4549" i="2"/>
  <c r="M4550" i="2"/>
  <c r="M4551" i="2"/>
  <c r="M4552" i="2"/>
  <c r="M4553" i="2"/>
  <c r="M4554" i="2"/>
  <c r="M4555" i="2"/>
  <c r="M4556" i="2"/>
  <c r="M4557" i="2"/>
  <c r="M4558" i="2"/>
  <c r="M4559" i="2"/>
  <c r="M4560" i="2"/>
  <c r="M4561" i="2"/>
  <c r="M4562" i="2"/>
  <c r="M4563" i="2"/>
  <c r="M4564" i="2"/>
  <c r="M4565" i="2"/>
  <c r="M4566" i="2"/>
  <c r="M4567" i="2"/>
  <c r="M4568" i="2"/>
  <c r="M4569" i="2"/>
  <c r="M4570" i="2"/>
  <c r="M4571" i="2"/>
  <c r="M4572" i="2"/>
  <c r="M4573" i="2"/>
  <c r="M4574" i="2"/>
  <c r="M4575" i="2"/>
  <c r="M4576" i="2"/>
  <c r="M4577" i="2"/>
  <c r="M4578" i="2"/>
  <c r="M4579" i="2"/>
  <c r="M4580" i="2"/>
  <c r="M4581" i="2"/>
  <c r="M4582" i="2"/>
  <c r="M4583" i="2"/>
  <c r="M4584" i="2"/>
  <c r="M4585" i="2"/>
  <c r="M4586" i="2"/>
  <c r="M4587" i="2"/>
  <c r="M4588" i="2"/>
  <c r="M4589" i="2"/>
  <c r="M4590" i="2"/>
  <c r="M4591" i="2"/>
  <c r="M4592" i="2"/>
  <c r="M4593" i="2"/>
  <c r="M4594" i="2"/>
  <c r="M4595" i="2"/>
  <c r="M4596" i="2"/>
  <c r="M4597" i="2"/>
  <c r="M4598" i="2"/>
  <c r="M4599" i="2"/>
  <c r="M4600" i="2"/>
  <c r="M4601" i="2"/>
  <c r="M4602" i="2"/>
  <c r="M4603" i="2"/>
  <c r="M4604" i="2"/>
  <c r="M4605" i="2"/>
  <c r="M4606" i="2"/>
  <c r="M4607" i="2"/>
  <c r="M4608" i="2"/>
  <c r="M4609" i="2"/>
  <c r="M4610" i="2"/>
  <c r="M4611" i="2"/>
  <c r="M4612" i="2"/>
  <c r="M4613" i="2"/>
  <c r="M4614" i="2"/>
  <c r="M4615" i="2"/>
  <c r="M4616" i="2"/>
  <c r="M4617" i="2"/>
  <c r="M4618" i="2"/>
  <c r="M4619" i="2"/>
  <c r="M4620" i="2"/>
  <c r="M4621" i="2"/>
  <c r="M4622" i="2"/>
  <c r="M4623" i="2"/>
  <c r="M4624" i="2"/>
  <c r="M4625" i="2"/>
  <c r="M4626" i="2"/>
  <c r="M4627" i="2"/>
  <c r="M4628" i="2"/>
  <c r="M4629" i="2"/>
  <c r="M4630" i="2"/>
  <c r="M4631" i="2"/>
  <c r="M4632" i="2"/>
  <c r="M4633" i="2"/>
  <c r="M4634" i="2"/>
  <c r="M4635" i="2"/>
  <c r="M4636" i="2"/>
  <c r="M4637" i="2"/>
  <c r="M4638" i="2"/>
  <c r="M4639" i="2"/>
  <c r="M4640" i="2"/>
  <c r="M4641" i="2"/>
  <c r="M4642" i="2"/>
  <c r="M4643" i="2"/>
  <c r="M4644" i="2"/>
  <c r="M4645" i="2"/>
  <c r="M4646" i="2"/>
  <c r="M4647" i="2"/>
  <c r="M4648" i="2"/>
  <c r="M4649" i="2"/>
  <c r="M4650" i="2"/>
  <c r="M4651" i="2"/>
  <c r="M4652" i="2"/>
  <c r="M4653" i="2"/>
  <c r="M4654" i="2"/>
  <c r="M4655" i="2"/>
  <c r="M4656" i="2"/>
  <c r="M4657" i="2"/>
  <c r="M4658" i="2"/>
  <c r="M4659" i="2"/>
  <c r="M4660" i="2"/>
  <c r="M4661" i="2"/>
  <c r="M4662" i="2"/>
  <c r="M4663" i="2"/>
  <c r="M4664" i="2"/>
  <c r="M4665" i="2"/>
  <c r="M4666" i="2"/>
  <c r="M4667" i="2"/>
  <c r="M4668" i="2"/>
  <c r="M4669" i="2"/>
  <c r="M4670" i="2"/>
  <c r="M4671" i="2"/>
  <c r="M4672" i="2"/>
  <c r="M4673" i="2"/>
  <c r="M4674" i="2"/>
  <c r="M4675" i="2"/>
  <c r="M4676" i="2"/>
  <c r="M4677" i="2"/>
  <c r="M4678" i="2"/>
  <c r="M4679" i="2"/>
  <c r="M4680" i="2"/>
  <c r="M4681" i="2"/>
  <c r="M4682" i="2"/>
  <c r="M4683" i="2"/>
  <c r="M4684" i="2"/>
  <c r="M4685" i="2"/>
  <c r="M4686" i="2"/>
  <c r="M4687" i="2"/>
  <c r="M4688" i="2"/>
  <c r="M4689" i="2"/>
  <c r="M4690" i="2"/>
  <c r="M4691" i="2"/>
  <c r="M4692" i="2"/>
  <c r="M4693" i="2"/>
  <c r="M4694" i="2"/>
  <c r="M4695" i="2"/>
  <c r="M4696" i="2"/>
  <c r="M4697" i="2"/>
  <c r="M4698" i="2"/>
  <c r="M4699" i="2"/>
  <c r="M4700" i="2"/>
  <c r="M4701" i="2"/>
  <c r="M4702" i="2"/>
  <c r="M4703" i="2"/>
  <c r="M4704" i="2"/>
  <c r="M4705" i="2"/>
  <c r="M4706" i="2"/>
  <c r="M4707" i="2"/>
  <c r="M4708" i="2"/>
  <c r="M4709" i="2"/>
  <c r="M4710" i="2"/>
  <c r="M4711" i="2"/>
  <c r="M4712" i="2"/>
  <c r="M4713" i="2"/>
  <c r="M4714" i="2"/>
  <c r="M4715" i="2"/>
  <c r="M4716" i="2"/>
  <c r="M4717" i="2"/>
  <c r="M4718" i="2"/>
  <c r="M4719" i="2"/>
  <c r="M4720" i="2"/>
  <c r="M4721" i="2"/>
  <c r="M4722" i="2"/>
  <c r="M4723" i="2"/>
  <c r="M4724" i="2"/>
  <c r="M4725" i="2"/>
  <c r="M4726" i="2"/>
  <c r="M4727" i="2"/>
  <c r="M4728" i="2"/>
  <c r="M4729" i="2"/>
  <c r="M4730" i="2"/>
  <c r="M4731" i="2"/>
  <c r="M4732" i="2"/>
  <c r="M4733" i="2"/>
  <c r="M4734" i="2"/>
  <c r="M4735" i="2"/>
  <c r="M4736" i="2"/>
  <c r="M4737" i="2"/>
  <c r="M4738" i="2"/>
  <c r="M4739" i="2"/>
  <c r="M4740" i="2"/>
  <c r="M4741" i="2"/>
  <c r="M4742" i="2"/>
  <c r="M4743" i="2"/>
  <c r="M4744" i="2"/>
  <c r="M4745" i="2"/>
  <c r="M4746" i="2"/>
  <c r="M4747" i="2"/>
  <c r="M4748" i="2"/>
  <c r="M4749" i="2"/>
  <c r="M4750" i="2"/>
  <c r="M4751" i="2"/>
  <c r="M4752" i="2"/>
  <c r="M4753" i="2"/>
  <c r="M4754" i="2"/>
  <c r="M4755" i="2"/>
  <c r="M4756" i="2"/>
  <c r="M4757" i="2"/>
  <c r="M4758" i="2"/>
  <c r="M4759" i="2"/>
  <c r="M4760" i="2"/>
  <c r="M4761" i="2"/>
  <c r="M4762" i="2"/>
  <c r="M4763" i="2"/>
  <c r="M4764" i="2"/>
  <c r="M4765" i="2"/>
  <c r="M4766" i="2"/>
  <c r="M4767" i="2"/>
  <c r="M4768" i="2"/>
  <c r="M4769" i="2"/>
  <c r="M4770" i="2"/>
  <c r="M4771" i="2"/>
  <c r="M4772" i="2"/>
  <c r="M4773" i="2"/>
  <c r="M4774" i="2"/>
  <c r="M4775" i="2"/>
  <c r="M4776" i="2"/>
  <c r="M4777" i="2"/>
  <c r="M4778" i="2"/>
  <c r="M4779" i="2"/>
  <c r="M4780" i="2"/>
  <c r="M4781" i="2"/>
  <c r="M4782" i="2"/>
  <c r="M4783" i="2"/>
  <c r="M4784" i="2"/>
  <c r="M4785" i="2"/>
  <c r="M4786" i="2"/>
  <c r="M4787" i="2"/>
  <c r="M4788" i="2"/>
  <c r="M4789" i="2"/>
  <c r="M4790" i="2"/>
  <c r="M4791" i="2"/>
  <c r="M4792" i="2"/>
  <c r="M4793" i="2"/>
  <c r="M4794" i="2"/>
  <c r="M4795" i="2"/>
  <c r="M4796" i="2"/>
  <c r="M4797" i="2"/>
  <c r="M4798" i="2"/>
  <c r="M4799" i="2"/>
  <c r="M4800" i="2"/>
  <c r="M4801" i="2"/>
  <c r="M4802" i="2"/>
  <c r="M4803" i="2"/>
  <c r="M4804" i="2"/>
  <c r="M4805" i="2"/>
  <c r="M4806" i="2"/>
  <c r="M4807" i="2"/>
  <c r="M4808" i="2"/>
  <c r="M4809" i="2"/>
  <c r="M4810" i="2"/>
  <c r="M4811" i="2"/>
  <c r="M4812" i="2"/>
  <c r="M4813" i="2"/>
  <c r="M4814" i="2"/>
  <c r="M4815" i="2"/>
  <c r="M4816" i="2"/>
  <c r="M4817" i="2"/>
  <c r="M4818" i="2"/>
  <c r="M4819" i="2"/>
  <c r="M4820" i="2"/>
  <c r="M4821" i="2"/>
  <c r="M4822" i="2"/>
  <c r="M4823" i="2"/>
  <c r="M4824" i="2"/>
  <c r="M4825" i="2"/>
  <c r="M4826" i="2"/>
  <c r="M4827" i="2"/>
  <c r="M4828" i="2"/>
  <c r="M4829" i="2"/>
  <c r="M4830" i="2"/>
  <c r="M4831" i="2"/>
  <c r="M4832" i="2"/>
  <c r="M4833" i="2"/>
  <c r="M4834" i="2"/>
  <c r="M4835" i="2"/>
  <c r="M4836" i="2"/>
  <c r="M4837" i="2"/>
  <c r="M4838" i="2"/>
  <c r="M4839" i="2"/>
  <c r="M4840" i="2"/>
  <c r="M4841" i="2"/>
  <c r="M4842" i="2"/>
  <c r="M4843" i="2"/>
  <c r="M4844" i="2"/>
  <c r="M4845" i="2"/>
  <c r="M4846" i="2"/>
  <c r="M4847" i="2"/>
  <c r="M4848" i="2"/>
  <c r="M4849" i="2"/>
  <c r="M4850" i="2"/>
  <c r="M4851" i="2"/>
  <c r="M4852" i="2"/>
  <c r="M4853" i="2"/>
  <c r="M4854" i="2"/>
  <c r="M4855" i="2"/>
  <c r="M4856" i="2"/>
  <c r="M4857" i="2"/>
  <c r="M4858" i="2"/>
  <c r="M4859" i="2"/>
  <c r="M4860" i="2"/>
  <c r="M4861" i="2"/>
  <c r="M4862" i="2"/>
  <c r="M4863" i="2"/>
  <c r="M4864" i="2"/>
  <c r="M4865" i="2"/>
  <c r="M4866" i="2"/>
  <c r="M4867" i="2"/>
  <c r="M4868" i="2"/>
  <c r="M4869" i="2"/>
  <c r="M4870" i="2"/>
  <c r="M4871" i="2"/>
  <c r="M4872" i="2"/>
  <c r="M4873" i="2"/>
  <c r="M4874" i="2"/>
  <c r="M4875" i="2"/>
  <c r="M4876" i="2"/>
  <c r="M4877" i="2"/>
  <c r="M4878" i="2"/>
  <c r="M4879" i="2"/>
  <c r="M4880" i="2"/>
  <c r="M4881" i="2"/>
  <c r="M4882" i="2"/>
  <c r="M4883" i="2"/>
  <c r="M4884" i="2"/>
  <c r="M4885" i="2"/>
  <c r="M4886" i="2"/>
  <c r="M4887" i="2"/>
  <c r="M4888" i="2"/>
  <c r="M4889" i="2"/>
  <c r="M4890" i="2"/>
  <c r="M4891" i="2"/>
  <c r="M4892" i="2"/>
  <c r="M4893" i="2"/>
  <c r="M4894" i="2"/>
  <c r="M4895" i="2"/>
  <c r="M4896" i="2"/>
  <c r="M4897" i="2"/>
  <c r="M4898" i="2"/>
  <c r="M4899" i="2"/>
  <c r="M4900" i="2"/>
  <c r="M4901" i="2"/>
  <c r="M4902" i="2"/>
  <c r="M4903" i="2"/>
  <c r="M4904" i="2"/>
  <c r="M4905" i="2"/>
  <c r="M4906" i="2"/>
  <c r="M4907" i="2"/>
  <c r="M4908" i="2"/>
  <c r="M4909" i="2"/>
  <c r="M4910" i="2"/>
  <c r="M4911" i="2"/>
  <c r="M4912" i="2"/>
  <c r="M4913" i="2"/>
  <c r="M4914" i="2"/>
  <c r="M4915" i="2"/>
  <c r="M4916" i="2"/>
  <c r="M4917" i="2"/>
  <c r="M4918" i="2"/>
  <c r="M4919" i="2"/>
  <c r="M4920" i="2"/>
  <c r="M4921" i="2"/>
  <c r="M4922" i="2"/>
  <c r="M4923" i="2"/>
  <c r="M4924" i="2"/>
  <c r="M4925" i="2"/>
  <c r="M4926" i="2"/>
  <c r="M4927" i="2"/>
  <c r="M4928" i="2"/>
  <c r="M4929" i="2"/>
  <c r="M4930" i="2"/>
  <c r="M4931" i="2"/>
  <c r="M4932" i="2"/>
  <c r="M4933" i="2"/>
  <c r="M4934" i="2"/>
  <c r="M4935" i="2"/>
  <c r="M4936" i="2"/>
  <c r="M4937" i="2"/>
  <c r="M4938" i="2"/>
  <c r="M4939" i="2"/>
  <c r="M4940" i="2"/>
  <c r="M4941" i="2"/>
  <c r="M4942" i="2"/>
  <c r="M4943" i="2"/>
  <c r="M4944" i="2"/>
  <c r="M4945" i="2"/>
  <c r="M4946" i="2"/>
  <c r="M4947" i="2"/>
  <c r="M4948" i="2"/>
  <c r="M4949" i="2"/>
  <c r="M4950" i="2"/>
  <c r="M4951" i="2"/>
  <c r="M4952" i="2"/>
  <c r="M4953" i="2"/>
  <c r="M4954" i="2"/>
  <c r="M4955" i="2"/>
  <c r="M4956" i="2"/>
  <c r="M4957" i="2"/>
  <c r="M4958" i="2"/>
  <c r="M4959" i="2"/>
  <c r="M4960" i="2"/>
  <c r="M4961" i="2"/>
  <c r="M4962" i="2"/>
  <c r="M4963" i="2"/>
  <c r="M4964" i="2"/>
  <c r="M4965" i="2"/>
  <c r="M4966" i="2"/>
  <c r="M4967" i="2"/>
  <c r="M4968" i="2"/>
  <c r="M4969" i="2"/>
  <c r="M4970" i="2"/>
  <c r="M4971" i="2"/>
  <c r="M4972" i="2"/>
  <c r="M4973" i="2"/>
  <c r="M4974" i="2"/>
  <c r="M4975" i="2"/>
  <c r="M4976" i="2"/>
  <c r="M4977" i="2"/>
  <c r="M4978" i="2"/>
  <c r="M4979" i="2"/>
  <c r="M4980" i="2"/>
  <c r="M4981" i="2"/>
  <c r="M4982" i="2"/>
  <c r="M4983" i="2"/>
  <c r="M4984" i="2"/>
  <c r="M4985" i="2"/>
  <c r="M4986" i="2"/>
  <c r="M4987" i="2"/>
  <c r="M4988" i="2"/>
  <c r="M4989" i="2"/>
  <c r="M4990" i="2"/>
  <c r="M4991" i="2"/>
  <c r="M4992" i="2"/>
  <c r="M4993" i="2"/>
  <c r="M4994" i="2"/>
  <c r="M4995" i="2"/>
  <c r="M4996" i="2"/>
  <c r="M4997" i="2"/>
  <c r="M4998" i="2"/>
  <c r="M4999" i="2"/>
  <c r="M5000" i="2"/>
  <c r="M5001" i="2"/>
  <c r="M5002" i="2"/>
  <c r="M5003" i="2"/>
  <c r="M5004" i="2"/>
  <c r="M5005" i="2"/>
  <c r="M5006" i="2"/>
  <c r="M5007" i="2"/>
  <c r="M5008" i="2"/>
  <c r="M5009" i="2"/>
  <c r="M5010" i="2"/>
  <c r="M5011" i="2"/>
  <c r="M5012" i="2"/>
  <c r="M5013" i="2"/>
  <c r="M5014" i="2"/>
  <c r="M5015" i="2"/>
  <c r="M5016" i="2"/>
  <c r="M5017" i="2"/>
  <c r="M5018" i="2"/>
  <c r="M5019" i="2"/>
  <c r="M5020" i="2"/>
  <c r="M5021" i="2"/>
  <c r="M5022" i="2"/>
  <c r="M5023" i="2"/>
  <c r="M5024" i="2"/>
  <c r="M5025" i="2"/>
  <c r="M5026" i="2"/>
  <c r="M5027" i="2"/>
  <c r="M5028" i="2"/>
  <c r="M5029" i="2"/>
  <c r="M5030" i="2"/>
  <c r="M5031" i="2"/>
  <c r="M5032" i="2"/>
  <c r="M5033" i="2"/>
  <c r="M5034" i="2"/>
  <c r="M5035" i="2"/>
  <c r="M5036" i="2"/>
  <c r="M5037" i="2"/>
  <c r="M5038" i="2"/>
  <c r="M5039" i="2"/>
  <c r="M5040" i="2"/>
  <c r="M5041" i="2"/>
  <c r="M5042" i="2"/>
  <c r="M5043" i="2"/>
  <c r="M5044" i="2"/>
  <c r="M5045" i="2"/>
  <c r="M5046" i="2"/>
  <c r="M5047" i="2"/>
  <c r="M5048" i="2"/>
  <c r="M5049" i="2"/>
  <c r="M5050" i="2"/>
  <c r="M5051" i="2"/>
  <c r="M5052" i="2"/>
  <c r="M5053" i="2"/>
  <c r="M5054" i="2"/>
  <c r="M5055" i="2"/>
  <c r="M5056" i="2"/>
  <c r="M5057" i="2"/>
  <c r="M5058" i="2"/>
  <c r="M5059" i="2"/>
  <c r="M5060" i="2"/>
  <c r="M5061" i="2"/>
  <c r="M5062" i="2"/>
  <c r="M5063" i="2"/>
  <c r="M5064" i="2"/>
  <c r="M5065" i="2"/>
  <c r="M5066" i="2"/>
  <c r="M5067" i="2"/>
  <c r="M5068" i="2"/>
  <c r="M5069" i="2"/>
  <c r="M5070" i="2"/>
  <c r="M5071" i="2"/>
  <c r="M5072" i="2"/>
  <c r="M5073" i="2"/>
  <c r="M5074" i="2"/>
  <c r="M5075" i="2"/>
  <c r="M5076" i="2"/>
  <c r="M5077" i="2"/>
  <c r="M5078" i="2"/>
  <c r="M5079" i="2"/>
  <c r="M5080" i="2"/>
  <c r="M5081" i="2"/>
  <c r="M5082" i="2"/>
  <c r="M5083" i="2"/>
  <c r="M5084" i="2"/>
  <c r="M5085" i="2"/>
  <c r="M5086" i="2"/>
  <c r="M5087" i="2"/>
  <c r="M5088" i="2"/>
  <c r="M5089" i="2"/>
  <c r="M5090" i="2"/>
  <c r="M5091" i="2"/>
  <c r="M5092" i="2"/>
  <c r="M5093" i="2"/>
  <c r="M5094" i="2"/>
  <c r="M5095" i="2"/>
  <c r="M5096" i="2"/>
  <c r="M5097" i="2"/>
  <c r="M5098" i="2"/>
  <c r="M5099" i="2"/>
  <c r="M5100" i="2"/>
  <c r="M5101" i="2"/>
  <c r="M5102" i="2"/>
  <c r="M5103" i="2"/>
  <c r="M5104" i="2"/>
  <c r="M5105" i="2"/>
  <c r="M5106" i="2"/>
  <c r="M5107" i="2"/>
  <c r="M5108" i="2"/>
  <c r="M5109" i="2"/>
  <c r="M5110" i="2"/>
  <c r="M5111" i="2"/>
  <c r="M5112" i="2"/>
  <c r="M5113" i="2"/>
  <c r="M5114" i="2"/>
  <c r="M5115" i="2"/>
  <c r="M5116" i="2"/>
  <c r="M5117" i="2"/>
  <c r="M5118" i="2"/>
  <c r="M5119" i="2"/>
  <c r="M5120" i="2"/>
  <c r="M5121" i="2"/>
  <c r="M5122" i="2"/>
  <c r="M5123" i="2"/>
  <c r="M5124" i="2"/>
  <c r="M5125" i="2"/>
  <c r="M5126" i="2"/>
  <c r="M5127" i="2"/>
  <c r="M5128" i="2"/>
  <c r="M5129" i="2"/>
  <c r="M5130" i="2"/>
  <c r="M5131" i="2"/>
  <c r="M5132" i="2"/>
  <c r="M5133" i="2"/>
  <c r="M5134" i="2"/>
  <c r="M5135" i="2"/>
  <c r="M5136" i="2"/>
  <c r="M5137" i="2"/>
  <c r="M5138" i="2"/>
  <c r="M5139" i="2"/>
  <c r="M5140" i="2"/>
  <c r="M5141" i="2"/>
  <c r="M5142" i="2"/>
  <c r="M5143" i="2"/>
  <c r="M5144" i="2"/>
  <c r="M5145" i="2"/>
  <c r="M5146" i="2"/>
  <c r="M5147" i="2"/>
  <c r="M5148" i="2"/>
  <c r="M5149" i="2"/>
  <c r="M5150" i="2"/>
  <c r="M5151" i="2"/>
  <c r="M5152" i="2"/>
  <c r="M5153" i="2"/>
  <c r="M5154" i="2"/>
  <c r="M5155" i="2"/>
  <c r="M5156" i="2"/>
  <c r="M5157" i="2"/>
  <c r="M5158" i="2"/>
  <c r="M5159" i="2"/>
  <c r="M5160" i="2"/>
  <c r="M5161" i="2"/>
  <c r="M5162" i="2"/>
  <c r="M5163" i="2"/>
  <c r="M5164" i="2"/>
  <c r="M5165" i="2"/>
  <c r="M5166" i="2"/>
  <c r="M5167" i="2"/>
  <c r="M5168" i="2"/>
  <c r="M5169" i="2"/>
  <c r="M5170" i="2"/>
  <c r="M5171" i="2"/>
  <c r="M5172" i="2"/>
  <c r="M5173" i="2"/>
  <c r="M5174" i="2"/>
  <c r="M5175" i="2"/>
  <c r="M5176" i="2"/>
  <c r="M5177" i="2"/>
  <c r="M5178" i="2"/>
  <c r="M5179" i="2"/>
  <c r="M5180" i="2"/>
  <c r="M5181" i="2"/>
  <c r="M5182" i="2"/>
  <c r="M5183" i="2"/>
  <c r="M5184" i="2"/>
  <c r="M5185" i="2"/>
  <c r="M5186" i="2"/>
  <c r="M5187" i="2"/>
  <c r="M5188" i="2"/>
  <c r="M5189" i="2"/>
  <c r="M5190" i="2"/>
  <c r="M5191" i="2"/>
  <c r="M5192" i="2"/>
  <c r="M5193" i="2"/>
  <c r="M5194" i="2"/>
  <c r="M5195" i="2"/>
  <c r="M5196" i="2"/>
  <c r="M5197" i="2"/>
  <c r="M5198" i="2"/>
  <c r="M5199" i="2"/>
  <c r="M5200" i="2"/>
  <c r="M5201" i="2"/>
  <c r="M5202" i="2"/>
  <c r="M5203" i="2"/>
  <c r="M5204" i="2"/>
  <c r="M5205" i="2"/>
  <c r="M5206" i="2"/>
  <c r="M5207" i="2"/>
  <c r="M5208" i="2"/>
  <c r="M5209" i="2"/>
  <c r="M5210" i="2"/>
  <c r="M5211" i="2"/>
  <c r="M5212" i="2"/>
  <c r="M5213" i="2"/>
  <c r="M5214" i="2"/>
  <c r="M5215" i="2"/>
  <c r="M5216" i="2"/>
  <c r="M5217" i="2"/>
  <c r="M5218" i="2"/>
  <c r="M5219" i="2"/>
  <c r="M5220" i="2"/>
  <c r="M5221" i="2"/>
  <c r="M5222" i="2"/>
  <c r="M5223" i="2"/>
  <c r="M5224" i="2"/>
  <c r="M5225" i="2"/>
  <c r="M5226" i="2"/>
  <c r="M5227" i="2"/>
  <c r="M5228" i="2"/>
  <c r="M5229" i="2"/>
  <c r="M5230" i="2"/>
  <c r="M5231" i="2"/>
  <c r="M5232" i="2"/>
  <c r="M5233" i="2"/>
  <c r="M5234" i="2"/>
  <c r="M5235" i="2"/>
  <c r="M5236" i="2"/>
  <c r="M5237" i="2"/>
  <c r="M5238" i="2"/>
  <c r="M5239" i="2"/>
  <c r="M5240" i="2"/>
  <c r="M5241" i="2"/>
  <c r="M5242" i="2"/>
  <c r="M5243" i="2"/>
  <c r="M5244" i="2"/>
  <c r="M5245" i="2"/>
  <c r="M5246" i="2"/>
  <c r="M5247" i="2"/>
  <c r="M5248" i="2"/>
  <c r="M5249" i="2"/>
  <c r="M5250" i="2"/>
  <c r="M5251" i="2"/>
  <c r="M5252" i="2"/>
  <c r="M5253" i="2"/>
  <c r="M5254" i="2"/>
  <c r="M5255" i="2"/>
  <c r="M5256" i="2"/>
  <c r="M5257" i="2"/>
  <c r="M5258" i="2"/>
  <c r="M5259" i="2"/>
  <c r="M5260" i="2"/>
  <c r="M5261" i="2"/>
  <c r="M5262" i="2"/>
  <c r="M5263" i="2"/>
  <c r="M5264" i="2"/>
  <c r="M5265" i="2"/>
  <c r="M5266" i="2"/>
  <c r="M5267" i="2"/>
  <c r="M5268" i="2"/>
  <c r="M5269" i="2"/>
  <c r="M5270" i="2"/>
  <c r="M5271" i="2"/>
  <c r="M5272" i="2"/>
  <c r="M5273" i="2"/>
  <c r="M5274" i="2"/>
  <c r="M5275" i="2"/>
  <c r="M5276" i="2"/>
  <c r="M5277" i="2"/>
  <c r="M5278" i="2"/>
  <c r="M5279" i="2"/>
  <c r="M5280" i="2"/>
  <c r="M5281" i="2"/>
  <c r="M5282" i="2"/>
  <c r="M5283" i="2"/>
  <c r="M5284" i="2"/>
  <c r="M5285" i="2"/>
  <c r="M5286" i="2"/>
  <c r="M5287" i="2"/>
  <c r="M5288" i="2"/>
  <c r="M5289" i="2"/>
  <c r="M5290" i="2"/>
  <c r="M5291" i="2"/>
  <c r="M5292" i="2"/>
  <c r="M5293" i="2"/>
  <c r="M5294" i="2"/>
  <c r="M5295" i="2"/>
  <c r="M5296" i="2"/>
  <c r="M5297" i="2"/>
  <c r="M5298" i="2"/>
  <c r="M5299" i="2"/>
  <c r="M5300" i="2"/>
  <c r="M5301" i="2"/>
  <c r="M5302" i="2"/>
  <c r="M5303" i="2"/>
  <c r="M5304" i="2"/>
  <c r="M5305" i="2"/>
  <c r="M5306" i="2"/>
  <c r="M5307" i="2"/>
  <c r="M5308" i="2"/>
  <c r="M5309" i="2"/>
  <c r="M5310" i="2"/>
  <c r="M5311" i="2"/>
  <c r="M5312" i="2"/>
  <c r="M5313" i="2"/>
  <c r="M5314" i="2"/>
  <c r="M5315" i="2"/>
  <c r="M5316" i="2"/>
  <c r="M5317" i="2"/>
  <c r="M5318" i="2"/>
  <c r="M5319" i="2"/>
  <c r="M5320" i="2"/>
  <c r="M5321" i="2"/>
  <c r="M5322" i="2"/>
  <c r="M5323" i="2"/>
  <c r="M5324" i="2"/>
  <c r="M5325" i="2"/>
  <c r="M5326" i="2"/>
  <c r="M5327" i="2"/>
  <c r="M5328" i="2"/>
  <c r="M5329" i="2"/>
  <c r="M5330" i="2"/>
  <c r="M5331" i="2"/>
  <c r="M5332" i="2"/>
  <c r="M5333" i="2"/>
  <c r="M5334" i="2"/>
  <c r="M5335" i="2"/>
  <c r="M5336" i="2"/>
  <c r="M5337" i="2"/>
  <c r="M5338" i="2"/>
  <c r="M5339" i="2"/>
  <c r="M5340" i="2"/>
  <c r="M5341" i="2"/>
  <c r="M5342" i="2"/>
  <c r="M5343" i="2"/>
  <c r="M5344" i="2"/>
  <c r="M5345" i="2"/>
  <c r="M5346" i="2"/>
  <c r="M5347" i="2"/>
  <c r="M5348" i="2"/>
  <c r="M5349" i="2"/>
  <c r="M5350" i="2"/>
  <c r="M5351" i="2"/>
  <c r="M5352" i="2"/>
  <c r="M5353" i="2"/>
  <c r="M5354" i="2"/>
  <c r="M5355" i="2"/>
  <c r="M5356" i="2"/>
  <c r="M5357" i="2"/>
  <c r="M5358" i="2"/>
  <c r="M5359" i="2"/>
  <c r="M5360" i="2"/>
  <c r="M5361" i="2"/>
  <c r="M5362" i="2"/>
  <c r="M5363" i="2"/>
  <c r="M5364" i="2"/>
  <c r="M5365" i="2"/>
  <c r="M5366" i="2"/>
  <c r="M5367" i="2"/>
  <c r="M5368" i="2"/>
  <c r="M5369" i="2"/>
  <c r="M5370" i="2"/>
  <c r="M5371" i="2"/>
  <c r="M5372" i="2"/>
  <c r="M5373" i="2"/>
  <c r="M5374" i="2"/>
  <c r="M5375" i="2"/>
  <c r="M5376" i="2"/>
  <c r="M5377" i="2"/>
  <c r="M5378" i="2"/>
  <c r="M5379" i="2"/>
  <c r="M5380" i="2"/>
  <c r="M5381" i="2"/>
  <c r="M5382" i="2"/>
  <c r="M5383" i="2"/>
  <c r="M5384" i="2"/>
  <c r="M5385" i="2"/>
  <c r="M5386" i="2"/>
  <c r="M5387" i="2"/>
  <c r="M5388" i="2"/>
  <c r="M5389" i="2"/>
  <c r="M5390" i="2"/>
  <c r="M5391" i="2"/>
  <c r="M5392" i="2"/>
  <c r="M5393" i="2"/>
  <c r="M5394" i="2"/>
  <c r="M5395" i="2"/>
  <c r="M5396" i="2"/>
  <c r="M5397" i="2"/>
  <c r="M5398" i="2"/>
  <c r="M5399" i="2"/>
  <c r="M5400" i="2"/>
  <c r="M5401" i="2"/>
  <c r="M5402" i="2"/>
  <c r="M5403" i="2"/>
  <c r="M5404" i="2"/>
  <c r="M5405" i="2"/>
  <c r="M5406" i="2"/>
  <c r="M5407" i="2"/>
  <c r="M5408" i="2"/>
  <c r="M5409" i="2"/>
  <c r="M5410" i="2"/>
  <c r="M5411" i="2"/>
  <c r="M5412" i="2"/>
  <c r="M2" i="2"/>
</calcChain>
</file>

<file path=xl/sharedStrings.xml><?xml version="1.0" encoding="utf-8"?>
<sst xmlns="http://schemas.openxmlformats.org/spreadsheetml/2006/main" count="53955" uniqueCount="201">
  <si>
    <t>transaction_id</t>
  </si>
  <si>
    <t>transaction_date</t>
  </si>
  <si>
    <t>customer_id</t>
  </si>
  <si>
    <t>department</t>
  </si>
  <si>
    <t>product_sku</t>
  </si>
  <si>
    <t>product_name</t>
  </si>
  <si>
    <t>quantity</t>
  </si>
  <si>
    <t>unit_price</t>
  </si>
  <si>
    <t>discount_pct</t>
  </si>
  <si>
    <t>total_cost</t>
  </si>
  <si>
    <t>payment_method</t>
  </si>
  <si>
    <t>sales_channel</t>
  </si>
  <si>
    <t>register_id</t>
  </si>
  <si>
    <t>Electronics</t>
  </si>
  <si>
    <t>EL-102</t>
  </si>
  <si>
    <t>Bluetooth Headphones</t>
  </si>
  <si>
    <t>Credit Card</t>
  </si>
  <si>
    <t>In-Store</t>
  </si>
  <si>
    <t>REG-12</t>
  </si>
  <si>
    <t>PHARMACY</t>
  </si>
  <si>
    <t>PH-001</t>
  </si>
  <si>
    <t>Ibuprofen 200ct</t>
  </si>
  <si>
    <t>Cash</t>
  </si>
  <si>
    <t>Curbside Pickup</t>
  </si>
  <si>
    <t>REG-19</t>
  </si>
  <si>
    <t>Furniture</t>
  </si>
  <si>
    <t>FU-001</t>
  </si>
  <si>
    <t>Folding Chair</t>
  </si>
  <si>
    <t>REG-6</t>
  </si>
  <si>
    <t>Toys</t>
  </si>
  <si>
    <t>TY-203</t>
  </si>
  <si>
    <t>Nerf Gun</t>
  </si>
  <si>
    <t>EBT</t>
  </si>
  <si>
    <t>REG-14</t>
  </si>
  <si>
    <t>EL-303</t>
  </si>
  <si>
    <t>USB-C Hub</t>
  </si>
  <si>
    <t>Debit Card</t>
  </si>
  <si>
    <t>Online</t>
  </si>
  <si>
    <t>TY-304</t>
  </si>
  <si>
    <t>Board Game</t>
  </si>
  <si>
    <t>Pharmacy</t>
  </si>
  <si>
    <t>PH-304</t>
  </si>
  <si>
    <t>Bandage Assortment</t>
  </si>
  <si>
    <t>REG-15</t>
  </si>
  <si>
    <t>Grocery</t>
  </si>
  <si>
    <t>GR-007</t>
  </si>
  <si>
    <t>Pasta 1lb</t>
  </si>
  <si>
    <t>REG-11</t>
  </si>
  <si>
    <t>Beauty</t>
  </si>
  <si>
    <t>BE-203</t>
  </si>
  <si>
    <t>Mascara</t>
  </si>
  <si>
    <t>FU-203</t>
  </si>
  <si>
    <t>Desk Lamp</t>
  </si>
  <si>
    <t>Gift Card</t>
  </si>
  <si>
    <t>REG-16</t>
  </si>
  <si>
    <t>EL-707</t>
  </si>
  <si>
    <t>Tablet 10"</t>
  </si>
  <si>
    <t>REG-13</t>
  </si>
  <si>
    <t>PH-405</t>
  </si>
  <si>
    <t>Hand Sanitizer 8oz</t>
  </si>
  <si>
    <t>FU-304</t>
  </si>
  <si>
    <t>Storage Ottoman</t>
  </si>
  <si>
    <t>REG-18</t>
  </si>
  <si>
    <t>Automotive</t>
  </si>
  <si>
    <t>AU-203</t>
  </si>
  <si>
    <t>Windshield Washer Fluid</t>
  </si>
  <si>
    <t>Check</t>
  </si>
  <si>
    <t>REG-1</t>
  </si>
  <si>
    <t>AU-001</t>
  </si>
  <si>
    <t>Motor Oil 5qt</t>
  </si>
  <si>
    <t>FU-102</t>
  </si>
  <si>
    <t>Bookshelf 5-Tier</t>
  </si>
  <si>
    <t>TY-506</t>
  </si>
  <si>
    <t>RC Car</t>
  </si>
  <si>
    <t>GR-002</t>
  </si>
  <si>
    <t>White Bread</t>
  </si>
  <si>
    <t>REG-20</t>
  </si>
  <si>
    <t>TV-001</t>
  </si>
  <si>
    <t>4K Smart TV 55"</t>
  </si>
  <si>
    <t>EL-606</t>
  </si>
  <si>
    <t>Smart Speaker</t>
  </si>
  <si>
    <t>REG-7</t>
  </si>
  <si>
    <t>Sports</t>
  </si>
  <si>
    <t>SP-203</t>
  </si>
  <si>
    <t>Water Bottle 32oz</t>
  </si>
  <si>
    <t>Home &amp; Garden</t>
  </si>
  <si>
    <t>HG-203</t>
  </si>
  <si>
    <t>Scented Candle</t>
  </si>
  <si>
    <t>TY-001</t>
  </si>
  <si>
    <t>LEGO City Set</t>
  </si>
  <si>
    <t>REG-10</t>
  </si>
  <si>
    <t>GR-006</t>
  </si>
  <si>
    <t>Greek Yogurt 32oz</t>
  </si>
  <si>
    <t>GR-008</t>
  </si>
  <si>
    <t>Canned Tomatoes</t>
  </si>
  <si>
    <t>Mobile Pay</t>
  </si>
  <si>
    <t>REG-9</t>
  </si>
  <si>
    <t>Clothing</t>
  </si>
  <si>
    <t>CL-506</t>
  </si>
  <si>
    <t>Yoga Pants</t>
  </si>
  <si>
    <t>SP-001</t>
  </si>
  <si>
    <t>Yoga Mat</t>
  </si>
  <si>
    <t>REG-8</t>
  </si>
  <si>
    <t>REG-17</t>
  </si>
  <si>
    <t>EL-505</t>
  </si>
  <si>
    <t>Wireless Charger</t>
  </si>
  <si>
    <t>GROCERY</t>
  </si>
  <si>
    <t>GR-010</t>
  </si>
  <si>
    <t>Eggs 12ct</t>
  </si>
  <si>
    <t>BE-001</t>
  </si>
  <si>
    <t>Shampoo 16oz</t>
  </si>
  <si>
    <t>AU-304</t>
  </si>
  <si>
    <t>Car Phone Mount</t>
  </si>
  <si>
    <t>FU-405</t>
  </si>
  <si>
    <t>TV Stand</t>
  </si>
  <si>
    <t>PH-102</t>
  </si>
  <si>
    <t>Vitamin D 100ct</t>
  </si>
  <si>
    <t>REG-3</t>
  </si>
  <si>
    <t>BE-304</t>
  </si>
  <si>
    <t>Lip Balm 3pk</t>
  </si>
  <si>
    <t>REG-5</t>
  </si>
  <si>
    <t>CL-102</t>
  </si>
  <si>
    <t>Women's T-Shirt</t>
  </si>
  <si>
    <t>REG-2</t>
  </si>
  <si>
    <t>AUTOMOTIVE</t>
  </si>
  <si>
    <t>AU-405</t>
  </si>
  <si>
    <t>Jumper Cables</t>
  </si>
  <si>
    <t>EL-201</t>
  </si>
  <si>
    <t>iPhone Case</t>
  </si>
  <si>
    <t>HG-001</t>
  </si>
  <si>
    <t>Potting Soil 20qt</t>
  </si>
  <si>
    <t>AU-102</t>
  </si>
  <si>
    <t>Car Air Freshener</t>
  </si>
  <si>
    <t>GR-004</t>
  </si>
  <si>
    <t>Bagged Salad Mix</t>
  </si>
  <si>
    <t>CL-607</t>
  </si>
  <si>
    <t>Dress Socks 6pk</t>
  </si>
  <si>
    <t>HG-304</t>
  </si>
  <si>
    <t>Picture Frame 8x10</t>
  </si>
  <si>
    <t>BE-405</t>
  </si>
  <si>
    <t>Body Lotion 16oz</t>
  </si>
  <si>
    <t>CL-203</t>
  </si>
  <si>
    <t>Kids Hoodie</t>
  </si>
  <si>
    <t>BE-102</t>
  </si>
  <si>
    <t>Face Moisturizer</t>
  </si>
  <si>
    <t>HG-405</t>
  </si>
  <si>
    <t>Storage Bins 3pk</t>
  </si>
  <si>
    <t>SP-304</t>
  </si>
  <si>
    <t>Resistance Bands</t>
  </si>
  <si>
    <t>HG-506</t>
  </si>
  <si>
    <t>Throw Pillow</t>
  </si>
  <si>
    <t>CL-001</t>
  </si>
  <si>
    <t>Men's Jeans</t>
  </si>
  <si>
    <t>HG-102</t>
  </si>
  <si>
    <t>Garden Hose 50ft</t>
  </si>
  <si>
    <t>SP-506</t>
  </si>
  <si>
    <t>Foam Roller</t>
  </si>
  <si>
    <t>HG-607</t>
  </si>
  <si>
    <t>Laundry Detergent</t>
  </si>
  <si>
    <t>EL-808</t>
  </si>
  <si>
    <t>Gaming Controller</t>
  </si>
  <si>
    <t>REG-4</t>
  </si>
  <si>
    <t>GR-009</t>
  </si>
  <si>
    <t>Frozen Pizza</t>
  </si>
  <si>
    <t>TOYS</t>
  </si>
  <si>
    <t>CL-405</t>
  </si>
  <si>
    <t>Winter Jacket</t>
  </si>
  <si>
    <t>BEAUTY</t>
  </si>
  <si>
    <t>SP-405</t>
  </si>
  <si>
    <t>Jump Rope</t>
  </si>
  <si>
    <t>TY-102</t>
  </si>
  <si>
    <t>Barbie Doll</t>
  </si>
  <si>
    <t>GR-005</t>
  </si>
  <si>
    <t>Orange Juice 64oz</t>
  </si>
  <si>
    <t>HOME &amp; GARDEN</t>
  </si>
  <si>
    <t>TY-405</t>
  </si>
  <si>
    <t>Play-Doh 10pk</t>
  </si>
  <si>
    <t>GR-003</t>
  </si>
  <si>
    <t>Chicken Breast 3lb</t>
  </si>
  <si>
    <t>BE-506</t>
  </si>
  <si>
    <t>Razor 4pk</t>
  </si>
  <si>
    <t>CL-708</t>
  </si>
  <si>
    <t>Baseball Cap</t>
  </si>
  <si>
    <t>SPORTS</t>
  </si>
  <si>
    <t>GR-001</t>
  </si>
  <si>
    <t>Organic Whole Milk 1gal</t>
  </si>
  <si>
    <t>EL-404</t>
  </si>
  <si>
    <t>Laptop Stand</t>
  </si>
  <si>
    <t>SP-102</t>
  </si>
  <si>
    <t>Dumbbells 20lb pair</t>
  </si>
  <si>
    <t>GR-012</t>
  </si>
  <si>
    <t>Cereal 18oz</t>
  </si>
  <si>
    <t>CLOTHING</t>
  </si>
  <si>
    <t>CL-304</t>
  </si>
  <si>
    <t>Running Shoes</t>
  </si>
  <si>
    <t>GR-011</t>
  </si>
  <si>
    <t>Butter 1lb</t>
  </si>
  <si>
    <t>PH-203</t>
  </si>
  <si>
    <t>Allergy Relief 30ct</t>
  </si>
  <si>
    <t>ELECTRONICS</t>
  </si>
  <si>
    <t>FURNITURE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</si>
</sst>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yyyy\-mm\-dd;@"/>
  </numFmts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10">
    <xf numFmtId="0" fontId="0" fillId="0" borderId="0" xfId="0"/>
    <xf numFmtId="14" fontId="0" fillId="0" borderId="0" xfId="0" applyNumberFormat="1"/>
    <xf numFmtId="15" fontId="0" fillId="0" borderId="0" xfId="0" applyNumberFormat="1"/>
    <xf numFmtId="0" fontId="18" fillId="0" borderId="0" xfId="0" applyFont="1"/>
    <xf numFmtId="164" fontId="18" fillId="0" borderId="0" xfId="0" applyNumberFormat="1" applyFont="1"/>
    <xf numFmtId="164" fontId="0" fillId="0" borderId="0" xfId="0" applyNumberFormat="1"/>
    <xf numFmtId="9" fontId="18" fillId="0" borderId="0" xfId="1" applyFont="1"/>
    <xf numFmtId="9" fontId="0" fillId="0" borderId="0" xfId="1" applyFont="1"/>
    <xf numFmtId="43" fontId="18" fillId="0" borderId="0" xfId="43" applyFont="1"/>
    <xf numFmtId="43" fontId="0" fillId="0" borderId="0" xfId="43" applyFont="1"/>
  </cellXfs>
  <cellStyles count="44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43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C9521-E4B5-BA41-9BAA-6FFA22546008}">
  <dimension ref="A1:M5412"/>
  <sheetViews>
    <sheetView workbookViewId="0">
      <selection activeCell="E8" sqref="E8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>
        <v>101047</v>
      </c>
      <c r="B2" s="1">
        <v>45290</v>
      </c>
      <c r="C2">
        <v>47786</v>
      </c>
      <c r="D2" t="s">
        <v>13</v>
      </c>
      <c r="E2" t="s">
        <v>14</v>
      </c>
      <c r="F2" t="s">
        <v>15</v>
      </c>
      <c r="G2">
        <v>2</v>
      </c>
      <c r="H2">
        <v>79.989999999999995</v>
      </c>
      <c r="J2">
        <v>159.97999999999999</v>
      </c>
      <c r="K2" t="s">
        <v>16</v>
      </c>
      <c r="L2" t="s">
        <v>17</v>
      </c>
      <c r="M2" t="s">
        <v>18</v>
      </c>
    </row>
    <row r="3" spans="1:13" x14ac:dyDescent="0.2">
      <c r="A3">
        <v>101291</v>
      </c>
      <c r="B3" s="1">
        <v>45160</v>
      </c>
      <c r="C3">
        <v>83378</v>
      </c>
      <c r="D3" t="s">
        <v>19</v>
      </c>
      <c r="E3" t="s">
        <v>20</v>
      </c>
      <c r="F3" t="s">
        <v>21</v>
      </c>
      <c r="G3">
        <v>5</v>
      </c>
      <c r="H3">
        <v>9.99</v>
      </c>
      <c r="J3">
        <v>49.95</v>
      </c>
      <c r="K3" t="s">
        <v>22</v>
      </c>
      <c r="L3" t="s">
        <v>23</v>
      </c>
      <c r="M3" t="s">
        <v>24</v>
      </c>
    </row>
    <row r="4" spans="1:13" x14ac:dyDescent="0.2">
      <c r="A4">
        <v>101812</v>
      </c>
      <c r="B4" s="2">
        <v>44683</v>
      </c>
      <c r="C4">
        <v>60430</v>
      </c>
      <c r="D4" t="s">
        <v>25</v>
      </c>
      <c r="E4" t="s">
        <v>26</v>
      </c>
      <c r="F4" t="s">
        <v>27</v>
      </c>
      <c r="G4">
        <v>1</v>
      </c>
      <c r="H4">
        <v>29.74</v>
      </c>
      <c r="I4">
        <v>0.15</v>
      </c>
      <c r="J4">
        <v>25.28</v>
      </c>
      <c r="K4" t="s">
        <v>16</v>
      </c>
      <c r="L4" t="s">
        <v>17</v>
      </c>
      <c r="M4" t="s">
        <v>28</v>
      </c>
    </row>
    <row r="5" spans="1:13" x14ac:dyDescent="0.2">
      <c r="A5">
        <v>102088</v>
      </c>
      <c r="B5" s="1">
        <v>45078</v>
      </c>
      <c r="C5">
        <v>80498</v>
      </c>
      <c r="D5" t="s">
        <v>29</v>
      </c>
      <c r="E5" t="s">
        <v>30</v>
      </c>
      <c r="F5" t="s">
        <v>31</v>
      </c>
      <c r="G5">
        <v>5</v>
      </c>
      <c r="H5">
        <v>24.99</v>
      </c>
      <c r="J5">
        <v>124.95</v>
      </c>
      <c r="K5" t="s">
        <v>32</v>
      </c>
      <c r="L5" t="s">
        <v>17</v>
      </c>
      <c r="M5" t="s">
        <v>33</v>
      </c>
    </row>
    <row r="6" spans="1:13" x14ac:dyDescent="0.2">
      <c r="A6">
        <v>102306</v>
      </c>
      <c r="B6" s="2">
        <v>44998</v>
      </c>
      <c r="C6">
        <v>62555</v>
      </c>
      <c r="D6" t="s">
        <v>13</v>
      </c>
      <c r="E6" t="s">
        <v>34</v>
      </c>
      <c r="F6" t="s">
        <v>35</v>
      </c>
      <c r="G6">
        <v>3</v>
      </c>
      <c r="H6">
        <v>34.99</v>
      </c>
      <c r="J6">
        <v>104.97</v>
      </c>
      <c r="K6" t="s">
        <v>36</v>
      </c>
      <c r="L6" t="s">
        <v>37</v>
      </c>
      <c r="M6" t="s">
        <v>18</v>
      </c>
    </row>
    <row r="7" spans="1:13" x14ac:dyDescent="0.2">
      <c r="A7">
        <v>102465</v>
      </c>
      <c r="B7" s="1">
        <v>44900</v>
      </c>
      <c r="C7">
        <v>78782</v>
      </c>
      <c r="D7" t="s">
        <v>29</v>
      </c>
      <c r="E7" t="s">
        <v>38</v>
      </c>
      <c r="F7" t="s">
        <v>39</v>
      </c>
      <c r="G7">
        <v>5</v>
      </c>
      <c r="H7">
        <v>20.99</v>
      </c>
      <c r="I7">
        <v>0.3</v>
      </c>
      <c r="J7">
        <v>73.459999999999994</v>
      </c>
      <c r="K7" t="s">
        <v>32</v>
      </c>
      <c r="L7" t="s">
        <v>17</v>
      </c>
      <c r="M7" t="s">
        <v>33</v>
      </c>
    </row>
    <row r="8" spans="1:13" x14ac:dyDescent="0.2">
      <c r="A8">
        <v>102502</v>
      </c>
      <c r="B8" s="1">
        <v>44868</v>
      </c>
      <c r="D8" t="s">
        <v>40</v>
      </c>
      <c r="E8" t="s">
        <v>41</v>
      </c>
      <c r="F8" t="s">
        <v>42</v>
      </c>
      <c r="G8">
        <v>2</v>
      </c>
      <c r="H8">
        <v>4.49</v>
      </c>
      <c r="I8">
        <v>0.25</v>
      </c>
      <c r="J8">
        <v>6.74</v>
      </c>
      <c r="K8" t="s">
        <v>22</v>
      </c>
      <c r="L8" t="s">
        <v>17</v>
      </c>
      <c r="M8" t="s">
        <v>43</v>
      </c>
    </row>
    <row r="9" spans="1:13" x14ac:dyDescent="0.2">
      <c r="A9">
        <v>102533</v>
      </c>
      <c r="B9" s="1">
        <v>45555</v>
      </c>
      <c r="D9" t="s">
        <v>44</v>
      </c>
      <c r="E9" t="s">
        <v>45</v>
      </c>
      <c r="F9" t="s">
        <v>46</v>
      </c>
      <c r="G9">
        <v>1</v>
      </c>
      <c r="H9">
        <v>1.34</v>
      </c>
      <c r="I9">
        <v>0.25</v>
      </c>
      <c r="J9">
        <v>1.01</v>
      </c>
      <c r="K9" t="s">
        <v>16</v>
      </c>
      <c r="L9" t="s">
        <v>17</v>
      </c>
      <c r="M9" t="s">
        <v>47</v>
      </c>
    </row>
    <row r="10" spans="1:13" x14ac:dyDescent="0.2">
      <c r="A10">
        <v>103055</v>
      </c>
      <c r="B10" s="1">
        <v>45048</v>
      </c>
      <c r="C10">
        <v>95915</v>
      </c>
      <c r="D10" t="s">
        <v>48</v>
      </c>
      <c r="E10" t="s">
        <v>49</v>
      </c>
      <c r="F10" t="s">
        <v>50</v>
      </c>
      <c r="G10">
        <v>2</v>
      </c>
      <c r="H10">
        <v>8.99</v>
      </c>
      <c r="J10">
        <v>17.98</v>
      </c>
      <c r="K10" t="s">
        <v>36</v>
      </c>
      <c r="L10" t="s">
        <v>37</v>
      </c>
      <c r="M10" t="s">
        <v>47</v>
      </c>
    </row>
    <row r="11" spans="1:13" x14ac:dyDescent="0.2">
      <c r="A11">
        <v>103292</v>
      </c>
      <c r="B11" s="2">
        <v>45196</v>
      </c>
      <c r="C11">
        <v>46193</v>
      </c>
      <c r="D11" t="s">
        <v>25</v>
      </c>
      <c r="E11" t="s">
        <v>51</v>
      </c>
      <c r="F11" t="s">
        <v>52</v>
      </c>
      <c r="G11">
        <v>1</v>
      </c>
      <c r="H11">
        <v>19.59</v>
      </c>
      <c r="I11">
        <v>0.3</v>
      </c>
      <c r="J11">
        <v>13.71</v>
      </c>
      <c r="K11" t="s">
        <v>53</v>
      </c>
      <c r="L11" t="s">
        <v>37</v>
      </c>
      <c r="M11" t="s">
        <v>54</v>
      </c>
    </row>
    <row r="12" spans="1:13" x14ac:dyDescent="0.2">
      <c r="A12">
        <v>103300</v>
      </c>
      <c r="B12" s="1">
        <v>45486</v>
      </c>
      <c r="C12">
        <v>19709</v>
      </c>
      <c r="D12" t="s">
        <v>13</v>
      </c>
      <c r="E12" t="s">
        <v>55</v>
      </c>
      <c r="F12" t="s">
        <v>56</v>
      </c>
      <c r="G12">
        <v>3</v>
      </c>
      <c r="H12">
        <v>230.99</v>
      </c>
      <c r="I12">
        <v>0.3</v>
      </c>
      <c r="J12">
        <v>485.08</v>
      </c>
      <c r="K12" t="s">
        <v>36</v>
      </c>
      <c r="L12" t="s">
        <v>37</v>
      </c>
      <c r="M12" t="s">
        <v>57</v>
      </c>
    </row>
    <row r="13" spans="1:13" x14ac:dyDescent="0.2">
      <c r="A13">
        <v>103496</v>
      </c>
      <c r="B13" s="1">
        <v>45395</v>
      </c>
      <c r="C13">
        <v>42392</v>
      </c>
      <c r="D13" t="s">
        <v>40</v>
      </c>
      <c r="E13" t="s">
        <v>58</v>
      </c>
      <c r="F13" t="s">
        <v>59</v>
      </c>
      <c r="G13">
        <v>1</v>
      </c>
      <c r="H13">
        <v>3.39</v>
      </c>
      <c r="I13">
        <v>0.15</v>
      </c>
      <c r="J13">
        <v>2.88</v>
      </c>
      <c r="K13" t="s">
        <v>36</v>
      </c>
      <c r="L13" t="s">
        <v>17</v>
      </c>
      <c r="M13" t="s">
        <v>28</v>
      </c>
    </row>
    <row r="14" spans="1:13" x14ac:dyDescent="0.2">
      <c r="A14">
        <v>103506</v>
      </c>
      <c r="B14" s="1">
        <v>45367</v>
      </c>
      <c r="C14">
        <v>91356</v>
      </c>
      <c r="D14" t="s">
        <v>25</v>
      </c>
      <c r="E14" t="s">
        <v>60</v>
      </c>
      <c r="F14" t="s">
        <v>61</v>
      </c>
      <c r="G14">
        <v>5</v>
      </c>
      <c r="H14">
        <v>52.24</v>
      </c>
      <c r="I14">
        <v>0.05</v>
      </c>
      <c r="J14">
        <v>248.14</v>
      </c>
      <c r="K14" t="s">
        <v>16</v>
      </c>
      <c r="L14" t="s">
        <v>17</v>
      </c>
      <c r="M14" t="s">
        <v>62</v>
      </c>
    </row>
    <row r="15" spans="1:13" x14ac:dyDescent="0.2">
      <c r="A15">
        <v>103735</v>
      </c>
      <c r="B15" s="1">
        <v>44600</v>
      </c>
      <c r="D15" t="s">
        <v>44</v>
      </c>
      <c r="E15" t="s">
        <v>45</v>
      </c>
      <c r="F15" t="s">
        <v>46</v>
      </c>
      <c r="G15">
        <v>2</v>
      </c>
      <c r="H15">
        <v>1.79</v>
      </c>
      <c r="J15">
        <v>3.58</v>
      </c>
      <c r="K15" t="s">
        <v>16</v>
      </c>
      <c r="L15" t="s">
        <v>17</v>
      </c>
      <c r="M15" t="s">
        <v>18</v>
      </c>
    </row>
    <row r="16" spans="1:13" x14ac:dyDescent="0.2">
      <c r="A16">
        <v>104478</v>
      </c>
      <c r="B16" s="1">
        <v>45165</v>
      </c>
      <c r="C16">
        <v>86184</v>
      </c>
      <c r="D16" t="s">
        <v>63</v>
      </c>
      <c r="E16" t="s">
        <v>64</v>
      </c>
      <c r="F16" t="s">
        <v>65</v>
      </c>
      <c r="G16">
        <v>1</v>
      </c>
      <c r="H16">
        <v>4.99</v>
      </c>
      <c r="J16">
        <v>4.99</v>
      </c>
      <c r="K16" t="s">
        <v>66</v>
      </c>
      <c r="L16" t="s">
        <v>17</v>
      </c>
      <c r="M16" t="s">
        <v>67</v>
      </c>
    </row>
    <row r="17" spans="1:13" x14ac:dyDescent="0.2">
      <c r="A17">
        <v>104488</v>
      </c>
      <c r="B17" s="1">
        <v>44889</v>
      </c>
      <c r="C17">
        <v>47751</v>
      </c>
      <c r="D17" t="s">
        <v>63</v>
      </c>
      <c r="E17" t="s">
        <v>64</v>
      </c>
      <c r="F17" t="s">
        <v>65</v>
      </c>
      <c r="G17">
        <v>3</v>
      </c>
      <c r="H17">
        <v>4.74</v>
      </c>
      <c r="I17">
        <v>0.05</v>
      </c>
      <c r="J17">
        <v>13.51</v>
      </c>
      <c r="K17" t="s">
        <v>36</v>
      </c>
      <c r="L17" t="s">
        <v>37</v>
      </c>
      <c r="M17" t="s">
        <v>18</v>
      </c>
    </row>
    <row r="18" spans="1:13" x14ac:dyDescent="0.2">
      <c r="A18">
        <v>104523</v>
      </c>
      <c r="B18" s="1">
        <v>45319</v>
      </c>
      <c r="C18">
        <v>10364</v>
      </c>
      <c r="D18" t="s">
        <v>63</v>
      </c>
      <c r="E18" t="s">
        <v>68</v>
      </c>
      <c r="F18" t="s">
        <v>69</v>
      </c>
      <c r="G18">
        <v>2</v>
      </c>
      <c r="H18">
        <v>19.989999999999998</v>
      </c>
      <c r="I18">
        <v>0.2</v>
      </c>
      <c r="J18">
        <v>31.98</v>
      </c>
      <c r="K18" t="s">
        <v>16</v>
      </c>
      <c r="L18" t="s">
        <v>37</v>
      </c>
      <c r="M18" t="s">
        <v>54</v>
      </c>
    </row>
    <row r="19" spans="1:13" x14ac:dyDescent="0.2">
      <c r="A19">
        <v>104855</v>
      </c>
      <c r="B19" s="2">
        <v>45547</v>
      </c>
      <c r="C19">
        <v>48062</v>
      </c>
      <c r="D19" t="s">
        <v>25</v>
      </c>
      <c r="E19" t="s">
        <v>70</v>
      </c>
      <c r="F19" t="s">
        <v>71</v>
      </c>
      <c r="G19">
        <v>2</v>
      </c>
      <c r="H19">
        <v>89.99</v>
      </c>
      <c r="J19">
        <v>179.98</v>
      </c>
      <c r="K19" t="s">
        <v>36</v>
      </c>
      <c r="L19" t="s">
        <v>17</v>
      </c>
      <c r="M19" t="s">
        <v>28</v>
      </c>
    </row>
    <row r="20" spans="1:13" x14ac:dyDescent="0.2">
      <c r="A20">
        <v>105337</v>
      </c>
      <c r="B20" s="1">
        <v>44814</v>
      </c>
      <c r="C20">
        <v>42955</v>
      </c>
      <c r="D20" t="s">
        <v>13</v>
      </c>
      <c r="E20" t="s">
        <v>34</v>
      </c>
      <c r="F20" t="s">
        <v>35</v>
      </c>
      <c r="G20">
        <v>2</v>
      </c>
      <c r="H20">
        <v>34.99</v>
      </c>
      <c r="J20">
        <v>69.98</v>
      </c>
      <c r="K20" t="s">
        <v>16</v>
      </c>
      <c r="L20" t="s">
        <v>37</v>
      </c>
      <c r="M20" t="s">
        <v>57</v>
      </c>
    </row>
    <row r="21" spans="1:13" x14ac:dyDescent="0.2">
      <c r="A21">
        <v>105411</v>
      </c>
      <c r="B21" s="1">
        <v>44805</v>
      </c>
      <c r="C21">
        <v>73284</v>
      </c>
      <c r="D21" t="s">
        <v>29</v>
      </c>
      <c r="E21" t="s">
        <v>72</v>
      </c>
      <c r="F21" t="s">
        <v>73</v>
      </c>
      <c r="G21">
        <v>1</v>
      </c>
      <c r="H21">
        <v>33.99</v>
      </c>
      <c r="I21">
        <v>0.15</v>
      </c>
      <c r="J21">
        <v>28.89</v>
      </c>
      <c r="K21" t="s">
        <v>36</v>
      </c>
      <c r="L21" t="s">
        <v>37</v>
      </c>
      <c r="M21" t="s">
        <v>43</v>
      </c>
    </row>
    <row r="22" spans="1:13" x14ac:dyDescent="0.2">
      <c r="A22">
        <v>105767</v>
      </c>
      <c r="B22" s="1">
        <v>44604</v>
      </c>
      <c r="C22">
        <v>15863</v>
      </c>
      <c r="D22" t="s">
        <v>44</v>
      </c>
      <c r="E22" t="s">
        <v>74</v>
      </c>
      <c r="F22" t="s">
        <v>75</v>
      </c>
      <c r="G22">
        <v>3</v>
      </c>
      <c r="H22">
        <v>2.09</v>
      </c>
      <c r="I22">
        <v>0.3</v>
      </c>
      <c r="J22">
        <v>4.3899999999999997</v>
      </c>
      <c r="K22" t="s">
        <v>53</v>
      </c>
      <c r="L22" t="s">
        <v>17</v>
      </c>
      <c r="M22" t="s">
        <v>76</v>
      </c>
    </row>
    <row r="23" spans="1:13" x14ac:dyDescent="0.2">
      <c r="A23">
        <v>105891</v>
      </c>
      <c r="B23" s="2">
        <v>45425</v>
      </c>
      <c r="C23">
        <v>64264</v>
      </c>
      <c r="D23" t="s">
        <v>13</v>
      </c>
      <c r="E23" t="s">
        <v>77</v>
      </c>
      <c r="F23" t="s">
        <v>78</v>
      </c>
      <c r="G23">
        <v>1</v>
      </c>
      <c r="H23">
        <v>499.99</v>
      </c>
      <c r="J23">
        <v>499.99</v>
      </c>
      <c r="K23" t="s">
        <v>36</v>
      </c>
      <c r="L23" t="s">
        <v>23</v>
      </c>
      <c r="M23" t="s">
        <v>24</v>
      </c>
    </row>
    <row r="24" spans="1:13" x14ac:dyDescent="0.2">
      <c r="A24">
        <v>105898</v>
      </c>
      <c r="B24" s="1">
        <v>45614</v>
      </c>
      <c r="D24" t="s">
        <v>13</v>
      </c>
      <c r="E24" t="s">
        <v>79</v>
      </c>
      <c r="F24" t="s">
        <v>80</v>
      </c>
      <c r="G24">
        <v>3</v>
      </c>
      <c r="H24">
        <v>89.99</v>
      </c>
      <c r="J24">
        <v>269.97000000000003</v>
      </c>
      <c r="K24" t="s">
        <v>16</v>
      </c>
      <c r="L24" t="s">
        <v>17</v>
      </c>
      <c r="M24" t="s">
        <v>81</v>
      </c>
    </row>
    <row r="25" spans="1:13" x14ac:dyDescent="0.2">
      <c r="A25">
        <v>105910</v>
      </c>
      <c r="B25" s="1">
        <v>45026</v>
      </c>
      <c r="C25">
        <v>73703</v>
      </c>
      <c r="D25" t="s">
        <v>82</v>
      </c>
      <c r="E25" t="s">
        <v>83</v>
      </c>
      <c r="F25" t="s">
        <v>84</v>
      </c>
      <c r="G25">
        <v>3</v>
      </c>
      <c r="H25">
        <v>11.89</v>
      </c>
      <c r="I25">
        <v>0.3</v>
      </c>
      <c r="J25">
        <v>24.97</v>
      </c>
      <c r="K25" t="s">
        <v>36</v>
      </c>
      <c r="L25" t="s">
        <v>17</v>
      </c>
      <c r="M25" t="s">
        <v>54</v>
      </c>
    </row>
    <row r="26" spans="1:13" x14ac:dyDescent="0.2">
      <c r="A26">
        <v>105960</v>
      </c>
      <c r="B26" s="1">
        <v>45338</v>
      </c>
      <c r="C26">
        <v>70702</v>
      </c>
      <c r="D26" t="s">
        <v>85</v>
      </c>
      <c r="E26" t="s">
        <v>86</v>
      </c>
      <c r="F26" t="s">
        <v>87</v>
      </c>
      <c r="G26">
        <v>1</v>
      </c>
      <c r="H26">
        <v>9.09</v>
      </c>
      <c r="I26">
        <v>0.3</v>
      </c>
      <c r="J26">
        <v>6.36</v>
      </c>
      <c r="K26" t="s">
        <v>22</v>
      </c>
      <c r="L26" t="s">
        <v>17</v>
      </c>
      <c r="M26" t="s">
        <v>43</v>
      </c>
    </row>
    <row r="27" spans="1:13" x14ac:dyDescent="0.2">
      <c r="A27">
        <v>106029</v>
      </c>
      <c r="B27" s="1">
        <v>45581</v>
      </c>
      <c r="C27">
        <v>96438</v>
      </c>
      <c r="D27" t="s">
        <v>29</v>
      </c>
      <c r="E27" t="s">
        <v>88</v>
      </c>
      <c r="F27" t="s">
        <v>89</v>
      </c>
      <c r="G27">
        <v>2</v>
      </c>
      <c r="H27">
        <v>37.49</v>
      </c>
      <c r="I27">
        <v>0.25</v>
      </c>
      <c r="J27">
        <v>56.24</v>
      </c>
      <c r="K27" t="s">
        <v>16</v>
      </c>
      <c r="L27" t="s">
        <v>17</v>
      </c>
      <c r="M27" t="s">
        <v>90</v>
      </c>
    </row>
    <row r="28" spans="1:13" x14ac:dyDescent="0.2">
      <c r="A28">
        <v>106047</v>
      </c>
      <c r="B28" s="2">
        <v>44876</v>
      </c>
      <c r="C28">
        <v>81600</v>
      </c>
      <c r="D28" t="s">
        <v>44</v>
      </c>
      <c r="E28" t="s">
        <v>91</v>
      </c>
      <c r="F28" t="s">
        <v>92</v>
      </c>
      <c r="G28">
        <v>1</v>
      </c>
      <c r="H28">
        <v>4.72</v>
      </c>
      <c r="J28">
        <v>4.72</v>
      </c>
      <c r="K28" t="s">
        <v>22</v>
      </c>
      <c r="L28" t="s">
        <v>17</v>
      </c>
      <c r="M28" t="s">
        <v>81</v>
      </c>
    </row>
    <row r="29" spans="1:13" x14ac:dyDescent="0.2">
      <c r="A29">
        <v>106263</v>
      </c>
      <c r="B29" s="1">
        <v>44902</v>
      </c>
      <c r="C29">
        <v>95178</v>
      </c>
      <c r="D29" t="s">
        <v>44</v>
      </c>
      <c r="E29" t="s">
        <v>93</v>
      </c>
      <c r="F29" t="s">
        <v>94</v>
      </c>
      <c r="G29">
        <v>5</v>
      </c>
      <c r="H29">
        <v>0.9</v>
      </c>
      <c r="I29">
        <v>0.3</v>
      </c>
      <c r="J29">
        <v>3.15</v>
      </c>
      <c r="K29" t="s">
        <v>95</v>
      </c>
      <c r="L29" t="s">
        <v>17</v>
      </c>
      <c r="M29" t="s">
        <v>33</v>
      </c>
    </row>
    <row r="30" spans="1:13" x14ac:dyDescent="0.2">
      <c r="A30">
        <v>106543</v>
      </c>
      <c r="B30" s="1">
        <v>45204</v>
      </c>
      <c r="C30">
        <v>88674</v>
      </c>
      <c r="D30" t="s">
        <v>63</v>
      </c>
      <c r="E30" t="s">
        <v>64</v>
      </c>
      <c r="F30" t="s">
        <v>65</v>
      </c>
      <c r="G30">
        <v>1</v>
      </c>
      <c r="H30">
        <v>3.99</v>
      </c>
      <c r="I30">
        <v>0.2</v>
      </c>
      <c r="J30">
        <v>3.19</v>
      </c>
      <c r="K30" t="s">
        <v>36</v>
      </c>
      <c r="L30" t="s">
        <v>17</v>
      </c>
      <c r="M30" t="s">
        <v>96</v>
      </c>
    </row>
    <row r="31" spans="1:13" x14ac:dyDescent="0.2">
      <c r="A31">
        <v>106587</v>
      </c>
      <c r="B31" s="1">
        <v>45594</v>
      </c>
      <c r="C31">
        <v>94688</v>
      </c>
      <c r="D31" t="s">
        <v>97</v>
      </c>
      <c r="E31" t="s">
        <v>98</v>
      </c>
      <c r="F31" t="s">
        <v>99</v>
      </c>
      <c r="G31">
        <v>4</v>
      </c>
      <c r="H31">
        <v>27.99</v>
      </c>
      <c r="J31">
        <v>111.96</v>
      </c>
      <c r="K31" t="s">
        <v>16</v>
      </c>
      <c r="L31" t="s">
        <v>17</v>
      </c>
      <c r="M31" t="s">
        <v>67</v>
      </c>
    </row>
    <row r="32" spans="1:13" x14ac:dyDescent="0.2">
      <c r="A32">
        <v>106747</v>
      </c>
      <c r="B32" s="1">
        <v>45229</v>
      </c>
      <c r="C32">
        <v>22687</v>
      </c>
      <c r="D32" t="s">
        <v>63</v>
      </c>
      <c r="E32" t="s">
        <v>68</v>
      </c>
      <c r="F32" t="s">
        <v>69</v>
      </c>
      <c r="G32">
        <v>2</v>
      </c>
      <c r="H32">
        <v>19.989999999999998</v>
      </c>
      <c r="I32">
        <v>0.2</v>
      </c>
      <c r="J32">
        <v>31.98</v>
      </c>
      <c r="K32" t="s">
        <v>22</v>
      </c>
      <c r="L32" t="s">
        <v>37</v>
      </c>
      <c r="M32" t="s">
        <v>76</v>
      </c>
    </row>
    <row r="33" spans="1:13" x14ac:dyDescent="0.2">
      <c r="A33">
        <v>106802</v>
      </c>
      <c r="B33" s="1">
        <v>45075</v>
      </c>
      <c r="C33">
        <v>54297</v>
      </c>
      <c r="D33" t="s">
        <v>29</v>
      </c>
      <c r="E33" t="s">
        <v>38</v>
      </c>
      <c r="F33" t="s">
        <v>39</v>
      </c>
      <c r="G33">
        <v>1</v>
      </c>
      <c r="H33">
        <v>28.49</v>
      </c>
      <c r="I33">
        <v>0.05</v>
      </c>
      <c r="J33">
        <v>27.07</v>
      </c>
      <c r="K33" t="s">
        <v>16</v>
      </c>
      <c r="L33" t="s">
        <v>37</v>
      </c>
      <c r="M33" t="s">
        <v>90</v>
      </c>
    </row>
    <row r="34" spans="1:13" x14ac:dyDescent="0.2">
      <c r="A34">
        <v>106949</v>
      </c>
      <c r="B34" s="2">
        <v>45526</v>
      </c>
      <c r="C34">
        <v>77873</v>
      </c>
      <c r="D34" t="s">
        <v>82</v>
      </c>
      <c r="E34" t="s">
        <v>100</v>
      </c>
      <c r="F34" t="s">
        <v>101</v>
      </c>
      <c r="G34">
        <v>2</v>
      </c>
      <c r="H34">
        <v>22.99</v>
      </c>
      <c r="J34">
        <v>45.98</v>
      </c>
      <c r="K34" t="s">
        <v>66</v>
      </c>
      <c r="L34" t="s">
        <v>37</v>
      </c>
      <c r="M34" t="s">
        <v>102</v>
      </c>
    </row>
    <row r="35" spans="1:13" x14ac:dyDescent="0.2">
      <c r="A35">
        <v>106959</v>
      </c>
      <c r="B35" s="1">
        <v>45625</v>
      </c>
      <c r="C35">
        <v>17057</v>
      </c>
      <c r="D35" t="s">
        <v>19</v>
      </c>
      <c r="E35" t="s">
        <v>58</v>
      </c>
      <c r="F35" t="s">
        <v>59</v>
      </c>
      <c r="G35">
        <v>2</v>
      </c>
      <c r="H35">
        <v>3.39</v>
      </c>
      <c r="I35">
        <v>0.15</v>
      </c>
      <c r="J35">
        <v>5.76</v>
      </c>
      <c r="K35" t="s">
        <v>32</v>
      </c>
      <c r="L35" t="s">
        <v>37</v>
      </c>
      <c r="M35" t="s">
        <v>103</v>
      </c>
    </row>
    <row r="36" spans="1:13" x14ac:dyDescent="0.2">
      <c r="A36">
        <v>107239</v>
      </c>
      <c r="B36" s="1">
        <v>44834</v>
      </c>
      <c r="C36">
        <v>29478</v>
      </c>
      <c r="D36" t="s">
        <v>44</v>
      </c>
      <c r="E36" t="s">
        <v>74</v>
      </c>
      <c r="F36" t="s">
        <v>75</v>
      </c>
      <c r="G36">
        <v>1</v>
      </c>
      <c r="H36">
        <v>2.09</v>
      </c>
      <c r="I36">
        <v>0.3</v>
      </c>
      <c r="J36">
        <v>1.46</v>
      </c>
      <c r="K36" t="s">
        <v>22</v>
      </c>
      <c r="L36" t="s">
        <v>17</v>
      </c>
      <c r="M36" t="s">
        <v>28</v>
      </c>
    </row>
    <row r="37" spans="1:13" x14ac:dyDescent="0.2">
      <c r="A37">
        <v>107432</v>
      </c>
      <c r="B37" s="1">
        <v>44917</v>
      </c>
      <c r="C37">
        <v>24560</v>
      </c>
      <c r="D37" t="s">
        <v>13</v>
      </c>
      <c r="E37" t="s">
        <v>104</v>
      </c>
      <c r="F37" t="s">
        <v>105</v>
      </c>
      <c r="G37">
        <v>5</v>
      </c>
      <c r="H37">
        <v>23.99</v>
      </c>
      <c r="I37">
        <v>0.2</v>
      </c>
      <c r="J37">
        <v>95.96</v>
      </c>
      <c r="K37" t="s">
        <v>95</v>
      </c>
      <c r="L37" t="s">
        <v>17</v>
      </c>
      <c r="M37" t="s">
        <v>67</v>
      </c>
    </row>
    <row r="38" spans="1:13" x14ac:dyDescent="0.2">
      <c r="A38">
        <v>107461</v>
      </c>
      <c r="B38" s="1">
        <v>45309</v>
      </c>
      <c r="C38">
        <v>64862</v>
      </c>
      <c r="D38" t="s">
        <v>106</v>
      </c>
      <c r="E38" t="s">
        <v>107</v>
      </c>
      <c r="F38" t="s">
        <v>108</v>
      </c>
      <c r="G38">
        <v>1</v>
      </c>
      <c r="H38">
        <v>3.49</v>
      </c>
      <c r="J38">
        <v>3.49</v>
      </c>
      <c r="K38" t="s">
        <v>36</v>
      </c>
      <c r="L38" t="s">
        <v>17</v>
      </c>
      <c r="M38" t="s">
        <v>90</v>
      </c>
    </row>
    <row r="39" spans="1:13" x14ac:dyDescent="0.2">
      <c r="A39">
        <v>107567</v>
      </c>
      <c r="B39" s="2">
        <v>44771</v>
      </c>
      <c r="C39">
        <v>84944</v>
      </c>
      <c r="D39" t="s">
        <v>48</v>
      </c>
      <c r="E39" t="s">
        <v>109</v>
      </c>
      <c r="F39" t="s">
        <v>110</v>
      </c>
      <c r="G39">
        <v>5</v>
      </c>
      <c r="H39">
        <v>6.99</v>
      </c>
      <c r="J39">
        <v>34.950000000000003</v>
      </c>
      <c r="K39" t="s">
        <v>36</v>
      </c>
      <c r="L39" t="s">
        <v>17</v>
      </c>
      <c r="M39" t="s">
        <v>81</v>
      </c>
    </row>
    <row r="40" spans="1:13" x14ac:dyDescent="0.2">
      <c r="A40">
        <v>107786</v>
      </c>
      <c r="B40" s="1">
        <v>45135</v>
      </c>
      <c r="C40">
        <v>68036</v>
      </c>
      <c r="D40" t="s">
        <v>63</v>
      </c>
      <c r="E40" t="s">
        <v>111</v>
      </c>
      <c r="F40" t="s">
        <v>112</v>
      </c>
      <c r="G40">
        <v>1</v>
      </c>
      <c r="H40">
        <v>11.24</v>
      </c>
      <c r="I40">
        <v>0.25</v>
      </c>
      <c r="J40">
        <v>8.43</v>
      </c>
      <c r="K40" t="s">
        <v>22</v>
      </c>
      <c r="L40" t="s">
        <v>17</v>
      </c>
      <c r="M40" t="s">
        <v>62</v>
      </c>
    </row>
    <row r="41" spans="1:13" x14ac:dyDescent="0.2">
      <c r="A41">
        <v>108023</v>
      </c>
      <c r="B41" s="1">
        <v>44733</v>
      </c>
      <c r="C41">
        <v>34612</v>
      </c>
      <c r="D41" t="s">
        <v>25</v>
      </c>
      <c r="E41" t="s">
        <v>113</v>
      </c>
      <c r="F41" t="s">
        <v>114</v>
      </c>
      <c r="G41">
        <v>1</v>
      </c>
      <c r="H41">
        <v>107.99</v>
      </c>
      <c r="I41">
        <v>0.1</v>
      </c>
      <c r="J41">
        <v>97.19</v>
      </c>
      <c r="K41" t="s">
        <v>16</v>
      </c>
      <c r="L41" t="s">
        <v>17</v>
      </c>
    </row>
    <row r="42" spans="1:13" x14ac:dyDescent="0.2">
      <c r="A42">
        <v>108027</v>
      </c>
      <c r="B42" s="1">
        <v>45648</v>
      </c>
      <c r="C42">
        <v>97150</v>
      </c>
      <c r="D42" t="s">
        <v>19</v>
      </c>
      <c r="E42" t="s">
        <v>115</v>
      </c>
      <c r="F42" t="s">
        <v>116</v>
      </c>
      <c r="G42">
        <v>5</v>
      </c>
      <c r="H42">
        <v>12.99</v>
      </c>
      <c r="J42">
        <v>64.95</v>
      </c>
      <c r="K42" t="s">
        <v>16</v>
      </c>
      <c r="L42" t="s">
        <v>17</v>
      </c>
      <c r="M42" t="s">
        <v>117</v>
      </c>
    </row>
    <row r="43" spans="1:13" x14ac:dyDescent="0.2">
      <c r="A43">
        <v>108286</v>
      </c>
      <c r="B43" s="2">
        <v>45185</v>
      </c>
      <c r="C43">
        <v>29249</v>
      </c>
      <c r="D43" t="s">
        <v>48</v>
      </c>
      <c r="E43" t="s">
        <v>118</v>
      </c>
      <c r="F43" t="s">
        <v>119</v>
      </c>
      <c r="G43">
        <v>5</v>
      </c>
      <c r="H43">
        <v>4.24</v>
      </c>
      <c r="I43">
        <v>0.15</v>
      </c>
      <c r="J43">
        <v>18.02</v>
      </c>
      <c r="K43" t="s">
        <v>36</v>
      </c>
      <c r="L43" t="s">
        <v>23</v>
      </c>
      <c r="M43" t="s">
        <v>120</v>
      </c>
    </row>
    <row r="44" spans="1:13" x14ac:dyDescent="0.2">
      <c r="A44">
        <v>108304</v>
      </c>
      <c r="B44" s="1">
        <v>44607</v>
      </c>
      <c r="C44">
        <v>50153</v>
      </c>
      <c r="D44" t="s">
        <v>82</v>
      </c>
      <c r="E44" t="s">
        <v>83</v>
      </c>
      <c r="F44" t="s">
        <v>84</v>
      </c>
      <c r="G44">
        <v>3</v>
      </c>
      <c r="H44">
        <v>11.89</v>
      </c>
      <c r="I44">
        <v>0.3</v>
      </c>
      <c r="J44">
        <v>24.97</v>
      </c>
      <c r="K44" t="s">
        <v>95</v>
      </c>
      <c r="L44" t="s">
        <v>23</v>
      </c>
      <c r="M44" t="s">
        <v>24</v>
      </c>
    </row>
    <row r="45" spans="1:13" x14ac:dyDescent="0.2">
      <c r="A45">
        <v>108351</v>
      </c>
      <c r="B45" s="1">
        <v>45303</v>
      </c>
      <c r="C45">
        <v>67610</v>
      </c>
      <c r="D45" t="s">
        <v>97</v>
      </c>
      <c r="E45" t="s">
        <v>121</v>
      </c>
      <c r="F45" t="s">
        <v>122</v>
      </c>
      <c r="G45">
        <v>2</v>
      </c>
      <c r="H45">
        <v>9.74</v>
      </c>
      <c r="I45">
        <v>0.25</v>
      </c>
      <c r="J45">
        <v>14.61</v>
      </c>
      <c r="K45" t="s">
        <v>36</v>
      </c>
      <c r="L45" t="s">
        <v>17</v>
      </c>
      <c r="M45" t="s">
        <v>54</v>
      </c>
    </row>
    <row r="46" spans="1:13" x14ac:dyDescent="0.2">
      <c r="A46">
        <v>108680</v>
      </c>
      <c r="B46" s="1">
        <v>44674</v>
      </c>
      <c r="C46">
        <v>41537</v>
      </c>
      <c r="D46" t="s">
        <v>13</v>
      </c>
      <c r="E46" t="s">
        <v>34</v>
      </c>
      <c r="F46" t="s">
        <v>35</v>
      </c>
      <c r="G46">
        <v>1</v>
      </c>
      <c r="H46">
        <v>26.24</v>
      </c>
      <c r="I46">
        <v>0.25</v>
      </c>
      <c r="J46">
        <v>19.68</v>
      </c>
      <c r="K46" t="s">
        <v>16</v>
      </c>
      <c r="L46" t="s">
        <v>17</v>
      </c>
      <c r="M46" t="s">
        <v>90</v>
      </c>
    </row>
    <row r="47" spans="1:13" x14ac:dyDescent="0.2">
      <c r="A47">
        <v>108817</v>
      </c>
      <c r="B47" s="2">
        <v>45173</v>
      </c>
      <c r="C47">
        <v>98245</v>
      </c>
      <c r="D47" t="s">
        <v>29</v>
      </c>
      <c r="E47" t="s">
        <v>72</v>
      </c>
      <c r="F47" t="s">
        <v>73</v>
      </c>
      <c r="G47">
        <v>1</v>
      </c>
      <c r="H47">
        <v>31.99</v>
      </c>
      <c r="I47">
        <v>0.2</v>
      </c>
      <c r="J47">
        <v>25.59</v>
      </c>
      <c r="K47" t="s">
        <v>36</v>
      </c>
      <c r="L47" t="s">
        <v>37</v>
      </c>
      <c r="M47" t="s">
        <v>123</v>
      </c>
    </row>
    <row r="48" spans="1:13" x14ac:dyDescent="0.2">
      <c r="A48">
        <v>108830</v>
      </c>
      <c r="B48" s="1">
        <v>45571</v>
      </c>
      <c r="C48">
        <v>95476</v>
      </c>
      <c r="D48" t="s">
        <v>13</v>
      </c>
      <c r="E48" t="s">
        <v>34</v>
      </c>
      <c r="F48" t="s">
        <v>35</v>
      </c>
      <c r="G48">
        <v>5</v>
      </c>
      <c r="H48">
        <v>34.99</v>
      </c>
      <c r="J48">
        <v>174.95</v>
      </c>
      <c r="K48" t="s">
        <v>36</v>
      </c>
      <c r="L48" t="s">
        <v>17</v>
      </c>
      <c r="M48" t="s">
        <v>90</v>
      </c>
    </row>
    <row r="49" spans="1:13" x14ac:dyDescent="0.2">
      <c r="A49">
        <v>109127</v>
      </c>
      <c r="B49" s="1">
        <v>45504</v>
      </c>
      <c r="C49">
        <v>25217</v>
      </c>
      <c r="D49" t="s">
        <v>25</v>
      </c>
      <c r="E49" t="s">
        <v>26</v>
      </c>
      <c r="F49" t="s">
        <v>27</v>
      </c>
      <c r="G49">
        <v>1</v>
      </c>
      <c r="H49">
        <v>26.24</v>
      </c>
      <c r="I49">
        <v>0.25</v>
      </c>
      <c r="J49">
        <v>19.68</v>
      </c>
      <c r="K49" t="s">
        <v>22</v>
      </c>
      <c r="L49" t="s">
        <v>17</v>
      </c>
      <c r="M49" t="s">
        <v>24</v>
      </c>
    </row>
    <row r="50" spans="1:13" x14ac:dyDescent="0.2">
      <c r="A50">
        <v>109269</v>
      </c>
      <c r="B50" s="1">
        <v>45600</v>
      </c>
      <c r="C50">
        <v>36699</v>
      </c>
      <c r="D50" t="s">
        <v>63</v>
      </c>
      <c r="E50" t="s">
        <v>64</v>
      </c>
      <c r="F50" t="s">
        <v>65</v>
      </c>
      <c r="G50">
        <v>1</v>
      </c>
      <c r="H50">
        <v>3.74</v>
      </c>
      <c r="I50">
        <v>0.25</v>
      </c>
      <c r="J50">
        <v>2.8</v>
      </c>
      <c r="K50" t="s">
        <v>53</v>
      </c>
      <c r="L50" t="s">
        <v>17</v>
      </c>
      <c r="M50" t="s">
        <v>102</v>
      </c>
    </row>
    <row r="51" spans="1:13" x14ac:dyDescent="0.2">
      <c r="A51">
        <v>109525</v>
      </c>
      <c r="B51" s="1">
        <v>45351</v>
      </c>
      <c r="C51">
        <v>71899</v>
      </c>
      <c r="D51" t="s">
        <v>13</v>
      </c>
      <c r="E51" t="s">
        <v>34</v>
      </c>
      <c r="F51" t="s">
        <v>35</v>
      </c>
      <c r="G51">
        <v>5</v>
      </c>
      <c r="H51">
        <v>27.99</v>
      </c>
      <c r="I51">
        <v>0.2</v>
      </c>
      <c r="J51">
        <v>111.96</v>
      </c>
      <c r="K51" t="s">
        <v>22</v>
      </c>
      <c r="L51" t="s">
        <v>17</v>
      </c>
      <c r="M51" t="s">
        <v>28</v>
      </c>
    </row>
    <row r="52" spans="1:13" x14ac:dyDescent="0.2">
      <c r="A52">
        <v>109596</v>
      </c>
      <c r="B52" s="2">
        <v>45083</v>
      </c>
      <c r="C52">
        <v>12461</v>
      </c>
      <c r="D52" t="s">
        <v>124</v>
      </c>
      <c r="E52" t="s">
        <v>125</v>
      </c>
      <c r="F52" t="s">
        <v>126</v>
      </c>
      <c r="G52">
        <v>1</v>
      </c>
      <c r="H52">
        <v>20.99</v>
      </c>
      <c r="I52">
        <v>0.3</v>
      </c>
      <c r="J52">
        <v>14.69</v>
      </c>
      <c r="K52" t="s">
        <v>36</v>
      </c>
      <c r="L52" t="s">
        <v>37</v>
      </c>
      <c r="M52" t="s">
        <v>96</v>
      </c>
    </row>
    <row r="53" spans="1:13" x14ac:dyDescent="0.2">
      <c r="A53">
        <v>109883</v>
      </c>
      <c r="B53" s="1">
        <v>45634</v>
      </c>
      <c r="C53">
        <v>54659</v>
      </c>
      <c r="D53" t="s">
        <v>29</v>
      </c>
      <c r="E53" t="s">
        <v>72</v>
      </c>
      <c r="F53" t="s">
        <v>73</v>
      </c>
      <c r="G53">
        <v>4</v>
      </c>
      <c r="H53">
        <v>33.99</v>
      </c>
      <c r="I53">
        <v>0.15</v>
      </c>
      <c r="J53">
        <v>115.57</v>
      </c>
      <c r="K53" t="s">
        <v>95</v>
      </c>
      <c r="L53" t="s">
        <v>17</v>
      </c>
      <c r="M53" t="s">
        <v>33</v>
      </c>
    </row>
    <row r="54" spans="1:13" x14ac:dyDescent="0.2">
      <c r="A54">
        <v>110228</v>
      </c>
      <c r="B54" s="1">
        <v>44683</v>
      </c>
      <c r="C54">
        <v>48942</v>
      </c>
      <c r="D54" t="s">
        <v>63</v>
      </c>
      <c r="E54" t="s">
        <v>64</v>
      </c>
      <c r="F54" t="s">
        <v>65</v>
      </c>
      <c r="G54">
        <v>5</v>
      </c>
      <c r="H54">
        <v>4.99</v>
      </c>
      <c r="J54">
        <v>24.95</v>
      </c>
      <c r="K54" t="s">
        <v>16</v>
      </c>
      <c r="L54" t="s">
        <v>17</v>
      </c>
      <c r="M54" t="s">
        <v>123</v>
      </c>
    </row>
    <row r="55" spans="1:13" x14ac:dyDescent="0.2">
      <c r="A55">
        <v>110444</v>
      </c>
      <c r="B55" s="1">
        <v>45383</v>
      </c>
      <c r="C55">
        <v>71400</v>
      </c>
      <c r="D55" t="s">
        <v>13</v>
      </c>
      <c r="E55" t="s">
        <v>127</v>
      </c>
      <c r="F55" t="s">
        <v>128</v>
      </c>
      <c r="G55">
        <v>1</v>
      </c>
      <c r="H55">
        <v>19.989999999999998</v>
      </c>
      <c r="J55">
        <v>19.989999999999998</v>
      </c>
      <c r="K55" t="s">
        <v>16</v>
      </c>
      <c r="L55" t="s">
        <v>17</v>
      </c>
      <c r="M55" t="s">
        <v>81</v>
      </c>
    </row>
    <row r="56" spans="1:13" x14ac:dyDescent="0.2">
      <c r="A56">
        <v>110506</v>
      </c>
      <c r="B56" s="1">
        <v>45268</v>
      </c>
      <c r="C56">
        <v>35067</v>
      </c>
      <c r="D56" t="s">
        <v>85</v>
      </c>
      <c r="E56" t="s">
        <v>129</v>
      </c>
      <c r="F56" t="s">
        <v>130</v>
      </c>
      <c r="G56">
        <v>1</v>
      </c>
      <c r="H56">
        <v>8.99</v>
      </c>
      <c r="J56">
        <v>8.99</v>
      </c>
      <c r="K56" t="s">
        <v>16</v>
      </c>
      <c r="L56" t="s">
        <v>17</v>
      </c>
      <c r="M56" t="s">
        <v>103</v>
      </c>
    </row>
    <row r="57" spans="1:13" x14ac:dyDescent="0.2">
      <c r="A57">
        <v>110649</v>
      </c>
      <c r="B57" s="2">
        <v>45296</v>
      </c>
      <c r="C57">
        <v>87204</v>
      </c>
      <c r="D57" t="s">
        <v>13</v>
      </c>
      <c r="E57" t="s">
        <v>77</v>
      </c>
      <c r="F57" t="s">
        <v>78</v>
      </c>
      <c r="G57">
        <v>1</v>
      </c>
      <c r="H57">
        <v>374.99</v>
      </c>
      <c r="I57">
        <v>0.25</v>
      </c>
      <c r="J57">
        <v>281.24</v>
      </c>
      <c r="K57" t="s">
        <v>95</v>
      </c>
      <c r="L57" t="s">
        <v>17</v>
      </c>
      <c r="M57" t="s">
        <v>90</v>
      </c>
    </row>
    <row r="58" spans="1:13" x14ac:dyDescent="0.2">
      <c r="A58">
        <v>110666</v>
      </c>
      <c r="B58" s="1">
        <v>45167</v>
      </c>
      <c r="D58" t="s">
        <v>63</v>
      </c>
      <c r="E58" t="s">
        <v>131</v>
      </c>
      <c r="F58" t="s">
        <v>132</v>
      </c>
      <c r="G58">
        <v>2</v>
      </c>
      <c r="H58">
        <v>3.49</v>
      </c>
      <c r="J58">
        <v>6.98</v>
      </c>
      <c r="K58" t="s">
        <v>22</v>
      </c>
      <c r="L58" t="s">
        <v>17</v>
      </c>
      <c r="M58" t="s">
        <v>123</v>
      </c>
    </row>
    <row r="59" spans="1:13" x14ac:dyDescent="0.2">
      <c r="A59">
        <v>110743</v>
      </c>
      <c r="B59" s="1">
        <v>44901</v>
      </c>
      <c r="C59">
        <v>16675</v>
      </c>
      <c r="D59" t="s">
        <v>48</v>
      </c>
      <c r="E59" t="s">
        <v>118</v>
      </c>
      <c r="F59" t="s">
        <v>119</v>
      </c>
      <c r="G59">
        <v>1</v>
      </c>
      <c r="H59">
        <v>4.24</v>
      </c>
      <c r="I59">
        <v>0.15</v>
      </c>
      <c r="J59">
        <v>3.6</v>
      </c>
      <c r="K59" t="s">
        <v>22</v>
      </c>
      <c r="L59" t="s">
        <v>17</v>
      </c>
      <c r="M59" t="s">
        <v>62</v>
      </c>
    </row>
    <row r="60" spans="1:13" x14ac:dyDescent="0.2">
      <c r="A60">
        <v>111256</v>
      </c>
      <c r="B60" s="1">
        <v>44659</v>
      </c>
      <c r="C60">
        <v>15018</v>
      </c>
      <c r="D60" t="s">
        <v>44</v>
      </c>
      <c r="E60" t="s">
        <v>133</v>
      </c>
      <c r="F60" t="s">
        <v>134</v>
      </c>
      <c r="G60">
        <v>1</v>
      </c>
      <c r="H60">
        <v>3.79</v>
      </c>
      <c r="J60">
        <v>3.79</v>
      </c>
      <c r="K60" t="s">
        <v>16</v>
      </c>
      <c r="L60" t="s">
        <v>17</v>
      </c>
      <c r="M60" t="s">
        <v>62</v>
      </c>
    </row>
    <row r="61" spans="1:13" x14ac:dyDescent="0.2">
      <c r="A61">
        <v>111480</v>
      </c>
      <c r="B61" s="1">
        <v>44578</v>
      </c>
      <c r="D61" t="s">
        <v>97</v>
      </c>
      <c r="E61" t="s">
        <v>135</v>
      </c>
      <c r="F61" t="s">
        <v>136</v>
      </c>
      <c r="G61">
        <v>2</v>
      </c>
      <c r="H61">
        <v>6.99</v>
      </c>
      <c r="I61">
        <v>0.3</v>
      </c>
      <c r="J61">
        <v>9.7899999999999991</v>
      </c>
      <c r="K61" t="s">
        <v>36</v>
      </c>
      <c r="L61" t="s">
        <v>17</v>
      </c>
      <c r="M61" t="s">
        <v>28</v>
      </c>
    </row>
    <row r="62" spans="1:13" x14ac:dyDescent="0.2">
      <c r="A62">
        <v>111503</v>
      </c>
      <c r="B62" s="1">
        <v>45305</v>
      </c>
      <c r="C62">
        <v>66196</v>
      </c>
      <c r="D62" t="s">
        <v>40</v>
      </c>
      <c r="E62" t="s">
        <v>115</v>
      </c>
      <c r="F62" t="s">
        <v>116</v>
      </c>
      <c r="G62">
        <v>1</v>
      </c>
      <c r="H62">
        <v>9.74</v>
      </c>
      <c r="I62">
        <v>0.25</v>
      </c>
      <c r="J62">
        <v>7.3</v>
      </c>
      <c r="K62" t="s">
        <v>16</v>
      </c>
      <c r="L62" t="s">
        <v>17</v>
      </c>
      <c r="M62" t="s">
        <v>120</v>
      </c>
    </row>
    <row r="63" spans="1:13" x14ac:dyDescent="0.2">
      <c r="A63">
        <v>111807</v>
      </c>
      <c r="B63" s="1">
        <v>44618</v>
      </c>
      <c r="D63" t="s">
        <v>85</v>
      </c>
      <c r="E63" t="s">
        <v>137</v>
      </c>
      <c r="F63" t="s">
        <v>138</v>
      </c>
      <c r="G63">
        <v>2</v>
      </c>
      <c r="H63">
        <v>6.79</v>
      </c>
      <c r="I63">
        <v>0.15</v>
      </c>
      <c r="J63">
        <v>11.54</v>
      </c>
      <c r="K63" t="s">
        <v>22</v>
      </c>
      <c r="L63" t="s">
        <v>17</v>
      </c>
      <c r="M63" t="s">
        <v>57</v>
      </c>
    </row>
    <row r="64" spans="1:13" x14ac:dyDescent="0.2">
      <c r="A64">
        <v>111972</v>
      </c>
      <c r="B64" s="2">
        <v>45387</v>
      </c>
      <c r="C64">
        <v>67694</v>
      </c>
      <c r="D64" t="s">
        <v>48</v>
      </c>
      <c r="E64" t="s">
        <v>139</v>
      </c>
      <c r="F64" t="s">
        <v>140</v>
      </c>
      <c r="G64">
        <v>2</v>
      </c>
      <c r="H64">
        <v>7.99</v>
      </c>
      <c r="J64">
        <v>15.98</v>
      </c>
      <c r="K64" t="s">
        <v>16</v>
      </c>
      <c r="L64" t="s">
        <v>17</v>
      </c>
      <c r="M64" t="s">
        <v>43</v>
      </c>
    </row>
    <row r="65" spans="1:13" x14ac:dyDescent="0.2">
      <c r="A65">
        <v>112088</v>
      </c>
      <c r="B65" s="1">
        <v>45103</v>
      </c>
      <c r="C65">
        <v>39411</v>
      </c>
      <c r="D65" t="s">
        <v>97</v>
      </c>
      <c r="E65" t="s">
        <v>141</v>
      </c>
      <c r="F65" t="s">
        <v>142</v>
      </c>
      <c r="G65">
        <v>3</v>
      </c>
      <c r="H65">
        <v>16.09</v>
      </c>
      <c r="I65">
        <v>0.3</v>
      </c>
      <c r="J65">
        <v>33.79</v>
      </c>
      <c r="K65" t="s">
        <v>22</v>
      </c>
      <c r="L65" t="s">
        <v>17</v>
      </c>
    </row>
    <row r="66" spans="1:13" x14ac:dyDescent="0.2">
      <c r="A66">
        <v>112439</v>
      </c>
      <c r="B66" s="2">
        <v>44859</v>
      </c>
      <c r="C66">
        <v>51377</v>
      </c>
      <c r="D66" t="s">
        <v>48</v>
      </c>
      <c r="E66" t="s">
        <v>118</v>
      </c>
      <c r="F66" t="s">
        <v>119</v>
      </c>
      <c r="G66">
        <v>4</v>
      </c>
      <c r="H66">
        <v>3.49</v>
      </c>
      <c r="I66">
        <v>0.3</v>
      </c>
      <c r="J66">
        <v>9.77</v>
      </c>
      <c r="K66" t="s">
        <v>36</v>
      </c>
      <c r="L66" t="s">
        <v>37</v>
      </c>
      <c r="M66" t="s">
        <v>24</v>
      </c>
    </row>
    <row r="67" spans="1:13" x14ac:dyDescent="0.2">
      <c r="A67">
        <v>112458</v>
      </c>
      <c r="B67" s="2">
        <v>45057</v>
      </c>
      <c r="C67">
        <v>15965</v>
      </c>
      <c r="D67" t="s">
        <v>29</v>
      </c>
      <c r="E67" t="s">
        <v>72</v>
      </c>
      <c r="F67" t="s">
        <v>73</v>
      </c>
      <c r="G67">
        <v>4</v>
      </c>
      <c r="H67">
        <v>39.99</v>
      </c>
      <c r="J67">
        <v>159.96</v>
      </c>
      <c r="K67" t="s">
        <v>32</v>
      </c>
      <c r="L67" t="s">
        <v>17</v>
      </c>
      <c r="M67" t="s">
        <v>90</v>
      </c>
    </row>
    <row r="68" spans="1:13" x14ac:dyDescent="0.2">
      <c r="A68">
        <v>112714</v>
      </c>
      <c r="B68" s="1">
        <v>44744</v>
      </c>
      <c r="C68">
        <v>43443</v>
      </c>
      <c r="D68" t="s">
        <v>63</v>
      </c>
      <c r="E68" t="s">
        <v>68</v>
      </c>
      <c r="F68" t="s">
        <v>69</v>
      </c>
      <c r="G68">
        <v>1</v>
      </c>
      <c r="H68">
        <v>24.99</v>
      </c>
      <c r="J68">
        <v>24.99</v>
      </c>
      <c r="K68" t="s">
        <v>16</v>
      </c>
      <c r="L68" t="s">
        <v>17</v>
      </c>
      <c r="M68" t="s">
        <v>24</v>
      </c>
    </row>
    <row r="69" spans="1:13" x14ac:dyDescent="0.2">
      <c r="A69">
        <v>112715</v>
      </c>
      <c r="B69" s="1">
        <v>45578</v>
      </c>
      <c r="C69">
        <v>44039</v>
      </c>
      <c r="D69" t="s">
        <v>48</v>
      </c>
      <c r="E69" t="s">
        <v>143</v>
      </c>
      <c r="F69" t="s">
        <v>144</v>
      </c>
      <c r="G69">
        <v>1</v>
      </c>
      <c r="H69">
        <v>14.99</v>
      </c>
      <c r="J69">
        <v>14.99</v>
      </c>
      <c r="K69" t="s">
        <v>66</v>
      </c>
      <c r="L69" t="s">
        <v>23</v>
      </c>
      <c r="M69" t="s">
        <v>54</v>
      </c>
    </row>
    <row r="70" spans="1:13" x14ac:dyDescent="0.2">
      <c r="A70">
        <v>112778</v>
      </c>
      <c r="B70" s="1">
        <v>45543</v>
      </c>
      <c r="C70">
        <v>34879</v>
      </c>
      <c r="D70" t="s">
        <v>85</v>
      </c>
      <c r="E70" t="s">
        <v>145</v>
      </c>
      <c r="F70" t="s">
        <v>146</v>
      </c>
      <c r="G70">
        <v>2</v>
      </c>
      <c r="H70">
        <v>13.59</v>
      </c>
      <c r="I70">
        <v>0.2</v>
      </c>
      <c r="J70">
        <v>21.74</v>
      </c>
      <c r="K70" t="s">
        <v>53</v>
      </c>
      <c r="L70" t="s">
        <v>37</v>
      </c>
      <c r="M70" t="s">
        <v>81</v>
      </c>
    </row>
    <row r="71" spans="1:13" x14ac:dyDescent="0.2">
      <c r="A71">
        <v>112940</v>
      </c>
      <c r="B71" s="1">
        <v>44752</v>
      </c>
      <c r="C71">
        <v>83339</v>
      </c>
      <c r="D71" t="s">
        <v>97</v>
      </c>
      <c r="E71" t="s">
        <v>98</v>
      </c>
      <c r="F71" t="s">
        <v>99</v>
      </c>
      <c r="G71">
        <v>4</v>
      </c>
      <c r="H71">
        <v>23.79</v>
      </c>
      <c r="I71">
        <v>0.15</v>
      </c>
      <c r="J71">
        <v>80.89</v>
      </c>
      <c r="K71" t="s">
        <v>16</v>
      </c>
      <c r="L71" t="s">
        <v>17</v>
      </c>
      <c r="M71" t="s">
        <v>54</v>
      </c>
    </row>
    <row r="72" spans="1:13" x14ac:dyDescent="0.2">
      <c r="A72">
        <v>113121</v>
      </c>
      <c r="B72" s="2">
        <v>45431</v>
      </c>
      <c r="C72">
        <v>86078</v>
      </c>
      <c r="D72" t="s">
        <v>13</v>
      </c>
      <c r="E72" t="s">
        <v>14</v>
      </c>
      <c r="F72" t="s">
        <v>15</v>
      </c>
      <c r="G72">
        <v>1</v>
      </c>
      <c r="H72">
        <v>79.989999999999995</v>
      </c>
      <c r="J72">
        <v>79.989999999999995</v>
      </c>
      <c r="K72" t="s">
        <v>16</v>
      </c>
      <c r="L72" t="s">
        <v>37</v>
      </c>
      <c r="M72" t="s">
        <v>43</v>
      </c>
    </row>
    <row r="73" spans="1:13" x14ac:dyDescent="0.2">
      <c r="A73">
        <v>113173</v>
      </c>
      <c r="B73" s="1">
        <v>45253</v>
      </c>
      <c r="C73">
        <v>29832</v>
      </c>
      <c r="D73" t="s">
        <v>82</v>
      </c>
      <c r="E73" t="s">
        <v>147</v>
      </c>
      <c r="F73" t="s">
        <v>148</v>
      </c>
      <c r="G73">
        <v>2</v>
      </c>
      <c r="H73">
        <v>9.74</v>
      </c>
      <c r="I73">
        <v>0.25</v>
      </c>
      <c r="J73">
        <v>14.61</v>
      </c>
      <c r="K73" t="s">
        <v>36</v>
      </c>
      <c r="L73" t="s">
        <v>17</v>
      </c>
      <c r="M73" t="s">
        <v>76</v>
      </c>
    </row>
    <row r="74" spans="1:13" x14ac:dyDescent="0.2">
      <c r="A74">
        <v>113177</v>
      </c>
      <c r="B74" s="1">
        <v>45358</v>
      </c>
      <c r="C74">
        <v>29893</v>
      </c>
      <c r="D74" t="s">
        <v>25</v>
      </c>
      <c r="E74" t="s">
        <v>51</v>
      </c>
      <c r="F74" t="s">
        <v>52</v>
      </c>
      <c r="G74">
        <v>5</v>
      </c>
      <c r="H74">
        <v>20.99</v>
      </c>
      <c r="I74">
        <v>0.25</v>
      </c>
      <c r="J74">
        <v>78.709999999999994</v>
      </c>
      <c r="K74" t="s">
        <v>32</v>
      </c>
      <c r="L74" t="s">
        <v>17</v>
      </c>
      <c r="M74" t="s">
        <v>47</v>
      </c>
    </row>
    <row r="75" spans="1:13" x14ac:dyDescent="0.2">
      <c r="A75">
        <v>113499</v>
      </c>
      <c r="B75" s="1">
        <v>44699</v>
      </c>
      <c r="D75" t="s">
        <v>25</v>
      </c>
      <c r="E75" t="s">
        <v>51</v>
      </c>
      <c r="F75" t="s">
        <v>52</v>
      </c>
      <c r="G75">
        <v>3</v>
      </c>
      <c r="H75">
        <v>27.99</v>
      </c>
      <c r="J75">
        <v>83.97</v>
      </c>
      <c r="K75" t="s">
        <v>16</v>
      </c>
      <c r="L75" t="s">
        <v>23</v>
      </c>
    </row>
    <row r="76" spans="1:13" x14ac:dyDescent="0.2">
      <c r="A76">
        <v>113522</v>
      </c>
      <c r="B76" s="1">
        <v>44773</v>
      </c>
      <c r="C76">
        <v>53050</v>
      </c>
      <c r="D76" t="s">
        <v>29</v>
      </c>
      <c r="E76" t="s">
        <v>72</v>
      </c>
      <c r="F76" t="s">
        <v>73</v>
      </c>
      <c r="G76">
        <v>1</v>
      </c>
      <c r="H76">
        <v>39.99</v>
      </c>
      <c r="J76">
        <v>39.99</v>
      </c>
      <c r="K76" t="s">
        <v>53</v>
      </c>
      <c r="L76" t="s">
        <v>17</v>
      </c>
      <c r="M76" t="s">
        <v>117</v>
      </c>
    </row>
    <row r="77" spans="1:13" x14ac:dyDescent="0.2">
      <c r="A77">
        <v>113765</v>
      </c>
      <c r="B77" s="1">
        <v>44715</v>
      </c>
      <c r="C77">
        <v>73916</v>
      </c>
      <c r="D77" t="s">
        <v>85</v>
      </c>
      <c r="E77" t="s">
        <v>149</v>
      </c>
      <c r="F77" t="s">
        <v>150</v>
      </c>
      <c r="G77">
        <v>1</v>
      </c>
      <c r="H77">
        <v>14.99</v>
      </c>
      <c r="I77">
        <v>0.25</v>
      </c>
      <c r="J77">
        <v>11.24</v>
      </c>
      <c r="K77" t="s">
        <v>36</v>
      </c>
      <c r="L77" t="s">
        <v>17</v>
      </c>
      <c r="M77" t="s">
        <v>103</v>
      </c>
    </row>
    <row r="78" spans="1:13" x14ac:dyDescent="0.2">
      <c r="A78">
        <v>114210</v>
      </c>
      <c r="B78" s="1">
        <v>45348</v>
      </c>
      <c r="C78">
        <v>42550</v>
      </c>
      <c r="D78" t="s">
        <v>13</v>
      </c>
      <c r="E78" t="s">
        <v>14</v>
      </c>
      <c r="F78" t="s">
        <v>15</v>
      </c>
      <c r="G78">
        <v>1</v>
      </c>
      <c r="H78">
        <v>79.989999999999995</v>
      </c>
      <c r="J78">
        <v>79.989999999999995</v>
      </c>
      <c r="K78" t="s">
        <v>16</v>
      </c>
      <c r="L78" t="s">
        <v>17</v>
      </c>
      <c r="M78" t="s">
        <v>47</v>
      </c>
    </row>
    <row r="79" spans="1:13" x14ac:dyDescent="0.2">
      <c r="A79">
        <v>114270</v>
      </c>
      <c r="B79" s="1">
        <v>45331</v>
      </c>
      <c r="D79" t="s">
        <v>44</v>
      </c>
      <c r="E79" t="s">
        <v>133</v>
      </c>
      <c r="F79" t="s">
        <v>134</v>
      </c>
      <c r="G79">
        <v>1</v>
      </c>
      <c r="H79">
        <v>3.79</v>
      </c>
      <c r="J79">
        <v>3.79</v>
      </c>
      <c r="K79" t="s">
        <v>22</v>
      </c>
      <c r="L79" t="s">
        <v>17</v>
      </c>
      <c r="M79" t="s">
        <v>120</v>
      </c>
    </row>
    <row r="80" spans="1:13" x14ac:dyDescent="0.2">
      <c r="A80">
        <v>114717</v>
      </c>
      <c r="B80" s="1">
        <v>44835</v>
      </c>
      <c r="C80">
        <v>82298</v>
      </c>
      <c r="D80" t="s">
        <v>97</v>
      </c>
      <c r="E80" t="s">
        <v>151</v>
      </c>
      <c r="F80" t="s">
        <v>152</v>
      </c>
      <c r="G80">
        <v>4</v>
      </c>
      <c r="H80">
        <v>33.24</v>
      </c>
      <c r="I80">
        <v>0.05</v>
      </c>
      <c r="J80">
        <v>126.31</v>
      </c>
      <c r="K80" t="s">
        <v>53</v>
      </c>
      <c r="L80" t="s">
        <v>23</v>
      </c>
      <c r="M80" t="s">
        <v>57</v>
      </c>
    </row>
    <row r="81" spans="1:13" x14ac:dyDescent="0.2">
      <c r="A81">
        <v>114743</v>
      </c>
      <c r="B81" s="1">
        <v>45627</v>
      </c>
      <c r="C81">
        <v>96886</v>
      </c>
      <c r="D81" t="s">
        <v>29</v>
      </c>
      <c r="E81" t="s">
        <v>30</v>
      </c>
      <c r="F81" t="s">
        <v>31</v>
      </c>
      <c r="G81">
        <v>2</v>
      </c>
      <c r="H81">
        <v>23.74</v>
      </c>
      <c r="I81">
        <v>0.05</v>
      </c>
      <c r="J81">
        <v>45.11</v>
      </c>
      <c r="K81" t="s">
        <v>16</v>
      </c>
      <c r="L81" t="s">
        <v>17</v>
      </c>
      <c r="M81" t="s">
        <v>67</v>
      </c>
    </row>
    <row r="82" spans="1:13" x14ac:dyDescent="0.2">
      <c r="A82">
        <v>114834</v>
      </c>
      <c r="B82" s="1">
        <v>44953</v>
      </c>
      <c r="C82">
        <v>17772</v>
      </c>
      <c r="D82" t="s">
        <v>85</v>
      </c>
      <c r="E82" t="s">
        <v>153</v>
      </c>
      <c r="F82" t="s">
        <v>154</v>
      </c>
      <c r="G82">
        <v>4</v>
      </c>
      <c r="H82">
        <v>26.99</v>
      </c>
      <c r="I82">
        <v>0.1</v>
      </c>
      <c r="J82">
        <v>97.16</v>
      </c>
      <c r="K82" t="s">
        <v>95</v>
      </c>
      <c r="L82" t="s">
        <v>17</v>
      </c>
      <c r="M82" t="s">
        <v>24</v>
      </c>
    </row>
    <row r="83" spans="1:13" x14ac:dyDescent="0.2">
      <c r="A83">
        <v>114868</v>
      </c>
      <c r="B83" s="1">
        <v>45348</v>
      </c>
      <c r="C83">
        <v>93946</v>
      </c>
      <c r="D83" t="s">
        <v>13</v>
      </c>
      <c r="E83" t="s">
        <v>55</v>
      </c>
      <c r="F83" t="s">
        <v>56</v>
      </c>
      <c r="G83">
        <v>1</v>
      </c>
      <c r="H83">
        <v>329.99</v>
      </c>
      <c r="J83">
        <v>329.99</v>
      </c>
      <c r="K83" t="s">
        <v>16</v>
      </c>
      <c r="L83" t="s">
        <v>17</v>
      </c>
      <c r="M83" t="s">
        <v>62</v>
      </c>
    </row>
    <row r="84" spans="1:13" x14ac:dyDescent="0.2">
      <c r="A84">
        <v>114930</v>
      </c>
      <c r="B84" s="1">
        <v>44854</v>
      </c>
      <c r="C84">
        <v>42668</v>
      </c>
      <c r="D84" t="s">
        <v>85</v>
      </c>
      <c r="E84" t="s">
        <v>145</v>
      </c>
      <c r="F84" t="s">
        <v>146</v>
      </c>
      <c r="G84">
        <v>1</v>
      </c>
      <c r="H84">
        <v>16.989999999999998</v>
      </c>
      <c r="J84">
        <v>16.989999999999998</v>
      </c>
      <c r="K84" t="s">
        <v>16</v>
      </c>
      <c r="L84" t="s">
        <v>37</v>
      </c>
      <c r="M84" t="s">
        <v>102</v>
      </c>
    </row>
    <row r="85" spans="1:13" x14ac:dyDescent="0.2">
      <c r="A85">
        <v>115017</v>
      </c>
      <c r="B85" s="2">
        <v>44660</v>
      </c>
      <c r="C85">
        <v>31218</v>
      </c>
      <c r="D85" t="s">
        <v>13</v>
      </c>
      <c r="E85" t="s">
        <v>79</v>
      </c>
      <c r="F85" t="s">
        <v>80</v>
      </c>
      <c r="G85">
        <v>5</v>
      </c>
      <c r="H85">
        <v>85.49</v>
      </c>
      <c r="I85">
        <v>0.05</v>
      </c>
      <c r="J85">
        <v>406.08</v>
      </c>
      <c r="K85" t="s">
        <v>22</v>
      </c>
      <c r="L85" t="s">
        <v>17</v>
      </c>
      <c r="M85" t="s">
        <v>96</v>
      </c>
    </row>
    <row r="86" spans="1:13" x14ac:dyDescent="0.2">
      <c r="A86">
        <v>115166</v>
      </c>
      <c r="B86" s="1">
        <v>44810</v>
      </c>
      <c r="C86">
        <v>31680</v>
      </c>
      <c r="D86" t="s">
        <v>25</v>
      </c>
      <c r="E86" t="s">
        <v>60</v>
      </c>
      <c r="F86" t="s">
        <v>61</v>
      </c>
      <c r="G86">
        <v>1</v>
      </c>
      <c r="H86">
        <v>52.24</v>
      </c>
      <c r="I86">
        <v>0.05</v>
      </c>
      <c r="J86">
        <v>49.63</v>
      </c>
      <c r="K86" t="s">
        <v>16</v>
      </c>
      <c r="L86" t="s">
        <v>37</v>
      </c>
      <c r="M86" t="s">
        <v>18</v>
      </c>
    </row>
    <row r="87" spans="1:13" x14ac:dyDescent="0.2">
      <c r="A87">
        <v>115330</v>
      </c>
      <c r="B87" s="1">
        <v>44615</v>
      </c>
      <c r="C87">
        <v>74764</v>
      </c>
      <c r="D87" t="s">
        <v>25</v>
      </c>
      <c r="E87" t="s">
        <v>70</v>
      </c>
      <c r="F87" t="s">
        <v>71</v>
      </c>
      <c r="G87">
        <v>1</v>
      </c>
      <c r="H87">
        <v>67.489999999999995</v>
      </c>
      <c r="I87">
        <v>0.25</v>
      </c>
      <c r="J87">
        <v>50.62</v>
      </c>
      <c r="K87" t="s">
        <v>36</v>
      </c>
      <c r="L87" t="s">
        <v>17</v>
      </c>
      <c r="M87" t="s">
        <v>102</v>
      </c>
    </row>
    <row r="88" spans="1:13" x14ac:dyDescent="0.2">
      <c r="A88">
        <v>115577</v>
      </c>
      <c r="B88" s="1">
        <v>44714</v>
      </c>
      <c r="C88">
        <v>33437</v>
      </c>
      <c r="D88" t="s">
        <v>82</v>
      </c>
      <c r="E88" t="s">
        <v>155</v>
      </c>
      <c r="F88" t="s">
        <v>156</v>
      </c>
      <c r="G88">
        <v>1</v>
      </c>
      <c r="H88">
        <v>15.99</v>
      </c>
      <c r="I88">
        <v>0.2</v>
      </c>
      <c r="J88">
        <v>12.79</v>
      </c>
      <c r="K88" t="s">
        <v>36</v>
      </c>
      <c r="L88" t="s">
        <v>17</v>
      </c>
      <c r="M88" t="s">
        <v>96</v>
      </c>
    </row>
    <row r="89" spans="1:13" x14ac:dyDescent="0.2">
      <c r="A89">
        <v>115659</v>
      </c>
      <c r="B89" s="1">
        <v>45396</v>
      </c>
      <c r="C89">
        <v>85378</v>
      </c>
      <c r="D89" t="s">
        <v>85</v>
      </c>
      <c r="E89" t="s">
        <v>157</v>
      </c>
      <c r="F89" t="s">
        <v>158</v>
      </c>
      <c r="G89">
        <v>1</v>
      </c>
      <c r="H89">
        <v>13.49</v>
      </c>
      <c r="J89">
        <v>13.49</v>
      </c>
      <c r="K89" t="s">
        <v>22</v>
      </c>
      <c r="L89" t="s">
        <v>17</v>
      </c>
      <c r="M89" t="s">
        <v>24</v>
      </c>
    </row>
    <row r="90" spans="1:13" x14ac:dyDescent="0.2">
      <c r="A90">
        <v>115664</v>
      </c>
      <c r="B90" s="2">
        <v>45637</v>
      </c>
      <c r="C90">
        <v>18693</v>
      </c>
      <c r="D90" t="s">
        <v>13</v>
      </c>
      <c r="E90" t="s">
        <v>159</v>
      </c>
      <c r="F90" t="s">
        <v>160</v>
      </c>
      <c r="G90">
        <v>1</v>
      </c>
      <c r="H90">
        <v>59.99</v>
      </c>
      <c r="J90">
        <v>59.99</v>
      </c>
      <c r="K90" t="s">
        <v>36</v>
      </c>
      <c r="L90" t="s">
        <v>17</v>
      </c>
      <c r="M90" t="s">
        <v>161</v>
      </c>
    </row>
    <row r="91" spans="1:13" x14ac:dyDescent="0.2">
      <c r="A91">
        <v>115775</v>
      </c>
      <c r="B91" s="2">
        <v>45523</v>
      </c>
      <c r="C91">
        <v>65009</v>
      </c>
      <c r="D91" t="s">
        <v>25</v>
      </c>
      <c r="E91" t="s">
        <v>51</v>
      </c>
      <c r="F91" t="s">
        <v>52</v>
      </c>
      <c r="G91">
        <v>2</v>
      </c>
      <c r="H91">
        <v>27.99</v>
      </c>
      <c r="J91">
        <v>55.98</v>
      </c>
      <c r="K91" t="s">
        <v>16</v>
      </c>
      <c r="L91" t="s">
        <v>17</v>
      </c>
      <c r="M91" t="s">
        <v>54</v>
      </c>
    </row>
    <row r="92" spans="1:13" x14ac:dyDescent="0.2">
      <c r="A92">
        <v>116223</v>
      </c>
      <c r="B92" s="1">
        <v>44615</v>
      </c>
      <c r="C92">
        <v>59799</v>
      </c>
      <c r="D92" t="s">
        <v>82</v>
      </c>
      <c r="E92" t="s">
        <v>83</v>
      </c>
      <c r="F92" t="s">
        <v>84</v>
      </c>
      <c r="G92">
        <v>2</v>
      </c>
      <c r="H92">
        <v>16.989999999999998</v>
      </c>
      <c r="J92">
        <v>33.979999999999997</v>
      </c>
      <c r="K92" t="s">
        <v>22</v>
      </c>
      <c r="L92" t="s">
        <v>17</v>
      </c>
      <c r="M92" t="s">
        <v>103</v>
      </c>
    </row>
    <row r="93" spans="1:13" x14ac:dyDescent="0.2">
      <c r="A93">
        <v>116229</v>
      </c>
      <c r="B93" s="1">
        <v>45014</v>
      </c>
      <c r="C93">
        <v>55816</v>
      </c>
      <c r="D93" t="s">
        <v>44</v>
      </c>
      <c r="E93" t="s">
        <v>162</v>
      </c>
      <c r="F93" t="s">
        <v>163</v>
      </c>
      <c r="G93">
        <v>1</v>
      </c>
      <c r="H93">
        <v>6.79</v>
      </c>
      <c r="I93">
        <v>0.15</v>
      </c>
      <c r="J93">
        <v>5.77</v>
      </c>
      <c r="K93" t="s">
        <v>16</v>
      </c>
      <c r="L93" t="s">
        <v>17</v>
      </c>
      <c r="M93" t="s">
        <v>54</v>
      </c>
    </row>
    <row r="94" spans="1:13" x14ac:dyDescent="0.2">
      <c r="A94">
        <v>117389</v>
      </c>
      <c r="B94" s="1">
        <v>45493</v>
      </c>
      <c r="C94">
        <v>13384</v>
      </c>
      <c r="D94" t="s">
        <v>97</v>
      </c>
      <c r="E94" t="s">
        <v>98</v>
      </c>
      <c r="F94" t="s">
        <v>99</v>
      </c>
      <c r="G94">
        <v>4</v>
      </c>
      <c r="H94">
        <v>25.19</v>
      </c>
      <c r="I94">
        <v>0.1</v>
      </c>
      <c r="J94">
        <v>90.68</v>
      </c>
      <c r="K94" t="s">
        <v>53</v>
      </c>
      <c r="L94" t="s">
        <v>23</v>
      </c>
      <c r="M94" t="s">
        <v>43</v>
      </c>
    </row>
    <row r="95" spans="1:13" x14ac:dyDescent="0.2">
      <c r="A95">
        <v>117444</v>
      </c>
      <c r="B95" s="1">
        <v>45580</v>
      </c>
      <c r="C95">
        <v>61221</v>
      </c>
      <c r="D95" t="s">
        <v>63</v>
      </c>
      <c r="E95" t="s">
        <v>64</v>
      </c>
      <c r="F95" t="s">
        <v>65</v>
      </c>
      <c r="G95">
        <v>3</v>
      </c>
      <c r="H95">
        <v>4.99</v>
      </c>
      <c r="J95">
        <v>14.97</v>
      </c>
      <c r="K95" t="s">
        <v>16</v>
      </c>
      <c r="L95" t="s">
        <v>37</v>
      </c>
      <c r="M95" t="s">
        <v>33</v>
      </c>
    </row>
    <row r="96" spans="1:13" x14ac:dyDescent="0.2">
      <c r="A96">
        <v>117452</v>
      </c>
      <c r="B96" s="1">
        <v>44756</v>
      </c>
      <c r="C96">
        <v>73624</v>
      </c>
      <c r="D96" t="s">
        <v>85</v>
      </c>
      <c r="E96" t="s">
        <v>157</v>
      </c>
      <c r="F96" t="s">
        <v>158</v>
      </c>
      <c r="G96">
        <v>3</v>
      </c>
      <c r="H96">
        <v>9.44</v>
      </c>
      <c r="I96">
        <v>0.3</v>
      </c>
      <c r="J96">
        <v>19.82</v>
      </c>
      <c r="K96" t="s">
        <v>16</v>
      </c>
      <c r="L96" t="s">
        <v>37</v>
      </c>
      <c r="M96" t="s">
        <v>33</v>
      </c>
    </row>
    <row r="97" spans="1:13" x14ac:dyDescent="0.2">
      <c r="A97">
        <v>117463</v>
      </c>
      <c r="B97" s="1">
        <v>45267</v>
      </c>
      <c r="D97" t="s">
        <v>85</v>
      </c>
      <c r="E97" t="s">
        <v>157</v>
      </c>
      <c r="F97" t="s">
        <v>158</v>
      </c>
      <c r="G97">
        <v>1</v>
      </c>
      <c r="H97">
        <v>12.82</v>
      </c>
      <c r="I97">
        <v>0.05</v>
      </c>
      <c r="J97">
        <v>12.18</v>
      </c>
      <c r="K97" t="s">
        <v>66</v>
      </c>
      <c r="L97" t="s">
        <v>17</v>
      </c>
      <c r="M97" t="s">
        <v>103</v>
      </c>
    </row>
    <row r="98" spans="1:13" x14ac:dyDescent="0.2">
      <c r="A98">
        <v>117526</v>
      </c>
      <c r="B98" s="1">
        <v>44684</v>
      </c>
      <c r="C98">
        <v>72147</v>
      </c>
      <c r="D98" t="s">
        <v>25</v>
      </c>
      <c r="E98" t="s">
        <v>26</v>
      </c>
      <c r="F98" t="s">
        <v>27</v>
      </c>
      <c r="G98">
        <v>4</v>
      </c>
      <c r="H98">
        <v>34.99</v>
      </c>
      <c r="J98">
        <v>139.96</v>
      </c>
      <c r="K98" t="s">
        <v>36</v>
      </c>
      <c r="L98" t="s">
        <v>17</v>
      </c>
      <c r="M98" t="s">
        <v>54</v>
      </c>
    </row>
    <row r="99" spans="1:13" x14ac:dyDescent="0.2">
      <c r="A99">
        <v>117538</v>
      </c>
      <c r="B99" s="1">
        <v>45651</v>
      </c>
      <c r="C99">
        <v>12246</v>
      </c>
      <c r="D99" t="s">
        <v>40</v>
      </c>
      <c r="E99" t="s">
        <v>20</v>
      </c>
      <c r="F99" t="s">
        <v>21</v>
      </c>
      <c r="G99">
        <v>2</v>
      </c>
      <c r="H99">
        <v>6.99</v>
      </c>
      <c r="I99">
        <v>0.3</v>
      </c>
      <c r="J99">
        <v>9.7899999999999991</v>
      </c>
      <c r="K99" t="s">
        <v>95</v>
      </c>
      <c r="L99" t="s">
        <v>17</v>
      </c>
      <c r="M99" t="s">
        <v>102</v>
      </c>
    </row>
    <row r="100" spans="1:13" x14ac:dyDescent="0.2">
      <c r="A100">
        <v>117658</v>
      </c>
      <c r="B100" s="2">
        <v>44969</v>
      </c>
      <c r="C100">
        <v>62952</v>
      </c>
      <c r="D100" t="s">
        <v>63</v>
      </c>
      <c r="E100" t="s">
        <v>125</v>
      </c>
      <c r="F100" t="s">
        <v>126</v>
      </c>
      <c r="G100">
        <v>3</v>
      </c>
      <c r="H100">
        <v>29.99</v>
      </c>
      <c r="J100">
        <v>89.97</v>
      </c>
      <c r="K100" t="s">
        <v>16</v>
      </c>
      <c r="L100" t="s">
        <v>17</v>
      </c>
      <c r="M100" t="s">
        <v>81</v>
      </c>
    </row>
    <row r="101" spans="1:13" x14ac:dyDescent="0.2">
      <c r="A101">
        <v>117819</v>
      </c>
      <c r="B101" s="2">
        <v>45504</v>
      </c>
      <c r="C101">
        <v>78920</v>
      </c>
      <c r="D101" t="s">
        <v>85</v>
      </c>
      <c r="E101" t="s">
        <v>153</v>
      </c>
      <c r="F101" t="s">
        <v>154</v>
      </c>
      <c r="G101">
        <v>4</v>
      </c>
      <c r="H101">
        <v>25.49</v>
      </c>
      <c r="I101">
        <v>0.15</v>
      </c>
      <c r="J101">
        <v>86.67</v>
      </c>
      <c r="K101" t="s">
        <v>95</v>
      </c>
      <c r="L101" t="s">
        <v>37</v>
      </c>
      <c r="M101" t="s">
        <v>54</v>
      </c>
    </row>
    <row r="102" spans="1:13" x14ac:dyDescent="0.2">
      <c r="A102">
        <v>118025</v>
      </c>
      <c r="B102" s="2">
        <v>45570</v>
      </c>
      <c r="D102" t="s">
        <v>63</v>
      </c>
      <c r="E102" t="s">
        <v>125</v>
      </c>
      <c r="F102" t="s">
        <v>126</v>
      </c>
      <c r="G102">
        <v>2</v>
      </c>
      <c r="H102">
        <v>20.99</v>
      </c>
      <c r="I102">
        <v>0.3</v>
      </c>
      <c r="J102">
        <v>29.39</v>
      </c>
      <c r="K102" t="s">
        <v>22</v>
      </c>
      <c r="L102" t="s">
        <v>17</v>
      </c>
      <c r="M102" t="s">
        <v>103</v>
      </c>
    </row>
    <row r="103" spans="1:13" x14ac:dyDescent="0.2">
      <c r="A103">
        <v>118632</v>
      </c>
      <c r="B103" s="2">
        <v>44805</v>
      </c>
      <c r="C103">
        <v>10022</v>
      </c>
      <c r="D103" t="s">
        <v>40</v>
      </c>
      <c r="E103" t="s">
        <v>41</v>
      </c>
      <c r="F103" t="s">
        <v>42</v>
      </c>
      <c r="G103">
        <v>3</v>
      </c>
      <c r="H103">
        <v>4.49</v>
      </c>
      <c r="I103">
        <v>0.25</v>
      </c>
      <c r="J103">
        <v>10.1</v>
      </c>
      <c r="K103" t="s">
        <v>36</v>
      </c>
      <c r="L103" t="s">
        <v>17</v>
      </c>
      <c r="M103" t="s">
        <v>161</v>
      </c>
    </row>
    <row r="104" spans="1:13" x14ac:dyDescent="0.2">
      <c r="A104">
        <v>119232</v>
      </c>
      <c r="B104" s="1">
        <v>44602</v>
      </c>
      <c r="C104">
        <v>36778</v>
      </c>
      <c r="D104" t="s">
        <v>29</v>
      </c>
      <c r="E104" t="s">
        <v>30</v>
      </c>
      <c r="F104" t="s">
        <v>31</v>
      </c>
      <c r="G104">
        <v>2</v>
      </c>
      <c r="H104">
        <v>19.989999999999998</v>
      </c>
      <c r="I104">
        <v>0.2</v>
      </c>
      <c r="J104">
        <v>31.98</v>
      </c>
      <c r="K104" t="s">
        <v>95</v>
      </c>
      <c r="L104" t="s">
        <v>17</v>
      </c>
      <c r="M104" t="s">
        <v>102</v>
      </c>
    </row>
    <row r="105" spans="1:13" x14ac:dyDescent="0.2">
      <c r="A105">
        <v>119393</v>
      </c>
      <c r="B105" s="2">
        <v>45008</v>
      </c>
      <c r="C105">
        <v>88352</v>
      </c>
      <c r="D105" t="s">
        <v>82</v>
      </c>
      <c r="E105" t="s">
        <v>83</v>
      </c>
      <c r="F105" t="s">
        <v>84</v>
      </c>
      <c r="G105">
        <v>2</v>
      </c>
      <c r="H105">
        <v>16.989999999999998</v>
      </c>
      <c r="J105">
        <v>33.979999999999997</v>
      </c>
      <c r="K105" t="s">
        <v>36</v>
      </c>
      <c r="L105" t="s">
        <v>23</v>
      </c>
      <c r="M105" t="s">
        <v>62</v>
      </c>
    </row>
    <row r="106" spans="1:13" x14ac:dyDescent="0.2">
      <c r="A106">
        <v>119460</v>
      </c>
      <c r="B106" s="1">
        <v>44880</v>
      </c>
      <c r="D106" t="s">
        <v>63</v>
      </c>
      <c r="E106" t="s">
        <v>111</v>
      </c>
      <c r="F106" t="s">
        <v>112</v>
      </c>
      <c r="G106">
        <v>5</v>
      </c>
      <c r="H106">
        <v>12.74</v>
      </c>
      <c r="I106">
        <v>0.15</v>
      </c>
      <c r="J106">
        <v>54.14</v>
      </c>
      <c r="K106" t="s">
        <v>16</v>
      </c>
      <c r="L106" t="s">
        <v>17</v>
      </c>
      <c r="M106" t="s">
        <v>62</v>
      </c>
    </row>
    <row r="107" spans="1:13" x14ac:dyDescent="0.2">
      <c r="A107">
        <v>119629</v>
      </c>
      <c r="B107" s="1">
        <v>44992</v>
      </c>
      <c r="C107">
        <v>68002</v>
      </c>
      <c r="D107" t="s">
        <v>164</v>
      </c>
      <c r="E107" t="s">
        <v>72</v>
      </c>
      <c r="F107" t="s">
        <v>73</v>
      </c>
      <c r="G107">
        <v>1</v>
      </c>
      <c r="H107">
        <v>37.99</v>
      </c>
      <c r="J107">
        <v>37.99</v>
      </c>
      <c r="K107" t="s">
        <v>22</v>
      </c>
      <c r="L107" t="s">
        <v>23</v>
      </c>
      <c r="M107" t="s">
        <v>24</v>
      </c>
    </row>
    <row r="108" spans="1:13" x14ac:dyDescent="0.2">
      <c r="A108">
        <v>119661</v>
      </c>
      <c r="B108" s="1">
        <v>45490</v>
      </c>
      <c r="C108">
        <v>95598</v>
      </c>
      <c r="D108" t="s">
        <v>29</v>
      </c>
      <c r="E108" t="s">
        <v>38</v>
      </c>
      <c r="F108" t="s">
        <v>39</v>
      </c>
      <c r="G108">
        <v>1</v>
      </c>
      <c r="H108">
        <v>28.49</v>
      </c>
      <c r="I108">
        <v>0.05</v>
      </c>
      <c r="J108">
        <v>27.07</v>
      </c>
      <c r="K108" t="s">
        <v>36</v>
      </c>
      <c r="L108" t="s">
        <v>17</v>
      </c>
      <c r="M108" t="s">
        <v>103</v>
      </c>
    </row>
    <row r="109" spans="1:13" x14ac:dyDescent="0.2">
      <c r="A109">
        <v>119746</v>
      </c>
      <c r="B109" s="2">
        <v>45424</v>
      </c>
      <c r="C109">
        <v>10979</v>
      </c>
      <c r="D109" t="s">
        <v>29</v>
      </c>
      <c r="E109" t="s">
        <v>38</v>
      </c>
      <c r="F109" t="s">
        <v>39</v>
      </c>
      <c r="G109">
        <v>4</v>
      </c>
      <c r="H109">
        <v>29.99</v>
      </c>
      <c r="J109">
        <v>119.96</v>
      </c>
      <c r="K109" t="s">
        <v>36</v>
      </c>
      <c r="L109" t="s">
        <v>17</v>
      </c>
      <c r="M109" t="s">
        <v>28</v>
      </c>
    </row>
    <row r="110" spans="1:13" x14ac:dyDescent="0.2">
      <c r="A110">
        <v>119771</v>
      </c>
      <c r="B110" s="1">
        <v>44714</v>
      </c>
      <c r="C110">
        <v>63538</v>
      </c>
      <c r="D110" t="s">
        <v>85</v>
      </c>
      <c r="E110" t="s">
        <v>149</v>
      </c>
      <c r="F110" t="s">
        <v>150</v>
      </c>
      <c r="G110">
        <v>2</v>
      </c>
      <c r="H110">
        <v>15.99</v>
      </c>
      <c r="I110">
        <v>0.2</v>
      </c>
      <c r="J110">
        <v>25.58</v>
      </c>
      <c r="K110" t="s">
        <v>36</v>
      </c>
      <c r="L110" t="s">
        <v>23</v>
      </c>
      <c r="M110" t="s">
        <v>76</v>
      </c>
    </row>
    <row r="111" spans="1:13" x14ac:dyDescent="0.2">
      <c r="A111">
        <v>120121</v>
      </c>
      <c r="B111" s="2">
        <v>45475</v>
      </c>
      <c r="C111">
        <v>15194</v>
      </c>
      <c r="D111" t="s">
        <v>63</v>
      </c>
      <c r="E111" t="s">
        <v>64</v>
      </c>
      <c r="F111" t="s">
        <v>65</v>
      </c>
      <c r="G111">
        <v>1</v>
      </c>
      <c r="H111">
        <v>3.99</v>
      </c>
      <c r="I111">
        <v>0.2</v>
      </c>
      <c r="J111">
        <v>3.19</v>
      </c>
      <c r="K111" t="s">
        <v>16</v>
      </c>
      <c r="L111" t="s">
        <v>17</v>
      </c>
      <c r="M111" t="s">
        <v>47</v>
      </c>
    </row>
    <row r="112" spans="1:13" x14ac:dyDescent="0.2">
      <c r="A112">
        <v>120203</v>
      </c>
      <c r="B112" s="2">
        <v>44772</v>
      </c>
      <c r="C112">
        <v>11904</v>
      </c>
      <c r="D112" t="s">
        <v>97</v>
      </c>
      <c r="E112" t="s">
        <v>141</v>
      </c>
      <c r="F112" t="s">
        <v>142</v>
      </c>
      <c r="G112">
        <v>2</v>
      </c>
      <c r="H112">
        <v>16.09</v>
      </c>
      <c r="I112">
        <v>0.3</v>
      </c>
      <c r="J112">
        <v>22.53</v>
      </c>
      <c r="K112" t="s">
        <v>16</v>
      </c>
      <c r="L112" t="s">
        <v>17</v>
      </c>
      <c r="M112" t="s">
        <v>43</v>
      </c>
    </row>
    <row r="113" spans="1:13" x14ac:dyDescent="0.2">
      <c r="A113">
        <v>120525</v>
      </c>
      <c r="B113" s="1">
        <v>45517</v>
      </c>
      <c r="C113">
        <v>60160</v>
      </c>
      <c r="D113" t="s">
        <v>85</v>
      </c>
      <c r="E113" t="s">
        <v>129</v>
      </c>
      <c r="F113" t="s">
        <v>130</v>
      </c>
      <c r="G113">
        <v>2</v>
      </c>
      <c r="H113">
        <v>7.19</v>
      </c>
      <c r="I113">
        <v>0.2</v>
      </c>
      <c r="J113">
        <v>11.5</v>
      </c>
      <c r="K113" t="s">
        <v>36</v>
      </c>
      <c r="L113" t="s">
        <v>17</v>
      </c>
      <c r="M113" t="s">
        <v>81</v>
      </c>
    </row>
    <row r="114" spans="1:13" x14ac:dyDescent="0.2">
      <c r="A114">
        <v>120937</v>
      </c>
      <c r="B114" s="1">
        <v>45455</v>
      </c>
      <c r="C114">
        <v>38872</v>
      </c>
      <c r="D114" t="s">
        <v>97</v>
      </c>
      <c r="E114" t="s">
        <v>121</v>
      </c>
      <c r="F114" t="s">
        <v>122</v>
      </c>
      <c r="G114">
        <v>4</v>
      </c>
      <c r="H114">
        <v>9.09</v>
      </c>
      <c r="I114">
        <v>0.3</v>
      </c>
      <c r="J114">
        <v>25.45</v>
      </c>
      <c r="K114" t="s">
        <v>36</v>
      </c>
      <c r="L114" t="s">
        <v>17</v>
      </c>
      <c r="M114" t="s">
        <v>103</v>
      </c>
    </row>
    <row r="115" spans="1:13" x14ac:dyDescent="0.2">
      <c r="A115">
        <v>121265</v>
      </c>
      <c r="B115" s="2">
        <v>45136</v>
      </c>
      <c r="C115">
        <v>35144</v>
      </c>
      <c r="D115" t="s">
        <v>97</v>
      </c>
      <c r="E115" t="s">
        <v>165</v>
      </c>
      <c r="F115" t="s">
        <v>166</v>
      </c>
      <c r="G115">
        <v>2</v>
      </c>
      <c r="H115">
        <v>89.99</v>
      </c>
      <c r="J115">
        <v>179.98</v>
      </c>
      <c r="K115" t="s">
        <v>66</v>
      </c>
      <c r="L115" t="s">
        <v>23</v>
      </c>
      <c r="M115" t="s">
        <v>161</v>
      </c>
    </row>
    <row r="116" spans="1:13" x14ac:dyDescent="0.2">
      <c r="A116">
        <v>121283</v>
      </c>
      <c r="B116" s="1">
        <v>45255</v>
      </c>
      <c r="C116">
        <v>96636</v>
      </c>
      <c r="D116" t="s">
        <v>25</v>
      </c>
      <c r="E116" t="s">
        <v>60</v>
      </c>
      <c r="F116" t="s">
        <v>61</v>
      </c>
      <c r="G116">
        <v>4</v>
      </c>
      <c r="H116">
        <v>54.99</v>
      </c>
      <c r="J116">
        <v>219.96</v>
      </c>
      <c r="K116" t="s">
        <v>16</v>
      </c>
      <c r="L116" t="s">
        <v>17</v>
      </c>
      <c r="M116" t="s">
        <v>96</v>
      </c>
    </row>
    <row r="117" spans="1:13" x14ac:dyDescent="0.2">
      <c r="A117">
        <v>121590</v>
      </c>
      <c r="B117" s="2">
        <v>44627</v>
      </c>
      <c r="C117">
        <v>40999</v>
      </c>
      <c r="D117" t="s">
        <v>85</v>
      </c>
      <c r="E117" t="s">
        <v>145</v>
      </c>
      <c r="F117" t="s">
        <v>146</v>
      </c>
      <c r="G117">
        <v>2</v>
      </c>
      <c r="H117">
        <v>13.59</v>
      </c>
      <c r="I117">
        <v>0.2</v>
      </c>
      <c r="J117">
        <v>21.74</v>
      </c>
      <c r="K117" t="s">
        <v>16</v>
      </c>
      <c r="L117" t="s">
        <v>17</v>
      </c>
      <c r="M117" t="s">
        <v>117</v>
      </c>
    </row>
    <row r="118" spans="1:13" x14ac:dyDescent="0.2">
      <c r="A118">
        <v>121734</v>
      </c>
      <c r="B118" s="1">
        <v>45114</v>
      </c>
      <c r="C118">
        <v>28564</v>
      </c>
      <c r="D118" t="s">
        <v>25</v>
      </c>
      <c r="E118" t="s">
        <v>60</v>
      </c>
      <c r="F118" t="s">
        <v>61</v>
      </c>
      <c r="G118">
        <v>3</v>
      </c>
      <c r="H118">
        <v>38.49</v>
      </c>
      <c r="I118">
        <v>0.3</v>
      </c>
      <c r="J118">
        <v>80.83</v>
      </c>
      <c r="K118" t="s">
        <v>16</v>
      </c>
      <c r="L118" t="s">
        <v>17</v>
      </c>
      <c r="M118" t="s">
        <v>103</v>
      </c>
    </row>
    <row r="119" spans="1:13" x14ac:dyDescent="0.2">
      <c r="A119">
        <v>121883</v>
      </c>
      <c r="B119" s="1">
        <v>45509</v>
      </c>
      <c r="C119">
        <v>42950</v>
      </c>
      <c r="D119" t="s">
        <v>167</v>
      </c>
      <c r="E119" t="s">
        <v>139</v>
      </c>
      <c r="F119" t="s">
        <v>140</v>
      </c>
      <c r="G119">
        <v>1</v>
      </c>
      <c r="H119">
        <v>7.19</v>
      </c>
      <c r="I119">
        <v>0.1</v>
      </c>
      <c r="J119">
        <v>6.47</v>
      </c>
      <c r="K119" t="s">
        <v>95</v>
      </c>
      <c r="L119" t="s">
        <v>37</v>
      </c>
      <c r="M119" t="s">
        <v>161</v>
      </c>
    </row>
    <row r="120" spans="1:13" x14ac:dyDescent="0.2">
      <c r="A120">
        <v>122118</v>
      </c>
      <c r="B120" s="1">
        <v>44642</v>
      </c>
      <c r="C120">
        <v>11112</v>
      </c>
      <c r="D120" t="s">
        <v>25</v>
      </c>
      <c r="E120" t="s">
        <v>51</v>
      </c>
      <c r="F120" t="s">
        <v>52</v>
      </c>
      <c r="G120">
        <v>5</v>
      </c>
      <c r="H120">
        <v>27.99</v>
      </c>
      <c r="J120">
        <v>139.94999999999999</v>
      </c>
      <c r="K120" t="s">
        <v>22</v>
      </c>
      <c r="L120" t="s">
        <v>17</v>
      </c>
      <c r="M120" t="s">
        <v>161</v>
      </c>
    </row>
    <row r="121" spans="1:13" x14ac:dyDescent="0.2">
      <c r="A121">
        <v>122366</v>
      </c>
      <c r="B121" s="1">
        <v>45385</v>
      </c>
      <c r="C121">
        <v>42228</v>
      </c>
      <c r="D121" t="s">
        <v>13</v>
      </c>
      <c r="E121" t="s">
        <v>127</v>
      </c>
      <c r="F121" t="s">
        <v>128</v>
      </c>
      <c r="G121">
        <v>1</v>
      </c>
      <c r="H121">
        <v>15.99</v>
      </c>
      <c r="I121">
        <v>0.2</v>
      </c>
      <c r="J121">
        <v>12.79</v>
      </c>
      <c r="K121" t="s">
        <v>16</v>
      </c>
      <c r="L121" t="s">
        <v>37</v>
      </c>
      <c r="M121" t="s">
        <v>161</v>
      </c>
    </row>
    <row r="122" spans="1:13" x14ac:dyDescent="0.2">
      <c r="A122">
        <v>122372</v>
      </c>
      <c r="B122" s="1">
        <v>45431</v>
      </c>
      <c r="C122">
        <v>31120</v>
      </c>
      <c r="D122" t="s">
        <v>63</v>
      </c>
      <c r="E122" t="s">
        <v>68</v>
      </c>
      <c r="F122" t="s">
        <v>69</v>
      </c>
      <c r="G122">
        <v>1</v>
      </c>
      <c r="H122">
        <v>24.99</v>
      </c>
      <c r="J122">
        <v>24.99</v>
      </c>
      <c r="K122" t="s">
        <v>16</v>
      </c>
      <c r="L122" t="s">
        <v>37</v>
      </c>
      <c r="M122" t="s">
        <v>54</v>
      </c>
    </row>
    <row r="123" spans="1:13" x14ac:dyDescent="0.2">
      <c r="A123">
        <v>122716</v>
      </c>
      <c r="B123" s="2">
        <v>44848</v>
      </c>
      <c r="C123">
        <v>18919</v>
      </c>
      <c r="D123" t="s">
        <v>13</v>
      </c>
      <c r="E123" t="s">
        <v>77</v>
      </c>
      <c r="F123" t="s">
        <v>78</v>
      </c>
      <c r="G123">
        <v>5</v>
      </c>
      <c r="H123">
        <v>499.99</v>
      </c>
      <c r="J123">
        <v>2499.9499999999998</v>
      </c>
      <c r="K123" t="s">
        <v>36</v>
      </c>
      <c r="L123" t="s">
        <v>17</v>
      </c>
      <c r="M123" t="s">
        <v>33</v>
      </c>
    </row>
    <row r="124" spans="1:13" x14ac:dyDescent="0.2">
      <c r="A124">
        <v>122755</v>
      </c>
      <c r="B124" s="1">
        <v>45016</v>
      </c>
      <c r="C124">
        <v>82569</v>
      </c>
      <c r="D124" t="s">
        <v>29</v>
      </c>
      <c r="E124" t="s">
        <v>88</v>
      </c>
      <c r="F124" t="s">
        <v>89</v>
      </c>
      <c r="G124">
        <v>4</v>
      </c>
      <c r="H124">
        <v>47.49</v>
      </c>
      <c r="I124">
        <v>0.05</v>
      </c>
      <c r="J124">
        <v>180.46</v>
      </c>
      <c r="K124" t="s">
        <v>32</v>
      </c>
      <c r="L124" t="s">
        <v>23</v>
      </c>
      <c r="M124" t="s">
        <v>28</v>
      </c>
    </row>
    <row r="125" spans="1:13" x14ac:dyDescent="0.2">
      <c r="A125">
        <v>123237</v>
      </c>
      <c r="B125" s="1">
        <v>44665</v>
      </c>
      <c r="C125">
        <v>70938</v>
      </c>
      <c r="D125" t="s">
        <v>44</v>
      </c>
      <c r="E125" t="s">
        <v>133</v>
      </c>
      <c r="F125" t="s">
        <v>134</v>
      </c>
      <c r="G125">
        <v>1</v>
      </c>
      <c r="H125">
        <v>3.41</v>
      </c>
      <c r="I125">
        <v>0.1</v>
      </c>
      <c r="J125">
        <v>3.07</v>
      </c>
      <c r="K125" t="s">
        <v>53</v>
      </c>
      <c r="L125" t="s">
        <v>17</v>
      </c>
      <c r="M125" t="s">
        <v>67</v>
      </c>
    </row>
    <row r="126" spans="1:13" x14ac:dyDescent="0.2">
      <c r="A126">
        <v>123304</v>
      </c>
      <c r="B126" s="1">
        <v>45133</v>
      </c>
      <c r="C126">
        <v>49396</v>
      </c>
      <c r="D126" t="s">
        <v>25</v>
      </c>
      <c r="E126" t="s">
        <v>113</v>
      </c>
      <c r="F126" t="s">
        <v>114</v>
      </c>
      <c r="G126">
        <v>1</v>
      </c>
      <c r="H126">
        <v>113.99</v>
      </c>
      <c r="I126">
        <v>0.05</v>
      </c>
      <c r="J126">
        <v>108.29</v>
      </c>
      <c r="K126" t="s">
        <v>95</v>
      </c>
      <c r="L126" t="s">
        <v>17</v>
      </c>
      <c r="M126" t="s">
        <v>33</v>
      </c>
    </row>
    <row r="127" spans="1:13" x14ac:dyDescent="0.2">
      <c r="A127">
        <v>123334</v>
      </c>
      <c r="B127" s="2">
        <v>45551</v>
      </c>
      <c r="C127">
        <v>25760</v>
      </c>
      <c r="D127" t="s">
        <v>85</v>
      </c>
      <c r="E127" t="s">
        <v>129</v>
      </c>
      <c r="F127" t="s">
        <v>130</v>
      </c>
      <c r="G127">
        <v>3</v>
      </c>
      <c r="H127">
        <v>6.74</v>
      </c>
      <c r="I127">
        <v>0.25</v>
      </c>
      <c r="J127">
        <v>15.16</v>
      </c>
      <c r="K127" t="s">
        <v>22</v>
      </c>
      <c r="L127" t="s">
        <v>17</v>
      </c>
      <c r="M127" t="s">
        <v>76</v>
      </c>
    </row>
    <row r="128" spans="1:13" x14ac:dyDescent="0.2">
      <c r="A128">
        <v>123472</v>
      </c>
      <c r="B128" s="1">
        <v>45001</v>
      </c>
      <c r="C128">
        <v>30444</v>
      </c>
      <c r="D128" t="s">
        <v>48</v>
      </c>
      <c r="E128" t="s">
        <v>118</v>
      </c>
      <c r="F128" t="s">
        <v>119</v>
      </c>
      <c r="G128">
        <v>1</v>
      </c>
      <c r="H128">
        <v>4.99</v>
      </c>
      <c r="J128">
        <v>4.99</v>
      </c>
      <c r="K128" t="s">
        <v>32</v>
      </c>
      <c r="L128" t="s">
        <v>17</v>
      </c>
      <c r="M128" t="s">
        <v>123</v>
      </c>
    </row>
    <row r="129" spans="1:13" x14ac:dyDescent="0.2">
      <c r="A129">
        <v>123581</v>
      </c>
      <c r="B129" s="1">
        <v>45398</v>
      </c>
      <c r="C129">
        <v>66219</v>
      </c>
      <c r="D129" t="s">
        <v>63</v>
      </c>
      <c r="E129" t="s">
        <v>131</v>
      </c>
      <c r="F129" t="s">
        <v>132</v>
      </c>
      <c r="G129">
        <v>2</v>
      </c>
      <c r="H129">
        <v>3.32</v>
      </c>
      <c r="I129">
        <v>0.05</v>
      </c>
      <c r="J129">
        <v>6.31</v>
      </c>
      <c r="K129" t="s">
        <v>32</v>
      </c>
      <c r="L129" t="s">
        <v>17</v>
      </c>
      <c r="M129" t="s">
        <v>76</v>
      </c>
    </row>
    <row r="130" spans="1:13" x14ac:dyDescent="0.2">
      <c r="A130">
        <v>123730</v>
      </c>
      <c r="B130" s="1">
        <v>45167</v>
      </c>
      <c r="C130">
        <v>66221</v>
      </c>
      <c r="D130" t="s">
        <v>44</v>
      </c>
      <c r="E130" t="s">
        <v>162</v>
      </c>
      <c r="F130" t="s">
        <v>163</v>
      </c>
      <c r="G130">
        <v>1</v>
      </c>
      <c r="H130">
        <v>7.59</v>
      </c>
      <c r="I130">
        <v>0.05</v>
      </c>
      <c r="J130">
        <v>7.21</v>
      </c>
      <c r="K130" t="s">
        <v>22</v>
      </c>
      <c r="L130" t="s">
        <v>37</v>
      </c>
      <c r="M130" t="s">
        <v>161</v>
      </c>
    </row>
    <row r="131" spans="1:13" x14ac:dyDescent="0.2">
      <c r="A131">
        <v>123853</v>
      </c>
      <c r="B131" s="1">
        <v>44789</v>
      </c>
      <c r="C131">
        <v>81620</v>
      </c>
      <c r="D131" t="s">
        <v>29</v>
      </c>
      <c r="E131" t="s">
        <v>88</v>
      </c>
      <c r="F131" t="s">
        <v>89</v>
      </c>
      <c r="G131">
        <v>2</v>
      </c>
      <c r="H131">
        <v>44.99</v>
      </c>
      <c r="I131">
        <v>0.1</v>
      </c>
      <c r="J131">
        <v>80.98</v>
      </c>
      <c r="K131" t="s">
        <v>16</v>
      </c>
      <c r="L131" t="s">
        <v>37</v>
      </c>
      <c r="M131" t="s">
        <v>117</v>
      </c>
    </row>
    <row r="132" spans="1:13" x14ac:dyDescent="0.2">
      <c r="A132">
        <v>124224</v>
      </c>
      <c r="B132" s="1">
        <v>45200</v>
      </c>
      <c r="C132">
        <v>54420</v>
      </c>
      <c r="D132" t="s">
        <v>82</v>
      </c>
      <c r="E132" t="s">
        <v>168</v>
      </c>
      <c r="F132" t="s">
        <v>169</v>
      </c>
      <c r="G132">
        <v>1</v>
      </c>
      <c r="H132">
        <v>6.29</v>
      </c>
      <c r="I132">
        <v>0.3</v>
      </c>
      <c r="J132">
        <v>4.4000000000000004</v>
      </c>
      <c r="K132" t="s">
        <v>36</v>
      </c>
      <c r="L132" t="s">
        <v>17</v>
      </c>
      <c r="M132" t="s">
        <v>76</v>
      </c>
    </row>
    <row r="133" spans="1:13" x14ac:dyDescent="0.2">
      <c r="A133">
        <v>124276</v>
      </c>
      <c r="B133" s="1">
        <v>45606</v>
      </c>
      <c r="C133">
        <v>26034</v>
      </c>
      <c r="D133" t="s">
        <v>85</v>
      </c>
      <c r="E133" t="s">
        <v>86</v>
      </c>
      <c r="F133" t="s">
        <v>87</v>
      </c>
      <c r="G133">
        <v>3</v>
      </c>
      <c r="H133">
        <v>12.99</v>
      </c>
      <c r="J133">
        <v>38.97</v>
      </c>
      <c r="K133" t="s">
        <v>16</v>
      </c>
      <c r="L133" t="s">
        <v>37</v>
      </c>
      <c r="M133" t="s">
        <v>47</v>
      </c>
    </row>
    <row r="134" spans="1:13" x14ac:dyDescent="0.2">
      <c r="A134">
        <v>124444</v>
      </c>
      <c r="B134" s="1">
        <v>45255</v>
      </c>
      <c r="C134">
        <v>56088</v>
      </c>
      <c r="D134" t="s">
        <v>40</v>
      </c>
      <c r="E134" t="s">
        <v>115</v>
      </c>
      <c r="F134" t="s">
        <v>116</v>
      </c>
      <c r="G134">
        <v>4</v>
      </c>
      <c r="H134">
        <v>9.74</v>
      </c>
      <c r="I134">
        <v>0.25</v>
      </c>
      <c r="J134">
        <v>29.22</v>
      </c>
      <c r="K134" t="s">
        <v>16</v>
      </c>
      <c r="L134" t="s">
        <v>17</v>
      </c>
      <c r="M134" t="s">
        <v>57</v>
      </c>
    </row>
    <row r="135" spans="1:13" x14ac:dyDescent="0.2">
      <c r="A135">
        <v>124595</v>
      </c>
      <c r="B135" s="2">
        <v>44786</v>
      </c>
      <c r="C135">
        <v>92538</v>
      </c>
      <c r="D135" t="s">
        <v>48</v>
      </c>
      <c r="E135" t="s">
        <v>118</v>
      </c>
      <c r="F135" t="s">
        <v>119</v>
      </c>
      <c r="G135">
        <v>1</v>
      </c>
      <c r="H135">
        <v>4.74</v>
      </c>
      <c r="I135">
        <v>0.05</v>
      </c>
      <c r="J135">
        <v>4.5</v>
      </c>
      <c r="K135" t="s">
        <v>36</v>
      </c>
      <c r="L135" t="s">
        <v>37</v>
      </c>
      <c r="M135" t="s">
        <v>28</v>
      </c>
    </row>
    <row r="136" spans="1:13" x14ac:dyDescent="0.2">
      <c r="A136">
        <v>124648</v>
      </c>
      <c r="B136" s="2">
        <v>45010</v>
      </c>
      <c r="C136">
        <v>32634</v>
      </c>
      <c r="D136" t="s">
        <v>29</v>
      </c>
      <c r="E136" t="s">
        <v>170</v>
      </c>
      <c r="F136" t="s">
        <v>171</v>
      </c>
      <c r="G136">
        <v>2</v>
      </c>
      <c r="H136">
        <v>14.99</v>
      </c>
      <c r="J136">
        <v>29.98</v>
      </c>
      <c r="K136" t="s">
        <v>95</v>
      </c>
      <c r="L136" t="s">
        <v>17</v>
      </c>
      <c r="M136" t="s">
        <v>81</v>
      </c>
    </row>
    <row r="137" spans="1:13" x14ac:dyDescent="0.2">
      <c r="A137">
        <v>124765</v>
      </c>
      <c r="B137" s="2">
        <v>45298</v>
      </c>
      <c r="C137">
        <v>69904</v>
      </c>
      <c r="D137" t="s">
        <v>85</v>
      </c>
      <c r="E137" t="s">
        <v>157</v>
      </c>
      <c r="F137" t="s">
        <v>158</v>
      </c>
      <c r="G137">
        <v>1</v>
      </c>
      <c r="H137">
        <v>13.49</v>
      </c>
      <c r="J137">
        <v>13.49</v>
      </c>
      <c r="K137" t="s">
        <v>22</v>
      </c>
      <c r="L137" t="s">
        <v>23</v>
      </c>
      <c r="M137" t="s">
        <v>96</v>
      </c>
    </row>
    <row r="138" spans="1:13" x14ac:dyDescent="0.2">
      <c r="A138">
        <v>124822</v>
      </c>
      <c r="B138" s="1">
        <v>45137</v>
      </c>
      <c r="C138">
        <v>79905</v>
      </c>
      <c r="D138" t="s">
        <v>44</v>
      </c>
      <c r="E138" t="s">
        <v>172</v>
      </c>
      <c r="F138" t="s">
        <v>173</v>
      </c>
      <c r="G138">
        <v>5</v>
      </c>
      <c r="H138">
        <v>3.82</v>
      </c>
      <c r="I138">
        <v>0.15</v>
      </c>
      <c r="J138">
        <v>16.239999999999998</v>
      </c>
      <c r="K138" t="s">
        <v>36</v>
      </c>
      <c r="L138" t="s">
        <v>17</v>
      </c>
      <c r="M138" t="s">
        <v>43</v>
      </c>
    </row>
    <row r="139" spans="1:13" x14ac:dyDescent="0.2">
      <c r="A139">
        <v>125076</v>
      </c>
      <c r="B139" s="1">
        <v>45566</v>
      </c>
      <c r="C139">
        <v>32574</v>
      </c>
      <c r="D139" t="s">
        <v>13</v>
      </c>
      <c r="E139" t="s">
        <v>104</v>
      </c>
      <c r="F139" t="s">
        <v>105</v>
      </c>
      <c r="G139">
        <v>1</v>
      </c>
      <c r="H139">
        <v>29.99</v>
      </c>
      <c r="J139">
        <v>29.99</v>
      </c>
      <c r="K139" t="s">
        <v>16</v>
      </c>
      <c r="L139" t="s">
        <v>17</v>
      </c>
      <c r="M139" t="s">
        <v>102</v>
      </c>
    </row>
    <row r="140" spans="1:13" x14ac:dyDescent="0.2">
      <c r="A140">
        <v>125355</v>
      </c>
      <c r="B140" s="1">
        <v>45045</v>
      </c>
      <c r="C140">
        <v>53987</v>
      </c>
      <c r="D140" t="s">
        <v>44</v>
      </c>
      <c r="E140" t="s">
        <v>45</v>
      </c>
      <c r="F140" t="s">
        <v>46</v>
      </c>
      <c r="G140">
        <v>2</v>
      </c>
      <c r="H140">
        <v>1.61</v>
      </c>
      <c r="I140">
        <v>0.1</v>
      </c>
      <c r="J140">
        <v>2.9</v>
      </c>
      <c r="K140" t="s">
        <v>16</v>
      </c>
      <c r="L140" t="s">
        <v>23</v>
      </c>
      <c r="M140" t="s">
        <v>62</v>
      </c>
    </row>
    <row r="141" spans="1:13" x14ac:dyDescent="0.2">
      <c r="A141">
        <v>126068</v>
      </c>
      <c r="B141" s="2">
        <v>45343</v>
      </c>
      <c r="C141">
        <v>85860</v>
      </c>
      <c r="D141" t="s">
        <v>25</v>
      </c>
      <c r="E141" t="s">
        <v>51</v>
      </c>
      <c r="F141" t="s">
        <v>52</v>
      </c>
      <c r="G141">
        <v>2</v>
      </c>
      <c r="H141">
        <v>22.39</v>
      </c>
      <c r="J141">
        <v>44.78</v>
      </c>
      <c r="K141" t="s">
        <v>32</v>
      </c>
      <c r="L141" t="s">
        <v>17</v>
      </c>
      <c r="M141" t="s">
        <v>67</v>
      </c>
    </row>
    <row r="142" spans="1:13" x14ac:dyDescent="0.2">
      <c r="A142">
        <v>126104</v>
      </c>
      <c r="B142" s="1">
        <v>44982</v>
      </c>
      <c r="C142">
        <v>70493</v>
      </c>
      <c r="D142" t="s">
        <v>174</v>
      </c>
      <c r="E142" t="s">
        <v>137</v>
      </c>
      <c r="F142" t="s">
        <v>138</v>
      </c>
      <c r="G142">
        <v>3</v>
      </c>
      <c r="H142">
        <v>7.99</v>
      </c>
      <c r="J142">
        <v>23.97</v>
      </c>
      <c r="K142" t="s">
        <v>22</v>
      </c>
      <c r="L142" t="s">
        <v>37</v>
      </c>
      <c r="M142" t="s">
        <v>47</v>
      </c>
    </row>
    <row r="143" spans="1:13" x14ac:dyDescent="0.2">
      <c r="A143">
        <v>126166</v>
      </c>
      <c r="B143" s="2">
        <v>45377</v>
      </c>
      <c r="C143">
        <v>88894</v>
      </c>
      <c r="D143" t="s">
        <v>44</v>
      </c>
      <c r="E143" t="s">
        <v>107</v>
      </c>
      <c r="F143" t="s">
        <v>108</v>
      </c>
      <c r="G143">
        <v>1</v>
      </c>
      <c r="H143">
        <v>2.97</v>
      </c>
      <c r="I143">
        <v>0.15</v>
      </c>
      <c r="J143">
        <v>2.52</v>
      </c>
      <c r="K143" t="s">
        <v>32</v>
      </c>
      <c r="L143" t="s">
        <v>17</v>
      </c>
      <c r="M143" t="s">
        <v>123</v>
      </c>
    </row>
    <row r="144" spans="1:13" x14ac:dyDescent="0.2">
      <c r="A144">
        <v>126777</v>
      </c>
      <c r="B144" s="2">
        <v>45414</v>
      </c>
      <c r="C144">
        <v>38262</v>
      </c>
      <c r="D144" t="s">
        <v>63</v>
      </c>
      <c r="E144" t="s">
        <v>64</v>
      </c>
      <c r="F144" t="s">
        <v>65</v>
      </c>
      <c r="G144">
        <v>5</v>
      </c>
      <c r="H144">
        <v>4.74</v>
      </c>
      <c r="I144">
        <v>0.05</v>
      </c>
      <c r="J144">
        <v>22.52</v>
      </c>
      <c r="K144" t="s">
        <v>36</v>
      </c>
      <c r="L144" t="s">
        <v>17</v>
      </c>
      <c r="M144" t="s">
        <v>96</v>
      </c>
    </row>
    <row r="145" spans="1:13" x14ac:dyDescent="0.2">
      <c r="A145">
        <v>126858</v>
      </c>
      <c r="B145" s="1">
        <v>45163</v>
      </c>
      <c r="C145">
        <v>94489</v>
      </c>
      <c r="D145" t="s">
        <v>13</v>
      </c>
      <c r="E145" t="s">
        <v>55</v>
      </c>
      <c r="F145" t="s">
        <v>56</v>
      </c>
      <c r="G145">
        <v>1</v>
      </c>
      <c r="H145">
        <v>263.99</v>
      </c>
      <c r="I145">
        <v>0.2</v>
      </c>
      <c r="J145">
        <v>211.19</v>
      </c>
      <c r="K145" t="s">
        <v>16</v>
      </c>
      <c r="L145" t="s">
        <v>17</v>
      </c>
      <c r="M145" t="s">
        <v>62</v>
      </c>
    </row>
    <row r="146" spans="1:13" x14ac:dyDescent="0.2">
      <c r="A146">
        <v>126885</v>
      </c>
      <c r="B146" s="1">
        <v>45222</v>
      </c>
      <c r="C146">
        <v>13646</v>
      </c>
      <c r="D146" t="s">
        <v>29</v>
      </c>
      <c r="E146" t="s">
        <v>175</v>
      </c>
      <c r="F146" t="s">
        <v>176</v>
      </c>
      <c r="G146">
        <v>1</v>
      </c>
      <c r="H146">
        <v>11.39</v>
      </c>
      <c r="I146">
        <v>0.05</v>
      </c>
      <c r="J146">
        <v>10.82</v>
      </c>
      <c r="K146" t="s">
        <v>36</v>
      </c>
      <c r="L146" t="s">
        <v>17</v>
      </c>
      <c r="M146" t="s">
        <v>57</v>
      </c>
    </row>
    <row r="147" spans="1:13" x14ac:dyDescent="0.2">
      <c r="A147">
        <v>126953</v>
      </c>
      <c r="B147" s="1">
        <v>45127</v>
      </c>
      <c r="C147">
        <v>27825</v>
      </c>
      <c r="D147" t="s">
        <v>44</v>
      </c>
      <c r="E147" t="s">
        <v>162</v>
      </c>
      <c r="F147" t="s">
        <v>163</v>
      </c>
      <c r="G147">
        <v>5</v>
      </c>
      <c r="H147">
        <v>7.19</v>
      </c>
      <c r="I147">
        <v>0.1</v>
      </c>
      <c r="J147">
        <v>32.36</v>
      </c>
      <c r="K147" t="s">
        <v>16</v>
      </c>
      <c r="L147" t="s">
        <v>17</v>
      </c>
      <c r="M147" t="s">
        <v>18</v>
      </c>
    </row>
    <row r="148" spans="1:13" x14ac:dyDescent="0.2">
      <c r="A148">
        <v>127267</v>
      </c>
      <c r="B148" s="2">
        <v>44660</v>
      </c>
      <c r="C148">
        <v>51349</v>
      </c>
      <c r="D148" t="s">
        <v>97</v>
      </c>
      <c r="E148" t="s">
        <v>165</v>
      </c>
      <c r="F148" t="s">
        <v>166</v>
      </c>
      <c r="G148">
        <v>1</v>
      </c>
      <c r="H148">
        <v>80.989999999999995</v>
      </c>
      <c r="I148">
        <v>0.1</v>
      </c>
      <c r="J148">
        <v>72.89</v>
      </c>
      <c r="K148" t="s">
        <v>36</v>
      </c>
      <c r="L148" t="s">
        <v>17</v>
      </c>
      <c r="M148" t="s">
        <v>103</v>
      </c>
    </row>
    <row r="149" spans="1:13" x14ac:dyDescent="0.2">
      <c r="A149">
        <v>127402</v>
      </c>
      <c r="B149" s="1">
        <v>45310</v>
      </c>
      <c r="C149">
        <v>19022</v>
      </c>
      <c r="D149" t="s">
        <v>82</v>
      </c>
      <c r="E149" t="s">
        <v>83</v>
      </c>
      <c r="F149" t="s">
        <v>84</v>
      </c>
      <c r="G149">
        <v>4</v>
      </c>
      <c r="H149">
        <v>14.44</v>
      </c>
      <c r="I149">
        <v>0.15</v>
      </c>
      <c r="J149">
        <v>49.1</v>
      </c>
      <c r="K149" t="s">
        <v>22</v>
      </c>
      <c r="L149" t="s">
        <v>17</v>
      </c>
      <c r="M149" t="s">
        <v>90</v>
      </c>
    </row>
    <row r="150" spans="1:13" x14ac:dyDescent="0.2">
      <c r="A150">
        <v>127403</v>
      </c>
      <c r="B150" s="1">
        <v>45440</v>
      </c>
      <c r="C150">
        <v>29282</v>
      </c>
      <c r="D150" t="s">
        <v>82</v>
      </c>
      <c r="E150" t="s">
        <v>168</v>
      </c>
      <c r="F150" t="s">
        <v>169</v>
      </c>
      <c r="G150">
        <v>3</v>
      </c>
      <c r="H150">
        <v>8.5399999999999991</v>
      </c>
      <c r="I150">
        <v>0.05</v>
      </c>
      <c r="J150">
        <v>24.34</v>
      </c>
      <c r="K150" t="s">
        <v>22</v>
      </c>
      <c r="L150" t="s">
        <v>17</v>
      </c>
    </row>
    <row r="151" spans="1:13" x14ac:dyDescent="0.2">
      <c r="A151">
        <v>128383</v>
      </c>
      <c r="B151" s="2">
        <v>44672</v>
      </c>
      <c r="C151">
        <v>12344</v>
      </c>
      <c r="D151" t="s">
        <v>40</v>
      </c>
      <c r="E151" t="s">
        <v>115</v>
      </c>
      <c r="F151" t="s">
        <v>116</v>
      </c>
      <c r="G151">
        <v>2</v>
      </c>
      <c r="H151">
        <v>9.74</v>
      </c>
      <c r="I151">
        <v>0.25</v>
      </c>
      <c r="J151">
        <v>14.61</v>
      </c>
      <c r="K151" t="s">
        <v>22</v>
      </c>
      <c r="L151" t="s">
        <v>17</v>
      </c>
      <c r="M151" t="s">
        <v>123</v>
      </c>
    </row>
    <row r="152" spans="1:13" x14ac:dyDescent="0.2">
      <c r="A152">
        <v>128570</v>
      </c>
      <c r="B152" s="1">
        <v>45307</v>
      </c>
      <c r="C152">
        <v>28765</v>
      </c>
      <c r="D152" t="s">
        <v>63</v>
      </c>
      <c r="E152" t="s">
        <v>131</v>
      </c>
      <c r="F152" t="s">
        <v>132</v>
      </c>
      <c r="G152">
        <v>1</v>
      </c>
      <c r="H152">
        <v>3.49</v>
      </c>
      <c r="J152">
        <v>3.49</v>
      </c>
      <c r="K152" t="s">
        <v>36</v>
      </c>
      <c r="L152" t="s">
        <v>23</v>
      </c>
      <c r="M152" t="s">
        <v>62</v>
      </c>
    </row>
    <row r="153" spans="1:13" x14ac:dyDescent="0.2">
      <c r="A153">
        <v>128736</v>
      </c>
      <c r="B153" s="1">
        <v>45638</v>
      </c>
      <c r="C153">
        <v>36297</v>
      </c>
      <c r="D153" t="s">
        <v>25</v>
      </c>
      <c r="E153" t="s">
        <v>113</v>
      </c>
      <c r="F153" t="s">
        <v>114</v>
      </c>
      <c r="G153">
        <v>1</v>
      </c>
      <c r="H153">
        <v>119.99</v>
      </c>
      <c r="J153">
        <v>119.99</v>
      </c>
      <c r="K153" t="s">
        <v>16</v>
      </c>
      <c r="L153" t="s">
        <v>17</v>
      </c>
      <c r="M153" t="s">
        <v>117</v>
      </c>
    </row>
    <row r="154" spans="1:13" x14ac:dyDescent="0.2">
      <c r="A154">
        <v>128777</v>
      </c>
      <c r="B154" s="2">
        <v>44678</v>
      </c>
      <c r="C154">
        <v>60108</v>
      </c>
      <c r="D154" t="s">
        <v>48</v>
      </c>
      <c r="E154" t="s">
        <v>109</v>
      </c>
      <c r="F154" t="s">
        <v>110</v>
      </c>
      <c r="G154">
        <v>5</v>
      </c>
      <c r="H154">
        <v>6.99</v>
      </c>
      <c r="J154">
        <v>34.950000000000003</v>
      </c>
      <c r="K154" t="s">
        <v>36</v>
      </c>
      <c r="L154" t="s">
        <v>17</v>
      </c>
      <c r="M154" t="s">
        <v>47</v>
      </c>
    </row>
    <row r="155" spans="1:13" x14ac:dyDescent="0.2">
      <c r="A155">
        <v>128986</v>
      </c>
      <c r="B155" s="1">
        <v>44917</v>
      </c>
      <c r="C155">
        <v>54961</v>
      </c>
      <c r="D155" t="s">
        <v>13</v>
      </c>
      <c r="E155" t="s">
        <v>127</v>
      </c>
      <c r="F155" t="s">
        <v>128</v>
      </c>
      <c r="G155">
        <v>2</v>
      </c>
      <c r="H155">
        <v>13.99</v>
      </c>
      <c r="J155">
        <v>27.98</v>
      </c>
      <c r="K155" t="s">
        <v>36</v>
      </c>
      <c r="L155" t="s">
        <v>17</v>
      </c>
      <c r="M155" t="s">
        <v>103</v>
      </c>
    </row>
    <row r="156" spans="1:13" x14ac:dyDescent="0.2">
      <c r="A156">
        <v>129049</v>
      </c>
      <c r="B156" s="1">
        <v>45050</v>
      </c>
      <c r="C156">
        <v>83377</v>
      </c>
      <c r="D156" t="s">
        <v>25</v>
      </c>
      <c r="E156" t="s">
        <v>70</v>
      </c>
      <c r="F156" t="s">
        <v>71</v>
      </c>
      <c r="G156">
        <v>1</v>
      </c>
      <c r="H156">
        <v>89.99</v>
      </c>
      <c r="J156">
        <v>89.99</v>
      </c>
      <c r="K156" t="s">
        <v>36</v>
      </c>
      <c r="L156" t="s">
        <v>37</v>
      </c>
      <c r="M156" t="s">
        <v>47</v>
      </c>
    </row>
    <row r="157" spans="1:13" x14ac:dyDescent="0.2">
      <c r="A157">
        <v>129441</v>
      </c>
      <c r="B157" s="1">
        <v>45482</v>
      </c>
      <c r="C157">
        <v>58921</v>
      </c>
      <c r="D157" t="s">
        <v>13</v>
      </c>
      <c r="E157" t="s">
        <v>14</v>
      </c>
      <c r="F157" t="s">
        <v>15</v>
      </c>
      <c r="G157">
        <v>2</v>
      </c>
      <c r="H157">
        <v>59.99</v>
      </c>
      <c r="I157">
        <v>0.25</v>
      </c>
      <c r="J157">
        <v>89.98</v>
      </c>
      <c r="K157" t="s">
        <v>53</v>
      </c>
      <c r="L157" t="s">
        <v>17</v>
      </c>
      <c r="M157" t="s">
        <v>120</v>
      </c>
    </row>
    <row r="158" spans="1:13" x14ac:dyDescent="0.2">
      <c r="A158">
        <v>129495</v>
      </c>
      <c r="B158" s="1">
        <v>45507</v>
      </c>
      <c r="C158">
        <v>18285</v>
      </c>
      <c r="D158" t="s">
        <v>25</v>
      </c>
      <c r="E158" t="s">
        <v>26</v>
      </c>
      <c r="F158" t="s">
        <v>27</v>
      </c>
      <c r="G158">
        <v>1</v>
      </c>
      <c r="H158">
        <v>34.99</v>
      </c>
      <c r="J158">
        <v>34.99</v>
      </c>
      <c r="K158" t="s">
        <v>16</v>
      </c>
      <c r="L158" t="s">
        <v>17</v>
      </c>
      <c r="M158" t="s">
        <v>57</v>
      </c>
    </row>
    <row r="159" spans="1:13" x14ac:dyDescent="0.2">
      <c r="A159">
        <v>129576</v>
      </c>
      <c r="B159" s="1">
        <v>45213</v>
      </c>
      <c r="C159">
        <v>28625</v>
      </c>
      <c r="D159" t="s">
        <v>44</v>
      </c>
      <c r="E159" t="s">
        <v>177</v>
      </c>
      <c r="F159" t="s">
        <v>178</v>
      </c>
      <c r="G159">
        <v>5</v>
      </c>
      <c r="H159">
        <v>10.19</v>
      </c>
      <c r="I159">
        <v>0.15</v>
      </c>
      <c r="J159">
        <v>43.31</v>
      </c>
      <c r="K159" t="s">
        <v>36</v>
      </c>
      <c r="L159" t="s">
        <v>17</v>
      </c>
      <c r="M159" t="s">
        <v>28</v>
      </c>
    </row>
    <row r="160" spans="1:13" x14ac:dyDescent="0.2">
      <c r="A160">
        <v>129665</v>
      </c>
      <c r="B160" s="1">
        <v>44974</v>
      </c>
      <c r="C160">
        <v>23439</v>
      </c>
      <c r="D160" t="s">
        <v>29</v>
      </c>
      <c r="E160" t="s">
        <v>30</v>
      </c>
      <c r="F160" t="s">
        <v>31</v>
      </c>
      <c r="G160">
        <v>3</v>
      </c>
      <c r="H160">
        <v>19.989999999999998</v>
      </c>
      <c r="I160">
        <v>0.2</v>
      </c>
      <c r="J160">
        <v>47.98</v>
      </c>
      <c r="K160" t="s">
        <v>16</v>
      </c>
      <c r="L160" t="s">
        <v>17</v>
      </c>
      <c r="M160" t="s">
        <v>62</v>
      </c>
    </row>
    <row r="161" spans="1:13" x14ac:dyDescent="0.2">
      <c r="A161">
        <v>129954</v>
      </c>
      <c r="B161" s="2">
        <v>45616</v>
      </c>
      <c r="C161">
        <v>94348</v>
      </c>
      <c r="D161" t="s">
        <v>44</v>
      </c>
      <c r="E161" t="s">
        <v>93</v>
      </c>
      <c r="F161" t="s">
        <v>94</v>
      </c>
      <c r="G161">
        <v>1</v>
      </c>
      <c r="H161">
        <v>0.97</v>
      </c>
      <c r="I161">
        <v>0.25</v>
      </c>
      <c r="J161">
        <v>0.73</v>
      </c>
      <c r="K161" t="s">
        <v>16</v>
      </c>
      <c r="L161" t="s">
        <v>37</v>
      </c>
      <c r="M161" t="s">
        <v>103</v>
      </c>
    </row>
    <row r="162" spans="1:13" x14ac:dyDescent="0.2">
      <c r="A162">
        <v>129965</v>
      </c>
      <c r="B162" s="1">
        <v>45269</v>
      </c>
      <c r="C162">
        <v>56027</v>
      </c>
      <c r="D162" t="s">
        <v>25</v>
      </c>
      <c r="E162" t="s">
        <v>51</v>
      </c>
      <c r="F162" t="s">
        <v>52</v>
      </c>
      <c r="G162">
        <v>1</v>
      </c>
      <c r="H162">
        <v>27.99</v>
      </c>
      <c r="J162">
        <v>27.99</v>
      </c>
      <c r="K162" t="s">
        <v>36</v>
      </c>
      <c r="L162" t="s">
        <v>17</v>
      </c>
      <c r="M162" t="s">
        <v>102</v>
      </c>
    </row>
    <row r="163" spans="1:13" x14ac:dyDescent="0.2">
      <c r="A163">
        <v>130092</v>
      </c>
      <c r="B163" s="2">
        <v>44789</v>
      </c>
      <c r="C163">
        <v>84193</v>
      </c>
      <c r="D163" t="s">
        <v>97</v>
      </c>
      <c r="E163" t="s">
        <v>135</v>
      </c>
      <c r="F163" t="s">
        <v>136</v>
      </c>
      <c r="G163">
        <v>1</v>
      </c>
      <c r="H163">
        <v>9.99</v>
      </c>
      <c r="J163">
        <v>9.99</v>
      </c>
      <c r="K163" t="s">
        <v>16</v>
      </c>
      <c r="L163" t="s">
        <v>17</v>
      </c>
      <c r="M163" t="s">
        <v>102</v>
      </c>
    </row>
    <row r="164" spans="1:13" x14ac:dyDescent="0.2">
      <c r="A164">
        <v>130170</v>
      </c>
      <c r="B164" s="1">
        <v>44995</v>
      </c>
      <c r="C164">
        <v>72135</v>
      </c>
      <c r="D164" t="s">
        <v>48</v>
      </c>
      <c r="E164" t="s">
        <v>179</v>
      </c>
      <c r="F164" t="s">
        <v>180</v>
      </c>
      <c r="G164">
        <v>2</v>
      </c>
      <c r="H164">
        <v>11.39</v>
      </c>
      <c r="I164">
        <v>0.05</v>
      </c>
      <c r="J164">
        <v>21.64</v>
      </c>
      <c r="K164" t="s">
        <v>16</v>
      </c>
      <c r="L164" t="s">
        <v>17</v>
      </c>
      <c r="M164" t="s">
        <v>123</v>
      </c>
    </row>
    <row r="165" spans="1:13" x14ac:dyDescent="0.2">
      <c r="A165">
        <v>130184</v>
      </c>
      <c r="B165" s="2">
        <v>45438</v>
      </c>
      <c r="C165">
        <v>60940</v>
      </c>
      <c r="D165" t="s">
        <v>85</v>
      </c>
      <c r="E165" t="s">
        <v>157</v>
      </c>
      <c r="F165" t="s">
        <v>158</v>
      </c>
      <c r="G165">
        <v>1</v>
      </c>
      <c r="H165">
        <v>10.119999999999999</v>
      </c>
      <c r="I165">
        <v>0.25</v>
      </c>
      <c r="J165">
        <v>7.59</v>
      </c>
      <c r="K165" t="s">
        <v>16</v>
      </c>
      <c r="L165" t="s">
        <v>17</v>
      </c>
      <c r="M165" t="s">
        <v>18</v>
      </c>
    </row>
    <row r="166" spans="1:13" x14ac:dyDescent="0.2">
      <c r="A166">
        <v>130246</v>
      </c>
      <c r="B166" s="1">
        <v>45617</v>
      </c>
      <c r="C166">
        <v>73511</v>
      </c>
      <c r="D166" t="s">
        <v>97</v>
      </c>
      <c r="E166" t="s">
        <v>98</v>
      </c>
      <c r="F166" t="s">
        <v>99</v>
      </c>
      <c r="G166">
        <v>4</v>
      </c>
      <c r="H166">
        <v>19.59</v>
      </c>
      <c r="I166">
        <v>0.3</v>
      </c>
      <c r="J166">
        <v>54.85</v>
      </c>
      <c r="K166" t="s">
        <v>32</v>
      </c>
      <c r="L166" t="s">
        <v>37</v>
      </c>
      <c r="M166" t="s">
        <v>28</v>
      </c>
    </row>
    <row r="167" spans="1:13" x14ac:dyDescent="0.2">
      <c r="A167">
        <v>130454</v>
      </c>
      <c r="B167" s="1">
        <v>45091</v>
      </c>
      <c r="D167" t="s">
        <v>44</v>
      </c>
      <c r="E167" t="s">
        <v>133</v>
      </c>
      <c r="F167" t="s">
        <v>134</v>
      </c>
      <c r="G167">
        <v>1</v>
      </c>
      <c r="H167">
        <v>2.84</v>
      </c>
      <c r="I167">
        <v>0.25</v>
      </c>
      <c r="J167">
        <v>2.13</v>
      </c>
      <c r="K167" t="s">
        <v>95</v>
      </c>
      <c r="L167" t="s">
        <v>37</v>
      </c>
      <c r="M167" t="s">
        <v>96</v>
      </c>
    </row>
    <row r="168" spans="1:13" x14ac:dyDescent="0.2">
      <c r="A168">
        <v>130688</v>
      </c>
      <c r="B168" s="2">
        <v>45006</v>
      </c>
      <c r="C168">
        <v>84301</v>
      </c>
      <c r="D168" t="s">
        <v>85</v>
      </c>
      <c r="E168" t="s">
        <v>137</v>
      </c>
      <c r="F168" t="s">
        <v>138</v>
      </c>
      <c r="G168">
        <v>5</v>
      </c>
      <c r="H168">
        <v>7.99</v>
      </c>
      <c r="J168">
        <v>39.950000000000003</v>
      </c>
      <c r="K168" t="s">
        <v>36</v>
      </c>
      <c r="L168" t="s">
        <v>17</v>
      </c>
      <c r="M168" t="s">
        <v>102</v>
      </c>
    </row>
    <row r="169" spans="1:13" x14ac:dyDescent="0.2">
      <c r="A169">
        <v>130959</v>
      </c>
      <c r="B169" s="1">
        <v>44801</v>
      </c>
      <c r="D169" t="s">
        <v>97</v>
      </c>
      <c r="E169" t="s">
        <v>165</v>
      </c>
      <c r="F169" t="s">
        <v>166</v>
      </c>
      <c r="G169">
        <v>1</v>
      </c>
      <c r="H169">
        <v>76.489999999999995</v>
      </c>
      <c r="I169">
        <v>0.15</v>
      </c>
      <c r="J169">
        <v>65.02</v>
      </c>
      <c r="K169" t="s">
        <v>16</v>
      </c>
      <c r="L169" t="s">
        <v>17</v>
      </c>
      <c r="M169" t="s">
        <v>103</v>
      </c>
    </row>
    <row r="170" spans="1:13" x14ac:dyDescent="0.2">
      <c r="A170">
        <v>130971</v>
      </c>
      <c r="B170" s="2">
        <v>45200</v>
      </c>
      <c r="D170" t="s">
        <v>82</v>
      </c>
      <c r="E170" t="s">
        <v>168</v>
      </c>
      <c r="F170" t="s">
        <v>169</v>
      </c>
      <c r="G170">
        <v>5</v>
      </c>
      <c r="H170">
        <v>8.99</v>
      </c>
      <c r="J170">
        <v>44.95</v>
      </c>
      <c r="K170" t="s">
        <v>95</v>
      </c>
      <c r="L170" t="s">
        <v>17</v>
      </c>
      <c r="M170" t="s">
        <v>54</v>
      </c>
    </row>
    <row r="171" spans="1:13" x14ac:dyDescent="0.2">
      <c r="A171">
        <v>131544</v>
      </c>
      <c r="B171" s="2">
        <v>45035</v>
      </c>
      <c r="C171">
        <v>31891</v>
      </c>
      <c r="D171" t="s">
        <v>40</v>
      </c>
      <c r="E171" t="s">
        <v>20</v>
      </c>
      <c r="F171" t="s">
        <v>21</v>
      </c>
      <c r="G171">
        <v>5</v>
      </c>
      <c r="H171">
        <v>8.49</v>
      </c>
      <c r="I171">
        <v>0.15</v>
      </c>
      <c r="J171">
        <v>36.08</v>
      </c>
      <c r="K171" t="s">
        <v>22</v>
      </c>
      <c r="L171" t="s">
        <v>23</v>
      </c>
    </row>
    <row r="172" spans="1:13" x14ac:dyDescent="0.2">
      <c r="A172">
        <v>131875</v>
      </c>
      <c r="B172" s="1">
        <v>45433</v>
      </c>
      <c r="C172">
        <v>81242</v>
      </c>
      <c r="D172" t="s">
        <v>29</v>
      </c>
      <c r="E172" t="s">
        <v>38</v>
      </c>
      <c r="F172" t="s">
        <v>39</v>
      </c>
      <c r="G172">
        <v>1</v>
      </c>
      <c r="H172">
        <v>29.99</v>
      </c>
      <c r="J172">
        <v>29.99</v>
      </c>
      <c r="K172" t="s">
        <v>16</v>
      </c>
      <c r="L172" t="s">
        <v>23</v>
      </c>
      <c r="M172" t="s">
        <v>96</v>
      </c>
    </row>
    <row r="173" spans="1:13" x14ac:dyDescent="0.2">
      <c r="A173">
        <v>132122</v>
      </c>
      <c r="B173" s="2">
        <v>45241</v>
      </c>
      <c r="C173">
        <v>33056</v>
      </c>
      <c r="D173" t="s">
        <v>82</v>
      </c>
      <c r="E173" t="s">
        <v>147</v>
      </c>
      <c r="F173" t="s">
        <v>148</v>
      </c>
      <c r="G173">
        <v>2</v>
      </c>
      <c r="H173">
        <v>9.74</v>
      </c>
      <c r="I173">
        <v>0.25</v>
      </c>
      <c r="J173">
        <v>14.61</v>
      </c>
      <c r="K173" t="s">
        <v>53</v>
      </c>
      <c r="L173" t="s">
        <v>17</v>
      </c>
      <c r="M173" t="s">
        <v>96</v>
      </c>
    </row>
    <row r="174" spans="1:13" x14ac:dyDescent="0.2">
      <c r="A174">
        <v>132215</v>
      </c>
      <c r="B174" s="1">
        <v>44651</v>
      </c>
      <c r="C174">
        <v>64876</v>
      </c>
      <c r="D174" t="s">
        <v>48</v>
      </c>
      <c r="E174" t="s">
        <v>143</v>
      </c>
      <c r="F174" t="s">
        <v>144</v>
      </c>
      <c r="G174">
        <v>1</v>
      </c>
      <c r="H174">
        <v>12.74</v>
      </c>
      <c r="I174">
        <v>0.15</v>
      </c>
      <c r="J174">
        <v>10.83</v>
      </c>
      <c r="K174" t="s">
        <v>16</v>
      </c>
      <c r="L174" t="s">
        <v>17</v>
      </c>
      <c r="M174" t="s">
        <v>102</v>
      </c>
    </row>
    <row r="175" spans="1:13" x14ac:dyDescent="0.2">
      <c r="A175">
        <v>132222</v>
      </c>
      <c r="B175" s="1">
        <v>45374</v>
      </c>
      <c r="C175">
        <v>84949</v>
      </c>
      <c r="D175" t="s">
        <v>97</v>
      </c>
      <c r="E175" t="s">
        <v>151</v>
      </c>
      <c r="F175" t="s">
        <v>152</v>
      </c>
      <c r="G175">
        <v>2</v>
      </c>
      <c r="H175">
        <v>34.99</v>
      </c>
      <c r="J175">
        <v>69.98</v>
      </c>
      <c r="K175" t="s">
        <v>16</v>
      </c>
      <c r="L175" t="s">
        <v>17</v>
      </c>
      <c r="M175" t="s">
        <v>96</v>
      </c>
    </row>
    <row r="176" spans="1:13" x14ac:dyDescent="0.2">
      <c r="A176">
        <v>132230</v>
      </c>
      <c r="B176" s="1">
        <v>45159</v>
      </c>
      <c r="C176">
        <v>59999</v>
      </c>
      <c r="D176" t="s">
        <v>44</v>
      </c>
      <c r="E176" t="s">
        <v>45</v>
      </c>
      <c r="F176" t="s">
        <v>46</v>
      </c>
      <c r="G176">
        <v>2</v>
      </c>
      <c r="H176">
        <v>1.79</v>
      </c>
      <c r="J176">
        <v>3.58</v>
      </c>
      <c r="K176" t="s">
        <v>32</v>
      </c>
      <c r="L176" t="s">
        <v>37</v>
      </c>
      <c r="M176" t="s">
        <v>54</v>
      </c>
    </row>
    <row r="177" spans="1:13" x14ac:dyDescent="0.2">
      <c r="A177">
        <v>132288</v>
      </c>
      <c r="B177" s="1">
        <v>45545</v>
      </c>
      <c r="C177">
        <v>81890</v>
      </c>
      <c r="D177" t="s">
        <v>63</v>
      </c>
      <c r="E177" t="s">
        <v>111</v>
      </c>
      <c r="F177" t="s">
        <v>112</v>
      </c>
      <c r="G177">
        <v>4</v>
      </c>
      <c r="H177">
        <v>11.24</v>
      </c>
      <c r="I177">
        <v>0.25</v>
      </c>
      <c r="J177">
        <v>33.72</v>
      </c>
      <c r="K177" t="s">
        <v>95</v>
      </c>
      <c r="L177" t="s">
        <v>17</v>
      </c>
      <c r="M177" t="s">
        <v>18</v>
      </c>
    </row>
    <row r="178" spans="1:13" x14ac:dyDescent="0.2">
      <c r="A178">
        <v>132840</v>
      </c>
      <c r="B178" s="1">
        <v>45350</v>
      </c>
      <c r="C178">
        <v>54973</v>
      </c>
      <c r="D178" t="s">
        <v>40</v>
      </c>
      <c r="E178" t="s">
        <v>115</v>
      </c>
      <c r="F178" t="s">
        <v>116</v>
      </c>
      <c r="G178">
        <v>4</v>
      </c>
      <c r="H178">
        <v>12.99</v>
      </c>
      <c r="J178">
        <v>51.96</v>
      </c>
      <c r="K178" t="s">
        <v>16</v>
      </c>
      <c r="L178" t="s">
        <v>37</v>
      </c>
      <c r="M178" t="s">
        <v>54</v>
      </c>
    </row>
    <row r="179" spans="1:13" x14ac:dyDescent="0.2">
      <c r="A179">
        <v>132946</v>
      </c>
      <c r="B179" s="1">
        <v>44771</v>
      </c>
      <c r="C179">
        <v>71087</v>
      </c>
      <c r="D179" t="s">
        <v>44</v>
      </c>
      <c r="E179" t="s">
        <v>162</v>
      </c>
      <c r="F179" t="s">
        <v>163</v>
      </c>
      <c r="G179">
        <v>1</v>
      </c>
      <c r="H179">
        <v>6.39</v>
      </c>
      <c r="J179">
        <v>6.39</v>
      </c>
      <c r="K179" t="s">
        <v>95</v>
      </c>
      <c r="L179" t="s">
        <v>37</v>
      </c>
      <c r="M179" t="s">
        <v>102</v>
      </c>
    </row>
    <row r="180" spans="1:13" x14ac:dyDescent="0.2">
      <c r="A180">
        <v>133208</v>
      </c>
      <c r="B180" s="1">
        <v>45177</v>
      </c>
      <c r="C180">
        <v>25121</v>
      </c>
      <c r="D180" t="s">
        <v>97</v>
      </c>
      <c r="E180" t="s">
        <v>135</v>
      </c>
      <c r="F180" t="s">
        <v>136</v>
      </c>
      <c r="G180">
        <v>4</v>
      </c>
      <c r="H180">
        <v>9.99</v>
      </c>
      <c r="J180">
        <v>39.96</v>
      </c>
      <c r="K180" t="s">
        <v>16</v>
      </c>
      <c r="L180" t="s">
        <v>17</v>
      </c>
      <c r="M180" t="s">
        <v>24</v>
      </c>
    </row>
    <row r="181" spans="1:13" x14ac:dyDescent="0.2">
      <c r="A181">
        <v>133290</v>
      </c>
      <c r="B181" s="1">
        <v>45588</v>
      </c>
      <c r="C181">
        <v>37052</v>
      </c>
      <c r="D181" t="s">
        <v>48</v>
      </c>
      <c r="E181" t="s">
        <v>118</v>
      </c>
      <c r="F181" t="s">
        <v>119</v>
      </c>
      <c r="G181">
        <v>4</v>
      </c>
      <c r="H181">
        <v>4.74</v>
      </c>
      <c r="I181">
        <v>0.05</v>
      </c>
      <c r="J181">
        <v>18.010000000000002</v>
      </c>
      <c r="K181" t="s">
        <v>95</v>
      </c>
      <c r="L181" t="s">
        <v>17</v>
      </c>
    </row>
    <row r="182" spans="1:13" x14ac:dyDescent="0.2">
      <c r="A182">
        <v>133372</v>
      </c>
      <c r="B182" s="2">
        <v>44756</v>
      </c>
      <c r="C182">
        <v>55041</v>
      </c>
      <c r="D182" t="s">
        <v>97</v>
      </c>
      <c r="E182" t="s">
        <v>181</v>
      </c>
      <c r="F182" t="s">
        <v>182</v>
      </c>
      <c r="G182">
        <v>1</v>
      </c>
      <c r="H182">
        <v>14.24</v>
      </c>
      <c r="I182">
        <v>0.05</v>
      </c>
      <c r="J182">
        <v>13.53</v>
      </c>
      <c r="K182" t="s">
        <v>95</v>
      </c>
      <c r="L182" t="s">
        <v>23</v>
      </c>
      <c r="M182" t="s">
        <v>33</v>
      </c>
    </row>
    <row r="183" spans="1:13" x14ac:dyDescent="0.2">
      <c r="A183">
        <v>134059</v>
      </c>
      <c r="B183" s="1">
        <v>44915</v>
      </c>
      <c r="C183">
        <v>32010</v>
      </c>
      <c r="D183" t="s">
        <v>63</v>
      </c>
      <c r="E183" t="s">
        <v>125</v>
      </c>
      <c r="F183" t="s">
        <v>126</v>
      </c>
      <c r="G183">
        <v>3</v>
      </c>
      <c r="H183">
        <v>29.99</v>
      </c>
      <c r="J183">
        <v>89.97</v>
      </c>
      <c r="K183" t="s">
        <v>22</v>
      </c>
      <c r="L183" t="s">
        <v>23</v>
      </c>
      <c r="M183" t="s">
        <v>57</v>
      </c>
    </row>
    <row r="184" spans="1:13" x14ac:dyDescent="0.2">
      <c r="A184">
        <v>134077</v>
      </c>
      <c r="B184" s="1">
        <v>44770</v>
      </c>
      <c r="C184">
        <v>30270</v>
      </c>
      <c r="D184" t="s">
        <v>82</v>
      </c>
      <c r="E184" t="s">
        <v>168</v>
      </c>
      <c r="F184" t="s">
        <v>169</v>
      </c>
      <c r="G184">
        <v>1</v>
      </c>
      <c r="H184">
        <v>8.99</v>
      </c>
      <c r="J184">
        <v>8.99</v>
      </c>
      <c r="K184" t="s">
        <v>53</v>
      </c>
      <c r="L184" t="s">
        <v>37</v>
      </c>
      <c r="M184" t="s">
        <v>28</v>
      </c>
    </row>
    <row r="185" spans="1:13" x14ac:dyDescent="0.2">
      <c r="A185">
        <v>134244</v>
      </c>
      <c r="B185" s="1">
        <v>44660</v>
      </c>
      <c r="C185">
        <v>22323</v>
      </c>
      <c r="D185" t="s">
        <v>63</v>
      </c>
      <c r="E185" t="s">
        <v>68</v>
      </c>
      <c r="F185" t="s">
        <v>69</v>
      </c>
      <c r="G185">
        <v>1</v>
      </c>
      <c r="H185">
        <v>22.49</v>
      </c>
      <c r="I185">
        <v>0.1</v>
      </c>
      <c r="J185">
        <v>20.239999999999998</v>
      </c>
      <c r="K185" t="s">
        <v>16</v>
      </c>
      <c r="L185" t="s">
        <v>17</v>
      </c>
      <c r="M185" t="s">
        <v>54</v>
      </c>
    </row>
    <row r="186" spans="1:13" x14ac:dyDescent="0.2">
      <c r="A186">
        <v>134875</v>
      </c>
      <c r="B186" s="1">
        <v>44882</v>
      </c>
      <c r="C186">
        <v>14472</v>
      </c>
      <c r="D186" t="s">
        <v>183</v>
      </c>
      <c r="E186" t="s">
        <v>100</v>
      </c>
      <c r="F186" t="s">
        <v>101</v>
      </c>
      <c r="G186">
        <v>4</v>
      </c>
      <c r="H186">
        <v>22.99</v>
      </c>
      <c r="J186">
        <v>91.96</v>
      </c>
      <c r="K186" t="s">
        <v>36</v>
      </c>
      <c r="L186" t="s">
        <v>17</v>
      </c>
      <c r="M186" t="s">
        <v>81</v>
      </c>
    </row>
    <row r="187" spans="1:13" x14ac:dyDescent="0.2">
      <c r="A187">
        <v>134956</v>
      </c>
      <c r="B187" s="1">
        <v>45548</v>
      </c>
      <c r="D187" t="s">
        <v>97</v>
      </c>
      <c r="E187" t="s">
        <v>98</v>
      </c>
      <c r="F187" t="s">
        <v>99</v>
      </c>
      <c r="G187">
        <v>3</v>
      </c>
      <c r="H187">
        <v>23.79</v>
      </c>
      <c r="I187">
        <v>0.15</v>
      </c>
      <c r="J187">
        <v>60.66</v>
      </c>
      <c r="K187" t="s">
        <v>36</v>
      </c>
      <c r="L187" t="s">
        <v>17</v>
      </c>
      <c r="M187" t="s">
        <v>24</v>
      </c>
    </row>
    <row r="188" spans="1:13" x14ac:dyDescent="0.2">
      <c r="A188">
        <v>135140</v>
      </c>
      <c r="B188" s="1">
        <v>45335</v>
      </c>
      <c r="C188">
        <v>64980</v>
      </c>
      <c r="D188" t="s">
        <v>97</v>
      </c>
      <c r="E188" t="s">
        <v>135</v>
      </c>
      <c r="F188" t="s">
        <v>136</v>
      </c>
      <c r="G188">
        <v>1</v>
      </c>
      <c r="H188">
        <v>7.49</v>
      </c>
      <c r="I188">
        <v>0.25</v>
      </c>
      <c r="J188">
        <v>5.62</v>
      </c>
      <c r="K188" t="s">
        <v>36</v>
      </c>
      <c r="L188" t="s">
        <v>37</v>
      </c>
      <c r="M188" t="s">
        <v>43</v>
      </c>
    </row>
    <row r="189" spans="1:13" x14ac:dyDescent="0.2">
      <c r="A189">
        <v>135415</v>
      </c>
      <c r="B189" s="1">
        <v>45351</v>
      </c>
      <c r="C189">
        <v>42016</v>
      </c>
      <c r="D189" t="s">
        <v>97</v>
      </c>
      <c r="E189" t="s">
        <v>135</v>
      </c>
      <c r="F189" t="s">
        <v>136</v>
      </c>
      <c r="G189">
        <v>2</v>
      </c>
      <c r="H189">
        <v>8.49</v>
      </c>
      <c r="I189">
        <v>0.15</v>
      </c>
      <c r="J189">
        <v>14.43</v>
      </c>
      <c r="K189" t="s">
        <v>16</v>
      </c>
      <c r="L189" t="s">
        <v>17</v>
      </c>
      <c r="M189" t="s">
        <v>81</v>
      </c>
    </row>
    <row r="190" spans="1:13" x14ac:dyDescent="0.2">
      <c r="A190">
        <v>135730</v>
      </c>
      <c r="B190" s="2">
        <v>45524</v>
      </c>
      <c r="C190">
        <v>19570</v>
      </c>
      <c r="D190" t="s">
        <v>29</v>
      </c>
      <c r="E190" t="s">
        <v>175</v>
      </c>
      <c r="F190" t="s">
        <v>176</v>
      </c>
      <c r="G190">
        <v>1</v>
      </c>
      <c r="H190">
        <v>11.99</v>
      </c>
      <c r="J190">
        <v>11.99</v>
      </c>
      <c r="K190" t="s">
        <v>16</v>
      </c>
      <c r="L190" t="s">
        <v>17</v>
      </c>
      <c r="M190" t="s">
        <v>18</v>
      </c>
    </row>
    <row r="191" spans="1:13" x14ac:dyDescent="0.2">
      <c r="A191">
        <v>135734</v>
      </c>
      <c r="B191" s="1">
        <v>44586</v>
      </c>
      <c r="C191">
        <v>66632</v>
      </c>
      <c r="D191" t="s">
        <v>13</v>
      </c>
      <c r="E191" t="s">
        <v>77</v>
      </c>
      <c r="F191" t="s">
        <v>78</v>
      </c>
      <c r="G191">
        <v>3</v>
      </c>
      <c r="H191">
        <v>499.99</v>
      </c>
      <c r="J191">
        <v>1499.97</v>
      </c>
      <c r="K191" t="s">
        <v>36</v>
      </c>
      <c r="L191" t="s">
        <v>17</v>
      </c>
      <c r="M191" t="s">
        <v>90</v>
      </c>
    </row>
    <row r="192" spans="1:13" x14ac:dyDescent="0.2">
      <c r="A192">
        <v>135855</v>
      </c>
      <c r="B192" s="1">
        <v>45517</v>
      </c>
      <c r="C192">
        <v>86887</v>
      </c>
      <c r="D192" t="s">
        <v>13</v>
      </c>
      <c r="E192" t="s">
        <v>77</v>
      </c>
      <c r="F192" t="s">
        <v>78</v>
      </c>
      <c r="G192">
        <v>2</v>
      </c>
      <c r="H192">
        <v>449.99</v>
      </c>
      <c r="I192">
        <v>0.1</v>
      </c>
      <c r="J192">
        <v>809.98</v>
      </c>
      <c r="K192" t="s">
        <v>32</v>
      </c>
      <c r="L192" t="s">
        <v>17</v>
      </c>
      <c r="M192" t="s">
        <v>24</v>
      </c>
    </row>
    <row r="193" spans="1:13" x14ac:dyDescent="0.2">
      <c r="A193">
        <v>136332</v>
      </c>
      <c r="B193" s="1">
        <v>45135</v>
      </c>
      <c r="C193">
        <v>75390</v>
      </c>
      <c r="D193" t="s">
        <v>85</v>
      </c>
      <c r="E193" t="s">
        <v>153</v>
      </c>
      <c r="F193" t="s">
        <v>154</v>
      </c>
      <c r="G193">
        <v>5</v>
      </c>
      <c r="H193">
        <v>22.49</v>
      </c>
      <c r="I193">
        <v>0.25</v>
      </c>
      <c r="J193">
        <v>84.34</v>
      </c>
      <c r="K193" t="s">
        <v>36</v>
      </c>
      <c r="L193" t="s">
        <v>17</v>
      </c>
      <c r="M193" t="s">
        <v>18</v>
      </c>
    </row>
    <row r="194" spans="1:13" x14ac:dyDescent="0.2">
      <c r="A194">
        <v>136400</v>
      </c>
      <c r="B194" s="2">
        <v>45574</v>
      </c>
      <c r="C194">
        <v>51182</v>
      </c>
      <c r="D194" t="s">
        <v>13</v>
      </c>
      <c r="E194" t="s">
        <v>104</v>
      </c>
      <c r="F194" t="s">
        <v>105</v>
      </c>
      <c r="G194">
        <v>4</v>
      </c>
      <c r="H194">
        <v>29.99</v>
      </c>
      <c r="J194">
        <v>119.96</v>
      </c>
      <c r="K194" t="s">
        <v>16</v>
      </c>
      <c r="L194" t="s">
        <v>17</v>
      </c>
      <c r="M194" t="s">
        <v>33</v>
      </c>
    </row>
    <row r="195" spans="1:13" x14ac:dyDescent="0.2">
      <c r="A195">
        <v>136492</v>
      </c>
      <c r="B195" s="1">
        <v>45583</v>
      </c>
      <c r="C195">
        <v>50210</v>
      </c>
      <c r="D195" t="s">
        <v>85</v>
      </c>
      <c r="E195" t="s">
        <v>129</v>
      </c>
      <c r="F195" t="s">
        <v>130</v>
      </c>
      <c r="G195">
        <v>2</v>
      </c>
      <c r="H195">
        <v>8.99</v>
      </c>
      <c r="J195">
        <v>17.98</v>
      </c>
      <c r="K195" t="s">
        <v>32</v>
      </c>
      <c r="L195" t="s">
        <v>17</v>
      </c>
      <c r="M195" t="s">
        <v>67</v>
      </c>
    </row>
    <row r="196" spans="1:13" x14ac:dyDescent="0.2">
      <c r="A196">
        <v>136680</v>
      </c>
      <c r="B196" s="2">
        <v>45561</v>
      </c>
      <c r="C196">
        <v>40060</v>
      </c>
      <c r="D196" t="s">
        <v>25</v>
      </c>
      <c r="E196" t="s">
        <v>60</v>
      </c>
      <c r="F196" t="s">
        <v>61</v>
      </c>
      <c r="G196">
        <v>1</v>
      </c>
      <c r="H196">
        <v>43.99</v>
      </c>
      <c r="I196">
        <v>0.2</v>
      </c>
      <c r="J196">
        <v>35.19</v>
      </c>
      <c r="K196" t="s">
        <v>36</v>
      </c>
      <c r="L196" t="s">
        <v>23</v>
      </c>
      <c r="M196" t="s">
        <v>18</v>
      </c>
    </row>
    <row r="197" spans="1:13" x14ac:dyDescent="0.2">
      <c r="A197">
        <v>136704</v>
      </c>
      <c r="B197" s="2">
        <v>45527</v>
      </c>
      <c r="C197">
        <v>10603</v>
      </c>
      <c r="D197" t="s">
        <v>82</v>
      </c>
      <c r="E197" t="s">
        <v>83</v>
      </c>
      <c r="F197" t="s">
        <v>84</v>
      </c>
      <c r="G197">
        <v>2</v>
      </c>
      <c r="H197">
        <v>16.989999999999998</v>
      </c>
      <c r="J197">
        <v>33.979999999999997</v>
      </c>
      <c r="K197" t="s">
        <v>36</v>
      </c>
      <c r="L197" t="s">
        <v>17</v>
      </c>
      <c r="M197" t="s">
        <v>123</v>
      </c>
    </row>
    <row r="198" spans="1:13" x14ac:dyDescent="0.2">
      <c r="A198">
        <v>136766</v>
      </c>
      <c r="B198" s="1">
        <v>45639</v>
      </c>
      <c r="C198">
        <v>35646</v>
      </c>
      <c r="D198" t="s">
        <v>13</v>
      </c>
      <c r="E198" t="s">
        <v>55</v>
      </c>
      <c r="F198" t="s">
        <v>56</v>
      </c>
      <c r="G198">
        <v>1</v>
      </c>
      <c r="H198">
        <v>263.99</v>
      </c>
      <c r="I198">
        <v>0.2</v>
      </c>
      <c r="J198">
        <v>211.19</v>
      </c>
      <c r="K198" t="s">
        <v>16</v>
      </c>
      <c r="L198" t="s">
        <v>17</v>
      </c>
    </row>
    <row r="199" spans="1:13" x14ac:dyDescent="0.2">
      <c r="A199">
        <v>136832</v>
      </c>
      <c r="B199" s="1">
        <v>44617</v>
      </c>
      <c r="C199">
        <v>18231</v>
      </c>
      <c r="D199" t="s">
        <v>29</v>
      </c>
      <c r="E199" t="s">
        <v>175</v>
      </c>
      <c r="F199" t="s">
        <v>176</v>
      </c>
      <c r="G199">
        <v>3</v>
      </c>
      <c r="H199">
        <v>8.99</v>
      </c>
      <c r="I199">
        <v>0.25</v>
      </c>
      <c r="J199">
        <v>20.23</v>
      </c>
      <c r="K199" t="s">
        <v>36</v>
      </c>
      <c r="L199" t="s">
        <v>37</v>
      </c>
      <c r="M199" t="s">
        <v>103</v>
      </c>
    </row>
    <row r="200" spans="1:13" x14ac:dyDescent="0.2">
      <c r="A200">
        <v>137008</v>
      </c>
      <c r="B200" s="1">
        <v>44980</v>
      </c>
      <c r="C200">
        <v>27785</v>
      </c>
      <c r="D200" t="s">
        <v>44</v>
      </c>
      <c r="E200" t="s">
        <v>184</v>
      </c>
      <c r="F200" t="s">
        <v>185</v>
      </c>
      <c r="G200">
        <v>4</v>
      </c>
      <c r="H200">
        <v>5.49</v>
      </c>
      <c r="J200">
        <v>21.96</v>
      </c>
      <c r="K200" t="s">
        <v>22</v>
      </c>
      <c r="L200" t="s">
        <v>17</v>
      </c>
      <c r="M200" t="s">
        <v>57</v>
      </c>
    </row>
    <row r="201" spans="1:13" x14ac:dyDescent="0.2">
      <c r="A201">
        <v>137115</v>
      </c>
      <c r="B201" s="2">
        <v>45544</v>
      </c>
      <c r="C201">
        <v>81492</v>
      </c>
      <c r="D201" t="s">
        <v>44</v>
      </c>
      <c r="E201" t="s">
        <v>162</v>
      </c>
      <c r="F201" t="s">
        <v>163</v>
      </c>
      <c r="G201">
        <v>4</v>
      </c>
      <c r="H201">
        <v>7.99</v>
      </c>
      <c r="J201">
        <v>31.96</v>
      </c>
      <c r="K201" t="s">
        <v>32</v>
      </c>
      <c r="L201" t="s">
        <v>17</v>
      </c>
      <c r="M201" t="s">
        <v>47</v>
      </c>
    </row>
    <row r="202" spans="1:13" x14ac:dyDescent="0.2">
      <c r="A202">
        <v>137222</v>
      </c>
      <c r="B202" s="1">
        <v>45090</v>
      </c>
      <c r="C202">
        <v>15358</v>
      </c>
      <c r="D202" t="s">
        <v>40</v>
      </c>
      <c r="E202" t="s">
        <v>41</v>
      </c>
      <c r="F202" t="s">
        <v>42</v>
      </c>
      <c r="G202">
        <v>2</v>
      </c>
      <c r="H202">
        <v>5.39</v>
      </c>
      <c r="I202">
        <v>0.1</v>
      </c>
      <c r="J202">
        <v>9.6999999999999993</v>
      </c>
      <c r="K202" t="s">
        <v>16</v>
      </c>
      <c r="L202" t="s">
        <v>17</v>
      </c>
      <c r="M202" t="s">
        <v>123</v>
      </c>
    </row>
    <row r="203" spans="1:13" x14ac:dyDescent="0.2">
      <c r="A203">
        <v>137685</v>
      </c>
      <c r="B203" s="1">
        <v>44849</v>
      </c>
      <c r="C203">
        <v>90692</v>
      </c>
      <c r="D203" t="s">
        <v>97</v>
      </c>
      <c r="E203" t="s">
        <v>181</v>
      </c>
      <c r="F203" t="s">
        <v>182</v>
      </c>
      <c r="G203">
        <v>4</v>
      </c>
      <c r="H203">
        <v>10.49</v>
      </c>
      <c r="I203">
        <v>0.3</v>
      </c>
      <c r="J203">
        <v>29.37</v>
      </c>
      <c r="K203" t="s">
        <v>32</v>
      </c>
      <c r="L203" t="s">
        <v>37</v>
      </c>
      <c r="M203" t="s">
        <v>120</v>
      </c>
    </row>
    <row r="204" spans="1:13" x14ac:dyDescent="0.2">
      <c r="A204">
        <v>137731</v>
      </c>
      <c r="B204" s="1">
        <v>44970</v>
      </c>
      <c r="C204">
        <v>58076</v>
      </c>
      <c r="D204" t="s">
        <v>13</v>
      </c>
      <c r="E204" t="s">
        <v>186</v>
      </c>
      <c r="F204" t="s">
        <v>187</v>
      </c>
      <c r="G204">
        <v>2</v>
      </c>
      <c r="H204">
        <v>37.49</v>
      </c>
      <c r="I204">
        <v>0.25</v>
      </c>
      <c r="J204">
        <v>56.24</v>
      </c>
      <c r="K204" t="s">
        <v>36</v>
      </c>
      <c r="L204" t="s">
        <v>17</v>
      </c>
      <c r="M204" t="s">
        <v>120</v>
      </c>
    </row>
    <row r="205" spans="1:13" x14ac:dyDescent="0.2">
      <c r="A205">
        <v>137883</v>
      </c>
      <c r="B205" s="2">
        <v>44983</v>
      </c>
      <c r="C205">
        <v>65150</v>
      </c>
      <c r="D205" t="s">
        <v>40</v>
      </c>
      <c r="E205" t="s">
        <v>20</v>
      </c>
      <c r="F205" t="s">
        <v>21</v>
      </c>
      <c r="G205">
        <v>4</v>
      </c>
      <c r="H205">
        <v>9.99</v>
      </c>
      <c r="J205">
        <v>39.96</v>
      </c>
      <c r="K205" t="s">
        <v>16</v>
      </c>
      <c r="L205" t="s">
        <v>17</v>
      </c>
      <c r="M205" t="s">
        <v>54</v>
      </c>
    </row>
    <row r="206" spans="1:13" x14ac:dyDescent="0.2">
      <c r="A206">
        <v>138042</v>
      </c>
      <c r="B206" s="1">
        <v>44911</v>
      </c>
      <c r="C206">
        <v>62235</v>
      </c>
      <c r="D206" t="s">
        <v>29</v>
      </c>
      <c r="E206" t="s">
        <v>38</v>
      </c>
      <c r="F206" t="s">
        <v>39</v>
      </c>
      <c r="G206">
        <v>4</v>
      </c>
      <c r="H206">
        <v>22.49</v>
      </c>
      <c r="I206">
        <v>0.25</v>
      </c>
      <c r="J206">
        <v>67.47</v>
      </c>
      <c r="K206" t="s">
        <v>36</v>
      </c>
      <c r="L206" t="s">
        <v>23</v>
      </c>
      <c r="M206" t="s">
        <v>57</v>
      </c>
    </row>
    <row r="207" spans="1:13" x14ac:dyDescent="0.2">
      <c r="A207">
        <v>138768</v>
      </c>
      <c r="B207" s="1">
        <v>44966</v>
      </c>
      <c r="C207">
        <v>19684</v>
      </c>
      <c r="D207" t="s">
        <v>82</v>
      </c>
      <c r="E207" t="s">
        <v>168</v>
      </c>
      <c r="F207" t="s">
        <v>169</v>
      </c>
      <c r="G207">
        <v>4</v>
      </c>
      <c r="H207">
        <v>8.5399999999999991</v>
      </c>
      <c r="I207">
        <v>0.05</v>
      </c>
      <c r="J207">
        <v>32.450000000000003</v>
      </c>
      <c r="K207" t="s">
        <v>95</v>
      </c>
      <c r="L207" t="s">
        <v>17</v>
      </c>
      <c r="M207" t="s">
        <v>103</v>
      </c>
    </row>
    <row r="208" spans="1:13" x14ac:dyDescent="0.2">
      <c r="A208">
        <v>138926</v>
      </c>
      <c r="B208" s="1">
        <v>44739</v>
      </c>
      <c r="C208">
        <v>89269</v>
      </c>
      <c r="D208" t="s">
        <v>25</v>
      </c>
      <c r="E208" t="s">
        <v>113</v>
      </c>
      <c r="F208" t="s">
        <v>114</v>
      </c>
      <c r="G208">
        <v>2</v>
      </c>
      <c r="H208">
        <v>119.99</v>
      </c>
      <c r="J208">
        <v>239.98</v>
      </c>
      <c r="K208" t="s">
        <v>22</v>
      </c>
      <c r="L208" t="s">
        <v>37</v>
      </c>
      <c r="M208" t="s">
        <v>90</v>
      </c>
    </row>
    <row r="209" spans="1:13" x14ac:dyDescent="0.2">
      <c r="A209">
        <v>139409</v>
      </c>
      <c r="B209" s="2">
        <v>44744</v>
      </c>
      <c r="C209">
        <v>16974</v>
      </c>
      <c r="D209" t="s">
        <v>63</v>
      </c>
      <c r="E209" t="s">
        <v>68</v>
      </c>
      <c r="F209" t="s">
        <v>69</v>
      </c>
      <c r="G209">
        <v>3</v>
      </c>
      <c r="H209">
        <v>21.24</v>
      </c>
      <c r="I209">
        <v>0.15</v>
      </c>
      <c r="J209">
        <v>54.16</v>
      </c>
      <c r="K209" t="s">
        <v>36</v>
      </c>
      <c r="L209" t="s">
        <v>17</v>
      </c>
      <c r="M209" t="s">
        <v>96</v>
      </c>
    </row>
    <row r="210" spans="1:13" x14ac:dyDescent="0.2">
      <c r="A210">
        <v>139548</v>
      </c>
      <c r="B210" s="1">
        <v>44745</v>
      </c>
      <c r="C210">
        <v>40775</v>
      </c>
      <c r="D210" t="s">
        <v>85</v>
      </c>
      <c r="E210" t="s">
        <v>157</v>
      </c>
      <c r="F210" t="s">
        <v>158</v>
      </c>
      <c r="G210">
        <v>1</v>
      </c>
      <c r="H210">
        <v>13.49</v>
      </c>
      <c r="J210">
        <v>13.49</v>
      </c>
      <c r="K210" t="s">
        <v>36</v>
      </c>
      <c r="L210" t="s">
        <v>17</v>
      </c>
      <c r="M210" t="s">
        <v>76</v>
      </c>
    </row>
    <row r="211" spans="1:13" x14ac:dyDescent="0.2">
      <c r="A211">
        <v>139607</v>
      </c>
      <c r="B211" s="2">
        <v>45644</v>
      </c>
      <c r="C211">
        <v>96363</v>
      </c>
      <c r="D211" t="s">
        <v>25</v>
      </c>
      <c r="E211" t="s">
        <v>51</v>
      </c>
      <c r="F211" t="s">
        <v>52</v>
      </c>
      <c r="G211">
        <v>5</v>
      </c>
      <c r="H211">
        <v>22.39</v>
      </c>
      <c r="I211">
        <v>0.2</v>
      </c>
      <c r="J211">
        <v>89.56</v>
      </c>
      <c r="K211" t="s">
        <v>16</v>
      </c>
      <c r="L211" t="s">
        <v>37</v>
      </c>
      <c r="M211" t="s">
        <v>18</v>
      </c>
    </row>
    <row r="212" spans="1:13" x14ac:dyDescent="0.2">
      <c r="A212">
        <v>139619</v>
      </c>
      <c r="B212" s="2">
        <v>44884</v>
      </c>
      <c r="C212">
        <v>27763</v>
      </c>
      <c r="D212" t="s">
        <v>29</v>
      </c>
      <c r="E212" t="s">
        <v>175</v>
      </c>
      <c r="F212" t="s">
        <v>176</v>
      </c>
      <c r="G212">
        <v>4</v>
      </c>
      <c r="H212">
        <v>10.79</v>
      </c>
      <c r="I212">
        <v>0.1</v>
      </c>
      <c r="J212">
        <v>38.840000000000003</v>
      </c>
      <c r="K212" t="s">
        <v>95</v>
      </c>
      <c r="L212" t="s">
        <v>37</v>
      </c>
      <c r="M212" t="s">
        <v>67</v>
      </c>
    </row>
    <row r="213" spans="1:13" x14ac:dyDescent="0.2">
      <c r="A213">
        <v>139824</v>
      </c>
      <c r="B213" s="1">
        <v>45213</v>
      </c>
      <c r="C213">
        <v>62266</v>
      </c>
      <c r="D213" t="s">
        <v>48</v>
      </c>
      <c r="E213" t="s">
        <v>118</v>
      </c>
      <c r="F213" t="s">
        <v>119</v>
      </c>
      <c r="G213">
        <v>5</v>
      </c>
      <c r="H213">
        <v>3.49</v>
      </c>
      <c r="I213">
        <v>0.3</v>
      </c>
      <c r="J213">
        <v>12.22</v>
      </c>
      <c r="K213" t="s">
        <v>36</v>
      </c>
      <c r="L213" t="s">
        <v>17</v>
      </c>
      <c r="M213" t="s">
        <v>90</v>
      </c>
    </row>
    <row r="214" spans="1:13" x14ac:dyDescent="0.2">
      <c r="A214">
        <v>139989</v>
      </c>
      <c r="B214" s="1">
        <v>45078</v>
      </c>
      <c r="C214">
        <v>69535</v>
      </c>
      <c r="D214" t="s">
        <v>44</v>
      </c>
      <c r="E214" t="s">
        <v>172</v>
      </c>
      <c r="F214" t="s">
        <v>173</v>
      </c>
      <c r="G214">
        <v>2</v>
      </c>
      <c r="H214">
        <v>4.04</v>
      </c>
      <c r="I214">
        <v>0.1</v>
      </c>
      <c r="J214">
        <v>7.27</v>
      </c>
      <c r="K214" t="s">
        <v>16</v>
      </c>
      <c r="L214" t="s">
        <v>37</v>
      </c>
      <c r="M214" t="s">
        <v>62</v>
      </c>
    </row>
    <row r="215" spans="1:13" x14ac:dyDescent="0.2">
      <c r="A215">
        <v>140031</v>
      </c>
      <c r="B215" s="1">
        <v>45276</v>
      </c>
      <c r="C215">
        <v>42126</v>
      </c>
      <c r="D215" t="s">
        <v>82</v>
      </c>
      <c r="E215" t="s">
        <v>188</v>
      </c>
      <c r="F215" t="s">
        <v>189</v>
      </c>
      <c r="G215">
        <v>1</v>
      </c>
      <c r="H215">
        <v>38.24</v>
      </c>
      <c r="I215">
        <v>0.15</v>
      </c>
      <c r="J215">
        <v>32.5</v>
      </c>
      <c r="K215" t="s">
        <v>22</v>
      </c>
      <c r="L215" t="s">
        <v>17</v>
      </c>
      <c r="M215" t="s">
        <v>96</v>
      </c>
    </row>
    <row r="216" spans="1:13" x14ac:dyDescent="0.2">
      <c r="A216">
        <v>140132</v>
      </c>
      <c r="B216" s="1">
        <v>45508</v>
      </c>
      <c r="C216">
        <v>53660</v>
      </c>
      <c r="D216" t="s">
        <v>13</v>
      </c>
      <c r="E216" t="s">
        <v>159</v>
      </c>
      <c r="F216" t="s">
        <v>160</v>
      </c>
      <c r="G216">
        <v>4</v>
      </c>
      <c r="H216">
        <v>44.99</v>
      </c>
      <c r="I216">
        <v>0.25</v>
      </c>
      <c r="J216">
        <v>134.97</v>
      </c>
      <c r="K216" t="s">
        <v>36</v>
      </c>
      <c r="L216" t="s">
        <v>37</v>
      </c>
      <c r="M216" t="s">
        <v>18</v>
      </c>
    </row>
    <row r="217" spans="1:13" x14ac:dyDescent="0.2">
      <c r="A217">
        <v>140380</v>
      </c>
      <c r="B217" s="1">
        <v>44906</v>
      </c>
      <c r="C217">
        <v>29356</v>
      </c>
      <c r="D217" t="s">
        <v>97</v>
      </c>
      <c r="E217" t="s">
        <v>181</v>
      </c>
      <c r="F217" t="s">
        <v>182</v>
      </c>
      <c r="G217">
        <v>2</v>
      </c>
      <c r="H217">
        <v>14.99</v>
      </c>
      <c r="J217">
        <v>29.98</v>
      </c>
      <c r="K217" t="s">
        <v>95</v>
      </c>
      <c r="L217" t="s">
        <v>17</v>
      </c>
      <c r="M217" t="s">
        <v>96</v>
      </c>
    </row>
    <row r="218" spans="1:13" x14ac:dyDescent="0.2">
      <c r="A218">
        <v>140675</v>
      </c>
      <c r="B218" s="1">
        <v>44907</v>
      </c>
      <c r="C218">
        <v>56842</v>
      </c>
      <c r="D218" t="s">
        <v>63</v>
      </c>
      <c r="E218" t="s">
        <v>131</v>
      </c>
      <c r="F218" t="s">
        <v>132</v>
      </c>
      <c r="G218">
        <v>2</v>
      </c>
      <c r="H218">
        <v>2.79</v>
      </c>
      <c r="I218">
        <v>0.2</v>
      </c>
      <c r="J218">
        <v>4.46</v>
      </c>
      <c r="K218" t="s">
        <v>22</v>
      </c>
      <c r="L218" t="s">
        <v>17</v>
      </c>
      <c r="M218" t="s">
        <v>57</v>
      </c>
    </row>
    <row r="219" spans="1:13" x14ac:dyDescent="0.2">
      <c r="A219">
        <v>140963</v>
      </c>
      <c r="B219" s="1">
        <v>45089</v>
      </c>
      <c r="C219">
        <v>80490</v>
      </c>
      <c r="D219" t="s">
        <v>48</v>
      </c>
      <c r="E219" t="s">
        <v>139</v>
      </c>
      <c r="F219" t="s">
        <v>140</v>
      </c>
      <c r="G219">
        <v>2</v>
      </c>
      <c r="H219">
        <v>5.59</v>
      </c>
      <c r="I219">
        <v>0.3</v>
      </c>
      <c r="J219">
        <v>7.83</v>
      </c>
      <c r="K219" t="s">
        <v>36</v>
      </c>
      <c r="L219" t="s">
        <v>17</v>
      </c>
      <c r="M219" t="s">
        <v>103</v>
      </c>
    </row>
    <row r="220" spans="1:13" x14ac:dyDescent="0.2">
      <c r="A220">
        <v>141124</v>
      </c>
      <c r="B220" s="1">
        <v>44608</v>
      </c>
      <c r="C220">
        <v>91089</v>
      </c>
      <c r="D220" t="s">
        <v>13</v>
      </c>
      <c r="E220" t="s">
        <v>127</v>
      </c>
      <c r="F220" t="s">
        <v>128</v>
      </c>
      <c r="G220">
        <v>5</v>
      </c>
      <c r="H220">
        <v>19.989999999999998</v>
      </c>
      <c r="J220">
        <v>99.95</v>
      </c>
      <c r="K220" t="s">
        <v>16</v>
      </c>
      <c r="L220" t="s">
        <v>17</v>
      </c>
      <c r="M220" t="s">
        <v>28</v>
      </c>
    </row>
    <row r="221" spans="1:13" x14ac:dyDescent="0.2">
      <c r="A221">
        <v>141319</v>
      </c>
      <c r="B221" s="2">
        <v>45295</v>
      </c>
      <c r="C221">
        <v>73001</v>
      </c>
      <c r="D221" t="s">
        <v>29</v>
      </c>
      <c r="E221" t="s">
        <v>175</v>
      </c>
      <c r="F221" t="s">
        <v>176</v>
      </c>
      <c r="G221">
        <v>1</v>
      </c>
      <c r="H221">
        <v>9.59</v>
      </c>
      <c r="I221">
        <v>0.2</v>
      </c>
      <c r="J221">
        <v>7.67</v>
      </c>
      <c r="K221" t="s">
        <v>22</v>
      </c>
      <c r="L221" t="s">
        <v>23</v>
      </c>
      <c r="M221" t="s">
        <v>161</v>
      </c>
    </row>
    <row r="222" spans="1:13" x14ac:dyDescent="0.2">
      <c r="A222">
        <v>141438</v>
      </c>
      <c r="B222" s="1">
        <v>45276</v>
      </c>
      <c r="C222">
        <v>40493</v>
      </c>
      <c r="D222" t="s">
        <v>106</v>
      </c>
      <c r="E222" t="s">
        <v>45</v>
      </c>
      <c r="F222" t="s">
        <v>46</v>
      </c>
      <c r="G222">
        <v>4</v>
      </c>
      <c r="H222">
        <v>1.61</v>
      </c>
      <c r="I222">
        <v>0.1</v>
      </c>
      <c r="J222">
        <v>5.8</v>
      </c>
      <c r="K222" t="s">
        <v>32</v>
      </c>
      <c r="L222" t="s">
        <v>17</v>
      </c>
      <c r="M222" t="s">
        <v>102</v>
      </c>
    </row>
    <row r="223" spans="1:13" x14ac:dyDescent="0.2">
      <c r="A223">
        <v>141573</v>
      </c>
      <c r="B223" s="1">
        <v>44640</v>
      </c>
      <c r="C223">
        <v>77720</v>
      </c>
      <c r="D223" t="s">
        <v>85</v>
      </c>
      <c r="E223" t="s">
        <v>149</v>
      </c>
      <c r="F223" t="s">
        <v>150</v>
      </c>
      <c r="G223">
        <v>1</v>
      </c>
      <c r="H223">
        <v>19.989999999999998</v>
      </c>
      <c r="J223">
        <v>19.989999999999998</v>
      </c>
      <c r="K223" t="s">
        <v>95</v>
      </c>
      <c r="L223" t="s">
        <v>17</v>
      </c>
      <c r="M223" t="s">
        <v>47</v>
      </c>
    </row>
    <row r="224" spans="1:13" x14ac:dyDescent="0.2">
      <c r="A224">
        <v>141595</v>
      </c>
      <c r="B224" s="2">
        <v>45191</v>
      </c>
      <c r="C224">
        <v>86027</v>
      </c>
      <c r="D224" t="s">
        <v>25</v>
      </c>
      <c r="E224" t="s">
        <v>60</v>
      </c>
      <c r="F224" t="s">
        <v>61</v>
      </c>
      <c r="G224">
        <v>2</v>
      </c>
      <c r="H224">
        <v>43.99</v>
      </c>
      <c r="I224">
        <v>0.2</v>
      </c>
      <c r="J224">
        <v>70.38</v>
      </c>
      <c r="K224" t="s">
        <v>66</v>
      </c>
      <c r="L224" t="s">
        <v>17</v>
      </c>
      <c r="M224" t="s">
        <v>81</v>
      </c>
    </row>
    <row r="225" spans="1:13" x14ac:dyDescent="0.2">
      <c r="A225">
        <v>141675</v>
      </c>
      <c r="B225" s="2">
        <v>44907</v>
      </c>
      <c r="C225">
        <v>10873</v>
      </c>
      <c r="D225" t="s">
        <v>85</v>
      </c>
      <c r="E225" t="s">
        <v>145</v>
      </c>
      <c r="F225" t="s">
        <v>146</v>
      </c>
      <c r="G225">
        <v>2</v>
      </c>
      <c r="H225">
        <v>16.989999999999998</v>
      </c>
      <c r="J225">
        <v>33.979999999999997</v>
      </c>
      <c r="K225" t="s">
        <v>22</v>
      </c>
      <c r="L225" t="s">
        <v>17</v>
      </c>
      <c r="M225" t="s">
        <v>120</v>
      </c>
    </row>
    <row r="226" spans="1:13" x14ac:dyDescent="0.2">
      <c r="A226">
        <v>141902</v>
      </c>
      <c r="B226" s="1">
        <v>44925</v>
      </c>
      <c r="C226">
        <v>96624</v>
      </c>
      <c r="D226" t="s">
        <v>63</v>
      </c>
      <c r="E226" t="s">
        <v>111</v>
      </c>
      <c r="F226" t="s">
        <v>112</v>
      </c>
      <c r="G226">
        <v>5</v>
      </c>
      <c r="H226">
        <v>12.74</v>
      </c>
      <c r="I226">
        <v>0.15</v>
      </c>
      <c r="J226">
        <v>54.14</v>
      </c>
      <c r="K226" t="s">
        <v>22</v>
      </c>
      <c r="L226" t="s">
        <v>17</v>
      </c>
      <c r="M226" t="s">
        <v>81</v>
      </c>
    </row>
    <row r="227" spans="1:13" x14ac:dyDescent="0.2">
      <c r="A227">
        <v>141930</v>
      </c>
      <c r="B227" s="2">
        <v>45579</v>
      </c>
      <c r="C227">
        <v>54628</v>
      </c>
      <c r="D227" t="s">
        <v>13</v>
      </c>
      <c r="E227" t="s">
        <v>77</v>
      </c>
      <c r="F227" t="s">
        <v>78</v>
      </c>
      <c r="G227">
        <v>3</v>
      </c>
      <c r="H227">
        <v>349.99</v>
      </c>
      <c r="I227">
        <v>0.3</v>
      </c>
      <c r="J227">
        <v>734.98</v>
      </c>
      <c r="K227" t="s">
        <v>16</v>
      </c>
      <c r="L227" t="s">
        <v>37</v>
      </c>
      <c r="M227" t="s">
        <v>24</v>
      </c>
    </row>
    <row r="228" spans="1:13" x14ac:dyDescent="0.2">
      <c r="A228">
        <v>141980</v>
      </c>
      <c r="B228" s="1">
        <v>45363</v>
      </c>
      <c r="C228">
        <v>82372</v>
      </c>
      <c r="D228" t="s">
        <v>29</v>
      </c>
      <c r="E228" t="s">
        <v>88</v>
      </c>
      <c r="F228" t="s">
        <v>89</v>
      </c>
      <c r="G228">
        <v>2</v>
      </c>
      <c r="H228">
        <v>34.99</v>
      </c>
      <c r="I228">
        <v>0.3</v>
      </c>
      <c r="J228">
        <v>48.99</v>
      </c>
      <c r="K228" t="s">
        <v>36</v>
      </c>
      <c r="L228" t="s">
        <v>37</v>
      </c>
      <c r="M228" t="s">
        <v>117</v>
      </c>
    </row>
    <row r="229" spans="1:13" x14ac:dyDescent="0.2">
      <c r="A229">
        <v>142040</v>
      </c>
      <c r="B229" s="1">
        <v>44669</v>
      </c>
      <c r="C229">
        <v>93989</v>
      </c>
      <c r="D229" t="s">
        <v>40</v>
      </c>
      <c r="E229" t="s">
        <v>58</v>
      </c>
      <c r="F229" t="s">
        <v>59</v>
      </c>
      <c r="G229">
        <v>3</v>
      </c>
      <c r="H229">
        <v>3.59</v>
      </c>
      <c r="I229">
        <v>0.1</v>
      </c>
      <c r="J229">
        <v>9.69</v>
      </c>
      <c r="K229" t="s">
        <v>22</v>
      </c>
      <c r="L229" t="s">
        <v>17</v>
      </c>
      <c r="M229" t="s">
        <v>24</v>
      </c>
    </row>
    <row r="230" spans="1:13" x14ac:dyDescent="0.2">
      <c r="A230">
        <v>142070</v>
      </c>
      <c r="B230" s="1">
        <v>45551</v>
      </c>
      <c r="C230">
        <v>10550</v>
      </c>
      <c r="D230" t="s">
        <v>29</v>
      </c>
      <c r="E230" t="s">
        <v>30</v>
      </c>
      <c r="F230" t="s">
        <v>31</v>
      </c>
      <c r="G230">
        <v>4</v>
      </c>
      <c r="H230">
        <v>18.739999999999998</v>
      </c>
      <c r="I230">
        <v>0.25</v>
      </c>
      <c r="J230">
        <v>56.22</v>
      </c>
      <c r="K230" t="s">
        <v>16</v>
      </c>
      <c r="L230" t="s">
        <v>17</v>
      </c>
      <c r="M230" t="s">
        <v>103</v>
      </c>
    </row>
    <row r="231" spans="1:13" x14ac:dyDescent="0.2">
      <c r="A231">
        <v>142301</v>
      </c>
      <c r="B231" s="1">
        <v>45636</v>
      </c>
      <c r="C231">
        <v>79181</v>
      </c>
      <c r="D231" t="s">
        <v>44</v>
      </c>
      <c r="E231" t="s">
        <v>107</v>
      </c>
      <c r="F231" t="s">
        <v>108</v>
      </c>
      <c r="G231">
        <v>1</v>
      </c>
      <c r="H231">
        <v>3.14</v>
      </c>
      <c r="I231">
        <v>0.1</v>
      </c>
      <c r="J231">
        <v>2.83</v>
      </c>
      <c r="K231" t="s">
        <v>36</v>
      </c>
      <c r="L231" t="s">
        <v>17</v>
      </c>
      <c r="M231" t="s">
        <v>103</v>
      </c>
    </row>
    <row r="232" spans="1:13" x14ac:dyDescent="0.2">
      <c r="A232">
        <v>142417</v>
      </c>
      <c r="B232" s="2">
        <v>45472</v>
      </c>
      <c r="D232" t="s">
        <v>82</v>
      </c>
      <c r="E232" t="s">
        <v>155</v>
      </c>
      <c r="F232" t="s">
        <v>156</v>
      </c>
      <c r="G232">
        <v>2</v>
      </c>
      <c r="H232">
        <v>19.989999999999998</v>
      </c>
      <c r="J232">
        <v>39.979999999999997</v>
      </c>
      <c r="K232" t="s">
        <v>36</v>
      </c>
      <c r="L232" t="s">
        <v>23</v>
      </c>
      <c r="M232" t="s">
        <v>120</v>
      </c>
    </row>
    <row r="233" spans="1:13" x14ac:dyDescent="0.2">
      <c r="A233">
        <v>142581</v>
      </c>
      <c r="B233" s="2">
        <v>45301</v>
      </c>
      <c r="C233">
        <v>69892</v>
      </c>
      <c r="D233" t="s">
        <v>97</v>
      </c>
      <c r="E233" t="s">
        <v>141</v>
      </c>
      <c r="F233" t="s">
        <v>142</v>
      </c>
      <c r="G233">
        <v>2</v>
      </c>
      <c r="H233">
        <v>20.69</v>
      </c>
      <c r="I233">
        <v>0.1</v>
      </c>
      <c r="J233">
        <v>37.24</v>
      </c>
      <c r="K233" t="s">
        <v>36</v>
      </c>
      <c r="L233" t="s">
        <v>17</v>
      </c>
      <c r="M233" t="s">
        <v>161</v>
      </c>
    </row>
    <row r="234" spans="1:13" x14ac:dyDescent="0.2">
      <c r="A234">
        <v>143018</v>
      </c>
      <c r="B234" s="2">
        <v>44671</v>
      </c>
      <c r="C234">
        <v>17188</v>
      </c>
      <c r="D234" t="s">
        <v>82</v>
      </c>
      <c r="E234" t="s">
        <v>100</v>
      </c>
      <c r="F234" t="s">
        <v>101</v>
      </c>
      <c r="G234">
        <v>4</v>
      </c>
      <c r="H234">
        <v>21.84</v>
      </c>
      <c r="I234">
        <v>0.05</v>
      </c>
      <c r="J234">
        <v>82.99</v>
      </c>
      <c r="K234" t="s">
        <v>22</v>
      </c>
      <c r="L234" t="s">
        <v>37</v>
      </c>
      <c r="M234" t="s">
        <v>90</v>
      </c>
    </row>
    <row r="235" spans="1:13" x14ac:dyDescent="0.2">
      <c r="A235">
        <v>143096</v>
      </c>
      <c r="B235" s="1">
        <v>45416</v>
      </c>
      <c r="C235">
        <v>26116</v>
      </c>
      <c r="D235" t="s">
        <v>82</v>
      </c>
      <c r="E235" t="s">
        <v>83</v>
      </c>
      <c r="F235" t="s">
        <v>84</v>
      </c>
      <c r="G235">
        <v>1</v>
      </c>
      <c r="H235">
        <v>15.29</v>
      </c>
      <c r="I235">
        <v>0.1</v>
      </c>
      <c r="J235">
        <v>13.76</v>
      </c>
      <c r="K235" t="s">
        <v>32</v>
      </c>
      <c r="L235" t="s">
        <v>37</v>
      </c>
    </row>
    <row r="236" spans="1:13" x14ac:dyDescent="0.2">
      <c r="A236">
        <v>143150</v>
      </c>
      <c r="B236" s="2">
        <v>44876</v>
      </c>
      <c r="C236">
        <v>58453</v>
      </c>
      <c r="D236" t="s">
        <v>44</v>
      </c>
      <c r="E236" t="s">
        <v>190</v>
      </c>
      <c r="F236" t="s">
        <v>191</v>
      </c>
      <c r="G236">
        <v>1</v>
      </c>
      <c r="H236">
        <v>4.29</v>
      </c>
      <c r="J236">
        <v>4.29</v>
      </c>
      <c r="K236" t="s">
        <v>36</v>
      </c>
      <c r="L236" t="s">
        <v>17</v>
      </c>
      <c r="M236" t="s">
        <v>62</v>
      </c>
    </row>
    <row r="237" spans="1:13" x14ac:dyDescent="0.2">
      <c r="A237">
        <v>143205</v>
      </c>
      <c r="B237" s="1">
        <v>44958</v>
      </c>
      <c r="C237">
        <v>45658</v>
      </c>
      <c r="D237" t="s">
        <v>25</v>
      </c>
      <c r="E237" t="s">
        <v>51</v>
      </c>
      <c r="F237" t="s">
        <v>52</v>
      </c>
      <c r="G237">
        <v>5</v>
      </c>
      <c r="H237">
        <v>23.79</v>
      </c>
      <c r="I237">
        <v>0.15</v>
      </c>
      <c r="J237">
        <v>101.11</v>
      </c>
      <c r="K237" t="s">
        <v>95</v>
      </c>
      <c r="L237" t="s">
        <v>17</v>
      </c>
      <c r="M237" t="s">
        <v>33</v>
      </c>
    </row>
    <row r="238" spans="1:13" x14ac:dyDescent="0.2">
      <c r="A238">
        <v>143379</v>
      </c>
      <c r="B238" s="1">
        <v>45444</v>
      </c>
      <c r="C238">
        <v>92866</v>
      </c>
      <c r="D238" t="s">
        <v>29</v>
      </c>
      <c r="E238" t="s">
        <v>175</v>
      </c>
      <c r="F238" t="s">
        <v>176</v>
      </c>
      <c r="G238">
        <v>2</v>
      </c>
      <c r="H238">
        <v>11.39</v>
      </c>
      <c r="I238">
        <v>0.05</v>
      </c>
      <c r="J238">
        <v>21.64</v>
      </c>
      <c r="K238" t="s">
        <v>16</v>
      </c>
      <c r="L238" t="s">
        <v>17</v>
      </c>
      <c r="M238" t="s">
        <v>90</v>
      </c>
    </row>
    <row r="239" spans="1:13" x14ac:dyDescent="0.2">
      <c r="A239">
        <v>143461</v>
      </c>
      <c r="B239" s="2">
        <v>44865</v>
      </c>
      <c r="C239">
        <v>63246</v>
      </c>
      <c r="D239" t="s">
        <v>19</v>
      </c>
      <c r="E239" t="s">
        <v>41</v>
      </c>
      <c r="F239" t="s">
        <v>42</v>
      </c>
      <c r="G239">
        <v>1</v>
      </c>
      <c r="H239">
        <v>5.09</v>
      </c>
      <c r="I239">
        <v>0.15</v>
      </c>
      <c r="J239">
        <v>4.33</v>
      </c>
      <c r="K239" t="s">
        <v>22</v>
      </c>
      <c r="L239" t="s">
        <v>17</v>
      </c>
      <c r="M239" t="s">
        <v>117</v>
      </c>
    </row>
    <row r="240" spans="1:13" x14ac:dyDescent="0.2">
      <c r="A240">
        <v>143663</v>
      </c>
      <c r="B240" s="1">
        <v>44695</v>
      </c>
      <c r="C240">
        <v>60190</v>
      </c>
      <c r="D240" t="s">
        <v>25</v>
      </c>
      <c r="E240" t="s">
        <v>113</v>
      </c>
      <c r="F240" t="s">
        <v>114</v>
      </c>
      <c r="G240">
        <v>1</v>
      </c>
      <c r="H240">
        <v>101.99</v>
      </c>
      <c r="I240">
        <v>0.15</v>
      </c>
      <c r="J240">
        <v>86.69</v>
      </c>
      <c r="K240" t="s">
        <v>22</v>
      </c>
      <c r="L240" t="s">
        <v>17</v>
      </c>
      <c r="M240" t="s">
        <v>28</v>
      </c>
    </row>
    <row r="241" spans="1:13" x14ac:dyDescent="0.2">
      <c r="A241">
        <v>143692</v>
      </c>
      <c r="B241" s="1">
        <v>45553</v>
      </c>
      <c r="C241">
        <v>81252</v>
      </c>
      <c r="D241" t="s">
        <v>44</v>
      </c>
      <c r="E241" t="s">
        <v>172</v>
      </c>
      <c r="F241" t="s">
        <v>173</v>
      </c>
      <c r="G241">
        <v>1</v>
      </c>
      <c r="H241">
        <v>3.59</v>
      </c>
      <c r="I241">
        <v>0.2</v>
      </c>
      <c r="J241">
        <v>2.87</v>
      </c>
      <c r="K241" t="s">
        <v>32</v>
      </c>
      <c r="L241" t="s">
        <v>37</v>
      </c>
      <c r="M241" t="s">
        <v>161</v>
      </c>
    </row>
    <row r="242" spans="1:13" x14ac:dyDescent="0.2">
      <c r="A242">
        <v>143935</v>
      </c>
      <c r="B242" s="1">
        <v>45428</v>
      </c>
      <c r="C242">
        <v>21378</v>
      </c>
      <c r="D242" t="s">
        <v>63</v>
      </c>
      <c r="E242" t="s">
        <v>125</v>
      </c>
      <c r="F242" t="s">
        <v>126</v>
      </c>
      <c r="G242">
        <v>3</v>
      </c>
      <c r="H242">
        <v>20.99</v>
      </c>
      <c r="I242">
        <v>0.3</v>
      </c>
      <c r="J242">
        <v>44.08</v>
      </c>
      <c r="K242" t="s">
        <v>95</v>
      </c>
      <c r="L242" t="s">
        <v>17</v>
      </c>
      <c r="M242" t="s">
        <v>33</v>
      </c>
    </row>
    <row r="243" spans="1:13" x14ac:dyDescent="0.2">
      <c r="A243">
        <v>144153</v>
      </c>
      <c r="B243" s="1">
        <v>44910</v>
      </c>
      <c r="C243">
        <v>65037</v>
      </c>
      <c r="D243" t="s">
        <v>19</v>
      </c>
      <c r="E243" t="s">
        <v>41</v>
      </c>
      <c r="F243" t="s">
        <v>42</v>
      </c>
      <c r="G243">
        <v>3</v>
      </c>
      <c r="H243">
        <v>5.39</v>
      </c>
      <c r="I243">
        <v>0.1</v>
      </c>
      <c r="J243">
        <v>14.55</v>
      </c>
      <c r="K243" t="s">
        <v>16</v>
      </c>
      <c r="L243" t="s">
        <v>37</v>
      </c>
      <c r="M243" t="s">
        <v>103</v>
      </c>
    </row>
    <row r="244" spans="1:13" x14ac:dyDescent="0.2">
      <c r="A244">
        <v>144224</v>
      </c>
      <c r="B244" s="1">
        <v>44669</v>
      </c>
      <c r="C244">
        <v>28045</v>
      </c>
      <c r="D244" t="s">
        <v>13</v>
      </c>
      <c r="E244" t="s">
        <v>159</v>
      </c>
      <c r="F244" t="s">
        <v>160</v>
      </c>
      <c r="G244">
        <v>2</v>
      </c>
      <c r="H244">
        <v>56.99</v>
      </c>
      <c r="I244">
        <v>0.05</v>
      </c>
      <c r="J244">
        <v>108.28</v>
      </c>
      <c r="K244" t="s">
        <v>16</v>
      </c>
      <c r="L244" t="s">
        <v>17</v>
      </c>
      <c r="M244" t="s">
        <v>24</v>
      </c>
    </row>
    <row r="245" spans="1:13" x14ac:dyDescent="0.2">
      <c r="A245">
        <v>144280</v>
      </c>
      <c r="B245" s="1">
        <v>45213</v>
      </c>
      <c r="C245">
        <v>22063</v>
      </c>
      <c r="D245" t="s">
        <v>192</v>
      </c>
      <c r="E245" t="s">
        <v>141</v>
      </c>
      <c r="F245" t="s">
        <v>142</v>
      </c>
      <c r="G245">
        <v>1</v>
      </c>
      <c r="H245">
        <v>22.99</v>
      </c>
      <c r="J245">
        <v>22.99</v>
      </c>
      <c r="K245" t="s">
        <v>95</v>
      </c>
      <c r="L245" t="s">
        <v>37</v>
      </c>
      <c r="M245" t="s">
        <v>76</v>
      </c>
    </row>
    <row r="246" spans="1:13" x14ac:dyDescent="0.2">
      <c r="A246">
        <v>144351</v>
      </c>
      <c r="B246" s="2">
        <v>44696</v>
      </c>
      <c r="C246">
        <v>87286</v>
      </c>
      <c r="D246" t="s">
        <v>82</v>
      </c>
      <c r="E246" t="s">
        <v>188</v>
      </c>
      <c r="F246" t="s">
        <v>189</v>
      </c>
      <c r="G246">
        <v>4</v>
      </c>
      <c r="H246">
        <v>38.24</v>
      </c>
      <c r="I246">
        <v>0.15</v>
      </c>
      <c r="J246">
        <v>130.02000000000001</v>
      </c>
      <c r="K246" t="s">
        <v>16</v>
      </c>
      <c r="L246" t="s">
        <v>17</v>
      </c>
      <c r="M246" t="s">
        <v>57</v>
      </c>
    </row>
    <row r="247" spans="1:13" x14ac:dyDescent="0.2">
      <c r="A247">
        <v>144397</v>
      </c>
      <c r="B247" s="1">
        <v>45556</v>
      </c>
      <c r="C247">
        <v>80545</v>
      </c>
      <c r="D247" t="s">
        <v>97</v>
      </c>
      <c r="E247" t="s">
        <v>193</v>
      </c>
      <c r="F247" t="s">
        <v>194</v>
      </c>
      <c r="G247">
        <v>3</v>
      </c>
      <c r="H247">
        <v>64.989999999999995</v>
      </c>
      <c r="J247">
        <v>194.97</v>
      </c>
      <c r="K247" t="s">
        <v>95</v>
      </c>
      <c r="L247" t="s">
        <v>17</v>
      </c>
      <c r="M247" t="s">
        <v>117</v>
      </c>
    </row>
    <row r="248" spans="1:13" x14ac:dyDescent="0.2">
      <c r="A248">
        <v>145209</v>
      </c>
      <c r="B248" s="1">
        <v>45580</v>
      </c>
      <c r="C248">
        <v>42949</v>
      </c>
      <c r="D248" t="s">
        <v>44</v>
      </c>
      <c r="E248" t="s">
        <v>195</v>
      </c>
      <c r="F248" t="s">
        <v>196</v>
      </c>
      <c r="G248">
        <v>1</v>
      </c>
      <c r="H248">
        <v>4.99</v>
      </c>
      <c r="J248">
        <v>4.99</v>
      </c>
      <c r="K248" t="s">
        <v>16</v>
      </c>
      <c r="L248" t="s">
        <v>17</v>
      </c>
      <c r="M248" t="s">
        <v>102</v>
      </c>
    </row>
    <row r="249" spans="1:13" x14ac:dyDescent="0.2">
      <c r="A249">
        <v>145895</v>
      </c>
      <c r="B249" s="2">
        <v>45472</v>
      </c>
      <c r="C249">
        <v>82817</v>
      </c>
      <c r="D249" t="s">
        <v>44</v>
      </c>
      <c r="E249" t="s">
        <v>107</v>
      </c>
      <c r="F249" t="s">
        <v>108</v>
      </c>
      <c r="G249">
        <v>1</v>
      </c>
      <c r="H249">
        <v>2.97</v>
      </c>
      <c r="I249">
        <v>0.15</v>
      </c>
      <c r="J249">
        <v>2.52</v>
      </c>
      <c r="K249" t="s">
        <v>53</v>
      </c>
      <c r="L249" t="s">
        <v>17</v>
      </c>
      <c r="M249" t="s">
        <v>76</v>
      </c>
    </row>
    <row r="250" spans="1:13" x14ac:dyDescent="0.2">
      <c r="A250">
        <v>145907</v>
      </c>
      <c r="B250" s="2">
        <v>44781</v>
      </c>
      <c r="C250">
        <v>73477</v>
      </c>
      <c r="D250" t="s">
        <v>40</v>
      </c>
      <c r="E250" t="s">
        <v>115</v>
      </c>
      <c r="F250" t="s">
        <v>116</v>
      </c>
      <c r="G250">
        <v>1</v>
      </c>
      <c r="H250">
        <v>9.74</v>
      </c>
      <c r="I250">
        <v>0.25</v>
      </c>
      <c r="J250">
        <v>7.3</v>
      </c>
      <c r="K250" t="s">
        <v>36</v>
      </c>
      <c r="L250" t="s">
        <v>23</v>
      </c>
      <c r="M250" t="s">
        <v>54</v>
      </c>
    </row>
    <row r="251" spans="1:13" x14ac:dyDescent="0.2">
      <c r="A251">
        <v>146047</v>
      </c>
      <c r="B251" s="1">
        <v>44564</v>
      </c>
      <c r="C251">
        <v>26060</v>
      </c>
      <c r="D251" t="s">
        <v>13</v>
      </c>
      <c r="E251" t="s">
        <v>55</v>
      </c>
      <c r="F251" t="s">
        <v>56</v>
      </c>
      <c r="G251">
        <v>1</v>
      </c>
      <c r="H251">
        <v>280.49</v>
      </c>
      <c r="I251">
        <v>0.15</v>
      </c>
      <c r="J251">
        <v>238.42</v>
      </c>
      <c r="K251" t="s">
        <v>36</v>
      </c>
      <c r="L251" t="s">
        <v>17</v>
      </c>
      <c r="M251" t="s">
        <v>67</v>
      </c>
    </row>
    <row r="252" spans="1:13" x14ac:dyDescent="0.2">
      <c r="A252">
        <v>146048</v>
      </c>
      <c r="B252" s="2">
        <v>45279</v>
      </c>
      <c r="C252">
        <v>83229</v>
      </c>
      <c r="D252" t="s">
        <v>82</v>
      </c>
      <c r="E252" t="s">
        <v>83</v>
      </c>
      <c r="F252" t="s">
        <v>84</v>
      </c>
      <c r="G252">
        <v>1</v>
      </c>
      <c r="H252">
        <v>16.14</v>
      </c>
      <c r="I252">
        <v>0.05</v>
      </c>
      <c r="J252">
        <v>15.33</v>
      </c>
      <c r="K252" t="s">
        <v>53</v>
      </c>
      <c r="L252" t="s">
        <v>23</v>
      </c>
      <c r="M252" t="s">
        <v>54</v>
      </c>
    </row>
    <row r="253" spans="1:13" x14ac:dyDescent="0.2">
      <c r="A253">
        <v>146587</v>
      </c>
      <c r="B253" s="1">
        <v>45109</v>
      </c>
      <c r="C253">
        <v>28701</v>
      </c>
      <c r="D253" t="s">
        <v>29</v>
      </c>
      <c r="E253" t="s">
        <v>72</v>
      </c>
      <c r="F253" t="s">
        <v>73</v>
      </c>
      <c r="G253">
        <v>1</v>
      </c>
      <c r="H253">
        <v>35.99</v>
      </c>
      <c r="I253">
        <v>0.1</v>
      </c>
      <c r="J253">
        <v>32.39</v>
      </c>
      <c r="K253" t="s">
        <v>36</v>
      </c>
      <c r="L253" t="s">
        <v>17</v>
      </c>
      <c r="M253" t="s">
        <v>103</v>
      </c>
    </row>
    <row r="254" spans="1:13" x14ac:dyDescent="0.2">
      <c r="A254">
        <v>146649</v>
      </c>
      <c r="B254" s="2">
        <v>45066</v>
      </c>
      <c r="C254">
        <v>99491</v>
      </c>
      <c r="D254" t="s">
        <v>13</v>
      </c>
      <c r="E254" t="s">
        <v>55</v>
      </c>
      <c r="F254" t="s">
        <v>56</v>
      </c>
      <c r="G254">
        <v>5</v>
      </c>
      <c r="H254">
        <v>263.99</v>
      </c>
      <c r="I254">
        <v>0.2</v>
      </c>
      <c r="J254">
        <v>1055.96</v>
      </c>
      <c r="K254" t="s">
        <v>16</v>
      </c>
      <c r="L254" t="s">
        <v>17</v>
      </c>
    </row>
    <row r="255" spans="1:13" x14ac:dyDescent="0.2">
      <c r="A255">
        <v>146782</v>
      </c>
      <c r="B255" s="1">
        <v>44874</v>
      </c>
      <c r="C255">
        <v>44121</v>
      </c>
      <c r="D255" t="s">
        <v>63</v>
      </c>
      <c r="E255" t="s">
        <v>68</v>
      </c>
      <c r="F255" t="s">
        <v>69</v>
      </c>
      <c r="G255">
        <v>3</v>
      </c>
      <c r="H255">
        <v>21.24</v>
      </c>
      <c r="I255">
        <v>0.15</v>
      </c>
      <c r="J255">
        <v>54.16</v>
      </c>
      <c r="K255" t="s">
        <v>36</v>
      </c>
      <c r="L255" t="s">
        <v>17</v>
      </c>
      <c r="M255" t="s">
        <v>161</v>
      </c>
    </row>
    <row r="256" spans="1:13" x14ac:dyDescent="0.2">
      <c r="A256">
        <v>146864</v>
      </c>
      <c r="B256" s="2">
        <v>44888</v>
      </c>
      <c r="C256">
        <v>18168</v>
      </c>
      <c r="D256" t="s">
        <v>29</v>
      </c>
      <c r="E256" t="s">
        <v>175</v>
      </c>
      <c r="F256" t="s">
        <v>176</v>
      </c>
      <c r="G256">
        <v>1</v>
      </c>
      <c r="H256">
        <v>8.99</v>
      </c>
      <c r="I256">
        <v>0.25</v>
      </c>
      <c r="J256">
        <v>6.74</v>
      </c>
      <c r="K256" t="s">
        <v>36</v>
      </c>
      <c r="L256" t="s">
        <v>37</v>
      </c>
      <c r="M256" t="s">
        <v>161</v>
      </c>
    </row>
    <row r="257" spans="1:13" x14ac:dyDescent="0.2">
      <c r="A257">
        <v>147079</v>
      </c>
      <c r="B257" s="1">
        <v>45495</v>
      </c>
      <c r="C257">
        <v>80405</v>
      </c>
      <c r="D257" t="s">
        <v>25</v>
      </c>
      <c r="E257" t="s">
        <v>70</v>
      </c>
      <c r="F257" t="s">
        <v>71</v>
      </c>
      <c r="G257">
        <v>1</v>
      </c>
      <c r="H257">
        <v>85.49</v>
      </c>
      <c r="I257">
        <v>0.05</v>
      </c>
      <c r="J257">
        <v>81.22</v>
      </c>
      <c r="K257" t="s">
        <v>16</v>
      </c>
      <c r="L257" t="s">
        <v>37</v>
      </c>
      <c r="M257" t="s">
        <v>28</v>
      </c>
    </row>
    <row r="258" spans="1:13" x14ac:dyDescent="0.2">
      <c r="A258">
        <v>147116</v>
      </c>
      <c r="B258" s="2">
        <v>44916</v>
      </c>
      <c r="C258">
        <v>66659</v>
      </c>
      <c r="D258" t="s">
        <v>82</v>
      </c>
      <c r="E258" t="s">
        <v>168</v>
      </c>
      <c r="F258" t="s">
        <v>169</v>
      </c>
      <c r="G258">
        <v>1</v>
      </c>
      <c r="H258">
        <v>6.74</v>
      </c>
      <c r="I258">
        <v>0.25</v>
      </c>
      <c r="J258">
        <v>5.0599999999999996</v>
      </c>
      <c r="K258" t="s">
        <v>16</v>
      </c>
      <c r="L258" t="s">
        <v>17</v>
      </c>
      <c r="M258" t="s">
        <v>57</v>
      </c>
    </row>
    <row r="259" spans="1:13" x14ac:dyDescent="0.2">
      <c r="A259">
        <v>147188</v>
      </c>
      <c r="B259" s="1">
        <v>45160</v>
      </c>
      <c r="C259">
        <v>72047</v>
      </c>
      <c r="D259" t="s">
        <v>85</v>
      </c>
      <c r="E259" t="s">
        <v>157</v>
      </c>
      <c r="F259" t="s">
        <v>158</v>
      </c>
      <c r="G259">
        <v>2</v>
      </c>
      <c r="H259">
        <v>13.49</v>
      </c>
      <c r="J259">
        <v>26.98</v>
      </c>
      <c r="K259" t="s">
        <v>32</v>
      </c>
      <c r="L259" t="s">
        <v>37</v>
      </c>
      <c r="M259" t="s">
        <v>96</v>
      </c>
    </row>
    <row r="260" spans="1:13" x14ac:dyDescent="0.2">
      <c r="A260">
        <v>147374</v>
      </c>
      <c r="B260" s="1">
        <v>44636</v>
      </c>
      <c r="C260">
        <v>72990</v>
      </c>
      <c r="D260" t="s">
        <v>85</v>
      </c>
      <c r="E260" t="s">
        <v>129</v>
      </c>
      <c r="F260" t="s">
        <v>130</v>
      </c>
      <c r="G260">
        <v>1</v>
      </c>
      <c r="H260">
        <v>8.99</v>
      </c>
      <c r="J260">
        <v>8.99</v>
      </c>
      <c r="K260" t="s">
        <v>22</v>
      </c>
      <c r="L260" t="s">
        <v>17</v>
      </c>
      <c r="M260" t="s">
        <v>43</v>
      </c>
    </row>
    <row r="261" spans="1:13" x14ac:dyDescent="0.2">
      <c r="A261">
        <v>147537</v>
      </c>
      <c r="B261" s="1">
        <v>44589</v>
      </c>
      <c r="C261">
        <v>17400</v>
      </c>
      <c r="D261" t="s">
        <v>44</v>
      </c>
      <c r="E261" t="s">
        <v>91</v>
      </c>
      <c r="F261" t="s">
        <v>92</v>
      </c>
      <c r="G261">
        <v>1</v>
      </c>
      <c r="H261">
        <v>6.29</v>
      </c>
      <c r="J261">
        <v>6.29</v>
      </c>
      <c r="K261" t="s">
        <v>36</v>
      </c>
      <c r="L261" t="s">
        <v>23</v>
      </c>
      <c r="M261" t="s">
        <v>54</v>
      </c>
    </row>
    <row r="262" spans="1:13" x14ac:dyDescent="0.2">
      <c r="A262">
        <v>147796</v>
      </c>
      <c r="B262" s="1">
        <v>44602</v>
      </c>
      <c r="C262">
        <v>30169</v>
      </c>
      <c r="D262" t="s">
        <v>13</v>
      </c>
      <c r="E262" t="s">
        <v>14</v>
      </c>
      <c r="F262" t="s">
        <v>15</v>
      </c>
      <c r="G262">
        <v>2</v>
      </c>
      <c r="H262">
        <v>75.989999999999995</v>
      </c>
      <c r="I262">
        <v>0.05</v>
      </c>
      <c r="J262">
        <v>144.38</v>
      </c>
      <c r="K262" t="s">
        <v>95</v>
      </c>
      <c r="L262" t="s">
        <v>17</v>
      </c>
      <c r="M262" t="s">
        <v>24</v>
      </c>
    </row>
    <row r="263" spans="1:13" x14ac:dyDescent="0.2">
      <c r="A263">
        <v>147948</v>
      </c>
      <c r="B263" s="1">
        <v>45306</v>
      </c>
      <c r="C263">
        <v>21336</v>
      </c>
      <c r="D263" t="s">
        <v>25</v>
      </c>
      <c r="E263" t="s">
        <v>113</v>
      </c>
      <c r="F263" t="s">
        <v>114</v>
      </c>
      <c r="G263">
        <v>1</v>
      </c>
      <c r="H263">
        <v>119.99</v>
      </c>
      <c r="J263">
        <v>119.99</v>
      </c>
      <c r="K263" t="s">
        <v>22</v>
      </c>
      <c r="L263" t="s">
        <v>37</v>
      </c>
      <c r="M263" t="s">
        <v>81</v>
      </c>
    </row>
    <row r="264" spans="1:13" x14ac:dyDescent="0.2">
      <c r="A264">
        <v>148021</v>
      </c>
      <c r="B264" s="1">
        <v>44780</v>
      </c>
      <c r="C264">
        <v>42204</v>
      </c>
      <c r="D264" t="s">
        <v>13</v>
      </c>
      <c r="E264" t="s">
        <v>34</v>
      </c>
      <c r="F264" t="s">
        <v>35</v>
      </c>
      <c r="G264">
        <v>3</v>
      </c>
      <c r="H264">
        <v>33.24</v>
      </c>
      <c r="I264">
        <v>0.05</v>
      </c>
      <c r="J264">
        <v>94.73</v>
      </c>
      <c r="K264" t="s">
        <v>22</v>
      </c>
      <c r="L264" t="s">
        <v>17</v>
      </c>
      <c r="M264" t="s">
        <v>123</v>
      </c>
    </row>
    <row r="265" spans="1:13" x14ac:dyDescent="0.2">
      <c r="A265">
        <v>148225</v>
      </c>
      <c r="B265" s="1">
        <v>44902</v>
      </c>
      <c r="C265">
        <v>66450</v>
      </c>
      <c r="D265" t="s">
        <v>97</v>
      </c>
      <c r="E265" t="s">
        <v>121</v>
      </c>
      <c r="F265" t="s">
        <v>122</v>
      </c>
      <c r="G265">
        <v>5</v>
      </c>
      <c r="H265">
        <v>11.69</v>
      </c>
      <c r="J265">
        <v>58.45</v>
      </c>
      <c r="K265" t="s">
        <v>36</v>
      </c>
      <c r="L265" t="s">
        <v>17</v>
      </c>
      <c r="M265" t="s">
        <v>43</v>
      </c>
    </row>
    <row r="266" spans="1:13" x14ac:dyDescent="0.2">
      <c r="A266">
        <v>148261</v>
      </c>
      <c r="B266" s="1">
        <v>44702</v>
      </c>
      <c r="C266">
        <v>58824</v>
      </c>
      <c r="D266" t="s">
        <v>13</v>
      </c>
      <c r="E266" t="s">
        <v>14</v>
      </c>
      <c r="F266" t="s">
        <v>15</v>
      </c>
      <c r="G266">
        <v>1</v>
      </c>
      <c r="H266">
        <v>63.99</v>
      </c>
      <c r="I266">
        <v>0.2</v>
      </c>
      <c r="J266">
        <v>51.19</v>
      </c>
      <c r="K266" t="s">
        <v>16</v>
      </c>
      <c r="L266" t="s">
        <v>23</v>
      </c>
      <c r="M266" t="s">
        <v>161</v>
      </c>
    </row>
    <row r="267" spans="1:13" x14ac:dyDescent="0.2">
      <c r="A267">
        <v>148458</v>
      </c>
      <c r="B267" s="1">
        <v>45022</v>
      </c>
      <c r="C267">
        <v>19545</v>
      </c>
      <c r="D267" t="s">
        <v>85</v>
      </c>
      <c r="E267" t="s">
        <v>149</v>
      </c>
      <c r="F267" t="s">
        <v>150</v>
      </c>
      <c r="G267">
        <v>1</v>
      </c>
      <c r="H267">
        <v>18.989999999999998</v>
      </c>
      <c r="I267">
        <v>0.05</v>
      </c>
      <c r="J267">
        <v>18.04</v>
      </c>
      <c r="K267" t="s">
        <v>32</v>
      </c>
      <c r="L267" t="s">
        <v>17</v>
      </c>
      <c r="M267" t="s">
        <v>102</v>
      </c>
    </row>
    <row r="268" spans="1:13" x14ac:dyDescent="0.2">
      <c r="A268">
        <v>148741</v>
      </c>
      <c r="B268" s="1">
        <v>44611</v>
      </c>
      <c r="C268">
        <v>16871</v>
      </c>
      <c r="D268" t="s">
        <v>124</v>
      </c>
      <c r="E268" t="s">
        <v>131</v>
      </c>
      <c r="F268" t="s">
        <v>132</v>
      </c>
      <c r="G268">
        <v>3</v>
      </c>
      <c r="H268">
        <v>3.14</v>
      </c>
      <c r="I268">
        <v>0.1</v>
      </c>
      <c r="J268">
        <v>8.48</v>
      </c>
      <c r="K268" t="s">
        <v>36</v>
      </c>
      <c r="L268" t="s">
        <v>17</v>
      </c>
      <c r="M268" t="s">
        <v>90</v>
      </c>
    </row>
    <row r="269" spans="1:13" x14ac:dyDescent="0.2">
      <c r="A269">
        <v>148749</v>
      </c>
      <c r="B269" s="1">
        <v>45453</v>
      </c>
      <c r="C269">
        <v>61069</v>
      </c>
      <c r="D269" t="s">
        <v>13</v>
      </c>
      <c r="E269" t="s">
        <v>55</v>
      </c>
      <c r="F269" t="s">
        <v>56</v>
      </c>
      <c r="G269">
        <v>5</v>
      </c>
      <c r="H269">
        <v>329.99</v>
      </c>
      <c r="J269">
        <v>1649.95</v>
      </c>
      <c r="K269" t="s">
        <v>32</v>
      </c>
      <c r="L269" t="s">
        <v>23</v>
      </c>
      <c r="M269" t="s">
        <v>24</v>
      </c>
    </row>
    <row r="270" spans="1:13" x14ac:dyDescent="0.2">
      <c r="A270">
        <v>148854</v>
      </c>
      <c r="B270" s="1">
        <v>44692</v>
      </c>
      <c r="C270">
        <v>26267</v>
      </c>
      <c r="D270" t="s">
        <v>63</v>
      </c>
      <c r="E270" t="s">
        <v>64</v>
      </c>
      <c r="F270" t="s">
        <v>65</v>
      </c>
      <c r="G270">
        <v>1</v>
      </c>
      <c r="H270">
        <v>4.49</v>
      </c>
      <c r="I270">
        <v>0.1</v>
      </c>
      <c r="J270">
        <v>4.04</v>
      </c>
      <c r="K270" t="s">
        <v>22</v>
      </c>
      <c r="L270" t="s">
        <v>17</v>
      </c>
      <c r="M270" t="s">
        <v>18</v>
      </c>
    </row>
    <row r="271" spans="1:13" x14ac:dyDescent="0.2">
      <c r="A271">
        <v>149321</v>
      </c>
      <c r="B271" s="1">
        <v>44871</v>
      </c>
      <c r="D271" t="s">
        <v>40</v>
      </c>
      <c r="E271" t="s">
        <v>115</v>
      </c>
      <c r="F271" t="s">
        <v>116</v>
      </c>
      <c r="G271">
        <v>1</v>
      </c>
      <c r="H271">
        <v>12.99</v>
      </c>
      <c r="J271">
        <v>12.99</v>
      </c>
      <c r="K271" t="s">
        <v>36</v>
      </c>
      <c r="L271" t="s">
        <v>37</v>
      </c>
      <c r="M271" t="s">
        <v>43</v>
      </c>
    </row>
    <row r="272" spans="1:13" x14ac:dyDescent="0.2">
      <c r="A272">
        <v>149466</v>
      </c>
      <c r="B272" s="1">
        <v>45059</v>
      </c>
      <c r="C272">
        <v>46134</v>
      </c>
      <c r="D272" t="s">
        <v>63</v>
      </c>
      <c r="E272" t="s">
        <v>68</v>
      </c>
      <c r="F272" t="s">
        <v>69</v>
      </c>
      <c r="G272">
        <v>1</v>
      </c>
      <c r="H272">
        <v>23.74</v>
      </c>
      <c r="I272">
        <v>0.05</v>
      </c>
      <c r="J272">
        <v>22.55</v>
      </c>
      <c r="K272" t="s">
        <v>16</v>
      </c>
      <c r="L272" t="s">
        <v>37</v>
      </c>
      <c r="M272" t="s">
        <v>90</v>
      </c>
    </row>
    <row r="273" spans="1:13" x14ac:dyDescent="0.2">
      <c r="A273">
        <v>149644</v>
      </c>
      <c r="B273" s="1">
        <v>44568</v>
      </c>
      <c r="C273">
        <v>53476</v>
      </c>
      <c r="D273" t="s">
        <v>82</v>
      </c>
      <c r="E273" t="s">
        <v>188</v>
      </c>
      <c r="F273" t="s">
        <v>189</v>
      </c>
      <c r="G273">
        <v>1</v>
      </c>
      <c r="H273">
        <v>31.49</v>
      </c>
      <c r="I273">
        <v>0.3</v>
      </c>
      <c r="J273">
        <v>22.04</v>
      </c>
      <c r="K273" t="s">
        <v>36</v>
      </c>
      <c r="L273" t="s">
        <v>17</v>
      </c>
    </row>
    <row r="274" spans="1:13" x14ac:dyDescent="0.2">
      <c r="A274">
        <v>149665</v>
      </c>
      <c r="B274" s="2">
        <v>44684</v>
      </c>
      <c r="C274">
        <v>64135</v>
      </c>
      <c r="D274" t="s">
        <v>40</v>
      </c>
      <c r="E274" t="s">
        <v>58</v>
      </c>
      <c r="F274" t="s">
        <v>59</v>
      </c>
      <c r="G274">
        <v>2</v>
      </c>
      <c r="H274">
        <v>3.59</v>
      </c>
      <c r="I274">
        <v>0.1</v>
      </c>
      <c r="J274">
        <v>6.46</v>
      </c>
      <c r="K274" t="s">
        <v>16</v>
      </c>
      <c r="L274" t="s">
        <v>17</v>
      </c>
      <c r="M274" t="s">
        <v>117</v>
      </c>
    </row>
    <row r="275" spans="1:13" x14ac:dyDescent="0.2">
      <c r="A275">
        <v>150031</v>
      </c>
      <c r="B275" s="2">
        <v>45258</v>
      </c>
      <c r="C275">
        <v>38053</v>
      </c>
      <c r="D275" t="s">
        <v>85</v>
      </c>
      <c r="E275" t="s">
        <v>137</v>
      </c>
      <c r="F275" t="s">
        <v>138</v>
      </c>
      <c r="G275">
        <v>3</v>
      </c>
      <c r="H275">
        <v>7.19</v>
      </c>
      <c r="I275">
        <v>0.1</v>
      </c>
      <c r="J275">
        <v>19.41</v>
      </c>
      <c r="K275" t="s">
        <v>22</v>
      </c>
      <c r="L275" t="s">
        <v>17</v>
      </c>
      <c r="M275" t="s">
        <v>120</v>
      </c>
    </row>
    <row r="276" spans="1:13" x14ac:dyDescent="0.2">
      <c r="A276">
        <v>150135</v>
      </c>
      <c r="B276" s="1">
        <v>45606</v>
      </c>
      <c r="C276">
        <v>33056</v>
      </c>
      <c r="D276" t="s">
        <v>13</v>
      </c>
      <c r="E276" t="s">
        <v>127</v>
      </c>
      <c r="F276" t="s">
        <v>128</v>
      </c>
      <c r="G276">
        <v>2</v>
      </c>
      <c r="H276">
        <v>16.989999999999998</v>
      </c>
      <c r="I276">
        <v>0.15</v>
      </c>
      <c r="J276">
        <v>28.88</v>
      </c>
      <c r="K276" t="s">
        <v>36</v>
      </c>
      <c r="L276" t="s">
        <v>17</v>
      </c>
      <c r="M276" t="s">
        <v>24</v>
      </c>
    </row>
    <row r="277" spans="1:13" x14ac:dyDescent="0.2">
      <c r="A277">
        <v>150318</v>
      </c>
      <c r="B277" s="1">
        <v>45329</v>
      </c>
      <c r="C277">
        <v>95445</v>
      </c>
      <c r="D277" t="s">
        <v>29</v>
      </c>
      <c r="E277" t="s">
        <v>175</v>
      </c>
      <c r="F277" t="s">
        <v>176</v>
      </c>
      <c r="G277">
        <v>3</v>
      </c>
      <c r="H277">
        <v>10.19</v>
      </c>
      <c r="I277">
        <v>0.15</v>
      </c>
      <c r="J277">
        <v>25.98</v>
      </c>
      <c r="K277" t="s">
        <v>16</v>
      </c>
      <c r="L277" t="s">
        <v>37</v>
      </c>
      <c r="M277" t="s">
        <v>102</v>
      </c>
    </row>
    <row r="278" spans="1:13" x14ac:dyDescent="0.2">
      <c r="A278">
        <v>150538</v>
      </c>
      <c r="B278" s="2">
        <v>45172</v>
      </c>
      <c r="C278">
        <v>75818</v>
      </c>
      <c r="D278" t="s">
        <v>13</v>
      </c>
      <c r="E278" t="s">
        <v>104</v>
      </c>
      <c r="F278" t="s">
        <v>105</v>
      </c>
      <c r="G278">
        <v>1</v>
      </c>
      <c r="H278">
        <v>23.99</v>
      </c>
      <c r="I278">
        <v>0.2</v>
      </c>
      <c r="J278">
        <v>19.190000000000001</v>
      </c>
      <c r="K278" t="s">
        <v>36</v>
      </c>
      <c r="L278" t="s">
        <v>37</v>
      </c>
      <c r="M278" t="s">
        <v>76</v>
      </c>
    </row>
    <row r="279" spans="1:13" x14ac:dyDescent="0.2">
      <c r="A279">
        <v>150636</v>
      </c>
      <c r="B279" s="1">
        <v>45161</v>
      </c>
      <c r="C279">
        <v>72268</v>
      </c>
      <c r="D279" t="s">
        <v>13</v>
      </c>
      <c r="E279" t="s">
        <v>55</v>
      </c>
      <c r="F279" t="s">
        <v>56</v>
      </c>
      <c r="G279">
        <v>5</v>
      </c>
      <c r="H279">
        <v>230.99</v>
      </c>
      <c r="I279">
        <v>0.3</v>
      </c>
      <c r="J279">
        <v>808.46</v>
      </c>
      <c r="K279" t="s">
        <v>53</v>
      </c>
      <c r="L279" t="s">
        <v>37</v>
      </c>
      <c r="M279" t="s">
        <v>96</v>
      </c>
    </row>
    <row r="280" spans="1:13" x14ac:dyDescent="0.2">
      <c r="A280">
        <v>150663</v>
      </c>
      <c r="B280" s="1">
        <v>44677</v>
      </c>
      <c r="C280">
        <v>28864</v>
      </c>
      <c r="D280" t="s">
        <v>48</v>
      </c>
      <c r="E280" t="s">
        <v>118</v>
      </c>
      <c r="F280" t="s">
        <v>119</v>
      </c>
      <c r="G280">
        <v>5</v>
      </c>
      <c r="H280">
        <v>4.99</v>
      </c>
      <c r="J280">
        <v>24.95</v>
      </c>
      <c r="K280" t="s">
        <v>95</v>
      </c>
      <c r="L280" t="s">
        <v>17</v>
      </c>
      <c r="M280" t="s">
        <v>90</v>
      </c>
    </row>
    <row r="281" spans="1:13" x14ac:dyDescent="0.2">
      <c r="A281">
        <v>151081</v>
      </c>
      <c r="B281" s="2">
        <v>45356</v>
      </c>
      <c r="C281">
        <v>32795</v>
      </c>
      <c r="D281" t="s">
        <v>40</v>
      </c>
      <c r="E281" t="s">
        <v>197</v>
      </c>
      <c r="F281" t="s">
        <v>198</v>
      </c>
      <c r="G281">
        <v>3</v>
      </c>
      <c r="H281">
        <v>10.49</v>
      </c>
      <c r="I281">
        <v>0.3</v>
      </c>
      <c r="J281">
        <v>22.03</v>
      </c>
      <c r="K281" t="s">
        <v>36</v>
      </c>
      <c r="L281" t="s">
        <v>17</v>
      </c>
      <c r="M281" t="s">
        <v>123</v>
      </c>
    </row>
    <row r="282" spans="1:13" x14ac:dyDescent="0.2">
      <c r="A282">
        <v>151084</v>
      </c>
      <c r="B282" s="2">
        <v>44879</v>
      </c>
      <c r="D282" t="s">
        <v>40</v>
      </c>
      <c r="E282" t="s">
        <v>20</v>
      </c>
      <c r="F282" t="s">
        <v>21</v>
      </c>
      <c r="G282">
        <v>1</v>
      </c>
      <c r="H282">
        <v>9.99</v>
      </c>
      <c r="J282">
        <v>9.99</v>
      </c>
      <c r="K282" t="s">
        <v>22</v>
      </c>
      <c r="L282" t="s">
        <v>17</v>
      </c>
      <c r="M282" t="s">
        <v>103</v>
      </c>
    </row>
    <row r="283" spans="1:13" x14ac:dyDescent="0.2">
      <c r="A283">
        <v>151326</v>
      </c>
      <c r="B283" s="1">
        <v>45633</v>
      </c>
      <c r="C283">
        <v>55082</v>
      </c>
      <c r="D283" t="s">
        <v>97</v>
      </c>
      <c r="E283" t="s">
        <v>151</v>
      </c>
      <c r="F283" t="s">
        <v>152</v>
      </c>
      <c r="G283">
        <v>2</v>
      </c>
      <c r="H283">
        <v>27.99</v>
      </c>
      <c r="I283">
        <v>0.2</v>
      </c>
      <c r="J283">
        <v>44.78</v>
      </c>
      <c r="K283" t="s">
        <v>16</v>
      </c>
      <c r="L283" t="s">
        <v>17</v>
      </c>
      <c r="M283" t="s">
        <v>76</v>
      </c>
    </row>
    <row r="284" spans="1:13" x14ac:dyDescent="0.2">
      <c r="A284">
        <v>151405</v>
      </c>
      <c r="B284" s="1">
        <v>45195</v>
      </c>
      <c r="C284">
        <v>48389</v>
      </c>
      <c r="D284" t="s">
        <v>29</v>
      </c>
      <c r="E284" t="s">
        <v>38</v>
      </c>
      <c r="F284" t="s">
        <v>39</v>
      </c>
      <c r="G284">
        <v>1</v>
      </c>
      <c r="H284">
        <v>20.99</v>
      </c>
      <c r="I284">
        <v>0.3</v>
      </c>
      <c r="J284">
        <v>14.69</v>
      </c>
      <c r="K284" t="s">
        <v>16</v>
      </c>
      <c r="L284" t="s">
        <v>37</v>
      </c>
      <c r="M284" t="s">
        <v>57</v>
      </c>
    </row>
    <row r="285" spans="1:13" x14ac:dyDescent="0.2">
      <c r="A285">
        <v>151503</v>
      </c>
      <c r="B285" s="1">
        <v>45285</v>
      </c>
      <c r="C285">
        <v>50697</v>
      </c>
      <c r="D285" t="s">
        <v>199</v>
      </c>
      <c r="E285" t="s">
        <v>14</v>
      </c>
      <c r="F285" t="s">
        <v>15</v>
      </c>
      <c r="G285">
        <v>2</v>
      </c>
      <c r="H285">
        <v>79.989999999999995</v>
      </c>
      <c r="J285">
        <v>159.97999999999999</v>
      </c>
      <c r="K285" t="s">
        <v>36</v>
      </c>
      <c r="L285" t="s">
        <v>17</v>
      </c>
      <c r="M285" t="s">
        <v>54</v>
      </c>
    </row>
    <row r="286" spans="1:13" x14ac:dyDescent="0.2">
      <c r="A286">
        <v>152001</v>
      </c>
      <c r="B286" s="2">
        <v>44658</v>
      </c>
      <c r="C286">
        <v>39761</v>
      </c>
      <c r="D286" t="s">
        <v>164</v>
      </c>
      <c r="E286" t="s">
        <v>72</v>
      </c>
      <c r="F286" t="s">
        <v>73</v>
      </c>
      <c r="G286">
        <v>3</v>
      </c>
      <c r="H286">
        <v>37.99</v>
      </c>
      <c r="I286">
        <v>0.05</v>
      </c>
      <c r="J286">
        <v>108.27</v>
      </c>
      <c r="K286" t="s">
        <v>16</v>
      </c>
      <c r="L286" t="s">
        <v>17</v>
      </c>
      <c r="M286" t="s">
        <v>47</v>
      </c>
    </row>
    <row r="287" spans="1:13" x14ac:dyDescent="0.2">
      <c r="A287">
        <v>152236</v>
      </c>
      <c r="B287" s="1">
        <v>44970</v>
      </c>
      <c r="C287">
        <v>50392</v>
      </c>
      <c r="D287" t="s">
        <v>48</v>
      </c>
      <c r="E287" t="s">
        <v>179</v>
      </c>
      <c r="F287" t="s">
        <v>180</v>
      </c>
      <c r="G287">
        <v>1</v>
      </c>
      <c r="H287">
        <v>11.99</v>
      </c>
      <c r="J287">
        <v>11.99</v>
      </c>
      <c r="K287" t="s">
        <v>22</v>
      </c>
      <c r="L287" t="s">
        <v>17</v>
      </c>
      <c r="M287" t="s">
        <v>43</v>
      </c>
    </row>
    <row r="288" spans="1:13" x14ac:dyDescent="0.2">
      <c r="A288">
        <v>152304</v>
      </c>
      <c r="B288" s="1">
        <v>45253</v>
      </c>
      <c r="C288">
        <v>21997</v>
      </c>
      <c r="D288" t="s">
        <v>44</v>
      </c>
      <c r="E288" t="s">
        <v>93</v>
      </c>
      <c r="F288" t="s">
        <v>94</v>
      </c>
      <c r="G288">
        <v>1</v>
      </c>
      <c r="H288">
        <v>1.1599999999999999</v>
      </c>
      <c r="I288">
        <v>0.1</v>
      </c>
      <c r="J288">
        <v>1.04</v>
      </c>
      <c r="K288" t="s">
        <v>95</v>
      </c>
      <c r="L288" t="s">
        <v>17</v>
      </c>
    </row>
    <row r="289" spans="1:13" x14ac:dyDescent="0.2">
      <c r="A289">
        <v>152642</v>
      </c>
      <c r="B289" s="2">
        <v>44802</v>
      </c>
      <c r="C289">
        <v>16289</v>
      </c>
      <c r="D289" t="s">
        <v>63</v>
      </c>
      <c r="E289" t="s">
        <v>111</v>
      </c>
      <c r="F289" t="s">
        <v>112</v>
      </c>
      <c r="G289">
        <v>1</v>
      </c>
      <c r="H289">
        <v>14.24</v>
      </c>
      <c r="I289">
        <v>0.05</v>
      </c>
      <c r="J289">
        <v>13.53</v>
      </c>
      <c r="K289" t="s">
        <v>16</v>
      </c>
      <c r="L289" t="s">
        <v>17</v>
      </c>
    </row>
    <row r="290" spans="1:13" x14ac:dyDescent="0.2">
      <c r="A290">
        <v>152706</v>
      </c>
      <c r="B290" s="2">
        <v>45524</v>
      </c>
      <c r="C290">
        <v>81106</v>
      </c>
      <c r="D290" t="s">
        <v>40</v>
      </c>
      <c r="E290" t="s">
        <v>20</v>
      </c>
      <c r="F290" t="s">
        <v>21</v>
      </c>
      <c r="G290">
        <v>3</v>
      </c>
      <c r="H290">
        <v>9.99</v>
      </c>
      <c r="J290">
        <v>29.97</v>
      </c>
      <c r="K290" t="s">
        <v>36</v>
      </c>
      <c r="L290" t="s">
        <v>17</v>
      </c>
      <c r="M290" t="s">
        <v>117</v>
      </c>
    </row>
    <row r="291" spans="1:13" x14ac:dyDescent="0.2">
      <c r="A291">
        <v>152826</v>
      </c>
      <c r="B291" s="1">
        <v>44597</v>
      </c>
      <c r="C291">
        <v>47370</v>
      </c>
      <c r="D291" t="s">
        <v>25</v>
      </c>
      <c r="E291" t="s">
        <v>70</v>
      </c>
      <c r="F291" t="s">
        <v>71</v>
      </c>
      <c r="G291">
        <v>2</v>
      </c>
      <c r="H291">
        <v>76.489999999999995</v>
      </c>
      <c r="I291">
        <v>0.15</v>
      </c>
      <c r="J291">
        <v>130.03</v>
      </c>
      <c r="K291" t="s">
        <v>36</v>
      </c>
      <c r="L291" t="s">
        <v>37</v>
      </c>
      <c r="M291" t="s">
        <v>43</v>
      </c>
    </row>
    <row r="292" spans="1:13" x14ac:dyDescent="0.2">
      <c r="A292">
        <v>153284</v>
      </c>
      <c r="B292" s="2">
        <v>44800</v>
      </c>
      <c r="C292">
        <v>31134</v>
      </c>
      <c r="D292" t="s">
        <v>44</v>
      </c>
      <c r="E292" t="s">
        <v>74</v>
      </c>
      <c r="F292" t="s">
        <v>75</v>
      </c>
      <c r="G292">
        <v>5</v>
      </c>
      <c r="H292">
        <v>2.99</v>
      </c>
      <c r="J292">
        <v>14.95</v>
      </c>
      <c r="K292" t="s">
        <v>95</v>
      </c>
      <c r="L292" t="s">
        <v>17</v>
      </c>
      <c r="M292" t="s">
        <v>81</v>
      </c>
    </row>
    <row r="293" spans="1:13" x14ac:dyDescent="0.2">
      <c r="A293">
        <v>153443</v>
      </c>
      <c r="B293" s="2">
        <v>44620</v>
      </c>
      <c r="C293">
        <v>58464</v>
      </c>
      <c r="D293" t="s">
        <v>63</v>
      </c>
      <c r="E293" t="s">
        <v>125</v>
      </c>
      <c r="F293" t="s">
        <v>126</v>
      </c>
      <c r="G293">
        <v>2</v>
      </c>
      <c r="H293">
        <v>22.49</v>
      </c>
      <c r="I293">
        <v>0.25</v>
      </c>
      <c r="J293">
        <v>33.74</v>
      </c>
      <c r="K293" t="s">
        <v>36</v>
      </c>
      <c r="L293" t="s">
        <v>17</v>
      </c>
      <c r="M293" t="s">
        <v>117</v>
      </c>
    </row>
    <row r="294" spans="1:13" x14ac:dyDescent="0.2">
      <c r="A294">
        <v>153576</v>
      </c>
      <c r="B294" s="1">
        <v>45434</v>
      </c>
      <c r="C294">
        <v>97795</v>
      </c>
      <c r="D294" t="s">
        <v>25</v>
      </c>
      <c r="E294" t="s">
        <v>113</v>
      </c>
      <c r="F294" t="s">
        <v>114</v>
      </c>
      <c r="G294">
        <v>3</v>
      </c>
      <c r="H294">
        <v>107.99</v>
      </c>
      <c r="I294">
        <v>0.1</v>
      </c>
      <c r="J294">
        <v>291.57</v>
      </c>
      <c r="K294" t="s">
        <v>36</v>
      </c>
      <c r="L294" t="s">
        <v>37</v>
      </c>
      <c r="M294" t="s">
        <v>62</v>
      </c>
    </row>
    <row r="295" spans="1:13" x14ac:dyDescent="0.2">
      <c r="A295">
        <v>153646</v>
      </c>
      <c r="B295" s="1">
        <v>45018</v>
      </c>
      <c r="C295">
        <v>41888</v>
      </c>
      <c r="D295" t="s">
        <v>13</v>
      </c>
      <c r="E295" t="s">
        <v>127</v>
      </c>
      <c r="F295" t="s">
        <v>128</v>
      </c>
      <c r="G295">
        <v>4</v>
      </c>
      <c r="H295">
        <v>19.989999999999998</v>
      </c>
      <c r="J295">
        <v>79.959999999999994</v>
      </c>
      <c r="K295" t="s">
        <v>16</v>
      </c>
      <c r="L295" t="s">
        <v>17</v>
      </c>
      <c r="M295" t="s">
        <v>102</v>
      </c>
    </row>
    <row r="296" spans="1:13" x14ac:dyDescent="0.2">
      <c r="A296">
        <v>153872</v>
      </c>
      <c r="B296" s="1">
        <v>45542</v>
      </c>
      <c r="C296">
        <v>18564</v>
      </c>
      <c r="D296" t="s">
        <v>13</v>
      </c>
      <c r="E296" t="s">
        <v>186</v>
      </c>
      <c r="F296" t="s">
        <v>187</v>
      </c>
      <c r="G296">
        <v>1</v>
      </c>
      <c r="H296">
        <v>37.49</v>
      </c>
      <c r="I296">
        <v>0.25</v>
      </c>
      <c r="J296">
        <v>28.12</v>
      </c>
      <c r="K296" t="s">
        <v>16</v>
      </c>
      <c r="L296" t="s">
        <v>37</v>
      </c>
      <c r="M296" t="s">
        <v>24</v>
      </c>
    </row>
    <row r="297" spans="1:13" x14ac:dyDescent="0.2">
      <c r="A297">
        <v>153916</v>
      </c>
      <c r="B297" s="1">
        <v>45256</v>
      </c>
      <c r="C297">
        <v>55727</v>
      </c>
      <c r="D297" t="s">
        <v>25</v>
      </c>
      <c r="E297" t="s">
        <v>51</v>
      </c>
      <c r="F297" t="s">
        <v>52</v>
      </c>
      <c r="G297">
        <v>3</v>
      </c>
      <c r="H297">
        <v>23.79</v>
      </c>
      <c r="I297">
        <v>0.15</v>
      </c>
      <c r="J297">
        <v>60.66</v>
      </c>
      <c r="K297" t="s">
        <v>36</v>
      </c>
      <c r="L297" t="s">
        <v>23</v>
      </c>
      <c r="M297" t="s">
        <v>96</v>
      </c>
    </row>
    <row r="298" spans="1:13" x14ac:dyDescent="0.2">
      <c r="A298">
        <v>153974</v>
      </c>
      <c r="B298" s="2">
        <v>45038</v>
      </c>
      <c r="C298">
        <v>68442</v>
      </c>
      <c r="D298" t="s">
        <v>85</v>
      </c>
      <c r="E298" t="s">
        <v>153</v>
      </c>
      <c r="F298" t="s">
        <v>154</v>
      </c>
      <c r="G298">
        <v>1</v>
      </c>
      <c r="H298">
        <v>29.99</v>
      </c>
      <c r="J298">
        <v>29.99</v>
      </c>
      <c r="K298" t="s">
        <v>53</v>
      </c>
      <c r="L298" t="s">
        <v>17</v>
      </c>
      <c r="M298" t="s">
        <v>43</v>
      </c>
    </row>
    <row r="299" spans="1:13" x14ac:dyDescent="0.2">
      <c r="A299">
        <v>154167</v>
      </c>
      <c r="B299" s="2">
        <v>44958</v>
      </c>
      <c r="C299">
        <v>29837</v>
      </c>
      <c r="D299" t="s">
        <v>40</v>
      </c>
      <c r="E299" t="s">
        <v>20</v>
      </c>
      <c r="F299" t="s">
        <v>21</v>
      </c>
      <c r="G299">
        <v>2</v>
      </c>
      <c r="H299">
        <v>7.99</v>
      </c>
      <c r="I299">
        <v>0.2</v>
      </c>
      <c r="J299">
        <v>12.78</v>
      </c>
      <c r="K299" t="s">
        <v>32</v>
      </c>
      <c r="L299" t="s">
        <v>17</v>
      </c>
      <c r="M299" t="s">
        <v>18</v>
      </c>
    </row>
    <row r="300" spans="1:13" x14ac:dyDescent="0.2">
      <c r="A300">
        <v>154301</v>
      </c>
      <c r="B300" s="1">
        <v>45164</v>
      </c>
      <c r="C300">
        <v>12556</v>
      </c>
      <c r="D300" t="s">
        <v>25</v>
      </c>
      <c r="E300" t="s">
        <v>70</v>
      </c>
      <c r="F300" t="s">
        <v>71</v>
      </c>
      <c r="G300">
        <v>2</v>
      </c>
      <c r="H300">
        <v>71.989999999999995</v>
      </c>
      <c r="I300">
        <v>0.2</v>
      </c>
      <c r="J300">
        <v>115.18</v>
      </c>
      <c r="K300" t="s">
        <v>22</v>
      </c>
      <c r="L300" t="s">
        <v>17</v>
      </c>
      <c r="M300" t="s">
        <v>76</v>
      </c>
    </row>
    <row r="301" spans="1:13" x14ac:dyDescent="0.2">
      <c r="A301">
        <v>154310</v>
      </c>
      <c r="B301" s="1">
        <v>44748</v>
      </c>
      <c r="C301">
        <v>80270</v>
      </c>
      <c r="D301" t="s">
        <v>40</v>
      </c>
      <c r="E301" t="s">
        <v>41</v>
      </c>
      <c r="F301" t="s">
        <v>42</v>
      </c>
      <c r="G301">
        <v>1</v>
      </c>
      <c r="H301">
        <v>5.39</v>
      </c>
      <c r="I301">
        <v>0.1</v>
      </c>
      <c r="J301">
        <v>4.8499999999999996</v>
      </c>
      <c r="K301" t="s">
        <v>53</v>
      </c>
      <c r="L301" t="s">
        <v>17</v>
      </c>
      <c r="M301" t="s">
        <v>90</v>
      </c>
    </row>
    <row r="302" spans="1:13" x14ac:dyDescent="0.2">
      <c r="A302">
        <v>154328</v>
      </c>
      <c r="B302" s="1">
        <v>44984</v>
      </c>
      <c r="C302">
        <v>73630</v>
      </c>
      <c r="D302" t="s">
        <v>40</v>
      </c>
      <c r="E302" t="s">
        <v>197</v>
      </c>
      <c r="F302" t="s">
        <v>198</v>
      </c>
      <c r="G302">
        <v>2</v>
      </c>
      <c r="H302">
        <v>14.24</v>
      </c>
      <c r="I302">
        <v>0.05</v>
      </c>
      <c r="J302">
        <v>27.06</v>
      </c>
      <c r="K302" t="s">
        <v>22</v>
      </c>
      <c r="L302" t="s">
        <v>37</v>
      </c>
      <c r="M302" t="s">
        <v>117</v>
      </c>
    </row>
    <row r="303" spans="1:13" x14ac:dyDescent="0.2">
      <c r="A303">
        <v>154512</v>
      </c>
      <c r="B303" s="2">
        <v>45453</v>
      </c>
      <c r="C303">
        <v>61204</v>
      </c>
      <c r="D303" t="s">
        <v>13</v>
      </c>
      <c r="E303" t="s">
        <v>55</v>
      </c>
      <c r="F303" t="s">
        <v>56</v>
      </c>
      <c r="G303">
        <v>4</v>
      </c>
      <c r="H303">
        <v>263.99</v>
      </c>
      <c r="I303">
        <v>0.2</v>
      </c>
      <c r="J303">
        <v>844.77</v>
      </c>
      <c r="K303" t="s">
        <v>16</v>
      </c>
      <c r="L303" t="s">
        <v>17</v>
      </c>
      <c r="M303" t="s">
        <v>76</v>
      </c>
    </row>
    <row r="304" spans="1:13" x14ac:dyDescent="0.2">
      <c r="A304">
        <v>154586</v>
      </c>
      <c r="B304" s="1">
        <v>45412</v>
      </c>
      <c r="C304">
        <v>41263</v>
      </c>
      <c r="D304" t="s">
        <v>82</v>
      </c>
      <c r="E304" t="s">
        <v>188</v>
      </c>
      <c r="F304" t="s">
        <v>189</v>
      </c>
      <c r="G304">
        <v>1</v>
      </c>
      <c r="H304">
        <v>42.74</v>
      </c>
      <c r="I304">
        <v>0.05</v>
      </c>
      <c r="J304">
        <v>40.6</v>
      </c>
      <c r="K304" t="s">
        <v>16</v>
      </c>
      <c r="L304" t="s">
        <v>17</v>
      </c>
      <c r="M304" t="s">
        <v>123</v>
      </c>
    </row>
    <row r="305" spans="1:13" x14ac:dyDescent="0.2">
      <c r="A305">
        <v>154743</v>
      </c>
      <c r="B305" s="1">
        <v>44642</v>
      </c>
      <c r="C305">
        <v>20845</v>
      </c>
      <c r="D305" t="s">
        <v>48</v>
      </c>
      <c r="E305" t="s">
        <v>143</v>
      </c>
      <c r="F305" t="s">
        <v>144</v>
      </c>
      <c r="G305">
        <v>2</v>
      </c>
      <c r="H305">
        <v>14.24</v>
      </c>
      <c r="I305">
        <v>0.05</v>
      </c>
      <c r="J305">
        <v>27.06</v>
      </c>
      <c r="K305" t="s">
        <v>16</v>
      </c>
      <c r="L305" t="s">
        <v>37</v>
      </c>
      <c r="M305" t="s">
        <v>81</v>
      </c>
    </row>
    <row r="306" spans="1:13" x14ac:dyDescent="0.2">
      <c r="A306">
        <v>154909</v>
      </c>
      <c r="B306" s="1">
        <v>45399</v>
      </c>
      <c r="C306">
        <v>22387</v>
      </c>
      <c r="D306" t="s">
        <v>82</v>
      </c>
      <c r="E306" t="s">
        <v>83</v>
      </c>
      <c r="F306" t="s">
        <v>84</v>
      </c>
      <c r="G306">
        <v>3</v>
      </c>
      <c r="H306">
        <v>14.44</v>
      </c>
      <c r="I306">
        <v>0.15</v>
      </c>
      <c r="J306">
        <v>36.82</v>
      </c>
      <c r="K306" t="s">
        <v>16</v>
      </c>
      <c r="L306" t="s">
        <v>17</v>
      </c>
      <c r="M306" t="s">
        <v>57</v>
      </c>
    </row>
    <row r="307" spans="1:13" x14ac:dyDescent="0.2">
      <c r="A307">
        <v>155180</v>
      </c>
      <c r="B307" s="1">
        <v>45081</v>
      </c>
      <c r="C307">
        <v>31201</v>
      </c>
      <c r="D307" t="s">
        <v>44</v>
      </c>
      <c r="E307" t="s">
        <v>91</v>
      </c>
      <c r="F307" t="s">
        <v>92</v>
      </c>
      <c r="G307">
        <v>2</v>
      </c>
      <c r="H307">
        <v>5.66</v>
      </c>
      <c r="I307">
        <v>0.1</v>
      </c>
      <c r="J307">
        <v>10.19</v>
      </c>
      <c r="K307" t="s">
        <v>36</v>
      </c>
      <c r="L307" t="s">
        <v>37</v>
      </c>
      <c r="M307" t="s">
        <v>161</v>
      </c>
    </row>
    <row r="308" spans="1:13" x14ac:dyDescent="0.2">
      <c r="A308">
        <v>155230</v>
      </c>
      <c r="B308" s="1">
        <v>45325</v>
      </c>
      <c r="C308">
        <v>62550</v>
      </c>
      <c r="D308" t="s">
        <v>82</v>
      </c>
      <c r="E308" t="s">
        <v>83</v>
      </c>
      <c r="F308" t="s">
        <v>84</v>
      </c>
      <c r="G308">
        <v>2</v>
      </c>
      <c r="H308">
        <v>16.989999999999998</v>
      </c>
      <c r="J308">
        <v>33.979999999999997</v>
      </c>
      <c r="K308" t="s">
        <v>66</v>
      </c>
      <c r="L308" t="s">
        <v>37</v>
      </c>
      <c r="M308" t="s">
        <v>81</v>
      </c>
    </row>
    <row r="309" spans="1:13" x14ac:dyDescent="0.2">
      <c r="A309">
        <v>155660</v>
      </c>
      <c r="B309" s="1">
        <v>44592</v>
      </c>
      <c r="C309">
        <v>23710</v>
      </c>
      <c r="D309" t="s">
        <v>48</v>
      </c>
      <c r="E309" t="s">
        <v>118</v>
      </c>
      <c r="F309" t="s">
        <v>119</v>
      </c>
      <c r="G309">
        <v>1</v>
      </c>
      <c r="H309">
        <v>3.49</v>
      </c>
      <c r="I309">
        <v>0.3</v>
      </c>
      <c r="J309">
        <v>2.44</v>
      </c>
      <c r="K309" t="s">
        <v>16</v>
      </c>
      <c r="L309" t="s">
        <v>23</v>
      </c>
      <c r="M309" t="s">
        <v>90</v>
      </c>
    </row>
    <row r="310" spans="1:13" x14ac:dyDescent="0.2">
      <c r="A310">
        <v>155672</v>
      </c>
      <c r="B310" s="1">
        <v>45443</v>
      </c>
      <c r="C310">
        <v>41002</v>
      </c>
      <c r="D310" t="s">
        <v>97</v>
      </c>
      <c r="E310" t="s">
        <v>141</v>
      </c>
      <c r="F310" t="s">
        <v>142</v>
      </c>
      <c r="G310">
        <v>2</v>
      </c>
      <c r="H310">
        <v>18.39</v>
      </c>
      <c r="I310">
        <v>0.2</v>
      </c>
      <c r="J310">
        <v>29.42</v>
      </c>
      <c r="K310" t="s">
        <v>95</v>
      </c>
      <c r="L310" t="s">
        <v>17</v>
      </c>
      <c r="M310" t="s">
        <v>117</v>
      </c>
    </row>
    <row r="311" spans="1:13" x14ac:dyDescent="0.2">
      <c r="A311">
        <v>155885</v>
      </c>
      <c r="B311" s="1">
        <v>45517</v>
      </c>
      <c r="C311">
        <v>29734</v>
      </c>
      <c r="D311" t="s">
        <v>29</v>
      </c>
      <c r="E311" t="s">
        <v>30</v>
      </c>
      <c r="F311" t="s">
        <v>31</v>
      </c>
      <c r="G311">
        <v>1</v>
      </c>
      <c r="H311">
        <v>22.49</v>
      </c>
      <c r="J311">
        <v>22.49</v>
      </c>
      <c r="K311" t="s">
        <v>16</v>
      </c>
      <c r="L311" t="s">
        <v>17</v>
      </c>
      <c r="M311" t="s">
        <v>43</v>
      </c>
    </row>
    <row r="312" spans="1:13" x14ac:dyDescent="0.2">
      <c r="A312">
        <v>156208</v>
      </c>
      <c r="B312" s="1">
        <v>45509</v>
      </c>
      <c r="C312">
        <v>90157</v>
      </c>
      <c r="D312" t="s">
        <v>48</v>
      </c>
      <c r="E312" t="s">
        <v>49</v>
      </c>
      <c r="F312" t="s">
        <v>50</v>
      </c>
      <c r="G312">
        <v>1</v>
      </c>
      <c r="H312">
        <v>8.99</v>
      </c>
      <c r="J312">
        <v>8.99</v>
      </c>
      <c r="K312" t="s">
        <v>16</v>
      </c>
      <c r="L312" t="s">
        <v>37</v>
      </c>
      <c r="M312" t="s">
        <v>62</v>
      </c>
    </row>
    <row r="313" spans="1:13" x14ac:dyDescent="0.2">
      <c r="A313">
        <v>156274</v>
      </c>
      <c r="B313" s="1">
        <v>44767</v>
      </c>
      <c r="C313">
        <v>82571</v>
      </c>
      <c r="D313" t="s">
        <v>63</v>
      </c>
      <c r="E313" t="s">
        <v>125</v>
      </c>
      <c r="F313" t="s">
        <v>126</v>
      </c>
      <c r="G313">
        <v>1</v>
      </c>
      <c r="H313">
        <v>28.49</v>
      </c>
      <c r="I313">
        <v>0.05</v>
      </c>
      <c r="J313">
        <v>27.07</v>
      </c>
      <c r="K313" t="s">
        <v>16</v>
      </c>
      <c r="L313" t="s">
        <v>37</v>
      </c>
      <c r="M313" t="s">
        <v>57</v>
      </c>
    </row>
    <row r="314" spans="1:13" x14ac:dyDescent="0.2">
      <c r="A314">
        <v>156394</v>
      </c>
      <c r="B314" s="1">
        <v>45046</v>
      </c>
      <c r="C314">
        <v>96706</v>
      </c>
      <c r="D314" t="s">
        <v>174</v>
      </c>
      <c r="E314" t="s">
        <v>153</v>
      </c>
      <c r="F314" t="s">
        <v>154</v>
      </c>
      <c r="G314">
        <v>4</v>
      </c>
      <c r="H314">
        <v>25.49</v>
      </c>
      <c r="I314">
        <v>0.15</v>
      </c>
      <c r="J314">
        <v>86.67</v>
      </c>
      <c r="K314" t="s">
        <v>36</v>
      </c>
      <c r="L314" t="s">
        <v>23</v>
      </c>
      <c r="M314" t="s">
        <v>117</v>
      </c>
    </row>
    <row r="315" spans="1:13" x14ac:dyDescent="0.2">
      <c r="A315">
        <v>156415</v>
      </c>
      <c r="B315" s="1">
        <v>45415</v>
      </c>
      <c r="C315">
        <v>68073</v>
      </c>
      <c r="D315" t="s">
        <v>13</v>
      </c>
      <c r="E315" t="s">
        <v>79</v>
      </c>
      <c r="F315" t="s">
        <v>80</v>
      </c>
      <c r="G315">
        <v>5</v>
      </c>
      <c r="H315">
        <v>76.489999999999995</v>
      </c>
      <c r="I315">
        <v>0.15</v>
      </c>
      <c r="J315">
        <v>325.08</v>
      </c>
      <c r="K315" t="s">
        <v>36</v>
      </c>
      <c r="L315" t="s">
        <v>17</v>
      </c>
      <c r="M315" t="s">
        <v>24</v>
      </c>
    </row>
    <row r="316" spans="1:13" x14ac:dyDescent="0.2">
      <c r="A316">
        <v>156491</v>
      </c>
      <c r="B316" s="1">
        <v>45411</v>
      </c>
      <c r="C316">
        <v>16160</v>
      </c>
      <c r="D316" t="s">
        <v>82</v>
      </c>
      <c r="E316" t="s">
        <v>83</v>
      </c>
      <c r="F316" t="s">
        <v>84</v>
      </c>
      <c r="G316">
        <v>4</v>
      </c>
      <c r="H316">
        <v>13.59</v>
      </c>
      <c r="I316">
        <v>0.2</v>
      </c>
      <c r="J316">
        <v>43.49</v>
      </c>
      <c r="K316" t="s">
        <v>16</v>
      </c>
      <c r="L316" t="s">
        <v>17</v>
      </c>
      <c r="M316" t="s">
        <v>43</v>
      </c>
    </row>
    <row r="317" spans="1:13" x14ac:dyDescent="0.2">
      <c r="A317">
        <v>156553</v>
      </c>
      <c r="B317" s="1">
        <v>45613</v>
      </c>
      <c r="C317">
        <v>30596</v>
      </c>
      <c r="D317" t="s">
        <v>25</v>
      </c>
      <c r="E317" t="s">
        <v>60</v>
      </c>
      <c r="F317" t="s">
        <v>61</v>
      </c>
      <c r="G317">
        <v>1</v>
      </c>
      <c r="H317">
        <v>54.99</v>
      </c>
      <c r="J317">
        <v>54.99</v>
      </c>
      <c r="K317" t="s">
        <v>16</v>
      </c>
      <c r="L317" t="s">
        <v>23</v>
      </c>
      <c r="M317" t="s">
        <v>33</v>
      </c>
    </row>
    <row r="318" spans="1:13" x14ac:dyDescent="0.2">
      <c r="A318">
        <v>156569</v>
      </c>
      <c r="B318" s="1">
        <v>45182</v>
      </c>
      <c r="C318">
        <v>84738</v>
      </c>
      <c r="D318" t="s">
        <v>82</v>
      </c>
      <c r="E318" t="s">
        <v>83</v>
      </c>
      <c r="F318" t="s">
        <v>84</v>
      </c>
      <c r="G318">
        <v>1</v>
      </c>
      <c r="H318">
        <v>12.74</v>
      </c>
      <c r="I318">
        <v>0.25</v>
      </c>
      <c r="J318">
        <v>9.56</v>
      </c>
      <c r="K318" t="s">
        <v>36</v>
      </c>
      <c r="L318" t="s">
        <v>37</v>
      </c>
      <c r="M318" t="s">
        <v>62</v>
      </c>
    </row>
    <row r="319" spans="1:13" x14ac:dyDescent="0.2">
      <c r="A319">
        <v>156621</v>
      </c>
      <c r="B319" s="1">
        <v>44593</v>
      </c>
      <c r="C319">
        <v>19996</v>
      </c>
      <c r="D319" t="s">
        <v>85</v>
      </c>
      <c r="E319" t="s">
        <v>129</v>
      </c>
      <c r="F319" t="s">
        <v>130</v>
      </c>
      <c r="G319">
        <v>1</v>
      </c>
      <c r="H319">
        <v>8.09</v>
      </c>
      <c r="J319">
        <v>8.09</v>
      </c>
      <c r="K319" t="s">
        <v>32</v>
      </c>
      <c r="L319" t="s">
        <v>23</v>
      </c>
      <c r="M319" t="s">
        <v>57</v>
      </c>
    </row>
    <row r="320" spans="1:13" x14ac:dyDescent="0.2">
      <c r="A320">
        <v>156771</v>
      </c>
      <c r="B320" s="1">
        <v>45134</v>
      </c>
      <c r="C320">
        <v>80972</v>
      </c>
      <c r="D320" t="s">
        <v>40</v>
      </c>
      <c r="E320" t="s">
        <v>41</v>
      </c>
      <c r="F320" t="s">
        <v>42</v>
      </c>
      <c r="G320">
        <v>2</v>
      </c>
      <c r="H320">
        <v>5.99</v>
      </c>
      <c r="J320">
        <v>11.98</v>
      </c>
      <c r="K320" t="s">
        <v>16</v>
      </c>
      <c r="L320" t="s">
        <v>17</v>
      </c>
      <c r="M320" t="s">
        <v>62</v>
      </c>
    </row>
    <row r="321" spans="1:13" x14ac:dyDescent="0.2">
      <c r="A321">
        <v>156935</v>
      </c>
      <c r="B321" s="1">
        <v>45149</v>
      </c>
      <c r="C321">
        <v>26632</v>
      </c>
      <c r="D321" t="s">
        <v>48</v>
      </c>
      <c r="E321" t="s">
        <v>143</v>
      </c>
      <c r="F321" t="s">
        <v>144</v>
      </c>
      <c r="G321">
        <v>5</v>
      </c>
      <c r="H321">
        <v>12.74</v>
      </c>
      <c r="I321">
        <v>0.15</v>
      </c>
      <c r="J321">
        <v>54.14</v>
      </c>
      <c r="K321" t="s">
        <v>36</v>
      </c>
      <c r="L321" t="s">
        <v>17</v>
      </c>
      <c r="M321" t="s">
        <v>102</v>
      </c>
    </row>
    <row r="322" spans="1:13" x14ac:dyDescent="0.2">
      <c r="A322">
        <v>156977</v>
      </c>
      <c r="B322" s="1">
        <v>45390</v>
      </c>
      <c r="D322" t="s">
        <v>63</v>
      </c>
      <c r="E322" t="s">
        <v>131</v>
      </c>
      <c r="F322" t="s">
        <v>132</v>
      </c>
      <c r="G322">
        <v>5</v>
      </c>
      <c r="H322">
        <v>3.49</v>
      </c>
      <c r="J322">
        <v>17.45</v>
      </c>
      <c r="K322" t="s">
        <v>36</v>
      </c>
      <c r="L322" t="s">
        <v>37</v>
      </c>
      <c r="M322" t="s">
        <v>102</v>
      </c>
    </row>
    <row r="323" spans="1:13" x14ac:dyDescent="0.2">
      <c r="A323">
        <v>156993</v>
      </c>
      <c r="B323" s="1">
        <v>45332</v>
      </c>
      <c r="D323" t="s">
        <v>25</v>
      </c>
      <c r="E323" t="s">
        <v>60</v>
      </c>
      <c r="F323" t="s">
        <v>61</v>
      </c>
      <c r="G323">
        <v>1</v>
      </c>
      <c r="H323">
        <v>49.49</v>
      </c>
      <c r="I323">
        <v>0.1</v>
      </c>
      <c r="J323">
        <v>44.54</v>
      </c>
      <c r="K323" t="s">
        <v>16</v>
      </c>
      <c r="L323" t="s">
        <v>17</v>
      </c>
      <c r="M323" t="s">
        <v>47</v>
      </c>
    </row>
    <row r="324" spans="1:13" x14ac:dyDescent="0.2">
      <c r="A324">
        <v>157234</v>
      </c>
      <c r="B324" s="1">
        <v>45606</v>
      </c>
      <c r="C324">
        <v>16187</v>
      </c>
      <c r="D324" t="s">
        <v>25</v>
      </c>
      <c r="E324" t="s">
        <v>60</v>
      </c>
      <c r="F324" t="s">
        <v>61</v>
      </c>
      <c r="G324">
        <v>2</v>
      </c>
      <c r="H324">
        <v>46.74</v>
      </c>
      <c r="I324">
        <v>0.15</v>
      </c>
      <c r="J324">
        <v>79.459999999999994</v>
      </c>
      <c r="K324" t="s">
        <v>36</v>
      </c>
      <c r="L324" t="s">
        <v>37</v>
      </c>
      <c r="M324" t="s">
        <v>96</v>
      </c>
    </row>
    <row r="325" spans="1:13" x14ac:dyDescent="0.2">
      <c r="A325">
        <v>157303</v>
      </c>
      <c r="B325" s="1">
        <v>44931</v>
      </c>
      <c r="C325">
        <v>63589</v>
      </c>
      <c r="D325" t="s">
        <v>25</v>
      </c>
      <c r="E325" t="s">
        <v>26</v>
      </c>
      <c r="F325" t="s">
        <v>27</v>
      </c>
      <c r="G325">
        <v>1</v>
      </c>
      <c r="H325">
        <v>24.49</v>
      </c>
      <c r="I325">
        <v>0.3</v>
      </c>
      <c r="J325">
        <v>17.14</v>
      </c>
      <c r="K325" t="s">
        <v>16</v>
      </c>
      <c r="L325" t="s">
        <v>17</v>
      </c>
      <c r="M325" t="s">
        <v>54</v>
      </c>
    </row>
    <row r="326" spans="1:13" x14ac:dyDescent="0.2">
      <c r="A326">
        <v>157398</v>
      </c>
      <c r="B326" s="1">
        <v>45316</v>
      </c>
      <c r="C326">
        <v>16181</v>
      </c>
      <c r="D326" t="s">
        <v>97</v>
      </c>
      <c r="E326" t="s">
        <v>98</v>
      </c>
      <c r="F326" t="s">
        <v>99</v>
      </c>
      <c r="G326">
        <v>2</v>
      </c>
      <c r="H326">
        <v>27.99</v>
      </c>
      <c r="J326">
        <v>55.98</v>
      </c>
      <c r="K326" t="s">
        <v>53</v>
      </c>
      <c r="L326" t="s">
        <v>17</v>
      </c>
      <c r="M326" t="s">
        <v>43</v>
      </c>
    </row>
    <row r="327" spans="1:13" x14ac:dyDescent="0.2">
      <c r="A327">
        <v>157692</v>
      </c>
      <c r="B327" s="1">
        <v>45398</v>
      </c>
      <c r="C327">
        <v>12991</v>
      </c>
      <c r="D327" t="s">
        <v>97</v>
      </c>
      <c r="E327" t="s">
        <v>165</v>
      </c>
      <c r="F327" t="s">
        <v>166</v>
      </c>
      <c r="G327">
        <v>4</v>
      </c>
      <c r="H327">
        <v>85.49</v>
      </c>
      <c r="I327">
        <v>0.05</v>
      </c>
      <c r="J327">
        <v>324.86</v>
      </c>
      <c r="K327" t="s">
        <v>16</v>
      </c>
      <c r="L327" t="s">
        <v>17</v>
      </c>
      <c r="M327" t="s">
        <v>96</v>
      </c>
    </row>
    <row r="328" spans="1:13" x14ac:dyDescent="0.2">
      <c r="A328">
        <v>157912</v>
      </c>
      <c r="B328" s="1">
        <v>44965</v>
      </c>
      <c r="C328">
        <v>49689</v>
      </c>
      <c r="D328" t="s">
        <v>25</v>
      </c>
      <c r="E328" t="s">
        <v>51</v>
      </c>
      <c r="F328" t="s">
        <v>52</v>
      </c>
      <c r="G328">
        <v>2</v>
      </c>
      <c r="H328">
        <v>20.99</v>
      </c>
      <c r="I328">
        <v>0.25</v>
      </c>
      <c r="J328">
        <v>31.48</v>
      </c>
      <c r="K328" t="s">
        <v>22</v>
      </c>
      <c r="L328" t="s">
        <v>17</v>
      </c>
      <c r="M328" t="s">
        <v>96</v>
      </c>
    </row>
    <row r="329" spans="1:13" x14ac:dyDescent="0.2">
      <c r="A329">
        <v>158096</v>
      </c>
      <c r="B329" s="1">
        <v>45415</v>
      </c>
      <c r="C329">
        <v>61972</v>
      </c>
      <c r="D329" t="s">
        <v>48</v>
      </c>
      <c r="E329" t="s">
        <v>179</v>
      </c>
      <c r="F329" t="s">
        <v>180</v>
      </c>
      <c r="G329">
        <v>1</v>
      </c>
      <c r="H329">
        <v>11.99</v>
      </c>
      <c r="J329">
        <v>11.99</v>
      </c>
      <c r="K329" t="s">
        <v>36</v>
      </c>
      <c r="L329" t="s">
        <v>17</v>
      </c>
      <c r="M329" t="s">
        <v>102</v>
      </c>
    </row>
    <row r="330" spans="1:13" x14ac:dyDescent="0.2">
      <c r="A330">
        <v>158104</v>
      </c>
      <c r="B330" s="1">
        <v>44934</v>
      </c>
      <c r="C330">
        <v>31229</v>
      </c>
      <c r="D330" t="s">
        <v>63</v>
      </c>
      <c r="E330" t="s">
        <v>64</v>
      </c>
      <c r="F330" t="s">
        <v>65</v>
      </c>
      <c r="G330">
        <v>2</v>
      </c>
      <c r="H330">
        <v>4.99</v>
      </c>
      <c r="J330">
        <v>9.98</v>
      </c>
      <c r="K330" t="s">
        <v>16</v>
      </c>
      <c r="L330" t="s">
        <v>17</v>
      </c>
      <c r="M330" t="s">
        <v>76</v>
      </c>
    </row>
    <row r="331" spans="1:13" x14ac:dyDescent="0.2">
      <c r="A331">
        <v>158189</v>
      </c>
      <c r="B331" s="2">
        <v>45263</v>
      </c>
      <c r="C331">
        <v>44556</v>
      </c>
      <c r="D331" t="s">
        <v>85</v>
      </c>
      <c r="E331" t="s">
        <v>149</v>
      </c>
      <c r="F331" t="s">
        <v>150</v>
      </c>
      <c r="G331">
        <v>1</v>
      </c>
      <c r="H331">
        <v>15.99</v>
      </c>
      <c r="I331">
        <v>0.2</v>
      </c>
      <c r="J331">
        <v>12.79</v>
      </c>
      <c r="K331" t="s">
        <v>36</v>
      </c>
      <c r="L331" t="s">
        <v>17</v>
      </c>
      <c r="M331" t="s">
        <v>76</v>
      </c>
    </row>
    <row r="332" spans="1:13" x14ac:dyDescent="0.2">
      <c r="A332">
        <v>158635</v>
      </c>
      <c r="B332" s="1">
        <v>45631</v>
      </c>
      <c r="C332">
        <v>66513</v>
      </c>
      <c r="D332" t="s">
        <v>44</v>
      </c>
      <c r="E332" t="s">
        <v>45</v>
      </c>
      <c r="F332" t="s">
        <v>46</v>
      </c>
      <c r="G332">
        <v>1</v>
      </c>
      <c r="H332">
        <v>1.79</v>
      </c>
      <c r="J332">
        <v>1.79</v>
      </c>
      <c r="K332" t="s">
        <v>16</v>
      </c>
      <c r="L332" t="s">
        <v>37</v>
      </c>
      <c r="M332" t="s">
        <v>54</v>
      </c>
    </row>
    <row r="333" spans="1:13" x14ac:dyDescent="0.2">
      <c r="A333">
        <v>158806</v>
      </c>
      <c r="B333" s="1">
        <v>44879</v>
      </c>
      <c r="C333">
        <v>61181</v>
      </c>
      <c r="D333" t="s">
        <v>63</v>
      </c>
      <c r="E333" t="s">
        <v>131</v>
      </c>
      <c r="F333" t="s">
        <v>132</v>
      </c>
      <c r="G333">
        <v>4</v>
      </c>
      <c r="H333">
        <v>2.97</v>
      </c>
      <c r="I333">
        <v>0.15</v>
      </c>
      <c r="J333">
        <v>10.1</v>
      </c>
      <c r="K333" t="s">
        <v>36</v>
      </c>
      <c r="L333" t="s">
        <v>17</v>
      </c>
      <c r="M333" t="s">
        <v>54</v>
      </c>
    </row>
    <row r="334" spans="1:13" x14ac:dyDescent="0.2">
      <c r="A334">
        <v>159223</v>
      </c>
      <c r="B334" s="1">
        <v>44727</v>
      </c>
      <c r="D334" t="s">
        <v>82</v>
      </c>
      <c r="E334" t="s">
        <v>168</v>
      </c>
      <c r="F334" t="s">
        <v>169</v>
      </c>
      <c r="G334">
        <v>4</v>
      </c>
      <c r="H334">
        <v>7.64</v>
      </c>
      <c r="I334">
        <v>0.15</v>
      </c>
      <c r="J334">
        <v>25.98</v>
      </c>
      <c r="K334" t="s">
        <v>16</v>
      </c>
      <c r="L334" t="s">
        <v>17</v>
      </c>
      <c r="M334" t="s">
        <v>123</v>
      </c>
    </row>
    <row r="335" spans="1:13" x14ac:dyDescent="0.2">
      <c r="A335">
        <v>159399</v>
      </c>
      <c r="B335" s="1">
        <v>45586</v>
      </c>
      <c r="C335">
        <v>44478</v>
      </c>
      <c r="D335" t="s">
        <v>97</v>
      </c>
      <c r="E335" t="s">
        <v>193</v>
      </c>
      <c r="F335" t="s">
        <v>194</v>
      </c>
      <c r="G335">
        <v>2</v>
      </c>
      <c r="H335">
        <v>58.49</v>
      </c>
      <c r="I335">
        <v>0.1</v>
      </c>
      <c r="J335">
        <v>105.28</v>
      </c>
      <c r="K335" t="s">
        <v>36</v>
      </c>
      <c r="L335" t="s">
        <v>37</v>
      </c>
      <c r="M335" t="s">
        <v>123</v>
      </c>
    </row>
    <row r="336" spans="1:13" x14ac:dyDescent="0.2">
      <c r="A336">
        <v>159444</v>
      </c>
      <c r="B336" s="1">
        <v>45300</v>
      </c>
      <c r="C336">
        <v>97150</v>
      </c>
      <c r="D336" t="s">
        <v>29</v>
      </c>
      <c r="E336" t="s">
        <v>175</v>
      </c>
      <c r="F336" t="s">
        <v>176</v>
      </c>
      <c r="G336">
        <v>5</v>
      </c>
      <c r="H336">
        <v>9.59</v>
      </c>
      <c r="I336">
        <v>0.2</v>
      </c>
      <c r="J336">
        <v>38.36</v>
      </c>
      <c r="K336" t="s">
        <v>53</v>
      </c>
      <c r="L336" t="s">
        <v>37</v>
      </c>
      <c r="M336" t="s">
        <v>90</v>
      </c>
    </row>
    <row r="337" spans="1:13" x14ac:dyDescent="0.2">
      <c r="A337">
        <v>159477</v>
      </c>
      <c r="B337" s="1">
        <v>44672</v>
      </c>
      <c r="C337">
        <v>17424</v>
      </c>
      <c r="D337" t="s">
        <v>200</v>
      </c>
      <c r="E337" t="s">
        <v>51</v>
      </c>
      <c r="F337" t="s">
        <v>52</v>
      </c>
      <c r="G337">
        <v>1</v>
      </c>
      <c r="H337">
        <v>20.99</v>
      </c>
      <c r="I337">
        <v>0.25</v>
      </c>
      <c r="J337">
        <v>15.74</v>
      </c>
      <c r="K337" t="s">
        <v>36</v>
      </c>
      <c r="L337" t="s">
        <v>17</v>
      </c>
      <c r="M337" t="s">
        <v>103</v>
      </c>
    </row>
    <row r="338" spans="1:13" x14ac:dyDescent="0.2">
      <c r="A338">
        <v>159570</v>
      </c>
      <c r="B338" s="1">
        <v>44849</v>
      </c>
      <c r="C338">
        <v>41527</v>
      </c>
      <c r="D338" t="s">
        <v>82</v>
      </c>
      <c r="E338" t="s">
        <v>188</v>
      </c>
      <c r="F338" t="s">
        <v>189</v>
      </c>
      <c r="G338">
        <v>5</v>
      </c>
      <c r="H338">
        <v>44.99</v>
      </c>
      <c r="J338">
        <v>224.95</v>
      </c>
      <c r="K338" t="s">
        <v>16</v>
      </c>
      <c r="L338" t="s">
        <v>17</v>
      </c>
      <c r="M338" t="s">
        <v>47</v>
      </c>
    </row>
    <row r="339" spans="1:13" x14ac:dyDescent="0.2">
      <c r="A339">
        <v>159644</v>
      </c>
      <c r="B339" s="1">
        <v>45353</v>
      </c>
      <c r="D339" t="s">
        <v>44</v>
      </c>
      <c r="E339" t="s">
        <v>107</v>
      </c>
      <c r="F339" t="s">
        <v>108</v>
      </c>
      <c r="G339">
        <v>1</v>
      </c>
      <c r="H339">
        <v>3.49</v>
      </c>
      <c r="J339">
        <v>3.49</v>
      </c>
      <c r="K339" t="s">
        <v>53</v>
      </c>
      <c r="L339" t="s">
        <v>17</v>
      </c>
    </row>
    <row r="340" spans="1:13" x14ac:dyDescent="0.2">
      <c r="A340">
        <v>159708</v>
      </c>
      <c r="B340" s="1">
        <v>44851</v>
      </c>
      <c r="C340">
        <v>82006</v>
      </c>
      <c r="D340" t="s">
        <v>63</v>
      </c>
      <c r="E340" t="s">
        <v>64</v>
      </c>
      <c r="F340" t="s">
        <v>65</v>
      </c>
      <c r="G340">
        <v>2</v>
      </c>
      <c r="H340">
        <v>4.99</v>
      </c>
      <c r="J340">
        <v>9.98</v>
      </c>
      <c r="K340" t="s">
        <v>32</v>
      </c>
      <c r="L340" t="s">
        <v>37</v>
      </c>
      <c r="M340" t="s">
        <v>24</v>
      </c>
    </row>
    <row r="341" spans="1:13" x14ac:dyDescent="0.2">
      <c r="A341">
        <v>159950</v>
      </c>
      <c r="B341" s="1">
        <v>45384</v>
      </c>
      <c r="C341">
        <v>53899</v>
      </c>
      <c r="D341" t="s">
        <v>29</v>
      </c>
      <c r="E341" t="s">
        <v>30</v>
      </c>
      <c r="F341" t="s">
        <v>31</v>
      </c>
      <c r="G341">
        <v>3</v>
      </c>
      <c r="H341">
        <v>24.99</v>
      </c>
      <c r="J341">
        <v>74.97</v>
      </c>
      <c r="K341" t="s">
        <v>36</v>
      </c>
      <c r="L341" t="s">
        <v>17</v>
      </c>
      <c r="M341" t="s">
        <v>67</v>
      </c>
    </row>
    <row r="342" spans="1:13" x14ac:dyDescent="0.2">
      <c r="A342">
        <v>160041</v>
      </c>
      <c r="B342" s="2">
        <v>45065</v>
      </c>
      <c r="C342">
        <v>78034</v>
      </c>
      <c r="D342" t="s">
        <v>29</v>
      </c>
      <c r="E342" t="s">
        <v>88</v>
      </c>
      <c r="F342" t="s">
        <v>89</v>
      </c>
      <c r="G342">
        <v>5</v>
      </c>
      <c r="H342">
        <v>34.99</v>
      </c>
      <c r="I342">
        <v>0.3</v>
      </c>
      <c r="J342">
        <v>122.46</v>
      </c>
      <c r="K342" t="s">
        <v>36</v>
      </c>
      <c r="L342" t="s">
        <v>17</v>
      </c>
      <c r="M342" t="s">
        <v>90</v>
      </c>
    </row>
    <row r="343" spans="1:13" x14ac:dyDescent="0.2">
      <c r="A343">
        <v>160167</v>
      </c>
      <c r="B343" s="2">
        <v>45035</v>
      </c>
      <c r="C343">
        <v>94076</v>
      </c>
      <c r="D343" t="s">
        <v>48</v>
      </c>
      <c r="E343" t="s">
        <v>143</v>
      </c>
      <c r="F343" t="s">
        <v>144</v>
      </c>
      <c r="G343">
        <v>1</v>
      </c>
      <c r="H343">
        <v>14.99</v>
      </c>
      <c r="J343">
        <v>14.99</v>
      </c>
      <c r="K343" t="s">
        <v>16</v>
      </c>
      <c r="L343" t="s">
        <v>23</v>
      </c>
    </row>
    <row r="344" spans="1:13" x14ac:dyDescent="0.2">
      <c r="A344">
        <v>160421</v>
      </c>
      <c r="B344" s="1">
        <v>45089</v>
      </c>
      <c r="C344">
        <v>12099</v>
      </c>
      <c r="D344" t="s">
        <v>48</v>
      </c>
      <c r="E344" t="s">
        <v>118</v>
      </c>
      <c r="F344" t="s">
        <v>119</v>
      </c>
      <c r="G344">
        <v>1</v>
      </c>
      <c r="H344">
        <v>4.74</v>
      </c>
      <c r="I344">
        <v>0.05</v>
      </c>
      <c r="J344">
        <v>4.5</v>
      </c>
      <c r="K344" t="s">
        <v>16</v>
      </c>
      <c r="L344" t="s">
        <v>17</v>
      </c>
      <c r="M344" t="s">
        <v>24</v>
      </c>
    </row>
    <row r="345" spans="1:13" x14ac:dyDescent="0.2">
      <c r="A345">
        <v>160630</v>
      </c>
      <c r="B345" s="1">
        <v>44975</v>
      </c>
      <c r="C345">
        <v>37538</v>
      </c>
      <c r="D345" t="s">
        <v>97</v>
      </c>
      <c r="E345" t="s">
        <v>151</v>
      </c>
      <c r="F345" t="s">
        <v>152</v>
      </c>
      <c r="G345">
        <v>2</v>
      </c>
      <c r="H345">
        <v>31.49</v>
      </c>
      <c r="I345">
        <v>0.1</v>
      </c>
      <c r="J345">
        <v>56.68</v>
      </c>
      <c r="K345" t="s">
        <v>36</v>
      </c>
      <c r="L345" t="s">
        <v>17</v>
      </c>
      <c r="M345" t="s">
        <v>81</v>
      </c>
    </row>
    <row r="346" spans="1:13" x14ac:dyDescent="0.2">
      <c r="A346">
        <v>160940</v>
      </c>
      <c r="B346" s="2">
        <v>44849</v>
      </c>
      <c r="C346">
        <v>17425</v>
      </c>
      <c r="D346" t="s">
        <v>25</v>
      </c>
      <c r="E346" t="s">
        <v>70</v>
      </c>
      <c r="F346" t="s">
        <v>71</v>
      </c>
      <c r="G346">
        <v>1</v>
      </c>
      <c r="H346">
        <v>89.99</v>
      </c>
      <c r="J346">
        <v>89.99</v>
      </c>
      <c r="K346" t="s">
        <v>16</v>
      </c>
      <c r="L346" t="s">
        <v>23</v>
      </c>
      <c r="M346" t="s">
        <v>81</v>
      </c>
    </row>
    <row r="347" spans="1:13" x14ac:dyDescent="0.2">
      <c r="A347">
        <v>161137</v>
      </c>
      <c r="B347" s="1">
        <v>45370</v>
      </c>
      <c r="C347">
        <v>12731</v>
      </c>
      <c r="D347" t="s">
        <v>97</v>
      </c>
      <c r="E347" t="s">
        <v>121</v>
      </c>
      <c r="F347" t="s">
        <v>122</v>
      </c>
      <c r="G347">
        <v>1</v>
      </c>
      <c r="H347">
        <v>12.99</v>
      </c>
      <c r="J347">
        <v>12.99</v>
      </c>
      <c r="K347" t="s">
        <v>16</v>
      </c>
      <c r="L347" t="s">
        <v>17</v>
      </c>
      <c r="M347" t="s">
        <v>90</v>
      </c>
    </row>
    <row r="348" spans="1:13" x14ac:dyDescent="0.2">
      <c r="A348">
        <v>161251</v>
      </c>
      <c r="B348" s="1">
        <v>45117</v>
      </c>
      <c r="C348">
        <v>57153</v>
      </c>
      <c r="D348" t="s">
        <v>82</v>
      </c>
      <c r="E348" t="s">
        <v>188</v>
      </c>
      <c r="F348" t="s">
        <v>189</v>
      </c>
      <c r="G348">
        <v>3</v>
      </c>
      <c r="H348">
        <v>44.99</v>
      </c>
      <c r="J348">
        <v>134.97</v>
      </c>
      <c r="K348" t="s">
        <v>66</v>
      </c>
      <c r="L348" t="s">
        <v>23</v>
      </c>
      <c r="M348" t="s">
        <v>33</v>
      </c>
    </row>
    <row r="349" spans="1:13" x14ac:dyDescent="0.2">
      <c r="A349">
        <v>161324</v>
      </c>
      <c r="B349" s="1">
        <v>44950</v>
      </c>
      <c r="D349" t="s">
        <v>63</v>
      </c>
      <c r="E349" t="s">
        <v>111</v>
      </c>
      <c r="F349" t="s">
        <v>112</v>
      </c>
      <c r="G349">
        <v>1</v>
      </c>
      <c r="H349">
        <v>13.49</v>
      </c>
      <c r="I349">
        <v>0.1</v>
      </c>
      <c r="J349">
        <v>12.14</v>
      </c>
      <c r="K349" t="s">
        <v>22</v>
      </c>
      <c r="L349" t="s">
        <v>17</v>
      </c>
      <c r="M349" t="s">
        <v>24</v>
      </c>
    </row>
    <row r="350" spans="1:13" x14ac:dyDescent="0.2">
      <c r="A350">
        <v>161418</v>
      </c>
      <c r="B350" s="1">
        <v>45122</v>
      </c>
      <c r="C350">
        <v>73812</v>
      </c>
      <c r="D350" t="s">
        <v>97</v>
      </c>
      <c r="E350" t="s">
        <v>193</v>
      </c>
      <c r="F350" t="s">
        <v>194</v>
      </c>
      <c r="G350">
        <v>2</v>
      </c>
      <c r="H350">
        <v>48.74</v>
      </c>
      <c r="I350">
        <v>0.25</v>
      </c>
      <c r="J350">
        <v>73.11</v>
      </c>
      <c r="K350" t="s">
        <v>36</v>
      </c>
      <c r="L350" t="s">
        <v>17</v>
      </c>
      <c r="M350" t="s">
        <v>67</v>
      </c>
    </row>
    <row r="351" spans="1:13" x14ac:dyDescent="0.2">
      <c r="A351">
        <v>161444</v>
      </c>
      <c r="B351" s="1">
        <v>44563</v>
      </c>
      <c r="C351">
        <v>70234</v>
      </c>
      <c r="D351" t="s">
        <v>29</v>
      </c>
      <c r="E351" t="s">
        <v>38</v>
      </c>
      <c r="F351" t="s">
        <v>39</v>
      </c>
      <c r="G351">
        <v>2</v>
      </c>
      <c r="H351">
        <v>26.99</v>
      </c>
      <c r="I351">
        <v>0.1</v>
      </c>
      <c r="J351">
        <v>48.58</v>
      </c>
      <c r="K351" t="s">
        <v>36</v>
      </c>
      <c r="L351" t="s">
        <v>17</v>
      </c>
      <c r="M351" t="s">
        <v>103</v>
      </c>
    </row>
    <row r="352" spans="1:13" x14ac:dyDescent="0.2">
      <c r="A352">
        <v>161471</v>
      </c>
      <c r="B352" s="2">
        <v>44947</v>
      </c>
      <c r="C352">
        <v>96462</v>
      </c>
      <c r="D352" t="s">
        <v>44</v>
      </c>
      <c r="E352" t="s">
        <v>133</v>
      </c>
      <c r="F352" t="s">
        <v>134</v>
      </c>
      <c r="G352">
        <v>1</v>
      </c>
      <c r="H352">
        <v>3.03</v>
      </c>
      <c r="I352">
        <v>0.2</v>
      </c>
      <c r="J352">
        <v>2.42</v>
      </c>
      <c r="K352" t="s">
        <v>32</v>
      </c>
      <c r="L352" t="s">
        <v>23</v>
      </c>
      <c r="M352" t="s">
        <v>54</v>
      </c>
    </row>
    <row r="353" spans="1:13" x14ac:dyDescent="0.2">
      <c r="A353">
        <v>161926</v>
      </c>
      <c r="B353" s="1">
        <v>44983</v>
      </c>
      <c r="C353">
        <v>72753</v>
      </c>
      <c r="D353" t="s">
        <v>48</v>
      </c>
      <c r="E353" t="s">
        <v>143</v>
      </c>
      <c r="F353" t="s">
        <v>144</v>
      </c>
      <c r="G353">
        <v>2</v>
      </c>
      <c r="H353">
        <v>14.24</v>
      </c>
      <c r="I353">
        <v>0.05</v>
      </c>
      <c r="J353">
        <v>27.06</v>
      </c>
      <c r="K353" t="s">
        <v>16</v>
      </c>
      <c r="L353" t="s">
        <v>17</v>
      </c>
      <c r="M353" t="s">
        <v>96</v>
      </c>
    </row>
    <row r="354" spans="1:13" x14ac:dyDescent="0.2">
      <c r="A354">
        <v>161971</v>
      </c>
      <c r="B354" s="2">
        <v>44960</v>
      </c>
      <c r="C354">
        <v>59073</v>
      </c>
      <c r="D354" t="s">
        <v>97</v>
      </c>
      <c r="E354" t="s">
        <v>135</v>
      </c>
      <c r="F354" t="s">
        <v>136</v>
      </c>
      <c r="G354">
        <v>1</v>
      </c>
      <c r="H354">
        <v>9.49</v>
      </c>
      <c r="I354">
        <v>0.05</v>
      </c>
      <c r="J354">
        <v>9.02</v>
      </c>
      <c r="K354" t="s">
        <v>16</v>
      </c>
      <c r="L354" t="s">
        <v>37</v>
      </c>
      <c r="M354" t="s">
        <v>161</v>
      </c>
    </row>
    <row r="355" spans="1:13" x14ac:dyDescent="0.2">
      <c r="A355">
        <v>162171</v>
      </c>
      <c r="B355" s="1">
        <v>45351</v>
      </c>
      <c r="C355">
        <v>45186</v>
      </c>
      <c r="D355" t="s">
        <v>63</v>
      </c>
      <c r="E355" t="s">
        <v>111</v>
      </c>
      <c r="F355" t="s">
        <v>112</v>
      </c>
      <c r="G355">
        <v>5</v>
      </c>
      <c r="H355">
        <v>11.24</v>
      </c>
      <c r="I355">
        <v>0.25</v>
      </c>
      <c r="J355">
        <v>42.15</v>
      </c>
      <c r="K355" t="s">
        <v>36</v>
      </c>
      <c r="L355" t="s">
        <v>17</v>
      </c>
      <c r="M355" t="s">
        <v>103</v>
      </c>
    </row>
    <row r="356" spans="1:13" x14ac:dyDescent="0.2">
      <c r="A356">
        <v>162255</v>
      </c>
      <c r="B356" s="1">
        <v>44649</v>
      </c>
      <c r="C356">
        <v>19051</v>
      </c>
      <c r="D356" t="s">
        <v>13</v>
      </c>
      <c r="E356" t="s">
        <v>104</v>
      </c>
      <c r="F356" t="s">
        <v>105</v>
      </c>
      <c r="G356">
        <v>3</v>
      </c>
      <c r="H356">
        <v>20.99</v>
      </c>
      <c r="I356">
        <v>0.3</v>
      </c>
      <c r="J356">
        <v>44.08</v>
      </c>
      <c r="K356" t="s">
        <v>53</v>
      </c>
      <c r="L356" t="s">
        <v>37</v>
      </c>
      <c r="M356" t="s">
        <v>161</v>
      </c>
    </row>
    <row r="357" spans="1:13" x14ac:dyDescent="0.2">
      <c r="A357">
        <v>162528</v>
      </c>
      <c r="B357" s="2">
        <v>45415</v>
      </c>
      <c r="C357">
        <v>26413</v>
      </c>
      <c r="D357" t="s">
        <v>40</v>
      </c>
      <c r="E357" t="s">
        <v>41</v>
      </c>
      <c r="F357" t="s">
        <v>42</v>
      </c>
      <c r="G357">
        <v>3</v>
      </c>
      <c r="H357">
        <v>4.1900000000000004</v>
      </c>
      <c r="I357">
        <v>0.3</v>
      </c>
      <c r="J357">
        <v>8.8000000000000007</v>
      </c>
      <c r="K357" t="s">
        <v>16</v>
      </c>
      <c r="L357" t="s">
        <v>17</v>
      </c>
      <c r="M357" t="s">
        <v>18</v>
      </c>
    </row>
    <row r="358" spans="1:13" x14ac:dyDescent="0.2">
      <c r="A358">
        <v>162587</v>
      </c>
      <c r="B358" s="1">
        <v>45073</v>
      </c>
      <c r="C358">
        <v>47136</v>
      </c>
      <c r="D358" t="s">
        <v>85</v>
      </c>
      <c r="E358" t="s">
        <v>129</v>
      </c>
      <c r="F358" t="s">
        <v>130</v>
      </c>
      <c r="G358">
        <v>2</v>
      </c>
      <c r="H358">
        <v>6.29</v>
      </c>
      <c r="I358">
        <v>0.3</v>
      </c>
      <c r="J358">
        <v>8.81</v>
      </c>
      <c r="K358" t="s">
        <v>53</v>
      </c>
      <c r="L358" t="s">
        <v>17</v>
      </c>
      <c r="M358" t="s">
        <v>33</v>
      </c>
    </row>
    <row r="359" spans="1:13" x14ac:dyDescent="0.2">
      <c r="A359">
        <v>162663</v>
      </c>
      <c r="B359" s="2">
        <v>44889</v>
      </c>
      <c r="C359">
        <v>72482</v>
      </c>
      <c r="D359" t="s">
        <v>40</v>
      </c>
      <c r="E359" t="s">
        <v>41</v>
      </c>
      <c r="F359" t="s">
        <v>42</v>
      </c>
      <c r="G359">
        <v>5</v>
      </c>
      <c r="H359">
        <v>4.49</v>
      </c>
      <c r="I359">
        <v>0.25</v>
      </c>
      <c r="J359">
        <v>16.84</v>
      </c>
      <c r="K359" t="s">
        <v>95</v>
      </c>
      <c r="L359" t="s">
        <v>17</v>
      </c>
      <c r="M359" t="s">
        <v>18</v>
      </c>
    </row>
    <row r="360" spans="1:13" x14ac:dyDescent="0.2">
      <c r="A360">
        <v>162838</v>
      </c>
      <c r="B360" s="2">
        <v>45135</v>
      </c>
      <c r="C360">
        <v>69159</v>
      </c>
      <c r="D360" t="s">
        <v>25</v>
      </c>
      <c r="E360" t="s">
        <v>51</v>
      </c>
      <c r="F360" t="s">
        <v>52</v>
      </c>
      <c r="G360">
        <v>1</v>
      </c>
      <c r="H360">
        <v>23.79</v>
      </c>
      <c r="I360">
        <v>0.15</v>
      </c>
      <c r="J360">
        <v>20.22</v>
      </c>
      <c r="K360" t="s">
        <v>36</v>
      </c>
      <c r="L360" t="s">
        <v>17</v>
      </c>
      <c r="M360" t="s">
        <v>33</v>
      </c>
    </row>
    <row r="361" spans="1:13" x14ac:dyDescent="0.2">
      <c r="A361">
        <v>162866</v>
      </c>
      <c r="B361" s="1">
        <v>44821</v>
      </c>
      <c r="C361">
        <v>87620</v>
      </c>
      <c r="D361" t="s">
        <v>48</v>
      </c>
      <c r="E361" t="s">
        <v>179</v>
      </c>
      <c r="F361" t="s">
        <v>180</v>
      </c>
      <c r="G361">
        <v>1</v>
      </c>
      <c r="H361">
        <v>11.99</v>
      </c>
      <c r="J361">
        <v>11.99</v>
      </c>
      <c r="K361" t="s">
        <v>16</v>
      </c>
      <c r="L361" t="s">
        <v>37</v>
      </c>
      <c r="M361" t="s">
        <v>96</v>
      </c>
    </row>
    <row r="362" spans="1:13" x14ac:dyDescent="0.2">
      <c r="A362">
        <v>162880</v>
      </c>
      <c r="B362" s="1">
        <v>44912</v>
      </c>
      <c r="C362">
        <v>46209</v>
      </c>
      <c r="D362" t="s">
        <v>85</v>
      </c>
      <c r="E362" t="s">
        <v>149</v>
      </c>
      <c r="F362" t="s">
        <v>150</v>
      </c>
      <c r="G362">
        <v>1</v>
      </c>
      <c r="H362">
        <v>19.989999999999998</v>
      </c>
      <c r="J362">
        <v>19.989999999999998</v>
      </c>
      <c r="K362" t="s">
        <v>16</v>
      </c>
      <c r="L362" t="s">
        <v>17</v>
      </c>
      <c r="M362" t="s">
        <v>43</v>
      </c>
    </row>
    <row r="363" spans="1:13" x14ac:dyDescent="0.2">
      <c r="A363">
        <v>162985</v>
      </c>
      <c r="B363" s="1">
        <v>44622</v>
      </c>
      <c r="C363">
        <v>21405</v>
      </c>
      <c r="D363" t="s">
        <v>97</v>
      </c>
      <c r="E363" t="s">
        <v>193</v>
      </c>
      <c r="F363" t="s">
        <v>194</v>
      </c>
      <c r="G363">
        <v>1</v>
      </c>
      <c r="H363">
        <v>45.49</v>
      </c>
      <c r="I363">
        <v>0.3</v>
      </c>
      <c r="J363">
        <v>31.84</v>
      </c>
      <c r="K363" t="s">
        <v>53</v>
      </c>
      <c r="L363" t="s">
        <v>17</v>
      </c>
      <c r="M363" t="s">
        <v>33</v>
      </c>
    </row>
    <row r="364" spans="1:13" x14ac:dyDescent="0.2">
      <c r="A364">
        <v>163460</v>
      </c>
      <c r="B364" s="2">
        <v>45136</v>
      </c>
      <c r="C364">
        <v>37940</v>
      </c>
      <c r="D364" t="s">
        <v>63</v>
      </c>
      <c r="E364" t="s">
        <v>111</v>
      </c>
      <c r="F364" t="s">
        <v>112</v>
      </c>
      <c r="G364">
        <v>2</v>
      </c>
      <c r="H364">
        <v>12.74</v>
      </c>
      <c r="I364">
        <v>0.15</v>
      </c>
      <c r="J364">
        <v>21.66</v>
      </c>
      <c r="K364" t="s">
        <v>16</v>
      </c>
      <c r="L364" t="s">
        <v>17</v>
      </c>
      <c r="M364" t="s">
        <v>62</v>
      </c>
    </row>
    <row r="365" spans="1:13" x14ac:dyDescent="0.2">
      <c r="A365">
        <v>163526</v>
      </c>
      <c r="B365" s="1">
        <v>44643</v>
      </c>
      <c r="C365">
        <v>70182</v>
      </c>
      <c r="D365" t="s">
        <v>29</v>
      </c>
      <c r="E365" t="s">
        <v>170</v>
      </c>
      <c r="F365" t="s">
        <v>171</v>
      </c>
      <c r="G365">
        <v>2</v>
      </c>
      <c r="H365">
        <v>14.99</v>
      </c>
      <c r="J365">
        <v>29.98</v>
      </c>
      <c r="K365" t="s">
        <v>22</v>
      </c>
      <c r="L365" t="s">
        <v>37</v>
      </c>
      <c r="M365" t="s">
        <v>18</v>
      </c>
    </row>
    <row r="366" spans="1:13" x14ac:dyDescent="0.2">
      <c r="A366">
        <v>164029</v>
      </c>
      <c r="B366" s="1">
        <v>44903</v>
      </c>
      <c r="C366">
        <v>51775</v>
      </c>
      <c r="D366" t="s">
        <v>29</v>
      </c>
      <c r="E366" t="s">
        <v>170</v>
      </c>
      <c r="F366" t="s">
        <v>171</v>
      </c>
      <c r="G366">
        <v>3</v>
      </c>
      <c r="H366">
        <v>14.99</v>
      </c>
      <c r="J366">
        <v>44.97</v>
      </c>
      <c r="K366" t="s">
        <v>53</v>
      </c>
      <c r="L366" t="s">
        <v>23</v>
      </c>
      <c r="M366" t="s">
        <v>96</v>
      </c>
    </row>
    <row r="367" spans="1:13" x14ac:dyDescent="0.2">
      <c r="A367">
        <v>164153</v>
      </c>
      <c r="B367" s="2">
        <v>45218</v>
      </c>
      <c r="C367">
        <v>37617</v>
      </c>
      <c r="D367" t="s">
        <v>44</v>
      </c>
      <c r="E367" t="s">
        <v>162</v>
      </c>
      <c r="F367" t="s">
        <v>163</v>
      </c>
      <c r="G367">
        <v>3</v>
      </c>
      <c r="H367">
        <v>7.19</v>
      </c>
      <c r="I367">
        <v>0.1</v>
      </c>
      <c r="J367">
        <v>19.41</v>
      </c>
      <c r="K367" t="s">
        <v>95</v>
      </c>
      <c r="L367" t="s">
        <v>17</v>
      </c>
      <c r="M367" t="s">
        <v>28</v>
      </c>
    </row>
    <row r="368" spans="1:13" x14ac:dyDescent="0.2">
      <c r="A368">
        <v>164211</v>
      </c>
      <c r="B368" s="1">
        <v>45073</v>
      </c>
      <c r="C368">
        <v>90680</v>
      </c>
      <c r="D368" t="s">
        <v>25</v>
      </c>
      <c r="E368" t="s">
        <v>70</v>
      </c>
      <c r="F368" t="s">
        <v>71</v>
      </c>
      <c r="G368">
        <v>2</v>
      </c>
      <c r="H368">
        <v>76.489999999999995</v>
      </c>
      <c r="I368">
        <v>0.15</v>
      </c>
      <c r="J368">
        <v>130.03</v>
      </c>
      <c r="K368" t="s">
        <v>36</v>
      </c>
      <c r="L368" t="s">
        <v>23</v>
      </c>
      <c r="M368" t="s">
        <v>76</v>
      </c>
    </row>
    <row r="369" spans="1:13" x14ac:dyDescent="0.2">
      <c r="A369">
        <v>164226</v>
      </c>
      <c r="B369" s="2">
        <v>44695</v>
      </c>
      <c r="C369">
        <v>60899</v>
      </c>
      <c r="D369" t="s">
        <v>82</v>
      </c>
      <c r="E369" t="s">
        <v>147</v>
      </c>
      <c r="F369" t="s">
        <v>148</v>
      </c>
      <c r="G369">
        <v>1</v>
      </c>
      <c r="H369">
        <v>12.34</v>
      </c>
      <c r="I369">
        <v>0.05</v>
      </c>
      <c r="J369">
        <v>11.72</v>
      </c>
      <c r="K369" t="s">
        <v>36</v>
      </c>
      <c r="L369" t="s">
        <v>17</v>
      </c>
      <c r="M369" t="s">
        <v>161</v>
      </c>
    </row>
    <row r="370" spans="1:13" x14ac:dyDescent="0.2">
      <c r="A370">
        <v>164279</v>
      </c>
      <c r="B370" s="1">
        <v>45596</v>
      </c>
      <c r="C370">
        <v>15171</v>
      </c>
      <c r="D370" t="s">
        <v>97</v>
      </c>
      <c r="E370" t="s">
        <v>151</v>
      </c>
      <c r="F370" t="s">
        <v>152</v>
      </c>
      <c r="G370">
        <v>5</v>
      </c>
      <c r="H370">
        <v>26.24</v>
      </c>
      <c r="I370">
        <v>0.25</v>
      </c>
      <c r="J370">
        <v>98.4</v>
      </c>
      <c r="K370" t="s">
        <v>36</v>
      </c>
      <c r="L370" t="s">
        <v>17</v>
      </c>
      <c r="M370" t="s">
        <v>62</v>
      </c>
    </row>
    <row r="371" spans="1:13" x14ac:dyDescent="0.2">
      <c r="A371">
        <v>164630</v>
      </c>
      <c r="B371" s="1">
        <v>44614</v>
      </c>
      <c r="C371">
        <v>57094</v>
      </c>
      <c r="D371" t="s">
        <v>44</v>
      </c>
      <c r="E371" t="s">
        <v>190</v>
      </c>
      <c r="F371" t="s">
        <v>191</v>
      </c>
      <c r="G371">
        <v>1</v>
      </c>
      <c r="H371">
        <v>4.29</v>
      </c>
      <c r="J371">
        <v>4.29</v>
      </c>
      <c r="K371" t="s">
        <v>16</v>
      </c>
      <c r="L371" t="s">
        <v>37</v>
      </c>
      <c r="M371" t="s">
        <v>117</v>
      </c>
    </row>
    <row r="372" spans="1:13" x14ac:dyDescent="0.2">
      <c r="A372">
        <v>164831</v>
      </c>
      <c r="B372" s="1">
        <v>44975</v>
      </c>
      <c r="C372">
        <v>38148</v>
      </c>
      <c r="D372" t="s">
        <v>48</v>
      </c>
      <c r="E372" t="s">
        <v>109</v>
      </c>
      <c r="F372" t="s">
        <v>110</v>
      </c>
      <c r="G372">
        <v>2</v>
      </c>
      <c r="H372">
        <v>5.24</v>
      </c>
      <c r="I372">
        <v>0.25</v>
      </c>
      <c r="J372">
        <v>7.86</v>
      </c>
      <c r="K372" t="s">
        <v>16</v>
      </c>
      <c r="L372" t="s">
        <v>17</v>
      </c>
      <c r="M372" t="s">
        <v>67</v>
      </c>
    </row>
    <row r="373" spans="1:13" x14ac:dyDescent="0.2">
      <c r="A373">
        <v>165364</v>
      </c>
      <c r="B373" s="2">
        <v>45001</v>
      </c>
      <c r="C373">
        <v>90060</v>
      </c>
      <c r="D373" t="s">
        <v>25</v>
      </c>
      <c r="E373" t="s">
        <v>60</v>
      </c>
      <c r="F373" t="s">
        <v>61</v>
      </c>
      <c r="G373">
        <v>1</v>
      </c>
      <c r="H373">
        <v>38.49</v>
      </c>
      <c r="I373">
        <v>0.3</v>
      </c>
      <c r="J373">
        <v>26.94</v>
      </c>
      <c r="K373" t="s">
        <v>16</v>
      </c>
      <c r="L373" t="s">
        <v>17</v>
      </c>
      <c r="M373" t="s">
        <v>47</v>
      </c>
    </row>
    <row r="374" spans="1:13" x14ac:dyDescent="0.2">
      <c r="A374">
        <v>165477</v>
      </c>
      <c r="B374" s="1">
        <v>44787</v>
      </c>
      <c r="C374">
        <v>74008</v>
      </c>
      <c r="D374" t="s">
        <v>97</v>
      </c>
      <c r="E374" t="s">
        <v>121</v>
      </c>
      <c r="F374" t="s">
        <v>122</v>
      </c>
      <c r="G374">
        <v>5</v>
      </c>
      <c r="H374">
        <v>11.04</v>
      </c>
      <c r="I374">
        <v>0.15</v>
      </c>
      <c r="J374">
        <v>46.92</v>
      </c>
      <c r="K374" t="s">
        <v>95</v>
      </c>
      <c r="L374" t="s">
        <v>17</v>
      </c>
      <c r="M374" t="s">
        <v>43</v>
      </c>
    </row>
    <row r="375" spans="1:13" x14ac:dyDescent="0.2">
      <c r="A375">
        <v>165706</v>
      </c>
      <c r="B375" s="1">
        <v>45200</v>
      </c>
      <c r="D375" t="s">
        <v>85</v>
      </c>
      <c r="E375" t="s">
        <v>86</v>
      </c>
      <c r="F375" t="s">
        <v>87</v>
      </c>
      <c r="G375">
        <v>1</v>
      </c>
      <c r="H375">
        <v>12.99</v>
      </c>
      <c r="J375">
        <v>12.99</v>
      </c>
      <c r="K375" t="s">
        <v>22</v>
      </c>
      <c r="L375" t="s">
        <v>23</v>
      </c>
      <c r="M375" t="s">
        <v>76</v>
      </c>
    </row>
    <row r="376" spans="1:13" x14ac:dyDescent="0.2">
      <c r="A376">
        <v>165715</v>
      </c>
      <c r="B376" s="1">
        <v>44886</v>
      </c>
      <c r="C376">
        <v>65789</v>
      </c>
      <c r="D376" t="s">
        <v>44</v>
      </c>
      <c r="E376" t="s">
        <v>91</v>
      </c>
      <c r="F376" t="s">
        <v>92</v>
      </c>
      <c r="G376">
        <v>2</v>
      </c>
      <c r="H376">
        <v>5.98</v>
      </c>
      <c r="I376">
        <v>0.05</v>
      </c>
      <c r="J376">
        <v>11.36</v>
      </c>
      <c r="K376" t="s">
        <v>95</v>
      </c>
      <c r="L376" t="s">
        <v>17</v>
      </c>
      <c r="M376" t="s">
        <v>33</v>
      </c>
    </row>
    <row r="377" spans="1:13" x14ac:dyDescent="0.2">
      <c r="A377">
        <v>166052</v>
      </c>
      <c r="B377" s="1">
        <v>44613</v>
      </c>
      <c r="C377">
        <v>68891</v>
      </c>
      <c r="D377" t="s">
        <v>44</v>
      </c>
      <c r="E377" t="s">
        <v>184</v>
      </c>
      <c r="F377" t="s">
        <v>185</v>
      </c>
      <c r="G377">
        <v>2</v>
      </c>
      <c r="H377">
        <v>5.22</v>
      </c>
      <c r="I377">
        <v>0.05</v>
      </c>
      <c r="J377">
        <v>9.92</v>
      </c>
      <c r="K377" t="s">
        <v>36</v>
      </c>
      <c r="L377" t="s">
        <v>17</v>
      </c>
      <c r="M377" t="s">
        <v>120</v>
      </c>
    </row>
    <row r="378" spans="1:13" x14ac:dyDescent="0.2">
      <c r="A378">
        <v>166070</v>
      </c>
      <c r="B378" s="1">
        <v>44995</v>
      </c>
      <c r="C378">
        <v>76495</v>
      </c>
      <c r="D378" t="s">
        <v>85</v>
      </c>
      <c r="E378" t="s">
        <v>86</v>
      </c>
      <c r="F378" t="s">
        <v>87</v>
      </c>
      <c r="G378">
        <v>3</v>
      </c>
      <c r="H378">
        <v>12.34</v>
      </c>
      <c r="I378">
        <v>0.05</v>
      </c>
      <c r="J378">
        <v>35.17</v>
      </c>
      <c r="K378" t="s">
        <v>36</v>
      </c>
      <c r="L378" t="s">
        <v>17</v>
      </c>
      <c r="M378" t="s">
        <v>67</v>
      </c>
    </row>
    <row r="379" spans="1:13" x14ac:dyDescent="0.2">
      <c r="A379">
        <v>166101</v>
      </c>
      <c r="B379" s="1">
        <v>45531</v>
      </c>
      <c r="C379">
        <v>85057</v>
      </c>
      <c r="D379" t="s">
        <v>13</v>
      </c>
      <c r="E379" t="s">
        <v>104</v>
      </c>
      <c r="F379" t="s">
        <v>105</v>
      </c>
      <c r="G379">
        <v>1</v>
      </c>
      <c r="H379">
        <v>29.99</v>
      </c>
      <c r="J379">
        <v>29.99</v>
      </c>
      <c r="K379" t="s">
        <v>22</v>
      </c>
      <c r="L379" t="s">
        <v>17</v>
      </c>
    </row>
    <row r="380" spans="1:13" x14ac:dyDescent="0.2">
      <c r="A380">
        <v>166177</v>
      </c>
      <c r="B380" s="1">
        <v>45051</v>
      </c>
      <c r="C380">
        <v>53604</v>
      </c>
      <c r="D380" t="s">
        <v>25</v>
      </c>
      <c r="E380" t="s">
        <v>113</v>
      </c>
      <c r="F380" t="s">
        <v>114</v>
      </c>
      <c r="G380">
        <v>2</v>
      </c>
      <c r="H380">
        <v>89.99</v>
      </c>
      <c r="I380">
        <v>0.25</v>
      </c>
      <c r="J380">
        <v>134.97999999999999</v>
      </c>
      <c r="K380" t="s">
        <v>36</v>
      </c>
      <c r="L380" t="s">
        <v>17</v>
      </c>
      <c r="M380" t="s">
        <v>123</v>
      </c>
    </row>
    <row r="381" spans="1:13" x14ac:dyDescent="0.2">
      <c r="A381">
        <v>166325</v>
      </c>
      <c r="B381" s="1">
        <v>44570</v>
      </c>
      <c r="C381">
        <v>87210</v>
      </c>
      <c r="D381" t="s">
        <v>13</v>
      </c>
      <c r="E381" t="s">
        <v>34</v>
      </c>
      <c r="F381" t="s">
        <v>35</v>
      </c>
      <c r="G381">
        <v>5</v>
      </c>
      <c r="H381">
        <v>24.49</v>
      </c>
      <c r="J381">
        <v>122.45</v>
      </c>
      <c r="K381" t="s">
        <v>32</v>
      </c>
      <c r="L381" t="s">
        <v>17</v>
      </c>
      <c r="M381" t="s">
        <v>117</v>
      </c>
    </row>
    <row r="382" spans="1:13" x14ac:dyDescent="0.2">
      <c r="A382">
        <v>166369</v>
      </c>
      <c r="B382" s="1">
        <v>45341</v>
      </c>
      <c r="C382">
        <v>60007</v>
      </c>
      <c r="D382" t="s">
        <v>44</v>
      </c>
      <c r="E382" t="s">
        <v>93</v>
      </c>
      <c r="F382" t="s">
        <v>94</v>
      </c>
      <c r="G382">
        <v>4</v>
      </c>
      <c r="H382">
        <v>0.9</v>
      </c>
      <c r="I382">
        <v>0.3</v>
      </c>
      <c r="J382">
        <v>2.52</v>
      </c>
      <c r="K382" t="s">
        <v>16</v>
      </c>
      <c r="L382" t="s">
        <v>17</v>
      </c>
      <c r="M382" t="s">
        <v>81</v>
      </c>
    </row>
    <row r="383" spans="1:13" x14ac:dyDescent="0.2">
      <c r="A383">
        <v>166574</v>
      </c>
      <c r="B383" s="1">
        <v>45495</v>
      </c>
      <c r="C383">
        <v>64718</v>
      </c>
      <c r="D383" t="s">
        <v>85</v>
      </c>
      <c r="E383" t="s">
        <v>149</v>
      </c>
      <c r="F383" t="s">
        <v>150</v>
      </c>
      <c r="G383">
        <v>1</v>
      </c>
      <c r="H383">
        <v>15.99</v>
      </c>
      <c r="I383">
        <v>0.2</v>
      </c>
      <c r="J383">
        <v>12.79</v>
      </c>
      <c r="K383" t="s">
        <v>16</v>
      </c>
      <c r="L383" t="s">
        <v>17</v>
      </c>
      <c r="M383" t="s">
        <v>96</v>
      </c>
    </row>
    <row r="384" spans="1:13" x14ac:dyDescent="0.2">
      <c r="A384">
        <v>166947</v>
      </c>
      <c r="B384" s="1">
        <v>44646</v>
      </c>
      <c r="C384">
        <v>59251</v>
      </c>
      <c r="D384" t="s">
        <v>63</v>
      </c>
      <c r="E384" t="s">
        <v>111</v>
      </c>
      <c r="F384" t="s">
        <v>112</v>
      </c>
      <c r="G384">
        <v>3</v>
      </c>
      <c r="H384">
        <v>10.49</v>
      </c>
      <c r="I384">
        <v>0.3</v>
      </c>
      <c r="J384">
        <v>22.03</v>
      </c>
      <c r="K384" t="s">
        <v>16</v>
      </c>
      <c r="L384" t="s">
        <v>17</v>
      </c>
      <c r="M384" t="s">
        <v>28</v>
      </c>
    </row>
    <row r="385" spans="1:13" x14ac:dyDescent="0.2">
      <c r="A385">
        <v>167054</v>
      </c>
      <c r="B385" s="2">
        <v>44662</v>
      </c>
      <c r="C385">
        <v>95732</v>
      </c>
      <c r="D385" t="s">
        <v>63</v>
      </c>
      <c r="E385" t="s">
        <v>64</v>
      </c>
      <c r="F385" t="s">
        <v>65</v>
      </c>
      <c r="G385">
        <v>3</v>
      </c>
      <c r="H385">
        <v>3.49</v>
      </c>
      <c r="I385">
        <v>0.3</v>
      </c>
      <c r="J385">
        <v>7.33</v>
      </c>
      <c r="K385" t="s">
        <v>16</v>
      </c>
      <c r="L385" t="s">
        <v>37</v>
      </c>
      <c r="M385" t="s">
        <v>103</v>
      </c>
    </row>
    <row r="386" spans="1:13" x14ac:dyDescent="0.2">
      <c r="A386">
        <v>167145</v>
      </c>
      <c r="B386" s="2">
        <v>45289</v>
      </c>
      <c r="C386">
        <v>78891</v>
      </c>
      <c r="D386" t="s">
        <v>44</v>
      </c>
      <c r="E386" t="s">
        <v>74</v>
      </c>
      <c r="F386" t="s">
        <v>75</v>
      </c>
      <c r="G386">
        <v>1</v>
      </c>
      <c r="H386">
        <v>2.99</v>
      </c>
      <c r="J386">
        <v>2.99</v>
      </c>
      <c r="K386" t="s">
        <v>16</v>
      </c>
      <c r="L386" t="s">
        <v>37</v>
      </c>
      <c r="M386" t="s">
        <v>54</v>
      </c>
    </row>
    <row r="387" spans="1:13" x14ac:dyDescent="0.2">
      <c r="A387">
        <v>167282</v>
      </c>
      <c r="B387" s="1">
        <v>45336</v>
      </c>
      <c r="C387">
        <v>28546</v>
      </c>
      <c r="D387" t="s">
        <v>85</v>
      </c>
      <c r="E387" t="s">
        <v>145</v>
      </c>
      <c r="F387" t="s">
        <v>146</v>
      </c>
      <c r="G387">
        <v>2</v>
      </c>
      <c r="H387">
        <v>16.14</v>
      </c>
      <c r="I387">
        <v>0.05</v>
      </c>
      <c r="J387">
        <v>30.67</v>
      </c>
      <c r="K387" t="s">
        <v>22</v>
      </c>
      <c r="L387" t="s">
        <v>17</v>
      </c>
      <c r="M387" t="s">
        <v>96</v>
      </c>
    </row>
    <row r="388" spans="1:13" x14ac:dyDescent="0.2">
      <c r="A388">
        <v>167755</v>
      </c>
      <c r="B388" s="1">
        <v>44937</v>
      </c>
      <c r="C388">
        <v>93147</v>
      </c>
      <c r="D388" t="s">
        <v>48</v>
      </c>
      <c r="E388" t="s">
        <v>139</v>
      </c>
      <c r="F388" t="s">
        <v>140</v>
      </c>
      <c r="G388">
        <v>3</v>
      </c>
      <c r="H388">
        <v>5.99</v>
      </c>
      <c r="I388">
        <v>0.25</v>
      </c>
      <c r="J388">
        <v>13.48</v>
      </c>
      <c r="K388" t="s">
        <v>16</v>
      </c>
      <c r="L388" t="s">
        <v>17</v>
      </c>
      <c r="M388" t="s">
        <v>81</v>
      </c>
    </row>
    <row r="389" spans="1:13" x14ac:dyDescent="0.2">
      <c r="A389">
        <v>167897</v>
      </c>
      <c r="B389" s="1">
        <v>45524</v>
      </c>
      <c r="C389">
        <v>20472</v>
      </c>
      <c r="D389" t="s">
        <v>82</v>
      </c>
      <c r="E389" t="s">
        <v>155</v>
      </c>
      <c r="F389" t="s">
        <v>156</v>
      </c>
      <c r="G389">
        <v>1</v>
      </c>
      <c r="H389">
        <v>13.99</v>
      </c>
      <c r="I389">
        <v>0.3</v>
      </c>
      <c r="J389">
        <v>9.7899999999999991</v>
      </c>
      <c r="K389" t="s">
        <v>36</v>
      </c>
      <c r="L389" t="s">
        <v>17</v>
      </c>
      <c r="M389" t="s">
        <v>54</v>
      </c>
    </row>
    <row r="390" spans="1:13" x14ac:dyDescent="0.2">
      <c r="A390">
        <v>168234</v>
      </c>
      <c r="B390" s="1">
        <v>44797</v>
      </c>
      <c r="C390">
        <v>37552</v>
      </c>
      <c r="D390" t="s">
        <v>40</v>
      </c>
      <c r="E390" t="s">
        <v>58</v>
      </c>
      <c r="F390" t="s">
        <v>59</v>
      </c>
      <c r="G390">
        <v>3</v>
      </c>
      <c r="H390">
        <v>3.99</v>
      </c>
      <c r="J390">
        <v>11.97</v>
      </c>
      <c r="K390" t="s">
        <v>22</v>
      </c>
      <c r="L390" t="s">
        <v>37</v>
      </c>
    </row>
    <row r="391" spans="1:13" x14ac:dyDescent="0.2">
      <c r="A391">
        <v>168288</v>
      </c>
      <c r="B391" s="2">
        <v>45066</v>
      </c>
      <c r="C391">
        <v>62247</v>
      </c>
      <c r="D391" t="s">
        <v>97</v>
      </c>
      <c r="E391" t="s">
        <v>151</v>
      </c>
      <c r="F391" t="s">
        <v>152</v>
      </c>
      <c r="G391">
        <v>3</v>
      </c>
      <c r="H391">
        <v>31.49</v>
      </c>
      <c r="I391">
        <v>0.1</v>
      </c>
      <c r="J391">
        <v>85.02</v>
      </c>
      <c r="K391" t="s">
        <v>16</v>
      </c>
      <c r="L391" t="s">
        <v>17</v>
      </c>
      <c r="M391" t="s">
        <v>33</v>
      </c>
    </row>
    <row r="392" spans="1:13" x14ac:dyDescent="0.2">
      <c r="A392">
        <v>168545</v>
      </c>
      <c r="B392" s="2">
        <v>45400</v>
      </c>
      <c r="C392">
        <v>87768</v>
      </c>
      <c r="D392" t="s">
        <v>29</v>
      </c>
      <c r="E392" t="s">
        <v>170</v>
      </c>
      <c r="F392" t="s">
        <v>171</v>
      </c>
      <c r="G392">
        <v>4</v>
      </c>
      <c r="H392">
        <v>11.24</v>
      </c>
      <c r="I392">
        <v>0.25</v>
      </c>
      <c r="J392">
        <v>33.72</v>
      </c>
      <c r="K392" t="s">
        <v>16</v>
      </c>
      <c r="L392" t="s">
        <v>17</v>
      </c>
      <c r="M392" t="s">
        <v>81</v>
      </c>
    </row>
    <row r="393" spans="1:13" x14ac:dyDescent="0.2">
      <c r="A393">
        <v>168637</v>
      </c>
      <c r="B393" s="1">
        <v>45213</v>
      </c>
      <c r="C393">
        <v>12440</v>
      </c>
      <c r="D393" t="s">
        <v>97</v>
      </c>
      <c r="E393" t="s">
        <v>165</v>
      </c>
      <c r="F393" t="s">
        <v>166</v>
      </c>
      <c r="G393">
        <v>2</v>
      </c>
      <c r="H393">
        <v>67.489999999999995</v>
      </c>
      <c r="I393">
        <v>0.25</v>
      </c>
      <c r="J393">
        <v>101.23</v>
      </c>
      <c r="K393" t="s">
        <v>16</v>
      </c>
      <c r="L393" t="s">
        <v>17</v>
      </c>
      <c r="M393" t="s">
        <v>62</v>
      </c>
    </row>
    <row r="394" spans="1:13" x14ac:dyDescent="0.2">
      <c r="A394">
        <v>168776</v>
      </c>
      <c r="B394" s="1">
        <v>45321</v>
      </c>
      <c r="C394">
        <v>78637</v>
      </c>
      <c r="D394" t="s">
        <v>13</v>
      </c>
      <c r="E394" t="s">
        <v>127</v>
      </c>
      <c r="F394" t="s">
        <v>128</v>
      </c>
      <c r="G394">
        <v>5</v>
      </c>
      <c r="H394">
        <v>18.989999999999998</v>
      </c>
      <c r="I394">
        <v>0.05</v>
      </c>
      <c r="J394">
        <v>90.2</v>
      </c>
      <c r="K394" t="s">
        <v>16</v>
      </c>
      <c r="L394" t="s">
        <v>37</v>
      </c>
      <c r="M394" t="s">
        <v>90</v>
      </c>
    </row>
    <row r="395" spans="1:13" x14ac:dyDescent="0.2">
      <c r="A395">
        <v>169067</v>
      </c>
      <c r="B395" s="1">
        <v>45514</v>
      </c>
      <c r="C395">
        <v>79639</v>
      </c>
      <c r="D395" t="s">
        <v>106</v>
      </c>
      <c r="E395" t="s">
        <v>162</v>
      </c>
      <c r="F395" t="s">
        <v>163</v>
      </c>
      <c r="G395">
        <v>4</v>
      </c>
      <c r="H395">
        <v>6.39</v>
      </c>
      <c r="I395">
        <v>0.2</v>
      </c>
      <c r="J395">
        <v>20.45</v>
      </c>
      <c r="K395" t="s">
        <v>36</v>
      </c>
      <c r="L395" t="s">
        <v>17</v>
      </c>
      <c r="M395" t="s">
        <v>96</v>
      </c>
    </row>
    <row r="396" spans="1:13" x14ac:dyDescent="0.2">
      <c r="A396">
        <v>169237</v>
      </c>
      <c r="B396" s="1">
        <v>45084</v>
      </c>
      <c r="C396">
        <v>75225</v>
      </c>
      <c r="D396" t="s">
        <v>85</v>
      </c>
      <c r="E396" t="s">
        <v>157</v>
      </c>
      <c r="F396" t="s">
        <v>158</v>
      </c>
      <c r="G396">
        <v>3</v>
      </c>
      <c r="H396">
        <v>12.14</v>
      </c>
      <c r="I396">
        <v>0.1</v>
      </c>
      <c r="J396">
        <v>32.78</v>
      </c>
      <c r="K396" t="s">
        <v>36</v>
      </c>
      <c r="L396" t="s">
        <v>23</v>
      </c>
      <c r="M396" t="s">
        <v>28</v>
      </c>
    </row>
    <row r="397" spans="1:13" x14ac:dyDescent="0.2">
      <c r="A397">
        <v>169243</v>
      </c>
      <c r="B397" s="1">
        <v>44924</v>
      </c>
      <c r="C397">
        <v>84660</v>
      </c>
      <c r="D397" t="s">
        <v>48</v>
      </c>
      <c r="E397" t="s">
        <v>109</v>
      </c>
      <c r="F397" t="s">
        <v>110</v>
      </c>
      <c r="G397">
        <v>1</v>
      </c>
      <c r="H397">
        <v>6.99</v>
      </c>
      <c r="J397">
        <v>6.99</v>
      </c>
      <c r="K397" t="s">
        <v>22</v>
      </c>
      <c r="L397" t="s">
        <v>37</v>
      </c>
      <c r="M397" t="s">
        <v>117</v>
      </c>
    </row>
    <row r="398" spans="1:13" x14ac:dyDescent="0.2">
      <c r="A398">
        <v>169258</v>
      </c>
      <c r="B398" s="1">
        <v>44938</v>
      </c>
      <c r="C398">
        <v>11076</v>
      </c>
      <c r="D398" t="s">
        <v>13</v>
      </c>
      <c r="E398" t="s">
        <v>104</v>
      </c>
      <c r="F398" t="s">
        <v>105</v>
      </c>
      <c r="G398">
        <v>1</v>
      </c>
      <c r="H398">
        <v>29.99</v>
      </c>
      <c r="J398">
        <v>29.99</v>
      </c>
      <c r="K398" t="s">
        <v>32</v>
      </c>
      <c r="L398" t="s">
        <v>37</v>
      </c>
      <c r="M398" t="s">
        <v>57</v>
      </c>
    </row>
    <row r="399" spans="1:13" x14ac:dyDescent="0.2">
      <c r="A399">
        <v>169658</v>
      </c>
      <c r="B399" s="1">
        <v>44932</v>
      </c>
      <c r="C399">
        <v>12995</v>
      </c>
      <c r="D399" t="s">
        <v>19</v>
      </c>
      <c r="E399" t="s">
        <v>41</v>
      </c>
      <c r="F399" t="s">
        <v>42</v>
      </c>
      <c r="G399">
        <v>4</v>
      </c>
      <c r="H399">
        <v>5.99</v>
      </c>
      <c r="J399">
        <v>23.96</v>
      </c>
      <c r="K399" t="s">
        <v>16</v>
      </c>
      <c r="L399" t="s">
        <v>37</v>
      </c>
      <c r="M399" t="s">
        <v>28</v>
      </c>
    </row>
    <row r="400" spans="1:13" x14ac:dyDescent="0.2">
      <c r="A400">
        <v>169933</v>
      </c>
      <c r="B400" s="1">
        <v>45310</v>
      </c>
      <c r="C400">
        <v>78508</v>
      </c>
      <c r="D400" t="s">
        <v>48</v>
      </c>
      <c r="E400" t="s">
        <v>118</v>
      </c>
      <c r="F400" t="s">
        <v>119</v>
      </c>
      <c r="G400">
        <v>3</v>
      </c>
      <c r="H400">
        <v>4.99</v>
      </c>
      <c r="J400">
        <v>14.97</v>
      </c>
      <c r="K400" t="s">
        <v>16</v>
      </c>
      <c r="L400" t="s">
        <v>17</v>
      </c>
      <c r="M400" t="s">
        <v>33</v>
      </c>
    </row>
    <row r="401" spans="1:13" x14ac:dyDescent="0.2">
      <c r="A401">
        <v>170304</v>
      </c>
      <c r="B401" s="1">
        <v>45414</v>
      </c>
      <c r="C401">
        <v>36118</v>
      </c>
      <c r="D401" t="s">
        <v>40</v>
      </c>
      <c r="E401" t="s">
        <v>20</v>
      </c>
      <c r="F401" t="s">
        <v>21</v>
      </c>
      <c r="G401">
        <v>1</v>
      </c>
      <c r="H401">
        <v>9.99</v>
      </c>
      <c r="J401">
        <v>9.99</v>
      </c>
      <c r="K401" t="s">
        <v>22</v>
      </c>
      <c r="L401" t="s">
        <v>17</v>
      </c>
      <c r="M401" t="s">
        <v>18</v>
      </c>
    </row>
    <row r="402" spans="1:13" x14ac:dyDescent="0.2">
      <c r="A402">
        <v>170639</v>
      </c>
      <c r="B402" s="2">
        <v>45006</v>
      </c>
      <c r="D402" t="s">
        <v>82</v>
      </c>
      <c r="E402" t="s">
        <v>168</v>
      </c>
      <c r="F402" t="s">
        <v>169</v>
      </c>
      <c r="G402">
        <v>2</v>
      </c>
      <c r="H402">
        <v>6.74</v>
      </c>
      <c r="I402">
        <v>0.25</v>
      </c>
      <c r="J402">
        <v>10.11</v>
      </c>
      <c r="K402" t="s">
        <v>53</v>
      </c>
      <c r="L402" t="s">
        <v>17</v>
      </c>
      <c r="M402" t="s">
        <v>47</v>
      </c>
    </row>
    <row r="403" spans="1:13" x14ac:dyDescent="0.2">
      <c r="A403">
        <v>171074</v>
      </c>
      <c r="B403" s="2">
        <v>44586</v>
      </c>
      <c r="C403">
        <v>53637</v>
      </c>
      <c r="D403" t="s">
        <v>97</v>
      </c>
      <c r="E403" t="s">
        <v>181</v>
      </c>
      <c r="F403" t="s">
        <v>182</v>
      </c>
      <c r="G403">
        <v>2</v>
      </c>
      <c r="H403">
        <v>12.74</v>
      </c>
      <c r="I403">
        <v>0.15</v>
      </c>
      <c r="J403">
        <v>21.66</v>
      </c>
      <c r="K403" t="s">
        <v>16</v>
      </c>
      <c r="L403" t="s">
        <v>23</v>
      </c>
      <c r="M403" t="s">
        <v>67</v>
      </c>
    </row>
    <row r="404" spans="1:13" x14ac:dyDescent="0.2">
      <c r="A404">
        <v>171192</v>
      </c>
      <c r="B404" s="1">
        <v>44676</v>
      </c>
      <c r="C404">
        <v>40803</v>
      </c>
      <c r="D404" t="s">
        <v>25</v>
      </c>
      <c r="E404" t="s">
        <v>26</v>
      </c>
      <c r="F404" t="s">
        <v>27</v>
      </c>
      <c r="G404">
        <v>2</v>
      </c>
      <c r="H404">
        <v>34.99</v>
      </c>
      <c r="J404">
        <v>69.98</v>
      </c>
      <c r="K404" t="s">
        <v>16</v>
      </c>
      <c r="L404" t="s">
        <v>17</v>
      </c>
      <c r="M404" t="s">
        <v>96</v>
      </c>
    </row>
    <row r="405" spans="1:13" x14ac:dyDescent="0.2">
      <c r="A405">
        <v>171198</v>
      </c>
      <c r="B405" s="1">
        <v>44688</v>
      </c>
      <c r="C405">
        <v>68752</v>
      </c>
      <c r="D405" t="s">
        <v>82</v>
      </c>
      <c r="E405" t="s">
        <v>168</v>
      </c>
      <c r="F405" t="s">
        <v>169</v>
      </c>
      <c r="G405">
        <v>4</v>
      </c>
      <c r="H405">
        <v>8.99</v>
      </c>
      <c r="J405">
        <v>35.96</v>
      </c>
      <c r="K405" t="s">
        <v>22</v>
      </c>
      <c r="L405" t="s">
        <v>17</v>
      </c>
      <c r="M405" t="s">
        <v>90</v>
      </c>
    </row>
    <row r="406" spans="1:13" x14ac:dyDescent="0.2">
      <c r="A406">
        <v>171216</v>
      </c>
      <c r="B406" s="2">
        <v>45412</v>
      </c>
      <c r="C406">
        <v>83529</v>
      </c>
      <c r="D406" t="s">
        <v>40</v>
      </c>
      <c r="E406" t="s">
        <v>115</v>
      </c>
      <c r="F406" t="s">
        <v>116</v>
      </c>
      <c r="G406">
        <v>1</v>
      </c>
      <c r="H406">
        <v>12.34</v>
      </c>
      <c r="J406">
        <v>12.34</v>
      </c>
      <c r="K406" t="s">
        <v>32</v>
      </c>
      <c r="L406" t="s">
        <v>17</v>
      </c>
      <c r="M406" t="s">
        <v>57</v>
      </c>
    </row>
    <row r="407" spans="1:13" x14ac:dyDescent="0.2">
      <c r="A407">
        <v>171292</v>
      </c>
      <c r="B407" s="1">
        <v>44940</v>
      </c>
      <c r="C407">
        <v>93898</v>
      </c>
      <c r="D407" t="s">
        <v>85</v>
      </c>
      <c r="E407" t="s">
        <v>137</v>
      </c>
      <c r="F407" t="s">
        <v>138</v>
      </c>
      <c r="G407">
        <v>5</v>
      </c>
      <c r="H407">
        <v>7.99</v>
      </c>
      <c r="J407">
        <v>39.950000000000003</v>
      </c>
      <c r="K407" t="s">
        <v>16</v>
      </c>
      <c r="L407" t="s">
        <v>37</v>
      </c>
      <c r="M407" t="s">
        <v>47</v>
      </c>
    </row>
    <row r="408" spans="1:13" x14ac:dyDescent="0.2">
      <c r="A408">
        <v>171657</v>
      </c>
      <c r="B408" s="1">
        <v>44708</v>
      </c>
      <c r="C408">
        <v>73268</v>
      </c>
      <c r="D408" t="s">
        <v>29</v>
      </c>
      <c r="E408" t="s">
        <v>38</v>
      </c>
      <c r="F408" t="s">
        <v>39</v>
      </c>
      <c r="G408">
        <v>3</v>
      </c>
      <c r="H408">
        <v>22.49</v>
      </c>
      <c r="I408">
        <v>0.25</v>
      </c>
      <c r="J408">
        <v>50.6</v>
      </c>
      <c r="K408" t="s">
        <v>16</v>
      </c>
      <c r="L408" t="s">
        <v>17</v>
      </c>
      <c r="M408" t="s">
        <v>67</v>
      </c>
    </row>
    <row r="409" spans="1:13" x14ac:dyDescent="0.2">
      <c r="A409">
        <v>171922</v>
      </c>
      <c r="B409" s="1">
        <v>44628</v>
      </c>
      <c r="C409">
        <v>36784</v>
      </c>
      <c r="D409" t="s">
        <v>82</v>
      </c>
      <c r="E409" t="s">
        <v>83</v>
      </c>
      <c r="F409" t="s">
        <v>84</v>
      </c>
      <c r="G409">
        <v>2</v>
      </c>
      <c r="H409">
        <v>16.989999999999998</v>
      </c>
      <c r="J409">
        <v>33.979999999999997</v>
      </c>
      <c r="K409" t="s">
        <v>16</v>
      </c>
      <c r="L409" t="s">
        <v>17</v>
      </c>
      <c r="M409" t="s">
        <v>96</v>
      </c>
    </row>
    <row r="410" spans="1:13" x14ac:dyDescent="0.2">
      <c r="A410">
        <v>171951</v>
      </c>
      <c r="B410" s="1">
        <v>44668</v>
      </c>
      <c r="C410">
        <v>42411</v>
      </c>
      <c r="D410" t="s">
        <v>97</v>
      </c>
      <c r="E410" t="s">
        <v>181</v>
      </c>
      <c r="F410" t="s">
        <v>182</v>
      </c>
      <c r="G410">
        <v>1</v>
      </c>
      <c r="H410">
        <v>12.74</v>
      </c>
      <c r="I410">
        <v>0.15</v>
      </c>
      <c r="J410">
        <v>10.83</v>
      </c>
      <c r="K410" t="s">
        <v>22</v>
      </c>
      <c r="L410" t="s">
        <v>37</v>
      </c>
      <c r="M410" t="s">
        <v>161</v>
      </c>
    </row>
    <row r="411" spans="1:13" x14ac:dyDescent="0.2">
      <c r="A411">
        <v>172008</v>
      </c>
      <c r="B411" s="2">
        <v>45453</v>
      </c>
      <c r="C411">
        <v>40674</v>
      </c>
      <c r="D411" t="s">
        <v>13</v>
      </c>
      <c r="E411" t="s">
        <v>77</v>
      </c>
      <c r="F411" t="s">
        <v>78</v>
      </c>
      <c r="G411">
        <v>1</v>
      </c>
      <c r="H411">
        <v>374.99</v>
      </c>
      <c r="I411">
        <v>0.25</v>
      </c>
      <c r="J411">
        <v>281.24</v>
      </c>
      <c r="K411" t="s">
        <v>36</v>
      </c>
      <c r="L411" t="s">
        <v>37</v>
      </c>
      <c r="M411" t="s">
        <v>28</v>
      </c>
    </row>
    <row r="412" spans="1:13" x14ac:dyDescent="0.2">
      <c r="A412">
        <v>172109</v>
      </c>
      <c r="B412" s="1">
        <v>45479</v>
      </c>
      <c r="D412" t="s">
        <v>13</v>
      </c>
      <c r="E412" t="s">
        <v>34</v>
      </c>
      <c r="F412" t="s">
        <v>35</v>
      </c>
      <c r="G412">
        <v>1</v>
      </c>
      <c r="H412">
        <v>29.74</v>
      </c>
      <c r="I412">
        <v>0.15</v>
      </c>
      <c r="J412">
        <v>25.28</v>
      </c>
      <c r="K412" t="s">
        <v>36</v>
      </c>
      <c r="L412" t="s">
        <v>23</v>
      </c>
      <c r="M412" t="s">
        <v>33</v>
      </c>
    </row>
    <row r="413" spans="1:13" x14ac:dyDescent="0.2">
      <c r="A413">
        <v>172472</v>
      </c>
      <c r="B413" s="1">
        <v>45500</v>
      </c>
      <c r="C413">
        <v>94140</v>
      </c>
      <c r="D413" t="s">
        <v>63</v>
      </c>
      <c r="E413" t="s">
        <v>125</v>
      </c>
      <c r="F413" t="s">
        <v>126</v>
      </c>
      <c r="G413">
        <v>1</v>
      </c>
      <c r="H413">
        <v>25.49</v>
      </c>
      <c r="I413">
        <v>0.15</v>
      </c>
      <c r="J413">
        <v>21.67</v>
      </c>
      <c r="K413" t="s">
        <v>16</v>
      </c>
      <c r="L413" t="s">
        <v>17</v>
      </c>
      <c r="M413" t="s">
        <v>81</v>
      </c>
    </row>
    <row r="414" spans="1:13" x14ac:dyDescent="0.2">
      <c r="A414">
        <v>172534</v>
      </c>
      <c r="B414" s="2">
        <v>44600</v>
      </c>
      <c r="C414">
        <v>90453</v>
      </c>
      <c r="D414" t="s">
        <v>85</v>
      </c>
      <c r="E414" t="s">
        <v>145</v>
      </c>
      <c r="F414" t="s">
        <v>146</v>
      </c>
      <c r="G414">
        <v>2</v>
      </c>
      <c r="H414">
        <v>11.89</v>
      </c>
      <c r="I414">
        <v>0.3</v>
      </c>
      <c r="J414">
        <v>16.649999999999999</v>
      </c>
      <c r="K414" t="s">
        <v>16</v>
      </c>
      <c r="L414" t="s">
        <v>17</v>
      </c>
      <c r="M414" t="s">
        <v>57</v>
      </c>
    </row>
    <row r="415" spans="1:13" x14ac:dyDescent="0.2">
      <c r="A415">
        <v>173101</v>
      </c>
      <c r="B415" s="2">
        <v>45525</v>
      </c>
      <c r="C415">
        <v>76287</v>
      </c>
      <c r="D415" t="s">
        <v>85</v>
      </c>
      <c r="E415" t="s">
        <v>153</v>
      </c>
      <c r="F415" t="s">
        <v>154</v>
      </c>
      <c r="G415">
        <v>1</v>
      </c>
      <c r="H415">
        <v>29.99</v>
      </c>
      <c r="J415">
        <v>29.99</v>
      </c>
      <c r="K415" t="s">
        <v>16</v>
      </c>
      <c r="L415" t="s">
        <v>17</v>
      </c>
      <c r="M415" t="s">
        <v>120</v>
      </c>
    </row>
    <row r="416" spans="1:13" x14ac:dyDescent="0.2">
      <c r="A416">
        <v>173131</v>
      </c>
      <c r="B416" s="2">
        <v>45563</v>
      </c>
      <c r="C416">
        <v>92625</v>
      </c>
      <c r="D416" t="s">
        <v>13</v>
      </c>
      <c r="E416" t="s">
        <v>77</v>
      </c>
      <c r="F416" t="s">
        <v>78</v>
      </c>
      <c r="G416">
        <v>1</v>
      </c>
      <c r="H416">
        <v>424.99</v>
      </c>
      <c r="I416">
        <v>0.15</v>
      </c>
      <c r="J416">
        <v>361.24</v>
      </c>
      <c r="K416" t="s">
        <v>16</v>
      </c>
      <c r="L416" t="s">
        <v>17</v>
      </c>
      <c r="M416" t="s">
        <v>117</v>
      </c>
    </row>
    <row r="417" spans="1:13" x14ac:dyDescent="0.2">
      <c r="A417">
        <v>173175</v>
      </c>
      <c r="B417" s="1">
        <v>45010</v>
      </c>
      <c r="C417">
        <v>16015</v>
      </c>
      <c r="D417" t="s">
        <v>40</v>
      </c>
      <c r="E417" t="s">
        <v>58</v>
      </c>
      <c r="F417" t="s">
        <v>59</v>
      </c>
      <c r="G417">
        <v>1</v>
      </c>
      <c r="H417">
        <v>2.99</v>
      </c>
      <c r="I417">
        <v>0.25</v>
      </c>
      <c r="J417">
        <v>2.2400000000000002</v>
      </c>
      <c r="K417" t="s">
        <v>95</v>
      </c>
      <c r="L417" t="s">
        <v>17</v>
      </c>
      <c r="M417" t="s">
        <v>54</v>
      </c>
    </row>
    <row r="418" spans="1:13" x14ac:dyDescent="0.2">
      <c r="A418">
        <v>173180</v>
      </c>
      <c r="B418" s="1">
        <v>45235</v>
      </c>
      <c r="D418" t="s">
        <v>13</v>
      </c>
      <c r="E418" t="s">
        <v>127</v>
      </c>
      <c r="F418" t="s">
        <v>128</v>
      </c>
      <c r="G418">
        <v>1</v>
      </c>
      <c r="H418">
        <v>15.99</v>
      </c>
      <c r="I418">
        <v>0.2</v>
      </c>
      <c r="J418">
        <v>12.79</v>
      </c>
      <c r="K418" t="s">
        <v>22</v>
      </c>
      <c r="L418" t="s">
        <v>17</v>
      </c>
      <c r="M418" t="s">
        <v>62</v>
      </c>
    </row>
    <row r="419" spans="1:13" x14ac:dyDescent="0.2">
      <c r="A419">
        <v>173515</v>
      </c>
      <c r="B419" s="1">
        <v>44769</v>
      </c>
      <c r="C419">
        <v>74733</v>
      </c>
      <c r="D419" t="s">
        <v>13</v>
      </c>
      <c r="E419" t="s">
        <v>159</v>
      </c>
      <c r="F419" t="s">
        <v>160</v>
      </c>
      <c r="G419">
        <v>2</v>
      </c>
      <c r="H419">
        <v>59.99</v>
      </c>
      <c r="J419">
        <v>119.98</v>
      </c>
      <c r="K419" t="s">
        <v>36</v>
      </c>
      <c r="L419" t="s">
        <v>17</v>
      </c>
      <c r="M419" t="s">
        <v>102</v>
      </c>
    </row>
    <row r="420" spans="1:13" x14ac:dyDescent="0.2">
      <c r="A420">
        <v>173591</v>
      </c>
      <c r="B420" s="1">
        <v>44615</v>
      </c>
      <c r="C420">
        <v>45308</v>
      </c>
      <c r="D420" t="s">
        <v>25</v>
      </c>
      <c r="E420" t="s">
        <v>113</v>
      </c>
      <c r="F420" t="s">
        <v>114</v>
      </c>
      <c r="G420">
        <v>1</v>
      </c>
      <c r="H420">
        <v>113.99</v>
      </c>
      <c r="I420">
        <v>0.05</v>
      </c>
      <c r="J420">
        <v>108.29</v>
      </c>
      <c r="K420" t="s">
        <v>16</v>
      </c>
      <c r="L420" t="s">
        <v>17</v>
      </c>
      <c r="M420" t="s">
        <v>67</v>
      </c>
    </row>
    <row r="421" spans="1:13" x14ac:dyDescent="0.2">
      <c r="A421">
        <v>173732</v>
      </c>
      <c r="B421" s="2">
        <v>45094</v>
      </c>
      <c r="C421">
        <v>76110</v>
      </c>
      <c r="D421" t="s">
        <v>25</v>
      </c>
      <c r="E421" t="s">
        <v>113</v>
      </c>
      <c r="F421" t="s">
        <v>114</v>
      </c>
      <c r="G421">
        <v>1</v>
      </c>
      <c r="H421">
        <v>101.99</v>
      </c>
      <c r="I421">
        <v>0.15</v>
      </c>
      <c r="J421">
        <v>86.69</v>
      </c>
      <c r="K421" t="s">
        <v>22</v>
      </c>
      <c r="L421" t="s">
        <v>17</v>
      </c>
      <c r="M421" t="s">
        <v>18</v>
      </c>
    </row>
    <row r="422" spans="1:13" x14ac:dyDescent="0.2">
      <c r="A422">
        <v>173765</v>
      </c>
      <c r="B422" s="2">
        <v>45501</v>
      </c>
      <c r="C422">
        <v>77661</v>
      </c>
      <c r="D422" t="s">
        <v>63</v>
      </c>
      <c r="E422" t="s">
        <v>131</v>
      </c>
      <c r="F422" t="s">
        <v>132</v>
      </c>
      <c r="G422">
        <v>3</v>
      </c>
      <c r="H422">
        <v>2.79</v>
      </c>
      <c r="I422">
        <v>0.2</v>
      </c>
      <c r="J422">
        <v>6.7</v>
      </c>
      <c r="K422" t="s">
        <v>36</v>
      </c>
      <c r="L422" t="s">
        <v>17</v>
      </c>
      <c r="M422" t="s">
        <v>161</v>
      </c>
    </row>
    <row r="423" spans="1:13" x14ac:dyDescent="0.2">
      <c r="A423">
        <v>173795</v>
      </c>
      <c r="B423" s="1">
        <v>44844</v>
      </c>
      <c r="C423">
        <v>54639</v>
      </c>
      <c r="D423" t="s">
        <v>97</v>
      </c>
      <c r="E423" t="s">
        <v>193</v>
      </c>
      <c r="F423" t="s">
        <v>194</v>
      </c>
      <c r="G423">
        <v>4</v>
      </c>
      <c r="H423">
        <v>51.99</v>
      </c>
      <c r="I423">
        <v>0.2</v>
      </c>
      <c r="J423">
        <v>166.37</v>
      </c>
      <c r="K423" t="s">
        <v>16</v>
      </c>
      <c r="L423" t="s">
        <v>23</v>
      </c>
      <c r="M423" t="s">
        <v>43</v>
      </c>
    </row>
    <row r="424" spans="1:13" x14ac:dyDescent="0.2">
      <c r="A424">
        <v>174132</v>
      </c>
      <c r="B424" s="1">
        <v>45512</v>
      </c>
      <c r="C424">
        <v>48874</v>
      </c>
      <c r="D424" t="s">
        <v>48</v>
      </c>
      <c r="E424" t="s">
        <v>143</v>
      </c>
      <c r="F424" t="s">
        <v>144</v>
      </c>
      <c r="G424">
        <v>4</v>
      </c>
      <c r="H424">
        <v>14.99</v>
      </c>
      <c r="J424">
        <v>59.96</v>
      </c>
      <c r="K424" t="s">
        <v>36</v>
      </c>
      <c r="L424" t="s">
        <v>37</v>
      </c>
      <c r="M424" t="s">
        <v>76</v>
      </c>
    </row>
    <row r="425" spans="1:13" x14ac:dyDescent="0.2">
      <c r="A425">
        <v>174197</v>
      </c>
      <c r="B425" s="1">
        <v>44894</v>
      </c>
      <c r="C425">
        <v>25788</v>
      </c>
      <c r="D425" t="s">
        <v>82</v>
      </c>
      <c r="E425" t="s">
        <v>147</v>
      </c>
      <c r="F425" t="s">
        <v>148</v>
      </c>
      <c r="G425">
        <v>3</v>
      </c>
      <c r="H425">
        <v>12.99</v>
      </c>
      <c r="J425">
        <v>38.97</v>
      </c>
      <c r="K425" t="s">
        <v>22</v>
      </c>
      <c r="L425" t="s">
        <v>17</v>
      </c>
      <c r="M425" t="s">
        <v>161</v>
      </c>
    </row>
    <row r="426" spans="1:13" x14ac:dyDescent="0.2">
      <c r="A426">
        <v>174299</v>
      </c>
      <c r="B426" s="1">
        <v>44700</v>
      </c>
      <c r="C426">
        <v>80678</v>
      </c>
      <c r="D426" t="s">
        <v>97</v>
      </c>
      <c r="E426" t="s">
        <v>151</v>
      </c>
      <c r="F426" t="s">
        <v>152</v>
      </c>
      <c r="G426">
        <v>4</v>
      </c>
      <c r="H426">
        <v>34.99</v>
      </c>
      <c r="J426">
        <v>139.96</v>
      </c>
      <c r="K426" t="s">
        <v>36</v>
      </c>
      <c r="L426" t="s">
        <v>17</v>
      </c>
      <c r="M426" t="s">
        <v>161</v>
      </c>
    </row>
    <row r="427" spans="1:13" x14ac:dyDescent="0.2">
      <c r="A427">
        <v>174757</v>
      </c>
      <c r="B427" s="2">
        <v>44773</v>
      </c>
      <c r="D427" t="s">
        <v>85</v>
      </c>
      <c r="E427" t="s">
        <v>86</v>
      </c>
      <c r="F427" t="s">
        <v>87</v>
      </c>
      <c r="G427">
        <v>1</v>
      </c>
      <c r="H427">
        <v>9.09</v>
      </c>
      <c r="I427">
        <v>0.3</v>
      </c>
      <c r="J427">
        <v>6.36</v>
      </c>
      <c r="K427" t="s">
        <v>32</v>
      </c>
      <c r="L427" t="s">
        <v>37</v>
      </c>
      <c r="M427" t="s">
        <v>161</v>
      </c>
    </row>
    <row r="428" spans="1:13" x14ac:dyDescent="0.2">
      <c r="A428">
        <v>174838</v>
      </c>
      <c r="B428" s="1">
        <v>45335</v>
      </c>
      <c r="C428">
        <v>99374</v>
      </c>
      <c r="D428" t="s">
        <v>13</v>
      </c>
      <c r="E428" t="s">
        <v>104</v>
      </c>
      <c r="F428" t="s">
        <v>105</v>
      </c>
      <c r="G428">
        <v>3</v>
      </c>
      <c r="H428">
        <v>20.99</v>
      </c>
      <c r="I428">
        <v>0.3</v>
      </c>
      <c r="J428">
        <v>44.08</v>
      </c>
      <c r="K428" t="s">
        <v>16</v>
      </c>
      <c r="L428" t="s">
        <v>37</v>
      </c>
      <c r="M428" t="s">
        <v>24</v>
      </c>
    </row>
    <row r="429" spans="1:13" x14ac:dyDescent="0.2">
      <c r="A429">
        <v>174878</v>
      </c>
      <c r="B429" s="1">
        <v>44867</v>
      </c>
      <c r="C429">
        <v>84607</v>
      </c>
      <c r="D429" t="s">
        <v>63</v>
      </c>
      <c r="E429" t="s">
        <v>131</v>
      </c>
      <c r="F429" t="s">
        <v>132</v>
      </c>
      <c r="G429">
        <v>4</v>
      </c>
      <c r="H429">
        <v>3.14</v>
      </c>
      <c r="I429">
        <v>0.1</v>
      </c>
      <c r="J429">
        <v>11.3</v>
      </c>
      <c r="K429" t="s">
        <v>36</v>
      </c>
      <c r="L429" t="s">
        <v>37</v>
      </c>
      <c r="M429" t="s">
        <v>24</v>
      </c>
    </row>
    <row r="430" spans="1:13" x14ac:dyDescent="0.2">
      <c r="A430">
        <v>175103</v>
      </c>
      <c r="B430" s="1">
        <v>45243</v>
      </c>
      <c r="C430">
        <v>40690</v>
      </c>
      <c r="D430" t="s">
        <v>40</v>
      </c>
      <c r="E430" t="s">
        <v>58</v>
      </c>
      <c r="F430" t="s">
        <v>59</v>
      </c>
      <c r="G430">
        <v>2</v>
      </c>
      <c r="H430">
        <v>2.79</v>
      </c>
      <c r="I430">
        <v>0.3</v>
      </c>
      <c r="J430">
        <v>3.91</v>
      </c>
      <c r="K430" t="s">
        <v>22</v>
      </c>
      <c r="L430" t="s">
        <v>37</v>
      </c>
      <c r="M430" t="s">
        <v>67</v>
      </c>
    </row>
    <row r="431" spans="1:13" x14ac:dyDescent="0.2">
      <c r="A431">
        <v>175110</v>
      </c>
      <c r="B431" s="1">
        <v>45500</v>
      </c>
      <c r="C431">
        <v>59854</v>
      </c>
      <c r="D431" t="s">
        <v>44</v>
      </c>
      <c r="E431" t="s">
        <v>177</v>
      </c>
      <c r="F431" t="s">
        <v>178</v>
      </c>
      <c r="G431">
        <v>3</v>
      </c>
      <c r="H431">
        <v>10.19</v>
      </c>
      <c r="I431">
        <v>0.15</v>
      </c>
      <c r="J431">
        <v>25.98</v>
      </c>
      <c r="K431" t="s">
        <v>16</v>
      </c>
      <c r="L431" t="s">
        <v>17</v>
      </c>
      <c r="M431" t="s">
        <v>102</v>
      </c>
    </row>
    <row r="432" spans="1:13" x14ac:dyDescent="0.2">
      <c r="A432">
        <v>175190</v>
      </c>
      <c r="B432" s="1">
        <v>45402</v>
      </c>
      <c r="C432">
        <v>94522</v>
      </c>
      <c r="D432" t="s">
        <v>82</v>
      </c>
      <c r="E432" t="s">
        <v>83</v>
      </c>
      <c r="F432" t="s">
        <v>84</v>
      </c>
      <c r="G432">
        <v>3</v>
      </c>
      <c r="H432">
        <v>16.989999999999998</v>
      </c>
      <c r="J432">
        <v>50.97</v>
      </c>
      <c r="K432" t="s">
        <v>36</v>
      </c>
      <c r="L432" t="s">
        <v>37</v>
      </c>
      <c r="M432" t="s">
        <v>47</v>
      </c>
    </row>
    <row r="433" spans="1:13" x14ac:dyDescent="0.2">
      <c r="A433">
        <v>175236</v>
      </c>
      <c r="B433" s="1">
        <v>45408</v>
      </c>
      <c r="C433">
        <v>34625</v>
      </c>
      <c r="D433" t="s">
        <v>82</v>
      </c>
      <c r="E433" t="s">
        <v>83</v>
      </c>
      <c r="F433" t="s">
        <v>84</v>
      </c>
      <c r="G433">
        <v>4</v>
      </c>
      <c r="H433">
        <v>16.989999999999998</v>
      </c>
      <c r="J433">
        <v>67.959999999999994</v>
      </c>
      <c r="K433" t="s">
        <v>36</v>
      </c>
      <c r="L433" t="s">
        <v>17</v>
      </c>
      <c r="M433" t="s">
        <v>57</v>
      </c>
    </row>
    <row r="434" spans="1:13" x14ac:dyDescent="0.2">
      <c r="A434">
        <v>175237</v>
      </c>
      <c r="B434" s="2">
        <v>44772</v>
      </c>
      <c r="C434">
        <v>55933</v>
      </c>
      <c r="D434" t="s">
        <v>85</v>
      </c>
      <c r="E434" t="s">
        <v>137</v>
      </c>
      <c r="F434" t="s">
        <v>138</v>
      </c>
      <c r="G434">
        <v>3</v>
      </c>
      <c r="H434">
        <v>5.99</v>
      </c>
      <c r="I434">
        <v>0.25</v>
      </c>
      <c r="J434">
        <v>13.48</v>
      </c>
      <c r="K434" t="s">
        <v>95</v>
      </c>
      <c r="L434" t="s">
        <v>37</v>
      </c>
      <c r="M434" t="s">
        <v>33</v>
      </c>
    </row>
    <row r="435" spans="1:13" x14ac:dyDescent="0.2">
      <c r="A435">
        <v>175593</v>
      </c>
      <c r="B435" s="1">
        <v>44725</v>
      </c>
      <c r="C435">
        <v>31472</v>
      </c>
      <c r="D435" t="s">
        <v>97</v>
      </c>
      <c r="E435" t="s">
        <v>165</v>
      </c>
      <c r="F435" t="s">
        <v>166</v>
      </c>
      <c r="G435">
        <v>2</v>
      </c>
      <c r="H435">
        <v>89.99</v>
      </c>
      <c r="J435">
        <v>179.98</v>
      </c>
      <c r="K435" t="s">
        <v>22</v>
      </c>
      <c r="L435" t="s">
        <v>17</v>
      </c>
      <c r="M435" t="s">
        <v>96</v>
      </c>
    </row>
    <row r="436" spans="1:13" x14ac:dyDescent="0.2">
      <c r="A436">
        <v>176232</v>
      </c>
      <c r="B436" s="1">
        <v>44615</v>
      </c>
      <c r="C436">
        <v>48095</v>
      </c>
      <c r="D436" t="s">
        <v>82</v>
      </c>
      <c r="E436" t="s">
        <v>155</v>
      </c>
      <c r="F436" t="s">
        <v>156</v>
      </c>
      <c r="G436">
        <v>2</v>
      </c>
      <c r="H436">
        <v>19.989999999999998</v>
      </c>
      <c r="J436">
        <v>39.979999999999997</v>
      </c>
      <c r="K436" t="s">
        <v>16</v>
      </c>
      <c r="L436" t="s">
        <v>37</v>
      </c>
      <c r="M436" t="s">
        <v>161</v>
      </c>
    </row>
    <row r="437" spans="1:13" x14ac:dyDescent="0.2">
      <c r="A437">
        <v>176266</v>
      </c>
      <c r="B437" s="2">
        <v>45174</v>
      </c>
      <c r="C437">
        <v>21922</v>
      </c>
      <c r="D437" t="s">
        <v>13</v>
      </c>
      <c r="E437" t="s">
        <v>14</v>
      </c>
      <c r="F437" t="s">
        <v>15</v>
      </c>
      <c r="G437">
        <v>1</v>
      </c>
      <c r="H437">
        <v>63.99</v>
      </c>
      <c r="I437">
        <v>0.2</v>
      </c>
      <c r="J437">
        <v>51.19</v>
      </c>
      <c r="K437" t="s">
        <v>53</v>
      </c>
      <c r="L437" t="s">
        <v>17</v>
      </c>
      <c r="M437" t="s">
        <v>47</v>
      </c>
    </row>
    <row r="438" spans="1:13" x14ac:dyDescent="0.2">
      <c r="A438">
        <v>176313</v>
      </c>
      <c r="B438" s="2">
        <v>45009</v>
      </c>
      <c r="C438">
        <v>12797</v>
      </c>
      <c r="D438" t="s">
        <v>63</v>
      </c>
      <c r="E438" t="s">
        <v>68</v>
      </c>
      <c r="F438" t="s">
        <v>69</v>
      </c>
      <c r="G438">
        <v>1</v>
      </c>
      <c r="H438">
        <v>18.739999999999998</v>
      </c>
      <c r="I438">
        <v>0.25</v>
      </c>
      <c r="J438">
        <v>14.06</v>
      </c>
      <c r="K438" t="s">
        <v>53</v>
      </c>
      <c r="L438" t="s">
        <v>17</v>
      </c>
      <c r="M438" t="s">
        <v>161</v>
      </c>
    </row>
    <row r="439" spans="1:13" x14ac:dyDescent="0.2">
      <c r="A439">
        <v>176517</v>
      </c>
      <c r="B439" s="2">
        <v>45513</v>
      </c>
      <c r="C439">
        <v>64722</v>
      </c>
      <c r="D439" t="s">
        <v>48</v>
      </c>
      <c r="E439" t="s">
        <v>49</v>
      </c>
      <c r="F439" t="s">
        <v>50</v>
      </c>
      <c r="G439">
        <v>3</v>
      </c>
      <c r="H439">
        <v>8.99</v>
      </c>
      <c r="J439">
        <v>26.97</v>
      </c>
      <c r="K439" t="s">
        <v>16</v>
      </c>
      <c r="L439" t="s">
        <v>23</v>
      </c>
      <c r="M439" t="s">
        <v>117</v>
      </c>
    </row>
    <row r="440" spans="1:13" x14ac:dyDescent="0.2">
      <c r="A440">
        <v>177081</v>
      </c>
      <c r="B440" s="1">
        <v>45000</v>
      </c>
      <c r="C440">
        <v>60262</v>
      </c>
      <c r="D440" t="s">
        <v>29</v>
      </c>
      <c r="E440" t="s">
        <v>72</v>
      </c>
      <c r="F440" t="s">
        <v>73</v>
      </c>
      <c r="G440">
        <v>1</v>
      </c>
      <c r="H440">
        <v>31.99</v>
      </c>
      <c r="I440">
        <v>0.2</v>
      </c>
      <c r="J440">
        <v>25.59</v>
      </c>
      <c r="K440" t="s">
        <v>36</v>
      </c>
      <c r="L440" t="s">
        <v>17</v>
      </c>
      <c r="M440" t="s">
        <v>62</v>
      </c>
    </row>
    <row r="441" spans="1:13" x14ac:dyDescent="0.2">
      <c r="A441">
        <v>177353</v>
      </c>
      <c r="B441" s="2">
        <v>44672</v>
      </c>
      <c r="C441">
        <v>29252</v>
      </c>
      <c r="D441" t="s">
        <v>13</v>
      </c>
      <c r="E441" t="s">
        <v>79</v>
      </c>
      <c r="F441" t="s">
        <v>80</v>
      </c>
      <c r="G441">
        <v>3</v>
      </c>
      <c r="H441">
        <v>89.99</v>
      </c>
      <c r="J441">
        <v>269.97000000000003</v>
      </c>
      <c r="K441" t="s">
        <v>16</v>
      </c>
      <c r="L441" t="s">
        <v>17</v>
      </c>
      <c r="M441" t="s">
        <v>90</v>
      </c>
    </row>
    <row r="442" spans="1:13" x14ac:dyDescent="0.2">
      <c r="A442">
        <v>177514</v>
      </c>
      <c r="B442" s="1">
        <v>45021</v>
      </c>
      <c r="C442">
        <v>84906</v>
      </c>
      <c r="D442" t="s">
        <v>48</v>
      </c>
      <c r="E442" t="s">
        <v>139</v>
      </c>
      <c r="F442" t="s">
        <v>140</v>
      </c>
      <c r="G442">
        <v>2</v>
      </c>
      <c r="H442">
        <v>7.99</v>
      </c>
      <c r="J442">
        <v>15.98</v>
      </c>
      <c r="K442" t="s">
        <v>36</v>
      </c>
      <c r="L442" t="s">
        <v>37</v>
      </c>
      <c r="M442" t="s">
        <v>28</v>
      </c>
    </row>
    <row r="443" spans="1:13" x14ac:dyDescent="0.2">
      <c r="A443">
        <v>177581</v>
      </c>
      <c r="B443" s="1">
        <v>44639</v>
      </c>
      <c r="C443">
        <v>99752</v>
      </c>
      <c r="D443" t="s">
        <v>97</v>
      </c>
      <c r="E443" t="s">
        <v>141</v>
      </c>
      <c r="F443" t="s">
        <v>142</v>
      </c>
      <c r="G443">
        <v>5</v>
      </c>
      <c r="H443">
        <v>22.99</v>
      </c>
      <c r="J443">
        <v>114.95</v>
      </c>
      <c r="K443" t="s">
        <v>16</v>
      </c>
      <c r="L443" t="s">
        <v>17</v>
      </c>
      <c r="M443" t="s">
        <v>117</v>
      </c>
    </row>
    <row r="444" spans="1:13" x14ac:dyDescent="0.2">
      <c r="A444">
        <v>177637</v>
      </c>
      <c r="B444" s="1">
        <v>45250</v>
      </c>
      <c r="C444">
        <v>68181</v>
      </c>
      <c r="D444" t="s">
        <v>40</v>
      </c>
      <c r="E444" t="s">
        <v>58</v>
      </c>
      <c r="F444" t="s">
        <v>59</v>
      </c>
      <c r="G444">
        <v>1</v>
      </c>
      <c r="H444">
        <v>3.99</v>
      </c>
      <c r="J444">
        <v>3.99</v>
      </c>
      <c r="K444" t="s">
        <v>36</v>
      </c>
      <c r="L444" t="s">
        <v>17</v>
      </c>
      <c r="M444" t="s">
        <v>102</v>
      </c>
    </row>
    <row r="445" spans="1:13" x14ac:dyDescent="0.2">
      <c r="A445">
        <v>177806</v>
      </c>
      <c r="B445" s="1">
        <v>45476</v>
      </c>
      <c r="C445">
        <v>11169</v>
      </c>
      <c r="D445" t="s">
        <v>167</v>
      </c>
      <c r="E445" t="s">
        <v>109</v>
      </c>
      <c r="F445" t="s">
        <v>110</v>
      </c>
      <c r="G445">
        <v>4</v>
      </c>
      <c r="H445">
        <v>5.94</v>
      </c>
      <c r="I445">
        <v>0.15</v>
      </c>
      <c r="J445">
        <v>20.2</v>
      </c>
      <c r="K445" t="s">
        <v>16</v>
      </c>
      <c r="L445" t="s">
        <v>37</v>
      </c>
      <c r="M445" t="s">
        <v>96</v>
      </c>
    </row>
    <row r="446" spans="1:13" x14ac:dyDescent="0.2">
      <c r="A446">
        <v>177880</v>
      </c>
      <c r="B446" s="1">
        <v>44868</v>
      </c>
      <c r="C446">
        <v>51696</v>
      </c>
      <c r="D446" t="s">
        <v>63</v>
      </c>
      <c r="E446" t="s">
        <v>111</v>
      </c>
      <c r="F446" t="s">
        <v>112</v>
      </c>
      <c r="G446">
        <v>3</v>
      </c>
      <c r="H446">
        <v>11.24</v>
      </c>
      <c r="I446">
        <v>0.25</v>
      </c>
      <c r="J446">
        <v>25.29</v>
      </c>
      <c r="K446" t="s">
        <v>53</v>
      </c>
      <c r="L446" t="s">
        <v>17</v>
      </c>
      <c r="M446" t="s">
        <v>81</v>
      </c>
    </row>
    <row r="447" spans="1:13" x14ac:dyDescent="0.2">
      <c r="A447">
        <v>177902</v>
      </c>
      <c r="B447" s="2">
        <v>45122</v>
      </c>
      <c r="C447">
        <v>11508</v>
      </c>
      <c r="D447" t="s">
        <v>48</v>
      </c>
      <c r="E447" t="s">
        <v>139</v>
      </c>
      <c r="F447" t="s">
        <v>140</v>
      </c>
      <c r="G447">
        <v>3</v>
      </c>
      <c r="H447">
        <v>7.99</v>
      </c>
      <c r="J447">
        <v>23.97</v>
      </c>
      <c r="K447" t="s">
        <v>16</v>
      </c>
      <c r="L447" t="s">
        <v>17</v>
      </c>
      <c r="M447" t="s">
        <v>103</v>
      </c>
    </row>
    <row r="448" spans="1:13" x14ac:dyDescent="0.2">
      <c r="A448">
        <v>178153</v>
      </c>
      <c r="B448" s="2">
        <v>45236</v>
      </c>
      <c r="C448">
        <v>66734</v>
      </c>
      <c r="D448" t="s">
        <v>13</v>
      </c>
      <c r="E448" t="s">
        <v>104</v>
      </c>
      <c r="F448" t="s">
        <v>105</v>
      </c>
      <c r="G448">
        <v>2</v>
      </c>
      <c r="H448">
        <v>23.99</v>
      </c>
      <c r="I448">
        <v>0.2</v>
      </c>
      <c r="J448">
        <v>38.380000000000003</v>
      </c>
      <c r="K448" t="s">
        <v>16</v>
      </c>
      <c r="L448" t="s">
        <v>23</v>
      </c>
      <c r="M448" t="s">
        <v>161</v>
      </c>
    </row>
    <row r="449" spans="1:13" x14ac:dyDescent="0.2">
      <c r="A449">
        <v>178249</v>
      </c>
      <c r="B449" s="1">
        <v>45653</v>
      </c>
      <c r="C449">
        <v>87834</v>
      </c>
      <c r="D449" t="s">
        <v>97</v>
      </c>
      <c r="E449" t="s">
        <v>165</v>
      </c>
      <c r="F449" t="s">
        <v>166</v>
      </c>
      <c r="G449">
        <v>5</v>
      </c>
      <c r="H449">
        <v>89.99</v>
      </c>
      <c r="J449">
        <v>449.95</v>
      </c>
      <c r="K449" t="s">
        <v>16</v>
      </c>
      <c r="L449" t="s">
        <v>17</v>
      </c>
      <c r="M449" t="s">
        <v>54</v>
      </c>
    </row>
    <row r="450" spans="1:13" x14ac:dyDescent="0.2">
      <c r="A450">
        <v>178278</v>
      </c>
      <c r="B450" s="2">
        <v>44580</v>
      </c>
      <c r="C450">
        <v>76619</v>
      </c>
      <c r="D450" t="s">
        <v>44</v>
      </c>
      <c r="E450" t="s">
        <v>74</v>
      </c>
      <c r="F450" t="s">
        <v>75</v>
      </c>
      <c r="G450">
        <v>5</v>
      </c>
      <c r="H450">
        <v>2.84</v>
      </c>
      <c r="I450">
        <v>0.05</v>
      </c>
      <c r="J450">
        <v>13.49</v>
      </c>
      <c r="K450" t="s">
        <v>16</v>
      </c>
      <c r="L450" t="s">
        <v>23</v>
      </c>
      <c r="M450" t="s">
        <v>81</v>
      </c>
    </row>
    <row r="451" spans="1:13" x14ac:dyDescent="0.2">
      <c r="A451">
        <v>178484</v>
      </c>
      <c r="B451" s="1">
        <v>44755</v>
      </c>
      <c r="C451">
        <v>50014</v>
      </c>
      <c r="D451" t="s">
        <v>85</v>
      </c>
      <c r="E451" t="s">
        <v>129</v>
      </c>
      <c r="F451" t="s">
        <v>130</v>
      </c>
      <c r="G451">
        <v>1</v>
      </c>
      <c r="H451">
        <v>7.64</v>
      </c>
      <c r="I451">
        <v>0.15</v>
      </c>
      <c r="J451">
        <v>6.49</v>
      </c>
      <c r="K451" t="s">
        <v>16</v>
      </c>
      <c r="L451" t="s">
        <v>17</v>
      </c>
      <c r="M451" t="s">
        <v>24</v>
      </c>
    </row>
    <row r="452" spans="1:13" x14ac:dyDescent="0.2">
      <c r="A452">
        <v>178733</v>
      </c>
      <c r="B452" s="1">
        <v>45410</v>
      </c>
      <c r="C452">
        <v>76006</v>
      </c>
      <c r="D452" t="s">
        <v>25</v>
      </c>
      <c r="E452" t="s">
        <v>26</v>
      </c>
      <c r="F452" t="s">
        <v>27</v>
      </c>
      <c r="G452">
        <v>1</v>
      </c>
      <c r="H452">
        <v>26.24</v>
      </c>
      <c r="I452">
        <v>0.25</v>
      </c>
      <c r="J452">
        <v>19.68</v>
      </c>
      <c r="K452" t="s">
        <v>16</v>
      </c>
      <c r="L452" t="s">
        <v>23</v>
      </c>
      <c r="M452" t="s">
        <v>81</v>
      </c>
    </row>
    <row r="453" spans="1:13" x14ac:dyDescent="0.2">
      <c r="A453">
        <v>178872</v>
      </c>
      <c r="B453" s="2">
        <v>45500</v>
      </c>
      <c r="C453">
        <v>91622</v>
      </c>
      <c r="D453" t="s">
        <v>82</v>
      </c>
      <c r="E453" t="s">
        <v>155</v>
      </c>
      <c r="F453" t="s">
        <v>156</v>
      </c>
      <c r="G453">
        <v>3</v>
      </c>
      <c r="H453">
        <v>14.99</v>
      </c>
      <c r="I453">
        <v>0.25</v>
      </c>
      <c r="J453">
        <v>33.729999999999997</v>
      </c>
      <c r="K453" t="s">
        <v>16</v>
      </c>
      <c r="L453" t="s">
        <v>23</v>
      </c>
      <c r="M453" t="s">
        <v>18</v>
      </c>
    </row>
    <row r="454" spans="1:13" x14ac:dyDescent="0.2">
      <c r="A454">
        <v>179049</v>
      </c>
      <c r="B454" s="1">
        <v>45545</v>
      </c>
      <c r="C454">
        <v>12502</v>
      </c>
      <c r="D454" t="s">
        <v>13</v>
      </c>
      <c r="E454" t="s">
        <v>79</v>
      </c>
      <c r="F454" t="s">
        <v>80</v>
      </c>
      <c r="G454">
        <v>1</v>
      </c>
      <c r="H454">
        <v>89.99</v>
      </c>
      <c r="J454">
        <v>89.99</v>
      </c>
      <c r="K454" t="s">
        <v>36</v>
      </c>
      <c r="L454" t="s">
        <v>37</v>
      </c>
      <c r="M454" t="s">
        <v>120</v>
      </c>
    </row>
    <row r="455" spans="1:13" x14ac:dyDescent="0.2">
      <c r="A455">
        <v>179143</v>
      </c>
      <c r="B455" s="2">
        <v>45038</v>
      </c>
      <c r="C455">
        <v>78604</v>
      </c>
      <c r="D455" t="s">
        <v>63</v>
      </c>
      <c r="E455" t="s">
        <v>68</v>
      </c>
      <c r="F455" t="s">
        <v>69</v>
      </c>
      <c r="G455">
        <v>2</v>
      </c>
      <c r="H455">
        <v>24.99</v>
      </c>
      <c r="J455">
        <v>49.98</v>
      </c>
      <c r="K455" t="s">
        <v>16</v>
      </c>
      <c r="L455" t="s">
        <v>37</v>
      </c>
      <c r="M455" t="s">
        <v>120</v>
      </c>
    </row>
    <row r="456" spans="1:13" x14ac:dyDescent="0.2">
      <c r="A456">
        <v>179184</v>
      </c>
      <c r="B456" s="1">
        <v>45112</v>
      </c>
      <c r="C456">
        <v>77582</v>
      </c>
      <c r="D456" t="s">
        <v>48</v>
      </c>
      <c r="E456" t="s">
        <v>118</v>
      </c>
      <c r="F456" t="s">
        <v>119</v>
      </c>
      <c r="G456">
        <v>2</v>
      </c>
      <c r="H456">
        <v>3.99</v>
      </c>
      <c r="I456">
        <v>0.2</v>
      </c>
      <c r="J456">
        <v>6.38</v>
      </c>
      <c r="K456" t="s">
        <v>16</v>
      </c>
      <c r="L456" t="s">
        <v>37</v>
      </c>
      <c r="M456" t="s">
        <v>90</v>
      </c>
    </row>
    <row r="457" spans="1:13" x14ac:dyDescent="0.2">
      <c r="A457">
        <v>179689</v>
      </c>
      <c r="B457" s="1">
        <v>44930</v>
      </c>
      <c r="C457">
        <v>94712</v>
      </c>
      <c r="D457" t="s">
        <v>25</v>
      </c>
      <c r="E457" t="s">
        <v>51</v>
      </c>
      <c r="F457" t="s">
        <v>52</v>
      </c>
      <c r="G457">
        <v>2</v>
      </c>
      <c r="H457">
        <v>27.99</v>
      </c>
      <c r="J457">
        <v>55.98</v>
      </c>
      <c r="K457" t="s">
        <v>36</v>
      </c>
      <c r="L457" t="s">
        <v>17</v>
      </c>
      <c r="M457" t="s">
        <v>28</v>
      </c>
    </row>
    <row r="458" spans="1:13" x14ac:dyDescent="0.2">
      <c r="A458">
        <v>179741</v>
      </c>
      <c r="B458" s="1">
        <v>45535</v>
      </c>
      <c r="C458">
        <v>89034</v>
      </c>
      <c r="D458" t="s">
        <v>167</v>
      </c>
      <c r="E458" t="s">
        <v>109</v>
      </c>
      <c r="F458" t="s">
        <v>110</v>
      </c>
      <c r="G458">
        <v>4</v>
      </c>
      <c r="H458">
        <v>4.8899999999999997</v>
      </c>
      <c r="I458">
        <v>0.3</v>
      </c>
      <c r="J458">
        <v>13.69</v>
      </c>
      <c r="K458" t="s">
        <v>16</v>
      </c>
      <c r="L458" t="s">
        <v>37</v>
      </c>
      <c r="M458" t="s">
        <v>103</v>
      </c>
    </row>
    <row r="459" spans="1:13" x14ac:dyDescent="0.2">
      <c r="A459">
        <v>179903</v>
      </c>
      <c r="B459" s="2">
        <v>44912</v>
      </c>
      <c r="C459">
        <v>95338</v>
      </c>
      <c r="D459" t="s">
        <v>48</v>
      </c>
      <c r="E459" t="s">
        <v>143</v>
      </c>
      <c r="F459" t="s">
        <v>144</v>
      </c>
      <c r="G459">
        <v>5</v>
      </c>
      <c r="H459">
        <v>10.49</v>
      </c>
      <c r="I459">
        <v>0.3</v>
      </c>
      <c r="J459">
        <v>36.71</v>
      </c>
      <c r="K459" t="s">
        <v>16</v>
      </c>
      <c r="L459" t="s">
        <v>17</v>
      </c>
      <c r="M459" t="s">
        <v>18</v>
      </c>
    </row>
    <row r="460" spans="1:13" x14ac:dyDescent="0.2">
      <c r="A460">
        <v>180022</v>
      </c>
      <c r="B460" s="2">
        <v>45340</v>
      </c>
      <c r="C460">
        <v>21939</v>
      </c>
      <c r="D460" t="s">
        <v>44</v>
      </c>
      <c r="E460" t="s">
        <v>91</v>
      </c>
      <c r="F460" t="s">
        <v>92</v>
      </c>
      <c r="G460">
        <v>3</v>
      </c>
      <c r="H460">
        <v>4.72</v>
      </c>
      <c r="I460">
        <v>0.25</v>
      </c>
      <c r="J460">
        <v>10.62</v>
      </c>
      <c r="K460" t="s">
        <v>36</v>
      </c>
      <c r="L460" t="s">
        <v>37</v>
      </c>
      <c r="M460" t="s">
        <v>18</v>
      </c>
    </row>
    <row r="461" spans="1:13" x14ac:dyDescent="0.2">
      <c r="A461">
        <v>180084</v>
      </c>
      <c r="B461" s="1">
        <v>45220</v>
      </c>
      <c r="C461">
        <v>75546</v>
      </c>
      <c r="D461" t="s">
        <v>167</v>
      </c>
      <c r="E461" t="s">
        <v>139</v>
      </c>
      <c r="F461" t="s">
        <v>140</v>
      </c>
      <c r="G461">
        <v>4</v>
      </c>
      <c r="H461">
        <v>7.59</v>
      </c>
      <c r="I461">
        <v>0.05</v>
      </c>
      <c r="J461">
        <v>28.84</v>
      </c>
      <c r="K461" t="s">
        <v>36</v>
      </c>
      <c r="L461" t="s">
        <v>37</v>
      </c>
      <c r="M461" t="s">
        <v>54</v>
      </c>
    </row>
    <row r="462" spans="1:13" x14ac:dyDescent="0.2">
      <c r="A462">
        <v>180088</v>
      </c>
      <c r="B462" s="1">
        <v>45542</v>
      </c>
      <c r="C462">
        <v>56787</v>
      </c>
      <c r="D462" t="s">
        <v>44</v>
      </c>
      <c r="E462" t="s">
        <v>107</v>
      </c>
      <c r="F462" t="s">
        <v>108</v>
      </c>
      <c r="G462">
        <v>3</v>
      </c>
      <c r="H462">
        <v>3.49</v>
      </c>
      <c r="J462">
        <v>10.47</v>
      </c>
      <c r="K462" t="s">
        <v>36</v>
      </c>
      <c r="L462" t="s">
        <v>17</v>
      </c>
      <c r="M462" t="s">
        <v>117</v>
      </c>
    </row>
    <row r="463" spans="1:13" x14ac:dyDescent="0.2">
      <c r="A463">
        <v>180313</v>
      </c>
      <c r="B463" s="1">
        <v>44768</v>
      </c>
      <c r="C463">
        <v>10876</v>
      </c>
      <c r="D463" t="s">
        <v>82</v>
      </c>
      <c r="E463" t="s">
        <v>188</v>
      </c>
      <c r="F463" t="s">
        <v>189</v>
      </c>
      <c r="G463">
        <v>1</v>
      </c>
      <c r="H463">
        <v>44.99</v>
      </c>
      <c r="J463">
        <v>44.99</v>
      </c>
      <c r="K463" t="s">
        <v>16</v>
      </c>
      <c r="L463" t="s">
        <v>17</v>
      </c>
      <c r="M463" t="s">
        <v>28</v>
      </c>
    </row>
    <row r="464" spans="1:13" x14ac:dyDescent="0.2">
      <c r="A464">
        <v>180477</v>
      </c>
      <c r="B464" s="1">
        <v>44565</v>
      </c>
      <c r="C464">
        <v>41544</v>
      </c>
      <c r="D464" t="s">
        <v>13</v>
      </c>
      <c r="E464" t="s">
        <v>127</v>
      </c>
      <c r="F464" t="s">
        <v>128</v>
      </c>
      <c r="G464">
        <v>3</v>
      </c>
      <c r="H464">
        <v>16.989999999999998</v>
      </c>
      <c r="I464">
        <v>0.15</v>
      </c>
      <c r="J464">
        <v>43.32</v>
      </c>
      <c r="K464" t="s">
        <v>16</v>
      </c>
      <c r="L464" t="s">
        <v>17</v>
      </c>
      <c r="M464" t="s">
        <v>103</v>
      </c>
    </row>
    <row r="465" spans="1:13" x14ac:dyDescent="0.2">
      <c r="A465">
        <v>180864</v>
      </c>
      <c r="B465" s="2">
        <v>45279</v>
      </c>
      <c r="C465">
        <v>60186</v>
      </c>
      <c r="D465" t="s">
        <v>97</v>
      </c>
      <c r="E465" t="s">
        <v>121</v>
      </c>
      <c r="F465" t="s">
        <v>122</v>
      </c>
      <c r="G465">
        <v>2</v>
      </c>
      <c r="H465">
        <v>10.39</v>
      </c>
      <c r="I465">
        <v>0.2</v>
      </c>
      <c r="J465">
        <v>16.62</v>
      </c>
      <c r="K465" t="s">
        <v>36</v>
      </c>
      <c r="L465" t="s">
        <v>23</v>
      </c>
      <c r="M465" t="s">
        <v>54</v>
      </c>
    </row>
    <row r="466" spans="1:13" x14ac:dyDescent="0.2">
      <c r="A466">
        <v>180996</v>
      </c>
      <c r="B466" s="2">
        <v>45519</v>
      </c>
      <c r="C466">
        <v>43647</v>
      </c>
      <c r="D466" t="s">
        <v>199</v>
      </c>
      <c r="E466" t="s">
        <v>127</v>
      </c>
      <c r="F466" t="s">
        <v>128</v>
      </c>
      <c r="G466">
        <v>3</v>
      </c>
      <c r="H466">
        <v>16.989999999999998</v>
      </c>
      <c r="I466">
        <v>0.15</v>
      </c>
      <c r="J466">
        <v>43.32</v>
      </c>
      <c r="K466" t="s">
        <v>22</v>
      </c>
      <c r="L466" t="s">
        <v>17</v>
      </c>
      <c r="M466" t="s">
        <v>24</v>
      </c>
    </row>
    <row r="467" spans="1:13" x14ac:dyDescent="0.2">
      <c r="A467">
        <v>181145</v>
      </c>
      <c r="B467" s="1">
        <v>44685</v>
      </c>
      <c r="C467">
        <v>86275</v>
      </c>
      <c r="D467" t="s">
        <v>48</v>
      </c>
      <c r="E467" t="s">
        <v>143</v>
      </c>
      <c r="F467" t="s">
        <v>144</v>
      </c>
      <c r="G467">
        <v>1</v>
      </c>
      <c r="H467">
        <v>10.49</v>
      </c>
      <c r="I467">
        <v>0.3</v>
      </c>
      <c r="J467">
        <v>7.34</v>
      </c>
      <c r="K467" t="s">
        <v>36</v>
      </c>
      <c r="L467" t="s">
        <v>17</v>
      </c>
      <c r="M467" t="s">
        <v>33</v>
      </c>
    </row>
    <row r="468" spans="1:13" x14ac:dyDescent="0.2">
      <c r="A468">
        <v>181171</v>
      </c>
      <c r="B468" s="1">
        <v>45037</v>
      </c>
      <c r="C468">
        <v>25503</v>
      </c>
      <c r="D468" t="s">
        <v>40</v>
      </c>
      <c r="E468" t="s">
        <v>115</v>
      </c>
      <c r="F468" t="s">
        <v>116</v>
      </c>
      <c r="G468">
        <v>1</v>
      </c>
      <c r="H468">
        <v>10.39</v>
      </c>
      <c r="I468">
        <v>0.2</v>
      </c>
      <c r="J468">
        <v>8.31</v>
      </c>
      <c r="K468" t="s">
        <v>22</v>
      </c>
      <c r="L468" t="s">
        <v>37</v>
      </c>
      <c r="M468" t="s">
        <v>103</v>
      </c>
    </row>
    <row r="469" spans="1:13" x14ac:dyDescent="0.2">
      <c r="A469">
        <v>181309</v>
      </c>
      <c r="B469" s="1">
        <v>45613</v>
      </c>
      <c r="C469">
        <v>29311</v>
      </c>
      <c r="D469" t="s">
        <v>44</v>
      </c>
      <c r="E469" t="s">
        <v>172</v>
      </c>
      <c r="F469" t="s">
        <v>173</v>
      </c>
      <c r="G469">
        <v>2</v>
      </c>
      <c r="H469">
        <v>4.49</v>
      </c>
      <c r="J469">
        <v>8.98</v>
      </c>
      <c r="K469" t="s">
        <v>16</v>
      </c>
      <c r="L469" t="s">
        <v>17</v>
      </c>
      <c r="M469" t="s">
        <v>123</v>
      </c>
    </row>
    <row r="470" spans="1:13" x14ac:dyDescent="0.2">
      <c r="A470">
        <v>181575</v>
      </c>
      <c r="B470" s="2">
        <v>45244</v>
      </c>
      <c r="C470">
        <v>38591</v>
      </c>
      <c r="D470" t="s">
        <v>85</v>
      </c>
      <c r="E470" t="s">
        <v>86</v>
      </c>
      <c r="F470" t="s">
        <v>87</v>
      </c>
      <c r="G470">
        <v>3</v>
      </c>
      <c r="H470">
        <v>9.74</v>
      </c>
      <c r="I470">
        <v>0.25</v>
      </c>
      <c r="J470">
        <v>21.92</v>
      </c>
      <c r="K470" t="s">
        <v>16</v>
      </c>
      <c r="L470" t="s">
        <v>17</v>
      </c>
      <c r="M470" t="s">
        <v>81</v>
      </c>
    </row>
    <row r="471" spans="1:13" x14ac:dyDescent="0.2">
      <c r="A471">
        <v>181678</v>
      </c>
      <c r="B471" s="1">
        <v>45045</v>
      </c>
      <c r="C471">
        <v>24984</v>
      </c>
      <c r="D471" t="s">
        <v>82</v>
      </c>
      <c r="E471" t="s">
        <v>168</v>
      </c>
      <c r="F471" t="s">
        <v>169</v>
      </c>
      <c r="G471">
        <v>3</v>
      </c>
      <c r="H471">
        <v>8.99</v>
      </c>
      <c r="J471">
        <v>26.97</v>
      </c>
      <c r="K471" t="s">
        <v>32</v>
      </c>
      <c r="L471" t="s">
        <v>37</v>
      </c>
      <c r="M471" t="s">
        <v>24</v>
      </c>
    </row>
    <row r="472" spans="1:13" x14ac:dyDescent="0.2">
      <c r="A472">
        <v>181721</v>
      </c>
      <c r="B472" s="1">
        <v>44645</v>
      </c>
      <c r="C472">
        <v>40279</v>
      </c>
      <c r="D472" t="s">
        <v>13</v>
      </c>
      <c r="E472" t="s">
        <v>186</v>
      </c>
      <c r="F472" t="s">
        <v>187</v>
      </c>
      <c r="G472">
        <v>4</v>
      </c>
      <c r="H472">
        <v>49.99</v>
      </c>
      <c r="J472">
        <v>199.96</v>
      </c>
      <c r="K472" t="s">
        <v>16</v>
      </c>
      <c r="L472" t="s">
        <v>23</v>
      </c>
      <c r="M472" t="s">
        <v>62</v>
      </c>
    </row>
    <row r="473" spans="1:13" x14ac:dyDescent="0.2">
      <c r="A473">
        <v>181721</v>
      </c>
      <c r="B473" s="1">
        <v>45518</v>
      </c>
      <c r="C473">
        <v>39351</v>
      </c>
      <c r="D473" t="s">
        <v>82</v>
      </c>
      <c r="E473" t="s">
        <v>100</v>
      </c>
      <c r="F473" t="s">
        <v>101</v>
      </c>
      <c r="G473">
        <v>2</v>
      </c>
      <c r="H473">
        <v>22.99</v>
      </c>
      <c r="J473">
        <v>45.98</v>
      </c>
      <c r="K473" t="s">
        <v>16</v>
      </c>
      <c r="L473" t="s">
        <v>17</v>
      </c>
      <c r="M473" t="s">
        <v>18</v>
      </c>
    </row>
    <row r="474" spans="1:13" x14ac:dyDescent="0.2">
      <c r="A474">
        <v>181872</v>
      </c>
      <c r="B474" s="2">
        <v>45113</v>
      </c>
      <c r="C474">
        <v>92225</v>
      </c>
      <c r="D474" t="s">
        <v>82</v>
      </c>
      <c r="E474" t="s">
        <v>155</v>
      </c>
      <c r="F474" t="s">
        <v>156</v>
      </c>
      <c r="G474">
        <v>3</v>
      </c>
      <c r="H474">
        <v>15.99</v>
      </c>
      <c r="I474">
        <v>0.2</v>
      </c>
      <c r="J474">
        <v>38.380000000000003</v>
      </c>
      <c r="K474" t="s">
        <v>16</v>
      </c>
      <c r="L474" t="s">
        <v>17</v>
      </c>
      <c r="M474" t="s">
        <v>96</v>
      </c>
    </row>
    <row r="475" spans="1:13" x14ac:dyDescent="0.2">
      <c r="A475">
        <v>181969</v>
      </c>
      <c r="B475" s="2">
        <v>45306</v>
      </c>
      <c r="D475" t="s">
        <v>25</v>
      </c>
      <c r="E475" t="s">
        <v>60</v>
      </c>
      <c r="F475" t="s">
        <v>61</v>
      </c>
      <c r="G475">
        <v>3</v>
      </c>
      <c r="H475">
        <v>49.49</v>
      </c>
      <c r="I475">
        <v>0.1</v>
      </c>
      <c r="J475">
        <v>133.62</v>
      </c>
      <c r="K475" t="s">
        <v>36</v>
      </c>
      <c r="L475" t="s">
        <v>17</v>
      </c>
      <c r="M475" t="s">
        <v>103</v>
      </c>
    </row>
    <row r="476" spans="1:13" x14ac:dyDescent="0.2">
      <c r="A476">
        <v>182034</v>
      </c>
      <c r="B476" s="1">
        <v>45640</v>
      </c>
      <c r="C476">
        <v>92662</v>
      </c>
      <c r="D476" t="s">
        <v>192</v>
      </c>
      <c r="E476" t="s">
        <v>141</v>
      </c>
      <c r="F476" t="s">
        <v>142</v>
      </c>
      <c r="G476">
        <v>2</v>
      </c>
      <c r="H476">
        <v>20.69</v>
      </c>
      <c r="I476">
        <v>0.1</v>
      </c>
      <c r="J476">
        <v>37.24</v>
      </c>
      <c r="K476" t="s">
        <v>16</v>
      </c>
      <c r="L476" t="s">
        <v>17</v>
      </c>
      <c r="M476" t="s">
        <v>28</v>
      </c>
    </row>
    <row r="477" spans="1:13" x14ac:dyDescent="0.2">
      <c r="A477">
        <v>182061</v>
      </c>
      <c r="B477" s="1">
        <v>45205</v>
      </c>
      <c r="C477">
        <v>50469</v>
      </c>
      <c r="D477" t="s">
        <v>25</v>
      </c>
      <c r="E477" t="s">
        <v>51</v>
      </c>
      <c r="F477" t="s">
        <v>52</v>
      </c>
      <c r="G477">
        <v>1</v>
      </c>
      <c r="H477">
        <v>22.39</v>
      </c>
      <c r="I477">
        <v>0.2</v>
      </c>
      <c r="J477">
        <v>17.91</v>
      </c>
      <c r="K477" t="s">
        <v>36</v>
      </c>
      <c r="L477" t="s">
        <v>17</v>
      </c>
      <c r="M477" t="s">
        <v>123</v>
      </c>
    </row>
    <row r="478" spans="1:13" x14ac:dyDescent="0.2">
      <c r="A478">
        <v>182190</v>
      </c>
      <c r="B478" s="1">
        <v>44702</v>
      </c>
      <c r="C478">
        <v>36097</v>
      </c>
      <c r="D478" t="s">
        <v>19</v>
      </c>
      <c r="E478" t="s">
        <v>115</v>
      </c>
      <c r="F478" t="s">
        <v>116</v>
      </c>
      <c r="G478">
        <v>5</v>
      </c>
      <c r="H478">
        <v>11.69</v>
      </c>
      <c r="I478">
        <v>0.1</v>
      </c>
      <c r="J478">
        <v>52.6</v>
      </c>
      <c r="K478" t="s">
        <v>22</v>
      </c>
      <c r="L478" t="s">
        <v>17</v>
      </c>
      <c r="M478" t="s">
        <v>28</v>
      </c>
    </row>
    <row r="479" spans="1:13" x14ac:dyDescent="0.2">
      <c r="A479">
        <v>182326</v>
      </c>
      <c r="B479" s="1">
        <v>45038</v>
      </c>
      <c r="D479" t="s">
        <v>124</v>
      </c>
      <c r="E479" t="s">
        <v>131</v>
      </c>
      <c r="F479" t="s">
        <v>132</v>
      </c>
      <c r="G479">
        <v>1</v>
      </c>
      <c r="H479">
        <v>3.49</v>
      </c>
      <c r="J479">
        <v>3.49</v>
      </c>
      <c r="K479" t="s">
        <v>36</v>
      </c>
      <c r="L479" t="s">
        <v>37</v>
      </c>
      <c r="M479" t="s">
        <v>54</v>
      </c>
    </row>
    <row r="480" spans="1:13" x14ac:dyDescent="0.2">
      <c r="A480">
        <v>182430</v>
      </c>
      <c r="B480" s="1">
        <v>44756</v>
      </c>
      <c r="C480">
        <v>21758</v>
      </c>
      <c r="D480" t="s">
        <v>48</v>
      </c>
      <c r="E480" t="s">
        <v>139</v>
      </c>
      <c r="F480" t="s">
        <v>140</v>
      </c>
      <c r="G480">
        <v>2</v>
      </c>
      <c r="H480">
        <v>6.39</v>
      </c>
      <c r="I480">
        <v>0.2</v>
      </c>
      <c r="J480">
        <v>10.220000000000001</v>
      </c>
      <c r="K480" t="s">
        <v>22</v>
      </c>
      <c r="L480" t="s">
        <v>17</v>
      </c>
      <c r="M480" t="s">
        <v>102</v>
      </c>
    </row>
    <row r="481" spans="1:13" x14ac:dyDescent="0.2">
      <c r="A481">
        <v>182566</v>
      </c>
      <c r="B481" s="1">
        <v>45086</v>
      </c>
      <c r="C481">
        <v>80016</v>
      </c>
      <c r="D481" t="s">
        <v>63</v>
      </c>
      <c r="E481" t="s">
        <v>131</v>
      </c>
      <c r="F481" t="s">
        <v>132</v>
      </c>
      <c r="G481">
        <v>1</v>
      </c>
      <c r="H481">
        <v>3.49</v>
      </c>
      <c r="J481">
        <v>3.49</v>
      </c>
      <c r="K481" t="s">
        <v>16</v>
      </c>
      <c r="L481" t="s">
        <v>37</v>
      </c>
      <c r="M481" t="s">
        <v>18</v>
      </c>
    </row>
    <row r="482" spans="1:13" x14ac:dyDescent="0.2">
      <c r="A482">
        <v>182649</v>
      </c>
      <c r="B482" s="1">
        <v>44726</v>
      </c>
      <c r="C482">
        <v>82788</v>
      </c>
      <c r="D482" t="s">
        <v>13</v>
      </c>
      <c r="E482" t="s">
        <v>127</v>
      </c>
      <c r="F482" t="s">
        <v>128</v>
      </c>
      <c r="G482">
        <v>2</v>
      </c>
      <c r="H482">
        <v>17.989999999999998</v>
      </c>
      <c r="I482">
        <v>0.1</v>
      </c>
      <c r="J482">
        <v>32.380000000000003</v>
      </c>
      <c r="K482" t="s">
        <v>36</v>
      </c>
      <c r="L482" t="s">
        <v>17</v>
      </c>
      <c r="M482" t="s">
        <v>81</v>
      </c>
    </row>
    <row r="483" spans="1:13" x14ac:dyDescent="0.2">
      <c r="A483">
        <v>182663</v>
      </c>
      <c r="B483" s="1">
        <v>45448</v>
      </c>
      <c r="C483">
        <v>86548</v>
      </c>
      <c r="D483" t="s">
        <v>63</v>
      </c>
      <c r="E483" t="s">
        <v>131</v>
      </c>
      <c r="F483" t="s">
        <v>132</v>
      </c>
      <c r="G483">
        <v>2</v>
      </c>
      <c r="H483">
        <v>3.14</v>
      </c>
      <c r="I483">
        <v>0.1</v>
      </c>
      <c r="J483">
        <v>5.65</v>
      </c>
      <c r="K483" t="s">
        <v>36</v>
      </c>
      <c r="L483" t="s">
        <v>37</v>
      </c>
      <c r="M483" t="s">
        <v>120</v>
      </c>
    </row>
    <row r="484" spans="1:13" x14ac:dyDescent="0.2">
      <c r="A484">
        <v>182814</v>
      </c>
      <c r="B484" s="1">
        <v>45094</v>
      </c>
      <c r="C484">
        <v>22738</v>
      </c>
      <c r="D484" t="s">
        <v>63</v>
      </c>
      <c r="E484" t="s">
        <v>125</v>
      </c>
      <c r="F484" t="s">
        <v>126</v>
      </c>
      <c r="G484">
        <v>1</v>
      </c>
      <c r="H484">
        <v>29.99</v>
      </c>
      <c r="J484">
        <v>29.99</v>
      </c>
      <c r="K484" t="s">
        <v>16</v>
      </c>
      <c r="L484" t="s">
        <v>17</v>
      </c>
      <c r="M484" t="s">
        <v>117</v>
      </c>
    </row>
    <row r="485" spans="1:13" x14ac:dyDescent="0.2">
      <c r="A485">
        <v>182915</v>
      </c>
      <c r="B485" s="2">
        <v>45617</v>
      </c>
      <c r="C485">
        <v>49660</v>
      </c>
      <c r="D485" t="s">
        <v>13</v>
      </c>
      <c r="E485" t="s">
        <v>159</v>
      </c>
      <c r="F485" t="s">
        <v>160</v>
      </c>
      <c r="G485">
        <v>5</v>
      </c>
      <c r="H485">
        <v>47.99</v>
      </c>
      <c r="I485">
        <v>0.2</v>
      </c>
      <c r="J485">
        <v>191.96</v>
      </c>
      <c r="K485" t="s">
        <v>36</v>
      </c>
      <c r="L485" t="s">
        <v>37</v>
      </c>
      <c r="M485" t="s">
        <v>43</v>
      </c>
    </row>
    <row r="486" spans="1:13" x14ac:dyDescent="0.2">
      <c r="A486">
        <v>183075</v>
      </c>
      <c r="B486" s="1">
        <v>44814</v>
      </c>
      <c r="C486">
        <v>99904</v>
      </c>
      <c r="D486" t="s">
        <v>40</v>
      </c>
      <c r="E486" t="s">
        <v>41</v>
      </c>
      <c r="F486" t="s">
        <v>42</v>
      </c>
      <c r="G486">
        <v>2</v>
      </c>
      <c r="H486">
        <v>4.49</v>
      </c>
      <c r="I486">
        <v>0.25</v>
      </c>
      <c r="J486">
        <v>6.74</v>
      </c>
      <c r="K486" t="s">
        <v>16</v>
      </c>
      <c r="L486" t="s">
        <v>37</v>
      </c>
      <c r="M486" t="s">
        <v>161</v>
      </c>
    </row>
    <row r="487" spans="1:13" x14ac:dyDescent="0.2">
      <c r="A487">
        <v>183430</v>
      </c>
      <c r="B487" s="1">
        <v>45346</v>
      </c>
      <c r="C487">
        <v>69185</v>
      </c>
      <c r="D487" t="s">
        <v>44</v>
      </c>
      <c r="E487" t="s">
        <v>172</v>
      </c>
      <c r="F487" t="s">
        <v>173</v>
      </c>
      <c r="G487">
        <v>1</v>
      </c>
      <c r="H487">
        <v>3.37</v>
      </c>
      <c r="I487">
        <v>0.25</v>
      </c>
      <c r="J487">
        <v>2.5299999999999998</v>
      </c>
      <c r="K487" t="s">
        <v>16</v>
      </c>
      <c r="L487" t="s">
        <v>17</v>
      </c>
      <c r="M487" t="s">
        <v>24</v>
      </c>
    </row>
    <row r="488" spans="1:13" x14ac:dyDescent="0.2">
      <c r="A488">
        <v>183558</v>
      </c>
      <c r="B488" s="1">
        <v>45371</v>
      </c>
      <c r="C488">
        <v>48285</v>
      </c>
      <c r="D488" t="s">
        <v>40</v>
      </c>
      <c r="E488" t="s">
        <v>20</v>
      </c>
      <c r="F488" t="s">
        <v>21</v>
      </c>
      <c r="G488">
        <v>2</v>
      </c>
      <c r="H488">
        <v>9.99</v>
      </c>
      <c r="J488">
        <v>19.98</v>
      </c>
      <c r="K488" t="s">
        <v>53</v>
      </c>
      <c r="L488" t="s">
        <v>17</v>
      </c>
      <c r="M488" t="s">
        <v>81</v>
      </c>
    </row>
    <row r="489" spans="1:13" x14ac:dyDescent="0.2">
      <c r="A489">
        <v>183942</v>
      </c>
      <c r="B489" s="2">
        <v>44572</v>
      </c>
      <c r="C489">
        <v>53323</v>
      </c>
      <c r="D489" t="s">
        <v>97</v>
      </c>
      <c r="E489" t="s">
        <v>193</v>
      </c>
      <c r="F489" t="s">
        <v>194</v>
      </c>
      <c r="G489">
        <v>3</v>
      </c>
      <c r="H489">
        <v>64.989999999999995</v>
      </c>
      <c r="J489">
        <v>194.97</v>
      </c>
      <c r="K489" t="s">
        <v>16</v>
      </c>
      <c r="L489" t="s">
        <v>17</v>
      </c>
      <c r="M489" t="s">
        <v>54</v>
      </c>
    </row>
    <row r="490" spans="1:13" x14ac:dyDescent="0.2">
      <c r="A490">
        <v>183979</v>
      </c>
      <c r="B490" s="1">
        <v>45130</v>
      </c>
      <c r="C490">
        <v>64454</v>
      </c>
      <c r="D490" t="s">
        <v>44</v>
      </c>
      <c r="E490" t="s">
        <v>93</v>
      </c>
      <c r="F490" t="s">
        <v>94</v>
      </c>
      <c r="G490">
        <v>1</v>
      </c>
      <c r="H490">
        <v>1.03</v>
      </c>
      <c r="I490">
        <v>0.2</v>
      </c>
      <c r="J490">
        <v>0.82</v>
      </c>
      <c r="K490" t="s">
        <v>36</v>
      </c>
      <c r="L490" t="s">
        <v>17</v>
      </c>
      <c r="M490" t="s">
        <v>120</v>
      </c>
    </row>
    <row r="491" spans="1:13" x14ac:dyDescent="0.2">
      <c r="A491">
        <v>184133</v>
      </c>
      <c r="B491" s="1">
        <v>45442</v>
      </c>
      <c r="C491">
        <v>30257</v>
      </c>
      <c r="D491" t="s">
        <v>82</v>
      </c>
      <c r="E491" t="s">
        <v>100</v>
      </c>
      <c r="F491" t="s">
        <v>101</v>
      </c>
      <c r="G491">
        <v>1</v>
      </c>
      <c r="H491">
        <v>22.99</v>
      </c>
      <c r="J491">
        <v>22.99</v>
      </c>
      <c r="K491" t="s">
        <v>22</v>
      </c>
      <c r="L491" t="s">
        <v>17</v>
      </c>
      <c r="M491" t="s">
        <v>123</v>
      </c>
    </row>
    <row r="492" spans="1:13" x14ac:dyDescent="0.2">
      <c r="A492">
        <v>184222</v>
      </c>
      <c r="B492" s="1">
        <v>44599</v>
      </c>
      <c r="C492">
        <v>59874</v>
      </c>
      <c r="D492" t="s">
        <v>97</v>
      </c>
      <c r="E492" t="s">
        <v>121</v>
      </c>
      <c r="F492" t="s">
        <v>122</v>
      </c>
      <c r="G492">
        <v>1</v>
      </c>
      <c r="H492">
        <v>12.99</v>
      </c>
      <c r="J492">
        <v>12.99</v>
      </c>
      <c r="K492" t="s">
        <v>95</v>
      </c>
      <c r="L492" t="s">
        <v>17</v>
      </c>
    </row>
    <row r="493" spans="1:13" x14ac:dyDescent="0.2">
      <c r="A493">
        <v>184234</v>
      </c>
      <c r="B493" s="1">
        <v>45080</v>
      </c>
      <c r="C493">
        <v>35256</v>
      </c>
      <c r="D493" t="s">
        <v>44</v>
      </c>
      <c r="E493" t="s">
        <v>93</v>
      </c>
      <c r="F493" t="s">
        <v>94</v>
      </c>
      <c r="G493">
        <v>2</v>
      </c>
      <c r="H493">
        <v>1.1000000000000001</v>
      </c>
      <c r="I493">
        <v>0.15</v>
      </c>
      <c r="J493">
        <v>1.87</v>
      </c>
      <c r="K493" t="s">
        <v>66</v>
      </c>
      <c r="L493" t="s">
        <v>17</v>
      </c>
      <c r="M493" t="s">
        <v>47</v>
      </c>
    </row>
    <row r="494" spans="1:13" x14ac:dyDescent="0.2">
      <c r="A494">
        <v>184252</v>
      </c>
      <c r="B494" s="1">
        <v>45589</v>
      </c>
      <c r="C494">
        <v>75848</v>
      </c>
      <c r="D494" t="s">
        <v>97</v>
      </c>
      <c r="E494" t="s">
        <v>121</v>
      </c>
      <c r="F494" t="s">
        <v>122</v>
      </c>
      <c r="G494">
        <v>4</v>
      </c>
      <c r="H494">
        <v>10.39</v>
      </c>
      <c r="I494">
        <v>0.2</v>
      </c>
      <c r="J494">
        <v>33.25</v>
      </c>
      <c r="K494" t="s">
        <v>53</v>
      </c>
      <c r="L494" t="s">
        <v>17</v>
      </c>
      <c r="M494" t="s">
        <v>24</v>
      </c>
    </row>
    <row r="495" spans="1:13" x14ac:dyDescent="0.2">
      <c r="A495">
        <v>184361</v>
      </c>
      <c r="B495" s="1">
        <v>45487</v>
      </c>
      <c r="C495">
        <v>49097</v>
      </c>
      <c r="D495" t="s">
        <v>25</v>
      </c>
      <c r="E495" t="s">
        <v>26</v>
      </c>
      <c r="F495" t="s">
        <v>27</v>
      </c>
      <c r="G495">
        <v>3</v>
      </c>
      <c r="H495">
        <v>34.99</v>
      </c>
      <c r="J495">
        <v>104.97</v>
      </c>
      <c r="K495" t="s">
        <v>95</v>
      </c>
      <c r="L495" t="s">
        <v>17</v>
      </c>
    </row>
    <row r="496" spans="1:13" x14ac:dyDescent="0.2">
      <c r="A496">
        <v>184670</v>
      </c>
      <c r="B496" s="1">
        <v>44592</v>
      </c>
      <c r="C496">
        <v>96733</v>
      </c>
      <c r="D496" t="s">
        <v>29</v>
      </c>
      <c r="E496" t="s">
        <v>170</v>
      </c>
      <c r="F496" t="s">
        <v>171</v>
      </c>
      <c r="G496">
        <v>1</v>
      </c>
      <c r="H496">
        <v>14.99</v>
      </c>
      <c r="J496">
        <v>14.99</v>
      </c>
      <c r="K496" t="s">
        <v>16</v>
      </c>
      <c r="L496" t="s">
        <v>37</v>
      </c>
      <c r="M496" t="s">
        <v>123</v>
      </c>
    </row>
    <row r="497" spans="1:13" x14ac:dyDescent="0.2">
      <c r="A497">
        <v>184772</v>
      </c>
      <c r="B497" s="1">
        <v>44854</v>
      </c>
      <c r="C497">
        <v>51689</v>
      </c>
      <c r="D497" t="s">
        <v>44</v>
      </c>
      <c r="E497" t="s">
        <v>172</v>
      </c>
      <c r="F497" t="s">
        <v>173</v>
      </c>
      <c r="G497">
        <v>3</v>
      </c>
      <c r="H497">
        <v>4.49</v>
      </c>
      <c r="J497">
        <v>13.47</v>
      </c>
      <c r="K497" t="s">
        <v>95</v>
      </c>
      <c r="L497" t="s">
        <v>37</v>
      </c>
      <c r="M497" t="s">
        <v>76</v>
      </c>
    </row>
    <row r="498" spans="1:13" x14ac:dyDescent="0.2">
      <c r="A498">
        <v>184950</v>
      </c>
      <c r="B498" s="1">
        <v>45651</v>
      </c>
      <c r="D498" t="s">
        <v>85</v>
      </c>
      <c r="E498" t="s">
        <v>129</v>
      </c>
      <c r="F498" t="s">
        <v>130</v>
      </c>
      <c r="G498">
        <v>3</v>
      </c>
      <c r="H498">
        <v>8.09</v>
      </c>
      <c r="I498">
        <v>0.1</v>
      </c>
      <c r="J498">
        <v>21.84</v>
      </c>
      <c r="K498" t="s">
        <v>22</v>
      </c>
      <c r="L498" t="s">
        <v>37</v>
      </c>
      <c r="M498" t="s">
        <v>43</v>
      </c>
    </row>
    <row r="499" spans="1:13" x14ac:dyDescent="0.2">
      <c r="A499">
        <v>185260</v>
      </c>
      <c r="B499" s="2">
        <v>44866</v>
      </c>
      <c r="D499" t="s">
        <v>82</v>
      </c>
      <c r="E499" t="s">
        <v>168</v>
      </c>
      <c r="F499" t="s">
        <v>169</v>
      </c>
      <c r="G499">
        <v>1</v>
      </c>
      <c r="H499">
        <v>8.99</v>
      </c>
      <c r="J499">
        <v>8.99</v>
      </c>
      <c r="K499" t="s">
        <v>36</v>
      </c>
      <c r="L499" t="s">
        <v>17</v>
      </c>
      <c r="M499" t="s">
        <v>120</v>
      </c>
    </row>
    <row r="500" spans="1:13" x14ac:dyDescent="0.2">
      <c r="A500">
        <v>185586</v>
      </c>
      <c r="B500" s="2">
        <v>44687</v>
      </c>
      <c r="C500">
        <v>22612</v>
      </c>
      <c r="D500" t="s">
        <v>25</v>
      </c>
      <c r="E500" t="s">
        <v>113</v>
      </c>
      <c r="F500" t="s">
        <v>114</v>
      </c>
      <c r="G500">
        <v>1</v>
      </c>
      <c r="H500">
        <v>101.99</v>
      </c>
      <c r="I500">
        <v>0.15</v>
      </c>
      <c r="J500">
        <v>86.69</v>
      </c>
      <c r="K500" t="s">
        <v>16</v>
      </c>
      <c r="L500" t="s">
        <v>17</v>
      </c>
      <c r="M500" t="s">
        <v>62</v>
      </c>
    </row>
    <row r="501" spans="1:13" x14ac:dyDescent="0.2">
      <c r="A501">
        <v>185698</v>
      </c>
      <c r="B501" s="1">
        <v>45214</v>
      </c>
      <c r="C501">
        <v>57798</v>
      </c>
      <c r="D501" t="s">
        <v>25</v>
      </c>
      <c r="E501" t="s">
        <v>51</v>
      </c>
      <c r="F501" t="s">
        <v>52</v>
      </c>
      <c r="G501">
        <v>1</v>
      </c>
      <c r="H501">
        <v>27.99</v>
      </c>
      <c r="J501">
        <v>27.99</v>
      </c>
      <c r="K501" t="s">
        <v>32</v>
      </c>
      <c r="L501" t="s">
        <v>17</v>
      </c>
      <c r="M501" t="s">
        <v>67</v>
      </c>
    </row>
    <row r="502" spans="1:13" x14ac:dyDescent="0.2">
      <c r="A502">
        <v>185980</v>
      </c>
      <c r="B502" s="2">
        <v>44999</v>
      </c>
      <c r="C502">
        <v>60393</v>
      </c>
      <c r="D502" t="s">
        <v>25</v>
      </c>
      <c r="E502" t="s">
        <v>60</v>
      </c>
      <c r="F502" t="s">
        <v>61</v>
      </c>
      <c r="G502">
        <v>1</v>
      </c>
      <c r="H502">
        <v>52.24</v>
      </c>
      <c r="I502">
        <v>0.05</v>
      </c>
      <c r="J502">
        <v>49.63</v>
      </c>
      <c r="K502" t="s">
        <v>16</v>
      </c>
      <c r="L502" t="s">
        <v>17</v>
      </c>
      <c r="M502" t="s">
        <v>57</v>
      </c>
    </row>
    <row r="503" spans="1:13" x14ac:dyDescent="0.2">
      <c r="A503">
        <v>185991</v>
      </c>
      <c r="B503" s="1">
        <v>45041</v>
      </c>
      <c r="C503">
        <v>76985</v>
      </c>
      <c r="D503" t="s">
        <v>44</v>
      </c>
      <c r="E503" t="s">
        <v>177</v>
      </c>
      <c r="F503" t="s">
        <v>178</v>
      </c>
      <c r="G503">
        <v>5</v>
      </c>
      <c r="H503">
        <v>10.19</v>
      </c>
      <c r="I503">
        <v>0.15</v>
      </c>
      <c r="J503">
        <v>43.31</v>
      </c>
      <c r="K503" t="s">
        <v>53</v>
      </c>
      <c r="L503" t="s">
        <v>37</v>
      </c>
      <c r="M503" t="s">
        <v>76</v>
      </c>
    </row>
    <row r="504" spans="1:13" x14ac:dyDescent="0.2">
      <c r="A504">
        <v>186074</v>
      </c>
      <c r="B504" s="1">
        <v>45546</v>
      </c>
      <c r="C504">
        <v>63252</v>
      </c>
      <c r="D504" t="s">
        <v>85</v>
      </c>
      <c r="E504" t="s">
        <v>157</v>
      </c>
      <c r="F504" t="s">
        <v>158</v>
      </c>
      <c r="G504">
        <v>4</v>
      </c>
      <c r="H504">
        <v>12.82</v>
      </c>
      <c r="I504">
        <v>0.05</v>
      </c>
      <c r="J504">
        <v>48.72</v>
      </c>
      <c r="K504" t="s">
        <v>22</v>
      </c>
      <c r="L504" t="s">
        <v>37</v>
      </c>
      <c r="M504" t="s">
        <v>117</v>
      </c>
    </row>
    <row r="505" spans="1:13" x14ac:dyDescent="0.2">
      <c r="A505">
        <v>186078</v>
      </c>
      <c r="B505" s="1">
        <v>45504</v>
      </c>
      <c r="D505" t="s">
        <v>48</v>
      </c>
      <c r="E505" t="s">
        <v>143</v>
      </c>
      <c r="F505" t="s">
        <v>144</v>
      </c>
      <c r="G505">
        <v>2</v>
      </c>
      <c r="H505">
        <v>10.49</v>
      </c>
      <c r="I505">
        <v>0.3</v>
      </c>
      <c r="J505">
        <v>14.69</v>
      </c>
      <c r="K505" t="s">
        <v>16</v>
      </c>
      <c r="L505" t="s">
        <v>37</v>
      </c>
      <c r="M505" t="s">
        <v>57</v>
      </c>
    </row>
    <row r="506" spans="1:13" x14ac:dyDescent="0.2">
      <c r="A506">
        <v>186453</v>
      </c>
      <c r="B506" s="2">
        <v>44965</v>
      </c>
      <c r="C506">
        <v>60014</v>
      </c>
      <c r="D506" t="s">
        <v>40</v>
      </c>
      <c r="E506" t="s">
        <v>197</v>
      </c>
      <c r="F506" t="s">
        <v>198</v>
      </c>
      <c r="G506">
        <v>2</v>
      </c>
      <c r="H506">
        <v>11.99</v>
      </c>
      <c r="I506">
        <v>0.2</v>
      </c>
      <c r="J506">
        <v>19.18</v>
      </c>
      <c r="K506" t="s">
        <v>32</v>
      </c>
      <c r="L506" t="s">
        <v>17</v>
      </c>
      <c r="M506" t="s">
        <v>62</v>
      </c>
    </row>
    <row r="507" spans="1:13" x14ac:dyDescent="0.2">
      <c r="A507">
        <v>186648</v>
      </c>
      <c r="B507" s="1">
        <v>45064</v>
      </c>
      <c r="C507">
        <v>34987</v>
      </c>
      <c r="D507" t="s">
        <v>29</v>
      </c>
      <c r="E507" t="s">
        <v>170</v>
      </c>
      <c r="F507" t="s">
        <v>171</v>
      </c>
      <c r="G507">
        <v>1</v>
      </c>
      <c r="H507">
        <v>14.99</v>
      </c>
      <c r="J507">
        <v>14.99</v>
      </c>
      <c r="K507" t="s">
        <v>95</v>
      </c>
      <c r="L507" t="s">
        <v>17</v>
      </c>
      <c r="M507" t="s">
        <v>47</v>
      </c>
    </row>
    <row r="508" spans="1:13" x14ac:dyDescent="0.2">
      <c r="A508">
        <v>186806</v>
      </c>
      <c r="B508" s="1">
        <v>45426</v>
      </c>
      <c r="D508" t="s">
        <v>13</v>
      </c>
      <c r="E508" t="s">
        <v>55</v>
      </c>
      <c r="F508" t="s">
        <v>56</v>
      </c>
      <c r="G508">
        <v>2</v>
      </c>
      <c r="H508">
        <v>280.49</v>
      </c>
      <c r="I508">
        <v>0.15</v>
      </c>
      <c r="J508">
        <v>476.83</v>
      </c>
      <c r="K508" t="s">
        <v>22</v>
      </c>
      <c r="L508" t="s">
        <v>37</v>
      </c>
      <c r="M508" t="s">
        <v>102</v>
      </c>
    </row>
    <row r="509" spans="1:13" x14ac:dyDescent="0.2">
      <c r="A509">
        <v>187078</v>
      </c>
      <c r="B509" s="1">
        <v>45633</v>
      </c>
      <c r="C509">
        <v>76184</v>
      </c>
      <c r="D509" t="s">
        <v>48</v>
      </c>
      <c r="E509" t="s">
        <v>143</v>
      </c>
      <c r="F509" t="s">
        <v>144</v>
      </c>
      <c r="G509">
        <v>4</v>
      </c>
      <c r="H509">
        <v>14.99</v>
      </c>
      <c r="J509">
        <v>59.96</v>
      </c>
      <c r="K509" t="s">
        <v>36</v>
      </c>
      <c r="L509" t="s">
        <v>17</v>
      </c>
      <c r="M509" t="s">
        <v>24</v>
      </c>
    </row>
    <row r="510" spans="1:13" x14ac:dyDescent="0.2">
      <c r="A510">
        <v>187382</v>
      </c>
      <c r="B510" s="2">
        <v>44770</v>
      </c>
      <c r="C510">
        <v>60842</v>
      </c>
      <c r="D510" t="s">
        <v>29</v>
      </c>
      <c r="E510" t="s">
        <v>72</v>
      </c>
      <c r="F510" t="s">
        <v>73</v>
      </c>
      <c r="G510">
        <v>1</v>
      </c>
      <c r="H510">
        <v>37.99</v>
      </c>
      <c r="I510">
        <v>0.05</v>
      </c>
      <c r="J510">
        <v>36.090000000000003</v>
      </c>
      <c r="K510" t="s">
        <v>36</v>
      </c>
      <c r="L510" t="s">
        <v>17</v>
      </c>
      <c r="M510" t="s">
        <v>117</v>
      </c>
    </row>
    <row r="511" spans="1:13" x14ac:dyDescent="0.2">
      <c r="A511">
        <v>187407</v>
      </c>
      <c r="B511" s="1">
        <v>45653</v>
      </c>
      <c r="C511">
        <v>64733</v>
      </c>
      <c r="D511" t="s">
        <v>85</v>
      </c>
      <c r="E511" t="s">
        <v>157</v>
      </c>
      <c r="F511" t="s">
        <v>158</v>
      </c>
      <c r="G511">
        <v>3</v>
      </c>
      <c r="H511">
        <v>9.44</v>
      </c>
      <c r="I511">
        <v>0.3</v>
      </c>
      <c r="J511">
        <v>19.82</v>
      </c>
      <c r="K511" t="s">
        <v>95</v>
      </c>
      <c r="L511" t="s">
        <v>17</v>
      </c>
      <c r="M511" t="s">
        <v>102</v>
      </c>
    </row>
    <row r="512" spans="1:13" x14ac:dyDescent="0.2">
      <c r="A512">
        <v>187431</v>
      </c>
      <c r="B512" s="1">
        <v>45437</v>
      </c>
      <c r="C512">
        <v>91074</v>
      </c>
      <c r="D512" t="s">
        <v>44</v>
      </c>
      <c r="E512" t="s">
        <v>162</v>
      </c>
      <c r="F512" t="s">
        <v>163</v>
      </c>
      <c r="G512">
        <v>3</v>
      </c>
      <c r="H512">
        <v>7.99</v>
      </c>
      <c r="J512">
        <v>23.97</v>
      </c>
      <c r="K512" t="s">
        <v>36</v>
      </c>
      <c r="L512" t="s">
        <v>37</v>
      </c>
      <c r="M512" t="s">
        <v>43</v>
      </c>
    </row>
    <row r="513" spans="1:13" x14ac:dyDescent="0.2">
      <c r="A513">
        <v>187463</v>
      </c>
      <c r="B513" s="1">
        <v>44869</v>
      </c>
      <c r="C513">
        <v>30574</v>
      </c>
      <c r="D513" t="s">
        <v>48</v>
      </c>
      <c r="E513" t="s">
        <v>118</v>
      </c>
      <c r="F513" t="s">
        <v>119</v>
      </c>
      <c r="G513">
        <v>1</v>
      </c>
      <c r="H513">
        <v>4.49</v>
      </c>
      <c r="I513">
        <v>0.1</v>
      </c>
      <c r="J513">
        <v>4.04</v>
      </c>
      <c r="K513" t="s">
        <v>32</v>
      </c>
      <c r="L513" t="s">
        <v>37</v>
      </c>
      <c r="M513" t="s">
        <v>28</v>
      </c>
    </row>
    <row r="514" spans="1:13" x14ac:dyDescent="0.2">
      <c r="A514">
        <v>187511</v>
      </c>
      <c r="B514" s="1">
        <v>45102</v>
      </c>
      <c r="C514">
        <v>55010</v>
      </c>
      <c r="D514" t="s">
        <v>82</v>
      </c>
      <c r="E514" t="s">
        <v>83</v>
      </c>
      <c r="F514" t="s">
        <v>84</v>
      </c>
      <c r="G514">
        <v>4</v>
      </c>
      <c r="H514">
        <v>15.29</v>
      </c>
      <c r="I514">
        <v>0.1</v>
      </c>
      <c r="J514">
        <v>55.04</v>
      </c>
      <c r="K514" t="s">
        <v>53</v>
      </c>
      <c r="L514" t="s">
        <v>37</v>
      </c>
      <c r="M514" t="s">
        <v>76</v>
      </c>
    </row>
    <row r="515" spans="1:13" x14ac:dyDescent="0.2">
      <c r="A515">
        <v>188403</v>
      </c>
      <c r="B515" s="2">
        <v>44737</v>
      </c>
      <c r="C515">
        <v>66771</v>
      </c>
      <c r="D515" t="s">
        <v>63</v>
      </c>
      <c r="E515" t="s">
        <v>111</v>
      </c>
      <c r="F515" t="s">
        <v>112</v>
      </c>
      <c r="G515">
        <v>1</v>
      </c>
      <c r="H515">
        <v>13.49</v>
      </c>
      <c r="I515">
        <v>0.1</v>
      </c>
      <c r="J515">
        <v>12.14</v>
      </c>
      <c r="K515" t="s">
        <v>16</v>
      </c>
      <c r="L515" t="s">
        <v>23</v>
      </c>
      <c r="M515" t="s">
        <v>123</v>
      </c>
    </row>
    <row r="516" spans="1:13" x14ac:dyDescent="0.2">
      <c r="A516">
        <v>188426</v>
      </c>
      <c r="B516" s="1">
        <v>44722</v>
      </c>
      <c r="C516">
        <v>92325</v>
      </c>
      <c r="D516" t="s">
        <v>29</v>
      </c>
      <c r="E516" t="s">
        <v>38</v>
      </c>
      <c r="F516" t="s">
        <v>39</v>
      </c>
      <c r="G516">
        <v>1</v>
      </c>
      <c r="H516">
        <v>22.49</v>
      </c>
      <c r="I516">
        <v>0.25</v>
      </c>
      <c r="J516">
        <v>16.87</v>
      </c>
      <c r="K516" t="s">
        <v>16</v>
      </c>
      <c r="L516" t="s">
        <v>17</v>
      </c>
      <c r="M516" t="s">
        <v>90</v>
      </c>
    </row>
    <row r="517" spans="1:13" x14ac:dyDescent="0.2">
      <c r="A517">
        <v>188501</v>
      </c>
      <c r="B517" s="1">
        <v>45642</v>
      </c>
      <c r="C517">
        <v>75004</v>
      </c>
      <c r="D517" t="s">
        <v>85</v>
      </c>
      <c r="E517" t="s">
        <v>137</v>
      </c>
      <c r="F517" t="s">
        <v>138</v>
      </c>
      <c r="G517">
        <v>1</v>
      </c>
      <c r="H517">
        <v>7.99</v>
      </c>
      <c r="J517">
        <v>7.99</v>
      </c>
      <c r="K517" t="s">
        <v>32</v>
      </c>
      <c r="L517" t="s">
        <v>17</v>
      </c>
      <c r="M517" t="s">
        <v>62</v>
      </c>
    </row>
    <row r="518" spans="1:13" x14ac:dyDescent="0.2">
      <c r="A518">
        <v>188852</v>
      </c>
      <c r="B518" s="2">
        <v>45445</v>
      </c>
      <c r="C518">
        <v>78675</v>
      </c>
      <c r="D518" t="s">
        <v>13</v>
      </c>
      <c r="E518" t="s">
        <v>79</v>
      </c>
      <c r="F518" t="s">
        <v>80</v>
      </c>
      <c r="G518">
        <v>4</v>
      </c>
      <c r="H518">
        <v>62.99</v>
      </c>
      <c r="I518">
        <v>0.3</v>
      </c>
      <c r="J518">
        <v>176.37</v>
      </c>
      <c r="K518" t="s">
        <v>36</v>
      </c>
      <c r="L518" t="s">
        <v>17</v>
      </c>
      <c r="M518" t="s">
        <v>102</v>
      </c>
    </row>
    <row r="519" spans="1:13" x14ac:dyDescent="0.2">
      <c r="A519">
        <v>189023</v>
      </c>
      <c r="B519" s="2">
        <v>45588</v>
      </c>
      <c r="C519">
        <v>13796</v>
      </c>
      <c r="D519" t="s">
        <v>40</v>
      </c>
      <c r="E519" t="s">
        <v>115</v>
      </c>
      <c r="F519" t="s">
        <v>116</v>
      </c>
      <c r="G519">
        <v>2</v>
      </c>
      <c r="H519">
        <v>12.34</v>
      </c>
      <c r="I519">
        <v>0.05</v>
      </c>
      <c r="J519">
        <v>23.45</v>
      </c>
      <c r="K519" t="s">
        <v>16</v>
      </c>
      <c r="L519" t="s">
        <v>17</v>
      </c>
      <c r="M519" t="s">
        <v>102</v>
      </c>
    </row>
    <row r="520" spans="1:13" x14ac:dyDescent="0.2">
      <c r="A520">
        <v>189110</v>
      </c>
      <c r="B520" s="1">
        <v>45298</v>
      </c>
      <c r="C520">
        <v>31802</v>
      </c>
      <c r="D520" t="s">
        <v>167</v>
      </c>
      <c r="E520" t="s">
        <v>139</v>
      </c>
      <c r="F520" t="s">
        <v>140</v>
      </c>
      <c r="G520">
        <v>2</v>
      </c>
      <c r="H520">
        <v>5.59</v>
      </c>
      <c r="I520">
        <v>0.3</v>
      </c>
      <c r="J520">
        <v>7.83</v>
      </c>
      <c r="K520" t="s">
        <v>22</v>
      </c>
      <c r="L520" t="s">
        <v>17</v>
      </c>
      <c r="M520" t="s">
        <v>24</v>
      </c>
    </row>
    <row r="521" spans="1:13" x14ac:dyDescent="0.2">
      <c r="A521">
        <v>189370</v>
      </c>
      <c r="B521" s="1">
        <v>44592</v>
      </c>
      <c r="C521">
        <v>64548</v>
      </c>
      <c r="D521" t="s">
        <v>97</v>
      </c>
      <c r="E521" t="s">
        <v>181</v>
      </c>
      <c r="F521" t="s">
        <v>182</v>
      </c>
      <c r="G521">
        <v>1</v>
      </c>
      <c r="H521">
        <v>11.24</v>
      </c>
      <c r="I521">
        <v>0.25</v>
      </c>
      <c r="J521">
        <v>8.43</v>
      </c>
      <c r="K521" t="s">
        <v>36</v>
      </c>
      <c r="L521" t="s">
        <v>37</v>
      </c>
      <c r="M521" t="s">
        <v>81</v>
      </c>
    </row>
    <row r="522" spans="1:13" x14ac:dyDescent="0.2">
      <c r="A522">
        <v>189611</v>
      </c>
      <c r="B522" s="1">
        <v>45519</v>
      </c>
      <c r="C522">
        <v>89963</v>
      </c>
      <c r="D522" t="s">
        <v>13</v>
      </c>
      <c r="E522" t="s">
        <v>14</v>
      </c>
      <c r="F522" t="s">
        <v>15</v>
      </c>
      <c r="G522">
        <v>2</v>
      </c>
      <c r="H522">
        <v>63.99</v>
      </c>
      <c r="I522">
        <v>0.2</v>
      </c>
      <c r="J522">
        <v>102.38</v>
      </c>
      <c r="K522" t="s">
        <v>53</v>
      </c>
      <c r="L522" t="s">
        <v>37</v>
      </c>
      <c r="M522" t="s">
        <v>67</v>
      </c>
    </row>
    <row r="523" spans="1:13" x14ac:dyDescent="0.2">
      <c r="A523">
        <v>189871</v>
      </c>
      <c r="B523" s="1">
        <v>45646</v>
      </c>
      <c r="C523">
        <v>89603</v>
      </c>
      <c r="D523" t="s">
        <v>29</v>
      </c>
      <c r="E523" t="s">
        <v>170</v>
      </c>
      <c r="F523" t="s">
        <v>171</v>
      </c>
      <c r="G523">
        <v>1</v>
      </c>
      <c r="H523">
        <v>14.24</v>
      </c>
      <c r="I523">
        <v>0.05</v>
      </c>
      <c r="J523">
        <v>13.53</v>
      </c>
      <c r="K523" t="s">
        <v>95</v>
      </c>
      <c r="L523" t="s">
        <v>17</v>
      </c>
      <c r="M523" t="s">
        <v>96</v>
      </c>
    </row>
    <row r="524" spans="1:13" x14ac:dyDescent="0.2">
      <c r="A524">
        <v>190025</v>
      </c>
      <c r="B524" s="2">
        <v>45550</v>
      </c>
      <c r="C524">
        <v>50880</v>
      </c>
      <c r="D524" t="s">
        <v>44</v>
      </c>
      <c r="E524" t="s">
        <v>91</v>
      </c>
      <c r="F524" t="s">
        <v>92</v>
      </c>
      <c r="G524">
        <v>1</v>
      </c>
      <c r="H524">
        <v>6.29</v>
      </c>
      <c r="J524">
        <v>6.29</v>
      </c>
      <c r="K524" t="s">
        <v>16</v>
      </c>
      <c r="L524" t="s">
        <v>23</v>
      </c>
      <c r="M524" t="s">
        <v>28</v>
      </c>
    </row>
    <row r="525" spans="1:13" x14ac:dyDescent="0.2">
      <c r="A525">
        <v>190209</v>
      </c>
      <c r="B525" s="1">
        <v>44946</v>
      </c>
      <c r="C525">
        <v>28156</v>
      </c>
      <c r="D525" t="s">
        <v>97</v>
      </c>
      <c r="E525" t="s">
        <v>181</v>
      </c>
      <c r="F525" t="s">
        <v>182</v>
      </c>
      <c r="G525">
        <v>5</v>
      </c>
      <c r="H525">
        <v>12.74</v>
      </c>
      <c r="I525">
        <v>0.15</v>
      </c>
      <c r="J525">
        <v>54.14</v>
      </c>
      <c r="K525" t="s">
        <v>36</v>
      </c>
      <c r="L525" t="s">
        <v>17</v>
      </c>
      <c r="M525" t="s">
        <v>67</v>
      </c>
    </row>
    <row r="526" spans="1:13" x14ac:dyDescent="0.2">
      <c r="A526">
        <v>190629</v>
      </c>
      <c r="B526" s="1">
        <v>45574</v>
      </c>
      <c r="C526">
        <v>63453</v>
      </c>
      <c r="D526" t="s">
        <v>44</v>
      </c>
      <c r="E526" t="s">
        <v>107</v>
      </c>
      <c r="F526" t="s">
        <v>108</v>
      </c>
      <c r="G526">
        <v>1</v>
      </c>
      <c r="H526">
        <v>2.62</v>
      </c>
      <c r="I526">
        <v>0.25</v>
      </c>
      <c r="J526">
        <v>1.96</v>
      </c>
      <c r="K526" t="s">
        <v>36</v>
      </c>
      <c r="L526" t="s">
        <v>17</v>
      </c>
      <c r="M526" t="s">
        <v>90</v>
      </c>
    </row>
    <row r="527" spans="1:13" x14ac:dyDescent="0.2">
      <c r="A527">
        <v>190747</v>
      </c>
      <c r="B527" s="1">
        <v>45164</v>
      </c>
      <c r="C527">
        <v>82508</v>
      </c>
      <c r="D527" t="s">
        <v>85</v>
      </c>
      <c r="E527" t="s">
        <v>137</v>
      </c>
      <c r="F527" t="s">
        <v>138</v>
      </c>
      <c r="G527">
        <v>1</v>
      </c>
      <c r="H527">
        <v>7.99</v>
      </c>
      <c r="J527">
        <v>7.99</v>
      </c>
      <c r="K527" t="s">
        <v>16</v>
      </c>
      <c r="L527" t="s">
        <v>17</v>
      </c>
      <c r="M527" t="s">
        <v>62</v>
      </c>
    </row>
    <row r="528" spans="1:13" x14ac:dyDescent="0.2">
      <c r="A528">
        <v>190848</v>
      </c>
      <c r="B528" s="2">
        <v>45471</v>
      </c>
      <c r="C528">
        <v>88153</v>
      </c>
      <c r="D528" t="s">
        <v>85</v>
      </c>
      <c r="E528" t="s">
        <v>157</v>
      </c>
      <c r="F528" t="s">
        <v>158</v>
      </c>
      <c r="G528">
        <v>1</v>
      </c>
      <c r="H528">
        <v>12.14</v>
      </c>
      <c r="I528">
        <v>0.1</v>
      </c>
      <c r="J528">
        <v>10.93</v>
      </c>
      <c r="K528" t="s">
        <v>32</v>
      </c>
      <c r="L528" t="s">
        <v>37</v>
      </c>
      <c r="M528" t="s">
        <v>76</v>
      </c>
    </row>
    <row r="529" spans="1:13" x14ac:dyDescent="0.2">
      <c r="A529">
        <v>190868</v>
      </c>
      <c r="B529" s="1">
        <v>44644</v>
      </c>
      <c r="C529">
        <v>17537</v>
      </c>
      <c r="D529" t="s">
        <v>85</v>
      </c>
      <c r="E529" t="s">
        <v>149</v>
      </c>
      <c r="F529" t="s">
        <v>150</v>
      </c>
      <c r="G529">
        <v>4</v>
      </c>
      <c r="H529">
        <v>13.99</v>
      </c>
      <c r="I529">
        <v>0.3</v>
      </c>
      <c r="J529">
        <v>39.17</v>
      </c>
      <c r="K529" t="s">
        <v>22</v>
      </c>
      <c r="L529" t="s">
        <v>17</v>
      </c>
      <c r="M529" t="s">
        <v>62</v>
      </c>
    </row>
    <row r="530" spans="1:13" x14ac:dyDescent="0.2">
      <c r="A530">
        <v>190897</v>
      </c>
      <c r="B530" s="1">
        <v>44599</v>
      </c>
      <c r="C530">
        <v>30255</v>
      </c>
      <c r="D530" t="s">
        <v>85</v>
      </c>
      <c r="E530" t="s">
        <v>149</v>
      </c>
      <c r="F530" t="s">
        <v>150</v>
      </c>
      <c r="G530">
        <v>5</v>
      </c>
      <c r="H530">
        <v>19.989999999999998</v>
      </c>
      <c r="J530">
        <v>99.95</v>
      </c>
      <c r="K530" t="s">
        <v>32</v>
      </c>
      <c r="L530" t="s">
        <v>17</v>
      </c>
      <c r="M530" t="s">
        <v>120</v>
      </c>
    </row>
    <row r="531" spans="1:13" x14ac:dyDescent="0.2">
      <c r="A531">
        <v>190964</v>
      </c>
      <c r="B531" s="1">
        <v>45420</v>
      </c>
      <c r="C531">
        <v>24959</v>
      </c>
      <c r="D531" t="s">
        <v>97</v>
      </c>
      <c r="E531" t="s">
        <v>151</v>
      </c>
      <c r="F531" t="s">
        <v>152</v>
      </c>
      <c r="G531">
        <v>3</v>
      </c>
      <c r="H531">
        <v>34.99</v>
      </c>
      <c r="J531">
        <v>104.97</v>
      </c>
      <c r="K531" t="s">
        <v>36</v>
      </c>
      <c r="L531" t="s">
        <v>17</v>
      </c>
      <c r="M531" t="s">
        <v>62</v>
      </c>
    </row>
    <row r="532" spans="1:13" x14ac:dyDescent="0.2">
      <c r="A532">
        <v>190979</v>
      </c>
      <c r="B532" s="1">
        <v>44989</v>
      </c>
      <c r="C532">
        <v>56947</v>
      </c>
      <c r="D532" t="s">
        <v>25</v>
      </c>
      <c r="E532" t="s">
        <v>60</v>
      </c>
      <c r="F532" t="s">
        <v>61</v>
      </c>
      <c r="G532">
        <v>1</v>
      </c>
      <c r="H532">
        <v>54.99</v>
      </c>
      <c r="J532">
        <v>54.99</v>
      </c>
      <c r="K532" t="s">
        <v>36</v>
      </c>
      <c r="L532" t="s">
        <v>17</v>
      </c>
      <c r="M532" t="s">
        <v>33</v>
      </c>
    </row>
    <row r="533" spans="1:13" x14ac:dyDescent="0.2">
      <c r="A533">
        <v>190987</v>
      </c>
      <c r="B533" s="1">
        <v>45352</v>
      </c>
      <c r="C533">
        <v>61213</v>
      </c>
      <c r="D533" t="s">
        <v>82</v>
      </c>
      <c r="E533" t="s">
        <v>83</v>
      </c>
      <c r="F533" t="s">
        <v>84</v>
      </c>
      <c r="G533">
        <v>3</v>
      </c>
      <c r="H533">
        <v>16.14</v>
      </c>
      <c r="I533">
        <v>0.05</v>
      </c>
      <c r="J533">
        <v>46</v>
      </c>
      <c r="K533" t="s">
        <v>16</v>
      </c>
      <c r="L533" t="s">
        <v>17</v>
      </c>
      <c r="M533" t="s">
        <v>103</v>
      </c>
    </row>
    <row r="534" spans="1:13" x14ac:dyDescent="0.2">
      <c r="A534">
        <v>191042</v>
      </c>
      <c r="B534" s="2">
        <v>45210</v>
      </c>
      <c r="C534">
        <v>54815</v>
      </c>
      <c r="D534" t="s">
        <v>25</v>
      </c>
      <c r="E534" t="s">
        <v>70</v>
      </c>
      <c r="F534" t="s">
        <v>71</v>
      </c>
      <c r="G534">
        <v>2</v>
      </c>
      <c r="H534">
        <v>80.989999999999995</v>
      </c>
      <c r="I534">
        <v>0.1</v>
      </c>
      <c r="J534">
        <v>145.78</v>
      </c>
      <c r="K534" t="s">
        <v>32</v>
      </c>
      <c r="L534" t="s">
        <v>37</v>
      </c>
      <c r="M534" t="s">
        <v>33</v>
      </c>
    </row>
    <row r="535" spans="1:13" x14ac:dyDescent="0.2">
      <c r="A535">
        <v>191291</v>
      </c>
      <c r="B535" s="2">
        <v>44883</v>
      </c>
      <c r="C535">
        <v>86438</v>
      </c>
      <c r="D535" t="s">
        <v>44</v>
      </c>
      <c r="E535" t="s">
        <v>190</v>
      </c>
      <c r="F535" t="s">
        <v>191</v>
      </c>
      <c r="G535">
        <v>5</v>
      </c>
      <c r="H535">
        <v>3</v>
      </c>
      <c r="I535">
        <v>0.3</v>
      </c>
      <c r="J535">
        <v>10.5</v>
      </c>
      <c r="K535" t="s">
        <v>36</v>
      </c>
      <c r="L535" t="s">
        <v>17</v>
      </c>
      <c r="M535" t="s">
        <v>102</v>
      </c>
    </row>
    <row r="536" spans="1:13" x14ac:dyDescent="0.2">
      <c r="A536">
        <v>191626</v>
      </c>
      <c r="B536" s="1">
        <v>44873</v>
      </c>
      <c r="C536">
        <v>32718</v>
      </c>
      <c r="D536" t="s">
        <v>40</v>
      </c>
      <c r="E536" t="s">
        <v>41</v>
      </c>
      <c r="F536" t="s">
        <v>42</v>
      </c>
      <c r="G536">
        <v>4</v>
      </c>
      <c r="H536">
        <v>5.99</v>
      </c>
      <c r="J536">
        <v>23.96</v>
      </c>
      <c r="K536" t="s">
        <v>53</v>
      </c>
      <c r="L536" t="s">
        <v>37</v>
      </c>
      <c r="M536" t="s">
        <v>33</v>
      </c>
    </row>
    <row r="537" spans="1:13" x14ac:dyDescent="0.2">
      <c r="A537">
        <v>191796</v>
      </c>
      <c r="B537" s="2">
        <v>45610</v>
      </c>
      <c r="C537">
        <v>48078</v>
      </c>
      <c r="D537" t="s">
        <v>82</v>
      </c>
      <c r="E537" t="s">
        <v>155</v>
      </c>
      <c r="F537" t="s">
        <v>156</v>
      </c>
      <c r="G537">
        <v>1</v>
      </c>
      <c r="H537">
        <v>16.989999999999998</v>
      </c>
      <c r="I537">
        <v>0.15</v>
      </c>
      <c r="J537">
        <v>14.44</v>
      </c>
      <c r="K537" t="s">
        <v>16</v>
      </c>
      <c r="L537" t="s">
        <v>17</v>
      </c>
      <c r="M537" t="s">
        <v>81</v>
      </c>
    </row>
    <row r="538" spans="1:13" x14ac:dyDescent="0.2">
      <c r="A538">
        <v>191845</v>
      </c>
      <c r="B538" s="1">
        <v>44652</v>
      </c>
      <c r="C538">
        <v>72995</v>
      </c>
      <c r="D538" t="s">
        <v>44</v>
      </c>
      <c r="E538" t="s">
        <v>91</v>
      </c>
      <c r="F538" t="s">
        <v>92</v>
      </c>
      <c r="G538">
        <v>1</v>
      </c>
      <c r="H538">
        <v>6.29</v>
      </c>
      <c r="J538">
        <v>6.29</v>
      </c>
      <c r="K538" t="s">
        <v>16</v>
      </c>
      <c r="L538" t="s">
        <v>17</v>
      </c>
      <c r="M538" t="s">
        <v>62</v>
      </c>
    </row>
    <row r="539" spans="1:13" x14ac:dyDescent="0.2">
      <c r="A539">
        <v>191888</v>
      </c>
      <c r="B539" s="1">
        <v>45409</v>
      </c>
      <c r="C539">
        <v>54129</v>
      </c>
      <c r="D539" t="s">
        <v>29</v>
      </c>
      <c r="E539" t="s">
        <v>72</v>
      </c>
      <c r="F539" t="s">
        <v>73</v>
      </c>
      <c r="G539">
        <v>1</v>
      </c>
      <c r="H539">
        <v>31.99</v>
      </c>
      <c r="I539">
        <v>0.2</v>
      </c>
      <c r="J539">
        <v>25.59</v>
      </c>
      <c r="K539" t="s">
        <v>22</v>
      </c>
      <c r="L539" t="s">
        <v>17</v>
      </c>
      <c r="M539" t="s">
        <v>76</v>
      </c>
    </row>
    <row r="540" spans="1:13" x14ac:dyDescent="0.2">
      <c r="A540">
        <v>191954</v>
      </c>
      <c r="B540" s="2">
        <v>44683</v>
      </c>
      <c r="C540">
        <v>79972</v>
      </c>
      <c r="D540" t="s">
        <v>82</v>
      </c>
      <c r="E540" t="s">
        <v>83</v>
      </c>
      <c r="F540" t="s">
        <v>84</v>
      </c>
      <c r="G540">
        <v>1</v>
      </c>
      <c r="H540">
        <v>13.59</v>
      </c>
      <c r="I540">
        <v>0.2</v>
      </c>
      <c r="J540">
        <v>10.87</v>
      </c>
      <c r="K540" t="s">
        <v>16</v>
      </c>
      <c r="L540" t="s">
        <v>37</v>
      </c>
      <c r="M540" t="s">
        <v>18</v>
      </c>
    </row>
    <row r="541" spans="1:13" x14ac:dyDescent="0.2">
      <c r="A541">
        <v>192242</v>
      </c>
      <c r="B541" s="1">
        <v>45058</v>
      </c>
      <c r="C541">
        <v>94466</v>
      </c>
      <c r="D541" t="s">
        <v>85</v>
      </c>
      <c r="E541" t="s">
        <v>157</v>
      </c>
      <c r="F541" t="s">
        <v>158</v>
      </c>
      <c r="G541">
        <v>4</v>
      </c>
      <c r="H541">
        <v>13.49</v>
      </c>
      <c r="J541">
        <v>53.96</v>
      </c>
      <c r="K541" t="s">
        <v>36</v>
      </c>
      <c r="L541" t="s">
        <v>17</v>
      </c>
      <c r="M541" t="s">
        <v>33</v>
      </c>
    </row>
    <row r="542" spans="1:13" x14ac:dyDescent="0.2">
      <c r="A542">
        <v>192492</v>
      </c>
      <c r="B542" s="2">
        <v>45307</v>
      </c>
      <c r="C542">
        <v>52960</v>
      </c>
      <c r="D542" t="s">
        <v>29</v>
      </c>
      <c r="E542" t="s">
        <v>88</v>
      </c>
      <c r="F542" t="s">
        <v>89</v>
      </c>
      <c r="G542">
        <v>2</v>
      </c>
      <c r="H542">
        <v>47.49</v>
      </c>
      <c r="I542">
        <v>0.05</v>
      </c>
      <c r="J542">
        <v>90.23</v>
      </c>
      <c r="K542" t="s">
        <v>16</v>
      </c>
      <c r="L542" t="s">
        <v>17</v>
      </c>
      <c r="M542" t="s">
        <v>161</v>
      </c>
    </row>
    <row r="543" spans="1:13" x14ac:dyDescent="0.2">
      <c r="A543">
        <v>192525</v>
      </c>
      <c r="B543" s="2">
        <v>44674</v>
      </c>
      <c r="C543">
        <v>50308</v>
      </c>
      <c r="D543" t="s">
        <v>44</v>
      </c>
      <c r="E543" t="s">
        <v>74</v>
      </c>
      <c r="F543" t="s">
        <v>75</v>
      </c>
      <c r="G543">
        <v>1</v>
      </c>
      <c r="H543">
        <v>2.54</v>
      </c>
      <c r="I543">
        <v>0.15</v>
      </c>
      <c r="J543">
        <v>2.16</v>
      </c>
      <c r="K543" t="s">
        <v>16</v>
      </c>
      <c r="L543" t="s">
        <v>17</v>
      </c>
      <c r="M543" t="s">
        <v>28</v>
      </c>
    </row>
    <row r="544" spans="1:13" x14ac:dyDescent="0.2">
      <c r="A544">
        <v>192552</v>
      </c>
      <c r="B544" s="1">
        <v>45628</v>
      </c>
      <c r="C544">
        <v>70211</v>
      </c>
      <c r="D544" t="s">
        <v>40</v>
      </c>
      <c r="E544" t="s">
        <v>20</v>
      </c>
      <c r="F544" t="s">
        <v>21</v>
      </c>
      <c r="G544">
        <v>4</v>
      </c>
      <c r="H544">
        <v>6.99</v>
      </c>
      <c r="I544">
        <v>0.3</v>
      </c>
      <c r="J544">
        <v>19.57</v>
      </c>
      <c r="K544" t="s">
        <v>32</v>
      </c>
      <c r="L544" t="s">
        <v>17</v>
      </c>
      <c r="M544" t="s">
        <v>117</v>
      </c>
    </row>
    <row r="545" spans="1:13" x14ac:dyDescent="0.2">
      <c r="A545">
        <v>192564</v>
      </c>
      <c r="B545" s="2">
        <v>45549</v>
      </c>
      <c r="C545">
        <v>66598</v>
      </c>
      <c r="D545" t="s">
        <v>13</v>
      </c>
      <c r="E545" t="s">
        <v>127</v>
      </c>
      <c r="F545" t="s">
        <v>128</v>
      </c>
      <c r="G545">
        <v>3</v>
      </c>
      <c r="H545">
        <v>19.989999999999998</v>
      </c>
      <c r="J545">
        <v>59.97</v>
      </c>
      <c r="K545" t="s">
        <v>16</v>
      </c>
      <c r="L545" t="s">
        <v>23</v>
      </c>
      <c r="M545" t="s">
        <v>120</v>
      </c>
    </row>
    <row r="546" spans="1:13" x14ac:dyDescent="0.2">
      <c r="A546">
        <v>192565</v>
      </c>
      <c r="B546" s="1">
        <v>45013</v>
      </c>
      <c r="C546">
        <v>37799</v>
      </c>
      <c r="D546" t="s">
        <v>13</v>
      </c>
      <c r="E546" t="s">
        <v>104</v>
      </c>
      <c r="F546" t="s">
        <v>105</v>
      </c>
      <c r="G546">
        <v>5</v>
      </c>
      <c r="H546">
        <v>29.99</v>
      </c>
      <c r="J546">
        <v>149.94999999999999</v>
      </c>
      <c r="K546" t="s">
        <v>36</v>
      </c>
      <c r="L546" t="s">
        <v>17</v>
      </c>
      <c r="M546" t="s">
        <v>33</v>
      </c>
    </row>
    <row r="547" spans="1:13" x14ac:dyDescent="0.2">
      <c r="A547">
        <v>192572</v>
      </c>
      <c r="B547" s="1">
        <v>45622</v>
      </c>
      <c r="C547">
        <v>41067</v>
      </c>
      <c r="D547" t="s">
        <v>63</v>
      </c>
      <c r="E547" t="s">
        <v>125</v>
      </c>
      <c r="F547" t="s">
        <v>126</v>
      </c>
      <c r="G547">
        <v>4</v>
      </c>
      <c r="H547">
        <v>28.49</v>
      </c>
      <c r="I547">
        <v>0.05</v>
      </c>
      <c r="J547">
        <v>108.26</v>
      </c>
      <c r="K547" t="s">
        <v>53</v>
      </c>
      <c r="L547" t="s">
        <v>17</v>
      </c>
      <c r="M547" t="s">
        <v>103</v>
      </c>
    </row>
    <row r="548" spans="1:13" x14ac:dyDescent="0.2">
      <c r="A548">
        <v>192732</v>
      </c>
      <c r="B548" s="1">
        <v>44803</v>
      </c>
      <c r="C548">
        <v>15769</v>
      </c>
      <c r="D548" t="s">
        <v>25</v>
      </c>
      <c r="E548" t="s">
        <v>51</v>
      </c>
      <c r="F548" t="s">
        <v>52</v>
      </c>
      <c r="G548">
        <v>5</v>
      </c>
      <c r="H548">
        <v>25.19</v>
      </c>
      <c r="I548">
        <v>0.1</v>
      </c>
      <c r="J548">
        <v>113.36</v>
      </c>
      <c r="K548" t="s">
        <v>36</v>
      </c>
      <c r="L548" t="s">
        <v>17</v>
      </c>
      <c r="M548" t="s">
        <v>76</v>
      </c>
    </row>
    <row r="549" spans="1:13" x14ac:dyDescent="0.2">
      <c r="A549">
        <v>192894</v>
      </c>
      <c r="B549" s="2">
        <v>45481</v>
      </c>
      <c r="C549">
        <v>59732</v>
      </c>
      <c r="D549" t="s">
        <v>40</v>
      </c>
      <c r="E549" t="s">
        <v>20</v>
      </c>
      <c r="F549" t="s">
        <v>21</v>
      </c>
      <c r="G549">
        <v>1</v>
      </c>
      <c r="H549">
        <v>9.99</v>
      </c>
      <c r="J549">
        <v>9.99</v>
      </c>
      <c r="K549" t="s">
        <v>22</v>
      </c>
      <c r="L549" t="s">
        <v>17</v>
      </c>
    </row>
    <row r="550" spans="1:13" x14ac:dyDescent="0.2">
      <c r="A550">
        <v>193028</v>
      </c>
      <c r="B550" s="1">
        <v>44802</v>
      </c>
      <c r="C550">
        <v>83289</v>
      </c>
      <c r="D550" t="s">
        <v>29</v>
      </c>
      <c r="E550" t="s">
        <v>170</v>
      </c>
      <c r="F550" t="s">
        <v>171</v>
      </c>
      <c r="G550">
        <v>3</v>
      </c>
      <c r="H550">
        <v>14.99</v>
      </c>
      <c r="J550">
        <v>44.97</v>
      </c>
      <c r="K550" t="s">
        <v>36</v>
      </c>
      <c r="L550" t="s">
        <v>37</v>
      </c>
      <c r="M550" t="s">
        <v>57</v>
      </c>
    </row>
    <row r="551" spans="1:13" x14ac:dyDescent="0.2">
      <c r="A551">
        <v>193044</v>
      </c>
      <c r="B551" s="1">
        <v>44630</v>
      </c>
      <c r="C551">
        <v>91284</v>
      </c>
      <c r="D551" t="s">
        <v>44</v>
      </c>
      <c r="E551" t="s">
        <v>93</v>
      </c>
      <c r="F551" t="s">
        <v>94</v>
      </c>
      <c r="G551">
        <v>1</v>
      </c>
      <c r="H551">
        <v>0.9</v>
      </c>
      <c r="I551">
        <v>0.3</v>
      </c>
      <c r="J551">
        <v>0.63</v>
      </c>
      <c r="K551" t="s">
        <v>22</v>
      </c>
      <c r="L551" t="s">
        <v>17</v>
      </c>
      <c r="M551" t="s">
        <v>81</v>
      </c>
    </row>
    <row r="552" spans="1:13" x14ac:dyDescent="0.2">
      <c r="A552">
        <v>193206</v>
      </c>
      <c r="B552" s="1">
        <v>45434</v>
      </c>
      <c r="C552">
        <v>55538</v>
      </c>
      <c r="D552" t="s">
        <v>97</v>
      </c>
      <c r="E552" t="s">
        <v>141</v>
      </c>
      <c r="F552" t="s">
        <v>142</v>
      </c>
      <c r="G552">
        <v>2</v>
      </c>
      <c r="H552">
        <v>22.99</v>
      </c>
      <c r="J552">
        <v>45.98</v>
      </c>
      <c r="K552" t="s">
        <v>16</v>
      </c>
      <c r="L552" t="s">
        <v>37</v>
      </c>
      <c r="M552" t="s">
        <v>76</v>
      </c>
    </row>
    <row r="553" spans="1:13" x14ac:dyDescent="0.2">
      <c r="A553">
        <v>193254</v>
      </c>
      <c r="B553" s="1">
        <v>45589</v>
      </c>
      <c r="C553">
        <v>74366</v>
      </c>
      <c r="D553" t="s">
        <v>25</v>
      </c>
      <c r="E553" t="s">
        <v>70</v>
      </c>
      <c r="F553" t="s">
        <v>71</v>
      </c>
      <c r="G553">
        <v>5</v>
      </c>
      <c r="H553">
        <v>89.99</v>
      </c>
      <c r="J553">
        <v>449.95</v>
      </c>
      <c r="K553" t="s">
        <v>53</v>
      </c>
      <c r="L553" t="s">
        <v>17</v>
      </c>
      <c r="M553" t="s">
        <v>96</v>
      </c>
    </row>
    <row r="554" spans="1:13" x14ac:dyDescent="0.2">
      <c r="A554">
        <v>193266</v>
      </c>
      <c r="B554" s="1">
        <v>45657</v>
      </c>
      <c r="C554">
        <v>37598</v>
      </c>
      <c r="D554" t="s">
        <v>82</v>
      </c>
      <c r="E554" t="s">
        <v>147</v>
      </c>
      <c r="F554" t="s">
        <v>148</v>
      </c>
      <c r="G554">
        <v>3</v>
      </c>
      <c r="H554">
        <v>10.39</v>
      </c>
      <c r="I554">
        <v>0.2</v>
      </c>
      <c r="J554">
        <v>24.94</v>
      </c>
      <c r="K554" t="s">
        <v>36</v>
      </c>
      <c r="L554" t="s">
        <v>17</v>
      </c>
      <c r="M554" t="s">
        <v>54</v>
      </c>
    </row>
    <row r="555" spans="1:13" x14ac:dyDescent="0.2">
      <c r="A555">
        <v>193282</v>
      </c>
      <c r="B555" s="1">
        <v>45022</v>
      </c>
      <c r="C555">
        <v>45931</v>
      </c>
      <c r="D555" t="s">
        <v>40</v>
      </c>
      <c r="E555" t="s">
        <v>115</v>
      </c>
      <c r="F555" t="s">
        <v>116</v>
      </c>
      <c r="G555">
        <v>2</v>
      </c>
      <c r="H555">
        <v>12.34</v>
      </c>
      <c r="I555">
        <v>0.05</v>
      </c>
      <c r="J555">
        <v>23.45</v>
      </c>
      <c r="K555" t="s">
        <v>16</v>
      </c>
      <c r="L555" t="s">
        <v>17</v>
      </c>
      <c r="M555" t="s">
        <v>47</v>
      </c>
    </row>
    <row r="556" spans="1:13" x14ac:dyDescent="0.2">
      <c r="A556">
        <v>193288</v>
      </c>
      <c r="B556" s="1">
        <v>44888</v>
      </c>
      <c r="C556">
        <v>91263</v>
      </c>
      <c r="D556" t="s">
        <v>82</v>
      </c>
      <c r="E556" t="s">
        <v>147</v>
      </c>
      <c r="F556" t="s">
        <v>148</v>
      </c>
      <c r="G556">
        <v>3</v>
      </c>
      <c r="H556">
        <v>11.69</v>
      </c>
      <c r="J556">
        <v>35.07</v>
      </c>
      <c r="K556" t="s">
        <v>95</v>
      </c>
      <c r="L556" t="s">
        <v>37</v>
      </c>
      <c r="M556" t="s">
        <v>117</v>
      </c>
    </row>
    <row r="557" spans="1:13" x14ac:dyDescent="0.2">
      <c r="A557">
        <v>193296</v>
      </c>
      <c r="B557" s="1">
        <v>45395</v>
      </c>
      <c r="C557">
        <v>39591</v>
      </c>
      <c r="D557" t="s">
        <v>97</v>
      </c>
      <c r="E557" t="s">
        <v>121</v>
      </c>
      <c r="F557" t="s">
        <v>122</v>
      </c>
      <c r="G557">
        <v>1</v>
      </c>
      <c r="H557">
        <v>12.99</v>
      </c>
      <c r="J557">
        <v>12.99</v>
      </c>
      <c r="K557" t="s">
        <v>16</v>
      </c>
      <c r="L557" t="s">
        <v>17</v>
      </c>
      <c r="M557" t="s">
        <v>96</v>
      </c>
    </row>
    <row r="558" spans="1:13" x14ac:dyDescent="0.2">
      <c r="A558">
        <v>193408</v>
      </c>
      <c r="B558" s="1">
        <v>44709</v>
      </c>
      <c r="C558">
        <v>53717</v>
      </c>
      <c r="D558" t="s">
        <v>29</v>
      </c>
      <c r="E558" t="s">
        <v>38</v>
      </c>
      <c r="F558" t="s">
        <v>39</v>
      </c>
      <c r="G558">
        <v>1</v>
      </c>
      <c r="H558">
        <v>28.49</v>
      </c>
      <c r="I558">
        <v>0.05</v>
      </c>
      <c r="J558">
        <v>27.07</v>
      </c>
      <c r="K558" t="s">
        <v>53</v>
      </c>
      <c r="L558" t="s">
        <v>17</v>
      </c>
      <c r="M558" t="s">
        <v>96</v>
      </c>
    </row>
    <row r="559" spans="1:13" x14ac:dyDescent="0.2">
      <c r="A559">
        <v>193558</v>
      </c>
      <c r="B559" s="1">
        <v>44687</v>
      </c>
      <c r="C559">
        <v>88277</v>
      </c>
      <c r="D559" t="s">
        <v>29</v>
      </c>
      <c r="E559" t="s">
        <v>170</v>
      </c>
      <c r="F559" t="s">
        <v>171</v>
      </c>
      <c r="G559">
        <v>5</v>
      </c>
      <c r="H559">
        <v>13.49</v>
      </c>
      <c r="I559">
        <v>0.1</v>
      </c>
      <c r="J559">
        <v>60.71</v>
      </c>
      <c r="K559" t="s">
        <v>16</v>
      </c>
      <c r="L559" t="s">
        <v>17</v>
      </c>
      <c r="M559" t="s">
        <v>102</v>
      </c>
    </row>
    <row r="560" spans="1:13" x14ac:dyDescent="0.2">
      <c r="A560">
        <v>193641</v>
      </c>
      <c r="B560" s="1">
        <v>45578</v>
      </c>
      <c r="C560">
        <v>57803</v>
      </c>
      <c r="D560" t="s">
        <v>44</v>
      </c>
      <c r="E560" t="s">
        <v>177</v>
      </c>
      <c r="F560" t="s">
        <v>178</v>
      </c>
      <c r="G560">
        <v>4</v>
      </c>
      <c r="H560">
        <v>11.39</v>
      </c>
      <c r="I560">
        <v>0.05</v>
      </c>
      <c r="J560">
        <v>43.28</v>
      </c>
      <c r="K560" t="s">
        <v>16</v>
      </c>
      <c r="L560" t="s">
        <v>37</v>
      </c>
      <c r="M560" t="s">
        <v>123</v>
      </c>
    </row>
    <row r="561" spans="1:13" x14ac:dyDescent="0.2">
      <c r="A561">
        <v>193700</v>
      </c>
      <c r="B561" s="1">
        <v>45451</v>
      </c>
      <c r="C561">
        <v>20573</v>
      </c>
      <c r="D561" t="s">
        <v>85</v>
      </c>
      <c r="E561" t="s">
        <v>157</v>
      </c>
      <c r="F561" t="s">
        <v>158</v>
      </c>
      <c r="G561">
        <v>4</v>
      </c>
      <c r="H561">
        <v>12.14</v>
      </c>
      <c r="I561">
        <v>0.1</v>
      </c>
      <c r="J561">
        <v>43.7</v>
      </c>
      <c r="K561" t="s">
        <v>16</v>
      </c>
      <c r="L561" t="s">
        <v>17</v>
      </c>
      <c r="M561" t="s">
        <v>96</v>
      </c>
    </row>
    <row r="562" spans="1:13" x14ac:dyDescent="0.2">
      <c r="A562">
        <v>193860</v>
      </c>
      <c r="B562" s="1">
        <v>44576</v>
      </c>
      <c r="C562">
        <v>97526</v>
      </c>
      <c r="D562" t="s">
        <v>97</v>
      </c>
      <c r="E562" t="s">
        <v>151</v>
      </c>
      <c r="F562" t="s">
        <v>152</v>
      </c>
      <c r="G562">
        <v>3</v>
      </c>
      <c r="H562">
        <v>33.24</v>
      </c>
      <c r="I562">
        <v>0.05</v>
      </c>
      <c r="J562">
        <v>94.73</v>
      </c>
      <c r="K562" t="s">
        <v>32</v>
      </c>
      <c r="L562" t="s">
        <v>37</v>
      </c>
      <c r="M562" t="s">
        <v>54</v>
      </c>
    </row>
    <row r="563" spans="1:13" x14ac:dyDescent="0.2">
      <c r="A563">
        <v>194131</v>
      </c>
      <c r="B563" s="1">
        <v>45253</v>
      </c>
      <c r="C563">
        <v>26120</v>
      </c>
      <c r="D563" t="s">
        <v>40</v>
      </c>
      <c r="E563" t="s">
        <v>20</v>
      </c>
      <c r="F563" t="s">
        <v>21</v>
      </c>
      <c r="G563">
        <v>5</v>
      </c>
      <c r="H563">
        <v>9.99</v>
      </c>
      <c r="J563">
        <v>49.95</v>
      </c>
      <c r="K563" t="s">
        <v>36</v>
      </c>
      <c r="L563" t="s">
        <v>17</v>
      </c>
      <c r="M563" t="s">
        <v>81</v>
      </c>
    </row>
    <row r="564" spans="1:13" x14ac:dyDescent="0.2">
      <c r="A564">
        <v>194348</v>
      </c>
      <c r="B564" s="1">
        <v>45117</v>
      </c>
      <c r="C564">
        <v>28320</v>
      </c>
      <c r="D564" t="s">
        <v>97</v>
      </c>
      <c r="E564" t="s">
        <v>181</v>
      </c>
      <c r="F564" t="s">
        <v>182</v>
      </c>
      <c r="G564">
        <v>1</v>
      </c>
      <c r="H564">
        <v>11.99</v>
      </c>
      <c r="I564">
        <v>0.2</v>
      </c>
      <c r="J564">
        <v>9.59</v>
      </c>
      <c r="K564" t="s">
        <v>22</v>
      </c>
      <c r="L564" t="s">
        <v>17</v>
      </c>
      <c r="M564" t="s">
        <v>120</v>
      </c>
    </row>
    <row r="565" spans="1:13" x14ac:dyDescent="0.2">
      <c r="A565">
        <v>194432</v>
      </c>
      <c r="B565" s="2">
        <v>45016</v>
      </c>
      <c r="C565">
        <v>26223</v>
      </c>
      <c r="D565" t="s">
        <v>97</v>
      </c>
      <c r="E565" t="s">
        <v>135</v>
      </c>
      <c r="F565" t="s">
        <v>136</v>
      </c>
      <c r="G565">
        <v>4</v>
      </c>
      <c r="H565">
        <v>9.99</v>
      </c>
      <c r="J565">
        <v>39.96</v>
      </c>
      <c r="K565" t="s">
        <v>36</v>
      </c>
      <c r="L565" t="s">
        <v>17</v>
      </c>
      <c r="M565" t="s">
        <v>103</v>
      </c>
    </row>
    <row r="566" spans="1:13" x14ac:dyDescent="0.2">
      <c r="A566">
        <v>194552</v>
      </c>
      <c r="B566" s="1">
        <v>44911</v>
      </c>
      <c r="C566">
        <v>65284</v>
      </c>
      <c r="D566" t="s">
        <v>63</v>
      </c>
      <c r="E566" t="s">
        <v>125</v>
      </c>
      <c r="F566" t="s">
        <v>126</v>
      </c>
      <c r="G566">
        <v>1</v>
      </c>
      <c r="H566">
        <v>20.99</v>
      </c>
      <c r="I566">
        <v>0.3</v>
      </c>
      <c r="J566">
        <v>14.69</v>
      </c>
      <c r="K566" t="s">
        <v>32</v>
      </c>
      <c r="L566" t="s">
        <v>17</v>
      </c>
      <c r="M566" t="s">
        <v>120</v>
      </c>
    </row>
    <row r="567" spans="1:13" x14ac:dyDescent="0.2">
      <c r="A567">
        <v>194609</v>
      </c>
      <c r="B567" s="1">
        <v>44619</v>
      </c>
      <c r="C567">
        <v>93648</v>
      </c>
      <c r="D567" t="s">
        <v>13</v>
      </c>
      <c r="E567" t="s">
        <v>77</v>
      </c>
      <c r="F567" t="s">
        <v>78</v>
      </c>
      <c r="G567">
        <v>5</v>
      </c>
      <c r="H567">
        <v>499.99</v>
      </c>
      <c r="J567">
        <v>2499.9499999999998</v>
      </c>
      <c r="K567" t="s">
        <v>32</v>
      </c>
      <c r="L567" t="s">
        <v>17</v>
      </c>
      <c r="M567" t="s">
        <v>117</v>
      </c>
    </row>
    <row r="568" spans="1:13" x14ac:dyDescent="0.2">
      <c r="A568">
        <v>194813</v>
      </c>
      <c r="B568" s="2">
        <v>45510</v>
      </c>
      <c r="D568" t="s">
        <v>85</v>
      </c>
      <c r="E568" t="s">
        <v>137</v>
      </c>
      <c r="F568" t="s">
        <v>138</v>
      </c>
      <c r="G568">
        <v>4</v>
      </c>
      <c r="H568">
        <v>7.19</v>
      </c>
      <c r="I568">
        <v>0.1</v>
      </c>
      <c r="J568">
        <v>25.88</v>
      </c>
      <c r="K568" t="s">
        <v>32</v>
      </c>
      <c r="L568" t="s">
        <v>37</v>
      </c>
      <c r="M568" t="s">
        <v>120</v>
      </c>
    </row>
    <row r="569" spans="1:13" x14ac:dyDescent="0.2">
      <c r="A569">
        <v>194860</v>
      </c>
      <c r="B569" s="1">
        <v>44820</v>
      </c>
      <c r="C569">
        <v>53691</v>
      </c>
      <c r="D569" t="s">
        <v>63</v>
      </c>
      <c r="E569" t="s">
        <v>131</v>
      </c>
      <c r="F569" t="s">
        <v>132</v>
      </c>
      <c r="G569">
        <v>4</v>
      </c>
      <c r="H569">
        <v>3.14</v>
      </c>
      <c r="I569">
        <v>0.1</v>
      </c>
      <c r="J569">
        <v>11.3</v>
      </c>
      <c r="K569" t="s">
        <v>36</v>
      </c>
      <c r="L569" t="s">
        <v>17</v>
      </c>
      <c r="M569" t="s">
        <v>57</v>
      </c>
    </row>
    <row r="570" spans="1:13" x14ac:dyDescent="0.2">
      <c r="A570">
        <v>195499</v>
      </c>
      <c r="B570" s="1">
        <v>44734</v>
      </c>
      <c r="C570">
        <v>58241</v>
      </c>
      <c r="D570" t="s">
        <v>25</v>
      </c>
      <c r="E570" t="s">
        <v>113</v>
      </c>
      <c r="F570" t="s">
        <v>114</v>
      </c>
      <c r="G570">
        <v>1</v>
      </c>
      <c r="H570">
        <v>101.99</v>
      </c>
      <c r="I570">
        <v>0.15</v>
      </c>
      <c r="J570">
        <v>86.69</v>
      </c>
      <c r="K570" t="s">
        <v>22</v>
      </c>
      <c r="L570" t="s">
        <v>17</v>
      </c>
      <c r="M570" t="s">
        <v>120</v>
      </c>
    </row>
    <row r="571" spans="1:13" x14ac:dyDescent="0.2">
      <c r="A571">
        <v>195515</v>
      </c>
      <c r="B571" s="1">
        <v>45452</v>
      </c>
      <c r="C571">
        <v>31687</v>
      </c>
      <c r="D571" t="s">
        <v>40</v>
      </c>
      <c r="E571" t="s">
        <v>41</v>
      </c>
      <c r="F571" t="s">
        <v>42</v>
      </c>
      <c r="G571">
        <v>2</v>
      </c>
      <c r="H571">
        <v>5.99</v>
      </c>
      <c r="J571">
        <v>11.98</v>
      </c>
      <c r="K571" t="s">
        <v>36</v>
      </c>
      <c r="L571" t="s">
        <v>17</v>
      </c>
      <c r="M571" t="s">
        <v>90</v>
      </c>
    </row>
    <row r="572" spans="1:13" x14ac:dyDescent="0.2">
      <c r="A572">
        <v>195538</v>
      </c>
      <c r="B572" s="1">
        <v>45428</v>
      </c>
      <c r="C572">
        <v>67763</v>
      </c>
      <c r="D572" t="s">
        <v>29</v>
      </c>
      <c r="E572" t="s">
        <v>88</v>
      </c>
      <c r="F572" t="s">
        <v>89</v>
      </c>
      <c r="G572">
        <v>4</v>
      </c>
      <c r="H572">
        <v>49.99</v>
      </c>
      <c r="J572">
        <v>199.96</v>
      </c>
      <c r="K572" t="s">
        <v>16</v>
      </c>
      <c r="L572" t="s">
        <v>37</v>
      </c>
      <c r="M572" t="s">
        <v>123</v>
      </c>
    </row>
    <row r="573" spans="1:13" x14ac:dyDescent="0.2">
      <c r="A573">
        <v>195617</v>
      </c>
      <c r="B573" s="2">
        <v>45441</v>
      </c>
      <c r="C573">
        <v>71429</v>
      </c>
      <c r="D573" t="s">
        <v>48</v>
      </c>
      <c r="E573" t="s">
        <v>179</v>
      </c>
      <c r="F573" t="s">
        <v>180</v>
      </c>
      <c r="G573">
        <v>2</v>
      </c>
      <c r="H573">
        <v>11.39</v>
      </c>
      <c r="I573">
        <v>0.05</v>
      </c>
      <c r="J573">
        <v>21.64</v>
      </c>
      <c r="K573" t="s">
        <v>95</v>
      </c>
      <c r="L573" t="s">
        <v>17</v>
      </c>
      <c r="M573" t="s">
        <v>81</v>
      </c>
    </row>
    <row r="574" spans="1:13" x14ac:dyDescent="0.2">
      <c r="A574">
        <v>195631</v>
      </c>
      <c r="B574" s="2">
        <v>44822</v>
      </c>
      <c r="C574">
        <v>74295</v>
      </c>
      <c r="D574" t="s">
        <v>85</v>
      </c>
      <c r="E574" t="s">
        <v>86</v>
      </c>
      <c r="F574" t="s">
        <v>87</v>
      </c>
      <c r="G574">
        <v>5</v>
      </c>
      <c r="H574">
        <v>9.09</v>
      </c>
      <c r="I574">
        <v>0.3</v>
      </c>
      <c r="J574">
        <v>31.82</v>
      </c>
      <c r="K574" t="s">
        <v>22</v>
      </c>
      <c r="L574" t="s">
        <v>17</v>
      </c>
      <c r="M574" t="s">
        <v>43</v>
      </c>
    </row>
    <row r="575" spans="1:13" x14ac:dyDescent="0.2">
      <c r="A575">
        <v>195745</v>
      </c>
      <c r="B575" s="1">
        <v>44926</v>
      </c>
      <c r="C575">
        <v>36556</v>
      </c>
      <c r="D575" t="s">
        <v>19</v>
      </c>
      <c r="E575" t="s">
        <v>20</v>
      </c>
      <c r="F575" t="s">
        <v>21</v>
      </c>
      <c r="G575">
        <v>3</v>
      </c>
      <c r="H575">
        <v>9.99</v>
      </c>
      <c r="J575">
        <v>29.97</v>
      </c>
      <c r="K575" t="s">
        <v>22</v>
      </c>
      <c r="L575" t="s">
        <v>17</v>
      </c>
      <c r="M575" t="s">
        <v>47</v>
      </c>
    </row>
    <row r="576" spans="1:13" x14ac:dyDescent="0.2">
      <c r="A576">
        <v>195812</v>
      </c>
      <c r="B576" s="1">
        <v>45339</v>
      </c>
      <c r="C576">
        <v>67552</v>
      </c>
      <c r="D576" t="s">
        <v>82</v>
      </c>
      <c r="E576" t="s">
        <v>188</v>
      </c>
      <c r="F576" t="s">
        <v>189</v>
      </c>
      <c r="G576">
        <v>2</v>
      </c>
      <c r="H576">
        <v>38.24</v>
      </c>
      <c r="I576">
        <v>0.15</v>
      </c>
      <c r="J576">
        <v>65.010000000000005</v>
      </c>
      <c r="K576" t="s">
        <v>22</v>
      </c>
      <c r="L576" t="s">
        <v>17</v>
      </c>
      <c r="M576" t="s">
        <v>33</v>
      </c>
    </row>
    <row r="577" spans="1:13" x14ac:dyDescent="0.2">
      <c r="A577">
        <v>196117</v>
      </c>
      <c r="B577" s="2">
        <v>45004</v>
      </c>
      <c r="C577">
        <v>69676</v>
      </c>
      <c r="D577" t="s">
        <v>44</v>
      </c>
      <c r="E577" t="s">
        <v>184</v>
      </c>
      <c r="F577" t="s">
        <v>185</v>
      </c>
      <c r="G577">
        <v>4</v>
      </c>
      <c r="H577">
        <v>5.49</v>
      </c>
      <c r="J577">
        <v>21.96</v>
      </c>
      <c r="K577" t="s">
        <v>16</v>
      </c>
      <c r="L577" t="s">
        <v>17</v>
      </c>
    </row>
    <row r="578" spans="1:13" x14ac:dyDescent="0.2">
      <c r="A578">
        <v>196219</v>
      </c>
      <c r="B578" s="2">
        <v>45347</v>
      </c>
      <c r="C578">
        <v>88097</v>
      </c>
      <c r="D578" t="s">
        <v>63</v>
      </c>
      <c r="E578" t="s">
        <v>125</v>
      </c>
      <c r="F578" t="s">
        <v>126</v>
      </c>
      <c r="G578">
        <v>2</v>
      </c>
      <c r="H578">
        <v>29.99</v>
      </c>
      <c r="J578">
        <v>59.98</v>
      </c>
      <c r="K578" t="s">
        <v>16</v>
      </c>
      <c r="L578" t="s">
        <v>17</v>
      </c>
      <c r="M578" t="s">
        <v>161</v>
      </c>
    </row>
    <row r="579" spans="1:13" x14ac:dyDescent="0.2">
      <c r="A579">
        <v>196312</v>
      </c>
      <c r="B579" s="2">
        <v>45104</v>
      </c>
      <c r="C579">
        <v>47991</v>
      </c>
      <c r="D579" t="s">
        <v>44</v>
      </c>
      <c r="E579" t="s">
        <v>107</v>
      </c>
      <c r="F579" t="s">
        <v>108</v>
      </c>
      <c r="G579">
        <v>1</v>
      </c>
      <c r="H579">
        <v>3.49</v>
      </c>
      <c r="J579">
        <v>3.49</v>
      </c>
      <c r="K579" t="s">
        <v>36</v>
      </c>
      <c r="L579" t="s">
        <v>17</v>
      </c>
      <c r="M579" t="s">
        <v>102</v>
      </c>
    </row>
    <row r="580" spans="1:13" x14ac:dyDescent="0.2">
      <c r="A580">
        <v>196424</v>
      </c>
      <c r="B580" s="1">
        <v>45385</v>
      </c>
      <c r="C580">
        <v>45830</v>
      </c>
      <c r="D580" t="s">
        <v>29</v>
      </c>
      <c r="E580" t="s">
        <v>88</v>
      </c>
      <c r="F580" t="s">
        <v>89</v>
      </c>
      <c r="G580">
        <v>2</v>
      </c>
      <c r="H580">
        <v>47.49</v>
      </c>
      <c r="I580">
        <v>0.05</v>
      </c>
      <c r="J580">
        <v>90.23</v>
      </c>
      <c r="K580" t="s">
        <v>36</v>
      </c>
      <c r="L580" t="s">
        <v>17</v>
      </c>
      <c r="M580" t="s">
        <v>103</v>
      </c>
    </row>
    <row r="581" spans="1:13" x14ac:dyDescent="0.2">
      <c r="A581">
        <v>196717</v>
      </c>
      <c r="B581" s="2">
        <v>44737</v>
      </c>
      <c r="C581">
        <v>54753</v>
      </c>
      <c r="D581" t="s">
        <v>13</v>
      </c>
      <c r="E581" t="s">
        <v>55</v>
      </c>
      <c r="F581" t="s">
        <v>56</v>
      </c>
      <c r="G581">
        <v>5</v>
      </c>
      <c r="H581">
        <v>329.99</v>
      </c>
      <c r="J581">
        <v>1649.95</v>
      </c>
      <c r="K581" t="s">
        <v>16</v>
      </c>
      <c r="L581" t="s">
        <v>23</v>
      </c>
    </row>
    <row r="582" spans="1:13" x14ac:dyDescent="0.2">
      <c r="A582">
        <v>197208</v>
      </c>
      <c r="B582" s="1">
        <v>45038</v>
      </c>
      <c r="C582">
        <v>67011</v>
      </c>
      <c r="D582" t="s">
        <v>44</v>
      </c>
      <c r="E582" t="s">
        <v>190</v>
      </c>
      <c r="F582" t="s">
        <v>191</v>
      </c>
      <c r="G582">
        <v>2</v>
      </c>
      <c r="H582">
        <v>3.86</v>
      </c>
      <c r="I582">
        <v>0.1</v>
      </c>
      <c r="J582">
        <v>6.95</v>
      </c>
      <c r="K582" t="s">
        <v>22</v>
      </c>
      <c r="L582" t="s">
        <v>17</v>
      </c>
      <c r="M582" t="s">
        <v>47</v>
      </c>
    </row>
    <row r="583" spans="1:13" x14ac:dyDescent="0.2">
      <c r="A583">
        <v>197321</v>
      </c>
      <c r="B583" s="1">
        <v>45283</v>
      </c>
      <c r="C583">
        <v>50418</v>
      </c>
      <c r="D583" t="s">
        <v>97</v>
      </c>
      <c r="E583" t="s">
        <v>141</v>
      </c>
      <c r="F583" t="s">
        <v>142</v>
      </c>
      <c r="G583">
        <v>1</v>
      </c>
      <c r="H583">
        <v>18.39</v>
      </c>
      <c r="I583">
        <v>0.2</v>
      </c>
      <c r="J583">
        <v>14.71</v>
      </c>
      <c r="K583" t="s">
        <v>36</v>
      </c>
      <c r="L583" t="s">
        <v>17</v>
      </c>
      <c r="M583" t="s">
        <v>123</v>
      </c>
    </row>
    <row r="584" spans="1:13" x14ac:dyDescent="0.2">
      <c r="A584">
        <v>197330</v>
      </c>
      <c r="B584" s="2">
        <v>45580</v>
      </c>
      <c r="C584">
        <v>17191</v>
      </c>
      <c r="D584" t="s">
        <v>13</v>
      </c>
      <c r="E584" t="s">
        <v>34</v>
      </c>
      <c r="F584" t="s">
        <v>35</v>
      </c>
      <c r="G584">
        <v>3</v>
      </c>
      <c r="H584">
        <v>24.49</v>
      </c>
      <c r="I584">
        <v>0.3</v>
      </c>
      <c r="J584">
        <v>51.43</v>
      </c>
      <c r="K584" t="s">
        <v>22</v>
      </c>
      <c r="L584" t="s">
        <v>37</v>
      </c>
      <c r="M584" t="s">
        <v>57</v>
      </c>
    </row>
    <row r="585" spans="1:13" x14ac:dyDescent="0.2">
      <c r="A585">
        <v>197543</v>
      </c>
      <c r="B585" s="1">
        <v>45351</v>
      </c>
      <c r="C585">
        <v>17361</v>
      </c>
      <c r="D585" t="s">
        <v>13</v>
      </c>
      <c r="E585" t="s">
        <v>77</v>
      </c>
      <c r="F585" t="s">
        <v>78</v>
      </c>
      <c r="G585">
        <v>5</v>
      </c>
      <c r="H585">
        <v>424.99</v>
      </c>
      <c r="I585">
        <v>0.15</v>
      </c>
      <c r="J585">
        <v>1806.21</v>
      </c>
      <c r="K585" t="s">
        <v>36</v>
      </c>
      <c r="L585" t="s">
        <v>17</v>
      </c>
      <c r="M585" t="s">
        <v>67</v>
      </c>
    </row>
    <row r="586" spans="1:13" x14ac:dyDescent="0.2">
      <c r="A586">
        <v>197549</v>
      </c>
      <c r="B586" s="2">
        <v>44715</v>
      </c>
      <c r="C586">
        <v>62597</v>
      </c>
      <c r="D586" t="s">
        <v>44</v>
      </c>
      <c r="E586" t="s">
        <v>74</v>
      </c>
      <c r="F586" t="s">
        <v>75</v>
      </c>
      <c r="G586">
        <v>1</v>
      </c>
      <c r="H586">
        <v>2.2400000000000002</v>
      </c>
      <c r="I586">
        <v>0.25</v>
      </c>
      <c r="J586">
        <v>1.68</v>
      </c>
      <c r="K586" t="s">
        <v>16</v>
      </c>
      <c r="L586" t="s">
        <v>37</v>
      </c>
      <c r="M586" t="s">
        <v>18</v>
      </c>
    </row>
    <row r="587" spans="1:13" x14ac:dyDescent="0.2">
      <c r="A587">
        <v>197582</v>
      </c>
      <c r="B587" s="1">
        <v>45310</v>
      </c>
      <c r="C587">
        <v>18849</v>
      </c>
      <c r="D587" t="s">
        <v>85</v>
      </c>
      <c r="E587" t="s">
        <v>149</v>
      </c>
      <c r="F587" t="s">
        <v>150</v>
      </c>
      <c r="G587">
        <v>2</v>
      </c>
      <c r="H587">
        <v>13.99</v>
      </c>
      <c r="I587">
        <v>0.3</v>
      </c>
      <c r="J587">
        <v>19.59</v>
      </c>
      <c r="K587" t="s">
        <v>36</v>
      </c>
      <c r="L587" t="s">
        <v>17</v>
      </c>
      <c r="M587" t="s">
        <v>120</v>
      </c>
    </row>
    <row r="588" spans="1:13" x14ac:dyDescent="0.2">
      <c r="A588">
        <v>197910</v>
      </c>
      <c r="B588" s="2">
        <v>44604</v>
      </c>
      <c r="C588">
        <v>75775</v>
      </c>
      <c r="D588" t="s">
        <v>63</v>
      </c>
      <c r="E588" t="s">
        <v>68</v>
      </c>
      <c r="F588" t="s">
        <v>69</v>
      </c>
      <c r="G588">
        <v>3</v>
      </c>
      <c r="H588">
        <v>23.74</v>
      </c>
      <c r="I588">
        <v>0.05</v>
      </c>
      <c r="J588">
        <v>67.66</v>
      </c>
      <c r="K588" t="s">
        <v>32</v>
      </c>
      <c r="L588" t="s">
        <v>17</v>
      </c>
      <c r="M588" t="s">
        <v>120</v>
      </c>
    </row>
    <row r="589" spans="1:13" x14ac:dyDescent="0.2">
      <c r="A589">
        <v>197928</v>
      </c>
      <c r="B589" s="1">
        <v>45363</v>
      </c>
      <c r="C589">
        <v>44806</v>
      </c>
      <c r="D589" t="s">
        <v>82</v>
      </c>
      <c r="E589" t="s">
        <v>188</v>
      </c>
      <c r="F589" t="s">
        <v>189</v>
      </c>
      <c r="G589">
        <v>4</v>
      </c>
      <c r="H589">
        <v>38.24</v>
      </c>
      <c r="I589">
        <v>0.15</v>
      </c>
      <c r="J589">
        <v>130.02000000000001</v>
      </c>
      <c r="K589" t="s">
        <v>16</v>
      </c>
      <c r="L589" t="s">
        <v>17</v>
      </c>
      <c r="M589" t="s">
        <v>43</v>
      </c>
    </row>
    <row r="590" spans="1:13" x14ac:dyDescent="0.2">
      <c r="A590">
        <v>198261</v>
      </c>
      <c r="B590" s="1">
        <v>45321</v>
      </c>
      <c r="C590">
        <v>80588</v>
      </c>
      <c r="D590" t="s">
        <v>40</v>
      </c>
      <c r="E590" t="s">
        <v>115</v>
      </c>
      <c r="F590" t="s">
        <v>116</v>
      </c>
      <c r="G590">
        <v>1</v>
      </c>
      <c r="H590">
        <v>11.04</v>
      </c>
      <c r="I590">
        <v>0.15</v>
      </c>
      <c r="J590">
        <v>9.3800000000000008</v>
      </c>
      <c r="K590" t="s">
        <v>32</v>
      </c>
      <c r="L590" t="s">
        <v>17</v>
      </c>
      <c r="M590" t="s">
        <v>76</v>
      </c>
    </row>
    <row r="591" spans="1:13" x14ac:dyDescent="0.2">
      <c r="A591">
        <v>198316</v>
      </c>
      <c r="B591" s="2">
        <v>45229</v>
      </c>
      <c r="D591" t="s">
        <v>85</v>
      </c>
      <c r="E591" t="s">
        <v>153</v>
      </c>
      <c r="F591" t="s">
        <v>154</v>
      </c>
      <c r="G591">
        <v>1</v>
      </c>
      <c r="H591">
        <v>29.99</v>
      </c>
      <c r="J591">
        <v>29.99</v>
      </c>
      <c r="K591" t="s">
        <v>16</v>
      </c>
      <c r="L591" t="s">
        <v>17</v>
      </c>
      <c r="M591" t="s">
        <v>28</v>
      </c>
    </row>
    <row r="592" spans="1:13" x14ac:dyDescent="0.2">
      <c r="A592">
        <v>198422</v>
      </c>
      <c r="B592" s="1">
        <v>45206</v>
      </c>
      <c r="C592">
        <v>77971</v>
      </c>
      <c r="D592" t="s">
        <v>63</v>
      </c>
      <c r="E592" t="s">
        <v>68</v>
      </c>
      <c r="F592" t="s">
        <v>69</v>
      </c>
      <c r="G592">
        <v>4</v>
      </c>
      <c r="H592">
        <v>18.739999999999998</v>
      </c>
      <c r="I592">
        <v>0.25</v>
      </c>
      <c r="J592">
        <v>56.22</v>
      </c>
      <c r="K592" t="s">
        <v>36</v>
      </c>
      <c r="L592" t="s">
        <v>17</v>
      </c>
      <c r="M592" t="s">
        <v>43</v>
      </c>
    </row>
    <row r="593" spans="1:13" x14ac:dyDescent="0.2">
      <c r="A593">
        <v>198716</v>
      </c>
      <c r="B593" s="2">
        <v>45287</v>
      </c>
      <c r="C593">
        <v>98295</v>
      </c>
      <c r="D593" t="s">
        <v>40</v>
      </c>
      <c r="E593" t="s">
        <v>41</v>
      </c>
      <c r="F593" t="s">
        <v>42</v>
      </c>
      <c r="G593">
        <v>1</v>
      </c>
      <c r="H593">
        <v>5.99</v>
      </c>
      <c r="J593">
        <v>5.99</v>
      </c>
      <c r="K593" t="s">
        <v>22</v>
      </c>
      <c r="L593" t="s">
        <v>17</v>
      </c>
      <c r="M593" t="s">
        <v>62</v>
      </c>
    </row>
    <row r="594" spans="1:13" x14ac:dyDescent="0.2">
      <c r="A594">
        <v>198772</v>
      </c>
      <c r="B594" s="1">
        <v>45525</v>
      </c>
      <c r="C594">
        <v>54521</v>
      </c>
      <c r="D594" t="s">
        <v>25</v>
      </c>
      <c r="E594" t="s">
        <v>60</v>
      </c>
      <c r="F594" t="s">
        <v>61</v>
      </c>
      <c r="G594">
        <v>3</v>
      </c>
      <c r="H594">
        <v>54.99</v>
      </c>
      <c r="J594">
        <v>164.97</v>
      </c>
      <c r="K594" t="s">
        <v>22</v>
      </c>
      <c r="L594" t="s">
        <v>17</v>
      </c>
      <c r="M594" t="s">
        <v>123</v>
      </c>
    </row>
    <row r="595" spans="1:13" x14ac:dyDescent="0.2">
      <c r="A595">
        <v>198851</v>
      </c>
      <c r="B595" s="2">
        <v>45333</v>
      </c>
      <c r="C595">
        <v>24295</v>
      </c>
      <c r="D595" t="s">
        <v>85</v>
      </c>
      <c r="E595" t="s">
        <v>149</v>
      </c>
      <c r="F595" t="s">
        <v>150</v>
      </c>
      <c r="G595">
        <v>2</v>
      </c>
      <c r="H595">
        <v>19.989999999999998</v>
      </c>
      <c r="J595">
        <v>39.979999999999997</v>
      </c>
      <c r="K595" t="s">
        <v>36</v>
      </c>
      <c r="L595" t="s">
        <v>37</v>
      </c>
      <c r="M595" t="s">
        <v>33</v>
      </c>
    </row>
    <row r="596" spans="1:13" x14ac:dyDescent="0.2">
      <c r="A596">
        <v>198981</v>
      </c>
      <c r="B596" s="2">
        <v>44771</v>
      </c>
      <c r="C596">
        <v>66491</v>
      </c>
      <c r="D596" t="s">
        <v>40</v>
      </c>
      <c r="E596" t="s">
        <v>20</v>
      </c>
      <c r="F596" t="s">
        <v>21</v>
      </c>
      <c r="G596">
        <v>2</v>
      </c>
      <c r="H596">
        <v>9.99</v>
      </c>
      <c r="J596">
        <v>19.98</v>
      </c>
      <c r="K596" t="s">
        <v>16</v>
      </c>
      <c r="L596" t="s">
        <v>17</v>
      </c>
      <c r="M596" t="s">
        <v>81</v>
      </c>
    </row>
    <row r="597" spans="1:13" x14ac:dyDescent="0.2">
      <c r="A597">
        <v>199396</v>
      </c>
      <c r="B597" s="1">
        <v>44856</v>
      </c>
      <c r="C597">
        <v>30809</v>
      </c>
      <c r="D597" t="s">
        <v>63</v>
      </c>
      <c r="E597" t="s">
        <v>131</v>
      </c>
      <c r="F597" t="s">
        <v>132</v>
      </c>
      <c r="G597">
        <v>4</v>
      </c>
      <c r="H597">
        <v>3.14</v>
      </c>
      <c r="I597">
        <v>0.1</v>
      </c>
      <c r="J597">
        <v>11.3</v>
      </c>
      <c r="K597" t="s">
        <v>36</v>
      </c>
      <c r="L597" t="s">
        <v>17</v>
      </c>
      <c r="M597" t="s">
        <v>120</v>
      </c>
    </row>
    <row r="598" spans="1:13" x14ac:dyDescent="0.2">
      <c r="A598">
        <v>199613</v>
      </c>
      <c r="B598" s="1">
        <v>45202</v>
      </c>
      <c r="C598">
        <v>28139</v>
      </c>
      <c r="D598" t="s">
        <v>13</v>
      </c>
      <c r="E598" t="s">
        <v>186</v>
      </c>
      <c r="F598" t="s">
        <v>187</v>
      </c>
      <c r="G598">
        <v>3</v>
      </c>
      <c r="H598">
        <v>39.99</v>
      </c>
      <c r="I598">
        <v>0.2</v>
      </c>
      <c r="J598">
        <v>95.98</v>
      </c>
      <c r="K598" t="s">
        <v>16</v>
      </c>
      <c r="L598" t="s">
        <v>37</v>
      </c>
      <c r="M598" t="s">
        <v>28</v>
      </c>
    </row>
    <row r="599" spans="1:13" x14ac:dyDescent="0.2">
      <c r="A599">
        <v>199702</v>
      </c>
      <c r="B599" s="2">
        <v>45424</v>
      </c>
      <c r="C599">
        <v>10011</v>
      </c>
      <c r="D599" t="s">
        <v>63</v>
      </c>
      <c r="E599" t="s">
        <v>131</v>
      </c>
      <c r="F599" t="s">
        <v>132</v>
      </c>
      <c r="G599">
        <v>3</v>
      </c>
      <c r="H599">
        <v>2.79</v>
      </c>
      <c r="I599">
        <v>0.2</v>
      </c>
      <c r="J599">
        <v>6.7</v>
      </c>
      <c r="K599" t="s">
        <v>36</v>
      </c>
      <c r="L599" t="s">
        <v>37</v>
      </c>
      <c r="M599" t="s">
        <v>81</v>
      </c>
    </row>
    <row r="600" spans="1:13" x14ac:dyDescent="0.2">
      <c r="A600">
        <v>199844</v>
      </c>
      <c r="B600" s="1">
        <v>45573</v>
      </c>
      <c r="C600">
        <v>21357</v>
      </c>
      <c r="D600" t="s">
        <v>44</v>
      </c>
      <c r="E600" t="s">
        <v>74</v>
      </c>
      <c r="F600" t="s">
        <v>75</v>
      </c>
      <c r="G600">
        <v>1</v>
      </c>
      <c r="H600">
        <v>2.39</v>
      </c>
      <c r="I600">
        <v>0.2</v>
      </c>
      <c r="J600">
        <v>1.91</v>
      </c>
      <c r="K600" t="s">
        <v>16</v>
      </c>
      <c r="L600" t="s">
        <v>17</v>
      </c>
      <c r="M600" t="s">
        <v>67</v>
      </c>
    </row>
    <row r="601" spans="1:13" x14ac:dyDescent="0.2">
      <c r="A601">
        <v>199954</v>
      </c>
      <c r="B601" s="1">
        <v>45108</v>
      </c>
      <c r="C601">
        <v>22574</v>
      </c>
      <c r="D601" t="s">
        <v>48</v>
      </c>
      <c r="E601" t="s">
        <v>49</v>
      </c>
      <c r="F601" t="s">
        <v>50</v>
      </c>
      <c r="G601">
        <v>4</v>
      </c>
      <c r="H601">
        <v>7.64</v>
      </c>
      <c r="I601">
        <v>0.15</v>
      </c>
      <c r="J601">
        <v>25.98</v>
      </c>
      <c r="K601" t="s">
        <v>16</v>
      </c>
      <c r="L601" t="s">
        <v>17</v>
      </c>
      <c r="M601" t="s">
        <v>67</v>
      </c>
    </row>
    <row r="602" spans="1:13" x14ac:dyDescent="0.2">
      <c r="A602">
        <v>200044</v>
      </c>
      <c r="B602" s="1">
        <v>44846</v>
      </c>
      <c r="C602">
        <v>49315</v>
      </c>
      <c r="D602" t="s">
        <v>13</v>
      </c>
      <c r="E602" t="s">
        <v>127</v>
      </c>
      <c r="F602" t="s">
        <v>128</v>
      </c>
      <c r="G602">
        <v>1</v>
      </c>
      <c r="H602">
        <v>13.99</v>
      </c>
      <c r="I602">
        <v>0.3</v>
      </c>
      <c r="J602">
        <v>9.7899999999999991</v>
      </c>
      <c r="K602" t="s">
        <v>16</v>
      </c>
      <c r="L602" t="s">
        <v>17</v>
      </c>
      <c r="M602" t="s">
        <v>57</v>
      </c>
    </row>
    <row r="603" spans="1:13" x14ac:dyDescent="0.2">
      <c r="A603">
        <v>200225</v>
      </c>
      <c r="B603" s="1">
        <v>45524</v>
      </c>
      <c r="C603">
        <v>79367</v>
      </c>
      <c r="D603" t="s">
        <v>85</v>
      </c>
      <c r="E603" t="s">
        <v>137</v>
      </c>
      <c r="F603" t="s">
        <v>138</v>
      </c>
      <c r="G603">
        <v>1</v>
      </c>
      <c r="H603">
        <v>7.99</v>
      </c>
      <c r="J603">
        <v>7.99</v>
      </c>
      <c r="K603" t="s">
        <v>16</v>
      </c>
      <c r="L603" t="s">
        <v>17</v>
      </c>
      <c r="M603" t="s">
        <v>47</v>
      </c>
    </row>
    <row r="604" spans="1:13" x14ac:dyDescent="0.2">
      <c r="A604">
        <v>200272</v>
      </c>
      <c r="B604" s="2">
        <v>44759</v>
      </c>
      <c r="C604">
        <v>99768</v>
      </c>
      <c r="D604" t="s">
        <v>183</v>
      </c>
      <c r="E604" t="s">
        <v>188</v>
      </c>
      <c r="F604" t="s">
        <v>189</v>
      </c>
      <c r="G604">
        <v>2</v>
      </c>
      <c r="H604">
        <v>38.24</v>
      </c>
      <c r="I604">
        <v>0.15</v>
      </c>
      <c r="J604">
        <v>65.010000000000005</v>
      </c>
      <c r="K604" t="s">
        <v>16</v>
      </c>
      <c r="L604" t="s">
        <v>23</v>
      </c>
      <c r="M604" t="s">
        <v>24</v>
      </c>
    </row>
    <row r="605" spans="1:13" x14ac:dyDescent="0.2">
      <c r="A605">
        <v>200308</v>
      </c>
      <c r="B605" s="1">
        <v>44910</v>
      </c>
      <c r="C605">
        <v>41373</v>
      </c>
      <c r="D605" t="s">
        <v>29</v>
      </c>
      <c r="E605" t="s">
        <v>30</v>
      </c>
      <c r="F605" t="s">
        <v>31</v>
      </c>
      <c r="G605">
        <v>1</v>
      </c>
      <c r="H605">
        <v>18.739999999999998</v>
      </c>
      <c r="I605">
        <v>0.25</v>
      </c>
      <c r="J605">
        <v>14.06</v>
      </c>
      <c r="K605" t="s">
        <v>22</v>
      </c>
      <c r="L605" t="s">
        <v>17</v>
      </c>
      <c r="M605" t="s">
        <v>117</v>
      </c>
    </row>
    <row r="606" spans="1:13" x14ac:dyDescent="0.2">
      <c r="A606">
        <v>200408</v>
      </c>
      <c r="B606" s="2">
        <v>45277</v>
      </c>
      <c r="C606">
        <v>44601</v>
      </c>
      <c r="D606" t="s">
        <v>82</v>
      </c>
      <c r="E606" t="s">
        <v>100</v>
      </c>
      <c r="F606" t="s">
        <v>101</v>
      </c>
      <c r="G606">
        <v>4</v>
      </c>
      <c r="H606">
        <v>22.99</v>
      </c>
      <c r="J606">
        <v>91.96</v>
      </c>
      <c r="K606" t="s">
        <v>36</v>
      </c>
      <c r="L606" t="s">
        <v>37</v>
      </c>
      <c r="M606" t="s">
        <v>43</v>
      </c>
    </row>
    <row r="607" spans="1:13" x14ac:dyDescent="0.2">
      <c r="A607">
        <v>200494</v>
      </c>
      <c r="B607" s="1">
        <v>45000</v>
      </c>
      <c r="C607">
        <v>72869</v>
      </c>
      <c r="D607" t="s">
        <v>63</v>
      </c>
      <c r="E607" t="s">
        <v>64</v>
      </c>
      <c r="F607" t="s">
        <v>65</v>
      </c>
      <c r="G607">
        <v>4</v>
      </c>
      <c r="H607">
        <v>4.24</v>
      </c>
      <c r="I607">
        <v>0.15</v>
      </c>
      <c r="J607">
        <v>14.42</v>
      </c>
      <c r="K607" t="s">
        <v>36</v>
      </c>
      <c r="L607" t="s">
        <v>37</v>
      </c>
      <c r="M607" t="s">
        <v>120</v>
      </c>
    </row>
    <row r="608" spans="1:13" x14ac:dyDescent="0.2">
      <c r="A608">
        <v>200546</v>
      </c>
      <c r="B608" s="2">
        <v>45452</v>
      </c>
      <c r="C608">
        <v>34715</v>
      </c>
      <c r="D608" t="s">
        <v>25</v>
      </c>
      <c r="E608" t="s">
        <v>26</v>
      </c>
      <c r="F608" t="s">
        <v>27</v>
      </c>
      <c r="G608">
        <v>2</v>
      </c>
      <c r="H608">
        <v>29.74</v>
      </c>
      <c r="I608">
        <v>0.15</v>
      </c>
      <c r="J608">
        <v>50.56</v>
      </c>
      <c r="K608" t="s">
        <v>16</v>
      </c>
      <c r="L608" t="s">
        <v>37</v>
      </c>
      <c r="M608" t="s">
        <v>90</v>
      </c>
    </row>
    <row r="609" spans="1:13" x14ac:dyDescent="0.2">
      <c r="A609">
        <v>200978</v>
      </c>
      <c r="B609" s="1">
        <v>45298</v>
      </c>
      <c r="C609">
        <v>58993</v>
      </c>
      <c r="D609" t="s">
        <v>63</v>
      </c>
      <c r="E609" t="s">
        <v>111</v>
      </c>
      <c r="F609" t="s">
        <v>112</v>
      </c>
      <c r="G609">
        <v>5</v>
      </c>
      <c r="H609">
        <v>14.24</v>
      </c>
      <c r="I609">
        <v>0.05</v>
      </c>
      <c r="J609">
        <v>67.64</v>
      </c>
      <c r="K609" t="s">
        <v>36</v>
      </c>
      <c r="L609" t="s">
        <v>37</v>
      </c>
      <c r="M609" t="s">
        <v>96</v>
      </c>
    </row>
    <row r="610" spans="1:13" x14ac:dyDescent="0.2">
      <c r="A610">
        <v>201180</v>
      </c>
      <c r="B610" s="1">
        <v>45461</v>
      </c>
      <c r="C610">
        <v>35997</v>
      </c>
      <c r="D610" t="s">
        <v>25</v>
      </c>
      <c r="E610" t="s">
        <v>70</v>
      </c>
      <c r="F610" t="s">
        <v>71</v>
      </c>
      <c r="G610">
        <v>1</v>
      </c>
      <c r="H610">
        <v>89.99</v>
      </c>
      <c r="J610">
        <v>89.99</v>
      </c>
      <c r="K610" t="s">
        <v>36</v>
      </c>
      <c r="L610" t="s">
        <v>17</v>
      </c>
      <c r="M610" t="s">
        <v>67</v>
      </c>
    </row>
    <row r="611" spans="1:13" x14ac:dyDescent="0.2">
      <c r="A611">
        <v>201222</v>
      </c>
      <c r="B611" s="2">
        <v>45293</v>
      </c>
      <c r="C611">
        <v>47653</v>
      </c>
      <c r="D611" t="s">
        <v>40</v>
      </c>
      <c r="E611" t="s">
        <v>41</v>
      </c>
      <c r="F611" t="s">
        <v>42</v>
      </c>
      <c r="G611">
        <v>2</v>
      </c>
      <c r="H611">
        <v>4.1900000000000004</v>
      </c>
      <c r="I611">
        <v>0.3</v>
      </c>
      <c r="J611">
        <v>5.87</v>
      </c>
      <c r="K611" t="s">
        <v>53</v>
      </c>
      <c r="L611" t="s">
        <v>23</v>
      </c>
      <c r="M611" t="s">
        <v>67</v>
      </c>
    </row>
    <row r="612" spans="1:13" x14ac:dyDescent="0.2">
      <c r="A612">
        <v>201364</v>
      </c>
      <c r="B612" s="1">
        <v>45184</v>
      </c>
      <c r="C612">
        <v>39895</v>
      </c>
      <c r="D612" t="s">
        <v>63</v>
      </c>
      <c r="E612" t="s">
        <v>131</v>
      </c>
      <c r="F612" t="s">
        <v>132</v>
      </c>
      <c r="G612">
        <v>4</v>
      </c>
      <c r="H612">
        <v>3.49</v>
      </c>
      <c r="J612">
        <v>13.96</v>
      </c>
      <c r="K612" t="s">
        <v>36</v>
      </c>
      <c r="L612" t="s">
        <v>17</v>
      </c>
      <c r="M612" t="s">
        <v>76</v>
      </c>
    </row>
    <row r="613" spans="1:13" x14ac:dyDescent="0.2">
      <c r="A613">
        <v>201495</v>
      </c>
      <c r="B613" s="1">
        <v>45333</v>
      </c>
      <c r="C613">
        <v>16056</v>
      </c>
      <c r="D613" t="s">
        <v>25</v>
      </c>
      <c r="E613" t="s">
        <v>51</v>
      </c>
      <c r="F613" t="s">
        <v>52</v>
      </c>
      <c r="G613">
        <v>2</v>
      </c>
      <c r="H613">
        <v>20.99</v>
      </c>
      <c r="I613">
        <v>0.25</v>
      </c>
      <c r="J613">
        <v>31.48</v>
      </c>
      <c r="K613" t="s">
        <v>36</v>
      </c>
      <c r="L613" t="s">
        <v>17</v>
      </c>
      <c r="M613" t="s">
        <v>103</v>
      </c>
    </row>
    <row r="614" spans="1:13" x14ac:dyDescent="0.2">
      <c r="A614">
        <v>201712</v>
      </c>
      <c r="B614" s="2">
        <v>45258</v>
      </c>
      <c r="C614">
        <v>14387</v>
      </c>
      <c r="D614" t="s">
        <v>48</v>
      </c>
      <c r="E614" t="s">
        <v>118</v>
      </c>
      <c r="F614" t="s">
        <v>119</v>
      </c>
      <c r="G614">
        <v>1</v>
      </c>
      <c r="H614">
        <v>4.99</v>
      </c>
      <c r="J614">
        <v>4.99</v>
      </c>
      <c r="K614" t="s">
        <v>36</v>
      </c>
      <c r="L614" t="s">
        <v>17</v>
      </c>
      <c r="M614" t="s">
        <v>76</v>
      </c>
    </row>
    <row r="615" spans="1:13" x14ac:dyDescent="0.2">
      <c r="A615">
        <v>201738</v>
      </c>
      <c r="B615" s="1">
        <v>44677</v>
      </c>
      <c r="C615">
        <v>87307</v>
      </c>
      <c r="D615" t="s">
        <v>97</v>
      </c>
      <c r="E615" t="s">
        <v>121</v>
      </c>
      <c r="F615" t="s">
        <v>122</v>
      </c>
      <c r="G615">
        <v>5</v>
      </c>
      <c r="H615">
        <v>9.74</v>
      </c>
      <c r="I615">
        <v>0.25</v>
      </c>
      <c r="J615">
        <v>36.53</v>
      </c>
      <c r="K615" t="s">
        <v>22</v>
      </c>
      <c r="L615" t="s">
        <v>17</v>
      </c>
      <c r="M615" t="s">
        <v>90</v>
      </c>
    </row>
    <row r="616" spans="1:13" x14ac:dyDescent="0.2">
      <c r="A616">
        <v>202006</v>
      </c>
      <c r="B616" s="1">
        <v>44635</v>
      </c>
      <c r="C616">
        <v>58506</v>
      </c>
      <c r="D616" t="s">
        <v>183</v>
      </c>
      <c r="E616" t="s">
        <v>83</v>
      </c>
      <c r="F616" t="s">
        <v>84</v>
      </c>
      <c r="G616">
        <v>2</v>
      </c>
      <c r="H616">
        <v>16.989999999999998</v>
      </c>
      <c r="J616">
        <v>33.979999999999997</v>
      </c>
      <c r="K616" t="s">
        <v>36</v>
      </c>
      <c r="L616" t="s">
        <v>37</v>
      </c>
      <c r="M616" t="s">
        <v>96</v>
      </c>
    </row>
    <row r="617" spans="1:13" x14ac:dyDescent="0.2">
      <c r="A617">
        <v>202116</v>
      </c>
      <c r="B617" s="1">
        <v>44978</v>
      </c>
      <c r="C617">
        <v>55145</v>
      </c>
      <c r="D617" t="s">
        <v>40</v>
      </c>
      <c r="E617" t="s">
        <v>115</v>
      </c>
      <c r="F617" t="s">
        <v>116</v>
      </c>
      <c r="G617">
        <v>2</v>
      </c>
      <c r="H617">
        <v>9.74</v>
      </c>
      <c r="I617">
        <v>0.25</v>
      </c>
      <c r="J617">
        <v>14.61</v>
      </c>
      <c r="K617" t="s">
        <v>16</v>
      </c>
      <c r="L617" t="s">
        <v>37</v>
      </c>
      <c r="M617" t="s">
        <v>18</v>
      </c>
    </row>
    <row r="618" spans="1:13" x14ac:dyDescent="0.2">
      <c r="A618">
        <v>202233</v>
      </c>
      <c r="B618" s="2">
        <v>44898</v>
      </c>
      <c r="C618">
        <v>95652</v>
      </c>
      <c r="D618" t="s">
        <v>106</v>
      </c>
      <c r="E618" t="s">
        <v>162</v>
      </c>
      <c r="F618" t="s">
        <v>163</v>
      </c>
      <c r="G618">
        <v>1</v>
      </c>
      <c r="H618">
        <v>7.99</v>
      </c>
      <c r="J618">
        <v>7.99</v>
      </c>
      <c r="K618" t="s">
        <v>36</v>
      </c>
      <c r="L618" t="s">
        <v>37</v>
      </c>
      <c r="M618" t="s">
        <v>117</v>
      </c>
    </row>
    <row r="619" spans="1:13" x14ac:dyDescent="0.2">
      <c r="A619">
        <v>202360</v>
      </c>
      <c r="B619" s="1">
        <v>45323</v>
      </c>
      <c r="C619">
        <v>38102</v>
      </c>
      <c r="D619" t="s">
        <v>97</v>
      </c>
      <c r="E619" t="s">
        <v>151</v>
      </c>
      <c r="F619" t="s">
        <v>152</v>
      </c>
      <c r="G619">
        <v>3</v>
      </c>
      <c r="H619">
        <v>24.49</v>
      </c>
      <c r="J619">
        <v>73.47</v>
      </c>
      <c r="K619" t="s">
        <v>66</v>
      </c>
      <c r="L619" t="s">
        <v>17</v>
      </c>
      <c r="M619" t="s">
        <v>28</v>
      </c>
    </row>
    <row r="620" spans="1:13" x14ac:dyDescent="0.2">
      <c r="A620">
        <v>202750</v>
      </c>
      <c r="B620" s="2">
        <v>45573</v>
      </c>
      <c r="C620">
        <v>68680</v>
      </c>
      <c r="D620" t="s">
        <v>44</v>
      </c>
      <c r="E620" t="s">
        <v>184</v>
      </c>
      <c r="F620" t="s">
        <v>185</v>
      </c>
      <c r="G620">
        <v>5</v>
      </c>
      <c r="H620">
        <v>4.67</v>
      </c>
      <c r="I620">
        <v>0.15</v>
      </c>
      <c r="J620">
        <v>19.850000000000001</v>
      </c>
      <c r="K620" t="s">
        <v>36</v>
      </c>
      <c r="L620" t="s">
        <v>17</v>
      </c>
      <c r="M620" t="s">
        <v>120</v>
      </c>
    </row>
    <row r="621" spans="1:13" x14ac:dyDescent="0.2">
      <c r="A621">
        <v>202805</v>
      </c>
      <c r="B621" s="1">
        <v>45009</v>
      </c>
      <c r="C621">
        <v>57049</v>
      </c>
      <c r="D621" t="s">
        <v>40</v>
      </c>
      <c r="E621" t="s">
        <v>58</v>
      </c>
      <c r="F621" t="s">
        <v>59</v>
      </c>
      <c r="G621">
        <v>2</v>
      </c>
      <c r="H621">
        <v>2.99</v>
      </c>
      <c r="I621">
        <v>0.25</v>
      </c>
      <c r="J621">
        <v>4.49</v>
      </c>
      <c r="K621" t="s">
        <v>16</v>
      </c>
      <c r="L621" t="s">
        <v>37</v>
      </c>
      <c r="M621" t="s">
        <v>96</v>
      </c>
    </row>
    <row r="622" spans="1:13" x14ac:dyDescent="0.2">
      <c r="A622">
        <v>202948</v>
      </c>
      <c r="B622" s="2">
        <v>45191</v>
      </c>
      <c r="D622" t="s">
        <v>25</v>
      </c>
      <c r="E622" t="s">
        <v>113</v>
      </c>
      <c r="F622" t="s">
        <v>114</v>
      </c>
      <c r="G622">
        <v>5</v>
      </c>
      <c r="H622">
        <v>101.99</v>
      </c>
      <c r="I622">
        <v>0.15</v>
      </c>
      <c r="J622">
        <v>433.46</v>
      </c>
      <c r="K622" t="s">
        <v>95</v>
      </c>
      <c r="L622" t="s">
        <v>23</v>
      </c>
      <c r="M622" t="s">
        <v>103</v>
      </c>
    </row>
    <row r="623" spans="1:13" x14ac:dyDescent="0.2">
      <c r="A623">
        <v>202987</v>
      </c>
      <c r="B623" s="1">
        <v>45332</v>
      </c>
      <c r="C623">
        <v>30392</v>
      </c>
      <c r="D623" t="s">
        <v>63</v>
      </c>
      <c r="E623" t="s">
        <v>111</v>
      </c>
      <c r="F623" t="s">
        <v>112</v>
      </c>
      <c r="G623">
        <v>2</v>
      </c>
      <c r="H623">
        <v>14.99</v>
      </c>
      <c r="J623">
        <v>29.98</v>
      </c>
      <c r="K623" t="s">
        <v>66</v>
      </c>
      <c r="L623" t="s">
        <v>17</v>
      </c>
      <c r="M623" t="s">
        <v>90</v>
      </c>
    </row>
    <row r="624" spans="1:13" x14ac:dyDescent="0.2">
      <c r="A624">
        <v>202993</v>
      </c>
      <c r="B624" s="1">
        <v>45270</v>
      </c>
      <c r="C624">
        <v>93438</v>
      </c>
      <c r="D624" t="s">
        <v>13</v>
      </c>
      <c r="E624" t="s">
        <v>127</v>
      </c>
      <c r="F624" t="s">
        <v>128</v>
      </c>
      <c r="G624">
        <v>5</v>
      </c>
      <c r="H624">
        <v>19.989999999999998</v>
      </c>
      <c r="J624">
        <v>99.95</v>
      </c>
      <c r="K624" t="s">
        <v>53</v>
      </c>
      <c r="L624" t="s">
        <v>17</v>
      </c>
      <c r="M624" t="s">
        <v>123</v>
      </c>
    </row>
    <row r="625" spans="1:13" x14ac:dyDescent="0.2">
      <c r="A625">
        <v>203428</v>
      </c>
      <c r="B625" s="2">
        <v>44952</v>
      </c>
      <c r="C625">
        <v>72154</v>
      </c>
      <c r="D625" t="s">
        <v>25</v>
      </c>
      <c r="E625" t="s">
        <v>26</v>
      </c>
      <c r="F625" t="s">
        <v>27</v>
      </c>
      <c r="G625">
        <v>3</v>
      </c>
      <c r="H625">
        <v>33.24</v>
      </c>
      <c r="I625">
        <v>0.05</v>
      </c>
      <c r="J625">
        <v>94.73</v>
      </c>
      <c r="K625" t="s">
        <v>16</v>
      </c>
      <c r="L625" t="s">
        <v>17</v>
      </c>
      <c r="M625" t="s">
        <v>117</v>
      </c>
    </row>
    <row r="626" spans="1:13" x14ac:dyDescent="0.2">
      <c r="A626">
        <v>203429</v>
      </c>
      <c r="B626" s="1">
        <v>44770</v>
      </c>
      <c r="C626">
        <v>52846</v>
      </c>
      <c r="D626" t="s">
        <v>97</v>
      </c>
      <c r="E626" t="s">
        <v>165</v>
      </c>
      <c r="F626" t="s">
        <v>166</v>
      </c>
      <c r="G626">
        <v>2</v>
      </c>
      <c r="H626">
        <v>80.989999999999995</v>
      </c>
      <c r="I626">
        <v>0.1</v>
      </c>
      <c r="J626">
        <v>145.78</v>
      </c>
      <c r="K626" t="s">
        <v>22</v>
      </c>
      <c r="L626" t="s">
        <v>37</v>
      </c>
      <c r="M626" t="s">
        <v>117</v>
      </c>
    </row>
    <row r="627" spans="1:13" x14ac:dyDescent="0.2">
      <c r="A627">
        <v>203529</v>
      </c>
      <c r="B627" s="1">
        <v>45503</v>
      </c>
      <c r="C627">
        <v>26181</v>
      </c>
      <c r="D627" t="s">
        <v>29</v>
      </c>
      <c r="E627" t="s">
        <v>88</v>
      </c>
      <c r="F627" t="s">
        <v>89</v>
      </c>
      <c r="G627">
        <v>3</v>
      </c>
      <c r="H627">
        <v>47.49</v>
      </c>
      <c r="I627">
        <v>0.05</v>
      </c>
      <c r="J627">
        <v>135.35</v>
      </c>
      <c r="K627" t="s">
        <v>36</v>
      </c>
      <c r="L627" t="s">
        <v>17</v>
      </c>
      <c r="M627" t="s">
        <v>62</v>
      </c>
    </row>
    <row r="628" spans="1:13" x14ac:dyDescent="0.2">
      <c r="A628">
        <v>203631</v>
      </c>
      <c r="B628" s="2">
        <v>45007</v>
      </c>
      <c r="C628">
        <v>55443</v>
      </c>
      <c r="D628" t="s">
        <v>85</v>
      </c>
      <c r="E628" t="s">
        <v>149</v>
      </c>
      <c r="F628" t="s">
        <v>150</v>
      </c>
      <c r="G628">
        <v>5</v>
      </c>
      <c r="H628">
        <v>19.989999999999998</v>
      </c>
      <c r="J628">
        <v>99.95</v>
      </c>
      <c r="K628" t="s">
        <v>16</v>
      </c>
      <c r="L628" t="s">
        <v>17</v>
      </c>
      <c r="M628" t="s">
        <v>33</v>
      </c>
    </row>
    <row r="629" spans="1:13" x14ac:dyDescent="0.2">
      <c r="A629">
        <v>203809</v>
      </c>
      <c r="B629" s="1">
        <v>45625</v>
      </c>
      <c r="C629">
        <v>62654</v>
      </c>
      <c r="D629" t="s">
        <v>85</v>
      </c>
      <c r="E629" t="s">
        <v>86</v>
      </c>
      <c r="F629" t="s">
        <v>87</v>
      </c>
      <c r="G629">
        <v>1</v>
      </c>
      <c r="H629">
        <v>12.99</v>
      </c>
      <c r="J629">
        <v>12.99</v>
      </c>
      <c r="K629" t="s">
        <v>22</v>
      </c>
      <c r="L629" t="s">
        <v>37</v>
      </c>
      <c r="M629" t="s">
        <v>117</v>
      </c>
    </row>
    <row r="630" spans="1:13" x14ac:dyDescent="0.2">
      <c r="A630">
        <v>203859</v>
      </c>
      <c r="B630" s="2">
        <v>45482</v>
      </c>
      <c r="C630">
        <v>83714</v>
      </c>
      <c r="D630" t="s">
        <v>29</v>
      </c>
      <c r="E630" t="s">
        <v>175</v>
      </c>
      <c r="F630" t="s">
        <v>176</v>
      </c>
      <c r="G630">
        <v>2</v>
      </c>
      <c r="H630">
        <v>11.39</v>
      </c>
      <c r="I630">
        <v>0.05</v>
      </c>
      <c r="J630">
        <v>21.64</v>
      </c>
      <c r="K630" t="s">
        <v>95</v>
      </c>
      <c r="L630" t="s">
        <v>17</v>
      </c>
      <c r="M630" t="s">
        <v>18</v>
      </c>
    </row>
    <row r="631" spans="1:13" x14ac:dyDescent="0.2">
      <c r="A631">
        <v>203908</v>
      </c>
      <c r="B631" s="1">
        <v>45018</v>
      </c>
      <c r="C631">
        <v>40876</v>
      </c>
      <c r="D631" t="s">
        <v>85</v>
      </c>
      <c r="E631" t="s">
        <v>129</v>
      </c>
      <c r="F631" t="s">
        <v>130</v>
      </c>
      <c r="G631">
        <v>1</v>
      </c>
      <c r="H631">
        <v>8.99</v>
      </c>
      <c r="J631">
        <v>8.99</v>
      </c>
      <c r="K631" t="s">
        <v>53</v>
      </c>
      <c r="L631" t="s">
        <v>17</v>
      </c>
      <c r="M631" t="s">
        <v>54</v>
      </c>
    </row>
    <row r="632" spans="1:13" x14ac:dyDescent="0.2">
      <c r="A632">
        <v>203963</v>
      </c>
      <c r="B632" s="2">
        <v>45503</v>
      </c>
      <c r="C632">
        <v>83635</v>
      </c>
      <c r="D632" t="s">
        <v>19</v>
      </c>
      <c r="E632" t="s">
        <v>197</v>
      </c>
      <c r="F632" t="s">
        <v>198</v>
      </c>
      <c r="G632">
        <v>4</v>
      </c>
      <c r="H632">
        <v>14.99</v>
      </c>
      <c r="J632">
        <v>59.96</v>
      </c>
      <c r="K632" t="s">
        <v>36</v>
      </c>
      <c r="L632" t="s">
        <v>37</v>
      </c>
      <c r="M632" t="s">
        <v>43</v>
      </c>
    </row>
    <row r="633" spans="1:13" x14ac:dyDescent="0.2">
      <c r="A633">
        <v>203964</v>
      </c>
      <c r="B633" s="2">
        <v>44564</v>
      </c>
      <c r="C633">
        <v>47240</v>
      </c>
      <c r="D633" t="s">
        <v>29</v>
      </c>
      <c r="E633" t="s">
        <v>175</v>
      </c>
      <c r="F633" t="s">
        <v>176</v>
      </c>
      <c r="G633">
        <v>3</v>
      </c>
      <c r="H633">
        <v>11.99</v>
      </c>
      <c r="J633">
        <v>35.97</v>
      </c>
      <c r="K633" t="s">
        <v>36</v>
      </c>
      <c r="L633" t="s">
        <v>17</v>
      </c>
      <c r="M633" t="s">
        <v>81</v>
      </c>
    </row>
    <row r="634" spans="1:13" x14ac:dyDescent="0.2">
      <c r="A634">
        <v>204086</v>
      </c>
      <c r="B634" s="1">
        <v>45528</v>
      </c>
      <c r="C634">
        <v>42594</v>
      </c>
      <c r="D634" t="s">
        <v>44</v>
      </c>
      <c r="E634" t="s">
        <v>190</v>
      </c>
      <c r="F634" t="s">
        <v>191</v>
      </c>
      <c r="G634">
        <v>3</v>
      </c>
      <c r="H634">
        <v>3.43</v>
      </c>
      <c r="I634">
        <v>0.2</v>
      </c>
      <c r="J634">
        <v>8.23</v>
      </c>
      <c r="K634" t="s">
        <v>16</v>
      </c>
      <c r="L634" t="s">
        <v>37</v>
      </c>
      <c r="M634" t="s">
        <v>90</v>
      </c>
    </row>
    <row r="635" spans="1:13" x14ac:dyDescent="0.2">
      <c r="A635">
        <v>204106</v>
      </c>
      <c r="B635" s="1">
        <v>45513</v>
      </c>
      <c r="D635" t="s">
        <v>97</v>
      </c>
      <c r="E635" t="s">
        <v>121</v>
      </c>
      <c r="F635" t="s">
        <v>122</v>
      </c>
      <c r="G635">
        <v>2</v>
      </c>
      <c r="H635">
        <v>12.99</v>
      </c>
      <c r="J635">
        <v>25.98</v>
      </c>
      <c r="K635" t="s">
        <v>36</v>
      </c>
      <c r="L635" t="s">
        <v>17</v>
      </c>
      <c r="M635" t="s">
        <v>120</v>
      </c>
    </row>
    <row r="636" spans="1:13" x14ac:dyDescent="0.2">
      <c r="A636">
        <v>204107</v>
      </c>
      <c r="B636" s="1">
        <v>45467</v>
      </c>
      <c r="C636">
        <v>98795</v>
      </c>
      <c r="D636" t="s">
        <v>13</v>
      </c>
      <c r="E636" t="s">
        <v>34</v>
      </c>
      <c r="F636" t="s">
        <v>35</v>
      </c>
      <c r="G636">
        <v>2</v>
      </c>
      <c r="H636">
        <v>31.49</v>
      </c>
      <c r="I636">
        <v>0.1</v>
      </c>
      <c r="J636">
        <v>56.68</v>
      </c>
      <c r="K636" t="s">
        <v>95</v>
      </c>
      <c r="L636" t="s">
        <v>17</v>
      </c>
      <c r="M636" t="s">
        <v>90</v>
      </c>
    </row>
    <row r="637" spans="1:13" x14ac:dyDescent="0.2">
      <c r="A637">
        <v>204236</v>
      </c>
      <c r="B637" s="1">
        <v>45113</v>
      </c>
      <c r="C637">
        <v>63744</v>
      </c>
      <c r="D637" t="s">
        <v>48</v>
      </c>
      <c r="E637" t="s">
        <v>118</v>
      </c>
      <c r="F637" t="s">
        <v>119</v>
      </c>
      <c r="G637">
        <v>1</v>
      </c>
      <c r="H637">
        <v>4.74</v>
      </c>
      <c r="J637">
        <v>4.74</v>
      </c>
      <c r="K637" t="s">
        <v>16</v>
      </c>
      <c r="L637" t="s">
        <v>37</v>
      </c>
      <c r="M637" t="s">
        <v>28</v>
      </c>
    </row>
    <row r="638" spans="1:13" x14ac:dyDescent="0.2">
      <c r="A638">
        <v>204393</v>
      </c>
      <c r="B638" s="1">
        <v>45497</v>
      </c>
      <c r="C638">
        <v>68279</v>
      </c>
      <c r="D638" t="s">
        <v>44</v>
      </c>
      <c r="E638" t="s">
        <v>133</v>
      </c>
      <c r="F638" t="s">
        <v>134</v>
      </c>
      <c r="G638">
        <v>1</v>
      </c>
      <c r="H638">
        <v>3.6</v>
      </c>
      <c r="I638">
        <v>0.05</v>
      </c>
      <c r="J638">
        <v>3.42</v>
      </c>
      <c r="K638" t="s">
        <v>16</v>
      </c>
      <c r="L638" t="s">
        <v>17</v>
      </c>
      <c r="M638" t="s">
        <v>90</v>
      </c>
    </row>
    <row r="639" spans="1:13" x14ac:dyDescent="0.2">
      <c r="A639">
        <v>204749</v>
      </c>
      <c r="B639" s="1">
        <v>45108</v>
      </c>
      <c r="C639">
        <v>96687</v>
      </c>
      <c r="D639" t="s">
        <v>29</v>
      </c>
      <c r="E639" t="s">
        <v>175</v>
      </c>
      <c r="F639" t="s">
        <v>176</v>
      </c>
      <c r="G639">
        <v>1</v>
      </c>
      <c r="H639">
        <v>11.99</v>
      </c>
      <c r="J639">
        <v>11.99</v>
      </c>
      <c r="K639" t="s">
        <v>16</v>
      </c>
      <c r="L639" t="s">
        <v>17</v>
      </c>
      <c r="M639" t="s">
        <v>24</v>
      </c>
    </row>
    <row r="640" spans="1:13" x14ac:dyDescent="0.2">
      <c r="A640">
        <v>205267</v>
      </c>
      <c r="B640" s="1">
        <v>44982</v>
      </c>
      <c r="C640">
        <v>44773</v>
      </c>
      <c r="D640" t="s">
        <v>48</v>
      </c>
      <c r="E640" t="s">
        <v>118</v>
      </c>
      <c r="F640" t="s">
        <v>119</v>
      </c>
      <c r="G640">
        <v>2</v>
      </c>
      <c r="H640">
        <v>4.49</v>
      </c>
      <c r="I640">
        <v>0.1</v>
      </c>
      <c r="J640">
        <v>8.08</v>
      </c>
      <c r="K640" t="s">
        <v>36</v>
      </c>
      <c r="L640" t="s">
        <v>37</v>
      </c>
      <c r="M640" t="s">
        <v>67</v>
      </c>
    </row>
    <row r="641" spans="1:13" x14ac:dyDescent="0.2">
      <c r="A641">
        <v>205271</v>
      </c>
      <c r="B641" s="1">
        <v>44724</v>
      </c>
      <c r="C641">
        <v>88832</v>
      </c>
      <c r="D641" t="s">
        <v>29</v>
      </c>
      <c r="E641" t="s">
        <v>175</v>
      </c>
      <c r="F641" t="s">
        <v>176</v>
      </c>
      <c r="G641">
        <v>2</v>
      </c>
      <c r="H641">
        <v>8.39</v>
      </c>
      <c r="I641">
        <v>0.3</v>
      </c>
      <c r="J641">
        <v>11.75</v>
      </c>
      <c r="K641" t="s">
        <v>53</v>
      </c>
      <c r="L641" t="s">
        <v>17</v>
      </c>
      <c r="M641" t="s">
        <v>67</v>
      </c>
    </row>
    <row r="642" spans="1:13" x14ac:dyDescent="0.2">
      <c r="A642">
        <v>205314</v>
      </c>
      <c r="B642" s="1">
        <v>45170</v>
      </c>
      <c r="C642">
        <v>65072</v>
      </c>
      <c r="D642" t="s">
        <v>63</v>
      </c>
      <c r="E642" t="s">
        <v>125</v>
      </c>
      <c r="F642" t="s">
        <v>126</v>
      </c>
      <c r="G642">
        <v>3</v>
      </c>
      <c r="H642">
        <v>20.99</v>
      </c>
      <c r="I642">
        <v>0.3</v>
      </c>
      <c r="J642">
        <v>44.08</v>
      </c>
      <c r="K642" t="s">
        <v>16</v>
      </c>
      <c r="L642" t="s">
        <v>37</v>
      </c>
      <c r="M642" t="s">
        <v>28</v>
      </c>
    </row>
    <row r="643" spans="1:13" x14ac:dyDescent="0.2">
      <c r="A643">
        <v>206029</v>
      </c>
      <c r="B643" s="1">
        <v>44980</v>
      </c>
      <c r="C643">
        <v>82798</v>
      </c>
      <c r="D643" t="s">
        <v>63</v>
      </c>
      <c r="E643" t="s">
        <v>125</v>
      </c>
      <c r="F643" t="s">
        <v>126</v>
      </c>
      <c r="G643">
        <v>2</v>
      </c>
      <c r="H643">
        <v>26.99</v>
      </c>
      <c r="I643">
        <v>0.1</v>
      </c>
      <c r="J643">
        <v>48.58</v>
      </c>
      <c r="K643" t="s">
        <v>16</v>
      </c>
      <c r="L643" t="s">
        <v>37</v>
      </c>
      <c r="M643" t="s">
        <v>18</v>
      </c>
    </row>
    <row r="644" spans="1:13" x14ac:dyDescent="0.2">
      <c r="A644">
        <v>206043</v>
      </c>
      <c r="B644" s="2">
        <v>45076</v>
      </c>
      <c r="C644">
        <v>39017</v>
      </c>
      <c r="D644" t="s">
        <v>82</v>
      </c>
      <c r="E644" t="s">
        <v>147</v>
      </c>
      <c r="F644" t="s">
        <v>148</v>
      </c>
      <c r="G644">
        <v>1</v>
      </c>
      <c r="H644">
        <v>11.04</v>
      </c>
      <c r="I644">
        <v>0.15</v>
      </c>
      <c r="J644">
        <v>9.3800000000000008</v>
      </c>
      <c r="K644" t="s">
        <v>36</v>
      </c>
      <c r="L644" t="s">
        <v>17</v>
      </c>
      <c r="M644" t="s">
        <v>102</v>
      </c>
    </row>
    <row r="645" spans="1:13" x14ac:dyDescent="0.2">
      <c r="A645">
        <v>206176</v>
      </c>
      <c r="B645" s="2">
        <v>44579</v>
      </c>
      <c r="C645">
        <v>26938</v>
      </c>
      <c r="D645" t="s">
        <v>97</v>
      </c>
      <c r="E645" t="s">
        <v>121</v>
      </c>
      <c r="F645" t="s">
        <v>122</v>
      </c>
      <c r="G645">
        <v>5</v>
      </c>
      <c r="H645">
        <v>12.99</v>
      </c>
      <c r="J645">
        <v>64.95</v>
      </c>
      <c r="K645" t="s">
        <v>16</v>
      </c>
      <c r="L645" t="s">
        <v>23</v>
      </c>
      <c r="M645" t="s">
        <v>33</v>
      </c>
    </row>
    <row r="646" spans="1:13" x14ac:dyDescent="0.2">
      <c r="A646">
        <v>206243</v>
      </c>
      <c r="B646" s="1">
        <v>44591</v>
      </c>
      <c r="C646">
        <v>79097</v>
      </c>
      <c r="D646" t="s">
        <v>48</v>
      </c>
      <c r="E646" t="s">
        <v>118</v>
      </c>
      <c r="F646" t="s">
        <v>119</v>
      </c>
      <c r="G646">
        <v>1</v>
      </c>
      <c r="H646">
        <v>4.99</v>
      </c>
      <c r="J646">
        <v>4.99</v>
      </c>
      <c r="K646" t="s">
        <v>16</v>
      </c>
      <c r="L646" t="s">
        <v>37</v>
      </c>
      <c r="M646" t="s">
        <v>117</v>
      </c>
    </row>
    <row r="647" spans="1:13" x14ac:dyDescent="0.2">
      <c r="A647">
        <v>206259</v>
      </c>
      <c r="B647" s="1">
        <v>45654</v>
      </c>
      <c r="C647">
        <v>17917</v>
      </c>
      <c r="D647" t="s">
        <v>25</v>
      </c>
      <c r="E647" t="s">
        <v>26</v>
      </c>
      <c r="F647" t="s">
        <v>27</v>
      </c>
      <c r="G647">
        <v>5</v>
      </c>
      <c r="H647">
        <v>24.49</v>
      </c>
      <c r="I647">
        <v>0.3</v>
      </c>
      <c r="J647">
        <v>85.71</v>
      </c>
      <c r="K647" t="s">
        <v>36</v>
      </c>
      <c r="L647" t="s">
        <v>17</v>
      </c>
      <c r="M647" t="s">
        <v>120</v>
      </c>
    </row>
    <row r="648" spans="1:13" x14ac:dyDescent="0.2">
      <c r="A648">
        <v>206260</v>
      </c>
      <c r="B648" s="2">
        <v>44943</v>
      </c>
      <c r="C648">
        <v>30147</v>
      </c>
      <c r="D648" t="s">
        <v>13</v>
      </c>
      <c r="E648" t="s">
        <v>104</v>
      </c>
      <c r="F648" t="s">
        <v>105</v>
      </c>
      <c r="G648">
        <v>1</v>
      </c>
      <c r="H648">
        <v>23.99</v>
      </c>
      <c r="I648">
        <v>0.2</v>
      </c>
      <c r="J648">
        <v>19.190000000000001</v>
      </c>
      <c r="K648" t="s">
        <v>36</v>
      </c>
      <c r="L648" t="s">
        <v>17</v>
      </c>
    </row>
    <row r="649" spans="1:13" x14ac:dyDescent="0.2">
      <c r="A649">
        <v>206291</v>
      </c>
      <c r="B649" s="1">
        <v>45313</v>
      </c>
      <c r="C649">
        <v>84922</v>
      </c>
      <c r="D649" t="s">
        <v>29</v>
      </c>
      <c r="E649" t="s">
        <v>170</v>
      </c>
      <c r="F649" t="s">
        <v>171</v>
      </c>
      <c r="G649">
        <v>1</v>
      </c>
      <c r="H649">
        <v>11.24</v>
      </c>
      <c r="I649">
        <v>0.25</v>
      </c>
      <c r="J649">
        <v>8.43</v>
      </c>
      <c r="K649" t="s">
        <v>22</v>
      </c>
      <c r="L649" t="s">
        <v>17</v>
      </c>
    </row>
    <row r="650" spans="1:13" x14ac:dyDescent="0.2">
      <c r="A650">
        <v>206677</v>
      </c>
      <c r="B650" s="2">
        <v>45204</v>
      </c>
      <c r="C650">
        <v>92035</v>
      </c>
      <c r="D650" t="s">
        <v>164</v>
      </c>
      <c r="E650" t="s">
        <v>170</v>
      </c>
      <c r="F650" t="s">
        <v>171</v>
      </c>
      <c r="G650">
        <v>2</v>
      </c>
      <c r="H650">
        <v>14.99</v>
      </c>
      <c r="J650">
        <v>29.98</v>
      </c>
      <c r="K650" t="s">
        <v>16</v>
      </c>
      <c r="L650" t="s">
        <v>17</v>
      </c>
      <c r="M650" t="s">
        <v>28</v>
      </c>
    </row>
    <row r="651" spans="1:13" x14ac:dyDescent="0.2">
      <c r="A651">
        <v>207241</v>
      </c>
      <c r="B651" s="2">
        <v>45166</v>
      </c>
      <c r="C651">
        <v>66131</v>
      </c>
      <c r="D651" t="s">
        <v>63</v>
      </c>
      <c r="E651" t="s">
        <v>64</v>
      </c>
      <c r="F651" t="s">
        <v>65</v>
      </c>
      <c r="G651">
        <v>2</v>
      </c>
      <c r="H651">
        <v>3.49</v>
      </c>
      <c r="I651">
        <v>0.3</v>
      </c>
      <c r="J651">
        <v>4.8899999999999997</v>
      </c>
      <c r="K651" t="s">
        <v>53</v>
      </c>
      <c r="L651" t="s">
        <v>37</v>
      </c>
      <c r="M651" t="s">
        <v>120</v>
      </c>
    </row>
    <row r="652" spans="1:13" x14ac:dyDescent="0.2">
      <c r="A652">
        <v>207452</v>
      </c>
      <c r="B652" s="1">
        <v>44670</v>
      </c>
      <c r="C652">
        <v>55410</v>
      </c>
      <c r="D652" t="s">
        <v>13</v>
      </c>
      <c r="E652" t="s">
        <v>77</v>
      </c>
      <c r="F652" t="s">
        <v>78</v>
      </c>
      <c r="G652">
        <v>5</v>
      </c>
      <c r="H652">
        <v>499.99</v>
      </c>
      <c r="J652">
        <v>2499.9499999999998</v>
      </c>
      <c r="K652" t="s">
        <v>53</v>
      </c>
      <c r="L652" t="s">
        <v>17</v>
      </c>
      <c r="M652" t="s">
        <v>81</v>
      </c>
    </row>
    <row r="653" spans="1:13" x14ac:dyDescent="0.2">
      <c r="A653">
        <v>207917</v>
      </c>
      <c r="B653" s="2">
        <v>45225</v>
      </c>
      <c r="C653">
        <v>99841</v>
      </c>
      <c r="D653" t="s">
        <v>82</v>
      </c>
      <c r="E653" t="s">
        <v>100</v>
      </c>
      <c r="F653" t="s">
        <v>101</v>
      </c>
      <c r="G653">
        <v>1</v>
      </c>
      <c r="H653">
        <v>19.54</v>
      </c>
      <c r="I653">
        <v>0.15</v>
      </c>
      <c r="J653">
        <v>16.61</v>
      </c>
      <c r="K653" t="s">
        <v>16</v>
      </c>
      <c r="L653" t="s">
        <v>17</v>
      </c>
      <c r="M653" t="s">
        <v>67</v>
      </c>
    </row>
    <row r="654" spans="1:13" x14ac:dyDescent="0.2">
      <c r="A654">
        <v>207978</v>
      </c>
      <c r="B654" s="1">
        <v>44976</v>
      </c>
      <c r="C654">
        <v>23411</v>
      </c>
      <c r="D654" t="s">
        <v>48</v>
      </c>
      <c r="E654" t="s">
        <v>49</v>
      </c>
      <c r="F654" t="s">
        <v>50</v>
      </c>
      <c r="G654">
        <v>2</v>
      </c>
      <c r="H654">
        <v>8.99</v>
      </c>
      <c r="J654">
        <v>17.98</v>
      </c>
      <c r="K654" t="s">
        <v>16</v>
      </c>
      <c r="L654" t="s">
        <v>17</v>
      </c>
      <c r="M654" t="s">
        <v>120</v>
      </c>
    </row>
    <row r="655" spans="1:13" x14ac:dyDescent="0.2">
      <c r="A655">
        <v>208107</v>
      </c>
      <c r="B655" s="1">
        <v>44849</v>
      </c>
      <c r="C655">
        <v>84149</v>
      </c>
      <c r="D655" t="s">
        <v>48</v>
      </c>
      <c r="E655" t="s">
        <v>49</v>
      </c>
      <c r="F655" t="s">
        <v>50</v>
      </c>
      <c r="G655">
        <v>4</v>
      </c>
      <c r="H655">
        <v>8.5399999999999991</v>
      </c>
      <c r="I655">
        <v>0.05</v>
      </c>
      <c r="J655">
        <v>32.450000000000003</v>
      </c>
      <c r="K655" t="s">
        <v>22</v>
      </c>
      <c r="L655" t="s">
        <v>17</v>
      </c>
      <c r="M655" t="s">
        <v>103</v>
      </c>
    </row>
    <row r="656" spans="1:13" x14ac:dyDescent="0.2">
      <c r="A656">
        <v>208150</v>
      </c>
      <c r="B656" s="2">
        <v>45259</v>
      </c>
      <c r="C656">
        <v>58752</v>
      </c>
      <c r="D656" t="s">
        <v>85</v>
      </c>
      <c r="E656" t="s">
        <v>157</v>
      </c>
      <c r="F656" t="s">
        <v>158</v>
      </c>
      <c r="G656">
        <v>1</v>
      </c>
      <c r="H656">
        <v>9.44</v>
      </c>
      <c r="I656">
        <v>0.3</v>
      </c>
      <c r="J656">
        <v>6.61</v>
      </c>
      <c r="K656" t="s">
        <v>36</v>
      </c>
      <c r="L656" t="s">
        <v>23</v>
      </c>
      <c r="M656" t="s">
        <v>90</v>
      </c>
    </row>
    <row r="657" spans="1:13" x14ac:dyDescent="0.2">
      <c r="A657">
        <v>208304</v>
      </c>
      <c r="B657" s="2">
        <v>44779</v>
      </c>
      <c r="D657" t="s">
        <v>63</v>
      </c>
      <c r="E657" t="s">
        <v>111</v>
      </c>
      <c r="F657" t="s">
        <v>112</v>
      </c>
      <c r="G657">
        <v>3</v>
      </c>
      <c r="H657">
        <v>11.24</v>
      </c>
      <c r="I657">
        <v>0.25</v>
      </c>
      <c r="J657">
        <v>25.29</v>
      </c>
      <c r="K657" t="s">
        <v>22</v>
      </c>
      <c r="L657" t="s">
        <v>17</v>
      </c>
      <c r="M657" t="s">
        <v>117</v>
      </c>
    </row>
    <row r="658" spans="1:13" x14ac:dyDescent="0.2">
      <c r="A658">
        <v>208760</v>
      </c>
      <c r="B658" s="2">
        <v>45432</v>
      </c>
      <c r="C658">
        <v>77289</v>
      </c>
      <c r="D658" t="s">
        <v>63</v>
      </c>
      <c r="E658" t="s">
        <v>125</v>
      </c>
      <c r="F658" t="s">
        <v>126</v>
      </c>
      <c r="G658">
        <v>1</v>
      </c>
      <c r="H658">
        <v>22.49</v>
      </c>
      <c r="I658">
        <v>0.25</v>
      </c>
      <c r="J658">
        <v>16.87</v>
      </c>
      <c r="K658" t="s">
        <v>95</v>
      </c>
      <c r="L658" t="s">
        <v>17</v>
      </c>
      <c r="M658" t="s">
        <v>43</v>
      </c>
    </row>
    <row r="659" spans="1:13" x14ac:dyDescent="0.2">
      <c r="A659">
        <v>209294</v>
      </c>
      <c r="B659" s="1">
        <v>44927</v>
      </c>
      <c r="C659">
        <v>28995</v>
      </c>
      <c r="D659" t="s">
        <v>13</v>
      </c>
      <c r="E659" t="s">
        <v>77</v>
      </c>
      <c r="F659" t="s">
        <v>78</v>
      </c>
      <c r="G659">
        <v>4</v>
      </c>
      <c r="H659">
        <v>499.99</v>
      </c>
      <c r="J659">
        <v>1999.96</v>
      </c>
      <c r="K659" t="s">
        <v>32</v>
      </c>
      <c r="L659" t="s">
        <v>37</v>
      </c>
      <c r="M659" t="s">
        <v>54</v>
      </c>
    </row>
    <row r="660" spans="1:13" x14ac:dyDescent="0.2">
      <c r="A660">
        <v>209351</v>
      </c>
      <c r="B660" s="1">
        <v>45106</v>
      </c>
      <c r="C660">
        <v>44240</v>
      </c>
      <c r="D660" t="s">
        <v>48</v>
      </c>
      <c r="E660" t="s">
        <v>118</v>
      </c>
      <c r="F660" t="s">
        <v>119</v>
      </c>
      <c r="G660">
        <v>1</v>
      </c>
      <c r="H660">
        <v>4.99</v>
      </c>
      <c r="J660">
        <v>4.99</v>
      </c>
      <c r="K660" t="s">
        <v>22</v>
      </c>
      <c r="L660" t="s">
        <v>23</v>
      </c>
      <c r="M660" t="s">
        <v>102</v>
      </c>
    </row>
    <row r="661" spans="1:13" x14ac:dyDescent="0.2">
      <c r="A661">
        <v>209466</v>
      </c>
      <c r="B661" s="1">
        <v>45131</v>
      </c>
      <c r="C661">
        <v>13642</v>
      </c>
      <c r="D661" t="s">
        <v>13</v>
      </c>
      <c r="E661" t="s">
        <v>14</v>
      </c>
      <c r="F661" t="s">
        <v>15</v>
      </c>
      <c r="G661">
        <v>1</v>
      </c>
      <c r="H661">
        <v>75.989999999999995</v>
      </c>
      <c r="I661">
        <v>0.05</v>
      </c>
      <c r="J661">
        <v>72.19</v>
      </c>
      <c r="K661" t="s">
        <v>36</v>
      </c>
      <c r="L661" t="s">
        <v>17</v>
      </c>
      <c r="M661" t="s">
        <v>18</v>
      </c>
    </row>
    <row r="662" spans="1:13" x14ac:dyDescent="0.2">
      <c r="A662">
        <v>209766</v>
      </c>
      <c r="B662" s="1">
        <v>44935</v>
      </c>
      <c r="C662">
        <v>77835</v>
      </c>
      <c r="D662" t="s">
        <v>40</v>
      </c>
      <c r="E662" t="s">
        <v>20</v>
      </c>
      <c r="F662" t="s">
        <v>21</v>
      </c>
      <c r="G662">
        <v>1</v>
      </c>
      <c r="H662">
        <v>9.99</v>
      </c>
      <c r="J662">
        <v>9.99</v>
      </c>
      <c r="K662" t="s">
        <v>16</v>
      </c>
      <c r="L662" t="s">
        <v>17</v>
      </c>
      <c r="M662" t="s">
        <v>123</v>
      </c>
    </row>
    <row r="663" spans="1:13" x14ac:dyDescent="0.2">
      <c r="A663">
        <v>209935</v>
      </c>
      <c r="B663" s="1">
        <v>45406</v>
      </c>
      <c r="C663">
        <v>52379</v>
      </c>
      <c r="D663" t="s">
        <v>29</v>
      </c>
      <c r="E663" t="s">
        <v>30</v>
      </c>
      <c r="F663" t="s">
        <v>31</v>
      </c>
      <c r="G663">
        <v>1</v>
      </c>
      <c r="H663">
        <v>24.99</v>
      </c>
      <c r="J663">
        <v>24.99</v>
      </c>
      <c r="K663" t="s">
        <v>95</v>
      </c>
      <c r="L663" t="s">
        <v>37</v>
      </c>
      <c r="M663" t="s">
        <v>120</v>
      </c>
    </row>
    <row r="664" spans="1:13" x14ac:dyDescent="0.2">
      <c r="A664">
        <v>210002</v>
      </c>
      <c r="B664" s="1">
        <v>44567</v>
      </c>
      <c r="C664">
        <v>97115</v>
      </c>
      <c r="D664" t="s">
        <v>13</v>
      </c>
      <c r="E664" t="s">
        <v>34</v>
      </c>
      <c r="F664" t="s">
        <v>35</v>
      </c>
      <c r="G664">
        <v>3</v>
      </c>
      <c r="H664">
        <v>27.99</v>
      </c>
      <c r="I664">
        <v>0.2</v>
      </c>
      <c r="J664">
        <v>67.180000000000007</v>
      </c>
      <c r="K664" t="s">
        <v>22</v>
      </c>
      <c r="L664" t="s">
        <v>17</v>
      </c>
      <c r="M664" t="s">
        <v>43</v>
      </c>
    </row>
    <row r="665" spans="1:13" x14ac:dyDescent="0.2">
      <c r="A665">
        <v>210365</v>
      </c>
      <c r="B665" s="1">
        <v>45156</v>
      </c>
      <c r="C665">
        <v>48407</v>
      </c>
      <c r="D665" t="s">
        <v>29</v>
      </c>
      <c r="E665" t="s">
        <v>170</v>
      </c>
      <c r="F665" t="s">
        <v>171</v>
      </c>
      <c r="G665">
        <v>1</v>
      </c>
      <c r="H665">
        <v>14.99</v>
      </c>
      <c r="J665">
        <v>14.99</v>
      </c>
      <c r="K665" t="s">
        <v>36</v>
      </c>
      <c r="L665" t="s">
        <v>17</v>
      </c>
      <c r="M665" t="s">
        <v>161</v>
      </c>
    </row>
    <row r="666" spans="1:13" x14ac:dyDescent="0.2">
      <c r="A666">
        <v>210462</v>
      </c>
      <c r="B666" s="1">
        <v>44864</v>
      </c>
      <c r="C666">
        <v>28712</v>
      </c>
      <c r="D666" t="s">
        <v>48</v>
      </c>
      <c r="E666" t="s">
        <v>49</v>
      </c>
      <c r="F666" t="s">
        <v>50</v>
      </c>
      <c r="G666">
        <v>4</v>
      </c>
      <c r="H666">
        <v>7.19</v>
      </c>
      <c r="I666">
        <v>0.2</v>
      </c>
      <c r="J666">
        <v>23.01</v>
      </c>
      <c r="K666" t="s">
        <v>53</v>
      </c>
      <c r="L666" t="s">
        <v>17</v>
      </c>
    </row>
    <row r="667" spans="1:13" x14ac:dyDescent="0.2">
      <c r="A667">
        <v>210685</v>
      </c>
      <c r="B667" s="1">
        <v>44604</v>
      </c>
      <c r="C667">
        <v>11488</v>
      </c>
      <c r="D667" t="s">
        <v>82</v>
      </c>
      <c r="E667" t="s">
        <v>100</v>
      </c>
      <c r="F667" t="s">
        <v>101</v>
      </c>
      <c r="G667">
        <v>3</v>
      </c>
      <c r="H667">
        <v>21.84</v>
      </c>
      <c r="I667">
        <v>0.05</v>
      </c>
      <c r="J667">
        <v>62.24</v>
      </c>
      <c r="K667" t="s">
        <v>36</v>
      </c>
      <c r="L667" t="s">
        <v>17</v>
      </c>
      <c r="M667" t="s">
        <v>57</v>
      </c>
    </row>
    <row r="668" spans="1:13" x14ac:dyDescent="0.2">
      <c r="A668">
        <v>210825</v>
      </c>
      <c r="B668" s="1">
        <v>45505</v>
      </c>
      <c r="C668">
        <v>97209</v>
      </c>
      <c r="D668" t="s">
        <v>40</v>
      </c>
      <c r="E668" t="s">
        <v>20</v>
      </c>
      <c r="F668" t="s">
        <v>21</v>
      </c>
      <c r="G668">
        <v>4</v>
      </c>
      <c r="H668">
        <v>6.99</v>
      </c>
      <c r="I668">
        <v>0.3</v>
      </c>
      <c r="J668">
        <v>19.57</v>
      </c>
      <c r="K668" t="s">
        <v>16</v>
      </c>
      <c r="L668" t="s">
        <v>17</v>
      </c>
      <c r="M668" t="s">
        <v>43</v>
      </c>
    </row>
    <row r="669" spans="1:13" x14ac:dyDescent="0.2">
      <c r="A669">
        <v>210949</v>
      </c>
      <c r="B669" s="2">
        <v>45326</v>
      </c>
      <c r="D669" t="s">
        <v>106</v>
      </c>
      <c r="E669" t="s">
        <v>93</v>
      </c>
      <c r="F669" t="s">
        <v>94</v>
      </c>
      <c r="G669">
        <v>4</v>
      </c>
      <c r="H669">
        <v>0.97</v>
      </c>
      <c r="I669">
        <v>0.25</v>
      </c>
      <c r="J669">
        <v>2.91</v>
      </c>
      <c r="K669" t="s">
        <v>22</v>
      </c>
      <c r="L669" t="s">
        <v>17</v>
      </c>
      <c r="M669" t="s">
        <v>67</v>
      </c>
    </row>
    <row r="670" spans="1:13" x14ac:dyDescent="0.2">
      <c r="A670">
        <v>210955</v>
      </c>
      <c r="B670" s="1">
        <v>45479</v>
      </c>
      <c r="C670">
        <v>92608</v>
      </c>
      <c r="D670" t="s">
        <v>48</v>
      </c>
      <c r="E670" t="s">
        <v>179</v>
      </c>
      <c r="F670" t="s">
        <v>180</v>
      </c>
      <c r="G670">
        <v>1</v>
      </c>
      <c r="H670">
        <v>8.39</v>
      </c>
      <c r="I670">
        <v>0.3</v>
      </c>
      <c r="J670">
        <v>5.87</v>
      </c>
      <c r="K670" t="s">
        <v>36</v>
      </c>
      <c r="L670" t="s">
        <v>17</v>
      </c>
      <c r="M670" t="s">
        <v>28</v>
      </c>
    </row>
    <row r="671" spans="1:13" x14ac:dyDescent="0.2">
      <c r="A671">
        <v>210966</v>
      </c>
      <c r="B671" s="1">
        <v>45084</v>
      </c>
      <c r="C671">
        <v>21590</v>
      </c>
      <c r="D671" t="s">
        <v>82</v>
      </c>
      <c r="E671" t="s">
        <v>83</v>
      </c>
      <c r="F671" t="s">
        <v>84</v>
      </c>
      <c r="G671">
        <v>5</v>
      </c>
      <c r="H671">
        <v>13.59</v>
      </c>
      <c r="I671">
        <v>0.2</v>
      </c>
      <c r="J671">
        <v>54.36</v>
      </c>
      <c r="K671" t="s">
        <v>16</v>
      </c>
      <c r="L671" t="s">
        <v>17</v>
      </c>
      <c r="M671" t="s">
        <v>47</v>
      </c>
    </row>
    <row r="672" spans="1:13" x14ac:dyDescent="0.2">
      <c r="A672">
        <v>211033</v>
      </c>
      <c r="B672" s="1">
        <v>45072</v>
      </c>
      <c r="C672">
        <v>43824</v>
      </c>
      <c r="D672" t="s">
        <v>97</v>
      </c>
      <c r="E672" t="s">
        <v>135</v>
      </c>
      <c r="F672" t="s">
        <v>136</v>
      </c>
      <c r="G672">
        <v>2</v>
      </c>
      <c r="H672">
        <v>9.99</v>
      </c>
      <c r="J672">
        <v>19.98</v>
      </c>
      <c r="K672" t="s">
        <v>16</v>
      </c>
      <c r="L672" t="s">
        <v>23</v>
      </c>
      <c r="M672" t="s">
        <v>96</v>
      </c>
    </row>
    <row r="673" spans="1:13" x14ac:dyDescent="0.2">
      <c r="A673">
        <v>211136</v>
      </c>
      <c r="B673" s="1">
        <v>45445</v>
      </c>
      <c r="C673">
        <v>35950</v>
      </c>
      <c r="D673" t="s">
        <v>97</v>
      </c>
      <c r="E673" t="s">
        <v>151</v>
      </c>
      <c r="F673" t="s">
        <v>152</v>
      </c>
      <c r="G673">
        <v>1</v>
      </c>
      <c r="H673">
        <v>24.49</v>
      </c>
      <c r="I673">
        <v>0.3</v>
      </c>
      <c r="J673">
        <v>17.14</v>
      </c>
      <c r="K673" t="s">
        <v>32</v>
      </c>
      <c r="L673" t="s">
        <v>17</v>
      </c>
      <c r="M673" t="s">
        <v>123</v>
      </c>
    </row>
    <row r="674" spans="1:13" x14ac:dyDescent="0.2">
      <c r="A674">
        <v>211306</v>
      </c>
      <c r="B674" s="1">
        <v>44767</v>
      </c>
      <c r="C674">
        <v>35173</v>
      </c>
      <c r="D674" t="s">
        <v>97</v>
      </c>
      <c r="E674" t="s">
        <v>98</v>
      </c>
      <c r="F674" t="s">
        <v>99</v>
      </c>
      <c r="G674">
        <v>4</v>
      </c>
      <c r="H674">
        <v>26.59</v>
      </c>
      <c r="I674">
        <v>0.05</v>
      </c>
      <c r="J674">
        <v>101.04</v>
      </c>
      <c r="K674" t="s">
        <v>36</v>
      </c>
      <c r="L674" t="s">
        <v>17</v>
      </c>
      <c r="M674" t="s">
        <v>123</v>
      </c>
    </row>
    <row r="675" spans="1:13" x14ac:dyDescent="0.2">
      <c r="A675">
        <v>211321</v>
      </c>
      <c r="B675" s="1">
        <v>44999</v>
      </c>
      <c r="C675">
        <v>42014</v>
      </c>
      <c r="D675" t="s">
        <v>13</v>
      </c>
      <c r="E675" t="s">
        <v>34</v>
      </c>
      <c r="F675" t="s">
        <v>35</v>
      </c>
      <c r="G675">
        <v>1</v>
      </c>
      <c r="H675">
        <v>27.99</v>
      </c>
      <c r="I675">
        <v>0.2</v>
      </c>
      <c r="J675">
        <v>22.39</v>
      </c>
      <c r="K675" t="s">
        <v>16</v>
      </c>
      <c r="L675" t="s">
        <v>17</v>
      </c>
    </row>
    <row r="676" spans="1:13" x14ac:dyDescent="0.2">
      <c r="A676">
        <v>211387</v>
      </c>
      <c r="B676" s="1">
        <v>44793</v>
      </c>
      <c r="C676">
        <v>23682</v>
      </c>
      <c r="D676" t="s">
        <v>13</v>
      </c>
      <c r="E676" t="s">
        <v>79</v>
      </c>
      <c r="F676" t="s">
        <v>80</v>
      </c>
      <c r="G676">
        <v>3</v>
      </c>
      <c r="H676">
        <v>80.989999999999995</v>
      </c>
      <c r="I676">
        <v>0.1</v>
      </c>
      <c r="J676">
        <v>218.67</v>
      </c>
      <c r="K676" t="s">
        <v>36</v>
      </c>
      <c r="L676" t="s">
        <v>37</v>
      </c>
      <c r="M676" t="s">
        <v>33</v>
      </c>
    </row>
    <row r="677" spans="1:13" x14ac:dyDescent="0.2">
      <c r="A677">
        <v>211394</v>
      </c>
      <c r="B677" s="2">
        <v>45139</v>
      </c>
      <c r="C677">
        <v>59394</v>
      </c>
      <c r="D677" t="s">
        <v>44</v>
      </c>
      <c r="E677" t="s">
        <v>74</v>
      </c>
      <c r="F677" t="s">
        <v>75</v>
      </c>
      <c r="G677">
        <v>2</v>
      </c>
      <c r="H677">
        <v>2.69</v>
      </c>
      <c r="I677">
        <v>0.1</v>
      </c>
      <c r="J677">
        <v>4.84</v>
      </c>
      <c r="K677" t="s">
        <v>36</v>
      </c>
      <c r="L677" t="s">
        <v>17</v>
      </c>
      <c r="M677" t="s">
        <v>161</v>
      </c>
    </row>
    <row r="678" spans="1:13" x14ac:dyDescent="0.2">
      <c r="A678">
        <v>211457</v>
      </c>
      <c r="B678" s="1">
        <v>45424</v>
      </c>
      <c r="C678">
        <v>63191</v>
      </c>
      <c r="D678" t="s">
        <v>97</v>
      </c>
      <c r="E678" t="s">
        <v>165</v>
      </c>
      <c r="F678" t="s">
        <v>166</v>
      </c>
      <c r="G678">
        <v>5</v>
      </c>
      <c r="H678">
        <v>89.99</v>
      </c>
      <c r="J678">
        <v>449.95</v>
      </c>
      <c r="K678" t="s">
        <v>22</v>
      </c>
      <c r="L678" t="s">
        <v>23</v>
      </c>
      <c r="M678" t="s">
        <v>54</v>
      </c>
    </row>
    <row r="679" spans="1:13" x14ac:dyDescent="0.2">
      <c r="A679">
        <v>211489</v>
      </c>
      <c r="B679" s="2">
        <v>45285</v>
      </c>
      <c r="C679">
        <v>92004</v>
      </c>
      <c r="D679" t="s">
        <v>85</v>
      </c>
      <c r="E679" t="s">
        <v>157</v>
      </c>
      <c r="F679" t="s">
        <v>158</v>
      </c>
      <c r="G679">
        <v>1</v>
      </c>
      <c r="H679">
        <v>10.119999999999999</v>
      </c>
      <c r="I679">
        <v>0.25</v>
      </c>
      <c r="J679">
        <v>7.59</v>
      </c>
      <c r="K679" t="s">
        <v>16</v>
      </c>
      <c r="L679" t="s">
        <v>23</v>
      </c>
      <c r="M679" t="s">
        <v>67</v>
      </c>
    </row>
    <row r="680" spans="1:13" x14ac:dyDescent="0.2">
      <c r="A680">
        <v>211501</v>
      </c>
      <c r="B680" s="2">
        <v>45310</v>
      </c>
      <c r="C680">
        <v>33659</v>
      </c>
      <c r="D680" t="s">
        <v>44</v>
      </c>
      <c r="E680" t="s">
        <v>162</v>
      </c>
      <c r="F680" t="s">
        <v>163</v>
      </c>
      <c r="G680">
        <v>3</v>
      </c>
      <c r="H680">
        <v>7.99</v>
      </c>
      <c r="J680">
        <v>23.97</v>
      </c>
      <c r="K680" t="s">
        <v>32</v>
      </c>
      <c r="L680" t="s">
        <v>17</v>
      </c>
      <c r="M680" t="s">
        <v>102</v>
      </c>
    </row>
    <row r="681" spans="1:13" x14ac:dyDescent="0.2">
      <c r="A681">
        <v>211577</v>
      </c>
      <c r="B681" s="1">
        <v>45457</v>
      </c>
      <c r="C681">
        <v>77178</v>
      </c>
      <c r="D681" t="s">
        <v>29</v>
      </c>
      <c r="E681" t="s">
        <v>72</v>
      </c>
      <c r="F681" t="s">
        <v>73</v>
      </c>
      <c r="G681">
        <v>1</v>
      </c>
      <c r="H681">
        <v>39.99</v>
      </c>
      <c r="J681">
        <v>39.99</v>
      </c>
      <c r="K681" t="s">
        <v>22</v>
      </c>
      <c r="L681" t="s">
        <v>23</v>
      </c>
      <c r="M681" t="s">
        <v>161</v>
      </c>
    </row>
    <row r="682" spans="1:13" x14ac:dyDescent="0.2">
      <c r="A682">
        <v>211636</v>
      </c>
      <c r="B682" s="2">
        <v>45096</v>
      </c>
      <c r="C682">
        <v>25336</v>
      </c>
      <c r="D682" t="s">
        <v>48</v>
      </c>
      <c r="E682" t="s">
        <v>139</v>
      </c>
      <c r="F682" t="s">
        <v>140</v>
      </c>
      <c r="G682">
        <v>2</v>
      </c>
      <c r="H682">
        <v>7.99</v>
      </c>
      <c r="J682">
        <v>15.98</v>
      </c>
      <c r="K682" t="s">
        <v>16</v>
      </c>
      <c r="L682" t="s">
        <v>17</v>
      </c>
      <c r="M682" t="s">
        <v>117</v>
      </c>
    </row>
    <row r="683" spans="1:13" x14ac:dyDescent="0.2">
      <c r="A683">
        <v>211852</v>
      </c>
      <c r="B683" s="1">
        <v>45276</v>
      </c>
      <c r="C683">
        <v>84383</v>
      </c>
      <c r="D683" t="s">
        <v>29</v>
      </c>
      <c r="E683" t="s">
        <v>170</v>
      </c>
      <c r="F683" t="s">
        <v>171</v>
      </c>
      <c r="G683">
        <v>1</v>
      </c>
      <c r="H683">
        <v>10.49</v>
      </c>
      <c r="I683">
        <v>0.3</v>
      </c>
      <c r="J683">
        <v>7.34</v>
      </c>
      <c r="K683" t="s">
        <v>36</v>
      </c>
      <c r="L683" t="s">
        <v>17</v>
      </c>
      <c r="M683" t="s">
        <v>102</v>
      </c>
    </row>
    <row r="684" spans="1:13" x14ac:dyDescent="0.2">
      <c r="A684">
        <v>211985</v>
      </c>
      <c r="B684" s="2">
        <v>45267</v>
      </c>
      <c r="C684">
        <v>64342</v>
      </c>
      <c r="D684" t="s">
        <v>13</v>
      </c>
      <c r="E684" t="s">
        <v>159</v>
      </c>
      <c r="F684" t="s">
        <v>160</v>
      </c>
      <c r="G684">
        <v>1</v>
      </c>
      <c r="H684">
        <v>41.99</v>
      </c>
      <c r="I684">
        <v>0.3</v>
      </c>
      <c r="J684">
        <v>29.39</v>
      </c>
      <c r="K684" t="s">
        <v>36</v>
      </c>
      <c r="L684" t="s">
        <v>37</v>
      </c>
      <c r="M684" t="s">
        <v>123</v>
      </c>
    </row>
    <row r="685" spans="1:13" x14ac:dyDescent="0.2">
      <c r="A685">
        <v>212107</v>
      </c>
      <c r="B685" s="1">
        <v>45180</v>
      </c>
      <c r="C685">
        <v>88767</v>
      </c>
      <c r="D685" t="s">
        <v>29</v>
      </c>
      <c r="E685" t="s">
        <v>175</v>
      </c>
      <c r="F685" t="s">
        <v>176</v>
      </c>
      <c r="G685">
        <v>1</v>
      </c>
      <c r="H685">
        <v>11.99</v>
      </c>
      <c r="J685">
        <v>11.99</v>
      </c>
      <c r="K685" t="s">
        <v>16</v>
      </c>
      <c r="L685" t="s">
        <v>17</v>
      </c>
      <c r="M685" t="s">
        <v>103</v>
      </c>
    </row>
    <row r="686" spans="1:13" x14ac:dyDescent="0.2">
      <c r="A686">
        <v>212246</v>
      </c>
      <c r="B686" s="2">
        <v>44986</v>
      </c>
      <c r="C686">
        <v>16992</v>
      </c>
      <c r="D686" t="s">
        <v>63</v>
      </c>
      <c r="E686" t="s">
        <v>68</v>
      </c>
      <c r="F686" t="s">
        <v>69</v>
      </c>
      <c r="G686">
        <v>2</v>
      </c>
      <c r="H686">
        <v>19.989999999999998</v>
      </c>
      <c r="I686">
        <v>0.2</v>
      </c>
      <c r="J686">
        <v>31.98</v>
      </c>
      <c r="K686" t="s">
        <v>36</v>
      </c>
      <c r="L686" t="s">
        <v>17</v>
      </c>
      <c r="M686" t="s">
        <v>76</v>
      </c>
    </row>
    <row r="687" spans="1:13" x14ac:dyDescent="0.2">
      <c r="A687">
        <v>212495</v>
      </c>
      <c r="B687" s="2">
        <v>44750</v>
      </c>
      <c r="C687">
        <v>35901</v>
      </c>
      <c r="D687" t="s">
        <v>85</v>
      </c>
      <c r="E687" t="s">
        <v>149</v>
      </c>
      <c r="F687" t="s">
        <v>150</v>
      </c>
      <c r="G687">
        <v>3</v>
      </c>
      <c r="H687">
        <v>14.99</v>
      </c>
      <c r="I687">
        <v>0.25</v>
      </c>
      <c r="J687">
        <v>33.729999999999997</v>
      </c>
      <c r="K687" t="s">
        <v>16</v>
      </c>
      <c r="L687" t="s">
        <v>23</v>
      </c>
      <c r="M687" t="s">
        <v>102</v>
      </c>
    </row>
    <row r="688" spans="1:13" x14ac:dyDescent="0.2">
      <c r="A688">
        <v>212923</v>
      </c>
      <c r="B688" s="1">
        <v>44864</v>
      </c>
      <c r="C688">
        <v>57131</v>
      </c>
      <c r="D688" t="s">
        <v>13</v>
      </c>
      <c r="E688" t="s">
        <v>127</v>
      </c>
      <c r="F688" t="s">
        <v>128</v>
      </c>
      <c r="G688">
        <v>1</v>
      </c>
      <c r="H688">
        <v>18.989999999999998</v>
      </c>
      <c r="I688">
        <v>0.05</v>
      </c>
      <c r="J688">
        <v>18.04</v>
      </c>
      <c r="K688" t="s">
        <v>36</v>
      </c>
      <c r="L688" t="s">
        <v>17</v>
      </c>
      <c r="M688" t="s">
        <v>81</v>
      </c>
    </row>
    <row r="689" spans="1:13" x14ac:dyDescent="0.2">
      <c r="A689">
        <v>212947</v>
      </c>
      <c r="B689" s="1">
        <v>45179</v>
      </c>
      <c r="C689">
        <v>35139</v>
      </c>
      <c r="D689" t="s">
        <v>44</v>
      </c>
      <c r="E689" t="s">
        <v>74</v>
      </c>
      <c r="F689" t="s">
        <v>75</v>
      </c>
      <c r="G689">
        <v>5</v>
      </c>
      <c r="H689">
        <v>2.99</v>
      </c>
      <c r="J689">
        <v>14.95</v>
      </c>
      <c r="K689" t="s">
        <v>32</v>
      </c>
      <c r="L689" t="s">
        <v>37</v>
      </c>
      <c r="M689" t="s">
        <v>67</v>
      </c>
    </row>
    <row r="690" spans="1:13" x14ac:dyDescent="0.2">
      <c r="A690">
        <v>213131</v>
      </c>
      <c r="B690" s="2">
        <v>44946</v>
      </c>
      <c r="C690">
        <v>91967</v>
      </c>
      <c r="D690" t="s">
        <v>82</v>
      </c>
      <c r="E690" t="s">
        <v>147</v>
      </c>
      <c r="F690" t="s">
        <v>148</v>
      </c>
      <c r="G690">
        <v>2</v>
      </c>
      <c r="H690">
        <v>12.34</v>
      </c>
      <c r="I690">
        <v>0.05</v>
      </c>
      <c r="J690">
        <v>23.45</v>
      </c>
      <c r="K690" t="s">
        <v>36</v>
      </c>
      <c r="L690" t="s">
        <v>23</v>
      </c>
    </row>
    <row r="691" spans="1:13" x14ac:dyDescent="0.2">
      <c r="A691">
        <v>213439</v>
      </c>
      <c r="B691" s="1">
        <v>45290</v>
      </c>
      <c r="C691">
        <v>32380</v>
      </c>
      <c r="D691" t="s">
        <v>85</v>
      </c>
      <c r="E691" t="s">
        <v>137</v>
      </c>
      <c r="F691" t="s">
        <v>138</v>
      </c>
      <c r="G691">
        <v>1</v>
      </c>
      <c r="H691">
        <v>7.99</v>
      </c>
      <c r="J691">
        <v>7.99</v>
      </c>
      <c r="K691" t="s">
        <v>95</v>
      </c>
      <c r="L691" t="s">
        <v>17</v>
      </c>
      <c r="M691" t="s">
        <v>62</v>
      </c>
    </row>
    <row r="692" spans="1:13" x14ac:dyDescent="0.2">
      <c r="A692">
        <v>213532</v>
      </c>
      <c r="B692" s="1">
        <v>45169</v>
      </c>
      <c r="C692">
        <v>33152</v>
      </c>
      <c r="D692" t="s">
        <v>13</v>
      </c>
      <c r="E692" t="s">
        <v>55</v>
      </c>
      <c r="F692" t="s">
        <v>56</v>
      </c>
      <c r="G692">
        <v>1</v>
      </c>
      <c r="H692">
        <v>313.49</v>
      </c>
      <c r="I692">
        <v>0.05</v>
      </c>
      <c r="J692">
        <v>297.82</v>
      </c>
      <c r="K692" t="s">
        <v>16</v>
      </c>
      <c r="L692" t="s">
        <v>17</v>
      </c>
      <c r="M692" t="s">
        <v>47</v>
      </c>
    </row>
    <row r="693" spans="1:13" x14ac:dyDescent="0.2">
      <c r="A693">
        <v>213611</v>
      </c>
      <c r="B693" s="2">
        <v>44785</v>
      </c>
      <c r="C693">
        <v>36145</v>
      </c>
      <c r="D693" t="s">
        <v>40</v>
      </c>
      <c r="E693" t="s">
        <v>58</v>
      </c>
      <c r="F693" t="s">
        <v>59</v>
      </c>
      <c r="G693">
        <v>1</v>
      </c>
      <c r="H693">
        <v>3.99</v>
      </c>
      <c r="J693">
        <v>3.99</v>
      </c>
      <c r="K693" t="s">
        <v>22</v>
      </c>
      <c r="L693" t="s">
        <v>23</v>
      </c>
      <c r="M693" t="s">
        <v>18</v>
      </c>
    </row>
    <row r="694" spans="1:13" x14ac:dyDescent="0.2">
      <c r="A694">
        <v>214371</v>
      </c>
      <c r="B694" s="1">
        <v>44631</v>
      </c>
      <c r="C694">
        <v>97039</v>
      </c>
      <c r="D694" t="s">
        <v>97</v>
      </c>
      <c r="E694" t="s">
        <v>165</v>
      </c>
      <c r="F694" t="s">
        <v>166</v>
      </c>
      <c r="G694">
        <v>3</v>
      </c>
      <c r="H694">
        <v>89.99</v>
      </c>
      <c r="J694">
        <v>269.97000000000003</v>
      </c>
      <c r="K694" t="s">
        <v>16</v>
      </c>
      <c r="L694" t="s">
        <v>17</v>
      </c>
      <c r="M694" t="s">
        <v>161</v>
      </c>
    </row>
    <row r="695" spans="1:13" x14ac:dyDescent="0.2">
      <c r="A695">
        <v>214489</v>
      </c>
      <c r="B695" s="2">
        <v>45342</v>
      </c>
      <c r="C695">
        <v>28256</v>
      </c>
      <c r="D695" t="s">
        <v>25</v>
      </c>
      <c r="E695" t="s">
        <v>70</v>
      </c>
      <c r="F695" t="s">
        <v>71</v>
      </c>
      <c r="G695">
        <v>2</v>
      </c>
      <c r="H695">
        <v>80.989999999999995</v>
      </c>
      <c r="I695">
        <v>0.1</v>
      </c>
      <c r="J695">
        <v>145.78</v>
      </c>
      <c r="K695" t="s">
        <v>16</v>
      </c>
      <c r="L695" t="s">
        <v>17</v>
      </c>
      <c r="M695" t="s">
        <v>96</v>
      </c>
    </row>
    <row r="696" spans="1:13" x14ac:dyDescent="0.2">
      <c r="A696">
        <v>215013</v>
      </c>
      <c r="B696" s="1">
        <v>45044</v>
      </c>
      <c r="C696">
        <v>48335</v>
      </c>
      <c r="D696" t="s">
        <v>106</v>
      </c>
      <c r="E696" t="s">
        <v>93</v>
      </c>
      <c r="F696" t="s">
        <v>94</v>
      </c>
      <c r="G696">
        <v>2</v>
      </c>
      <c r="H696">
        <v>1.29</v>
      </c>
      <c r="J696">
        <v>2.58</v>
      </c>
      <c r="K696" t="s">
        <v>22</v>
      </c>
      <c r="L696" t="s">
        <v>17</v>
      </c>
      <c r="M696" t="s">
        <v>67</v>
      </c>
    </row>
    <row r="697" spans="1:13" x14ac:dyDescent="0.2">
      <c r="A697">
        <v>215046</v>
      </c>
      <c r="B697" s="1">
        <v>44838</v>
      </c>
      <c r="C697">
        <v>62168</v>
      </c>
      <c r="D697" t="s">
        <v>97</v>
      </c>
      <c r="E697" t="s">
        <v>165</v>
      </c>
      <c r="F697" t="s">
        <v>166</v>
      </c>
      <c r="G697">
        <v>5</v>
      </c>
      <c r="H697">
        <v>85.49</v>
      </c>
      <c r="I697">
        <v>0.05</v>
      </c>
      <c r="J697">
        <v>406.08</v>
      </c>
      <c r="K697" t="s">
        <v>36</v>
      </c>
      <c r="L697" t="s">
        <v>17</v>
      </c>
      <c r="M697" t="s">
        <v>161</v>
      </c>
    </row>
    <row r="698" spans="1:13" x14ac:dyDescent="0.2">
      <c r="A698">
        <v>215471</v>
      </c>
      <c r="B698" s="1">
        <v>44578</v>
      </c>
      <c r="C698">
        <v>37049</v>
      </c>
      <c r="D698" t="s">
        <v>82</v>
      </c>
      <c r="E698" t="s">
        <v>168</v>
      </c>
      <c r="F698" t="s">
        <v>169</v>
      </c>
      <c r="G698">
        <v>1</v>
      </c>
      <c r="H698">
        <v>8.99</v>
      </c>
      <c r="J698">
        <v>8.99</v>
      </c>
      <c r="K698" t="s">
        <v>36</v>
      </c>
      <c r="L698" t="s">
        <v>17</v>
      </c>
      <c r="M698" t="s">
        <v>102</v>
      </c>
    </row>
    <row r="699" spans="1:13" x14ac:dyDescent="0.2">
      <c r="A699">
        <v>215509</v>
      </c>
      <c r="B699" s="1">
        <v>45115</v>
      </c>
      <c r="C699">
        <v>77270</v>
      </c>
      <c r="D699" t="s">
        <v>44</v>
      </c>
      <c r="E699" t="s">
        <v>107</v>
      </c>
      <c r="F699" t="s">
        <v>108</v>
      </c>
      <c r="G699">
        <v>1</v>
      </c>
      <c r="H699">
        <v>2.44</v>
      </c>
      <c r="I699">
        <v>0.3</v>
      </c>
      <c r="J699">
        <v>1.71</v>
      </c>
      <c r="K699" t="s">
        <v>16</v>
      </c>
      <c r="L699" t="s">
        <v>37</v>
      </c>
      <c r="M699" t="s">
        <v>76</v>
      </c>
    </row>
    <row r="700" spans="1:13" x14ac:dyDescent="0.2">
      <c r="A700">
        <v>215788</v>
      </c>
      <c r="B700" s="1">
        <v>45648</v>
      </c>
      <c r="C700">
        <v>85994</v>
      </c>
      <c r="D700" t="s">
        <v>63</v>
      </c>
      <c r="E700" t="s">
        <v>125</v>
      </c>
      <c r="F700" t="s">
        <v>126</v>
      </c>
      <c r="G700">
        <v>1</v>
      </c>
      <c r="H700">
        <v>29.99</v>
      </c>
      <c r="J700">
        <v>29.99</v>
      </c>
      <c r="K700" t="s">
        <v>36</v>
      </c>
      <c r="L700" t="s">
        <v>17</v>
      </c>
      <c r="M700" t="s">
        <v>76</v>
      </c>
    </row>
    <row r="701" spans="1:13" x14ac:dyDescent="0.2">
      <c r="A701">
        <v>215828</v>
      </c>
      <c r="B701" s="1">
        <v>45420</v>
      </c>
      <c r="C701">
        <v>43132</v>
      </c>
      <c r="D701" t="s">
        <v>29</v>
      </c>
      <c r="E701" t="s">
        <v>88</v>
      </c>
      <c r="F701" t="s">
        <v>89</v>
      </c>
      <c r="G701">
        <v>2</v>
      </c>
      <c r="H701">
        <v>39.99</v>
      </c>
      <c r="I701">
        <v>0.2</v>
      </c>
      <c r="J701">
        <v>63.98</v>
      </c>
      <c r="K701" t="s">
        <v>36</v>
      </c>
      <c r="L701" t="s">
        <v>17</v>
      </c>
      <c r="M701" t="s">
        <v>62</v>
      </c>
    </row>
    <row r="702" spans="1:13" x14ac:dyDescent="0.2">
      <c r="A702">
        <v>216382</v>
      </c>
      <c r="B702" s="1">
        <v>45002</v>
      </c>
      <c r="C702">
        <v>28427</v>
      </c>
      <c r="D702" t="s">
        <v>13</v>
      </c>
      <c r="E702" t="s">
        <v>77</v>
      </c>
      <c r="F702" t="s">
        <v>78</v>
      </c>
      <c r="G702">
        <v>5</v>
      </c>
      <c r="H702">
        <v>499.99</v>
      </c>
      <c r="J702">
        <v>2499.9499999999998</v>
      </c>
      <c r="K702" t="s">
        <v>16</v>
      </c>
      <c r="L702" t="s">
        <v>17</v>
      </c>
      <c r="M702" t="s">
        <v>96</v>
      </c>
    </row>
    <row r="703" spans="1:13" x14ac:dyDescent="0.2">
      <c r="A703">
        <v>216750</v>
      </c>
      <c r="B703" s="2">
        <v>44822</v>
      </c>
      <c r="C703">
        <v>45386</v>
      </c>
      <c r="D703" t="s">
        <v>82</v>
      </c>
      <c r="E703" t="s">
        <v>168</v>
      </c>
      <c r="F703" t="s">
        <v>169</v>
      </c>
      <c r="G703">
        <v>5</v>
      </c>
      <c r="H703">
        <v>8.09</v>
      </c>
      <c r="I703">
        <v>0.1</v>
      </c>
      <c r="J703">
        <v>36.4</v>
      </c>
      <c r="K703" t="s">
        <v>36</v>
      </c>
      <c r="L703" t="s">
        <v>17</v>
      </c>
      <c r="M703" t="s">
        <v>28</v>
      </c>
    </row>
    <row r="704" spans="1:13" x14ac:dyDescent="0.2">
      <c r="A704">
        <v>217062</v>
      </c>
      <c r="B704" s="2">
        <v>45483</v>
      </c>
      <c r="C704">
        <v>50655</v>
      </c>
      <c r="D704" t="s">
        <v>63</v>
      </c>
      <c r="E704" t="s">
        <v>64</v>
      </c>
      <c r="F704" t="s">
        <v>65</v>
      </c>
      <c r="G704">
        <v>4</v>
      </c>
      <c r="H704">
        <v>3.49</v>
      </c>
      <c r="I704">
        <v>0.3</v>
      </c>
      <c r="J704">
        <v>9.77</v>
      </c>
      <c r="K704" t="s">
        <v>36</v>
      </c>
      <c r="L704" t="s">
        <v>23</v>
      </c>
      <c r="M704" t="s">
        <v>33</v>
      </c>
    </row>
    <row r="705" spans="1:13" x14ac:dyDescent="0.2">
      <c r="A705">
        <v>217077</v>
      </c>
      <c r="B705" s="2">
        <v>44877</v>
      </c>
      <c r="C705">
        <v>81619</v>
      </c>
      <c r="D705" t="s">
        <v>29</v>
      </c>
      <c r="E705" t="s">
        <v>88</v>
      </c>
      <c r="F705" t="s">
        <v>89</v>
      </c>
      <c r="G705">
        <v>1</v>
      </c>
      <c r="H705">
        <v>44.99</v>
      </c>
      <c r="I705">
        <v>0.1</v>
      </c>
      <c r="J705">
        <v>40.49</v>
      </c>
      <c r="K705" t="s">
        <v>16</v>
      </c>
      <c r="L705" t="s">
        <v>37</v>
      </c>
      <c r="M705" t="s">
        <v>161</v>
      </c>
    </row>
    <row r="706" spans="1:13" x14ac:dyDescent="0.2">
      <c r="A706">
        <v>217129</v>
      </c>
      <c r="B706" s="1">
        <v>44649</v>
      </c>
      <c r="C706">
        <v>48028</v>
      </c>
      <c r="D706" t="s">
        <v>82</v>
      </c>
      <c r="E706" t="s">
        <v>188</v>
      </c>
      <c r="F706" t="s">
        <v>189</v>
      </c>
      <c r="G706">
        <v>1</v>
      </c>
      <c r="H706">
        <v>44.99</v>
      </c>
      <c r="J706">
        <v>44.99</v>
      </c>
      <c r="K706" t="s">
        <v>16</v>
      </c>
      <c r="L706" t="s">
        <v>17</v>
      </c>
    </row>
    <row r="707" spans="1:13" x14ac:dyDescent="0.2">
      <c r="A707">
        <v>217314</v>
      </c>
      <c r="B707" s="2">
        <v>45373</v>
      </c>
      <c r="D707" t="s">
        <v>25</v>
      </c>
      <c r="E707" t="s">
        <v>70</v>
      </c>
      <c r="F707" t="s">
        <v>71</v>
      </c>
      <c r="G707">
        <v>4</v>
      </c>
      <c r="H707">
        <v>89.99</v>
      </c>
      <c r="J707">
        <v>359.96</v>
      </c>
      <c r="K707" t="s">
        <v>36</v>
      </c>
      <c r="L707" t="s">
        <v>17</v>
      </c>
      <c r="M707" t="s">
        <v>161</v>
      </c>
    </row>
    <row r="708" spans="1:13" x14ac:dyDescent="0.2">
      <c r="A708">
        <v>217659</v>
      </c>
      <c r="B708" s="1">
        <v>45302</v>
      </c>
      <c r="C708">
        <v>85065</v>
      </c>
      <c r="D708" t="s">
        <v>97</v>
      </c>
      <c r="E708" t="s">
        <v>181</v>
      </c>
      <c r="F708" t="s">
        <v>182</v>
      </c>
      <c r="G708">
        <v>5</v>
      </c>
      <c r="H708">
        <v>14.99</v>
      </c>
      <c r="J708">
        <v>74.95</v>
      </c>
      <c r="K708" t="s">
        <v>36</v>
      </c>
      <c r="L708" t="s">
        <v>17</v>
      </c>
      <c r="M708" t="s">
        <v>90</v>
      </c>
    </row>
    <row r="709" spans="1:13" x14ac:dyDescent="0.2">
      <c r="A709">
        <v>218036</v>
      </c>
      <c r="B709" s="1">
        <v>45094</v>
      </c>
      <c r="C709">
        <v>96392</v>
      </c>
      <c r="D709" t="s">
        <v>48</v>
      </c>
      <c r="E709" t="s">
        <v>139</v>
      </c>
      <c r="F709" t="s">
        <v>140</v>
      </c>
      <c r="G709">
        <v>2</v>
      </c>
      <c r="H709">
        <v>7.19</v>
      </c>
      <c r="I709">
        <v>0.1</v>
      </c>
      <c r="J709">
        <v>12.94</v>
      </c>
      <c r="K709" t="s">
        <v>36</v>
      </c>
      <c r="L709" t="s">
        <v>37</v>
      </c>
      <c r="M709" t="s">
        <v>24</v>
      </c>
    </row>
    <row r="710" spans="1:13" x14ac:dyDescent="0.2">
      <c r="A710">
        <v>218055</v>
      </c>
      <c r="B710" s="1">
        <v>44624</v>
      </c>
      <c r="C710">
        <v>85992</v>
      </c>
      <c r="D710" t="s">
        <v>85</v>
      </c>
      <c r="E710" t="s">
        <v>129</v>
      </c>
      <c r="F710" t="s">
        <v>130</v>
      </c>
      <c r="G710">
        <v>1</v>
      </c>
      <c r="H710">
        <v>6.74</v>
      </c>
      <c r="I710">
        <v>0.25</v>
      </c>
      <c r="J710">
        <v>5.0599999999999996</v>
      </c>
      <c r="K710" t="s">
        <v>53</v>
      </c>
      <c r="L710" t="s">
        <v>17</v>
      </c>
      <c r="M710" t="s">
        <v>96</v>
      </c>
    </row>
    <row r="711" spans="1:13" x14ac:dyDescent="0.2">
      <c r="A711">
        <v>218245</v>
      </c>
      <c r="B711" s="2">
        <v>45651</v>
      </c>
      <c r="C711">
        <v>84495</v>
      </c>
      <c r="D711" t="s">
        <v>44</v>
      </c>
      <c r="E711" t="s">
        <v>107</v>
      </c>
      <c r="F711" t="s">
        <v>108</v>
      </c>
      <c r="G711">
        <v>4</v>
      </c>
      <c r="H711">
        <v>3.32</v>
      </c>
      <c r="J711">
        <v>13.28</v>
      </c>
      <c r="K711" t="s">
        <v>36</v>
      </c>
      <c r="L711" t="s">
        <v>17</v>
      </c>
      <c r="M711" t="s">
        <v>102</v>
      </c>
    </row>
    <row r="712" spans="1:13" x14ac:dyDescent="0.2">
      <c r="A712">
        <v>218268</v>
      </c>
      <c r="B712" s="1">
        <v>44936</v>
      </c>
      <c r="C712">
        <v>57806</v>
      </c>
      <c r="D712" t="s">
        <v>82</v>
      </c>
      <c r="E712" t="s">
        <v>155</v>
      </c>
      <c r="F712" t="s">
        <v>156</v>
      </c>
      <c r="G712">
        <v>2</v>
      </c>
      <c r="H712">
        <v>15.99</v>
      </c>
      <c r="I712">
        <v>0.2</v>
      </c>
      <c r="J712">
        <v>25.58</v>
      </c>
      <c r="K712" t="s">
        <v>36</v>
      </c>
      <c r="L712" t="s">
        <v>23</v>
      </c>
      <c r="M712" t="s">
        <v>43</v>
      </c>
    </row>
    <row r="713" spans="1:13" x14ac:dyDescent="0.2">
      <c r="A713">
        <v>218312</v>
      </c>
      <c r="B713" s="1">
        <v>45421</v>
      </c>
      <c r="C713">
        <v>37951</v>
      </c>
      <c r="D713" t="s">
        <v>97</v>
      </c>
      <c r="E713" t="s">
        <v>181</v>
      </c>
      <c r="F713" t="s">
        <v>182</v>
      </c>
      <c r="G713">
        <v>1</v>
      </c>
      <c r="H713">
        <v>14.99</v>
      </c>
      <c r="J713">
        <v>14.99</v>
      </c>
      <c r="K713" t="s">
        <v>36</v>
      </c>
      <c r="L713" t="s">
        <v>37</v>
      </c>
      <c r="M713" t="s">
        <v>117</v>
      </c>
    </row>
    <row r="714" spans="1:13" x14ac:dyDescent="0.2">
      <c r="A714">
        <v>218381</v>
      </c>
      <c r="B714" s="1">
        <v>45144</v>
      </c>
      <c r="C714">
        <v>28026</v>
      </c>
      <c r="D714" t="s">
        <v>174</v>
      </c>
      <c r="E714" t="s">
        <v>129</v>
      </c>
      <c r="F714" t="s">
        <v>130</v>
      </c>
      <c r="G714">
        <v>1</v>
      </c>
      <c r="H714">
        <v>7.64</v>
      </c>
      <c r="I714">
        <v>0.15</v>
      </c>
      <c r="J714">
        <v>6.49</v>
      </c>
      <c r="K714" t="s">
        <v>22</v>
      </c>
      <c r="L714" t="s">
        <v>17</v>
      </c>
      <c r="M714" t="s">
        <v>103</v>
      </c>
    </row>
    <row r="715" spans="1:13" x14ac:dyDescent="0.2">
      <c r="A715">
        <v>218577</v>
      </c>
      <c r="B715" s="1">
        <v>44924</v>
      </c>
      <c r="C715">
        <v>85307</v>
      </c>
      <c r="D715" t="s">
        <v>13</v>
      </c>
      <c r="E715" t="s">
        <v>34</v>
      </c>
      <c r="F715" t="s">
        <v>35</v>
      </c>
      <c r="G715">
        <v>2</v>
      </c>
      <c r="H715">
        <v>34.99</v>
      </c>
      <c r="J715">
        <v>69.98</v>
      </c>
      <c r="K715" t="s">
        <v>53</v>
      </c>
      <c r="L715" t="s">
        <v>37</v>
      </c>
    </row>
    <row r="716" spans="1:13" x14ac:dyDescent="0.2">
      <c r="A716">
        <v>218767</v>
      </c>
      <c r="B716" s="1">
        <v>45301</v>
      </c>
      <c r="C716">
        <v>85076</v>
      </c>
      <c r="D716" t="s">
        <v>29</v>
      </c>
      <c r="E716" t="s">
        <v>72</v>
      </c>
      <c r="F716" t="s">
        <v>73</v>
      </c>
      <c r="G716">
        <v>2</v>
      </c>
      <c r="H716">
        <v>39.99</v>
      </c>
      <c r="J716">
        <v>79.98</v>
      </c>
      <c r="K716" t="s">
        <v>36</v>
      </c>
      <c r="L716" t="s">
        <v>17</v>
      </c>
      <c r="M716" t="s">
        <v>33</v>
      </c>
    </row>
    <row r="717" spans="1:13" x14ac:dyDescent="0.2">
      <c r="A717">
        <v>218790</v>
      </c>
      <c r="B717" s="1">
        <v>45572</v>
      </c>
      <c r="C717">
        <v>38622</v>
      </c>
      <c r="D717" t="s">
        <v>29</v>
      </c>
      <c r="E717" t="s">
        <v>72</v>
      </c>
      <c r="F717" t="s">
        <v>73</v>
      </c>
      <c r="G717">
        <v>4</v>
      </c>
      <c r="H717">
        <v>35.99</v>
      </c>
      <c r="I717">
        <v>0.1</v>
      </c>
      <c r="J717">
        <v>129.56</v>
      </c>
      <c r="K717" t="s">
        <v>36</v>
      </c>
      <c r="L717" t="s">
        <v>23</v>
      </c>
      <c r="M717" t="s">
        <v>33</v>
      </c>
    </row>
    <row r="718" spans="1:13" x14ac:dyDescent="0.2">
      <c r="A718">
        <v>219261</v>
      </c>
      <c r="B718" s="1">
        <v>45081</v>
      </c>
      <c r="C718">
        <v>97091</v>
      </c>
      <c r="D718" t="s">
        <v>29</v>
      </c>
      <c r="E718" t="s">
        <v>175</v>
      </c>
      <c r="F718" t="s">
        <v>176</v>
      </c>
      <c r="G718">
        <v>2</v>
      </c>
      <c r="H718">
        <v>8.99</v>
      </c>
      <c r="I718">
        <v>0.25</v>
      </c>
      <c r="J718">
        <v>13.48</v>
      </c>
      <c r="K718" t="s">
        <v>36</v>
      </c>
      <c r="L718" t="s">
        <v>17</v>
      </c>
      <c r="M718" t="s">
        <v>43</v>
      </c>
    </row>
    <row r="719" spans="1:13" x14ac:dyDescent="0.2">
      <c r="A719">
        <v>219492</v>
      </c>
      <c r="B719" s="1">
        <v>45496</v>
      </c>
      <c r="C719">
        <v>72190</v>
      </c>
      <c r="D719" t="s">
        <v>48</v>
      </c>
      <c r="E719" t="s">
        <v>139</v>
      </c>
      <c r="F719" t="s">
        <v>140</v>
      </c>
      <c r="G719">
        <v>5</v>
      </c>
      <c r="H719">
        <v>7.59</v>
      </c>
      <c r="I719">
        <v>0.05</v>
      </c>
      <c r="J719">
        <v>36.049999999999997</v>
      </c>
      <c r="K719" t="s">
        <v>36</v>
      </c>
      <c r="L719" t="s">
        <v>37</v>
      </c>
      <c r="M719" t="s">
        <v>47</v>
      </c>
    </row>
    <row r="720" spans="1:13" x14ac:dyDescent="0.2">
      <c r="A720">
        <v>219962</v>
      </c>
      <c r="B720" s="2">
        <v>45018</v>
      </c>
      <c r="C720">
        <v>11442</v>
      </c>
      <c r="D720" t="s">
        <v>85</v>
      </c>
      <c r="E720" t="s">
        <v>153</v>
      </c>
      <c r="F720" t="s">
        <v>154</v>
      </c>
      <c r="G720">
        <v>2</v>
      </c>
      <c r="H720">
        <v>25.49</v>
      </c>
      <c r="I720">
        <v>0.15</v>
      </c>
      <c r="J720">
        <v>43.33</v>
      </c>
      <c r="K720" t="s">
        <v>16</v>
      </c>
      <c r="L720" t="s">
        <v>17</v>
      </c>
      <c r="M720" t="s">
        <v>161</v>
      </c>
    </row>
    <row r="721" spans="1:13" x14ac:dyDescent="0.2">
      <c r="A721">
        <v>219998</v>
      </c>
      <c r="B721" s="1">
        <v>44600</v>
      </c>
      <c r="C721">
        <v>44401</v>
      </c>
      <c r="D721" t="s">
        <v>25</v>
      </c>
      <c r="E721" t="s">
        <v>70</v>
      </c>
      <c r="F721" t="s">
        <v>71</v>
      </c>
      <c r="G721">
        <v>1</v>
      </c>
      <c r="H721">
        <v>62.99</v>
      </c>
      <c r="I721">
        <v>0.3</v>
      </c>
      <c r="J721">
        <v>44.09</v>
      </c>
      <c r="K721" t="s">
        <v>16</v>
      </c>
      <c r="L721" t="s">
        <v>17</v>
      </c>
      <c r="M721" t="s">
        <v>96</v>
      </c>
    </row>
    <row r="722" spans="1:13" x14ac:dyDescent="0.2">
      <c r="A722">
        <v>220247</v>
      </c>
      <c r="B722" s="2">
        <v>45254</v>
      </c>
      <c r="C722">
        <v>98003</v>
      </c>
      <c r="D722" t="s">
        <v>63</v>
      </c>
      <c r="E722" t="s">
        <v>125</v>
      </c>
      <c r="F722" t="s">
        <v>126</v>
      </c>
      <c r="G722">
        <v>2</v>
      </c>
      <c r="H722">
        <v>26.99</v>
      </c>
      <c r="I722">
        <v>0.1</v>
      </c>
      <c r="J722">
        <v>48.58</v>
      </c>
      <c r="K722" t="s">
        <v>36</v>
      </c>
      <c r="L722" t="s">
        <v>37</v>
      </c>
      <c r="M722" t="s">
        <v>123</v>
      </c>
    </row>
    <row r="723" spans="1:13" x14ac:dyDescent="0.2">
      <c r="A723">
        <v>220434</v>
      </c>
      <c r="B723" s="1">
        <v>45532</v>
      </c>
      <c r="C723">
        <v>81028</v>
      </c>
      <c r="D723" t="s">
        <v>44</v>
      </c>
      <c r="E723" t="s">
        <v>107</v>
      </c>
      <c r="F723" t="s">
        <v>108</v>
      </c>
      <c r="G723">
        <v>1</v>
      </c>
      <c r="H723">
        <v>2.79</v>
      </c>
      <c r="I723">
        <v>0.2</v>
      </c>
      <c r="J723">
        <v>2.23</v>
      </c>
      <c r="K723" t="s">
        <v>22</v>
      </c>
      <c r="L723" t="s">
        <v>17</v>
      </c>
      <c r="M723" t="s">
        <v>117</v>
      </c>
    </row>
    <row r="724" spans="1:13" x14ac:dyDescent="0.2">
      <c r="A724">
        <v>220770</v>
      </c>
      <c r="B724" s="1">
        <v>44859</v>
      </c>
      <c r="C724">
        <v>27864</v>
      </c>
      <c r="D724" t="s">
        <v>25</v>
      </c>
      <c r="E724" t="s">
        <v>60</v>
      </c>
      <c r="F724" t="s">
        <v>61</v>
      </c>
      <c r="G724">
        <v>2</v>
      </c>
      <c r="H724">
        <v>43.99</v>
      </c>
      <c r="I724">
        <v>0.2</v>
      </c>
      <c r="J724">
        <v>70.38</v>
      </c>
      <c r="K724" t="s">
        <v>16</v>
      </c>
      <c r="L724" t="s">
        <v>37</v>
      </c>
      <c r="M724" t="s">
        <v>102</v>
      </c>
    </row>
    <row r="725" spans="1:13" x14ac:dyDescent="0.2">
      <c r="A725">
        <v>220880</v>
      </c>
      <c r="B725" s="1">
        <v>45004</v>
      </c>
      <c r="C725">
        <v>94029</v>
      </c>
      <c r="D725" t="s">
        <v>44</v>
      </c>
      <c r="E725" t="s">
        <v>74</v>
      </c>
      <c r="F725" t="s">
        <v>75</v>
      </c>
      <c r="G725">
        <v>4</v>
      </c>
      <c r="H725">
        <v>2.09</v>
      </c>
      <c r="I725">
        <v>0.3</v>
      </c>
      <c r="J725">
        <v>5.85</v>
      </c>
      <c r="K725" t="s">
        <v>36</v>
      </c>
      <c r="L725" t="s">
        <v>17</v>
      </c>
      <c r="M725" t="s">
        <v>120</v>
      </c>
    </row>
    <row r="726" spans="1:13" x14ac:dyDescent="0.2">
      <c r="A726">
        <v>220883</v>
      </c>
      <c r="B726" s="1">
        <v>44725</v>
      </c>
      <c r="C726">
        <v>18175</v>
      </c>
      <c r="D726" t="s">
        <v>97</v>
      </c>
      <c r="E726" t="s">
        <v>181</v>
      </c>
      <c r="F726" t="s">
        <v>182</v>
      </c>
      <c r="G726">
        <v>1</v>
      </c>
      <c r="H726">
        <v>14.99</v>
      </c>
      <c r="J726">
        <v>14.99</v>
      </c>
      <c r="K726" t="s">
        <v>53</v>
      </c>
      <c r="L726" t="s">
        <v>17</v>
      </c>
      <c r="M726" t="s">
        <v>81</v>
      </c>
    </row>
    <row r="727" spans="1:13" x14ac:dyDescent="0.2">
      <c r="A727">
        <v>220895</v>
      </c>
      <c r="B727" s="1">
        <v>45131</v>
      </c>
      <c r="C727">
        <v>19280</v>
      </c>
      <c r="D727" t="s">
        <v>13</v>
      </c>
      <c r="E727" t="s">
        <v>79</v>
      </c>
      <c r="F727" t="s">
        <v>80</v>
      </c>
      <c r="G727">
        <v>2</v>
      </c>
      <c r="H727">
        <v>89.99</v>
      </c>
      <c r="J727">
        <v>179.98</v>
      </c>
      <c r="K727" t="s">
        <v>95</v>
      </c>
      <c r="L727" t="s">
        <v>17</v>
      </c>
      <c r="M727" t="s">
        <v>96</v>
      </c>
    </row>
    <row r="728" spans="1:13" x14ac:dyDescent="0.2">
      <c r="A728">
        <v>221414</v>
      </c>
      <c r="B728" s="1">
        <v>44783</v>
      </c>
      <c r="C728">
        <v>72180</v>
      </c>
      <c r="D728" t="s">
        <v>25</v>
      </c>
      <c r="E728" t="s">
        <v>26</v>
      </c>
      <c r="F728" t="s">
        <v>27</v>
      </c>
      <c r="G728">
        <v>1</v>
      </c>
      <c r="H728">
        <v>34.99</v>
      </c>
      <c r="J728">
        <v>34.99</v>
      </c>
      <c r="K728" t="s">
        <v>36</v>
      </c>
      <c r="L728" t="s">
        <v>17</v>
      </c>
      <c r="M728" t="s">
        <v>81</v>
      </c>
    </row>
    <row r="729" spans="1:13" x14ac:dyDescent="0.2">
      <c r="A729">
        <v>221450</v>
      </c>
      <c r="B729" s="2">
        <v>45198</v>
      </c>
      <c r="D729" t="s">
        <v>40</v>
      </c>
      <c r="E729" t="s">
        <v>115</v>
      </c>
      <c r="F729" t="s">
        <v>116</v>
      </c>
      <c r="G729">
        <v>4</v>
      </c>
      <c r="H729">
        <v>11.04</v>
      </c>
      <c r="I729">
        <v>0.15</v>
      </c>
      <c r="J729">
        <v>37.54</v>
      </c>
      <c r="K729" t="s">
        <v>22</v>
      </c>
      <c r="L729" t="s">
        <v>37</v>
      </c>
      <c r="M729" t="s">
        <v>57</v>
      </c>
    </row>
    <row r="730" spans="1:13" x14ac:dyDescent="0.2">
      <c r="A730">
        <v>221471</v>
      </c>
      <c r="B730" s="1">
        <v>45036</v>
      </c>
      <c r="C730">
        <v>50870</v>
      </c>
      <c r="D730" t="s">
        <v>82</v>
      </c>
      <c r="E730" t="s">
        <v>100</v>
      </c>
      <c r="F730" t="s">
        <v>101</v>
      </c>
      <c r="G730">
        <v>1</v>
      </c>
      <c r="H730">
        <v>22.99</v>
      </c>
      <c r="J730">
        <v>22.99</v>
      </c>
      <c r="K730" t="s">
        <v>16</v>
      </c>
      <c r="L730" t="s">
        <v>17</v>
      </c>
      <c r="M730" t="s">
        <v>18</v>
      </c>
    </row>
    <row r="731" spans="1:13" x14ac:dyDescent="0.2">
      <c r="A731">
        <v>221688</v>
      </c>
      <c r="B731" s="1">
        <v>45421</v>
      </c>
      <c r="C731">
        <v>10268</v>
      </c>
      <c r="D731" t="s">
        <v>44</v>
      </c>
      <c r="E731" t="s">
        <v>177</v>
      </c>
      <c r="F731" t="s">
        <v>178</v>
      </c>
      <c r="G731">
        <v>2</v>
      </c>
      <c r="H731">
        <v>11.99</v>
      </c>
      <c r="J731">
        <v>23.98</v>
      </c>
      <c r="K731" t="s">
        <v>16</v>
      </c>
      <c r="L731" t="s">
        <v>17</v>
      </c>
    </row>
    <row r="732" spans="1:13" x14ac:dyDescent="0.2">
      <c r="A732">
        <v>221728</v>
      </c>
      <c r="B732" s="1">
        <v>45074</v>
      </c>
      <c r="D732" t="s">
        <v>63</v>
      </c>
      <c r="E732" t="s">
        <v>125</v>
      </c>
      <c r="F732" t="s">
        <v>126</v>
      </c>
      <c r="G732">
        <v>1</v>
      </c>
      <c r="H732">
        <v>29.99</v>
      </c>
      <c r="J732">
        <v>29.99</v>
      </c>
      <c r="K732" t="s">
        <v>95</v>
      </c>
      <c r="L732" t="s">
        <v>17</v>
      </c>
      <c r="M732" t="s">
        <v>123</v>
      </c>
    </row>
    <row r="733" spans="1:13" x14ac:dyDescent="0.2">
      <c r="A733">
        <v>221916</v>
      </c>
      <c r="B733" s="1">
        <v>44835</v>
      </c>
      <c r="C733">
        <v>30077</v>
      </c>
      <c r="D733" t="s">
        <v>48</v>
      </c>
      <c r="E733" t="s">
        <v>118</v>
      </c>
      <c r="F733" t="s">
        <v>119</v>
      </c>
      <c r="G733">
        <v>4</v>
      </c>
      <c r="H733">
        <v>4.49</v>
      </c>
      <c r="I733">
        <v>0.1</v>
      </c>
      <c r="J733">
        <v>16.16</v>
      </c>
      <c r="K733" t="s">
        <v>16</v>
      </c>
      <c r="L733" t="s">
        <v>17</v>
      </c>
      <c r="M733" t="s">
        <v>81</v>
      </c>
    </row>
    <row r="734" spans="1:13" x14ac:dyDescent="0.2">
      <c r="A734">
        <v>222292</v>
      </c>
      <c r="B734" s="1">
        <v>45473</v>
      </c>
      <c r="C734">
        <v>76813</v>
      </c>
      <c r="D734" t="s">
        <v>48</v>
      </c>
      <c r="E734" t="s">
        <v>49</v>
      </c>
      <c r="F734" t="s">
        <v>50</v>
      </c>
      <c r="G734">
        <v>1</v>
      </c>
      <c r="H734">
        <v>7.64</v>
      </c>
      <c r="I734">
        <v>0.15</v>
      </c>
      <c r="J734">
        <v>6.49</v>
      </c>
      <c r="K734" t="s">
        <v>22</v>
      </c>
      <c r="L734" t="s">
        <v>17</v>
      </c>
      <c r="M734" t="s">
        <v>67</v>
      </c>
    </row>
    <row r="735" spans="1:13" x14ac:dyDescent="0.2">
      <c r="A735">
        <v>222619</v>
      </c>
      <c r="B735" s="1">
        <v>44837</v>
      </c>
      <c r="C735">
        <v>65464</v>
      </c>
      <c r="D735" t="s">
        <v>44</v>
      </c>
      <c r="E735" t="s">
        <v>45</v>
      </c>
      <c r="F735" t="s">
        <v>46</v>
      </c>
      <c r="G735">
        <v>4</v>
      </c>
      <c r="H735">
        <v>1.79</v>
      </c>
      <c r="J735">
        <v>7.16</v>
      </c>
      <c r="K735" t="s">
        <v>16</v>
      </c>
      <c r="L735" t="s">
        <v>17</v>
      </c>
      <c r="M735" t="s">
        <v>18</v>
      </c>
    </row>
    <row r="736" spans="1:13" x14ac:dyDescent="0.2">
      <c r="A736">
        <v>222655</v>
      </c>
      <c r="B736" s="1">
        <v>44860</v>
      </c>
      <c r="C736">
        <v>12133</v>
      </c>
      <c r="D736" t="s">
        <v>63</v>
      </c>
      <c r="E736" t="s">
        <v>131</v>
      </c>
      <c r="F736" t="s">
        <v>132</v>
      </c>
      <c r="G736">
        <v>1</v>
      </c>
      <c r="H736">
        <v>3.49</v>
      </c>
      <c r="J736">
        <v>3.49</v>
      </c>
      <c r="K736" t="s">
        <v>53</v>
      </c>
      <c r="L736" t="s">
        <v>17</v>
      </c>
      <c r="M736" t="s">
        <v>18</v>
      </c>
    </row>
    <row r="737" spans="1:13" x14ac:dyDescent="0.2">
      <c r="A737">
        <v>222655</v>
      </c>
      <c r="B737" s="1">
        <v>45311</v>
      </c>
      <c r="D737" t="s">
        <v>25</v>
      </c>
      <c r="E737" t="s">
        <v>60</v>
      </c>
      <c r="F737" t="s">
        <v>61</v>
      </c>
      <c r="G737">
        <v>2</v>
      </c>
      <c r="H737">
        <v>52.24</v>
      </c>
      <c r="I737">
        <v>0.05</v>
      </c>
      <c r="J737">
        <v>99.26</v>
      </c>
      <c r="K737" t="s">
        <v>36</v>
      </c>
      <c r="L737" t="s">
        <v>17</v>
      </c>
      <c r="M737" t="s">
        <v>117</v>
      </c>
    </row>
    <row r="738" spans="1:13" x14ac:dyDescent="0.2">
      <c r="A738">
        <v>222980</v>
      </c>
      <c r="B738" s="2">
        <v>44938</v>
      </c>
      <c r="C738">
        <v>33983</v>
      </c>
      <c r="D738" t="s">
        <v>85</v>
      </c>
      <c r="E738" t="s">
        <v>86</v>
      </c>
      <c r="F738" t="s">
        <v>87</v>
      </c>
      <c r="G738">
        <v>4</v>
      </c>
      <c r="H738">
        <v>12.99</v>
      </c>
      <c r="J738">
        <v>51.96</v>
      </c>
      <c r="K738" t="s">
        <v>36</v>
      </c>
      <c r="L738" t="s">
        <v>17</v>
      </c>
      <c r="M738" t="s">
        <v>90</v>
      </c>
    </row>
    <row r="739" spans="1:13" x14ac:dyDescent="0.2">
      <c r="A739">
        <v>223050</v>
      </c>
      <c r="B739" s="1">
        <v>45315</v>
      </c>
      <c r="C739">
        <v>69468</v>
      </c>
      <c r="D739" t="s">
        <v>29</v>
      </c>
      <c r="E739" t="s">
        <v>170</v>
      </c>
      <c r="F739" t="s">
        <v>171</v>
      </c>
      <c r="G739">
        <v>5</v>
      </c>
      <c r="H739">
        <v>14.99</v>
      </c>
      <c r="J739">
        <v>74.95</v>
      </c>
      <c r="K739" t="s">
        <v>22</v>
      </c>
      <c r="L739" t="s">
        <v>17</v>
      </c>
    </row>
    <row r="740" spans="1:13" x14ac:dyDescent="0.2">
      <c r="A740">
        <v>223295</v>
      </c>
      <c r="B740" s="1">
        <v>45418</v>
      </c>
      <c r="C740">
        <v>98694</v>
      </c>
      <c r="D740" t="s">
        <v>63</v>
      </c>
      <c r="E740" t="s">
        <v>111</v>
      </c>
      <c r="F740" t="s">
        <v>112</v>
      </c>
      <c r="G740">
        <v>1</v>
      </c>
      <c r="H740">
        <v>11.99</v>
      </c>
      <c r="I740">
        <v>0.2</v>
      </c>
      <c r="J740">
        <v>9.59</v>
      </c>
      <c r="K740" t="s">
        <v>95</v>
      </c>
      <c r="L740" t="s">
        <v>17</v>
      </c>
      <c r="M740" t="s">
        <v>120</v>
      </c>
    </row>
    <row r="741" spans="1:13" x14ac:dyDescent="0.2">
      <c r="A741">
        <v>223461</v>
      </c>
      <c r="B741" s="1">
        <v>45155</v>
      </c>
      <c r="D741" t="s">
        <v>97</v>
      </c>
      <c r="E741" t="s">
        <v>121</v>
      </c>
      <c r="F741" t="s">
        <v>122</v>
      </c>
      <c r="G741">
        <v>2</v>
      </c>
      <c r="H741">
        <v>12.99</v>
      </c>
      <c r="J741">
        <v>25.98</v>
      </c>
      <c r="K741" t="s">
        <v>16</v>
      </c>
      <c r="L741" t="s">
        <v>23</v>
      </c>
      <c r="M741" t="s">
        <v>47</v>
      </c>
    </row>
    <row r="742" spans="1:13" x14ac:dyDescent="0.2">
      <c r="A742">
        <v>223499</v>
      </c>
      <c r="B742" s="1">
        <v>45301</v>
      </c>
      <c r="C742">
        <v>97944</v>
      </c>
      <c r="D742" t="s">
        <v>44</v>
      </c>
      <c r="E742" t="s">
        <v>74</v>
      </c>
      <c r="F742" t="s">
        <v>75</v>
      </c>
      <c r="G742">
        <v>2</v>
      </c>
      <c r="H742">
        <v>2.54</v>
      </c>
      <c r="I742">
        <v>0.15</v>
      </c>
      <c r="J742">
        <v>4.32</v>
      </c>
      <c r="K742" t="s">
        <v>22</v>
      </c>
      <c r="L742" t="s">
        <v>17</v>
      </c>
      <c r="M742" t="s">
        <v>76</v>
      </c>
    </row>
    <row r="743" spans="1:13" x14ac:dyDescent="0.2">
      <c r="A743">
        <v>223621</v>
      </c>
      <c r="B743" s="1">
        <v>45379</v>
      </c>
      <c r="C743">
        <v>80268</v>
      </c>
      <c r="D743" t="s">
        <v>44</v>
      </c>
      <c r="E743" t="s">
        <v>45</v>
      </c>
      <c r="F743" t="s">
        <v>46</v>
      </c>
      <c r="G743">
        <v>1</v>
      </c>
      <c r="H743">
        <v>1.79</v>
      </c>
      <c r="J743">
        <v>1.79</v>
      </c>
      <c r="K743" t="s">
        <v>22</v>
      </c>
      <c r="L743" t="s">
        <v>17</v>
      </c>
      <c r="M743" t="s">
        <v>123</v>
      </c>
    </row>
    <row r="744" spans="1:13" x14ac:dyDescent="0.2">
      <c r="A744">
        <v>223711</v>
      </c>
      <c r="B744" s="1">
        <v>44825</v>
      </c>
      <c r="C744">
        <v>93950</v>
      </c>
      <c r="D744" t="s">
        <v>40</v>
      </c>
      <c r="E744" t="s">
        <v>20</v>
      </c>
      <c r="F744" t="s">
        <v>21</v>
      </c>
      <c r="G744">
        <v>3</v>
      </c>
      <c r="H744">
        <v>9.99</v>
      </c>
      <c r="J744">
        <v>29.97</v>
      </c>
      <c r="K744" t="s">
        <v>16</v>
      </c>
      <c r="L744" t="s">
        <v>17</v>
      </c>
      <c r="M744" t="s">
        <v>123</v>
      </c>
    </row>
    <row r="745" spans="1:13" x14ac:dyDescent="0.2">
      <c r="A745">
        <v>223967</v>
      </c>
      <c r="B745" s="2">
        <v>45298</v>
      </c>
      <c r="C745">
        <v>50760</v>
      </c>
      <c r="D745" t="s">
        <v>25</v>
      </c>
      <c r="E745" t="s">
        <v>26</v>
      </c>
      <c r="F745" t="s">
        <v>27</v>
      </c>
      <c r="G745">
        <v>1</v>
      </c>
      <c r="H745">
        <v>33.24</v>
      </c>
      <c r="I745">
        <v>0.05</v>
      </c>
      <c r="J745">
        <v>31.58</v>
      </c>
      <c r="K745" t="s">
        <v>22</v>
      </c>
      <c r="L745" t="s">
        <v>17</v>
      </c>
      <c r="M745" t="s">
        <v>76</v>
      </c>
    </row>
    <row r="746" spans="1:13" x14ac:dyDescent="0.2">
      <c r="A746">
        <v>224218</v>
      </c>
      <c r="B746" s="2">
        <v>44943</v>
      </c>
      <c r="C746">
        <v>79191</v>
      </c>
      <c r="D746" t="s">
        <v>29</v>
      </c>
      <c r="E746" t="s">
        <v>88</v>
      </c>
      <c r="F746" t="s">
        <v>89</v>
      </c>
      <c r="G746">
        <v>4</v>
      </c>
      <c r="H746">
        <v>47.49</v>
      </c>
      <c r="I746">
        <v>0.05</v>
      </c>
      <c r="J746">
        <v>180.46</v>
      </c>
      <c r="K746" t="s">
        <v>36</v>
      </c>
      <c r="L746" t="s">
        <v>17</v>
      </c>
      <c r="M746" t="s">
        <v>117</v>
      </c>
    </row>
    <row r="747" spans="1:13" x14ac:dyDescent="0.2">
      <c r="A747">
        <v>224274</v>
      </c>
      <c r="B747" s="2">
        <v>45515</v>
      </c>
      <c r="C747">
        <v>88686</v>
      </c>
      <c r="D747" t="s">
        <v>44</v>
      </c>
      <c r="E747" t="s">
        <v>162</v>
      </c>
      <c r="F747" t="s">
        <v>163</v>
      </c>
      <c r="G747">
        <v>2</v>
      </c>
      <c r="H747">
        <v>7.19</v>
      </c>
      <c r="I747">
        <v>0.1</v>
      </c>
      <c r="J747">
        <v>12.94</v>
      </c>
      <c r="K747" t="s">
        <v>36</v>
      </c>
      <c r="L747" t="s">
        <v>23</v>
      </c>
      <c r="M747" t="s">
        <v>81</v>
      </c>
    </row>
    <row r="748" spans="1:13" x14ac:dyDescent="0.2">
      <c r="A748">
        <v>224279</v>
      </c>
      <c r="B748" s="1">
        <v>44780</v>
      </c>
      <c r="C748">
        <v>59147</v>
      </c>
      <c r="D748" t="s">
        <v>48</v>
      </c>
      <c r="E748" t="s">
        <v>139</v>
      </c>
      <c r="F748" t="s">
        <v>140</v>
      </c>
      <c r="G748">
        <v>2</v>
      </c>
      <c r="H748">
        <v>5.59</v>
      </c>
      <c r="J748">
        <v>11.18</v>
      </c>
      <c r="K748" t="s">
        <v>36</v>
      </c>
      <c r="L748" t="s">
        <v>37</v>
      </c>
      <c r="M748" t="s">
        <v>24</v>
      </c>
    </row>
    <row r="749" spans="1:13" x14ac:dyDescent="0.2">
      <c r="A749">
        <v>224586</v>
      </c>
      <c r="B749" s="2">
        <v>45347</v>
      </c>
      <c r="C749">
        <v>19382</v>
      </c>
      <c r="D749" t="s">
        <v>25</v>
      </c>
      <c r="E749" t="s">
        <v>26</v>
      </c>
      <c r="F749" t="s">
        <v>27</v>
      </c>
      <c r="G749">
        <v>3</v>
      </c>
      <c r="H749">
        <v>27.99</v>
      </c>
      <c r="I749">
        <v>0.2</v>
      </c>
      <c r="J749">
        <v>67.180000000000007</v>
      </c>
      <c r="K749" t="s">
        <v>16</v>
      </c>
      <c r="L749" t="s">
        <v>17</v>
      </c>
      <c r="M749" t="s">
        <v>90</v>
      </c>
    </row>
    <row r="750" spans="1:13" x14ac:dyDescent="0.2">
      <c r="A750">
        <v>224921</v>
      </c>
      <c r="B750" s="1">
        <v>44598</v>
      </c>
      <c r="D750" t="s">
        <v>29</v>
      </c>
      <c r="E750" t="s">
        <v>175</v>
      </c>
      <c r="F750" t="s">
        <v>176</v>
      </c>
      <c r="G750">
        <v>5</v>
      </c>
      <c r="H750">
        <v>11.99</v>
      </c>
      <c r="J750">
        <v>59.95</v>
      </c>
      <c r="K750" t="s">
        <v>36</v>
      </c>
      <c r="L750" t="s">
        <v>17</v>
      </c>
      <c r="M750" t="s">
        <v>28</v>
      </c>
    </row>
    <row r="751" spans="1:13" x14ac:dyDescent="0.2">
      <c r="A751">
        <v>225036</v>
      </c>
      <c r="B751" s="1">
        <v>44625</v>
      </c>
      <c r="C751">
        <v>26740</v>
      </c>
      <c r="D751" t="s">
        <v>48</v>
      </c>
      <c r="E751" t="s">
        <v>179</v>
      </c>
      <c r="F751" t="s">
        <v>180</v>
      </c>
      <c r="G751">
        <v>2</v>
      </c>
      <c r="H751">
        <v>8.39</v>
      </c>
      <c r="I751">
        <v>0.3</v>
      </c>
      <c r="J751">
        <v>11.75</v>
      </c>
      <c r="K751" t="s">
        <v>16</v>
      </c>
      <c r="L751" t="s">
        <v>37</v>
      </c>
      <c r="M751" t="s">
        <v>90</v>
      </c>
    </row>
    <row r="752" spans="1:13" x14ac:dyDescent="0.2">
      <c r="A752">
        <v>225165</v>
      </c>
      <c r="B752" s="1">
        <v>45456</v>
      </c>
      <c r="C752">
        <v>26114</v>
      </c>
      <c r="D752" t="s">
        <v>85</v>
      </c>
      <c r="E752" t="s">
        <v>145</v>
      </c>
      <c r="F752" t="s">
        <v>146</v>
      </c>
      <c r="G752">
        <v>2</v>
      </c>
      <c r="H752">
        <v>16.14</v>
      </c>
      <c r="I752">
        <v>0.05</v>
      </c>
      <c r="J752">
        <v>30.67</v>
      </c>
      <c r="K752" t="s">
        <v>16</v>
      </c>
      <c r="L752" t="s">
        <v>17</v>
      </c>
      <c r="M752" t="s">
        <v>18</v>
      </c>
    </row>
    <row r="753" spans="1:13" x14ac:dyDescent="0.2">
      <c r="A753">
        <v>225166</v>
      </c>
      <c r="B753" s="1">
        <v>45037</v>
      </c>
      <c r="C753">
        <v>96633</v>
      </c>
      <c r="D753" t="s">
        <v>97</v>
      </c>
      <c r="E753" t="s">
        <v>98</v>
      </c>
      <c r="F753" t="s">
        <v>99</v>
      </c>
      <c r="G753">
        <v>1</v>
      </c>
      <c r="H753">
        <v>20.99</v>
      </c>
      <c r="I753">
        <v>0.25</v>
      </c>
      <c r="J753">
        <v>15.74</v>
      </c>
      <c r="K753" t="s">
        <v>22</v>
      </c>
      <c r="L753" t="s">
        <v>17</v>
      </c>
      <c r="M753" t="s">
        <v>67</v>
      </c>
    </row>
    <row r="754" spans="1:13" x14ac:dyDescent="0.2">
      <c r="A754">
        <v>225246</v>
      </c>
      <c r="B754" s="1">
        <v>45537</v>
      </c>
      <c r="D754" t="s">
        <v>40</v>
      </c>
      <c r="E754" t="s">
        <v>58</v>
      </c>
      <c r="F754" t="s">
        <v>59</v>
      </c>
      <c r="G754">
        <v>2</v>
      </c>
      <c r="H754">
        <v>3.19</v>
      </c>
      <c r="I754">
        <v>0.2</v>
      </c>
      <c r="J754">
        <v>5.0999999999999996</v>
      </c>
      <c r="K754" t="s">
        <v>22</v>
      </c>
      <c r="L754" t="s">
        <v>17</v>
      </c>
      <c r="M754" t="s">
        <v>102</v>
      </c>
    </row>
    <row r="755" spans="1:13" x14ac:dyDescent="0.2">
      <c r="A755">
        <v>225614</v>
      </c>
      <c r="B755" s="1">
        <v>45527</v>
      </c>
      <c r="C755">
        <v>47194</v>
      </c>
      <c r="D755" t="s">
        <v>63</v>
      </c>
      <c r="E755" t="s">
        <v>125</v>
      </c>
      <c r="F755" t="s">
        <v>126</v>
      </c>
      <c r="G755">
        <v>1</v>
      </c>
      <c r="H755">
        <v>28.49</v>
      </c>
      <c r="I755">
        <v>0.05</v>
      </c>
      <c r="J755">
        <v>27.07</v>
      </c>
      <c r="K755" t="s">
        <v>36</v>
      </c>
      <c r="L755" t="s">
        <v>37</v>
      </c>
      <c r="M755" t="s">
        <v>62</v>
      </c>
    </row>
    <row r="756" spans="1:13" x14ac:dyDescent="0.2">
      <c r="A756">
        <v>225669</v>
      </c>
      <c r="B756" s="1">
        <v>45107</v>
      </c>
      <c r="C756">
        <v>32710</v>
      </c>
      <c r="D756" t="s">
        <v>63</v>
      </c>
      <c r="E756" t="s">
        <v>64</v>
      </c>
      <c r="F756" t="s">
        <v>65</v>
      </c>
      <c r="G756">
        <v>1</v>
      </c>
      <c r="H756">
        <v>3.74</v>
      </c>
      <c r="I756">
        <v>0.25</v>
      </c>
      <c r="J756">
        <v>2.8</v>
      </c>
      <c r="K756" t="s">
        <v>16</v>
      </c>
      <c r="L756" t="s">
        <v>17</v>
      </c>
      <c r="M756" t="s">
        <v>96</v>
      </c>
    </row>
    <row r="757" spans="1:13" x14ac:dyDescent="0.2">
      <c r="A757">
        <v>225701</v>
      </c>
      <c r="B757" s="1">
        <v>45291</v>
      </c>
      <c r="D757" t="s">
        <v>85</v>
      </c>
      <c r="E757" t="s">
        <v>157</v>
      </c>
      <c r="F757" t="s">
        <v>158</v>
      </c>
      <c r="G757">
        <v>4</v>
      </c>
      <c r="H757">
        <v>13.49</v>
      </c>
      <c r="J757">
        <v>53.96</v>
      </c>
      <c r="K757" t="s">
        <v>22</v>
      </c>
      <c r="L757" t="s">
        <v>37</v>
      </c>
      <c r="M757" t="s">
        <v>123</v>
      </c>
    </row>
    <row r="758" spans="1:13" x14ac:dyDescent="0.2">
      <c r="A758">
        <v>225794</v>
      </c>
      <c r="B758" s="2">
        <v>45297</v>
      </c>
      <c r="C758">
        <v>86357</v>
      </c>
      <c r="D758" t="s">
        <v>25</v>
      </c>
      <c r="E758" t="s">
        <v>113</v>
      </c>
      <c r="F758" t="s">
        <v>114</v>
      </c>
      <c r="G758">
        <v>1</v>
      </c>
      <c r="H758">
        <v>119.99</v>
      </c>
      <c r="J758">
        <v>119.99</v>
      </c>
      <c r="K758" t="s">
        <v>66</v>
      </c>
      <c r="L758" t="s">
        <v>17</v>
      </c>
      <c r="M758" t="s">
        <v>28</v>
      </c>
    </row>
    <row r="759" spans="1:13" x14ac:dyDescent="0.2">
      <c r="A759">
        <v>225811</v>
      </c>
      <c r="B759" s="1">
        <v>45286</v>
      </c>
      <c r="C759">
        <v>77146</v>
      </c>
      <c r="D759" t="s">
        <v>82</v>
      </c>
      <c r="E759" t="s">
        <v>147</v>
      </c>
      <c r="F759" t="s">
        <v>148</v>
      </c>
      <c r="G759">
        <v>3</v>
      </c>
      <c r="H759">
        <v>9.74</v>
      </c>
      <c r="I759">
        <v>0.25</v>
      </c>
      <c r="J759">
        <v>21.92</v>
      </c>
      <c r="K759" t="s">
        <v>36</v>
      </c>
      <c r="L759" t="s">
        <v>17</v>
      </c>
      <c r="M759" t="s">
        <v>24</v>
      </c>
    </row>
    <row r="760" spans="1:13" x14ac:dyDescent="0.2">
      <c r="A760">
        <v>226016</v>
      </c>
      <c r="B760" s="1">
        <v>44765</v>
      </c>
      <c r="C760">
        <v>24165</v>
      </c>
      <c r="D760" t="s">
        <v>13</v>
      </c>
      <c r="E760" t="s">
        <v>79</v>
      </c>
      <c r="F760" t="s">
        <v>80</v>
      </c>
      <c r="G760">
        <v>1</v>
      </c>
      <c r="H760">
        <v>85.49</v>
      </c>
      <c r="I760">
        <v>0.05</v>
      </c>
      <c r="J760">
        <v>81.22</v>
      </c>
      <c r="K760" t="s">
        <v>22</v>
      </c>
      <c r="L760" t="s">
        <v>17</v>
      </c>
      <c r="M760" t="s">
        <v>90</v>
      </c>
    </row>
    <row r="761" spans="1:13" x14ac:dyDescent="0.2">
      <c r="A761">
        <v>226075</v>
      </c>
      <c r="B761" s="1">
        <v>45327</v>
      </c>
      <c r="C761">
        <v>81387</v>
      </c>
      <c r="D761" t="s">
        <v>13</v>
      </c>
      <c r="E761" t="s">
        <v>14</v>
      </c>
      <c r="F761" t="s">
        <v>15</v>
      </c>
      <c r="G761">
        <v>2</v>
      </c>
      <c r="H761">
        <v>63.99</v>
      </c>
      <c r="I761">
        <v>0.2</v>
      </c>
      <c r="J761">
        <v>102.38</v>
      </c>
      <c r="K761" t="s">
        <v>36</v>
      </c>
      <c r="L761" t="s">
        <v>37</v>
      </c>
      <c r="M761" t="s">
        <v>33</v>
      </c>
    </row>
    <row r="762" spans="1:13" x14ac:dyDescent="0.2">
      <c r="A762">
        <v>226088</v>
      </c>
      <c r="B762" s="1">
        <v>45291</v>
      </c>
      <c r="C762">
        <v>83004</v>
      </c>
      <c r="D762" t="s">
        <v>97</v>
      </c>
      <c r="E762" t="s">
        <v>181</v>
      </c>
      <c r="F762" t="s">
        <v>182</v>
      </c>
      <c r="G762">
        <v>1</v>
      </c>
      <c r="H762">
        <v>14.99</v>
      </c>
      <c r="J762">
        <v>14.99</v>
      </c>
      <c r="K762" t="s">
        <v>36</v>
      </c>
      <c r="L762" t="s">
        <v>37</v>
      </c>
      <c r="M762" t="s">
        <v>28</v>
      </c>
    </row>
    <row r="763" spans="1:13" x14ac:dyDescent="0.2">
      <c r="A763">
        <v>226250</v>
      </c>
      <c r="B763" s="2">
        <v>44867</v>
      </c>
      <c r="C763">
        <v>91909</v>
      </c>
      <c r="D763" t="s">
        <v>44</v>
      </c>
      <c r="E763" t="s">
        <v>162</v>
      </c>
      <c r="F763" t="s">
        <v>163</v>
      </c>
      <c r="G763">
        <v>5</v>
      </c>
      <c r="H763">
        <v>5.59</v>
      </c>
      <c r="I763">
        <v>0.3</v>
      </c>
      <c r="J763">
        <v>19.559999999999999</v>
      </c>
      <c r="K763" t="s">
        <v>36</v>
      </c>
      <c r="L763" t="s">
        <v>37</v>
      </c>
      <c r="M763" t="s">
        <v>24</v>
      </c>
    </row>
    <row r="764" spans="1:13" x14ac:dyDescent="0.2">
      <c r="A764">
        <v>226446</v>
      </c>
      <c r="B764" s="2">
        <v>45123</v>
      </c>
      <c r="C764">
        <v>19368</v>
      </c>
      <c r="D764" t="s">
        <v>106</v>
      </c>
      <c r="E764" t="s">
        <v>133</v>
      </c>
      <c r="F764" t="s">
        <v>134</v>
      </c>
      <c r="G764">
        <v>2</v>
      </c>
      <c r="H764">
        <v>3.03</v>
      </c>
      <c r="I764">
        <v>0.2</v>
      </c>
      <c r="J764">
        <v>4.8499999999999996</v>
      </c>
      <c r="K764" t="s">
        <v>95</v>
      </c>
      <c r="L764" t="s">
        <v>17</v>
      </c>
      <c r="M764" t="s">
        <v>81</v>
      </c>
    </row>
    <row r="765" spans="1:13" x14ac:dyDescent="0.2">
      <c r="A765">
        <v>226643</v>
      </c>
      <c r="B765" s="1">
        <v>45073</v>
      </c>
      <c r="C765">
        <v>58238</v>
      </c>
      <c r="D765" t="s">
        <v>82</v>
      </c>
      <c r="E765" t="s">
        <v>147</v>
      </c>
      <c r="F765" t="s">
        <v>148</v>
      </c>
      <c r="G765">
        <v>1</v>
      </c>
      <c r="H765">
        <v>9.74</v>
      </c>
      <c r="I765">
        <v>0.25</v>
      </c>
      <c r="J765">
        <v>7.3</v>
      </c>
      <c r="K765" t="s">
        <v>36</v>
      </c>
      <c r="L765" t="s">
        <v>17</v>
      </c>
      <c r="M765" t="s">
        <v>62</v>
      </c>
    </row>
    <row r="766" spans="1:13" x14ac:dyDescent="0.2">
      <c r="A766">
        <v>226696</v>
      </c>
      <c r="B766" s="2">
        <v>45042</v>
      </c>
      <c r="C766">
        <v>14100</v>
      </c>
      <c r="D766" t="s">
        <v>48</v>
      </c>
      <c r="E766" t="s">
        <v>109</v>
      </c>
      <c r="F766" t="s">
        <v>110</v>
      </c>
      <c r="G766">
        <v>2</v>
      </c>
      <c r="H766">
        <v>5.24</v>
      </c>
      <c r="I766">
        <v>0.25</v>
      </c>
      <c r="J766">
        <v>7.86</v>
      </c>
      <c r="K766" t="s">
        <v>36</v>
      </c>
      <c r="L766" t="s">
        <v>37</v>
      </c>
      <c r="M766" t="s">
        <v>43</v>
      </c>
    </row>
    <row r="767" spans="1:13" x14ac:dyDescent="0.2">
      <c r="A767">
        <v>226947</v>
      </c>
      <c r="B767" s="1">
        <v>44722</v>
      </c>
      <c r="C767">
        <v>82239</v>
      </c>
      <c r="D767" t="s">
        <v>82</v>
      </c>
      <c r="E767" t="s">
        <v>168</v>
      </c>
      <c r="F767" t="s">
        <v>169</v>
      </c>
      <c r="G767">
        <v>2</v>
      </c>
      <c r="H767">
        <v>7.64</v>
      </c>
      <c r="I767">
        <v>0.15</v>
      </c>
      <c r="J767">
        <v>12.99</v>
      </c>
      <c r="K767" t="s">
        <v>16</v>
      </c>
      <c r="L767" t="s">
        <v>17</v>
      </c>
      <c r="M767" t="s">
        <v>81</v>
      </c>
    </row>
    <row r="768" spans="1:13" x14ac:dyDescent="0.2">
      <c r="A768">
        <v>227064</v>
      </c>
      <c r="B768" s="1">
        <v>44871</v>
      </c>
      <c r="C768">
        <v>45859</v>
      </c>
      <c r="D768" t="s">
        <v>40</v>
      </c>
      <c r="E768" t="s">
        <v>115</v>
      </c>
      <c r="F768" t="s">
        <v>116</v>
      </c>
      <c r="G768">
        <v>1</v>
      </c>
      <c r="H768">
        <v>12.34</v>
      </c>
      <c r="I768">
        <v>0.05</v>
      </c>
      <c r="J768">
        <v>11.72</v>
      </c>
      <c r="K768" t="s">
        <v>16</v>
      </c>
      <c r="L768" t="s">
        <v>17</v>
      </c>
      <c r="M768" t="s">
        <v>103</v>
      </c>
    </row>
    <row r="769" spans="1:13" x14ac:dyDescent="0.2">
      <c r="A769">
        <v>227081</v>
      </c>
      <c r="B769" s="1">
        <v>45212</v>
      </c>
      <c r="C769">
        <v>60083</v>
      </c>
      <c r="D769" t="s">
        <v>13</v>
      </c>
      <c r="E769" t="s">
        <v>159</v>
      </c>
      <c r="F769" t="s">
        <v>160</v>
      </c>
      <c r="G769">
        <v>1</v>
      </c>
      <c r="H769">
        <v>44.99</v>
      </c>
      <c r="I769">
        <v>0.25</v>
      </c>
      <c r="J769">
        <v>33.74</v>
      </c>
      <c r="K769" t="s">
        <v>16</v>
      </c>
      <c r="L769" t="s">
        <v>17</v>
      </c>
      <c r="M769" t="s">
        <v>28</v>
      </c>
    </row>
    <row r="770" spans="1:13" x14ac:dyDescent="0.2">
      <c r="A770">
        <v>227143</v>
      </c>
      <c r="B770" s="1">
        <v>45604</v>
      </c>
      <c r="C770">
        <v>78295</v>
      </c>
      <c r="D770" t="s">
        <v>25</v>
      </c>
      <c r="E770" t="s">
        <v>26</v>
      </c>
      <c r="F770" t="s">
        <v>27</v>
      </c>
      <c r="G770">
        <v>1</v>
      </c>
      <c r="H770">
        <v>34.99</v>
      </c>
      <c r="J770">
        <v>34.99</v>
      </c>
      <c r="K770" t="s">
        <v>53</v>
      </c>
      <c r="L770" t="s">
        <v>37</v>
      </c>
      <c r="M770" t="s">
        <v>24</v>
      </c>
    </row>
    <row r="771" spans="1:13" x14ac:dyDescent="0.2">
      <c r="A771">
        <v>227235</v>
      </c>
      <c r="B771" s="1">
        <v>45581</v>
      </c>
      <c r="C771">
        <v>60237</v>
      </c>
      <c r="D771" t="s">
        <v>44</v>
      </c>
      <c r="E771" t="s">
        <v>195</v>
      </c>
      <c r="F771" t="s">
        <v>196</v>
      </c>
      <c r="G771">
        <v>1</v>
      </c>
      <c r="H771">
        <v>4.99</v>
      </c>
      <c r="J771">
        <v>4.99</v>
      </c>
      <c r="K771" t="s">
        <v>95</v>
      </c>
      <c r="L771" t="s">
        <v>17</v>
      </c>
      <c r="M771" t="s">
        <v>76</v>
      </c>
    </row>
    <row r="772" spans="1:13" x14ac:dyDescent="0.2">
      <c r="A772">
        <v>227281</v>
      </c>
      <c r="B772" s="1">
        <v>44764</v>
      </c>
      <c r="C772">
        <v>77919</v>
      </c>
      <c r="D772" t="s">
        <v>48</v>
      </c>
      <c r="E772" t="s">
        <v>139</v>
      </c>
      <c r="F772" t="s">
        <v>140</v>
      </c>
      <c r="G772">
        <v>5</v>
      </c>
      <c r="H772">
        <v>7.99</v>
      </c>
      <c r="J772">
        <v>39.950000000000003</v>
      </c>
      <c r="K772" t="s">
        <v>36</v>
      </c>
      <c r="L772" t="s">
        <v>17</v>
      </c>
      <c r="M772" t="s">
        <v>47</v>
      </c>
    </row>
    <row r="773" spans="1:13" x14ac:dyDescent="0.2">
      <c r="A773">
        <v>227310</v>
      </c>
      <c r="B773" s="2">
        <v>45492</v>
      </c>
      <c r="D773" t="s">
        <v>48</v>
      </c>
      <c r="E773" t="s">
        <v>49</v>
      </c>
      <c r="F773" t="s">
        <v>50</v>
      </c>
      <c r="G773">
        <v>4</v>
      </c>
      <c r="H773">
        <v>6.74</v>
      </c>
      <c r="I773">
        <v>0.25</v>
      </c>
      <c r="J773">
        <v>20.22</v>
      </c>
      <c r="K773" t="s">
        <v>16</v>
      </c>
      <c r="L773" t="s">
        <v>23</v>
      </c>
      <c r="M773" t="s">
        <v>123</v>
      </c>
    </row>
    <row r="774" spans="1:13" x14ac:dyDescent="0.2">
      <c r="A774">
        <v>227387</v>
      </c>
      <c r="B774" s="1">
        <v>44944</v>
      </c>
      <c r="C774">
        <v>19749</v>
      </c>
      <c r="D774" t="s">
        <v>29</v>
      </c>
      <c r="E774" t="s">
        <v>72</v>
      </c>
      <c r="F774" t="s">
        <v>73</v>
      </c>
      <c r="G774">
        <v>1</v>
      </c>
      <c r="H774">
        <v>33.99</v>
      </c>
      <c r="I774">
        <v>0.15</v>
      </c>
      <c r="J774">
        <v>28.89</v>
      </c>
      <c r="K774" t="s">
        <v>16</v>
      </c>
      <c r="L774" t="s">
        <v>17</v>
      </c>
      <c r="M774" t="s">
        <v>47</v>
      </c>
    </row>
    <row r="775" spans="1:13" x14ac:dyDescent="0.2">
      <c r="A775">
        <v>227557</v>
      </c>
      <c r="B775" s="1">
        <v>45440</v>
      </c>
      <c r="C775">
        <v>40016</v>
      </c>
      <c r="D775" t="s">
        <v>29</v>
      </c>
      <c r="E775" t="s">
        <v>38</v>
      </c>
      <c r="F775" t="s">
        <v>39</v>
      </c>
      <c r="G775">
        <v>1</v>
      </c>
      <c r="H775">
        <v>25.49</v>
      </c>
      <c r="I775">
        <v>0.15</v>
      </c>
      <c r="J775">
        <v>21.67</v>
      </c>
      <c r="K775" t="s">
        <v>36</v>
      </c>
      <c r="L775" t="s">
        <v>17</v>
      </c>
      <c r="M775" t="s">
        <v>57</v>
      </c>
    </row>
    <row r="776" spans="1:13" x14ac:dyDescent="0.2">
      <c r="A776">
        <v>227805</v>
      </c>
      <c r="B776" s="2">
        <v>44802</v>
      </c>
      <c r="C776">
        <v>27025</v>
      </c>
      <c r="D776" t="s">
        <v>63</v>
      </c>
      <c r="E776" t="s">
        <v>125</v>
      </c>
      <c r="F776" t="s">
        <v>126</v>
      </c>
      <c r="G776">
        <v>1</v>
      </c>
      <c r="H776">
        <v>29.99</v>
      </c>
      <c r="J776">
        <v>29.99</v>
      </c>
      <c r="K776" t="s">
        <v>53</v>
      </c>
      <c r="L776" t="s">
        <v>37</v>
      </c>
    </row>
    <row r="777" spans="1:13" x14ac:dyDescent="0.2">
      <c r="A777">
        <v>227948</v>
      </c>
      <c r="B777" s="1">
        <v>44715</v>
      </c>
      <c r="C777">
        <v>60886</v>
      </c>
      <c r="D777" t="s">
        <v>44</v>
      </c>
      <c r="E777" t="s">
        <v>91</v>
      </c>
      <c r="F777" t="s">
        <v>92</v>
      </c>
      <c r="G777">
        <v>1</v>
      </c>
      <c r="H777">
        <v>4.72</v>
      </c>
      <c r="I777">
        <v>0.25</v>
      </c>
      <c r="J777">
        <v>3.54</v>
      </c>
      <c r="K777" t="s">
        <v>16</v>
      </c>
      <c r="L777" t="s">
        <v>37</v>
      </c>
      <c r="M777" t="s">
        <v>161</v>
      </c>
    </row>
    <row r="778" spans="1:13" x14ac:dyDescent="0.2">
      <c r="A778">
        <v>228039</v>
      </c>
      <c r="B778" s="1">
        <v>45113</v>
      </c>
      <c r="C778">
        <v>40929</v>
      </c>
      <c r="D778" t="s">
        <v>82</v>
      </c>
      <c r="E778" t="s">
        <v>188</v>
      </c>
      <c r="F778" t="s">
        <v>189</v>
      </c>
      <c r="G778">
        <v>1</v>
      </c>
      <c r="H778">
        <v>31.49</v>
      </c>
      <c r="I778">
        <v>0.3</v>
      </c>
      <c r="J778">
        <v>22.04</v>
      </c>
      <c r="K778" t="s">
        <v>16</v>
      </c>
      <c r="L778" t="s">
        <v>37</v>
      </c>
      <c r="M778" t="s">
        <v>161</v>
      </c>
    </row>
    <row r="779" spans="1:13" x14ac:dyDescent="0.2">
      <c r="A779">
        <v>228279</v>
      </c>
      <c r="B779" s="1">
        <v>45201</v>
      </c>
      <c r="C779">
        <v>53795</v>
      </c>
      <c r="D779" t="s">
        <v>63</v>
      </c>
      <c r="E779" t="s">
        <v>64</v>
      </c>
      <c r="F779" t="s">
        <v>65</v>
      </c>
      <c r="G779">
        <v>1</v>
      </c>
      <c r="H779">
        <v>4.99</v>
      </c>
      <c r="J779">
        <v>4.99</v>
      </c>
      <c r="K779" t="s">
        <v>22</v>
      </c>
      <c r="L779" t="s">
        <v>17</v>
      </c>
      <c r="M779" t="s">
        <v>81</v>
      </c>
    </row>
    <row r="780" spans="1:13" x14ac:dyDescent="0.2">
      <c r="A780">
        <v>228459</v>
      </c>
      <c r="B780" s="1">
        <v>44596</v>
      </c>
      <c r="C780">
        <v>86492</v>
      </c>
      <c r="D780" t="s">
        <v>97</v>
      </c>
      <c r="E780" t="s">
        <v>165</v>
      </c>
      <c r="F780" t="s">
        <v>166</v>
      </c>
      <c r="G780">
        <v>2</v>
      </c>
      <c r="H780">
        <v>85.49</v>
      </c>
      <c r="J780">
        <v>170.98</v>
      </c>
      <c r="K780" t="s">
        <v>22</v>
      </c>
      <c r="L780" t="s">
        <v>37</v>
      </c>
      <c r="M780" t="s">
        <v>123</v>
      </c>
    </row>
    <row r="781" spans="1:13" x14ac:dyDescent="0.2">
      <c r="A781">
        <v>228516</v>
      </c>
      <c r="B781" s="1">
        <v>45289</v>
      </c>
      <c r="C781">
        <v>97690</v>
      </c>
      <c r="D781" t="s">
        <v>25</v>
      </c>
      <c r="E781" t="s">
        <v>51</v>
      </c>
      <c r="F781" t="s">
        <v>52</v>
      </c>
      <c r="G781">
        <v>4</v>
      </c>
      <c r="H781">
        <v>22.39</v>
      </c>
      <c r="I781">
        <v>0.2</v>
      </c>
      <c r="J781">
        <v>71.650000000000006</v>
      </c>
      <c r="K781" t="s">
        <v>95</v>
      </c>
      <c r="L781" t="s">
        <v>17</v>
      </c>
      <c r="M781" t="s">
        <v>81</v>
      </c>
    </row>
    <row r="782" spans="1:13" x14ac:dyDescent="0.2">
      <c r="A782">
        <v>229032</v>
      </c>
      <c r="B782" s="2">
        <v>45441</v>
      </c>
      <c r="C782">
        <v>89596</v>
      </c>
      <c r="D782" t="s">
        <v>48</v>
      </c>
      <c r="E782" t="s">
        <v>139</v>
      </c>
      <c r="F782" t="s">
        <v>140</v>
      </c>
      <c r="G782">
        <v>2</v>
      </c>
      <c r="H782">
        <v>6.79</v>
      </c>
      <c r="J782">
        <v>13.58</v>
      </c>
      <c r="K782" t="s">
        <v>16</v>
      </c>
      <c r="L782" t="s">
        <v>17</v>
      </c>
      <c r="M782" t="s">
        <v>161</v>
      </c>
    </row>
    <row r="783" spans="1:13" x14ac:dyDescent="0.2">
      <c r="A783">
        <v>229086</v>
      </c>
      <c r="B783" s="2">
        <v>45126</v>
      </c>
      <c r="C783">
        <v>13734</v>
      </c>
      <c r="D783" t="s">
        <v>44</v>
      </c>
      <c r="E783" t="s">
        <v>184</v>
      </c>
      <c r="F783" t="s">
        <v>185</v>
      </c>
      <c r="G783">
        <v>1</v>
      </c>
      <c r="H783">
        <v>3.84</v>
      </c>
      <c r="I783">
        <v>0.3</v>
      </c>
      <c r="J783">
        <v>2.69</v>
      </c>
      <c r="K783" t="s">
        <v>16</v>
      </c>
      <c r="L783" t="s">
        <v>37</v>
      </c>
      <c r="M783" t="s">
        <v>62</v>
      </c>
    </row>
    <row r="784" spans="1:13" x14ac:dyDescent="0.2">
      <c r="A784">
        <v>229336</v>
      </c>
      <c r="B784" s="2">
        <v>45200</v>
      </c>
      <c r="C784">
        <v>20893</v>
      </c>
      <c r="D784" t="s">
        <v>63</v>
      </c>
      <c r="E784" t="s">
        <v>64</v>
      </c>
      <c r="F784" t="s">
        <v>65</v>
      </c>
      <c r="G784">
        <v>1</v>
      </c>
      <c r="H784">
        <v>4.99</v>
      </c>
      <c r="J784">
        <v>4.99</v>
      </c>
      <c r="K784" t="s">
        <v>53</v>
      </c>
      <c r="L784" t="s">
        <v>17</v>
      </c>
      <c r="M784" t="s">
        <v>117</v>
      </c>
    </row>
    <row r="785" spans="1:13" x14ac:dyDescent="0.2">
      <c r="A785">
        <v>229476</v>
      </c>
      <c r="B785" s="1">
        <v>44760</v>
      </c>
      <c r="C785">
        <v>25552</v>
      </c>
      <c r="D785" t="s">
        <v>124</v>
      </c>
      <c r="E785" t="s">
        <v>111</v>
      </c>
      <c r="F785" t="s">
        <v>112</v>
      </c>
      <c r="G785">
        <v>2</v>
      </c>
      <c r="H785">
        <v>12.74</v>
      </c>
      <c r="I785">
        <v>0.15</v>
      </c>
      <c r="J785">
        <v>21.66</v>
      </c>
      <c r="K785" t="s">
        <v>53</v>
      </c>
      <c r="L785" t="s">
        <v>37</v>
      </c>
      <c r="M785" t="s">
        <v>43</v>
      </c>
    </row>
    <row r="786" spans="1:13" x14ac:dyDescent="0.2">
      <c r="A786">
        <v>230116</v>
      </c>
      <c r="B786" s="1">
        <v>45286</v>
      </c>
      <c r="C786">
        <v>34307</v>
      </c>
      <c r="D786" t="s">
        <v>63</v>
      </c>
      <c r="E786" t="s">
        <v>68</v>
      </c>
      <c r="F786" t="s">
        <v>69</v>
      </c>
      <c r="G786">
        <v>5</v>
      </c>
      <c r="H786">
        <v>19.989999999999998</v>
      </c>
      <c r="I786">
        <v>0.2</v>
      </c>
      <c r="J786">
        <v>79.959999999999994</v>
      </c>
      <c r="K786" t="s">
        <v>16</v>
      </c>
      <c r="L786" t="s">
        <v>17</v>
      </c>
      <c r="M786" t="s">
        <v>96</v>
      </c>
    </row>
    <row r="787" spans="1:13" x14ac:dyDescent="0.2">
      <c r="A787">
        <v>230167</v>
      </c>
      <c r="B787" s="1">
        <v>45429</v>
      </c>
      <c r="C787">
        <v>13093</v>
      </c>
      <c r="D787" t="s">
        <v>164</v>
      </c>
      <c r="E787" t="s">
        <v>38</v>
      </c>
      <c r="F787" t="s">
        <v>39</v>
      </c>
      <c r="G787">
        <v>2</v>
      </c>
      <c r="H787">
        <v>28.49</v>
      </c>
      <c r="I787">
        <v>0.05</v>
      </c>
      <c r="J787">
        <v>54.13</v>
      </c>
      <c r="K787" t="s">
        <v>22</v>
      </c>
      <c r="L787" t="s">
        <v>17</v>
      </c>
      <c r="M787" t="s">
        <v>18</v>
      </c>
    </row>
    <row r="788" spans="1:13" x14ac:dyDescent="0.2">
      <c r="A788">
        <v>230393</v>
      </c>
      <c r="B788" s="1">
        <v>44787</v>
      </c>
      <c r="C788">
        <v>58303</v>
      </c>
      <c r="D788" t="s">
        <v>63</v>
      </c>
      <c r="E788" t="s">
        <v>64</v>
      </c>
      <c r="F788" t="s">
        <v>65</v>
      </c>
      <c r="G788">
        <v>2</v>
      </c>
      <c r="H788">
        <v>4.49</v>
      </c>
      <c r="I788">
        <v>0.1</v>
      </c>
      <c r="J788">
        <v>8.08</v>
      </c>
      <c r="K788" t="s">
        <v>16</v>
      </c>
      <c r="L788" t="s">
        <v>37</v>
      </c>
      <c r="M788" t="s">
        <v>81</v>
      </c>
    </row>
    <row r="789" spans="1:13" x14ac:dyDescent="0.2">
      <c r="A789">
        <v>230423</v>
      </c>
      <c r="B789" s="1">
        <v>44753</v>
      </c>
      <c r="C789">
        <v>15331</v>
      </c>
      <c r="D789" t="s">
        <v>40</v>
      </c>
      <c r="E789" t="s">
        <v>115</v>
      </c>
      <c r="F789" t="s">
        <v>116</v>
      </c>
      <c r="G789">
        <v>1</v>
      </c>
      <c r="H789">
        <v>9.74</v>
      </c>
      <c r="I789">
        <v>0.25</v>
      </c>
      <c r="J789">
        <v>7.3</v>
      </c>
      <c r="K789" t="s">
        <v>16</v>
      </c>
      <c r="L789" t="s">
        <v>17</v>
      </c>
      <c r="M789" t="s">
        <v>90</v>
      </c>
    </row>
    <row r="790" spans="1:13" x14ac:dyDescent="0.2">
      <c r="A790">
        <v>230626</v>
      </c>
      <c r="B790" s="1">
        <v>45019</v>
      </c>
      <c r="C790">
        <v>23637</v>
      </c>
      <c r="D790" t="s">
        <v>63</v>
      </c>
      <c r="E790" t="s">
        <v>125</v>
      </c>
      <c r="F790" t="s">
        <v>126</v>
      </c>
      <c r="G790">
        <v>1</v>
      </c>
      <c r="H790">
        <v>20.99</v>
      </c>
      <c r="I790">
        <v>0.3</v>
      </c>
      <c r="J790">
        <v>14.69</v>
      </c>
      <c r="K790" t="s">
        <v>36</v>
      </c>
      <c r="L790" t="s">
        <v>37</v>
      </c>
      <c r="M790" t="s">
        <v>28</v>
      </c>
    </row>
    <row r="791" spans="1:13" x14ac:dyDescent="0.2">
      <c r="A791">
        <v>230665</v>
      </c>
      <c r="B791" s="1">
        <v>44603</v>
      </c>
      <c r="C791">
        <v>68271</v>
      </c>
      <c r="D791" t="s">
        <v>97</v>
      </c>
      <c r="E791" t="s">
        <v>193</v>
      </c>
      <c r="F791" t="s">
        <v>194</v>
      </c>
      <c r="G791">
        <v>2</v>
      </c>
      <c r="H791">
        <v>64.989999999999995</v>
      </c>
      <c r="J791">
        <v>129.97999999999999</v>
      </c>
      <c r="K791" t="s">
        <v>16</v>
      </c>
      <c r="L791" t="s">
        <v>17</v>
      </c>
      <c r="M791" t="s">
        <v>120</v>
      </c>
    </row>
    <row r="792" spans="1:13" x14ac:dyDescent="0.2">
      <c r="A792">
        <v>230672</v>
      </c>
      <c r="B792" s="1">
        <v>45537</v>
      </c>
      <c r="C792">
        <v>31514</v>
      </c>
      <c r="D792" t="s">
        <v>25</v>
      </c>
      <c r="E792" t="s">
        <v>60</v>
      </c>
      <c r="F792" t="s">
        <v>61</v>
      </c>
      <c r="G792">
        <v>2</v>
      </c>
      <c r="H792">
        <v>49.49</v>
      </c>
      <c r="I792">
        <v>0.1</v>
      </c>
      <c r="J792">
        <v>89.08</v>
      </c>
      <c r="K792" t="s">
        <v>16</v>
      </c>
      <c r="L792" t="s">
        <v>17</v>
      </c>
      <c r="M792" t="s">
        <v>33</v>
      </c>
    </row>
    <row r="793" spans="1:13" x14ac:dyDescent="0.2">
      <c r="A793">
        <v>230940</v>
      </c>
      <c r="B793" s="1">
        <v>45101</v>
      </c>
      <c r="C793">
        <v>96713</v>
      </c>
      <c r="D793" t="s">
        <v>29</v>
      </c>
      <c r="E793" t="s">
        <v>175</v>
      </c>
      <c r="F793" t="s">
        <v>176</v>
      </c>
      <c r="G793">
        <v>1</v>
      </c>
      <c r="H793">
        <v>11.39</v>
      </c>
      <c r="I793">
        <v>0.05</v>
      </c>
      <c r="J793">
        <v>10.82</v>
      </c>
      <c r="K793" t="s">
        <v>16</v>
      </c>
      <c r="L793" t="s">
        <v>17</v>
      </c>
      <c r="M793" t="s">
        <v>57</v>
      </c>
    </row>
    <row r="794" spans="1:13" x14ac:dyDescent="0.2">
      <c r="A794">
        <v>231004</v>
      </c>
      <c r="B794" s="2">
        <v>45407</v>
      </c>
      <c r="C794">
        <v>74365</v>
      </c>
      <c r="D794" t="s">
        <v>44</v>
      </c>
      <c r="E794" t="s">
        <v>172</v>
      </c>
      <c r="F794" t="s">
        <v>173</v>
      </c>
      <c r="G794">
        <v>3</v>
      </c>
      <c r="H794">
        <v>3.37</v>
      </c>
      <c r="I794">
        <v>0.25</v>
      </c>
      <c r="J794">
        <v>7.58</v>
      </c>
      <c r="K794" t="s">
        <v>32</v>
      </c>
      <c r="L794" t="s">
        <v>17</v>
      </c>
    </row>
    <row r="795" spans="1:13" x14ac:dyDescent="0.2">
      <c r="A795">
        <v>231056</v>
      </c>
      <c r="B795" s="1">
        <v>44939</v>
      </c>
      <c r="C795">
        <v>77598</v>
      </c>
      <c r="D795" t="s">
        <v>82</v>
      </c>
      <c r="E795" t="s">
        <v>147</v>
      </c>
      <c r="F795" t="s">
        <v>148</v>
      </c>
      <c r="G795">
        <v>4</v>
      </c>
      <c r="H795">
        <v>11.69</v>
      </c>
      <c r="I795">
        <v>0.1</v>
      </c>
      <c r="J795">
        <v>42.08</v>
      </c>
      <c r="K795" t="s">
        <v>36</v>
      </c>
      <c r="L795" t="s">
        <v>17</v>
      </c>
      <c r="M795" t="s">
        <v>43</v>
      </c>
    </row>
    <row r="796" spans="1:13" x14ac:dyDescent="0.2">
      <c r="A796">
        <v>231297</v>
      </c>
      <c r="B796" s="1">
        <v>45210</v>
      </c>
      <c r="C796">
        <v>29620</v>
      </c>
      <c r="D796" t="s">
        <v>25</v>
      </c>
      <c r="E796" t="s">
        <v>60</v>
      </c>
      <c r="F796" t="s">
        <v>61</v>
      </c>
      <c r="G796">
        <v>1</v>
      </c>
      <c r="H796">
        <v>43.99</v>
      </c>
      <c r="I796">
        <v>0.2</v>
      </c>
      <c r="J796">
        <v>35.19</v>
      </c>
      <c r="K796" t="s">
        <v>53</v>
      </c>
      <c r="L796" t="s">
        <v>17</v>
      </c>
      <c r="M796" t="s">
        <v>102</v>
      </c>
    </row>
    <row r="797" spans="1:13" x14ac:dyDescent="0.2">
      <c r="A797">
        <v>231341</v>
      </c>
      <c r="B797" s="1">
        <v>44618</v>
      </c>
      <c r="C797">
        <v>17779</v>
      </c>
      <c r="D797" t="s">
        <v>97</v>
      </c>
      <c r="E797" t="s">
        <v>98</v>
      </c>
      <c r="F797" t="s">
        <v>99</v>
      </c>
      <c r="G797">
        <v>1</v>
      </c>
      <c r="H797">
        <v>23.79</v>
      </c>
      <c r="I797">
        <v>0.15</v>
      </c>
      <c r="J797">
        <v>20.22</v>
      </c>
      <c r="K797" t="s">
        <v>16</v>
      </c>
      <c r="L797" t="s">
        <v>17</v>
      </c>
      <c r="M797" t="s">
        <v>103</v>
      </c>
    </row>
    <row r="798" spans="1:13" x14ac:dyDescent="0.2">
      <c r="A798">
        <v>231602</v>
      </c>
      <c r="B798" s="1">
        <v>45456</v>
      </c>
      <c r="D798" t="s">
        <v>13</v>
      </c>
      <c r="E798" t="s">
        <v>34</v>
      </c>
      <c r="F798" t="s">
        <v>35</v>
      </c>
      <c r="G798">
        <v>1</v>
      </c>
      <c r="H798">
        <v>29.74</v>
      </c>
      <c r="I798">
        <v>0.15</v>
      </c>
      <c r="J798">
        <v>25.28</v>
      </c>
      <c r="K798" t="s">
        <v>36</v>
      </c>
      <c r="L798" t="s">
        <v>17</v>
      </c>
      <c r="M798" t="s">
        <v>24</v>
      </c>
    </row>
    <row r="799" spans="1:13" x14ac:dyDescent="0.2">
      <c r="A799">
        <v>231982</v>
      </c>
      <c r="B799" s="1">
        <v>45134</v>
      </c>
      <c r="C799">
        <v>45324</v>
      </c>
      <c r="D799" t="s">
        <v>97</v>
      </c>
      <c r="E799" t="s">
        <v>98</v>
      </c>
      <c r="F799" t="s">
        <v>99</v>
      </c>
      <c r="G799">
        <v>4</v>
      </c>
      <c r="H799">
        <v>25.19</v>
      </c>
      <c r="I799">
        <v>0.1</v>
      </c>
      <c r="J799">
        <v>90.68</v>
      </c>
      <c r="K799" t="s">
        <v>36</v>
      </c>
      <c r="L799" t="s">
        <v>17</v>
      </c>
      <c r="M799" t="s">
        <v>120</v>
      </c>
    </row>
    <row r="800" spans="1:13" x14ac:dyDescent="0.2">
      <c r="A800">
        <v>232479</v>
      </c>
      <c r="B800" s="2">
        <v>44659</v>
      </c>
      <c r="C800">
        <v>57735</v>
      </c>
      <c r="D800" t="s">
        <v>13</v>
      </c>
      <c r="E800" t="s">
        <v>14</v>
      </c>
      <c r="F800" t="s">
        <v>15</v>
      </c>
      <c r="G800">
        <v>1</v>
      </c>
      <c r="H800">
        <v>67.989999999999995</v>
      </c>
      <c r="I800">
        <v>0.15</v>
      </c>
      <c r="J800">
        <v>57.79</v>
      </c>
      <c r="K800" t="s">
        <v>36</v>
      </c>
      <c r="L800" t="s">
        <v>17</v>
      </c>
      <c r="M800" t="s">
        <v>67</v>
      </c>
    </row>
    <row r="801" spans="1:13" x14ac:dyDescent="0.2">
      <c r="A801">
        <v>232495</v>
      </c>
      <c r="B801" s="1">
        <v>45017</v>
      </c>
      <c r="C801">
        <v>84903</v>
      </c>
      <c r="D801" t="s">
        <v>63</v>
      </c>
      <c r="E801" t="s">
        <v>131</v>
      </c>
      <c r="F801" t="s">
        <v>132</v>
      </c>
      <c r="G801">
        <v>2</v>
      </c>
      <c r="H801">
        <v>2.62</v>
      </c>
      <c r="I801">
        <v>0.25</v>
      </c>
      <c r="J801">
        <v>3.93</v>
      </c>
      <c r="K801" t="s">
        <v>16</v>
      </c>
      <c r="L801" t="s">
        <v>17</v>
      </c>
      <c r="M801" t="s">
        <v>33</v>
      </c>
    </row>
    <row r="802" spans="1:13" x14ac:dyDescent="0.2">
      <c r="A802">
        <v>232521</v>
      </c>
      <c r="B802" s="1">
        <v>44592</v>
      </c>
      <c r="D802" t="s">
        <v>97</v>
      </c>
      <c r="E802" t="s">
        <v>141</v>
      </c>
      <c r="F802" t="s">
        <v>142</v>
      </c>
      <c r="G802">
        <v>1</v>
      </c>
      <c r="H802">
        <v>22.99</v>
      </c>
      <c r="J802">
        <v>22.99</v>
      </c>
      <c r="K802" t="s">
        <v>16</v>
      </c>
      <c r="L802" t="s">
        <v>17</v>
      </c>
      <c r="M802" t="s">
        <v>90</v>
      </c>
    </row>
    <row r="803" spans="1:13" x14ac:dyDescent="0.2">
      <c r="A803">
        <v>232755</v>
      </c>
      <c r="B803" s="1">
        <v>45081</v>
      </c>
      <c r="C803">
        <v>19462</v>
      </c>
      <c r="D803" t="s">
        <v>82</v>
      </c>
      <c r="E803" t="s">
        <v>168</v>
      </c>
      <c r="F803" t="s">
        <v>169</v>
      </c>
      <c r="G803">
        <v>3</v>
      </c>
      <c r="H803">
        <v>8.09</v>
      </c>
      <c r="I803">
        <v>0.1</v>
      </c>
      <c r="J803">
        <v>21.84</v>
      </c>
      <c r="K803" t="s">
        <v>95</v>
      </c>
      <c r="L803" t="s">
        <v>17</v>
      </c>
      <c r="M803" t="s">
        <v>43</v>
      </c>
    </row>
    <row r="804" spans="1:13" x14ac:dyDescent="0.2">
      <c r="A804">
        <v>233302</v>
      </c>
      <c r="B804" s="1">
        <v>44806</v>
      </c>
      <c r="C804">
        <v>10592</v>
      </c>
      <c r="D804" t="s">
        <v>106</v>
      </c>
      <c r="E804" t="s">
        <v>190</v>
      </c>
      <c r="F804" t="s">
        <v>191</v>
      </c>
      <c r="G804">
        <v>1</v>
      </c>
      <c r="H804">
        <v>4.29</v>
      </c>
      <c r="J804">
        <v>4.29</v>
      </c>
      <c r="K804" t="s">
        <v>53</v>
      </c>
      <c r="L804" t="s">
        <v>17</v>
      </c>
      <c r="M804" t="s">
        <v>67</v>
      </c>
    </row>
    <row r="805" spans="1:13" x14ac:dyDescent="0.2">
      <c r="A805">
        <v>233636</v>
      </c>
      <c r="B805" s="2">
        <v>45318</v>
      </c>
      <c r="C805">
        <v>15229</v>
      </c>
      <c r="D805" t="s">
        <v>44</v>
      </c>
      <c r="E805" t="s">
        <v>162</v>
      </c>
      <c r="F805" t="s">
        <v>163</v>
      </c>
      <c r="G805">
        <v>1</v>
      </c>
      <c r="H805">
        <v>5.59</v>
      </c>
      <c r="I805">
        <v>0.3</v>
      </c>
      <c r="J805">
        <v>3.91</v>
      </c>
      <c r="K805" t="s">
        <v>95</v>
      </c>
      <c r="L805" t="s">
        <v>17</v>
      </c>
      <c r="M805" t="s">
        <v>33</v>
      </c>
    </row>
    <row r="806" spans="1:13" x14ac:dyDescent="0.2">
      <c r="A806">
        <v>233838</v>
      </c>
      <c r="B806" s="2">
        <v>45616</v>
      </c>
      <c r="C806">
        <v>57577</v>
      </c>
      <c r="D806" t="s">
        <v>40</v>
      </c>
      <c r="E806" t="s">
        <v>58</v>
      </c>
      <c r="F806" t="s">
        <v>59</v>
      </c>
      <c r="G806">
        <v>2</v>
      </c>
      <c r="H806">
        <v>2.79</v>
      </c>
      <c r="I806">
        <v>0.3</v>
      </c>
      <c r="J806">
        <v>3.91</v>
      </c>
      <c r="K806" t="s">
        <v>22</v>
      </c>
      <c r="L806" t="s">
        <v>17</v>
      </c>
      <c r="M806" t="s">
        <v>90</v>
      </c>
    </row>
    <row r="807" spans="1:13" x14ac:dyDescent="0.2">
      <c r="A807">
        <v>233956</v>
      </c>
      <c r="B807" s="2">
        <v>45402</v>
      </c>
      <c r="C807">
        <v>96588</v>
      </c>
      <c r="D807" t="s">
        <v>48</v>
      </c>
      <c r="E807" t="s">
        <v>139</v>
      </c>
      <c r="F807" t="s">
        <v>140</v>
      </c>
      <c r="G807">
        <v>2</v>
      </c>
      <c r="H807">
        <v>7.99</v>
      </c>
      <c r="J807">
        <v>15.98</v>
      </c>
      <c r="K807" t="s">
        <v>95</v>
      </c>
      <c r="L807" t="s">
        <v>37</v>
      </c>
      <c r="M807" t="s">
        <v>67</v>
      </c>
    </row>
    <row r="808" spans="1:13" x14ac:dyDescent="0.2">
      <c r="A808">
        <v>234127</v>
      </c>
      <c r="B808" s="1">
        <v>44722</v>
      </c>
      <c r="C808">
        <v>70676</v>
      </c>
      <c r="D808" t="s">
        <v>63</v>
      </c>
      <c r="E808" t="s">
        <v>125</v>
      </c>
      <c r="F808" t="s">
        <v>126</v>
      </c>
      <c r="G808">
        <v>3</v>
      </c>
      <c r="H808">
        <v>29.99</v>
      </c>
      <c r="J808">
        <v>89.97</v>
      </c>
      <c r="K808" t="s">
        <v>16</v>
      </c>
      <c r="L808" t="s">
        <v>17</v>
      </c>
      <c r="M808" t="s">
        <v>102</v>
      </c>
    </row>
    <row r="809" spans="1:13" x14ac:dyDescent="0.2">
      <c r="A809">
        <v>234333</v>
      </c>
      <c r="B809" s="1">
        <v>44860</v>
      </c>
      <c r="C809">
        <v>36508</v>
      </c>
      <c r="D809" t="s">
        <v>40</v>
      </c>
      <c r="E809" t="s">
        <v>197</v>
      </c>
      <c r="F809" t="s">
        <v>198</v>
      </c>
      <c r="G809">
        <v>4</v>
      </c>
      <c r="H809">
        <v>10.49</v>
      </c>
      <c r="I809">
        <v>0.3</v>
      </c>
      <c r="J809">
        <v>29.37</v>
      </c>
      <c r="K809" t="s">
        <v>53</v>
      </c>
      <c r="L809" t="s">
        <v>37</v>
      </c>
      <c r="M809" t="s">
        <v>123</v>
      </c>
    </row>
    <row r="810" spans="1:13" x14ac:dyDescent="0.2">
      <c r="A810">
        <v>234476</v>
      </c>
      <c r="B810" s="1">
        <v>44958</v>
      </c>
      <c r="C810">
        <v>39879</v>
      </c>
      <c r="D810" t="s">
        <v>19</v>
      </c>
      <c r="E810" t="s">
        <v>115</v>
      </c>
      <c r="F810" t="s">
        <v>116</v>
      </c>
      <c r="G810">
        <v>1</v>
      </c>
      <c r="H810">
        <v>12.99</v>
      </c>
      <c r="J810">
        <v>12.99</v>
      </c>
      <c r="K810" t="s">
        <v>95</v>
      </c>
      <c r="L810" t="s">
        <v>17</v>
      </c>
      <c r="M810" t="s">
        <v>161</v>
      </c>
    </row>
    <row r="811" spans="1:13" x14ac:dyDescent="0.2">
      <c r="A811">
        <v>234485</v>
      </c>
      <c r="B811" s="1">
        <v>45152</v>
      </c>
      <c r="C811">
        <v>16501</v>
      </c>
      <c r="D811" t="s">
        <v>48</v>
      </c>
      <c r="E811" t="s">
        <v>139</v>
      </c>
      <c r="F811" t="s">
        <v>140</v>
      </c>
      <c r="G811">
        <v>1</v>
      </c>
      <c r="H811">
        <v>7.99</v>
      </c>
      <c r="J811">
        <v>7.99</v>
      </c>
      <c r="K811" t="s">
        <v>22</v>
      </c>
      <c r="L811" t="s">
        <v>37</v>
      </c>
      <c r="M811" t="s">
        <v>161</v>
      </c>
    </row>
    <row r="812" spans="1:13" x14ac:dyDescent="0.2">
      <c r="A812">
        <v>234513</v>
      </c>
      <c r="B812" s="2">
        <v>44729</v>
      </c>
      <c r="D812" t="s">
        <v>44</v>
      </c>
      <c r="E812" t="s">
        <v>107</v>
      </c>
      <c r="F812" t="s">
        <v>108</v>
      </c>
      <c r="G812">
        <v>2</v>
      </c>
      <c r="H812">
        <v>2.44</v>
      </c>
      <c r="I812">
        <v>0.3</v>
      </c>
      <c r="J812">
        <v>3.42</v>
      </c>
      <c r="K812" t="s">
        <v>16</v>
      </c>
      <c r="L812" t="s">
        <v>17</v>
      </c>
      <c r="M812" t="s">
        <v>90</v>
      </c>
    </row>
    <row r="813" spans="1:13" x14ac:dyDescent="0.2">
      <c r="A813">
        <v>234707</v>
      </c>
      <c r="B813" s="1">
        <v>45251</v>
      </c>
      <c r="C813">
        <v>18013</v>
      </c>
      <c r="D813" t="s">
        <v>25</v>
      </c>
      <c r="E813" t="s">
        <v>113</v>
      </c>
      <c r="F813" t="s">
        <v>114</v>
      </c>
      <c r="G813">
        <v>4</v>
      </c>
      <c r="H813">
        <v>83.99</v>
      </c>
      <c r="I813">
        <v>0.3</v>
      </c>
      <c r="J813">
        <v>235.17</v>
      </c>
      <c r="K813" t="s">
        <v>16</v>
      </c>
      <c r="L813" t="s">
        <v>17</v>
      </c>
      <c r="M813" t="s">
        <v>117</v>
      </c>
    </row>
    <row r="814" spans="1:13" x14ac:dyDescent="0.2">
      <c r="A814">
        <v>235197</v>
      </c>
      <c r="B814" s="1">
        <v>44903</v>
      </c>
      <c r="C814">
        <v>34928</v>
      </c>
      <c r="D814" t="s">
        <v>63</v>
      </c>
      <c r="E814" t="s">
        <v>125</v>
      </c>
      <c r="F814" t="s">
        <v>126</v>
      </c>
      <c r="G814">
        <v>3</v>
      </c>
      <c r="H814">
        <v>26.99</v>
      </c>
      <c r="I814">
        <v>0.1</v>
      </c>
      <c r="J814">
        <v>72.87</v>
      </c>
      <c r="K814" t="s">
        <v>16</v>
      </c>
      <c r="L814" t="s">
        <v>23</v>
      </c>
      <c r="M814" t="s">
        <v>103</v>
      </c>
    </row>
    <row r="815" spans="1:13" x14ac:dyDescent="0.2">
      <c r="A815">
        <v>235199</v>
      </c>
      <c r="B815" s="1">
        <v>44641</v>
      </c>
      <c r="C815">
        <v>77728</v>
      </c>
      <c r="D815" t="s">
        <v>63</v>
      </c>
      <c r="E815" t="s">
        <v>125</v>
      </c>
      <c r="F815" t="s">
        <v>126</v>
      </c>
      <c r="G815">
        <v>1</v>
      </c>
      <c r="H815">
        <v>26.99</v>
      </c>
      <c r="I815">
        <v>0.1</v>
      </c>
      <c r="J815">
        <v>24.29</v>
      </c>
      <c r="K815" t="s">
        <v>16</v>
      </c>
      <c r="L815" t="s">
        <v>17</v>
      </c>
    </row>
    <row r="816" spans="1:13" x14ac:dyDescent="0.2">
      <c r="A816">
        <v>235241</v>
      </c>
      <c r="B816" s="1">
        <v>44801</v>
      </c>
      <c r="C816">
        <v>91063</v>
      </c>
      <c r="D816" t="s">
        <v>29</v>
      </c>
      <c r="E816" t="s">
        <v>72</v>
      </c>
      <c r="F816" t="s">
        <v>73</v>
      </c>
      <c r="G816">
        <v>4</v>
      </c>
      <c r="H816">
        <v>31.99</v>
      </c>
      <c r="I816">
        <v>0.2</v>
      </c>
      <c r="J816">
        <v>102.37</v>
      </c>
      <c r="K816" t="s">
        <v>36</v>
      </c>
      <c r="L816" t="s">
        <v>37</v>
      </c>
      <c r="M816" t="s">
        <v>161</v>
      </c>
    </row>
    <row r="817" spans="1:13" x14ac:dyDescent="0.2">
      <c r="A817">
        <v>235252</v>
      </c>
      <c r="B817" s="1">
        <v>45589</v>
      </c>
      <c r="C817">
        <v>62872</v>
      </c>
      <c r="D817" t="s">
        <v>82</v>
      </c>
      <c r="E817" t="s">
        <v>168</v>
      </c>
      <c r="F817" t="s">
        <v>169</v>
      </c>
      <c r="G817">
        <v>1</v>
      </c>
      <c r="H817">
        <v>8.5399999999999991</v>
      </c>
      <c r="I817">
        <v>0.05</v>
      </c>
      <c r="J817">
        <v>8.11</v>
      </c>
      <c r="K817" t="s">
        <v>36</v>
      </c>
      <c r="L817" t="s">
        <v>17</v>
      </c>
      <c r="M817" t="s">
        <v>120</v>
      </c>
    </row>
    <row r="818" spans="1:13" x14ac:dyDescent="0.2">
      <c r="A818">
        <v>235316</v>
      </c>
      <c r="B818" s="1">
        <v>44837</v>
      </c>
      <c r="C818">
        <v>13942</v>
      </c>
      <c r="D818" t="s">
        <v>40</v>
      </c>
      <c r="E818" t="s">
        <v>41</v>
      </c>
      <c r="F818" t="s">
        <v>42</v>
      </c>
      <c r="G818">
        <v>3</v>
      </c>
      <c r="H818">
        <v>5.69</v>
      </c>
      <c r="I818">
        <v>0.05</v>
      </c>
      <c r="J818">
        <v>16.22</v>
      </c>
      <c r="K818" t="s">
        <v>36</v>
      </c>
      <c r="L818" t="s">
        <v>23</v>
      </c>
      <c r="M818" t="s">
        <v>90</v>
      </c>
    </row>
    <row r="819" spans="1:13" x14ac:dyDescent="0.2">
      <c r="A819">
        <v>235345</v>
      </c>
      <c r="B819" s="2">
        <v>45631</v>
      </c>
      <c r="C819">
        <v>47714</v>
      </c>
      <c r="D819" t="s">
        <v>44</v>
      </c>
      <c r="E819" t="s">
        <v>190</v>
      </c>
      <c r="F819" t="s">
        <v>191</v>
      </c>
      <c r="G819">
        <v>1</v>
      </c>
      <c r="H819">
        <v>4.29</v>
      </c>
      <c r="J819">
        <v>4.29</v>
      </c>
      <c r="K819" t="s">
        <v>22</v>
      </c>
      <c r="L819" t="s">
        <v>17</v>
      </c>
      <c r="M819" t="s">
        <v>123</v>
      </c>
    </row>
    <row r="820" spans="1:13" x14ac:dyDescent="0.2">
      <c r="A820">
        <v>235753</v>
      </c>
      <c r="B820" s="1">
        <v>44727</v>
      </c>
      <c r="C820">
        <v>76532</v>
      </c>
      <c r="D820" t="s">
        <v>97</v>
      </c>
      <c r="E820" t="s">
        <v>135</v>
      </c>
      <c r="F820" t="s">
        <v>136</v>
      </c>
      <c r="G820">
        <v>2</v>
      </c>
      <c r="H820">
        <v>6.99</v>
      </c>
      <c r="I820">
        <v>0.3</v>
      </c>
      <c r="J820">
        <v>9.7899999999999991</v>
      </c>
      <c r="K820" t="s">
        <v>16</v>
      </c>
      <c r="L820" t="s">
        <v>17</v>
      </c>
      <c r="M820" t="s">
        <v>57</v>
      </c>
    </row>
    <row r="821" spans="1:13" x14ac:dyDescent="0.2">
      <c r="A821">
        <v>236001</v>
      </c>
      <c r="B821" s="2">
        <v>45383</v>
      </c>
      <c r="C821">
        <v>38588</v>
      </c>
      <c r="D821" t="s">
        <v>97</v>
      </c>
      <c r="E821" t="s">
        <v>151</v>
      </c>
      <c r="F821" t="s">
        <v>152</v>
      </c>
      <c r="G821">
        <v>1</v>
      </c>
      <c r="H821">
        <v>27.99</v>
      </c>
      <c r="J821">
        <v>27.99</v>
      </c>
      <c r="K821" t="s">
        <v>16</v>
      </c>
      <c r="L821" t="s">
        <v>17</v>
      </c>
      <c r="M821" t="s">
        <v>120</v>
      </c>
    </row>
    <row r="822" spans="1:13" x14ac:dyDescent="0.2">
      <c r="A822">
        <v>236009</v>
      </c>
      <c r="B822" s="2">
        <v>45163</v>
      </c>
      <c r="C822">
        <v>26175</v>
      </c>
      <c r="D822" t="s">
        <v>29</v>
      </c>
      <c r="E822" t="s">
        <v>30</v>
      </c>
      <c r="F822" t="s">
        <v>31</v>
      </c>
      <c r="G822">
        <v>4</v>
      </c>
      <c r="H822">
        <v>24.99</v>
      </c>
      <c r="J822">
        <v>99.96</v>
      </c>
      <c r="K822" t="s">
        <v>53</v>
      </c>
      <c r="L822" t="s">
        <v>37</v>
      </c>
      <c r="M822" t="s">
        <v>81</v>
      </c>
    </row>
    <row r="823" spans="1:13" x14ac:dyDescent="0.2">
      <c r="A823">
        <v>236145</v>
      </c>
      <c r="B823" s="1">
        <v>44576</v>
      </c>
      <c r="C823">
        <v>30285</v>
      </c>
      <c r="D823" t="s">
        <v>40</v>
      </c>
      <c r="E823" t="s">
        <v>197</v>
      </c>
      <c r="F823" t="s">
        <v>198</v>
      </c>
      <c r="G823">
        <v>1</v>
      </c>
      <c r="H823">
        <v>14.99</v>
      </c>
      <c r="J823">
        <v>14.99</v>
      </c>
      <c r="K823" t="s">
        <v>16</v>
      </c>
      <c r="L823" t="s">
        <v>37</v>
      </c>
      <c r="M823" t="s">
        <v>117</v>
      </c>
    </row>
    <row r="824" spans="1:13" x14ac:dyDescent="0.2">
      <c r="A824">
        <v>236356</v>
      </c>
      <c r="B824" s="1">
        <v>45522</v>
      </c>
      <c r="C824">
        <v>91446</v>
      </c>
      <c r="D824" t="s">
        <v>97</v>
      </c>
      <c r="E824" t="s">
        <v>181</v>
      </c>
      <c r="F824" t="s">
        <v>182</v>
      </c>
      <c r="G824">
        <v>2</v>
      </c>
      <c r="H824">
        <v>14.99</v>
      </c>
      <c r="J824">
        <v>29.98</v>
      </c>
      <c r="K824" t="s">
        <v>16</v>
      </c>
      <c r="L824" t="s">
        <v>17</v>
      </c>
      <c r="M824" t="s">
        <v>161</v>
      </c>
    </row>
    <row r="825" spans="1:13" x14ac:dyDescent="0.2">
      <c r="A825">
        <v>236389</v>
      </c>
      <c r="B825" s="1">
        <v>45374</v>
      </c>
      <c r="D825" t="s">
        <v>97</v>
      </c>
      <c r="E825" t="s">
        <v>181</v>
      </c>
      <c r="F825" t="s">
        <v>182</v>
      </c>
      <c r="G825">
        <v>2</v>
      </c>
      <c r="H825">
        <v>14.99</v>
      </c>
      <c r="J825">
        <v>29.98</v>
      </c>
      <c r="K825" t="s">
        <v>16</v>
      </c>
      <c r="L825" t="s">
        <v>23</v>
      </c>
      <c r="M825" t="s">
        <v>103</v>
      </c>
    </row>
    <row r="826" spans="1:13" x14ac:dyDescent="0.2">
      <c r="A826">
        <v>236569</v>
      </c>
      <c r="B826" s="1">
        <v>44979</v>
      </c>
      <c r="C826">
        <v>52940</v>
      </c>
      <c r="D826" t="s">
        <v>85</v>
      </c>
      <c r="E826" t="s">
        <v>157</v>
      </c>
      <c r="F826" t="s">
        <v>158</v>
      </c>
      <c r="G826">
        <v>2</v>
      </c>
      <c r="H826">
        <v>10.119999999999999</v>
      </c>
      <c r="I826">
        <v>0.25</v>
      </c>
      <c r="J826">
        <v>15.18</v>
      </c>
      <c r="K826" t="s">
        <v>16</v>
      </c>
      <c r="L826" t="s">
        <v>17</v>
      </c>
      <c r="M826" t="s">
        <v>96</v>
      </c>
    </row>
    <row r="827" spans="1:13" x14ac:dyDescent="0.2">
      <c r="A827">
        <v>236614</v>
      </c>
      <c r="B827" s="2">
        <v>45049</v>
      </c>
      <c r="C827">
        <v>41160</v>
      </c>
      <c r="D827" t="s">
        <v>29</v>
      </c>
      <c r="E827" t="s">
        <v>175</v>
      </c>
      <c r="F827" t="s">
        <v>176</v>
      </c>
      <c r="G827">
        <v>1</v>
      </c>
      <c r="H827">
        <v>9.59</v>
      </c>
      <c r="I827">
        <v>0.2</v>
      </c>
      <c r="J827">
        <v>7.67</v>
      </c>
      <c r="K827" t="s">
        <v>95</v>
      </c>
      <c r="L827" t="s">
        <v>17</v>
      </c>
      <c r="M827" t="s">
        <v>47</v>
      </c>
    </row>
    <row r="828" spans="1:13" x14ac:dyDescent="0.2">
      <c r="A828">
        <v>236664</v>
      </c>
      <c r="B828" s="1">
        <v>45312</v>
      </c>
      <c r="D828" t="s">
        <v>82</v>
      </c>
      <c r="E828" t="s">
        <v>168</v>
      </c>
      <c r="F828" t="s">
        <v>169</v>
      </c>
      <c r="G828">
        <v>1</v>
      </c>
      <c r="H828">
        <v>7.19</v>
      </c>
      <c r="I828">
        <v>0.2</v>
      </c>
      <c r="J828">
        <v>5.75</v>
      </c>
      <c r="K828" t="s">
        <v>95</v>
      </c>
      <c r="L828" t="s">
        <v>17</v>
      </c>
      <c r="M828" t="s">
        <v>33</v>
      </c>
    </row>
    <row r="829" spans="1:13" x14ac:dyDescent="0.2">
      <c r="A829">
        <v>236799</v>
      </c>
      <c r="B829" s="2">
        <v>45316</v>
      </c>
      <c r="C829">
        <v>19186</v>
      </c>
      <c r="D829" t="s">
        <v>40</v>
      </c>
      <c r="E829" t="s">
        <v>58</v>
      </c>
      <c r="F829" t="s">
        <v>59</v>
      </c>
      <c r="G829">
        <v>2</v>
      </c>
      <c r="H829">
        <v>3.79</v>
      </c>
      <c r="I829">
        <v>0.05</v>
      </c>
      <c r="J829">
        <v>7.2</v>
      </c>
      <c r="K829" t="s">
        <v>16</v>
      </c>
      <c r="L829" t="s">
        <v>17</v>
      </c>
      <c r="M829" t="s">
        <v>90</v>
      </c>
    </row>
    <row r="830" spans="1:13" x14ac:dyDescent="0.2">
      <c r="A830">
        <v>236878</v>
      </c>
      <c r="B830" s="1">
        <v>44655</v>
      </c>
      <c r="C830">
        <v>22752</v>
      </c>
      <c r="D830" t="s">
        <v>13</v>
      </c>
      <c r="E830" t="s">
        <v>55</v>
      </c>
      <c r="F830" t="s">
        <v>56</v>
      </c>
      <c r="G830">
        <v>3</v>
      </c>
      <c r="H830">
        <v>313.49</v>
      </c>
      <c r="I830">
        <v>0.05</v>
      </c>
      <c r="J830">
        <v>893.45</v>
      </c>
      <c r="K830" t="s">
        <v>95</v>
      </c>
      <c r="L830" t="s">
        <v>17</v>
      </c>
      <c r="M830" t="s">
        <v>24</v>
      </c>
    </row>
    <row r="831" spans="1:13" x14ac:dyDescent="0.2">
      <c r="A831">
        <v>236956</v>
      </c>
      <c r="B831" s="1">
        <v>45013</v>
      </c>
      <c r="C831">
        <v>46654</v>
      </c>
      <c r="D831" t="s">
        <v>13</v>
      </c>
      <c r="E831" t="s">
        <v>186</v>
      </c>
      <c r="F831" t="s">
        <v>187</v>
      </c>
      <c r="G831">
        <v>1</v>
      </c>
      <c r="H831">
        <v>49.99</v>
      </c>
      <c r="J831">
        <v>49.99</v>
      </c>
      <c r="K831" t="s">
        <v>32</v>
      </c>
      <c r="L831" t="s">
        <v>37</v>
      </c>
      <c r="M831" t="s">
        <v>54</v>
      </c>
    </row>
    <row r="832" spans="1:13" x14ac:dyDescent="0.2">
      <c r="A832">
        <v>237156</v>
      </c>
      <c r="B832" s="2">
        <v>44925</v>
      </c>
      <c r="C832">
        <v>51580</v>
      </c>
      <c r="D832" t="s">
        <v>85</v>
      </c>
      <c r="E832" t="s">
        <v>149</v>
      </c>
      <c r="F832" t="s">
        <v>150</v>
      </c>
      <c r="G832">
        <v>1</v>
      </c>
      <c r="H832">
        <v>13.99</v>
      </c>
      <c r="I832">
        <v>0.3</v>
      </c>
      <c r="J832">
        <v>9.7899999999999991</v>
      </c>
      <c r="K832" t="s">
        <v>66</v>
      </c>
      <c r="L832" t="s">
        <v>17</v>
      </c>
      <c r="M832" t="s">
        <v>81</v>
      </c>
    </row>
    <row r="833" spans="1:13" x14ac:dyDescent="0.2">
      <c r="A833">
        <v>237235</v>
      </c>
      <c r="B833" s="1">
        <v>45205</v>
      </c>
      <c r="D833" t="s">
        <v>82</v>
      </c>
      <c r="E833" t="s">
        <v>83</v>
      </c>
      <c r="F833" t="s">
        <v>84</v>
      </c>
      <c r="G833">
        <v>1</v>
      </c>
      <c r="H833">
        <v>16.14</v>
      </c>
      <c r="J833">
        <v>16.14</v>
      </c>
      <c r="K833" t="s">
        <v>16</v>
      </c>
      <c r="L833" t="s">
        <v>17</v>
      </c>
      <c r="M833" t="s">
        <v>62</v>
      </c>
    </row>
    <row r="834" spans="1:13" x14ac:dyDescent="0.2">
      <c r="A834">
        <v>237294</v>
      </c>
      <c r="B834" s="1">
        <v>45175</v>
      </c>
      <c r="C834">
        <v>74986</v>
      </c>
      <c r="D834" t="s">
        <v>63</v>
      </c>
      <c r="E834" t="s">
        <v>68</v>
      </c>
      <c r="F834" t="s">
        <v>69</v>
      </c>
      <c r="G834">
        <v>1</v>
      </c>
      <c r="H834">
        <v>21.24</v>
      </c>
      <c r="I834">
        <v>0.15</v>
      </c>
      <c r="J834">
        <v>18.05</v>
      </c>
      <c r="K834" t="s">
        <v>36</v>
      </c>
      <c r="L834" t="s">
        <v>37</v>
      </c>
      <c r="M834" t="s">
        <v>62</v>
      </c>
    </row>
    <row r="835" spans="1:13" x14ac:dyDescent="0.2">
      <c r="A835">
        <v>237467</v>
      </c>
      <c r="B835" s="1">
        <v>45263</v>
      </c>
      <c r="C835">
        <v>57809</v>
      </c>
      <c r="D835" t="s">
        <v>97</v>
      </c>
      <c r="E835" t="s">
        <v>151</v>
      </c>
      <c r="F835" t="s">
        <v>152</v>
      </c>
      <c r="G835">
        <v>3</v>
      </c>
      <c r="H835">
        <v>34.99</v>
      </c>
      <c r="J835">
        <v>104.97</v>
      </c>
      <c r="K835" t="s">
        <v>36</v>
      </c>
      <c r="L835" t="s">
        <v>23</v>
      </c>
      <c r="M835" t="s">
        <v>90</v>
      </c>
    </row>
    <row r="836" spans="1:13" x14ac:dyDescent="0.2">
      <c r="A836">
        <v>237649</v>
      </c>
      <c r="B836" s="1">
        <v>44770</v>
      </c>
      <c r="C836">
        <v>23113</v>
      </c>
      <c r="D836" t="s">
        <v>40</v>
      </c>
      <c r="E836" t="s">
        <v>197</v>
      </c>
      <c r="F836" t="s">
        <v>198</v>
      </c>
      <c r="G836">
        <v>5</v>
      </c>
      <c r="H836">
        <v>11.24</v>
      </c>
      <c r="I836">
        <v>0.25</v>
      </c>
      <c r="J836">
        <v>42.15</v>
      </c>
      <c r="K836" t="s">
        <v>36</v>
      </c>
      <c r="L836" t="s">
        <v>23</v>
      </c>
      <c r="M836" t="s">
        <v>62</v>
      </c>
    </row>
    <row r="837" spans="1:13" x14ac:dyDescent="0.2">
      <c r="A837">
        <v>237807</v>
      </c>
      <c r="B837" s="2">
        <v>45308</v>
      </c>
      <c r="C837">
        <v>19588</v>
      </c>
      <c r="D837" t="s">
        <v>44</v>
      </c>
      <c r="E837" t="s">
        <v>74</v>
      </c>
      <c r="F837" t="s">
        <v>75</v>
      </c>
      <c r="G837">
        <v>1</v>
      </c>
      <c r="H837">
        <v>2.39</v>
      </c>
      <c r="J837">
        <v>2.39</v>
      </c>
      <c r="K837" t="s">
        <v>36</v>
      </c>
      <c r="L837" t="s">
        <v>37</v>
      </c>
      <c r="M837" t="s">
        <v>103</v>
      </c>
    </row>
    <row r="838" spans="1:13" x14ac:dyDescent="0.2">
      <c r="A838">
        <v>238375</v>
      </c>
      <c r="B838" s="1">
        <v>45027</v>
      </c>
      <c r="C838">
        <v>38194</v>
      </c>
      <c r="D838" t="s">
        <v>44</v>
      </c>
      <c r="E838" t="s">
        <v>172</v>
      </c>
      <c r="F838" t="s">
        <v>173</v>
      </c>
      <c r="G838">
        <v>1</v>
      </c>
      <c r="H838">
        <v>3.82</v>
      </c>
      <c r="I838">
        <v>0.15</v>
      </c>
      <c r="J838">
        <v>3.25</v>
      </c>
      <c r="K838" t="s">
        <v>32</v>
      </c>
      <c r="L838" t="s">
        <v>23</v>
      </c>
      <c r="M838" t="s">
        <v>24</v>
      </c>
    </row>
    <row r="839" spans="1:13" x14ac:dyDescent="0.2">
      <c r="A839">
        <v>238622</v>
      </c>
      <c r="B839" s="1">
        <v>45342</v>
      </c>
      <c r="C839">
        <v>87646</v>
      </c>
      <c r="D839" t="s">
        <v>25</v>
      </c>
      <c r="E839" t="s">
        <v>113</v>
      </c>
      <c r="F839" t="s">
        <v>114</v>
      </c>
      <c r="G839">
        <v>1</v>
      </c>
      <c r="H839">
        <v>107.99</v>
      </c>
      <c r="I839">
        <v>0.1</v>
      </c>
      <c r="J839">
        <v>97.19</v>
      </c>
      <c r="K839" t="s">
        <v>36</v>
      </c>
      <c r="L839" t="s">
        <v>37</v>
      </c>
      <c r="M839" t="s">
        <v>123</v>
      </c>
    </row>
    <row r="840" spans="1:13" x14ac:dyDescent="0.2">
      <c r="A840">
        <v>238661</v>
      </c>
      <c r="B840" s="1">
        <v>45181</v>
      </c>
      <c r="C840">
        <v>44116</v>
      </c>
      <c r="D840" t="s">
        <v>63</v>
      </c>
      <c r="E840" t="s">
        <v>125</v>
      </c>
      <c r="F840" t="s">
        <v>126</v>
      </c>
      <c r="G840">
        <v>3</v>
      </c>
      <c r="H840">
        <v>23.99</v>
      </c>
      <c r="I840">
        <v>0.2</v>
      </c>
      <c r="J840">
        <v>57.58</v>
      </c>
      <c r="K840" t="s">
        <v>36</v>
      </c>
      <c r="L840" t="s">
        <v>17</v>
      </c>
      <c r="M840" t="s">
        <v>96</v>
      </c>
    </row>
    <row r="841" spans="1:13" x14ac:dyDescent="0.2">
      <c r="A841">
        <v>238687</v>
      </c>
      <c r="B841" s="1">
        <v>44975</v>
      </c>
      <c r="C841">
        <v>26089</v>
      </c>
      <c r="D841" t="s">
        <v>63</v>
      </c>
      <c r="E841" t="s">
        <v>64</v>
      </c>
      <c r="F841" t="s">
        <v>65</v>
      </c>
      <c r="G841">
        <v>5</v>
      </c>
      <c r="H841">
        <v>3.99</v>
      </c>
      <c r="I841">
        <v>0.2</v>
      </c>
      <c r="J841">
        <v>15.96</v>
      </c>
      <c r="K841" t="s">
        <v>36</v>
      </c>
      <c r="L841" t="s">
        <v>17</v>
      </c>
      <c r="M841" t="s">
        <v>43</v>
      </c>
    </row>
    <row r="842" spans="1:13" x14ac:dyDescent="0.2">
      <c r="A842">
        <v>238735</v>
      </c>
      <c r="B842" s="2">
        <v>45452</v>
      </c>
      <c r="C842">
        <v>23771</v>
      </c>
      <c r="D842" t="s">
        <v>29</v>
      </c>
      <c r="E842" t="s">
        <v>88</v>
      </c>
      <c r="F842" t="s">
        <v>89</v>
      </c>
      <c r="G842">
        <v>4</v>
      </c>
      <c r="H842">
        <v>44.99</v>
      </c>
      <c r="I842">
        <v>0.1</v>
      </c>
      <c r="J842">
        <v>161.96</v>
      </c>
      <c r="K842" t="s">
        <v>32</v>
      </c>
      <c r="L842" t="s">
        <v>17</v>
      </c>
      <c r="M842" t="s">
        <v>103</v>
      </c>
    </row>
    <row r="843" spans="1:13" x14ac:dyDescent="0.2">
      <c r="A843">
        <v>238746</v>
      </c>
      <c r="B843" s="2">
        <v>44591</v>
      </c>
      <c r="C843">
        <v>48888</v>
      </c>
      <c r="D843" t="s">
        <v>44</v>
      </c>
      <c r="E843" t="s">
        <v>177</v>
      </c>
      <c r="F843" t="s">
        <v>178</v>
      </c>
      <c r="G843">
        <v>1</v>
      </c>
      <c r="H843">
        <v>11.99</v>
      </c>
      <c r="J843">
        <v>11.99</v>
      </c>
      <c r="K843" t="s">
        <v>16</v>
      </c>
      <c r="L843" t="s">
        <v>17</v>
      </c>
      <c r="M843" t="s">
        <v>67</v>
      </c>
    </row>
    <row r="844" spans="1:13" x14ac:dyDescent="0.2">
      <c r="A844">
        <v>238861</v>
      </c>
      <c r="B844" s="1">
        <v>44980</v>
      </c>
      <c r="C844">
        <v>81316</v>
      </c>
      <c r="D844" t="s">
        <v>44</v>
      </c>
      <c r="E844" t="s">
        <v>74</v>
      </c>
      <c r="F844" t="s">
        <v>75</v>
      </c>
      <c r="G844">
        <v>1</v>
      </c>
      <c r="H844">
        <v>2.99</v>
      </c>
      <c r="J844">
        <v>2.99</v>
      </c>
      <c r="K844" t="s">
        <v>95</v>
      </c>
      <c r="L844" t="s">
        <v>17</v>
      </c>
      <c r="M844" t="s">
        <v>54</v>
      </c>
    </row>
    <row r="845" spans="1:13" x14ac:dyDescent="0.2">
      <c r="A845">
        <v>238980</v>
      </c>
      <c r="B845" s="1">
        <v>44596</v>
      </c>
      <c r="C845">
        <v>85011</v>
      </c>
      <c r="D845" t="s">
        <v>40</v>
      </c>
      <c r="E845" t="s">
        <v>58</v>
      </c>
      <c r="F845" t="s">
        <v>59</v>
      </c>
      <c r="G845">
        <v>3</v>
      </c>
      <c r="H845">
        <v>3.99</v>
      </c>
      <c r="J845">
        <v>11.97</v>
      </c>
      <c r="K845" t="s">
        <v>36</v>
      </c>
      <c r="L845" t="s">
        <v>17</v>
      </c>
      <c r="M845" t="s">
        <v>161</v>
      </c>
    </row>
    <row r="846" spans="1:13" x14ac:dyDescent="0.2">
      <c r="A846">
        <v>239151</v>
      </c>
      <c r="B846" s="1">
        <v>45303</v>
      </c>
      <c r="C846">
        <v>91321</v>
      </c>
      <c r="D846" t="s">
        <v>164</v>
      </c>
      <c r="E846" t="s">
        <v>175</v>
      </c>
      <c r="F846" t="s">
        <v>176</v>
      </c>
      <c r="G846">
        <v>1</v>
      </c>
      <c r="H846">
        <v>11.99</v>
      </c>
      <c r="J846">
        <v>11.99</v>
      </c>
      <c r="K846" t="s">
        <v>36</v>
      </c>
      <c r="L846" t="s">
        <v>37</v>
      </c>
      <c r="M846" t="s">
        <v>120</v>
      </c>
    </row>
    <row r="847" spans="1:13" x14ac:dyDescent="0.2">
      <c r="A847">
        <v>239191</v>
      </c>
      <c r="B847" s="1">
        <v>44645</v>
      </c>
      <c r="C847">
        <v>40451</v>
      </c>
      <c r="D847" t="s">
        <v>48</v>
      </c>
      <c r="E847" t="s">
        <v>143</v>
      </c>
      <c r="F847" t="s">
        <v>144</v>
      </c>
      <c r="G847">
        <v>2</v>
      </c>
      <c r="H847">
        <v>10.49</v>
      </c>
      <c r="I847">
        <v>0.3</v>
      </c>
      <c r="J847">
        <v>14.69</v>
      </c>
      <c r="K847" t="s">
        <v>53</v>
      </c>
      <c r="L847" t="s">
        <v>17</v>
      </c>
      <c r="M847" t="s">
        <v>62</v>
      </c>
    </row>
    <row r="848" spans="1:13" x14ac:dyDescent="0.2">
      <c r="A848">
        <v>239611</v>
      </c>
      <c r="B848" s="2">
        <v>45085</v>
      </c>
      <c r="C848">
        <v>80497</v>
      </c>
      <c r="D848" t="s">
        <v>63</v>
      </c>
      <c r="E848" t="s">
        <v>125</v>
      </c>
      <c r="F848" t="s">
        <v>126</v>
      </c>
      <c r="G848">
        <v>2</v>
      </c>
      <c r="H848">
        <v>28.49</v>
      </c>
      <c r="I848">
        <v>0.05</v>
      </c>
      <c r="J848">
        <v>54.13</v>
      </c>
      <c r="K848" t="s">
        <v>53</v>
      </c>
      <c r="L848" t="s">
        <v>23</v>
      </c>
      <c r="M848" t="s">
        <v>96</v>
      </c>
    </row>
    <row r="849" spans="1:13" x14ac:dyDescent="0.2">
      <c r="A849">
        <v>239680</v>
      </c>
      <c r="B849" s="1">
        <v>45518</v>
      </c>
      <c r="C849">
        <v>68325</v>
      </c>
      <c r="D849" t="s">
        <v>97</v>
      </c>
      <c r="E849" t="s">
        <v>193</v>
      </c>
      <c r="F849" t="s">
        <v>194</v>
      </c>
      <c r="G849">
        <v>2</v>
      </c>
      <c r="H849">
        <v>51.99</v>
      </c>
      <c r="I849">
        <v>0.2</v>
      </c>
      <c r="J849">
        <v>83.18</v>
      </c>
      <c r="K849" t="s">
        <v>16</v>
      </c>
      <c r="L849" t="s">
        <v>17</v>
      </c>
      <c r="M849" t="s">
        <v>96</v>
      </c>
    </row>
    <row r="850" spans="1:13" x14ac:dyDescent="0.2">
      <c r="A850">
        <v>239923</v>
      </c>
      <c r="B850" s="1">
        <v>45595</v>
      </c>
      <c r="C850">
        <v>22483</v>
      </c>
      <c r="D850" t="s">
        <v>13</v>
      </c>
      <c r="E850" t="s">
        <v>34</v>
      </c>
      <c r="F850" t="s">
        <v>35</v>
      </c>
      <c r="G850">
        <v>1</v>
      </c>
      <c r="H850">
        <v>27.99</v>
      </c>
      <c r="I850">
        <v>0.2</v>
      </c>
      <c r="J850">
        <v>22.39</v>
      </c>
      <c r="K850" t="s">
        <v>22</v>
      </c>
      <c r="L850" t="s">
        <v>17</v>
      </c>
      <c r="M850" t="s">
        <v>28</v>
      </c>
    </row>
    <row r="851" spans="1:13" x14ac:dyDescent="0.2">
      <c r="A851">
        <v>240038</v>
      </c>
      <c r="B851" s="1">
        <v>44923</v>
      </c>
      <c r="C851">
        <v>36765</v>
      </c>
      <c r="D851" t="s">
        <v>44</v>
      </c>
      <c r="E851" t="s">
        <v>172</v>
      </c>
      <c r="F851" t="s">
        <v>173</v>
      </c>
      <c r="G851">
        <v>5</v>
      </c>
      <c r="H851">
        <v>3.59</v>
      </c>
      <c r="I851">
        <v>0.2</v>
      </c>
      <c r="J851">
        <v>14.36</v>
      </c>
      <c r="K851" t="s">
        <v>36</v>
      </c>
      <c r="L851" t="s">
        <v>17</v>
      </c>
      <c r="M851" t="s">
        <v>47</v>
      </c>
    </row>
    <row r="852" spans="1:13" x14ac:dyDescent="0.2">
      <c r="A852">
        <v>240150</v>
      </c>
      <c r="B852" s="1">
        <v>45456</v>
      </c>
      <c r="C852">
        <v>82379</v>
      </c>
      <c r="D852" t="s">
        <v>25</v>
      </c>
      <c r="E852" t="s">
        <v>26</v>
      </c>
      <c r="F852" t="s">
        <v>27</v>
      </c>
      <c r="G852">
        <v>4</v>
      </c>
      <c r="H852">
        <v>27.99</v>
      </c>
      <c r="I852">
        <v>0.2</v>
      </c>
      <c r="J852">
        <v>89.57</v>
      </c>
      <c r="K852" t="s">
        <v>66</v>
      </c>
      <c r="L852" t="s">
        <v>17</v>
      </c>
      <c r="M852" t="s">
        <v>28</v>
      </c>
    </row>
    <row r="853" spans="1:13" x14ac:dyDescent="0.2">
      <c r="A853">
        <v>240275</v>
      </c>
      <c r="B853" s="1">
        <v>44790</v>
      </c>
      <c r="C853">
        <v>95895</v>
      </c>
      <c r="D853" t="s">
        <v>97</v>
      </c>
      <c r="E853" t="s">
        <v>181</v>
      </c>
      <c r="F853" t="s">
        <v>182</v>
      </c>
      <c r="G853">
        <v>1</v>
      </c>
      <c r="H853">
        <v>11.99</v>
      </c>
      <c r="I853">
        <v>0.2</v>
      </c>
      <c r="J853">
        <v>9.59</v>
      </c>
      <c r="K853" t="s">
        <v>22</v>
      </c>
      <c r="L853" t="s">
        <v>17</v>
      </c>
      <c r="M853" t="s">
        <v>33</v>
      </c>
    </row>
    <row r="854" spans="1:13" x14ac:dyDescent="0.2">
      <c r="A854">
        <v>240746</v>
      </c>
      <c r="B854" s="1">
        <v>45633</v>
      </c>
      <c r="C854">
        <v>44516</v>
      </c>
      <c r="D854" t="s">
        <v>44</v>
      </c>
      <c r="E854" t="s">
        <v>133</v>
      </c>
      <c r="F854" t="s">
        <v>134</v>
      </c>
      <c r="G854">
        <v>4</v>
      </c>
      <c r="H854">
        <v>3.79</v>
      </c>
      <c r="J854">
        <v>15.16</v>
      </c>
      <c r="K854" t="s">
        <v>22</v>
      </c>
      <c r="L854" t="s">
        <v>37</v>
      </c>
      <c r="M854" t="s">
        <v>43</v>
      </c>
    </row>
    <row r="855" spans="1:13" x14ac:dyDescent="0.2">
      <c r="A855">
        <v>240946</v>
      </c>
      <c r="B855" s="1">
        <v>45571</v>
      </c>
      <c r="C855">
        <v>22745</v>
      </c>
      <c r="D855" t="s">
        <v>82</v>
      </c>
      <c r="E855" t="s">
        <v>155</v>
      </c>
      <c r="F855" t="s">
        <v>156</v>
      </c>
      <c r="G855">
        <v>2</v>
      </c>
      <c r="H855">
        <v>19.989999999999998</v>
      </c>
      <c r="J855">
        <v>39.979999999999997</v>
      </c>
      <c r="K855" t="s">
        <v>95</v>
      </c>
      <c r="L855" t="s">
        <v>37</v>
      </c>
      <c r="M855" t="s">
        <v>161</v>
      </c>
    </row>
    <row r="856" spans="1:13" x14ac:dyDescent="0.2">
      <c r="A856">
        <v>240983</v>
      </c>
      <c r="B856" s="1">
        <v>44627</v>
      </c>
      <c r="C856">
        <v>64986</v>
      </c>
      <c r="D856" t="s">
        <v>29</v>
      </c>
      <c r="E856" t="s">
        <v>38</v>
      </c>
      <c r="F856" t="s">
        <v>39</v>
      </c>
      <c r="G856">
        <v>4</v>
      </c>
      <c r="H856">
        <v>25.49</v>
      </c>
      <c r="I856">
        <v>0.15</v>
      </c>
      <c r="J856">
        <v>86.67</v>
      </c>
      <c r="K856" t="s">
        <v>16</v>
      </c>
      <c r="L856" t="s">
        <v>37</v>
      </c>
      <c r="M856" t="s">
        <v>120</v>
      </c>
    </row>
    <row r="857" spans="1:13" x14ac:dyDescent="0.2">
      <c r="A857">
        <v>241239</v>
      </c>
      <c r="B857" s="1">
        <v>45441</v>
      </c>
      <c r="C857">
        <v>20723</v>
      </c>
      <c r="D857" t="s">
        <v>63</v>
      </c>
      <c r="E857" t="s">
        <v>111</v>
      </c>
      <c r="F857" t="s">
        <v>112</v>
      </c>
      <c r="G857">
        <v>3</v>
      </c>
      <c r="H857">
        <v>14.99</v>
      </c>
      <c r="J857">
        <v>44.97</v>
      </c>
      <c r="K857" t="s">
        <v>36</v>
      </c>
      <c r="L857" t="s">
        <v>17</v>
      </c>
      <c r="M857" t="s">
        <v>76</v>
      </c>
    </row>
    <row r="858" spans="1:13" x14ac:dyDescent="0.2">
      <c r="A858">
        <v>241333</v>
      </c>
      <c r="B858" s="2">
        <v>45539</v>
      </c>
      <c r="C858">
        <v>76960</v>
      </c>
      <c r="D858" t="s">
        <v>192</v>
      </c>
      <c r="E858" t="s">
        <v>135</v>
      </c>
      <c r="F858" t="s">
        <v>136</v>
      </c>
      <c r="G858">
        <v>2</v>
      </c>
      <c r="H858">
        <v>6.99</v>
      </c>
      <c r="I858">
        <v>0.3</v>
      </c>
      <c r="J858">
        <v>9.7899999999999991</v>
      </c>
      <c r="K858" t="s">
        <v>22</v>
      </c>
      <c r="L858" t="s">
        <v>17</v>
      </c>
      <c r="M858" t="s">
        <v>76</v>
      </c>
    </row>
    <row r="859" spans="1:13" x14ac:dyDescent="0.2">
      <c r="A859">
        <v>241370</v>
      </c>
      <c r="B859" s="1">
        <v>44678</v>
      </c>
      <c r="C859">
        <v>63637</v>
      </c>
      <c r="D859" t="s">
        <v>19</v>
      </c>
      <c r="E859" t="s">
        <v>58</v>
      </c>
      <c r="F859" t="s">
        <v>59</v>
      </c>
      <c r="G859">
        <v>1</v>
      </c>
      <c r="H859">
        <v>3.39</v>
      </c>
      <c r="I859">
        <v>0.15</v>
      </c>
      <c r="J859">
        <v>2.88</v>
      </c>
      <c r="K859" t="s">
        <v>16</v>
      </c>
      <c r="L859" t="s">
        <v>17</v>
      </c>
      <c r="M859" t="s">
        <v>161</v>
      </c>
    </row>
    <row r="860" spans="1:13" x14ac:dyDescent="0.2">
      <c r="A860">
        <v>241656</v>
      </c>
      <c r="B860" s="2">
        <v>45003</v>
      </c>
      <c r="C860">
        <v>88691</v>
      </c>
      <c r="D860" t="s">
        <v>13</v>
      </c>
      <c r="E860" t="s">
        <v>186</v>
      </c>
      <c r="F860" t="s">
        <v>187</v>
      </c>
      <c r="G860">
        <v>2</v>
      </c>
      <c r="H860">
        <v>39.99</v>
      </c>
      <c r="I860">
        <v>0.2</v>
      </c>
      <c r="J860">
        <v>63.98</v>
      </c>
      <c r="K860" t="s">
        <v>22</v>
      </c>
      <c r="L860" t="s">
        <v>17</v>
      </c>
      <c r="M860" t="s">
        <v>57</v>
      </c>
    </row>
    <row r="861" spans="1:13" x14ac:dyDescent="0.2">
      <c r="A861">
        <v>241699</v>
      </c>
      <c r="B861" s="1">
        <v>45216</v>
      </c>
      <c r="C861">
        <v>91481</v>
      </c>
      <c r="D861" t="s">
        <v>25</v>
      </c>
      <c r="E861" t="s">
        <v>113</v>
      </c>
      <c r="F861" t="s">
        <v>114</v>
      </c>
      <c r="G861">
        <v>1</v>
      </c>
      <c r="H861">
        <v>101.99</v>
      </c>
      <c r="I861">
        <v>0.15</v>
      </c>
      <c r="J861">
        <v>86.69</v>
      </c>
      <c r="K861" t="s">
        <v>95</v>
      </c>
      <c r="L861" t="s">
        <v>17</v>
      </c>
      <c r="M861" t="s">
        <v>81</v>
      </c>
    </row>
    <row r="862" spans="1:13" x14ac:dyDescent="0.2">
      <c r="A862">
        <v>241738</v>
      </c>
      <c r="B862" s="1">
        <v>44585</v>
      </c>
      <c r="C862">
        <v>39108</v>
      </c>
      <c r="D862" t="s">
        <v>48</v>
      </c>
      <c r="E862" t="s">
        <v>118</v>
      </c>
      <c r="F862" t="s">
        <v>119</v>
      </c>
      <c r="G862">
        <v>1</v>
      </c>
      <c r="H862">
        <v>4.99</v>
      </c>
      <c r="J862">
        <v>4.99</v>
      </c>
      <c r="K862" t="s">
        <v>53</v>
      </c>
      <c r="L862" t="s">
        <v>37</v>
      </c>
    </row>
    <row r="863" spans="1:13" x14ac:dyDescent="0.2">
      <c r="A863">
        <v>241785</v>
      </c>
      <c r="B863" s="2">
        <v>44770</v>
      </c>
      <c r="C863">
        <v>47764</v>
      </c>
      <c r="D863" t="s">
        <v>85</v>
      </c>
      <c r="E863" t="s">
        <v>137</v>
      </c>
      <c r="F863" t="s">
        <v>138</v>
      </c>
      <c r="G863">
        <v>2</v>
      </c>
      <c r="H863">
        <v>6.39</v>
      </c>
      <c r="I863">
        <v>0.2</v>
      </c>
      <c r="J863">
        <v>10.220000000000001</v>
      </c>
      <c r="K863" t="s">
        <v>16</v>
      </c>
      <c r="L863" t="s">
        <v>17</v>
      </c>
      <c r="M863" t="s">
        <v>102</v>
      </c>
    </row>
    <row r="864" spans="1:13" x14ac:dyDescent="0.2">
      <c r="A864">
        <v>241933</v>
      </c>
      <c r="B864" s="2">
        <v>44604</v>
      </c>
      <c r="C864">
        <v>35779</v>
      </c>
      <c r="D864" t="s">
        <v>97</v>
      </c>
      <c r="E864" t="s">
        <v>181</v>
      </c>
      <c r="F864" t="s">
        <v>182</v>
      </c>
      <c r="G864">
        <v>4</v>
      </c>
      <c r="H864">
        <v>11.24</v>
      </c>
      <c r="I864">
        <v>0.25</v>
      </c>
      <c r="J864">
        <v>33.72</v>
      </c>
      <c r="K864" t="s">
        <v>16</v>
      </c>
      <c r="L864" t="s">
        <v>23</v>
      </c>
      <c r="M864" t="s">
        <v>102</v>
      </c>
    </row>
    <row r="865" spans="1:13" x14ac:dyDescent="0.2">
      <c r="A865">
        <v>242356</v>
      </c>
      <c r="B865" s="1">
        <v>44748</v>
      </c>
      <c r="C865">
        <v>18870</v>
      </c>
      <c r="D865" t="s">
        <v>25</v>
      </c>
      <c r="E865" t="s">
        <v>26</v>
      </c>
      <c r="F865" t="s">
        <v>27</v>
      </c>
      <c r="G865">
        <v>2</v>
      </c>
      <c r="H865">
        <v>33.24</v>
      </c>
      <c r="I865">
        <v>0.05</v>
      </c>
      <c r="J865">
        <v>63.16</v>
      </c>
      <c r="K865" t="s">
        <v>16</v>
      </c>
      <c r="L865" t="s">
        <v>37</v>
      </c>
      <c r="M865" t="s">
        <v>67</v>
      </c>
    </row>
    <row r="866" spans="1:13" x14ac:dyDescent="0.2">
      <c r="A866">
        <v>242778</v>
      </c>
      <c r="B866" s="1">
        <v>45464</v>
      </c>
      <c r="C866">
        <v>66385</v>
      </c>
      <c r="D866" t="s">
        <v>13</v>
      </c>
      <c r="E866" t="s">
        <v>104</v>
      </c>
      <c r="F866" t="s">
        <v>105</v>
      </c>
      <c r="G866">
        <v>4</v>
      </c>
      <c r="H866">
        <v>29.99</v>
      </c>
      <c r="J866">
        <v>119.96</v>
      </c>
      <c r="K866" t="s">
        <v>16</v>
      </c>
      <c r="L866" t="s">
        <v>17</v>
      </c>
      <c r="M866" t="s">
        <v>62</v>
      </c>
    </row>
    <row r="867" spans="1:13" x14ac:dyDescent="0.2">
      <c r="A867">
        <v>243111</v>
      </c>
      <c r="B867" s="1">
        <v>44706</v>
      </c>
      <c r="C867">
        <v>88080</v>
      </c>
      <c r="D867" t="s">
        <v>44</v>
      </c>
      <c r="E867" t="s">
        <v>133</v>
      </c>
      <c r="F867" t="s">
        <v>134</v>
      </c>
      <c r="G867">
        <v>3</v>
      </c>
      <c r="H867">
        <v>3.6</v>
      </c>
      <c r="I867">
        <v>0.05</v>
      </c>
      <c r="J867">
        <v>10.26</v>
      </c>
      <c r="K867" t="s">
        <v>32</v>
      </c>
      <c r="L867" t="s">
        <v>17</v>
      </c>
      <c r="M867" t="s">
        <v>43</v>
      </c>
    </row>
    <row r="868" spans="1:13" x14ac:dyDescent="0.2">
      <c r="A868">
        <v>243130</v>
      </c>
      <c r="B868" s="1">
        <v>45225</v>
      </c>
      <c r="C868">
        <v>38406</v>
      </c>
      <c r="D868" t="s">
        <v>29</v>
      </c>
      <c r="E868" t="s">
        <v>38</v>
      </c>
      <c r="F868" t="s">
        <v>39</v>
      </c>
      <c r="G868">
        <v>2</v>
      </c>
      <c r="H868">
        <v>29.99</v>
      </c>
      <c r="J868">
        <v>59.98</v>
      </c>
      <c r="K868" t="s">
        <v>36</v>
      </c>
      <c r="L868" t="s">
        <v>37</v>
      </c>
      <c r="M868" t="s">
        <v>123</v>
      </c>
    </row>
    <row r="869" spans="1:13" x14ac:dyDescent="0.2">
      <c r="A869">
        <v>243328</v>
      </c>
      <c r="B869" s="2">
        <v>45637</v>
      </c>
      <c r="C869">
        <v>76121</v>
      </c>
      <c r="D869" t="s">
        <v>97</v>
      </c>
      <c r="E869" t="s">
        <v>165</v>
      </c>
      <c r="F869" t="s">
        <v>166</v>
      </c>
      <c r="G869">
        <v>3</v>
      </c>
      <c r="H869">
        <v>89.99</v>
      </c>
      <c r="J869">
        <v>269.97000000000003</v>
      </c>
      <c r="K869" t="s">
        <v>16</v>
      </c>
      <c r="L869" t="s">
        <v>37</v>
      </c>
      <c r="M869" t="s">
        <v>57</v>
      </c>
    </row>
    <row r="870" spans="1:13" x14ac:dyDescent="0.2">
      <c r="A870">
        <v>243384</v>
      </c>
      <c r="B870" s="1">
        <v>45271</v>
      </c>
      <c r="C870">
        <v>11282</v>
      </c>
      <c r="D870" t="s">
        <v>63</v>
      </c>
      <c r="E870" t="s">
        <v>68</v>
      </c>
      <c r="F870" t="s">
        <v>69</v>
      </c>
      <c r="G870">
        <v>1</v>
      </c>
      <c r="H870">
        <v>19.989999999999998</v>
      </c>
      <c r="I870">
        <v>0.2</v>
      </c>
      <c r="J870">
        <v>15.99</v>
      </c>
      <c r="K870" t="s">
        <v>36</v>
      </c>
      <c r="L870" t="s">
        <v>17</v>
      </c>
      <c r="M870" t="s">
        <v>161</v>
      </c>
    </row>
    <row r="871" spans="1:13" x14ac:dyDescent="0.2">
      <c r="A871">
        <v>243507</v>
      </c>
      <c r="B871" s="1">
        <v>45076</v>
      </c>
      <c r="D871" t="s">
        <v>48</v>
      </c>
      <c r="E871" t="s">
        <v>143</v>
      </c>
      <c r="F871" t="s">
        <v>144</v>
      </c>
      <c r="G871">
        <v>4</v>
      </c>
      <c r="H871">
        <v>11.24</v>
      </c>
      <c r="I871">
        <v>0.25</v>
      </c>
      <c r="J871">
        <v>33.72</v>
      </c>
      <c r="K871" t="s">
        <v>36</v>
      </c>
      <c r="L871" t="s">
        <v>17</v>
      </c>
      <c r="M871" t="s">
        <v>123</v>
      </c>
    </row>
    <row r="872" spans="1:13" x14ac:dyDescent="0.2">
      <c r="A872">
        <v>243650</v>
      </c>
      <c r="B872" s="1">
        <v>44595</v>
      </c>
      <c r="C872">
        <v>64048</v>
      </c>
      <c r="D872" t="s">
        <v>40</v>
      </c>
      <c r="E872" t="s">
        <v>115</v>
      </c>
      <c r="F872" t="s">
        <v>116</v>
      </c>
      <c r="G872">
        <v>1</v>
      </c>
      <c r="H872">
        <v>12.99</v>
      </c>
      <c r="J872">
        <v>12.99</v>
      </c>
      <c r="K872" t="s">
        <v>16</v>
      </c>
      <c r="L872" t="s">
        <v>37</v>
      </c>
      <c r="M872" t="s">
        <v>81</v>
      </c>
    </row>
    <row r="873" spans="1:13" x14ac:dyDescent="0.2">
      <c r="A873">
        <v>243925</v>
      </c>
      <c r="B873" s="1">
        <v>44648</v>
      </c>
      <c r="C873">
        <v>74741</v>
      </c>
      <c r="D873" t="s">
        <v>25</v>
      </c>
      <c r="E873" t="s">
        <v>26</v>
      </c>
      <c r="F873" t="s">
        <v>27</v>
      </c>
      <c r="G873">
        <v>1</v>
      </c>
      <c r="H873">
        <v>34.99</v>
      </c>
      <c r="J873">
        <v>34.99</v>
      </c>
      <c r="K873" t="s">
        <v>16</v>
      </c>
      <c r="L873" t="s">
        <v>17</v>
      </c>
      <c r="M873" t="s">
        <v>43</v>
      </c>
    </row>
    <row r="874" spans="1:13" x14ac:dyDescent="0.2">
      <c r="A874">
        <v>244155</v>
      </c>
      <c r="B874" s="1">
        <v>45356</v>
      </c>
      <c r="C874">
        <v>24943</v>
      </c>
      <c r="D874" t="s">
        <v>29</v>
      </c>
      <c r="E874" t="s">
        <v>72</v>
      </c>
      <c r="F874" t="s">
        <v>73</v>
      </c>
      <c r="G874">
        <v>1</v>
      </c>
      <c r="H874">
        <v>31.99</v>
      </c>
      <c r="I874">
        <v>0.2</v>
      </c>
      <c r="J874">
        <v>25.59</v>
      </c>
      <c r="K874" t="s">
        <v>16</v>
      </c>
      <c r="L874" t="s">
        <v>37</v>
      </c>
      <c r="M874" t="s">
        <v>24</v>
      </c>
    </row>
    <row r="875" spans="1:13" x14ac:dyDescent="0.2">
      <c r="A875">
        <v>244304</v>
      </c>
      <c r="B875" s="1">
        <v>44748</v>
      </c>
      <c r="C875">
        <v>21956</v>
      </c>
      <c r="D875" t="s">
        <v>82</v>
      </c>
      <c r="E875" t="s">
        <v>147</v>
      </c>
      <c r="F875" t="s">
        <v>148</v>
      </c>
      <c r="G875">
        <v>2</v>
      </c>
      <c r="H875">
        <v>12.34</v>
      </c>
      <c r="I875">
        <v>0.05</v>
      </c>
      <c r="J875">
        <v>23.45</v>
      </c>
      <c r="K875" t="s">
        <v>16</v>
      </c>
      <c r="L875" t="s">
        <v>17</v>
      </c>
      <c r="M875" t="s">
        <v>62</v>
      </c>
    </row>
    <row r="876" spans="1:13" x14ac:dyDescent="0.2">
      <c r="A876">
        <v>244494</v>
      </c>
      <c r="B876" s="1">
        <v>45195</v>
      </c>
      <c r="D876" t="s">
        <v>29</v>
      </c>
      <c r="E876" t="s">
        <v>38</v>
      </c>
      <c r="F876" t="s">
        <v>39</v>
      </c>
      <c r="G876">
        <v>5</v>
      </c>
      <c r="H876">
        <v>29.99</v>
      </c>
      <c r="J876">
        <v>149.94999999999999</v>
      </c>
      <c r="K876" t="s">
        <v>16</v>
      </c>
      <c r="L876" t="s">
        <v>17</v>
      </c>
      <c r="M876" t="s">
        <v>117</v>
      </c>
    </row>
    <row r="877" spans="1:13" x14ac:dyDescent="0.2">
      <c r="A877">
        <v>244655</v>
      </c>
      <c r="B877" s="1">
        <v>45501</v>
      </c>
      <c r="C877">
        <v>46051</v>
      </c>
      <c r="D877" t="s">
        <v>85</v>
      </c>
      <c r="E877" t="s">
        <v>137</v>
      </c>
      <c r="F877" t="s">
        <v>138</v>
      </c>
      <c r="G877">
        <v>1</v>
      </c>
      <c r="H877">
        <v>5.99</v>
      </c>
      <c r="I877">
        <v>0.25</v>
      </c>
      <c r="J877">
        <v>4.49</v>
      </c>
      <c r="K877" t="s">
        <v>16</v>
      </c>
      <c r="L877" t="s">
        <v>23</v>
      </c>
      <c r="M877" t="s">
        <v>120</v>
      </c>
    </row>
    <row r="878" spans="1:13" x14ac:dyDescent="0.2">
      <c r="A878">
        <v>244667</v>
      </c>
      <c r="B878" s="2">
        <v>45074</v>
      </c>
      <c r="C878">
        <v>29199</v>
      </c>
      <c r="D878" t="s">
        <v>82</v>
      </c>
      <c r="E878" t="s">
        <v>168</v>
      </c>
      <c r="F878" t="s">
        <v>169</v>
      </c>
      <c r="G878">
        <v>1</v>
      </c>
      <c r="H878">
        <v>7.19</v>
      </c>
      <c r="I878">
        <v>0.2</v>
      </c>
      <c r="J878">
        <v>5.75</v>
      </c>
      <c r="K878" t="s">
        <v>53</v>
      </c>
      <c r="L878" t="s">
        <v>17</v>
      </c>
      <c r="M878" t="s">
        <v>96</v>
      </c>
    </row>
    <row r="879" spans="1:13" x14ac:dyDescent="0.2">
      <c r="A879">
        <v>244959</v>
      </c>
      <c r="B879" s="1">
        <v>44945</v>
      </c>
      <c r="C879">
        <v>35633</v>
      </c>
      <c r="D879" t="s">
        <v>82</v>
      </c>
      <c r="E879" t="s">
        <v>155</v>
      </c>
      <c r="F879" t="s">
        <v>156</v>
      </c>
      <c r="G879">
        <v>1</v>
      </c>
      <c r="H879">
        <v>18.989999999999998</v>
      </c>
      <c r="I879">
        <v>0.05</v>
      </c>
      <c r="J879">
        <v>18.04</v>
      </c>
      <c r="K879" t="s">
        <v>36</v>
      </c>
      <c r="L879" t="s">
        <v>37</v>
      </c>
      <c r="M879" t="s">
        <v>76</v>
      </c>
    </row>
    <row r="880" spans="1:13" x14ac:dyDescent="0.2">
      <c r="A880">
        <v>245203</v>
      </c>
      <c r="B880" s="1">
        <v>45517</v>
      </c>
      <c r="C880">
        <v>73582</v>
      </c>
      <c r="D880" t="s">
        <v>25</v>
      </c>
      <c r="E880" t="s">
        <v>60</v>
      </c>
      <c r="F880" t="s">
        <v>61</v>
      </c>
      <c r="G880">
        <v>1</v>
      </c>
      <c r="H880">
        <v>46.74</v>
      </c>
      <c r="J880">
        <v>46.74</v>
      </c>
      <c r="K880" t="s">
        <v>16</v>
      </c>
      <c r="L880" t="s">
        <v>37</v>
      </c>
      <c r="M880" t="s">
        <v>117</v>
      </c>
    </row>
    <row r="881" spans="1:13" x14ac:dyDescent="0.2">
      <c r="A881">
        <v>245345</v>
      </c>
      <c r="B881" s="1">
        <v>44813</v>
      </c>
      <c r="C881">
        <v>77037</v>
      </c>
      <c r="D881" t="s">
        <v>13</v>
      </c>
      <c r="E881" t="s">
        <v>55</v>
      </c>
      <c r="F881" t="s">
        <v>56</v>
      </c>
      <c r="G881">
        <v>4</v>
      </c>
      <c r="H881">
        <v>313.49</v>
      </c>
      <c r="I881">
        <v>0.05</v>
      </c>
      <c r="J881">
        <v>1191.26</v>
      </c>
      <c r="K881" t="s">
        <v>22</v>
      </c>
      <c r="L881" t="s">
        <v>17</v>
      </c>
      <c r="M881" t="s">
        <v>24</v>
      </c>
    </row>
    <row r="882" spans="1:13" x14ac:dyDescent="0.2">
      <c r="A882">
        <v>245453</v>
      </c>
      <c r="B882" s="1">
        <v>45518</v>
      </c>
      <c r="C882">
        <v>21703</v>
      </c>
      <c r="D882" t="s">
        <v>29</v>
      </c>
      <c r="E882" t="s">
        <v>175</v>
      </c>
      <c r="F882" t="s">
        <v>176</v>
      </c>
      <c r="G882">
        <v>2</v>
      </c>
      <c r="H882">
        <v>8.99</v>
      </c>
      <c r="I882">
        <v>0.25</v>
      </c>
      <c r="J882">
        <v>13.48</v>
      </c>
      <c r="K882" t="s">
        <v>16</v>
      </c>
      <c r="L882" t="s">
        <v>17</v>
      </c>
      <c r="M882" t="s">
        <v>54</v>
      </c>
    </row>
    <row r="883" spans="1:13" x14ac:dyDescent="0.2">
      <c r="A883">
        <v>245461</v>
      </c>
      <c r="B883" s="1">
        <v>45412</v>
      </c>
      <c r="C883">
        <v>88996</v>
      </c>
      <c r="D883" t="s">
        <v>97</v>
      </c>
      <c r="E883" t="s">
        <v>181</v>
      </c>
      <c r="F883" t="s">
        <v>182</v>
      </c>
      <c r="G883">
        <v>4</v>
      </c>
      <c r="H883">
        <v>11.24</v>
      </c>
      <c r="I883">
        <v>0.25</v>
      </c>
      <c r="J883">
        <v>33.72</v>
      </c>
      <c r="K883" t="s">
        <v>16</v>
      </c>
      <c r="L883" t="s">
        <v>17</v>
      </c>
      <c r="M883" t="s">
        <v>67</v>
      </c>
    </row>
    <row r="884" spans="1:13" x14ac:dyDescent="0.2">
      <c r="A884">
        <v>245484</v>
      </c>
      <c r="B884" s="1">
        <v>44862</v>
      </c>
      <c r="C884">
        <v>32744</v>
      </c>
      <c r="D884" t="s">
        <v>25</v>
      </c>
      <c r="E884" t="s">
        <v>113</v>
      </c>
      <c r="F884" t="s">
        <v>114</v>
      </c>
      <c r="G884">
        <v>4</v>
      </c>
      <c r="H884">
        <v>119.99</v>
      </c>
      <c r="J884">
        <v>479.96</v>
      </c>
      <c r="K884" t="s">
        <v>53</v>
      </c>
      <c r="L884" t="s">
        <v>23</v>
      </c>
      <c r="M884" t="s">
        <v>47</v>
      </c>
    </row>
    <row r="885" spans="1:13" x14ac:dyDescent="0.2">
      <c r="A885">
        <v>246000</v>
      </c>
      <c r="B885" s="2">
        <v>45511</v>
      </c>
      <c r="C885">
        <v>60010</v>
      </c>
      <c r="D885" t="s">
        <v>13</v>
      </c>
      <c r="E885" t="s">
        <v>79</v>
      </c>
      <c r="F885" t="s">
        <v>80</v>
      </c>
      <c r="G885">
        <v>1</v>
      </c>
      <c r="H885">
        <v>89.99</v>
      </c>
      <c r="J885">
        <v>89.99</v>
      </c>
      <c r="K885" t="s">
        <v>22</v>
      </c>
      <c r="L885" t="s">
        <v>37</v>
      </c>
      <c r="M885" t="s">
        <v>123</v>
      </c>
    </row>
    <row r="886" spans="1:13" x14ac:dyDescent="0.2">
      <c r="A886">
        <v>246096</v>
      </c>
      <c r="B886" s="1">
        <v>44612</v>
      </c>
      <c r="C886">
        <v>11457</v>
      </c>
      <c r="D886" t="s">
        <v>25</v>
      </c>
      <c r="E886" t="s">
        <v>51</v>
      </c>
      <c r="F886" t="s">
        <v>52</v>
      </c>
      <c r="G886">
        <v>2</v>
      </c>
      <c r="H886">
        <v>20.99</v>
      </c>
      <c r="I886">
        <v>0.25</v>
      </c>
      <c r="J886">
        <v>31.48</v>
      </c>
      <c r="K886" t="s">
        <v>16</v>
      </c>
      <c r="L886" t="s">
        <v>37</v>
      </c>
      <c r="M886" t="s">
        <v>117</v>
      </c>
    </row>
    <row r="887" spans="1:13" x14ac:dyDescent="0.2">
      <c r="A887">
        <v>246178</v>
      </c>
      <c r="B887" s="1">
        <v>45226</v>
      </c>
      <c r="C887">
        <v>70386</v>
      </c>
      <c r="D887" t="s">
        <v>48</v>
      </c>
      <c r="E887" t="s">
        <v>109</v>
      </c>
      <c r="F887" t="s">
        <v>110</v>
      </c>
      <c r="G887">
        <v>1</v>
      </c>
      <c r="H887">
        <v>5.59</v>
      </c>
      <c r="I887">
        <v>0.2</v>
      </c>
      <c r="J887">
        <v>4.47</v>
      </c>
      <c r="K887" t="s">
        <v>36</v>
      </c>
      <c r="L887" t="s">
        <v>17</v>
      </c>
      <c r="M887" t="s">
        <v>67</v>
      </c>
    </row>
    <row r="888" spans="1:13" x14ac:dyDescent="0.2">
      <c r="A888">
        <v>246294</v>
      </c>
      <c r="B888" s="2">
        <v>44691</v>
      </c>
      <c r="C888">
        <v>24846</v>
      </c>
      <c r="D888" t="s">
        <v>13</v>
      </c>
      <c r="E888" t="s">
        <v>79</v>
      </c>
      <c r="F888" t="s">
        <v>80</v>
      </c>
      <c r="G888">
        <v>2</v>
      </c>
      <c r="H888">
        <v>76.489999999999995</v>
      </c>
      <c r="I888">
        <v>0.15</v>
      </c>
      <c r="J888">
        <v>130.03</v>
      </c>
      <c r="K888" t="s">
        <v>36</v>
      </c>
      <c r="L888" t="s">
        <v>17</v>
      </c>
      <c r="M888" t="s">
        <v>161</v>
      </c>
    </row>
    <row r="889" spans="1:13" x14ac:dyDescent="0.2">
      <c r="A889">
        <v>246629</v>
      </c>
      <c r="B889" s="1">
        <v>44875</v>
      </c>
      <c r="C889">
        <v>77845</v>
      </c>
      <c r="D889" t="s">
        <v>40</v>
      </c>
      <c r="E889" t="s">
        <v>20</v>
      </c>
      <c r="F889" t="s">
        <v>21</v>
      </c>
      <c r="G889">
        <v>1</v>
      </c>
      <c r="H889">
        <v>9.99</v>
      </c>
      <c r="J889">
        <v>9.99</v>
      </c>
      <c r="K889" t="s">
        <v>36</v>
      </c>
      <c r="L889" t="s">
        <v>17</v>
      </c>
      <c r="M889" t="s">
        <v>161</v>
      </c>
    </row>
    <row r="890" spans="1:13" x14ac:dyDescent="0.2">
      <c r="A890">
        <v>247064</v>
      </c>
      <c r="B890" s="2">
        <v>45653</v>
      </c>
      <c r="C890">
        <v>42502</v>
      </c>
      <c r="D890" t="s">
        <v>25</v>
      </c>
      <c r="E890" t="s">
        <v>70</v>
      </c>
      <c r="F890" t="s">
        <v>71</v>
      </c>
      <c r="G890">
        <v>2</v>
      </c>
      <c r="H890">
        <v>80.989999999999995</v>
      </c>
      <c r="I890">
        <v>0.1</v>
      </c>
      <c r="J890">
        <v>145.78</v>
      </c>
      <c r="K890" t="s">
        <v>16</v>
      </c>
      <c r="L890" t="s">
        <v>17</v>
      </c>
      <c r="M890" t="s">
        <v>120</v>
      </c>
    </row>
    <row r="891" spans="1:13" x14ac:dyDescent="0.2">
      <c r="A891">
        <v>247217</v>
      </c>
      <c r="B891" s="2">
        <v>45351</v>
      </c>
      <c r="C891">
        <v>59093</v>
      </c>
      <c r="D891" t="s">
        <v>85</v>
      </c>
      <c r="E891" t="s">
        <v>137</v>
      </c>
      <c r="F891" t="s">
        <v>138</v>
      </c>
      <c r="G891">
        <v>5</v>
      </c>
      <c r="H891">
        <v>7.99</v>
      </c>
      <c r="J891">
        <v>39.950000000000003</v>
      </c>
      <c r="K891" t="s">
        <v>32</v>
      </c>
      <c r="L891" t="s">
        <v>37</v>
      </c>
      <c r="M891" t="s">
        <v>117</v>
      </c>
    </row>
    <row r="892" spans="1:13" x14ac:dyDescent="0.2">
      <c r="A892">
        <v>247414</v>
      </c>
      <c r="B892" s="2">
        <v>44616</v>
      </c>
      <c r="C892">
        <v>77135</v>
      </c>
      <c r="D892" t="s">
        <v>48</v>
      </c>
      <c r="E892" t="s">
        <v>118</v>
      </c>
      <c r="F892" t="s">
        <v>119</v>
      </c>
      <c r="G892">
        <v>1</v>
      </c>
      <c r="H892">
        <v>3.99</v>
      </c>
      <c r="I892">
        <v>0.2</v>
      </c>
      <c r="J892">
        <v>3.19</v>
      </c>
      <c r="K892" t="s">
        <v>16</v>
      </c>
      <c r="L892" t="s">
        <v>17</v>
      </c>
      <c r="M892" t="s">
        <v>76</v>
      </c>
    </row>
    <row r="893" spans="1:13" x14ac:dyDescent="0.2">
      <c r="A893">
        <v>247724</v>
      </c>
      <c r="B893" s="1">
        <v>44939</v>
      </c>
      <c r="C893">
        <v>73094</v>
      </c>
      <c r="D893" t="s">
        <v>25</v>
      </c>
      <c r="E893" t="s">
        <v>113</v>
      </c>
      <c r="F893" t="s">
        <v>114</v>
      </c>
      <c r="G893">
        <v>1</v>
      </c>
      <c r="H893">
        <v>107.99</v>
      </c>
      <c r="I893">
        <v>0.1</v>
      </c>
      <c r="J893">
        <v>97.19</v>
      </c>
      <c r="K893" t="s">
        <v>36</v>
      </c>
      <c r="L893" t="s">
        <v>23</v>
      </c>
      <c r="M893" t="s">
        <v>33</v>
      </c>
    </row>
    <row r="894" spans="1:13" x14ac:dyDescent="0.2">
      <c r="A894">
        <v>247794</v>
      </c>
      <c r="B894" s="1">
        <v>45576</v>
      </c>
      <c r="C894">
        <v>86264</v>
      </c>
      <c r="D894" t="s">
        <v>44</v>
      </c>
      <c r="E894" t="s">
        <v>74</v>
      </c>
      <c r="F894" t="s">
        <v>75</v>
      </c>
      <c r="G894">
        <v>4</v>
      </c>
      <c r="H894">
        <v>2.09</v>
      </c>
      <c r="I894">
        <v>0.3</v>
      </c>
      <c r="J894">
        <v>5.85</v>
      </c>
      <c r="K894" t="s">
        <v>32</v>
      </c>
      <c r="L894" t="s">
        <v>23</v>
      </c>
      <c r="M894" t="s">
        <v>28</v>
      </c>
    </row>
    <row r="895" spans="1:13" x14ac:dyDescent="0.2">
      <c r="A895">
        <v>248133</v>
      </c>
      <c r="B895" s="1">
        <v>44562</v>
      </c>
      <c r="C895">
        <v>39464</v>
      </c>
      <c r="D895" t="s">
        <v>63</v>
      </c>
      <c r="E895" t="s">
        <v>68</v>
      </c>
      <c r="F895" t="s">
        <v>69</v>
      </c>
      <c r="G895">
        <v>3</v>
      </c>
      <c r="H895">
        <v>19.989999999999998</v>
      </c>
      <c r="I895">
        <v>0.2</v>
      </c>
      <c r="J895">
        <v>47.98</v>
      </c>
      <c r="K895" t="s">
        <v>36</v>
      </c>
      <c r="L895" t="s">
        <v>17</v>
      </c>
      <c r="M895" t="s">
        <v>43</v>
      </c>
    </row>
    <row r="896" spans="1:13" x14ac:dyDescent="0.2">
      <c r="A896">
        <v>248308</v>
      </c>
      <c r="B896" s="1">
        <v>45329</v>
      </c>
      <c r="C896">
        <v>64994</v>
      </c>
      <c r="D896" t="s">
        <v>13</v>
      </c>
      <c r="E896" t="s">
        <v>127</v>
      </c>
      <c r="F896" t="s">
        <v>128</v>
      </c>
      <c r="G896">
        <v>5</v>
      </c>
      <c r="H896">
        <v>15.99</v>
      </c>
      <c r="I896">
        <v>0.2</v>
      </c>
      <c r="J896">
        <v>63.96</v>
      </c>
      <c r="K896" t="s">
        <v>16</v>
      </c>
      <c r="L896" t="s">
        <v>17</v>
      </c>
      <c r="M896" t="s">
        <v>43</v>
      </c>
    </row>
    <row r="897" spans="1:13" x14ac:dyDescent="0.2">
      <c r="A897">
        <v>248365</v>
      </c>
      <c r="B897" s="1">
        <v>45189</v>
      </c>
      <c r="C897">
        <v>78952</v>
      </c>
      <c r="D897" t="s">
        <v>82</v>
      </c>
      <c r="E897" t="s">
        <v>83</v>
      </c>
      <c r="F897" t="s">
        <v>84</v>
      </c>
      <c r="G897">
        <v>1</v>
      </c>
      <c r="H897">
        <v>16.989999999999998</v>
      </c>
      <c r="J897">
        <v>16.989999999999998</v>
      </c>
      <c r="K897" t="s">
        <v>16</v>
      </c>
      <c r="L897" t="s">
        <v>17</v>
      </c>
      <c r="M897" t="s">
        <v>81</v>
      </c>
    </row>
    <row r="898" spans="1:13" x14ac:dyDescent="0.2">
      <c r="A898">
        <v>248375</v>
      </c>
      <c r="B898" s="2">
        <v>45394</v>
      </c>
      <c r="C898">
        <v>57452</v>
      </c>
      <c r="D898" t="s">
        <v>97</v>
      </c>
      <c r="E898" t="s">
        <v>151</v>
      </c>
      <c r="F898" t="s">
        <v>152</v>
      </c>
      <c r="G898">
        <v>2</v>
      </c>
      <c r="H898">
        <v>29.74</v>
      </c>
      <c r="I898">
        <v>0.15</v>
      </c>
      <c r="J898">
        <v>50.56</v>
      </c>
      <c r="K898" t="s">
        <v>36</v>
      </c>
      <c r="L898" t="s">
        <v>17</v>
      </c>
      <c r="M898" t="s">
        <v>120</v>
      </c>
    </row>
    <row r="899" spans="1:13" x14ac:dyDescent="0.2">
      <c r="A899">
        <v>248489</v>
      </c>
      <c r="B899" s="2">
        <v>45284</v>
      </c>
      <c r="C899">
        <v>41284</v>
      </c>
      <c r="D899" t="s">
        <v>44</v>
      </c>
      <c r="E899" t="s">
        <v>91</v>
      </c>
      <c r="F899" t="s">
        <v>92</v>
      </c>
      <c r="G899">
        <v>2</v>
      </c>
      <c r="H899">
        <v>5.98</v>
      </c>
      <c r="I899">
        <v>0.05</v>
      </c>
      <c r="J899">
        <v>11.36</v>
      </c>
      <c r="K899" t="s">
        <v>36</v>
      </c>
      <c r="L899" t="s">
        <v>17</v>
      </c>
      <c r="M899" t="s">
        <v>57</v>
      </c>
    </row>
    <row r="900" spans="1:13" x14ac:dyDescent="0.2">
      <c r="A900">
        <v>248492</v>
      </c>
      <c r="B900" s="2">
        <v>45405</v>
      </c>
      <c r="C900">
        <v>61502</v>
      </c>
      <c r="D900" t="s">
        <v>40</v>
      </c>
      <c r="E900" t="s">
        <v>20</v>
      </c>
      <c r="F900" t="s">
        <v>21</v>
      </c>
      <c r="G900">
        <v>2</v>
      </c>
      <c r="H900">
        <v>9.99</v>
      </c>
      <c r="J900">
        <v>19.98</v>
      </c>
      <c r="K900" t="s">
        <v>16</v>
      </c>
      <c r="L900" t="s">
        <v>17</v>
      </c>
      <c r="M900" t="s">
        <v>28</v>
      </c>
    </row>
    <row r="901" spans="1:13" x14ac:dyDescent="0.2">
      <c r="A901">
        <v>248540</v>
      </c>
      <c r="B901" s="2">
        <v>45275</v>
      </c>
      <c r="C901">
        <v>97183</v>
      </c>
      <c r="D901" t="s">
        <v>63</v>
      </c>
      <c r="E901" t="s">
        <v>131</v>
      </c>
      <c r="F901" t="s">
        <v>132</v>
      </c>
      <c r="G901">
        <v>2</v>
      </c>
      <c r="H901">
        <v>3.49</v>
      </c>
      <c r="J901">
        <v>6.98</v>
      </c>
      <c r="K901" t="s">
        <v>16</v>
      </c>
      <c r="L901" t="s">
        <v>17</v>
      </c>
      <c r="M901" t="s">
        <v>18</v>
      </c>
    </row>
    <row r="902" spans="1:13" x14ac:dyDescent="0.2">
      <c r="A902">
        <v>249356</v>
      </c>
      <c r="B902" s="1">
        <v>45222</v>
      </c>
      <c r="C902">
        <v>56578</v>
      </c>
      <c r="D902" t="s">
        <v>63</v>
      </c>
      <c r="E902" t="s">
        <v>111</v>
      </c>
      <c r="F902" t="s">
        <v>112</v>
      </c>
      <c r="G902">
        <v>1</v>
      </c>
      <c r="H902">
        <v>11.24</v>
      </c>
      <c r="I902">
        <v>0.25</v>
      </c>
      <c r="J902">
        <v>8.43</v>
      </c>
      <c r="K902" t="s">
        <v>16</v>
      </c>
      <c r="L902" t="s">
        <v>17</v>
      </c>
      <c r="M902" t="s">
        <v>43</v>
      </c>
    </row>
    <row r="903" spans="1:13" x14ac:dyDescent="0.2">
      <c r="A903">
        <v>249413</v>
      </c>
      <c r="B903" s="1">
        <v>45417</v>
      </c>
      <c r="C903">
        <v>76874</v>
      </c>
      <c r="D903" t="s">
        <v>13</v>
      </c>
      <c r="E903" t="s">
        <v>127</v>
      </c>
      <c r="F903" t="s">
        <v>128</v>
      </c>
      <c r="G903">
        <v>1</v>
      </c>
      <c r="H903">
        <v>13.99</v>
      </c>
      <c r="I903">
        <v>0.3</v>
      </c>
      <c r="J903">
        <v>9.7899999999999991</v>
      </c>
      <c r="K903" t="s">
        <v>32</v>
      </c>
      <c r="L903" t="s">
        <v>17</v>
      </c>
      <c r="M903" t="s">
        <v>161</v>
      </c>
    </row>
    <row r="904" spans="1:13" x14ac:dyDescent="0.2">
      <c r="A904">
        <v>249448</v>
      </c>
      <c r="B904" s="1">
        <v>44845</v>
      </c>
      <c r="C904">
        <v>42239</v>
      </c>
      <c r="D904" t="s">
        <v>13</v>
      </c>
      <c r="E904" t="s">
        <v>77</v>
      </c>
      <c r="F904" t="s">
        <v>78</v>
      </c>
      <c r="G904">
        <v>5</v>
      </c>
      <c r="H904">
        <v>374.99</v>
      </c>
      <c r="I904">
        <v>0.25</v>
      </c>
      <c r="J904">
        <v>1406.21</v>
      </c>
      <c r="K904" t="s">
        <v>16</v>
      </c>
      <c r="L904" t="s">
        <v>17</v>
      </c>
    </row>
    <row r="905" spans="1:13" x14ac:dyDescent="0.2">
      <c r="A905">
        <v>249522</v>
      </c>
      <c r="B905" s="1">
        <v>45011</v>
      </c>
      <c r="C905">
        <v>62931</v>
      </c>
      <c r="D905" t="s">
        <v>25</v>
      </c>
      <c r="E905" t="s">
        <v>70</v>
      </c>
      <c r="F905" t="s">
        <v>71</v>
      </c>
      <c r="G905">
        <v>1</v>
      </c>
      <c r="H905">
        <v>62.99</v>
      </c>
      <c r="I905">
        <v>0.3</v>
      </c>
      <c r="J905">
        <v>44.09</v>
      </c>
      <c r="K905" t="s">
        <v>16</v>
      </c>
      <c r="L905" t="s">
        <v>17</v>
      </c>
      <c r="M905" t="s">
        <v>24</v>
      </c>
    </row>
    <row r="906" spans="1:13" x14ac:dyDescent="0.2">
      <c r="A906">
        <v>249560</v>
      </c>
      <c r="B906" s="1">
        <v>45557</v>
      </c>
      <c r="C906">
        <v>22516</v>
      </c>
      <c r="D906" t="s">
        <v>29</v>
      </c>
      <c r="E906" t="s">
        <v>170</v>
      </c>
      <c r="F906" t="s">
        <v>171</v>
      </c>
      <c r="G906">
        <v>4</v>
      </c>
      <c r="H906">
        <v>11.99</v>
      </c>
      <c r="I906">
        <v>0.2</v>
      </c>
      <c r="J906">
        <v>38.369999999999997</v>
      </c>
      <c r="K906" t="s">
        <v>16</v>
      </c>
      <c r="L906" t="s">
        <v>17</v>
      </c>
      <c r="M906" t="s">
        <v>81</v>
      </c>
    </row>
    <row r="907" spans="1:13" x14ac:dyDescent="0.2">
      <c r="A907">
        <v>249633</v>
      </c>
      <c r="B907" s="1">
        <v>44756</v>
      </c>
      <c r="D907" t="s">
        <v>97</v>
      </c>
      <c r="E907" t="s">
        <v>98</v>
      </c>
      <c r="F907" t="s">
        <v>99</v>
      </c>
      <c r="G907">
        <v>2</v>
      </c>
      <c r="H907">
        <v>20.99</v>
      </c>
      <c r="I907">
        <v>0.25</v>
      </c>
      <c r="J907">
        <v>31.48</v>
      </c>
      <c r="K907" t="s">
        <v>22</v>
      </c>
      <c r="L907" t="s">
        <v>17</v>
      </c>
      <c r="M907" t="s">
        <v>47</v>
      </c>
    </row>
    <row r="908" spans="1:13" x14ac:dyDescent="0.2">
      <c r="A908">
        <v>249635</v>
      </c>
      <c r="B908" s="1">
        <v>45632</v>
      </c>
      <c r="C908">
        <v>88920</v>
      </c>
      <c r="D908" t="s">
        <v>40</v>
      </c>
      <c r="E908" t="s">
        <v>115</v>
      </c>
      <c r="F908" t="s">
        <v>116</v>
      </c>
      <c r="G908">
        <v>2</v>
      </c>
      <c r="H908">
        <v>9.09</v>
      </c>
      <c r="I908">
        <v>0.3</v>
      </c>
      <c r="J908">
        <v>12.73</v>
      </c>
      <c r="K908" t="s">
        <v>36</v>
      </c>
      <c r="L908" t="s">
        <v>17</v>
      </c>
      <c r="M908" t="s">
        <v>62</v>
      </c>
    </row>
    <row r="909" spans="1:13" x14ac:dyDescent="0.2">
      <c r="A909">
        <v>249941</v>
      </c>
      <c r="B909" s="1">
        <v>44622</v>
      </c>
      <c r="C909">
        <v>25882</v>
      </c>
      <c r="D909" t="s">
        <v>97</v>
      </c>
      <c r="E909" t="s">
        <v>181</v>
      </c>
      <c r="F909" t="s">
        <v>182</v>
      </c>
      <c r="G909">
        <v>5</v>
      </c>
      <c r="H909">
        <v>14.99</v>
      </c>
      <c r="J909">
        <v>74.95</v>
      </c>
      <c r="K909" t="s">
        <v>22</v>
      </c>
      <c r="L909" t="s">
        <v>17</v>
      </c>
      <c r="M909" t="s">
        <v>161</v>
      </c>
    </row>
    <row r="910" spans="1:13" x14ac:dyDescent="0.2">
      <c r="A910">
        <v>250051</v>
      </c>
      <c r="B910" s="2">
        <v>44595</v>
      </c>
      <c r="C910">
        <v>55369</v>
      </c>
      <c r="D910" t="s">
        <v>44</v>
      </c>
      <c r="E910" t="s">
        <v>162</v>
      </c>
      <c r="F910" t="s">
        <v>163</v>
      </c>
      <c r="G910">
        <v>5</v>
      </c>
      <c r="H910">
        <v>6.39</v>
      </c>
      <c r="I910">
        <v>0.2</v>
      </c>
      <c r="J910">
        <v>25.56</v>
      </c>
      <c r="K910" t="s">
        <v>36</v>
      </c>
      <c r="L910" t="s">
        <v>37</v>
      </c>
      <c r="M910" t="s">
        <v>57</v>
      </c>
    </row>
    <row r="911" spans="1:13" x14ac:dyDescent="0.2">
      <c r="A911">
        <v>250152</v>
      </c>
      <c r="B911" s="1">
        <v>45348</v>
      </c>
      <c r="C911">
        <v>37614</v>
      </c>
      <c r="D911" t="s">
        <v>48</v>
      </c>
      <c r="E911" t="s">
        <v>49</v>
      </c>
      <c r="F911" t="s">
        <v>50</v>
      </c>
      <c r="G911">
        <v>4</v>
      </c>
      <c r="H911">
        <v>7.64</v>
      </c>
      <c r="I911">
        <v>0.15</v>
      </c>
      <c r="J911">
        <v>25.98</v>
      </c>
      <c r="K911" t="s">
        <v>53</v>
      </c>
      <c r="L911" t="s">
        <v>23</v>
      </c>
      <c r="M911" t="s">
        <v>96</v>
      </c>
    </row>
    <row r="912" spans="1:13" x14ac:dyDescent="0.2">
      <c r="A912">
        <v>250169</v>
      </c>
      <c r="B912" s="2">
        <v>44690</v>
      </c>
      <c r="C912">
        <v>91797</v>
      </c>
      <c r="D912" t="s">
        <v>97</v>
      </c>
      <c r="E912" t="s">
        <v>141</v>
      </c>
      <c r="F912" t="s">
        <v>142</v>
      </c>
      <c r="G912">
        <v>1</v>
      </c>
      <c r="H912">
        <v>22.99</v>
      </c>
      <c r="J912">
        <v>22.99</v>
      </c>
      <c r="K912" t="s">
        <v>36</v>
      </c>
      <c r="L912" t="s">
        <v>17</v>
      </c>
      <c r="M912" t="s">
        <v>28</v>
      </c>
    </row>
    <row r="913" spans="1:13" x14ac:dyDescent="0.2">
      <c r="A913">
        <v>251178</v>
      </c>
      <c r="B913" s="2">
        <v>45541</v>
      </c>
      <c r="C913">
        <v>30488</v>
      </c>
      <c r="D913" t="s">
        <v>82</v>
      </c>
      <c r="E913" t="s">
        <v>168</v>
      </c>
      <c r="F913" t="s">
        <v>169</v>
      </c>
      <c r="G913">
        <v>2</v>
      </c>
      <c r="H913">
        <v>8.09</v>
      </c>
      <c r="I913">
        <v>0.1</v>
      </c>
      <c r="J913">
        <v>14.56</v>
      </c>
      <c r="K913" t="s">
        <v>16</v>
      </c>
      <c r="L913" t="s">
        <v>23</v>
      </c>
      <c r="M913" t="s">
        <v>81</v>
      </c>
    </row>
    <row r="914" spans="1:13" x14ac:dyDescent="0.2">
      <c r="A914">
        <v>251212</v>
      </c>
      <c r="B914" s="2">
        <v>45187</v>
      </c>
      <c r="C914">
        <v>67780</v>
      </c>
      <c r="D914" t="s">
        <v>25</v>
      </c>
      <c r="E914" t="s">
        <v>51</v>
      </c>
      <c r="F914" t="s">
        <v>52</v>
      </c>
      <c r="G914">
        <v>5</v>
      </c>
      <c r="H914">
        <v>26.59</v>
      </c>
      <c r="I914">
        <v>0.05</v>
      </c>
      <c r="J914">
        <v>126.3</v>
      </c>
      <c r="K914" t="s">
        <v>36</v>
      </c>
      <c r="L914" t="s">
        <v>17</v>
      </c>
      <c r="M914" t="s">
        <v>81</v>
      </c>
    </row>
    <row r="915" spans="1:13" x14ac:dyDescent="0.2">
      <c r="A915">
        <v>251465</v>
      </c>
      <c r="B915" s="1">
        <v>44694</v>
      </c>
      <c r="C915">
        <v>79284</v>
      </c>
      <c r="D915" t="s">
        <v>29</v>
      </c>
      <c r="E915" t="s">
        <v>170</v>
      </c>
      <c r="F915" t="s">
        <v>171</v>
      </c>
      <c r="G915">
        <v>1</v>
      </c>
      <c r="H915">
        <v>13.49</v>
      </c>
      <c r="I915">
        <v>0.1</v>
      </c>
      <c r="J915">
        <v>12.14</v>
      </c>
      <c r="K915" t="s">
        <v>95</v>
      </c>
      <c r="L915" t="s">
        <v>17</v>
      </c>
      <c r="M915" t="s">
        <v>28</v>
      </c>
    </row>
    <row r="916" spans="1:13" x14ac:dyDescent="0.2">
      <c r="A916">
        <v>251715</v>
      </c>
      <c r="B916" s="1">
        <v>45599</v>
      </c>
      <c r="D916" t="s">
        <v>48</v>
      </c>
      <c r="E916" t="s">
        <v>109</v>
      </c>
      <c r="F916" t="s">
        <v>110</v>
      </c>
      <c r="G916">
        <v>4</v>
      </c>
      <c r="H916">
        <v>4.8899999999999997</v>
      </c>
      <c r="I916">
        <v>0.3</v>
      </c>
      <c r="J916">
        <v>13.69</v>
      </c>
      <c r="K916" t="s">
        <v>36</v>
      </c>
      <c r="L916" t="s">
        <v>17</v>
      </c>
      <c r="M916" t="s">
        <v>90</v>
      </c>
    </row>
    <row r="917" spans="1:13" x14ac:dyDescent="0.2">
      <c r="A917">
        <v>251808</v>
      </c>
      <c r="B917" s="2">
        <v>44765</v>
      </c>
      <c r="C917">
        <v>52673</v>
      </c>
      <c r="D917" t="s">
        <v>40</v>
      </c>
      <c r="E917" t="s">
        <v>58</v>
      </c>
      <c r="F917" t="s">
        <v>59</v>
      </c>
      <c r="G917">
        <v>3</v>
      </c>
      <c r="H917">
        <v>3.19</v>
      </c>
      <c r="I917">
        <v>0.2</v>
      </c>
      <c r="J917">
        <v>7.66</v>
      </c>
      <c r="K917" t="s">
        <v>16</v>
      </c>
      <c r="L917" t="s">
        <v>17</v>
      </c>
      <c r="M917" t="s">
        <v>43</v>
      </c>
    </row>
    <row r="918" spans="1:13" x14ac:dyDescent="0.2">
      <c r="A918">
        <v>251968</v>
      </c>
      <c r="B918" s="1">
        <v>45344</v>
      </c>
      <c r="C918">
        <v>72023</v>
      </c>
      <c r="D918" t="s">
        <v>85</v>
      </c>
      <c r="E918" t="s">
        <v>149</v>
      </c>
      <c r="F918" t="s">
        <v>150</v>
      </c>
      <c r="G918">
        <v>5</v>
      </c>
      <c r="H918">
        <v>18.989999999999998</v>
      </c>
      <c r="I918">
        <v>0.05</v>
      </c>
      <c r="J918">
        <v>90.2</v>
      </c>
      <c r="K918" t="s">
        <v>36</v>
      </c>
      <c r="L918" t="s">
        <v>17</v>
      </c>
      <c r="M918" t="s">
        <v>62</v>
      </c>
    </row>
    <row r="919" spans="1:13" x14ac:dyDescent="0.2">
      <c r="A919">
        <v>251990</v>
      </c>
      <c r="B919" s="1">
        <v>44932</v>
      </c>
      <c r="C919">
        <v>64764</v>
      </c>
      <c r="D919" t="s">
        <v>48</v>
      </c>
      <c r="E919" t="s">
        <v>179</v>
      </c>
      <c r="F919" t="s">
        <v>180</v>
      </c>
      <c r="G919">
        <v>1</v>
      </c>
      <c r="H919">
        <v>8.99</v>
      </c>
      <c r="I919">
        <v>0.25</v>
      </c>
      <c r="J919">
        <v>6.74</v>
      </c>
      <c r="K919" t="s">
        <v>22</v>
      </c>
      <c r="L919" t="s">
        <v>17</v>
      </c>
      <c r="M919" t="s">
        <v>96</v>
      </c>
    </row>
    <row r="920" spans="1:13" x14ac:dyDescent="0.2">
      <c r="A920">
        <v>252197</v>
      </c>
      <c r="B920" s="1">
        <v>45550</v>
      </c>
      <c r="C920">
        <v>98468</v>
      </c>
      <c r="D920" t="s">
        <v>40</v>
      </c>
      <c r="E920" t="s">
        <v>115</v>
      </c>
      <c r="F920" t="s">
        <v>116</v>
      </c>
      <c r="G920">
        <v>5</v>
      </c>
      <c r="H920">
        <v>12.99</v>
      </c>
      <c r="J920">
        <v>64.95</v>
      </c>
      <c r="K920" t="s">
        <v>16</v>
      </c>
      <c r="L920" t="s">
        <v>17</v>
      </c>
      <c r="M920" t="s">
        <v>57</v>
      </c>
    </row>
    <row r="921" spans="1:13" x14ac:dyDescent="0.2">
      <c r="A921">
        <v>252315</v>
      </c>
      <c r="B921" s="1">
        <v>44750</v>
      </c>
      <c r="C921">
        <v>80400</v>
      </c>
      <c r="D921" t="s">
        <v>29</v>
      </c>
      <c r="E921" t="s">
        <v>170</v>
      </c>
      <c r="F921" t="s">
        <v>171</v>
      </c>
      <c r="G921">
        <v>3</v>
      </c>
      <c r="H921">
        <v>14.24</v>
      </c>
      <c r="I921">
        <v>0.05</v>
      </c>
      <c r="J921">
        <v>40.58</v>
      </c>
      <c r="K921" t="s">
        <v>16</v>
      </c>
      <c r="L921" t="s">
        <v>17</v>
      </c>
      <c r="M921" t="s">
        <v>76</v>
      </c>
    </row>
    <row r="922" spans="1:13" x14ac:dyDescent="0.2">
      <c r="A922">
        <v>252315</v>
      </c>
      <c r="B922" s="2">
        <v>44779</v>
      </c>
      <c r="C922">
        <v>24827</v>
      </c>
      <c r="D922" t="s">
        <v>40</v>
      </c>
      <c r="E922" t="s">
        <v>58</v>
      </c>
      <c r="F922" t="s">
        <v>59</v>
      </c>
      <c r="G922">
        <v>1</v>
      </c>
      <c r="H922">
        <v>3.99</v>
      </c>
      <c r="J922">
        <v>3.99</v>
      </c>
      <c r="K922" t="s">
        <v>22</v>
      </c>
      <c r="L922" t="s">
        <v>37</v>
      </c>
      <c r="M922" t="s">
        <v>67</v>
      </c>
    </row>
    <row r="923" spans="1:13" x14ac:dyDescent="0.2">
      <c r="A923">
        <v>252317</v>
      </c>
      <c r="B923" s="1">
        <v>45327</v>
      </c>
      <c r="C923">
        <v>97218</v>
      </c>
      <c r="D923" t="s">
        <v>25</v>
      </c>
      <c r="E923" t="s">
        <v>60</v>
      </c>
      <c r="F923" t="s">
        <v>61</v>
      </c>
      <c r="G923">
        <v>3</v>
      </c>
      <c r="H923">
        <v>52.24</v>
      </c>
      <c r="I923">
        <v>0.05</v>
      </c>
      <c r="J923">
        <v>148.88</v>
      </c>
      <c r="K923" t="s">
        <v>16</v>
      </c>
      <c r="L923" t="s">
        <v>37</v>
      </c>
      <c r="M923" t="s">
        <v>103</v>
      </c>
    </row>
    <row r="924" spans="1:13" x14ac:dyDescent="0.2">
      <c r="A924">
        <v>252401</v>
      </c>
      <c r="B924" s="1">
        <v>45463</v>
      </c>
      <c r="C924">
        <v>40960</v>
      </c>
      <c r="D924" t="s">
        <v>85</v>
      </c>
      <c r="E924" t="s">
        <v>149</v>
      </c>
      <c r="F924" t="s">
        <v>150</v>
      </c>
      <c r="G924">
        <v>3</v>
      </c>
      <c r="H924">
        <v>13.99</v>
      </c>
      <c r="I924">
        <v>0.3</v>
      </c>
      <c r="J924">
        <v>29.38</v>
      </c>
      <c r="K924" t="s">
        <v>36</v>
      </c>
      <c r="L924" t="s">
        <v>17</v>
      </c>
      <c r="M924" t="s">
        <v>47</v>
      </c>
    </row>
    <row r="925" spans="1:13" x14ac:dyDescent="0.2">
      <c r="A925">
        <v>252431</v>
      </c>
      <c r="B925" s="1">
        <v>45130</v>
      </c>
      <c r="C925">
        <v>19580</v>
      </c>
      <c r="D925" t="s">
        <v>29</v>
      </c>
      <c r="E925" t="s">
        <v>38</v>
      </c>
      <c r="F925" t="s">
        <v>39</v>
      </c>
      <c r="G925">
        <v>1</v>
      </c>
      <c r="H925">
        <v>28.49</v>
      </c>
      <c r="I925">
        <v>0.05</v>
      </c>
      <c r="J925">
        <v>27.07</v>
      </c>
      <c r="K925" t="s">
        <v>16</v>
      </c>
      <c r="L925" t="s">
        <v>23</v>
      </c>
      <c r="M925" t="s">
        <v>96</v>
      </c>
    </row>
    <row r="926" spans="1:13" x14ac:dyDescent="0.2">
      <c r="A926">
        <v>252462</v>
      </c>
      <c r="B926" s="1">
        <v>45530</v>
      </c>
      <c r="C926">
        <v>86534</v>
      </c>
      <c r="D926" t="s">
        <v>85</v>
      </c>
      <c r="E926" t="s">
        <v>153</v>
      </c>
      <c r="F926" t="s">
        <v>154</v>
      </c>
      <c r="G926">
        <v>3</v>
      </c>
      <c r="H926">
        <v>23.99</v>
      </c>
      <c r="I926">
        <v>0.2</v>
      </c>
      <c r="J926">
        <v>57.58</v>
      </c>
      <c r="K926" t="s">
        <v>36</v>
      </c>
      <c r="L926" t="s">
        <v>17</v>
      </c>
      <c r="M926" t="s">
        <v>161</v>
      </c>
    </row>
    <row r="927" spans="1:13" x14ac:dyDescent="0.2">
      <c r="A927">
        <v>252597</v>
      </c>
      <c r="B927" s="1">
        <v>44987</v>
      </c>
      <c r="C927">
        <v>24333</v>
      </c>
      <c r="D927" t="s">
        <v>13</v>
      </c>
      <c r="E927" t="s">
        <v>34</v>
      </c>
      <c r="F927" t="s">
        <v>35</v>
      </c>
      <c r="G927">
        <v>1</v>
      </c>
      <c r="H927">
        <v>34.99</v>
      </c>
      <c r="J927">
        <v>34.99</v>
      </c>
      <c r="K927" t="s">
        <v>16</v>
      </c>
      <c r="L927" t="s">
        <v>37</v>
      </c>
      <c r="M927" t="s">
        <v>96</v>
      </c>
    </row>
    <row r="928" spans="1:13" x14ac:dyDescent="0.2">
      <c r="A928">
        <v>252655</v>
      </c>
      <c r="B928" s="1">
        <v>45506</v>
      </c>
      <c r="C928">
        <v>22481</v>
      </c>
      <c r="D928" t="s">
        <v>167</v>
      </c>
      <c r="E928" t="s">
        <v>49</v>
      </c>
      <c r="F928" t="s">
        <v>50</v>
      </c>
      <c r="G928">
        <v>4</v>
      </c>
      <c r="H928">
        <v>8.99</v>
      </c>
      <c r="J928">
        <v>35.96</v>
      </c>
      <c r="K928" t="s">
        <v>36</v>
      </c>
      <c r="L928" t="s">
        <v>17</v>
      </c>
      <c r="M928" t="s">
        <v>28</v>
      </c>
    </row>
    <row r="929" spans="1:13" x14ac:dyDescent="0.2">
      <c r="A929">
        <v>252709</v>
      </c>
      <c r="B929" s="1">
        <v>44645</v>
      </c>
      <c r="C929">
        <v>44781</v>
      </c>
      <c r="D929" t="s">
        <v>82</v>
      </c>
      <c r="E929" t="s">
        <v>83</v>
      </c>
      <c r="F929" t="s">
        <v>84</v>
      </c>
      <c r="G929">
        <v>2</v>
      </c>
      <c r="H929">
        <v>14.44</v>
      </c>
      <c r="I929">
        <v>0.15</v>
      </c>
      <c r="J929">
        <v>24.55</v>
      </c>
      <c r="K929" t="s">
        <v>16</v>
      </c>
      <c r="L929" t="s">
        <v>17</v>
      </c>
      <c r="M929" t="s">
        <v>57</v>
      </c>
    </row>
    <row r="930" spans="1:13" x14ac:dyDescent="0.2">
      <c r="A930">
        <v>252719</v>
      </c>
      <c r="B930" s="1">
        <v>45307</v>
      </c>
      <c r="C930">
        <v>21327</v>
      </c>
      <c r="D930" t="s">
        <v>167</v>
      </c>
      <c r="E930" t="s">
        <v>143</v>
      </c>
      <c r="F930" t="s">
        <v>144</v>
      </c>
      <c r="G930">
        <v>1</v>
      </c>
      <c r="H930">
        <v>10.49</v>
      </c>
      <c r="I930">
        <v>0.3</v>
      </c>
      <c r="J930">
        <v>7.34</v>
      </c>
      <c r="K930" t="s">
        <v>36</v>
      </c>
      <c r="L930" t="s">
        <v>17</v>
      </c>
      <c r="M930" t="s">
        <v>57</v>
      </c>
    </row>
    <row r="931" spans="1:13" x14ac:dyDescent="0.2">
      <c r="A931">
        <v>252754</v>
      </c>
      <c r="B931" s="1">
        <v>44991</v>
      </c>
      <c r="C931">
        <v>53800</v>
      </c>
      <c r="D931" t="s">
        <v>63</v>
      </c>
      <c r="E931" t="s">
        <v>68</v>
      </c>
      <c r="F931" t="s">
        <v>69</v>
      </c>
      <c r="G931">
        <v>2</v>
      </c>
      <c r="H931">
        <v>24.99</v>
      </c>
      <c r="J931">
        <v>49.98</v>
      </c>
      <c r="K931" t="s">
        <v>36</v>
      </c>
      <c r="L931" t="s">
        <v>37</v>
      </c>
      <c r="M931" t="s">
        <v>24</v>
      </c>
    </row>
    <row r="932" spans="1:13" x14ac:dyDescent="0.2">
      <c r="A932">
        <v>253175</v>
      </c>
      <c r="B932" s="1">
        <v>45584</v>
      </c>
      <c r="C932">
        <v>99674</v>
      </c>
      <c r="D932" t="s">
        <v>97</v>
      </c>
      <c r="E932" t="s">
        <v>165</v>
      </c>
      <c r="F932" t="s">
        <v>166</v>
      </c>
      <c r="G932">
        <v>1</v>
      </c>
      <c r="H932">
        <v>89.99</v>
      </c>
      <c r="J932">
        <v>89.99</v>
      </c>
      <c r="K932" t="s">
        <v>16</v>
      </c>
      <c r="L932" t="s">
        <v>37</v>
      </c>
      <c r="M932" t="s">
        <v>120</v>
      </c>
    </row>
    <row r="933" spans="1:13" x14ac:dyDescent="0.2">
      <c r="A933">
        <v>253766</v>
      </c>
      <c r="B933" s="1">
        <v>44791</v>
      </c>
      <c r="C933">
        <v>79224</v>
      </c>
      <c r="D933" t="s">
        <v>63</v>
      </c>
      <c r="E933" t="s">
        <v>131</v>
      </c>
      <c r="F933" t="s">
        <v>132</v>
      </c>
      <c r="G933">
        <v>1</v>
      </c>
      <c r="H933">
        <v>3.49</v>
      </c>
      <c r="J933">
        <v>3.49</v>
      </c>
      <c r="K933" t="s">
        <v>16</v>
      </c>
      <c r="L933" t="s">
        <v>17</v>
      </c>
      <c r="M933" t="s">
        <v>117</v>
      </c>
    </row>
    <row r="934" spans="1:13" x14ac:dyDescent="0.2">
      <c r="A934">
        <v>253883</v>
      </c>
      <c r="B934" s="2">
        <v>44629</v>
      </c>
      <c r="C934">
        <v>86894</v>
      </c>
      <c r="D934" t="s">
        <v>97</v>
      </c>
      <c r="E934" t="s">
        <v>141</v>
      </c>
      <c r="F934" t="s">
        <v>142</v>
      </c>
      <c r="G934">
        <v>3</v>
      </c>
      <c r="H934">
        <v>18.39</v>
      </c>
      <c r="I934">
        <v>0.2</v>
      </c>
      <c r="J934">
        <v>44.14</v>
      </c>
      <c r="K934" t="s">
        <v>36</v>
      </c>
      <c r="L934" t="s">
        <v>17</v>
      </c>
      <c r="M934" t="s">
        <v>62</v>
      </c>
    </row>
    <row r="935" spans="1:13" x14ac:dyDescent="0.2">
      <c r="A935">
        <v>253924</v>
      </c>
      <c r="B935" s="1">
        <v>44663</v>
      </c>
      <c r="C935">
        <v>49971</v>
      </c>
      <c r="D935" t="s">
        <v>97</v>
      </c>
      <c r="E935" t="s">
        <v>165</v>
      </c>
      <c r="F935" t="s">
        <v>166</v>
      </c>
      <c r="G935">
        <v>5</v>
      </c>
      <c r="H935">
        <v>67.489999999999995</v>
      </c>
      <c r="I935">
        <v>0.25</v>
      </c>
      <c r="J935">
        <v>253.09</v>
      </c>
      <c r="K935" t="s">
        <v>95</v>
      </c>
      <c r="L935" t="s">
        <v>37</v>
      </c>
      <c r="M935" t="s">
        <v>62</v>
      </c>
    </row>
    <row r="936" spans="1:13" x14ac:dyDescent="0.2">
      <c r="A936">
        <v>253939</v>
      </c>
      <c r="B936" s="1">
        <v>44572</v>
      </c>
      <c r="C936">
        <v>92659</v>
      </c>
      <c r="D936" t="s">
        <v>85</v>
      </c>
      <c r="E936" t="s">
        <v>137</v>
      </c>
      <c r="F936" t="s">
        <v>138</v>
      </c>
      <c r="G936">
        <v>1</v>
      </c>
      <c r="H936">
        <v>7.99</v>
      </c>
      <c r="J936">
        <v>7.99</v>
      </c>
      <c r="K936" t="s">
        <v>16</v>
      </c>
      <c r="L936" t="s">
        <v>37</v>
      </c>
      <c r="M936" t="s">
        <v>117</v>
      </c>
    </row>
    <row r="937" spans="1:13" x14ac:dyDescent="0.2">
      <c r="A937">
        <v>254019</v>
      </c>
      <c r="B937" s="1">
        <v>44815</v>
      </c>
      <c r="C937">
        <v>39651</v>
      </c>
      <c r="D937" t="s">
        <v>44</v>
      </c>
      <c r="E937" t="s">
        <v>190</v>
      </c>
      <c r="F937" t="s">
        <v>191</v>
      </c>
      <c r="G937">
        <v>2</v>
      </c>
      <c r="H937">
        <v>4.29</v>
      </c>
      <c r="J937">
        <v>8.58</v>
      </c>
      <c r="K937" t="s">
        <v>95</v>
      </c>
      <c r="L937" t="s">
        <v>17</v>
      </c>
      <c r="M937" t="s">
        <v>54</v>
      </c>
    </row>
    <row r="938" spans="1:13" x14ac:dyDescent="0.2">
      <c r="A938">
        <v>254127</v>
      </c>
      <c r="B938" s="1">
        <v>45261</v>
      </c>
      <c r="C938">
        <v>52613</v>
      </c>
      <c r="D938" t="s">
        <v>13</v>
      </c>
      <c r="E938" t="s">
        <v>79</v>
      </c>
      <c r="F938" t="s">
        <v>80</v>
      </c>
      <c r="G938">
        <v>2</v>
      </c>
      <c r="H938">
        <v>85.49</v>
      </c>
      <c r="I938">
        <v>0.05</v>
      </c>
      <c r="J938">
        <v>162.43</v>
      </c>
      <c r="K938" t="s">
        <v>53</v>
      </c>
      <c r="L938" t="s">
        <v>37</v>
      </c>
      <c r="M938" t="s">
        <v>67</v>
      </c>
    </row>
    <row r="939" spans="1:13" x14ac:dyDescent="0.2">
      <c r="A939">
        <v>254174</v>
      </c>
      <c r="B939" s="2">
        <v>45384</v>
      </c>
      <c r="C939">
        <v>57281</v>
      </c>
      <c r="D939" t="s">
        <v>29</v>
      </c>
      <c r="E939" t="s">
        <v>72</v>
      </c>
      <c r="F939" t="s">
        <v>73</v>
      </c>
      <c r="G939">
        <v>4</v>
      </c>
      <c r="H939">
        <v>29.99</v>
      </c>
      <c r="I939">
        <v>0.25</v>
      </c>
      <c r="J939">
        <v>89.97</v>
      </c>
      <c r="K939" t="s">
        <v>95</v>
      </c>
      <c r="L939" t="s">
        <v>17</v>
      </c>
      <c r="M939" t="s">
        <v>43</v>
      </c>
    </row>
    <row r="940" spans="1:13" x14ac:dyDescent="0.2">
      <c r="A940">
        <v>254379</v>
      </c>
      <c r="B940" s="1">
        <v>45393</v>
      </c>
      <c r="C940">
        <v>62696</v>
      </c>
      <c r="D940" t="s">
        <v>97</v>
      </c>
      <c r="E940" t="s">
        <v>165</v>
      </c>
      <c r="F940" t="s">
        <v>166</v>
      </c>
      <c r="G940">
        <v>1</v>
      </c>
      <c r="H940">
        <v>80.989999999999995</v>
      </c>
      <c r="I940">
        <v>0.1</v>
      </c>
      <c r="J940">
        <v>72.89</v>
      </c>
      <c r="K940" t="s">
        <v>53</v>
      </c>
      <c r="L940" t="s">
        <v>17</v>
      </c>
      <c r="M940" t="s">
        <v>18</v>
      </c>
    </row>
    <row r="941" spans="1:13" x14ac:dyDescent="0.2">
      <c r="A941">
        <v>254385</v>
      </c>
      <c r="B941" s="2">
        <v>44680</v>
      </c>
      <c r="D941" t="s">
        <v>40</v>
      </c>
      <c r="E941" t="s">
        <v>115</v>
      </c>
      <c r="F941" t="s">
        <v>116</v>
      </c>
      <c r="G941">
        <v>4</v>
      </c>
      <c r="H941">
        <v>9.09</v>
      </c>
      <c r="I941">
        <v>0.3</v>
      </c>
      <c r="J941">
        <v>25.45</v>
      </c>
      <c r="K941" t="s">
        <v>16</v>
      </c>
      <c r="L941" t="s">
        <v>37</v>
      </c>
      <c r="M941" t="s">
        <v>81</v>
      </c>
    </row>
    <row r="942" spans="1:13" x14ac:dyDescent="0.2">
      <c r="A942">
        <v>254591</v>
      </c>
      <c r="B942" s="1">
        <v>45164</v>
      </c>
      <c r="C942">
        <v>55911</v>
      </c>
      <c r="D942" t="s">
        <v>25</v>
      </c>
      <c r="E942" t="s">
        <v>70</v>
      </c>
      <c r="F942" t="s">
        <v>71</v>
      </c>
      <c r="G942">
        <v>4</v>
      </c>
      <c r="H942">
        <v>62.99</v>
      </c>
      <c r="I942">
        <v>0.3</v>
      </c>
      <c r="J942">
        <v>176.37</v>
      </c>
      <c r="K942" t="s">
        <v>36</v>
      </c>
      <c r="L942" t="s">
        <v>23</v>
      </c>
      <c r="M942" t="s">
        <v>102</v>
      </c>
    </row>
    <row r="943" spans="1:13" x14ac:dyDescent="0.2">
      <c r="A943">
        <v>254804</v>
      </c>
      <c r="B943" s="1">
        <v>45519</v>
      </c>
      <c r="C943">
        <v>81076</v>
      </c>
      <c r="D943" t="s">
        <v>25</v>
      </c>
      <c r="E943" t="s">
        <v>60</v>
      </c>
      <c r="F943" t="s">
        <v>61</v>
      </c>
      <c r="G943">
        <v>4</v>
      </c>
      <c r="H943">
        <v>46.74</v>
      </c>
      <c r="I943">
        <v>0.15</v>
      </c>
      <c r="J943">
        <v>158.91999999999999</v>
      </c>
      <c r="K943" t="s">
        <v>36</v>
      </c>
      <c r="L943" t="s">
        <v>37</v>
      </c>
      <c r="M943" t="s">
        <v>28</v>
      </c>
    </row>
    <row r="944" spans="1:13" x14ac:dyDescent="0.2">
      <c r="A944">
        <v>254878</v>
      </c>
      <c r="B944" s="1">
        <v>45553</v>
      </c>
      <c r="C944">
        <v>29137</v>
      </c>
      <c r="D944" t="s">
        <v>85</v>
      </c>
      <c r="E944" t="s">
        <v>157</v>
      </c>
      <c r="F944" t="s">
        <v>158</v>
      </c>
      <c r="G944">
        <v>1</v>
      </c>
      <c r="H944">
        <v>13.49</v>
      </c>
      <c r="J944">
        <v>13.49</v>
      </c>
      <c r="K944" t="s">
        <v>16</v>
      </c>
      <c r="L944" t="s">
        <v>17</v>
      </c>
      <c r="M944" t="s">
        <v>62</v>
      </c>
    </row>
    <row r="945" spans="1:13" x14ac:dyDescent="0.2">
      <c r="A945">
        <v>254925</v>
      </c>
      <c r="B945" s="1">
        <v>44822</v>
      </c>
      <c r="C945">
        <v>82428</v>
      </c>
      <c r="D945" t="s">
        <v>85</v>
      </c>
      <c r="E945" t="s">
        <v>157</v>
      </c>
      <c r="F945" t="s">
        <v>158</v>
      </c>
      <c r="G945">
        <v>1</v>
      </c>
      <c r="H945">
        <v>12.82</v>
      </c>
      <c r="I945">
        <v>0.05</v>
      </c>
      <c r="J945">
        <v>12.18</v>
      </c>
      <c r="K945" t="s">
        <v>95</v>
      </c>
      <c r="L945" t="s">
        <v>37</v>
      </c>
      <c r="M945" t="s">
        <v>103</v>
      </c>
    </row>
    <row r="946" spans="1:13" x14ac:dyDescent="0.2">
      <c r="A946">
        <v>254970</v>
      </c>
      <c r="B946" s="1">
        <v>45115</v>
      </c>
      <c r="C946">
        <v>15521</v>
      </c>
      <c r="D946" t="s">
        <v>44</v>
      </c>
      <c r="E946" t="s">
        <v>107</v>
      </c>
      <c r="F946" t="s">
        <v>108</v>
      </c>
      <c r="G946">
        <v>1</v>
      </c>
      <c r="H946">
        <v>3.49</v>
      </c>
      <c r="J946">
        <v>3.49</v>
      </c>
      <c r="K946" t="s">
        <v>22</v>
      </c>
      <c r="L946" t="s">
        <v>17</v>
      </c>
      <c r="M946" t="s">
        <v>102</v>
      </c>
    </row>
    <row r="947" spans="1:13" x14ac:dyDescent="0.2">
      <c r="A947">
        <v>255000</v>
      </c>
      <c r="B947" s="2">
        <v>44722</v>
      </c>
      <c r="C947">
        <v>31593</v>
      </c>
      <c r="D947" t="s">
        <v>13</v>
      </c>
      <c r="E947" t="s">
        <v>14</v>
      </c>
      <c r="F947" t="s">
        <v>15</v>
      </c>
      <c r="G947">
        <v>3</v>
      </c>
      <c r="H947">
        <v>63.99</v>
      </c>
      <c r="I947">
        <v>0.2</v>
      </c>
      <c r="J947">
        <v>153.58000000000001</v>
      </c>
      <c r="K947" t="s">
        <v>16</v>
      </c>
      <c r="L947" t="s">
        <v>17</v>
      </c>
      <c r="M947" t="s">
        <v>120</v>
      </c>
    </row>
    <row r="948" spans="1:13" x14ac:dyDescent="0.2">
      <c r="A948">
        <v>255035</v>
      </c>
      <c r="B948" s="1">
        <v>44613</v>
      </c>
      <c r="C948">
        <v>64148</v>
      </c>
      <c r="D948" t="s">
        <v>13</v>
      </c>
      <c r="E948" t="s">
        <v>77</v>
      </c>
      <c r="F948" t="s">
        <v>78</v>
      </c>
      <c r="G948">
        <v>1</v>
      </c>
      <c r="H948">
        <v>474.99</v>
      </c>
      <c r="I948">
        <v>0.05</v>
      </c>
      <c r="J948">
        <v>451.24</v>
      </c>
      <c r="K948" t="s">
        <v>53</v>
      </c>
      <c r="L948" t="s">
        <v>37</v>
      </c>
      <c r="M948" t="s">
        <v>28</v>
      </c>
    </row>
    <row r="949" spans="1:13" x14ac:dyDescent="0.2">
      <c r="A949">
        <v>255324</v>
      </c>
      <c r="B949" s="1">
        <v>45204</v>
      </c>
      <c r="C949">
        <v>14533</v>
      </c>
      <c r="D949" t="s">
        <v>40</v>
      </c>
      <c r="E949" t="s">
        <v>197</v>
      </c>
      <c r="F949" t="s">
        <v>198</v>
      </c>
      <c r="G949">
        <v>5</v>
      </c>
      <c r="H949">
        <v>14.99</v>
      </c>
      <c r="J949">
        <v>74.95</v>
      </c>
      <c r="K949" t="s">
        <v>22</v>
      </c>
      <c r="L949" t="s">
        <v>17</v>
      </c>
      <c r="M949" t="s">
        <v>81</v>
      </c>
    </row>
    <row r="950" spans="1:13" x14ac:dyDescent="0.2">
      <c r="A950">
        <v>255415</v>
      </c>
      <c r="B950" s="1">
        <v>45408</v>
      </c>
      <c r="C950">
        <v>33221</v>
      </c>
      <c r="D950" t="s">
        <v>40</v>
      </c>
      <c r="E950" t="s">
        <v>41</v>
      </c>
      <c r="F950" t="s">
        <v>42</v>
      </c>
      <c r="G950">
        <v>4</v>
      </c>
      <c r="H950">
        <v>5.99</v>
      </c>
      <c r="J950">
        <v>23.96</v>
      </c>
      <c r="K950" t="s">
        <v>22</v>
      </c>
      <c r="L950" t="s">
        <v>17</v>
      </c>
      <c r="M950" t="s">
        <v>123</v>
      </c>
    </row>
    <row r="951" spans="1:13" x14ac:dyDescent="0.2">
      <c r="A951">
        <v>255472</v>
      </c>
      <c r="B951" s="1">
        <v>45121</v>
      </c>
      <c r="C951">
        <v>44995</v>
      </c>
      <c r="D951" t="s">
        <v>29</v>
      </c>
      <c r="E951" t="s">
        <v>30</v>
      </c>
      <c r="F951" t="s">
        <v>31</v>
      </c>
      <c r="G951">
        <v>2</v>
      </c>
      <c r="H951">
        <v>19.989999999999998</v>
      </c>
      <c r="I951">
        <v>0.2</v>
      </c>
      <c r="J951">
        <v>31.98</v>
      </c>
      <c r="K951" t="s">
        <v>36</v>
      </c>
      <c r="L951" t="s">
        <v>17</v>
      </c>
      <c r="M951" t="s">
        <v>123</v>
      </c>
    </row>
    <row r="952" spans="1:13" x14ac:dyDescent="0.2">
      <c r="A952">
        <v>255486</v>
      </c>
      <c r="B952" s="1">
        <v>45288</v>
      </c>
      <c r="C952">
        <v>88895</v>
      </c>
      <c r="D952" t="s">
        <v>85</v>
      </c>
      <c r="E952" t="s">
        <v>157</v>
      </c>
      <c r="F952" t="s">
        <v>158</v>
      </c>
      <c r="G952">
        <v>1</v>
      </c>
      <c r="H952">
        <v>13.49</v>
      </c>
      <c r="J952">
        <v>13.49</v>
      </c>
      <c r="K952" t="s">
        <v>16</v>
      </c>
      <c r="L952" t="s">
        <v>17</v>
      </c>
      <c r="M952" t="s">
        <v>43</v>
      </c>
    </row>
    <row r="953" spans="1:13" x14ac:dyDescent="0.2">
      <c r="A953">
        <v>255508</v>
      </c>
      <c r="B953" s="1">
        <v>45619</v>
      </c>
      <c r="C953">
        <v>58611</v>
      </c>
      <c r="D953" t="s">
        <v>63</v>
      </c>
      <c r="E953" t="s">
        <v>64</v>
      </c>
      <c r="F953" t="s">
        <v>65</v>
      </c>
      <c r="G953">
        <v>1</v>
      </c>
      <c r="H953">
        <v>4.24</v>
      </c>
      <c r="I953">
        <v>0.15</v>
      </c>
      <c r="J953">
        <v>3.6</v>
      </c>
      <c r="K953" t="s">
        <v>36</v>
      </c>
      <c r="L953" t="s">
        <v>17</v>
      </c>
      <c r="M953" t="s">
        <v>103</v>
      </c>
    </row>
    <row r="954" spans="1:13" x14ac:dyDescent="0.2">
      <c r="A954">
        <v>255513</v>
      </c>
      <c r="B954" s="1">
        <v>44732</v>
      </c>
      <c r="C954">
        <v>62415</v>
      </c>
      <c r="D954" t="s">
        <v>29</v>
      </c>
      <c r="E954" t="s">
        <v>30</v>
      </c>
      <c r="F954" t="s">
        <v>31</v>
      </c>
      <c r="G954">
        <v>1</v>
      </c>
      <c r="H954">
        <v>22.49</v>
      </c>
      <c r="I954">
        <v>0.1</v>
      </c>
      <c r="J954">
        <v>20.239999999999998</v>
      </c>
      <c r="K954" t="s">
        <v>95</v>
      </c>
      <c r="L954" t="s">
        <v>37</v>
      </c>
      <c r="M954" t="s">
        <v>33</v>
      </c>
    </row>
    <row r="955" spans="1:13" x14ac:dyDescent="0.2">
      <c r="A955">
        <v>255567</v>
      </c>
      <c r="B955" s="2">
        <v>44655</v>
      </c>
      <c r="C955">
        <v>61419</v>
      </c>
      <c r="D955" t="s">
        <v>85</v>
      </c>
      <c r="E955" t="s">
        <v>129</v>
      </c>
      <c r="F955" t="s">
        <v>130</v>
      </c>
      <c r="G955">
        <v>1</v>
      </c>
      <c r="H955">
        <v>6.74</v>
      </c>
      <c r="I955">
        <v>0.25</v>
      </c>
      <c r="J955">
        <v>5.0599999999999996</v>
      </c>
      <c r="K955" t="s">
        <v>22</v>
      </c>
      <c r="L955" t="s">
        <v>37</v>
      </c>
      <c r="M955" t="s">
        <v>67</v>
      </c>
    </row>
    <row r="956" spans="1:13" x14ac:dyDescent="0.2">
      <c r="A956">
        <v>255629</v>
      </c>
      <c r="B956" s="1">
        <v>45399</v>
      </c>
      <c r="C956">
        <v>57457</v>
      </c>
      <c r="D956" t="s">
        <v>63</v>
      </c>
      <c r="E956" t="s">
        <v>64</v>
      </c>
      <c r="F956" t="s">
        <v>65</v>
      </c>
      <c r="G956">
        <v>5</v>
      </c>
      <c r="H956">
        <v>4.49</v>
      </c>
      <c r="J956">
        <v>22.45</v>
      </c>
      <c r="K956" t="s">
        <v>95</v>
      </c>
      <c r="L956" t="s">
        <v>17</v>
      </c>
      <c r="M956" t="s">
        <v>57</v>
      </c>
    </row>
    <row r="957" spans="1:13" x14ac:dyDescent="0.2">
      <c r="A957">
        <v>255673</v>
      </c>
      <c r="B957" s="1">
        <v>45629</v>
      </c>
      <c r="C957">
        <v>97334</v>
      </c>
      <c r="D957" t="s">
        <v>82</v>
      </c>
      <c r="E957" t="s">
        <v>147</v>
      </c>
      <c r="F957" t="s">
        <v>148</v>
      </c>
      <c r="G957">
        <v>1</v>
      </c>
      <c r="H957">
        <v>10.39</v>
      </c>
      <c r="I957">
        <v>0.2</v>
      </c>
      <c r="J957">
        <v>8.31</v>
      </c>
      <c r="K957" t="s">
        <v>22</v>
      </c>
      <c r="L957" t="s">
        <v>23</v>
      </c>
      <c r="M957" t="s">
        <v>57</v>
      </c>
    </row>
    <row r="958" spans="1:13" x14ac:dyDescent="0.2">
      <c r="A958">
        <v>255739</v>
      </c>
      <c r="B958" s="2">
        <v>45232</v>
      </c>
      <c r="C958">
        <v>15436</v>
      </c>
      <c r="D958" t="s">
        <v>44</v>
      </c>
      <c r="E958" t="s">
        <v>172</v>
      </c>
      <c r="F958" t="s">
        <v>173</v>
      </c>
      <c r="G958">
        <v>2</v>
      </c>
      <c r="H958">
        <v>4.49</v>
      </c>
      <c r="J958">
        <v>8.98</v>
      </c>
      <c r="K958" t="s">
        <v>16</v>
      </c>
      <c r="L958" t="s">
        <v>17</v>
      </c>
      <c r="M958" t="s">
        <v>76</v>
      </c>
    </row>
    <row r="959" spans="1:13" x14ac:dyDescent="0.2">
      <c r="A959">
        <v>256024</v>
      </c>
      <c r="B959" s="1">
        <v>45308</v>
      </c>
      <c r="C959">
        <v>28781</v>
      </c>
      <c r="D959" t="s">
        <v>44</v>
      </c>
      <c r="E959" t="s">
        <v>74</v>
      </c>
      <c r="F959" t="s">
        <v>75</v>
      </c>
      <c r="G959">
        <v>4</v>
      </c>
      <c r="H959">
        <v>2.2400000000000002</v>
      </c>
      <c r="I959">
        <v>0.25</v>
      </c>
      <c r="J959">
        <v>6.72</v>
      </c>
      <c r="K959" t="s">
        <v>16</v>
      </c>
      <c r="L959" t="s">
        <v>17</v>
      </c>
      <c r="M959" t="s">
        <v>96</v>
      </c>
    </row>
    <row r="960" spans="1:13" x14ac:dyDescent="0.2">
      <c r="A960">
        <v>256114</v>
      </c>
      <c r="B960" s="1">
        <v>45020</v>
      </c>
      <c r="C960">
        <v>70255</v>
      </c>
      <c r="D960" t="s">
        <v>29</v>
      </c>
      <c r="E960" t="s">
        <v>170</v>
      </c>
      <c r="F960" t="s">
        <v>171</v>
      </c>
      <c r="G960">
        <v>3</v>
      </c>
      <c r="H960">
        <v>11.99</v>
      </c>
      <c r="I960">
        <v>0.2</v>
      </c>
      <c r="J960">
        <v>28.78</v>
      </c>
      <c r="K960" t="s">
        <v>22</v>
      </c>
      <c r="L960" t="s">
        <v>17</v>
      </c>
      <c r="M960" t="s">
        <v>28</v>
      </c>
    </row>
    <row r="961" spans="1:13" x14ac:dyDescent="0.2">
      <c r="A961">
        <v>256140</v>
      </c>
      <c r="B961" s="1">
        <v>44612</v>
      </c>
      <c r="C961">
        <v>68394</v>
      </c>
      <c r="D961" t="s">
        <v>63</v>
      </c>
      <c r="E961" t="s">
        <v>64</v>
      </c>
      <c r="F961" t="s">
        <v>65</v>
      </c>
      <c r="G961">
        <v>2</v>
      </c>
      <c r="H961">
        <v>3.99</v>
      </c>
      <c r="I961">
        <v>0.2</v>
      </c>
      <c r="J961">
        <v>6.38</v>
      </c>
      <c r="K961" t="s">
        <v>16</v>
      </c>
      <c r="L961" t="s">
        <v>17</v>
      </c>
    </row>
    <row r="962" spans="1:13" x14ac:dyDescent="0.2">
      <c r="A962">
        <v>256456</v>
      </c>
      <c r="B962" s="1">
        <v>44893</v>
      </c>
      <c r="C962">
        <v>22727</v>
      </c>
      <c r="D962" t="s">
        <v>40</v>
      </c>
      <c r="E962" t="s">
        <v>41</v>
      </c>
      <c r="F962" t="s">
        <v>42</v>
      </c>
      <c r="G962">
        <v>2</v>
      </c>
      <c r="H962">
        <v>4.1900000000000004</v>
      </c>
      <c r="I962">
        <v>0.3</v>
      </c>
      <c r="J962">
        <v>5.87</v>
      </c>
      <c r="K962" t="s">
        <v>16</v>
      </c>
      <c r="L962" t="s">
        <v>37</v>
      </c>
      <c r="M962" t="s">
        <v>18</v>
      </c>
    </row>
    <row r="963" spans="1:13" x14ac:dyDescent="0.2">
      <c r="A963">
        <v>256521</v>
      </c>
      <c r="B963" s="1">
        <v>45397</v>
      </c>
      <c r="C963">
        <v>75256</v>
      </c>
      <c r="D963" t="s">
        <v>40</v>
      </c>
      <c r="E963" t="s">
        <v>197</v>
      </c>
      <c r="F963" t="s">
        <v>198</v>
      </c>
      <c r="G963">
        <v>2</v>
      </c>
      <c r="H963">
        <v>10.49</v>
      </c>
      <c r="I963">
        <v>0.3</v>
      </c>
      <c r="J963">
        <v>14.69</v>
      </c>
      <c r="K963" t="s">
        <v>36</v>
      </c>
      <c r="L963" t="s">
        <v>23</v>
      </c>
      <c r="M963" t="s">
        <v>43</v>
      </c>
    </row>
    <row r="964" spans="1:13" x14ac:dyDescent="0.2">
      <c r="A964">
        <v>256746</v>
      </c>
      <c r="B964" s="1">
        <v>45345</v>
      </c>
      <c r="C964">
        <v>37498</v>
      </c>
      <c r="D964" t="s">
        <v>85</v>
      </c>
      <c r="E964" t="s">
        <v>137</v>
      </c>
      <c r="F964" t="s">
        <v>138</v>
      </c>
      <c r="G964">
        <v>5</v>
      </c>
      <c r="H964">
        <v>5.59</v>
      </c>
      <c r="I964">
        <v>0.3</v>
      </c>
      <c r="J964">
        <v>19.559999999999999</v>
      </c>
      <c r="K964" t="s">
        <v>95</v>
      </c>
      <c r="L964" t="s">
        <v>17</v>
      </c>
      <c r="M964" t="s">
        <v>33</v>
      </c>
    </row>
    <row r="965" spans="1:13" x14ac:dyDescent="0.2">
      <c r="A965">
        <v>256884</v>
      </c>
      <c r="B965" s="1">
        <v>45566</v>
      </c>
      <c r="C965">
        <v>71307</v>
      </c>
      <c r="D965" t="s">
        <v>40</v>
      </c>
      <c r="E965" t="s">
        <v>20</v>
      </c>
      <c r="F965" t="s">
        <v>21</v>
      </c>
      <c r="G965">
        <v>1</v>
      </c>
      <c r="H965">
        <v>9.49</v>
      </c>
      <c r="I965">
        <v>0.05</v>
      </c>
      <c r="J965">
        <v>9.02</v>
      </c>
      <c r="K965" t="s">
        <v>22</v>
      </c>
      <c r="L965" t="s">
        <v>17</v>
      </c>
      <c r="M965" t="s">
        <v>24</v>
      </c>
    </row>
    <row r="966" spans="1:13" x14ac:dyDescent="0.2">
      <c r="A966">
        <v>257199</v>
      </c>
      <c r="B966" s="1">
        <v>45651</v>
      </c>
      <c r="C966">
        <v>75172</v>
      </c>
      <c r="D966" t="s">
        <v>97</v>
      </c>
      <c r="E966" t="s">
        <v>181</v>
      </c>
      <c r="F966" t="s">
        <v>182</v>
      </c>
      <c r="G966">
        <v>2</v>
      </c>
      <c r="H966">
        <v>11.24</v>
      </c>
      <c r="I966">
        <v>0.25</v>
      </c>
      <c r="J966">
        <v>16.86</v>
      </c>
      <c r="K966" t="s">
        <v>36</v>
      </c>
      <c r="L966" t="s">
        <v>17</v>
      </c>
      <c r="M966" t="s">
        <v>96</v>
      </c>
    </row>
    <row r="967" spans="1:13" x14ac:dyDescent="0.2">
      <c r="A967">
        <v>257336</v>
      </c>
      <c r="B967" s="1">
        <v>45092</v>
      </c>
      <c r="C967">
        <v>89120</v>
      </c>
      <c r="D967" t="s">
        <v>85</v>
      </c>
      <c r="E967" t="s">
        <v>153</v>
      </c>
      <c r="F967" t="s">
        <v>154</v>
      </c>
      <c r="G967">
        <v>4</v>
      </c>
      <c r="H967">
        <v>22.49</v>
      </c>
      <c r="I967">
        <v>0.25</v>
      </c>
      <c r="J967">
        <v>67.47</v>
      </c>
      <c r="K967" t="s">
        <v>16</v>
      </c>
      <c r="L967" t="s">
        <v>17</v>
      </c>
      <c r="M967" t="s">
        <v>103</v>
      </c>
    </row>
    <row r="968" spans="1:13" x14ac:dyDescent="0.2">
      <c r="A968">
        <v>257355</v>
      </c>
      <c r="B968" s="1">
        <v>44623</v>
      </c>
      <c r="C968">
        <v>19913</v>
      </c>
      <c r="D968" t="s">
        <v>13</v>
      </c>
      <c r="E968" t="s">
        <v>55</v>
      </c>
      <c r="F968" t="s">
        <v>56</v>
      </c>
      <c r="G968">
        <v>1</v>
      </c>
      <c r="H968">
        <v>280.49</v>
      </c>
      <c r="I968">
        <v>0.15</v>
      </c>
      <c r="J968">
        <v>238.42</v>
      </c>
      <c r="K968" t="s">
        <v>36</v>
      </c>
      <c r="L968" t="s">
        <v>37</v>
      </c>
      <c r="M968" t="s">
        <v>33</v>
      </c>
    </row>
    <row r="969" spans="1:13" x14ac:dyDescent="0.2">
      <c r="A969">
        <v>257409</v>
      </c>
      <c r="B969" s="1">
        <v>44774</v>
      </c>
      <c r="C969">
        <v>76032</v>
      </c>
      <c r="D969" t="s">
        <v>85</v>
      </c>
      <c r="E969" t="s">
        <v>137</v>
      </c>
      <c r="F969" t="s">
        <v>138</v>
      </c>
      <c r="G969">
        <v>2</v>
      </c>
      <c r="H969">
        <v>5.99</v>
      </c>
      <c r="I969">
        <v>0.25</v>
      </c>
      <c r="J969">
        <v>8.98</v>
      </c>
      <c r="K969" t="s">
        <v>22</v>
      </c>
      <c r="L969" t="s">
        <v>17</v>
      </c>
      <c r="M969" t="s">
        <v>24</v>
      </c>
    </row>
    <row r="970" spans="1:13" x14ac:dyDescent="0.2">
      <c r="A970">
        <v>257964</v>
      </c>
      <c r="B970" s="1">
        <v>44825</v>
      </c>
      <c r="C970">
        <v>29851</v>
      </c>
      <c r="D970" t="s">
        <v>13</v>
      </c>
      <c r="E970" t="s">
        <v>127</v>
      </c>
      <c r="F970" t="s">
        <v>128</v>
      </c>
      <c r="G970">
        <v>3</v>
      </c>
      <c r="H970">
        <v>14.99</v>
      </c>
      <c r="I970">
        <v>0.25</v>
      </c>
      <c r="J970">
        <v>33.729999999999997</v>
      </c>
      <c r="K970" t="s">
        <v>16</v>
      </c>
      <c r="L970" t="s">
        <v>37</v>
      </c>
      <c r="M970" t="s">
        <v>28</v>
      </c>
    </row>
    <row r="971" spans="1:13" x14ac:dyDescent="0.2">
      <c r="A971">
        <v>258020</v>
      </c>
      <c r="B971" s="1">
        <v>45057</v>
      </c>
      <c r="C971">
        <v>63273</v>
      </c>
      <c r="D971" t="s">
        <v>63</v>
      </c>
      <c r="E971" t="s">
        <v>131</v>
      </c>
      <c r="F971" t="s">
        <v>132</v>
      </c>
      <c r="G971">
        <v>4</v>
      </c>
      <c r="H971">
        <v>3.32</v>
      </c>
      <c r="I971">
        <v>0.05</v>
      </c>
      <c r="J971">
        <v>12.62</v>
      </c>
      <c r="K971" t="s">
        <v>22</v>
      </c>
      <c r="L971" t="s">
        <v>17</v>
      </c>
      <c r="M971" t="s">
        <v>28</v>
      </c>
    </row>
    <row r="972" spans="1:13" x14ac:dyDescent="0.2">
      <c r="A972">
        <v>258504</v>
      </c>
      <c r="B972" s="1">
        <v>44569</v>
      </c>
      <c r="C972">
        <v>98708</v>
      </c>
      <c r="D972" t="s">
        <v>48</v>
      </c>
      <c r="E972" t="s">
        <v>118</v>
      </c>
      <c r="F972" t="s">
        <v>119</v>
      </c>
      <c r="G972">
        <v>5</v>
      </c>
      <c r="H972">
        <v>4.74</v>
      </c>
      <c r="I972">
        <v>0.05</v>
      </c>
      <c r="J972">
        <v>22.52</v>
      </c>
      <c r="K972" t="s">
        <v>95</v>
      </c>
      <c r="L972" t="s">
        <v>37</v>
      </c>
      <c r="M972" t="s">
        <v>161</v>
      </c>
    </row>
    <row r="973" spans="1:13" x14ac:dyDescent="0.2">
      <c r="A973">
        <v>258719</v>
      </c>
      <c r="B973" s="2">
        <v>44699</v>
      </c>
      <c r="C973">
        <v>96809</v>
      </c>
      <c r="D973" t="s">
        <v>48</v>
      </c>
      <c r="E973" t="s">
        <v>109</v>
      </c>
      <c r="F973" t="s">
        <v>110</v>
      </c>
      <c r="G973">
        <v>1</v>
      </c>
      <c r="H973">
        <v>6.64</v>
      </c>
      <c r="I973">
        <v>0.05</v>
      </c>
      <c r="J973">
        <v>6.31</v>
      </c>
      <c r="K973" t="s">
        <v>36</v>
      </c>
      <c r="L973" t="s">
        <v>17</v>
      </c>
      <c r="M973" t="s">
        <v>103</v>
      </c>
    </row>
    <row r="974" spans="1:13" x14ac:dyDescent="0.2">
      <c r="A974">
        <v>258748</v>
      </c>
      <c r="B974" s="1">
        <v>45256</v>
      </c>
      <c r="C974">
        <v>47846</v>
      </c>
      <c r="D974" t="s">
        <v>97</v>
      </c>
      <c r="E974" t="s">
        <v>135</v>
      </c>
      <c r="F974" t="s">
        <v>136</v>
      </c>
      <c r="G974">
        <v>2</v>
      </c>
      <c r="H974">
        <v>8.99</v>
      </c>
      <c r="I974">
        <v>0.1</v>
      </c>
      <c r="J974">
        <v>16.18</v>
      </c>
      <c r="K974" t="s">
        <v>22</v>
      </c>
      <c r="L974" t="s">
        <v>17</v>
      </c>
      <c r="M974" t="s">
        <v>62</v>
      </c>
    </row>
    <row r="975" spans="1:13" x14ac:dyDescent="0.2">
      <c r="A975">
        <v>258968</v>
      </c>
      <c r="B975" s="1">
        <v>44985</v>
      </c>
      <c r="C975">
        <v>62257</v>
      </c>
      <c r="D975" t="s">
        <v>48</v>
      </c>
      <c r="E975" t="s">
        <v>139</v>
      </c>
      <c r="F975" t="s">
        <v>140</v>
      </c>
      <c r="G975">
        <v>2</v>
      </c>
      <c r="H975">
        <v>7.99</v>
      </c>
      <c r="J975">
        <v>15.98</v>
      </c>
      <c r="K975" t="s">
        <v>53</v>
      </c>
      <c r="L975" t="s">
        <v>17</v>
      </c>
      <c r="M975" t="s">
        <v>123</v>
      </c>
    </row>
    <row r="976" spans="1:13" x14ac:dyDescent="0.2">
      <c r="A976">
        <v>259001</v>
      </c>
      <c r="B976" s="1">
        <v>45521</v>
      </c>
      <c r="C976">
        <v>65150</v>
      </c>
      <c r="D976" t="s">
        <v>44</v>
      </c>
      <c r="E976" t="s">
        <v>190</v>
      </c>
      <c r="F976" t="s">
        <v>191</v>
      </c>
      <c r="G976">
        <v>5</v>
      </c>
      <c r="H976">
        <v>3.22</v>
      </c>
      <c r="I976">
        <v>0.25</v>
      </c>
      <c r="J976">
        <v>12.08</v>
      </c>
      <c r="K976" t="s">
        <v>22</v>
      </c>
      <c r="L976" t="s">
        <v>17</v>
      </c>
      <c r="M976" t="s">
        <v>123</v>
      </c>
    </row>
    <row r="977" spans="1:13" x14ac:dyDescent="0.2">
      <c r="A977">
        <v>259114</v>
      </c>
      <c r="B977" s="1">
        <v>45385</v>
      </c>
      <c r="C977">
        <v>41537</v>
      </c>
      <c r="D977" t="s">
        <v>48</v>
      </c>
      <c r="E977" t="s">
        <v>118</v>
      </c>
      <c r="F977" t="s">
        <v>119</v>
      </c>
      <c r="G977">
        <v>1</v>
      </c>
      <c r="H977">
        <v>3.74</v>
      </c>
      <c r="I977">
        <v>0.25</v>
      </c>
      <c r="J977">
        <v>2.8</v>
      </c>
      <c r="K977" t="s">
        <v>16</v>
      </c>
      <c r="L977" t="s">
        <v>17</v>
      </c>
      <c r="M977" t="s">
        <v>76</v>
      </c>
    </row>
    <row r="978" spans="1:13" x14ac:dyDescent="0.2">
      <c r="A978">
        <v>259160</v>
      </c>
      <c r="B978" s="1">
        <v>44978</v>
      </c>
      <c r="C978">
        <v>12907</v>
      </c>
      <c r="D978" t="s">
        <v>48</v>
      </c>
      <c r="E978" t="s">
        <v>109</v>
      </c>
      <c r="F978" t="s">
        <v>110</v>
      </c>
      <c r="G978">
        <v>1</v>
      </c>
      <c r="H978">
        <v>6.99</v>
      </c>
      <c r="J978">
        <v>6.99</v>
      </c>
      <c r="K978" t="s">
        <v>22</v>
      </c>
      <c r="L978" t="s">
        <v>17</v>
      </c>
      <c r="M978" t="s">
        <v>47</v>
      </c>
    </row>
    <row r="979" spans="1:13" x14ac:dyDescent="0.2">
      <c r="A979">
        <v>259429</v>
      </c>
      <c r="B979" s="1">
        <v>44651</v>
      </c>
      <c r="C979">
        <v>16181</v>
      </c>
      <c r="D979" t="s">
        <v>63</v>
      </c>
      <c r="E979" t="s">
        <v>68</v>
      </c>
      <c r="F979" t="s">
        <v>69</v>
      </c>
      <c r="G979">
        <v>1</v>
      </c>
      <c r="H979">
        <v>21.24</v>
      </c>
      <c r="I979">
        <v>0.15</v>
      </c>
      <c r="J979">
        <v>18.05</v>
      </c>
      <c r="K979" t="s">
        <v>95</v>
      </c>
      <c r="L979" t="s">
        <v>17</v>
      </c>
      <c r="M979" t="s">
        <v>161</v>
      </c>
    </row>
    <row r="980" spans="1:13" x14ac:dyDescent="0.2">
      <c r="A980">
        <v>259496</v>
      </c>
      <c r="B980" s="1">
        <v>45063</v>
      </c>
      <c r="C980">
        <v>25249</v>
      </c>
      <c r="D980" t="s">
        <v>97</v>
      </c>
      <c r="E980" t="s">
        <v>135</v>
      </c>
      <c r="F980" t="s">
        <v>136</v>
      </c>
      <c r="G980">
        <v>1</v>
      </c>
      <c r="H980">
        <v>7.49</v>
      </c>
      <c r="I980">
        <v>0.25</v>
      </c>
      <c r="J980">
        <v>5.62</v>
      </c>
      <c r="K980" t="s">
        <v>16</v>
      </c>
      <c r="L980" t="s">
        <v>23</v>
      </c>
      <c r="M980" t="s">
        <v>120</v>
      </c>
    </row>
    <row r="981" spans="1:13" x14ac:dyDescent="0.2">
      <c r="A981">
        <v>259631</v>
      </c>
      <c r="B981" s="1">
        <v>45583</v>
      </c>
      <c r="C981">
        <v>59019</v>
      </c>
      <c r="D981" t="s">
        <v>25</v>
      </c>
      <c r="E981" t="s">
        <v>60</v>
      </c>
      <c r="F981" t="s">
        <v>61</v>
      </c>
      <c r="G981">
        <v>1</v>
      </c>
      <c r="H981">
        <v>46.74</v>
      </c>
      <c r="I981">
        <v>0.15</v>
      </c>
      <c r="J981">
        <v>39.729999999999997</v>
      </c>
      <c r="K981" t="s">
        <v>53</v>
      </c>
      <c r="L981" t="s">
        <v>17</v>
      </c>
      <c r="M981" t="s">
        <v>47</v>
      </c>
    </row>
    <row r="982" spans="1:13" x14ac:dyDescent="0.2">
      <c r="A982">
        <v>259668</v>
      </c>
      <c r="B982" s="1">
        <v>45048</v>
      </c>
      <c r="C982">
        <v>11899</v>
      </c>
      <c r="D982" t="s">
        <v>40</v>
      </c>
      <c r="E982" t="s">
        <v>115</v>
      </c>
      <c r="F982" t="s">
        <v>116</v>
      </c>
      <c r="G982">
        <v>3</v>
      </c>
      <c r="H982">
        <v>12.99</v>
      </c>
      <c r="J982">
        <v>38.97</v>
      </c>
      <c r="K982" t="s">
        <v>95</v>
      </c>
      <c r="L982" t="s">
        <v>17</v>
      </c>
      <c r="M982" t="s">
        <v>33</v>
      </c>
    </row>
    <row r="983" spans="1:13" x14ac:dyDescent="0.2">
      <c r="A983">
        <v>259872</v>
      </c>
      <c r="B983" s="2">
        <v>45532</v>
      </c>
      <c r="C983">
        <v>45231</v>
      </c>
      <c r="D983" t="s">
        <v>48</v>
      </c>
      <c r="E983" t="s">
        <v>49</v>
      </c>
      <c r="F983" t="s">
        <v>50</v>
      </c>
      <c r="G983">
        <v>5</v>
      </c>
      <c r="H983">
        <v>8.99</v>
      </c>
      <c r="J983">
        <v>44.95</v>
      </c>
      <c r="K983" t="s">
        <v>36</v>
      </c>
      <c r="L983" t="s">
        <v>37</v>
      </c>
      <c r="M983" t="s">
        <v>76</v>
      </c>
    </row>
    <row r="984" spans="1:13" x14ac:dyDescent="0.2">
      <c r="A984">
        <v>260311</v>
      </c>
      <c r="B984" s="1">
        <v>44739</v>
      </c>
      <c r="C984">
        <v>69553</v>
      </c>
      <c r="D984" t="s">
        <v>85</v>
      </c>
      <c r="E984" t="s">
        <v>157</v>
      </c>
      <c r="F984" t="s">
        <v>158</v>
      </c>
      <c r="G984">
        <v>1</v>
      </c>
      <c r="H984">
        <v>13.49</v>
      </c>
      <c r="J984">
        <v>13.49</v>
      </c>
      <c r="K984" t="s">
        <v>16</v>
      </c>
      <c r="L984" t="s">
        <v>17</v>
      </c>
      <c r="M984" t="s">
        <v>117</v>
      </c>
    </row>
    <row r="985" spans="1:13" x14ac:dyDescent="0.2">
      <c r="A985">
        <v>260331</v>
      </c>
      <c r="B985" s="1">
        <v>44990</v>
      </c>
      <c r="C985">
        <v>21810</v>
      </c>
      <c r="D985" t="s">
        <v>44</v>
      </c>
      <c r="E985" t="s">
        <v>107</v>
      </c>
      <c r="F985" t="s">
        <v>108</v>
      </c>
      <c r="G985">
        <v>3</v>
      </c>
      <c r="H985">
        <v>3.49</v>
      </c>
      <c r="J985">
        <v>10.47</v>
      </c>
      <c r="K985" t="s">
        <v>16</v>
      </c>
      <c r="L985" t="s">
        <v>17</v>
      </c>
      <c r="M985" t="s">
        <v>24</v>
      </c>
    </row>
    <row r="986" spans="1:13" x14ac:dyDescent="0.2">
      <c r="A986">
        <v>260777</v>
      </c>
      <c r="B986" s="1">
        <v>44753</v>
      </c>
      <c r="C986">
        <v>81129</v>
      </c>
      <c r="D986" t="s">
        <v>25</v>
      </c>
      <c r="E986" t="s">
        <v>60</v>
      </c>
      <c r="F986" t="s">
        <v>61</v>
      </c>
      <c r="G986">
        <v>2</v>
      </c>
      <c r="H986">
        <v>54.99</v>
      </c>
      <c r="J986">
        <v>109.98</v>
      </c>
      <c r="K986" t="s">
        <v>16</v>
      </c>
      <c r="L986" t="s">
        <v>37</v>
      </c>
      <c r="M986" t="s">
        <v>18</v>
      </c>
    </row>
    <row r="987" spans="1:13" x14ac:dyDescent="0.2">
      <c r="A987">
        <v>260965</v>
      </c>
      <c r="B987" s="1">
        <v>45419</v>
      </c>
      <c r="C987">
        <v>50064</v>
      </c>
      <c r="D987" t="s">
        <v>97</v>
      </c>
      <c r="E987" t="s">
        <v>135</v>
      </c>
      <c r="F987" t="s">
        <v>136</v>
      </c>
      <c r="G987">
        <v>2</v>
      </c>
      <c r="H987">
        <v>7.49</v>
      </c>
      <c r="I987">
        <v>0.25</v>
      </c>
      <c r="J987">
        <v>11.24</v>
      </c>
      <c r="K987" t="s">
        <v>16</v>
      </c>
      <c r="L987" t="s">
        <v>37</v>
      </c>
      <c r="M987" t="s">
        <v>76</v>
      </c>
    </row>
    <row r="988" spans="1:13" x14ac:dyDescent="0.2">
      <c r="A988">
        <v>261264</v>
      </c>
      <c r="B988" s="1">
        <v>45058</v>
      </c>
      <c r="C988">
        <v>87435</v>
      </c>
      <c r="D988" t="s">
        <v>29</v>
      </c>
      <c r="E988" t="s">
        <v>72</v>
      </c>
      <c r="F988" t="s">
        <v>73</v>
      </c>
      <c r="G988">
        <v>1</v>
      </c>
      <c r="H988">
        <v>39.99</v>
      </c>
      <c r="J988">
        <v>39.99</v>
      </c>
      <c r="K988" t="s">
        <v>16</v>
      </c>
      <c r="L988" t="s">
        <v>37</v>
      </c>
      <c r="M988" t="s">
        <v>28</v>
      </c>
    </row>
    <row r="989" spans="1:13" x14ac:dyDescent="0.2">
      <c r="A989">
        <v>261332</v>
      </c>
      <c r="B989" s="2">
        <v>44836</v>
      </c>
      <c r="C989">
        <v>14364</v>
      </c>
      <c r="D989" t="s">
        <v>63</v>
      </c>
      <c r="E989" t="s">
        <v>111</v>
      </c>
      <c r="F989" t="s">
        <v>112</v>
      </c>
      <c r="G989">
        <v>3</v>
      </c>
      <c r="H989">
        <v>11.24</v>
      </c>
      <c r="I989">
        <v>0.25</v>
      </c>
      <c r="J989">
        <v>25.29</v>
      </c>
      <c r="K989" t="s">
        <v>36</v>
      </c>
      <c r="L989" t="s">
        <v>17</v>
      </c>
      <c r="M989" t="s">
        <v>81</v>
      </c>
    </row>
    <row r="990" spans="1:13" x14ac:dyDescent="0.2">
      <c r="A990">
        <v>261616</v>
      </c>
      <c r="B990" s="1">
        <v>45053</v>
      </c>
      <c r="C990">
        <v>63020</v>
      </c>
      <c r="D990" t="s">
        <v>97</v>
      </c>
      <c r="E990" t="s">
        <v>151</v>
      </c>
      <c r="F990" t="s">
        <v>152</v>
      </c>
      <c r="G990">
        <v>2</v>
      </c>
      <c r="H990">
        <v>29.74</v>
      </c>
      <c r="I990">
        <v>0.15</v>
      </c>
      <c r="J990">
        <v>50.56</v>
      </c>
      <c r="K990" t="s">
        <v>53</v>
      </c>
      <c r="L990" t="s">
        <v>17</v>
      </c>
      <c r="M990" t="s">
        <v>117</v>
      </c>
    </row>
    <row r="991" spans="1:13" x14ac:dyDescent="0.2">
      <c r="A991">
        <v>261617</v>
      </c>
      <c r="B991" s="1">
        <v>45226</v>
      </c>
      <c r="D991" t="s">
        <v>48</v>
      </c>
      <c r="E991" t="s">
        <v>179</v>
      </c>
      <c r="F991" t="s">
        <v>180</v>
      </c>
      <c r="G991">
        <v>1</v>
      </c>
      <c r="H991">
        <v>10.19</v>
      </c>
      <c r="I991">
        <v>0.15</v>
      </c>
      <c r="J991">
        <v>8.66</v>
      </c>
      <c r="K991" t="s">
        <v>16</v>
      </c>
      <c r="L991" t="s">
        <v>23</v>
      </c>
      <c r="M991" t="s">
        <v>33</v>
      </c>
    </row>
    <row r="992" spans="1:13" x14ac:dyDescent="0.2">
      <c r="A992">
        <v>261670</v>
      </c>
      <c r="B992" s="1">
        <v>45296</v>
      </c>
      <c r="C992">
        <v>48405</v>
      </c>
      <c r="D992" t="s">
        <v>13</v>
      </c>
      <c r="E992" t="s">
        <v>159</v>
      </c>
      <c r="F992" t="s">
        <v>160</v>
      </c>
      <c r="G992">
        <v>5</v>
      </c>
      <c r="H992">
        <v>59.99</v>
      </c>
      <c r="J992">
        <v>299.95</v>
      </c>
      <c r="K992" t="s">
        <v>36</v>
      </c>
      <c r="L992" t="s">
        <v>17</v>
      </c>
      <c r="M992" t="s">
        <v>96</v>
      </c>
    </row>
    <row r="993" spans="1:13" x14ac:dyDescent="0.2">
      <c r="A993">
        <v>261755</v>
      </c>
      <c r="B993" s="2">
        <v>44565</v>
      </c>
      <c r="C993">
        <v>76840</v>
      </c>
      <c r="D993" t="s">
        <v>44</v>
      </c>
      <c r="E993" t="s">
        <v>190</v>
      </c>
      <c r="F993" t="s">
        <v>191</v>
      </c>
      <c r="G993">
        <v>2</v>
      </c>
      <c r="H993">
        <v>4.29</v>
      </c>
      <c r="J993">
        <v>8.58</v>
      </c>
      <c r="K993" t="s">
        <v>36</v>
      </c>
      <c r="L993" t="s">
        <v>17</v>
      </c>
      <c r="M993" t="s">
        <v>24</v>
      </c>
    </row>
    <row r="994" spans="1:13" x14ac:dyDescent="0.2">
      <c r="A994">
        <v>261955</v>
      </c>
      <c r="B994" s="1">
        <v>44841</v>
      </c>
      <c r="C994">
        <v>93261</v>
      </c>
      <c r="D994" t="s">
        <v>48</v>
      </c>
      <c r="E994" t="s">
        <v>139</v>
      </c>
      <c r="F994" t="s">
        <v>140</v>
      </c>
      <c r="G994">
        <v>4</v>
      </c>
      <c r="H994">
        <v>7.99</v>
      </c>
      <c r="J994">
        <v>31.96</v>
      </c>
      <c r="K994" t="s">
        <v>36</v>
      </c>
      <c r="L994" t="s">
        <v>37</v>
      </c>
      <c r="M994" t="s">
        <v>57</v>
      </c>
    </row>
    <row r="995" spans="1:13" x14ac:dyDescent="0.2">
      <c r="A995">
        <v>262088</v>
      </c>
      <c r="B995" s="2">
        <v>45458</v>
      </c>
      <c r="C995">
        <v>47075</v>
      </c>
      <c r="D995" t="s">
        <v>82</v>
      </c>
      <c r="E995" t="s">
        <v>155</v>
      </c>
      <c r="F995" t="s">
        <v>156</v>
      </c>
      <c r="G995">
        <v>2</v>
      </c>
      <c r="H995">
        <v>15.99</v>
      </c>
      <c r="I995">
        <v>0.2</v>
      </c>
      <c r="J995">
        <v>25.58</v>
      </c>
      <c r="K995" t="s">
        <v>22</v>
      </c>
      <c r="L995" t="s">
        <v>17</v>
      </c>
      <c r="M995" t="s">
        <v>117</v>
      </c>
    </row>
    <row r="996" spans="1:13" x14ac:dyDescent="0.2">
      <c r="A996">
        <v>262131</v>
      </c>
      <c r="B996" s="1">
        <v>45357</v>
      </c>
      <c r="C996">
        <v>65750</v>
      </c>
      <c r="D996" t="s">
        <v>82</v>
      </c>
      <c r="E996" t="s">
        <v>100</v>
      </c>
      <c r="F996" t="s">
        <v>101</v>
      </c>
      <c r="G996">
        <v>4</v>
      </c>
      <c r="H996">
        <v>22.99</v>
      </c>
      <c r="J996">
        <v>91.96</v>
      </c>
      <c r="K996" t="s">
        <v>16</v>
      </c>
      <c r="L996" t="s">
        <v>17</v>
      </c>
      <c r="M996" t="s">
        <v>47</v>
      </c>
    </row>
    <row r="997" spans="1:13" x14ac:dyDescent="0.2">
      <c r="A997">
        <v>262197</v>
      </c>
      <c r="B997" s="2">
        <v>44903</v>
      </c>
      <c r="C997">
        <v>41157</v>
      </c>
      <c r="D997" t="s">
        <v>44</v>
      </c>
      <c r="E997" t="s">
        <v>107</v>
      </c>
      <c r="F997" t="s">
        <v>108</v>
      </c>
      <c r="G997">
        <v>4</v>
      </c>
      <c r="H997">
        <v>3.14</v>
      </c>
      <c r="I997">
        <v>0.1</v>
      </c>
      <c r="J997">
        <v>11.3</v>
      </c>
      <c r="K997" t="s">
        <v>16</v>
      </c>
      <c r="L997" t="s">
        <v>17</v>
      </c>
      <c r="M997" t="s">
        <v>103</v>
      </c>
    </row>
    <row r="998" spans="1:13" x14ac:dyDescent="0.2">
      <c r="A998">
        <v>262541</v>
      </c>
      <c r="B998" s="1">
        <v>45468</v>
      </c>
      <c r="C998">
        <v>38701</v>
      </c>
      <c r="D998" t="s">
        <v>97</v>
      </c>
      <c r="E998" t="s">
        <v>98</v>
      </c>
      <c r="F998" t="s">
        <v>99</v>
      </c>
      <c r="G998">
        <v>1</v>
      </c>
      <c r="H998">
        <v>27.99</v>
      </c>
      <c r="J998">
        <v>27.99</v>
      </c>
      <c r="K998" t="s">
        <v>36</v>
      </c>
      <c r="L998" t="s">
        <v>17</v>
      </c>
      <c r="M998" t="s">
        <v>24</v>
      </c>
    </row>
    <row r="999" spans="1:13" x14ac:dyDescent="0.2">
      <c r="A999">
        <v>262672</v>
      </c>
      <c r="B999" s="1">
        <v>45637</v>
      </c>
      <c r="C999">
        <v>31088</v>
      </c>
      <c r="D999" t="s">
        <v>48</v>
      </c>
      <c r="E999" t="s">
        <v>139</v>
      </c>
      <c r="F999" t="s">
        <v>140</v>
      </c>
      <c r="G999">
        <v>4</v>
      </c>
      <c r="H999">
        <v>7.99</v>
      </c>
      <c r="J999">
        <v>31.96</v>
      </c>
      <c r="K999" t="s">
        <v>36</v>
      </c>
      <c r="L999" t="s">
        <v>17</v>
      </c>
      <c r="M999" t="s">
        <v>117</v>
      </c>
    </row>
    <row r="1000" spans="1:13" x14ac:dyDescent="0.2">
      <c r="A1000">
        <v>262796</v>
      </c>
      <c r="B1000" s="2">
        <v>44964</v>
      </c>
      <c r="D1000" t="s">
        <v>40</v>
      </c>
      <c r="E1000" t="s">
        <v>20</v>
      </c>
      <c r="F1000" t="s">
        <v>21</v>
      </c>
      <c r="G1000">
        <v>4</v>
      </c>
      <c r="H1000">
        <v>9.99</v>
      </c>
      <c r="J1000">
        <v>39.96</v>
      </c>
      <c r="K1000" t="s">
        <v>16</v>
      </c>
      <c r="L1000" t="s">
        <v>37</v>
      </c>
      <c r="M1000" t="s">
        <v>161</v>
      </c>
    </row>
    <row r="1001" spans="1:13" x14ac:dyDescent="0.2">
      <c r="A1001">
        <v>262844</v>
      </c>
      <c r="B1001" s="1">
        <v>44967</v>
      </c>
      <c r="C1001">
        <v>68748</v>
      </c>
      <c r="D1001" t="s">
        <v>82</v>
      </c>
      <c r="E1001" t="s">
        <v>155</v>
      </c>
      <c r="F1001" t="s">
        <v>156</v>
      </c>
      <c r="G1001">
        <v>3</v>
      </c>
      <c r="H1001">
        <v>19.989999999999998</v>
      </c>
      <c r="J1001">
        <v>59.97</v>
      </c>
      <c r="K1001" t="s">
        <v>16</v>
      </c>
      <c r="L1001" t="s">
        <v>37</v>
      </c>
      <c r="M1001" t="s">
        <v>57</v>
      </c>
    </row>
    <row r="1002" spans="1:13" x14ac:dyDescent="0.2">
      <c r="A1002">
        <v>262998</v>
      </c>
      <c r="B1002" s="1">
        <v>44798</v>
      </c>
      <c r="C1002">
        <v>36685</v>
      </c>
      <c r="D1002" t="s">
        <v>97</v>
      </c>
      <c r="E1002" t="s">
        <v>141</v>
      </c>
      <c r="F1002" t="s">
        <v>142</v>
      </c>
      <c r="G1002">
        <v>3</v>
      </c>
      <c r="H1002">
        <v>22.99</v>
      </c>
      <c r="J1002">
        <v>68.97</v>
      </c>
      <c r="K1002" t="s">
        <v>22</v>
      </c>
      <c r="L1002" t="s">
        <v>17</v>
      </c>
      <c r="M1002" t="s">
        <v>117</v>
      </c>
    </row>
    <row r="1003" spans="1:13" x14ac:dyDescent="0.2">
      <c r="A1003">
        <v>263103</v>
      </c>
      <c r="B1003" s="1">
        <v>45539</v>
      </c>
      <c r="C1003">
        <v>32426</v>
      </c>
      <c r="D1003" t="s">
        <v>63</v>
      </c>
      <c r="E1003" t="s">
        <v>125</v>
      </c>
      <c r="F1003" t="s">
        <v>126</v>
      </c>
      <c r="G1003">
        <v>1</v>
      </c>
      <c r="H1003">
        <v>29.99</v>
      </c>
      <c r="J1003">
        <v>29.99</v>
      </c>
      <c r="K1003" t="s">
        <v>36</v>
      </c>
      <c r="L1003" t="s">
        <v>23</v>
      </c>
      <c r="M1003" t="s">
        <v>24</v>
      </c>
    </row>
    <row r="1004" spans="1:13" x14ac:dyDescent="0.2">
      <c r="A1004">
        <v>263168</v>
      </c>
      <c r="B1004" s="1">
        <v>45482</v>
      </c>
      <c r="C1004">
        <v>36843</v>
      </c>
      <c r="D1004" t="s">
        <v>13</v>
      </c>
      <c r="E1004" t="s">
        <v>79</v>
      </c>
      <c r="F1004" t="s">
        <v>80</v>
      </c>
      <c r="G1004">
        <v>5</v>
      </c>
      <c r="H1004">
        <v>76.489999999999995</v>
      </c>
      <c r="I1004">
        <v>0.15</v>
      </c>
      <c r="J1004">
        <v>325.08</v>
      </c>
      <c r="K1004" t="s">
        <v>22</v>
      </c>
      <c r="L1004" t="s">
        <v>17</v>
      </c>
      <c r="M1004" t="s">
        <v>47</v>
      </c>
    </row>
    <row r="1005" spans="1:13" x14ac:dyDescent="0.2">
      <c r="A1005">
        <v>263419</v>
      </c>
      <c r="B1005" s="1">
        <v>44753</v>
      </c>
      <c r="C1005">
        <v>79288</v>
      </c>
      <c r="D1005" t="s">
        <v>44</v>
      </c>
      <c r="E1005" t="s">
        <v>93</v>
      </c>
      <c r="F1005" t="s">
        <v>94</v>
      </c>
      <c r="G1005">
        <v>1</v>
      </c>
      <c r="H1005">
        <v>1.29</v>
      </c>
      <c r="J1005">
        <v>1.29</v>
      </c>
      <c r="K1005" t="s">
        <v>22</v>
      </c>
      <c r="L1005" t="s">
        <v>23</v>
      </c>
      <c r="M1005" t="s">
        <v>90</v>
      </c>
    </row>
    <row r="1006" spans="1:13" x14ac:dyDescent="0.2">
      <c r="A1006">
        <v>263421</v>
      </c>
      <c r="B1006" s="1">
        <v>44620</v>
      </c>
      <c r="C1006">
        <v>67129</v>
      </c>
      <c r="D1006" t="s">
        <v>40</v>
      </c>
      <c r="E1006" t="s">
        <v>115</v>
      </c>
      <c r="F1006" t="s">
        <v>116</v>
      </c>
      <c r="G1006">
        <v>2</v>
      </c>
      <c r="H1006">
        <v>11.04</v>
      </c>
      <c r="I1006">
        <v>0.15</v>
      </c>
      <c r="J1006">
        <v>18.77</v>
      </c>
      <c r="K1006" t="s">
        <v>22</v>
      </c>
      <c r="L1006" t="s">
        <v>37</v>
      </c>
      <c r="M1006" t="s">
        <v>67</v>
      </c>
    </row>
    <row r="1007" spans="1:13" x14ac:dyDescent="0.2">
      <c r="A1007">
        <v>263432</v>
      </c>
      <c r="B1007" s="2">
        <v>44815</v>
      </c>
      <c r="C1007">
        <v>77351</v>
      </c>
      <c r="D1007" t="s">
        <v>97</v>
      </c>
      <c r="E1007" t="s">
        <v>151</v>
      </c>
      <c r="F1007" t="s">
        <v>152</v>
      </c>
      <c r="G1007">
        <v>1</v>
      </c>
      <c r="H1007">
        <v>33.24</v>
      </c>
      <c r="I1007">
        <v>0.05</v>
      </c>
      <c r="J1007">
        <v>31.58</v>
      </c>
      <c r="K1007" t="s">
        <v>22</v>
      </c>
      <c r="L1007" t="s">
        <v>37</v>
      </c>
      <c r="M1007" t="s">
        <v>24</v>
      </c>
    </row>
    <row r="1008" spans="1:13" x14ac:dyDescent="0.2">
      <c r="A1008">
        <v>263551</v>
      </c>
      <c r="B1008" s="1">
        <v>44579</v>
      </c>
      <c r="C1008">
        <v>63367</v>
      </c>
      <c r="D1008" t="s">
        <v>25</v>
      </c>
      <c r="E1008" t="s">
        <v>113</v>
      </c>
      <c r="F1008" t="s">
        <v>114</v>
      </c>
      <c r="G1008">
        <v>3</v>
      </c>
      <c r="H1008">
        <v>101.99</v>
      </c>
      <c r="I1008">
        <v>0.15</v>
      </c>
      <c r="J1008">
        <v>260.07</v>
      </c>
      <c r="K1008" t="s">
        <v>16</v>
      </c>
      <c r="L1008" t="s">
        <v>17</v>
      </c>
    </row>
    <row r="1009" spans="1:13" x14ac:dyDescent="0.2">
      <c r="A1009">
        <v>263628</v>
      </c>
      <c r="B1009" s="1">
        <v>45116</v>
      </c>
      <c r="C1009">
        <v>74276</v>
      </c>
      <c r="D1009" t="s">
        <v>82</v>
      </c>
      <c r="E1009" t="s">
        <v>147</v>
      </c>
      <c r="F1009" t="s">
        <v>148</v>
      </c>
      <c r="G1009">
        <v>4</v>
      </c>
      <c r="H1009">
        <v>12.99</v>
      </c>
      <c r="J1009">
        <v>51.96</v>
      </c>
      <c r="K1009" t="s">
        <v>36</v>
      </c>
      <c r="L1009" t="s">
        <v>17</v>
      </c>
      <c r="M1009" t="s">
        <v>24</v>
      </c>
    </row>
    <row r="1010" spans="1:13" x14ac:dyDescent="0.2">
      <c r="A1010">
        <v>263678</v>
      </c>
      <c r="B1010" s="1">
        <v>44762</v>
      </c>
      <c r="C1010">
        <v>40978</v>
      </c>
      <c r="D1010" t="s">
        <v>63</v>
      </c>
      <c r="E1010" t="s">
        <v>64</v>
      </c>
      <c r="F1010" t="s">
        <v>65</v>
      </c>
      <c r="G1010">
        <v>5</v>
      </c>
      <c r="H1010">
        <v>3.99</v>
      </c>
      <c r="I1010">
        <v>0.2</v>
      </c>
      <c r="J1010">
        <v>15.96</v>
      </c>
      <c r="K1010" t="s">
        <v>36</v>
      </c>
      <c r="L1010" t="s">
        <v>37</v>
      </c>
      <c r="M1010" t="s">
        <v>62</v>
      </c>
    </row>
    <row r="1011" spans="1:13" x14ac:dyDescent="0.2">
      <c r="A1011">
        <v>263875</v>
      </c>
      <c r="B1011" s="1">
        <v>45407</v>
      </c>
      <c r="C1011">
        <v>11673</v>
      </c>
      <c r="D1011" t="s">
        <v>106</v>
      </c>
      <c r="E1011" t="s">
        <v>190</v>
      </c>
      <c r="F1011" t="s">
        <v>191</v>
      </c>
      <c r="G1011">
        <v>2</v>
      </c>
      <c r="H1011">
        <v>3.86</v>
      </c>
      <c r="I1011">
        <v>0.1</v>
      </c>
      <c r="J1011">
        <v>6.95</v>
      </c>
      <c r="K1011" t="s">
        <v>36</v>
      </c>
      <c r="L1011" t="s">
        <v>17</v>
      </c>
      <c r="M1011" t="s">
        <v>103</v>
      </c>
    </row>
    <row r="1012" spans="1:13" x14ac:dyDescent="0.2">
      <c r="A1012">
        <v>264010</v>
      </c>
      <c r="B1012" s="2">
        <v>45501</v>
      </c>
      <c r="C1012">
        <v>13381</v>
      </c>
      <c r="D1012" t="s">
        <v>44</v>
      </c>
      <c r="E1012" t="s">
        <v>162</v>
      </c>
      <c r="F1012" t="s">
        <v>163</v>
      </c>
      <c r="G1012">
        <v>2</v>
      </c>
      <c r="H1012">
        <v>6.39</v>
      </c>
      <c r="I1012">
        <v>0.2</v>
      </c>
      <c r="J1012">
        <v>10.220000000000001</v>
      </c>
      <c r="K1012" t="s">
        <v>32</v>
      </c>
      <c r="L1012" t="s">
        <v>17</v>
      </c>
      <c r="M1012" t="s">
        <v>161</v>
      </c>
    </row>
    <row r="1013" spans="1:13" x14ac:dyDescent="0.2">
      <c r="A1013">
        <v>264341</v>
      </c>
      <c r="B1013" s="1">
        <v>45084</v>
      </c>
      <c r="C1013">
        <v>70881</v>
      </c>
      <c r="D1013" t="s">
        <v>48</v>
      </c>
      <c r="E1013" t="s">
        <v>139</v>
      </c>
      <c r="F1013" t="s">
        <v>140</v>
      </c>
      <c r="G1013">
        <v>2</v>
      </c>
      <c r="H1013">
        <v>6.79</v>
      </c>
      <c r="I1013">
        <v>0.15</v>
      </c>
      <c r="J1013">
        <v>11.54</v>
      </c>
      <c r="K1013" t="s">
        <v>36</v>
      </c>
      <c r="L1013" t="s">
        <v>17</v>
      </c>
      <c r="M1013" t="s">
        <v>18</v>
      </c>
    </row>
    <row r="1014" spans="1:13" x14ac:dyDescent="0.2">
      <c r="A1014">
        <v>264389</v>
      </c>
      <c r="B1014" s="1">
        <v>45166</v>
      </c>
      <c r="C1014">
        <v>82287</v>
      </c>
      <c r="D1014" t="s">
        <v>174</v>
      </c>
      <c r="E1014" t="s">
        <v>129</v>
      </c>
      <c r="F1014" t="s">
        <v>130</v>
      </c>
      <c r="G1014">
        <v>2</v>
      </c>
      <c r="H1014">
        <v>8.09</v>
      </c>
      <c r="I1014">
        <v>0.1</v>
      </c>
      <c r="J1014">
        <v>14.56</v>
      </c>
      <c r="K1014" t="s">
        <v>22</v>
      </c>
      <c r="L1014" t="s">
        <v>17</v>
      </c>
      <c r="M1014" t="s">
        <v>62</v>
      </c>
    </row>
    <row r="1015" spans="1:13" x14ac:dyDescent="0.2">
      <c r="A1015">
        <v>264660</v>
      </c>
      <c r="B1015" s="1">
        <v>44803</v>
      </c>
      <c r="C1015">
        <v>75325</v>
      </c>
      <c r="D1015" t="s">
        <v>97</v>
      </c>
      <c r="E1015" t="s">
        <v>141</v>
      </c>
      <c r="F1015" t="s">
        <v>142</v>
      </c>
      <c r="G1015">
        <v>5</v>
      </c>
      <c r="H1015">
        <v>21.84</v>
      </c>
      <c r="I1015">
        <v>0.05</v>
      </c>
      <c r="J1015">
        <v>103.74</v>
      </c>
      <c r="K1015" t="s">
        <v>22</v>
      </c>
      <c r="L1015" t="s">
        <v>37</v>
      </c>
      <c r="M1015" t="s">
        <v>33</v>
      </c>
    </row>
    <row r="1016" spans="1:13" x14ac:dyDescent="0.2">
      <c r="A1016">
        <v>265771</v>
      </c>
      <c r="B1016" s="1">
        <v>45547</v>
      </c>
      <c r="C1016">
        <v>94326</v>
      </c>
      <c r="D1016" t="s">
        <v>40</v>
      </c>
      <c r="E1016" t="s">
        <v>20</v>
      </c>
      <c r="F1016" t="s">
        <v>21</v>
      </c>
      <c r="G1016">
        <v>5</v>
      </c>
      <c r="H1016">
        <v>9.49</v>
      </c>
      <c r="I1016">
        <v>0.05</v>
      </c>
      <c r="J1016">
        <v>45.08</v>
      </c>
      <c r="K1016" t="s">
        <v>22</v>
      </c>
      <c r="L1016" t="s">
        <v>37</v>
      </c>
      <c r="M1016" t="s">
        <v>33</v>
      </c>
    </row>
    <row r="1017" spans="1:13" x14ac:dyDescent="0.2">
      <c r="A1017">
        <v>265827</v>
      </c>
      <c r="B1017" s="2">
        <v>45538</v>
      </c>
      <c r="C1017">
        <v>25373</v>
      </c>
      <c r="D1017" t="s">
        <v>48</v>
      </c>
      <c r="E1017" t="s">
        <v>139</v>
      </c>
      <c r="F1017" t="s">
        <v>140</v>
      </c>
      <c r="G1017">
        <v>4</v>
      </c>
      <c r="H1017">
        <v>7.99</v>
      </c>
      <c r="J1017">
        <v>31.96</v>
      </c>
      <c r="K1017" t="s">
        <v>36</v>
      </c>
      <c r="L1017" t="s">
        <v>17</v>
      </c>
      <c r="M1017" t="s">
        <v>90</v>
      </c>
    </row>
    <row r="1018" spans="1:13" x14ac:dyDescent="0.2">
      <c r="A1018">
        <v>265879</v>
      </c>
      <c r="B1018" s="2">
        <v>44817</v>
      </c>
      <c r="C1018">
        <v>76122</v>
      </c>
      <c r="D1018" t="s">
        <v>44</v>
      </c>
      <c r="E1018" t="s">
        <v>172</v>
      </c>
      <c r="F1018" t="s">
        <v>173</v>
      </c>
      <c r="G1018">
        <v>2</v>
      </c>
      <c r="H1018">
        <v>4.49</v>
      </c>
      <c r="J1018">
        <v>8.98</v>
      </c>
      <c r="K1018" t="s">
        <v>66</v>
      </c>
      <c r="L1018" t="s">
        <v>37</v>
      </c>
      <c r="M1018" t="s">
        <v>120</v>
      </c>
    </row>
    <row r="1019" spans="1:13" x14ac:dyDescent="0.2">
      <c r="A1019">
        <v>265923</v>
      </c>
      <c r="B1019" s="1">
        <v>45513</v>
      </c>
      <c r="C1019">
        <v>31571</v>
      </c>
      <c r="D1019" t="s">
        <v>25</v>
      </c>
      <c r="E1019" t="s">
        <v>113</v>
      </c>
      <c r="F1019" t="s">
        <v>114</v>
      </c>
      <c r="G1019">
        <v>3</v>
      </c>
      <c r="H1019">
        <v>119.99</v>
      </c>
      <c r="J1019">
        <v>359.97</v>
      </c>
      <c r="K1019" t="s">
        <v>36</v>
      </c>
      <c r="L1019" t="s">
        <v>17</v>
      </c>
      <c r="M1019" t="s">
        <v>54</v>
      </c>
    </row>
    <row r="1020" spans="1:13" x14ac:dyDescent="0.2">
      <c r="A1020">
        <v>265978</v>
      </c>
      <c r="B1020" s="1">
        <v>44990</v>
      </c>
      <c r="C1020">
        <v>55910</v>
      </c>
      <c r="D1020" t="s">
        <v>25</v>
      </c>
      <c r="E1020" t="s">
        <v>51</v>
      </c>
      <c r="F1020" t="s">
        <v>52</v>
      </c>
      <c r="G1020">
        <v>1</v>
      </c>
      <c r="H1020">
        <v>19.59</v>
      </c>
      <c r="I1020">
        <v>0.3</v>
      </c>
      <c r="J1020">
        <v>13.71</v>
      </c>
      <c r="K1020" t="s">
        <v>53</v>
      </c>
      <c r="L1020" t="s">
        <v>17</v>
      </c>
      <c r="M1020" t="s">
        <v>90</v>
      </c>
    </row>
    <row r="1021" spans="1:13" x14ac:dyDescent="0.2">
      <c r="A1021">
        <v>266028</v>
      </c>
      <c r="B1021" s="1">
        <v>44917</v>
      </c>
      <c r="C1021">
        <v>81627</v>
      </c>
      <c r="D1021" t="s">
        <v>199</v>
      </c>
      <c r="E1021" t="s">
        <v>79</v>
      </c>
      <c r="F1021" t="s">
        <v>80</v>
      </c>
      <c r="G1021">
        <v>2</v>
      </c>
      <c r="H1021">
        <v>89.99</v>
      </c>
      <c r="J1021">
        <v>179.98</v>
      </c>
      <c r="K1021" t="s">
        <v>22</v>
      </c>
      <c r="L1021" t="s">
        <v>17</v>
      </c>
      <c r="M1021" t="s">
        <v>43</v>
      </c>
    </row>
    <row r="1022" spans="1:13" x14ac:dyDescent="0.2">
      <c r="A1022">
        <v>266213</v>
      </c>
      <c r="B1022" s="2">
        <v>45022</v>
      </c>
      <c r="C1022">
        <v>97521</v>
      </c>
      <c r="D1022" t="s">
        <v>85</v>
      </c>
      <c r="E1022" t="s">
        <v>86</v>
      </c>
      <c r="F1022" t="s">
        <v>87</v>
      </c>
      <c r="G1022">
        <v>1</v>
      </c>
      <c r="H1022">
        <v>12.99</v>
      </c>
      <c r="J1022">
        <v>12.99</v>
      </c>
      <c r="K1022" t="s">
        <v>16</v>
      </c>
      <c r="L1022" t="s">
        <v>17</v>
      </c>
      <c r="M1022" t="s">
        <v>103</v>
      </c>
    </row>
    <row r="1023" spans="1:13" x14ac:dyDescent="0.2">
      <c r="A1023">
        <v>266302</v>
      </c>
      <c r="B1023" s="1">
        <v>44781</v>
      </c>
      <c r="C1023">
        <v>39076</v>
      </c>
      <c r="D1023" t="s">
        <v>44</v>
      </c>
      <c r="E1023" t="s">
        <v>172</v>
      </c>
      <c r="F1023" t="s">
        <v>173</v>
      </c>
      <c r="G1023">
        <v>1</v>
      </c>
      <c r="H1023">
        <v>3.82</v>
      </c>
      <c r="I1023">
        <v>0.15</v>
      </c>
      <c r="J1023">
        <v>3.25</v>
      </c>
      <c r="K1023" t="s">
        <v>36</v>
      </c>
      <c r="L1023" t="s">
        <v>37</v>
      </c>
      <c r="M1023" t="s">
        <v>18</v>
      </c>
    </row>
    <row r="1024" spans="1:13" x14ac:dyDescent="0.2">
      <c r="A1024">
        <v>266399</v>
      </c>
      <c r="B1024" s="2">
        <v>45239</v>
      </c>
      <c r="C1024">
        <v>24441</v>
      </c>
      <c r="D1024" t="s">
        <v>29</v>
      </c>
      <c r="E1024" t="s">
        <v>72</v>
      </c>
      <c r="F1024" t="s">
        <v>73</v>
      </c>
      <c r="G1024">
        <v>1</v>
      </c>
      <c r="H1024">
        <v>39.99</v>
      </c>
      <c r="J1024">
        <v>39.99</v>
      </c>
      <c r="K1024" t="s">
        <v>66</v>
      </c>
      <c r="L1024" t="s">
        <v>23</v>
      </c>
      <c r="M1024" t="s">
        <v>54</v>
      </c>
    </row>
    <row r="1025" spans="1:13" x14ac:dyDescent="0.2">
      <c r="A1025">
        <v>266775</v>
      </c>
      <c r="B1025" s="1">
        <v>44789</v>
      </c>
      <c r="C1025">
        <v>95102</v>
      </c>
      <c r="D1025" t="s">
        <v>29</v>
      </c>
      <c r="E1025" t="s">
        <v>170</v>
      </c>
      <c r="F1025" t="s">
        <v>171</v>
      </c>
      <c r="G1025">
        <v>5</v>
      </c>
      <c r="H1025">
        <v>11.24</v>
      </c>
      <c r="I1025">
        <v>0.25</v>
      </c>
      <c r="J1025">
        <v>42.15</v>
      </c>
      <c r="K1025" t="s">
        <v>16</v>
      </c>
      <c r="L1025" t="s">
        <v>37</v>
      </c>
      <c r="M1025" t="s">
        <v>120</v>
      </c>
    </row>
    <row r="1026" spans="1:13" x14ac:dyDescent="0.2">
      <c r="A1026">
        <v>267011</v>
      </c>
      <c r="B1026" s="1">
        <v>45405</v>
      </c>
      <c r="C1026">
        <v>79403</v>
      </c>
      <c r="D1026" t="s">
        <v>48</v>
      </c>
      <c r="E1026" t="s">
        <v>143</v>
      </c>
      <c r="F1026" t="s">
        <v>144</v>
      </c>
      <c r="G1026">
        <v>5</v>
      </c>
      <c r="H1026">
        <v>14.24</v>
      </c>
      <c r="I1026">
        <v>0.05</v>
      </c>
      <c r="J1026">
        <v>67.64</v>
      </c>
      <c r="K1026" t="s">
        <v>36</v>
      </c>
      <c r="L1026" t="s">
        <v>17</v>
      </c>
      <c r="M1026" t="s">
        <v>76</v>
      </c>
    </row>
    <row r="1027" spans="1:13" x14ac:dyDescent="0.2">
      <c r="A1027">
        <v>267081</v>
      </c>
      <c r="B1027" s="1">
        <v>45653</v>
      </c>
      <c r="C1027">
        <v>28325</v>
      </c>
      <c r="D1027" t="s">
        <v>29</v>
      </c>
      <c r="E1027" t="s">
        <v>170</v>
      </c>
      <c r="F1027" t="s">
        <v>171</v>
      </c>
      <c r="G1027">
        <v>3</v>
      </c>
      <c r="H1027">
        <v>12.74</v>
      </c>
      <c r="I1027">
        <v>0.15</v>
      </c>
      <c r="J1027">
        <v>32.49</v>
      </c>
      <c r="K1027" t="s">
        <v>16</v>
      </c>
      <c r="L1027" t="s">
        <v>37</v>
      </c>
      <c r="M1027" t="s">
        <v>81</v>
      </c>
    </row>
    <row r="1028" spans="1:13" x14ac:dyDescent="0.2">
      <c r="A1028">
        <v>267096</v>
      </c>
      <c r="B1028" s="1">
        <v>44882</v>
      </c>
      <c r="C1028">
        <v>31052</v>
      </c>
      <c r="D1028" t="s">
        <v>13</v>
      </c>
      <c r="E1028" t="s">
        <v>104</v>
      </c>
      <c r="F1028" t="s">
        <v>105</v>
      </c>
      <c r="G1028">
        <v>2</v>
      </c>
      <c r="H1028">
        <v>28.49</v>
      </c>
      <c r="I1028">
        <v>0.05</v>
      </c>
      <c r="J1028">
        <v>54.13</v>
      </c>
      <c r="K1028" t="s">
        <v>66</v>
      </c>
      <c r="L1028" t="s">
        <v>17</v>
      </c>
      <c r="M1028" t="s">
        <v>81</v>
      </c>
    </row>
    <row r="1029" spans="1:13" x14ac:dyDescent="0.2">
      <c r="A1029">
        <v>267314</v>
      </c>
      <c r="B1029" s="1">
        <v>45360</v>
      </c>
      <c r="D1029" t="s">
        <v>44</v>
      </c>
      <c r="E1029" t="s">
        <v>172</v>
      </c>
      <c r="F1029" t="s">
        <v>173</v>
      </c>
      <c r="G1029">
        <v>5</v>
      </c>
      <c r="H1029">
        <v>4.49</v>
      </c>
      <c r="J1029">
        <v>22.45</v>
      </c>
      <c r="K1029" t="s">
        <v>36</v>
      </c>
      <c r="L1029" t="s">
        <v>17</v>
      </c>
      <c r="M1029" t="s">
        <v>161</v>
      </c>
    </row>
    <row r="1030" spans="1:13" x14ac:dyDescent="0.2">
      <c r="A1030">
        <v>267787</v>
      </c>
      <c r="B1030" s="1">
        <v>45162</v>
      </c>
      <c r="C1030">
        <v>60118</v>
      </c>
      <c r="D1030" t="s">
        <v>44</v>
      </c>
      <c r="E1030" t="s">
        <v>195</v>
      </c>
      <c r="F1030" t="s">
        <v>196</v>
      </c>
      <c r="G1030">
        <v>4</v>
      </c>
      <c r="H1030">
        <v>3.99</v>
      </c>
      <c r="I1030">
        <v>0.2</v>
      </c>
      <c r="J1030">
        <v>12.77</v>
      </c>
      <c r="K1030" t="s">
        <v>16</v>
      </c>
      <c r="L1030" t="s">
        <v>17</v>
      </c>
      <c r="M1030" t="s">
        <v>62</v>
      </c>
    </row>
    <row r="1031" spans="1:13" x14ac:dyDescent="0.2">
      <c r="A1031">
        <v>267827</v>
      </c>
      <c r="B1031" s="1">
        <v>45314</v>
      </c>
      <c r="C1031">
        <v>63816</v>
      </c>
      <c r="D1031" t="s">
        <v>25</v>
      </c>
      <c r="E1031" t="s">
        <v>70</v>
      </c>
      <c r="F1031" t="s">
        <v>71</v>
      </c>
      <c r="G1031">
        <v>1</v>
      </c>
      <c r="H1031">
        <v>89.99</v>
      </c>
      <c r="J1031">
        <v>89.99</v>
      </c>
      <c r="K1031" t="s">
        <v>22</v>
      </c>
      <c r="L1031" t="s">
        <v>23</v>
      </c>
      <c r="M1031" t="s">
        <v>103</v>
      </c>
    </row>
    <row r="1032" spans="1:13" x14ac:dyDescent="0.2">
      <c r="A1032">
        <v>267840</v>
      </c>
      <c r="B1032" s="2">
        <v>44583</v>
      </c>
      <c r="C1032">
        <v>85831</v>
      </c>
      <c r="D1032" t="s">
        <v>97</v>
      </c>
      <c r="E1032" t="s">
        <v>151</v>
      </c>
      <c r="F1032" t="s">
        <v>152</v>
      </c>
      <c r="G1032">
        <v>4</v>
      </c>
      <c r="H1032">
        <v>24.49</v>
      </c>
      <c r="I1032">
        <v>0.3</v>
      </c>
      <c r="J1032">
        <v>68.569999999999993</v>
      </c>
      <c r="K1032" t="s">
        <v>22</v>
      </c>
      <c r="L1032" t="s">
        <v>17</v>
      </c>
      <c r="M1032" t="s">
        <v>103</v>
      </c>
    </row>
    <row r="1033" spans="1:13" x14ac:dyDescent="0.2">
      <c r="A1033">
        <v>267882</v>
      </c>
      <c r="B1033" s="1">
        <v>45610</v>
      </c>
      <c r="C1033">
        <v>24218</v>
      </c>
      <c r="D1033" t="s">
        <v>48</v>
      </c>
      <c r="E1033" t="s">
        <v>109</v>
      </c>
      <c r="F1033" t="s">
        <v>110</v>
      </c>
      <c r="G1033">
        <v>3</v>
      </c>
      <c r="H1033">
        <v>6.99</v>
      </c>
      <c r="J1033">
        <v>20.97</v>
      </c>
      <c r="K1033" t="s">
        <v>95</v>
      </c>
      <c r="L1033" t="s">
        <v>23</v>
      </c>
      <c r="M1033" t="s">
        <v>67</v>
      </c>
    </row>
    <row r="1034" spans="1:13" x14ac:dyDescent="0.2">
      <c r="A1034">
        <v>267885</v>
      </c>
      <c r="B1034" s="1">
        <v>45530</v>
      </c>
      <c r="C1034">
        <v>66513</v>
      </c>
      <c r="D1034" t="s">
        <v>82</v>
      </c>
      <c r="E1034" t="s">
        <v>188</v>
      </c>
      <c r="F1034" t="s">
        <v>189</v>
      </c>
      <c r="G1034">
        <v>1</v>
      </c>
      <c r="H1034">
        <v>44.99</v>
      </c>
      <c r="J1034">
        <v>44.99</v>
      </c>
      <c r="K1034" t="s">
        <v>32</v>
      </c>
      <c r="L1034" t="s">
        <v>17</v>
      </c>
      <c r="M1034" t="s">
        <v>103</v>
      </c>
    </row>
    <row r="1035" spans="1:13" x14ac:dyDescent="0.2">
      <c r="A1035">
        <v>267945</v>
      </c>
      <c r="B1035" s="1">
        <v>44704</v>
      </c>
      <c r="C1035">
        <v>37438</v>
      </c>
      <c r="D1035" t="s">
        <v>124</v>
      </c>
      <c r="E1035" t="s">
        <v>111</v>
      </c>
      <c r="F1035" t="s">
        <v>112</v>
      </c>
      <c r="G1035">
        <v>3</v>
      </c>
      <c r="H1035">
        <v>11.99</v>
      </c>
      <c r="I1035">
        <v>0.2</v>
      </c>
      <c r="J1035">
        <v>28.78</v>
      </c>
      <c r="K1035" t="s">
        <v>22</v>
      </c>
      <c r="L1035" t="s">
        <v>37</v>
      </c>
      <c r="M1035" t="s">
        <v>120</v>
      </c>
    </row>
    <row r="1036" spans="1:13" x14ac:dyDescent="0.2">
      <c r="A1036">
        <v>267957</v>
      </c>
      <c r="B1036" s="2">
        <v>44868</v>
      </c>
      <c r="C1036">
        <v>62911</v>
      </c>
      <c r="D1036" t="s">
        <v>48</v>
      </c>
      <c r="E1036" t="s">
        <v>179</v>
      </c>
      <c r="F1036" t="s">
        <v>180</v>
      </c>
      <c r="G1036">
        <v>1</v>
      </c>
      <c r="H1036">
        <v>8.99</v>
      </c>
      <c r="I1036">
        <v>0.25</v>
      </c>
      <c r="J1036">
        <v>6.74</v>
      </c>
      <c r="K1036" t="s">
        <v>53</v>
      </c>
      <c r="L1036" t="s">
        <v>17</v>
      </c>
      <c r="M1036" t="s">
        <v>33</v>
      </c>
    </row>
    <row r="1037" spans="1:13" x14ac:dyDescent="0.2">
      <c r="A1037">
        <v>267958</v>
      </c>
      <c r="B1037" s="1">
        <v>44654</v>
      </c>
      <c r="C1037">
        <v>44608</v>
      </c>
      <c r="D1037" t="s">
        <v>40</v>
      </c>
      <c r="E1037" t="s">
        <v>197</v>
      </c>
      <c r="F1037" t="s">
        <v>198</v>
      </c>
      <c r="G1037">
        <v>1</v>
      </c>
      <c r="H1037">
        <v>14.24</v>
      </c>
      <c r="I1037">
        <v>0.05</v>
      </c>
      <c r="J1037">
        <v>13.53</v>
      </c>
      <c r="K1037" t="s">
        <v>36</v>
      </c>
      <c r="L1037" t="s">
        <v>17</v>
      </c>
    </row>
    <row r="1038" spans="1:13" x14ac:dyDescent="0.2">
      <c r="A1038">
        <v>268158</v>
      </c>
      <c r="B1038" s="1">
        <v>45156</v>
      </c>
      <c r="C1038">
        <v>87101</v>
      </c>
      <c r="D1038" t="s">
        <v>85</v>
      </c>
      <c r="E1038" t="s">
        <v>137</v>
      </c>
      <c r="F1038" t="s">
        <v>138</v>
      </c>
      <c r="G1038">
        <v>1</v>
      </c>
      <c r="H1038">
        <v>7.19</v>
      </c>
      <c r="I1038">
        <v>0.1</v>
      </c>
      <c r="J1038">
        <v>6.47</v>
      </c>
      <c r="K1038" t="s">
        <v>22</v>
      </c>
      <c r="L1038" t="s">
        <v>17</v>
      </c>
      <c r="M1038" t="s">
        <v>103</v>
      </c>
    </row>
    <row r="1039" spans="1:13" x14ac:dyDescent="0.2">
      <c r="A1039">
        <v>268210</v>
      </c>
      <c r="B1039" s="2">
        <v>45123</v>
      </c>
      <c r="C1039">
        <v>71587</v>
      </c>
      <c r="D1039" t="s">
        <v>25</v>
      </c>
      <c r="E1039" t="s">
        <v>113</v>
      </c>
      <c r="F1039" t="s">
        <v>114</v>
      </c>
      <c r="G1039">
        <v>1</v>
      </c>
      <c r="H1039">
        <v>119.99</v>
      </c>
      <c r="J1039">
        <v>119.99</v>
      </c>
      <c r="K1039" t="s">
        <v>22</v>
      </c>
      <c r="L1039" t="s">
        <v>17</v>
      </c>
      <c r="M1039" t="s">
        <v>117</v>
      </c>
    </row>
    <row r="1040" spans="1:13" x14ac:dyDescent="0.2">
      <c r="A1040">
        <v>268354</v>
      </c>
      <c r="B1040" s="1">
        <v>45515</v>
      </c>
      <c r="C1040">
        <v>20291</v>
      </c>
      <c r="D1040" t="s">
        <v>97</v>
      </c>
      <c r="E1040" t="s">
        <v>165</v>
      </c>
      <c r="F1040" t="s">
        <v>166</v>
      </c>
      <c r="G1040">
        <v>2</v>
      </c>
      <c r="H1040">
        <v>62.99</v>
      </c>
      <c r="I1040">
        <v>0.3</v>
      </c>
      <c r="J1040">
        <v>88.19</v>
      </c>
      <c r="K1040" t="s">
        <v>16</v>
      </c>
      <c r="L1040" t="s">
        <v>17</v>
      </c>
      <c r="M1040" t="s">
        <v>28</v>
      </c>
    </row>
    <row r="1041" spans="1:13" x14ac:dyDescent="0.2">
      <c r="A1041">
        <v>268633</v>
      </c>
      <c r="B1041" s="1">
        <v>44827</v>
      </c>
      <c r="C1041">
        <v>42902</v>
      </c>
      <c r="D1041" t="s">
        <v>97</v>
      </c>
      <c r="E1041" t="s">
        <v>193</v>
      </c>
      <c r="F1041" t="s">
        <v>194</v>
      </c>
      <c r="G1041">
        <v>5</v>
      </c>
      <c r="H1041">
        <v>45.49</v>
      </c>
      <c r="I1041">
        <v>0.3</v>
      </c>
      <c r="J1041">
        <v>159.22</v>
      </c>
      <c r="K1041" t="s">
        <v>95</v>
      </c>
      <c r="L1041" t="s">
        <v>17</v>
      </c>
      <c r="M1041" t="s">
        <v>90</v>
      </c>
    </row>
    <row r="1042" spans="1:13" x14ac:dyDescent="0.2">
      <c r="A1042">
        <v>268798</v>
      </c>
      <c r="B1042" s="2">
        <v>45477</v>
      </c>
      <c r="C1042">
        <v>36791</v>
      </c>
      <c r="D1042" t="s">
        <v>106</v>
      </c>
      <c r="E1042" t="s">
        <v>133</v>
      </c>
      <c r="F1042" t="s">
        <v>134</v>
      </c>
      <c r="G1042">
        <v>5</v>
      </c>
      <c r="H1042">
        <v>3.79</v>
      </c>
      <c r="J1042">
        <v>18.95</v>
      </c>
      <c r="K1042" t="s">
        <v>16</v>
      </c>
      <c r="L1042" t="s">
        <v>17</v>
      </c>
      <c r="M1042" t="s">
        <v>117</v>
      </c>
    </row>
    <row r="1043" spans="1:13" x14ac:dyDescent="0.2">
      <c r="A1043">
        <v>268802</v>
      </c>
      <c r="B1043" s="1">
        <v>44658</v>
      </c>
      <c r="D1043" t="s">
        <v>25</v>
      </c>
      <c r="E1043" t="s">
        <v>70</v>
      </c>
      <c r="F1043" t="s">
        <v>71</v>
      </c>
      <c r="G1043">
        <v>5</v>
      </c>
      <c r="H1043">
        <v>85.49</v>
      </c>
      <c r="I1043">
        <v>0.05</v>
      </c>
      <c r="J1043">
        <v>406.08</v>
      </c>
      <c r="K1043" t="s">
        <v>36</v>
      </c>
      <c r="L1043" t="s">
        <v>37</v>
      </c>
      <c r="M1043" t="s">
        <v>81</v>
      </c>
    </row>
    <row r="1044" spans="1:13" x14ac:dyDescent="0.2">
      <c r="A1044">
        <v>268832</v>
      </c>
      <c r="B1044" s="1">
        <v>45357</v>
      </c>
      <c r="C1044">
        <v>47205</v>
      </c>
      <c r="D1044" t="s">
        <v>29</v>
      </c>
      <c r="E1044" t="s">
        <v>88</v>
      </c>
      <c r="F1044" t="s">
        <v>89</v>
      </c>
      <c r="G1044">
        <v>2</v>
      </c>
      <c r="H1044">
        <v>49.99</v>
      </c>
      <c r="J1044">
        <v>99.98</v>
      </c>
      <c r="K1044" t="s">
        <v>22</v>
      </c>
      <c r="L1044" t="s">
        <v>17</v>
      </c>
      <c r="M1044" t="s">
        <v>76</v>
      </c>
    </row>
    <row r="1045" spans="1:13" x14ac:dyDescent="0.2">
      <c r="A1045">
        <v>268843</v>
      </c>
      <c r="B1045" s="1">
        <v>44639</v>
      </c>
      <c r="C1045">
        <v>66762</v>
      </c>
      <c r="D1045" t="s">
        <v>25</v>
      </c>
      <c r="E1045" t="s">
        <v>26</v>
      </c>
      <c r="F1045" t="s">
        <v>27</v>
      </c>
      <c r="G1045">
        <v>1</v>
      </c>
      <c r="H1045">
        <v>26.24</v>
      </c>
      <c r="I1045">
        <v>0.25</v>
      </c>
      <c r="J1045">
        <v>19.68</v>
      </c>
      <c r="K1045" t="s">
        <v>16</v>
      </c>
      <c r="L1045" t="s">
        <v>37</v>
      </c>
      <c r="M1045" t="s">
        <v>90</v>
      </c>
    </row>
    <row r="1046" spans="1:13" x14ac:dyDescent="0.2">
      <c r="A1046">
        <v>268956</v>
      </c>
      <c r="B1046" s="1">
        <v>44650</v>
      </c>
      <c r="D1046" t="s">
        <v>48</v>
      </c>
      <c r="E1046" t="s">
        <v>109</v>
      </c>
      <c r="F1046" t="s">
        <v>110</v>
      </c>
      <c r="G1046">
        <v>2</v>
      </c>
      <c r="H1046">
        <v>6.99</v>
      </c>
      <c r="J1046">
        <v>13.98</v>
      </c>
      <c r="K1046" t="s">
        <v>53</v>
      </c>
      <c r="L1046" t="s">
        <v>17</v>
      </c>
      <c r="M1046" t="s">
        <v>120</v>
      </c>
    </row>
    <row r="1047" spans="1:13" x14ac:dyDescent="0.2">
      <c r="A1047">
        <v>269156</v>
      </c>
      <c r="B1047" s="1">
        <v>45149</v>
      </c>
      <c r="C1047">
        <v>19734</v>
      </c>
      <c r="D1047" t="s">
        <v>85</v>
      </c>
      <c r="E1047" t="s">
        <v>145</v>
      </c>
      <c r="F1047" t="s">
        <v>146</v>
      </c>
      <c r="G1047">
        <v>1</v>
      </c>
      <c r="H1047">
        <v>14.44</v>
      </c>
      <c r="I1047">
        <v>0.15</v>
      </c>
      <c r="J1047">
        <v>12.27</v>
      </c>
      <c r="K1047" t="s">
        <v>36</v>
      </c>
      <c r="L1047" t="s">
        <v>17</v>
      </c>
      <c r="M1047" t="s">
        <v>103</v>
      </c>
    </row>
    <row r="1048" spans="1:13" x14ac:dyDescent="0.2">
      <c r="A1048">
        <v>269259</v>
      </c>
      <c r="B1048" s="1">
        <v>44751</v>
      </c>
      <c r="C1048">
        <v>48813</v>
      </c>
      <c r="D1048" t="s">
        <v>48</v>
      </c>
      <c r="E1048" t="s">
        <v>143</v>
      </c>
      <c r="F1048" t="s">
        <v>144</v>
      </c>
      <c r="G1048">
        <v>4</v>
      </c>
      <c r="H1048">
        <v>10.49</v>
      </c>
      <c r="I1048">
        <v>0.3</v>
      </c>
      <c r="J1048">
        <v>29.37</v>
      </c>
      <c r="K1048" t="s">
        <v>22</v>
      </c>
      <c r="L1048" t="s">
        <v>17</v>
      </c>
      <c r="M1048" t="s">
        <v>57</v>
      </c>
    </row>
    <row r="1049" spans="1:13" x14ac:dyDescent="0.2">
      <c r="A1049">
        <v>269296</v>
      </c>
      <c r="B1049" s="1">
        <v>44950</v>
      </c>
      <c r="C1049">
        <v>19737</v>
      </c>
      <c r="D1049" t="s">
        <v>174</v>
      </c>
      <c r="E1049" t="s">
        <v>86</v>
      </c>
      <c r="F1049" t="s">
        <v>87</v>
      </c>
      <c r="G1049">
        <v>4</v>
      </c>
      <c r="H1049">
        <v>12.99</v>
      </c>
      <c r="J1049">
        <v>51.96</v>
      </c>
      <c r="K1049" t="s">
        <v>16</v>
      </c>
      <c r="L1049" t="s">
        <v>17</v>
      </c>
      <c r="M1049" t="s">
        <v>54</v>
      </c>
    </row>
    <row r="1050" spans="1:13" x14ac:dyDescent="0.2">
      <c r="A1050">
        <v>269466</v>
      </c>
      <c r="B1050" s="1">
        <v>45179</v>
      </c>
      <c r="C1050">
        <v>10759</v>
      </c>
      <c r="D1050" t="s">
        <v>63</v>
      </c>
      <c r="E1050" t="s">
        <v>64</v>
      </c>
      <c r="F1050" t="s">
        <v>65</v>
      </c>
      <c r="G1050">
        <v>1</v>
      </c>
      <c r="H1050">
        <v>4.99</v>
      </c>
      <c r="J1050">
        <v>4.99</v>
      </c>
      <c r="K1050" t="s">
        <v>36</v>
      </c>
      <c r="L1050" t="s">
        <v>17</v>
      </c>
      <c r="M1050" t="s">
        <v>57</v>
      </c>
    </row>
    <row r="1051" spans="1:13" x14ac:dyDescent="0.2">
      <c r="A1051">
        <v>269633</v>
      </c>
      <c r="B1051" s="1">
        <v>45210</v>
      </c>
      <c r="C1051">
        <v>98179</v>
      </c>
      <c r="D1051" t="s">
        <v>48</v>
      </c>
      <c r="E1051" t="s">
        <v>143</v>
      </c>
      <c r="F1051" t="s">
        <v>144</v>
      </c>
      <c r="G1051">
        <v>4</v>
      </c>
      <c r="H1051">
        <v>11.24</v>
      </c>
      <c r="I1051">
        <v>0.25</v>
      </c>
      <c r="J1051">
        <v>33.72</v>
      </c>
      <c r="K1051" t="s">
        <v>36</v>
      </c>
      <c r="L1051" t="s">
        <v>17</v>
      </c>
      <c r="M1051" t="s">
        <v>33</v>
      </c>
    </row>
    <row r="1052" spans="1:13" x14ac:dyDescent="0.2">
      <c r="A1052">
        <v>269999</v>
      </c>
      <c r="B1052" s="1">
        <v>44779</v>
      </c>
      <c r="C1052">
        <v>36798</v>
      </c>
      <c r="D1052" t="s">
        <v>44</v>
      </c>
      <c r="E1052" t="s">
        <v>93</v>
      </c>
      <c r="F1052" t="s">
        <v>94</v>
      </c>
      <c r="G1052">
        <v>1</v>
      </c>
      <c r="H1052">
        <v>1.29</v>
      </c>
      <c r="J1052">
        <v>1.29</v>
      </c>
      <c r="K1052" t="s">
        <v>36</v>
      </c>
      <c r="L1052" t="s">
        <v>37</v>
      </c>
      <c r="M1052" t="s">
        <v>24</v>
      </c>
    </row>
    <row r="1053" spans="1:13" x14ac:dyDescent="0.2">
      <c r="A1053">
        <v>270312</v>
      </c>
      <c r="B1053" s="2">
        <v>45515</v>
      </c>
      <c r="D1053" t="s">
        <v>29</v>
      </c>
      <c r="E1053" t="s">
        <v>30</v>
      </c>
      <c r="F1053" t="s">
        <v>31</v>
      </c>
      <c r="G1053">
        <v>4</v>
      </c>
      <c r="H1053">
        <v>22.49</v>
      </c>
      <c r="I1053">
        <v>0.1</v>
      </c>
      <c r="J1053">
        <v>80.959999999999994</v>
      </c>
      <c r="K1053" t="s">
        <v>53</v>
      </c>
      <c r="L1053" t="s">
        <v>23</v>
      </c>
      <c r="M1053" t="s">
        <v>117</v>
      </c>
    </row>
    <row r="1054" spans="1:13" x14ac:dyDescent="0.2">
      <c r="A1054">
        <v>270558</v>
      </c>
      <c r="B1054" s="1">
        <v>45192</v>
      </c>
      <c r="C1054">
        <v>96819</v>
      </c>
      <c r="D1054" t="s">
        <v>97</v>
      </c>
      <c r="E1054" t="s">
        <v>151</v>
      </c>
      <c r="F1054" t="s">
        <v>152</v>
      </c>
      <c r="G1054">
        <v>1</v>
      </c>
      <c r="H1054">
        <v>34.99</v>
      </c>
      <c r="J1054">
        <v>34.99</v>
      </c>
      <c r="K1054" t="s">
        <v>36</v>
      </c>
      <c r="L1054" t="s">
        <v>37</v>
      </c>
      <c r="M1054" t="s">
        <v>76</v>
      </c>
    </row>
    <row r="1055" spans="1:13" x14ac:dyDescent="0.2">
      <c r="A1055">
        <v>270595</v>
      </c>
      <c r="B1055" s="1">
        <v>45397</v>
      </c>
      <c r="C1055">
        <v>56887</v>
      </c>
      <c r="D1055" t="s">
        <v>40</v>
      </c>
      <c r="E1055" t="s">
        <v>197</v>
      </c>
      <c r="F1055" t="s">
        <v>198</v>
      </c>
      <c r="G1055">
        <v>1</v>
      </c>
      <c r="H1055">
        <v>10.49</v>
      </c>
      <c r="I1055">
        <v>0.3</v>
      </c>
      <c r="J1055">
        <v>7.34</v>
      </c>
      <c r="K1055" t="s">
        <v>16</v>
      </c>
      <c r="L1055" t="s">
        <v>37</v>
      </c>
      <c r="M1055" t="s">
        <v>18</v>
      </c>
    </row>
    <row r="1056" spans="1:13" x14ac:dyDescent="0.2">
      <c r="A1056">
        <v>270711</v>
      </c>
      <c r="B1056" s="1">
        <v>44765</v>
      </c>
      <c r="C1056">
        <v>50787</v>
      </c>
      <c r="D1056" t="s">
        <v>25</v>
      </c>
      <c r="E1056" t="s">
        <v>70</v>
      </c>
      <c r="F1056" t="s">
        <v>71</v>
      </c>
      <c r="G1056">
        <v>4</v>
      </c>
      <c r="H1056">
        <v>89.99</v>
      </c>
      <c r="J1056">
        <v>359.96</v>
      </c>
      <c r="K1056" t="s">
        <v>53</v>
      </c>
      <c r="L1056" t="s">
        <v>17</v>
      </c>
      <c r="M1056" t="s">
        <v>76</v>
      </c>
    </row>
    <row r="1057" spans="1:13" x14ac:dyDescent="0.2">
      <c r="A1057">
        <v>270757</v>
      </c>
      <c r="B1057" s="1">
        <v>45611</v>
      </c>
      <c r="C1057">
        <v>27759</v>
      </c>
      <c r="D1057" t="s">
        <v>40</v>
      </c>
      <c r="E1057" t="s">
        <v>20</v>
      </c>
      <c r="F1057" t="s">
        <v>21</v>
      </c>
      <c r="G1057">
        <v>4</v>
      </c>
      <c r="H1057">
        <v>9.99</v>
      </c>
      <c r="J1057">
        <v>39.96</v>
      </c>
      <c r="K1057" t="s">
        <v>36</v>
      </c>
      <c r="L1057" t="s">
        <v>17</v>
      </c>
      <c r="M1057" t="s">
        <v>47</v>
      </c>
    </row>
    <row r="1058" spans="1:13" x14ac:dyDescent="0.2">
      <c r="A1058">
        <v>270922</v>
      </c>
      <c r="B1058" s="1">
        <v>45504</v>
      </c>
      <c r="D1058" t="s">
        <v>25</v>
      </c>
      <c r="E1058" t="s">
        <v>51</v>
      </c>
      <c r="F1058" t="s">
        <v>52</v>
      </c>
      <c r="G1058">
        <v>1</v>
      </c>
      <c r="H1058">
        <v>27.99</v>
      </c>
      <c r="J1058">
        <v>27.99</v>
      </c>
      <c r="K1058" t="s">
        <v>36</v>
      </c>
      <c r="L1058" t="s">
        <v>37</v>
      </c>
      <c r="M1058" t="s">
        <v>54</v>
      </c>
    </row>
    <row r="1059" spans="1:13" x14ac:dyDescent="0.2">
      <c r="A1059">
        <v>270956</v>
      </c>
      <c r="B1059" s="1">
        <v>45254</v>
      </c>
      <c r="C1059">
        <v>81234</v>
      </c>
      <c r="D1059" t="s">
        <v>63</v>
      </c>
      <c r="E1059" t="s">
        <v>111</v>
      </c>
      <c r="F1059" t="s">
        <v>112</v>
      </c>
      <c r="G1059">
        <v>1</v>
      </c>
      <c r="H1059">
        <v>14.99</v>
      </c>
      <c r="J1059">
        <v>14.99</v>
      </c>
      <c r="K1059" t="s">
        <v>36</v>
      </c>
      <c r="L1059" t="s">
        <v>37</v>
      </c>
    </row>
    <row r="1060" spans="1:13" x14ac:dyDescent="0.2">
      <c r="A1060">
        <v>271245</v>
      </c>
      <c r="B1060" s="2">
        <v>44833</v>
      </c>
      <c r="C1060">
        <v>61158</v>
      </c>
      <c r="D1060" t="s">
        <v>63</v>
      </c>
      <c r="E1060" t="s">
        <v>131</v>
      </c>
      <c r="F1060" t="s">
        <v>132</v>
      </c>
      <c r="G1060">
        <v>1</v>
      </c>
      <c r="H1060">
        <v>3.49</v>
      </c>
      <c r="J1060">
        <v>3.49</v>
      </c>
      <c r="K1060" t="s">
        <v>16</v>
      </c>
      <c r="L1060" t="s">
        <v>17</v>
      </c>
      <c r="M1060" t="s">
        <v>76</v>
      </c>
    </row>
    <row r="1061" spans="1:13" x14ac:dyDescent="0.2">
      <c r="A1061">
        <v>271252</v>
      </c>
      <c r="B1061" s="1">
        <v>45084</v>
      </c>
      <c r="C1061">
        <v>65750</v>
      </c>
      <c r="D1061" t="s">
        <v>25</v>
      </c>
      <c r="E1061" t="s">
        <v>60</v>
      </c>
      <c r="F1061" t="s">
        <v>61</v>
      </c>
      <c r="G1061">
        <v>2</v>
      </c>
      <c r="H1061">
        <v>49.49</v>
      </c>
      <c r="I1061">
        <v>0.1</v>
      </c>
      <c r="J1061">
        <v>89.08</v>
      </c>
      <c r="K1061" t="s">
        <v>16</v>
      </c>
      <c r="L1061" t="s">
        <v>17</v>
      </c>
      <c r="M1061" t="s">
        <v>102</v>
      </c>
    </row>
    <row r="1062" spans="1:13" x14ac:dyDescent="0.2">
      <c r="A1062">
        <v>271306</v>
      </c>
      <c r="B1062" s="1">
        <v>45250</v>
      </c>
      <c r="C1062">
        <v>26091</v>
      </c>
      <c r="D1062" t="s">
        <v>164</v>
      </c>
      <c r="E1062" t="s">
        <v>72</v>
      </c>
      <c r="F1062" t="s">
        <v>73</v>
      </c>
      <c r="G1062">
        <v>1</v>
      </c>
      <c r="H1062">
        <v>33.99</v>
      </c>
      <c r="I1062">
        <v>0.15</v>
      </c>
      <c r="J1062">
        <v>28.89</v>
      </c>
      <c r="K1062" t="s">
        <v>16</v>
      </c>
      <c r="L1062" t="s">
        <v>17</v>
      </c>
      <c r="M1062" t="s">
        <v>120</v>
      </c>
    </row>
    <row r="1063" spans="1:13" x14ac:dyDescent="0.2">
      <c r="A1063">
        <v>271578</v>
      </c>
      <c r="B1063" s="1">
        <v>44745</v>
      </c>
      <c r="C1063">
        <v>38445</v>
      </c>
      <c r="D1063" t="s">
        <v>13</v>
      </c>
      <c r="E1063" t="s">
        <v>34</v>
      </c>
      <c r="F1063" t="s">
        <v>35</v>
      </c>
      <c r="G1063">
        <v>2</v>
      </c>
      <c r="H1063">
        <v>29.74</v>
      </c>
      <c r="J1063">
        <v>59.48</v>
      </c>
      <c r="K1063" t="s">
        <v>22</v>
      </c>
      <c r="L1063" t="s">
        <v>17</v>
      </c>
      <c r="M1063" t="s">
        <v>47</v>
      </c>
    </row>
    <row r="1064" spans="1:13" x14ac:dyDescent="0.2">
      <c r="A1064">
        <v>271695</v>
      </c>
      <c r="B1064" s="2">
        <v>44679</v>
      </c>
      <c r="C1064">
        <v>94405</v>
      </c>
      <c r="D1064" t="s">
        <v>97</v>
      </c>
      <c r="E1064" t="s">
        <v>141</v>
      </c>
      <c r="F1064" t="s">
        <v>142</v>
      </c>
      <c r="G1064">
        <v>5</v>
      </c>
      <c r="H1064">
        <v>22.99</v>
      </c>
      <c r="J1064">
        <v>114.95</v>
      </c>
      <c r="K1064" t="s">
        <v>95</v>
      </c>
      <c r="L1064" t="s">
        <v>37</v>
      </c>
      <c r="M1064" t="s">
        <v>103</v>
      </c>
    </row>
    <row r="1065" spans="1:13" x14ac:dyDescent="0.2">
      <c r="A1065">
        <v>271930</v>
      </c>
      <c r="B1065" s="1">
        <v>45241</v>
      </c>
      <c r="C1065">
        <v>73474</v>
      </c>
      <c r="D1065" t="s">
        <v>44</v>
      </c>
      <c r="E1065" t="s">
        <v>184</v>
      </c>
      <c r="F1065" t="s">
        <v>185</v>
      </c>
      <c r="G1065">
        <v>2</v>
      </c>
      <c r="H1065">
        <v>4.9400000000000004</v>
      </c>
      <c r="I1065">
        <v>0.1</v>
      </c>
      <c r="J1065">
        <v>8.89</v>
      </c>
      <c r="K1065" t="s">
        <v>53</v>
      </c>
      <c r="L1065" t="s">
        <v>17</v>
      </c>
      <c r="M1065" t="s">
        <v>43</v>
      </c>
    </row>
    <row r="1066" spans="1:13" x14ac:dyDescent="0.2">
      <c r="A1066">
        <v>272378</v>
      </c>
      <c r="B1066" s="1">
        <v>45381</v>
      </c>
      <c r="C1066">
        <v>61364</v>
      </c>
      <c r="D1066" t="s">
        <v>25</v>
      </c>
      <c r="E1066" t="s">
        <v>70</v>
      </c>
      <c r="F1066" t="s">
        <v>71</v>
      </c>
      <c r="G1066">
        <v>5</v>
      </c>
      <c r="H1066">
        <v>67.489999999999995</v>
      </c>
      <c r="I1066">
        <v>0.25</v>
      </c>
      <c r="J1066">
        <v>253.09</v>
      </c>
      <c r="K1066" t="s">
        <v>16</v>
      </c>
      <c r="L1066" t="s">
        <v>17</v>
      </c>
      <c r="M1066" t="s">
        <v>28</v>
      </c>
    </row>
    <row r="1067" spans="1:13" x14ac:dyDescent="0.2">
      <c r="A1067">
        <v>272830</v>
      </c>
      <c r="B1067" s="1">
        <v>45203</v>
      </c>
      <c r="C1067">
        <v>45378</v>
      </c>
      <c r="D1067" t="s">
        <v>97</v>
      </c>
      <c r="E1067" t="s">
        <v>181</v>
      </c>
      <c r="F1067" t="s">
        <v>182</v>
      </c>
      <c r="G1067">
        <v>4</v>
      </c>
      <c r="H1067">
        <v>11.99</v>
      </c>
      <c r="I1067">
        <v>0.2</v>
      </c>
      <c r="J1067">
        <v>38.369999999999997</v>
      </c>
      <c r="K1067" t="s">
        <v>36</v>
      </c>
      <c r="L1067" t="s">
        <v>17</v>
      </c>
      <c r="M1067" t="s">
        <v>24</v>
      </c>
    </row>
    <row r="1068" spans="1:13" x14ac:dyDescent="0.2">
      <c r="A1068">
        <v>272947</v>
      </c>
      <c r="B1068" s="1">
        <v>45138</v>
      </c>
      <c r="D1068" t="s">
        <v>25</v>
      </c>
      <c r="E1068" t="s">
        <v>26</v>
      </c>
      <c r="F1068" t="s">
        <v>27</v>
      </c>
      <c r="G1068">
        <v>2</v>
      </c>
      <c r="H1068">
        <v>27.99</v>
      </c>
      <c r="I1068">
        <v>0.2</v>
      </c>
      <c r="J1068">
        <v>44.78</v>
      </c>
      <c r="K1068" t="s">
        <v>95</v>
      </c>
      <c r="L1068" t="s">
        <v>17</v>
      </c>
      <c r="M1068" t="s">
        <v>81</v>
      </c>
    </row>
    <row r="1069" spans="1:13" x14ac:dyDescent="0.2">
      <c r="A1069">
        <v>273329</v>
      </c>
      <c r="B1069" s="1">
        <v>45570</v>
      </c>
      <c r="C1069">
        <v>69302</v>
      </c>
      <c r="D1069" t="s">
        <v>63</v>
      </c>
      <c r="E1069" t="s">
        <v>125</v>
      </c>
      <c r="F1069" t="s">
        <v>126</v>
      </c>
      <c r="G1069">
        <v>4</v>
      </c>
      <c r="H1069">
        <v>26.99</v>
      </c>
      <c r="I1069">
        <v>0.1</v>
      </c>
      <c r="J1069">
        <v>97.16</v>
      </c>
      <c r="K1069" t="s">
        <v>36</v>
      </c>
      <c r="L1069" t="s">
        <v>37</v>
      </c>
      <c r="M1069" t="s">
        <v>67</v>
      </c>
    </row>
    <row r="1070" spans="1:13" x14ac:dyDescent="0.2">
      <c r="A1070">
        <v>273518</v>
      </c>
      <c r="B1070" s="1">
        <v>45420</v>
      </c>
      <c r="C1070">
        <v>11779</v>
      </c>
      <c r="D1070" t="s">
        <v>44</v>
      </c>
      <c r="E1070" t="s">
        <v>133</v>
      </c>
      <c r="F1070" t="s">
        <v>134</v>
      </c>
      <c r="G1070">
        <v>5</v>
      </c>
      <c r="H1070">
        <v>3.79</v>
      </c>
      <c r="J1070">
        <v>18.95</v>
      </c>
      <c r="K1070" t="s">
        <v>36</v>
      </c>
      <c r="L1070" t="s">
        <v>37</v>
      </c>
      <c r="M1070" t="s">
        <v>103</v>
      </c>
    </row>
    <row r="1071" spans="1:13" x14ac:dyDescent="0.2">
      <c r="A1071">
        <v>273611</v>
      </c>
      <c r="B1071" s="1">
        <v>45306</v>
      </c>
      <c r="C1071">
        <v>92953</v>
      </c>
      <c r="D1071" t="s">
        <v>48</v>
      </c>
      <c r="E1071" t="s">
        <v>139</v>
      </c>
      <c r="F1071" t="s">
        <v>140</v>
      </c>
      <c r="G1071">
        <v>3</v>
      </c>
      <c r="H1071">
        <v>5.99</v>
      </c>
      <c r="I1071">
        <v>0.25</v>
      </c>
      <c r="J1071">
        <v>13.48</v>
      </c>
      <c r="K1071" t="s">
        <v>36</v>
      </c>
      <c r="L1071" t="s">
        <v>17</v>
      </c>
      <c r="M1071" t="s">
        <v>28</v>
      </c>
    </row>
    <row r="1072" spans="1:13" x14ac:dyDescent="0.2">
      <c r="A1072">
        <v>273814</v>
      </c>
      <c r="B1072" s="1">
        <v>45194</v>
      </c>
      <c r="C1072">
        <v>58177</v>
      </c>
      <c r="D1072" t="s">
        <v>29</v>
      </c>
      <c r="E1072" t="s">
        <v>72</v>
      </c>
      <c r="F1072" t="s">
        <v>73</v>
      </c>
      <c r="G1072">
        <v>1</v>
      </c>
      <c r="H1072">
        <v>35.99</v>
      </c>
      <c r="J1072">
        <v>35.99</v>
      </c>
      <c r="K1072" t="s">
        <v>36</v>
      </c>
      <c r="L1072" t="s">
        <v>23</v>
      </c>
      <c r="M1072" t="s">
        <v>123</v>
      </c>
    </row>
    <row r="1073" spans="1:13" x14ac:dyDescent="0.2">
      <c r="A1073">
        <v>273815</v>
      </c>
      <c r="B1073" s="1">
        <v>45347</v>
      </c>
      <c r="C1073">
        <v>55773</v>
      </c>
      <c r="D1073" t="s">
        <v>44</v>
      </c>
      <c r="E1073" t="s">
        <v>91</v>
      </c>
      <c r="F1073" t="s">
        <v>92</v>
      </c>
      <c r="G1073">
        <v>3</v>
      </c>
      <c r="H1073">
        <v>5.66</v>
      </c>
      <c r="I1073">
        <v>0.1</v>
      </c>
      <c r="J1073">
        <v>15.28</v>
      </c>
      <c r="K1073" t="s">
        <v>16</v>
      </c>
      <c r="L1073" t="s">
        <v>17</v>
      </c>
      <c r="M1073" t="s">
        <v>24</v>
      </c>
    </row>
    <row r="1074" spans="1:13" x14ac:dyDescent="0.2">
      <c r="A1074">
        <v>273936</v>
      </c>
      <c r="B1074" s="1">
        <v>44923</v>
      </c>
      <c r="C1074">
        <v>93500</v>
      </c>
      <c r="D1074" t="s">
        <v>63</v>
      </c>
      <c r="E1074" t="s">
        <v>64</v>
      </c>
      <c r="F1074" t="s">
        <v>65</v>
      </c>
      <c r="G1074">
        <v>1</v>
      </c>
      <c r="H1074">
        <v>4.99</v>
      </c>
      <c r="J1074">
        <v>4.99</v>
      </c>
      <c r="K1074" t="s">
        <v>16</v>
      </c>
      <c r="L1074" t="s">
        <v>17</v>
      </c>
      <c r="M1074" t="s">
        <v>76</v>
      </c>
    </row>
    <row r="1075" spans="1:13" x14ac:dyDescent="0.2">
      <c r="A1075">
        <v>273962</v>
      </c>
      <c r="B1075" s="1">
        <v>44773</v>
      </c>
      <c r="C1075">
        <v>49228</v>
      </c>
      <c r="D1075" t="s">
        <v>63</v>
      </c>
      <c r="E1075" t="s">
        <v>68</v>
      </c>
      <c r="F1075" t="s">
        <v>69</v>
      </c>
      <c r="G1075">
        <v>2</v>
      </c>
      <c r="H1075">
        <v>24.99</v>
      </c>
      <c r="J1075">
        <v>49.98</v>
      </c>
      <c r="K1075" t="s">
        <v>36</v>
      </c>
      <c r="L1075" t="s">
        <v>17</v>
      </c>
      <c r="M1075" t="s">
        <v>18</v>
      </c>
    </row>
    <row r="1076" spans="1:13" x14ac:dyDescent="0.2">
      <c r="A1076">
        <v>273998</v>
      </c>
      <c r="B1076" s="1">
        <v>45212</v>
      </c>
      <c r="C1076">
        <v>39734</v>
      </c>
      <c r="D1076" t="s">
        <v>63</v>
      </c>
      <c r="E1076" t="s">
        <v>125</v>
      </c>
      <c r="F1076" t="s">
        <v>126</v>
      </c>
      <c r="G1076">
        <v>3</v>
      </c>
      <c r="H1076">
        <v>28.49</v>
      </c>
      <c r="I1076">
        <v>0.05</v>
      </c>
      <c r="J1076">
        <v>81.2</v>
      </c>
      <c r="K1076" t="s">
        <v>16</v>
      </c>
      <c r="L1076" t="s">
        <v>37</v>
      </c>
      <c r="M1076" t="s">
        <v>62</v>
      </c>
    </row>
    <row r="1077" spans="1:13" x14ac:dyDescent="0.2">
      <c r="A1077">
        <v>274112</v>
      </c>
      <c r="B1077" s="1">
        <v>45339</v>
      </c>
      <c r="C1077">
        <v>45896</v>
      </c>
      <c r="D1077" t="s">
        <v>85</v>
      </c>
      <c r="E1077" t="s">
        <v>137</v>
      </c>
      <c r="F1077" t="s">
        <v>138</v>
      </c>
      <c r="G1077">
        <v>2</v>
      </c>
      <c r="H1077">
        <v>7.99</v>
      </c>
      <c r="J1077">
        <v>15.98</v>
      </c>
      <c r="K1077" t="s">
        <v>95</v>
      </c>
      <c r="L1077" t="s">
        <v>37</v>
      </c>
      <c r="M1077" t="s">
        <v>43</v>
      </c>
    </row>
    <row r="1078" spans="1:13" x14ac:dyDescent="0.2">
      <c r="A1078">
        <v>274309</v>
      </c>
      <c r="B1078" s="2">
        <v>44920</v>
      </c>
      <c r="C1078">
        <v>79823</v>
      </c>
      <c r="D1078" t="s">
        <v>63</v>
      </c>
      <c r="E1078" t="s">
        <v>64</v>
      </c>
      <c r="F1078" t="s">
        <v>65</v>
      </c>
      <c r="G1078">
        <v>1</v>
      </c>
      <c r="H1078">
        <v>4.74</v>
      </c>
      <c r="I1078">
        <v>0.05</v>
      </c>
      <c r="J1078">
        <v>4.5</v>
      </c>
      <c r="K1078" t="s">
        <v>22</v>
      </c>
      <c r="L1078" t="s">
        <v>23</v>
      </c>
      <c r="M1078" t="s">
        <v>43</v>
      </c>
    </row>
    <row r="1079" spans="1:13" x14ac:dyDescent="0.2">
      <c r="A1079">
        <v>274418</v>
      </c>
      <c r="B1079" s="1">
        <v>45352</v>
      </c>
      <c r="C1079">
        <v>81568</v>
      </c>
      <c r="D1079" t="s">
        <v>97</v>
      </c>
      <c r="E1079" t="s">
        <v>151</v>
      </c>
      <c r="F1079" t="s">
        <v>152</v>
      </c>
      <c r="G1079">
        <v>3</v>
      </c>
      <c r="H1079">
        <v>26.24</v>
      </c>
      <c r="I1079">
        <v>0.25</v>
      </c>
      <c r="J1079">
        <v>59.04</v>
      </c>
      <c r="K1079" t="s">
        <v>36</v>
      </c>
      <c r="L1079" t="s">
        <v>17</v>
      </c>
      <c r="M1079" t="s">
        <v>62</v>
      </c>
    </row>
    <row r="1080" spans="1:13" x14ac:dyDescent="0.2">
      <c r="A1080">
        <v>274467</v>
      </c>
      <c r="B1080" s="1">
        <v>45382</v>
      </c>
      <c r="C1080">
        <v>78692</v>
      </c>
      <c r="D1080" t="s">
        <v>48</v>
      </c>
      <c r="E1080" t="s">
        <v>49</v>
      </c>
      <c r="F1080" t="s">
        <v>50</v>
      </c>
      <c r="G1080">
        <v>1</v>
      </c>
      <c r="H1080">
        <v>8.99</v>
      </c>
      <c r="J1080">
        <v>8.99</v>
      </c>
      <c r="K1080" t="s">
        <v>95</v>
      </c>
      <c r="L1080" t="s">
        <v>37</v>
      </c>
      <c r="M1080" t="s">
        <v>102</v>
      </c>
    </row>
    <row r="1081" spans="1:13" x14ac:dyDescent="0.2">
      <c r="A1081">
        <v>274611</v>
      </c>
      <c r="B1081" s="1">
        <v>45281</v>
      </c>
      <c r="C1081">
        <v>52826</v>
      </c>
      <c r="D1081" t="s">
        <v>25</v>
      </c>
      <c r="E1081" t="s">
        <v>51</v>
      </c>
      <c r="F1081" t="s">
        <v>52</v>
      </c>
      <c r="G1081">
        <v>1</v>
      </c>
      <c r="H1081">
        <v>27.99</v>
      </c>
      <c r="J1081">
        <v>27.99</v>
      </c>
      <c r="K1081" t="s">
        <v>36</v>
      </c>
      <c r="L1081" t="s">
        <v>17</v>
      </c>
      <c r="M1081" t="s">
        <v>47</v>
      </c>
    </row>
    <row r="1082" spans="1:13" x14ac:dyDescent="0.2">
      <c r="A1082">
        <v>274778</v>
      </c>
      <c r="B1082" s="2">
        <v>45021</v>
      </c>
      <c r="C1082">
        <v>81070</v>
      </c>
      <c r="D1082" t="s">
        <v>48</v>
      </c>
      <c r="E1082" t="s">
        <v>179</v>
      </c>
      <c r="F1082" t="s">
        <v>180</v>
      </c>
      <c r="G1082">
        <v>1</v>
      </c>
      <c r="H1082">
        <v>8.39</v>
      </c>
      <c r="I1082">
        <v>0.3</v>
      </c>
      <c r="J1082">
        <v>5.87</v>
      </c>
      <c r="K1082" t="s">
        <v>22</v>
      </c>
      <c r="L1082" t="s">
        <v>37</v>
      </c>
      <c r="M1082" t="s">
        <v>90</v>
      </c>
    </row>
    <row r="1083" spans="1:13" x14ac:dyDescent="0.2">
      <c r="A1083">
        <v>275083</v>
      </c>
      <c r="B1083" s="1">
        <v>45117</v>
      </c>
      <c r="C1083">
        <v>35601</v>
      </c>
      <c r="D1083" t="s">
        <v>25</v>
      </c>
      <c r="E1083" t="s">
        <v>60</v>
      </c>
      <c r="F1083" t="s">
        <v>61</v>
      </c>
      <c r="G1083">
        <v>4</v>
      </c>
      <c r="H1083">
        <v>54.99</v>
      </c>
      <c r="J1083">
        <v>219.96</v>
      </c>
      <c r="K1083" t="s">
        <v>36</v>
      </c>
      <c r="L1083" t="s">
        <v>17</v>
      </c>
      <c r="M1083" t="s">
        <v>47</v>
      </c>
    </row>
    <row r="1084" spans="1:13" x14ac:dyDescent="0.2">
      <c r="A1084">
        <v>275211</v>
      </c>
      <c r="B1084" s="2">
        <v>45074</v>
      </c>
      <c r="C1084">
        <v>17756</v>
      </c>
      <c r="D1084" t="s">
        <v>29</v>
      </c>
      <c r="E1084" t="s">
        <v>175</v>
      </c>
      <c r="F1084" t="s">
        <v>176</v>
      </c>
      <c r="G1084">
        <v>4</v>
      </c>
      <c r="H1084">
        <v>11.99</v>
      </c>
      <c r="J1084">
        <v>47.96</v>
      </c>
      <c r="K1084" t="s">
        <v>36</v>
      </c>
      <c r="L1084" t="s">
        <v>17</v>
      </c>
      <c r="M1084" t="s">
        <v>102</v>
      </c>
    </row>
    <row r="1085" spans="1:13" x14ac:dyDescent="0.2">
      <c r="A1085">
        <v>275361</v>
      </c>
      <c r="B1085" s="1">
        <v>44664</v>
      </c>
      <c r="C1085">
        <v>59916</v>
      </c>
      <c r="D1085" t="s">
        <v>44</v>
      </c>
      <c r="E1085" t="s">
        <v>93</v>
      </c>
      <c r="F1085" t="s">
        <v>94</v>
      </c>
      <c r="G1085">
        <v>3</v>
      </c>
      <c r="H1085">
        <v>1.29</v>
      </c>
      <c r="J1085">
        <v>3.87</v>
      </c>
      <c r="K1085" t="s">
        <v>36</v>
      </c>
      <c r="L1085" t="s">
        <v>37</v>
      </c>
      <c r="M1085" t="s">
        <v>161</v>
      </c>
    </row>
    <row r="1086" spans="1:13" x14ac:dyDescent="0.2">
      <c r="A1086">
        <v>275368</v>
      </c>
      <c r="B1086" s="1">
        <v>45289</v>
      </c>
      <c r="C1086">
        <v>83493</v>
      </c>
      <c r="D1086" t="s">
        <v>40</v>
      </c>
      <c r="E1086" t="s">
        <v>197</v>
      </c>
      <c r="F1086" t="s">
        <v>198</v>
      </c>
      <c r="G1086">
        <v>5</v>
      </c>
      <c r="H1086">
        <v>13.49</v>
      </c>
      <c r="I1086">
        <v>0.1</v>
      </c>
      <c r="J1086">
        <v>60.71</v>
      </c>
      <c r="K1086" t="s">
        <v>32</v>
      </c>
      <c r="L1086" t="s">
        <v>37</v>
      </c>
      <c r="M1086" t="s">
        <v>28</v>
      </c>
    </row>
    <row r="1087" spans="1:13" x14ac:dyDescent="0.2">
      <c r="A1087">
        <v>275506</v>
      </c>
      <c r="B1087" s="2">
        <v>45001</v>
      </c>
      <c r="C1087">
        <v>46054</v>
      </c>
      <c r="D1087" t="s">
        <v>48</v>
      </c>
      <c r="E1087" t="s">
        <v>109</v>
      </c>
      <c r="F1087" t="s">
        <v>110</v>
      </c>
      <c r="G1087">
        <v>1</v>
      </c>
      <c r="H1087">
        <v>6.29</v>
      </c>
      <c r="I1087">
        <v>0.1</v>
      </c>
      <c r="J1087">
        <v>5.66</v>
      </c>
      <c r="K1087" t="s">
        <v>36</v>
      </c>
      <c r="L1087" t="s">
        <v>17</v>
      </c>
      <c r="M1087" t="s">
        <v>96</v>
      </c>
    </row>
    <row r="1088" spans="1:13" x14ac:dyDescent="0.2">
      <c r="A1088">
        <v>275877</v>
      </c>
      <c r="B1088" s="1">
        <v>44694</v>
      </c>
      <c r="C1088">
        <v>38789</v>
      </c>
      <c r="D1088" t="s">
        <v>82</v>
      </c>
      <c r="E1088" t="s">
        <v>155</v>
      </c>
      <c r="F1088" t="s">
        <v>156</v>
      </c>
      <c r="G1088">
        <v>1</v>
      </c>
      <c r="H1088">
        <v>13.99</v>
      </c>
      <c r="I1088">
        <v>0.3</v>
      </c>
      <c r="J1088">
        <v>9.7899999999999991</v>
      </c>
      <c r="K1088" t="s">
        <v>16</v>
      </c>
      <c r="L1088" t="s">
        <v>17</v>
      </c>
      <c r="M1088" t="s">
        <v>54</v>
      </c>
    </row>
    <row r="1089" spans="1:13" x14ac:dyDescent="0.2">
      <c r="A1089">
        <v>276135</v>
      </c>
      <c r="B1089" s="2">
        <v>45485</v>
      </c>
      <c r="C1089">
        <v>45047</v>
      </c>
      <c r="D1089" t="s">
        <v>29</v>
      </c>
      <c r="E1089" t="s">
        <v>30</v>
      </c>
      <c r="F1089" t="s">
        <v>31</v>
      </c>
      <c r="G1089">
        <v>2</v>
      </c>
      <c r="H1089">
        <v>23.74</v>
      </c>
      <c r="I1089">
        <v>0.05</v>
      </c>
      <c r="J1089">
        <v>45.11</v>
      </c>
      <c r="K1089" t="s">
        <v>16</v>
      </c>
      <c r="L1089" t="s">
        <v>37</v>
      </c>
      <c r="M1089" t="s">
        <v>76</v>
      </c>
    </row>
    <row r="1090" spans="1:13" x14ac:dyDescent="0.2">
      <c r="A1090">
        <v>276139</v>
      </c>
      <c r="B1090" s="1">
        <v>45466</v>
      </c>
      <c r="C1090">
        <v>26076</v>
      </c>
      <c r="D1090" t="s">
        <v>25</v>
      </c>
      <c r="E1090" t="s">
        <v>60</v>
      </c>
      <c r="F1090" t="s">
        <v>61</v>
      </c>
      <c r="G1090">
        <v>2</v>
      </c>
      <c r="H1090">
        <v>38.49</v>
      </c>
      <c r="I1090">
        <v>0.3</v>
      </c>
      <c r="J1090">
        <v>53.89</v>
      </c>
      <c r="K1090" t="s">
        <v>16</v>
      </c>
      <c r="L1090" t="s">
        <v>37</v>
      </c>
    </row>
    <row r="1091" spans="1:13" x14ac:dyDescent="0.2">
      <c r="A1091">
        <v>276287</v>
      </c>
      <c r="B1091" s="2">
        <v>45525</v>
      </c>
      <c r="C1091">
        <v>80343</v>
      </c>
      <c r="D1091" t="s">
        <v>25</v>
      </c>
      <c r="E1091" t="s">
        <v>51</v>
      </c>
      <c r="F1091" t="s">
        <v>52</v>
      </c>
      <c r="G1091">
        <v>3</v>
      </c>
      <c r="H1091">
        <v>22.39</v>
      </c>
      <c r="I1091">
        <v>0.2</v>
      </c>
      <c r="J1091">
        <v>53.74</v>
      </c>
      <c r="K1091" t="s">
        <v>53</v>
      </c>
      <c r="L1091" t="s">
        <v>17</v>
      </c>
      <c r="M1091" t="s">
        <v>54</v>
      </c>
    </row>
    <row r="1092" spans="1:13" x14ac:dyDescent="0.2">
      <c r="A1092">
        <v>276962</v>
      </c>
      <c r="B1092" s="1">
        <v>45181</v>
      </c>
      <c r="C1092">
        <v>50102</v>
      </c>
      <c r="D1092" t="s">
        <v>63</v>
      </c>
      <c r="E1092" t="s">
        <v>111</v>
      </c>
      <c r="F1092" t="s">
        <v>112</v>
      </c>
      <c r="G1092">
        <v>2</v>
      </c>
      <c r="H1092">
        <v>13.49</v>
      </c>
      <c r="I1092">
        <v>0.1</v>
      </c>
      <c r="J1092">
        <v>24.28</v>
      </c>
      <c r="K1092" t="s">
        <v>22</v>
      </c>
      <c r="L1092" t="s">
        <v>17</v>
      </c>
      <c r="M1092" t="s">
        <v>24</v>
      </c>
    </row>
    <row r="1093" spans="1:13" x14ac:dyDescent="0.2">
      <c r="A1093">
        <v>277106</v>
      </c>
      <c r="B1093" s="1">
        <v>45451</v>
      </c>
      <c r="C1093">
        <v>27332</v>
      </c>
      <c r="D1093" t="s">
        <v>48</v>
      </c>
      <c r="E1093" t="s">
        <v>179</v>
      </c>
      <c r="F1093" t="s">
        <v>180</v>
      </c>
      <c r="G1093">
        <v>1</v>
      </c>
      <c r="H1093">
        <v>11.99</v>
      </c>
      <c r="J1093">
        <v>11.99</v>
      </c>
      <c r="K1093" t="s">
        <v>53</v>
      </c>
      <c r="L1093" t="s">
        <v>37</v>
      </c>
      <c r="M1093" t="s">
        <v>103</v>
      </c>
    </row>
    <row r="1094" spans="1:13" x14ac:dyDescent="0.2">
      <c r="A1094">
        <v>277171</v>
      </c>
      <c r="B1094" s="1">
        <v>45110</v>
      </c>
      <c r="C1094">
        <v>35574</v>
      </c>
      <c r="D1094" t="s">
        <v>13</v>
      </c>
      <c r="E1094" t="s">
        <v>79</v>
      </c>
      <c r="F1094" t="s">
        <v>80</v>
      </c>
      <c r="G1094">
        <v>5</v>
      </c>
      <c r="H1094">
        <v>62.99</v>
      </c>
      <c r="I1094">
        <v>0.3</v>
      </c>
      <c r="J1094">
        <v>220.46</v>
      </c>
      <c r="K1094" t="s">
        <v>36</v>
      </c>
      <c r="L1094" t="s">
        <v>37</v>
      </c>
      <c r="M1094" t="s">
        <v>117</v>
      </c>
    </row>
    <row r="1095" spans="1:13" x14ac:dyDescent="0.2">
      <c r="A1095">
        <v>277366</v>
      </c>
      <c r="B1095" s="2">
        <v>44631</v>
      </c>
      <c r="C1095">
        <v>26845</v>
      </c>
      <c r="D1095" t="s">
        <v>97</v>
      </c>
      <c r="E1095" t="s">
        <v>135</v>
      </c>
      <c r="F1095" t="s">
        <v>136</v>
      </c>
      <c r="G1095">
        <v>5</v>
      </c>
      <c r="H1095">
        <v>7.49</v>
      </c>
      <c r="I1095">
        <v>0.25</v>
      </c>
      <c r="J1095">
        <v>28.09</v>
      </c>
      <c r="K1095" t="s">
        <v>95</v>
      </c>
      <c r="L1095" t="s">
        <v>17</v>
      </c>
      <c r="M1095" t="s">
        <v>120</v>
      </c>
    </row>
    <row r="1096" spans="1:13" x14ac:dyDescent="0.2">
      <c r="A1096">
        <v>277393</v>
      </c>
      <c r="B1096" s="1">
        <v>44736</v>
      </c>
      <c r="C1096">
        <v>70616</v>
      </c>
      <c r="D1096" t="s">
        <v>25</v>
      </c>
      <c r="E1096" t="s">
        <v>113</v>
      </c>
      <c r="F1096" t="s">
        <v>114</v>
      </c>
      <c r="G1096">
        <v>1</v>
      </c>
      <c r="H1096">
        <v>107.99</v>
      </c>
      <c r="I1096">
        <v>0.1</v>
      </c>
      <c r="J1096">
        <v>97.19</v>
      </c>
      <c r="K1096" t="s">
        <v>22</v>
      </c>
      <c r="L1096" t="s">
        <v>23</v>
      </c>
      <c r="M1096" t="s">
        <v>47</v>
      </c>
    </row>
    <row r="1097" spans="1:13" x14ac:dyDescent="0.2">
      <c r="A1097">
        <v>277461</v>
      </c>
      <c r="B1097" s="2">
        <v>45579</v>
      </c>
      <c r="C1097">
        <v>18029</v>
      </c>
      <c r="D1097" t="s">
        <v>82</v>
      </c>
      <c r="E1097" t="s">
        <v>168</v>
      </c>
      <c r="F1097" t="s">
        <v>169</v>
      </c>
      <c r="G1097">
        <v>1</v>
      </c>
      <c r="H1097">
        <v>8.99</v>
      </c>
      <c r="J1097">
        <v>8.99</v>
      </c>
      <c r="K1097" t="s">
        <v>16</v>
      </c>
      <c r="L1097" t="s">
        <v>17</v>
      </c>
      <c r="M1097" t="s">
        <v>120</v>
      </c>
    </row>
    <row r="1098" spans="1:13" x14ac:dyDescent="0.2">
      <c r="A1098">
        <v>277641</v>
      </c>
      <c r="B1098" s="1">
        <v>45085</v>
      </c>
      <c r="C1098">
        <v>41247</v>
      </c>
      <c r="D1098" t="s">
        <v>25</v>
      </c>
      <c r="E1098" t="s">
        <v>26</v>
      </c>
      <c r="F1098" t="s">
        <v>27</v>
      </c>
      <c r="G1098">
        <v>5</v>
      </c>
      <c r="H1098">
        <v>26.24</v>
      </c>
      <c r="J1098">
        <v>131.19999999999999</v>
      </c>
      <c r="K1098" t="s">
        <v>16</v>
      </c>
      <c r="L1098" t="s">
        <v>17</v>
      </c>
      <c r="M1098" t="s">
        <v>28</v>
      </c>
    </row>
    <row r="1099" spans="1:13" x14ac:dyDescent="0.2">
      <c r="A1099">
        <v>277762</v>
      </c>
      <c r="B1099" s="2">
        <v>44588</v>
      </c>
      <c r="C1099">
        <v>47679</v>
      </c>
      <c r="D1099" t="s">
        <v>29</v>
      </c>
      <c r="E1099" t="s">
        <v>170</v>
      </c>
      <c r="F1099" t="s">
        <v>171</v>
      </c>
      <c r="G1099">
        <v>4</v>
      </c>
      <c r="H1099">
        <v>14.99</v>
      </c>
      <c r="J1099">
        <v>59.96</v>
      </c>
      <c r="K1099" t="s">
        <v>16</v>
      </c>
      <c r="L1099" t="s">
        <v>17</v>
      </c>
      <c r="M1099" t="s">
        <v>18</v>
      </c>
    </row>
    <row r="1100" spans="1:13" x14ac:dyDescent="0.2">
      <c r="A1100">
        <v>277954</v>
      </c>
      <c r="B1100" s="1">
        <v>44664</v>
      </c>
      <c r="C1100">
        <v>15753</v>
      </c>
      <c r="D1100" t="s">
        <v>25</v>
      </c>
      <c r="E1100" t="s">
        <v>60</v>
      </c>
      <c r="F1100" t="s">
        <v>61</v>
      </c>
      <c r="G1100">
        <v>1</v>
      </c>
      <c r="H1100">
        <v>41.24</v>
      </c>
      <c r="I1100">
        <v>0.25</v>
      </c>
      <c r="J1100">
        <v>30.93</v>
      </c>
      <c r="K1100" t="s">
        <v>16</v>
      </c>
      <c r="L1100" t="s">
        <v>17</v>
      </c>
      <c r="M1100" t="s">
        <v>117</v>
      </c>
    </row>
    <row r="1101" spans="1:13" x14ac:dyDescent="0.2">
      <c r="A1101">
        <v>278417</v>
      </c>
      <c r="B1101" s="1">
        <v>44794</v>
      </c>
      <c r="C1101">
        <v>21276</v>
      </c>
      <c r="D1101" t="s">
        <v>85</v>
      </c>
      <c r="E1101" t="s">
        <v>157</v>
      </c>
      <c r="F1101" t="s">
        <v>158</v>
      </c>
      <c r="G1101">
        <v>4</v>
      </c>
      <c r="H1101">
        <v>10.119999999999999</v>
      </c>
      <c r="I1101">
        <v>0.25</v>
      </c>
      <c r="J1101">
        <v>30.36</v>
      </c>
      <c r="K1101" t="s">
        <v>36</v>
      </c>
      <c r="L1101" t="s">
        <v>23</v>
      </c>
      <c r="M1101" t="s">
        <v>57</v>
      </c>
    </row>
    <row r="1102" spans="1:13" x14ac:dyDescent="0.2">
      <c r="A1102">
        <v>278591</v>
      </c>
      <c r="B1102" s="1">
        <v>45510</v>
      </c>
      <c r="C1102">
        <v>93763</v>
      </c>
      <c r="D1102" t="s">
        <v>63</v>
      </c>
      <c r="E1102" t="s">
        <v>68</v>
      </c>
      <c r="F1102" t="s">
        <v>69</v>
      </c>
      <c r="G1102">
        <v>3</v>
      </c>
      <c r="H1102">
        <v>18.739999999999998</v>
      </c>
      <c r="I1102">
        <v>0.25</v>
      </c>
      <c r="J1102">
        <v>42.16</v>
      </c>
      <c r="K1102" t="s">
        <v>32</v>
      </c>
      <c r="L1102" t="s">
        <v>17</v>
      </c>
      <c r="M1102" t="s">
        <v>33</v>
      </c>
    </row>
    <row r="1103" spans="1:13" x14ac:dyDescent="0.2">
      <c r="A1103">
        <v>278612</v>
      </c>
      <c r="B1103" s="1">
        <v>45236</v>
      </c>
      <c r="C1103">
        <v>51855</v>
      </c>
      <c r="D1103" t="s">
        <v>29</v>
      </c>
      <c r="E1103" t="s">
        <v>88</v>
      </c>
      <c r="F1103" t="s">
        <v>89</v>
      </c>
      <c r="G1103">
        <v>1</v>
      </c>
      <c r="H1103">
        <v>39.99</v>
      </c>
      <c r="I1103">
        <v>0.2</v>
      </c>
      <c r="J1103">
        <v>31.99</v>
      </c>
      <c r="K1103" t="s">
        <v>16</v>
      </c>
      <c r="L1103" t="s">
        <v>17</v>
      </c>
      <c r="M1103" t="s">
        <v>102</v>
      </c>
    </row>
    <row r="1104" spans="1:13" x14ac:dyDescent="0.2">
      <c r="A1104">
        <v>278819</v>
      </c>
      <c r="B1104" s="1">
        <v>44906</v>
      </c>
      <c r="C1104">
        <v>24803</v>
      </c>
      <c r="D1104" t="s">
        <v>13</v>
      </c>
      <c r="E1104" t="s">
        <v>127</v>
      </c>
      <c r="F1104" t="s">
        <v>128</v>
      </c>
      <c r="G1104">
        <v>2</v>
      </c>
      <c r="H1104">
        <v>18.989999999999998</v>
      </c>
      <c r="I1104">
        <v>0.05</v>
      </c>
      <c r="J1104">
        <v>36.08</v>
      </c>
      <c r="K1104" t="s">
        <v>16</v>
      </c>
      <c r="L1104" t="s">
        <v>17</v>
      </c>
      <c r="M1104" t="s">
        <v>62</v>
      </c>
    </row>
    <row r="1105" spans="1:13" x14ac:dyDescent="0.2">
      <c r="A1105">
        <v>278844</v>
      </c>
      <c r="B1105" s="1">
        <v>44943</v>
      </c>
      <c r="C1105">
        <v>60908</v>
      </c>
      <c r="D1105" t="s">
        <v>44</v>
      </c>
      <c r="E1105" t="s">
        <v>45</v>
      </c>
      <c r="F1105" t="s">
        <v>46</v>
      </c>
      <c r="G1105">
        <v>4</v>
      </c>
      <c r="H1105">
        <v>1.52</v>
      </c>
      <c r="I1105">
        <v>0.15</v>
      </c>
      <c r="J1105">
        <v>5.17</v>
      </c>
      <c r="K1105" t="s">
        <v>16</v>
      </c>
      <c r="L1105" t="s">
        <v>17</v>
      </c>
      <c r="M1105" t="s">
        <v>76</v>
      </c>
    </row>
    <row r="1106" spans="1:13" x14ac:dyDescent="0.2">
      <c r="A1106">
        <v>279022</v>
      </c>
      <c r="B1106" s="1">
        <v>45084</v>
      </c>
      <c r="C1106">
        <v>76402</v>
      </c>
      <c r="D1106" t="s">
        <v>25</v>
      </c>
      <c r="E1106" t="s">
        <v>113</v>
      </c>
      <c r="F1106" t="s">
        <v>114</v>
      </c>
      <c r="G1106">
        <v>2</v>
      </c>
      <c r="H1106">
        <v>113.99</v>
      </c>
      <c r="I1106">
        <v>0.05</v>
      </c>
      <c r="J1106">
        <v>216.58</v>
      </c>
      <c r="K1106" t="s">
        <v>36</v>
      </c>
      <c r="L1106" t="s">
        <v>17</v>
      </c>
      <c r="M1106" t="s">
        <v>54</v>
      </c>
    </row>
    <row r="1107" spans="1:13" x14ac:dyDescent="0.2">
      <c r="A1107">
        <v>279243</v>
      </c>
      <c r="B1107" s="1">
        <v>44856</v>
      </c>
      <c r="C1107">
        <v>30868</v>
      </c>
      <c r="D1107" t="s">
        <v>13</v>
      </c>
      <c r="E1107" t="s">
        <v>79</v>
      </c>
      <c r="F1107" t="s">
        <v>80</v>
      </c>
      <c r="G1107">
        <v>3</v>
      </c>
      <c r="H1107">
        <v>89.99</v>
      </c>
      <c r="J1107">
        <v>269.97000000000003</v>
      </c>
      <c r="K1107" t="s">
        <v>16</v>
      </c>
      <c r="L1107" t="s">
        <v>17</v>
      </c>
      <c r="M1107" t="s">
        <v>120</v>
      </c>
    </row>
    <row r="1108" spans="1:13" x14ac:dyDescent="0.2">
      <c r="A1108">
        <v>279389</v>
      </c>
      <c r="B1108" s="1">
        <v>44894</v>
      </c>
      <c r="C1108">
        <v>77075</v>
      </c>
      <c r="D1108" t="s">
        <v>44</v>
      </c>
      <c r="E1108" t="s">
        <v>177</v>
      </c>
      <c r="F1108" t="s">
        <v>178</v>
      </c>
      <c r="G1108">
        <v>2</v>
      </c>
      <c r="H1108">
        <v>11.99</v>
      </c>
      <c r="J1108">
        <v>23.98</v>
      </c>
      <c r="K1108" t="s">
        <v>16</v>
      </c>
      <c r="L1108" t="s">
        <v>17</v>
      </c>
      <c r="M1108" t="s">
        <v>18</v>
      </c>
    </row>
    <row r="1109" spans="1:13" x14ac:dyDescent="0.2">
      <c r="A1109">
        <v>279451</v>
      </c>
      <c r="B1109" s="1">
        <v>45108</v>
      </c>
      <c r="C1109">
        <v>45382</v>
      </c>
      <c r="D1109" t="s">
        <v>82</v>
      </c>
      <c r="E1109" t="s">
        <v>188</v>
      </c>
      <c r="F1109" t="s">
        <v>189</v>
      </c>
      <c r="G1109">
        <v>2</v>
      </c>
      <c r="H1109">
        <v>44.99</v>
      </c>
      <c r="J1109">
        <v>89.98</v>
      </c>
      <c r="K1109" t="s">
        <v>36</v>
      </c>
      <c r="L1109" t="s">
        <v>17</v>
      </c>
      <c r="M1109" t="s">
        <v>43</v>
      </c>
    </row>
    <row r="1110" spans="1:13" x14ac:dyDescent="0.2">
      <c r="A1110">
        <v>281485</v>
      </c>
      <c r="B1110" s="2">
        <v>45129</v>
      </c>
      <c r="D1110" t="s">
        <v>85</v>
      </c>
      <c r="E1110" t="s">
        <v>86</v>
      </c>
      <c r="F1110" t="s">
        <v>87</v>
      </c>
      <c r="G1110">
        <v>1</v>
      </c>
      <c r="H1110">
        <v>9.09</v>
      </c>
      <c r="I1110">
        <v>0.3</v>
      </c>
      <c r="J1110">
        <v>6.36</v>
      </c>
      <c r="K1110" t="s">
        <v>95</v>
      </c>
      <c r="L1110" t="s">
        <v>17</v>
      </c>
      <c r="M1110" t="s">
        <v>90</v>
      </c>
    </row>
    <row r="1111" spans="1:13" x14ac:dyDescent="0.2">
      <c r="A1111">
        <v>281554</v>
      </c>
      <c r="B1111" s="2">
        <v>45519</v>
      </c>
      <c r="D1111" t="s">
        <v>29</v>
      </c>
      <c r="E1111" t="s">
        <v>72</v>
      </c>
      <c r="F1111" t="s">
        <v>73</v>
      </c>
      <c r="G1111">
        <v>5</v>
      </c>
      <c r="H1111">
        <v>39.99</v>
      </c>
      <c r="J1111">
        <v>199.95</v>
      </c>
      <c r="K1111" t="s">
        <v>36</v>
      </c>
      <c r="L1111" t="s">
        <v>17</v>
      </c>
      <c r="M1111" t="s">
        <v>96</v>
      </c>
    </row>
    <row r="1112" spans="1:13" x14ac:dyDescent="0.2">
      <c r="A1112">
        <v>281611</v>
      </c>
      <c r="B1112" s="2">
        <v>45262</v>
      </c>
      <c r="C1112">
        <v>32910</v>
      </c>
      <c r="D1112" t="s">
        <v>29</v>
      </c>
      <c r="E1112" t="s">
        <v>38</v>
      </c>
      <c r="F1112" t="s">
        <v>39</v>
      </c>
      <c r="G1112">
        <v>2</v>
      </c>
      <c r="H1112">
        <v>26.99</v>
      </c>
      <c r="I1112">
        <v>0.1</v>
      </c>
      <c r="J1112">
        <v>48.58</v>
      </c>
      <c r="K1112" t="s">
        <v>36</v>
      </c>
      <c r="L1112" t="s">
        <v>17</v>
      </c>
      <c r="M1112" t="s">
        <v>18</v>
      </c>
    </row>
    <row r="1113" spans="1:13" x14ac:dyDescent="0.2">
      <c r="A1113">
        <v>281723</v>
      </c>
      <c r="B1113" s="1">
        <v>45466</v>
      </c>
      <c r="C1113">
        <v>98811</v>
      </c>
      <c r="D1113" t="s">
        <v>44</v>
      </c>
      <c r="E1113" t="s">
        <v>107</v>
      </c>
      <c r="F1113" t="s">
        <v>108</v>
      </c>
      <c r="G1113">
        <v>2</v>
      </c>
      <c r="H1113">
        <v>2.44</v>
      </c>
      <c r="I1113">
        <v>0.3</v>
      </c>
      <c r="J1113">
        <v>3.42</v>
      </c>
      <c r="K1113" t="s">
        <v>66</v>
      </c>
      <c r="L1113" t="s">
        <v>17</v>
      </c>
      <c r="M1113" t="s">
        <v>81</v>
      </c>
    </row>
    <row r="1114" spans="1:13" x14ac:dyDescent="0.2">
      <c r="A1114">
        <v>281883</v>
      </c>
      <c r="B1114" s="1">
        <v>44780</v>
      </c>
      <c r="D1114" t="s">
        <v>85</v>
      </c>
      <c r="E1114" t="s">
        <v>137</v>
      </c>
      <c r="F1114" t="s">
        <v>138</v>
      </c>
      <c r="G1114">
        <v>1</v>
      </c>
      <c r="H1114">
        <v>7.19</v>
      </c>
      <c r="I1114">
        <v>0.1</v>
      </c>
      <c r="J1114">
        <v>6.47</v>
      </c>
      <c r="K1114" t="s">
        <v>16</v>
      </c>
      <c r="L1114" t="s">
        <v>17</v>
      </c>
      <c r="M1114" t="s">
        <v>123</v>
      </c>
    </row>
    <row r="1115" spans="1:13" x14ac:dyDescent="0.2">
      <c r="A1115">
        <v>282310</v>
      </c>
      <c r="B1115" s="1">
        <v>45058</v>
      </c>
      <c r="C1115">
        <v>29744</v>
      </c>
      <c r="D1115" t="s">
        <v>63</v>
      </c>
      <c r="E1115" t="s">
        <v>111</v>
      </c>
      <c r="F1115" t="s">
        <v>112</v>
      </c>
      <c r="G1115">
        <v>3</v>
      </c>
      <c r="H1115">
        <v>14.99</v>
      </c>
      <c r="J1115">
        <v>44.97</v>
      </c>
      <c r="K1115" t="s">
        <v>36</v>
      </c>
      <c r="L1115" t="s">
        <v>17</v>
      </c>
    </row>
    <row r="1116" spans="1:13" x14ac:dyDescent="0.2">
      <c r="A1116">
        <v>282352</v>
      </c>
      <c r="B1116" s="1">
        <v>45543</v>
      </c>
      <c r="C1116">
        <v>85355</v>
      </c>
      <c r="D1116" t="s">
        <v>48</v>
      </c>
      <c r="E1116" t="s">
        <v>143</v>
      </c>
      <c r="F1116" t="s">
        <v>144</v>
      </c>
      <c r="G1116">
        <v>4</v>
      </c>
      <c r="H1116">
        <v>14.24</v>
      </c>
      <c r="I1116">
        <v>0.05</v>
      </c>
      <c r="J1116">
        <v>54.11</v>
      </c>
      <c r="K1116" t="s">
        <v>36</v>
      </c>
      <c r="L1116" t="s">
        <v>17</v>
      </c>
      <c r="M1116" t="s">
        <v>161</v>
      </c>
    </row>
    <row r="1117" spans="1:13" x14ac:dyDescent="0.2">
      <c r="A1117">
        <v>282480</v>
      </c>
      <c r="B1117" s="2">
        <v>45423</v>
      </c>
      <c r="C1117">
        <v>10053</v>
      </c>
      <c r="D1117" t="s">
        <v>63</v>
      </c>
      <c r="E1117" t="s">
        <v>131</v>
      </c>
      <c r="F1117" t="s">
        <v>132</v>
      </c>
      <c r="G1117">
        <v>3</v>
      </c>
      <c r="H1117">
        <v>2.79</v>
      </c>
      <c r="I1117">
        <v>0.2</v>
      </c>
      <c r="J1117">
        <v>6.7</v>
      </c>
      <c r="K1117" t="s">
        <v>36</v>
      </c>
      <c r="L1117" t="s">
        <v>17</v>
      </c>
      <c r="M1117" t="s">
        <v>117</v>
      </c>
    </row>
    <row r="1118" spans="1:13" x14ac:dyDescent="0.2">
      <c r="A1118">
        <v>282525</v>
      </c>
      <c r="B1118" s="1">
        <v>45329</v>
      </c>
      <c r="D1118" t="s">
        <v>13</v>
      </c>
      <c r="E1118" t="s">
        <v>79</v>
      </c>
      <c r="F1118" t="s">
        <v>80</v>
      </c>
      <c r="G1118">
        <v>1</v>
      </c>
      <c r="H1118">
        <v>80.989999999999995</v>
      </c>
      <c r="I1118">
        <v>0.1</v>
      </c>
      <c r="J1118">
        <v>72.89</v>
      </c>
      <c r="K1118" t="s">
        <v>16</v>
      </c>
      <c r="L1118" t="s">
        <v>17</v>
      </c>
      <c r="M1118" t="s">
        <v>18</v>
      </c>
    </row>
    <row r="1119" spans="1:13" x14ac:dyDescent="0.2">
      <c r="A1119">
        <v>282976</v>
      </c>
      <c r="B1119" s="1">
        <v>44921</v>
      </c>
      <c r="C1119">
        <v>86426</v>
      </c>
      <c r="D1119" t="s">
        <v>29</v>
      </c>
      <c r="E1119" t="s">
        <v>170</v>
      </c>
      <c r="F1119" t="s">
        <v>171</v>
      </c>
      <c r="G1119">
        <v>3</v>
      </c>
      <c r="H1119">
        <v>14.99</v>
      </c>
      <c r="J1119">
        <v>44.97</v>
      </c>
      <c r="K1119" t="s">
        <v>36</v>
      </c>
      <c r="L1119" t="s">
        <v>17</v>
      </c>
      <c r="M1119" t="s">
        <v>102</v>
      </c>
    </row>
    <row r="1120" spans="1:13" x14ac:dyDescent="0.2">
      <c r="A1120">
        <v>283021</v>
      </c>
      <c r="B1120" s="1">
        <v>44956</v>
      </c>
      <c r="C1120">
        <v>64874</v>
      </c>
      <c r="D1120" t="s">
        <v>48</v>
      </c>
      <c r="E1120" t="s">
        <v>143</v>
      </c>
      <c r="F1120" t="s">
        <v>144</v>
      </c>
      <c r="G1120">
        <v>5</v>
      </c>
      <c r="H1120">
        <v>11.99</v>
      </c>
      <c r="I1120">
        <v>0.2</v>
      </c>
      <c r="J1120">
        <v>47.96</v>
      </c>
      <c r="K1120" t="s">
        <v>36</v>
      </c>
      <c r="L1120" t="s">
        <v>17</v>
      </c>
      <c r="M1120" t="s">
        <v>54</v>
      </c>
    </row>
    <row r="1121" spans="1:13" x14ac:dyDescent="0.2">
      <c r="A1121">
        <v>283187</v>
      </c>
      <c r="B1121" s="1">
        <v>45219</v>
      </c>
      <c r="C1121">
        <v>25420</v>
      </c>
      <c r="D1121" t="s">
        <v>82</v>
      </c>
      <c r="E1121" t="s">
        <v>147</v>
      </c>
      <c r="F1121" t="s">
        <v>148</v>
      </c>
      <c r="G1121">
        <v>1</v>
      </c>
      <c r="H1121">
        <v>12.99</v>
      </c>
      <c r="J1121">
        <v>12.99</v>
      </c>
      <c r="K1121" t="s">
        <v>22</v>
      </c>
      <c r="L1121" t="s">
        <v>17</v>
      </c>
      <c r="M1121" t="s">
        <v>33</v>
      </c>
    </row>
    <row r="1122" spans="1:13" x14ac:dyDescent="0.2">
      <c r="A1122">
        <v>283392</v>
      </c>
      <c r="B1122" s="2">
        <v>45007</v>
      </c>
      <c r="C1122">
        <v>93213</v>
      </c>
      <c r="D1122" t="s">
        <v>13</v>
      </c>
      <c r="E1122" t="s">
        <v>77</v>
      </c>
      <c r="F1122" t="s">
        <v>78</v>
      </c>
      <c r="G1122">
        <v>3</v>
      </c>
      <c r="H1122">
        <v>499.99</v>
      </c>
      <c r="J1122">
        <v>1499.97</v>
      </c>
      <c r="K1122" t="s">
        <v>36</v>
      </c>
      <c r="L1122" t="s">
        <v>17</v>
      </c>
      <c r="M1122" t="s">
        <v>103</v>
      </c>
    </row>
    <row r="1123" spans="1:13" x14ac:dyDescent="0.2">
      <c r="A1123">
        <v>283581</v>
      </c>
      <c r="B1123" s="1">
        <v>45514</v>
      </c>
      <c r="C1123">
        <v>88811</v>
      </c>
      <c r="D1123" t="s">
        <v>29</v>
      </c>
      <c r="E1123" t="s">
        <v>30</v>
      </c>
      <c r="F1123" t="s">
        <v>31</v>
      </c>
      <c r="G1123">
        <v>1</v>
      </c>
      <c r="H1123">
        <v>19.989999999999998</v>
      </c>
      <c r="I1123">
        <v>0.2</v>
      </c>
      <c r="J1123">
        <v>15.99</v>
      </c>
      <c r="K1123" t="s">
        <v>16</v>
      </c>
      <c r="L1123" t="s">
        <v>17</v>
      </c>
      <c r="M1123" t="s">
        <v>57</v>
      </c>
    </row>
    <row r="1124" spans="1:13" x14ac:dyDescent="0.2">
      <c r="A1124">
        <v>283720</v>
      </c>
      <c r="B1124" s="1">
        <v>44710</v>
      </c>
      <c r="C1124">
        <v>84419</v>
      </c>
      <c r="D1124" t="s">
        <v>82</v>
      </c>
      <c r="E1124" t="s">
        <v>168</v>
      </c>
      <c r="F1124" t="s">
        <v>169</v>
      </c>
      <c r="G1124">
        <v>4</v>
      </c>
      <c r="H1124">
        <v>6.29</v>
      </c>
      <c r="I1124">
        <v>0.3</v>
      </c>
      <c r="J1124">
        <v>17.61</v>
      </c>
      <c r="K1124" t="s">
        <v>36</v>
      </c>
      <c r="L1124" t="s">
        <v>17</v>
      </c>
      <c r="M1124" t="s">
        <v>117</v>
      </c>
    </row>
    <row r="1125" spans="1:13" x14ac:dyDescent="0.2">
      <c r="A1125">
        <v>284183</v>
      </c>
      <c r="B1125" s="2">
        <v>45637</v>
      </c>
      <c r="C1125">
        <v>39722</v>
      </c>
      <c r="D1125" t="s">
        <v>82</v>
      </c>
      <c r="E1125" t="s">
        <v>155</v>
      </c>
      <c r="F1125" t="s">
        <v>156</v>
      </c>
      <c r="G1125">
        <v>4</v>
      </c>
      <c r="H1125">
        <v>19.989999999999998</v>
      </c>
      <c r="J1125">
        <v>79.959999999999994</v>
      </c>
      <c r="K1125" t="s">
        <v>95</v>
      </c>
      <c r="L1125" t="s">
        <v>23</v>
      </c>
      <c r="M1125" t="s">
        <v>90</v>
      </c>
    </row>
    <row r="1126" spans="1:13" x14ac:dyDescent="0.2">
      <c r="A1126">
        <v>284514</v>
      </c>
      <c r="B1126" s="1">
        <v>44881</v>
      </c>
      <c r="C1126">
        <v>25132</v>
      </c>
      <c r="D1126" t="s">
        <v>97</v>
      </c>
      <c r="E1126" t="s">
        <v>151</v>
      </c>
      <c r="F1126" t="s">
        <v>152</v>
      </c>
      <c r="G1126">
        <v>2</v>
      </c>
      <c r="H1126">
        <v>27.99</v>
      </c>
      <c r="I1126">
        <v>0.2</v>
      </c>
      <c r="J1126">
        <v>44.78</v>
      </c>
      <c r="K1126" t="s">
        <v>16</v>
      </c>
      <c r="L1126" t="s">
        <v>23</v>
      </c>
      <c r="M1126" t="s">
        <v>47</v>
      </c>
    </row>
    <row r="1127" spans="1:13" x14ac:dyDescent="0.2">
      <c r="A1127">
        <v>284742</v>
      </c>
      <c r="B1127" s="1">
        <v>44708</v>
      </c>
      <c r="C1127">
        <v>68742</v>
      </c>
      <c r="D1127" t="s">
        <v>25</v>
      </c>
      <c r="E1127" t="s">
        <v>70</v>
      </c>
      <c r="F1127" t="s">
        <v>71</v>
      </c>
      <c r="G1127">
        <v>1</v>
      </c>
      <c r="H1127">
        <v>67.489999999999995</v>
      </c>
      <c r="I1127">
        <v>0.25</v>
      </c>
      <c r="J1127">
        <v>50.62</v>
      </c>
      <c r="K1127" t="s">
        <v>16</v>
      </c>
      <c r="L1127" t="s">
        <v>17</v>
      </c>
      <c r="M1127" t="s">
        <v>62</v>
      </c>
    </row>
    <row r="1128" spans="1:13" x14ac:dyDescent="0.2">
      <c r="A1128">
        <v>284753</v>
      </c>
      <c r="B1128" s="1">
        <v>44577</v>
      </c>
      <c r="C1128">
        <v>82081</v>
      </c>
      <c r="D1128" t="s">
        <v>97</v>
      </c>
      <c r="E1128" t="s">
        <v>135</v>
      </c>
      <c r="F1128" t="s">
        <v>136</v>
      </c>
      <c r="G1128">
        <v>5</v>
      </c>
      <c r="H1128">
        <v>9.49</v>
      </c>
      <c r="I1128">
        <v>0.05</v>
      </c>
      <c r="J1128">
        <v>45.08</v>
      </c>
      <c r="K1128" t="s">
        <v>16</v>
      </c>
      <c r="L1128" t="s">
        <v>37</v>
      </c>
      <c r="M1128" t="s">
        <v>28</v>
      </c>
    </row>
    <row r="1129" spans="1:13" x14ac:dyDescent="0.2">
      <c r="A1129">
        <v>284855</v>
      </c>
      <c r="B1129" s="1">
        <v>44577</v>
      </c>
      <c r="C1129">
        <v>37534</v>
      </c>
      <c r="D1129" t="s">
        <v>44</v>
      </c>
      <c r="E1129" t="s">
        <v>195</v>
      </c>
      <c r="F1129" t="s">
        <v>196</v>
      </c>
      <c r="G1129">
        <v>1</v>
      </c>
      <c r="H1129">
        <v>4.99</v>
      </c>
      <c r="J1129">
        <v>4.99</v>
      </c>
      <c r="K1129" t="s">
        <v>32</v>
      </c>
      <c r="L1129" t="s">
        <v>23</v>
      </c>
      <c r="M1129" t="s">
        <v>33</v>
      </c>
    </row>
    <row r="1130" spans="1:13" x14ac:dyDescent="0.2">
      <c r="A1130">
        <v>285018</v>
      </c>
      <c r="B1130" s="1">
        <v>45486</v>
      </c>
      <c r="C1130">
        <v>21042</v>
      </c>
      <c r="D1130" t="s">
        <v>63</v>
      </c>
      <c r="E1130" t="s">
        <v>131</v>
      </c>
      <c r="F1130" t="s">
        <v>132</v>
      </c>
      <c r="G1130">
        <v>2</v>
      </c>
      <c r="H1130">
        <v>2.79</v>
      </c>
      <c r="I1130">
        <v>0.2</v>
      </c>
      <c r="J1130">
        <v>4.46</v>
      </c>
      <c r="K1130" t="s">
        <v>32</v>
      </c>
      <c r="L1130" t="s">
        <v>17</v>
      </c>
      <c r="M1130" t="s">
        <v>90</v>
      </c>
    </row>
    <row r="1131" spans="1:13" x14ac:dyDescent="0.2">
      <c r="A1131">
        <v>285045</v>
      </c>
      <c r="B1131" s="1">
        <v>45379</v>
      </c>
      <c r="C1131">
        <v>25361</v>
      </c>
      <c r="D1131" t="s">
        <v>25</v>
      </c>
      <c r="E1131" t="s">
        <v>70</v>
      </c>
      <c r="F1131" t="s">
        <v>71</v>
      </c>
      <c r="G1131">
        <v>1</v>
      </c>
      <c r="H1131">
        <v>76.489999999999995</v>
      </c>
      <c r="I1131">
        <v>0.15</v>
      </c>
      <c r="J1131">
        <v>65.02</v>
      </c>
      <c r="K1131" t="s">
        <v>36</v>
      </c>
      <c r="L1131" t="s">
        <v>37</v>
      </c>
      <c r="M1131" t="s">
        <v>62</v>
      </c>
    </row>
    <row r="1132" spans="1:13" x14ac:dyDescent="0.2">
      <c r="A1132">
        <v>285289</v>
      </c>
      <c r="B1132" s="1">
        <v>45304</v>
      </c>
      <c r="C1132">
        <v>35726</v>
      </c>
      <c r="D1132" t="s">
        <v>13</v>
      </c>
      <c r="E1132" t="s">
        <v>127</v>
      </c>
      <c r="F1132" t="s">
        <v>128</v>
      </c>
      <c r="G1132">
        <v>2</v>
      </c>
      <c r="H1132">
        <v>19.989999999999998</v>
      </c>
      <c r="J1132">
        <v>39.979999999999997</v>
      </c>
      <c r="K1132" t="s">
        <v>36</v>
      </c>
      <c r="L1132" t="s">
        <v>17</v>
      </c>
      <c r="M1132" t="s">
        <v>62</v>
      </c>
    </row>
    <row r="1133" spans="1:13" x14ac:dyDescent="0.2">
      <c r="A1133">
        <v>285358</v>
      </c>
      <c r="B1133" s="1">
        <v>44894</v>
      </c>
      <c r="C1133">
        <v>12947</v>
      </c>
      <c r="D1133" t="s">
        <v>63</v>
      </c>
      <c r="E1133" t="s">
        <v>131</v>
      </c>
      <c r="F1133" t="s">
        <v>132</v>
      </c>
      <c r="G1133">
        <v>1</v>
      </c>
      <c r="H1133">
        <v>2.79</v>
      </c>
      <c r="I1133">
        <v>0.2</v>
      </c>
      <c r="J1133">
        <v>2.23</v>
      </c>
      <c r="K1133" t="s">
        <v>16</v>
      </c>
      <c r="L1133" t="s">
        <v>37</v>
      </c>
      <c r="M1133" t="s">
        <v>18</v>
      </c>
    </row>
    <row r="1134" spans="1:13" x14ac:dyDescent="0.2">
      <c r="A1134">
        <v>285771</v>
      </c>
      <c r="B1134" s="1">
        <v>44840</v>
      </c>
      <c r="C1134">
        <v>44363</v>
      </c>
      <c r="D1134" t="s">
        <v>82</v>
      </c>
      <c r="E1134" t="s">
        <v>168</v>
      </c>
      <c r="F1134" t="s">
        <v>169</v>
      </c>
      <c r="G1134">
        <v>1</v>
      </c>
      <c r="H1134">
        <v>7.19</v>
      </c>
      <c r="I1134">
        <v>0.2</v>
      </c>
      <c r="J1134">
        <v>5.75</v>
      </c>
      <c r="K1134" t="s">
        <v>22</v>
      </c>
      <c r="L1134" t="s">
        <v>37</v>
      </c>
      <c r="M1134" t="s">
        <v>76</v>
      </c>
    </row>
    <row r="1135" spans="1:13" x14ac:dyDescent="0.2">
      <c r="A1135">
        <v>285825</v>
      </c>
      <c r="B1135" s="2">
        <v>45059</v>
      </c>
      <c r="C1135">
        <v>54364</v>
      </c>
      <c r="D1135" t="s">
        <v>85</v>
      </c>
      <c r="E1135" t="s">
        <v>157</v>
      </c>
      <c r="F1135" t="s">
        <v>158</v>
      </c>
      <c r="G1135">
        <v>4</v>
      </c>
      <c r="H1135">
        <v>13.49</v>
      </c>
      <c r="J1135">
        <v>53.96</v>
      </c>
      <c r="K1135" t="s">
        <v>36</v>
      </c>
      <c r="L1135" t="s">
        <v>23</v>
      </c>
      <c r="M1135" t="s">
        <v>67</v>
      </c>
    </row>
    <row r="1136" spans="1:13" x14ac:dyDescent="0.2">
      <c r="A1136">
        <v>286173</v>
      </c>
      <c r="B1136" s="1">
        <v>45251</v>
      </c>
      <c r="C1136">
        <v>51979</v>
      </c>
      <c r="D1136" t="s">
        <v>82</v>
      </c>
      <c r="E1136" t="s">
        <v>100</v>
      </c>
      <c r="F1136" t="s">
        <v>101</v>
      </c>
      <c r="G1136">
        <v>5</v>
      </c>
      <c r="H1136">
        <v>16.09</v>
      </c>
      <c r="I1136">
        <v>0.3</v>
      </c>
      <c r="J1136">
        <v>56.32</v>
      </c>
      <c r="K1136" t="s">
        <v>16</v>
      </c>
      <c r="L1136" t="s">
        <v>37</v>
      </c>
      <c r="M1136" t="s">
        <v>103</v>
      </c>
    </row>
    <row r="1137" spans="1:13" x14ac:dyDescent="0.2">
      <c r="A1137">
        <v>286260</v>
      </c>
      <c r="B1137" s="1">
        <v>45538</v>
      </c>
      <c r="C1137">
        <v>91955</v>
      </c>
      <c r="D1137" t="s">
        <v>63</v>
      </c>
      <c r="E1137" t="s">
        <v>131</v>
      </c>
      <c r="F1137" t="s">
        <v>132</v>
      </c>
      <c r="G1137">
        <v>1</v>
      </c>
      <c r="H1137">
        <v>3.49</v>
      </c>
      <c r="J1137">
        <v>3.49</v>
      </c>
      <c r="K1137" t="s">
        <v>36</v>
      </c>
      <c r="L1137" t="s">
        <v>17</v>
      </c>
      <c r="M1137" t="s">
        <v>18</v>
      </c>
    </row>
    <row r="1138" spans="1:13" x14ac:dyDescent="0.2">
      <c r="A1138">
        <v>286638</v>
      </c>
      <c r="B1138" s="1">
        <v>45463</v>
      </c>
      <c r="C1138">
        <v>57728</v>
      </c>
      <c r="D1138" t="s">
        <v>85</v>
      </c>
      <c r="E1138" t="s">
        <v>145</v>
      </c>
      <c r="F1138" t="s">
        <v>146</v>
      </c>
      <c r="G1138">
        <v>1</v>
      </c>
      <c r="H1138">
        <v>14.44</v>
      </c>
      <c r="I1138">
        <v>0.15</v>
      </c>
      <c r="J1138">
        <v>12.27</v>
      </c>
      <c r="K1138" t="s">
        <v>16</v>
      </c>
      <c r="L1138" t="s">
        <v>37</v>
      </c>
      <c r="M1138" t="s">
        <v>57</v>
      </c>
    </row>
    <row r="1139" spans="1:13" x14ac:dyDescent="0.2">
      <c r="A1139">
        <v>286651</v>
      </c>
      <c r="B1139" s="1">
        <v>45167</v>
      </c>
      <c r="C1139">
        <v>90705</v>
      </c>
      <c r="D1139" t="s">
        <v>167</v>
      </c>
      <c r="E1139" t="s">
        <v>49</v>
      </c>
      <c r="F1139" t="s">
        <v>50</v>
      </c>
      <c r="G1139">
        <v>3</v>
      </c>
      <c r="H1139">
        <v>6.29</v>
      </c>
      <c r="I1139">
        <v>0.3</v>
      </c>
      <c r="J1139">
        <v>13.21</v>
      </c>
      <c r="K1139" t="s">
        <v>36</v>
      </c>
      <c r="L1139" t="s">
        <v>17</v>
      </c>
      <c r="M1139" t="s">
        <v>90</v>
      </c>
    </row>
    <row r="1140" spans="1:13" x14ac:dyDescent="0.2">
      <c r="A1140">
        <v>286717</v>
      </c>
      <c r="B1140" s="1">
        <v>44735</v>
      </c>
      <c r="C1140">
        <v>65737</v>
      </c>
      <c r="D1140" t="s">
        <v>82</v>
      </c>
      <c r="E1140" t="s">
        <v>100</v>
      </c>
      <c r="F1140" t="s">
        <v>101</v>
      </c>
      <c r="G1140">
        <v>2</v>
      </c>
      <c r="H1140">
        <v>22.99</v>
      </c>
      <c r="J1140">
        <v>45.98</v>
      </c>
      <c r="K1140" t="s">
        <v>16</v>
      </c>
      <c r="L1140" t="s">
        <v>17</v>
      </c>
      <c r="M1140" t="s">
        <v>47</v>
      </c>
    </row>
    <row r="1141" spans="1:13" x14ac:dyDescent="0.2">
      <c r="A1141">
        <v>287215</v>
      </c>
      <c r="B1141" s="1">
        <v>44723</v>
      </c>
      <c r="C1141">
        <v>11956</v>
      </c>
      <c r="D1141" t="s">
        <v>25</v>
      </c>
      <c r="E1141" t="s">
        <v>26</v>
      </c>
      <c r="F1141" t="s">
        <v>27</v>
      </c>
      <c r="G1141">
        <v>2</v>
      </c>
      <c r="H1141">
        <v>31.49</v>
      </c>
      <c r="I1141">
        <v>0.1</v>
      </c>
      <c r="J1141">
        <v>56.68</v>
      </c>
      <c r="K1141" t="s">
        <v>36</v>
      </c>
      <c r="L1141" t="s">
        <v>23</v>
      </c>
      <c r="M1141" t="s">
        <v>117</v>
      </c>
    </row>
    <row r="1142" spans="1:13" x14ac:dyDescent="0.2">
      <c r="A1142">
        <v>287343</v>
      </c>
      <c r="B1142" s="1">
        <v>44860</v>
      </c>
      <c r="C1142">
        <v>56620</v>
      </c>
      <c r="D1142" t="s">
        <v>63</v>
      </c>
      <c r="E1142" t="s">
        <v>111</v>
      </c>
      <c r="F1142" t="s">
        <v>112</v>
      </c>
      <c r="G1142">
        <v>3</v>
      </c>
      <c r="H1142">
        <v>13.49</v>
      </c>
      <c r="I1142">
        <v>0.1</v>
      </c>
      <c r="J1142">
        <v>36.42</v>
      </c>
      <c r="K1142" t="s">
        <v>16</v>
      </c>
      <c r="L1142" t="s">
        <v>37</v>
      </c>
      <c r="M1142" t="s">
        <v>62</v>
      </c>
    </row>
    <row r="1143" spans="1:13" x14ac:dyDescent="0.2">
      <c r="A1143">
        <v>287409</v>
      </c>
      <c r="B1143" s="1">
        <v>45636</v>
      </c>
      <c r="C1143">
        <v>23887</v>
      </c>
      <c r="D1143" t="s">
        <v>63</v>
      </c>
      <c r="E1143" t="s">
        <v>68</v>
      </c>
      <c r="F1143" t="s">
        <v>69</v>
      </c>
      <c r="G1143">
        <v>4</v>
      </c>
      <c r="H1143">
        <v>24.99</v>
      </c>
      <c r="J1143">
        <v>99.96</v>
      </c>
      <c r="K1143" t="s">
        <v>22</v>
      </c>
      <c r="L1143" t="s">
        <v>17</v>
      </c>
      <c r="M1143" t="s">
        <v>161</v>
      </c>
    </row>
    <row r="1144" spans="1:13" x14ac:dyDescent="0.2">
      <c r="A1144">
        <v>287820</v>
      </c>
      <c r="B1144" s="1">
        <v>45234</v>
      </c>
      <c r="C1144">
        <v>22702</v>
      </c>
      <c r="D1144" t="s">
        <v>82</v>
      </c>
      <c r="E1144" t="s">
        <v>168</v>
      </c>
      <c r="F1144" t="s">
        <v>169</v>
      </c>
      <c r="G1144">
        <v>2</v>
      </c>
      <c r="H1144">
        <v>6.74</v>
      </c>
      <c r="I1144">
        <v>0.25</v>
      </c>
      <c r="J1144">
        <v>10.11</v>
      </c>
      <c r="K1144" t="s">
        <v>36</v>
      </c>
      <c r="L1144" t="s">
        <v>17</v>
      </c>
      <c r="M1144" t="s">
        <v>57</v>
      </c>
    </row>
    <row r="1145" spans="1:13" x14ac:dyDescent="0.2">
      <c r="A1145">
        <v>288273</v>
      </c>
      <c r="B1145" s="1">
        <v>44686</v>
      </c>
      <c r="C1145">
        <v>38404</v>
      </c>
      <c r="D1145" t="s">
        <v>183</v>
      </c>
      <c r="E1145" t="s">
        <v>188</v>
      </c>
      <c r="F1145" t="s">
        <v>189</v>
      </c>
      <c r="G1145">
        <v>2</v>
      </c>
      <c r="H1145">
        <v>44.99</v>
      </c>
      <c r="J1145">
        <v>89.98</v>
      </c>
      <c r="K1145" t="s">
        <v>16</v>
      </c>
      <c r="L1145" t="s">
        <v>23</v>
      </c>
      <c r="M1145" t="s">
        <v>57</v>
      </c>
    </row>
    <row r="1146" spans="1:13" x14ac:dyDescent="0.2">
      <c r="A1146">
        <v>288641</v>
      </c>
      <c r="B1146" s="1">
        <v>44882</v>
      </c>
      <c r="C1146">
        <v>56732</v>
      </c>
      <c r="D1146" t="s">
        <v>29</v>
      </c>
      <c r="E1146" t="s">
        <v>175</v>
      </c>
      <c r="F1146" t="s">
        <v>176</v>
      </c>
      <c r="G1146">
        <v>4</v>
      </c>
      <c r="H1146">
        <v>11.99</v>
      </c>
      <c r="J1146">
        <v>47.96</v>
      </c>
      <c r="K1146" t="s">
        <v>36</v>
      </c>
      <c r="L1146" t="s">
        <v>37</v>
      </c>
      <c r="M1146" t="s">
        <v>47</v>
      </c>
    </row>
    <row r="1147" spans="1:13" x14ac:dyDescent="0.2">
      <c r="A1147">
        <v>288709</v>
      </c>
      <c r="B1147" s="1">
        <v>45010</v>
      </c>
      <c r="C1147">
        <v>54693</v>
      </c>
      <c r="D1147" t="s">
        <v>82</v>
      </c>
      <c r="E1147" t="s">
        <v>168</v>
      </c>
      <c r="F1147" t="s">
        <v>169</v>
      </c>
      <c r="G1147">
        <v>4</v>
      </c>
      <c r="H1147">
        <v>8.09</v>
      </c>
      <c r="I1147">
        <v>0.1</v>
      </c>
      <c r="J1147">
        <v>29.12</v>
      </c>
      <c r="K1147" t="s">
        <v>66</v>
      </c>
      <c r="L1147" t="s">
        <v>23</v>
      </c>
      <c r="M1147" t="s">
        <v>120</v>
      </c>
    </row>
    <row r="1148" spans="1:13" x14ac:dyDescent="0.2">
      <c r="A1148">
        <v>288777</v>
      </c>
      <c r="B1148" s="1">
        <v>45070</v>
      </c>
      <c r="C1148">
        <v>48155</v>
      </c>
      <c r="D1148" t="s">
        <v>29</v>
      </c>
      <c r="E1148" t="s">
        <v>170</v>
      </c>
      <c r="F1148" t="s">
        <v>171</v>
      </c>
      <c r="G1148">
        <v>1</v>
      </c>
      <c r="H1148">
        <v>11.24</v>
      </c>
      <c r="I1148">
        <v>0.25</v>
      </c>
      <c r="J1148">
        <v>8.43</v>
      </c>
      <c r="K1148" t="s">
        <v>95</v>
      </c>
      <c r="L1148" t="s">
        <v>17</v>
      </c>
      <c r="M1148" t="s">
        <v>117</v>
      </c>
    </row>
    <row r="1149" spans="1:13" x14ac:dyDescent="0.2">
      <c r="A1149">
        <v>288856</v>
      </c>
      <c r="B1149" s="1">
        <v>45354</v>
      </c>
      <c r="C1149">
        <v>32590</v>
      </c>
      <c r="D1149" t="s">
        <v>63</v>
      </c>
      <c r="E1149" t="s">
        <v>111</v>
      </c>
      <c r="F1149" t="s">
        <v>112</v>
      </c>
      <c r="G1149">
        <v>2</v>
      </c>
      <c r="H1149">
        <v>14.99</v>
      </c>
      <c r="J1149">
        <v>29.98</v>
      </c>
      <c r="K1149" t="s">
        <v>22</v>
      </c>
      <c r="L1149" t="s">
        <v>17</v>
      </c>
      <c r="M1149" t="s">
        <v>28</v>
      </c>
    </row>
    <row r="1150" spans="1:13" x14ac:dyDescent="0.2">
      <c r="A1150">
        <v>289051</v>
      </c>
      <c r="B1150" s="1">
        <v>45427</v>
      </c>
      <c r="C1150">
        <v>63951</v>
      </c>
      <c r="D1150" t="s">
        <v>82</v>
      </c>
      <c r="E1150" t="s">
        <v>155</v>
      </c>
      <c r="F1150" t="s">
        <v>156</v>
      </c>
      <c r="G1150">
        <v>1</v>
      </c>
      <c r="H1150">
        <v>16.989999999999998</v>
      </c>
      <c r="I1150">
        <v>0.15</v>
      </c>
      <c r="J1150">
        <v>14.44</v>
      </c>
      <c r="K1150" t="s">
        <v>16</v>
      </c>
      <c r="L1150" t="s">
        <v>37</v>
      </c>
      <c r="M1150" t="s">
        <v>18</v>
      </c>
    </row>
    <row r="1151" spans="1:13" x14ac:dyDescent="0.2">
      <c r="A1151">
        <v>289096</v>
      </c>
      <c r="B1151" s="2">
        <v>44627</v>
      </c>
      <c r="C1151">
        <v>15930</v>
      </c>
      <c r="D1151" t="s">
        <v>63</v>
      </c>
      <c r="E1151" t="s">
        <v>131</v>
      </c>
      <c r="F1151" t="s">
        <v>132</v>
      </c>
      <c r="G1151">
        <v>3</v>
      </c>
      <c r="H1151">
        <v>2.62</v>
      </c>
      <c r="I1151">
        <v>0.25</v>
      </c>
      <c r="J1151">
        <v>5.9</v>
      </c>
      <c r="K1151" t="s">
        <v>22</v>
      </c>
      <c r="L1151" t="s">
        <v>17</v>
      </c>
      <c r="M1151" t="s">
        <v>18</v>
      </c>
    </row>
    <row r="1152" spans="1:13" x14ac:dyDescent="0.2">
      <c r="A1152">
        <v>289350</v>
      </c>
      <c r="B1152" s="1">
        <v>45274</v>
      </c>
      <c r="D1152" t="s">
        <v>40</v>
      </c>
      <c r="E1152" t="s">
        <v>41</v>
      </c>
      <c r="F1152" t="s">
        <v>42</v>
      </c>
      <c r="G1152">
        <v>1</v>
      </c>
      <c r="H1152">
        <v>4.79</v>
      </c>
      <c r="I1152">
        <v>0.2</v>
      </c>
      <c r="J1152">
        <v>3.83</v>
      </c>
      <c r="K1152" t="s">
        <v>16</v>
      </c>
      <c r="L1152" t="s">
        <v>17</v>
      </c>
      <c r="M1152" t="s">
        <v>76</v>
      </c>
    </row>
    <row r="1153" spans="1:13" x14ac:dyDescent="0.2">
      <c r="A1153">
        <v>289430</v>
      </c>
      <c r="B1153" s="1">
        <v>44753</v>
      </c>
      <c r="C1153">
        <v>83825</v>
      </c>
      <c r="D1153" t="s">
        <v>44</v>
      </c>
      <c r="E1153" t="s">
        <v>74</v>
      </c>
      <c r="F1153" t="s">
        <v>75</v>
      </c>
      <c r="G1153">
        <v>4</v>
      </c>
      <c r="H1153">
        <v>2.84</v>
      </c>
      <c r="I1153">
        <v>0.05</v>
      </c>
      <c r="J1153">
        <v>10.79</v>
      </c>
      <c r="K1153" t="s">
        <v>32</v>
      </c>
      <c r="L1153" t="s">
        <v>37</v>
      </c>
      <c r="M1153" t="s">
        <v>161</v>
      </c>
    </row>
    <row r="1154" spans="1:13" x14ac:dyDescent="0.2">
      <c r="A1154">
        <v>289631</v>
      </c>
      <c r="B1154" s="1">
        <v>45452</v>
      </c>
      <c r="C1154">
        <v>77859</v>
      </c>
      <c r="D1154" t="s">
        <v>13</v>
      </c>
      <c r="E1154" t="s">
        <v>79</v>
      </c>
      <c r="F1154" t="s">
        <v>80</v>
      </c>
      <c r="G1154">
        <v>1</v>
      </c>
      <c r="H1154">
        <v>89.99</v>
      </c>
      <c r="J1154">
        <v>89.99</v>
      </c>
      <c r="K1154" t="s">
        <v>36</v>
      </c>
      <c r="L1154" t="s">
        <v>17</v>
      </c>
      <c r="M1154" t="s">
        <v>81</v>
      </c>
    </row>
    <row r="1155" spans="1:13" x14ac:dyDescent="0.2">
      <c r="A1155">
        <v>289880</v>
      </c>
      <c r="B1155" s="2">
        <v>45375</v>
      </c>
      <c r="C1155">
        <v>28601</v>
      </c>
      <c r="D1155" t="s">
        <v>106</v>
      </c>
      <c r="E1155" t="s">
        <v>74</v>
      </c>
      <c r="F1155" t="s">
        <v>75</v>
      </c>
      <c r="G1155">
        <v>1</v>
      </c>
      <c r="H1155">
        <v>2.99</v>
      </c>
      <c r="J1155">
        <v>2.99</v>
      </c>
      <c r="K1155" t="s">
        <v>22</v>
      </c>
      <c r="L1155" t="s">
        <v>17</v>
      </c>
      <c r="M1155" t="s">
        <v>43</v>
      </c>
    </row>
    <row r="1156" spans="1:13" x14ac:dyDescent="0.2">
      <c r="A1156">
        <v>289931</v>
      </c>
      <c r="B1156" s="1">
        <v>44676</v>
      </c>
      <c r="C1156">
        <v>14764</v>
      </c>
      <c r="D1156" t="s">
        <v>40</v>
      </c>
      <c r="E1156" t="s">
        <v>20</v>
      </c>
      <c r="F1156" t="s">
        <v>21</v>
      </c>
      <c r="G1156">
        <v>2</v>
      </c>
      <c r="H1156">
        <v>9.99</v>
      </c>
      <c r="J1156">
        <v>19.98</v>
      </c>
      <c r="K1156" t="s">
        <v>16</v>
      </c>
      <c r="L1156" t="s">
        <v>37</v>
      </c>
      <c r="M1156" t="s">
        <v>161</v>
      </c>
    </row>
    <row r="1157" spans="1:13" x14ac:dyDescent="0.2">
      <c r="A1157">
        <v>290000</v>
      </c>
      <c r="B1157" s="1">
        <v>44730</v>
      </c>
      <c r="C1157">
        <v>91824</v>
      </c>
      <c r="D1157" t="s">
        <v>13</v>
      </c>
      <c r="E1157" t="s">
        <v>79</v>
      </c>
      <c r="F1157" t="s">
        <v>80</v>
      </c>
      <c r="G1157">
        <v>4</v>
      </c>
      <c r="H1157">
        <v>85.49</v>
      </c>
      <c r="I1157">
        <v>0.05</v>
      </c>
      <c r="J1157">
        <v>324.86</v>
      </c>
      <c r="K1157" t="s">
        <v>22</v>
      </c>
      <c r="L1157" t="s">
        <v>17</v>
      </c>
      <c r="M1157" t="s">
        <v>102</v>
      </c>
    </row>
    <row r="1158" spans="1:13" x14ac:dyDescent="0.2">
      <c r="A1158">
        <v>290177</v>
      </c>
      <c r="B1158" s="1">
        <v>45293</v>
      </c>
      <c r="C1158">
        <v>79622</v>
      </c>
      <c r="D1158" t="s">
        <v>40</v>
      </c>
      <c r="E1158" t="s">
        <v>115</v>
      </c>
      <c r="F1158" t="s">
        <v>116</v>
      </c>
      <c r="G1158">
        <v>1</v>
      </c>
      <c r="H1158">
        <v>9.74</v>
      </c>
      <c r="I1158">
        <v>0.25</v>
      </c>
      <c r="J1158">
        <v>7.3</v>
      </c>
      <c r="K1158" t="s">
        <v>16</v>
      </c>
      <c r="L1158" t="s">
        <v>17</v>
      </c>
      <c r="M1158" t="s">
        <v>18</v>
      </c>
    </row>
    <row r="1159" spans="1:13" x14ac:dyDescent="0.2">
      <c r="A1159">
        <v>290411</v>
      </c>
      <c r="B1159" s="1">
        <v>45640</v>
      </c>
      <c r="C1159">
        <v>39803</v>
      </c>
      <c r="D1159" t="s">
        <v>44</v>
      </c>
      <c r="E1159" t="s">
        <v>190</v>
      </c>
      <c r="F1159" t="s">
        <v>191</v>
      </c>
      <c r="G1159">
        <v>2</v>
      </c>
      <c r="H1159">
        <v>4.29</v>
      </c>
      <c r="J1159">
        <v>8.58</v>
      </c>
      <c r="K1159" t="s">
        <v>16</v>
      </c>
      <c r="L1159" t="s">
        <v>17</v>
      </c>
      <c r="M1159" t="s">
        <v>102</v>
      </c>
    </row>
    <row r="1160" spans="1:13" x14ac:dyDescent="0.2">
      <c r="A1160">
        <v>290458</v>
      </c>
      <c r="B1160" s="1">
        <v>45002</v>
      </c>
      <c r="C1160">
        <v>51513</v>
      </c>
      <c r="D1160" t="s">
        <v>19</v>
      </c>
      <c r="E1160" t="s">
        <v>58</v>
      </c>
      <c r="F1160" t="s">
        <v>59</v>
      </c>
      <c r="G1160">
        <v>3</v>
      </c>
      <c r="H1160">
        <v>2.99</v>
      </c>
      <c r="I1160">
        <v>0.25</v>
      </c>
      <c r="J1160">
        <v>6.73</v>
      </c>
      <c r="K1160" t="s">
        <v>22</v>
      </c>
      <c r="L1160" t="s">
        <v>17</v>
      </c>
      <c r="M1160" t="s">
        <v>54</v>
      </c>
    </row>
    <row r="1161" spans="1:13" x14ac:dyDescent="0.2">
      <c r="A1161">
        <v>290608</v>
      </c>
      <c r="B1161" s="2">
        <v>44694</v>
      </c>
      <c r="C1161">
        <v>43455</v>
      </c>
      <c r="D1161" t="s">
        <v>25</v>
      </c>
      <c r="E1161" t="s">
        <v>113</v>
      </c>
      <c r="F1161" t="s">
        <v>114</v>
      </c>
      <c r="G1161">
        <v>1</v>
      </c>
      <c r="H1161">
        <v>107.99</v>
      </c>
      <c r="I1161">
        <v>0.1</v>
      </c>
      <c r="J1161">
        <v>97.19</v>
      </c>
      <c r="K1161" t="s">
        <v>36</v>
      </c>
      <c r="L1161" t="s">
        <v>37</v>
      </c>
      <c r="M1161" t="s">
        <v>43</v>
      </c>
    </row>
    <row r="1162" spans="1:13" x14ac:dyDescent="0.2">
      <c r="A1162">
        <v>290666</v>
      </c>
      <c r="B1162" s="1">
        <v>45304</v>
      </c>
      <c r="C1162">
        <v>98049</v>
      </c>
      <c r="D1162" t="s">
        <v>44</v>
      </c>
      <c r="E1162" t="s">
        <v>184</v>
      </c>
      <c r="F1162" t="s">
        <v>185</v>
      </c>
      <c r="G1162">
        <v>2</v>
      </c>
      <c r="H1162">
        <v>4.12</v>
      </c>
      <c r="I1162">
        <v>0.25</v>
      </c>
      <c r="J1162">
        <v>6.18</v>
      </c>
      <c r="K1162" t="s">
        <v>36</v>
      </c>
      <c r="L1162" t="s">
        <v>17</v>
      </c>
      <c r="M1162" t="s">
        <v>117</v>
      </c>
    </row>
    <row r="1163" spans="1:13" x14ac:dyDescent="0.2">
      <c r="A1163">
        <v>290755</v>
      </c>
      <c r="B1163" s="2">
        <v>44759</v>
      </c>
      <c r="C1163">
        <v>29531</v>
      </c>
      <c r="D1163" t="s">
        <v>82</v>
      </c>
      <c r="E1163" t="s">
        <v>155</v>
      </c>
      <c r="F1163" t="s">
        <v>156</v>
      </c>
      <c r="G1163">
        <v>3</v>
      </c>
      <c r="H1163">
        <v>14.99</v>
      </c>
      <c r="I1163">
        <v>0.25</v>
      </c>
      <c r="J1163">
        <v>33.729999999999997</v>
      </c>
      <c r="K1163" t="s">
        <v>16</v>
      </c>
      <c r="L1163" t="s">
        <v>17</v>
      </c>
      <c r="M1163" t="s">
        <v>57</v>
      </c>
    </row>
    <row r="1164" spans="1:13" x14ac:dyDescent="0.2">
      <c r="A1164">
        <v>290885</v>
      </c>
      <c r="B1164" s="1">
        <v>45460</v>
      </c>
      <c r="C1164">
        <v>56548</v>
      </c>
      <c r="D1164" t="s">
        <v>44</v>
      </c>
      <c r="E1164" t="s">
        <v>107</v>
      </c>
      <c r="F1164" t="s">
        <v>108</v>
      </c>
      <c r="G1164">
        <v>4</v>
      </c>
      <c r="H1164">
        <v>2.62</v>
      </c>
      <c r="I1164">
        <v>0.25</v>
      </c>
      <c r="J1164">
        <v>7.86</v>
      </c>
      <c r="K1164" t="s">
        <v>36</v>
      </c>
      <c r="L1164" t="s">
        <v>17</v>
      </c>
      <c r="M1164" t="s">
        <v>24</v>
      </c>
    </row>
    <row r="1165" spans="1:13" x14ac:dyDescent="0.2">
      <c r="A1165">
        <v>290961</v>
      </c>
      <c r="B1165" s="2">
        <v>45182</v>
      </c>
      <c r="C1165">
        <v>42505</v>
      </c>
      <c r="D1165" t="s">
        <v>25</v>
      </c>
      <c r="E1165" t="s">
        <v>113</v>
      </c>
      <c r="F1165" t="s">
        <v>114</v>
      </c>
      <c r="G1165">
        <v>2</v>
      </c>
      <c r="H1165">
        <v>119.99</v>
      </c>
      <c r="J1165">
        <v>239.98</v>
      </c>
      <c r="K1165" t="s">
        <v>22</v>
      </c>
      <c r="L1165" t="s">
        <v>17</v>
      </c>
      <c r="M1165" t="s">
        <v>43</v>
      </c>
    </row>
    <row r="1166" spans="1:13" x14ac:dyDescent="0.2">
      <c r="A1166">
        <v>291251</v>
      </c>
      <c r="B1166" s="1">
        <v>45373</v>
      </c>
      <c r="C1166">
        <v>33711</v>
      </c>
      <c r="D1166" t="s">
        <v>63</v>
      </c>
      <c r="E1166" t="s">
        <v>111</v>
      </c>
      <c r="F1166" t="s">
        <v>112</v>
      </c>
      <c r="G1166">
        <v>1</v>
      </c>
      <c r="H1166">
        <v>14.99</v>
      </c>
      <c r="J1166">
        <v>14.99</v>
      </c>
      <c r="K1166" t="s">
        <v>36</v>
      </c>
      <c r="L1166" t="s">
        <v>37</v>
      </c>
      <c r="M1166" t="s">
        <v>90</v>
      </c>
    </row>
    <row r="1167" spans="1:13" x14ac:dyDescent="0.2">
      <c r="A1167">
        <v>291657</v>
      </c>
      <c r="B1167" s="1">
        <v>44601</v>
      </c>
      <c r="C1167">
        <v>47568</v>
      </c>
      <c r="D1167" t="s">
        <v>13</v>
      </c>
      <c r="E1167" t="s">
        <v>55</v>
      </c>
      <c r="F1167" t="s">
        <v>56</v>
      </c>
      <c r="G1167">
        <v>1</v>
      </c>
      <c r="H1167">
        <v>329.99</v>
      </c>
      <c r="J1167">
        <v>329.99</v>
      </c>
      <c r="K1167" t="s">
        <v>16</v>
      </c>
      <c r="L1167" t="s">
        <v>17</v>
      </c>
      <c r="M1167" t="s">
        <v>117</v>
      </c>
    </row>
    <row r="1168" spans="1:13" x14ac:dyDescent="0.2">
      <c r="A1168">
        <v>291677</v>
      </c>
      <c r="B1168" s="2">
        <v>45499</v>
      </c>
      <c r="C1168">
        <v>13873</v>
      </c>
      <c r="D1168" t="s">
        <v>82</v>
      </c>
      <c r="E1168" t="s">
        <v>168</v>
      </c>
      <c r="F1168" t="s">
        <v>169</v>
      </c>
      <c r="G1168">
        <v>2</v>
      </c>
      <c r="H1168">
        <v>8.99</v>
      </c>
      <c r="J1168">
        <v>17.98</v>
      </c>
      <c r="K1168" t="s">
        <v>66</v>
      </c>
      <c r="L1168" t="s">
        <v>17</v>
      </c>
      <c r="M1168" t="s">
        <v>47</v>
      </c>
    </row>
    <row r="1169" spans="1:13" x14ac:dyDescent="0.2">
      <c r="A1169">
        <v>292111</v>
      </c>
      <c r="B1169" s="1">
        <v>45108</v>
      </c>
      <c r="C1169">
        <v>53537</v>
      </c>
      <c r="D1169" t="s">
        <v>29</v>
      </c>
      <c r="E1169" t="s">
        <v>30</v>
      </c>
      <c r="F1169" t="s">
        <v>31</v>
      </c>
      <c r="G1169">
        <v>2</v>
      </c>
      <c r="H1169">
        <v>18.739999999999998</v>
      </c>
      <c r="I1169">
        <v>0.25</v>
      </c>
      <c r="J1169">
        <v>28.11</v>
      </c>
      <c r="K1169" t="s">
        <v>16</v>
      </c>
      <c r="L1169" t="s">
        <v>17</v>
      </c>
      <c r="M1169" t="s">
        <v>67</v>
      </c>
    </row>
    <row r="1170" spans="1:13" x14ac:dyDescent="0.2">
      <c r="A1170">
        <v>292329</v>
      </c>
      <c r="B1170" s="1">
        <v>44604</v>
      </c>
      <c r="C1170">
        <v>14947</v>
      </c>
      <c r="D1170" t="s">
        <v>44</v>
      </c>
      <c r="E1170" t="s">
        <v>93</v>
      </c>
      <c r="F1170" t="s">
        <v>94</v>
      </c>
      <c r="G1170">
        <v>2</v>
      </c>
      <c r="H1170">
        <v>1.23</v>
      </c>
      <c r="I1170">
        <v>0.05</v>
      </c>
      <c r="J1170">
        <v>2.34</v>
      </c>
      <c r="K1170" t="s">
        <v>16</v>
      </c>
      <c r="L1170" t="s">
        <v>17</v>
      </c>
      <c r="M1170" t="s">
        <v>103</v>
      </c>
    </row>
    <row r="1171" spans="1:13" x14ac:dyDescent="0.2">
      <c r="A1171">
        <v>292478</v>
      </c>
      <c r="B1171" s="1">
        <v>45219</v>
      </c>
      <c r="C1171">
        <v>22519</v>
      </c>
      <c r="D1171" t="s">
        <v>25</v>
      </c>
      <c r="E1171" t="s">
        <v>26</v>
      </c>
      <c r="F1171" t="s">
        <v>27</v>
      </c>
      <c r="G1171">
        <v>3</v>
      </c>
      <c r="H1171">
        <v>34.99</v>
      </c>
      <c r="J1171">
        <v>104.97</v>
      </c>
      <c r="K1171" t="s">
        <v>22</v>
      </c>
      <c r="L1171" t="s">
        <v>17</v>
      </c>
      <c r="M1171" t="s">
        <v>67</v>
      </c>
    </row>
    <row r="1172" spans="1:13" x14ac:dyDescent="0.2">
      <c r="A1172">
        <v>292577</v>
      </c>
      <c r="B1172" s="1">
        <v>44907</v>
      </c>
      <c r="C1172">
        <v>89905</v>
      </c>
      <c r="D1172" t="s">
        <v>48</v>
      </c>
      <c r="E1172" t="s">
        <v>49</v>
      </c>
      <c r="F1172" t="s">
        <v>50</v>
      </c>
      <c r="G1172">
        <v>1</v>
      </c>
      <c r="H1172">
        <v>8.99</v>
      </c>
      <c r="J1172">
        <v>8.99</v>
      </c>
      <c r="K1172" t="s">
        <v>36</v>
      </c>
      <c r="L1172" t="s">
        <v>17</v>
      </c>
      <c r="M1172" t="s">
        <v>123</v>
      </c>
    </row>
    <row r="1173" spans="1:13" x14ac:dyDescent="0.2">
      <c r="A1173">
        <v>292737</v>
      </c>
      <c r="B1173" s="2">
        <v>44882</v>
      </c>
      <c r="C1173">
        <v>64642</v>
      </c>
      <c r="D1173" t="s">
        <v>40</v>
      </c>
      <c r="E1173" t="s">
        <v>41</v>
      </c>
      <c r="F1173" t="s">
        <v>42</v>
      </c>
      <c r="G1173">
        <v>5</v>
      </c>
      <c r="H1173">
        <v>5.99</v>
      </c>
      <c r="J1173">
        <v>29.95</v>
      </c>
      <c r="K1173" t="s">
        <v>36</v>
      </c>
      <c r="L1173" t="s">
        <v>17</v>
      </c>
      <c r="M1173" t="s">
        <v>76</v>
      </c>
    </row>
    <row r="1174" spans="1:13" x14ac:dyDescent="0.2">
      <c r="A1174">
        <v>292799</v>
      </c>
      <c r="B1174" s="1">
        <v>45443</v>
      </c>
      <c r="D1174" t="s">
        <v>200</v>
      </c>
      <c r="E1174" t="s">
        <v>26</v>
      </c>
      <c r="F1174" t="s">
        <v>27</v>
      </c>
      <c r="G1174">
        <v>2</v>
      </c>
      <c r="H1174">
        <v>31.49</v>
      </c>
      <c r="I1174">
        <v>0.1</v>
      </c>
      <c r="J1174">
        <v>56.68</v>
      </c>
      <c r="K1174" t="s">
        <v>36</v>
      </c>
      <c r="L1174" t="s">
        <v>17</v>
      </c>
      <c r="M1174" t="s">
        <v>47</v>
      </c>
    </row>
    <row r="1175" spans="1:13" x14ac:dyDescent="0.2">
      <c r="A1175">
        <v>293010</v>
      </c>
      <c r="B1175" s="2">
        <v>44954</v>
      </c>
      <c r="C1175">
        <v>94556</v>
      </c>
      <c r="D1175" t="s">
        <v>40</v>
      </c>
      <c r="E1175" t="s">
        <v>197</v>
      </c>
      <c r="F1175" t="s">
        <v>198</v>
      </c>
      <c r="G1175">
        <v>5</v>
      </c>
      <c r="H1175">
        <v>14.24</v>
      </c>
      <c r="I1175">
        <v>0.05</v>
      </c>
      <c r="J1175">
        <v>67.64</v>
      </c>
      <c r="K1175" t="s">
        <v>16</v>
      </c>
      <c r="L1175" t="s">
        <v>17</v>
      </c>
      <c r="M1175" t="s">
        <v>96</v>
      </c>
    </row>
    <row r="1176" spans="1:13" x14ac:dyDescent="0.2">
      <c r="A1176">
        <v>293196</v>
      </c>
      <c r="B1176" s="1">
        <v>44887</v>
      </c>
      <c r="C1176">
        <v>21809</v>
      </c>
      <c r="D1176" t="s">
        <v>82</v>
      </c>
      <c r="E1176" t="s">
        <v>147</v>
      </c>
      <c r="F1176" t="s">
        <v>148</v>
      </c>
      <c r="G1176">
        <v>5</v>
      </c>
      <c r="H1176">
        <v>12.99</v>
      </c>
      <c r="J1176">
        <v>64.95</v>
      </c>
      <c r="K1176" t="s">
        <v>53</v>
      </c>
      <c r="L1176" t="s">
        <v>17</v>
      </c>
      <c r="M1176" t="s">
        <v>123</v>
      </c>
    </row>
    <row r="1177" spans="1:13" x14ac:dyDescent="0.2">
      <c r="A1177">
        <v>293461</v>
      </c>
      <c r="B1177" s="2">
        <v>44710</v>
      </c>
      <c r="C1177">
        <v>47722</v>
      </c>
      <c r="D1177" t="s">
        <v>40</v>
      </c>
      <c r="E1177" t="s">
        <v>20</v>
      </c>
      <c r="F1177" t="s">
        <v>21</v>
      </c>
      <c r="G1177">
        <v>2</v>
      </c>
      <c r="H1177">
        <v>7.49</v>
      </c>
      <c r="I1177">
        <v>0.25</v>
      </c>
      <c r="J1177">
        <v>11.24</v>
      </c>
      <c r="K1177" t="s">
        <v>16</v>
      </c>
      <c r="L1177" t="s">
        <v>17</v>
      </c>
      <c r="M1177" t="s">
        <v>54</v>
      </c>
    </row>
    <row r="1178" spans="1:13" x14ac:dyDescent="0.2">
      <c r="A1178">
        <v>293461</v>
      </c>
      <c r="B1178" s="1">
        <v>45227</v>
      </c>
      <c r="C1178">
        <v>64702</v>
      </c>
      <c r="D1178" t="s">
        <v>25</v>
      </c>
      <c r="E1178" t="s">
        <v>113</v>
      </c>
      <c r="F1178" t="s">
        <v>114</v>
      </c>
      <c r="G1178">
        <v>5</v>
      </c>
      <c r="H1178">
        <v>119.99</v>
      </c>
      <c r="J1178">
        <v>599.95000000000005</v>
      </c>
      <c r="K1178" t="s">
        <v>36</v>
      </c>
      <c r="L1178" t="s">
        <v>23</v>
      </c>
      <c r="M1178" t="s">
        <v>96</v>
      </c>
    </row>
    <row r="1179" spans="1:13" x14ac:dyDescent="0.2">
      <c r="A1179">
        <v>293898</v>
      </c>
      <c r="B1179" s="1">
        <v>44573</v>
      </c>
      <c r="C1179">
        <v>68995</v>
      </c>
      <c r="D1179" t="s">
        <v>25</v>
      </c>
      <c r="E1179" t="s">
        <v>70</v>
      </c>
      <c r="F1179" t="s">
        <v>71</v>
      </c>
      <c r="G1179">
        <v>5</v>
      </c>
      <c r="H1179">
        <v>89.99</v>
      </c>
      <c r="J1179">
        <v>449.95</v>
      </c>
      <c r="K1179" t="s">
        <v>16</v>
      </c>
      <c r="L1179" t="s">
        <v>17</v>
      </c>
      <c r="M1179" t="s">
        <v>47</v>
      </c>
    </row>
    <row r="1180" spans="1:13" x14ac:dyDescent="0.2">
      <c r="A1180">
        <v>294542</v>
      </c>
      <c r="B1180" s="2">
        <v>44762</v>
      </c>
      <c r="C1180">
        <v>86347</v>
      </c>
      <c r="D1180" t="s">
        <v>40</v>
      </c>
      <c r="E1180" t="s">
        <v>197</v>
      </c>
      <c r="F1180" t="s">
        <v>198</v>
      </c>
      <c r="G1180">
        <v>1</v>
      </c>
      <c r="H1180">
        <v>13.49</v>
      </c>
      <c r="I1180">
        <v>0.1</v>
      </c>
      <c r="J1180">
        <v>12.14</v>
      </c>
      <c r="K1180" t="s">
        <v>95</v>
      </c>
      <c r="L1180" t="s">
        <v>17</v>
      </c>
      <c r="M1180" t="s">
        <v>120</v>
      </c>
    </row>
    <row r="1181" spans="1:13" x14ac:dyDescent="0.2">
      <c r="A1181">
        <v>294672</v>
      </c>
      <c r="B1181" s="1">
        <v>44883</v>
      </c>
      <c r="C1181">
        <v>92220</v>
      </c>
      <c r="D1181" t="s">
        <v>97</v>
      </c>
      <c r="E1181" t="s">
        <v>98</v>
      </c>
      <c r="F1181" t="s">
        <v>99</v>
      </c>
      <c r="G1181">
        <v>5</v>
      </c>
      <c r="H1181">
        <v>20.99</v>
      </c>
      <c r="I1181">
        <v>0.25</v>
      </c>
      <c r="J1181">
        <v>78.709999999999994</v>
      </c>
      <c r="K1181" t="s">
        <v>36</v>
      </c>
      <c r="L1181" t="s">
        <v>17</v>
      </c>
      <c r="M1181" t="s">
        <v>18</v>
      </c>
    </row>
    <row r="1182" spans="1:13" x14ac:dyDescent="0.2">
      <c r="A1182">
        <v>294726</v>
      </c>
      <c r="B1182" s="1">
        <v>44653</v>
      </c>
      <c r="C1182">
        <v>36687</v>
      </c>
      <c r="D1182" t="s">
        <v>44</v>
      </c>
      <c r="E1182" t="s">
        <v>162</v>
      </c>
      <c r="F1182" t="s">
        <v>163</v>
      </c>
      <c r="G1182">
        <v>1</v>
      </c>
      <c r="H1182">
        <v>7.59</v>
      </c>
      <c r="I1182">
        <v>0.05</v>
      </c>
      <c r="J1182">
        <v>7.21</v>
      </c>
      <c r="K1182" t="s">
        <v>16</v>
      </c>
      <c r="L1182" t="s">
        <v>37</v>
      </c>
      <c r="M1182" t="s">
        <v>123</v>
      </c>
    </row>
    <row r="1183" spans="1:13" x14ac:dyDescent="0.2">
      <c r="A1183">
        <v>295214</v>
      </c>
      <c r="B1183" s="1">
        <v>45167</v>
      </c>
      <c r="C1183">
        <v>92169</v>
      </c>
      <c r="D1183" t="s">
        <v>82</v>
      </c>
      <c r="E1183" t="s">
        <v>83</v>
      </c>
      <c r="F1183" t="s">
        <v>84</v>
      </c>
      <c r="G1183">
        <v>2</v>
      </c>
      <c r="H1183">
        <v>16.14</v>
      </c>
      <c r="J1183">
        <v>32.28</v>
      </c>
      <c r="K1183" t="s">
        <v>36</v>
      </c>
      <c r="L1183" t="s">
        <v>17</v>
      </c>
      <c r="M1183" t="s">
        <v>123</v>
      </c>
    </row>
    <row r="1184" spans="1:13" x14ac:dyDescent="0.2">
      <c r="A1184">
        <v>295247</v>
      </c>
      <c r="B1184" s="2">
        <v>44927</v>
      </c>
      <c r="C1184">
        <v>34926</v>
      </c>
      <c r="D1184" t="s">
        <v>25</v>
      </c>
      <c r="E1184" t="s">
        <v>26</v>
      </c>
      <c r="F1184" t="s">
        <v>27</v>
      </c>
      <c r="G1184">
        <v>2</v>
      </c>
      <c r="H1184">
        <v>27.99</v>
      </c>
      <c r="I1184">
        <v>0.2</v>
      </c>
      <c r="J1184">
        <v>44.78</v>
      </c>
      <c r="K1184" t="s">
        <v>22</v>
      </c>
      <c r="L1184" t="s">
        <v>17</v>
      </c>
      <c r="M1184" t="s">
        <v>161</v>
      </c>
    </row>
    <row r="1185" spans="1:13" x14ac:dyDescent="0.2">
      <c r="A1185">
        <v>295319</v>
      </c>
      <c r="B1185" s="1">
        <v>44831</v>
      </c>
      <c r="C1185">
        <v>42190</v>
      </c>
      <c r="D1185" t="s">
        <v>48</v>
      </c>
      <c r="E1185" t="s">
        <v>109</v>
      </c>
      <c r="F1185" t="s">
        <v>110</v>
      </c>
      <c r="G1185">
        <v>1</v>
      </c>
      <c r="H1185">
        <v>5.59</v>
      </c>
      <c r="I1185">
        <v>0.2</v>
      </c>
      <c r="J1185">
        <v>4.47</v>
      </c>
      <c r="K1185" t="s">
        <v>16</v>
      </c>
      <c r="L1185" t="s">
        <v>17</v>
      </c>
    </row>
    <row r="1186" spans="1:13" x14ac:dyDescent="0.2">
      <c r="A1186">
        <v>295417</v>
      </c>
      <c r="B1186" s="1">
        <v>44746</v>
      </c>
      <c r="D1186" t="s">
        <v>25</v>
      </c>
      <c r="E1186" t="s">
        <v>60</v>
      </c>
      <c r="F1186" t="s">
        <v>61</v>
      </c>
      <c r="G1186">
        <v>1</v>
      </c>
      <c r="H1186">
        <v>38.49</v>
      </c>
      <c r="I1186">
        <v>0.3</v>
      </c>
      <c r="J1186">
        <v>26.94</v>
      </c>
      <c r="K1186" t="s">
        <v>16</v>
      </c>
      <c r="L1186" t="s">
        <v>37</v>
      </c>
      <c r="M1186" t="s">
        <v>67</v>
      </c>
    </row>
    <row r="1187" spans="1:13" x14ac:dyDescent="0.2">
      <c r="A1187">
        <v>295471</v>
      </c>
      <c r="B1187" s="2">
        <v>45050</v>
      </c>
      <c r="C1187">
        <v>90728</v>
      </c>
      <c r="D1187" t="s">
        <v>82</v>
      </c>
      <c r="E1187" t="s">
        <v>147</v>
      </c>
      <c r="F1187" t="s">
        <v>148</v>
      </c>
      <c r="G1187">
        <v>1</v>
      </c>
      <c r="H1187">
        <v>12.99</v>
      </c>
      <c r="J1187">
        <v>12.99</v>
      </c>
      <c r="K1187" t="s">
        <v>36</v>
      </c>
      <c r="L1187" t="s">
        <v>17</v>
      </c>
      <c r="M1187" t="s">
        <v>43</v>
      </c>
    </row>
    <row r="1188" spans="1:13" x14ac:dyDescent="0.2">
      <c r="A1188">
        <v>295545</v>
      </c>
      <c r="B1188" s="1">
        <v>44922</v>
      </c>
      <c r="C1188">
        <v>42260</v>
      </c>
      <c r="D1188" t="s">
        <v>44</v>
      </c>
      <c r="E1188" t="s">
        <v>162</v>
      </c>
      <c r="F1188" t="s">
        <v>163</v>
      </c>
      <c r="G1188">
        <v>2</v>
      </c>
      <c r="H1188">
        <v>7.99</v>
      </c>
      <c r="J1188">
        <v>15.98</v>
      </c>
      <c r="K1188" t="s">
        <v>36</v>
      </c>
      <c r="L1188" t="s">
        <v>17</v>
      </c>
      <c r="M1188" t="s">
        <v>90</v>
      </c>
    </row>
    <row r="1189" spans="1:13" x14ac:dyDescent="0.2">
      <c r="A1189">
        <v>295624</v>
      </c>
      <c r="B1189" s="1">
        <v>44640</v>
      </c>
      <c r="C1189">
        <v>98955</v>
      </c>
      <c r="D1189" t="s">
        <v>97</v>
      </c>
      <c r="E1189" t="s">
        <v>141</v>
      </c>
      <c r="F1189" t="s">
        <v>142</v>
      </c>
      <c r="G1189">
        <v>2</v>
      </c>
      <c r="H1189">
        <v>18.39</v>
      </c>
      <c r="I1189">
        <v>0.2</v>
      </c>
      <c r="J1189">
        <v>29.42</v>
      </c>
      <c r="K1189" t="s">
        <v>36</v>
      </c>
      <c r="L1189" t="s">
        <v>17</v>
      </c>
      <c r="M1189" t="s">
        <v>76</v>
      </c>
    </row>
    <row r="1190" spans="1:13" x14ac:dyDescent="0.2">
      <c r="A1190">
        <v>295722</v>
      </c>
      <c r="B1190" s="1">
        <v>44854</v>
      </c>
      <c r="C1190">
        <v>76706</v>
      </c>
      <c r="D1190" t="s">
        <v>48</v>
      </c>
      <c r="E1190" t="s">
        <v>118</v>
      </c>
      <c r="F1190" t="s">
        <v>119</v>
      </c>
      <c r="G1190">
        <v>3</v>
      </c>
      <c r="H1190">
        <v>3.99</v>
      </c>
      <c r="I1190">
        <v>0.2</v>
      </c>
      <c r="J1190">
        <v>9.58</v>
      </c>
      <c r="K1190" t="s">
        <v>36</v>
      </c>
      <c r="L1190" t="s">
        <v>17</v>
      </c>
      <c r="M1190" t="s">
        <v>54</v>
      </c>
    </row>
    <row r="1191" spans="1:13" x14ac:dyDescent="0.2">
      <c r="A1191">
        <v>295789</v>
      </c>
      <c r="B1191" s="1">
        <v>44902</v>
      </c>
      <c r="D1191" t="s">
        <v>25</v>
      </c>
      <c r="E1191" t="s">
        <v>26</v>
      </c>
      <c r="F1191" t="s">
        <v>27</v>
      </c>
      <c r="G1191">
        <v>2</v>
      </c>
      <c r="H1191">
        <v>27.99</v>
      </c>
      <c r="I1191">
        <v>0.2</v>
      </c>
      <c r="J1191">
        <v>44.78</v>
      </c>
      <c r="K1191" t="s">
        <v>32</v>
      </c>
      <c r="L1191" t="s">
        <v>17</v>
      </c>
      <c r="M1191" t="s">
        <v>54</v>
      </c>
    </row>
    <row r="1192" spans="1:13" x14ac:dyDescent="0.2">
      <c r="A1192">
        <v>295818</v>
      </c>
      <c r="B1192" s="2">
        <v>45502</v>
      </c>
      <c r="C1192">
        <v>58858</v>
      </c>
      <c r="D1192" t="s">
        <v>48</v>
      </c>
      <c r="E1192" t="s">
        <v>49</v>
      </c>
      <c r="F1192" t="s">
        <v>50</v>
      </c>
      <c r="G1192">
        <v>2</v>
      </c>
      <c r="H1192">
        <v>8.99</v>
      </c>
      <c r="J1192">
        <v>17.98</v>
      </c>
      <c r="K1192" t="s">
        <v>95</v>
      </c>
      <c r="L1192" t="s">
        <v>17</v>
      </c>
      <c r="M1192" t="s">
        <v>161</v>
      </c>
    </row>
    <row r="1193" spans="1:13" x14ac:dyDescent="0.2">
      <c r="A1193">
        <v>295949</v>
      </c>
      <c r="B1193" s="1">
        <v>44715</v>
      </c>
      <c r="C1193">
        <v>31549</v>
      </c>
      <c r="D1193" t="s">
        <v>97</v>
      </c>
      <c r="E1193" t="s">
        <v>151</v>
      </c>
      <c r="F1193" t="s">
        <v>152</v>
      </c>
      <c r="G1193">
        <v>1</v>
      </c>
      <c r="H1193">
        <v>33.24</v>
      </c>
      <c r="I1193">
        <v>0.05</v>
      </c>
      <c r="J1193">
        <v>31.58</v>
      </c>
      <c r="K1193" t="s">
        <v>22</v>
      </c>
      <c r="L1193" t="s">
        <v>17</v>
      </c>
      <c r="M1193" t="s">
        <v>123</v>
      </c>
    </row>
    <row r="1194" spans="1:13" x14ac:dyDescent="0.2">
      <c r="A1194">
        <v>296190</v>
      </c>
      <c r="B1194" s="1">
        <v>45233</v>
      </c>
      <c r="C1194">
        <v>99421</v>
      </c>
      <c r="D1194" t="s">
        <v>48</v>
      </c>
      <c r="E1194" t="s">
        <v>118</v>
      </c>
      <c r="F1194" t="s">
        <v>119</v>
      </c>
      <c r="G1194">
        <v>3</v>
      </c>
      <c r="H1194">
        <v>4.99</v>
      </c>
      <c r="J1194">
        <v>14.97</v>
      </c>
      <c r="K1194" t="s">
        <v>36</v>
      </c>
      <c r="L1194" t="s">
        <v>37</v>
      </c>
      <c r="M1194" t="s">
        <v>24</v>
      </c>
    </row>
    <row r="1195" spans="1:13" x14ac:dyDescent="0.2">
      <c r="A1195">
        <v>296308</v>
      </c>
      <c r="B1195" s="1">
        <v>45428</v>
      </c>
      <c r="C1195">
        <v>45945</v>
      </c>
      <c r="D1195" t="s">
        <v>44</v>
      </c>
      <c r="E1195" t="s">
        <v>172</v>
      </c>
      <c r="F1195" t="s">
        <v>173</v>
      </c>
      <c r="G1195">
        <v>1</v>
      </c>
      <c r="H1195">
        <v>4.49</v>
      </c>
      <c r="J1195">
        <v>4.49</v>
      </c>
      <c r="K1195" t="s">
        <v>53</v>
      </c>
      <c r="L1195" t="s">
        <v>23</v>
      </c>
      <c r="M1195" t="s">
        <v>90</v>
      </c>
    </row>
    <row r="1196" spans="1:13" x14ac:dyDescent="0.2">
      <c r="A1196">
        <v>296316</v>
      </c>
      <c r="B1196" s="1">
        <v>44900</v>
      </c>
      <c r="C1196">
        <v>73967</v>
      </c>
      <c r="D1196" t="s">
        <v>48</v>
      </c>
      <c r="E1196" t="s">
        <v>118</v>
      </c>
      <c r="F1196" t="s">
        <v>119</v>
      </c>
      <c r="G1196">
        <v>3</v>
      </c>
      <c r="H1196">
        <v>3.49</v>
      </c>
      <c r="I1196">
        <v>0.3</v>
      </c>
      <c r="J1196">
        <v>7.33</v>
      </c>
      <c r="K1196" t="s">
        <v>36</v>
      </c>
      <c r="L1196" t="s">
        <v>37</v>
      </c>
      <c r="M1196" t="s">
        <v>67</v>
      </c>
    </row>
    <row r="1197" spans="1:13" x14ac:dyDescent="0.2">
      <c r="A1197">
        <v>296955</v>
      </c>
      <c r="B1197" s="1">
        <v>45379</v>
      </c>
      <c r="C1197">
        <v>74084</v>
      </c>
      <c r="D1197" t="s">
        <v>48</v>
      </c>
      <c r="E1197" t="s">
        <v>49</v>
      </c>
      <c r="F1197" t="s">
        <v>50</v>
      </c>
      <c r="G1197">
        <v>1</v>
      </c>
      <c r="H1197">
        <v>8.99</v>
      </c>
      <c r="J1197">
        <v>8.99</v>
      </c>
      <c r="K1197" t="s">
        <v>32</v>
      </c>
      <c r="L1197" t="s">
        <v>37</v>
      </c>
      <c r="M1197" t="s">
        <v>103</v>
      </c>
    </row>
    <row r="1198" spans="1:13" x14ac:dyDescent="0.2">
      <c r="A1198">
        <v>296998</v>
      </c>
      <c r="B1198" s="1">
        <v>45202</v>
      </c>
      <c r="C1198">
        <v>26856</v>
      </c>
      <c r="D1198" t="s">
        <v>25</v>
      </c>
      <c r="E1198" t="s">
        <v>26</v>
      </c>
      <c r="F1198" t="s">
        <v>27</v>
      </c>
      <c r="G1198">
        <v>4</v>
      </c>
      <c r="H1198">
        <v>34.99</v>
      </c>
      <c r="J1198">
        <v>139.96</v>
      </c>
      <c r="K1198" t="s">
        <v>16</v>
      </c>
      <c r="L1198" t="s">
        <v>37</v>
      </c>
      <c r="M1198" t="s">
        <v>81</v>
      </c>
    </row>
    <row r="1199" spans="1:13" x14ac:dyDescent="0.2">
      <c r="A1199">
        <v>297205</v>
      </c>
      <c r="B1199" s="1">
        <v>44611</v>
      </c>
      <c r="D1199" t="s">
        <v>40</v>
      </c>
      <c r="E1199" t="s">
        <v>115</v>
      </c>
      <c r="F1199" t="s">
        <v>116</v>
      </c>
      <c r="G1199">
        <v>5</v>
      </c>
      <c r="H1199">
        <v>11.69</v>
      </c>
      <c r="I1199">
        <v>0.1</v>
      </c>
      <c r="J1199">
        <v>52.6</v>
      </c>
      <c r="K1199" t="s">
        <v>16</v>
      </c>
      <c r="L1199" t="s">
        <v>17</v>
      </c>
      <c r="M1199" t="s">
        <v>18</v>
      </c>
    </row>
    <row r="1200" spans="1:13" x14ac:dyDescent="0.2">
      <c r="A1200">
        <v>297328</v>
      </c>
      <c r="B1200" s="2">
        <v>44653</v>
      </c>
      <c r="C1200">
        <v>82382</v>
      </c>
      <c r="D1200" t="s">
        <v>40</v>
      </c>
      <c r="E1200" t="s">
        <v>41</v>
      </c>
      <c r="F1200" t="s">
        <v>42</v>
      </c>
      <c r="G1200">
        <v>1</v>
      </c>
      <c r="H1200">
        <v>5.99</v>
      </c>
      <c r="J1200">
        <v>5.99</v>
      </c>
      <c r="K1200" t="s">
        <v>36</v>
      </c>
      <c r="L1200" t="s">
        <v>37</v>
      </c>
      <c r="M1200" t="s">
        <v>123</v>
      </c>
    </row>
    <row r="1201" spans="1:13" x14ac:dyDescent="0.2">
      <c r="A1201">
        <v>297578</v>
      </c>
      <c r="B1201" s="1">
        <v>45275</v>
      </c>
      <c r="C1201">
        <v>24204</v>
      </c>
      <c r="D1201" t="s">
        <v>85</v>
      </c>
      <c r="E1201" t="s">
        <v>86</v>
      </c>
      <c r="F1201" t="s">
        <v>87</v>
      </c>
      <c r="G1201">
        <v>1</v>
      </c>
      <c r="H1201">
        <v>11.04</v>
      </c>
      <c r="I1201">
        <v>0.15</v>
      </c>
      <c r="J1201">
        <v>9.3800000000000008</v>
      </c>
      <c r="K1201" t="s">
        <v>36</v>
      </c>
      <c r="L1201" t="s">
        <v>17</v>
      </c>
      <c r="M1201" t="s">
        <v>117</v>
      </c>
    </row>
    <row r="1202" spans="1:13" x14ac:dyDescent="0.2">
      <c r="A1202">
        <v>297597</v>
      </c>
      <c r="B1202" s="1">
        <v>45523</v>
      </c>
      <c r="C1202">
        <v>17251</v>
      </c>
      <c r="D1202" t="s">
        <v>29</v>
      </c>
      <c r="E1202" t="s">
        <v>38</v>
      </c>
      <c r="F1202" t="s">
        <v>39</v>
      </c>
      <c r="G1202">
        <v>5</v>
      </c>
      <c r="H1202">
        <v>29.99</v>
      </c>
      <c r="J1202">
        <v>149.94999999999999</v>
      </c>
      <c r="K1202" t="s">
        <v>53</v>
      </c>
      <c r="L1202" t="s">
        <v>17</v>
      </c>
      <c r="M1202" t="s">
        <v>28</v>
      </c>
    </row>
    <row r="1203" spans="1:13" x14ac:dyDescent="0.2">
      <c r="A1203">
        <v>297687</v>
      </c>
      <c r="B1203" s="1">
        <v>45216</v>
      </c>
      <c r="C1203">
        <v>82437</v>
      </c>
      <c r="D1203" t="s">
        <v>63</v>
      </c>
      <c r="E1203" t="s">
        <v>68</v>
      </c>
      <c r="F1203" t="s">
        <v>69</v>
      </c>
      <c r="G1203">
        <v>1</v>
      </c>
      <c r="H1203">
        <v>18.739999999999998</v>
      </c>
      <c r="I1203">
        <v>0.25</v>
      </c>
      <c r="J1203">
        <v>14.06</v>
      </c>
      <c r="K1203" t="s">
        <v>22</v>
      </c>
      <c r="L1203" t="s">
        <v>17</v>
      </c>
      <c r="M1203" t="s">
        <v>103</v>
      </c>
    </row>
    <row r="1204" spans="1:13" x14ac:dyDescent="0.2">
      <c r="A1204">
        <v>297731</v>
      </c>
      <c r="B1204" s="1">
        <v>45035</v>
      </c>
      <c r="C1204">
        <v>31400</v>
      </c>
      <c r="D1204" t="s">
        <v>48</v>
      </c>
      <c r="E1204" t="s">
        <v>49</v>
      </c>
      <c r="F1204" t="s">
        <v>50</v>
      </c>
      <c r="G1204">
        <v>2</v>
      </c>
      <c r="H1204">
        <v>8.99</v>
      </c>
      <c r="J1204">
        <v>17.98</v>
      </c>
      <c r="K1204" t="s">
        <v>36</v>
      </c>
      <c r="L1204" t="s">
        <v>17</v>
      </c>
      <c r="M1204" t="s">
        <v>120</v>
      </c>
    </row>
    <row r="1205" spans="1:13" x14ac:dyDescent="0.2">
      <c r="A1205">
        <v>297769</v>
      </c>
      <c r="B1205" s="1">
        <v>44945</v>
      </c>
      <c r="C1205">
        <v>59486</v>
      </c>
      <c r="D1205" t="s">
        <v>25</v>
      </c>
      <c r="E1205" t="s">
        <v>60</v>
      </c>
      <c r="F1205" t="s">
        <v>61</v>
      </c>
      <c r="G1205">
        <v>2</v>
      </c>
      <c r="H1205">
        <v>54.99</v>
      </c>
      <c r="J1205">
        <v>109.98</v>
      </c>
      <c r="K1205" t="s">
        <v>16</v>
      </c>
      <c r="L1205" t="s">
        <v>17</v>
      </c>
      <c r="M1205" t="s">
        <v>96</v>
      </c>
    </row>
    <row r="1206" spans="1:13" x14ac:dyDescent="0.2">
      <c r="A1206">
        <v>298427</v>
      </c>
      <c r="B1206" s="2">
        <v>45018</v>
      </c>
      <c r="C1206">
        <v>25844</v>
      </c>
      <c r="D1206" t="s">
        <v>13</v>
      </c>
      <c r="E1206" t="s">
        <v>77</v>
      </c>
      <c r="F1206" t="s">
        <v>78</v>
      </c>
      <c r="G1206">
        <v>3</v>
      </c>
      <c r="H1206">
        <v>499.99</v>
      </c>
      <c r="J1206">
        <v>1499.97</v>
      </c>
      <c r="K1206" t="s">
        <v>95</v>
      </c>
      <c r="L1206" t="s">
        <v>17</v>
      </c>
      <c r="M1206" t="s">
        <v>76</v>
      </c>
    </row>
    <row r="1207" spans="1:13" x14ac:dyDescent="0.2">
      <c r="A1207">
        <v>298454</v>
      </c>
      <c r="B1207" s="1">
        <v>44840</v>
      </c>
      <c r="D1207" t="s">
        <v>40</v>
      </c>
      <c r="E1207" t="s">
        <v>115</v>
      </c>
      <c r="F1207" t="s">
        <v>116</v>
      </c>
      <c r="G1207">
        <v>2</v>
      </c>
      <c r="H1207">
        <v>12.99</v>
      </c>
      <c r="J1207">
        <v>25.98</v>
      </c>
      <c r="K1207" t="s">
        <v>16</v>
      </c>
      <c r="L1207" t="s">
        <v>37</v>
      </c>
      <c r="M1207" t="s">
        <v>123</v>
      </c>
    </row>
    <row r="1208" spans="1:13" x14ac:dyDescent="0.2">
      <c r="A1208">
        <v>298652</v>
      </c>
      <c r="B1208" s="1">
        <v>45345</v>
      </c>
      <c r="C1208">
        <v>74699</v>
      </c>
      <c r="D1208" t="s">
        <v>97</v>
      </c>
      <c r="E1208" t="s">
        <v>151</v>
      </c>
      <c r="F1208" t="s">
        <v>152</v>
      </c>
      <c r="G1208">
        <v>1</v>
      </c>
      <c r="H1208">
        <v>27.99</v>
      </c>
      <c r="I1208">
        <v>0.2</v>
      </c>
      <c r="J1208">
        <v>22.39</v>
      </c>
      <c r="K1208" t="s">
        <v>36</v>
      </c>
      <c r="L1208" t="s">
        <v>17</v>
      </c>
      <c r="M1208" t="s">
        <v>102</v>
      </c>
    </row>
    <row r="1209" spans="1:13" x14ac:dyDescent="0.2">
      <c r="A1209">
        <v>298791</v>
      </c>
      <c r="B1209" s="1">
        <v>45360</v>
      </c>
      <c r="C1209">
        <v>61921</v>
      </c>
      <c r="D1209" t="s">
        <v>97</v>
      </c>
      <c r="E1209" t="s">
        <v>193</v>
      </c>
      <c r="F1209" t="s">
        <v>194</v>
      </c>
      <c r="G1209">
        <v>1</v>
      </c>
      <c r="H1209">
        <v>45.49</v>
      </c>
      <c r="I1209">
        <v>0.3</v>
      </c>
      <c r="J1209">
        <v>31.84</v>
      </c>
      <c r="K1209" t="s">
        <v>22</v>
      </c>
      <c r="L1209" t="s">
        <v>37</v>
      </c>
      <c r="M1209" t="s">
        <v>76</v>
      </c>
    </row>
    <row r="1210" spans="1:13" x14ac:dyDescent="0.2">
      <c r="A1210">
        <v>298933</v>
      </c>
      <c r="B1210" s="2">
        <v>45436</v>
      </c>
      <c r="C1210">
        <v>28071</v>
      </c>
      <c r="D1210" t="s">
        <v>97</v>
      </c>
      <c r="E1210" t="s">
        <v>98</v>
      </c>
      <c r="F1210" t="s">
        <v>99</v>
      </c>
      <c r="G1210">
        <v>1</v>
      </c>
      <c r="H1210">
        <v>20.99</v>
      </c>
      <c r="I1210">
        <v>0.25</v>
      </c>
      <c r="J1210">
        <v>15.74</v>
      </c>
      <c r="K1210" t="s">
        <v>36</v>
      </c>
      <c r="L1210" t="s">
        <v>17</v>
      </c>
      <c r="M1210" t="s">
        <v>123</v>
      </c>
    </row>
    <row r="1211" spans="1:13" x14ac:dyDescent="0.2">
      <c r="A1211">
        <v>299008</v>
      </c>
      <c r="B1211" s="1">
        <v>44907</v>
      </c>
      <c r="C1211">
        <v>83463</v>
      </c>
      <c r="D1211" t="s">
        <v>40</v>
      </c>
      <c r="E1211" t="s">
        <v>197</v>
      </c>
      <c r="F1211" t="s">
        <v>198</v>
      </c>
      <c r="G1211">
        <v>1</v>
      </c>
      <c r="H1211">
        <v>12.74</v>
      </c>
      <c r="I1211">
        <v>0.15</v>
      </c>
      <c r="J1211">
        <v>10.83</v>
      </c>
      <c r="K1211" t="s">
        <v>22</v>
      </c>
      <c r="L1211" t="s">
        <v>23</v>
      </c>
      <c r="M1211" t="s">
        <v>90</v>
      </c>
    </row>
    <row r="1212" spans="1:13" x14ac:dyDescent="0.2">
      <c r="A1212">
        <v>299162</v>
      </c>
      <c r="B1212" s="2">
        <v>44897</v>
      </c>
      <c r="C1212">
        <v>66003</v>
      </c>
      <c r="D1212" t="s">
        <v>97</v>
      </c>
      <c r="E1212" t="s">
        <v>193</v>
      </c>
      <c r="F1212" t="s">
        <v>194</v>
      </c>
      <c r="G1212">
        <v>1</v>
      </c>
      <c r="H1212">
        <v>61.74</v>
      </c>
      <c r="I1212">
        <v>0.05</v>
      </c>
      <c r="J1212">
        <v>58.65</v>
      </c>
      <c r="K1212" t="s">
        <v>36</v>
      </c>
      <c r="L1212" t="s">
        <v>37</v>
      </c>
      <c r="M1212" t="s">
        <v>103</v>
      </c>
    </row>
    <row r="1213" spans="1:13" x14ac:dyDescent="0.2">
      <c r="A1213">
        <v>299368</v>
      </c>
      <c r="B1213" s="1">
        <v>44792</v>
      </c>
      <c r="C1213">
        <v>96117</v>
      </c>
      <c r="D1213" t="s">
        <v>29</v>
      </c>
      <c r="E1213" t="s">
        <v>170</v>
      </c>
      <c r="F1213" t="s">
        <v>171</v>
      </c>
      <c r="G1213">
        <v>5</v>
      </c>
      <c r="H1213">
        <v>14.99</v>
      </c>
      <c r="J1213">
        <v>74.95</v>
      </c>
      <c r="K1213" t="s">
        <v>22</v>
      </c>
      <c r="L1213" t="s">
        <v>17</v>
      </c>
      <c r="M1213" t="s">
        <v>102</v>
      </c>
    </row>
    <row r="1214" spans="1:13" x14ac:dyDescent="0.2">
      <c r="A1214">
        <v>299403</v>
      </c>
      <c r="B1214" s="1">
        <v>44918</v>
      </c>
      <c r="C1214">
        <v>44578</v>
      </c>
      <c r="D1214" t="s">
        <v>85</v>
      </c>
      <c r="E1214" t="s">
        <v>86</v>
      </c>
      <c r="F1214" t="s">
        <v>87</v>
      </c>
      <c r="G1214">
        <v>1</v>
      </c>
      <c r="H1214">
        <v>11.69</v>
      </c>
      <c r="I1214">
        <v>0.1</v>
      </c>
      <c r="J1214">
        <v>10.52</v>
      </c>
      <c r="K1214" t="s">
        <v>16</v>
      </c>
      <c r="L1214" t="s">
        <v>17</v>
      </c>
      <c r="M1214" t="s">
        <v>120</v>
      </c>
    </row>
    <row r="1215" spans="1:13" x14ac:dyDescent="0.2">
      <c r="A1215">
        <v>299407</v>
      </c>
      <c r="B1215" s="1">
        <v>45308</v>
      </c>
      <c r="C1215">
        <v>90119</v>
      </c>
      <c r="D1215" t="s">
        <v>82</v>
      </c>
      <c r="E1215" t="s">
        <v>147</v>
      </c>
      <c r="F1215" t="s">
        <v>148</v>
      </c>
      <c r="G1215">
        <v>3</v>
      </c>
      <c r="H1215">
        <v>12.99</v>
      </c>
      <c r="J1215">
        <v>38.97</v>
      </c>
      <c r="K1215" t="s">
        <v>36</v>
      </c>
      <c r="L1215" t="s">
        <v>17</v>
      </c>
      <c r="M1215" t="s">
        <v>33</v>
      </c>
    </row>
    <row r="1216" spans="1:13" x14ac:dyDescent="0.2">
      <c r="A1216">
        <v>299545</v>
      </c>
      <c r="B1216" s="1">
        <v>44669</v>
      </c>
      <c r="C1216">
        <v>68835</v>
      </c>
      <c r="D1216" t="s">
        <v>48</v>
      </c>
      <c r="E1216" t="s">
        <v>109</v>
      </c>
      <c r="F1216" t="s">
        <v>110</v>
      </c>
      <c r="G1216">
        <v>5</v>
      </c>
      <c r="H1216">
        <v>4.8899999999999997</v>
      </c>
      <c r="I1216">
        <v>0.3</v>
      </c>
      <c r="J1216">
        <v>17.11</v>
      </c>
      <c r="K1216" t="s">
        <v>16</v>
      </c>
      <c r="L1216" t="s">
        <v>17</v>
      </c>
      <c r="M1216" t="s">
        <v>33</v>
      </c>
    </row>
    <row r="1217" spans="1:13" x14ac:dyDescent="0.2">
      <c r="A1217">
        <v>299768</v>
      </c>
      <c r="B1217" s="2">
        <v>45526</v>
      </c>
      <c r="C1217">
        <v>19870</v>
      </c>
      <c r="D1217" t="s">
        <v>85</v>
      </c>
      <c r="E1217" t="s">
        <v>149</v>
      </c>
      <c r="F1217" t="s">
        <v>150</v>
      </c>
      <c r="G1217">
        <v>1</v>
      </c>
      <c r="H1217">
        <v>14.99</v>
      </c>
      <c r="I1217">
        <v>0.25</v>
      </c>
      <c r="J1217">
        <v>11.24</v>
      </c>
      <c r="K1217" t="s">
        <v>22</v>
      </c>
      <c r="L1217" t="s">
        <v>17</v>
      </c>
      <c r="M1217" t="s">
        <v>28</v>
      </c>
    </row>
    <row r="1218" spans="1:13" x14ac:dyDescent="0.2">
      <c r="A1218">
        <v>300068</v>
      </c>
      <c r="B1218" s="1">
        <v>44972</v>
      </c>
      <c r="C1218">
        <v>26472</v>
      </c>
      <c r="D1218" t="s">
        <v>48</v>
      </c>
      <c r="E1218" t="s">
        <v>49</v>
      </c>
      <c r="F1218" t="s">
        <v>50</v>
      </c>
      <c r="G1218">
        <v>1</v>
      </c>
      <c r="H1218">
        <v>7.19</v>
      </c>
      <c r="I1218">
        <v>0.2</v>
      </c>
      <c r="J1218">
        <v>5.75</v>
      </c>
      <c r="K1218" t="s">
        <v>32</v>
      </c>
      <c r="L1218" t="s">
        <v>37</v>
      </c>
      <c r="M1218" t="s">
        <v>24</v>
      </c>
    </row>
    <row r="1219" spans="1:13" x14ac:dyDescent="0.2">
      <c r="A1219">
        <v>300369</v>
      </c>
      <c r="B1219" s="1">
        <v>45474</v>
      </c>
      <c r="C1219">
        <v>92871</v>
      </c>
      <c r="D1219" t="s">
        <v>13</v>
      </c>
      <c r="E1219" t="s">
        <v>34</v>
      </c>
      <c r="F1219" t="s">
        <v>35</v>
      </c>
      <c r="G1219">
        <v>1</v>
      </c>
      <c r="H1219">
        <v>34.99</v>
      </c>
      <c r="J1219">
        <v>34.99</v>
      </c>
      <c r="K1219" t="s">
        <v>22</v>
      </c>
      <c r="L1219" t="s">
        <v>37</v>
      </c>
      <c r="M1219" t="s">
        <v>18</v>
      </c>
    </row>
    <row r="1220" spans="1:13" x14ac:dyDescent="0.2">
      <c r="A1220">
        <v>300533</v>
      </c>
      <c r="B1220" s="2">
        <v>44922</v>
      </c>
      <c r="C1220">
        <v>95106</v>
      </c>
      <c r="D1220" t="s">
        <v>29</v>
      </c>
      <c r="E1220" t="s">
        <v>38</v>
      </c>
      <c r="F1220" t="s">
        <v>39</v>
      </c>
      <c r="G1220">
        <v>2</v>
      </c>
      <c r="H1220">
        <v>23.99</v>
      </c>
      <c r="I1220">
        <v>0.2</v>
      </c>
      <c r="J1220">
        <v>38.380000000000003</v>
      </c>
      <c r="K1220" t="s">
        <v>95</v>
      </c>
      <c r="L1220" t="s">
        <v>37</v>
      </c>
      <c r="M1220" t="s">
        <v>103</v>
      </c>
    </row>
    <row r="1221" spans="1:13" x14ac:dyDescent="0.2">
      <c r="A1221">
        <v>300614</v>
      </c>
      <c r="B1221" s="1">
        <v>45146</v>
      </c>
      <c r="C1221">
        <v>93079</v>
      </c>
      <c r="D1221" t="s">
        <v>97</v>
      </c>
      <c r="E1221" t="s">
        <v>151</v>
      </c>
      <c r="F1221" t="s">
        <v>152</v>
      </c>
      <c r="G1221">
        <v>1</v>
      </c>
      <c r="H1221">
        <v>27.99</v>
      </c>
      <c r="I1221">
        <v>0.2</v>
      </c>
      <c r="J1221">
        <v>22.39</v>
      </c>
      <c r="K1221" t="s">
        <v>53</v>
      </c>
      <c r="L1221" t="s">
        <v>17</v>
      </c>
      <c r="M1221" t="s">
        <v>43</v>
      </c>
    </row>
    <row r="1222" spans="1:13" x14ac:dyDescent="0.2">
      <c r="A1222">
        <v>300651</v>
      </c>
      <c r="B1222" s="2">
        <v>44964</v>
      </c>
      <c r="C1222">
        <v>86126</v>
      </c>
      <c r="D1222" t="s">
        <v>63</v>
      </c>
      <c r="E1222" t="s">
        <v>125</v>
      </c>
      <c r="F1222" t="s">
        <v>126</v>
      </c>
      <c r="G1222">
        <v>1</v>
      </c>
      <c r="H1222">
        <v>26.99</v>
      </c>
      <c r="I1222">
        <v>0.1</v>
      </c>
      <c r="J1222">
        <v>24.29</v>
      </c>
      <c r="K1222" t="s">
        <v>32</v>
      </c>
      <c r="L1222" t="s">
        <v>17</v>
      </c>
      <c r="M1222" t="s">
        <v>161</v>
      </c>
    </row>
    <row r="1223" spans="1:13" x14ac:dyDescent="0.2">
      <c r="A1223">
        <v>300676</v>
      </c>
      <c r="B1223" s="1">
        <v>44840</v>
      </c>
      <c r="C1223">
        <v>38252</v>
      </c>
      <c r="D1223" t="s">
        <v>29</v>
      </c>
      <c r="E1223" t="s">
        <v>30</v>
      </c>
      <c r="F1223" t="s">
        <v>31</v>
      </c>
      <c r="G1223">
        <v>2</v>
      </c>
      <c r="H1223">
        <v>21.24</v>
      </c>
      <c r="I1223">
        <v>0.15</v>
      </c>
      <c r="J1223">
        <v>36.11</v>
      </c>
      <c r="K1223" t="s">
        <v>36</v>
      </c>
      <c r="L1223" t="s">
        <v>17</v>
      </c>
      <c r="M1223" t="s">
        <v>76</v>
      </c>
    </row>
    <row r="1224" spans="1:13" x14ac:dyDescent="0.2">
      <c r="A1224">
        <v>300852</v>
      </c>
      <c r="B1224" s="2">
        <v>44590</v>
      </c>
      <c r="C1224">
        <v>10567</v>
      </c>
      <c r="D1224" t="s">
        <v>97</v>
      </c>
      <c r="E1224" t="s">
        <v>121</v>
      </c>
      <c r="F1224" t="s">
        <v>122</v>
      </c>
      <c r="G1224">
        <v>1</v>
      </c>
      <c r="H1224">
        <v>9.09</v>
      </c>
      <c r="I1224">
        <v>0.3</v>
      </c>
      <c r="J1224">
        <v>6.36</v>
      </c>
      <c r="K1224" t="s">
        <v>22</v>
      </c>
      <c r="L1224" t="s">
        <v>17</v>
      </c>
      <c r="M1224" t="s">
        <v>47</v>
      </c>
    </row>
    <row r="1225" spans="1:13" x14ac:dyDescent="0.2">
      <c r="A1225">
        <v>301046</v>
      </c>
      <c r="B1225" s="1">
        <v>45219</v>
      </c>
      <c r="C1225">
        <v>13549</v>
      </c>
      <c r="D1225" t="s">
        <v>85</v>
      </c>
      <c r="E1225" t="s">
        <v>145</v>
      </c>
      <c r="F1225" t="s">
        <v>146</v>
      </c>
      <c r="G1225">
        <v>1</v>
      </c>
      <c r="H1225">
        <v>11.89</v>
      </c>
      <c r="I1225">
        <v>0.3</v>
      </c>
      <c r="J1225">
        <v>8.32</v>
      </c>
      <c r="K1225" t="s">
        <v>36</v>
      </c>
      <c r="L1225" t="s">
        <v>17</v>
      </c>
      <c r="M1225" t="s">
        <v>90</v>
      </c>
    </row>
    <row r="1226" spans="1:13" x14ac:dyDescent="0.2">
      <c r="A1226">
        <v>301165</v>
      </c>
      <c r="B1226" s="1">
        <v>44953</v>
      </c>
      <c r="C1226">
        <v>44591</v>
      </c>
      <c r="D1226" t="s">
        <v>82</v>
      </c>
      <c r="E1226" t="s">
        <v>188</v>
      </c>
      <c r="F1226" t="s">
        <v>189</v>
      </c>
      <c r="G1226">
        <v>5</v>
      </c>
      <c r="H1226">
        <v>38.24</v>
      </c>
      <c r="I1226">
        <v>0.15</v>
      </c>
      <c r="J1226">
        <v>162.52000000000001</v>
      </c>
      <c r="K1226" t="s">
        <v>36</v>
      </c>
      <c r="L1226" t="s">
        <v>17</v>
      </c>
      <c r="M1226" t="s">
        <v>102</v>
      </c>
    </row>
    <row r="1227" spans="1:13" x14ac:dyDescent="0.2">
      <c r="A1227">
        <v>301369</v>
      </c>
      <c r="B1227" s="1">
        <v>45251</v>
      </c>
      <c r="C1227">
        <v>87019</v>
      </c>
      <c r="D1227" t="s">
        <v>63</v>
      </c>
      <c r="E1227" t="s">
        <v>64</v>
      </c>
      <c r="F1227" t="s">
        <v>65</v>
      </c>
      <c r="G1227">
        <v>1</v>
      </c>
      <c r="H1227">
        <v>4.99</v>
      </c>
      <c r="J1227">
        <v>4.99</v>
      </c>
      <c r="K1227" t="s">
        <v>16</v>
      </c>
      <c r="L1227" t="s">
        <v>17</v>
      </c>
      <c r="M1227" t="s">
        <v>57</v>
      </c>
    </row>
    <row r="1228" spans="1:13" x14ac:dyDescent="0.2">
      <c r="A1228">
        <v>301882</v>
      </c>
      <c r="B1228" s="1">
        <v>44810</v>
      </c>
      <c r="C1228">
        <v>27014</v>
      </c>
      <c r="D1228" t="s">
        <v>85</v>
      </c>
      <c r="E1228" t="s">
        <v>137</v>
      </c>
      <c r="F1228" t="s">
        <v>138</v>
      </c>
      <c r="G1228">
        <v>5</v>
      </c>
      <c r="H1228">
        <v>7.59</v>
      </c>
      <c r="I1228">
        <v>0.05</v>
      </c>
      <c r="J1228">
        <v>36.049999999999997</v>
      </c>
      <c r="K1228" t="s">
        <v>16</v>
      </c>
      <c r="L1228" t="s">
        <v>37</v>
      </c>
      <c r="M1228" t="s">
        <v>102</v>
      </c>
    </row>
    <row r="1229" spans="1:13" x14ac:dyDescent="0.2">
      <c r="A1229">
        <v>301897</v>
      </c>
      <c r="B1229" s="2">
        <v>44761</v>
      </c>
      <c r="C1229">
        <v>33513</v>
      </c>
      <c r="D1229" t="s">
        <v>63</v>
      </c>
      <c r="E1229" t="s">
        <v>131</v>
      </c>
      <c r="F1229" t="s">
        <v>132</v>
      </c>
      <c r="G1229">
        <v>3</v>
      </c>
      <c r="H1229">
        <v>3.49</v>
      </c>
      <c r="J1229">
        <v>10.47</v>
      </c>
      <c r="K1229" t="s">
        <v>22</v>
      </c>
      <c r="L1229" t="s">
        <v>17</v>
      </c>
      <c r="M1229" t="s">
        <v>117</v>
      </c>
    </row>
    <row r="1230" spans="1:13" x14ac:dyDescent="0.2">
      <c r="A1230">
        <v>301983</v>
      </c>
      <c r="B1230" s="1">
        <v>44612</v>
      </c>
      <c r="C1230">
        <v>31218</v>
      </c>
      <c r="D1230" t="s">
        <v>40</v>
      </c>
      <c r="E1230" t="s">
        <v>115</v>
      </c>
      <c r="F1230" t="s">
        <v>116</v>
      </c>
      <c r="G1230">
        <v>2</v>
      </c>
      <c r="H1230">
        <v>9.09</v>
      </c>
      <c r="I1230">
        <v>0.3</v>
      </c>
      <c r="J1230">
        <v>12.73</v>
      </c>
      <c r="K1230" t="s">
        <v>36</v>
      </c>
      <c r="L1230" t="s">
        <v>37</v>
      </c>
      <c r="M1230" t="s">
        <v>102</v>
      </c>
    </row>
    <row r="1231" spans="1:13" x14ac:dyDescent="0.2">
      <c r="A1231">
        <v>302332</v>
      </c>
      <c r="B1231" s="1">
        <v>45650</v>
      </c>
      <c r="C1231">
        <v>64076</v>
      </c>
      <c r="D1231" t="s">
        <v>44</v>
      </c>
      <c r="E1231" t="s">
        <v>45</v>
      </c>
      <c r="F1231" t="s">
        <v>46</v>
      </c>
      <c r="G1231">
        <v>1</v>
      </c>
      <c r="H1231">
        <v>1.43</v>
      </c>
      <c r="I1231">
        <v>0.2</v>
      </c>
      <c r="J1231">
        <v>1.1399999999999999</v>
      </c>
      <c r="K1231" t="s">
        <v>22</v>
      </c>
      <c r="L1231" t="s">
        <v>17</v>
      </c>
      <c r="M1231" t="s">
        <v>102</v>
      </c>
    </row>
    <row r="1232" spans="1:13" x14ac:dyDescent="0.2">
      <c r="A1232">
        <v>302365</v>
      </c>
      <c r="B1232" s="1">
        <v>44579</v>
      </c>
      <c r="C1232">
        <v>46848</v>
      </c>
      <c r="D1232" t="s">
        <v>82</v>
      </c>
      <c r="E1232" t="s">
        <v>147</v>
      </c>
      <c r="F1232" t="s">
        <v>148</v>
      </c>
      <c r="G1232">
        <v>2</v>
      </c>
      <c r="H1232">
        <v>12.99</v>
      </c>
      <c r="J1232">
        <v>25.98</v>
      </c>
      <c r="K1232" t="s">
        <v>16</v>
      </c>
      <c r="L1232" t="s">
        <v>17</v>
      </c>
      <c r="M1232" t="s">
        <v>96</v>
      </c>
    </row>
    <row r="1233" spans="1:13" x14ac:dyDescent="0.2">
      <c r="A1233">
        <v>302375</v>
      </c>
      <c r="B1233" s="1">
        <v>45580</v>
      </c>
      <c r="C1233">
        <v>77078</v>
      </c>
      <c r="D1233" t="s">
        <v>25</v>
      </c>
      <c r="E1233" t="s">
        <v>26</v>
      </c>
      <c r="F1233" t="s">
        <v>27</v>
      </c>
      <c r="G1233">
        <v>1</v>
      </c>
      <c r="H1233">
        <v>34.99</v>
      </c>
      <c r="J1233">
        <v>34.99</v>
      </c>
      <c r="K1233" t="s">
        <v>16</v>
      </c>
      <c r="L1233" t="s">
        <v>17</v>
      </c>
      <c r="M1233" t="s">
        <v>62</v>
      </c>
    </row>
    <row r="1234" spans="1:13" x14ac:dyDescent="0.2">
      <c r="A1234">
        <v>302576</v>
      </c>
      <c r="B1234" s="1">
        <v>45616</v>
      </c>
      <c r="C1234">
        <v>62635</v>
      </c>
      <c r="D1234" t="s">
        <v>97</v>
      </c>
      <c r="E1234" t="s">
        <v>141</v>
      </c>
      <c r="F1234" t="s">
        <v>142</v>
      </c>
      <c r="G1234">
        <v>1</v>
      </c>
      <c r="H1234">
        <v>19.54</v>
      </c>
      <c r="I1234">
        <v>0.15</v>
      </c>
      <c r="J1234">
        <v>16.61</v>
      </c>
      <c r="K1234" t="s">
        <v>16</v>
      </c>
      <c r="L1234" t="s">
        <v>23</v>
      </c>
      <c r="M1234" t="s">
        <v>123</v>
      </c>
    </row>
    <row r="1235" spans="1:13" x14ac:dyDescent="0.2">
      <c r="A1235">
        <v>302641</v>
      </c>
      <c r="B1235" s="2">
        <v>44589</v>
      </c>
      <c r="C1235">
        <v>54279</v>
      </c>
      <c r="D1235" t="s">
        <v>40</v>
      </c>
      <c r="E1235" t="s">
        <v>197</v>
      </c>
      <c r="F1235" t="s">
        <v>198</v>
      </c>
      <c r="G1235">
        <v>1</v>
      </c>
      <c r="H1235">
        <v>11.99</v>
      </c>
      <c r="I1235">
        <v>0.2</v>
      </c>
      <c r="J1235">
        <v>9.59</v>
      </c>
      <c r="K1235" t="s">
        <v>36</v>
      </c>
      <c r="L1235" t="s">
        <v>17</v>
      </c>
      <c r="M1235" t="s">
        <v>28</v>
      </c>
    </row>
    <row r="1236" spans="1:13" x14ac:dyDescent="0.2">
      <c r="A1236">
        <v>302717</v>
      </c>
      <c r="B1236" s="1">
        <v>45102</v>
      </c>
      <c r="C1236">
        <v>86459</v>
      </c>
      <c r="D1236" t="s">
        <v>48</v>
      </c>
      <c r="E1236" t="s">
        <v>109</v>
      </c>
      <c r="F1236" t="s">
        <v>110</v>
      </c>
      <c r="G1236">
        <v>2</v>
      </c>
      <c r="H1236">
        <v>4.8899999999999997</v>
      </c>
      <c r="I1236">
        <v>0.3</v>
      </c>
      <c r="J1236">
        <v>6.85</v>
      </c>
      <c r="K1236" t="s">
        <v>22</v>
      </c>
      <c r="L1236" t="s">
        <v>37</v>
      </c>
      <c r="M1236" t="s">
        <v>57</v>
      </c>
    </row>
    <row r="1237" spans="1:13" x14ac:dyDescent="0.2">
      <c r="A1237">
        <v>302789</v>
      </c>
      <c r="B1237" s="1">
        <v>45211</v>
      </c>
      <c r="C1237">
        <v>10040</v>
      </c>
      <c r="D1237" t="s">
        <v>25</v>
      </c>
      <c r="E1237" t="s">
        <v>70</v>
      </c>
      <c r="F1237" t="s">
        <v>71</v>
      </c>
      <c r="G1237">
        <v>1</v>
      </c>
      <c r="H1237">
        <v>71.989999999999995</v>
      </c>
      <c r="I1237">
        <v>0.2</v>
      </c>
      <c r="J1237">
        <v>57.59</v>
      </c>
      <c r="K1237" t="s">
        <v>36</v>
      </c>
      <c r="L1237" t="s">
        <v>17</v>
      </c>
      <c r="M1237" t="s">
        <v>161</v>
      </c>
    </row>
    <row r="1238" spans="1:13" x14ac:dyDescent="0.2">
      <c r="A1238">
        <v>302805</v>
      </c>
      <c r="B1238" s="1">
        <v>44991</v>
      </c>
      <c r="C1238">
        <v>75226</v>
      </c>
      <c r="D1238" t="s">
        <v>174</v>
      </c>
      <c r="E1238" t="s">
        <v>129</v>
      </c>
      <c r="F1238" t="s">
        <v>130</v>
      </c>
      <c r="G1238">
        <v>1</v>
      </c>
      <c r="H1238">
        <v>8.99</v>
      </c>
      <c r="J1238">
        <v>8.99</v>
      </c>
      <c r="K1238" t="s">
        <v>53</v>
      </c>
      <c r="L1238" t="s">
        <v>37</v>
      </c>
      <c r="M1238" t="s">
        <v>47</v>
      </c>
    </row>
    <row r="1239" spans="1:13" x14ac:dyDescent="0.2">
      <c r="A1239">
        <v>302838</v>
      </c>
      <c r="B1239" s="1">
        <v>45319</v>
      </c>
      <c r="C1239">
        <v>27099</v>
      </c>
      <c r="D1239" t="s">
        <v>63</v>
      </c>
      <c r="E1239" t="s">
        <v>68</v>
      </c>
      <c r="F1239" t="s">
        <v>69</v>
      </c>
      <c r="G1239">
        <v>1</v>
      </c>
      <c r="H1239">
        <v>24.99</v>
      </c>
      <c r="J1239">
        <v>24.99</v>
      </c>
      <c r="K1239" t="s">
        <v>22</v>
      </c>
      <c r="L1239" t="s">
        <v>23</v>
      </c>
      <c r="M1239" t="s">
        <v>102</v>
      </c>
    </row>
    <row r="1240" spans="1:13" x14ac:dyDescent="0.2">
      <c r="A1240">
        <v>302906</v>
      </c>
      <c r="B1240" s="1">
        <v>45092</v>
      </c>
      <c r="C1240">
        <v>39064</v>
      </c>
      <c r="D1240" t="s">
        <v>13</v>
      </c>
      <c r="E1240" t="s">
        <v>186</v>
      </c>
      <c r="F1240" t="s">
        <v>187</v>
      </c>
      <c r="G1240">
        <v>4</v>
      </c>
      <c r="H1240">
        <v>49.99</v>
      </c>
      <c r="J1240">
        <v>199.96</v>
      </c>
      <c r="K1240" t="s">
        <v>16</v>
      </c>
      <c r="L1240" t="s">
        <v>37</v>
      </c>
      <c r="M1240" t="s">
        <v>96</v>
      </c>
    </row>
    <row r="1241" spans="1:13" x14ac:dyDescent="0.2">
      <c r="A1241">
        <v>303024</v>
      </c>
      <c r="B1241" s="1">
        <v>45181</v>
      </c>
      <c r="C1241">
        <v>90185</v>
      </c>
      <c r="D1241" t="s">
        <v>82</v>
      </c>
      <c r="E1241" t="s">
        <v>168</v>
      </c>
      <c r="F1241" t="s">
        <v>169</v>
      </c>
      <c r="G1241">
        <v>3</v>
      </c>
      <c r="H1241">
        <v>8.5399999999999991</v>
      </c>
      <c r="I1241">
        <v>0.05</v>
      </c>
      <c r="J1241">
        <v>24.34</v>
      </c>
      <c r="K1241" t="s">
        <v>53</v>
      </c>
      <c r="L1241" t="s">
        <v>17</v>
      </c>
      <c r="M1241" t="s">
        <v>96</v>
      </c>
    </row>
    <row r="1242" spans="1:13" x14ac:dyDescent="0.2">
      <c r="A1242">
        <v>303084</v>
      </c>
      <c r="B1242" s="1">
        <v>45505</v>
      </c>
      <c r="C1242">
        <v>10331</v>
      </c>
      <c r="D1242" t="s">
        <v>48</v>
      </c>
      <c r="E1242" t="s">
        <v>118</v>
      </c>
      <c r="F1242" t="s">
        <v>119</v>
      </c>
      <c r="G1242">
        <v>5</v>
      </c>
      <c r="H1242">
        <v>4.49</v>
      </c>
      <c r="I1242">
        <v>0.1</v>
      </c>
      <c r="J1242">
        <v>20.21</v>
      </c>
      <c r="K1242" t="s">
        <v>36</v>
      </c>
      <c r="L1242" t="s">
        <v>37</v>
      </c>
      <c r="M1242" t="s">
        <v>62</v>
      </c>
    </row>
    <row r="1243" spans="1:13" x14ac:dyDescent="0.2">
      <c r="A1243">
        <v>303285</v>
      </c>
      <c r="B1243" s="1">
        <v>44989</v>
      </c>
      <c r="C1243">
        <v>48379</v>
      </c>
      <c r="D1243" t="s">
        <v>85</v>
      </c>
      <c r="E1243" t="s">
        <v>129</v>
      </c>
      <c r="F1243" t="s">
        <v>130</v>
      </c>
      <c r="G1243">
        <v>4</v>
      </c>
      <c r="H1243">
        <v>8.5399999999999991</v>
      </c>
      <c r="I1243">
        <v>0.05</v>
      </c>
      <c r="J1243">
        <v>32.450000000000003</v>
      </c>
      <c r="K1243" t="s">
        <v>36</v>
      </c>
      <c r="L1243" t="s">
        <v>17</v>
      </c>
      <c r="M1243" t="s">
        <v>161</v>
      </c>
    </row>
    <row r="1244" spans="1:13" x14ac:dyDescent="0.2">
      <c r="A1244">
        <v>304011</v>
      </c>
      <c r="B1244" s="2">
        <v>44676</v>
      </c>
      <c r="C1244">
        <v>58049</v>
      </c>
      <c r="D1244" t="s">
        <v>97</v>
      </c>
      <c r="E1244" t="s">
        <v>135</v>
      </c>
      <c r="F1244" t="s">
        <v>136</v>
      </c>
      <c r="G1244">
        <v>3</v>
      </c>
      <c r="H1244">
        <v>7.99</v>
      </c>
      <c r="I1244">
        <v>0.2</v>
      </c>
      <c r="J1244">
        <v>19.18</v>
      </c>
      <c r="K1244" t="s">
        <v>53</v>
      </c>
      <c r="L1244" t="s">
        <v>37</v>
      </c>
      <c r="M1244" t="s">
        <v>43</v>
      </c>
    </row>
    <row r="1245" spans="1:13" x14ac:dyDescent="0.2">
      <c r="A1245">
        <v>304223</v>
      </c>
      <c r="B1245" s="1">
        <v>45644</v>
      </c>
      <c r="C1245">
        <v>70574</v>
      </c>
      <c r="D1245" t="s">
        <v>29</v>
      </c>
      <c r="E1245" t="s">
        <v>88</v>
      </c>
      <c r="F1245" t="s">
        <v>89</v>
      </c>
      <c r="G1245">
        <v>2</v>
      </c>
      <c r="H1245">
        <v>34.99</v>
      </c>
      <c r="I1245">
        <v>0.3</v>
      </c>
      <c r="J1245">
        <v>48.99</v>
      </c>
      <c r="K1245" t="s">
        <v>66</v>
      </c>
      <c r="L1245" t="s">
        <v>17</v>
      </c>
      <c r="M1245" t="s">
        <v>24</v>
      </c>
    </row>
    <row r="1246" spans="1:13" x14ac:dyDescent="0.2">
      <c r="A1246">
        <v>304252</v>
      </c>
      <c r="B1246" s="2">
        <v>45585</v>
      </c>
      <c r="C1246">
        <v>56475</v>
      </c>
      <c r="D1246" t="s">
        <v>199</v>
      </c>
      <c r="E1246" t="s">
        <v>55</v>
      </c>
      <c r="F1246" t="s">
        <v>56</v>
      </c>
      <c r="G1246">
        <v>3</v>
      </c>
      <c r="H1246">
        <v>280.49</v>
      </c>
      <c r="I1246">
        <v>0.15</v>
      </c>
      <c r="J1246">
        <v>715.25</v>
      </c>
      <c r="K1246" t="s">
        <v>36</v>
      </c>
      <c r="L1246" t="s">
        <v>17</v>
      </c>
      <c r="M1246" t="s">
        <v>67</v>
      </c>
    </row>
    <row r="1247" spans="1:13" x14ac:dyDescent="0.2">
      <c r="A1247">
        <v>304335</v>
      </c>
      <c r="B1247" s="2">
        <v>45344</v>
      </c>
      <c r="C1247">
        <v>70332</v>
      </c>
      <c r="D1247" t="s">
        <v>85</v>
      </c>
      <c r="E1247" t="s">
        <v>86</v>
      </c>
      <c r="F1247" t="s">
        <v>87</v>
      </c>
      <c r="G1247">
        <v>1</v>
      </c>
      <c r="H1247">
        <v>12.99</v>
      </c>
      <c r="J1247">
        <v>12.99</v>
      </c>
      <c r="K1247" t="s">
        <v>16</v>
      </c>
      <c r="L1247" t="s">
        <v>17</v>
      </c>
      <c r="M1247" t="s">
        <v>18</v>
      </c>
    </row>
    <row r="1248" spans="1:13" x14ac:dyDescent="0.2">
      <c r="A1248">
        <v>304495</v>
      </c>
      <c r="B1248" s="1">
        <v>45337</v>
      </c>
      <c r="C1248">
        <v>50967</v>
      </c>
      <c r="D1248" t="s">
        <v>25</v>
      </c>
      <c r="E1248" t="s">
        <v>60</v>
      </c>
      <c r="F1248" t="s">
        <v>61</v>
      </c>
      <c r="G1248">
        <v>1</v>
      </c>
      <c r="H1248">
        <v>46.74</v>
      </c>
      <c r="I1248">
        <v>0.15</v>
      </c>
      <c r="J1248">
        <v>39.729999999999997</v>
      </c>
      <c r="K1248" t="s">
        <v>22</v>
      </c>
      <c r="L1248" t="s">
        <v>37</v>
      </c>
      <c r="M1248" t="s">
        <v>120</v>
      </c>
    </row>
    <row r="1249" spans="1:13" x14ac:dyDescent="0.2">
      <c r="A1249">
        <v>304645</v>
      </c>
      <c r="B1249" s="1">
        <v>44728</v>
      </c>
      <c r="D1249" t="s">
        <v>183</v>
      </c>
      <c r="E1249" t="s">
        <v>188</v>
      </c>
      <c r="F1249" t="s">
        <v>189</v>
      </c>
      <c r="G1249">
        <v>2</v>
      </c>
      <c r="H1249">
        <v>31.49</v>
      </c>
      <c r="I1249">
        <v>0.3</v>
      </c>
      <c r="J1249">
        <v>44.09</v>
      </c>
      <c r="K1249" t="s">
        <v>36</v>
      </c>
      <c r="L1249" t="s">
        <v>17</v>
      </c>
      <c r="M1249" t="s">
        <v>76</v>
      </c>
    </row>
    <row r="1250" spans="1:13" x14ac:dyDescent="0.2">
      <c r="A1250">
        <v>304705</v>
      </c>
      <c r="B1250" s="1">
        <v>45486</v>
      </c>
      <c r="C1250">
        <v>90007</v>
      </c>
      <c r="D1250" t="s">
        <v>29</v>
      </c>
      <c r="E1250" t="s">
        <v>38</v>
      </c>
      <c r="F1250" t="s">
        <v>39</v>
      </c>
      <c r="G1250">
        <v>2</v>
      </c>
      <c r="H1250">
        <v>29.99</v>
      </c>
      <c r="J1250">
        <v>59.98</v>
      </c>
      <c r="K1250" t="s">
        <v>36</v>
      </c>
      <c r="L1250" t="s">
        <v>37</v>
      </c>
      <c r="M1250" t="s">
        <v>117</v>
      </c>
    </row>
    <row r="1251" spans="1:13" x14ac:dyDescent="0.2">
      <c r="A1251">
        <v>304867</v>
      </c>
      <c r="B1251" s="1">
        <v>44848</v>
      </c>
      <c r="C1251">
        <v>14123</v>
      </c>
      <c r="D1251" t="s">
        <v>63</v>
      </c>
      <c r="E1251" t="s">
        <v>64</v>
      </c>
      <c r="F1251" t="s">
        <v>65</v>
      </c>
      <c r="G1251">
        <v>3</v>
      </c>
      <c r="H1251">
        <v>3.74</v>
      </c>
      <c r="I1251">
        <v>0.25</v>
      </c>
      <c r="J1251">
        <v>8.42</v>
      </c>
      <c r="K1251" t="s">
        <v>36</v>
      </c>
      <c r="L1251" t="s">
        <v>17</v>
      </c>
      <c r="M1251" t="s">
        <v>103</v>
      </c>
    </row>
    <row r="1252" spans="1:13" x14ac:dyDescent="0.2">
      <c r="A1252">
        <v>304898</v>
      </c>
      <c r="B1252" s="1">
        <v>44799</v>
      </c>
      <c r="C1252">
        <v>95408</v>
      </c>
      <c r="D1252" t="s">
        <v>44</v>
      </c>
      <c r="E1252" t="s">
        <v>107</v>
      </c>
      <c r="F1252" t="s">
        <v>108</v>
      </c>
      <c r="G1252">
        <v>1</v>
      </c>
      <c r="H1252">
        <v>3.49</v>
      </c>
      <c r="J1252">
        <v>3.49</v>
      </c>
      <c r="K1252" t="s">
        <v>95</v>
      </c>
      <c r="L1252" t="s">
        <v>17</v>
      </c>
      <c r="M1252" t="s">
        <v>96</v>
      </c>
    </row>
    <row r="1253" spans="1:13" x14ac:dyDescent="0.2">
      <c r="A1253">
        <v>305112</v>
      </c>
      <c r="B1253" s="1">
        <v>45175</v>
      </c>
      <c r="D1253" t="s">
        <v>29</v>
      </c>
      <c r="E1253" t="s">
        <v>170</v>
      </c>
      <c r="F1253" t="s">
        <v>171</v>
      </c>
      <c r="G1253">
        <v>3</v>
      </c>
      <c r="H1253">
        <v>12.74</v>
      </c>
      <c r="I1253">
        <v>0.15</v>
      </c>
      <c r="J1253">
        <v>32.49</v>
      </c>
      <c r="K1253" t="s">
        <v>36</v>
      </c>
      <c r="L1253" t="s">
        <v>37</v>
      </c>
      <c r="M1253" t="s">
        <v>62</v>
      </c>
    </row>
    <row r="1254" spans="1:13" x14ac:dyDescent="0.2">
      <c r="A1254">
        <v>305246</v>
      </c>
      <c r="B1254" s="1">
        <v>45444</v>
      </c>
      <c r="C1254">
        <v>89157</v>
      </c>
      <c r="D1254" t="s">
        <v>85</v>
      </c>
      <c r="E1254" t="s">
        <v>145</v>
      </c>
      <c r="F1254" t="s">
        <v>146</v>
      </c>
      <c r="G1254">
        <v>2</v>
      </c>
      <c r="H1254">
        <v>16.989999999999998</v>
      </c>
      <c r="J1254">
        <v>33.979999999999997</v>
      </c>
      <c r="K1254" t="s">
        <v>36</v>
      </c>
      <c r="L1254" t="s">
        <v>23</v>
      </c>
      <c r="M1254" t="s">
        <v>120</v>
      </c>
    </row>
    <row r="1255" spans="1:13" x14ac:dyDescent="0.2">
      <c r="A1255">
        <v>305460</v>
      </c>
      <c r="B1255" s="2">
        <v>45631</v>
      </c>
      <c r="C1255">
        <v>93777</v>
      </c>
      <c r="D1255" t="s">
        <v>13</v>
      </c>
      <c r="E1255" t="s">
        <v>34</v>
      </c>
      <c r="F1255" t="s">
        <v>35</v>
      </c>
      <c r="G1255">
        <v>1</v>
      </c>
      <c r="H1255">
        <v>29.74</v>
      </c>
      <c r="I1255">
        <v>0.15</v>
      </c>
      <c r="J1255">
        <v>25.28</v>
      </c>
      <c r="K1255" t="s">
        <v>32</v>
      </c>
      <c r="L1255" t="s">
        <v>17</v>
      </c>
      <c r="M1255" t="s">
        <v>90</v>
      </c>
    </row>
    <row r="1256" spans="1:13" x14ac:dyDescent="0.2">
      <c r="A1256">
        <v>305472</v>
      </c>
      <c r="B1256" s="1">
        <v>45205</v>
      </c>
      <c r="C1256">
        <v>13204</v>
      </c>
      <c r="D1256" t="s">
        <v>40</v>
      </c>
      <c r="E1256" t="s">
        <v>20</v>
      </c>
      <c r="F1256" t="s">
        <v>21</v>
      </c>
      <c r="G1256">
        <v>1</v>
      </c>
      <c r="H1256">
        <v>9.49</v>
      </c>
      <c r="I1256">
        <v>0.05</v>
      </c>
      <c r="J1256">
        <v>9.02</v>
      </c>
      <c r="K1256" t="s">
        <v>36</v>
      </c>
      <c r="L1256" t="s">
        <v>17</v>
      </c>
      <c r="M1256" t="s">
        <v>76</v>
      </c>
    </row>
    <row r="1257" spans="1:13" x14ac:dyDescent="0.2">
      <c r="A1257">
        <v>305505</v>
      </c>
      <c r="B1257" s="1">
        <v>45290</v>
      </c>
      <c r="C1257">
        <v>21528</v>
      </c>
      <c r="D1257" t="s">
        <v>97</v>
      </c>
      <c r="E1257" t="s">
        <v>193</v>
      </c>
      <c r="F1257" t="s">
        <v>194</v>
      </c>
      <c r="G1257">
        <v>3</v>
      </c>
      <c r="H1257">
        <v>51.99</v>
      </c>
      <c r="I1257">
        <v>0.2</v>
      </c>
      <c r="J1257">
        <v>124.78</v>
      </c>
      <c r="K1257" t="s">
        <v>36</v>
      </c>
      <c r="L1257" t="s">
        <v>37</v>
      </c>
      <c r="M1257" t="s">
        <v>47</v>
      </c>
    </row>
    <row r="1258" spans="1:13" x14ac:dyDescent="0.2">
      <c r="A1258">
        <v>305772</v>
      </c>
      <c r="B1258" s="1">
        <v>44726</v>
      </c>
      <c r="C1258">
        <v>79959</v>
      </c>
      <c r="D1258" t="s">
        <v>29</v>
      </c>
      <c r="E1258" t="s">
        <v>30</v>
      </c>
      <c r="F1258" t="s">
        <v>31</v>
      </c>
      <c r="G1258">
        <v>1</v>
      </c>
      <c r="H1258">
        <v>24.99</v>
      </c>
      <c r="J1258">
        <v>24.99</v>
      </c>
      <c r="K1258" t="s">
        <v>16</v>
      </c>
      <c r="L1258" t="s">
        <v>17</v>
      </c>
      <c r="M1258" t="s">
        <v>161</v>
      </c>
    </row>
    <row r="1259" spans="1:13" x14ac:dyDescent="0.2">
      <c r="A1259">
        <v>305820</v>
      </c>
      <c r="B1259" s="1">
        <v>44888</v>
      </c>
      <c r="C1259">
        <v>47067</v>
      </c>
      <c r="D1259" t="s">
        <v>13</v>
      </c>
      <c r="E1259" t="s">
        <v>34</v>
      </c>
      <c r="F1259" t="s">
        <v>35</v>
      </c>
      <c r="G1259">
        <v>1</v>
      </c>
      <c r="H1259">
        <v>27.99</v>
      </c>
      <c r="I1259">
        <v>0.2</v>
      </c>
      <c r="J1259">
        <v>22.39</v>
      </c>
      <c r="K1259" t="s">
        <v>16</v>
      </c>
      <c r="L1259" t="s">
        <v>17</v>
      </c>
      <c r="M1259" t="s">
        <v>54</v>
      </c>
    </row>
    <row r="1260" spans="1:13" x14ac:dyDescent="0.2">
      <c r="A1260">
        <v>305834</v>
      </c>
      <c r="B1260" s="1">
        <v>44918</v>
      </c>
      <c r="C1260">
        <v>51414</v>
      </c>
      <c r="D1260" t="s">
        <v>63</v>
      </c>
      <c r="E1260" t="s">
        <v>68</v>
      </c>
      <c r="F1260" t="s">
        <v>69</v>
      </c>
      <c r="G1260">
        <v>2</v>
      </c>
      <c r="H1260">
        <v>18.739999999999998</v>
      </c>
      <c r="I1260">
        <v>0.25</v>
      </c>
      <c r="J1260">
        <v>28.11</v>
      </c>
      <c r="K1260" t="s">
        <v>36</v>
      </c>
      <c r="L1260" t="s">
        <v>37</v>
      </c>
      <c r="M1260" t="s">
        <v>54</v>
      </c>
    </row>
    <row r="1261" spans="1:13" x14ac:dyDescent="0.2">
      <c r="A1261">
        <v>306480</v>
      </c>
      <c r="B1261" s="1">
        <v>44630</v>
      </c>
      <c r="C1261">
        <v>53616</v>
      </c>
      <c r="D1261" t="s">
        <v>63</v>
      </c>
      <c r="E1261" t="s">
        <v>68</v>
      </c>
      <c r="F1261" t="s">
        <v>69</v>
      </c>
      <c r="G1261">
        <v>1</v>
      </c>
      <c r="H1261">
        <v>17.489999999999998</v>
      </c>
      <c r="I1261">
        <v>0.3</v>
      </c>
      <c r="J1261">
        <v>12.24</v>
      </c>
      <c r="K1261" t="s">
        <v>95</v>
      </c>
      <c r="L1261" t="s">
        <v>17</v>
      </c>
      <c r="M1261" t="s">
        <v>102</v>
      </c>
    </row>
    <row r="1262" spans="1:13" x14ac:dyDescent="0.2">
      <c r="A1262">
        <v>306638</v>
      </c>
      <c r="B1262" s="2">
        <v>45607</v>
      </c>
      <c r="C1262">
        <v>76878</v>
      </c>
      <c r="D1262" t="s">
        <v>13</v>
      </c>
      <c r="E1262" t="s">
        <v>34</v>
      </c>
      <c r="F1262" t="s">
        <v>35</v>
      </c>
      <c r="G1262">
        <v>1</v>
      </c>
      <c r="H1262">
        <v>34.99</v>
      </c>
      <c r="J1262">
        <v>34.99</v>
      </c>
      <c r="K1262" t="s">
        <v>36</v>
      </c>
      <c r="L1262" t="s">
        <v>17</v>
      </c>
      <c r="M1262" t="s">
        <v>123</v>
      </c>
    </row>
    <row r="1263" spans="1:13" x14ac:dyDescent="0.2">
      <c r="A1263">
        <v>306861</v>
      </c>
      <c r="B1263" s="1">
        <v>44901</v>
      </c>
      <c r="C1263">
        <v>43951</v>
      </c>
      <c r="D1263" t="s">
        <v>48</v>
      </c>
      <c r="E1263" t="s">
        <v>49</v>
      </c>
      <c r="F1263" t="s">
        <v>50</v>
      </c>
      <c r="G1263">
        <v>1</v>
      </c>
      <c r="H1263">
        <v>6.29</v>
      </c>
      <c r="I1263">
        <v>0.3</v>
      </c>
      <c r="J1263">
        <v>4.4000000000000004</v>
      </c>
      <c r="K1263" t="s">
        <v>16</v>
      </c>
      <c r="L1263" t="s">
        <v>17</v>
      </c>
      <c r="M1263" t="s">
        <v>28</v>
      </c>
    </row>
    <row r="1264" spans="1:13" x14ac:dyDescent="0.2">
      <c r="A1264">
        <v>306930</v>
      </c>
      <c r="B1264" s="1">
        <v>44864</v>
      </c>
      <c r="C1264">
        <v>24834</v>
      </c>
      <c r="D1264" t="s">
        <v>44</v>
      </c>
      <c r="E1264" t="s">
        <v>177</v>
      </c>
      <c r="F1264" t="s">
        <v>178</v>
      </c>
      <c r="G1264">
        <v>2</v>
      </c>
      <c r="H1264">
        <v>8.99</v>
      </c>
      <c r="I1264">
        <v>0.25</v>
      </c>
      <c r="J1264">
        <v>13.48</v>
      </c>
      <c r="K1264" t="s">
        <v>32</v>
      </c>
      <c r="L1264" t="s">
        <v>23</v>
      </c>
      <c r="M1264" t="s">
        <v>28</v>
      </c>
    </row>
    <row r="1265" spans="1:13" x14ac:dyDescent="0.2">
      <c r="A1265">
        <v>307388</v>
      </c>
      <c r="B1265" s="1">
        <v>44782</v>
      </c>
      <c r="C1265">
        <v>26847</v>
      </c>
      <c r="D1265" t="s">
        <v>25</v>
      </c>
      <c r="E1265" t="s">
        <v>60</v>
      </c>
      <c r="F1265" t="s">
        <v>61</v>
      </c>
      <c r="G1265">
        <v>2</v>
      </c>
      <c r="H1265">
        <v>49.49</v>
      </c>
      <c r="I1265">
        <v>0.1</v>
      </c>
      <c r="J1265">
        <v>89.08</v>
      </c>
      <c r="K1265" t="s">
        <v>16</v>
      </c>
      <c r="L1265" t="s">
        <v>17</v>
      </c>
      <c r="M1265" t="s">
        <v>47</v>
      </c>
    </row>
    <row r="1266" spans="1:13" x14ac:dyDescent="0.2">
      <c r="A1266">
        <v>307467</v>
      </c>
      <c r="B1266" s="1">
        <v>45037</v>
      </c>
      <c r="C1266">
        <v>46653</v>
      </c>
      <c r="D1266" t="s">
        <v>29</v>
      </c>
      <c r="E1266" t="s">
        <v>175</v>
      </c>
      <c r="F1266" t="s">
        <v>176</v>
      </c>
      <c r="G1266">
        <v>5</v>
      </c>
      <c r="H1266">
        <v>9.59</v>
      </c>
      <c r="I1266">
        <v>0.2</v>
      </c>
      <c r="J1266">
        <v>38.36</v>
      </c>
      <c r="K1266" t="s">
        <v>16</v>
      </c>
      <c r="L1266" t="s">
        <v>17</v>
      </c>
      <c r="M1266" t="s">
        <v>62</v>
      </c>
    </row>
    <row r="1267" spans="1:13" x14ac:dyDescent="0.2">
      <c r="A1267">
        <v>307622</v>
      </c>
      <c r="B1267" s="1">
        <v>45582</v>
      </c>
      <c r="C1267">
        <v>89270</v>
      </c>
      <c r="D1267" t="s">
        <v>44</v>
      </c>
      <c r="E1267" t="s">
        <v>162</v>
      </c>
      <c r="F1267" t="s">
        <v>163</v>
      </c>
      <c r="G1267">
        <v>1</v>
      </c>
      <c r="H1267">
        <v>7.19</v>
      </c>
      <c r="I1267">
        <v>0.1</v>
      </c>
      <c r="J1267">
        <v>6.47</v>
      </c>
      <c r="K1267" t="s">
        <v>95</v>
      </c>
      <c r="L1267" t="s">
        <v>17</v>
      </c>
      <c r="M1267" t="s">
        <v>102</v>
      </c>
    </row>
    <row r="1268" spans="1:13" x14ac:dyDescent="0.2">
      <c r="A1268">
        <v>307639</v>
      </c>
      <c r="B1268" s="1">
        <v>45329</v>
      </c>
      <c r="C1268">
        <v>84329</v>
      </c>
      <c r="D1268" t="s">
        <v>48</v>
      </c>
      <c r="E1268" t="s">
        <v>143</v>
      </c>
      <c r="F1268" t="s">
        <v>144</v>
      </c>
      <c r="G1268">
        <v>3</v>
      </c>
      <c r="H1268">
        <v>14.99</v>
      </c>
      <c r="J1268">
        <v>44.97</v>
      </c>
      <c r="K1268" t="s">
        <v>16</v>
      </c>
      <c r="L1268" t="s">
        <v>17</v>
      </c>
    </row>
    <row r="1269" spans="1:13" x14ac:dyDescent="0.2">
      <c r="A1269">
        <v>307830</v>
      </c>
      <c r="B1269" s="2">
        <v>45165</v>
      </c>
      <c r="C1269">
        <v>52013</v>
      </c>
      <c r="D1269" t="s">
        <v>97</v>
      </c>
      <c r="E1269" t="s">
        <v>121</v>
      </c>
      <c r="F1269" t="s">
        <v>122</v>
      </c>
      <c r="G1269">
        <v>2</v>
      </c>
      <c r="H1269">
        <v>12.99</v>
      </c>
      <c r="J1269">
        <v>25.98</v>
      </c>
      <c r="K1269" t="s">
        <v>36</v>
      </c>
      <c r="L1269" t="s">
        <v>37</v>
      </c>
    </row>
    <row r="1270" spans="1:13" x14ac:dyDescent="0.2">
      <c r="A1270">
        <v>307873</v>
      </c>
      <c r="B1270" s="1">
        <v>45190</v>
      </c>
      <c r="C1270">
        <v>31808</v>
      </c>
      <c r="D1270" t="s">
        <v>48</v>
      </c>
      <c r="E1270" t="s">
        <v>109</v>
      </c>
      <c r="F1270" t="s">
        <v>110</v>
      </c>
      <c r="G1270">
        <v>5</v>
      </c>
      <c r="H1270">
        <v>5.59</v>
      </c>
      <c r="I1270">
        <v>0.2</v>
      </c>
      <c r="J1270">
        <v>22.36</v>
      </c>
      <c r="K1270" t="s">
        <v>36</v>
      </c>
      <c r="L1270" t="s">
        <v>17</v>
      </c>
      <c r="M1270" t="s">
        <v>102</v>
      </c>
    </row>
    <row r="1271" spans="1:13" x14ac:dyDescent="0.2">
      <c r="A1271">
        <v>307879</v>
      </c>
      <c r="B1271" s="1">
        <v>45503</v>
      </c>
      <c r="C1271">
        <v>90802</v>
      </c>
      <c r="D1271" t="s">
        <v>63</v>
      </c>
      <c r="E1271" t="s">
        <v>68</v>
      </c>
      <c r="F1271" t="s">
        <v>69</v>
      </c>
      <c r="G1271">
        <v>4</v>
      </c>
      <c r="H1271">
        <v>23.74</v>
      </c>
      <c r="I1271">
        <v>0.05</v>
      </c>
      <c r="J1271">
        <v>90.21</v>
      </c>
      <c r="K1271" t="s">
        <v>36</v>
      </c>
      <c r="L1271" t="s">
        <v>23</v>
      </c>
    </row>
    <row r="1272" spans="1:13" x14ac:dyDescent="0.2">
      <c r="A1272">
        <v>307963</v>
      </c>
      <c r="B1272" s="1">
        <v>45330</v>
      </c>
      <c r="C1272">
        <v>23356</v>
      </c>
      <c r="D1272" t="s">
        <v>29</v>
      </c>
      <c r="E1272" t="s">
        <v>175</v>
      </c>
      <c r="F1272" t="s">
        <v>176</v>
      </c>
      <c r="G1272">
        <v>5</v>
      </c>
      <c r="H1272">
        <v>9.59</v>
      </c>
      <c r="I1272">
        <v>0.2</v>
      </c>
      <c r="J1272">
        <v>38.36</v>
      </c>
      <c r="K1272" t="s">
        <v>36</v>
      </c>
      <c r="L1272" t="s">
        <v>37</v>
      </c>
      <c r="M1272" t="s">
        <v>43</v>
      </c>
    </row>
    <row r="1273" spans="1:13" x14ac:dyDescent="0.2">
      <c r="A1273">
        <v>308043</v>
      </c>
      <c r="B1273" s="1">
        <v>45338</v>
      </c>
      <c r="C1273">
        <v>66948</v>
      </c>
      <c r="D1273" t="s">
        <v>25</v>
      </c>
      <c r="E1273" t="s">
        <v>26</v>
      </c>
      <c r="F1273" t="s">
        <v>27</v>
      </c>
      <c r="G1273">
        <v>2</v>
      </c>
      <c r="H1273">
        <v>29.74</v>
      </c>
      <c r="I1273">
        <v>0.15</v>
      </c>
      <c r="J1273">
        <v>50.56</v>
      </c>
      <c r="K1273" t="s">
        <v>22</v>
      </c>
      <c r="L1273" t="s">
        <v>37</v>
      </c>
      <c r="M1273" t="s">
        <v>62</v>
      </c>
    </row>
    <row r="1274" spans="1:13" x14ac:dyDescent="0.2">
      <c r="A1274">
        <v>308141</v>
      </c>
      <c r="B1274" s="2">
        <v>45336</v>
      </c>
      <c r="C1274">
        <v>94668</v>
      </c>
      <c r="D1274" t="s">
        <v>29</v>
      </c>
      <c r="E1274" t="s">
        <v>38</v>
      </c>
      <c r="F1274" t="s">
        <v>39</v>
      </c>
      <c r="G1274">
        <v>1</v>
      </c>
      <c r="H1274">
        <v>25.49</v>
      </c>
      <c r="I1274">
        <v>0.15</v>
      </c>
      <c r="J1274">
        <v>21.67</v>
      </c>
      <c r="K1274" t="s">
        <v>36</v>
      </c>
      <c r="L1274" t="s">
        <v>17</v>
      </c>
      <c r="M1274" t="s">
        <v>102</v>
      </c>
    </row>
    <row r="1275" spans="1:13" x14ac:dyDescent="0.2">
      <c r="A1275">
        <v>308142</v>
      </c>
      <c r="B1275" s="1">
        <v>44823</v>
      </c>
      <c r="C1275">
        <v>87761</v>
      </c>
      <c r="D1275" t="s">
        <v>82</v>
      </c>
      <c r="E1275" t="s">
        <v>147</v>
      </c>
      <c r="F1275" t="s">
        <v>148</v>
      </c>
      <c r="G1275">
        <v>3</v>
      </c>
      <c r="H1275">
        <v>10.39</v>
      </c>
      <c r="I1275">
        <v>0.2</v>
      </c>
      <c r="J1275">
        <v>24.94</v>
      </c>
      <c r="K1275" t="s">
        <v>22</v>
      </c>
      <c r="L1275" t="s">
        <v>17</v>
      </c>
      <c r="M1275" t="s">
        <v>67</v>
      </c>
    </row>
    <row r="1276" spans="1:13" x14ac:dyDescent="0.2">
      <c r="A1276">
        <v>308254</v>
      </c>
      <c r="B1276" s="1">
        <v>45266</v>
      </c>
      <c r="C1276">
        <v>61078</v>
      </c>
      <c r="D1276" t="s">
        <v>97</v>
      </c>
      <c r="E1276" t="s">
        <v>151</v>
      </c>
      <c r="F1276" t="s">
        <v>152</v>
      </c>
      <c r="G1276">
        <v>2</v>
      </c>
      <c r="H1276">
        <v>27.99</v>
      </c>
      <c r="I1276">
        <v>0.2</v>
      </c>
      <c r="J1276">
        <v>44.78</v>
      </c>
      <c r="K1276" t="s">
        <v>22</v>
      </c>
      <c r="L1276" t="s">
        <v>17</v>
      </c>
      <c r="M1276" t="s">
        <v>47</v>
      </c>
    </row>
    <row r="1277" spans="1:13" x14ac:dyDescent="0.2">
      <c r="A1277">
        <v>308329</v>
      </c>
      <c r="B1277" s="1">
        <v>44796</v>
      </c>
      <c r="C1277">
        <v>28977</v>
      </c>
      <c r="D1277" t="s">
        <v>97</v>
      </c>
      <c r="E1277" t="s">
        <v>151</v>
      </c>
      <c r="F1277" t="s">
        <v>152</v>
      </c>
      <c r="G1277">
        <v>1</v>
      </c>
      <c r="H1277">
        <v>29.74</v>
      </c>
      <c r="I1277">
        <v>0.15</v>
      </c>
      <c r="J1277">
        <v>25.28</v>
      </c>
      <c r="K1277" t="s">
        <v>95</v>
      </c>
      <c r="L1277" t="s">
        <v>23</v>
      </c>
      <c r="M1277" t="s">
        <v>81</v>
      </c>
    </row>
    <row r="1278" spans="1:13" x14ac:dyDescent="0.2">
      <c r="A1278">
        <v>308872</v>
      </c>
      <c r="B1278" s="1">
        <v>45470</v>
      </c>
      <c r="C1278">
        <v>43025</v>
      </c>
      <c r="D1278" t="s">
        <v>48</v>
      </c>
      <c r="E1278" t="s">
        <v>49</v>
      </c>
      <c r="F1278" t="s">
        <v>50</v>
      </c>
      <c r="G1278">
        <v>4</v>
      </c>
      <c r="H1278">
        <v>6.74</v>
      </c>
      <c r="I1278">
        <v>0.25</v>
      </c>
      <c r="J1278">
        <v>20.22</v>
      </c>
      <c r="K1278" t="s">
        <v>16</v>
      </c>
      <c r="L1278" t="s">
        <v>17</v>
      </c>
      <c r="M1278" t="s">
        <v>57</v>
      </c>
    </row>
    <row r="1279" spans="1:13" x14ac:dyDescent="0.2">
      <c r="A1279">
        <v>308990</v>
      </c>
      <c r="B1279" s="1">
        <v>45230</v>
      </c>
      <c r="C1279">
        <v>37910</v>
      </c>
      <c r="D1279" t="s">
        <v>85</v>
      </c>
      <c r="E1279" t="s">
        <v>129</v>
      </c>
      <c r="F1279" t="s">
        <v>130</v>
      </c>
      <c r="G1279">
        <v>2</v>
      </c>
      <c r="H1279">
        <v>8.09</v>
      </c>
      <c r="I1279">
        <v>0.1</v>
      </c>
      <c r="J1279">
        <v>14.56</v>
      </c>
      <c r="K1279" t="s">
        <v>95</v>
      </c>
      <c r="L1279" t="s">
        <v>17</v>
      </c>
      <c r="M1279" t="s">
        <v>33</v>
      </c>
    </row>
    <row r="1280" spans="1:13" x14ac:dyDescent="0.2">
      <c r="A1280">
        <v>309641</v>
      </c>
      <c r="B1280" s="1">
        <v>45000</v>
      </c>
      <c r="C1280">
        <v>24677</v>
      </c>
      <c r="D1280" t="s">
        <v>85</v>
      </c>
      <c r="E1280" t="s">
        <v>157</v>
      </c>
      <c r="F1280" t="s">
        <v>158</v>
      </c>
      <c r="G1280">
        <v>1</v>
      </c>
      <c r="H1280">
        <v>13.49</v>
      </c>
      <c r="J1280">
        <v>13.49</v>
      </c>
      <c r="K1280" t="s">
        <v>16</v>
      </c>
      <c r="L1280" t="s">
        <v>37</v>
      </c>
      <c r="M1280" t="s">
        <v>96</v>
      </c>
    </row>
    <row r="1281" spans="1:13" x14ac:dyDescent="0.2">
      <c r="A1281">
        <v>309699</v>
      </c>
      <c r="B1281" s="1">
        <v>44742</v>
      </c>
      <c r="C1281">
        <v>26296</v>
      </c>
      <c r="D1281" t="s">
        <v>13</v>
      </c>
      <c r="E1281" t="s">
        <v>159</v>
      </c>
      <c r="F1281" t="s">
        <v>160</v>
      </c>
      <c r="G1281">
        <v>3</v>
      </c>
      <c r="H1281">
        <v>59.99</v>
      </c>
      <c r="J1281">
        <v>179.97</v>
      </c>
      <c r="K1281" t="s">
        <v>16</v>
      </c>
      <c r="L1281" t="s">
        <v>37</v>
      </c>
      <c r="M1281" t="s">
        <v>62</v>
      </c>
    </row>
    <row r="1282" spans="1:13" x14ac:dyDescent="0.2">
      <c r="A1282">
        <v>309785</v>
      </c>
      <c r="B1282" s="2">
        <v>45306</v>
      </c>
      <c r="C1282">
        <v>42358</v>
      </c>
      <c r="D1282" t="s">
        <v>97</v>
      </c>
      <c r="E1282" t="s">
        <v>135</v>
      </c>
      <c r="F1282" t="s">
        <v>136</v>
      </c>
      <c r="G1282">
        <v>2</v>
      </c>
      <c r="H1282">
        <v>7.99</v>
      </c>
      <c r="I1282">
        <v>0.2</v>
      </c>
      <c r="J1282">
        <v>12.78</v>
      </c>
      <c r="K1282" t="s">
        <v>22</v>
      </c>
      <c r="L1282" t="s">
        <v>17</v>
      </c>
      <c r="M1282" t="s">
        <v>120</v>
      </c>
    </row>
    <row r="1283" spans="1:13" x14ac:dyDescent="0.2">
      <c r="A1283">
        <v>310000</v>
      </c>
      <c r="B1283" s="2">
        <v>45290</v>
      </c>
      <c r="C1283">
        <v>76260</v>
      </c>
      <c r="D1283" t="s">
        <v>25</v>
      </c>
      <c r="E1283" t="s">
        <v>60</v>
      </c>
      <c r="F1283" t="s">
        <v>61</v>
      </c>
      <c r="G1283">
        <v>2</v>
      </c>
      <c r="H1283">
        <v>38.49</v>
      </c>
      <c r="I1283">
        <v>0.3</v>
      </c>
      <c r="J1283">
        <v>53.89</v>
      </c>
      <c r="K1283" t="s">
        <v>16</v>
      </c>
      <c r="L1283" t="s">
        <v>17</v>
      </c>
      <c r="M1283" t="s">
        <v>102</v>
      </c>
    </row>
    <row r="1284" spans="1:13" x14ac:dyDescent="0.2">
      <c r="A1284">
        <v>310508</v>
      </c>
      <c r="B1284" s="1">
        <v>45305</v>
      </c>
      <c r="C1284">
        <v>38557</v>
      </c>
      <c r="D1284" t="s">
        <v>25</v>
      </c>
      <c r="E1284" t="s">
        <v>60</v>
      </c>
      <c r="F1284" t="s">
        <v>61</v>
      </c>
      <c r="G1284">
        <v>4</v>
      </c>
      <c r="H1284">
        <v>54.99</v>
      </c>
      <c r="J1284">
        <v>219.96</v>
      </c>
      <c r="K1284" t="s">
        <v>36</v>
      </c>
      <c r="L1284" t="s">
        <v>17</v>
      </c>
      <c r="M1284" t="s">
        <v>117</v>
      </c>
    </row>
    <row r="1285" spans="1:13" x14ac:dyDescent="0.2">
      <c r="A1285">
        <v>310938</v>
      </c>
      <c r="B1285" s="2">
        <v>45495</v>
      </c>
      <c r="C1285">
        <v>41353</v>
      </c>
      <c r="D1285" t="s">
        <v>44</v>
      </c>
      <c r="E1285" t="s">
        <v>74</v>
      </c>
      <c r="F1285" t="s">
        <v>75</v>
      </c>
      <c r="G1285">
        <v>1</v>
      </c>
      <c r="H1285">
        <v>2.69</v>
      </c>
      <c r="I1285">
        <v>0.1</v>
      </c>
      <c r="J1285">
        <v>2.42</v>
      </c>
      <c r="K1285" t="s">
        <v>66</v>
      </c>
      <c r="L1285" t="s">
        <v>17</v>
      </c>
      <c r="M1285" t="s">
        <v>18</v>
      </c>
    </row>
    <row r="1286" spans="1:13" x14ac:dyDescent="0.2">
      <c r="A1286">
        <v>311729</v>
      </c>
      <c r="B1286" s="1">
        <v>45056</v>
      </c>
      <c r="C1286">
        <v>97895</v>
      </c>
      <c r="D1286" t="s">
        <v>63</v>
      </c>
      <c r="E1286" t="s">
        <v>64</v>
      </c>
      <c r="F1286" t="s">
        <v>65</v>
      </c>
      <c r="G1286">
        <v>3</v>
      </c>
      <c r="H1286">
        <v>3.49</v>
      </c>
      <c r="I1286">
        <v>0.3</v>
      </c>
      <c r="J1286">
        <v>7.33</v>
      </c>
      <c r="K1286" t="s">
        <v>36</v>
      </c>
      <c r="L1286" t="s">
        <v>37</v>
      </c>
      <c r="M1286" t="s">
        <v>102</v>
      </c>
    </row>
    <row r="1287" spans="1:13" x14ac:dyDescent="0.2">
      <c r="A1287">
        <v>311808</v>
      </c>
      <c r="B1287" s="1">
        <v>45349</v>
      </c>
      <c r="C1287">
        <v>20535</v>
      </c>
      <c r="D1287" t="s">
        <v>40</v>
      </c>
      <c r="E1287" t="s">
        <v>20</v>
      </c>
      <c r="F1287" t="s">
        <v>21</v>
      </c>
      <c r="G1287">
        <v>2</v>
      </c>
      <c r="H1287">
        <v>8.99</v>
      </c>
      <c r="I1287">
        <v>0.1</v>
      </c>
      <c r="J1287">
        <v>16.18</v>
      </c>
      <c r="K1287" t="s">
        <v>53</v>
      </c>
      <c r="L1287" t="s">
        <v>23</v>
      </c>
      <c r="M1287" t="s">
        <v>62</v>
      </c>
    </row>
    <row r="1288" spans="1:13" x14ac:dyDescent="0.2">
      <c r="A1288">
        <v>311961</v>
      </c>
      <c r="B1288" s="1">
        <v>44957</v>
      </c>
      <c r="C1288">
        <v>49450</v>
      </c>
      <c r="D1288" t="s">
        <v>13</v>
      </c>
      <c r="E1288" t="s">
        <v>159</v>
      </c>
      <c r="F1288" t="s">
        <v>160</v>
      </c>
      <c r="G1288">
        <v>5</v>
      </c>
      <c r="H1288">
        <v>53.99</v>
      </c>
      <c r="I1288">
        <v>0.1</v>
      </c>
      <c r="J1288">
        <v>242.96</v>
      </c>
      <c r="K1288" t="s">
        <v>95</v>
      </c>
      <c r="L1288" t="s">
        <v>17</v>
      </c>
      <c r="M1288" t="s">
        <v>47</v>
      </c>
    </row>
    <row r="1289" spans="1:13" x14ac:dyDescent="0.2">
      <c r="A1289">
        <v>311970</v>
      </c>
      <c r="B1289" s="1">
        <v>45125</v>
      </c>
      <c r="C1289">
        <v>33800</v>
      </c>
      <c r="D1289" t="s">
        <v>63</v>
      </c>
      <c r="E1289" t="s">
        <v>68</v>
      </c>
      <c r="F1289" t="s">
        <v>69</v>
      </c>
      <c r="G1289">
        <v>5</v>
      </c>
      <c r="H1289">
        <v>21.24</v>
      </c>
      <c r="I1289">
        <v>0.15</v>
      </c>
      <c r="J1289">
        <v>90.27</v>
      </c>
      <c r="K1289" t="s">
        <v>95</v>
      </c>
      <c r="L1289" t="s">
        <v>17</v>
      </c>
      <c r="M1289" t="s">
        <v>24</v>
      </c>
    </row>
    <row r="1290" spans="1:13" x14ac:dyDescent="0.2">
      <c r="A1290">
        <v>311992</v>
      </c>
      <c r="B1290" s="1">
        <v>45002</v>
      </c>
      <c r="C1290">
        <v>86324</v>
      </c>
      <c r="D1290" t="s">
        <v>40</v>
      </c>
      <c r="E1290" t="s">
        <v>197</v>
      </c>
      <c r="F1290" t="s">
        <v>198</v>
      </c>
      <c r="G1290">
        <v>4</v>
      </c>
      <c r="H1290">
        <v>14.24</v>
      </c>
      <c r="I1290">
        <v>0.05</v>
      </c>
      <c r="J1290">
        <v>54.11</v>
      </c>
      <c r="K1290" t="s">
        <v>22</v>
      </c>
      <c r="L1290" t="s">
        <v>37</v>
      </c>
      <c r="M1290" t="s">
        <v>123</v>
      </c>
    </row>
    <row r="1291" spans="1:13" x14ac:dyDescent="0.2">
      <c r="A1291">
        <v>312754</v>
      </c>
      <c r="B1291" s="2">
        <v>45420</v>
      </c>
      <c r="C1291">
        <v>15650</v>
      </c>
      <c r="D1291" t="s">
        <v>13</v>
      </c>
      <c r="E1291" t="s">
        <v>159</v>
      </c>
      <c r="F1291" t="s">
        <v>160</v>
      </c>
      <c r="G1291">
        <v>5</v>
      </c>
      <c r="H1291">
        <v>44.99</v>
      </c>
      <c r="I1291">
        <v>0.25</v>
      </c>
      <c r="J1291">
        <v>168.71</v>
      </c>
      <c r="K1291" t="s">
        <v>32</v>
      </c>
      <c r="L1291" t="s">
        <v>37</v>
      </c>
      <c r="M1291" t="s">
        <v>120</v>
      </c>
    </row>
    <row r="1292" spans="1:13" x14ac:dyDescent="0.2">
      <c r="A1292">
        <v>312841</v>
      </c>
      <c r="B1292" s="1">
        <v>44675</v>
      </c>
      <c r="C1292">
        <v>80133</v>
      </c>
      <c r="D1292" t="s">
        <v>44</v>
      </c>
      <c r="E1292" t="s">
        <v>45</v>
      </c>
      <c r="F1292" t="s">
        <v>46</v>
      </c>
      <c r="G1292">
        <v>1</v>
      </c>
      <c r="H1292">
        <v>1.34</v>
      </c>
      <c r="I1292">
        <v>0.25</v>
      </c>
      <c r="J1292">
        <v>1.01</v>
      </c>
      <c r="K1292" t="s">
        <v>16</v>
      </c>
      <c r="L1292" t="s">
        <v>17</v>
      </c>
      <c r="M1292" t="s">
        <v>81</v>
      </c>
    </row>
    <row r="1293" spans="1:13" x14ac:dyDescent="0.2">
      <c r="A1293">
        <v>312911</v>
      </c>
      <c r="B1293" s="2">
        <v>44999</v>
      </c>
      <c r="C1293">
        <v>42647</v>
      </c>
      <c r="D1293" t="s">
        <v>48</v>
      </c>
      <c r="E1293" t="s">
        <v>179</v>
      </c>
      <c r="F1293" t="s">
        <v>180</v>
      </c>
      <c r="G1293">
        <v>1</v>
      </c>
      <c r="H1293">
        <v>9.59</v>
      </c>
      <c r="I1293">
        <v>0.2</v>
      </c>
      <c r="J1293">
        <v>7.67</v>
      </c>
      <c r="K1293" t="s">
        <v>22</v>
      </c>
      <c r="L1293" t="s">
        <v>17</v>
      </c>
      <c r="M1293" t="s">
        <v>123</v>
      </c>
    </row>
    <row r="1294" spans="1:13" x14ac:dyDescent="0.2">
      <c r="A1294">
        <v>312943</v>
      </c>
      <c r="B1294" s="1">
        <v>45448</v>
      </c>
      <c r="C1294">
        <v>80964</v>
      </c>
      <c r="D1294" t="s">
        <v>85</v>
      </c>
      <c r="E1294" t="s">
        <v>153</v>
      </c>
      <c r="F1294" t="s">
        <v>154</v>
      </c>
      <c r="G1294">
        <v>3</v>
      </c>
      <c r="H1294">
        <v>22.49</v>
      </c>
      <c r="I1294">
        <v>0.25</v>
      </c>
      <c r="J1294">
        <v>50.6</v>
      </c>
      <c r="K1294" t="s">
        <v>16</v>
      </c>
      <c r="L1294" t="s">
        <v>17</v>
      </c>
      <c r="M1294" t="s">
        <v>67</v>
      </c>
    </row>
    <row r="1295" spans="1:13" x14ac:dyDescent="0.2">
      <c r="A1295">
        <v>313014</v>
      </c>
      <c r="B1295" s="1">
        <v>45157</v>
      </c>
      <c r="C1295">
        <v>59019</v>
      </c>
      <c r="D1295" t="s">
        <v>85</v>
      </c>
      <c r="E1295" t="s">
        <v>149</v>
      </c>
      <c r="F1295" t="s">
        <v>150</v>
      </c>
      <c r="G1295">
        <v>3</v>
      </c>
      <c r="H1295">
        <v>14.99</v>
      </c>
      <c r="I1295">
        <v>0.25</v>
      </c>
      <c r="J1295">
        <v>33.729999999999997</v>
      </c>
      <c r="K1295" t="s">
        <v>36</v>
      </c>
      <c r="L1295" t="s">
        <v>37</v>
      </c>
      <c r="M1295" t="s">
        <v>117</v>
      </c>
    </row>
    <row r="1296" spans="1:13" x14ac:dyDescent="0.2">
      <c r="A1296">
        <v>313033</v>
      </c>
      <c r="B1296" s="1">
        <v>44646</v>
      </c>
      <c r="C1296">
        <v>69737</v>
      </c>
      <c r="D1296" t="s">
        <v>82</v>
      </c>
      <c r="E1296" t="s">
        <v>168</v>
      </c>
      <c r="F1296" t="s">
        <v>169</v>
      </c>
      <c r="G1296">
        <v>3</v>
      </c>
      <c r="H1296">
        <v>7.19</v>
      </c>
      <c r="I1296">
        <v>0.2</v>
      </c>
      <c r="J1296">
        <v>17.260000000000002</v>
      </c>
      <c r="K1296" t="s">
        <v>36</v>
      </c>
      <c r="L1296" t="s">
        <v>17</v>
      </c>
      <c r="M1296" t="s">
        <v>67</v>
      </c>
    </row>
    <row r="1297" spans="1:13" x14ac:dyDescent="0.2">
      <c r="A1297">
        <v>313051</v>
      </c>
      <c r="B1297" s="1">
        <v>44957</v>
      </c>
      <c r="C1297">
        <v>13574</v>
      </c>
      <c r="D1297" t="s">
        <v>48</v>
      </c>
      <c r="E1297" t="s">
        <v>109</v>
      </c>
      <c r="F1297" t="s">
        <v>110</v>
      </c>
      <c r="G1297">
        <v>2</v>
      </c>
      <c r="H1297">
        <v>6.99</v>
      </c>
      <c r="J1297">
        <v>13.98</v>
      </c>
      <c r="K1297" t="s">
        <v>36</v>
      </c>
      <c r="L1297" t="s">
        <v>17</v>
      </c>
      <c r="M1297" t="s">
        <v>62</v>
      </c>
    </row>
    <row r="1298" spans="1:13" x14ac:dyDescent="0.2">
      <c r="A1298">
        <v>313268</v>
      </c>
      <c r="B1298" s="1">
        <v>45164</v>
      </c>
      <c r="D1298" t="s">
        <v>40</v>
      </c>
      <c r="E1298" t="s">
        <v>197</v>
      </c>
      <c r="F1298" t="s">
        <v>198</v>
      </c>
      <c r="G1298">
        <v>1</v>
      </c>
      <c r="H1298">
        <v>14.24</v>
      </c>
      <c r="I1298">
        <v>0.05</v>
      </c>
      <c r="J1298">
        <v>13.53</v>
      </c>
      <c r="K1298" t="s">
        <v>36</v>
      </c>
      <c r="L1298" t="s">
        <v>37</v>
      </c>
      <c r="M1298" t="s">
        <v>81</v>
      </c>
    </row>
    <row r="1299" spans="1:13" x14ac:dyDescent="0.2">
      <c r="A1299">
        <v>313635</v>
      </c>
      <c r="B1299" s="1">
        <v>45641</v>
      </c>
      <c r="C1299">
        <v>66614</v>
      </c>
      <c r="D1299" t="s">
        <v>85</v>
      </c>
      <c r="E1299" t="s">
        <v>153</v>
      </c>
      <c r="F1299" t="s">
        <v>154</v>
      </c>
      <c r="G1299">
        <v>2</v>
      </c>
      <c r="H1299">
        <v>23.99</v>
      </c>
      <c r="I1299">
        <v>0.2</v>
      </c>
      <c r="J1299">
        <v>38.380000000000003</v>
      </c>
      <c r="K1299" t="s">
        <v>36</v>
      </c>
      <c r="L1299" t="s">
        <v>17</v>
      </c>
      <c r="M1299" t="s">
        <v>102</v>
      </c>
    </row>
    <row r="1300" spans="1:13" x14ac:dyDescent="0.2">
      <c r="A1300">
        <v>313666</v>
      </c>
      <c r="B1300" s="1">
        <v>45048</v>
      </c>
      <c r="C1300">
        <v>97819</v>
      </c>
      <c r="D1300" t="s">
        <v>63</v>
      </c>
      <c r="E1300" t="s">
        <v>131</v>
      </c>
      <c r="F1300" t="s">
        <v>132</v>
      </c>
      <c r="G1300">
        <v>5</v>
      </c>
      <c r="H1300">
        <v>2.79</v>
      </c>
      <c r="I1300">
        <v>0.2</v>
      </c>
      <c r="J1300">
        <v>11.16</v>
      </c>
      <c r="K1300" t="s">
        <v>16</v>
      </c>
      <c r="L1300" t="s">
        <v>23</v>
      </c>
      <c r="M1300" t="s">
        <v>57</v>
      </c>
    </row>
    <row r="1301" spans="1:13" x14ac:dyDescent="0.2">
      <c r="A1301">
        <v>313705</v>
      </c>
      <c r="B1301" s="1">
        <v>45612</v>
      </c>
      <c r="C1301">
        <v>10985</v>
      </c>
      <c r="D1301" t="s">
        <v>97</v>
      </c>
      <c r="E1301" t="s">
        <v>193</v>
      </c>
      <c r="F1301" t="s">
        <v>194</v>
      </c>
      <c r="G1301">
        <v>2</v>
      </c>
      <c r="H1301">
        <v>45.49</v>
      </c>
      <c r="I1301">
        <v>0.3</v>
      </c>
      <c r="J1301">
        <v>63.69</v>
      </c>
      <c r="K1301" t="s">
        <v>22</v>
      </c>
      <c r="L1301" t="s">
        <v>37</v>
      </c>
      <c r="M1301" t="s">
        <v>33</v>
      </c>
    </row>
    <row r="1302" spans="1:13" x14ac:dyDescent="0.2">
      <c r="A1302">
        <v>314276</v>
      </c>
      <c r="B1302" s="1">
        <v>45293</v>
      </c>
      <c r="C1302">
        <v>52650</v>
      </c>
      <c r="D1302" t="s">
        <v>97</v>
      </c>
      <c r="E1302" t="s">
        <v>151</v>
      </c>
      <c r="F1302" t="s">
        <v>152</v>
      </c>
      <c r="G1302">
        <v>3</v>
      </c>
      <c r="H1302">
        <v>31.49</v>
      </c>
      <c r="I1302">
        <v>0.1</v>
      </c>
      <c r="J1302">
        <v>85.02</v>
      </c>
      <c r="K1302" t="s">
        <v>22</v>
      </c>
      <c r="L1302" t="s">
        <v>17</v>
      </c>
      <c r="M1302" t="s">
        <v>123</v>
      </c>
    </row>
    <row r="1303" spans="1:13" x14ac:dyDescent="0.2">
      <c r="A1303">
        <v>314418</v>
      </c>
      <c r="B1303" s="1">
        <v>44674</v>
      </c>
      <c r="C1303">
        <v>92153</v>
      </c>
      <c r="D1303" t="s">
        <v>25</v>
      </c>
      <c r="E1303" t="s">
        <v>60</v>
      </c>
      <c r="F1303" t="s">
        <v>61</v>
      </c>
      <c r="G1303">
        <v>3</v>
      </c>
      <c r="H1303">
        <v>52.24</v>
      </c>
      <c r="I1303">
        <v>0.05</v>
      </c>
      <c r="J1303">
        <v>148.88</v>
      </c>
      <c r="K1303" t="s">
        <v>95</v>
      </c>
      <c r="L1303" t="s">
        <v>23</v>
      </c>
      <c r="M1303" t="s">
        <v>90</v>
      </c>
    </row>
    <row r="1304" spans="1:13" x14ac:dyDescent="0.2">
      <c r="A1304">
        <v>314656</v>
      </c>
      <c r="B1304" s="1">
        <v>44699</v>
      </c>
      <c r="C1304">
        <v>95070</v>
      </c>
      <c r="D1304" t="s">
        <v>82</v>
      </c>
      <c r="E1304" t="s">
        <v>188</v>
      </c>
      <c r="F1304" t="s">
        <v>189</v>
      </c>
      <c r="G1304">
        <v>3</v>
      </c>
      <c r="H1304">
        <v>31.49</v>
      </c>
      <c r="I1304">
        <v>0.3</v>
      </c>
      <c r="J1304">
        <v>66.13</v>
      </c>
      <c r="K1304" t="s">
        <v>36</v>
      </c>
      <c r="L1304" t="s">
        <v>17</v>
      </c>
      <c r="M1304" t="s">
        <v>90</v>
      </c>
    </row>
    <row r="1305" spans="1:13" x14ac:dyDescent="0.2">
      <c r="A1305">
        <v>314687</v>
      </c>
      <c r="B1305" s="1">
        <v>45506</v>
      </c>
      <c r="C1305">
        <v>72760</v>
      </c>
      <c r="D1305" t="s">
        <v>29</v>
      </c>
      <c r="E1305" t="s">
        <v>30</v>
      </c>
      <c r="F1305" t="s">
        <v>31</v>
      </c>
      <c r="G1305">
        <v>1</v>
      </c>
      <c r="H1305">
        <v>22.49</v>
      </c>
      <c r="I1305">
        <v>0.1</v>
      </c>
      <c r="J1305">
        <v>20.239999999999998</v>
      </c>
      <c r="K1305" t="s">
        <v>36</v>
      </c>
      <c r="L1305" t="s">
        <v>17</v>
      </c>
      <c r="M1305" t="s">
        <v>90</v>
      </c>
    </row>
    <row r="1306" spans="1:13" x14ac:dyDescent="0.2">
      <c r="A1306">
        <v>314862</v>
      </c>
      <c r="B1306" s="2">
        <v>45439</v>
      </c>
      <c r="C1306">
        <v>68941</v>
      </c>
      <c r="D1306" t="s">
        <v>48</v>
      </c>
      <c r="E1306" t="s">
        <v>118</v>
      </c>
      <c r="F1306" t="s">
        <v>119</v>
      </c>
      <c r="G1306">
        <v>1</v>
      </c>
      <c r="H1306">
        <v>4.99</v>
      </c>
      <c r="J1306">
        <v>4.99</v>
      </c>
      <c r="K1306" t="s">
        <v>16</v>
      </c>
      <c r="L1306" t="s">
        <v>17</v>
      </c>
      <c r="M1306" t="s">
        <v>90</v>
      </c>
    </row>
    <row r="1307" spans="1:13" x14ac:dyDescent="0.2">
      <c r="A1307">
        <v>314942</v>
      </c>
      <c r="B1307" s="1">
        <v>45477</v>
      </c>
      <c r="C1307">
        <v>79144</v>
      </c>
      <c r="D1307" t="s">
        <v>13</v>
      </c>
      <c r="E1307" t="s">
        <v>55</v>
      </c>
      <c r="F1307" t="s">
        <v>56</v>
      </c>
      <c r="G1307">
        <v>1</v>
      </c>
      <c r="H1307">
        <v>230.99</v>
      </c>
      <c r="I1307">
        <v>0.3</v>
      </c>
      <c r="J1307">
        <v>161.69</v>
      </c>
      <c r="K1307" t="s">
        <v>36</v>
      </c>
      <c r="L1307" t="s">
        <v>17</v>
      </c>
      <c r="M1307" t="s">
        <v>47</v>
      </c>
    </row>
    <row r="1308" spans="1:13" x14ac:dyDescent="0.2">
      <c r="A1308">
        <v>315104</v>
      </c>
      <c r="B1308" s="1">
        <v>45114</v>
      </c>
      <c r="D1308" t="s">
        <v>48</v>
      </c>
      <c r="E1308" t="s">
        <v>179</v>
      </c>
      <c r="F1308" t="s">
        <v>180</v>
      </c>
      <c r="G1308">
        <v>3</v>
      </c>
      <c r="H1308">
        <v>8.39</v>
      </c>
      <c r="I1308">
        <v>0.3</v>
      </c>
      <c r="J1308">
        <v>17.62</v>
      </c>
      <c r="K1308" t="s">
        <v>16</v>
      </c>
      <c r="L1308" t="s">
        <v>37</v>
      </c>
      <c r="M1308" t="s">
        <v>117</v>
      </c>
    </row>
    <row r="1309" spans="1:13" x14ac:dyDescent="0.2">
      <c r="A1309">
        <v>315146</v>
      </c>
      <c r="B1309" s="1">
        <v>45137</v>
      </c>
      <c r="C1309">
        <v>82929</v>
      </c>
      <c r="D1309" t="s">
        <v>97</v>
      </c>
      <c r="E1309" t="s">
        <v>98</v>
      </c>
      <c r="F1309" t="s">
        <v>99</v>
      </c>
      <c r="G1309">
        <v>3</v>
      </c>
      <c r="H1309">
        <v>27.99</v>
      </c>
      <c r="J1309">
        <v>83.97</v>
      </c>
      <c r="K1309" t="s">
        <v>36</v>
      </c>
      <c r="L1309" t="s">
        <v>17</v>
      </c>
      <c r="M1309" t="s">
        <v>76</v>
      </c>
    </row>
    <row r="1310" spans="1:13" x14ac:dyDescent="0.2">
      <c r="A1310">
        <v>315505</v>
      </c>
      <c r="B1310" s="2">
        <v>44709</v>
      </c>
      <c r="C1310">
        <v>91042</v>
      </c>
      <c r="D1310" t="s">
        <v>40</v>
      </c>
      <c r="E1310" t="s">
        <v>115</v>
      </c>
      <c r="F1310" t="s">
        <v>116</v>
      </c>
      <c r="G1310">
        <v>2</v>
      </c>
      <c r="H1310">
        <v>12.99</v>
      </c>
      <c r="J1310">
        <v>25.98</v>
      </c>
      <c r="K1310" t="s">
        <v>16</v>
      </c>
      <c r="L1310" t="s">
        <v>37</v>
      </c>
      <c r="M1310" t="s">
        <v>103</v>
      </c>
    </row>
    <row r="1311" spans="1:13" x14ac:dyDescent="0.2">
      <c r="A1311">
        <v>315531</v>
      </c>
      <c r="B1311" s="1">
        <v>45632</v>
      </c>
      <c r="C1311">
        <v>77104</v>
      </c>
      <c r="D1311" t="s">
        <v>85</v>
      </c>
      <c r="E1311" t="s">
        <v>145</v>
      </c>
      <c r="F1311" t="s">
        <v>146</v>
      </c>
      <c r="G1311">
        <v>2</v>
      </c>
      <c r="H1311">
        <v>16.989999999999998</v>
      </c>
      <c r="J1311">
        <v>33.979999999999997</v>
      </c>
      <c r="K1311" t="s">
        <v>22</v>
      </c>
      <c r="L1311" t="s">
        <v>17</v>
      </c>
      <c r="M1311" t="s">
        <v>67</v>
      </c>
    </row>
    <row r="1312" spans="1:13" x14ac:dyDescent="0.2">
      <c r="A1312">
        <v>315811</v>
      </c>
      <c r="B1312" s="2">
        <v>45323</v>
      </c>
      <c r="C1312">
        <v>17213</v>
      </c>
      <c r="D1312" t="s">
        <v>167</v>
      </c>
      <c r="E1312" t="s">
        <v>143</v>
      </c>
      <c r="F1312" t="s">
        <v>144</v>
      </c>
      <c r="G1312">
        <v>1</v>
      </c>
      <c r="H1312">
        <v>12.74</v>
      </c>
      <c r="I1312">
        <v>0.15</v>
      </c>
      <c r="J1312">
        <v>10.83</v>
      </c>
      <c r="K1312" t="s">
        <v>16</v>
      </c>
      <c r="L1312" t="s">
        <v>17</v>
      </c>
      <c r="M1312" t="s">
        <v>28</v>
      </c>
    </row>
    <row r="1313" spans="1:13" x14ac:dyDescent="0.2">
      <c r="A1313">
        <v>315936</v>
      </c>
      <c r="B1313" s="1">
        <v>45468</v>
      </c>
      <c r="C1313">
        <v>31346</v>
      </c>
      <c r="D1313" t="s">
        <v>48</v>
      </c>
      <c r="E1313" t="s">
        <v>179</v>
      </c>
      <c r="F1313" t="s">
        <v>180</v>
      </c>
      <c r="G1313">
        <v>2</v>
      </c>
      <c r="H1313">
        <v>11.99</v>
      </c>
      <c r="J1313">
        <v>23.98</v>
      </c>
      <c r="K1313" t="s">
        <v>16</v>
      </c>
      <c r="L1313" t="s">
        <v>17</v>
      </c>
      <c r="M1313" t="s">
        <v>81</v>
      </c>
    </row>
    <row r="1314" spans="1:13" x14ac:dyDescent="0.2">
      <c r="A1314">
        <v>316207</v>
      </c>
      <c r="B1314" s="1">
        <v>45439</v>
      </c>
      <c r="C1314">
        <v>83740</v>
      </c>
      <c r="D1314" t="s">
        <v>63</v>
      </c>
      <c r="E1314" t="s">
        <v>131</v>
      </c>
      <c r="F1314" t="s">
        <v>132</v>
      </c>
      <c r="G1314">
        <v>2</v>
      </c>
      <c r="H1314">
        <v>2.62</v>
      </c>
      <c r="I1314">
        <v>0.25</v>
      </c>
      <c r="J1314">
        <v>3.93</v>
      </c>
      <c r="K1314" t="s">
        <v>36</v>
      </c>
      <c r="L1314" t="s">
        <v>17</v>
      </c>
      <c r="M1314" t="s">
        <v>161</v>
      </c>
    </row>
    <row r="1315" spans="1:13" x14ac:dyDescent="0.2">
      <c r="A1315">
        <v>316218</v>
      </c>
      <c r="B1315" s="2">
        <v>45413</v>
      </c>
      <c r="C1315">
        <v>68633</v>
      </c>
      <c r="D1315" t="s">
        <v>82</v>
      </c>
      <c r="E1315" t="s">
        <v>100</v>
      </c>
      <c r="F1315" t="s">
        <v>101</v>
      </c>
      <c r="G1315">
        <v>3</v>
      </c>
      <c r="H1315">
        <v>22.99</v>
      </c>
      <c r="J1315">
        <v>68.97</v>
      </c>
      <c r="K1315" t="s">
        <v>16</v>
      </c>
      <c r="L1315" t="s">
        <v>17</v>
      </c>
      <c r="M1315" t="s">
        <v>47</v>
      </c>
    </row>
    <row r="1316" spans="1:13" x14ac:dyDescent="0.2">
      <c r="A1316">
        <v>316254</v>
      </c>
      <c r="B1316" s="1">
        <v>44627</v>
      </c>
      <c r="C1316">
        <v>79677</v>
      </c>
      <c r="D1316" t="s">
        <v>13</v>
      </c>
      <c r="E1316" t="s">
        <v>186</v>
      </c>
      <c r="F1316" t="s">
        <v>187</v>
      </c>
      <c r="G1316">
        <v>4</v>
      </c>
      <c r="H1316">
        <v>34.99</v>
      </c>
      <c r="I1316">
        <v>0.3</v>
      </c>
      <c r="J1316">
        <v>97.97</v>
      </c>
      <c r="K1316" t="s">
        <v>16</v>
      </c>
      <c r="L1316" t="s">
        <v>17</v>
      </c>
      <c r="M1316" t="s">
        <v>90</v>
      </c>
    </row>
    <row r="1317" spans="1:13" x14ac:dyDescent="0.2">
      <c r="A1317">
        <v>316456</v>
      </c>
      <c r="B1317" s="1">
        <v>44694</v>
      </c>
      <c r="C1317">
        <v>25675</v>
      </c>
      <c r="D1317" t="s">
        <v>40</v>
      </c>
      <c r="E1317" t="s">
        <v>41</v>
      </c>
      <c r="F1317" t="s">
        <v>42</v>
      </c>
      <c r="G1317">
        <v>1</v>
      </c>
      <c r="H1317">
        <v>5.09</v>
      </c>
      <c r="I1317">
        <v>0.15</v>
      </c>
      <c r="J1317">
        <v>4.33</v>
      </c>
      <c r="K1317" t="s">
        <v>22</v>
      </c>
      <c r="L1317" t="s">
        <v>17</v>
      </c>
      <c r="M1317" t="s">
        <v>117</v>
      </c>
    </row>
    <row r="1318" spans="1:13" x14ac:dyDescent="0.2">
      <c r="A1318">
        <v>316904</v>
      </c>
      <c r="B1318" s="2">
        <v>44980</v>
      </c>
      <c r="C1318">
        <v>77907</v>
      </c>
      <c r="D1318" t="s">
        <v>29</v>
      </c>
      <c r="E1318" t="s">
        <v>30</v>
      </c>
      <c r="F1318" t="s">
        <v>31</v>
      </c>
      <c r="G1318">
        <v>1</v>
      </c>
      <c r="H1318">
        <v>18.739999999999998</v>
      </c>
      <c r="J1318">
        <v>18.739999999999998</v>
      </c>
      <c r="K1318" t="s">
        <v>95</v>
      </c>
      <c r="L1318" t="s">
        <v>17</v>
      </c>
      <c r="M1318" t="s">
        <v>62</v>
      </c>
    </row>
    <row r="1319" spans="1:13" x14ac:dyDescent="0.2">
      <c r="A1319">
        <v>317440</v>
      </c>
      <c r="B1319" s="1">
        <v>45456</v>
      </c>
      <c r="C1319">
        <v>40662</v>
      </c>
      <c r="D1319" t="s">
        <v>82</v>
      </c>
      <c r="E1319" t="s">
        <v>83</v>
      </c>
      <c r="F1319" t="s">
        <v>84</v>
      </c>
      <c r="G1319">
        <v>2</v>
      </c>
      <c r="H1319">
        <v>11.89</v>
      </c>
      <c r="I1319">
        <v>0.3</v>
      </c>
      <c r="J1319">
        <v>16.649999999999999</v>
      </c>
      <c r="K1319" t="s">
        <v>32</v>
      </c>
      <c r="L1319" t="s">
        <v>17</v>
      </c>
      <c r="M1319" t="s">
        <v>67</v>
      </c>
    </row>
    <row r="1320" spans="1:13" x14ac:dyDescent="0.2">
      <c r="A1320">
        <v>317674</v>
      </c>
      <c r="B1320" s="1">
        <v>45638</v>
      </c>
      <c r="C1320">
        <v>84525</v>
      </c>
      <c r="D1320" t="s">
        <v>13</v>
      </c>
      <c r="E1320" t="s">
        <v>127</v>
      </c>
      <c r="F1320" t="s">
        <v>128</v>
      </c>
      <c r="G1320">
        <v>2</v>
      </c>
      <c r="H1320">
        <v>17.989999999999998</v>
      </c>
      <c r="J1320">
        <v>35.979999999999997</v>
      </c>
      <c r="K1320" t="s">
        <v>16</v>
      </c>
      <c r="L1320" t="s">
        <v>17</v>
      </c>
      <c r="M1320" t="s">
        <v>57</v>
      </c>
    </row>
    <row r="1321" spans="1:13" x14ac:dyDescent="0.2">
      <c r="A1321">
        <v>317721</v>
      </c>
      <c r="B1321" s="2">
        <v>44783</v>
      </c>
      <c r="C1321">
        <v>58242</v>
      </c>
      <c r="D1321" t="s">
        <v>97</v>
      </c>
      <c r="E1321" t="s">
        <v>98</v>
      </c>
      <c r="F1321" t="s">
        <v>99</v>
      </c>
      <c r="G1321">
        <v>2</v>
      </c>
      <c r="H1321">
        <v>20.99</v>
      </c>
      <c r="I1321">
        <v>0.25</v>
      </c>
      <c r="J1321">
        <v>31.48</v>
      </c>
      <c r="K1321" t="s">
        <v>16</v>
      </c>
      <c r="L1321" t="s">
        <v>37</v>
      </c>
      <c r="M1321" t="s">
        <v>161</v>
      </c>
    </row>
    <row r="1322" spans="1:13" x14ac:dyDescent="0.2">
      <c r="A1322">
        <v>317881</v>
      </c>
      <c r="B1322" s="2">
        <v>44685</v>
      </c>
      <c r="C1322">
        <v>41439</v>
      </c>
      <c r="D1322" t="s">
        <v>29</v>
      </c>
      <c r="E1322" t="s">
        <v>175</v>
      </c>
      <c r="F1322" t="s">
        <v>176</v>
      </c>
      <c r="G1322">
        <v>5</v>
      </c>
      <c r="H1322">
        <v>11.99</v>
      </c>
      <c r="J1322">
        <v>59.95</v>
      </c>
      <c r="K1322" t="s">
        <v>16</v>
      </c>
      <c r="L1322" t="s">
        <v>17</v>
      </c>
      <c r="M1322" t="s">
        <v>81</v>
      </c>
    </row>
    <row r="1323" spans="1:13" x14ac:dyDescent="0.2">
      <c r="A1323">
        <v>317916</v>
      </c>
      <c r="B1323" s="1">
        <v>45443</v>
      </c>
      <c r="C1323">
        <v>57197</v>
      </c>
      <c r="D1323" t="s">
        <v>63</v>
      </c>
      <c r="E1323" t="s">
        <v>131</v>
      </c>
      <c r="F1323" t="s">
        <v>132</v>
      </c>
      <c r="G1323">
        <v>4</v>
      </c>
      <c r="H1323">
        <v>3.49</v>
      </c>
      <c r="J1323">
        <v>13.96</v>
      </c>
      <c r="K1323" t="s">
        <v>53</v>
      </c>
      <c r="L1323" t="s">
        <v>23</v>
      </c>
      <c r="M1323" t="s">
        <v>28</v>
      </c>
    </row>
    <row r="1324" spans="1:13" x14ac:dyDescent="0.2">
      <c r="A1324">
        <v>318299</v>
      </c>
      <c r="B1324" s="1">
        <v>45156</v>
      </c>
      <c r="C1324">
        <v>61937</v>
      </c>
      <c r="D1324" t="s">
        <v>29</v>
      </c>
      <c r="E1324" t="s">
        <v>88</v>
      </c>
      <c r="F1324" t="s">
        <v>89</v>
      </c>
      <c r="G1324">
        <v>1</v>
      </c>
      <c r="H1324">
        <v>49.99</v>
      </c>
      <c r="J1324">
        <v>49.99</v>
      </c>
      <c r="K1324" t="s">
        <v>95</v>
      </c>
      <c r="L1324" t="s">
        <v>37</v>
      </c>
      <c r="M1324" t="s">
        <v>117</v>
      </c>
    </row>
    <row r="1325" spans="1:13" x14ac:dyDescent="0.2">
      <c r="A1325">
        <v>318376</v>
      </c>
      <c r="B1325" s="2">
        <v>45261</v>
      </c>
      <c r="C1325">
        <v>76948</v>
      </c>
      <c r="D1325" t="s">
        <v>48</v>
      </c>
      <c r="E1325" t="s">
        <v>109</v>
      </c>
      <c r="F1325" t="s">
        <v>110</v>
      </c>
      <c r="G1325">
        <v>1</v>
      </c>
      <c r="H1325">
        <v>5.59</v>
      </c>
      <c r="I1325">
        <v>0.2</v>
      </c>
      <c r="J1325">
        <v>4.47</v>
      </c>
      <c r="K1325" t="s">
        <v>16</v>
      </c>
      <c r="L1325" t="s">
        <v>37</v>
      </c>
      <c r="M1325" t="s">
        <v>28</v>
      </c>
    </row>
    <row r="1326" spans="1:13" x14ac:dyDescent="0.2">
      <c r="A1326">
        <v>318403</v>
      </c>
      <c r="B1326" s="1">
        <v>45265</v>
      </c>
      <c r="C1326">
        <v>47820</v>
      </c>
      <c r="D1326" t="s">
        <v>44</v>
      </c>
      <c r="E1326" t="s">
        <v>190</v>
      </c>
      <c r="F1326" t="s">
        <v>191</v>
      </c>
      <c r="G1326">
        <v>3</v>
      </c>
      <c r="H1326">
        <v>4.29</v>
      </c>
      <c r="J1326">
        <v>12.87</v>
      </c>
      <c r="K1326" t="s">
        <v>16</v>
      </c>
      <c r="L1326" t="s">
        <v>37</v>
      </c>
      <c r="M1326" t="s">
        <v>54</v>
      </c>
    </row>
    <row r="1327" spans="1:13" x14ac:dyDescent="0.2">
      <c r="A1327">
        <v>318499</v>
      </c>
      <c r="B1327" s="1">
        <v>45367</v>
      </c>
      <c r="C1327">
        <v>53440</v>
      </c>
      <c r="D1327" t="s">
        <v>85</v>
      </c>
      <c r="E1327" t="s">
        <v>129</v>
      </c>
      <c r="F1327" t="s">
        <v>130</v>
      </c>
      <c r="G1327">
        <v>4</v>
      </c>
      <c r="H1327">
        <v>6.29</v>
      </c>
      <c r="I1327">
        <v>0.3</v>
      </c>
      <c r="J1327">
        <v>17.61</v>
      </c>
      <c r="K1327" t="s">
        <v>32</v>
      </c>
      <c r="L1327" t="s">
        <v>17</v>
      </c>
      <c r="M1327" t="s">
        <v>43</v>
      </c>
    </row>
    <row r="1328" spans="1:13" x14ac:dyDescent="0.2">
      <c r="A1328">
        <v>319817</v>
      </c>
      <c r="B1328" s="1">
        <v>44886</v>
      </c>
      <c r="C1328">
        <v>58645</v>
      </c>
      <c r="D1328" t="s">
        <v>29</v>
      </c>
      <c r="E1328" t="s">
        <v>88</v>
      </c>
      <c r="F1328" t="s">
        <v>89</v>
      </c>
      <c r="G1328">
        <v>1</v>
      </c>
      <c r="H1328">
        <v>39.99</v>
      </c>
      <c r="I1328">
        <v>0.2</v>
      </c>
      <c r="J1328">
        <v>31.99</v>
      </c>
      <c r="K1328" t="s">
        <v>16</v>
      </c>
      <c r="L1328" t="s">
        <v>17</v>
      </c>
      <c r="M1328" t="s">
        <v>24</v>
      </c>
    </row>
    <row r="1329" spans="1:13" x14ac:dyDescent="0.2">
      <c r="A1329">
        <v>320207</v>
      </c>
      <c r="B1329" s="1">
        <v>45479</v>
      </c>
      <c r="C1329">
        <v>29371</v>
      </c>
      <c r="D1329" t="s">
        <v>25</v>
      </c>
      <c r="E1329" t="s">
        <v>51</v>
      </c>
      <c r="F1329" t="s">
        <v>52</v>
      </c>
      <c r="G1329">
        <v>1</v>
      </c>
      <c r="H1329">
        <v>27.99</v>
      </c>
      <c r="J1329">
        <v>27.99</v>
      </c>
      <c r="K1329" t="s">
        <v>36</v>
      </c>
      <c r="L1329" t="s">
        <v>37</v>
      </c>
      <c r="M1329" t="s">
        <v>18</v>
      </c>
    </row>
    <row r="1330" spans="1:13" x14ac:dyDescent="0.2">
      <c r="A1330">
        <v>320247</v>
      </c>
      <c r="B1330" s="1">
        <v>45569</v>
      </c>
      <c r="C1330">
        <v>55125</v>
      </c>
      <c r="D1330" t="s">
        <v>63</v>
      </c>
      <c r="E1330" t="s">
        <v>125</v>
      </c>
      <c r="F1330" t="s">
        <v>126</v>
      </c>
      <c r="G1330">
        <v>1</v>
      </c>
      <c r="H1330">
        <v>29.99</v>
      </c>
      <c r="J1330">
        <v>29.99</v>
      </c>
      <c r="K1330" t="s">
        <v>16</v>
      </c>
      <c r="L1330" t="s">
        <v>17</v>
      </c>
    </row>
    <row r="1331" spans="1:13" x14ac:dyDescent="0.2">
      <c r="A1331">
        <v>320333</v>
      </c>
      <c r="B1331" s="1">
        <v>45220</v>
      </c>
      <c r="C1331">
        <v>89349</v>
      </c>
      <c r="D1331" t="s">
        <v>48</v>
      </c>
      <c r="E1331" t="s">
        <v>179</v>
      </c>
      <c r="F1331" t="s">
        <v>180</v>
      </c>
      <c r="G1331">
        <v>1</v>
      </c>
      <c r="H1331">
        <v>11.99</v>
      </c>
      <c r="J1331">
        <v>11.99</v>
      </c>
      <c r="K1331" t="s">
        <v>16</v>
      </c>
      <c r="L1331" t="s">
        <v>17</v>
      </c>
      <c r="M1331" t="s">
        <v>102</v>
      </c>
    </row>
    <row r="1332" spans="1:13" x14ac:dyDescent="0.2">
      <c r="A1332">
        <v>320376</v>
      </c>
      <c r="B1332" s="1">
        <v>45244</v>
      </c>
      <c r="C1332">
        <v>70073</v>
      </c>
      <c r="D1332" t="s">
        <v>13</v>
      </c>
      <c r="E1332" t="s">
        <v>34</v>
      </c>
      <c r="F1332" t="s">
        <v>35</v>
      </c>
      <c r="G1332">
        <v>4</v>
      </c>
      <c r="H1332">
        <v>24.49</v>
      </c>
      <c r="I1332">
        <v>0.3</v>
      </c>
      <c r="J1332">
        <v>68.569999999999993</v>
      </c>
      <c r="K1332" t="s">
        <v>32</v>
      </c>
      <c r="L1332" t="s">
        <v>17</v>
      </c>
      <c r="M1332" t="s">
        <v>120</v>
      </c>
    </row>
    <row r="1333" spans="1:13" x14ac:dyDescent="0.2">
      <c r="A1333">
        <v>320406</v>
      </c>
      <c r="B1333" s="1">
        <v>45120</v>
      </c>
      <c r="C1333">
        <v>40046</v>
      </c>
      <c r="D1333" t="s">
        <v>48</v>
      </c>
      <c r="E1333" t="s">
        <v>118</v>
      </c>
      <c r="F1333" t="s">
        <v>119</v>
      </c>
      <c r="G1333">
        <v>1</v>
      </c>
      <c r="H1333">
        <v>4.99</v>
      </c>
      <c r="J1333">
        <v>4.99</v>
      </c>
      <c r="K1333" t="s">
        <v>95</v>
      </c>
      <c r="L1333" t="s">
        <v>17</v>
      </c>
      <c r="M1333" t="s">
        <v>117</v>
      </c>
    </row>
    <row r="1334" spans="1:13" x14ac:dyDescent="0.2">
      <c r="A1334">
        <v>320973</v>
      </c>
      <c r="B1334" s="1">
        <v>44841</v>
      </c>
      <c r="C1334">
        <v>93171</v>
      </c>
      <c r="D1334" t="s">
        <v>63</v>
      </c>
      <c r="E1334" t="s">
        <v>64</v>
      </c>
      <c r="F1334" t="s">
        <v>65</v>
      </c>
      <c r="G1334">
        <v>1</v>
      </c>
      <c r="H1334">
        <v>3.99</v>
      </c>
      <c r="I1334">
        <v>0.2</v>
      </c>
      <c r="J1334">
        <v>3.19</v>
      </c>
      <c r="K1334" t="s">
        <v>53</v>
      </c>
      <c r="L1334" t="s">
        <v>17</v>
      </c>
      <c r="M1334" t="s">
        <v>96</v>
      </c>
    </row>
    <row r="1335" spans="1:13" x14ac:dyDescent="0.2">
      <c r="A1335">
        <v>321038</v>
      </c>
      <c r="B1335" s="1">
        <v>45646</v>
      </c>
      <c r="C1335">
        <v>64742</v>
      </c>
      <c r="D1335" t="s">
        <v>44</v>
      </c>
      <c r="E1335" t="s">
        <v>93</v>
      </c>
      <c r="F1335" t="s">
        <v>94</v>
      </c>
      <c r="G1335">
        <v>1</v>
      </c>
      <c r="H1335">
        <v>1.1599999999999999</v>
      </c>
      <c r="I1335">
        <v>0.1</v>
      </c>
      <c r="J1335">
        <v>1.04</v>
      </c>
      <c r="K1335" t="s">
        <v>16</v>
      </c>
      <c r="L1335" t="s">
        <v>37</v>
      </c>
    </row>
    <row r="1336" spans="1:13" x14ac:dyDescent="0.2">
      <c r="A1336">
        <v>321308</v>
      </c>
      <c r="B1336" s="2">
        <v>45076</v>
      </c>
      <c r="C1336">
        <v>79224</v>
      </c>
      <c r="D1336" t="s">
        <v>29</v>
      </c>
      <c r="E1336" t="s">
        <v>30</v>
      </c>
      <c r="F1336" t="s">
        <v>31</v>
      </c>
      <c r="G1336">
        <v>1</v>
      </c>
      <c r="H1336">
        <v>21.24</v>
      </c>
      <c r="I1336">
        <v>0.15</v>
      </c>
      <c r="J1336">
        <v>18.05</v>
      </c>
      <c r="K1336" t="s">
        <v>16</v>
      </c>
      <c r="L1336" t="s">
        <v>17</v>
      </c>
      <c r="M1336" t="s">
        <v>76</v>
      </c>
    </row>
    <row r="1337" spans="1:13" x14ac:dyDescent="0.2">
      <c r="A1337">
        <v>321550</v>
      </c>
      <c r="B1337" s="1">
        <v>45474</v>
      </c>
      <c r="C1337">
        <v>92651</v>
      </c>
      <c r="D1337" t="s">
        <v>44</v>
      </c>
      <c r="E1337" t="s">
        <v>162</v>
      </c>
      <c r="F1337" t="s">
        <v>163</v>
      </c>
      <c r="G1337">
        <v>2</v>
      </c>
      <c r="H1337">
        <v>7.59</v>
      </c>
      <c r="I1337">
        <v>0.05</v>
      </c>
      <c r="J1337">
        <v>14.42</v>
      </c>
      <c r="K1337" t="s">
        <v>36</v>
      </c>
      <c r="L1337" t="s">
        <v>17</v>
      </c>
      <c r="M1337" t="s">
        <v>33</v>
      </c>
    </row>
    <row r="1338" spans="1:13" x14ac:dyDescent="0.2">
      <c r="A1338">
        <v>321556</v>
      </c>
      <c r="B1338" s="1">
        <v>45350</v>
      </c>
      <c r="C1338">
        <v>84717</v>
      </c>
      <c r="D1338" t="s">
        <v>13</v>
      </c>
      <c r="E1338" t="s">
        <v>14</v>
      </c>
      <c r="F1338" t="s">
        <v>15</v>
      </c>
      <c r="G1338">
        <v>4</v>
      </c>
      <c r="H1338">
        <v>71.989999999999995</v>
      </c>
      <c r="I1338">
        <v>0.1</v>
      </c>
      <c r="J1338">
        <v>259.16000000000003</v>
      </c>
      <c r="K1338" t="s">
        <v>16</v>
      </c>
      <c r="L1338" t="s">
        <v>37</v>
      </c>
      <c r="M1338" t="s">
        <v>161</v>
      </c>
    </row>
    <row r="1339" spans="1:13" x14ac:dyDescent="0.2">
      <c r="A1339">
        <v>321659</v>
      </c>
      <c r="B1339" s="2">
        <v>45415</v>
      </c>
      <c r="C1339">
        <v>77698</v>
      </c>
      <c r="D1339" t="s">
        <v>40</v>
      </c>
      <c r="E1339" t="s">
        <v>197</v>
      </c>
      <c r="F1339" t="s">
        <v>198</v>
      </c>
      <c r="G1339">
        <v>1</v>
      </c>
      <c r="H1339">
        <v>14.99</v>
      </c>
      <c r="J1339">
        <v>14.99</v>
      </c>
      <c r="K1339" t="s">
        <v>36</v>
      </c>
      <c r="L1339" t="s">
        <v>17</v>
      </c>
      <c r="M1339" t="s">
        <v>81</v>
      </c>
    </row>
    <row r="1340" spans="1:13" x14ac:dyDescent="0.2">
      <c r="A1340">
        <v>321934</v>
      </c>
      <c r="B1340" s="2">
        <v>45564</v>
      </c>
      <c r="C1340">
        <v>18076</v>
      </c>
      <c r="D1340" t="s">
        <v>13</v>
      </c>
      <c r="E1340" t="s">
        <v>77</v>
      </c>
      <c r="F1340" t="s">
        <v>78</v>
      </c>
      <c r="G1340">
        <v>1</v>
      </c>
      <c r="H1340">
        <v>499.99</v>
      </c>
      <c r="J1340">
        <v>499.99</v>
      </c>
      <c r="K1340" t="s">
        <v>36</v>
      </c>
      <c r="L1340" t="s">
        <v>17</v>
      </c>
      <c r="M1340" t="s">
        <v>103</v>
      </c>
    </row>
    <row r="1341" spans="1:13" x14ac:dyDescent="0.2">
      <c r="A1341">
        <v>322151</v>
      </c>
      <c r="B1341" s="1">
        <v>45068</v>
      </c>
      <c r="C1341">
        <v>87364</v>
      </c>
      <c r="D1341" t="s">
        <v>97</v>
      </c>
      <c r="E1341" t="s">
        <v>141</v>
      </c>
      <c r="F1341" t="s">
        <v>142</v>
      </c>
      <c r="G1341">
        <v>4</v>
      </c>
      <c r="H1341">
        <v>22.99</v>
      </c>
      <c r="J1341">
        <v>91.96</v>
      </c>
      <c r="K1341" t="s">
        <v>36</v>
      </c>
      <c r="L1341" t="s">
        <v>17</v>
      </c>
      <c r="M1341" t="s">
        <v>76</v>
      </c>
    </row>
    <row r="1342" spans="1:13" x14ac:dyDescent="0.2">
      <c r="A1342">
        <v>322436</v>
      </c>
      <c r="B1342" s="2">
        <v>44724</v>
      </c>
      <c r="C1342">
        <v>21803</v>
      </c>
      <c r="D1342" t="s">
        <v>40</v>
      </c>
      <c r="E1342" t="s">
        <v>58</v>
      </c>
      <c r="F1342" t="s">
        <v>59</v>
      </c>
      <c r="G1342">
        <v>4</v>
      </c>
      <c r="H1342">
        <v>3.99</v>
      </c>
      <c r="J1342">
        <v>15.96</v>
      </c>
      <c r="K1342" t="s">
        <v>36</v>
      </c>
      <c r="L1342" t="s">
        <v>17</v>
      </c>
      <c r="M1342" t="s">
        <v>18</v>
      </c>
    </row>
    <row r="1343" spans="1:13" x14ac:dyDescent="0.2">
      <c r="A1343">
        <v>322653</v>
      </c>
      <c r="B1343" s="1">
        <v>44852</v>
      </c>
      <c r="C1343">
        <v>61672</v>
      </c>
      <c r="D1343" t="s">
        <v>82</v>
      </c>
      <c r="E1343" t="s">
        <v>100</v>
      </c>
      <c r="F1343" t="s">
        <v>101</v>
      </c>
      <c r="G1343">
        <v>4</v>
      </c>
      <c r="H1343">
        <v>22.99</v>
      </c>
      <c r="J1343">
        <v>91.96</v>
      </c>
      <c r="K1343" t="s">
        <v>16</v>
      </c>
      <c r="L1343" t="s">
        <v>23</v>
      </c>
      <c r="M1343" t="s">
        <v>54</v>
      </c>
    </row>
    <row r="1344" spans="1:13" x14ac:dyDescent="0.2">
      <c r="A1344">
        <v>322732</v>
      </c>
      <c r="B1344" s="1">
        <v>45574</v>
      </c>
      <c r="C1344">
        <v>19523</v>
      </c>
      <c r="D1344" t="s">
        <v>44</v>
      </c>
      <c r="E1344" t="s">
        <v>45</v>
      </c>
      <c r="F1344" t="s">
        <v>46</v>
      </c>
      <c r="G1344">
        <v>4</v>
      </c>
      <c r="H1344">
        <v>1.34</v>
      </c>
      <c r="I1344">
        <v>0.25</v>
      </c>
      <c r="J1344">
        <v>4.0199999999999996</v>
      </c>
      <c r="K1344" t="s">
        <v>16</v>
      </c>
      <c r="L1344" t="s">
        <v>37</v>
      </c>
      <c r="M1344" t="s">
        <v>96</v>
      </c>
    </row>
    <row r="1345" spans="1:13" x14ac:dyDescent="0.2">
      <c r="A1345">
        <v>322856</v>
      </c>
      <c r="B1345" s="1">
        <v>44601</v>
      </c>
      <c r="C1345">
        <v>89138</v>
      </c>
      <c r="D1345" t="s">
        <v>85</v>
      </c>
      <c r="E1345" t="s">
        <v>86</v>
      </c>
      <c r="F1345" t="s">
        <v>87</v>
      </c>
      <c r="G1345">
        <v>1</v>
      </c>
      <c r="H1345">
        <v>9.09</v>
      </c>
      <c r="I1345">
        <v>0.3</v>
      </c>
      <c r="J1345">
        <v>6.36</v>
      </c>
      <c r="K1345" t="s">
        <v>53</v>
      </c>
      <c r="L1345" t="s">
        <v>37</v>
      </c>
      <c r="M1345" t="s">
        <v>76</v>
      </c>
    </row>
    <row r="1346" spans="1:13" x14ac:dyDescent="0.2">
      <c r="A1346">
        <v>322897</v>
      </c>
      <c r="B1346" s="1">
        <v>44938</v>
      </c>
      <c r="C1346">
        <v>40717</v>
      </c>
      <c r="D1346" t="s">
        <v>40</v>
      </c>
      <c r="E1346" t="s">
        <v>20</v>
      </c>
      <c r="F1346" t="s">
        <v>21</v>
      </c>
      <c r="G1346">
        <v>1</v>
      </c>
      <c r="H1346">
        <v>9.99</v>
      </c>
      <c r="J1346">
        <v>9.99</v>
      </c>
      <c r="K1346" t="s">
        <v>16</v>
      </c>
      <c r="L1346" t="s">
        <v>37</v>
      </c>
      <c r="M1346" t="s">
        <v>120</v>
      </c>
    </row>
    <row r="1347" spans="1:13" x14ac:dyDescent="0.2">
      <c r="A1347">
        <v>323057</v>
      </c>
      <c r="B1347" s="1">
        <v>44642</v>
      </c>
      <c r="C1347">
        <v>80888</v>
      </c>
      <c r="D1347" t="s">
        <v>40</v>
      </c>
      <c r="E1347" t="s">
        <v>115</v>
      </c>
      <c r="F1347" t="s">
        <v>116</v>
      </c>
      <c r="G1347">
        <v>3</v>
      </c>
      <c r="H1347">
        <v>10.39</v>
      </c>
      <c r="I1347">
        <v>0.2</v>
      </c>
      <c r="J1347">
        <v>24.94</v>
      </c>
      <c r="K1347" t="s">
        <v>36</v>
      </c>
      <c r="L1347" t="s">
        <v>17</v>
      </c>
      <c r="M1347" t="s">
        <v>117</v>
      </c>
    </row>
    <row r="1348" spans="1:13" x14ac:dyDescent="0.2">
      <c r="A1348">
        <v>323095</v>
      </c>
      <c r="B1348" s="1">
        <v>44669</v>
      </c>
      <c r="C1348">
        <v>68179</v>
      </c>
      <c r="D1348" t="s">
        <v>13</v>
      </c>
      <c r="E1348" t="s">
        <v>77</v>
      </c>
      <c r="F1348" t="s">
        <v>78</v>
      </c>
      <c r="G1348">
        <v>5</v>
      </c>
      <c r="H1348">
        <v>499.99</v>
      </c>
      <c r="J1348">
        <v>2499.9499999999998</v>
      </c>
      <c r="K1348" t="s">
        <v>16</v>
      </c>
      <c r="L1348" t="s">
        <v>17</v>
      </c>
      <c r="M1348" t="s">
        <v>18</v>
      </c>
    </row>
    <row r="1349" spans="1:13" x14ac:dyDescent="0.2">
      <c r="A1349">
        <v>323535</v>
      </c>
      <c r="B1349" s="1">
        <v>45175</v>
      </c>
      <c r="C1349">
        <v>95271</v>
      </c>
      <c r="D1349" t="s">
        <v>44</v>
      </c>
      <c r="E1349" t="s">
        <v>93</v>
      </c>
      <c r="F1349" t="s">
        <v>94</v>
      </c>
      <c r="G1349">
        <v>1</v>
      </c>
      <c r="H1349">
        <v>1.23</v>
      </c>
      <c r="J1349">
        <v>1.23</v>
      </c>
      <c r="K1349" t="s">
        <v>16</v>
      </c>
      <c r="L1349" t="s">
        <v>23</v>
      </c>
      <c r="M1349" t="s">
        <v>62</v>
      </c>
    </row>
    <row r="1350" spans="1:13" x14ac:dyDescent="0.2">
      <c r="A1350">
        <v>323944</v>
      </c>
      <c r="B1350" s="1">
        <v>45256</v>
      </c>
      <c r="C1350">
        <v>36612</v>
      </c>
      <c r="D1350" t="s">
        <v>44</v>
      </c>
      <c r="E1350" t="s">
        <v>93</v>
      </c>
      <c r="F1350" t="s">
        <v>94</v>
      </c>
      <c r="G1350">
        <v>1</v>
      </c>
      <c r="H1350">
        <v>1.29</v>
      </c>
      <c r="J1350">
        <v>1.29</v>
      </c>
      <c r="K1350" t="s">
        <v>16</v>
      </c>
      <c r="L1350" t="s">
        <v>17</v>
      </c>
      <c r="M1350" t="s">
        <v>90</v>
      </c>
    </row>
    <row r="1351" spans="1:13" x14ac:dyDescent="0.2">
      <c r="A1351">
        <v>324010</v>
      </c>
      <c r="B1351" s="2">
        <v>45085</v>
      </c>
      <c r="C1351">
        <v>99832</v>
      </c>
      <c r="D1351" t="s">
        <v>85</v>
      </c>
      <c r="E1351" t="s">
        <v>137</v>
      </c>
      <c r="F1351" t="s">
        <v>138</v>
      </c>
      <c r="G1351">
        <v>2</v>
      </c>
      <c r="H1351">
        <v>7.99</v>
      </c>
      <c r="J1351">
        <v>15.98</v>
      </c>
      <c r="K1351" t="s">
        <v>53</v>
      </c>
      <c r="L1351" t="s">
        <v>17</v>
      </c>
      <c r="M1351" t="s">
        <v>161</v>
      </c>
    </row>
    <row r="1352" spans="1:13" x14ac:dyDescent="0.2">
      <c r="A1352">
        <v>324094</v>
      </c>
      <c r="B1352" s="1">
        <v>45389</v>
      </c>
      <c r="C1352">
        <v>78035</v>
      </c>
      <c r="D1352" t="s">
        <v>85</v>
      </c>
      <c r="E1352" t="s">
        <v>137</v>
      </c>
      <c r="F1352" t="s">
        <v>138</v>
      </c>
      <c r="G1352">
        <v>1</v>
      </c>
      <c r="H1352">
        <v>5.99</v>
      </c>
      <c r="I1352">
        <v>0.25</v>
      </c>
      <c r="J1352">
        <v>4.49</v>
      </c>
      <c r="K1352" t="s">
        <v>22</v>
      </c>
      <c r="L1352" t="s">
        <v>37</v>
      </c>
      <c r="M1352" t="s">
        <v>28</v>
      </c>
    </row>
    <row r="1353" spans="1:13" x14ac:dyDescent="0.2">
      <c r="A1353">
        <v>324164</v>
      </c>
      <c r="B1353" s="1">
        <v>45371</v>
      </c>
      <c r="C1353">
        <v>95720</v>
      </c>
      <c r="D1353" t="s">
        <v>85</v>
      </c>
      <c r="E1353" t="s">
        <v>145</v>
      </c>
      <c r="F1353" t="s">
        <v>146</v>
      </c>
      <c r="G1353">
        <v>1</v>
      </c>
      <c r="H1353">
        <v>13.59</v>
      </c>
      <c r="I1353">
        <v>0.2</v>
      </c>
      <c r="J1353">
        <v>10.87</v>
      </c>
      <c r="K1353" t="s">
        <v>16</v>
      </c>
      <c r="L1353" t="s">
        <v>17</v>
      </c>
      <c r="M1353" t="s">
        <v>24</v>
      </c>
    </row>
    <row r="1354" spans="1:13" x14ac:dyDescent="0.2">
      <c r="A1354">
        <v>324176</v>
      </c>
      <c r="B1354" s="1">
        <v>44965</v>
      </c>
      <c r="C1354">
        <v>45580</v>
      </c>
      <c r="D1354" t="s">
        <v>25</v>
      </c>
      <c r="E1354" t="s">
        <v>70</v>
      </c>
      <c r="F1354" t="s">
        <v>71</v>
      </c>
      <c r="G1354">
        <v>3</v>
      </c>
      <c r="H1354">
        <v>89.99</v>
      </c>
      <c r="J1354">
        <v>269.97000000000003</v>
      </c>
      <c r="K1354" t="s">
        <v>16</v>
      </c>
      <c r="L1354" t="s">
        <v>17</v>
      </c>
      <c r="M1354" t="s">
        <v>90</v>
      </c>
    </row>
    <row r="1355" spans="1:13" x14ac:dyDescent="0.2">
      <c r="A1355">
        <v>324993</v>
      </c>
      <c r="B1355" s="1">
        <v>45529</v>
      </c>
      <c r="D1355" t="s">
        <v>97</v>
      </c>
      <c r="E1355" t="s">
        <v>98</v>
      </c>
      <c r="F1355" t="s">
        <v>99</v>
      </c>
      <c r="G1355">
        <v>3</v>
      </c>
      <c r="H1355">
        <v>27.99</v>
      </c>
      <c r="J1355">
        <v>83.97</v>
      </c>
      <c r="K1355" t="s">
        <v>36</v>
      </c>
      <c r="L1355" t="s">
        <v>17</v>
      </c>
      <c r="M1355" t="s">
        <v>47</v>
      </c>
    </row>
    <row r="1356" spans="1:13" x14ac:dyDescent="0.2">
      <c r="A1356">
        <v>325038</v>
      </c>
      <c r="B1356" s="2">
        <v>45578</v>
      </c>
      <c r="C1356">
        <v>85431</v>
      </c>
      <c r="D1356" t="s">
        <v>25</v>
      </c>
      <c r="E1356" t="s">
        <v>51</v>
      </c>
      <c r="F1356" t="s">
        <v>52</v>
      </c>
      <c r="G1356">
        <v>1</v>
      </c>
      <c r="H1356">
        <v>23.79</v>
      </c>
      <c r="I1356">
        <v>0.15</v>
      </c>
      <c r="J1356">
        <v>20.22</v>
      </c>
      <c r="K1356" t="s">
        <v>36</v>
      </c>
      <c r="L1356" t="s">
        <v>17</v>
      </c>
      <c r="M1356" t="s">
        <v>28</v>
      </c>
    </row>
    <row r="1357" spans="1:13" x14ac:dyDescent="0.2">
      <c r="A1357">
        <v>325304</v>
      </c>
      <c r="B1357" s="1">
        <v>45179</v>
      </c>
      <c r="C1357">
        <v>46907</v>
      </c>
      <c r="D1357" t="s">
        <v>63</v>
      </c>
      <c r="E1357" t="s">
        <v>64</v>
      </c>
      <c r="F1357" t="s">
        <v>65</v>
      </c>
      <c r="G1357">
        <v>5</v>
      </c>
      <c r="H1357">
        <v>4.24</v>
      </c>
      <c r="I1357">
        <v>0.15</v>
      </c>
      <c r="J1357">
        <v>18.02</v>
      </c>
      <c r="K1357" t="s">
        <v>16</v>
      </c>
      <c r="L1357" t="s">
        <v>23</v>
      </c>
      <c r="M1357" t="s">
        <v>161</v>
      </c>
    </row>
    <row r="1358" spans="1:13" x14ac:dyDescent="0.2">
      <c r="A1358">
        <v>325325</v>
      </c>
      <c r="B1358" s="1">
        <v>45352</v>
      </c>
      <c r="C1358">
        <v>39539</v>
      </c>
      <c r="D1358" t="s">
        <v>82</v>
      </c>
      <c r="E1358" t="s">
        <v>155</v>
      </c>
      <c r="F1358" t="s">
        <v>156</v>
      </c>
      <c r="G1358">
        <v>1</v>
      </c>
      <c r="H1358">
        <v>16.989999999999998</v>
      </c>
      <c r="I1358">
        <v>0.15</v>
      </c>
      <c r="J1358">
        <v>14.44</v>
      </c>
      <c r="K1358" t="s">
        <v>16</v>
      </c>
      <c r="L1358" t="s">
        <v>17</v>
      </c>
      <c r="M1358" t="s">
        <v>24</v>
      </c>
    </row>
    <row r="1359" spans="1:13" x14ac:dyDescent="0.2">
      <c r="A1359">
        <v>325401</v>
      </c>
      <c r="B1359" s="2">
        <v>44906</v>
      </c>
      <c r="C1359">
        <v>47740</v>
      </c>
      <c r="D1359" t="s">
        <v>19</v>
      </c>
      <c r="E1359" t="s">
        <v>58</v>
      </c>
      <c r="F1359" t="s">
        <v>59</v>
      </c>
      <c r="G1359">
        <v>4</v>
      </c>
      <c r="H1359">
        <v>3.99</v>
      </c>
      <c r="J1359">
        <v>15.96</v>
      </c>
      <c r="K1359" t="s">
        <v>22</v>
      </c>
      <c r="L1359" t="s">
        <v>17</v>
      </c>
      <c r="M1359" t="s">
        <v>102</v>
      </c>
    </row>
    <row r="1360" spans="1:13" x14ac:dyDescent="0.2">
      <c r="A1360">
        <v>325600</v>
      </c>
      <c r="B1360" s="1">
        <v>45318</v>
      </c>
      <c r="C1360">
        <v>10119</v>
      </c>
      <c r="D1360" t="s">
        <v>44</v>
      </c>
      <c r="E1360" t="s">
        <v>172</v>
      </c>
      <c r="F1360" t="s">
        <v>173</v>
      </c>
      <c r="G1360">
        <v>5</v>
      </c>
      <c r="H1360">
        <v>4.49</v>
      </c>
      <c r="J1360">
        <v>22.45</v>
      </c>
      <c r="K1360" t="s">
        <v>95</v>
      </c>
      <c r="L1360" t="s">
        <v>37</v>
      </c>
      <c r="M1360" t="s">
        <v>123</v>
      </c>
    </row>
    <row r="1361" spans="1:13" x14ac:dyDescent="0.2">
      <c r="A1361">
        <v>325876</v>
      </c>
      <c r="B1361" s="1">
        <v>45508</v>
      </c>
      <c r="C1361">
        <v>62196</v>
      </c>
      <c r="D1361" t="s">
        <v>13</v>
      </c>
      <c r="E1361" t="s">
        <v>77</v>
      </c>
      <c r="F1361" t="s">
        <v>78</v>
      </c>
      <c r="G1361">
        <v>1</v>
      </c>
      <c r="H1361">
        <v>499.99</v>
      </c>
      <c r="J1361">
        <v>499.99</v>
      </c>
      <c r="K1361" t="s">
        <v>22</v>
      </c>
      <c r="L1361" t="s">
        <v>17</v>
      </c>
      <c r="M1361" t="s">
        <v>57</v>
      </c>
    </row>
    <row r="1362" spans="1:13" x14ac:dyDescent="0.2">
      <c r="A1362">
        <v>325958</v>
      </c>
      <c r="B1362" s="1">
        <v>44915</v>
      </c>
      <c r="C1362">
        <v>73868</v>
      </c>
      <c r="D1362" t="s">
        <v>85</v>
      </c>
      <c r="E1362" t="s">
        <v>157</v>
      </c>
      <c r="F1362" t="s">
        <v>158</v>
      </c>
      <c r="G1362">
        <v>2</v>
      </c>
      <c r="H1362">
        <v>13.49</v>
      </c>
      <c r="J1362">
        <v>26.98</v>
      </c>
      <c r="K1362" t="s">
        <v>16</v>
      </c>
      <c r="L1362" t="s">
        <v>37</v>
      </c>
      <c r="M1362" t="s">
        <v>102</v>
      </c>
    </row>
    <row r="1363" spans="1:13" x14ac:dyDescent="0.2">
      <c r="A1363">
        <v>326017</v>
      </c>
      <c r="B1363" s="1">
        <v>45014</v>
      </c>
      <c r="C1363">
        <v>66973</v>
      </c>
      <c r="D1363" t="s">
        <v>40</v>
      </c>
      <c r="E1363" t="s">
        <v>115</v>
      </c>
      <c r="F1363" t="s">
        <v>116</v>
      </c>
      <c r="G1363">
        <v>2</v>
      </c>
      <c r="H1363">
        <v>11.69</v>
      </c>
      <c r="I1363">
        <v>0.1</v>
      </c>
      <c r="J1363">
        <v>21.04</v>
      </c>
      <c r="K1363" t="s">
        <v>16</v>
      </c>
      <c r="L1363" t="s">
        <v>37</v>
      </c>
      <c r="M1363" t="s">
        <v>76</v>
      </c>
    </row>
    <row r="1364" spans="1:13" x14ac:dyDescent="0.2">
      <c r="A1364">
        <v>326042</v>
      </c>
      <c r="B1364" s="1">
        <v>45621</v>
      </c>
      <c r="C1364">
        <v>77000</v>
      </c>
      <c r="D1364" t="s">
        <v>63</v>
      </c>
      <c r="E1364" t="s">
        <v>68</v>
      </c>
      <c r="F1364" t="s">
        <v>69</v>
      </c>
      <c r="G1364">
        <v>5</v>
      </c>
      <c r="H1364">
        <v>24.99</v>
      </c>
      <c r="J1364">
        <v>124.95</v>
      </c>
      <c r="K1364" t="s">
        <v>16</v>
      </c>
      <c r="L1364" t="s">
        <v>17</v>
      </c>
      <c r="M1364" t="s">
        <v>67</v>
      </c>
    </row>
    <row r="1365" spans="1:13" x14ac:dyDescent="0.2">
      <c r="A1365">
        <v>326207</v>
      </c>
      <c r="B1365" s="1">
        <v>45158</v>
      </c>
      <c r="C1365">
        <v>60670</v>
      </c>
      <c r="D1365" t="s">
        <v>13</v>
      </c>
      <c r="E1365" t="s">
        <v>186</v>
      </c>
      <c r="F1365" t="s">
        <v>187</v>
      </c>
      <c r="G1365">
        <v>2</v>
      </c>
      <c r="H1365">
        <v>49.99</v>
      </c>
      <c r="J1365">
        <v>99.98</v>
      </c>
      <c r="K1365" t="s">
        <v>22</v>
      </c>
      <c r="L1365" t="s">
        <v>37</v>
      </c>
    </row>
    <row r="1366" spans="1:13" x14ac:dyDescent="0.2">
      <c r="A1366">
        <v>326588</v>
      </c>
      <c r="B1366" s="2">
        <v>44568</v>
      </c>
      <c r="C1366">
        <v>16946</v>
      </c>
      <c r="D1366" t="s">
        <v>44</v>
      </c>
      <c r="E1366" t="s">
        <v>162</v>
      </c>
      <c r="F1366" t="s">
        <v>163</v>
      </c>
      <c r="G1366">
        <v>4</v>
      </c>
      <c r="H1366">
        <v>7.99</v>
      </c>
      <c r="J1366">
        <v>31.96</v>
      </c>
      <c r="K1366" t="s">
        <v>95</v>
      </c>
      <c r="L1366" t="s">
        <v>17</v>
      </c>
      <c r="M1366" t="s">
        <v>90</v>
      </c>
    </row>
    <row r="1367" spans="1:13" x14ac:dyDescent="0.2">
      <c r="A1367">
        <v>326686</v>
      </c>
      <c r="B1367" s="1">
        <v>44702</v>
      </c>
      <c r="C1367">
        <v>96265</v>
      </c>
      <c r="D1367" t="s">
        <v>63</v>
      </c>
      <c r="E1367" t="s">
        <v>111</v>
      </c>
      <c r="F1367" t="s">
        <v>112</v>
      </c>
      <c r="G1367">
        <v>1</v>
      </c>
      <c r="H1367">
        <v>14.99</v>
      </c>
      <c r="J1367">
        <v>14.99</v>
      </c>
      <c r="K1367" t="s">
        <v>36</v>
      </c>
      <c r="L1367" t="s">
        <v>17</v>
      </c>
      <c r="M1367" t="s">
        <v>57</v>
      </c>
    </row>
    <row r="1368" spans="1:13" x14ac:dyDescent="0.2">
      <c r="A1368">
        <v>326804</v>
      </c>
      <c r="B1368" s="1">
        <v>44784</v>
      </c>
      <c r="C1368">
        <v>25809</v>
      </c>
      <c r="D1368" t="s">
        <v>44</v>
      </c>
      <c r="E1368" t="s">
        <v>162</v>
      </c>
      <c r="F1368" t="s">
        <v>163</v>
      </c>
      <c r="G1368">
        <v>4</v>
      </c>
      <c r="H1368">
        <v>7.99</v>
      </c>
      <c r="J1368">
        <v>31.96</v>
      </c>
      <c r="K1368" t="s">
        <v>53</v>
      </c>
      <c r="L1368" t="s">
        <v>17</v>
      </c>
      <c r="M1368" t="s">
        <v>43</v>
      </c>
    </row>
    <row r="1369" spans="1:13" x14ac:dyDescent="0.2">
      <c r="A1369">
        <v>326871</v>
      </c>
      <c r="B1369" s="1">
        <v>44878</v>
      </c>
      <c r="C1369">
        <v>29253</v>
      </c>
      <c r="D1369" t="s">
        <v>48</v>
      </c>
      <c r="E1369" t="s">
        <v>118</v>
      </c>
      <c r="F1369" t="s">
        <v>119</v>
      </c>
      <c r="G1369">
        <v>1</v>
      </c>
      <c r="H1369">
        <v>3.74</v>
      </c>
      <c r="I1369">
        <v>0.25</v>
      </c>
      <c r="J1369">
        <v>2.8</v>
      </c>
      <c r="K1369" t="s">
        <v>53</v>
      </c>
      <c r="L1369" t="s">
        <v>17</v>
      </c>
      <c r="M1369" t="s">
        <v>67</v>
      </c>
    </row>
    <row r="1370" spans="1:13" x14ac:dyDescent="0.2">
      <c r="A1370">
        <v>327057</v>
      </c>
      <c r="B1370" s="1">
        <v>44981</v>
      </c>
      <c r="C1370">
        <v>14846</v>
      </c>
      <c r="D1370" t="s">
        <v>29</v>
      </c>
      <c r="E1370" t="s">
        <v>175</v>
      </c>
      <c r="F1370" t="s">
        <v>176</v>
      </c>
      <c r="G1370">
        <v>2</v>
      </c>
      <c r="H1370">
        <v>9.59</v>
      </c>
      <c r="I1370">
        <v>0.2</v>
      </c>
      <c r="J1370">
        <v>15.34</v>
      </c>
      <c r="K1370" t="s">
        <v>36</v>
      </c>
      <c r="L1370" t="s">
        <v>17</v>
      </c>
      <c r="M1370" t="s">
        <v>161</v>
      </c>
    </row>
    <row r="1371" spans="1:13" x14ac:dyDescent="0.2">
      <c r="A1371">
        <v>327555</v>
      </c>
      <c r="B1371" s="2">
        <v>45299</v>
      </c>
      <c r="C1371">
        <v>89128</v>
      </c>
      <c r="D1371" t="s">
        <v>44</v>
      </c>
      <c r="E1371" t="s">
        <v>184</v>
      </c>
      <c r="F1371" t="s">
        <v>185</v>
      </c>
      <c r="G1371">
        <v>2</v>
      </c>
      <c r="H1371">
        <v>4.3899999999999997</v>
      </c>
      <c r="I1371">
        <v>0.2</v>
      </c>
      <c r="J1371">
        <v>7.02</v>
      </c>
      <c r="K1371" t="s">
        <v>22</v>
      </c>
      <c r="L1371" t="s">
        <v>37</v>
      </c>
      <c r="M1371" t="s">
        <v>76</v>
      </c>
    </row>
    <row r="1372" spans="1:13" x14ac:dyDescent="0.2">
      <c r="A1372">
        <v>327557</v>
      </c>
      <c r="B1372" s="1">
        <v>45609</v>
      </c>
      <c r="C1372">
        <v>39783</v>
      </c>
      <c r="D1372" t="s">
        <v>97</v>
      </c>
      <c r="E1372" t="s">
        <v>121</v>
      </c>
      <c r="F1372" t="s">
        <v>122</v>
      </c>
      <c r="G1372">
        <v>2</v>
      </c>
      <c r="H1372">
        <v>12.34</v>
      </c>
      <c r="I1372">
        <v>0.05</v>
      </c>
      <c r="J1372">
        <v>23.45</v>
      </c>
      <c r="K1372" t="s">
        <v>22</v>
      </c>
      <c r="L1372" t="s">
        <v>17</v>
      </c>
      <c r="M1372" t="s">
        <v>102</v>
      </c>
    </row>
    <row r="1373" spans="1:13" x14ac:dyDescent="0.2">
      <c r="A1373">
        <v>327691</v>
      </c>
      <c r="B1373" s="2">
        <v>45241</v>
      </c>
      <c r="C1373">
        <v>40803</v>
      </c>
      <c r="D1373" t="s">
        <v>97</v>
      </c>
      <c r="E1373" t="s">
        <v>181</v>
      </c>
      <c r="F1373" t="s">
        <v>182</v>
      </c>
      <c r="G1373">
        <v>1</v>
      </c>
      <c r="H1373">
        <v>14.99</v>
      </c>
      <c r="J1373">
        <v>14.99</v>
      </c>
      <c r="K1373" t="s">
        <v>22</v>
      </c>
      <c r="L1373" t="s">
        <v>17</v>
      </c>
    </row>
    <row r="1374" spans="1:13" x14ac:dyDescent="0.2">
      <c r="A1374">
        <v>327709</v>
      </c>
      <c r="B1374" s="1">
        <v>45207</v>
      </c>
      <c r="C1374">
        <v>74982</v>
      </c>
      <c r="D1374" t="s">
        <v>44</v>
      </c>
      <c r="E1374" t="s">
        <v>195</v>
      </c>
      <c r="F1374" t="s">
        <v>196</v>
      </c>
      <c r="G1374">
        <v>1</v>
      </c>
      <c r="H1374">
        <v>3.99</v>
      </c>
      <c r="I1374">
        <v>0.2</v>
      </c>
      <c r="J1374">
        <v>3.19</v>
      </c>
      <c r="K1374" t="s">
        <v>16</v>
      </c>
      <c r="L1374" t="s">
        <v>23</v>
      </c>
      <c r="M1374" t="s">
        <v>76</v>
      </c>
    </row>
    <row r="1375" spans="1:13" x14ac:dyDescent="0.2">
      <c r="A1375">
        <v>327999</v>
      </c>
      <c r="B1375" s="2">
        <v>44878</v>
      </c>
      <c r="C1375">
        <v>22524</v>
      </c>
      <c r="D1375" t="s">
        <v>13</v>
      </c>
      <c r="E1375" t="s">
        <v>79</v>
      </c>
      <c r="F1375" t="s">
        <v>80</v>
      </c>
      <c r="G1375">
        <v>5</v>
      </c>
      <c r="H1375">
        <v>62.99</v>
      </c>
      <c r="I1375">
        <v>0.3</v>
      </c>
      <c r="J1375">
        <v>220.46</v>
      </c>
      <c r="K1375" t="s">
        <v>16</v>
      </c>
      <c r="L1375" t="s">
        <v>37</v>
      </c>
    </row>
    <row r="1376" spans="1:13" x14ac:dyDescent="0.2">
      <c r="A1376">
        <v>328359</v>
      </c>
      <c r="B1376" s="1">
        <v>44824</v>
      </c>
      <c r="C1376">
        <v>60906</v>
      </c>
      <c r="D1376" t="s">
        <v>63</v>
      </c>
      <c r="E1376" t="s">
        <v>131</v>
      </c>
      <c r="F1376" t="s">
        <v>132</v>
      </c>
      <c r="G1376">
        <v>5</v>
      </c>
      <c r="H1376">
        <v>3.14</v>
      </c>
      <c r="I1376">
        <v>0.1</v>
      </c>
      <c r="J1376">
        <v>14.13</v>
      </c>
      <c r="K1376" t="s">
        <v>16</v>
      </c>
      <c r="L1376" t="s">
        <v>37</v>
      </c>
      <c r="M1376" t="s">
        <v>81</v>
      </c>
    </row>
    <row r="1377" spans="1:13" x14ac:dyDescent="0.2">
      <c r="A1377">
        <v>328529</v>
      </c>
      <c r="B1377" s="1">
        <v>44633</v>
      </c>
      <c r="C1377">
        <v>56638</v>
      </c>
      <c r="D1377" t="s">
        <v>82</v>
      </c>
      <c r="E1377" t="s">
        <v>155</v>
      </c>
      <c r="F1377" t="s">
        <v>156</v>
      </c>
      <c r="G1377">
        <v>5</v>
      </c>
      <c r="H1377">
        <v>16.989999999999998</v>
      </c>
      <c r="I1377">
        <v>0.15</v>
      </c>
      <c r="J1377">
        <v>72.209999999999994</v>
      </c>
      <c r="K1377" t="s">
        <v>16</v>
      </c>
      <c r="L1377" t="s">
        <v>37</v>
      </c>
      <c r="M1377" t="s">
        <v>47</v>
      </c>
    </row>
    <row r="1378" spans="1:13" x14ac:dyDescent="0.2">
      <c r="A1378">
        <v>328554</v>
      </c>
      <c r="B1378" s="1">
        <v>44883</v>
      </c>
      <c r="C1378">
        <v>74648</v>
      </c>
      <c r="D1378" t="s">
        <v>40</v>
      </c>
      <c r="E1378" t="s">
        <v>41</v>
      </c>
      <c r="F1378" t="s">
        <v>42</v>
      </c>
      <c r="G1378">
        <v>1</v>
      </c>
      <c r="H1378">
        <v>5.09</v>
      </c>
      <c r="I1378">
        <v>0.15</v>
      </c>
      <c r="J1378">
        <v>4.33</v>
      </c>
      <c r="K1378" t="s">
        <v>16</v>
      </c>
      <c r="L1378" t="s">
        <v>17</v>
      </c>
      <c r="M1378" t="s">
        <v>161</v>
      </c>
    </row>
    <row r="1379" spans="1:13" x14ac:dyDescent="0.2">
      <c r="A1379">
        <v>328806</v>
      </c>
      <c r="B1379" s="1">
        <v>45645</v>
      </c>
      <c r="C1379">
        <v>67139</v>
      </c>
      <c r="D1379" t="s">
        <v>13</v>
      </c>
      <c r="E1379" t="s">
        <v>159</v>
      </c>
      <c r="F1379" t="s">
        <v>160</v>
      </c>
      <c r="G1379">
        <v>2</v>
      </c>
      <c r="H1379">
        <v>59.99</v>
      </c>
      <c r="J1379">
        <v>119.98</v>
      </c>
      <c r="K1379" t="s">
        <v>32</v>
      </c>
      <c r="L1379" t="s">
        <v>17</v>
      </c>
      <c r="M1379" t="s">
        <v>47</v>
      </c>
    </row>
    <row r="1380" spans="1:13" x14ac:dyDescent="0.2">
      <c r="A1380">
        <v>328867</v>
      </c>
      <c r="B1380" s="1">
        <v>45456</v>
      </c>
      <c r="C1380">
        <v>17202</v>
      </c>
      <c r="D1380" t="s">
        <v>63</v>
      </c>
      <c r="E1380" t="s">
        <v>68</v>
      </c>
      <c r="F1380" t="s">
        <v>69</v>
      </c>
      <c r="G1380">
        <v>1</v>
      </c>
      <c r="H1380">
        <v>19.989999999999998</v>
      </c>
      <c r="I1380">
        <v>0.2</v>
      </c>
      <c r="J1380">
        <v>15.99</v>
      </c>
      <c r="K1380" t="s">
        <v>36</v>
      </c>
      <c r="L1380" t="s">
        <v>37</v>
      </c>
      <c r="M1380" t="s">
        <v>24</v>
      </c>
    </row>
    <row r="1381" spans="1:13" x14ac:dyDescent="0.2">
      <c r="A1381">
        <v>328903</v>
      </c>
      <c r="B1381" s="1">
        <v>45549</v>
      </c>
      <c r="D1381" t="s">
        <v>40</v>
      </c>
      <c r="E1381" t="s">
        <v>58</v>
      </c>
      <c r="F1381" t="s">
        <v>59</v>
      </c>
      <c r="G1381">
        <v>1</v>
      </c>
      <c r="H1381">
        <v>3.99</v>
      </c>
      <c r="J1381">
        <v>3.99</v>
      </c>
      <c r="K1381" t="s">
        <v>16</v>
      </c>
      <c r="L1381" t="s">
        <v>37</v>
      </c>
      <c r="M1381" t="s">
        <v>62</v>
      </c>
    </row>
    <row r="1382" spans="1:13" x14ac:dyDescent="0.2">
      <c r="A1382">
        <v>328970</v>
      </c>
      <c r="B1382" s="1">
        <v>45187</v>
      </c>
      <c r="C1382">
        <v>27367</v>
      </c>
      <c r="D1382" t="s">
        <v>85</v>
      </c>
      <c r="E1382" t="s">
        <v>153</v>
      </c>
      <c r="F1382" t="s">
        <v>154</v>
      </c>
      <c r="G1382">
        <v>3</v>
      </c>
      <c r="H1382">
        <v>25.49</v>
      </c>
      <c r="I1382">
        <v>0.15</v>
      </c>
      <c r="J1382">
        <v>65</v>
      </c>
      <c r="K1382" t="s">
        <v>32</v>
      </c>
      <c r="L1382" t="s">
        <v>17</v>
      </c>
      <c r="M1382" t="s">
        <v>161</v>
      </c>
    </row>
    <row r="1383" spans="1:13" x14ac:dyDescent="0.2">
      <c r="A1383">
        <v>328983</v>
      </c>
      <c r="B1383" s="2">
        <v>45008</v>
      </c>
      <c r="C1383">
        <v>86438</v>
      </c>
      <c r="D1383" t="s">
        <v>97</v>
      </c>
      <c r="E1383" t="s">
        <v>121</v>
      </c>
      <c r="F1383" t="s">
        <v>122</v>
      </c>
      <c r="G1383">
        <v>1</v>
      </c>
      <c r="H1383">
        <v>9.74</v>
      </c>
      <c r="I1383">
        <v>0.25</v>
      </c>
      <c r="J1383">
        <v>7.3</v>
      </c>
      <c r="K1383" t="s">
        <v>53</v>
      </c>
      <c r="L1383" t="s">
        <v>17</v>
      </c>
      <c r="M1383" t="s">
        <v>54</v>
      </c>
    </row>
    <row r="1384" spans="1:13" x14ac:dyDescent="0.2">
      <c r="A1384">
        <v>329136</v>
      </c>
      <c r="B1384" s="1">
        <v>44819</v>
      </c>
      <c r="C1384">
        <v>53704</v>
      </c>
      <c r="D1384" t="s">
        <v>82</v>
      </c>
      <c r="E1384" t="s">
        <v>83</v>
      </c>
      <c r="F1384" t="s">
        <v>84</v>
      </c>
      <c r="G1384">
        <v>2</v>
      </c>
      <c r="H1384">
        <v>13.59</v>
      </c>
      <c r="I1384">
        <v>0.2</v>
      </c>
      <c r="J1384">
        <v>21.74</v>
      </c>
      <c r="K1384" t="s">
        <v>16</v>
      </c>
      <c r="L1384" t="s">
        <v>17</v>
      </c>
      <c r="M1384" t="s">
        <v>62</v>
      </c>
    </row>
    <row r="1385" spans="1:13" x14ac:dyDescent="0.2">
      <c r="A1385">
        <v>329403</v>
      </c>
      <c r="B1385" s="1">
        <v>44625</v>
      </c>
      <c r="C1385">
        <v>19162</v>
      </c>
      <c r="D1385" t="s">
        <v>48</v>
      </c>
      <c r="E1385" t="s">
        <v>179</v>
      </c>
      <c r="F1385" t="s">
        <v>180</v>
      </c>
      <c r="G1385">
        <v>1</v>
      </c>
      <c r="H1385">
        <v>11.99</v>
      </c>
      <c r="J1385">
        <v>11.99</v>
      </c>
      <c r="K1385" t="s">
        <v>32</v>
      </c>
      <c r="L1385" t="s">
        <v>17</v>
      </c>
      <c r="M1385" t="s">
        <v>96</v>
      </c>
    </row>
    <row r="1386" spans="1:13" x14ac:dyDescent="0.2">
      <c r="A1386">
        <v>329412</v>
      </c>
      <c r="B1386" s="1">
        <v>45536</v>
      </c>
      <c r="D1386" t="s">
        <v>97</v>
      </c>
      <c r="E1386" t="s">
        <v>141</v>
      </c>
      <c r="F1386" t="s">
        <v>142</v>
      </c>
      <c r="G1386">
        <v>3</v>
      </c>
      <c r="H1386">
        <v>19.54</v>
      </c>
      <c r="I1386">
        <v>0.15</v>
      </c>
      <c r="J1386">
        <v>49.83</v>
      </c>
      <c r="K1386" t="s">
        <v>36</v>
      </c>
      <c r="L1386" t="s">
        <v>17</v>
      </c>
      <c r="M1386" t="s">
        <v>117</v>
      </c>
    </row>
    <row r="1387" spans="1:13" x14ac:dyDescent="0.2">
      <c r="A1387">
        <v>329673</v>
      </c>
      <c r="B1387" s="1">
        <v>44953</v>
      </c>
      <c r="C1387">
        <v>19737</v>
      </c>
      <c r="D1387" t="s">
        <v>25</v>
      </c>
      <c r="E1387" t="s">
        <v>26</v>
      </c>
      <c r="F1387" t="s">
        <v>27</v>
      </c>
      <c r="G1387">
        <v>2</v>
      </c>
      <c r="H1387">
        <v>29.74</v>
      </c>
      <c r="J1387">
        <v>59.48</v>
      </c>
      <c r="K1387" t="s">
        <v>22</v>
      </c>
      <c r="L1387" t="s">
        <v>37</v>
      </c>
      <c r="M1387" t="s">
        <v>47</v>
      </c>
    </row>
    <row r="1388" spans="1:13" x14ac:dyDescent="0.2">
      <c r="A1388">
        <v>329674</v>
      </c>
      <c r="B1388" s="1">
        <v>45336</v>
      </c>
      <c r="C1388">
        <v>48508</v>
      </c>
      <c r="D1388" t="s">
        <v>63</v>
      </c>
      <c r="E1388" t="s">
        <v>64</v>
      </c>
      <c r="F1388" t="s">
        <v>65</v>
      </c>
      <c r="G1388">
        <v>1</v>
      </c>
      <c r="H1388">
        <v>3.74</v>
      </c>
      <c r="I1388">
        <v>0.25</v>
      </c>
      <c r="J1388">
        <v>2.8</v>
      </c>
      <c r="K1388" t="s">
        <v>16</v>
      </c>
      <c r="L1388" t="s">
        <v>17</v>
      </c>
      <c r="M1388" t="s">
        <v>24</v>
      </c>
    </row>
    <row r="1389" spans="1:13" x14ac:dyDescent="0.2">
      <c r="A1389">
        <v>329787</v>
      </c>
      <c r="B1389" s="1">
        <v>45418</v>
      </c>
      <c r="C1389">
        <v>74481</v>
      </c>
      <c r="D1389" t="s">
        <v>124</v>
      </c>
      <c r="E1389" t="s">
        <v>111</v>
      </c>
      <c r="F1389" t="s">
        <v>112</v>
      </c>
      <c r="G1389">
        <v>3</v>
      </c>
      <c r="H1389">
        <v>11.99</v>
      </c>
      <c r="I1389">
        <v>0.2</v>
      </c>
      <c r="J1389">
        <v>28.78</v>
      </c>
      <c r="K1389" t="s">
        <v>16</v>
      </c>
      <c r="L1389" t="s">
        <v>37</v>
      </c>
      <c r="M1389" t="s">
        <v>33</v>
      </c>
    </row>
    <row r="1390" spans="1:13" x14ac:dyDescent="0.2">
      <c r="A1390">
        <v>329789</v>
      </c>
      <c r="B1390" s="2">
        <v>45349</v>
      </c>
      <c r="C1390">
        <v>80358</v>
      </c>
      <c r="D1390" t="s">
        <v>63</v>
      </c>
      <c r="E1390" t="s">
        <v>125</v>
      </c>
      <c r="F1390" t="s">
        <v>126</v>
      </c>
      <c r="G1390">
        <v>2</v>
      </c>
      <c r="H1390">
        <v>25.49</v>
      </c>
      <c r="I1390">
        <v>0.15</v>
      </c>
      <c r="J1390">
        <v>43.33</v>
      </c>
      <c r="K1390" t="s">
        <v>36</v>
      </c>
      <c r="L1390" t="s">
        <v>17</v>
      </c>
      <c r="M1390" t="s">
        <v>76</v>
      </c>
    </row>
    <row r="1391" spans="1:13" x14ac:dyDescent="0.2">
      <c r="A1391">
        <v>329796</v>
      </c>
      <c r="B1391" s="1">
        <v>44771</v>
      </c>
      <c r="C1391">
        <v>10557</v>
      </c>
      <c r="D1391" t="s">
        <v>199</v>
      </c>
      <c r="E1391" t="s">
        <v>104</v>
      </c>
      <c r="F1391" t="s">
        <v>105</v>
      </c>
      <c r="G1391">
        <v>1</v>
      </c>
      <c r="H1391">
        <v>22.49</v>
      </c>
      <c r="I1391">
        <v>0.25</v>
      </c>
      <c r="J1391">
        <v>16.87</v>
      </c>
      <c r="K1391" t="s">
        <v>36</v>
      </c>
      <c r="L1391" t="s">
        <v>23</v>
      </c>
      <c r="M1391" t="s">
        <v>117</v>
      </c>
    </row>
    <row r="1392" spans="1:13" x14ac:dyDescent="0.2">
      <c r="A1392">
        <v>329883</v>
      </c>
      <c r="B1392" s="1">
        <v>45625</v>
      </c>
      <c r="C1392">
        <v>93570</v>
      </c>
      <c r="D1392" t="s">
        <v>25</v>
      </c>
      <c r="E1392" t="s">
        <v>26</v>
      </c>
      <c r="F1392" t="s">
        <v>27</v>
      </c>
      <c r="G1392">
        <v>5</v>
      </c>
      <c r="H1392">
        <v>31.49</v>
      </c>
      <c r="I1392">
        <v>0.1</v>
      </c>
      <c r="J1392">
        <v>141.69999999999999</v>
      </c>
      <c r="K1392" t="s">
        <v>16</v>
      </c>
      <c r="L1392" t="s">
        <v>17</v>
      </c>
      <c r="M1392" t="s">
        <v>81</v>
      </c>
    </row>
    <row r="1393" spans="1:13" x14ac:dyDescent="0.2">
      <c r="A1393">
        <v>330120</v>
      </c>
      <c r="B1393" s="1">
        <v>45375</v>
      </c>
      <c r="C1393">
        <v>60547</v>
      </c>
      <c r="D1393" t="s">
        <v>29</v>
      </c>
      <c r="E1393" t="s">
        <v>175</v>
      </c>
      <c r="F1393" t="s">
        <v>176</v>
      </c>
      <c r="G1393">
        <v>1</v>
      </c>
      <c r="H1393">
        <v>8.39</v>
      </c>
      <c r="I1393">
        <v>0.3</v>
      </c>
      <c r="J1393">
        <v>5.87</v>
      </c>
      <c r="K1393" t="s">
        <v>36</v>
      </c>
      <c r="L1393" t="s">
        <v>37</v>
      </c>
      <c r="M1393" t="s">
        <v>161</v>
      </c>
    </row>
    <row r="1394" spans="1:13" x14ac:dyDescent="0.2">
      <c r="A1394">
        <v>330314</v>
      </c>
      <c r="B1394" s="1">
        <v>45204</v>
      </c>
      <c r="C1394">
        <v>90633</v>
      </c>
      <c r="D1394" t="s">
        <v>97</v>
      </c>
      <c r="E1394" t="s">
        <v>141</v>
      </c>
      <c r="F1394" t="s">
        <v>142</v>
      </c>
      <c r="G1394">
        <v>1</v>
      </c>
      <c r="H1394">
        <v>22.99</v>
      </c>
      <c r="J1394">
        <v>22.99</v>
      </c>
      <c r="K1394" t="s">
        <v>22</v>
      </c>
      <c r="L1394" t="s">
        <v>37</v>
      </c>
      <c r="M1394" t="s">
        <v>103</v>
      </c>
    </row>
    <row r="1395" spans="1:13" x14ac:dyDescent="0.2">
      <c r="A1395">
        <v>330530</v>
      </c>
      <c r="B1395" s="1">
        <v>45567</v>
      </c>
      <c r="C1395">
        <v>48794</v>
      </c>
      <c r="D1395" t="s">
        <v>85</v>
      </c>
      <c r="E1395" t="s">
        <v>149</v>
      </c>
      <c r="F1395" t="s">
        <v>150</v>
      </c>
      <c r="G1395">
        <v>4</v>
      </c>
      <c r="H1395">
        <v>19.989999999999998</v>
      </c>
      <c r="J1395">
        <v>79.959999999999994</v>
      </c>
      <c r="K1395" t="s">
        <v>16</v>
      </c>
      <c r="L1395" t="s">
        <v>17</v>
      </c>
      <c r="M1395" t="s">
        <v>18</v>
      </c>
    </row>
    <row r="1396" spans="1:13" x14ac:dyDescent="0.2">
      <c r="A1396">
        <v>330570</v>
      </c>
      <c r="B1396" s="1">
        <v>44568</v>
      </c>
      <c r="C1396">
        <v>62633</v>
      </c>
      <c r="D1396" t="s">
        <v>63</v>
      </c>
      <c r="E1396" t="s">
        <v>125</v>
      </c>
      <c r="F1396" t="s">
        <v>126</v>
      </c>
      <c r="G1396">
        <v>1</v>
      </c>
      <c r="H1396">
        <v>29.99</v>
      </c>
      <c r="J1396">
        <v>29.99</v>
      </c>
      <c r="K1396" t="s">
        <v>36</v>
      </c>
      <c r="L1396" t="s">
        <v>17</v>
      </c>
      <c r="M1396" t="s">
        <v>96</v>
      </c>
    </row>
    <row r="1397" spans="1:13" x14ac:dyDescent="0.2">
      <c r="A1397">
        <v>331158</v>
      </c>
      <c r="B1397" s="1">
        <v>45655</v>
      </c>
      <c r="C1397">
        <v>59366</v>
      </c>
      <c r="D1397" t="s">
        <v>192</v>
      </c>
      <c r="E1397" t="s">
        <v>165</v>
      </c>
      <c r="F1397" t="s">
        <v>166</v>
      </c>
      <c r="G1397">
        <v>1</v>
      </c>
      <c r="H1397">
        <v>89.99</v>
      </c>
      <c r="J1397">
        <v>89.99</v>
      </c>
      <c r="K1397" t="s">
        <v>36</v>
      </c>
      <c r="L1397" t="s">
        <v>37</v>
      </c>
      <c r="M1397" t="s">
        <v>90</v>
      </c>
    </row>
    <row r="1398" spans="1:13" x14ac:dyDescent="0.2">
      <c r="A1398">
        <v>331400</v>
      </c>
      <c r="B1398" s="1">
        <v>45387</v>
      </c>
      <c r="C1398">
        <v>82129</v>
      </c>
      <c r="D1398" t="s">
        <v>44</v>
      </c>
      <c r="E1398" t="s">
        <v>133</v>
      </c>
      <c r="F1398" t="s">
        <v>134</v>
      </c>
      <c r="G1398">
        <v>1</v>
      </c>
      <c r="H1398">
        <v>3.41</v>
      </c>
      <c r="I1398">
        <v>0.1</v>
      </c>
      <c r="J1398">
        <v>3.07</v>
      </c>
      <c r="K1398" t="s">
        <v>16</v>
      </c>
      <c r="L1398" t="s">
        <v>37</v>
      </c>
      <c r="M1398" t="s">
        <v>76</v>
      </c>
    </row>
    <row r="1399" spans="1:13" x14ac:dyDescent="0.2">
      <c r="A1399">
        <v>331771</v>
      </c>
      <c r="B1399" s="1">
        <v>45309</v>
      </c>
      <c r="C1399">
        <v>64040</v>
      </c>
      <c r="D1399" t="s">
        <v>40</v>
      </c>
      <c r="E1399" t="s">
        <v>115</v>
      </c>
      <c r="F1399" t="s">
        <v>116</v>
      </c>
      <c r="G1399">
        <v>1</v>
      </c>
      <c r="H1399">
        <v>12.34</v>
      </c>
      <c r="I1399">
        <v>0.05</v>
      </c>
      <c r="J1399">
        <v>11.72</v>
      </c>
      <c r="K1399" t="s">
        <v>16</v>
      </c>
      <c r="L1399" t="s">
        <v>17</v>
      </c>
      <c r="M1399" t="s">
        <v>28</v>
      </c>
    </row>
    <row r="1400" spans="1:13" x14ac:dyDescent="0.2">
      <c r="A1400">
        <v>331772</v>
      </c>
      <c r="B1400" s="1">
        <v>44908</v>
      </c>
      <c r="C1400">
        <v>81599</v>
      </c>
      <c r="D1400" t="s">
        <v>40</v>
      </c>
      <c r="E1400" t="s">
        <v>197</v>
      </c>
      <c r="F1400" t="s">
        <v>198</v>
      </c>
      <c r="G1400">
        <v>1</v>
      </c>
      <c r="H1400">
        <v>13.49</v>
      </c>
      <c r="I1400">
        <v>0.1</v>
      </c>
      <c r="J1400">
        <v>12.14</v>
      </c>
      <c r="K1400" t="s">
        <v>36</v>
      </c>
      <c r="L1400" t="s">
        <v>17</v>
      </c>
      <c r="M1400" t="s">
        <v>33</v>
      </c>
    </row>
    <row r="1401" spans="1:13" x14ac:dyDescent="0.2">
      <c r="A1401">
        <v>331856</v>
      </c>
      <c r="B1401" s="1">
        <v>45153</v>
      </c>
      <c r="D1401" t="s">
        <v>25</v>
      </c>
      <c r="E1401" t="s">
        <v>51</v>
      </c>
      <c r="F1401" t="s">
        <v>52</v>
      </c>
      <c r="G1401">
        <v>2</v>
      </c>
      <c r="H1401">
        <v>25.19</v>
      </c>
      <c r="I1401">
        <v>0.1</v>
      </c>
      <c r="J1401">
        <v>45.34</v>
      </c>
      <c r="K1401" t="s">
        <v>36</v>
      </c>
      <c r="L1401" t="s">
        <v>17</v>
      </c>
      <c r="M1401" t="s">
        <v>117</v>
      </c>
    </row>
    <row r="1402" spans="1:13" x14ac:dyDescent="0.2">
      <c r="A1402">
        <v>331936</v>
      </c>
      <c r="B1402" s="1">
        <v>45186</v>
      </c>
      <c r="C1402">
        <v>91037</v>
      </c>
      <c r="D1402" t="s">
        <v>82</v>
      </c>
      <c r="E1402" t="s">
        <v>155</v>
      </c>
      <c r="F1402" t="s">
        <v>156</v>
      </c>
      <c r="G1402">
        <v>2</v>
      </c>
      <c r="H1402">
        <v>19.989999999999998</v>
      </c>
      <c r="J1402">
        <v>39.979999999999997</v>
      </c>
      <c r="K1402" t="s">
        <v>36</v>
      </c>
      <c r="L1402" t="s">
        <v>37</v>
      </c>
      <c r="M1402" t="s">
        <v>18</v>
      </c>
    </row>
    <row r="1403" spans="1:13" x14ac:dyDescent="0.2">
      <c r="A1403">
        <v>331947</v>
      </c>
      <c r="B1403" s="1">
        <v>45233</v>
      </c>
      <c r="D1403" t="s">
        <v>29</v>
      </c>
      <c r="E1403" t="s">
        <v>175</v>
      </c>
      <c r="F1403" t="s">
        <v>176</v>
      </c>
      <c r="G1403">
        <v>3</v>
      </c>
      <c r="H1403">
        <v>11.99</v>
      </c>
      <c r="J1403">
        <v>35.97</v>
      </c>
      <c r="K1403" t="s">
        <v>36</v>
      </c>
      <c r="L1403" t="s">
        <v>17</v>
      </c>
      <c r="M1403" t="s">
        <v>102</v>
      </c>
    </row>
    <row r="1404" spans="1:13" x14ac:dyDescent="0.2">
      <c r="A1404">
        <v>332219</v>
      </c>
      <c r="B1404" s="2">
        <v>45469</v>
      </c>
      <c r="C1404">
        <v>39137</v>
      </c>
      <c r="D1404" t="s">
        <v>13</v>
      </c>
      <c r="E1404" t="s">
        <v>34</v>
      </c>
      <c r="F1404" t="s">
        <v>35</v>
      </c>
      <c r="G1404">
        <v>4</v>
      </c>
      <c r="H1404">
        <v>31.49</v>
      </c>
      <c r="I1404">
        <v>0.1</v>
      </c>
      <c r="J1404">
        <v>113.36</v>
      </c>
      <c r="K1404" t="s">
        <v>16</v>
      </c>
      <c r="L1404" t="s">
        <v>23</v>
      </c>
      <c r="M1404" t="s">
        <v>62</v>
      </c>
    </row>
    <row r="1405" spans="1:13" x14ac:dyDescent="0.2">
      <c r="A1405">
        <v>332641</v>
      </c>
      <c r="B1405" s="1">
        <v>44934</v>
      </c>
      <c r="C1405">
        <v>93441</v>
      </c>
      <c r="D1405" t="s">
        <v>97</v>
      </c>
      <c r="E1405" t="s">
        <v>151</v>
      </c>
      <c r="F1405" t="s">
        <v>152</v>
      </c>
      <c r="G1405">
        <v>1</v>
      </c>
      <c r="H1405">
        <v>24.49</v>
      </c>
      <c r="I1405">
        <v>0.3</v>
      </c>
      <c r="J1405">
        <v>17.14</v>
      </c>
      <c r="K1405" t="s">
        <v>32</v>
      </c>
      <c r="L1405" t="s">
        <v>17</v>
      </c>
      <c r="M1405" t="s">
        <v>81</v>
      </c>
    </row>
    <row r="1406" spans="1:13" x14ac:dyDescent="0.2">
      <c r="A1406">
        <v>332892</v>
      </c>
      <c r="B1406" s="1">
        <v>44831</v>
      </c>
      <c r="D1406" t="s">
        <v>29</v>
      </c>
      <c r="E1406" t="s">
        <v>88</v>
      </c>
      <c r="F1406" t="s">
        <v>89</v>
      </c>
      <c r="G1406">
        <v>1</v>
      </c>
      <c r="H1406">
        <v>47.49</v>
      </c>
      <c r="I1406">
        <v>0.05</v>
      </c>
      <c r="J1406">
        <v>45.12</v>
      </c>
      <c r="K1406" t="s">
        <v>36</v>
      </c>
      <c r="L1406" t="s">
        <v>17</v>
      </c>
      <c r="M1406" t="s">
        <v>47</v>
      </c>
    </row>
    <row r="1407" spans="1:13" x14ac:dyDescent="0.2">
      <c r="A1407">
        <v>333243</v>
      </c>
      <c r="B1407" s="2">
        <v>45049</v>
      </c>
      <c r="C1407">
        <v>98186</v>
      </c>
      <c r="D1407" t="s">
        <v>82</v>
      </c>
      <c r="E1407" t="s">
        <v>83</v>
      </c>
      <c r="F1407" t="s">
        <v>84</v>
      </c>
      <c r="G1407">
        <v>5</v>
      </c>
      <c r="H1407">
        <v>13.59</v>
      </c>
      <c r="I1407">
        <v>0.2</v>
      </c>
      <c r="J1407">
        <v>54.36</v>
      </c>
      <c r="K1407" t="s">
        <v>95</v>
      </c>
      <c r="L1407" t="s">
        <v>17</v>
      </c>
      <c r="M1407" t="s">
        <v>117</v>
      </c>
    </row>
    <row r="1408" spans="1:13" x14ac:dyDescent="0.2">
      <c r="A1408">
        <v>333468</v>
      </c>
      <c r="B1408" s="1">
        <v>45091</v>
      </c>
      <c r="C1408">
        <v>66974</v>
      </c>
      <c r="D1408" t="s">
        <v>85</v>
      </c>
      <c r="E1408" t="s">
        <v>137</v>
      </c>
      <c r="F1408" t="s">
        <v>138</v>
      </c>
      <c r="G1408">
        <v>2</v>
      </c>
      <c r="H1408">
        <v>6.39</v>
      </c>
      <c r="I1408">
        <v>0.2</v>
      </c>
      <c r="J1408">
        <v>10.220000000000001</v>
      </c>
      <c r="K1408" t="s">
        <v>36</v>
      </c>
      <c r="L1408" t="s">
        <v>17</v>
      </c>
      <c r="M1408" t="s">
        <v>102</v>
      </c>
    </row>
    <row r="1409" spans="1:13" x14ac:dyDescent="0.2">
      <c r="A1409">
        <v>333602</v>
      </c>
      <c r="B1409" s="2">
        <v>44592</v>
      </c>
      <c r="C1409">
        <v>59266</v>
      </c>
      <c r="D1409" t="s">
        <v>97</v>
      </c>
      <c r="E1409" t="s">
        <v>141</v>
      </c>
      <c r="F1409" t="s">
        <v>142</v>
      </c>
      <c r="G1409">
        <v>4</v>
      </c>
      <c r="H1409">
        <v>16.09</v>
      </c>
      <c r="I1409">
        <v>0.3</v>
      </c>
      <c r="J1409">
        <v>45.05</v>
      </c>
      <c r="K1409" t="s">
        <v>32</v>
      </c>
      <c r="L1409" t="s">
        <v>37</v>
      </c>
      <c r="M1409" t="s">
        <v>43</v>
      </c>
    </row>
    <row r="1410" spans="1:13" x14ac:dyDescent="0.2">
      <c r="A1410">
        <v>333665</v>
      </c>
      <c r="B1410" s="1">
        <v>44698</v>
      </c>
      <c r="C1410">
        <v>88649</v>
      </c>
      <c r="D1410" t="s">
        <v>29</v>
      </c>
      <c r="E1410" t="s">
        <v>175</v>
      </c>
      <c r="F1410" t="s">
        <v>176</v>
      </c>
      <c r="G1410">
        <v>2</v>
      </c>
      <c r="H1410">
        <v>9.59</v>
      </c>
      <c r="I1410">
        <v>0.2</v>
      </c>
      <c r="J1410">
        <v>15.34</v>
      </c>
      <c r="K1410" t="s">
        <v>36</v>
      </c>
      <c r="L1410" t="s">
        <v>23</v>
      </c>
      <c r="M1410" t="s">
        <v>117</v>
      </c>
    </row>
    <row r="1411" spans="1:13" x14ac:dyDescent="0.2">
      <c r="A1411">
        <v>333750</v>
      </c>
      <c r="B1411" s="2">
        <v>45527</v>
      </c>
      <c r="C1411">
        <v>82353</v>
      </c>
      <c r="D1411" t="s">
        <v>82</v>
      </c>
      <c r="E1411" t="s">
        <v>155</v>
      </c>
      <c r="F1411" t="s">
        <v>156</v>
      </c>
      <c r="G1411">
        <v>1</v>
      </c>
      <c r="H1411">
        <v>16.989999999999998</v>
      </c>
      <c r="I1411">
        <v>0.15</v>
      </c>
      <c r="J1411">
        <v>14.44</v>
      </c>
      <c r="K1411" t="s">
        <v>36</v>
      </c>
      <c r="L1411" t="s">
        <v>17</v>
      </c>
      <c r="M1411" t="s">
        <v>28</v>
      </c>
    </row>
    <row r="1412" spans="1:13" x14ac:dyDescent="0.2">
      <c r="A1412">
        <v>333885</v>
      </c>
      <c r="B1412" s="1">
        <v>45095</v>
      </c>
      <c r="C1412">
        <v>74561</v>
      </c>
      <c r="D1412" t="s">
        <v>13</v>
      </c>
      <c r="E1412" t="s">
        <v>55</v>
      </c>
      <c r="F1412" t="s">
        <v>56</v>
      </c>
      <c r="G1412">
        <v>2</v>
      </c>
      <c r="H1412">
        <v>230.99</v>
      </c>
      <c r="I1412">
        <v>0.3</v>
      </c>
      <c r="J1412">
        <v>323.39</v>
      </c>
      <c r="K1412" t="s">
        <v>36</v>
      </c>
      <c r="L1412" t="s">
        <v>17</v>
      </c>
      <c r="M1412" t="s">
        <v>76</v>
      </c>
    </row>
    <row r="1413" spans="1:13" x14ac:dyDescent="0.2">
      <c r="A1413">
        <v>334050</v>
      </c>
      <c r="B1413" s="2">
        <v>45005</v>
      </c>
      <c r="C1413">
        <v>27779</v>
      </c>
      <c r="D1413" t="s">
        <v>48</v>
      </c>
      <c r="E1413" t="s">
        <v>179</v>
      </c>
      <c r="F1413" t="s">
        <v>180</v>
      </c>
      <c r="G1413">
        <v>2</v>
      </c>
      <c r="H1413">
        <v>11.99</v>
      </c>
      <c r="J1413">
        <v>23.98</v>
      </c>
      <c r="K1413" t="s">
        <v>36</v>
      </c>
      <c r="L1413" t="s">
        <v>37</v>
      </c>
      <c r="M1413" t="s">
        <v>102</v>
      </c>
    </row>
    <row r="1414" spans="1:13" x14ac:dyDescent="0.2">
      <c r="A1414">
        <v>334431</v>
      </c>
      <c r="B1414" s="2">
        <v>45132</v>
      </c>
      <c r="C1414">
        <v>64621</v>
      </c>
      <c r="D1414" t="s">
        <v>29</v>
      </c>
      <c r="E1414" t="s">
        <v>38</v>
      </c>
      <c r="F1414" t="s">
        <v>39</v>
      </c>
      <c r="G1414">
        <v>1</v>
      </c>
      <c r="H1414">
        <v>25.49</v>
      </c>
      <c r="I1414">
        <v>0.15</v>
      </c>
      <c r="J1414">
        <v>21.67</v>
      </c>
      <c r="K1414" t="s">
        <v>36</v>
      </c>
      <c r="L1414" t="s">
        <v>17</v>
      </c>
      <c r="M1414" t="s">
        <v>54</v>
      </c>
    </row>
    <row r="1415" spans="1:13" x14ac:dyDescent="0.2">
      <c r="A1415">
        <v>335299</v>
      </c>
      <c r="B1415" s="2">
        <v>44566</v>
      </c>
      <c r="C1415">
        <v>30683</v>
      </c>
      <c r="D1415" t="s">
        <v>85</v>
      </c>
      <c r="E1415" t="s">
        <v>149</v>
      </c>
      <c r="F1415" t="s">
        <v>150</v>
      </c>
      <c r="G1415">
        <v>2</v>
      </c>
      <c r="H1415">
        <v>19.989999999999998</v>
      </c>
      <c r="J1415">
        <v>39.979999999999997</v>
      </c>
      <c r="K1415" t="s">
        <v>95</v>
      </c>
      <c r="L1415" t="s">
        <v>17</v>
      </c>
      <c r="M1415" t="s">
        <v>43</v>
      </c>
    </row>
    <row r="1416" spans="1:13" x14ac:dyDescent="0.2">
      <c r="A1416">
        <v>335364</v>
      </c>
      <c r="B1416" s="1">
        <v>45199</v>
      </c>
      <c r="C1416">
        <v>85296</v>
      </c>
      <c r="D1416" t="s">
        <v>48</v>
      </c>
      <c r="E1416" t="s">
        <v>143</v>
      </c>
      <c r="F1416" t="s">
        <v>144</v>
      </c>
      <c r="G1416">
        <v>1</v>
      </c>
      <c r="H1416">
        <v>14.99</v>
      </c>
      <c r="J1416">
        <v>14.99</v>
      </c>
      <c r="K1416" t="s">
        <v>36</v>
      </c>
      <c r="L1416" t="s">
        <v>17</v>
      </c>
      <c r="M1416" t="s">
        <v>117</v>
      </c>
    </row>
    <row r="1417" spans="1:13" x14ac:dyDescent="0.2">
      <c r="A1417">
        <v>335426</v>
      </c>
      <c r="B1417" s="1">
        <v>45573</v>
      </c>
      <c r="C1417">
        <v>93958</v>
      </c>
      <c r="D1417" t="s">
        <v>29</v>
      </c>
      <c r="E1417" t="s">
        <v>175</v>
      </c>
      <c r="F1417" t="s">
        <v>176</v>
      </c>
      <c r="G1417">
        <v>3</v>
      </c>
      <c r="H1417">
        <v>8.39</v>
      </c>
      <c r="I1417">
        <v>0.3</v>
      </c>
      <c r="J1417">
        <v>17.62</v>
      </c>
      <c r="K1417" t="s">
        <v>16</v>
      </c>
      <c r="L1417" t="s">
        <v>17</v>
      </c>
      <c r="M1417" t="s">
        <v>96</v>
      </c>
    </row>
    <row r="1418" spans="1:13" x14ac:dyDescent="0.2">
      <c r="A1418">
        <v>335455</v>
      </c>
      <c r="B1418" s="1">
        <v>45621</v>
      </c>
      <c r="D1418" t="s">
        <v>40</v>
      </c>
      <c r="E1418" t="s">
        <v>41</v>
      </c>
      <c r="F1418" t="s">
        <v>42</v>
      </c>
      <c r="G1418">
        <v>5</v>
      </c>
      <c r="H1418">
        <v>5.99</v>
      </c>
      <c r="J1418">
        <v>29.95</v>
      </c>
      <c r="K1418" t="s">
        <v>36</v>
      </c>
      <c r="L1418" t="s">
        <v>23</v>
      </c>
      <c r="M1418" t="s">
        <v>24</v>
      </c>
    </row>
    <row r="1419" spans="1:13" x14ac:dyDescent="0.2">
      <c r="A1419">
        <v>335477</v>
      </c>
      <c r="B1419" s="2">
        <v>45597</v>
      </c>
      <c r="C1419">
        <v>41210</v>
      </c>
      <c r="D1419" t="s">
        <v>44</v>
      </c>
      <c r="E1419" t="s">
        <v>74</v>
      </c>
      <c r="F1419" t="s">
        <v>75</v>
      </c>
      <c r="G1419">
        <v>1</v>
      </c>
      <c r="H1419">
        <v>2.99</v>
      </c>
      <c r="J1419">
        <v>2.99</v>
      </c>
      <c r="K1419" t="s">
        <v>16</v>
      </c>
      <c r="L1419" t="s">
        <v>37</v>
      </c>
      <c r="M1419" t="s">
        <v>33</v>
      </c>
    </row>
    <row r="1420" spans="1:13" x14ac:dyDescent="0.2">
      <c r="A1420">
        <v>335709</v>
      </c>
      <c r="B1420" s="1">
        <v>44631</v>
      </c>
      <c r="C1420">
        <v>38721</v>
      </c>
      <c r="D1420" t="s">
        <v>29</v>
      </c>
      <c r="E1420" t="s">
        <v>175</v>
      </c>
      <c r="F1420" t="s">
        <v>176</v>
      </c>
      <c r="G1420">
        <v>4</v>
      </c>
      <c r="H1420">
        <v>11.99</v>
      </c>
      <c r="J1420">
        <v>47.96</v>
      </c>
      <c r="K1420" t="s">
        <v>16</v>
      </c>
      <c r="L1420" t="s">
        <v>37</v>
      </c>
      <c r="M1420" t="s">
        <v>103</v>
      </c>
    </row>
    <row r="1421" spans="1:13" x14ac:dyDescent="0.2">
      <c r="A1421">
        <v>335728</v>
      </c>
      <c r="B1421" s="2">
        <v>45399</v>
      </c>
      <c r="C1421">
        <v>14048</v>
      </c>
      <c r="D1421" t="s">
        <v>44</v>
      </c>
      <c r="E1421" t="s">
        <v>93</v>
      </c>
      <c r="F1421" t="s">
        <v>94</v>
      </c>
      <c r="G1421">
        <v>1</v>
      </c>
      <c r="H1421">
        <v>1.29</v>
      </c>
      <c r="J1421">
        <v>1.29</v>
      </c>
      <c r="K1421" t="s">
        <v>36</v>
      </c>
      <c r="L1421" t="s">
        <v>17</v>
      </c>
      <c r="M1421" t="s">
        <v>33</v>
      </c>
    </row>
    <row r="1422" spans="1:13" x14ac:dyDescent="0.2">
      <c r="A1422">
        <v>336081</v>
      </c>
      <c r="B1422" s="1">
        <v>44573</v>
      </c>
      <c r="D1422" t="s">
        <v>25</v>
      </c>
      <c r="E1422" t="s">
        <v>70</v>
      </c>
      <c r="F1422" t="s">
        <v>71</v>
      </c>
      <c r="G1422">
        <v>2</v>
      </c>
      <c r="H1422">
        <v>80.989999999999995</v>
      </c>
      <c r="I1422">
        <v>0.1</v>
      </c>
      <c r="J1422">
        <v>145.78</v>
      </c>
      <c r="K1422" t="s">
        <v>22</v>
      </c>
      <c r="L1422" t="s">
        <v>17</v>
      </c>
      <c r="M1422" t="s">
        <v>47</v>
      </c>
    </row>
    <row r="1423" spans="1:13" x14ac:dyDescent="0.2">
      <c r="A1423">
        <v>336293</v>
      </c>
      <c r="B1423" s="1">
        <v>44567</v>
      </c>
      <c r="C1423">
        <v>75888</v>
      </c>
      <c r="D1423" t="s">
        <v>44</v>
      </c>
      <c r="E1423" t="s">
        <v>93</v>
      </c>
      <c r="F1423" t="s">
        <v>94</v>
      </c>
      <c r="G1423">
        <v>1</v>
      </c>
      <c r="H1423">
        <v>1.03</v>
      </c>
      <c r="I1423">
        <v>0.2</v>
      </c>
      <c r="J1423">
        <v>0.82</v>
      </c>
      <c r="K1423" t="s">
        <v>16</v>
      </c>
      <c r="L1423" t="s">
        <v>17</v>
      </c>
      <c r="M1423" t="s">
        <v>90</v>
      </c>
    </row>
    <row r="1424" spans="1:13" x14ac:dyDescent="0.2">
      <c r="A1424">
        <v>337018</v>
      </c>
      <c r="B1424" s="1">
        <v>45566</v>
      </c>
      <c r="C1424">
        <v>46719</v>
      </c>
      <c r="D1424" t="s">
        <v>25</v>
      </c>
      <c r="E1424" t="s">
        <v>70</v>
      </c>
      <c r="F1424" t="s">
        <v>71</v>
      </c>
      <c r="G1424">
        <v>4</v>
      </c>
      <c r="H1424">
        <v>62.99</v>
      </c>
      <c r="I1424">
        <v>0.3</v>
      </c>
      <c r="J1424">
        <v>176.37</v>
      </c>
      <c r="K1424" t="s">
        <v>16</v>
      </c>
      <c r="L1424" t="s">
        <v>17</v>
      </c>
      <c r="M1424" t="s">
        <v>96</v>
      </c>
    </row>
    <row r="1425" spans="1:13" x14ac:dyDescent="0.2">
      <c r="A1425">
        <v>337130</v>
      </c>
      <c r="B1425" s="1">
        <v>45410</v>
      </c>
      <c r="C1425">
        <v>38919</v>
      </c>
      <c r="D1425" t="s">
        <v>63</v>
      </c>
      <c r="E1425" t="s">
        <v>68</v>
      </c>
      <c r="F1425" t="s">
        <v>69</v>
      </c>
      <c r="G1425">
        <v>5</v>
      </c>
      <c r="H1425">
        <v>23.74</v>
      </c>
      <c r="I1425">
        <v>0.05</v>
      </c>
      <c r="J1425">
        <v>112.76</v>
      </c>
      <c r="K1425" t="s">
        <v>22</v>
      </c>
      <c r="L1425" t="s">
        <v>37</v>
      </c>
      <c r="M1425" t="s">
        <v>123</v>
      </c>
    </row>
    <row r="1426" spans="1:13" x14ac:dyDescent="0.2">
      <c r="A1426">
        <v>337175</v>
      </c>
      <c r="B1426" s="1">
        <v>44858</v>
      </c>
      <c r="C1426">
        <v>59152</v>
      </c>
      <c r="D1426" t="s">
        <v>63</v>
      </c>
      <c r="E1426" t="s">
        <v>111</v>
      </c>
      <c r="F1426" t="s">
        <v>112</v>
      </c>
      <c r="G1426">
        <v>5</v>
      </c>
      <c r="H1426">
        <v>14.99</v>
      </c>
      <c r="J1426">
        <v>74.95</v>
      </c>
      <c r="K1426" t="s">
        <v>16</v>
      </c>
      <c r="L1426" t="s">
        <v>17</v>
      </c>
      <c r="M1426" t="s">
        <v>103</v>
      </c>
    </row>
    <row r="1427" spans="1:13" x14ac:dyDescent="0.2">
      <c r="A1427">
        <v>337262</v>
      </c>
      <c r="B1427" s="1">
        <v>44958</v>
      </c>
      <c r="C1427">
        <v>79397</v>
      </c>
      <c r="D1427" t="s">
        <v>13</v>
      </c>
      <c r="E1427" t="s">
        <v>77</v>
      </c>
      <c r="F1427" t="s">
        <v>78</v>
      </c>
      <c r="G1427">
        <v>2</v>
      </c>
      <c r="H1427">
        <v>474.99</v>
      </c>
      <c r="I1427">
        <v>0.05</v>
      </c>
      <c r="J1427">
        <v>902.48</v>
      </c>
      <c r="K1427" t="s">
        <v>16</v>
      </c>
      <c r="L1427" t="s">
        <v>17</v>
      </c>
      <c r="M1427" t="s">
        <v>57</v>
      </c>
    </row>
    <row r="1428" spans="1:13" x14ac:dyDescent="0.2">
      <c r="A1428">
        <v>337408</v>
      </c>
      <c r="B1428" s="1">
        <v>45512</v>
      </c>
      <c r="C1428">
        <v>62703</v>
      </c>
      <c r="D1428" t="s">
        <v>25</v>
      </c>
      <c r="E1428" t="s">
        <v>70</v>
      </c>
      <c r="F1428" t="s">
        <v>71</v>
      </c>
      <c r="G1428">
        <v>5</v>
      </c>
      <c r="H1428">
        <v>85.49</v>
      </c>
      <c r="I1428">
        <v>0.05</v>
      </c>
      <c r="J1428">
        <v>406.08</v>
      </c>
      <c r="K1428" t="s">
        <v>22</v>
      </c>
      <c r="L1428" t="s">
        <v>37</v>
      </c>
      <c r="M1428" t="s">
        <v>18</v>
      </c>
    </row>
    <row r="1429" spans="1:13" x14ac:dyDescent="0.2">
      <c r="A1429">
        <v>337425</v>
      </c>
      <c r="B1429" s="2">
        <v>44868</v>
      </c>
      <c r="C1429">
        <v>81959</v>
      </c>
      <c r="D1429" t="s">
        <v>63</v>
      </c>
      <c r="E1429" t="s">
        <v>64</v>
      </c>
      <c r="F1429" t="s">
        <v>65</v>
      </c>
      <c r="G1429">
        <v>4</v>
      </c>
      <c r="H1429">
        <v>4.49</v>
      </c>
      <c r="I1429">
        <v>0.1</v>
      </c>
      <c r="J1429">
        <v>16.16</v>
      </c>
      <c r="K1429" t="s">
        <v>16</v>
      </c>
      <c r="L1429" t="s">
        <v>37</v>
      </c>
      <c r="M1429" t="s">
        <v>33</v>
      </c>
    </row>
    <row r="1430" spans="1:13" x14ac:dyDescent="0.2">
      <c r="A1430">
        <v>337721</v>
      </c>
      <c r="B1430" s="1">
        <v>45066</v>
      </c>
      <c r="C1430">
        <v>45194</v>
      </c>
      <c r="D1430" t="s">
        <v>48</v>
      </c>
      <c r="E1430" t="s">
        <v>139</v>
      </c>
      <c r="F1430" t="s">
        <v>140</v>
      </c>
      <c r="G1430">
        <v>2</v>
      </c>
      <c r="H1430">
        <v>7.99</v>
      </c>
      <c r="J1430">
        <v>15.98</v>
      </c>
      <c r="K1430" t="s">
        <v>22</v>
      </c>
      <c r="L1430" t="s">
        <v>37</v>
      </c>
      <c r="M1430" t="s">
        <v>47</v>
      </c>
    </row>
    <row r="1431" spans="1:13" x14ac:dyDescent="0.2">
      <c r="A1431">
        <v>337805</v>
      </c>
      <c r="B1431" s="1">
        <v>44970</v>
      </c>
      <c r="C1431">
        <v>73187</v>
      </c>
      <c r="D1431" t="s">
        <v>13</v>
      </c>
      <c r="E1431" t="s">
        <v>104</v>
      </c>
      <c r="F1431" t="s">
        <v>105</v>
      </c>
      <c r="G1431">
        <v>3</v>
      </c>
      <c r="H1431">
        <v>29.99</v>
      </c>
      <c r="J1431">
        <v>89.97</v>
      </c>
      <c r="K1431" t="s">
        <v>95</v>
      </c>
      <c r="L1431" t="s">
        <v>37</v>
      </c>
    </row>
    <row r="1432" spans="1:13" x14ac:dyDescent="0.2">
      <c r="A1432">
        <v>337863</v>
      </c>
      <c r="B1432" s="2">
        <v>45148</v>
      </c>
      <c r="C1432">
        <v>66443</v>
      </c>
      <c r="D1432" t="s">
        <v>63</v>
      </c>
      <c r="E1432" t="s">
        <v>68</v>
      </c>
      <c r="F1432" t="s">
        <v>69</v>
      </c>
      <c r="G1432">
        <v>3</v>
      </c>
      <c r="H1432">
        <v>17.489999999999998</v>
      </c>
      <c r="I1432">
        <v>0.3</v>
      </c>
      <c r="J1432">
        <v>36.729999999999997</v>
      </c>
      <c r="K1432" t="s">
        <v>32</v>
      </c>
      <c r="L1432" t="s">
        <v>23</v>
      </c>
      <c r="M1432" t="s">
        <v>81</v>
      </c>
    </row>
    <row r="1433" spans="1:13" x14ac:dyDescent="0.2">
      <c r="A1433">
        <v>338096</v>
      </c>
      <c r="B1433" s="2">
        <v>44602</v>
      </c>
      <c r="C1433">
        <v>18042</v>
      </c>
      <c r="D1433" t="s">
        <v>63</v>
      </c>
      <c r="E1433" t="s">
        <v>131</v>
      </c>
      <c r="F1433" t="s">
        <v>132</v>
      </c>
      <c r="G1433">
        <v>4</v>
      </c>
      <c r="H1433">
        <v>3.49</v>
      </c>
      <c r="J1433">
        <v>13.96</v>
      </c>
      <c r="K1433" t="s">
        <v>16</v>
      </c>
      <c r="L1433" t="s">
        <v>17</v>
      </c>
      <c r="M1433" t="s">
        <v>18</v>
      </c>
    </row>
    <row r="1434" spans="1:13" x14ac:dyDescent="0.2">
      <c r="A1434">
        <v>338140</v>
      </c>
      <c r="B1434" s="1">
        <v>45066</v>
      </c>
      <c r="D1434" t="s">
        <v>97</v>
      </c>
      <c r="E1434" t="s">
        <v>121</v>
      </c>
      <c r="F1434" t="s">
        <v>122</v>
      </c>
      <c r="G1434">
        <v>1</v>
      </c>
      <c r="H1434">
        <v>12.99</v>
      </c>
      <c r="J1434">
        <v>12.99</v>
      </c>
      <c r="K1434" t="s">
        <v>66</v>
      </c>
      <c r="L1434" t="s">
        <v>37</v>
      </c>
      <c r="M1434" t="s">
        <v>123</v>
      </c>
    </row>
    <row r="1435" spans="1:13" x14ac:dyDescent="0.2">
      <c r="A1435">
        <v>338338</v>
      </c>
      <c r="B1435" s="1">
        <v>45113</v>
      </c>
      <c r="C1435">
        <v>52328</v>
      </c>
      <c r="D1435" t="s">
        <v>124</v>
      </c>
      <c r="E1435" t="s">
        <v>68</v>
      </c>
      <c r="F1435" t="s">
        <v>69</v>
      </c>
      <c r="G1435">
        <v>5</v>
      </c>
      <c r="H1435">
        <v>24.99</v>
      </c>
      <c r="J1435">
        <v>124.95</v>
      </c>
      <c r="K1435" t="s">
        <v>16</v>
      </c>
      <c r="L1435" t="s">
        <v>23</v>
      </c>
      <c r="M1435" t="s">
        <v>54</v>
      </c>
    </row>
    <row r="1436" spans="1:13" x14ac:dyDescent="0.2">
      <c r="A1436">
        <v>338904</v>
      </c>
      <c r="B1436" s="1">
        <v>44695</v>
      </c>
      <c r="C1436">
        <v>71997</v>
      </c>
      <c r="D1436" t="s">
        <v>85</v>
      </c>
      <c r="E1436" t="s">
        <v>86</v>
      </c>
      <c r="F1436" t="s">
        <v>87</v>
      </c>
      <c r="G1436">
        <v>2</v>
      </c>
      <c r="H1436">
        <v>12.99</v>
      </c>
      <c r="J1436">
        <v>25.98</v>
      </c>
      <c r="K1436" t="s">
        <v>16</v>
      </c>
      <c r="L1436" t="s">
        <v>37</v>
      </c>
      <c r="M1436" t="s">
        <v>57</v>
      </c>
    </row>
    <row r="1437" spans="1:13" x14ac:dyDescent="0.2">
      <c r="A1437">
        <v>339025</v>
      </c>
      <c r="B1437" s="1">
        <v>45211</v>
      </c>
      <c r="D1437" t="s">
        <v>63</v>
      </c>
      <c r="E1437" t="s">
        <v>111</v>
      </c>
      <c r="F1437" t="s">
        <v>112</v>
      </c>
      <c r="G1437">
        <v>2</v>
      </c>
      <c r="H1437">
        <v>14.99</v>
      </c>
      <c r="J1437">
        <v>29.98</v>
      </c>
      <c r="K1437" t="s">
        <v>16</v>
      </c>
      <c r="L1437" t="s">
        <v>37</v>
      </c>
    </row>
    <row r="1438" spans="1:13" x14ac:dyDescent="0.2">
      <c r="A1438">
        <v>339357</v>
      </c>
      <c r="B1438" s="2">
        <v>45480</v>
      </c>
      <c r="C1438">
        <v>68675</v>
      </c>
      <c r="D1438" t="s">
        <v>44</v>
      </c>
      <c r="E1438" t="s">
        <v>91</v>
      </c>
      <c r="F1438" t="s">
        <v>92</v>
      </c>
      <c r="G1438">
        <v>3</v>
      </c>
      <c r="H1438">
        <v>6.29</v>
      </c>
      <c r="J1438">
        <v>18.87</v>
      </c>
      <c r="K1438" t="s">
        <v>36</v>
      </c>
      <c r="L1438" t="s">
        <v>17</v>
      </c>
      <c r="M1438" t="s">
        <v>81</v>
      </c>
    </row>
    <row r="1439" spans="1:13" x14ac:dyDescent="0.2">
      <c r="A1439">
        <v>339612</v>
      </c>
      <c r="B1439" s="1">
        <v>44691</v>
      </c>
      <c r="C1439">
        <v>10652</v>
      </c>
      <c r="D1439" t="s">
        <v>44</v>
      </c>
      <c r="E1439" t="s">
        <v>133</v>
      </c>
      <c r="F1439" t="s">
        <v>134</v>
      </c>
      <c r="G1439">
        <v>4</v>
      </c>
      <c r="H1439">
        <v>3.41</v>
      </c>
      <c r="J1439">
        <v>13.64</v>
      </c>
      <c r="K1439" t="s">
        <v>32</v>
      </c>
      <c r="L1439" t="s">
        <v>17</v>
      </c>
      <c r="M1439" t="s">
        <v>120</v>
      </c>
    </row>
    <row r="1440" spans="1:13" x14ac:dyDescent="0.2">
      <c r="A1440">
        <v>339846</v>
      </c>
      <c r="B1440" s="2">
        <v>44882</v>
      </c>
      <c r="C1440">
        <v>26819</v>
      </c>
      <c r="D1440" t="s">
        <v>97</v>
      </c>
      <c r="E1440" t="s">
        <v>151</v>
      </c>
      <c r="F1440" t="s">
        <v>152</v>
      </c>
      <c r="G1440">
        <v>5</v>
      </c>
      <c r="H1440">
        <v>29.74</v>
      </c>
      <c r="I1440">
        <v>0.15</v>
      </c>
      <c r="J1440">
        <v>126.39</v>
      </c>
      <c r="K1440" t="s">
        <v>36</v>
      </c>
      <c r="L1440" t="s">
        <v>17</v>
      </c>
      <c r="M1440" t="s">
        <v>18</v>
      </c>
    </row>
    <row r="1441" spans="1:13" x14ac:dyDescent="0.2">
      <c r="A1441">
        <v>339926</v>
      </c>
      <c r="B1441" s="1">
        <v>45263</v>
      </c>
      <c r="C1441">
        <v>13475</v>
      </c>
      <c r="D1441" t="s">
        <v>25</v>
      </c>
      <c r="E1441" t="s">
        <v>60</v>
      </c>
      <c r="F1441" t="s">
        <v>61</v>
      </c>
      <c r="G1441">
        <v>5</v>
      </c>
      <c r="H1441">
        <v>46.74</v>
      </c>
      <c r="I1441">
        <v>0.15</v>
      </c>
      <c r="J1441">
        <v>198.64</v>
      </c>
      <c r="K1441" t="s">
        <v>22</v>
      </c>
      <c r="L1441" t="s">
        <v>17</v>
      </c>
      <c r="M1441" t="s">
        <v>54</v>
      </c>
    </row>
    <row r="1442" spans="1:13" x14ac:dyDescent="0.2">
      <c r="A1442">
        <v>340007</v>
      </c>
      <c r="B1442" s="2">
        <v>45005</v>
      </c>
      <c r="C1442">
        <v>96827</v>
      </c>
      <c r="D1442" t="s">
        <v>85</v>
      </c>
      <c r="E1442" t="s">
        <v>86</v>
      </c>
      <c r="F1442" t="s">
        <v>87</v>
      </c>
      <c r="G1442">
        <v>2</v>
      </c>
      <c r="H1442">
        <v>12.99</v>
      </c>
      <c r="J1442">
        <v>25.98</v>
      </c>
      <c r="K1442" t="s">
        <v>16</v>
      </c>
      <c r="L1442" t="s">
        <v>17</v>
      </c>
      <c r="M1442" t="s">
        <v>54</v>
      </c>
    </row>
    <row r="1443" spans="1:13" x14ac:dyDescent="0.2">
      <c r="A1443">
        <v>340377</v>
      </c>
      <c r="B1443" s="1">
        <v>45553</v>
      </c>
      <c r="D1443" t="s">
        <v>82</v>
      </c>
      <c r="E1443" t="s">
        <v>188</v>
      </c>
      <c r="F1443" t="s">
        <v>189</v>
      </c>
      <c r="G1443">
        <v>1</v>
      </c>
      <c r="H1443">
        <v>44.99</v>
      </c>
      <c r="J1443">
        <v>44.99</v>
      </c>
      <c r="K1443" t="s">
        <v>32</v>
      </c>
      <c r="L1443" t="s">
        <v>17</v>
      </c>
      <c r="M1443" t="s">
        <v>47</v>
      </c>
    </row>
    <row r="1444" spans="1:13" x14ac:dyDescent="0.2">
      <c r="A1444">
        <v>340569</v>
      </c>
      <c r="B1444" s="2">
        <v>44760</v>
      </c>
      <c r="C1444">
        <v>24880</v>
      </c>
      <c r="D1444" t="s">
        <v>85</v>
      </c>
      <c r="E1444" t="s">
        <v>157</v>
      </c>
      <c r="F1444" t="s">
        <v>158</v>
      </c>
      <c r="G1444">
        <v>4</v>
      </c>
      <c r="H1444">
        <v>9.44</v>
      </c>
      <c r="I1444">
        <v>0.3</v>
      </c>
      <c r="J1444">
        <v>26.43</v>
      </c>
      <c r="K1444" t="s">
        <v>16</v>
      </c>
      <c r="L1444" t="s">
        <v>17</v>
      </c>
      <c r="M1444" t="s">
        <v>96</v>
      </c>
    </row>
    <row r="1445" spans="1:13" x14ac:dyDescent="0.2">
      <c r="A1445">
        <v>340613</v>
      </c>
      <c r="B1445" s="1">
        <v>45302</v>
      </c>
      <c r="C1445">
        <v>63953</v>
      </c>
      <c r="D1445" t="s">
        <v>82</v>
      </c>
      <c r="E1445" t="s">
        <v>188</v>
      </c>
      <c r="F1445" t="s">
        <v>189</v>
      </c>
      <c r="G1445">
        <v>2</v>
      </c>
      <c r="H1445">
        <v>44.99</v>
      </c>
      <c r="J1445">
        <v>89.98</v>
      </c>
      <c r="K1445" t="s">
        <v>16</v>
      </c>
      <c r="L1445" t="s">
        <v>37</v>
      </c>
      <c r="M1445" t="s">
        <v>103</v>
      </c>
    </row>
    <row r="1446" spans="1:13" x14ac:dyDescent="0.2">
      <c r="A1446">
        <v>340698</v>
      </c>
      <c r="B1446" s="1">
        <v>45225</v>
      </c>
      <c r="C1446">
        <v>80809</v>
      </c>
      <c r="D1446" t="s">
        <v>63</v>
      </c>
      <c r="E1446" t="s">
        <v>111</v>
      </c>
      <c r="F1446" t="s">
        <v>112</v>
      </c>
      <c r="G1446">
        <v>4</v>
      </c>
      <c r="H1446">
        <v>11.99</v>
      </c>
      <c r="I1446">
        <v>0.2</v>
      </c>
      <c r="J1446">
        <v>38.369999999999997</v>
      </c>
      <c r="K1446" t="s">
        <v>53</v>
      </c>
      <c r="L1446" t="s">
        <v>17</v>
      </c>
      <c r="M1446" t="s">
        <v>102</v>
      </c>
    </row>
    <row r="1447" spans="1:13" x14ac:dyDescent="0.2">
      <c r="A1447">
        <v>340702</v>
      </c>
      <c r="B1447" s="1">
        <v>45123</v>
      </c>
      <c r="C1447">
        <v>17181</v>
      </c>
      <c r="D1447" t="s">
        <v>85</v>
      </c>
      <c r="E1447" t="s">
        <v>153</v>
      </c>
      <c r="F1447" t="s">
        <v>154</v>
      </c>
      <c r="G1447">
        <v>3</v>
      </c>
      <c r="H1447">
        <v>29.99</v>
      </c>
      <c r="J1447">
        <v>89.97</v>
      </c>
      <c r="K1447" t="s">
        <v>22</v>
      </c>
      <c r="L1447" t="s">
        <v>17</v>
      </c>
      <c r="M1447" t="s">
        <v>81</v>
      </c>
    </row>
    <row r="1448" spans="1:13" x14ac:dyDescent="0.2">
      <c r="A1448">
        <v>340761</v>
      </c>
      <c r="B1448" s="1">
        <v>45110</v>
      </c>
      <c r="C1448">
        <v>77520</v>
      </c>
      <c r="D1448" t="s">
        <v>40</v>
      </c>
      <c r="E1448" t="s">
        <v>58</v>
      </c>
      <c r="F1448" t="s">
        <v>59</v>
      </c>
      <c r="G1448">
        <v>1</v>
      </c>
      <c r="H1448">
        <v>3.99</v>
      </c>
      <c r="J1448">
        <v>3.99</v>
      </c>
      <c r="K1448" t="s">
        <v>16</v>
      </c>
      <c r="L1448" t="s">
        <v>17</v>
      </c>
      <c r="M1448" t="s">
        <v>28</v>
      </c>
    </row>
    <row r="1449" spans="1:13" x14ac:dyDescent="0.2">
      <c r="A1449">
        <v>340943</v>
      </c>
      <c r="B1449" s="2">
        <v>44702</v>
      </c>
      <c r="C1449">
        <v>87086</v>
      </c>
      <c r="D1449" t="s">
        <v>82</v>
      </c>
      <c r="E1449" t="s">
        <v>188</v>
      </c>
      <c r="F1449" t="s">
        <v>189</v>
      </c>
      <c r="G1449">
        <v>2</v>
      </c>
      <c r="H1449">
        <v>31.49</v>
      </c>
      <c r="I1449">
        <v>0.3</v>
      </c>
      <c r="J1449">
        <v>44.09</v>
      </c>
      <c r="K1449" t="s">
        <v>16</v>
      </c>
      <c r="L1449" t="s">
        <v>37</v>
      </c>
    </row>
    <row r="1450" spans="1:13" x14ac:dyDescent="0.2">
      <c r="A1450">
        <v>340972</v>
      </c>
      <c r="B1450" s="1">
        <v>44959</v>
      </c>
      <c r="C1450">
        <v>58388</v>
      </c>
      <c r="D1450" t="s">
        <v>13</v>
      </c>
      <c r="E1450" t="s">
        <v>34</v>
      </c>
      <c r="F1450" t="s">
        <v>35</v>
      </c>
      <c r="G1450">
        <v>4</v>
      </c>
      <c r="H1450">
        <v>34.99</v>
      </c>
      <c r="J1450">
        <v>139.96</v>
      </c>
      <c r="K1450" t="s">
        <v>16</v>
      </c>
      <c r="L1450" t="s">
        <v>37</v>
      </c>
      <c r="M1450" t="s">
        <v>161</v>
      </c>
    </row>
    <row r="1451" spans="1:13" x14ac:dyDescent="0.2">
      <c r="A1451">
        <v>341323</v>
      </c>
      <c r="B1451" s="1">
        <v>45121</v>
      </c>
      <c r="C1451">
        <v>60055</v>
      </c>
      <c r="D1451" t="s">
        <v>48</v>
      </c>
      <c r="E1451" t="s">
        <v>109</v>
      </c>
      <c r="F1451" t="s">
        <v>110</v>
      </c>
      <c r="G1451">
        <v>3</v>
      </c>
      <c r="H1451">
        <v>4.8899999999999997</v>
      </c>
      <c r="I1451">
        <v>0.3</v>
      </c>
      <c r="J1451">
        <v>10.27</v>
      </c>
      <c r="K1451" t="s">
        <v>16</v>
      </c>
      <c r="L1451" t="s">
        <v>17</v>
      </c>
      <c r="M1451" t="s">
        <v>28</v>
      </c>
    </row>
    <row r="1452" spans="1:13" x14ac:dyDescent="0.2">
      <c r="A1452">
        <v>341512</v>
      </c>
      <c r="B1452" s="1">
        <v>44985</v>
      </c>
      <c r="C1452">
        <v>89117</v>
      </c>
      <c r="D1452" t="s">
        <v>63</v>
      </c>
      <c r="E1452" t="s">
        <v>111</v>
      </c>
      <c r="F1452" t="s">
        <v>112</v>
      </c>
      <c r="G1452">
        <v>2</v>
      </c>
      <c r="H1452">
        <v>11.24</v>
      </c>
      <c r="I1452">
        <v>0.25</v>
      </c>
      <c r="J1452">
        <v>16.86</v>
      </c>
      <c r="K1452" t="s">
        <v>22</v>
      </c>
      <c r="L1452" t="s">
        <v>17</v>
      </c>
      <c r="M1452" t="s">
        <v>47</v>
      </c>
    </row>
    <row r="1453" spans="1:13" x14ac:dyDescent="0.2">
      <c r="A1453">
        <v>341644</v>
      </c>
      <c r="B1453" s="1">
        <v>45166</v>
      </c>
      <c r="C1453">
        <v>36714</v>
      </c>
      <c r="D1453" t="s">
        <v>63</v>
      </c>
      <c r="E1453" t="s">
        <v>111</v>
      </c>
      <c r="F1453" t="s">
        <v>112</v>
      </c>
      <c r="G1453">
        <v>1</v>
      </c>
      <c r="H1453">
        <v>11.99</v>
      </c>
      <c r="J1453">
        <v>11.99</v>
      </c>
      <c r="K1453" t="s">
        <v>36</v>
      </c>
      <c r="L1453" t="s">
        <v>17</v>
      </c>
      <c r="M1453" t="s">
        <v>28</v>
      </c>
    </row>
    <row r="1454" spans="1:13" x14ac:dyDescent="0.2">
      <c r="A1454">
        <v>341856</v>
      </c>
      <c r="B1454" s="1">
        <v>45337</v>
      </c>
      <c r="C1454">
        <v>88088</v>
      </c>
      <c r="D1454" t="s">
        <v>25</v>
      </c>
      <c r="E1454" t="s">
        <v>113</v>
      </c>
      <c r="F1454" t="s">
        <v>114</v>
      </c>
      <c r="G1454">
        <v>4</v>
      </c>
      <c r="H1454">
        <v>113.99</v>
      </c>
      <c r="I1454">
        <v>0.05</v>
      </c>
      <c r="J1454">
        <v>433.16</v>
      </c>
      <c r="K1454" t="s">
        <v>36</v>
      </c>
      <c r="L1454" t="s">
        <v>37</v>
      </c>
      <c r="M1454" t="s">
        <v>24</v>
      </c>
    </row>
    <row r="1455" spans="1:13" x14ac:dyDescent="0.2">
      <c r="A1455">
        <v>341883</v>
      </c>
      <c r="B1455" s="1">
        <v>44821</v>
      </c>
      <c r="C1455">
        <v>26726</v>
      </c>
      <c r="D1455" t="s">
        <v>29</v>
      </c>
      <c r="E1455" t="s">
        <v>88</v>
      </c>
      <c r="F1455" t="s">
        <v>89</v>
      </c>
      <c r="G1455">
        <v>2</v>
      </c>
      <c r="H1455">
        <v>49.99</v>
      </c>
      <c r="J1455">
        <v>99.98</v>
      </c>
      <c r="K1455" t="s">
        <v>66</v>
      </c>
      <c r="L1455" t="s">
        <v>17</v>
      </c>
      <c r="M1455" t="s">
        <v>161</v>
      </c>
    </row>
    <row r="1456" spans="1:13" x14ac:dyDescent="0.2">
      <c r="A1456">
        <v>341902</v>
      </c>
      <c r="B1456" s="1">
        <v>44731</v>
      </c>
      <c r="C1456">
        <v>89604</v>
      </c>
      <c r="D1456" t="s">
        <v>48</v>
      </c>
      <c r="E1456" t="s">
        <v>139</v>
      </c>
      <c r="F1456" t="s">
        <v>140</v>
      </c>
      <c r="G1456">
        <v>2</v>
      </c>
      <c r="H1456">
        <v>7.99</v>
      </c>
      <c r="J1456">
        <v>15.98</v>
      </c>
      <c r="K1456" t="s">
        <v>16</v>
      </c>
      <c r="L1456" t="s">
        <v>17</v>
      </c>
      <c r="M1456" t="s">
        <v>33</v>
      </c>
    </row>
    <row r="1457" spans="1:13" x14ac:dyDescent="0.2">
      <c r="A1457">
        <v>342129</v>
      </c>
      <c r="B1457" s="2">
        <v>45108</v>
      </c>
      <c r="C1457">
        <v>72469</v>
      </c>
      <c r="D1457" t="s">
        <v>44</v>
      </c>
      <c r="E1457" t="s">
        <v>184</v>
      </c>
      <c r="F1457" t="s">
        <v>185</v>
      </c>
      <c r="G1457">
        <v>2</v>
      </c>
      <c r="H1457">
        <v>5.22</v>
      </c>
      <c r="I1457">
        <v>0.05</v>
      </c>
      <c r="J1457">
        <v>9.92</v>
      </c>
      <c r="K1457" t="s">
        <v>22</v>
      </c>
      <c r="L1457" t="s">
        <v>17</v>
      </c>
      <c r="M1457" t="s">
        <v>81</v>
      </c>
    </row>
    <row r="1458" spans="1:13" x14ac:dyDescent="0.2">
      <c r="A1458">
        <v>342280</v>
      </c>
      <c r="B1458" s="2">
        <v>45391</v>
      </c>
      <c r="C1458">
        <v>13660</v>
      </c>
      <c r="D1458" t="s">
        <v>63</v>
      </c>
      <c r="E1458" t="s">
        <v>131</v>
      </c>
      <c r="F1458" t="s">
        <v>132</v>
      </c>
      <c r="G1458">
        <v>5</v>
      </c>
      <c r="H1458">
        <v>3.32</v>
      </c>
      <c r="I1458">
        <v>0.05</v>
      </c>
      <c r="J1458">
        <v>15.77</v>
      </c>
      <c r="K1458" t="s">
        <v>22</v>
      </c>
      <c r="L1458" t="s">
        <v>17</v>
      </c>
      <c r="M1458" t="s">
        <v>62</v>
      </c>
    </row>
    <row r="1459" spans="1:13" x14ac:dyDescent="0.2">
      <c r="A1459">
        <v>342282</v>
      </c>
      <c r="B1459" s="2">
        <v>45085</v>
      </c>
      <c r="C1459">
        <v>66068</v>
      </c>
      <c r="D1459" t="s">
        <v>40</v>
      </c>
      <c r="E1459" t="s">
        <v>197</v>
      </c>
      <c r="F1459" t="s">
        <v>198</v>
      </c>
      <c r="G1459">
        <v>1</v>
      </c>
      <c r="H1459">
        <v>14.99</v>
      </c>
      <c r="J1459">
        <v>14.99</v>
      </c>
      <c r="K1459" t="s">
        <v>36</v>
      </c>
      <c r="L1459" t="s">
        <v>37</v>
      </c>
      <c r="M1459" t="s">
        <v>24</v>
      </c>
    </row>
    <row r="1460" spans="1:13" x14ac:dyDescent="0.2">
      <c r="A1460">
        <v>342291</v>
      </c>
      <c r="B1460" s="1">
        <v>45599</v>
      </c>
      <c r="C1460">
        <v>83652</v>
      </c>
      <c r="D1460" t="s">
        <v>40</v>
      </c>
      <c r="E1460" t="s">
        <v>197</v>
      </c>
      <c r="F1460" t="s">
        <v>198</v>
      </c>
      <c r="G1460">
        <v>3</v>
      </c>
      <c r="H1460">
        <v>10.49</v>
      </c>
      <c r="I1460">
        <v>0.3</v>
      </c>
      <c r="J1460">
        <v>22.03</v>
      </c>
      <c r="K1460" t="s">
        <v>95</v>
      </c>
      <c r="L1460" t="s">
        <v>37</v>
      </c>
      <c r="M1460" t="s">
        <v>67</v>
      </c>
    </row>
    <row r="1461" spans="1:13" x14ac:dyDescent="0.2">
      <c r="A1461">
        <v>342335</v>
      </c>
      <c r="B1461" s="1">
        <v>45405</v>
      </c>
      <c r="C1461">
        <v>91139</v>
      </c>
      <c r="D1461" t="s">
        <v>25</v>
      </c>
      <c r="E1461" t="s">
        <v>51</v>
      </c>
      <c r="F1461" t="s">
        <v>52</v>
      </c>
      <c r="G1461">
        <v>5</v>
      </c>
      <c r="H1461">
        <v>27.99</v>
      </c>
      <c r="J1461">
        <v>139.94999999999999</v>
      </c>
      <c r="K1461" t="s">
        <v>95</v>
      </c>
      <c r="L1461" t="s">
        <v>37</v>
      </c>
      <c r="M1461" t="s">
        <v>117</v>
      </c>
    </row>
    <row r="1462" spans="1:13" x14ac:dyDescent="0.2">
      <c r="A1462">
        <v>342465</v>
      </c>
      <c r="B1462" s="1">
        <v>44638</v>
      </c>
      <c r="C1462">
        <v>30443</v>
      </c>
      <c r="D1462" t="s">
        <v>44</v>
      </c>
      <c r="E1462" t="s">
        <v>184</v>
      </c>
      <c r="F1462" t="s">
        <v>185</v>
      </c>
      <c r="G1462">
        <v>2</v>
      </c>
      <c r="H1462">
        <v>4.12</v>
      </c>
      <c r="I1462">
        <v>0.25</v>
      </c>
      <c r="J1462">
        <v>6.18</v>
      </c>
      <c r="K1462" t="s">
        <v>36</v>
      </c>
      <c r="L1462" t="s">
        <v>17</v>
      </c>
      <c r="M1462" t="s">
        <v>57</v>
      </c>
    </row>
    <row r="1463" spans="1:13" x14ac:dyDescent="0.2">
      <c r="A1463">
        <v>342525</v>
      </c>
      <c r="B1463" s="1">
        <v>45018</v>
      </c>
      <c r="C1463">
        <v>91151</v>
      </c>
      <c r="D1463" t="s">
        <v>48</v>
      </c>
      <c r="E1463" t="s">
        <v>49</v>
      </c>
      <c r="F1463" t="s">
        <v>50</v>
      </c>
      <c r="G1463">
        <v>2</v>
      </c>
      <c r="H1463">
        <v>6.29</v>
      </c>
      <c r="I1463">
        <v>0.3</v>
      </c>
      <c r="J1463">
        <v>8.81</v>
      </c>
      <c r="K1463" t="s">
        <v>66</v>
      </c>
      <c r="L1463" t="s">
        <v>17</v>
      </c>
      <c r="M1463" t="s">
        <v>28</v>
      </c>
    </row>
    <row r="1464" spans="1:13" x14ac:dyDescent="0.2">
      <c r="A1464">
        <v>342849</v>
      </c>
      <c r="B1464" s="1">
        <v>45145</v>
      </c>
      <c r="C1464">
        <v>85356</v>
      </c>
      <c r="D1464" t="s">
        <v>44</v>
      </c>
      <c r="E1464" t="s">
        <v>74</v>
      </c>
      <c r="F1464" t="s">
        <v>75</v>
      </c>
      <c r="G1464">
        <v>1</v>
      </c>
      <c r="H1464">
        <v>2.99</v>
      </c>
      <c r="J1464">
        <v>2.99</v>
      </c>
      <c r="K1464" t="s">
        <v>22</v>
      </c>
      <c r="L1464" t="s">
        <v>17</v>
      </c>
      <c r="M1464" t="s">
        <v>54</v>
      </c>
    </row>
    <row r="1465" spans="1:13" x14ac:dyDescent="0.2">
      <c r="A1465">
        <v>343085</v>
      </c>
      <c r="B1465" s="1">
        <v>45049</v>
      </c>
      <c r="C1465">
        <v>89576</v>
      </c>
      <c r="D1465" t="s">
        <v>25</v>
      </c>
      <c r="E1465" t="s">
        <v>60</v>
      </c>
      <c r="F1465" t="s">
        <v>61</v>
      </c>
      <c r="G1465">
        <v>1</v>
      </c>
      <c r="H1465">
        <v>43.99</v>
      </c>
      <c r="I1465">
        <v>0.2</v>
      </c>
      <c r="J1465">
        <v>35.19</v>
      </c>
      <c r="K1465" t="s">
        <v>16</v>
      </c>
      <c r="L1465" t="s">
        <v>23</v>
      </c>
      <c r="M1465" t="s">
        <v>102</v>
      </c>
    </row>
    <row r="1466" spans="1:13" x14ac:dyDescent="0.2">
      <c r="A1466">
        <v>343167</v>
      </c>
      <c r="B1466" s="2">
        <v>45162</v>
      </c>
      <c r="C1466">
        <v>49080</v>
      </c>
      <c r="D1466" t="s">
        <v>48</v>
      </c>
      <c r="E1466" t="s">
        <v>118</v>
      </c>
      <c r="F1466" t="s">
        <v>119</v>
      </c>
      <c r="G1466">
        <v>5</v>
      </c>
      <c r="H1466">
        <v>4.99</v>
      </c>
      <c r="J1466">
        <v>24.95</v>
      </c>
      <c r="K1466" t="s">
        <v>53</v>
      </c>
      <c r="L1466" t="s">
        <v>17</v>
      </c>
      <c r="M1466" t="s">
        <v>120</v>
      </c>
    </row>
    <row r="1467" spans="1:13" x14ac:dyDescent="0.2">
      <c r="A1467">
        <v>343243</v>
      </c>
      <c r="B1467" s="1">
        <v>45468</v>
      </c>
      <c r="C1467">
        <v>84837</v>
      </c>
      <c r="D1467" t="s">
        <v>40</v>
      </c>
      <c r="E1467" t="s">
        <v>58</v>
      </c>
      <c r="F1467" t="s">
        <v>59</v>
      </c>
      <c r="G1467">
        <v>2</v>
      </c>
      <c r="H1467">
        <v>3.99</v>
      </c>
      <c r="J1467">
        <v>7.98</v>
      </c>
      <c r="K1467" t="s">
        <v>32</v>
      </c>
      <c r="L1467" t="s">
        <v>17</v>
      </c>
      <c r="M1467" t="s">
        <v>62</v>
      </c>
    </row>
    <row r="1468" spans="1:13" x14ac:dyDescent="0.2">
      <c r="A1468">
        <v>343718</v>
      </c>
      <c r="B1468" s="2">
        <v>45360</v>
      </c>
      <c r="C1468">
        <v>31412</v>
      </c>
      <c r="D1468" t="s">
        <v>97</v>
      </c>
      <c r="E1468" t="s">
        <v>151</v>
      </c>
      <c r="F1468" t="s">
        <v>152</v>
      </c>
      <c r="G1468">
        <v>1</v>
      </c>
      <c r="H1468">
        <v>29.74</v>
      </c>
      <c r="I1468">
        <v>0.15</v>
      </c>
      <c r="J1468">
        <v>25.28</v>
      </c>
      <c r="K1468" t="s">
        <v>22</v>
      </c>
      <c r="L1468" t="s">
        <v>17</v>
      </c>
      <c r="M1468" t="s">
        <v>161</v>
      </c>
    </row>
    <row r="1469" spans="1:13" x14ac:dyDescent="0.2">
      <c r="A1469">
        <v>343779</v>
      </c>
      <c r="B1469" s="1">
        <v>45632</v>
      </c>
      <c r="C1469">
        <v>10958</v>
      </c>
      <c r="D1469" t="s">
        <v>25</v>
      </c>
      <c r="E1469" t="s">
        <v>113</v>
      </c>
      <c r="F1469" t="s">
        <v>114</v>
      </c>
      <c r="G1469">
        <v>3</v>
      </c>
      <c r="H1469">
        <v>107.99</v>
      </c>
      <c r="I1469">
        <v>0.1</v>
      </c>
      <c r="J1469">
        <v>291.57</v>
      </c>
      <c r="K1469" t="s">
        <v>22</v>
      </c>
      <c r="L1469" t="s">
        <v>17</v>
      </c>
      <c r="M1469" t="s">
        <v>43</v>
      </c>
    </row>
    <row r="1470" spans="1:13" x14ac:dyDescent="0.2">
      <c r="A1470">
        <v>343813</v>
      </c>
      <c r="B1470" s="2">
        <v>45493</v>
      </c>
      <c r="C1470">
        <v>55456</v>
      </c>
      <c r="D1470" t="s">
        <v>29</v>
      </c>
      <c r="E1470" t="s">
        <v>30</v>
      </c>
      <c r="F1470" t="s">
        <v>31</v>
      </c>
      <c r="G1470">
        <v>2</v>
      </c>
      <c r="H1470">
        <v>23.74</v>
      </c>
      <c r="I1470">
        <v>0.05</v>
      </c>
      <c r="J1470">
        <v>45.11</v>
      </c>
      <c r="K1470" t="s">
        <v>22</v>
      </c>
      <c r="L1470" t="s">
        <v>37</v>
      </c>
      <c r="M1470" t="s">
        <v>28</v>
      </c>
    </row>
    <row r="1471" spans="1:13" x14ac:dyDescent="0.2">
      <c r="A1471">
        <v>344003</v>
      </c>
      <c r="B1471" s="1">
        <v>45613</v>
      </c>
      <c r="C1471">
        <v>31252</v>
      </c>
      <c r="D1471" t="s">
        <v>29</v>
      </c>
      <c r="E1471" t="s">
        <v>72</v>
      </c>
      <c r="F1471" t="s">
        <v>73</v>
      </c>
      <c r="G1471">
        <v>1</v>
      </c>
      <c r="H1471">
        <v>39.99</v>
      </c>
      <c r="J1471">
        <v>39.99</v>
      </c>
      <c r="K1471" t="s">
        <v>16</v>
      </c>
      <c r="L1471" t="s">
        <v>17</v>
      </c>
      <c r="M1471" t="s">
        <v>76</v>
      </c>
    </row>
    <row r="1472" spans="1:13" x14ac:dyDescent="0.2">
      <c r="A1472">
        <v>344703</v>
      </c>
      <c r="B1472" s="1">
        <v>45376</v>
      </c>
      <c r="C1472">
        <v>65834</v>
      </c>
      <c r="D1472" t="s">
        <v>63</v>
      </c>
      <c r="E1472" t="s">
        <v>68</v>
      </c>
      <c r="F1472" t="s">
        <v>69</v>
      </c>
      <c r="G1472">
        <v>5</v>
      </c>
      <c r="H1472">
        <v>19.989999999999998</v>
      </c>
      <c r="I1472">
        <v>0.2</v>
      </c>
      <c r="J1472">
        <v>79.959999999999994</v>
      </c>
      <c r="K1472" t="s">
        <v>36</v>
      </c>
      <c r="L1472" t="s">
        <v>37</v>
      </c>
      <c r="M1472" t="s">
        <v>57</v>
      </c>
    </row>
    <row r="1473" spans="1:13" x14ac:dyDescent="0.2">
      <c r="A1473">
        <v>344944</v>
      </c>
      <c r="B1473" s="1">
        <v>45551</v>
      </c>
      <c r="D1473" t="s">
        <v>13</v>
      </c>
      <c r="E1473" t="s">
        <v>159</v>
      </c>
      <c r="F1473" t="s">
        <v>160</v>
      </c>
      <c r="G1473">
        <v>3</v>
      </c>
      <c r="H1473">
        <v>59.99</v>
      </c>
      <c r="J1473">
        <v>179.97</v>
      </c>
      <c r="K1473" t="s">
        <v>36</v>
      </c>
      <c r="L1473" t="s">
        <v>23</v>
      </c>
      <c r="M1473" t="s">
        <v>67</v>
      </c>
    </row>
    <row r="1474" spans="1:13" x14ac:dyDescent="0.2">
      <c r="A1474">
        <v>345013</v>
      </c>
      <c r="B1474" s="1">
        <v>45280</v>
      </c>
      <c r="C1474">
        <v>88326</v>
      </c>
      <c r="D1474" t="s">
        <v>40</v>
      </c>
      <c r="E1474" t="s">
        <v>20</v>
      </c>
      <c r="F1474" t="s">
        <v>21</v>
      </c>
      <c r="G1474">
        <v>3</v>
      </c>
      <c r="H1474">
        <v>9.99</v>
      </c>
      <c r="J1474">
        <v>29.97</v>
      </c>
      <c r="K1474" t="s">
        <v>36</v>
      </c>
      <c r="L1474" t="s">
        <v>37</v>
      </c>
      <c r="M1474" t="s">
        <v>123</v>
      </c>
    </row>
    <row r="1475" spans="1:13" x14ac:dyDescent="0.2">
      <c r="A1475">
        <v>345022</v>
      </c>
      <c r="B1475" s="2">
        <v>45341</v>
      </c>
      <c r="C1475">
        <v>27999</v>
      </c>
      <c r="D1475" t="s">
        <v>44</v>
      </c>
      <c r="E1475" t="s">
        <v>74</v>
      </c>
      <c r="F1475" t="s">
        <v>75</v>
      </c>
      <c r="G1475">
        <v>1</v>
      </c>
      <c r="H1475">
        <v>2.84</v>
      </c>
      <c r="I1475">
        <v>0.05</v>
      </c>
      <c r="J1475">
        <v>2.7</v>
      </c>
      <c r="K1475" t="s">
        <v>22</v>
      </c>
      <c r="L1475" t="s">
        <v>17</v>
      </c>
      <c r="M1475" t="s">
        <v>28</v>
      </c>
    </row>
    <row r="1476" spans="1:13" x14ac:dyDescent="0.2">
      <c r="A1476">
        <v>345226</v>
      </c>
      <c r="B1476" s="1">
        <v>44910</v>
      </c>
      <c r="C1476">
        <v>89214</v>
      </c>
      <c r="D1476" t="s">
        <v>29</v>
      </c>
      <c r="E1476" t="s">
        <v>88</v>
      </c>
      <c r="F1476" t="s">
        <v>89</v>
      </c>
      <c r="G1476">
        <v>2</v>
      </c>
      <c r="H1476">
        <v>37.49</v>
      </c>
      <c r="I1476">
        <v>0.25</v>
      </c>
      <c r="J1476">
        <v>56.24</v>
      </c>
      <c r="K1476" t="s">
        <v>22</v>
      </c>
      <c r="L1476" t="s">
        <v>17</v>
      </c>
      <c r="M1476" t="s">
        <v>24</v>
      </c>
    </row>
    <row r="1477" spans="1:13" x14ac:dyDescent="0.2">
      <c r="A1477">
        <v>345334</v>
      </c>
      <c r="B1477" s="1">
        <v>45378</v>
      </c>
      <c r="C1477">
        <v>84575</v>
      </c>
      <c r="D1477" t="s">
        <v>106</v>
      </c>
      <c r="E1477" t="s">
        <v>91</v>
      </c>
      <c r="F1477" t="s">
        <v>92</v>
      </c>
      <c r="G1477">
        <v>5</v>
      </c>
      <c r="H1477">
        <v>4.72</v>
      </c>
      <c r="I1477">
        <v>0.25</v>
      </c>
      <c r="J1477">
        <v>17.7</v>
      </c>
      <c r="K1477" t="s">
        <v>22</v>
      </c>
      <c r="L1477" t="s">
        <v>17</v>
      </c>
      <c r="M1477" t="s">
        <v>43</v>
      </c>
    </row>
    <row r="1478" spans="1:13" x14ac:dyDescent="0.2">
      <c r="A1478">
        <v>345386</v>
      </c>
      <c r="B1478" s="1">
        <v>45036</v>
      </c>
      <c r="C1478">
        <v>57349</v>
      </c>
      <c r="D1478" t="s">
        <v>13</v>
      </c>
      <c r="E1478" t="s">
        <v>34</v>
      </c>
      <c r="F1478" t="s">
        <v>35</v>
      </c>
      <c r="G1478">
        <v>1</v>
      </c>
      <c r="H1478">
        <v>34.99</v>
      </c>
      <c r="J1478">
        <v>34.99</v>
      </c>
      <c r="K1478" t="s">
        <v>95</v>
      </c>
      <c r="L1478" t="s">
        <v>17</v>
      </c>
      <c r="M1478" t="s">
        <v>117</v>
      </c>
    </row>
    <row r="1479" spans="1:13" x14ac:dyDescent="0.2">
      <c r="A1479">
        <v>345406</v>
      </c>
      <c r="B1479" s="2">
        <v>44814</v>
      </c>
      <c r="C1479">
        <v>65743</v>
      </c>
      <c r="D1479" t="s">
        <v>40</v>
      </c>
      <c r="E1479" t="s">
        <v>20</v>
      </c>
      <c r="F1479" t="s">
        <v>21</v>
      </c>
      <c r="G1479">
        <v>1</v>
      </c>
      <c r="H1479">
        <v>7.99</v>
      </c>
      <c r="I1479">
        <v>0.2</v>
      </c>
      <c r="J1479">
        <v>6.39</v>
      </c>
      <c r="K1479" t="s">
        <v>22</v>
      </c>
      <c r="L1479" t="s">
        <v>37</v>
      </c>
      <c r="M1479" t="s">
        <v>123</v>
      </c>
    </row>
    <row r="1480" spans="1:13" x14ac:dyDescent="0.2">
      <c r="A1480">
        <v>345645</v>
      </c>
      <c r="B1480" s="2">
        <v>45058</v>
      </c>
      <c r="C1480">
        <v>53471</v>
      </c>
      <c r="D1480" t="s">
        <v>29</v>
      </c>
      <c r="E1480" t="s">
        <v>30</v>
      </c>
      <c r="F1480" t="s">
        <v>31</v>
      </c>
      <c r="G1480">
        <v>2</v>
      </c>
      <c r="H1480">
        <v>17.489999999999998</v>
      </c>
      <c r="I1480">
        <v>0.3</v>
      </c>
      <c r="J1480">
        <v>24.49</v>
      </c>
      <c r="K1480" t="s">
        <v>22</v>
      </c>
      <c r="L1480" t="s">
        <v>17</v>
      </c>
      <c r="M1480" t="s">
        <v>62</v>
      </c>
    </row>
    <row r="1481" spans="1:13" x14ac:dyDescent="0.2">
      <c r="A1481">
        <v>345660</v>
      </c>
      <c r="B1481" s="2">
        <v>45297</v>
      </c>
      <c r="C1481">
        <v>20172</v>
      </c>
      <c r="D1481" t="s">
        <v>85</v>
      </c>
      <c r="E1481" t="s">
        <v>145</v>
      </c>
      <c r="F1481" t="s">
        <v>146</v>
      </c>
      <c r="G1481">
        <v>1</v>
      </c>
      <c r="H1481">
        <v>11.89</v>
      </c>
      <c r="I1481">
        <v>0.3</v>
      </c>
      <c r="J1481">
        <v>8.32</v>
      </c>
      <c r="K1481" t="s">
        <v>22</v>
      </c>
      <c r="L1481" t="s">
        <v>37</v>
      </c>
      <c r="M1481" t="s">
        <v>47</v>
      </c>
    </row>
    <row r="1482" spans="1:13" x14ac:dyDescent="0.2">
      <c r="A1482">
        <v>345770</v>
      </c>
      <c r="B1482" s="1">
        <v>44810</v>
      </c>
      <c r="C1482">
        <v>36555</v>
      </c>
      <c r="D1482" t="s">
        <v>63</v>
      </c>
      <c r="E1482" t="s">
        <v>131</v>
      </c>
      <c r="F1482" t="s">
        <v>132</v>
      </c>
      <c r="G1482">
        <v>5</v>
      </c>
      <c r="H1482">
        <v>3.14</v>
      </c>
      <c r="I1482">
        <v>0.1</v>
      </c>
      <c r="J1482">
        <v>14.13</v>
      </c>
      <c r="K1482" t="s">
        <v>53</v>
      </c>
      <c r="L1482" t="s">
        <v>37</v>
      </c>
      <c r="M1482" t="s">
        <v>24</v>
      </c>
    </row>
    <row r="1483" spans="1:13" x14ac:dyDescent="0.2">
      <c r="A1483">
        <v>345801</v>
      </c>
      <c r="B1483" s="2">
        <v>45625</v>
      </c>
      <c r="C1483">
        <v>72067</v>
      </c>
      <c r="D1483" t="s">
        <v>63</v>
      </c>
      <c r="E1483" t="s">
        <v>125</v>
      </c>
      <c r="F1483" t="s">
        <v>126</v>
      </c>
      <c r="G1483">
        <v>2</v>
      </c>
      <c r="H1483">
        <v>22.49</v>
      </c>
      <c r="I1483">
        <v>0.25</v>
      </c>
      <c r="J1483">
        <v>33.74</v>
      </c>
      <c r="K1483" t="s">
        <v>22</v>
      </c>
      <c r="L1483" t="s">
        <v>37</v>
      </c>
      <c r="M1483" t="s">
        <v>24</v>
      </c>
    </row>
    <row r="1484" spans="1:13" x14ac:dyDescent="0.2">
      <c r="A1484">
        <v>345945</v>
      </c>
      <c r="B1484" s="1">
        <v>45274</v>
      </c>
      <c r="C1484">
        <v>22048</v>
      </c>
      <c r="D1484" t="s">
        <v>48</v>
      </c>
      <c r="E1484" t="s">
        <v>109</v>
      </c>
      <c r="F1484" t="s">
        <v>110</v>
      </c>
      <c r="G1484">
        <v>4</v>
      </c>
      <c r="H1484">
        <v>5.59</v>
      </c>
      <c r="I1484">
        <v>0.2</v>
      </c>
      <c r="J1484">
        <v>17.89</v>
      </c>
      <c r="K1484" t="s">
        <v>36</v>
      </c>
      <c r="L1484" t="s">
        <v>17</v>
      </c>
      <c r="M1484" t="s">
        <v>103</v>
      </c>
    </row>
    <row r="1485" spans="1:13" x14ac:dyDescent="0.2">
      <c r="A1485">
        <v>346004</v>
      </c>
      <c r="B1485" s="1">
        <v>45545</v>
      </c>
      <c r="C1485">
        <v>83099</v>
      </c>
      <c r="D1485" t="s">
        <v>85</v>
      </c>
      <c r="E1485" t="s">
        <v>157</v>
      </c>
      <c r="F1485" t="s">
        <v>158</v>
      </c>
      <c r="G1485">
        <v>5</v>
      </c>
      <c r="H1485">
        <v>13.49</v>
      </c>
      <c r="J1485">
        <v>67.45</v>
      </c>
      <c r="K1485" t="s">
        <v>32</v>
      </c>
      <c r="L1485" t="s">
        <v>23</v>
      </c>
      <c r="M1485" t="s">
        <v>123</v>
      </c>
    </row>
    <row r="1486" spans="1:13" x14ac:dyDescent="0.2">
      <c r="A1486">
        <v>346106</v>
      </c>
      <c r="B1486" s="2">
        <v>44706</v>
      </c>
      <c r="C1486">
        <v>19656</v>
      </c>
      <c r="D1486" t="s">
        <v>48</v>
      </c>
      <c r="E1486" t="s">
        <v>143</v>
      </c>
      <c r="F1486" t="s">
        <v>144</v>
      </c>
      <c r="G1486">
        <v>4</v>
      </c>
      <c r="H1486">
        <v>14.24</v>
      </c>
      <c r="I1486">
        <v>0.05</v>
      </c>
      <c r="J1486">
        <v>54.11</v>
      </c>
      <c r="K1486" t="s">
        <v>16</v>
      </c>
      <c r="L1486" t="s">
        <v>17</v>
      </c>
      <c r="M1486" t="s">
        <v>117</v>
      </c>
    </row>
    <row r="1487" spans="1:13" x14ac:dyDescent="0.2">
      <c r="A1487">
        <v>346456</v>
      </c>
      <c r="B1487" s="1">
        <v>44980</v>
      </c>
      <c r="C1487">
        <v>27733</v>
      </c>
      <c r="D1487" t="s">
        <v>13</v>
      </c>
      <c r="E1487" t="s">
        <v>127</v>
      </c>
      <c r="F1487" t="s">
        <v>128</v>
      </c>
      <c r="G1487">
        <v>1</v>
      </c>
      <c r="H1487">
        <v>16.989999999999998</v>
      </c>
      <c r="J1487">
        <v>16.989999999999998</v>
      </c>
      <c r="K1487" t="s">
        <v>22</v>
      </c>
      <c r="L1487" t="s">
        <v>17</v>
      </c>
      <c r="M1487" t="s">
        <v>120</v>
      </c>
    </row>
    <row r="1488" spans="1:13" x14ac:dyDescent="0.2">
      <c r="A1488">
        <v>346622</v>
      </c>
      <c r="B1488" s="1">
        <v>44564</v>
      </c>
      <c r="C1488">
        <v>82472</v>
      </c>
      <c r="D1488" t="s">
        <v>25</v>
      </c>
      <c r="E1488" t="s">
        <v>26</v>
      </c>
      <c r="F1488" t="s">
        <v>27</v>
      </c>
      <c r="G1488">
        <v>1</v>
      </c>
      <c r="H1488">
        <v>34.99</v>
      </c>
      <c r="J1488">
        <v>34.99</v>
      </c>
      <c r="K1488" t="s">
        <v>66</v>
      </c>
      <c r="L1488" t="s">
        <v>17</v>
      </c>
      <c r="M1488" t="s">
        <v>67</v>
      </c>
    </row>
    <row r="1489" spans="1:13" x14ac:dyDescent="0.2">
      <c r="A1489">
        <v>346712</v>
      </c>
      <c r="B1489" s="1">
        <v>45571</v>
      </c>
      <c r="C1489">
        <v>63003</v>
      </c>
      <c r="D1489" t="s">
        <v>13</v>
      </c>
      <c r="E1489" t="s">
        <v>186</v>
      </c>
      <c r="F1489" t="s">
        <v>187</v>
      </c>
      <c r="G1489">
        <v>5</v>
      </c>
      <c r="H1489">
        <v>49.99</v>
      </c>
      <c r="J1489">
        <v>249.95</v>
      </c>
      <c r="K1489" t="s">
        <v>16</v>
      </c>
      <c r="L1489" t="s">
        <v>17</v>
      </c>
      <c r="M1489" t="s">
        <v>54</v>
      </c>
    </row>
    <row r="1490" spans="1:13" x14ac:dyDescent="0.2">
      <c r="A1490">
        <v>346899</v>
      </c>
      <c r="B1490" s="1">
        <v>45419</v>
      </c>
      <c r="C1490">
        <v>76494</v>
      </c>
      <c r="D1490" t="s">
        <v>29</v>
      </c>
      <c r="E1490" t="s">
        <v>72</v>
      </c>
      <c r="F1490" t="s">
        <v>73</v>
      </c>
      <c r="G1490">
        <v>1</v>
      </c>
      <c r="H1490">
        <v>35.99</v>
      </c>
      <c r="I1490">
        <v>0.1</v>
      </c>
      <c r="J1490">
        <v>32.39</v>
      </c>
      <c r="K1490" t="s">
        <v>32</v>
      </c>
      <c r="L1490" t="s">
        <v>17</v>
      </c>
      <c r="M1490" t="s">
        <v>67</v>
      </c>
    </row>
    <row r="1491" spans="1:13" x14ac:dyDescent="0.2">
      <c r="A1491">
        <v>347255</v>
      </c>
      <c r="B1491" s="1">
        <v>44926</v>
      </c>
      <c r="C1491">
        <v>13069</v>
      </c>
      <c r="D1491" t="s">
        <v>63</v>
      </c>
      <c r="E1491" t="s">
        <v>64</v>
      </c>
      <c r="F1491" t="s">
        <v>65</v>
      </c>
      <c r="G1491">
        <v>2</v>
      </c>
      <c r="H1491">
        <v>3.74</v>
      </c>
      <c r="I1491">
        <v>0.25</v>
      </c>
      <c r="J1491">
        <v>5.61</v>
      </c>
      <c r="K1491" t="s">
        <v>95</v>
      </c>
      <c r="L1491" t="s">
        <v>17</v>
      </c>
      <c r="M1491" t="s">
        <v>120</v>
      </c>
    </row>
    <row r="1492" spans="1:13" x14ac:dyDescent="0.2">
      <c r="A1492">
        <v>347349</v>
      </c>
      <c r="B1492" s="1">
        <v>45076</v>
      </c>
      <c r="C1492">
        <v>64337</v>
      </c>
      <c r="D1492" t="s">
        <v>48</v>
      </c>
      <c r="E1492" t="s">
        <v>49</v>
      </c>
      <c r="F1492" t="s">
        <v>50</v>
      </c>
      <c r="G1492">
        <v>1</v>
      </c>
      <c r="H1492">
        <v>8.99</v>
      </c>
      <c r="J1492">
        <v>8.99</v>
      </c>
      <c r="K1492" t="s">
        <v>16</v>
      </c>
      <c r="L1492" t="s">
        <v>17</v>
      </c>
      <c r="M1492" t="s">
        <v>90</v>
      </c>
    </row>
    <row r="1493" spans="1:13" x14ac:dyDescent="0.2">
      <c r="A1493">
        <v>347403</v>
      </c>
      <c r="B1493" s="1">
        <v>45190</v>
      </c>
      <c r="C1493">
        <v>32600</v>
      </c>
      <c r="D1493" t="s">
        <v>85</v>
      </c>
      <c r="E1493" t="s">
        <v>86</v>
      </c>
      <c r="F1493" t="s">
        <v>87</v>
      </c>
      <c r="G1493">
        <v>1</v>
      </c>
      <c r="H1493">
        <v>12.99</v>
      </c>
      <c r="J1493">
        <v>12.99</v>
      </c>
      <c r="K1493" t="s">
        <v>16</v>
      </c>
      <c r="L1493" t="s">
        <v>23</v>
      </c>
      <c r="M1493" t="s">
        <v>90</v>
      </c>
    </row>
    <row r="1494" spans="1:13" x14ac:dyDescent="0.2">
      <c r="A1494">
        <v>347428</v>
      </c>
      <c r="B1494" s="1">
        <v>44668</v>
      </c>
      <c r="C1494">
        <v>46188</v>
      </c>
      <c r="D1494" t="s">
        <v>29</v>
      </c>
      <c r="E1494" t="s">
        <v>170</v>
      </c>
      <c r="F1494" t="s">
        <v>171</v>
      </c>
      <c r="G1494">
        <v>5</v>
      </c>
      <c r="H1494">
        <v>14.24</v>
      </c>
      <c r="I1494">
        <v>0.05</v>
      </c>
      <c r="J1494">
        <v>67.64</v>
      </c>
      <c r="K1494" t="s">
        <v>16</v>
      </c>
      <c r="L1494" t="s">
        <v>17</v>
      </c>
      <c r="M1494" t="s">
        <v>123</v>
      </c>
    </row>
    <row r="1495" spans="1:13" x14ac:dyDescent="0.2">
      <c r="A1495">
        <v>347496</v>
      </c>
      <c r="B1495" s="1">
        <v>45600</v>
      </c>
      <c r="C1495">
        <v>76649</v>
      </c>
      <c r="D1495" t="s">
        <v>97</v>
      </c>
      <c r="E1495" t="s">
        <v>141</v>
      </c>
      <c r="F1495" t="s">
        <v>142</v>
      </c>
      <c r="G1495">
        <v>2</v>
      </c>
      <c r="H1495">
        <v>18.39</v>
      </c>
      <c r="I1495">
        <v>0.2</v>
      </c>
      <c r="J1495">
        <v>29.42</v>
      </c>
      <c r="K1495" t="s">
        <v>16</v>
      </c>
      <c r="L1495" t="s">
        <v>17</v>
      </c>
      <c r="M1495" t="s">
        <v>43</v>
      </c>
    </row>
    <row r="1496" spans="1:13" x14ac:dyDescent="0.2">
      <c r="A1496">
        <v>347582</v>
      </c>
      <c r="B1496" s="2">
        <v>45320</v>
      </c>
      <c r="C1496">
        <v>81364</v>
      </c>
      <c r="D1496" t="s">
        <v>29</v>
      </c>
      <c r="E1496" t="s">
        <v>88</v>
      </c>
      <c r="F1496" t="s">
        <v>89</v>
      </c>
      <c r="G1496">
        <v>2</v>
      </c>
      <c r="H1496">
        <v>47.49</v>
      </c>
      <c r="I1496">
        <v>0.05</v>
      </c>
      <c r="J1496">
        <v>90.23</v>
      </c>
      <c r="K1496" t="s">
        <v>22</v>
      </c>
      <c r="L1496" t="s">
        <v>17</v>
      </c>
      <c r="M1496" t="s">
        <v>62</v>
      </c>
    </row>
    <row r="1497" spans="1:13" x14ac:dyDescent="0.2">
      <c r="A1497">
        <v>347705</v>
      </c>
      <c r="B1497" s="1">
        <v>44993</v>
      </c>
      <c r="C1497">
        <v>52184</v>
      </c>
      <c r="D1497" t="s">
        <v>25</v>
      </c>
      <c r="E1497" t="s">
        <v>26</v>
      </c>
      <c r="F1497" t="s">
        <v>27</v>
      </c>
      <c r="G1497">
        <v>1</v>
      </c>
      <c r="H1497">
        <v>29.74</v>
      </c>
      <c r="I1497">
        <v>0.15</v>
      </c>
      <c r="J1497">
        <v>25.28</v>
      </c>
      <c r="K1497" t="s">
        <v>36</v>
      </c>
      <c r="L1497" t="s">
        <v>17</v>
      </c>
      <c r="M1497" t="s">
        <v>28</v>
      </c>
    </row>
    <row r="1498" spans="1:13" x14ac:dyDescent="0.2">
      <c r="A1498">
        <v>347721</v>
      </c>
      <c r="B1498" s="2">
        <v>45525</v>
      </c>
      <c r="C1498">
        <v>20098</v>
      </c>
      <c r="D1498" t="s">
        <v>25</v>
      </c>
      <c r="E1498" t="s">
        <v>70</v>
      </c>
      <c r="F1498" t="s">
        <v>71</v>
      </c>
      <c r="G1498">
        <v>5</v>
      </c>
      <c r="H1498">
        <v>71.989999999999995</v>
      </c>
      <c r="I1498">
        <v>0.2</v>
      </c>
      <c r="J1498">
        <v>287.95999999999998</v>
      </c>
      <c r="K1498" t="s">
        <v>36</v>
      </c>
      <c r="L1498" t="s">
        <v>23</v>
      </c>
      <c r="M1498" t="s">
        <v>103</v>
      </c>
    </row>
    <row r="1499" spans="1:13" x14ac:dyDescent="0.2">
      <c r="A1499">
        <v>347864</v>
      </c>
      <c r="B1499" s="1">
        <v>45305</v>
      </c>
      <c r="C1499">
        <v>61508</v>
      </c>
      <c r="D1499" t="s">
        <v>48</v>
      </c>
      <c r="E1499" t="s">
        <v>49</v>
      </c>
      <c r="F1499" t="s">
        <v>50</v>
      </c>
      <c r="G1499">
        <v>2</v>
      </c>
      <c r="H1499">
        <v>8.99</v>
      </c>
      <c r="J1499">
        <v>17.98</v>
      </c>
      <c r="K1499" t="s">
        <v>95</v>
      </c>
      <c r="L1499" t="s">
        <v>17</v>
      </c>
      <c r="M1499" t="s">
        <v>54</v>
      </c>
    </row>
    <row r="1500" spans="1:13" x14ac:dyDescent="0.2">
      <c r="A1500">
        <v>347873</v>
      </c>
      <c r="B1500" s="2">
        <v>45403</v>
      </c>
      <c r="C1500">
        <v>83443</v>
      </c>
      <c r="D1500" t="s">
        <v>97</v>
      </c>
      <c r="E1500" t="s">
        <v>181</v>
      </c>
      <c r="F1500" t="s">
        <v>182</v>
      </c>
      <c r="G1500">
        <v>5</v>
      </c>
      <c r="H1500">
        <v>13.49</v>
      </c>
      <c r="I1500">
        <v>0.1</v>
      </c>
      <c r="J1500">
        <v>60.71</v>
      </c>
      <c r="K1500" t="s">
        <v>36</v>
      </c>
      <c r="L1500" t="s">
        <v>17</v>
      </c>
      <c r="M1500" t="s">
        <v>96</v>
      </c>
    </row>
    <row r="1501" spans="1:13" x14ac:dyDescent="0.2">
      <c r="A1501">
        <v>348053</v>
      </c>
      <c r="B1501" s="2">
        <v>45273</v>
      </c>
      <c r="C1501">
        <v>58569</v>
      </c>
      <c r="D1501" t="s">
        <v>29</v>
      </c>
      <c r="E1501" t="s">
        <v>72</v>
      </c>
      <c r="F1501" t="s">
        <v>73</v>
      </c>
      <c r="G1501">
        <v>5</v>
      </c>
      <c r="H1501">
        <v>31.99</v>
      </c>
      <c r="I1501">
        <v>0.2</v>
      </c>
      <c r="J1501">
        <v>127.96</v>
      </c>
      <c r="K1501" t="s">
        <v>36</v>
      </c>
      <c r="L1501" t="s">
        <v>23</v>
      </c>
      <c r="M1501" t="s">
        <v>62</v>
      </c>
    </row>
    <row r="1502" spans="1:13" x14ac:dyDescent="0.2">
      <c r="A1502">
        <v>348089</v>
      </c>
      <c r="B1502" s="1">
        <v>45395</v>
      </c>
      <c r="C1502">
        <v>97347</v>
      </c>
      <c r="D1502" t="s">
        <v>40</v>
      </c>
      <c r="E1502" t="s">
        <v>115</v>
      </c>
      <c r="F1502" t="s">
        <v>116</v>
      </c>
      <c r="G1502">
        <v>2</v>
      </c>
      <c r="H1502">
        <v>9.09</v>
      </c>
      <c r="I1502">
        <v>0.3</v>
      </c>
      <c r="J1502">
        <v>12.73</v>
      </c>
      <c r="K1502" t="s">
        <v>32</v>
      </c>
      <c r="L1502" t="s">
        <v>37</v>
      </c>
      <c r="M1502" t="s">
        <v>62</v>
      </c>
    </row>
    <row r="1503" spans="1:13" x14ac:dyDescent="0.2">
      <c r="A1503">
        <v>348537</v>
      </c>
      <c r="B1503" s="1">
        <v>45091</v>
      </c>
      <c r="C1503">
        <v>14264</v>
      </c>
      <c r="D1503" t="s">
        <v>82</v>
      </c>
      <c r="E1503" t="s">
        <v>188</v>
      </c>
      <c r="F1503" t="s">
        <v>189</v>
      </c>
      <c r="G1503">
        <v>5</v>
      </c>
      <c r="H1503">
        <v>38.24</v>
      </c>
      <c r="I1503">
        <v>0.15</v>
      </c>
      <c r="J1503">
        <v>162.52000000000001</v>
      </c>
      <c r="K1503" t="s">
        <v>16</v>
      </c>
      <c r="L1503" t="s">
        <v>37</v>
      </c>
      <c r="M1503" t="s">
        <v>96</v>
      </c>
    </row>
    <row r="1504" spans="1:13" x14ac:dyDescent="0.2">
      <c r="A1504">
        <v>348558</v>
      </c>
      <c r="B1504" s="2">
        <v>45409</v>
      </c>
      <c r="C1504">
        <v>77724</v>
      </c>
      <c r="D1504" t="s">
        <v>85</v>
      </c>
      <c r="E1504" t="s">
        <v>145</v>
      </c>
      <c r="F1504" t="s">
        <v>146</v>
      </c>
      <c r="G1504">
        <v>2</v>
      </c>
      <c r="H1504">
        <v>11.89</v>
      </c>
      <c r="I1504">
        <v>0.3</v>
      </c>
      <c r="J1504">
        <v>16.649999999999999</v>
      </c>
      <c r="K1504" t="s">
        <v>22</v>
      </c>
      <c r="L1504" t="s">
        <v>37</v>
      </c>
      <c r="M1504" t="s">
        <v>81</v>
      </c>
    </row>
    <row r="1505" spans="1:13" x14ac:dyDescent="0.2">
      <c r="A1505">
        <v>349563</v>
      </c>
      <c r="B1505" s="1">
        <v>45636</v>
      </c>
      <c r="D1505" t="s">
        <v>63</v>
      </c>
      <c r="E1505" t="s">
        <v>111</v>
      </c>
      <c r="F1505" t="s">
        <v>112</v>
      </c>
      <c r="G1505">
        <v>5</v>
      </c>
      <c r="H1505">
        <v>14.99</v>
      </c>
      <c r="J1505">
        <v>74.95</v>
      </c>
      <c r="K1505" t="s">
        <v>36</v>
      </c>
      <c r="L1505" t="s">
        <v>17</v>
      </c>
      <c r="M1505" t="s">
        <v>54</v>
      </c>
    </row>
    <row r="1506" spans="1:13" x14ac:dyDescent="0.2">
      <c r="A1506">
        <v>349628</v>
      </c>
      <c r="B1506" s="2">
        <v>45331</v>
      </c>
      <c r="C1506">
        <v>53082</v>
      </c>
      <c r="D1506" t="s">
        <v>164</v>
      </c>
      <c r="E1506" t="s">
        <v>170</v>
      </c>
      <c r="F1506" t="s">
        <v>171</v>
      </c>
      <c r="G1506">
        <v>3</v>
      </c>
      <c r="H1506">
        <v>14.24</v>
      </c>
      <c r="I1506">
        <v>0.05</v>
      </c>
      <c r="J1506">
        <v>40.58</v>
      </c>
      <c r="K1506" t="s">
        <v>95</v>
      </c>
      <c r="L1506" t="s">
        <v>17</v>
      </c>
      <c r="M1506" t="s">
        <v>102</v>
      </c>
    </row>
    <row r="1507" spans="1:13" x14ac:dyDescent="0.2">
      <c r="A1507">
        <v>349854</v>
      </c>
      <c r="B1507" s="1">
        <v>45540</v>
      </c>
      <c r="C1507">
        <v>81634</v>
      </c>
      <c r="D1507" t="s">
        <v>13</v>
      </c>
      <c r="E1507" t="s">
        <v>104</v>
      </c>
      <c r="F1507" t="s">
        <v>105</v>
      </c>
      <c r="G1507">
        <v>2</v>
      </c>
      <c r="H1507">
        <v>29.99</v>
      </c>
      <c r="J1507">
        <v>59.98</v>
      </c>
      <c r="K1507" t="s">
        <v>36</v>
      </c>
      <c r="L1507" t="s">
        <v>23</v>
      </c>
      <c r="M1507" t="s">
        <v>81</v>
      </c>
    </row>
    <row r="1508" spans="1:13" x14ac:dyDescent="0.2">
      <c r="A1508">
        <v>349913</v>
      </c>
      <c r="B1508" s="2">
        <v>44802</v>
      </c>
      <c r="C1508">
        <v>93634</v>
      </c>
      <c r="D1508" t="s">
        <v>44</v>
      </c>
      <c r="E1508" t="s">
        <v>162</v>
      </c>
      <c r="F1508" t="s">
        <v>163</v>
      </c>
      <c r="G1508">
        <v>2</v>
      </c>
      <c r="H1508">
        <v>7.59</v>
      </c>
      <c r="I1508">
        <v>0.05</v>
      </c>
      <c r="J1508">
        <v>14.42</v>
      </c>
      <c r="K1508" t="s">
        <v>22</v>
      </c>
      <c r="L1508" t="s">
        <v>37</v>
      </c>
      <c r="M1508" t="s">
        <v>18</v>
      </c>
    </row>
    <row r="1509" spans="1:13" x14ac:dyDescent="0.2">
      <c r="A1509">
        <v>350090</v>
      </c>
      <c r="B1509" s="2">
        <v>45278</v>
      </c>
      <c r="C1509">
        <v>11647</v>
      </c>
      <c r="D1509" t="s">
        <v>29</v>
      </c>
      <c r="E1509" t="s">
        <v>38</v>
      </c>
      <c r="F1509" t="s">
        <v>39</v>
      </c>
      <c r="G1509">
        <v>2</v>
      </c>
      <c r="H1509">
        <v>22.49</v>
      </c>
      <c r="I1509">
        <v>0.25</v>
      </c>
      <c r="J1509">
        <v>33.74</v>
      </c>
      <c r="K1509" t="s">
        <v>32</v>
      </c>
      <c r="L1509" t="s">
        <v>17</v>
      </c>
      <c r="M1509" t="s">
        <v>96</v>
      </c>
    </row>
    <row r="1510" spans="1:13" x14ac:dyDescent="0.2">
      <c r="A1510">
        <v>350133</v>
      </c>
      <c r="B1510" s="1">
        <v>45486</v>
      </c>
      <c r="C1510">
        <v>54674</v>
      </c>
      <c r="D1510" t="s">
        <v>29</v>
      </c>
      <c r="E1510" t="s">
        <v>38</v>
      </c>
      <c r="F1510" t="s">
        <v>39</v>
      </c>
      <c r="G1510">
        <v>4</v>
      </c>
      <c r="H1510">
        <v>25.49</v>
      </c>
      <c r="I1510">
        <v>0.15</v>
      </c>
      <c r="J1510">
        <v>86.67</v>
      </c>
      <c r="K1510" t="s">
        <v>16</v>
      </c>
      <c r="L1510" t="s">
        <v>17</v>
      </c>
      <c r="M1510" t="s">
        <v>67</v>
      </c>
    </row>
    <row r="1511" spans="1:13" x14ac:dyDescent="0.2">
      <c r="A1511">
        <v>350262</v>
      </c>
      <c r="B1511" s="1">
        <v>45104</v>
      </c>
      <c r="C1511">
        <v>86672</v>
      </c>
      <c r="D1511" t="s">
        <v>183</v>
      </c>
      <c r="E1511" t="s">
        <v>83</v>
      </c>
      <c r="F1511" t="s">
        <v>84</v>
      </c>
      <c r="G1511">
        <v>4</v>
      </c>
      <c r="H1511">
        <v>14.44</v>
      </c>
      <c r="I1511">
        <v>0.15</v>
      </c>
      <c r="J1511">
        <v>49.1</v>
      </c>
      <c r="K1511" t="s">
        <v>16</v>
      </c>
      <c r="L1511" t="s">
        <v>17</v>
      </c>
      <c r="M1511" t="s">
        <v>117</v>
      </c>
    </row>
    <row r="1512" spans="1:13" x14ac:dyDescent="0.2">
      <c r="A1512">
        <v>350356</v>
      </c>
      <c r="B1512" s="2">
        <v>45233</v>
      </c>
      <c r="C1512">
        <v>59244</v>
      </c>
      <c r="D1512" t="s">
        <v>124</v>
      </c>
      <c r="E1512" t="s">
        <v>131</v>
      </c>
      <c r="F1512" t="s">
        <v>132</v>
      </c>
      <c r="G1512">
        <v>2</v>
      </c>
      <c r="H1512">
        <v>3.14</v>
      </c>
      <c r="I1512">
        <v>0.1</v>
      </c>
      <c r="J1512">
        <v>5.65</v>
      </c>
      <c r="K1512" t="s">
        <v>95</v>
      </c>
      <c r="L1512" t="s">
        <v>17</v>
      </c>
      <c r="M1512" t="s">
        <v>103</v>
      </c>
    </row>
    <row r="1513" spans="1:13" x14ac:dyDescent="0.2">
      <c r="A1513">
        <v>350503</v>
      </c>
      <c r="B1513" s="2">
        <v>45000</v>
      </c>
      <c r="C1513">
        <v>73006</v>
      </c>
      <c r="D1513" t="s">
        <v>97</v>
      </c>
      <c r="E1513" t="s">
        <v>165</v>
      </c>
      <c r="F1513" t="s">
        <v>166</v>
      </c>
      <c r="G1513">
        <v>1</v>
      </c>
      <c r="H1513">
        <v>71.989999999999995</v>
      </c>
      <c r="I1513">
        <v>0.2</v>
      </c>
      <c r="J1513">
        <v>57.59</v>
      </c>
      <c r="K1513" t="s">
        <v>32</v>
      </c>
      <c r="L1513" t="s">
        <v>17</v>
      </c>
      <c r="M1513" t="s">
        <v>24</v>
      </c>
    </row>
    <row r="1514" spans="1:13" x14ac:dyDescent="0.2">
      <c r="A1514">
        <v>350822</v>
      </c>
      <c r="B1514" s="1">
        <v>45451</v>
      </c>
      <c r="C1514">
        <v>80299</v>
      </c>
      <c r="D1514" t="s">
        <v>82</v>
      </c>
      <c r="E1514" t="s">
        <v>100</v>
      </c>
      <c r="F1514" t="s">
        <v>101</v>
      </c>
      <c r="G1514">
        <v>2</v>
      </c>
      <c r="H1514">
        <v>16.09</v>
      </c>
      <c r="I1514">
        <v>0.3</v>
      </c>
      <c r="J1514">
        <v>22.53</v>
      </c>
      <c r="K1514" t="s">
        <v>16</v>
      </c>
      <c r="L1514" t="s">
        <v>37</v>
      </c>
    </row>
    <row r="1515" spans="1:13" x14ac:dyDescent="0.2">
      <c r="A1515">
        <v>350959</v>
      </c>
      <c r="B1515" s="1">
        <v>44573</v>
      </c>
      <c r="C1515">
        <v>11262</v>
      </c>
      <c r="D1515" t="s">
        <v>85</v>
      </c>
      <c r="E1515" t="s">
        <v>149</v>
      </c>
      <c r="F1515" t="s">
        <v>150</v>
      </c>
      <c r="G1515">
        <v>1</v>
      </c>
      <c r="H1515">
        <v>13.99</v>
      </c>
      <c r="I1515">
        <v>0.3</v>
      </c>
      <c r="J1515">
        <v>9.7899999999999991</v>
      </c>
      <c r="K1515" t="s">
        <v>22</v>
      </c>
      <c r="L1515" t="s">
        <v>17</v>
      </c>
      <c r="M1515" t="s">
        <v>90</v>
      </c>
    </row>
    <row r="1516" spans="1:13" x14ac:dyDescent="0.2">
      <c r="A1516">
        <v>351044</v>
      </c>
      <c r="B1516" s="1">
        <v>44626</v>
      </c>
      <c r="C1516">
        <v>50705</v>
      </c>
      <c r="D1516" t="s">
        <v>25</v>
      </c>
      <c r="E1516" t="s">
        <v>60</v>
      </c>
      <c r="F1516" t="s">
        <v>61</v>
      </c>
      <c r="G1516">
        <v>2</v>
      </c>
      <c r="H1516">
        <v>54.99</v>
      </c>
      <c r="J1516">
        <v>109.98</v>
      </c>
      <c r="K1516" t="s">
        <v>32</v>
      </c>
      <c r="L1516" t="s">
        <v>37</v>
      </c>
      <c r="M1516" t="s">
        <v>57</v>
      </c>
    </row>
    <row r="1517" spans="1:13" x14ac:dyDescent="0.2">
      <c r="A1517">
        <v>351187</v>
      </c>
      <c r="B1517" s="1">
        <v>45472</v>
      </c>
      <c r="C1517">
        <v>51803</v>
      </c>
      <c r="D1517" t="s">
        <v>97</v>
      </c>
      <c r="E1517" t="s">
        <v>193</v>
      </c>
      <c r="F1517" t="s">
        <v>194</v>
      </c>
      <c r="G1517">
        <v>5</v>
      </c>
      <c r="H1517">
        <v>58.49</v>
      </c>
      <c r="I1517">
        <v>0.1</v>
      </c>
      <c r="J1517">
        <v>263.2</v>
      </c>
      <c r="K1517" t="s">
        <v>36</v>
      </c>
      <c r="L1517" t="s">
        <v>17</v>
      </c>
      <c r="M1517" t="s">
        <v>90</v>
      </c>
    </row>
    <row r="1518" spans="1:13" x14ac:dyDescent="0.2">
      <c r="A1518">
        <v>351396</v>
      </c>
      <c r="B1518" s="1">
        <v>45600</v>
      </c>
      <c r="C1518">
        <v>73472</v>
      </c>
      <c r="D1518" t="s">
        <v>85</v>
      </c>
      <c r="E1518" t="s">
        <v>153</v>
      </c>
      <c r="F1518" t="s">
        <v>154</v>
      </c>
      <c r="G1518">
        <v>5</v>
      </c>
      <c r="H1518">
        <v>22.49</v>
      </c>
      <c r="I1518">
        <v>0.25</v>
      </c>
      <c r="J1518">
        <v>84.34</v>
      </c>
      <c r="K1518" t="s">
        <v>36</v>
      </c>
      <c r="L1518" t="s">
        <v>23</v>
      </c>
      <c r="M1518" t="s">
        <v>102</v>
      </c>
    </row>
    <row r="1519" spans="1:13" x14ac:dyDescent="0.2">
      <c r="A1519">
        <v>351402</v>
      </c>
      <c r="B1519" s="1">
        <v>44688</v>
      </c>
      <c r="C1519">
        <v>67384</v>
      </c>
      <c r="D1519" t="s">
        <v>29</v>
      </c>
      <c r="E1519" t="s">
        <v>170</v>
      </c>
      <c r="F1519" t="s">
        <v>171</v>
      </c>
      <c r="G1519">
        <v>4</v>
      </c>
      <c r="H1519">
        <v>14.99</v>
      </c>
      <c r="J1519">
        <v>59.96</v>
      </c>
      <c r="K1519" t="s">
        <v>36</v>
      </c>
      <c r="L1519" t="s">
        <v>37</v>
      </c>
      <c r="M1519" t="s">
        <v>62</v>
      </c>
    </row>
    <row r="1520" spans="1:13" x14ac:dyDescent="0.2">
      <c r="A1520">
        <v>351438</v>
      </c>
      <c r="B1520" s="1">
        <v>45171</v>
      </c>
      <c r="C1520">
        <v>72173</v>
      </c>
      <c r="D1520" t="s">
        <v>48</v>
      </c>
      <c r="E1520" t="s">
        <v>49</v>
      </c>
      <c r="F1520" t="s">
        <v>50</v>
      </c>
      <c r="G1520">
        <v>1</v>
      </c>
      <c r="H1520">
        <v>8.5399999999999991</v>
      </c>
      <c r="I1520">
        <v>0.05</v>
      </c>
      <c r="J1520">
        <v>8.11</v>
      </c>
      <c r="K1520" t="s">
        <v>95</v>
      </c>
      <c r="L1520" t="s">
        <v>17</v>
      </c>
      <c r="M1520" t="s">
        <v>81</v>
      </c>
    </row>
    <row r="1521" spans="1:13" x14ac:dyDescent="0.2">
      <c r="A1521">
        <v>351681</v>
      </c>
      <c r="B1521" s="2">
        <v>44694</v>
      </c>
      <c r="C1521">
        <v>96620</v>
      </c>
      <c r="D1521" t="s">
        <v>29</v>
      </c>
      <c r="E1521" t="s">
        <v>88</v>
      </c>
      <c r="F1521" t="s">
        <v>89</v>
      </c>
      <c r="G1521">
        <v>3</v>
      </c>
      <c r="H1521">
        <v>42.49</v>
      </c>
      <c r="I1521">
        <v>0.15</v>
      </c>
      <c r="J1521">
        <v>108.35</v>
      </c>
      <c r="K1521" t="s">
        <v>16</v>
      </c>
      <c r="L1521" t="s">
        <v>37</v>
      </c>
      <c r="M1521" t="s">
        <v>120</v>
      </c>
    </row>
    <row r="1522" spans="1:13" x14ac:dyDescent="0.2">
      <c r="A1522">
        <v>351717</v>
      </c>
      <c r="B1522" s="1">
        <v>44843</v>
      </c>
      <c r="C1522">
        <v>23789</v>
      </c>
      <c r="D1522" t="s">
        <v>40</v>
      </c>
      <c r="E1522" t="s">
        <v>20</v>
      </c>
      <c r="F1522" t="s">
        <v>21</v>
      </c>
      <c r="G1522">
        <v>1</v>
      </c>
      <c r="H1522">
        <v>8.49</v>
      </c>
      <c r="I1522">
        <v>0.15</v>
      </c>
      <c r="J1522">
        <v>7.22</v>
      </c>
      <c r="K1522" t="s">
        <v>22</v>
      </c>
      <c r="L1522" t="s">
        <v>23</v>
      </c>
      <c r="M1522" t="s">
        <v>103</v>
      </c>
    </row>
    <row r="1523" spans="1:13" x14ac:dyDescent="0.2">
      <c r="A1523">
        <v>351726</v>
      </c>
      <c r="B1523" s="1">
        <v>45355</v>
      </c>
      <c r="C1523">
        <v>74861</v>
      </c>
      <c r="D1523" t="s">
        <v>63</v>
      </c>
      <c r="E1523" t="s">
        <v>111</v>
      </c>
      <c r="F1523" t="s">
        <v>112</v>
      </c>
      <c r="G1523">
        <v>3</v>
      </c>
      <c r="H1523">
        <v>13.49</v>
      </c>
      <c r="J1523">
        <v>40.47</v>
      </c>
      <c r="K1523" t="s">
        <v>16</v>
      </c>
      <c r="L1523" t="s">
        <v>17</v>
      </c>
    </row>
    <row r="1524" spans="1:13" x14ac:dyDescent="0.2">
      <c r="A1524">
        <v>351981</v>
      </c>
      <c r="B1524" s="1">
        <v>45359</v>
      </c>
      <c r="C1524">
        <v>41079</v>
      </c>
      <c r="D1524" t="s">
        <v>63</v>
      </c>
      <c r="E1524" t="s">
        <v>125</v>
      </c>
      <c r="F1524" t="s">
        <v>126</v>
      </c>
      <c r="G1524">
        <v>5</v>
      </c>
      <c r="H1524">
        <v>20.99</v>
      </c>
      <c r="I1524">
        <v>0.3</v>
      </c>
      <c r="J1524">
        <v>73.459999999999994</v>
      </c>
      <c r="K1524" t="s">
        <v>36</v>
      </c>
      <c r="L1524" t="s">
        <v>37</v>
      </c>
      <c r="M1524" t="s">
        <v>117</v>
      </c>
    </row>
    <row r="1525" spans="1:13" x14ac:dyDescent="0.2">
      <c r="A1525">
        <v>352190</v>
      </c>
      <c r="B1525" s="1">
        <v>44714</v>
      </c>
      <c r="C1525">
        <v>71744</v>
      </c>
      <c r="D1525" t="s">
        <v>97</v>
      </c>
      <c r="E1525" t="s">
        <v>121</v>
      </c>
      <c r="F1525" t="s">
        <v>122</v>
      </c>
      <c r="G1525">
        <v>1</v>
      </c>
      <c r="H1525">
        <v>10.39</v>
      </c>
      <c r="I1525">
        <v>0.2</v>
      </c>
      <c r="J1525">
        <v>8.31</v>
      </c>
      <c r="K1525" t="s">
        <v>36</v>
      </c>
      <c r="L1525" t="s">
        <v>17</v>
      </c>
      <c r="M1525" t="s">
        <v>81</v>
      </c>
    </row>
    <row r="1526" spans="1:13" x14ac:dyDescent="0.2">
      <c r="A1526">
        <v>352528</v>
      </c>
      <c r="B1526" s="1">
        <v>45603</v>
      </c>
      <c r="C1526">
        <v>46259</v>
      </c>
      <c r="D1526" t="s">
        <v>63</v>
      </c>
      <c r="E1526" t="s">
        <v>111</v>
      </c>
      <c r="F1526" t="s">
        <v>112</v>
      </c>
      <c r="G1526">
        <v>5</v>
      </c>
      <c r="H1526">
        <v>11.99</v>
      </c>
      <c r="I1526">
        <v>0.2</v>
      </c>
      <c r="J1526">
        <v>47.96</v>
      </c>
      <c r="K1526" t="s">
        <v>22</v>
      </c>
      <c r="L1526" t="s">
        <v>23</v>
      </c>
      <c r="M1526" t="s">
        <v>90</v>
      </c>
    </row>
    <row r="1527" spans="1:13" x14ac:dyDescent="0.2">
      <c r="A1527">
        <v>352587</v>
      </c>
      <c r="B1527" s="1">
        <v>44869</v>
      </c>
      <c r="C1527">
        <v>42882</v>
      </c>
      <c r="D1527" t="s">
        <v>29</v>
      </c>
      <c r="E1527" t="s">
        <v>175</v>
      </c>
      <c r="F1527" t="s">
        <v>176</v>
      </c>
      <c r="G1527">
        <v>1</v>
      </c>
      <c r="H1527">
        <v>11.99</v>
      </c>
      <c r="J1527">
        <v>11.99</v>
      </c>
      <c r="K1527" t="s">
        <v>36</v>
      </c>
      <c r="L1527" t="s">
        <v>17</v>
      </c>
      <c r="M1527" t="s">
        <v>33</v>
      </c>
    </row>
    <row r="1528" spans="1:13" x14ac:dyDescent="0.2">
      <c r="A1528">
        <v>352866</v>
      </c>
      <c r="B1528" s="1">
        <v>45488</v>
      </c>
      <c r="C1528">
        <v>20770</v>
      </c>
      <c r="D1528" t="s">
        <v>48</v>
      </c>
      <c r="E1528" t="s">
        <v>49</v>
      </c>
      <c r="F1528" t="s">
        <v>50</v>
      </c>
      <c r="G1528">
        <v>1</v>
      </c>
      <c r="H1528">
        <v>8.5399999999999991</v>
      </c>
      <c r="I1528">
        <v>0.05</v>
      </c>
      <c r="J1528">
        <v>8.11</v>
      </c>
      <c r="K1528" t="s">
        <v>36</v>
      </c>
      <c r="L1528" t="s">
        <v>17</v>
      </c>
      <c r="M1528" t="s">
        <v>33</v>
      </c>
    </row>
    <row r="1529" spans="1:13" x14ac:dyDescent="0.2">
      <c r="A1529">
        <v>353025</v>
      </c>
      <c r="B1529" s="1">
        <v>45340</v>
      </c>
      <c r="C1529">
        <v>47559</v>
      </c>
      <c r="D1529" t="s">
        <v>48</v>
      </c>
      <c r="E1529" t="s">
        <v>118</v>
      </c>
      <c r="F1529" t="s">
        <v>119</v>
      </c>
      <c r="G1529">
        <v>2</v>
      </c>
      <c r="H1529">
        <v>4.49</v>
      </c>
      <c r="I1529">
        <v>0.1</v>
      </c>
      <c r="J1529">
        <v>8.08</v>
      </c>
      <c r="K1529" t="s">
        <v>36</v>
      </c>
      <c r="L1529" t="s">
        <v>17</v>
      </c>
      <c r="M1529" t="s">
        <v>96</v>
      </c>
    </row>
    <row r="1530" spans="1:13" x14ac:dyDescent="0.2">
      <c r="A1530">
        <v>353617</v>
      </c>
      <c r="B1530" s="1">
        <v>45211</v>
      </c>
      <c r="D1530" t="s">
        <v>40</v>
      </c>
      <c r="E1530" t="s">
        <v>41</v>
      </c>
      <c r="F1530" t="s">
        <v>42</v>
      </c>
      <c r="G1530">
        <v>3</v>
      </c>
      <c r="H1530">
        <v>4.49</v>
      </c>
      <c r="I1530">
        <v>0.25</v>
      </c>
      <c r="J1530">
        <v>10.1</v>
      </c>
      <c r="K1530" t="s">
        <v>95</v>
      </c>
      <c r="L1530" t="s">
        <v>17</v>
      </c>
      <c r="M1530" t="s">
        <v>123</v>
      </c>
    </row>
    <row r="1531" spans="1:13" x14ac:dyDescent="0.2">
      <c r="A1531">
        <v>353671</v>
      </c>
      <c r="B1531" s="2">
        <v>44886</v>
      </c>
      <c r="C1531">
        <v>47609</v>
      </c>
      <c r="D1531" t="s">
        <v>13</v>
      </c>
      <c r="E1531" t="s">
        <v>34</v>
      </c>
      <c r="F1531" t="s">
        <v>35</v>
      </c>
      <c r="G1531">
        <v>1</v>
      </c>
      <c r="H1531">
        <v>27.99</v>
      </c>
      <c r="I1531">
        <v>0.2</v>
      </c>
      <c r="J1531">
        <v>22.39</v>
      </c>
      <c r="K1531" t="s">
        <v>36</v>
      </c>
      <c r="L1531" t="s">
        <v>37</v>
      </c>
      <c r="M1531" t="s">
        <v>96</v>
      </c>
    </row>
    <row r="1532" spans="1:13" x14ac:dyDescent="0.2">
      <c r="A1532">
        <v>353685</v>
      </c>
      <c r="B1532" s="2">
        <v>45115</v>
      </c>
      <c r="C1532">
        <v>40192</v>
      </c>
      <c r="D1532" t="s">
        <v>40</v>
      </c>
      <c r="E1532" t="s">
        <v>115</v>
      </c>
      <c r="F1532" t="s">
        <v>116</v>
      </c>
      <c r="G1532">
        <v>2</v>
      </c>
      <c r="H1532">
        <v>11.69</v>
      </c>
      <c r="I1532">
        <v>0.1</v>
      </c>
      <c r="J1532">
        <v>21.04</v>
      </c>
      <c r="K1532" t="s">
        <v>22</v>
      </c>
      <c r="L1532" t="s">
        <v>17</v>
      </c>
      <c r="M1532" t="s">
        <v>117</v>
      </c>
    </row>
    <row r="1533" spans="1:13" x14ac:dyDescent="0.2">
      <c r="A1533">
        <v>353721</v>
      </c>
      <c r="B1533" s="1">
        <v>44979</v>
      </c>
      <c r="C1533">
        <v>40169</v>
      </c>
      <c r="D1533" t="s">
        <v>97</v>
      </c>
      <c r="E1533" t="s">
        <v>193</v>
      </c>
      <c r="F1533" t="s">
        <v>194</v>
      </c>
      <c r="G1533">
        <v>1</v>
      </c>
      <c r="H1533">
        <v>48.74</v>
      </c>
      <c r="I1533">
        <v>0.25</v>
      </c>
      <c r="J1533">
        <v>36.56</v>
      </c>
      <c r="K1533" t="s">
        <v>36</v>
      </c>
      <c r="L1533" t="s">
        <v>37</v>
      </c>
      <c r="M1533" t="s">
        <v>18</v>
      </c>
    </row>
    <row r="1534" spans="1:13" x14ac:dyDescent="0.2">
      <c r="A1534">
        <v>353767</v>
      </c>
      <c r="B1534" s="2">
        <v>45131</v>
      </c>
      <c r="C1534">
        <v>59161</v>
      </c>
      <c r="D1534" t="s">
        <v>48</v>
      </c>
      <c r="E1534" t="s">
        <v>118</v>
      </c>
      <c r="F1534" t="s">
        <v>119</v>
      </c>
      <c r="G1534">
        <v>2</v>
      </c>
      <c r="H1534">
        <v>4.99</v>
      </c>
      <c r="J1534">
        <v>9.98</v>
      </c>
      <c r="K1534" t="s">
        <v>36</v>
      </c>
      <c r="L1534" t="s">
        <v>17</v>
      </c>
      <c r="M1534" t="s">
        <v>120</v>
      </c>
    </row>
    <row r="1535" spans="1:13" x14ac:dyDescent="0.2">
      <c r="A1535">
        <v>353991</v>
      </c>
      <c r="B1535" s="1">
        <v>45313</v>
      </c>
      <c r="C1535">
        <v>56292</v>
      </c>
      <c r="D1535" t="s">
        <v>85</v>
      </c>
      <c r="E1535" t="s">
        <v>153</v>
      </c>
      <c r="F1535" t="s">
        <v>154</v>
      </c>
      <c r="G1535">
        <v>4</v>
      </c>
      <c r="H1535">
        <v>28.49</v>
      </c>
      <c r="I1535">
        <v>0.05</v>
      </c>
      <c r="J1535">
        <v>108.26</v>
      </c>
      <c r="K1535" t="s">
        <v>16</v>
      </c>
      <c r="L1535" t="s">
        <v>17</v>
      </c>
      <c r="M1535" t="s">
        <v>103</v>
      </c>
    </row>
    <row r="1536" spans="1:13" x14ac:dyDescent="0.2">
      <c r="A1536">
        <v>354173</v>
      </c>
      <c r="B1536" s="1">
        <v>45416</v>
      </c>
      <c r="C1536">
        <v>86998</v>
      </c>
      <c r="D1536" t="s">
        <v>97</v>
      </c>
      <c r="E1536" t="s">
        <v>121</v>
      </c>
      <c r="F1536" t="s">
        <v>122</v>
      </c>
      <c r="G1536">
        <v>3</v>
      </c>
      <c r="H1536">
        <v>9.09</v>
      </c>
      <c r="I1536">
        <v>0.3</v>
      </c>
      <c r="J1536">
        <v>19.09</v>
      </c>
      <c r="K1536" t="s">
        <v>22</v>
      </c>
      <c r="L1536" t="s">
        <v>37</v>
      </c>
      <c r="M1536" t="s">
        <v>96</v>
      </c>
    </row>
    <row r="1537" spans="1:13" x14ac:dyDescent="0.2">
      <c r="A1537">
        <v>354180</v>
      </c>
      <c r="B1537" s="1">
        <v>45069</v>
      </c>
      <c r="C1537">
        <v>39094</v>
      </c>
      <c r="D1537" t="s">
        <v>25</v>
      </c>
      <c r="E1537" t="s">
        <v>26</v>
      </c>
      <c r="F1537" t="s">
        <v>27</v>
      </c>
      <c r="G1537">
        <v>4</v>
      </c>
      <c r="H1537">
        <v>27.99</v>
      </c>
      <c r="I1537">
        <v>0.2</v>
      </c>
      <c r="J1537">
        <v>89.57</v>
      </c>
      <c r="K1537" t="s">
        <v>36</v>
      </c>
      <c r="L1537" t="s">
        <v>37</v>
      </c>
      <c r="M1537" t="s">
        <v>67</v>
      </c>
    </row>
    <row r="1538" spans="1:13" x14ac:dyDescent="0.2">
      <c r="A1538">
        <v>354315</v>
      </c>
      <c r="B1538" s="1">
        <v>45472</v>
      </c>
      <c r="C1538">
        <v>68688</v>
      </c>
      <c r="D1538" t="s">
        <v>97</v>
      </c>
      <c r="E1538" t="s">
        <v>141</v>
      </c>
      <c r="F1538" t="s">
        <v>142</v>
      </c>
      <c r="G1538">
        <v>2</v>
      </c>
      <c r="H1538">
        <v>22.99</v>
      </c>
      <c r="J1538">
        <v>45.98</v>
      </c>
      <c r="K1538" t="s">
        <v>16</v>
      </c>
      <c r="L1538" t="s">
        <v>17</v>
      </c>
      <c r="M1538" t="s">
        <v>120</v>
      </c>
    </row>
    <row r="1539" spans="1:13" x14ac:dyDescent="0.2">
      <c r="A1539">
        <v>354406</v>
      </c>
      <c r="B1539" s="1">
        <v>44643</v>
      </c>
      <c r="C1539">
        <v>75350</v>
      </c>
      <c r="D1539" t="s">
        <v>48</v>
      </c>
      <c r="E1539" t="s">
        <v>49</v>
      </c>
      <c r="F1539" t="s">
        <v>50</v>
      </c>
      <c r="G1539">
        <v>5</v>
      </c>
      <c r="H1539">
        <v>8.09</v>
      </c>
      <c r="I1539">
        <v>0.1</v>
      </c>
      <c r="J1539">
        <v>36.4</v>
      </c>
      <c r="K1539" t="s">
        <v>53</v>
      </c>
      <c r="L1539" t="s">
        <v>37</v>
      </c>
      <c r="M1539" t="s">
        <v>18</v>
      </c>
    </row>
    <row r="1540" spans="1:13" x14ac:dyDescent="0.2">
      <c r="A1540">
        <v>354447</v>
      </c>
      <c r="B1540" s="1">
        <v>45080</v>
      </c>
      <c r="D1540" t="s">
        <v>25</v>
      </c>
      <c r="E1540" t="s">
        <v>51</v>
      </c>
      <c r="F1540" t="s">
        <v>52</v>
      </c>
      <c r="G1540">
        <v>3</v>
      </c>
      <c r="H1540">
        <v>27.99</v>
      </c>
      <c r="J1540">
        <v>83.97</v>
      </c>
      <c r="K1540" t="s">
        <v>16</v>
      </c>
      <c r="L1540" t="s">
        <v>17</v>
      </c>
      <c r="M1540" t="s">
        <v>90</v>
      </c>
    </row>
    <row r="1541" spans="1:13" x14ac:dyDescent="0.2">
      <c r="A1541">
        <v>354456</v>
      </c>
      <c r="B1541" s="1">
        <v>44768</v>
      </c>
      <c r="C1541">
        <v>54075</v>
      </c>
      <c r="D1541" t="s">
        <v>85</v>
      </c>
      <c r="E1541" t="s">
        <v>86</v>
      </c>
      <c r="F1541" t="s">
        <v>87</v>
      </c>
      <c r="G1541">
        <v>2</v>
      </c>
      <c r="H1541">
        <v>12.99</v>
      </c>
      <c r="J1541">
        <v>25.98</v>
      </c>
      <c r="K1541" t="s">
        <v>22</v>
      </c>
      <c r="L1541" t="s">
        <v>17</v>
      </c>
      <c r="M1541" t="s">
        <v>103</v>
      </c>
    </row>
    <row r="1542" spans="1:13" x14ac:dyDescent="0.2">
      <c r="A1542">
        <v>354630</v>
      </c>
      <c r="B1542" s="1">
        <v>45616</v>
      </c>
      <c r="C1542">
        <v>66264</v>
      </c>
      <c r="D1542" t="s">
        <v>97</v>
      </c>
      <c r="E1542" t="s">
        <v>121</v>
      </c>
      <c r="F1542" t="s">
        <v>122</v>
      </c>
      <c r="G1542">
        <v>1</v>
      </c>
      <c r="H1542">
        <v>12.99</v>
      </c>
      <c r="J1542">
        <v>12.99</v>
      </c>
      <c r="K1542" t="s">
        <v>22</v>
      </c>
      <c r="L1542" t="s">
        <v>17</v>
      </c>
      <c r="M1542" t="s">
        <v>76</v>
      </c>
    </row>
    <row r="1543" spans="1:13" x14ac:dyDescent="0.2">
      <c r="A1543">
        <v>355020</v>
      </c>
      <c r="B1543" s="1">
        <v>44667</v>
      </c>
      <c r="C1543">
        <v>70122</v>
      </c>
      <c r="D1543" t="s">
        <v>25</v>
      </c>
      <c r="E1543" t="s">
        <v>60</v>
      </c>
      <c r="F1543" t="s">
        <v>61</v>
      </c>
      <c r="G1543">
        <v>2</v>
      </c>
      <c r="H1543">
        <v>46.74</v>
      </c>
      <c r="I1543">
        <v>0.15</v>
      </c>
      <c r="J1543">
        <v>79.459999999999994</v>
      </c>
      <c r="K1543" t="s">
        <v>36</v>
      </c>
      <c r="L1543" t="s">
        <v>17</v>
      </c>
      <c r="M1543" t="s">
        <v>54</v>
      </c>
    </row>
    <row r="1544" spans="1:13" x14ac:dyDescent="0.2">
      <c r="A1544">
        <v>355111</v>
      </c>
      <c r="B1544" s="2">
        <v>44938</v>
      </c>
      <c r="C1544">
        <v>79835</v>
      </c>
      <c r="D1544" t="s">
        <v>48</v>
      </c>
      <c r="E1544" t="s">
        <v>49</v>
      </c>
      <c r="F1544" t="s">
        <v>50</v>
      </c>
      <c r="G1544">
        <v>5</v>
      </c>
      <c r="H1544">
        <v>8.99</v>
      </c>
      <c r="J1544">
        <v>44.95</v>
      </c>
      <c r="K1544" t="s">
        <v>16</v>
      </c>
      <c r="L1544" t="s">
        <v>17</v>
      </c>
      <c r="M1544" t="s">
        <v>62</v>
      </c>
    </row>
    <row r="1545" spans="1:13" x14ac:dyDescent="0.2">
      <c r="A1545">
        <v>355130</v>
      </c>
      <c r="B1545" s="1">
        <v>45328</v>
      </c>
      <c r="C1545">
        <v>77306</v>
      </c>
      <c r="D1545" t="s">
        <v>29</v>
      </c>
      <c r="E1545" t="s">
        <v>30</v>
      </c>
      <c r="F1545" t="s">
        <v>31</v>
      </c>
      <c r="G1545">
        <v>5</v>
      </c>
      <c r="H1545">
        <v>23.74</v>
      </c>
      <c r="I1545">
        <v>0.05</v>
      </c>
      <c r="J1545">
        <v>112.76</v>
      </c>
      <c r="K1545" t="s">
        <v>22</v>
      </c>
      <c r="L1545" t="s">
        <v>17</v>
      </c>
      <c r="M1545" t="s">
        <v>81</v>
      </c>
    </row>
    <row r="1546" spans="1:13" x14ac:dyDescent="0.2">
      <c r="A1546">
        <v>355449</v>
      </c>
      <c r="B1546" s="2">
        <v>45196</v>
      </c>
      <c r="C1546">
        <v>68669</v>
      </c>
      <c r="D1546" t="s">
        <v>82</v>
      </c>
      <c r="E1546" t="s">
        <v>147</v>
      </c>
      <c r="F1546" t="s">
        <v>148</v>
      </c>
      <c r="G1546">
        <v>2</v>
      </c>
      <c r="H1546">
        <v>12.99</v>
      </c>
      <c r="J1546">
        <v>25.98</v>
      </c>
      <c r="K1546" t="s">
        <v>36</v>
      </c>
      <c r="L1546" t="s">
        <v>17</v>
      </c>
      <c r="M1546" t="s">
        <v>28</v>
      </c>
    </row>
    <row r="1547" spans="1:13" x14ac:dyDescent="0.2">
      <c r="A1547">
        <v>355538</v>
      </c>
      <c r="B1547" s="1">
        <v>45281</v>
      </c>
      <c r="C1547">
        <v>37059</v>
      </c>
      <c r="D1547" t="s">
        <v>82</v>
      </c>
      <c r="E1547" t="s">
        <v>83</v>
      </c>
      <c r="F1547" t="s">
        <v>84</v>
      </c>
      <c r="G1547">
        <v>4</v>
      </c>
      <c r="H1547">
        <v>14.44</v>
      </c>
      <c r="I1547">
        <v>0.15</v>
      </c>
      <c r="J1547">
        <v>49.1</v>
      </c>
      <c r="K1547" t="s">
        <v>22</v>
      </c>
      <c r="L1547" t="s">
        <v>17</v>
      </c>
      <c r="M1547" t="s">
        <v>28</v>
      </c>
    </row>
    <row r="1548" spans="1:13" x14ac:dyDescent="0.2">
      <c r="A1548">
        <v>355822</v>
      </c>
      <c r="B1548" s="1">
        <v>45205</v>
      </c>
      <c r="C1548">
        <v>53988</v>
      </c>
      <c r="D1548" t="s">
        <v>40</v>
      </c>
      <c r="E1548" t="s">
        <v>115</v>
      </c>
      <c r="F1548" t="s">
        <v>116</v>
      </c>
      <c r="G1548">
        <v>3</v>
      </c>
      <c r="H1548">
        <v>12.99</v>
      </c>
      <c r="J1548">
        <v>38.97</v>
      </c>
      <c r="K1548" t="s">
        <v>16</v>
      </c>
      <c r="L1548" t="s">
        <v>17</v>
      </c>
      <c r="M1548" t="s">
        <v>161</v>
      </c>
    </row>
    <row r="1549" spans="1:13" x14ac:dyDescent="0.2">
      <c r="A1549">
        <v>356282</v>
      </c>
      <c r="B1549" s="2">
        <v>44594</v>
      </c>
      <c r="C1549">
        <v>28265</v>
      </c>
      <c r="D1549" t="s">
        <v>85</v>
      </c>
      <c r="E1549" t="s">
        <v>153</v>
      </c>
      <c r="F1549" t="s">
        <v>154</v>
      </c>
      <c r="G1549">
        <v>2</v>
      </c>
      <c r="H1549">
        <v>25.49</v>
      </c>
      <c r="I1549">
        <v>0.15</v>
      </c>
      <c r="J1549">
        <v>43.33</v>
      </c>
      <c r="K1549" t="s">
        <v>16</v>
      </c>
      <c r="L1549" t="s">
        <v>17</v>
      </c>
      <c r="M1549" t="s">
        <v>76</v>
      </c>
    </row>
    <row r="1550" spans="1:13" x14ac:dyDescent="0.2">
      <c r="A1550">
        <v>356449</v>
      </c>
      <c r="B1550" s="1">
        <v>45410</v>
      </c>
      <c r="C1550">
        <v>48056</v>
      </c>
      <c r="D1550" t="s">
        <v>63</v>
      </c>
      <c r="E1550" t="s">
        <v>64</v>
      </c>
      <c r="F1550" t="s">
        <v>65</v>
      </c>
      <c r="G1550">
        <v>5</v>
      </c>
      <c r="H1550">
        <v>3.74</v>
      </c>
      <c r="I1550">
        <v>0.25</v>
      </c>
      <c r="J1550">
        <v>14.03</v>
      </c>
      <c r="K1550" t="s">
        <v>16</v>
      </c>
      <c r="L1550" t="s">
        <v>17</v>
      </c>
      <c r="M1550" t="s">
        <v>103</v>
      </c>
    </row>
    <row r="1551" spans="1:13" x14ac:dyDescent="0.2">
      <c r="A1551">
        <v>356661</v>
      </c>
      <c r="B1551" s="1">
        <v>45546</v>
      </c>
      <c r="C1551">
        <v>21753</v>
      </c>
      <c r="D1551" t="s">
        <v>63</v>
      </c>
      <c r="E1551" t="s">
        <v>64</v>
      </c>
      <c r="F1551" t="s">
        <v>65</v>
      </c>
      <c r="G1551">
        <v>5</v>
      </c>
      <c r="H1551">
        <v>4.49</v>
      </c>
      <c r="I1551">
        <v>0.1</v>
      </c>
      <c r="J1551">
        <v>20.21</v>
      </c>
      <c r="K1551" t="s">
        <v>22</v>
      </c>
      <c r="L1551" t="s">
        <v>17</v>
      </c>
    </row>
    <row r="1552" spans="1:13" x14ac:dyDescent="0.2">
      <c r="A1552">
        <v>356721</v>
      </c>
      <c r="B1552" s="1">
        <v>44595</v>
      </c>
      <c r="C1552">
        <v>40528</v>
      </c>
      <c r="D1552" t="s">
        <v>48</v>
      </c>
      <c r="E1552" t="s">
        <v>49</v>
      </c>
      <c r="F1552" t="s">
        <v>50</v>
      </c>
      <c r="G1552">
        <v>2</v>
      </c>
      <c r="H1552">
        <v>7.19</v>
      </c>
      <c r="I1552">
        <v>0.2</v>
      </c>
      <c r="J1552">
        <v>11.5</v>
      </c>
      <c r="K1552" t="s">
        <v>16</v>
      </c>
      <c r="L1552" t="s">
        <v>37</v>
      </c>
      <c r="M1552" t="s">
        <v>76</v>
      </c>
    </row>
    <row r="1553" spans="1:13" x14ac:dyDescent="0.2">
      <c r="A1553">
        <v>357120</v>
      </c>
      <c r="B1553" s="1">
        <v>44736</v>
      </c>
      <c r="C1553">
        <v>40330</v>
      </c>
      <c r="D1553" t="s">
        <v>25</v>
      </c>
      <c r="E1553" t="s">
        <v>26</v>
      </c>
      <c r="F1553" t="s">
        <v>27</v>
      </c>
      <c r="G1553">
        <v>1</v>
      </c>
      <c r="H1553">
        <v>27.99</v>
      </c>
      <c r="I1553">
        <v>0.2</v>
      </c>
      <c r="J1553">
        <v>22.39</v>
      </c>
      <c r="K1553" t="s">
        <v>32</v>
      </c>
      <c r="L1553" t="s">
        <v>37</v>
      </c>
      <c r="M1553" t="s">
        <v>123</v>
      </c>
    </row>
    <row r="1554" spans="1:13" x14ac:dyDescent="0.2">
      <c r="A1554">
        <v>357306</v>
      </c>
      <c r="B1554" s="2">
        <v>44907</v>
      </c>
      <c r="C1554">
        <v>28026</v>
      </c>
      <c r="D1554" t="s">
        <v>40</v>
      </c>
      <c r="E1554" t="s">
        <v>58</v>
      </c>
      <c r="F1554" t="s">
        <v>59</v>
      </c>
      <c r="G1554">
        <v>2</v>
      </c>
      <c r="H1554">
        <v>2.79</v>
      </c>
      <c r="I1554">
        <v>0.3</v>
      </c>
      <c r="J1554">
        <v>3.91</v>
      </c>
      <c r="K1554" t="s">
        <v>36</v>
      </c>
      <c r="L1554" t="s">
        <v>17</v>
      </c>
      <c r="M1554" t="s">
        <v>54</v>
      </c>
    </row>
    <row r="1555" spans="1:13" x14ac:dyDescent="0.2">
      <c r="A1555">
        <v>357309</v>
      </c>
      <c r="B1555" s="1">
        <v>45078</v>
      </c>
      <c r="C1555">
        <v>69596</v>
      </c>
      <c r="D1555" t="s">
        <v>40</v>
      </c>
      <c r="E1555" t="s">
        <v>20</v>
      </c>
      <c r="F1555" t="s">
        <v>21</v>
      </c>
      <c r="G1555">
        <v>1</v>
      </c>
      <c r="H1555">
        <v>6.99</v>
      </c>
      <c r="I1555">
        <v>0.3</v>
      </c>
      <c r="J1555">
        <v>4.8899999999999997</v>
      </c>
      <c r="K1555" t="s">
        <v>95</v>
      </c>
      <c r="L1555" t="s">
        <v>37</v>
      </c>
      <c r="M1555" t="s">
        <v>117</v>
      </c>
    </row>
    <row r="1556" spans="1:13" x14ac:dyDescent="0.2">
      <c r="A1556">
        <v>357570</v>
      </c>
      <c r="B1556" s="1">
        <v>45230</v>
      </c>
      <c r="C1556">
        <v>28620</v>
      </c>
      <c r="D1556" t="s">
        <v>85</v>
      </c>
      <c r="E1556" t="s">
        <v>86</v>
      </c>
      <c r="F1556" t="s">
        <v>87</v>
      </c>
      <c r="G1556">
        <v>1</v>
      </c>
      <c r="H1556">
        <v>9.74</v>
      </c>
      <c r="I1556">
        <v>0.25</v>
      </c>
      <c r="J1556">
        <v>7.3</v>
      </c>
      <c r="K1556" t="s">
        <v>16</v>
      </c>
      <c r="L1556" t="s">
        <v>17</v>
      </c>
      <c r="M1556" t="s">
        <v>123</v>
      </c>
    </row>
    <row r="1557" spans="1:13" x14ac:dyDescent="0.2">
      <c r="A1557">
        <v>357903</v>
      </c>
      <c r="B1557" s="1">
        <v>44834</v>
      </c>
      <c r="C1557">
        <v>51778</v>
      </c>
      <c r="D1557" t="s">
        <v>97</v>
      </c>
      <c r="E1557" t="s">
        <v>193</v>
      </c>
      <c r="F1557" t="s">
        <v>194</v>
      </c>
      <c r="G1557">
        <v>3</v>
      </c>
      <c r="H1557">
        <v>45.49</v>
      </c>
      <c r="J1557">
        <v>136.47</v>
      </c>
      <c r="K1557" t="s">
        <v>22</v>
      </c>
      <c r="L1557" t="s">
        <v>17</v>
      </c>
      <c r="M1557" t="s">
        <v>96</v>
      </c>
    </row>
    <row r="1558" spans="1:13" x14ac:dyDescent="0.2">
      <c r="A1558">
        <v>357915</v>
      </c>
      <c r="B1558" s="1">
        <v>44605</v>
      </c>
      <c r="C1558">
        <v>77124</v>
      </c>
      <c r="D1558" t="s">
        <v>40</v>
      </c>
      <c r="E1558" t="s">
        <v>20</v>
      </c>
      <c r="F1558" t="s">
        <v>21</v>
      </c>
      <c r="G1558">
        <v>1</v>
      </c>
      <c r="H1558">
        <v>7.49</v>
      </c>
      <c r="I1558">
        <v>0.25</v>
      </c>
      <c r="J1558">
        <v>5.62</v>
      </c>
      <c r="K1558" t="s">
        <v>36</v>
      </c>
      <c r="L1558" t="s">
        <v>37</v>
      </c>
      <c r="M1558" t="s">
        <v>33</v>
      </c>
    </row>
    <row r="1559" spans="1:13" x14ac:dyDescent="0.2">
      <c r="A1559">
        <v>357958</v>
      </c>
      <c r="B1559" s="1">
        <v>45347</v>
      </c>
      <c r="D1559" t="s">
        <v>25</v>
      </c>
      <c r="E1559" t="s">
        <v>26</v>
      </c>
      <c r="F1559" t="s">
        <v>27</v>
      </c>
      <c r="G1559">
        <v>4</v>
      </c>
      <c r="H1559">
        <v>34.99</v>
      </c>
      <c r="J1559">
        <v>139.96</v>
      </c>
      <c r="K1559" t="s">
        <v>32</v>
      </c>
      <c r="L1559" t="s">
        <v>17</v>
      </c>
      <c r="M1559" t="s">
        <v>33</v>
      </c>
    </row>
    <row r="1560" spans="1:13" x14ac:dyDescent="0.2">
      <c r="A1560">
        <v>357963</v>
      </c>
      <c r="B1560" s="2">
        <v>45593</v>
      </c>
      <c r="C1560">
        <v>45258</v>
      </c>
      <c r="D1560" t="s">
        <v>29</v>
      </c>
      <c r="E1560" t="s">
        <v>72</v>
      </c>
      <c r="F1560" t="s">
        <v>73</v>
      </c>
      <c r="G1560">
        <v>1</v>
      </c>
      <c r="H1560">
        <v>33.99</v>
      </c>
      <c r="I1560">
        <v>0.15</v>
      </c>
      <c r="J1560">
        <v>28.89</v>
      </c>
      <c r="K1560" t="s">
        <v>66</v>
      </c>
      <c r="L1560" t="s">
        <v>17</v>
      </c>
      <c r="M1560" t="s">
        <v>28</v>
      </c>
    </row>
    <row r="1561" spans="1:13" x14ac:dyDescent="0.2">
      <c r="A1561">
        <v>358191</v>
      </c>
      <c r="B1561" s="1">
        <v>45380</v>
      </c>
      <c r="C1561">
        <v>75478</v>
      </c>
      <c r="D1561" t="s">
        <v>44</v>
      </c>
      <c r="E1561" t="s">
        <v>45</v>
      </c>
      <c r="F1561" t="s">
        <v>46</v>
      </c>
      <c r="G1561">
        <v>1</v>
      </c>
      <c r="H1561">
        <v>1.7</v>
      </c>
      <c r="I1561">
        <v>0.05</v>
      </c>
      <c r="J1561">
        <v>1.62</v>
      </c>
      <c r="K1561" t="s">
        <v>36</v>
      </c>
      <c r="L1561" t="s">
        <v>17</v>
      </c>
      <c r="M1561" t="s">
        <v>47</v>
      </c>
    </row>
    <row r="1562" spans="1:13" x14ac:dyDescent="0.2">
      <c r="A1562">
        <v>358358</v>
      </c>
      <c r="B1562" s="1">
        <v>44855</v>
      </c>
      <c r="C1562">
        <v>51550</v>
      </c>
      <c r="D1562" t="s">
        <v>29</v>
      </c>
      <c r="E1562" t="s">
        <v>30</v>
      </c>
      <c r="F1562" t="s">
        <v>31</v>
      </c>
      <c r="G1562">
        <v>1</v>
      </c>
      <c r="H1562">
        <v>17.489999999999998</v>
      </c>
      <c r="I1562">
        <v>0.3</v>
      </c>
      <c r="J1562">
        <v>12.24</v>
      </c>
      <c r="K1562" t="s">
        <v>16</v>
      </c>
      <c r="L1562" t="s">
        <v>17</v>
      </c>
      <c r="M1562" t="s">
        <v>161</v>
      </c>
    </row>
    <row r="1563" spans="1:13" x14ac:dyDescent="0.2">
      <c r="A1563">
        <v>358372</v>
      </c>
      <c r="B1563" s="1">
        <v>45410</v>
      </c>
      <c r="C1563">
        <v>84255</v>
      </c>
      <c r="D1563" t="s">
        <v>25</v>
      </c>
      <c r="E1563" t="s">
        <v>51</v>
      </c>
      <c r="F1563" t="s">
        <v>52</v>
      </c>
      <c r="G1563">
        <v>1</v>
      </c>
      <c r="H1563">
        <v>27.99</v>
      </c>
      <c r="J1563">
        <v>27.99</v>
      </c>
      <c r="K1563" t="s">
        <v>36</v>
      </c>
      <c r="L1563" t="s">
        <v>17</v>
      </c>
      <c r="M1563" t="s">
        <v>28</v>
      </c>
    </row>
    <row r="1564" spans="1:13" x14ac:dyDescent="0.2">
      <c r="A1564">
        <v>358431</v>
      </c>
      <c r="B1564" s="1">
        <v>44689</v>
      </c>
      <c r="C1564">
        <v>62341</v>
      </c>
      <c r="D1564" t="s">
        <v>44</v>
      </c>
      <c r="E1564" t="s">
        <v>74</v>
      </c>
      <c r="F1564" t="s">
        <v>75</v>
      </c>
      <c r="G1564">
        <v>1</v>
      </c>
      <c r="H1564">
        <v>2.99</v>
      </c>
      <c r="J1564">
        <v>2.99</v>
      </c>
      <c r="K1564" t="s">
        <v>95</v>
      </c>
      <c r="L1564" t="s">
        <v>37</v>
      </c>
      <c r="M1564" t="s">
        <v>103</v>
      </c>
    </row>
    <row r="1565" spans="1:13" x14ac:dyDescent="0.2">
      <c r="A1565">
        <v>358567</v>
      </c>
      <c r="B1565" s="1">
        <v>45073</v>
      </c>
      <c r="C1565">
        <v>83405</v>
      </c>
      <c r="D1565" t="s">
        <v>44</v>
      </c>
      <c r="E1565" t="s">
        <v>133</v>
      </c>
      <c r="F1565" t="s">
        <v>134</v>
      </c>
      <c r="G1565">
        <v>1</v>
      </c>
      <c r="H1565">
        <v>3.22</v>
      </c>
      <c r="I1565">
        <v>0.15</v>
      </c>
      <c r="J1565">
        <v>2.74</v>
      </c>
      <c r="K1565" t="s">
        <v>53</v>
      </c>
      <c r="L1565" t="s">
        <v>17</v>
      </c>
      <c r="M1565" t="s">
        <v>47</v>
      </c>
    </row>
    <row r="1566" spans="1:13" x14ac:dyDescent="0.2">
      <c r="A1566">
        <v>358740</v>
      </c>
      <c r="B1566" s="2">
        <v>44867</v>
      </c>
      <c r="C1566">
        <v>80753</v>
      </c>
      <c r="D1566" t="s">
        <v>85</v>
      </c>
      <c r="E1566" t="s">
        <v>149</v>
      </c>
      <c r="F1566" t="s">
        <v>150</v>
      </c>
      <c r="G1566">
        <v>2</v>
      </c>
      <c r="H1566">
        <v>19.989999999999998</v>
      </c>
      <c r="J1566">
        <v>39.979999999999997</v>
      </c>
      <c r="K1566" t="s">
        <v>36</v>
      </c>
      <c r="L1566" t="s">
        <v>23</v>
      </c>
      <c r="M1566" t="s">
        <v>28</v>
      </c>
    </row>
    <row r="1567" spans="1:13" x14ac:dyDescent="0.2">
      <c r="A1567">
        <v>358801</v>
      </c>
      <c r="B1567" s="1">
        <v>44743</v>
      </c>
      <c r="C1567">
        <v>91137</v>
      </c>
      <c r="D1567" t="s">
        <v>29</v>
      </c>
      <c r="E1567" t="s">
        <v>72</v>
      </c>
      <c r="F1567" t="s">
        <v>73</v>
      </c>
      <c r="G1567">
        <v>5</v>
      </c>
      <c r="H1567">
        <v>35.99</v>
      </c>
      <c r="I1567">
        <v>0.1</v>
      </c>
      <c r="J1567">
        <v>161.96</v>
      </c>
      <c r="K1567" t="s">
        <v>22</v>
      </c>
      <c r="L1567" t="s">
        <v>37</v>
      </c>
      <c r="M1567" t="s">
        <v>161</v>
      </c>
    </row>
    <row r="1568" spans="1:13" x14ac:dyDescent="0.2">
      <c r="A1568">
        <v>358938</v>
      </c>
      <c r="B1568" s="1">
        <v>45243</v>
      </c>
      <c r="C1568">
        <v>27936</v>
      </c>
      <c r="D1568" t="s">
        <v>48</v>
      </c>
      <c r="E1568" t="s">
        <v>143</v>
      </c>
      <c r="F1568" t="s">
        <v>144</v>
      </c>
      <c r="G1568">
        <v>3</v>
      </c>
      <c r="H1568">
        <v>14.99</v>
      </c>
      <c r="J1568">
        <v>44.97</v>
      </c>
      <c r="K1568" t="s">
        <v>36</v>
      </c>
      <c r="L1568" t="s">
        <v>17</v>
      </c>
    </row>
    <row r="1569" spans="1:13" x14ac:dyDescent="0.2">
      <c r="A1569">
        <v>359015</v>
      </c>
      <c r="B1569" s="1">
        <v>44956</v>
      </c>
      <c r="C1569">
        <v>36560</v>
      </c>
      <c r="D1569" t="s">
        <v>97</v>
      </c>
      <c r="E1569" t="s">
        <v>141</v>
      </c>
      <c r="F1569" t="s">
        <v>142</v>
      </c>
      <c r="G1569">
        <v>5</v>
      </c>
      <c r="H1569">
        <v>22.99</v>
      </c>
      <c r="J1569">
        <v>114.95</v>
      </c>
      <c r="K1569" t="s">
        <v>32</v>
      </c>
      <c r="L1569" t="s">
        <v>17</v>
      </c>
      <c r="M1569" t="s">
        <v>47</v>
      </c>
    </row>
    <row r="1570" spans="1:13" x14ac:dyDescent="0.2">
      <c r="A1570">
        <v>359163</v>
      </c>
      <c r="B1570" s="1">
        <v>44765</v>
      </c>
      <c r="C1570">
        <v>87615</v>
      </c>
      <c r="D1570" t="s">
        <v>85</v>
      </c>
      <c r="E1570" t="s">
        <v>86</v>
      </c>
      <c r="F1570" t="s">
        <v>87</v>
      </c>
      <c r="G1570">
        <v>1</v>
      </c>
      <c r="H1570">
        <v>10.39</v>
      </c>
      <c r="I1570">
        <v>0.2</v>
      </c>
      <c r="J1570">
        <v>8.31</v>
      </c>
      <c r="K1570" t="s">
        <v>32</v>
      </c>
      <c r="L1570" t="s">
        <v>17</v>
      </c>
      <c r="M1570" t="s">
        <v>47</v>
      </c>
    </row>
    <row r="1571" spans="1:13" x14ac:dyDescent="0.2">
      <c r="A1571">
        <v>359208</v>
      </c>
      <c r="B1571" s="1">
        <v>45556</v>
      </c>
      <c r="C1571">
        <v>86486</v>
      </c>
      <c r="D1571" t="s">
        <v>40</v>
      </c>
      <c r="E1571" t="s">
        <v>115</v>
      </c>
      <c r="F1571" t="s">
        <v>116</v>
      </c>
      <c r="G1571">
        <v>4</v>
      </c>
      <c r="H1571">
        <v>10.39</v>
      </c>
      <c r="I1571">
        <v>0.2</v>
      </c>
      <c r="J1571">
        <v>33.25</v>
      </c>
      <c r="K1571" t="s">
        <v>16</v>
      </c>
      <c r="L1571" t="s">
        <v>17</v>
      </c>
      <c r="M1571" t="s">
        <v>28</v>
      </c>
    </row>
    <row r="1572" spans="1:13" x14ac:dyDescent="0.2">
      <c r="A1572">
        <v>359402</v>
      </c>
      <c r="B1572" s="1">
        <v>44733</v>
      </c>
      <c r="C1572">
        <v>69524</v>
      </c>
      <c r="D1572" t="s">
        <v>97</v>
      </c>
      <c r="E1572" t="s">
        <v>193</v>
      </c>
      <c r="F1572" t="s">
        <v>194</v>
      </c>
      <c r="G1572">
        <v>1</v>
      </c>
      <c r="H1572">
        <v>51.99</v>
      </c>
      <c r="I1572">
        <v>0.2</v>
      </c>
      <c r="J1572">
        <v>41.59</v>
      </c>
      <c r="K1572" t="s">
        <v>16</v>
      </c>
      <c r="L1572" t="s">
        <v>37</v>
      </c>
      <c r="M1572" t="s">
        <v>33</v>
      </c>
    </row>
    <row r="1573" spans="1:13" x14ac:dyDescent="0.2">
      <c r="A1573">
        <v>359462</v>
      </c>
      <c r="B1573" s="1">
        <v>45430</v>
      </c>
      <c r="C1573">
        <v>85388</v>
      </c>
      <c r="D1573" t="s">
        <v>82</v>
      </c>
      <c r="E1573" t="s">
        <v>83</v>
      </c>
      <c r="F1573" t="s">
        <v>84</v>
      </c>
      <c r="G1573">
        <v>5</v>
      </c>
      <c r="H1573">
        <v>13.59</v>
      </c>
      <c r="I1573">
        <v>0.2</v>
      </c>
      <c r="J1573">
        <v>54.36</v>
      </c>
      <c r="K1573" t="s">
        <v>32</v>
      </c>
      <c r="L1573" t="s">
        <v>17</v>
      </c>
      <c r="M1573" t="s">
        <v>96</v>
      </c>
    </row>
    <row r="1574" spans="1:13" x14ac:dyDescent="0.2">
      <c r="A1574">
        <v>359688</v>
      </c>
      <c r="B1574" s="1">
        <v>44639</v>
      </c>
      <c r="C1574">
        <v>91250</v>
      </c>
      <c r="D1574" t="s">
        <v>29</v>
      </c>
      <c r="E1574" t="s">
        <v>170</v>
      </c>
      <c r="F1574" t="s">
        <v>171</v>
      </c>
      <c r="G1574">
        <v>5</v>
      </c>
      <c r="H1574">
        <v>14.99</v>
      </c>
      <c r="J1574">
        <v>74.95</v>
      </c>
      <c r="K1574" t="s">
        <v>16</v>
      </c>
      <c r="L1574" t="s">
        <v>23</v>
      </c>
      <c r="M1574" t="s">
        <v>57</v>
      </c>
    </row>
    <row r="1575" spans="1:13" x14ac:dyDescent="0.2">
      <c r="A1575">
        <v>360017</v>
      </c>
      <c r="B1575" s="1">
        <v>44676</v>
      </c>
      <c r="C1575">
        <v>95302</v>
      </c>
      <c r="D1575" t="s">
        <v>63</v>
      </c>
      <c r="E1575" t="s">
        <v>125</v>
      </c>
      <c r="F1575" t="s">
        <v>126</v>
      </c>
      <c r="G1575">
        <v>2</v>
      </c>
      <c r="H1575">
        <v>22.49</v>
      </c>
      <c r="I1575">
        <v>0.25</v>
      </c>
      <c r="J1575">
        <v>33.74</v>
      </c>
      <c r="K1575" t="s">
        <v>16</v>
      </c>
      <c r="L1575" t="s">
        <v>37</v>
      </c>
      <c r="M1575" t="s">
        <v>24</v>
      </c>
    </row>
    <row r="1576" spans="1:13" x14ac:dyDescent="0.2">
      <c r="A1576">
        <v>360048</v>
      </c>
      <c r="B1576" s="1">
        <v>44722</v>
      </c>
      <c r="C1576">
        <v>12177</v>
      </c>
      <c r="D1576" t="s">
        <v>40</v>
      </c>
      <c r="E1576" t="s">
        <v>197</v>
      </c>
      <c r="F1576" t="s">
        <v>198</v>
      </c>
      <c r="G1576">
        <v>2</v>
      </c>
      <c r="H1576">
        <v>11.99</v>
      </c>
      <c r="I1576">
        <v>0.2</v>
      </c>
      <c r="J1576">
        <v>19.18</v>
      </c>
      <c r="K1576" t="s">
        <v>36</v>
      </c>
      <c r="L1576" t="s">
        <v>17</v>
      </c>
      <c r="M1576" t="s">
        <v>33</v>
      </c>
    </row>
    <row r="1577" spans="1:13" x14ac:dyDescent="0.2">
      <c r="A1577">
        <v>360246</v>
      </c>
      <c r="B1577" s="1">
        <v>45114</v>
      </c>
      <c r="C1577">
        <v>11648</v>
      </c>
      <c r="D1577" t="s">
        <v>13</v>
      </c>
      <c r="E1577" t="s">
        <v>55</v>
      </c>
      <c r="F1577" t="s">
        <v>56</v>
      </c>
      <c r="G1577">
        <v>1</v>
      </c>
      <c r="H1577">
        <v>263.99</v>
      </c>
      <c r="I1577">
        <v>0.2</v>
      </c>
      <c r="J1577">
        <v>211.19</v>
      </c>
      <c r="K1577" t="s">
        <v>22</v>
      </c>
      <c r="L1577" t="s">
        <v>17</v>
      </c>
      <c r="M1577" t="s">
        <v>62</v>
      </c>
    </row>
    <row r="1578" spans="1:13" x14ac:dyDescent="0.2">
      <c r="A1578">
        <v>360320</v>
      </c>
      <c r="B1578" s="1">
        <v>44866</v>
      </c>
      <c r="C1578">
        <v>44302</v>
      </c>
      <c r="D1578" t="s">
        <v>48</v>
      </c>
      <c r="E1578" t="s">
        <v>109</v>
      </c>
      <c r="F1578" t="s">
        <v>110</v>
      </c>
      <c r="G1578">
        <v>4</v>
      </c>
      <c r="H1578">
        <v>5.59</v>
      </c>
      <c r="I1578">
        <v>0.2</v>
      </c>
      <c r="J1578">
        <v>17.89</v>
      </c>
      <c r="K1578" t="s">
        <v>32</v>
      </c>
      <c r="L1578" t="s">
        <v>17</v>
      </c>
      <c r="M1578" t="s">
        <v>96</v>
      </c>
    </row>
    <row r="1579" spans="1:13" x14ac:dyDescent="0.2">
      <c r="A1579">
        <v>360485</v>
      </c>
      <c r="B1579" s="1">
        <v>45304</v>
      </c>
      <c r="C1579">
        <v>11825</v>
      </c>
      <c r="D1579" t="s">
        <v>97</v>
      </c>
      <c r="E1579" t="s">
        <v>193</v>
      </c>
      <c r="F1579" t="s">
        <v>194</v>
      </c>
      <c r="G1579">
        <v>4</v>
      </c>
      <c r="H1579">
        <v>55.24</v>
      </c>
      <c r="I1579">
        <v>0.15</v>
      </c>
      <c r="J1579">
        <v>187.82</v>
      </c>
      <c r="K1579" t="s">
        <v>36</v>
      </c>
      <c r="L1579" t="s">
        <v>23</v>
      </c>
      <c r="M1579" t="s">
        <v>54</v>
      </c>
    </row>
    <row r="1580" spans="1:13" x14ac:dyDescent="0.2">
      <c r="A1580">
        <v>360747</v>
      </c>
      <c r="B1580" s="1">
        <v>45641</v>
      </c>
      <c r="C1580">
        <v>65581</v>
      </c>
      <c r="D1580" t="s">
        <v>124</v>
      </c>
      <c r="E1580" t="s">
        <v>125</v>
      </c>
      <c r="F1580" t="s">
        <v>126</v>
      </c>
      <c r="G1580">
        <v>5</v>
      </c>
      <c r="H1580">
        <v>29.99</v>
      </c>
      <c r="J1580">
        <v>149.94999999999999</v>
      </c>
      <c r="K1580" t="s">
        <v>16</v>
      </c>
      <c r="L1580" t="s">
        <v>37</v>
      </c>
      <c r="M1580" t="s">
        <v>33</v>
      </c>
    </row>
    <row r="1581" spans="1:13" x14ac:dyDescent="0.2">
      <c r="A1581">
        <v>360849</v>
      </c>
      <c r="B1581" s="1">
        <v>45205</v>
      </c>
      <c r="C1581">
        <v>71566</v>
      </c>
      <c r="D1581" t="s">
        <v>48</v>
      </c>
      <c r="E1581" t="s">
        <v>143</v>
      </c>
      <c r="F1581" t="s">
        <v>144</v>
      </c>
      <c r="G1581">
        <v>2</v>
      </c>
      <c r="H1581">
        <v>12.74</v>
      </c>
      <c r="I1581">
        <v>0.15</v>
      </c>
      <c r="J1581">
        <v>21.66</v>
      </c>
      <c r="K1581" t="s">
        <v>36</v>
      </c>
      <c r="L1581" t="s">
        <v>37</v>
      </c>
      <c r="M1581" t="s">
        <v>96</v>
      </c>
    </row>
    <row r="1582" spans="1:13" x14ac:dyDescent="0.2">
      <c r="A1582">
        <v>360859</v>
      </c>
      <c r="B1582" s="1">
        <v>44666</v>
      </c>
      <c r="C1582">
        <v>43380</v>
      </c>
      <c r="D1582" t="s">
        <v>48</v>
      </c>
      <c r="E1582" t="s">
        <v>49</v>
      </c>
      <c r="F1582" t="s">
        <v>50</v>
      </c>
      <c r="G1582">
        <v>4</v>
      </c>
      <c r="H1582">
        <v>7.64</v>
      </c>
      <c r="I1582">
        <v>0.15</v>
      </c>
      <c r="J1582">
        <v>25.98</v>
      </c>
      <c r="K1582" t="s">
        <v>16</v>
      </c>
      <c r="L1582" t="s">
        <v>17</v>
      </c>
      <c r="M1582" t="s">
        <v>90</v>
      </c>
    </row>
    <row r="1583" spans="1:13" x14ac:dyDescent="0.2">
      <c r="A1583">
        <v>360926</v>
      </c>
      <c r="B1583" s="2">
        <v>45299</v>
      </c>
      <c r="C1583">
        <v>32042</v>
      </c>
      <c r="D1583" t="s">
        <v>44</v>
      </c>
      <c r="E1583" t="s">
        <v>93</v>
      </c>
      <c r="F1583" t="s">
        <v>94</v>
      </c>
      <c r="G1583">
        <v>4</v>
      </c>
      <c r="H1583">
        <v>0.9</v>
      </c>
      <c r="I1583">
        <v>0.3</v>
      </c>
      <c r="J1583">
        <v>2.52</v>
      </c>
      <c r="K1583" t="s">
        <v>36</v>
      </c>
      <c r="L1583" t="s">
        <v>23</v>
      </c>
      <c r="M1583" t="s">
        <v>67</v>
      </c>
    </row>
    <row r="1584" spans="1:13" x14ac:dyDescent="0.2">
      <c r="A1584">
        <v>361092</v>
      </c>
      <c r="B1584" s="1">
        <v>45586</v>
      </c>
      <c r="C1584">
        <v>15504</v>
      </c>
      <c r="D1584" t="s">
        <v>29</v>
      </c>
      <c r="E1584" t="s">
        <v>30</v>
      </c>
      <c r="F1584" t="s">
        <v>31</v>
      </c>
      <c r="G1584">
        <v>4</v>
      </c>
      <c r="H1584">
        <v>22.49</v>
      </c>
      <c r="I1584">
        <v>0.1</v>
      </c>
      <c r="J1584">
        <v>80.959999999999994</v>
      </c>
      <c r="K1584" t="s">
        <v>16</v>
      </c>
      <c r="L1584" t="s">
        <v>17</v>
      </c>
      <c r="M1584" t="s">
        <v>76</v>
      </c>
    </row>
    <row r="1585" spans="1:13" x14ac:dyDescent="0.2">
      <c r="A1585">
        <v>361111</v>
      </c>
      <c r="B1585" s="2">
        <v>44983</v>
      </c>
      <c r="D1585" t="s">
        <v>13</v>
      </c>
      <c r="E1585" t="s">
        <v>14</v>
      </c>
      <c r="F1585" t="s">
        <v>15</v>
      </c>
      <c r="G1585">
        <v>1</v>
      </c>
      <c r="H1585">
        <v>79.989999999999995</v>
      </c>
      <c r="J1585">
        <v>79.989999999999995</v>
      </c>
      <c r="K1585" t="s">
        <v>36</v>
      </c>
      <c r="L1585" t="s">
        <v>37</v>
      </c>
      <c r="M1585" t="s">
        <v>81</v>
      </c>
    </row>
    <row r="1586" spans="1:13" x14ac:dyDescent="0.2">
      <c r="A1586">
        <v>361118</v>
      </c>
      <c r="B1586" s="2">
        <v>45175</v>
      </c>
      <c r="C1586">
        <v>92040</v>
      </c>
      <c r="D1586" t="s">
        <v>40</v>
      </c>
      <c r="E1586" t="s">
        <v>58</v>
      </c>
      <c r="F1586" t="s">
        <v>59</v>
      </c>
      <c r="G1586">
        <v>4</v>
      </c>
      <c r="H1586">
        <v>3.59</v>
      </c>
      <c r="I1586">
        <v>0.1</v>
      </c>
      <c r="J1586">
        <v>12.92</v>
      </c>
      <c r="K1586" t="s">
        <v>36</v>
      </c>
      <c r="L1586" t="s">
        <v>37</v>
      </c>
      <c r="M1586" t="s">
        <v>161</v>
      </c>
    </row>
    <row r="1587" spans="1:13" x14ac:dyDescent="0.2">
      <c r="A1587">
        <v>361161</v>
      </c>
      <c r="B1587" s="1">
        <v>45532</v>
      </c>
      <c r="C1587">
        <v>38828</v>
      </c>
      <c r="D1587" t="s">
        <v>44</v>
      </c>
      <c r="E1587" t="s">
        <v>45</v>
      </c>
      <c r="F1587" t="s">
        <v>46</v>
      </c>
      <c r="G1587">
        <v>1</v>
      </c>
      <c r="H1587">
        <v>1.7</v>
      </c>
      <c r="I1587">
        <v>0.05</v>
      </c>
      <c r="J1587">
        <v>1.62</v>
      </c>
      <c r="K1587" t="s">
        <v>16</v>
      </c>
      <c r="L1587" t="s">
        <v>37</v>
      </c>
      <c r="M1587" t="s">
        <v>33</v>
      </c>
    </row>
    <row r="1588" spans="1:13" x14ac:dyDescent="0.2">
      <c r="A1588">
        <v>361301</v>
      </c>
      <c r="B1588" s="2">
        <v>45538</v>
      </c>
      <c r="C1588">
        <v>66528</v>
      </c>
      <c r="D1588" t="s">
        <v>48</v>
      </c>
      <c r="E1588" t="s">
        <v>179</v>
      </c>
      <c r="F1588" t="s">
        <v>180</v>
      </c>
      <c r="G1588">
        <v>5</v>
      </c>
      <c r="H1588">
        <v>11.99</v>
      </c>
      <c r="J1588">
        <v>59.95</v>
      </c>
      <c r="K1588" t="s">
        <v>16</v>
      </c>
      <c r="L1588" t="s">
        <v>17</v>
      </c>
      <c r="M1588" t="s">
        <v>117</v>
      </c>
    </row>
    <row r="1589" spans="1:13" x14ac:dyDescent="0.2">
      <c r="A1589">
        <v>361742</v>
      </c>
      <c r="B1589" s="1">
        <v>45431</v>
      </c>
      <c r="C1589">
        <v>89201</v>
      </c>
      <c r="D1589" t="s">
        <v>29</v>
      </c>
      <c r="E1589" t="s">
        <v>72</v>
      </c>
      <c r="F1589" t="s">
        <v>73</v>
      </c>
      <c r="G1589">
        <v>1</v>
      </c>
      <c r="H1589">
        <v>29.99</v>
      </c>
      <c r="I1589">
        <v>0.25</v>
      </c>
      <c r="J1589">
        <v>22.49</v>
      </c>
      <c r="K1589" t="s">
        <v>95</v>
      </c>
      <c r="L1589" t="s">
        <v>37</v>
      </c>
      <c r="M1589" t="s">
        <v>81</v>
      </c>
    </row>
    <row r="1590" spans="1:13" x14ac:dyDescent="0.2">
      <c r="A1590">
        <v>361768</v>
      </c>
      <c r="B1590" s="2">
        <v>44905</v>
      </c>
      <c r="C1590">
        <v>20056</v>
      </c>
      <c r="D1590" t="s">
        <v>44</v>
      </c>
      <c r="E1590" t="s">
        <v>184</v>
      </c>
      <c r="F1590" t="s">
        <v>185</v>
      </c>
      <c r="G1590">
        <v>1</v>
      </c>
      <c r="H1590">
        <v>5.49</v>
      </c>
      <c r="J1590">
        <v>5.49</v>
      </c>
      <c r="K1590" t="s">
        <v>53</v>
      </c>
      <c r="L1590" t="s">
        <v>17</v>
      </c>
      <c r="M1590" t="s">
        <v>54</v>
      </c>
    </row>
    <row r="1591" spans="1:13" x14ac:dyDescent="0.2">
      <c r="A1591">
        <v>361991</v>
      </c>
      <c r="B1591" s="2">
        <v>45394</v>
      </c>
      <c r="C1591">
        <v>58402</v>
      </c>
      <c r="D1591" t="s">
        <v>29</v>
      </c>
      <c r="E1591" t="s">
        <v>175</v>
      </c>
      <c r="F1591" t="s">
        <v>176</v>
      </c>
      <c r="G1591">
        <v>1</v>
      </c>
      <c r="H1591">
        <v>11.99</v>
      </c>
      <c r="J1591">
        <v>11.99</v>
      </c>
      <c r="K1591" t="s">
        <v>36</v>
      </c>
      <c r="L1591" t="s">
        <v>17</v>
      </c>
      <c r="M1591" t="s">
        <v>76</v>
      </c>
    </row>
    <row r="1592" spans="1:13" x14ac:dyDescent="0.2">
      <c r="A1592">
        <v>362028</v>
      </c>
      <c r="B1592" s="1">
        <v>45283</v>
      </c>
      <c r="C1592">
        <v>15196</v>
      </c>
      <c r="D1592" t="s">
        <v>85</v>
      </c>
      <c r="E1592" t="s">
        <v>153</v>
      </c>
      <c r="F1592" t="s">
        <v>154</v>
      </c>
      <c r="G1592">
        <v>2</v>
      </c>
      <c r="H1592">
        <v>23.99</v>
      </c>
      <c r="I1592">
        <v>0.2</v>
      </c>
      <c r="J1592">
        <v>38.380000000000003</v>
      </c>
      <c r="K1592" t="s">
        <v>16</v>
      </c>
      <c r="L1592" t="s">
        <v>37</v>
      </c>
      <c r="M1592" t="s">
        <v>102</v>
      </c>
    </row>
    <row r="1593" spans="1:13" x14ac:dyDescent="0.2">
      <c r="A1593">
        <v>362108</v>
      </c>
      <c r="B1593" s="1">
        <v>44889</v>
      </c>
      <c r="C1593">
        <v>38465</v>
      </c>
      <c r="D1593" t="s">
        <v>13</v>
      </c>
      <c r="E1593" t="s">
        <v>77</v>
      </c>
      <c r="F1593" t="s">
        <v>78</v>
      </c>
      <c r="G1593">
        <v>1</v>
      </c>
      <c r="H1593">
        <v>499.99</v>
      </c>
      <c r="J1593">
        <v>499.99</v>
      </c>
      <c r="K1593" t="s">
        <v>22</v>
      </c>
      <c r="L1593" t="s">
        <v>17</v>
      </c>
      <c r="M1593" t="s">
        <v>96</v>
      </c>
    </row>
    <row r="1594" spans="1:13" x14ac:dyDescent="0.2">
      <c r="A1594">
        <v>362127</v>
      </c>
      <c r="B1594" s="2">
        <v>45242</v>
      </c>
      <c r="C1594">
        <v>19262</v>
      </c>
      <c r="D1594" t="s">
        <v>48</v>
      </c>
      <c r="E1594" t="s">
        <v>143</v>
      </c>
      <c r="F1594" t="s">
        <v>144</v>
      </c>
      <c r="G1594">
        <v>4</v>
      </c>
      <c r="H1594">
        <v>14.99</v>
      </c>
      <c r="J1594">
        <v>59.96</v>
      </c>
      <c r="K1594" t="s">
        <v>53</v>
      </c>
      <c r="L1594" t="s">
        <v>23</v>
      </c>
      <c r="M1594" t="s">
        <v>117</v>
      </c>
    </row>
    <row r="1595" spans="1:13" x14ac:dyDescent="0.2">
      <c r="A1595">
        <v>362293</v>
      </c>
      <c r="B1595" s="1">
        <v>45398</v>
      </c>
      <c r="C1595">
        <v>16247</v>
      </c>
      <c r="D1595" t="s">
        <v>97</v>
      </c>
      <c r="E1595" t="s">
        <v>141</v>
      </c>
      <c r="F1595" t="s">
        <v>142</v>
      </c>
      <c r="G1595">
        <v>2</v>
      </c>
      <c r="H1595">
        <v>21.84</v>
      </c>
      <c r="I1595">
        <v>0.05</v>
      </c>
      <c r="J1595">
        <v>41.5</v>
      </c>
      <c r="K1595" t="s">
        <v>22</v>
      </c>
      <c r="L1595" t="s">
        <v>17</v>
      </c>
      <c r="M1595" t="s">
        <v>90</v>
      </c>
    </row>
    <row r="1596" spans="1:13" x14ac:dyDescent="0.2">
      <c r="A1596">
        <v>362355</v>
      </c>
      <c r="B1596" s="1">
        <v>45549</v>
      </c>
      <c r="D1596" t="s">
        <v>25</v>
      </c>
      <c r="E1596" t="s">
        <v>70</v>
      </c>
      <c r="F1596" t="s">
        <v>71</v>
      </c>
      <c r="G1596">
        <v>1</v>
      </c>
      <c r="H1596">
        <v>89.99</v>
      </c>
      <c r="J1596">
        <v>89.99</v>
      </c>
      <c r="K1596" t="s">
        <v>32</v>
      </c>
      <c r="L1596" t="s">
        <v>17</v>
      </c>
      <c r="M1596" t="s">
        <v>33</v>
      </c>
    </row>
    <row r="1597" spans="1:13" x14ac:dyDescent="0.2">
      <c r="A1597">
        <v>362372</v>
      </c>
      <c r="B1597" s="2">
        <v>45173</v>
      </c>
      <c r="C1597">
        <v>59157</v>
      </c>
      <c r="D1597" t="s">
        <v>25</v>
      </c>
      <c r="E1597" t="s">
        <v>51</v>
      </c>
      <c r="F1597" t="s">
        <v>52</v>
      </c>
      <c r="G1597">
        <v>5</v>
      </c>
      <c r="H1597">
        <v>19.59</v>
      </c>
      <c r="I1597">
        <v>0.3</v>
      </c>
      <c r="J1597">
        <v>68.56</v>
      </c>
      <c r="K1597" t="s">
        <v>36</v>
      </c>
      <c r="L1597" t="s">
        <v>17</v>
      </c>
      <c r="M1597" t="s">
        <v>43</v>
      </c>
    </row>
    <row r="1598" spans="1:13" x14ac:dyDescent="0.2">
      <c r="A1598">
        <v>362470</v>
      </c>
      <c r="B1598" s="2">
        <v>45210</v>
      </c>
      <c r="C1598">
        <v>34888</v>
      </c>
      <c r="D1598" t="s">
        <v>40</v>
      </c>
      <c r="E1598" t="s">
        <v>115</v>
      </c>
      <c r="F1598" t="s">
        <v>116</v>
      </c>
      <c r="G1598">
        <v>3</v>
      </c>
      <c r="H1598">
        <v>12.99</v>
      </c>
      <c r="J1598">
        <v>38.97</v>
      </c>
      <c r="K1598" t="s">
        <v>16</v>
      </c>
      <c r="L1598" t="s">
        <v>37</v>
      </c>
      <c r="M1598" t="s">
        <v>123</v>
      </c>
    </row>
    <row r="1599" spans="1:13" x14ac:dyDescent="0.2">
      <c r="A1599">
        <v>362481</v>
      </c>
      <c r="B1599" s="1">
        <v>44813</v>
      </c>
      <c r="C1599">
        <v>24727</v>
      </c>
      <c r="D1599" t="s">
        <v>97</v>
      </c>
      <c r="E1599" t="s">
        <v>98</v>
      </c>
      <c r="F1599" t="s">
        <v>99</v>
      </c>
      <c r="G1599">
        <v>5</v>
      </c>
      <c r="H1599">
        <v>26.59</v>
      </c>
      <c r="I1599">
        <v>0.05</v>
      </c>
      <c r="J1599">
        <v>126.3</v>
      </c>
      <c r="K1599" t="s">
        <v>36</v>
      </c>
      <c r="L1599" t="s">
        <v>37</v>
      </c>
      <c r="M1599" t="s">
        <v>54</v>
      </c>
    </row>
    <row r="1600" spans="1:13" x14ac:dyDescent="0.2">
      <c r="A1600">
        <v>362674</v>
      </c>
      <c r="B1600" s="1">
        <v>45080</v>
      </c>
      <c r="C1600">
        <v>17759</v>
      </c>
      <c r="D1600" t="s">
        <v>13</v>
      </c>
      <c r="E1600" t="s">
        <v>14</v>
      </c>
      <c r="F1600" t="s">
        <v>15</v>
      </c>
      <c r="G1600">
        <v>4</v>
      </c>
      <c r="H1600">
        <v>79.989999999999995</v>
      </c>
      <c r="J1600">
        <v>319.95999999999998</v>
      </c>
      <c r="K1600" t="s">
        <v>36</v>
      </c>
      <c r="L1600" t="s">
        <v>37</v>
      </c>
      <c r="M1600" t="s">
        <v>18</v>
      </c>
    </row>
    <row r="1601" spans="1:13" x14ac:dyDescent="0.2">
      <c r="A1601">
        <v>362865</v>
      </c>
      <c r="B1601" s="1">
        <v>44711</v>
      </c>
      <c r="C1601">
        <v>53365</v>
      </c>
      <c r="D1601" t="s">
        <v>63</v>
      </c>
      <c r="E1601" t="s">
        <v>111</v>
      </c>
      <c r="F1601" t="s">
        <v>112</v>
      </c>
      <c r="G1601">
        <v>3</v>
      </c>
      <c r="H1601">
        <v>13.49</v>
      </c>
      <c r="I1601">
        <v>0.1</v>
      </c>
      <c r="J1601">
        <v>36.42</v>
      </c>
      <c r="K1601" t="s">
        <v>36</v>
      </c>
      <c r="L1601" t="s">
        <v>37</v>
      </c>
      <c r="M1601" t="s">
        <v>102</v>
      </c>
    </row>
    <row r="1602" spans="1:13" x14ac:dyDescent="0.2">
      <c r="A1602">
        <v>362867</v>
      </c>
      <c r="B1602" s="1">
        <v>44863</v>
      </c>
      <c r="C1602">
        <v>13895</v>
      </c>
      <c r="D1602" t="s">
        <v>40</v>
      </c>
      <c r="E1602" t="s">
        <v>58</v>
      </c>
      <c r="F1602" t="s">
        <v>59</v>
      </c>
      <c r="G1602">
        <v>1</v>
      </c>
      <c r="H1602">
        <v>2.99</v>
      </c>
      <c r="I1602">
        <v>0.25</v>
      </c>
      <c r="J1602">
        <v>2.2400000000000002</v>
      </c>
      <c r="K1602" t="s">
        <v>95</v>
      </c>
      <c r="L1602" t="s">
        <v>17</v>
      </c>
      <c r="M1602" t="s">
        <v>54</v>
      </c>
    </row>
    <row r="1603" spans="1:13" x14ac:dyDescent="0.2">
      <c r="A1603">
        <v>362978</v>
      </c>
      <c r="B1603" s="1">
        <v>45587</v>
      </c>
      <c r="C1603">
        <v>50187</v>
      </c>
      <c r="D1603" t="s">
        <v>40</v>
      </c>
      <c r="E1603" t="s">
        <v>197</v>
      </c>
      <c r="F1603" t="s">
        <v>198</v>
      </c>
      <c r="G1603">
        <v>5</v>
      </c>
      <c r="H1603">
        <v>14.24</v>
      </c>
      <c r="I1603">
        <v>0.05</v>
      </c>
      <c r="J1603">
        <v>67.64</v>
      </c>
      <c r="K1603" t="s">
        <v>16</v>
      </c>
      <c r="L1603" t="s">
        <v>17</v>
      </c>
      <c r="M1603" t="s">
        <v>123</v>
      </c>
    </row>
    <row r="1604" spans="1:13" x14ac:dyDescent="0.2">
      <c r="A1604">
        <v>363072</v>
      </c>
      <c r="B1604" s="1">
        <v>44738</v>
      </c>
      <c r="C1604">
        <v>53914</v>
      </c>
      <c r="D1604" t="s">
        <v>40</v>
      </c>
      <c r="E1604" t="s">
        <v>20</v>
      </c>
      <c r="F1604" t="s">
        <v>21</v>
      </c>
      <c r="G1604">
        <v>2</v>
      </c>
      <c r="H1604">
        <v>9.99</v>
      </c>
      <c r="J1604">
        <v>19.98</v>
      </c>
      <c r="K1604" t="s">
        <v>36</v>
      </c>
      <c r="L1604" t="s">
        <v>17</v>
      </c>
      <c r="M1604" t="s">
        <v>76</v>
      </c>
    </row>
    <row r="1605" spans="1:13" x14ac:dyDescent="0.2">
      <c r="A1605">
        <v>363269</v>
      </c>
      <c r="B1605" s="2">
        <v>45215</v>
      </c>
      <c r="C1605">
        <v>52041</v>
      </c>
      <c r="D1605" t="s">
        <v>13</v>
      </c>
      <c r="E1605" t="s">
        <v>14</v>
      </c>
      <c r="F1605" t="s">
        <v>15</v>
      </c>
      <c r="G1605">
        <v>4</v>
      </c>
      <c r="H1605">
        <v>67.989999999999995</v>
      </c>
      <c r="I1605">
        <v>0.15</v>
      </c>
      <c r="J1605">
        <v>231.17</v>
      </c>
      <c r="K1605" t="s">
        <v>53</v>
      </c>
      <c r="L1605" t="s">
        <v>17</v>
      </c>
      <c r="M1605" t="s">
        <v>102</v>
      </c>
    </row>
    <row r="1606" spans="1:13" x14ac:dyDescent="0.2">
      <c r="A1606">
        <v>363387</v>
      </c>
      <c r="B1606" s="1">
        <v>45515</v>
      </c>
      <c r="C1606">
        <v>41501</v>
      </c>
      <c r="D1606" t="s">
        <v>48</v>
      </c>
      <c r="E1606" t="s">
        <v>139</v>
      </c>
      <c r="F1606" t="s">
        <v>140</v>
      </c>
      <c r="G1606">
        <v>4</v>
      </c>
      <c r="H1606">
        <v>7.99</v>
      </c>
      <c r="J1606">
        <v>31.96</v>
      </c>
      <c r="K1606" t="s">
        <v>16</v>
      </c>
      <c r="L1606" t="s">
        <v>17</v>
      </c>
      <c r="M1606" t="s">
        <v>67</v>
      </c>
    </row>
    <row r="1607" spans="1:13" x14ac:dyDescent="0.2">
      <c r="A1607">
        <v>363440</v>
      </c>
      <c r="B1607" s="1">
        <v>44983</v>
      </c>
      <c r="C1607">
        <v>49785</v>
      </c>
      <c r="D1607" t="s">
        <v>97</v>
      </c>
      <c r="E1607" t="s">
        <v>98</v>
      </c>
      <c r="F1607" t="s">
        <v>99</v>
      </c>
      <c r="G1607">
        <v>5</v>
      </c>
      <c r="H1607">
        <v>25.19</v>
      </c>
      <c r="I1607">
        <v>0.1</v>
      </c>
      <c r="J1607">
        <v>113.36</v>
      </c>
      <c r="K1607" t="s">
        <v>22</v>
      </c>
      <c r="L1607" t="s">
        <v>17</v>
      </c>
      <c r="M1607" t="s">
        <v>54</v>
      </c>
    </row>
    <row r="1608" spans="1:13" x14ac:dyDescent="0.2">
      <c r="A1608">
        <v>363449</v>
      </c>
      <c r="B1608" s="1">
        <v>45519</v>
      </c>
      <c r="D1608" t="s">
        <v>85</v>
      </c>
      <c r="E1608" t="s">
        <v>129</v>
      </c>
      <c r="F1608" t="s">
        <v>130</v>
      </c>
      <c r="G1608">
        <v>1</v>
      </c>
      <c r="H1608">
        <v>8.99</v>
      </c>
      <c r="J1608">
        <v>8.99</v>
      </c>
      <c r="K1608" t="s">
        <v>16</v>
      </c>
      <c r="L1608" t="s">
        <v>37</v>
      </c>
      <c r="M1608" t="s">
        <v>62</v>
      </c>
    </row>
    <row r="1609" spans="1:13" x14ac:dyDescent="0.2">
      <c r="A1609">
        <v>363983</v>
      </c>
      <c r="B1609" s="2">
        <v>44734</v>
      </c>
      <c r="C1609">
        <v>54371</v>
      </c>
      <c r="D1609" t="s">
        <v>44</v>
      </c>
      <c r="E1609" t="s">
        <v>91</v>
      </c>
      <c r="F1609" t="s">
        <v>92</v>
      </c>
      <c r="G1609">
        <v>1</v>
      </c>
      <c r="H1609">
        <v>6.29</v>
      </c>
      <c r="J1609">
        <v>6.29</v>
      </c>
      <c r="K1609" t="s">
        <v>36</v>
      </c>
      <c r="L1609" t="s">
        <v>17</v>
      </c>
      <c r="M1609" t="s">
        <v>62</v>
      </c>
    </row>
    <row r="1610" spans="1:13" x14ac:dyDescent="0.2">
      <c r="A1610">
        <v>364040</v>
      </c>
      <c r="B1610" s="2">
        <v>44582</v>
      </c>
      <c r="C1610">
        <v>28659</v>
      </c>
      <c r="D1610" t="s">
        <v>82</v>
      </c>
      <c r="E1610" t="s">
        <v>155</v>
      </c>
      <c r="F1610" t="s">
        <v>156</v>
      </c>
      <c r="G1610">
        <v>3</v>
      </c>
      <c r="H1610">
        <v>16.989999999999998</v>
      </c>
      <c r="I1610">
        <v>0.15</v>
      </c>
      <c r="J1610">
        <v>43.32</v>
      </c>
      <c r="K1610" t="s">
        <v>53</v>
      </c>
      <c r="L1610" t="s">
        <v>17</v>
      </c>
      <c r="M1610" t="s">
        <v>43</v>
      </c>
    </row>
    <row r="1611" spans="1:13" x14ac:dyDescent="0.2">
      <c r="A1611">
        <v>364065</v>
      </c>
      <c r="B1611" s="1">
        <v>45522</v>
      </c>
      <c r="C1611">
        <v>22189</v>
      </c>
      <c r="D1611" t="s">
        <v>97</v>
      </c>
      <c r="E1611" t="s">
        <v>181</v>
      </c>
      <c r="F1611" t="s">
        <v>182</v>
      </c>
      <c r="G1611">
        <v>4</v>
      </c>
      <c r="H1611">
        <v>14.99</v>
      </c>
      <c r="J1611">
        <v>59.96</v>
      </c>
      <c r="K1611" t="s">
        <v>16</v>
      </c>
      <c r="L1611" t="s">
        <v>17</v>
      </c>
      <c r="M1611" t="s">
        <v>90</v>
      </c>
    </row>
    <row r="1612" spans="1:13" x14ac:dyDescent="0.2">
      <c r="A1612">
        <v>364073</v>
      </c>
      <c r="B1612" s="2">
        <v>45613</v>
      </c>
      <c r="C1612">
        <v>82522</v>
      </c>
      <c r="D1612" t="s">
        <v>48</v>
      </c>
      <c r="E1612" t="s">
        <v>49</v>
      </c>
      <c r="F1612" t="s">
        <v>50</v>
      </c>
      <c r="G1612">
        <v>1</v>
      </c>
      <c r="H1612">
        <v>7.64</v>
      </c>
      <c r="I1612">
        <v>0.15</v>
      </c>
      <c r="J1612">
        <v>6.49</v>
      </c>
      <c r="K1612" t="s">
        <v>16</v>
      </c>
      <c r="L1612" t="s">
        <v>17</v>
      </c>
      <c r="M1612" t="s">
        <v>24</v>
      </c>
    </row>
    <row r="1613" spans="1:13" x14ac:dyDescent="0.2">
      <c r="A1613">
        <v>364174</v>
      </c>
      <c r="B1613" s="2">
        <v>44924</v>
      </c>
      <c r="C1613">
        <v>17802</v>
      </c>
      <c r="D1613" t="s">
        <v>44</v>
      </c>
      <c r="E1613" t="s">
        <v>107</v>
      </c>
      <c r="F1613" t="s">
        <v>108</v>
      </c>
      <c r="G1613">
        <v>3</v>
      </c>
      <c r="H1613">
        <v>2.97</v>
      </c>
      <c r="I1613">
        <v>0.15</v>
      </c>
      <c r="J1613">
        <v>7.57</v>
      </c>
      <c r="K1613" t="s">
        <v>16</v>
      </c>
      <c r="L1613" t="s">
        <v>37</v>
      </c>
      <c r="M1613" t="s">
        <v>28</v>
      </c>
    </row>
    <row r="1614" spans="1:13" x14ac:dyDescent="0.2">
      <c r="A1614">
        <v>364248</v>
      </c>
      <c r="B1614" s="1">
        <v>44677</v>
      </c>
      <c r="C1614">
        <v>81866</v>
      </c>
      <c r="D1614" t="s">
        <v>97</v>
      </c>
      <c r="E1614" t="s">
        <v>141</v>
      </c>
      <c r="F1614" t="s">
        <v>142</v>
      </c>
      <c r="G1614">
        <v>2</v>
      </c>
      <c r="H1614">
        <v>16.09</v>
      </c>
      <c r="I1614">
        <v>0.3</v>
      </c>
      <c r="J1614">
        <v>22.53</v>
      </c>
      <c r="K1614" t="s">
        <v>36</v>
      </c>
      <c r="L1614" t="s">
        <v>17</v>
      </c>
      <c r="M1614" t="s">
        <v>47</v>
      </c>
    </row>
    <row r="1615" spans="1:13" x14ac:dyDescent="0.2">
      <c r="A1615">
        <v>364991</v>
      </c>
      <c r="B1615" s="2">
        <v>45417</v>
      </c>
      <c r="C1615">
        <v>13072</v>
      </c>
      <c r="D1615" t="s">
        <v>40</v>
      </c>
      <c r="E1615" t="s">
        <v>20</v>
      </c>
      <c r="F1615" t="s">
        <v>21</v>
      </c>
      <c r="G1615">
        <v>1</v>
      </c>
      <c r="H1615">
        <v>9.99</v>
      </c>
      <c r="J1615">
        <v>9.99</v>
      </c>
      <c r="K1615" t="s">
        <v>36</v>
      </c>
      <c r="L1615" t="s">
        <v>17</v>
      </c>
      <c r="M1615" t="s">
        <v>67</v>
      </c>
    </row>
    <row r="1616" spans="1:13" x14ac:dyDescent="0.2">
      <c r="A1616">
        <v>365024</v>
      </c>
      <c r="B1616" s="1">
        <v>44708</v>
      </c>
      <c r="C1616">
        <v>27655</v>
      </c>
      <c r="D1616" t="s">
        <v>82</v>
      </c>
      <c r="E1616" t="s">
        <v>155</v>
      </c>
      <c r="F1616" t="s">
        <v>156</v>
      </c>
      <c r="G1616">
        <v>3</v>
      </c>
      <c r="H1616">
        <v>17.989999999999998</v>
      </c>
      <c r="I1616">
        <v>0.1</v>
      </c>
      <c r="J1616">
        <v>48.57</v>
      </c>
      <c r="K1616" t="s">
        <v>16</v>
      </c>
      <c r="L1616" t="s">
        <v>17</v>
      </c>
      <c r="M1616" t="s">
        <v>47</v>
      </c>
    </row>
    <row r="1617" spans="1:13" x14ac:dyDescent="0.2">
      <c r="A1617">
        <v>365309</v>
      </c>
      <c r="B1617" s="1">
        <v>45110</v>
      </c>
      <c r="C1617">
        <v>98308</v>
      </c>
      <c r="D1617" t="s">
        <v>13</v>
      </c>
      <c r="E1617" t="s">
        <v>159</v>
      </c>
      <c r="F1617" t="s">
        <v>160</v>
      </c>
      <c r="G1617">
        <v>3</v>
      </c>
      <c r="H1617">
        <v>53.99</v>
      </c>
      <c r="I1617">
        <v>0.1</v>
      </c>
      <c r="J1617">
        <v>145.77000000000001</v>
      </c>
      <c r="K1617" t="s">
        <v>16</v>
      </c>
      <c r="L1617" t="s">
        <v>37</v>
      </c>
      <c r="M1617" t="s">
        <v>103</v>
      </c>
    </row>
    <row r="1618" spans="1:13" x14ac:dyDescent="0.2">
      <c r="A1618">
        <v>365631</v>
      </c>
      <c r="B1618" s="2">
        <v>45330</v>
      </c>
      <c r="C1618">
        <v>97861</v>
      </c>
      <c r="D1618" t="s">
        <v>40</v>
      </c>
      <c r="E1618" t="s">
        <v>197</v>
      </c>
      <c r="F1618" t="s">
        <v>198</v>
      </c>
      <c r="G1618">
        <v>1</v>
      </c>
      <c r="H1618">
        <v>14.99</v>
      </c>
      <c r="J1618">
        <v>14.99</v>
      </c>
      <c r="K1618" t="s">
        <v>36</v>
      </c>
      <c r="L1618" t="s">
        <v>17</v>
      </c>
      <c r="M1618" t="s">
        <v>47</v>
      </c>
    </row>
    <row r="1619" spans="1:13" x14ac:dyDescent="0.2">
      <c r="A1619">
        <v>365704</v>
      </c>
      <c r="B1619" s="2">
        <v>45113</v>
      </c>
      <c r="C1619">
        <v>38604</v>
      </c>
      <c r="D1619" t="s">
        <v>29</v>
      </c>
      <c r="E1619" t="s">
        <v>175</v>
      </c>
      <c r="F1619" t="s">
        <v>176</v>
      </c>
      <c r="G1619">
        <v>1</v>
      </c>
      <c r="H1619">
        <v>8.39</v>
      </c>
      <c r="I1619">
        <v>0.3</v>
      </c>
      <c r="J1619">
        <v>5.87</v>
      </c>
      <c r="K1619" t="s">
        <v>22</v>
      </c>
      <c r="L1619" t="s">
        <v>17</v>
      </c>
      <c r="M1619" t="s">
        <v>54</v>
      </c>
    </row>
    <row r="1620" spans="1:13" x14ac:dyDescent="0.2">
      <c r="A1620">
        <v>365970</v>
      </c>
      <c r="B1620" s="1">
        <v>44678</v>
      </c>
      <c r="C1620">
        <v>22218</v>
      </c>
      <c r="D1620" t="s">
        <v>48</v>
      </c>
      <c r="E1620" t="s">
        <v>139</v>
      </c>
      <c r="F1620" t="s">
        <v>140</v>
      </c>
      <c r="G1620">
        <v>1</v>
      </c>
      <c r="H1620">
        <v>7.19</v>
      </c>
      <c r="I1620">
        <v>0.1</v>
      </c>
      <c r="J1620">
        <v>6.47</v>
      </c>
      <c r="K1620" t="s">
        <v>16</v>
      </c>
      <c r="L1620" t="s">
        <v>37</v>
      </c>
      <c r="M1620" t="s">
        <v>67</v>
      </c>
    </row>
    <row r="1621" spans="1:13" x14ac:dyDescent="0.2">
      <c r="A1621">
        <v>366039</v>
      </c>
      <c r="B1621" s="1">
        <v>44912</v>
      </c>
      <c r="D1621" t="s">
        <v>63</v>
      </c>
      <c r="E1621" t="s">
        <v>131</v>
      </c>
      <c r="F1621" t="s">
        <v>132</v>
      </c>
      <c r="G1621">
        <v>1</v>
      </c>
      <c r="H1621">
        <v>2.62</v>
      </c>
      <c r="I1621">
        <v>0.25</v>
      </c>
      <c r="J1621">
        <v>1.96</v>
      </c>
      <c r="K1621" t="s">
        <v>16</v>
      </c>
      <c r="L1621" t="s">
        <v>17</v>
      </c>
      <c r="M1621" t="s">
        <v>54</v>
      </c>
    </row>
    <row r="1622" spans="1:13" x14ac:dyDescent="0.2">
      <c r="A1622">
        <v>366218</v>
      </c>
      <c r="B1622" s="1">
        <v>44807</v>
      </c>
      <c r="C1622">
        <v>63413</v>
      </c>
      <c r="D1622" t="s">
        <v>40</v>
      </c>
      <c r="E1622" t="s">
        <v>115</v>
      </c>
      <c r="F1622" t="s">
        <v>116</v>
      </c>
      <c r="G1622">
        <v>4</v>
      </c>
      <c r="H1622">
        <v>12.99</v>
      </c>
      <c r="J1622">
        <v>51.96</v>
      </c>
      <c r="K1622" t="s">
        <v>22</v>
      </c>
      <c r="L1622" t="s">
        <v>23</v>
      </c>
      <c r="M1622" t="s">
        <v>120</v>
      </c>
    </row>
    <row r="1623" spans="1:13" x14ac:dyDescent="0.2">
      <c r="A1623">
        <v>366263</v>
      </c>
      <c r="B1623" s="1">
        <v>45019</v>
      </c>
      <c r="C1623">
        <v>71662</v>
      </c>
      <c r="D1623" t="s">
        <v>82</v>
      </c>
      <c r="E1623" t="s">
        <v>155</v>
      </c>
      <c r="F1623" t="s">
        <v>156</v>
      </c>
      <c r="G1623">
        <v>2</v>
      </c>
      <c r="H1623">
        <v>17.989999999999998</v>
      </c>
      <c r="I1623">
        <v>0.1</v>
      </c>
      <c r="J1623">
        <v>32.380000000000003</v>
      </c>
      <c r="K1623" t="s">
        <v>36</v>
      </c>
      <c r="L1623" t="s">
        <v>23</v>
      </c>
      <c r="M1623" t="s">
        <v>161</v>
      </c>
    </row>
    <row r="1624" spans="1:13" x14ac:dyDescent="0.2">
      <c r="A1624">
        <v>366298</v>
      </c>
      <c r="B1624" s="1">
        <v>45136</v>
      </c>
      <c r="C1624">
        <v>74914</v>
      </c>
      <c r="D1624" t="s">
        <v>85</v>
      </c>
      <c r="E1624" t="s">
        <v>86</v>
      </c>
      <c r="F1624" t="s">
        <v>87</v>
      </c>
      <c r="G1624">
        <v>1</v>
      </c>
      <c r="H1624">
        <v>9.09</v>
      </c>
      <c r="I1624">
        <v>0.3</v>
      </c>
      <c r="J1624">
        <v>6.36</v>
      </c>
      <c r="K1624" t="s">
        <v>36</v>
      </c>
      <c r="L1624" t="s">
        <v>37</v>
      </c>
      <c r="M1624" t="s">
        <v>62</v>
      </c>
    </row>
    <row r="1625" spans="1:13" x14ac:dyDescent="0.2">
      <c r="A1625">
        <v>366628</v>
      </c>
      <c r="B1625" s="1">
        <v>44962</v>
      </c>
      <c r="C1625">
        <v>43319</v>
      </c>
      <c r="D1625" t="s">
        <v>82</v>
      </c>
      <c r="E1625" t="s">
        <v>83</v>
      </c>
      <c r="F1625" t="s">
        <v>84</v>
      </c>
      <c r="G1625">
        <v>2</v>
      </c>
      <c r="H1625">
        <v>14.44</v>
      </c>
      <c r="I1625">
        <v>0.15</v>
      </c>
      <c r="J1625">
        <v>24.55</v>
      </c>
      <c r="K1625" t="s">
        <v>16</v>
      </c>
      <c r="L1625" t="s">
        <v>17</v>
      </c>
      <c r="M1625" t="s">
        <v>161</v>
      </c>
    </row>
    <row r="1626" spans="1:13" x14ac:dyDescent="0.2">
      <c r="A1626">
        <v>367034</v>
      </c>
      <c r="B1626" s="1">
        <v>44710</v>
      </c>
      <c r="C1626">
        <v>84603</v>
      </c>
      <c r="D1626" t="s">
        <v>29</v>
      </c>
      <c r="E1626" t="s">
        <v>38</v>
      </c>
      <c r="F1626" t="s">
        <v>39</v>
      </c>
      <c r="G1626">
        <v>3</v>
      </c>
      <c r="H1626">
        <v>26.99</v>
      </c>
      <c r="I1626">
        <v>0.1</v>
      </c>
      <c r="J1626">
        <v>72.87</v>
      </c>
      <c r="K1626" t="s">
        <v>36</v>
      </c>
      <c r="L1626" t="s">
        <v>17</v>
      </c>
      <c r="M1626" t="s">
        <v>67</v>
      </c>
    </row>
    <row r="1627" spans="1:13" x14ac:dyDescent="0.2">
      <c r="A1627">
        <v>367198</v>
      </c>
      <c r="B1627" s="1">
        <v>44915</v>
      </c>
      <c r="C1627">
        <v>81782</v>
      </c>
      <c r="D1627" t="s">
        <v>25</v>
      </c>
      <c r="E1627" t="s">
        <v>113</v>
      </c>
      <c r="F1627" t="s">
        <v>114</v>
      </c>
      <c r="G1627">
        <v>1</v>
      </c>
      <c r="H1627">
        <v>95.99</v>
      </c>
      <c r="I1627">
        <v>0.2</v>
      </c>
      <c r="J1627">
        <v>76.790000000000006</v>
      </c>
      <c r="K1627" t="s">
        <v>22</v>
      </c>
      <c r="L1627" t="s">
        <v>17</v>
      </c>
      <c r="M1627" t="s">
        <v>161</v>
      </c>
    </row>
    <row r="1628" spans="1:13" x14ac:dyDescent="0.2">
      <c r="A1628">
        <v>367432</v>
      </c>
      <c r="B1628" s="1">
        <v>45533</v>
      </c>
      <c r="C1628">
        <v>70043</v>
      </c>
      <c r="D1628" t="s">
        <v>13</v>
      </c>
      <c r="E1628" t="s">
        <v>127</v>
      </c>
      <c r="F1628" t="s">
        <v>128</v>
      </c>
      <c r="G1628">
        <v>2</v>
      </c>
      <c r="H1628">
        <v>19.989999999999998</v>
      </c>
      <c r="J1628">
        <v>39.979999999999997</v>
      </c>
      <c r="K1628" t="s">
        <v>16</v>
      </c>
      <c r="L1628" t="s">
        <v>37</v>
      </c>
      <c r="M1628" t="s">
        <v>62</v>
      </c>
    </row>
    <row r="1629" spans="1:13" x14ac:dyDescent="0.2">
      <c r="A1629">
        <v>367457</v>
      </c>
      <c r="B1629" s="2">
        <v>44705</v>
      </c>
      <c r="C1629">
        <v>98732</v>
      </c>
      <c r="D1629" t="s">
        <v>63</v>
      </c>
      <c r="E1629" t="s">
        <v>68</v>
      </c>
      <c r="F1629" t="s">
        <v>69</v>
      </c>
      <c r="G1629">
        <v>1</v>
      </c>
      <c r="H1629">
        <v>24.99</v>
      </c>
      <c r="J1629">
        <v>24.99</v>
      </c>
      <c r="K1629" t="s">
        <v>22</v>
      </c>
      <c r="L1629" t="s">
        <v>37</v>
      </c>
      <c r="M1629" t="s">
        <v>81</v>
      </c>
    </row>
    <row r="1630" spans="1:13" x14ac:dyDescent="0.2">
      <c r="A1630">
        <v>367541</v>
      </c>
      <c r="B1630" s="1">
        <v>44714</v>
      </c>
      <c r="C1630">
        <v>26795</v>
      </c>
      <c r="D1630" t="s">
        <v>44</v>
      </c>
      <c r="E1630" t="s">
        <v>74</v>
      </c>
      <c r="F1630" t="s">
        <v>75</v>
      </c>
      <c r="G1630">
        <v>1</v>
      </c>
      <c r="H1630">
        <v>2.99</v>
      </c>
      <c r="J1630">
        <v>2.99</v>
      </c>
      <c r="K1630" t="s">
        <v>22</v>
      </c>
      <c r="L1630" t="s">
        <v>17</v>
      </c>
    </row>
    <row r="1631" spans="1:13" x14ac:dyDescent="0.2">
      <c r="A1631">
        <v>367761</v>
      </c>
      <c r="B1631" s="1">
        <v>44884</v>
      </c>
      <c r="C1631">
        <v>72659</v>
      </c>
      <c r="D1631" t="s">
        <v>63</v>
      </c>
      <c r="E1631" t="s">
        <v>68</v>
      </c>
      <c r="F1631" t="s">
        <v>69</v>
      </c>
      <c r="G1631">
        <v>2</v>
      </c>
      <c r="H1631">
        <v>18.739999999999998</v>
      </c>
      <c r="I1631">
        <v>0.25</v>
      </c>
      <c r="J1631">
        <v>28.11</v>
      </c>
      <c r="K1631" t="s">
        <v>36</v>
      </c>
      <c r="L1631" t="s">
        <v>17</v>
      </c>
      <c r="M1631" t="s">
        <v>76</v>
      </c>
    </row>
    <row r="1632" spans="1:13" x14ac:dyDescent="0.2">
      <c r="A1632">
        <v>367840</v>
      </c>
      <c r="B1632" s="1">
        <v>44704</v>
      </c>
      <c r="C1632">
        <v>38869</v>
      </c>
      <c r="D1632" t="s">
        <v>13</v>
      </c>
      <c r="E1632" t="s">
        <v>79</v>
      </c>
      <c r="F1632" t="s">
        <v>80</v>
      </c>
      <c r="G1632">
        <v>3</v>
      </c>
      <c r="H1632">
        <v>89.99</v>
      </c>
      <c r="J1632">
        <v>269.97000000000003</v>
      </c>
      <c r="K1632" t="s">
        <v>22</v>
      </c>
      <c r="L1632" t="s">
        <v>17</v>
      </c>
      <c r="M1632" t="s">
        <v>102</v>
      </c>
    </row>
    <row r="1633" spans="1:13" x14ac:dyDescent="0.2">
      <c r="A1633">
        <v>367865</v>
      </c>
      <c r="B1633" s="1">
        <v>45496</v>
      </c>
      <c r="C1633">
        <v>84435</v>
      </c>
      <c r="D1633" t="s">
        <v>25</v>
      </c>
      <c r="E1633" t="s">
        <v>26</v>
      </c>
      <c r="F1633" t="s">
        <v>27</v>
      </c>
      <c r="G1633">
        <v>2</v>
      </c>
      <c r="H1633">
        <v>24.49</v>
      </c>
      <c r="I1633">
        <v>0.3</v>
      </c>
      <c r="J1633">
        <v>34.29</v>
      </c>
      <c r="K1633" t="s">
        <v>32</v>
      </c>
      <c r="L1633" t="s">
        <v>37</v>
      </c>
      <c r="M1633" t="s">
        <v>117</v>
      </c>
    </row>
    <row r="1634" spans="1:13" x14ac:dyDescent="0.2">
      <c r="A1634">
        <v>367879</v>
      </c>
      <c r="B1634" s="1">
        <v>44974</v>
      </c>
      <c r="C1634">
        <v>12127</v>
      </c>
      <c r="D1634" t="s">
        <v>29</v>
      </c>
      <c r="E1634" t="s">
        <v>72</v>
      </c>
      <c r="F1634" t="s">
        <v>73</v>
      </c>
      <c r="G1634">
        <v>4</v>
      </c>
      <c r="H1634">
        <v>39.99</v>
      </c>
      <c r="J1634">
        <v>159.96</v>
      </c>
      <c r="K1634" t="s">
        <v>16</v>
      </c>
      <c r="L1634" t="s">
        <v>17</v>
      </c>
      <c r="M1634" t="s">
        <v>123</v>
      </c>
    </row>
    <row r="1635" spans="1:13" x14ac:dyDescent="0.2">
      <c r="A1635">
        <v>367968</v>
      </c>
      <c r="B1635" s="1">
        <v>44906</v>
      </c>
      <c r="C1635">
        <v>98946</v>
      </c>
      <c r="D1635" t="s">
        <v>97</v>
      </c>
      <c r="E1635" t="s">
        <v>121</v>
      </c>
      <c r="F1635" t="s">
        <v>122</v>
      </c>
      <c r="G1635">
        <v>1</v>
      </c>
      <c r="H1635">
        <v>11.69</v>
      </c>
      <c r="I1635">
        <v>0.1</v>
      </c>
      <c r="J1635">
        <v>10.52</v>
      </c>
      <c r="K1635" t="s">
        <v>95</v>
      </c>
      <c r="L1635" t="s">
        <v>17</v>
      </c>
      <c r="M1635" t="s">
        <v>103</v>
      </c>
    </row>
    <row r="1636" spans="1:13" x14ac:dyDescent="0.2">
      <c r="A1636">
        <v>368191</v>
      </c>
      <c r="B1636" s="2">
        <v>45582</v>
      </c>
      <c r="D1636" t="s">
        <v>25</v>
      </c>
      <c r="E1636" t="s">
        <v>51</v>
      </c>
      <c r="F1636" t="s">
        <v>52</v>
      </c>
      <c r="G1636">
        <v>1</v>
      </c>
      <c r="H1636">
        <v>27.99</v>
      </c>
      <c r="J1636">
        <v>27.99</v>
      </c>
      <c r="K1636" t="s">
        <v>36</v>
      </c>
      <c r="L1636" t="s">
        <v>17</v>
      </c>
      <c r="M1636" t="s">
        <v>43</v>
      </c>
    </row>
    <row r="1637" spans="1:13" x14ac:dyDescent="0.2">
      <c r="A1637">
        <v>368402</v>
      </c>
      <c r="B1637" s="1">
        <v>44864</v>
      </c>
      <c r="C1637">
        <v>95918</v>
      </c>
      <c r="D1637" t="s">
        <v>82</v>
      </c>
      <c r="E1637" t="s">
        <v>83</v>
      </c>
      <c r="F1637" t="s">
        <v>84</v>
      </c>
      <c r="G1637">
        <v>1</v>
      </c>
      <c r="H1637">
        <v>16.14</v>
      </c>
      <c r="I1637">
        <v>0.05</v>
      </c>
      <c r="J1637">
        <v>15.33</v>
      </c>
      <c r="K1637" t="s">
        <v>22</v>
      </c>
      <c r="L1637" t="s">
        <v>17</v>
      </c>
      <c r="M1637" t="s">
        <v>43</v>
      </c>
    </row>
    <row r="1638" spans="1:13" x14ac:dyDescent="0.2">
      <c r="A1638">
        <v>369008</v>
      </c>
      <c r="B1638" s="2">
        <v>44911</v>
      </c>
      <c r="C1638">
        <v>21718</v>
      </c>
      <c r="D1638" t="s">
        <v>48</v>
      </c>
      <c r="E1638" t="s">
        <v>139</v>
      </c>
      <c r="F1638" t="s">
        <v>140</v>
      </c>
      <c r="G1638">
        <v>2</v>
      </c>
      <c r="H1638">
        <v>5.99</v>
      </c>
      <c r="I1638">
        <v>0.25</v>
      </c>
      <c r="J1638">
        <v>8.98</v>
      </c>
      <c r="K1638" t="s">
        <v>22</v>
      </c>
      <c r="L1638" t="s">
        <v>23</v>
      </c>
      <c r="M1638" t="s">
        <v>90</v>
      </c>
    </row>
    <row r="1639" spans="1:13" x14ac:dyDescent="0.2">
      <c r="A1639">
        <v>369028</v>
      </c>
      <c r="B1639" s="1">
        <v>44611</v>
      </c>
      <c r="C1639">
        <v>72180</v>
      </c>
      <c r="D1639" t="s">
        <v>97</v>
      </c>
      <c r="E1639" t="s">
        <v>165</v>
      </c>
      <c r="F1639" t="s">
        <v>166</v>
      </c>
      <c r="G1639">
        <v>4</v>
      </c>
      <c r="H1639">
        <v>80.989999999999995</v>
      </c>
      <c r="I1639">
        <v>0.1</v>
      </c>
      <c r="J1639">
        <v>291.56</v>
      </c>
      <c r="K1639" t="s">
        <v>36</v>
      </c>
      <c r="L1639" t="s">
        <v>17</v>
      </c>
      <c r="M1639" t="s">
        <v>123</v>
      </c>
    </row>
    <row r="1640" spans="1:13" x14ac:dyDescent="0.2">
      <c r="A1640">
        <v>369053</v>
      </c>
      <c r="B1640" s="1">
        <v>44948</v>
      </c>
      <c r="C1640">
        <v>12063</v>
      </c>
      <c r="D1640" t="s">
        <v>82</v>
      </c>
      <c r="E1640" t="s">
        <v>100</v>
      </c>
      <c r="F1640" t="s">
        <v>101</v>
      </c>
      <c r="G1640">
        <v>2</v>
      </c>
      <c r="H1640">
        <v>16.09</v>
      </c>
      <c r="I1640">
        <v>0.3</v>
      </c>
      <c r="J1640">
        <v>22.53</v>
      </c>
      <c r="K1640" t="s">
        <v>16</v>
      </c>
      <c r="L1640" t="s">
        <v>17</v>
      </c>
      <c r="M1640" t="s">
        <v>67</v>
      </c>
    </row>
    <row r="1641" spans="1:13" x14ac:dyDescent="0.2">
      <c r="A1641">
        <v>369181</v>
      </c>
      <c r="B1641" s="1">
        <v>44794</v>
      </c>
      <c r="C1641">
        <v>76317</v>
      </c>
      <c r="D1641" t="s">
        <v>13</v>
      </c>
      <c r="E1641" t="s">
        <v>127</v>
      </c>
      <c r="F1641" t="s">
        <v>128</v>
      </c>
      <c r="G1641">
        <v>5</v>
      </c>
      <c r="H1641">
        <v>19.989999999999998</v>
      </c>
      <c r="J1641">
        <v>99.95</v>
      </c>
      <c r="K1641" t="s">
        <v>36</v>
      </c>
      <c r="L1641" t="s">
        <v>23</v>
      </c>
      <c r="M1641" t="s">
        <v>120</v>
      </c>
    </row>
    <row r="1642" spans="1:13" x14ac:dyDescent="0.2">
      <c r="A1642">
        <v>369233</v>
      </c>
      <c r="B1642" s="1">
        <v>44836</v>
      </c>
      <c r="C1642">
        <v>10015</v>
      </c>
      <c r="D1642" t="s">
        <v>199</v>
      </c>
      <c r="E1642" t="s">
        <v>127</v>
      </c>
      <c r="F1642" t="s">
        <v>128</v>
      </c>
      <c r="G1642">
        <v>5</v>
      </c>
      <c r="H1642">
        <v>15.99</v>
      </c>
      <c r="I1642">
        <v>0.2</v>
      </c>
      <c r="J1642">
        <v>63.96</v>
      </c>
      <c r="K1642" t="s">
        <v>16</v>
      </c>
      <c r="L1642" t="s">
        <v>17</v>
      </c>
      <c r="M1642" t="s">
        <v>28</v>
      </c>
    </row>
    <row r="1643" spans="1:13" x14ac:dyDescent="0.2">
      <c r="A1643">
        <v>369347</v>
      </c>
      <c r="B1643" s="2">
        <v>44710</v>
      </c>
      <c r="C1643">
        <v>67143</v>
      </c>
      <c r="D1643" t="s">
        <v>29</v>
      </c>
      <c r="E1643" t="s">
        <v>170</v>
      </c>
      <c r="F1643" t="s">
        <v>171</v>
      </c>
      <c r="G1643">
        <v>4</v>
      </c>
      <c r="H1643">
        <v>11.99</v>
      </c>
      <c r="I1643">
        <v>0.2</v>
      </c>
      <c r="J1643">
        <v>38.369999999999997</v>
      </c>
      <c r="K1643" t="s">
        <v>36</v>
      </c>
      <c r="L1643" t="s">
        <v>37</v>
      </c>
      <c r="M1643" t="s">
        <v>47</v>
      </c>
    </row>
    <row r="1644" spans="1:13" x14ac:dyDescent="0.2">
      <c r="A1644">
        <v>369372</v>
      </c>
      <c r="B1644" s="2">
        <v>44626</v>
      </c>
      <c r="C1644">
        <v>27688</v>
      </c>
      <c r="D1644" t="s">
        <v>82</v>
      </c>
      <c r="E1644" t="s">
        <v>147</v>
      </c>
      <c r="F1644" t="s">
        <v>148</v>
      </c>
      <c r="G1644">
        <v>1</v>
      </c>
      <c r="H1644">
        <v>12.99</v>
      </c>
      <c r="J1644">
        <v>12.99</v>
      </c>
      <c r="K1644" t="s">
        <v>22</v>
      </c>
      <c r="L1644" t="s">
        <v>17</v>
      </c>
      <c r="M1644" t="s">
        <v>43</v>
      </c>
    </row>
    <row r="1645" spans="1:13" x14ac:dyDescent="0.2">
      <c r="A1645">
        <v>369593</v>
      </c>
      <c r="B1645" s="1">
        <v>45527</v>
      </c>
      <c r="C1645">
        <v>22740</v>
      </c>
      <c r="D1645" t="s">
        <v>44</v>
      </c>
      <c r="E1645" t="s">
        <v>177</v>
      </c>
      <c r="F1645" t="s">
        <v>178</v>
      </c>
      <c r="G1645">
        <v>1</v>
      </c>
      <c r="H1645">
        <v>10.79</v>
      </c>
      <c r="I1645">
        <v>0.1</v>
      </c>
      <c r="J1645">
        <v>9.7100000000000009</v>
      </c>
      <c r="K1645" t="s">
        <v>36</v>
      </c>
      <c r="L1645" t="s">
        <v>23</v>
      </c>
      <c r="M1645" t="s">
        <v>96</v>
      </c>
    </row>
    <row r="1646" spans="1:13" x14ac:dyDescent="0.2">
      <c r="A1646">
        <v>369847</v>
      </c>
      <c r="B1646" s="1">
        <v>44595</v>
      </c>
      <c r="C1646">
        <v>23699</v>
      </c>
      <c r="D1646" t="s">
        <v>29</v>
      </c>
      <c r="E1646" t="s">
        <v>175</v>
      </c>
      <c r="F1646" t="s">
        <v>176</v>
      </c>
      <c r="G1646">
        <v>5</v>
      </c>
      <c r="H1646">
        <v>11.99</v>
      </c>
      <c r="J1646">
        <v>59.95</v>
      </c>
      <c r="K1646" t="s">
        <v>53</v>
      </c>
      <c r="L1646" t="s">
        <v>37</v>
      </c>
      <c r="M1646" t="s">
        <v>54</v>
      </c>
    </row>
    <row r="1647" spans="1:13" x14ac:dyDescent="0.2">
      <c r="A1647">
        <v>369945</v>
      </c>
      <c r="B1647" s="2">
        <v>44724</v>
      </c>
      <c r="C1647">
        <v>49763</v>
      </c>
      <c r="D1647" t="s">
        <v>97</v>
      </c>
      <c r="E1647" t="s">
        <v>193</v>
      </c>
      <c r="F1647" t="s">
        <v>194</v>
      </c>
      <c r="G1647">
        <v>1</v>
      </c>
      <c r="H1647">
        <v>51.99</v>
      </c>
      <c r="I1647">
        <v>0.2</v>
      </c>
      <c r="J1647">
        <v>41.59</v>
      </c>
      <c r="K1647" t="s">
        <v>32</v>
      </c>
      <c r="L1647" t="s">
        <v>23</v>
      </c>
      <c r="M1647" t="s">
        <v>117</v>
      </c>
    </row>
    <row r="1648" spans="1:13" x14ac:dyDescent="0.2">
      <c r="A1648">
        <v>370093</v>
      </c>
      <c r="B1648" s="1">
        <v>45054</v>
      </c>
      <c r="C1648">
        <v>96163</v>
      </c>
      <c r="D1648" t="s">
        <v>82</v>
      </c>
      <c r="E1648" t="s">
        <v>168</v>
      </c>
      <c r="F1648" t="s">
        <v>169</v>
      </c>
      <c r="G1648">
        <v>3</v>
      </c>
      <c r="H1648">
        <v>6.74</v>
      </c>
      <c r="I1648">
        <v>0.25</v>
      </c>
      <c r="J1648">
        <v>15.16</v>
      </c>
      <c r="K1648" t="s">
        <v>16</v>
      </c>
      <c r="L1648" t="s">
        <v>17</v>
      </c>
      <c r="M1648" t="s">
        <v>62</v>
      </c>
    </row>
    <row r="1649" spans="1:13" x14ac:dyDescent="0.2">
      <c r="A1649">
        <v>370198</v>
      </c>
      <c r="B1649" s="1">
        <v>45104</v>
      </c>
      <c r="C1649">
        <v>94535</v>
      </c>
      <c r="D1649" t="s">
        <v>44</v>
      </c>
      <c r="E1649" t="s">
        <v>91</v>
      </c>
      <c r="F1649" t="s">
        <v>92</v>
      </c>
      <c r="G1649">
        <v>3</v>
      </c>
      <c r="H1649">
        <v>5.98</v>
      </c>
      <c r="I1649">
        <v>0.05</v>
      </c>
      <c r="J1649">
        <v>17.04</v>
      </c>
      <c r="K1649" t="s">
        <v>16</v>
      </c>
      <c r="L1649" t="s">
        <v>37</v>
      </c>
    </row>
    <row r="1650" spans="1:13" x14ac:dyDescent="0.2">
      <c r="A1650">
        <v>370546</v>
      </c>
      <c r="B1650" s="1">
        <v>44632</v>
      </c>
      <c r="C1650">
        <v>71153</v>
      </c>
      <c r="D1650" t="s">
        <v>40</v>
      </c>
      <c r="E1650" t="s">
        <v>20</v>
      </c>
      <c r="F1650" t="s">
        <v>21</v>
      </c>
      <c r="G1650">
        <v>5</v>
      </c>
      <c r="H1650">
        <v>6.99</v>
      </c>
      <c r="I1650">
        <v>0.3</v>
      </c>
      <c r="J1650">
        <v>24.46</v>
      </c>
      <c r="K1650" t="s">
        <v>32</v>
      </c>
      <c r="L1650" t="s">
        <v>17</v>
      </c>
      <c r="M1650" t="s">
        <v>43</v>
      </c>
    </row>
    <row r="1651" spans="1:13" x14ac:dyDescent="0.2">
      <c r="A1651">
        <v>370548</v>
      </c>
      <c r="B1651" s="1">
        <v>44651</v>
      </c>
      <c r="C1651">
        <v>35689</v>
      </c>
      <c r="D1651" t="s">
        <v>25</v>
      </c>
      <c r="E1651" t="s">
        <v>60</v>
      </c>
      <c r="F1651" t="s">
        <v>61</v>
      </c>
      <c r="G1651">
        <v>5</v>
      </c>
      <c r="H1651">
        <v>41.24</v>
      </c>
      <c r="I1651">
        <v>0.25</v>
      </c>
      <c r="J1651">
        <v>154.65</v>
      </c>
      <c r="K1651" t="s">
        <v>16</v>
      </c>
      <c r="L1651" t="s">
        <v>17</v>
      </c>
      <c r="M1651" t="s">
        <v>102</v>
      </c>
    </row>
    <row r="1652" spans="1:13" x14ac:dyDescent="0.2">
      <c r="A1652">
        <v>370677</v>
      </c>
      <c r="B1652" s="1">
        <v>44940</v>
      </c>
      <c r="C1652">
        <v>42546</v>
      </c>
      <c r="D1652" t="s">
        <v>44</v>
      </c>
      <c r="E1652" t="s">
        <v>177</v>
      </c>
      <c r="F1652" t="s">
        <v>178</v>
      </c>
      <c r="G1652">
        <v>4</v>
      </c>
      <c r="H1652">
        <v>9.59</v>
      </c>
      <c r="I1652">
        <v>0.2</v>
      </c>
      <c r="J1652">
        <v>30.69</v>
      </c>
      <c r="K1652" t="s">
        <v>22</v>
      </c>
      <c r="L1652" t="s">
        <v>17</v>
      </c>
      <c r="M1652" t="s">
        <v>54</v>
      </c>
    </row>
    <row r="1653" spans="1:13" x14ac:dyDescent="0.2">
      <c r="A1653">
        <v>370821</v>
      </c>
      <c r="B1653" s="1">
        <v>45174</v>
      </c>
      <c r="C1653">
        <v>80417</v>
      </c>
      <c r="D1653" t="s">
        <v>40</v>
      </c>
      <c r="E1653" t="s">
        <v>197</v>
      </c>
      <c r="F1653" t="s">
        <v>198</v>
      </c>
      <c r="G1653">
        <v>3</v>
      </c>
      <c r="H1653">
        <v>11.99</v>
      </c>
      <c r="I1653">
        <v>0.2</v>
      </c>
      <c r="J1653">
        <v>28.78</v>
      </c>
      <c r="K1653" t="s">
        <v>16</v>
      </c>
      <c r="L1653" t="s">
        <v>17</v>
      </c>
      <c r="M1653" t="s">
        <v>90</v>
      </c>
    </row>
    <row r="1654" spans="1:13" x14ac:dyDescent="0.2">
      <c r="A1654">
        <v>371101</v>
      </c>
      <c r="B1654" s="1">
        <v>45050</v>
      </c>
      <c r="C1654">
        <v>94368</v>
      </c>
      <c r="D1654" t="s">
        <v>85</v>
      </c>
      <c r="E1654" t="s">
        <v>137</v>
      </c>
      <c r="F1654" t="s">
        <v>138</v>
      </c>
      <c r="G1654">
        <v>2</v>
      </c>
      <c r="H1654">
        <v>7.99</v>
      </c>
      <c r="J1654">
        <v>15.98</v>
      </c>
      <c r="K1654" t="s">
        <v>22</v>
      </c>
      <c r="L1654" t="s">
        <v>17</v>
      </c>
      <c r="M1654" t="s">
        <v>117</v>
      </c>
    </row>
    <row r="1655" spans="1:13" x14ac:dyDescent="0.2">
      <c r="A1655">
        <v>371417</v>
      </c>
      <c r="B1655" s="1">
        <v>45475</v>
      </c>
      <c r="C1655">
        <v>71549</v>
      </c>
      <c r="D1655" t="s">
        <v>85</v>
      </c>
      <c r="E1655" t="s">
        <v>137</v>
      </c>
      <c r="F1655" t="s">
        <v>138</v>
      </c>
      <c r="G1655">
        <v>1</v>
      </c>
      <c r="H1655">
        <v>6.39</v>
      </c>
      <c r="I1655">
        <v>0.2</v>
      </c>
      <c r="J1655">
        <v>5.1100000000000003</v>
      </c>
      <c r="K1655" t="s">
        <v>36</v>
      </c>
      <c r="L1655" t="s">
        <v>17</v>
      </c>
      <c r="M1655" t="s">
        <v>96</v>
      </c>
    </row>
    <row r="1656" spans="1:13" x14ac:dyDescent="0.2">
      <c r="A1656">
        <v>371752</v>
      </c>
      <c r="B1656" s="1">
        <v>45604</v>
      </c>
      <c r="C1656">
        <v>85892</v>
      </c>
      <c r="D1656" t="s">
        <v>85</v>
      </c>
      <c r="E1656" t="s">
        <v>137</v>
      </c>
      <c r="F1656" t="s">
        <v>138</v>
      </c>
      <c r="G1656">
        <v>1</v>
      </c>
      <c r="H1656">
        <v>7.99</v>
      </c>
      <c r="J1656">
        <v>7.99</v>
      </c>
      <c r="K1656" t="s">
        <v>36</v>
      </c>
      <c r="L1656" t="s">
        <v>17</v>
      </c>
      <c r="M1656" t="s">
        <v>62</v>
      </c>
    </row>
    <row r="1657" spans="1:13" x14ac:dyDescent="0.2">
      <c r="A1657">
        <v>371797</v>
      </c>
      <c r="B1657" s="2">
        <v>44891</v>
      </c>
      <c r="C1657">
        <v>46466</v>
      </c>
      <c r="D1657" t="s">
        <v>85</v>
      </c>
      <c r="E1657" t="s">
        <v>157</v>
      </c>
      <c r="F1657" t="s">
        <v>158</v>
      </c>
      <c r="G1657">
        <v>3</v>
      </c>
      <c r="H1657">
        <v>13.49</v>
      </c>
      <c r="J1657">
        <v>40.47</v>
      </c>
      <c r="K1657" t="s">
        <v>36</v>
      </c>
      <c r="L1657" t="s">
        <v>17</v>
      </c>
      <c r="M1657" t="s">
        <v>54</v>
      </c>
    </row>
    <row r="1658" spans="1:13" x14ac:dyDescent="0.2">
      <c r="A1658">
        <v>372077</v>
      </c>
      <c r="B1658" s="1">
        <v>45195</v>
      </c>
      <c r="C1658">
        <v>74378</v>
      </c>
      <c r="D1658" t="s">
        <v>40</v>
      </c>
      <c r="E1658" t="s">
        <v>115</v>
      </c>
      <c r="F1658" t="s">
        <v>116</v>
      </c>
      <c r="G1658">
        <v>4</v>
      </c>
      <c r="H1658">
        <v>9.74</v>
      </c>
      <c r="I1658">
        <v>0.25</v>
      </c>
      <c r="J1658">
        <v>29.22</v>
      </c>
      <c r="K1658" t="s">
        <v>36</v>
      </c>
      <c r="L1658" t="s">
        <v>17</v>
      </c>
      <c r="M1658" t="s">
        <v>57</v>
      </c>
    </row>
    <row r="1659" spans="1:13" x14ac:dyDescent="0.2">
      <c r="A1659">
        <v>372376</v>
      </c>
      <c r="B1659" s="1">
        <v>44950</v>
      </c>
      <c r="C1659">
        <v>10059</v>
      </c>
      <c r="D1659" t="s">
        <v>82</v>
      </c>
      <c r="E1659" t="s">
        <v>100</v>
      </c>
      <c r="F1659" t="s">
        <v>101</v>
      </c>
      <c r="G1659">
        <v>1</v>
      </c>
      <c r="H1659">
        <v>19.54</v>
      </c>
      <c r="I1659">
        <v>0.15</v>
      </c>
      <c r="J1659">
        <v>16.61</v>
      </c>
      <c r="K1659" t="s">
        <v>22</v>
      </c>
      <c r="L1659" t="s">
        <v>37</v>
      </c>
      <c r="M1659" t="s">
        <v>81</v>
      </c>
    </row>
    <row r="1660" spans="1:13" x14ac:dyDescent="0.2">
      <c r="A1660">
        <v>372480</v>
      </c>
      <c r="B1660" s="1">
        <v>45165</v>
      </c>
      <c r="C1660">
        <v>39736</v>
      </c>
      <c r="D1660" t="s">
        <v>40</v>
      </c>
      <c r="E1660" t="s">
        <v>58</v>
      </c>
      <c r="F1660" t="s">
        <v>59</v>
      </c>
      <c r="G1660">
        <v>1</v>
      </c>
      <c r="H1660">
        <v>2.79</v>
      </c>
      <c r="I1660">
        <v>0.3</v>
      </c>
      <c r="J1660">
        <v>1.95</v>
      </c>
      <c r="K1660" t="s">
        <v>22</v>
      </c>
      <c r="L1660" t="s">
        <v>17</v>
      </c>
      <c r="M1660" t="s">
        <v>117</v>
      </c>
    </row>
    <row r="1661" spans="1:13" x14ac:dyDescent="0.2">
      <c r="A1661">
        <v>372594</v>
      </c>
      <c r="B1661" s="2">
        <v>44630</v>
      </c>
      <c r="C1661">
        <v>36330</v>
      </c>
      <c r="D1661" t="s">
        <v>13</v>
      </c>
      <c r="E1661" t="s">
        <v>186</v>
      </c>
      <c r="F1661" t="s">
        <v>187</v>
      </c>
      <c r="G1661">
        <v>1</v>
      </c>
      <c r="H1661">
        <v>42.49</v>
      </c>
      <c r="I1661">
        <v>0.15</v>
      </c>
      <c r="J1661">
        <v>36.119999999999997</v>
      </c>
      <c r="K1661" t="s">
        <v>36</v>
      </c>
      <c r="L1661" t="s">
        <v>17</v>
      </c>
      <c r="M1661" t="s">
        <v>43</v>
      </c>
    </row>
    <row r="1662" spans="1:13" x14ac:dyDescent="0.2">
      <c r="A1662">
        <v>372858</v>
      </c>
      <c r="B1662" s="1">
        <v>44775</v>
      </c>
      <c r="D1662" t="s">
        <v>48</v>
      </c>
      <c r="E1662" t="s">
        <v>118</v>
      </c>
      <c r="F1662" t="s">
        <v>119</v>
      </c>
      <c r="G1662">
        <v>1</v>
      </c>
      <c r="H1662">
        <v>4.49</v>
      </c>
      <c r="I1662">
        <v>0.1</v>
      </c>
      <c r="J1662">
        <v>4.04</v>
      </c>
      <c r="K1662" t="s">
        <v>36</v>
      </c>
      <c r="L1662" t="s">
        <v>17</v>
      </c>
      <c r="M1662" t="s">
        <v>24</v>
      </c>
    </row>
    <row r="1663" spans="1:13" x14ac:dyDescent="0.2">
      <c r="A1663">
        <v>373072</v>
      </c>
      <c r="B1663" s="1">
        <v>45258</v>
      </c>
      <c r="C1663">
        <v>24712</v>
      </c>
      <c r="D1663" t="s">
        <v>63</v>
      </c>
      <c r="E1663" t="s">
        <v>64</v>
      </c>
      <c r="F1663" t="s">
        <v>65</v>
      </c>
      <c r="G1663">
        <v>1</v>
      </c>
      <c r="H1663">
        <v>3.99</v>
      </c>
      <c r="I1663">
        <v>0.2</v>
      </c>
      <c r="J1663">
        <v>3.19</v>
      </c>
      <c r="K1663" t="s">
        <v>36</v>
      </c>
      <c r="L1663" t="s">
        <v>17</v>
      </c>
      <c r="M1663" t="s">
        <v>43</v>
      </c>
    </row>
    <row r="1664" spans="1:13" x14ac:dyDescent="0.2">
      <c r="A1664">
        <v>373235</v>
      </c>
      <c r="B1664" s="2">
        <v>44914</v>
      </c>
      <c r="C1664">
        <v>19222</v>
      </c>
      <c r="D1664" t="s">
        <v>25</v>
      </c>
      <c r="E1664" t="s">
        <v>70</v>
      </c>
      <c r="F1664" t="s">
        <v>71</v>
      </c>
      <c r="G1664">
        <v>1</v>
      </c>
      <c r="H1664">
        <v>71.989999999999995</v>
      </c>
      <c r="I1664">
        <v>0.2</v>
      </c>
      <c r="J1664">
        <v>57.59</v>
      </c>
      <c r="K1664" t="s">
        <v>36</v>
      </c>
      <c r="L1664" t="s">
        <v>17</v>
      </c>
      <c r="M1664" t="s">
        <v>18</v>
      </c>
    </row>
    <row r="1665" spans="1:13" x14ac:dyDescent="0.2">
      <c r="A1665">
        <v>373335</v>
      </c>
      <c r="B1665" s="1">
        <v>45333</v>
      </c>
      <c r="C1665">
        <v>35212</v>
      </c>
      <c r="D1665" t="s">
        <v>97</v>
      </c>
      <c r="E1665" t="s">
        <v>135</v>
      </c>
      <c r="F1665" t="s">
        <v>136</v>
      </c>
      <c r="G1665">
        <v>3</v>
      </c>
      <c r="H1665">
        <v>8.49</v>
      </c>
      <c r="I1665">
        <v>0.15</v>
      </c>
      <c r="J1665">
        <v>21.65</v>
      </c>
      <c r="K1665" t="s">
        <v>32</v>
      </c>
      <c r="L1665" t="s">
        <v>17</v>
      </c>
      <c r="M1665" t="s">
        <v>67</v>
      </c>
    </row>
    <row r="1666" spans="1:13" x14ac:dyDescent="0.2">
      <c r="A1666">
        <v>373393</v>
      </c>
      <c r="B1666" s="1">
        <v>44773</v>
      </c>
      <c r="C1666">
        <v>79866</v>
      </c>
      <c r="D1666" t="s">
        <v>85</v>
      </c>
      <c r="E1666" t="s">
        <v>157</v>
      </c>
      <c r="F1666" t="s">
        <v>158</v>
      </c>
      <c r="G1666">
        <v>2</v>
      </c>
      <c r="H1666">
        <v>11.47</v>
      </c>
      <c r="I1666">
        <v>0.15</v>
      </c>
      <c r="J1666">
        <v>19.5</v>
      </c>
      <c r="K1666" t="s">
        <v>16</v>
      </c>
      <c r="L1666" t="s">
        <v>37</v>
      </c>
      <c r="M1666" t="s">
        <v>62</v>
      </c>
    </row>
    <row r="1667" spans="1:13" x14ac:dyDescent="0.2">
      <c r="A1667">
        <v>373832</v>
      </c>
      <c r="B1667" s="2">
        <v>45128</v>
      </c>
      <c r="C1667">
        <v>34688</v>
      </c>
      <c r="D1667" t="s">
        <v>40</v>
      </c>
      <c r="E1667" t="s">
        <v>20</v>
      </c>
      <c r="F1667" t="s">
        <v>21</v>
      </c>
      <c r="G1667">
        <v>4</v>
      </c>
      <c r="H1667">
        <v>8.49</v>
      </c>
      <c r="I1667">
        <v>0.15</v>
      </c>
      <c r="J1667">
        <v>28.87</v>
      </c>
      <c r="K1667" t="s">
        <v>22</v>
      </c>
      <c r="L1667" t="s">
        <v>23</v>
      </c>
      <c r="M1667" t="s">
        <v>24</v>
      </c>
    </row>
    <row r="1668" spans="1:13" x14ac:dyDescent="0.2">
      <c r="A1668">
        <v>374312</v>
      </c>
      <c r="B1668" s="1">
        <v>44686</v>
      </c>
      <c r="C1668">
        <v>65731</v>
      </c>
      <c r="D1668" t="s">
        <v>63</v>
      </c>
      <c r="E1668" t="s">
        <v>131</v>
      </c>
      <c r="F1668" t="s">
        <v>132</v>
      </c>
      <c r="G1668">
        <v>4</v>
      </c>
      <c r="H1668">
        <v>2.44</v>
      </c>
      <c r="I1668">
        <v>0.3</v>
      </c>
      <c r="J1668">
        <v>6.83</v>
      </c>
      <c r="K1668" t="s">
        <v>32</v>
      </c>
      <c r="L1668" t="s">
        <v>17</v>
      </c>
      <c r="M1668" t="s">
        <v>67</v>
      </c>
    </row>
    <row r="1669" spans="1:13" x14ac:dyDescent="0.2">
      <c r="A1669">
        <v>374496</v>
      </c>
      <c r="B1669" s="2">
        <v>44905</v>
      </c>
      <c r="C1669">
        <v>61862</v>
      </c>
      <c r="D1669" t="s">
        <v>85</v>
      </c>
      <c r="E1669" t="s">
        <v>86</v>
      </c>
      <c r="F1669" t="s">
        <v>87</v>
      </c>
      <c r="G1669">
        <v>3</v>
      </c>
      <c r="H1669">
        <v>9.74</v>
      </c>
      <c r="I1669">
        <v>0.25</v>
      </c>
      <c r="J1669">
        <v>21.92</v>
      </c>
      <c r="K1669" t="s">
        <v>36</v>
      </c>
      <c r="L1669" t="s">
        <v>37</v>
      </c>
      <c r="M1669" t="s">
        <v>117</v>
      </c>
    </row>
    <row r="1670" spans="1:13" x14ac:dyDescent="0.2">
      <c r="A1670">
        <v>374674</v>
      </c>
      <c r="B1670" s="2">
        <v>45283</v>
      </c>
      <c r="C1670">
        <v>29843</v>
      </c>
      <c r="D1670" t="s">
        <v>82</v>
      </c>
      <c r="E1670" t="s">
        <v>168</v>
      </c>
      <c r="F1670" t="s">
        <v>169</v>
      </c>
      <c r="G1670">
        <v>3</v>
      </c>
      <c r="H1670">
        <v>8.09</v>
      </c>
      <c r="I1670">
        <v>0.1</v>
      </c>
      <c r="J1670">
        <v>21.84</v>
      </c>
      <c r="K1670" t="s">
        <v>16</v>
      </c>
      <c r="L1670" t="s">
        <v>37</v>
      </c>
      <c r="M1670" t="s">
        <v>102</v>
      </c>
    </row>
    <row r="1671" spans="1:13" x14ac:dyDescent="0.2">
      <c r="A1671">
        <v>374887</v>
      </c>
      <c r="B1671" s="1">
        <v>45189</v>
      </c>
      <c r="C1671">
        <v>12608</v>
      </c>
      <c r="D1671" t="s">
        <v>40</v>
      </c>
      <c r="E1671" t="s">
        <v>20</v>
      </c>
      <c r="F1671" t="s">
        <v>21</v>
      </c>
      <c r="G1671">
        <v>2</v>
      </c>
      <c r="H1671">
        <v>8.49</v>
      </c>
      <c r="I1671">
        <v>0.15</v>
      </c>
      <c r="J1671">
        <v>14.43</v>
      </c>
      <c r="K1671" t="s">
        <v>36</v>
      </c>
      <c r="L1671" t="s">
        <v>37</v>
      </c>
      <c r="M1671" t="s">
        <v>24</v>
      </c>
    </row>
    <row r="1672" spans="1:13" x14ac:dyDescent="0.2">
      <c r="A1672">
        <v>375065</v>
      </c>
      <c r="B1672" s="2">
        <v>45035</v>
      </c>
      <c r="D1672" t="s">
        <v>25</v>
      </c>
      <c r="E1672" t="s">
        <v>60</v>
      </c>
      <c r="F1672" t="s">
        <v>61</v>
      </c>
      <c r="G1672">
        <v>2</v>
      </c>
      <c r="H1672">
        <v>52.24</v>
      </c>
      <c r="I1672">
        <v>0.05</v>
      </c>
      <c r="J1672">
        <v>99.26</v>
      </c>
      <c r="K1672" t="s">
        <v>36</v>
      </c>
      <c r="L1672" t="s">
        <v>17</v>
      </c>
      <c r="M1672" t="s">
        <v>103</v>
      </c>
    </row>
    <row r="1673" spans="1:13" x14ac:dyDescent="0.2">
      <c r="A1673">
        <v>375080</v>
      </c>
      <c r="B1673" s="1">
        <v>44866</v>
      </c>
      <c r="C1673">
        <v>38045</v>
      </c>
      <c r="D1673" t="s">
        <v>40</v>
      </c>
      <c r="E1673" t="s">
        <v>115</v>
      </c>
      <c r="F1673" t="s">
        <v>116</v>
      </c>
      <c r="G1673">
        <v>2</v>
      </c>
      <c r="H1673">
        <v>12.34</v>
      </c>
      <c r="I1673">
        <v>0.05</v>
      </c>
      <c r="J1673">
        <v>23.45</v>
      </c>
      <c r="K1673" t="s">
        <v>22</v>
      </c>
      <c r="L1673" t="s">
        <v>17</v>
      </c>
    </row>
    <row r="1674" spans="1:13" x14ac:dyDescent="0.2">
      <c r="A1674">
        <v>375131</v>
      </c>
      <c r="B1674" s="1">
        <v>44755</v>
      </c>
      <c r="C1674">
        <v>32924</v>
      </c>
      <c r="D1674" t="s">
        <v>82</v>
      </c>
      <c r="E1674" t="s">
        <v>83</v>
      </c>
      <c r="F1674" t="s">
        <v>84</v>
      </c>
      <c r="G1674">
        <v>2</v>
      </c>
      <c r="H1674">
        <v>16.989999999999998</v>
      </c>
      <c r="J1674">
        <v>33.979999999999997</v>
      </c>
      <c r="K1674" t="s">
        <v>22</v>
      </c>
      <c r="L1674" t="s">
        <v>17</v>
      </c>
      <c r="M1674" t="s">
        <v>90</v>
      </c>
    </row>
    <row r="1675" spans="1:13" x14ac:dyDescent="0.2">
      <c r="A1675">
        <v>375592</v>
      </c>
      <c r="B1675" s="1">
        <v>44667</v>
      </c>
      <c r="C1675">
        <v>42215</v>
      </c>
      <c r="D1675" t="s">
        <v>82</v>
      </c>
      <c r="E1675" t="s">
        <v>188</v>
      </c>
      <c r="F1675" t="s">
        <v>189</v>
      </c>
      <c r="G1675">
        <v>1</v>
      </c>
      <c r="H1675">
        <v>35.99</v>
      </c>
      <c r="I1675">
        <v>0.2</v>
      </c>
      <c r="J1675">
        <v>28.79</v>
      </c>
      <c r="K1675" t="s">
        <v>22</v>
      </c>
      <c r="L1675" t="s">
        <v>37</v>
      </c>
      <c r="M1675" t="s">
        <v>102</v>
      </c>
    </row>
    <row r="1676" spans="1:13" x14ac:dyDescent="0.2">
      <c r="A1676">
        <v>375632</v>
      </c>
      <c r="B1676" s="1">
        <v>44759</v>
      </c>
      <c r="C1676">
        <v>81213</v>
      </c>
      <c r="D1676" t="s">
        <v>40</v>
      </c>
      <c r="E1676" t="s">
        <v>58</v>
      </c>
      <c r="F1676" t="s">
        <v>59</v>
      </c>
      <c r="G1676">
        <v>4</v>
      </c>
      <c r="H1676">
        <v>3.39</v>
      </c>
      <c r="I1676">
        <v>0.15</v>
      </c>
      <c r="J1676">
        <v>11.53</v>
      </c>
      <c r="K1676" t="s">
        <v>36</v>
      </c>
      <c r="L1676" t="s">
        <v>17</v>
      </c>
      <c r="M1676" t="s">
        <v>103</v>
      </c>
    </row>
    <row r="1677" spans="1:13" x14ac:dyDescent="0.2">
      <c r="A1677">
        <v>376115</v>
      </c>
      <c r="B1677" s="2">
        <v>45229</v>
      </c>
      <c r="C1677">
        <v>50097</v>
      </c>
      <c r="D1677" t="s">
        <v>40</v>
      </c>
      <c r="E1677" t="s">
        <v>20</v>
      </c>
      <c r="F1677" t="s">
        <v>21</v>
      </c>
      <c r="G1677">
        <v>3</v>
      </c>
      <c r="H1677">
        <v>8.99</v>
      </c>
      <c r="I1677">
        <v>0.1</v>
      </c>
      <c r="J1677">
        <v>24.27</v>
      </c>
      <c r="K1677" t="s">
        <v>36</v>
      </c>
      <c r="L1677" t="s">
        <v>37</v>
      </c>
      <c r="M1677" t="s">
        <v>161</v>
      </c>
    </row>
    <row r="1678" spans="1:13" x14ac:dyDescent="0.2">
      <c r="A1678">
        <v>376216</v>
      </c>
      <c r="B1678" s="1">
        <v>45022</v>
      </c>
      <c r="C1678">
        <v>47437</v>
      </c>
      <c r="D1678" t="s">
        <v>63</v>
      </c>
      <c r="E1678" t="s">
        <v>131</v>
      </c>
      <c r="F1678" t="s">
        <v>132</v>
      </c>
      <c r="G1678">
        <v>3</v>
      </c>
      <c r="H1678">
        <v>3.32</v>
      </c>
      <c r="J1678">
        <v>9.9600000000000009</v>
      </c>
      <c r="K1678" t="s">
        <v>36</v>
      </c>
      <c r="L1678" t="s">
        <v>37</v>
      </c>
      <c r="M1678" t="s">
        <v>120</v>
      </c>
    </row>
    <row r="1679" spans="1:13" x14ac:dyDescent="0.2">
      <c r="A1679">
        <v>376377</v>
      </c>
      <c r="B1679" s="1">
        <v>44812</v>
      </c>
      <c r="C1679">
        <v>40130</v>
      </c>
      <c r="D1679" t="s">
        <v>13</v>
      </c>
      <c r="E1679" t="s">
        <v>159</v>
      </c>
      <c r="F1679" t="s">
        <v>160</v>
      </c>
      <c r="G1679">
        <v>2</v>
      </c>
      <c r="H1679">
        <v>50.99</v>
      </c>
      <c r="I1679">
        <v>0.15</v>
      </c>
      <c r="J1679">
        <v>86.68</v>
      </c>
      <c r="K1679" t="s">
        <v>66</v>
      </c>
      <c r="L1679" t="s">
        <v>17</v>
      </c>
      <c r="M1679" t="s">
        <v>28</v>
      </c>
    </row>
    <row r="1680" spans="1:13" x14ac:dyDescent="0.2">
      <c r="A1680">
        <v>376472</v>
      </c>
      <c r="B1680" s="1">
        <v>45026</v>
      </c>
      <c r="C1680">
        <v>33183</v>
      </c>
      <c r="D1680" t="s">
        <v>13</v>
      </c>
      <c r="E1680" t="s">
        <v>79</v>
      </c>
      <c r="F1680" t="s">
        <v>80</v>
      </c>
      <c r="G1680">
        <v>1</v>
      </c>
      <c r="H1680">
        <v>89.99</v>
      </c>
      <c r="J1680">
        <v>89.99</v>
      </c>
      <c r="K1680" t="s">
        <v>36</v>
      </c>
      <c r="L1680" t="s">
        <v>37</v>
      </c>
      <c r="M1680" t="s">
        <v>33</v>
      </c>
    </row>
    <row r="1681" spans="1:13" x14ac:dyDescent="0.2">
      <c r="A1681">
        <v>376545</v>
      </c>
      <c r="B1681" s="1">
        <v>45102</v>
      </c>
      <c r="C1681">
        <v>54482</v>
      </c>
      <c r="D1681" t="s">
        <v>25</v>
      </c>
      <c r="E1681" t="s">
        <v>60</v>
      </c>
      <c r="F1681" t="s">
        <v>61</v>
      </c>
      <c r="G1681">
        <v>1</v>
      </c>
      <c r="H1681">
        <v>41.24</v>
      </c>
      <c r="I1681">
        <v>0.25</v>
      </c>
      <c r="J1681">
        <v>30.93</v>
      </c>
      <c r="K1681" t="s">
        <v>53</v>
      </c>
      <c r="L1681" t="s">
        <v>17</v>
      </c>
    </row>
    <row r="1682" spans="1:13" x14ac:dyDescent="0.2">
      <c r="A1682">
        <v>376859</v>
      </c>
      <c r="B1682" s="1">
        <v>44584</v>
      </c>
      <c r="C1682">
        <v>64526</v>
      </c>
      <c r="D1682" t="s">
        <v>25</v>
      </c>
      <c r="E1682" t="s">
        <v>26</v>
      </c>
      <c r="F1682" t="s">
        <v>27</v>
      </c>
      <c r="G1682">
        <v>1</v>
      </c>
      <c r="H1682">
        <v>29.74</v>
      </c>
      <c r="I1682">
        <v>0.15</v>
      </c>
      <c r="J1682">
        <v>25.28</v>
      </c>
      <c r="K1682" t="s">
        <v>22</v>
      </c>
      <c r="L1682" t="s">
        <v>17</v>
      </c>
      <c r="M1682" t="s">
        <v>43</v>
      </c>
    </row>
    <row r="1683" spans="1:13" x14ac:dyDescent="0.2">
      <c r="A1683">
        <v>376891</v>
      </c>
      <c r="B1683" s="1">
        <v>45360</v>
      </c>
      <c r="C1683">
        <v>37444</v>
      </c>
      <c r="D1683" t="s">
        <v>85</v>
      </c>
      <c r="E1683" t="s">
        <v>157</v>
      </c>
      <c r="F1683" t="s">
        <v>158</v>
      </c>
      <c r="G1683">
        <v>4</v>
      </c>
      <c r="H1683">
        <v>10.79</v>
      </c>
      <c r="I1683">
        <v>0.2</v>
      </c>
      <c r="J1683">
        <v>34.53</v>
      </c>
      <c r="K1683" t="s">
        <v>22</v>
      </c>
      <c r="L1683" t="s">
        <v>17</v>
      </c>
      <c r="M1683" t="s">
        <v>28</v>
      </c>
    </row>
    <row r="1684" spans="1:13" x14ac:dyDescent="0.2">
      <c r="A1684">
        <v>377309</v>
      </c>
      <c r="B1684" s="2">
        <v>45132</v>
      </c>
      <c r="C1684">
        <v>61375</v>
      </c>
      <c r="D1684" t="s">
        <v>13</v>
      </c>
      <c r="E1684" t="s">
        <v>77</v>
      </c>
      <c r="F1684" t="s">
        <v>78</v>
      </c>
      <c r="G1684">
        <v>2</v>
      </c>
      <c r="H1684">
        <v>499.99</v>
      </c>
      <c r="J1684">
        <v>999.98</v>
      </c>
      <c r="K1684" t="s">
        <v>36</v>
      </c>
      <c r="L1684" t="s">
        <v>37</v>
      </c>
      <c r="M1684" t="s">
        <v>57</v>
      </c>
    </row>
    <row r="1685" spans="1:13" x14ac:dyDescent="0.2">
      <c r="A1685">
        <v>377484</v>
      </c>
      <c r="B1685" s="1">
        <v>45249</v>
      </c>
      <c r="C1685">
        <v>82031</v>
      </c>
      <c r="D1685" t="s">
        <v>40</v>
      </c>
      <c r="E1685" t="s">
        <v>58</v>
      </c>
      <c r="F1685" t="s">
        <v>59</v>
      </c>
      <c r="G1685">
        <v>2</v>
      </c>
      <c r="H1685">
        <v>3.99</v>
      </c>
      <c r="J1685">
        <v>7.98</v>
      </c>
      <c r="K1685" t="s">
        <v>16</v>
      </c>
      <c r="L1685" t="s">
        <v>17</v>
      </c>
      <c r="M1685" t="s">
        <v>18</v>
      </c>
    </row>
    <row r="1686" spans="1:13" x14ac:dyDescent="0.2">
      <c r="A1686">
        <v>377491</v>
      </c>
      <c r="B1686" s="2">
        <v>45388</v>
      </c>
      <c r="C1686">
        <v>37610</v>
      </c>
      <c r="D1686" t="s">
        <v>82</v>
      </c>
      <c r="E1686" t="s">
        <v>83</v>
      </c>
      <c r="F1686" t="s">
        <v>84</v>
      </c>
      <c r="G1686">
        <v>4</v>
      </c>
      <c r="H1686">
        <v>15.29</v>
      </c>
      <c r="I1686">
        <v>0.1</v>
      </c>
      <c r="J1686">
        <v>55.04</v>
      </c>
      <c r="K1686" t="s">
        <v>95</v>
      </c>
      <c r="L1686" t="s">
        <v>23</v>
      </c>
      <c r="M1686" t="s">
        <v>33</v>
      </c>
    </row>
    <row r="1687" spans="1:13" x14ac:dyDescent="0.2">
      <c r="A1687">
        <v>377695</v>
      </c>
      <c r="B1687" s="2">
        <v>45347</v>
      </c>
      <c r="C1687">
        <v>77069</v>
      </c>
      <c r="D1687" t="s">
        <v>29</v>
      </c>
      <c r="E1687" t="s">
        <v>175</v>
      </c>
      <c r="F1687" t="s">
        <v>176</v>
      </c>
      <c r="G1687">
        <v>1</v>
      </c>
      <c r="H1687">
        <v>8.39</v>
      </c>
      <c r="I1687">
        <v>0.3</v>
      </c>
      <c r="J1687">
        <v>5.87</v>
      </c>
      <c r="K1687" t="s">
        <v>16</v>
      </c>
      <c r="L1687" t="s">
        <v>17</v>
      </c>
      <c r="M1687" t="s">
        <v>102</v>
      </c>
    </row>
    <row r="1688" spans="1:13" x14ac:dyDescent="0.2">
      <c r="A1688">
        <v>377835</v>
      </c>
      <c r="B1688" s="1">
        <v>45475</v>
      </c>
      <c r="C1688">
        <v>21239</v>
      </c>
      <c r="D1688" t="s">
        <v>97</v>
      </c>
      <c r="E1688" t="s">
        <v>135</v>
      </c>
      <c r="F1688" t="s">
        <v>136</v>
      </c>
      <c r="G1688">
        <v>5</v>
      </c>
      <c r="H1688">
        <v>7.49</v>
      </c>
      <c r="I1688">
        <v>0.25</v>
      </c>
      <c r="J1688">
        <v>28.09</v>
      </c>
      <c r="K1688" t="s">
        <v>22</v>
      </c>
      <c r="L1688" t="s">
        <v>37</v>
      </c>
      <c r="M1688" t="s">
        <v>102</v>
      </c>
    </row>
    <row r="1689" spans="1:13" x14ac:dyDescent="0.2">
      <c r="A1689">
        <v>378112</v>
      </c>
      <c r="B1689" s="1">
        <v>44658</v>
      </c>
      <c r="C1689">
        <v>13262</v>
      </c>
      <c r="D1689" t="s">
        <v>13</v>
      </c>
      <c r="E1689" t="s">
        <v>79</v>
      </c>
      <c r="F1689" t="s">
        <v>80</v>
      </c>
      <c r="G1689">
        <v>4</v>
      </c>
      <c r="H1689">
        <v>67.489999999999995</v>
      </c>
      <c r="I1689">
        <v>0.25</v>
      </c>
      <c r="J1689">
        <v>202.47</v>
      </c>
      <c r="K1689" t="s">
        <v>36</v>
      </c>
      <c r="L1689" t="s">
        <v>23</v>
      </c>
      <c r="M1689" t="s">
        <v>90</v>
      </c>
    </row>
    <row r="1690" spans="1:13" x14ac:dyDescent="0.2">
      <c r="A1690">
        <v>378431</v>
      </c>
      <c r="B1690" s="2">
        <v>44654</v>
      </c>
      <c r="C1690">
        <v>67243</v>
      </c>
      <c r="D1690" t="s">
        <v>44</v>
      </c>
      <c r="E1690" t="s">
        <v>172</v>
      </c>
      <c r="F1690" t="s">
        <v>173</v>
      </c>
      <c r="G1690">
        <v>2</v>
      </c>
      <c r="H1690">
        <v>3.82</v>
      </c>
      <c r="I1690">
        <v>0.15</v>
      </c>
      <c r="J1690">
        <v>6.49</v>
      </c>
      <c r="K1690" t="s">
        <v>36</v>
      </c>
      <c r="L1690" t="s">
        <v>17</v>
      </c>
      <c r="M1690" t="s">
        <v>96</v>
      </c>
    </row>
    <row r="1691" spans="1:13" x14ac:dyDescent="0.2">
      <c r="A1691">
        <v>378533</v>
      </c>
      <c r="B1691" s="2">
        <v>45095</v>
      </c>
      <c r="C1691">
        <v>14285</v>
      </c>
      <c r="D1691" t="s">
        <v>40</v>
      </c>
      <c r="E1691" t="s">
        <v>41</v>
      </c>
      <c r="F1691" t="s">
        <v>42</v>
      </c>
      <c r="G1691">
        <v>2</v>
      </c>
      <c r="H1691">
        <v>5.09</v>
      </c>
      <c r="I1691">
        <v>0.15</v>
      </c>
      <c r="J1691">
        <v>8.65</v>
      </c>
      <c r="K1691" t="s">
        <v>53</v>
      </c>
      <c r="L1691" t="s">
        <v>17</v>
      </c>
      <c r="M1691" t="s">
        <v>43</v>
      </c>
    </row>
    <row r="1692" spans="1:13" x14ac:dyDescent="0.2">
      <c r="A1692">
        <v>378546</v>
      </c>
      <c r="B1692" s="1">
        <v>44785</v>
      </c>
      <c r="C1692">
        <v>40273</v>
      </c>
      <c r="D1692" t="s">
        <v>48</v>
      </c>
      <c r="E1692" t="s">
        <v>179</v>
      </c>
      <c r="F1692" t="s">
        <v>180</v>
      </c>
      <c r="G1692">
        <v>2</v>
      </c>
      <c r="H1692">
        <v>10.79</v>
      </c>
      <c r="I1692">
        <v>0.1</v>
      </c>
      <c r="J1692">
        <v>19.420000000000002</v>
      </c>
      <c r="K1692" t="s">
        <v>16</v>
      </c>
      <c r="L1692" t="s">
        <v>17</v>
      </c>
    </row>
    <row r="1693" spans="1:13" x14ac:dyDescent="0.2">
      <c r="A1693">
        <v>378886</v>
      </c>
      <c r="B1693" s="1">
        <v>45599</v>
      </c>
      <c r="C1693">
        <v>94449</v>
      </c>
      <c r="D1693" t="s">
        <v>25</v>
      </c>
      <c r="E1693" t="s">
        <v>60</v>
      </c>
      <c r="F1693" t="s">
        <v>61</v>
      </c>
      <c r="G1693">
        <v>2</v>
      </c>
      <c r="H1693">
        <v>54.99</v>
      </c>
      <c r="J1693">
        <v>109.98</v>
      </c>
      <c r="K1693" t="s">
        <v>95</v>
      </c>
      <c r="L1693" t="s">
        <v>37</v>
      </c>
      <c r="M1693" t="s">
        <v>33</v>
      </c>
    </row>
    <row r="1694" spans="1:13" x14ac:dyDescent="0.2">
      <c r="A1694">
        <v>378925</v>
      </c>
      <c r="B1694" s="2">
        <v>44600</v>
      </c>
      <c r="C1694">
        <v>53297</v>
      </c>
      <c r="D1694" t="s">
        <v>44</v>
      </c>
      <c r="E1694" t="s">
        <v>190</v>
      </c>
      <c r="F1694" t="s">
        <v>191</v>
      </c>
      <c r="G1694">
        <v>1</v>
      </c>
      <c r="H1694">
        <v>4.29</v>
      </c>
      <c r="J1694">
        <v>4.29</v>
      </c>
      <c r="K1694" t="s">
        <v>16</v>
      </c>
      <c r="L1694" t="s">
        <v>17</v>
      </c>
      <c r="M1694" t="s">
        <v>96</v>
      </c>
    </row>
    <row r="1695" spans="1:13" x14ac:dyDescent="0.2">
      <c r="A1695">
        <v>379026</v>
      </c>
      <c r="B1695" s="1">
        <v>45646</v>
      </c>
      <c r="C1695">
        <v>83206</v>
      </c>
      <c r="D1695" t="s">
        <v>63</v>
      </c>
      <c r="E1695" t="s">
        <v>131</v>
      </c>
      <c r="F1695" t="s">
        <v>132</v>
      </c>
      <c r="G1695">
        <v>1</v>
      </c>
      <c r="H1695">
        <v>2.44</v>
      </c>
      <c r="I1695">
        <v>0.3</v>
      </c>
      <c r="J1695">
        <v>1.71</v>
      </c>
      <c r="K1695" t="s">
        <v>66</v>
      </c>
      <c r="L1695" t="s">
        <v>37</v>
      </c>
      <c r="M1695" t="s">
        <v>57</v>
      </c>
    </row>
    <row r="1696" spans="1:13" x14ac:dyDescent="0.2">
      <c r="A1696">
        <v>379083</v>
      </c>
      <c r="B1696" s="1">
        <v>45226</v>
      </c>
      <c r="C1696">
        <v>85399</v>
      </c>
      <c r="D1696" t="s">
        <v>44</v>
      </c>
      <c r="E1696" t="s">
        <v>107</v>
      </c>
      <c r="F1696" t="s">
        <v>108</v>
      </c>
      <c r="G1696">
        <v>3</v>
      </c>
      <c r="H1696">
        <v>3.49</v>
      </c>
      <c r="J1696">
        <v>10.47</v>
      </c>
      <c r="K1696" t="s">
        <v>36</v>
      </c>
      <c r="L1696" t="s">
        <v>17</v>
      </c>
      <c r="M1696" t="s">
        <v>103</v>
      </c>
    </row>
    <row r="1697" spans="1:13" x14ac:dyDescent="0.2">
      <c r="A1697">
        <v>379516</v>
      </c>
      <c r="B1697" s="2">
        <v>44896</v>
      </c>
      <c r="C1697">
        <v>46495</v>
      </c>
      <c r="D1697" t="s">
        <v>97</v>
      </c>
      <c r="E1697" t="s">
        <v>141</v>
      </c>
      <c r="F1697" t="s">
        <v>142</v>
      </c>
      <c r="G1697">
        <v>3</v>
      </c>
      <c r="H1697">
        <v>21.84</v>
      </c>
      <c r="I1697">
        <v>0.05</v>
      </c>
      <c r="J1697">
        <v>62.24</v>
      </c>
      <c r="K1697" t="s">
        <v>22</v>
      </c>
      <c r="L1697" t="s">
        <v>17</v>
      </c>
      <c r="M1697" t="s">
        <v>24</v>
      </c>
    </row>
    <row r="1698" spans="1:13" x14ac:dyDescent="0.2">
      <c r="A1698">
        <v>379664</v>
      </c>
      <c r="B1698" s="1">
        <v>44620</v>
      </c>
      <c r="C1698">
        <v>56994</v>
      </c>
      <c r="D1698" t="s">
        <v>40</v>
      </c>
      <c r="E1698" t="s">
        <v>58</v>
      </c>
      <c r="F1698" t="s">
        <v>59</v>
      </c>
      <c r="G1698">
        <v>1</v>
      </c>
      <c r="H1698">
        <v>3.79</v>
      </c>
      <c r="I1698">
        <v>0.05</v>
      </c>
      <c r="J1698">
        <v>3.6</v>
      </c>
      <c r="K1698" t="s">
        <v>36</v>
      </c>
      <c r="L1698" t="s">
        <v>23</v>
      </c>
      <c r="M1698" t="s">
        <v>33</v>
      </c>
    </row>
    <row r="1699" spans="1:13" x14ac:dyDescent="0.2">
      <c r="A1699">
        <v>379702</v>
      </c>
      <c r="B1699" s="1">
        <v>44747</v>
      </c>
      <c r="C1699">
        <v>82977</v>
      </c>
      <c r="D1699" t="s">
        <v>44</v>
      </c>
      <c r="E1699" t="s">
        <v>74</v>
      </c>
      <c r="F1699" t="s">
        <v>75</v>
      </c>
      <c r="G1699">
        <v>2</v>
      </c>
      <c r="H1699">
        <v>2.99</v>
      </c>
      <c r="J1699">
        <v>5.98</v>
      </c>
      <c r="K1699" t="s">
        <v>16</v>
      </c>
      <c r="L1699" t="s">
        <v>37</v>
      </c>
      <c r="M1699" t="s">
        <v>96</v>
      </c>
    </row>
    <row r="1700" spans="1:13" x14ac:dyDescent="0.2">
      <c r="A1700">
        <v>379855</v>
      </c>
      <c r="B1700" s="1">
        <v>45496</v>
      </c>
      <c r="C1700">
        <v>64688</v>
      </c>
      <c r="D1700" t="s">
        <v>97</v>
      </c>
      <c r="E1700" t="s">
        <v>98</v>
      </c>
      <c r="F1700" t="s">
        <v>99</v>
      </c>
      <c r="G1700">
        <v>2</v>
      </c>
      <c r="H1700">
        <v>23.79</v>
      </c>
      <c r="I1700">
        <v>0.15</v>
      </c>
      <c r="J1700">
        <v>40.44</v>
      </c>
      <c r="K1700" t="s">
        <v>36</v>
      </c>
      <c r="L1700" t="s">
        <v>17</v>
      </c>
      <c r="M1700" t="s">
        <v>43</v>
      </c>
    </row>
    <row r="1701" spans="1:13" x14ac:dyDescent="0.2">
      <c r="A1701">
        <v>380042</v>
      </c>
      <c r="B1701" s="1">
        <v>44763</v>
      </c>
      <c r="C1701">
        <v>82253</v>
      </c>
      <c r="D1701" t="s">
        <v>63</v>
      </c>
      <c r="E1701" t="s">
        <v>111</v>
      </c>
      <c r="F1701" t="s">
        <v>112</v>
      </c>
      <c r="G1701">
        <v>2</v>
      </c>
      <c r="H1701">
        <v>14.99</v>
      </c>
      <c r="J1701">
        <v>29.98</v>
      </c>
      <c r="K1701" t="s">
        <v>22</v>
      </c>
      <c r="L1701" t="s">
        <v>37</v>
      </c>
      <c r="M1701" t="s">
        <v>24</v>
      </c>
    </row>
    <row r="1702" spans="1:13" x14ac:dyDescent="0.2">
      <c r="A1702">
        <v>380248</v>
      </c>
      <c r="B1702" s="2">
        <v>44707</v>
      </c>
      <c r="C1702">
        <v>23695</v>
      </c>
      <c r="D1702" t="s">
        <v>29</v>
      </c>
      <c r="E1702" t="s">
        <v>38</v>
      </c>
      <c r="F1702" t="s">
        <v>39</v>
      </c>
      <c r="G1702">
        <v>2</v>
      </c>
      <c r="H1702">
        <v>26.99</v>
      </c>
      <c r="I1702">
        <v>0.1</v>
      </c>
      <c r="J1702">
        <v>48.58</v>
      </c>
      <c r="K1702" t="s">
        <v>36</v>
      </c>
      <c r="L1702" t="s">
        <v>17</v>
      </c>
      <c r="M1702" t="s">
        <v>76</v>
      </c>
    </row>
    <row r="1703" spans="1:13" x14ac:dyDescent="0.2">
      <c r="A1703">
        <v>380428</v>
      </c>
      <c r="B1703" s="1">
        <v>45603</v>
      </c>
      <c r="C1703">
        <v>30354</v>
      </c>
      <c r="D1703" t="s">
        <v>25</v>
      </c>
      <c r="E1703" t="s">
        <v>51</v>
      </c>
      <c r="F1703" t="s">
        <v>52</v>
      </c>
      <c r="G1703">
        <v>1</v>
      </c>
      <c r="H1703">
        <v>19.59</v>
      </c>
      <c r="I1703">
        <v>0.3</v>
      </c>
      <c r="J1703">
        <v>13.71</v>
      </c>
      <c r="K1703" t="s">
        <v>36</v>
      </c>
      <c r="L1703" t="s">
        <v>17</v>
      </c>
      <c r="M1703" t="s">
        <v>161</v>
      </c>
    </row>
    <row r="1704" spans="1:13" x14ac:dyDescent="0.2">
      <c r="A1704">
        <v>380632</v>
      </c>
      <c r="B1704" s="1">
        <v>45254</v>
      </c>
      <c r="C1704">
        <v>40151</v>
      </c>
      <c r="D1704" t="s">
        <v>63</v>
      </c>
      <c r="E1704" t="s">
        <v>68</v>
      </c>
      <c r="F1704" t="s">
        <v>69</v>
      </c>
      <c r="G1704">
        <v>2</v>
      </c>
      <c r="H1704">
        <v>23.74</v>
      </c>
      <c r="I1704">
        <v>0.05</v>
      </c>
      <c r="J1704">
        <v>45.11</v>
      </c>
      <c r="K1704" t="s">
        <v>95</v>
      </c>
      <c r="L1704" t="s">
        <v>37</v>
      </c>
      <c r="M1704" t="s">
        <v>43</v>
      </c>
    </row>
    <row r="1705" spans="1:13" x14ac:dyDescent="0.2">
      <c r="A1705">
        <v>380641</v>
      </c>
      <c r="B1705" s="1">
        <v>45080</v>
      </c>
      <c r="C1705">
        <v>91117</v>
      </c>
      <c r="D1705" t="s">
        <v>40</v>
      </c>
      <c r="E1705" t="s">
        <v>41</v>
      </c>
      <c r="F1705" t="s">
        <v>42</v>
      </c>
      <c r="G1705">
        <v>1</v>
      </c>
      <c r="H1705">
        <v>5.99</v>
      </c>
      <c r="J1705">
        <v>5.99</v>
      </c>
      <c r="K1705" t="s">
        <v>16</v>
      </c>
      <c r="L1705" t="s">
        <v>17</v>
      </c>
      <c r="M1705" t="s">
        <v>102</v>
      </c>
    </row>
    <row r="1706" spans="1:13" x14ac:dyDescent="0.2">
      <c r="A1706">
        <v>381003</v>
      </c>
      <c r="B1706" s="1">
        <v>45089</v>
      </c>
      <c r="C1706">
        <v>28870</v>
      </c>
      <c r="D1706" t="s">
        <v>40</v>
      </c>
      <c r="E1706" t="s">
        <v>197</v>
      </c>
      <c r="F1706" t="s">
        <v>198</v>
      </c>
      <c r="G1706">
        <v>5</v>
      </c>
      <c r="H1706">
        <v>14.99</v>
      </c>
      <c r="J1706">
        <v>74.95</v>
      </c>
      <c r="K1706" t="s">
        <v>95</v>
      </c>
      <c r="L1706" t="s">
        <v>17</v>
      </c>
      <c r="M1706" t="s">
        <v>24</v>
      </c>
    </row>
    <row r="1707" spans="1:13" x14ac:dyDescent="0.2">
      <c r="A1707">
        <v>381085</v>
      </c>
      <c r="B1707" s="1">
        <v>45225</v>
      </c>
      <c r="C1707">
        <v>95725</v>
      </c>
      <c r="D1707" t="s">
        <v>29</v>
      </c>
      <c r="E1707" t="s">
        <v>38</v>
      </c>
      <c r="F1707" t="s">
        <v>39</v>
      </c>
      <c r="G1707">
        <v>5</v>
      </c>
      <c r="H1707">
        <v>20.99</v>
      </c>
      <c r="I1707">
        <v>0.3</v>
      </c>
      <c r="J1707">
        <v>73.459999999999994</v>
      </c>
      <c r="K1707" t="s">
        <v>32</v>
      </c>
      <c r="L1707" t="s">
        <v>17</v>
      </c>
      <c r="M1707" t="s">
        <v>62</v>
      </c>
    </row>
    <row r="1708" spans="1:13" x14ac:dyDescent="0.2">
      <c r="A1708">
        <v>381291</v>
      </c>
      <c r="B1708" s="2">
        <v>45527</v>
      </c>
      <c r="C1708">
        <v>41860</v>
      </c>
      <c r="D1708" t="s">
        <v>25</v>
      </c>
      <c r="E1708" t="s">
        <v>113</v>
      </c>
      <c r="F1708" t="s">
        <v>114</v>
      </c>
      <c r="G1708">
        <v>1</v>
      </c>
      <c r="H1708">
        <v>89.99</v>
      </c>
      <c r="I1708">
        <v>0.25</v>
      </c>
      <c r="J1708">
        <v>67.489999999999995</v>
      </c>
      <c r="K1708" t="s">
        <v>36</v>
      </c>
      <c r="L1708" t="s">
        <v>17</v>
      </c>
      <c r="M1708" t="s">
        <v>96</v>
      </c>
    </row>
    <row r="1709" spans="1:13" x14ac:dyDescent="0.2">
      <c r="A1709">
        <v>381328</v>
      </c>
      <c r="B1709" s="1">
        <v>45154</v>
      </c>
      <c r="C1709">
        <v>57622</v>
      </c>
      <c r="D1709" t="s">
        <v>25</v>
      </c>
      <c r="E1709" t="s">
        <v>113</v>
      </c>
      <c r="F1709" t="s">
        <v>114</v>
      </c>
      <c r="G1709">
        <v>1</v>
      </c>
      <c r="H1709">
        <v>107.99</v>
      </c>
      <c r="I1709">
        <v>0.1</v>
      </c>
      <c r="J1709">
        <v>97.19</v>
      </c>
      <c r="K1709" t="s">
        <v>66</v>
      </c>
      <c r="L1709" t="s">
        <v>17</v>
      </c>
      <c r="M1709" t="s">
        <v>161</v>
      </c>
    </row>
    <row r="1710" spans="1:13" x14ac:dyDescent="0.2">
      <c r="A1710">
        <v>381393</v>
      </c>
      <c r="B1710" s="1">
        <v>45130</v>
      </c>
      <c r="C1710">
        <v>44399</v>
      </c>
      <c r="D1710" t="s">
        <v>85</v>
      </c>
      <c r="E1710" t="s">
        <v>129</v>
      </c>
      <c r="F1710" t="s">
        <v>130</v>
      </c>
      <c r="G1710">
        <v>3</v>
      </c>
      <c r="H1710">
        <v>8.09</v>
      </c>
      <c r="I1710">
        <v>0.1</v>
      </c>
      <c r="J1710">
        <v>21.84</v>
      </c>
      <c r="K1710" t="s">
        <v>32</v>
      </c>
      <c r="L1710" t="s">
        <v>17</v>
      </c>
      <c r="M1710" t="s">
        <v>43</v>
      </c>
    </row>
    <row r="1711" spans="1:13" x14ac:dyDescent="0.2">
      <c r="A1711">
        <v>381444</v>
      </c>
      <c r="B1711" s="1">
        <v>45593</v>
      </c>
      <c r="C1711">
        <v>25624</v>
      </c>
      <c r="D1711" t="s">
        <v>25</v>
      </c>
      <c r="E1711" t="s">
        <v>60</v>
      </c>
      <c r="F1711" t="s">
        <v>61</v>
      </c>
      <c r="G1711">
        <v>1</v>
      </c>
      <c r="H1711">
        <v>46.74</v>
      </c>
      <c r="I1711">
        <v>0.15</v>
      </c>
      <c r="J1711">
        <v>39.729999999999997</v>
      </c>
      <c r="K1711" t="s">
        <v>36</v>
      </c>
      <c r="L1711" t="s">
        <v>23</v>
      </c>
      <c r="M1711" t="s">
        <v>28</v>
      </c>
    </row>
    <row r="1712" spans="1:13" x14ac:dyDescent="0.2">
      <c r="A1712">
        <v>381739</v>
      </c>
      <c r="B1712" s="1">
        <v>45628</v>
      </c>
      <c r="C1712">
        <v>70322</v>
      </c>
      <c r="D1712" t="s">
        <v>13</v>
      </c>
      <c r="E1712" t="s">
        <v>186</v>
      </c>
      <c r="F1712" t="s">
        <v>187</v>
      </c>
      <c r="G1712">
        <v>2</v>
      </c>
      <c r="H1712">
        <v>49.99</v>
      </c>
      <c r="J1712">
        <v>99.98</v>
      </c>
      <c r="K1712" t="s">
        <v>36</v>
      </c>
      <c r="L1712" t="s">
        <v>17</v>
      </c>
      <c r="M1712" t="s">
        <v>18</v>
      </c>
    </row>
    <row r="1713" spans="1:13" x14ac:dyDescent="0.2">
      <c r="A1713">
        <v>381888</v>
      </c>
      <c r="B1713" s="1">
        <v>44657</v>
      </c>
      <c r="C1713">
        <v>44062</v>
      </c>
      <c r="D1713" t="s">
        <v>25</v>
      </c>
      <c r="E1713" t="s">
        <v>60</v>
      </c>
      <c r="F1713" t="s">
        <v>61</v>
      </c>
      <c r="G1713">
        <v>3</v>
      </c>
      <c r="H1713">
        <v>43.99</v>
      </c>
      <c r="I1713">
        <v>0.2</v>
      </c>
      <c r="J1713">
        <v>105.58</v>
      </c>
      <c r="K1713" t="s">
        <v>36</v>
      </c>
      <c r="L1713" t="s">
        <v>37</v>
      </c>
      <c r="M1713" t="s">
        <v>123</v>
      </c>
    </row>
    <row r="1714" spans="1:13" x14ac:dyDescent="0.2">
      <c r="A1714">
        <v>381911</v>
      </c>
      <c r="B1714" s="1">
        <v>45391</v>
      </c>
      <c r="C1714">
        <v>30667</v>
      </c>
      <c r="D1714" t="s">
        <v>29</v>
      </c>
      <c r="E1714" t="s">
        <v>72</v>
      </c>
      <c r="F1714" t="s">
        <v>73</v>
      </c>
      <c r="G1714">
        <v>1</v>
      </c>
      <c r="H1714">
        <v>39.99</v>
      </c>
      <c r="J1714">
        <v>39.99</v>
      </c>
      <c r="K1714" t="s">
        <v>36</v>
      </c>
      <c r="L1714" t="s">
        <v>17</v>
      </c>
    </row>
    <row r="1715" spans="1:13" x14ac:dyDescent="0.2">
      <c r="A1715">
        <v>381928</v>
      </c>
      <c r="B1715" s="2">
        <v>44844</v>
      </c>
      <c r="D1715" t="s">
        <v>85</v>
      </c>
      <c r="E1715" t="s">
        <v>86</v>
      </c>
      <c r="F1715" t="s">
        <v>87</v>
      </c>
      <c r="G1715">
        <v>1</v>
      </c>
      <c r="H1715">
        <v>11.69</v>
      </c>
      <c r="I1715">
        <v>0.1</v>
      </c>
      <c r="J1715">
        <v>10.52</v>
      </c>
      <c r="K1715" t="s">
        <v>66</v>
      </c>
      <c r="L1715" t="s">
        <v>37</v>
      </c>
      <c r="M1715" t="s">
        <v>28</v>
      </c>
    </row>
    <row r="1716" spans="1:13" x14ac:dyDescent="0.2">
      <c r="A1716">
        <v>382110</v>
      </c>
      <c r="B1716" s="1">
        <v>45526</v>
      </c>
      <c r="C1716">
        <v>58625</v>
      </c>
      <c r="D1716" t="s">
        <v>85</v>
      </c>
      <c r="E1716" t="s">
        <v>157</v>
      </c>
      <c r="F1716" t="s">
        <v>158</v>
      </c>
      <c r="G1716">
        <v>4</v>
      </c>
      <c r="H1716">
        <v>10.119999999999999</v>
      </c>
      <c r="I1716">
        <v>0.25</v>
      </c>
      <c r="J1716">
        <v>30.36</v>
      </c>
      <c r="K1716" t="s">
        <v>36</v>
      </c>
      <c r="L1716" t="s">
        <v>17</v>
      </c>
      <c r="M1716" t="s">
        <v>161</v>
      </c>
    </row>
    <row r="1717" spans="1:13" x14ac:dyDescent="0.2">
      <c r="A1717">
        <v>382127</v>
      </c>
      <c r="B1717" s="1">
        <v>45637</v>
      </c>
      <c r="C1717">
        <v>78553</v>
      </c>
      <c r="D1717" t="s">
        <v>40</v>
      </c>
      <c r="E1717" t="s">
        <v>115</v>
      </c>
      <c r="F1717" t="s">
        <v>116</v>
      </c>
      <c r="G1717">
        <v>2</v>
      </c>
      <c r="H1717">
        <v>9.74</v>
      </c>
      <c r="J1717">
        <v>19.48</v>
      </c>
      <c r="K1717" t="s">
        <v>53</v>
      </c>
      <c r="L1717" t="s">
        <v>17</v>
      </c>
    </row>
    <row r="1718" spans="1:13" x14ac:dyDescent="0.2">
      <c r="A1718">
        <v>382253</v>
      </c>
      <c r="B1718" s="1">
        <v>45025</v>
      </c>
      <c r="C1718">
        <v>19428</v>
      </c>
      <c r="D1718" t="s">
        <v>48</v>
      </c>
      <c r="E1718" t="s">
        <v>179</v>
      </c>
      <c r="F1718" t="s">
        <v>180</v>
      </c>
      <c r="G1718">
        <v>2</v>
      </c>
      <c r="H1718">
        <v>11.39</v>
      </c>
      <c r="I1718">
        <v>0.05</v>
      </c>
      <c r="J1718">
        <v>21.64</v>
      </c>
      <c r="K1718" t="s">
        <v>16</v>
      </c>
      <c r="L1718" t="s">
        <v>37</v>
      </c>
      <c r="M1718" t="s">
        <v>47</v>
      </c>
    </row>
    <row r="1719" spans="1:13" x14ac:dyDescent="0.2">
      <c r="A1719">
        <v>382400</v>
      </c>
      <c r="B1719" s="1">
        <v>45504</v>
      </c>
      <c r="C1719">
        <v>96005</v>
      </c>
      <c r="D1719" t="s">
        <v>44</v>
      </c>
      <c r="E1719" t="s">
        <v>184</v>
      </c>
      <c r="F1719" t="s">
        <v>185</v>
      </c>
      <c r="G1719">
        <v>2</v>
      </c>
      <c r="H1719">
        <v>4.12</v>
      </c>
      <c r="I1719">
        <v>0.25</v>
      </c>
      <c r="J1719">
        <v>6.18</v>
      </c>
      <c r="K1719" t="s">
        <v>95</v>
      </c>
      <c r="L1719" t="s">
        <v>17</v>
      </c>
      <c r="M1719" t="s">
        <v>57</v>
      </c>
    </row>
    <row r="1720" spans="1:13" x14ac:dyDescent="0.2">
      <c r="A1720">
        <v>382460</v>
      </c>
      <c r="B1720" s="1">
        <v>45209</v>
      </c>
      <c r="C1720">
        <v>23717</v>
      </c>
      <c r="D1720" t="s">
        <v>29</v>
      </c>
      <c r="E1720" t="s">
        <v>72</v>
      </c>
      <c r="F1720" t="s">
        <v>73</v>
      </c>
      <c r="G1720">
        <v>3</v>
      </c>
      <c r="H1720">
        <v>39.99</v>
      </c>
      <c r="J1720">
        <v>119.97</v>
      </c>
      <c r="K1720" t="s">
        <v>95</v>
      </c>
      <c r="L1720" t="s">
        <v>37</v>
      </c>
      <c r="M1720" t="s">
        <v>43</v>
      </c>
    </row>
    <row r="1721" spans="1:13" x14ac:dyDescent="0.2">
      <c r="A1721">
        <v>382463</v>
      </c>
      <c r="B1721" s="1">
        <v>44932</v>
      </c>
      <c r="C1721">
        <v>79008</v>
      </c>
      <c r="D1721" t="s">
        <v>63</v>
      </c>
      <c r="E1721" t="s">
        <v>68</v>
      </c>
      <c r="F1721" t="s">
        <v>69</v>
      </c>
      <c r="G1721">
        <v>2</v>
      </c>
      <c r="H1721">
        <v>24.99</v>
      </c>
      <c r="J1721">
        <v>49.98</v>
      </c>
      <c r="K1721" t="s">
        <v>36</v>
      </c>
      <c r="L1721" t="s">
        <v>17</v>
      </c>
      <c r="M1721" t="s">
        <v>81</v>
      </c>
    </row>
    <row r="1722" spans="1:13" x14ac:dyDescent="0.2">
      <c r="A1722">
        <v>382504</v>
      </c>
      <c r="B1722" s="1">
        <v>44978</v>
      </c>
      <c r="C1722">
        <v>28174</v>
      </c>
      <c r="D1722" t="s">
        <v>13</v>
      </c>
      <c r="E1722" t="s">
        <v>159</v>
      </c>
      <c r="F1722" t="s">
        <v>160</v>
      </c>
      <c r="G1722">
        <v>4</v>
      </c>
      <c r="H1722">
        <v>53.99</v>
      </c>
      <c r="I1722">
        <v>0.1</v>
      </c>
      <c r="J1722">
        <v>194.36</v>
      </c>
      <c r="K1722" t="s">
        <v>36</v>
      </c>
      <c r="L1722" t="s">
        <v>17</v>
      </c>
      <c r="M1722" t="s">
        <v>76</v>
      </c>
    </row>
    <row r="1723" spans="1:13" x14ac:dyDescent="0.2">
      <c r="A1723">
        <v>382629</v>
      </c>
      <c r="B1723" s="2">
        <v>45044</v>
      </c>
      <c r="C1723">
        <v>89211</v>
      </c>
      <c r="D1723" t="s">
        <v>25</v>
      </c>
      <c r="E1723" t="s">
        <v>51</v>
      </c>
      <c r="F1723" t="s">
        <v>52</v>
      </c>
      <c r="G1723">
        <v>2</v>
      </c>
      <c r="H1723">
        <v>22.39</v>
      </c>
      <c r="I1723">
        <v>0.2</v>
      </c>
      <c r="J1723">
        <v>35.82</v>
      </c>
      <c r="K1723" t="s">
        <v>32</v>
      </c>
      <c r="L1723" t="s">
        <v>17</v>
      </c>
      <c r="M1723" t="s">
        <v>90</v>
      </c>
    </row>
    <row r="1724" spans="1:13" x14ac:dyDescent="0.2">
      <c r="A1724">
        <v>382705</v>
      </c>
      <c r="B1724" s="1">
        <v>45653</v>
      </c>
      <c r="C1724">
        <v>84843</v>
      </c>
      <c r="D1724" t="s">
        <v>85</v>
      </c>
      <c r="E1724" t="s">
        <v>145</v>
      </c>
      <c r="F1724" t="s">
        <v>146</v>
      </c>
      <c r="G1724">
        <v>2</v>
      </c>
      <c r="H1724">
        <v>11.89</v>
      </c>
      <c r="I1724">
        <v>0.3</v>
      </c>
      <c r="J1724">
        <v>16.649999999999999</v>
      </c>
      <c r="K1724" t="s">
        <v>95</v>
      </c>
      <c r="L1724" t="s">
        <v>17</v>
      </c>
      <c r="M1724" t="s">
        <v>120</v>
      </c>
    </row>
    <row r="1725" spans="1:13" x14ac:dyDescent="0.2">
      <c r="A1725">
        <v>382792</v>
      </c>
      <c r="B1725" s="1">
        <v>45147</v>
      </c>
      <c r="D1725" t="s">
        <v>40</v>
      </c>
      <c r="E1725" t="s">
        <v>58</v>
      </c>
      <c r="F1725" t="s">
        <v>59</v>
      </c>
      <c r="G1725">
        <v>5</v>
      </c>
      <c r="H1725">
        <v>2.79</v>
      </c>
      <c r="I1725">
        <v>0.3</v>
      </c>
      <c r="J1725">
        <v>9.76</v>
      </c>
      <c r="K1725" t="s">
        <v>36</v>
      </c>
      <c r="L1725" t="s">
        <v>17</v>
      </c>
      <c r="M1725" t="s">
        <v>90</v>
      </c>
    </row>
    <row r="1726" spans="1:13" x14ac:dyDescent="0.2">
      <c r="A1726">
        <v>382813</v>
      </c>
      <c r="B1726" s="1">
        <v>45317</v>
      </c>
      <c r="C1726">
        <v>50756</v>
      </c>
      <c r="D1726" t="s">
        <v>48</v>
      </c>
      <c r="E1726" t="s">
        <v>139</v>
      </c>
      <c r="F1726" t="s">
        <v>140</v>
      </c>
      <c r="G1726">
        <v>2</v>
      </c>
      <c r="H1726">
        <v>7.99</v>
      </c>
      <c r="J1726">
        <v>15.98</v>
      </c>
      <c r="K1726" t="s">
        <v>53</v>
      </c>
      <c r="L1726" t="s">
        <v>17</v>
      </c>
    </row>
    <row r="1727" spans="1:13" x14ac:dyDescent="0.2">
      <c r="A1727">
        <v>382919</v>
      </c>
      <c r="B1727" s="1">
        <v>44794</v>
      </c>
      <c r="C1727">
        <v>36066</v>
      </c>
      <c r="D1727" t="s">
        <v>29</v>
      </c>
      <c r="E1727" t="s">
        <v>175</v>
      </c>
      <c r="F1727" t="s">
        <v>176</v>
      </c>
      <c r="G1727">
        <v>1</v>
      </c>
      <c r="H1727">
        <v>11.99</v>
      </c>
      <c r="J1727">
        <v>11.99</v>
      </c>
      <c r="K1727" t="s">
        <v>22</v>
      </c>
      <c r="L1727" t="s">
        <v>17</v>
      </c>
      <c r="M1727" t="s">
        <v>81</v>
      </c>
    </row>
    <row r="1728" spans="1:13" x14ac:dyDescent="0.2">
      <c r="A1728">
        <v>382992</v>
      </c>
      <c r="B1728" s="1">
        <v>45528</v>
      </c>
      <c r="C1728">
        <v>66036</v>
      </c>
      <c r="D1728" t="s">
        <v>13</v>
      </c>
      <c r="E1728" t="s">
        <v>14</v>
      </c>
      <c r="F1728" t="s">
        <v>15</v>
      </c>
      <c r="G1728">
        <v>2</v>
      </c>
      <c r="H1728">
        <v>79.989999999999995</v>
      </c>
      <c r="J1728">
        <v>159.97999999999999</v>
      </c>
      <c r="K1728" t="s">
        <v>16</v>
      </c>
      <c r="L1728" t="s">
        <v>37</v>
      </c>
      <c r="M1728" t="s">
        <v>117</v>
      </c>
    </row>
    <row r="1729" spans="1:13" x14ac:dyDescent="0.2">
      <c r="A1729">
        <v>383034</v>
      </c>
      <c r="B1729" s="1">
        <v>45593</v>
      </c>
      <c r="C1729">
        <v>78761</v>
      </c>
      <c r="D1729" t="s">
        <v>48</v>
      </c>
      <c r="E1729" t="s">
        <v>143</v>
      </c>
      <c r="F1729" t="s">
        <v>144</v>
      </c>
      <c r="G1729">
        <v>1</v>
      </c>
      <c r="H1729">
        <v>12.74</v>
      </c>
      <c r="I1729">
        <v>0.15</v>
      </c>
      <c r="J1729">
        <v>10.83</v>
      </c>
      <c r="K1729" t="s">
        <v>36</v>
      </c>
      <c r="L1729" t="s">
        <v>17</v>
      </c>
      <c r="M1729" t="s">
        <v>28</v>
      </c>
    </row>
    <row r="1730" spans="1:13" x14ac:dyDescent="0.2">
      <c r="A1730">
        <v>383229</v>
      </c>
      <c r="B1730" s="1">
        <v>44850</v>
      </c>
      <c r="C1730">
        <v>69680</v>
      </c>
      <c r="D1730" t="s">
        <v>63</v>
      </c>
      <c r="E1730" t="s">
        <v>125</v>
      </c>
      <c r="F1730" t="s">
        <v>126</v>
      </c>
      <c r="G1730">
        <v>5</v>
      </c>
      <c r="H1730">
        <v>26.99</v>
      </c>
      <c r="I1730">
        <v>0.1</v>
      </c>
      <c r="J1730">
        <v>121.46</v>
      </c>
      <c r="K1730" t="s">
        <v>36</v>
      </c>
      <c r="L1730" t="s">
        <v>17</v>
      </c>
      <c r="M1730" t="s">
        <v>24</v>
      </c>
    </row>
    <row r="1731" spans="1:13" x14ac:dyDescent="0.2">
      <c r="A1731">
        <v>383242</v>
      </c>
      <c r="B1731" s="1">
        <v>45235</v>
      </c>
      <c r="C1731">
        <v>53404</v>
      </c>
      <c r="D1731" t="s">
        <v>29</v>
      </c>
      <c r="E1731" t="s">
        <v>175</v>
      </c>
      <c r="F1731" t="s">
        <v>176</v>
      </c>
      <c r="G1731">
        <v>1</v>
      </c>
      <c r="H1731">
        <v>11.99</v>
      </c>
      <c r="J1731">
        <v>11.99</v>
      </c>
      <c r="K1731" t="s">
        <v>16</v>
      </c>
      <c r="L1731" t="s">
        <v>17</v>
      </c>
      <c r="M1731" t="s">
        <v>102</v>
      </c>
    </row>
    <row r="1732" spans="1:13" x14ac:dyDescent="0.2">
      <c r="A1732">
        <v>383309</v>
      </c>
      <c r="B1732" s="1">
        <v>44755</v>
      </c>
      <c r="C1732">
        <v>86403</v>
      </c>
      <c r="D1732" t="s">
        <v>40</v>
      </c>
      <c r="E1732" t="s">
        <v>115</v>
      </c>
      <c r="F1732" t="s">
        <v>116</v>
      </c>
      <c r="G1732">
        <v>3</v>
      </c>
      <c r="H1732">
        <v>12.99</v>
      </c>
      <c r="J1732">
        <v>38.97</v>
      </c>
      <c r="K1732" t="s">
        <v>16</v>
      </c>
      <c r="L1732" t="s">
        <v>17</v>
      </c>
      <c r="M1732" t="s">
        <v>18</v>
      </c>
    </row>
    <row r="1733" spans="1:13" x14ac:dyDescent="0.2">
      <c r="A1733">
        <v>383996</v>
      </c>
      <c r="B1733" s="1">
        <v>45074</v>
      </c>
      <c r="C1733">
        <v>59523</v>
      </c>
      <c r="D1733" t="s">
        <v>82</v>
      </c>
      <c r="E1733" t="s">
        <v>147</v>
      </c>
      <c r="F1733" t="s">
        <v>148</v>
      </c>
      <c r="G1733">
        <v>2</v>
      </c>
      <c r="H1733">
        <v>10.39</v>
      </c>
      <c r="I1733">
        <v>0.2</v>
      </c>
      <c r="J1733">
        <v>16.62</v>
      </c>
      <c r="K1733" t="s">
        <v>16</v>
      </c>
      <c r="L1733" t="s">
        <v>17</v>
      </c>
      <c r="M1733" t="s">
        <v>67</v>
      </c>
    </row>
    <row r="1734" spans="1:13" x14ac:dyDescent="0.2">
      <c r="A1734">
        <v>384298</v>
      </c>
      <c r="B1734" s="1">
        <v>44660</v>
      </c>
      <c r="C1734">
        <v>72534</v>
      </c>
      <c r="D1734" t="s">
        <v>29</v>
      </c>
      <c r="E1734" t="s">
        <v>170</v>
      </c>
      <c r="F1734" t="s">
        <v>171</v>
      </c>
      <c r="G1734">
        <v>3</v>
      </c>
      <c r="H1734">
        <v>12.74</v>
      </c>
      <c r="I1734">
        <v>0.15</v>
      </c>
      <c r="J1734">
        <v>32.49</v>
      </c>
      <c r="K1734" t="s">
        <v>16</v>
      </c>
      <c r="L1734" t="s">
        <v>17</v>
      </c>
      <c r="M1734" t="s">
        <v>123</v>
      </c>
    </row>
    <row r="1735" spans="1:13" x14ac:dyDescent="0.2">
      <c r="A1735">
        <v>384608</v>
      </c>
      <c r="B1735" s="1">
        <v>44686</v>
      </c>
      <c r="C1735">
        <v>53390</v>
      </c>
      <c r="D1735" t="s">
        <v>97</v>
      </c>
      <c r="E1735" t="s">
        <v>121</v>
      </c>
      <c r="F1735" t="s">
        <v>122</v>
      </c>
      <c r="G1735">
        <v>4</v>
      </c>
      <c r="H1735">
        <v>11.04</v>
      </c>
      <c r="I1735">
        <v>0.15</v>
      </c>
      <c r="J1735">
        <v>37.54</v>
      </c>
      <c r="K1735" t="s">
        <v>36</v>
      </c>
      <c r="L1735" t="s">
        <v>37</v>
      </c>
      <c r="M1735" t="s">
        <v>117</v>
      </c>
    </row>
    <row r="1736" spans="1:13" x14ac:dyDescent="0.2">
      <c r="A1736">
        <v>384664</v>
      </c>
      <c r="B1736" s="1">
        <v>45031</v>
      </c>
      <c r="C1736">
        <v>61395</v>
      </c>
      <c r="D1736" t="s">
        <v>40</v>
      </c>
      <c r="E1736" t="s">
        <v>197</v>
      </c>
      <c r="F1736" t="s">
        <v>198</v>
      </c>
      <c r="G1736">
        <v>1</v>
      </c>
      <c r="H1736">
        <v>11.99</v>
      </c>
      <c r="I1736">
        <v>0.2</v>
      </c>
      <c r="J1736">
        <v>9.59</v>
      </c>
      <c r="K1736" t="s">
        <v>16</v>
      </c>
      <c r="L1736" t="s">
        <v>37</v>
      </c>
      <c r="M1736" t="s">
        <v>90</v>
      </c>
    </row>
    <row r="1737" spans="1:13" x14ac:dyDescent="0.2">
      <c r="A1737">
        <v>384751</v>
      </c>
      <c r="B1737" s="2">
        <v>45225</v>
      </c>
      <c r="C1737">
        <v>37094</v>
      </c>
      <c r="D1737" t="s">
        <v>63</v>
      </c>
      <c r="E1737" t="s">
        <v>68</v>
      </c>
      <c r="F1737" t="s">
        <v>69</v>
      </c>
      <c r="G1737">
        <v>2</v>
      </c>
      <c r="H1737">
        <v>24.99</v>
      </c>
      <c r="J1737">
        <v>49.98</v>
      </c>
      <c r="K1737" t="s">
        <v>36</v>
      </c>
      <c r="L1737" t="s">
        <v>17</v>
      </c>
      <c r="M1737" t="s">
        <v>96</v>
      </c>
    </row>
    <row r="1738" spans="1:13" x14ac:dyDescent="0.2">
      <c r="A1738">
        <v>384893</v>
      </c>
      <c r="B1738" s="1">
        <v>45478</v>
      </c>
      <c r="C1738">
        <v>83853</v>
      </c>
      <c r="D1738" t="s">
        <v>192</v>
      </c>
      <c r="E1738" t="s">
        <v>141</v>
      </c>
      <c r="F1738" t="s">
        <v>142</v>
      </c>
      <c r="G1738">
        <v>1</v>
      </c>
      <c r="H1738">
        <v>21.84</v>
      </c>
      <c r="I1738">
        <v>0.05</v>
      </c>
      <c r="J1738">
        <v>20.75</v>
      </c>
      <c r="K1738" t="s">
        <v>16</v>
      </c>
      <c r="L1738" t="s">
        <v>37</v>
      </c>
      <c r="M1738" t="s">
        <v>62</v>
      </c>
    </row>
    <row r="1739" spans="1:13" x14ac:dyDescent="0.2">
      <c r="A1739">
        <v>384964</v>
      </c>
      <c r="B1739" s="1">
        <v>45264</v>
      </c>
      <c r="C1739">
        <v>26402</v>
      </c>
      <c r="D1739" t="s">
        <v>97</v>
      </c>
      <c r="E1739" t="s">
        <v>135</v>
      </c>
      <c r="F1739" t="s">
        <v>136</v>
      </c>
      <c r="G1739">
        <v>3</v>
      </c>
      <c r="H1739">
        <v>9.99</v>
      </c>
      <c r="J1739">
        <v>29.97</v>
      </c>
      <c r="K1739" t="s">
        <v>36</v>
      </c>
      <c r="L1739" t="s">
        <v>37</v>
      </c>
      <c r="M1739" t="s">
        <v>102</v>
      </c>
    </row>
    <row r="1740" spans="1:13" x14ac:dyDescent="0.2">
      <c r="A1740">
        <v>385006</v>
      </c>
      <c r="B1740" s="1">
        <v>44919</v>
      </c>
      <c r="C1740">
        <v>14795</v>
      </c>
      <c r="D1740" t="s">
        <v>40</v>
      </c>
      <c r="E1740" t="s">
        <v>58</v>
      </c>
      <c r="F1740" t="s">
        <v>59</v>
      </c>
      <c r="G1740">
        <v>3</v>
      </c>
      <c r="H1740">
        <v>3.79</v>
      </c>
      <c r="I1740">
        <v>0.05</v>
      </c>
      <c r="J1740">
        <v>10.8</v>
      </c>
      <c r="K1740" t="s">
        <v>36</v>
      </c>
      <c r="L1740" t="s">
        <v>17</v>
      </c>
      <c r="M1740" t="s">
        <v>96</v>
      </c>
    </row>
    <row r="1741" spans="1:13" x14ac:dyDescent="0.2">
      <c r="A1741">
        <v>385022</v>
      </c>
      <c r="B1741" s="2">
        <v>45079</v>
      </c>
      <c r="C1741">
        <v>16831</v>
      </c>
      <c r="D1741" t="s">
        <v>48</v>
      </c>
      <c r="E1741" t="s">
        <v>143</v>
      </c>
      <c r="F1741" t="s">
        <v>144</v>
      </c>
      <c r="G1741">
        <v>1</v>
      </c>
      <c r="H1741">
        <v>11.24</v>
      </c>
      <c r="I1741">
        <v>0.25</v>
      </c>
      <c r="J1741">
        <v>8.43</v>
      </c>
      <c r="K1741" t="s">
        <v>36</v>
      </c>
      <c r="L1741" t="s">
        <v>17</v>
      </c>
      <c r="M1741" t="s">
        <v>62</v>
      </c>
    </row>
    <row r="1742" spans="1:13" x14ac:dyDescent="0.2">
      <c r="A1742">
        <v>385037</v>
      </c>
      <c r="B1742" s="1">
        <v>45020</v>
      </c>
      <c r="C1742">
        <v>13060</v>
      </c>
      <c r="D1742" t="s">
        <v>44</v>
      </c>
      <c r="E1742" t="s">
        <v>195</v>
      </c>
      <c r="F1742" t="s">
        <v>196</v>
      </c>
      <c r="G1742">
        <v>1</v>
      </c>
      <c r="H1742">
        <v>4.49</v>
      </c>
      <c r="I1742">
        <v>0.1</v>
      </c>
      <c r="J1742">
        <v>4.04</v>
      </c>
      <c r="K1742" t="s">
        <v>36</v>
      </c>
      <c r="L1742" t="s">
        <v>17</v>
      </c>
      <c r="M1742" t="s">
        <v>24</v>
      </c>
    </row>
    <row r="1743" spans="1:13" x14ac:dyDescent="0.2">
      <c r="A1743">
        <v>385043</v>
      </c>
      <c r="B1743" s="1">
        <v>44970</v>
      </c>
      <c r="C1743">
        <v>93194</v>
      </c>
      <c r="D1743" t="s">
        <v>40</v>
      </c>
      <c r="E1743" t="s">
        <v>41</v>
      </c>
      <c r="F1743" t="s">
        <v>42</v>
      </c>
      <c r="G1743">
        <v>1</v>
      </c>
      <c r="H1743">
        <v>5.99</v>
      </c>
      <c r="J1743">
        <v>5.99</v>
      </c>
      <c r="K1743" t="s">
        <v>32</v>
      </c>
      <c r="L1743" t="s">
        <v>17</v>
      </c>
      <c r="M1743" t="s">
        <v>67</v>
      </c>
    </row>
    <row r="1744" spans="1:13" x14ac:dyDescent="0.2">
      <c r="A1744">
        <v>385631</v>
      </c>
      <c r="B1744" s="1">
        <v>44840</v>
      </c>
      <c r="C1744">
        <v>27797</v>
      </c>
      <c r="D1744" t="s">
        <v>25</v>
      </c>
      <c r="E1744" t="s">
        <v>26</v>
      </c>
      <c r="F1744" t="s">
        <v>27</v>
      </c>
      <c r="G1744">
        <v>2</v>
      </c>
      <c r="H1744">
        <v>26.24</v>
      </c>
      <c r="I1744">
        <v>0.25</v>
      </c>
      <c r="J1744">
        <v>39.36</v>
      </c>
      <c r="K1744" t="s">
        <v>32</v>
      </c>
      <c r="L1744" t="s">
        <v>23</v>
      </c>
      <c r="M1744" t="s">
        <v>90</v>
      </c>
    </row>
    <row r="1745" spans="1:13" x14ac:dyDescent="0.2">
      <c r="A1745">
        <v>385704</v>
      </c>
      <c r="B1745" s="1">
        <v>45618</v>
      </c>
      <c r="C1745">
        <v>16976</v>
      </c>
      <c r="D1745" t="s">
        <v>82</v>
      </c>
      <c r="E1745" t="s">
        <v>147</v>
      </c>
      <c r="F1745" t="s">
        <v>148</v>
      </c>
      <c r="G1745">
        <v>5</v>
      </c>
      <c r="H1745">
        <v>11.04</v>
      </c>
      <c r="I1745">
        <v>0.15</v>
      </c>
      <c r="J1745">
        <v>46.92</v>
      </c>
      <c r="K1745" t="s">
        <v>36</v>
      </c>
      <c r="L1745" t="s">
        <v>23</v>
      </c>
      <c r="M1745" t="s">
        <v>103</v>
      </c>
    </row>
    <row r="1746" spans="1:13" x14ac:dyDescent="0.2">
      <c r="A1746">
        <v>385868</v>
      </c>
      <c r="B1746" s="2">
        <v>44624</v>
      </c>
      <c r="C1746">
        <v>89214</v>
      </c>
      <c r="D1746" t="s">
        <v>40</v>
      </c>
      <c r="E1746" t="s">
        <v>115</v>
      </c>
      <c r="F1746" t="s">
        <v>116</v>
      </c>
      <c r="G1746">
        <v>1</v>
      </c>
      <c r="H1746">
        <v>9.74</v>
      </c>
      <c r="I1746">
        <v>0.25</v>
      </c>
      <c r="J1746">
        <v>7.3</v>
      </c>
      <c r="K1746" t="s">
        <v>16</v>
      </c>
      <c r="L1746" t="s">
        <v>17</v>
      </c>
      <c r="M1746" t="s">
        <v>24</v>
      </c>
    </row>
    <row r="1747" spans="1:13" x14ac:dyDescent="0.2">
      <c r="A1747">
        <v>385875</v>
      </c>
      <c r="B1747" s="1">
        <v>45086</v>
      </c>
      <c r="C1747">
        <v>18810</v>
      </c>
      <c r="D1747" t="s">
        <v>63</v>
      </c>
      <c r="E1747" t="s">
        <v>68</v>
      </c>
      <c r="F1747" t="s">
        <v>69</v>
      </c>
      <c r="G1747">
        <v>2</v>
      </c>
      <c r="H1747">
        <v>17.489999999999998</v>
      </c>
      <c r="I1747">
        <v>0.3</v>
      </c>
      <c r="J1747">
        <v>24.49</v>
      </c>
      <c r="K1747" t="s">
        <v>53</v>
      </c>
      <c r="L1747" t="s">
        <v>37</v>
      </c>
      <c r="M1747" t="s">
        <v>24</v>
      </c>
    </row>
    <row r="1748" spans="1:13" x14ac:dyDescent="0.2">
      <c r="A1748">
        <v>385949</v>
      </c>
      <c r="B1748" s="1">
        <v>44640</v>
      </c>
      <c r="C1748">
        <v>97710</v>
      </c>
      <c r="D1748" t="s">
        <v>40</v>
      </c>
      <c r="E1748" t="s">
        <v>197</v>
      </c>
      <c r="F1748" t="s">
        <v>198</v>
      </c>
      <c r="G1748">
        <v>5</v>
      </c>
      <c r="H1748">
        <v>14.99</v>
      </c>
      <c r="J1748">
        <v>74.95</v>
      </c>
      <c r="K1748" t="s">
        <v>36</v>
      </c>
      <c r="L1748" t="s">
        <v>17</v>
      </c>
      <c r="M1748" t="s">
        <v>123</v>
      </c>
    </row>
    <row r="1749" spans="1:13" x14ac:dyDescent="0.2">
      <c r="A1749">
        <v>385984</v>
      </c>
      <c r="B1749" s="2">
        <v>45554</v>
      </c>
      <c r="C1749">
        <v>37491</v>
      </c>
      <c r="D1749" t="s">
        <v>97</v>
      </c>
      <c r="E1749" t="s">
        <v>181</v>
      </c>
      <c r="F1749" t="s">
        <v>182</v>
      </c>
      <c r="G1749">
        <v>1</v>
      </c>
      <c r="H1749">
        <v>11.24</v>
      </c>
      <c r="I1749">
        <v>0.25</v>
      </c>
      <c r="J1749">
        <v>8.43</v>
      </c>
      <c r="K1749" t="s">
        <v>16</v>
      </c>
      <c r="L1749" t="s">
        <v>17</v>
      </c>
      <c r="M1749" t="s">
        <v>102</v>
      </c>
    </row>
    <row r="1750" spans="1:13" x14ac:dyDescent="0.2">
      <c r="A1750">
        <v>386509</v>
      </c>
      <c r="B1750" s="1">
        <v>44594</v>
      </c>
      <c r="C1750">
        <v>91996</v>
      </c>
      <c r="D1750" t="s">
        <v>40</v>
      </c>
      <c r="E1750" t="s">
        <v>41</v>
      </c>
      <c r="F1750" t="s">
        <v>42</v>
      </c>
      <c r="G1750">
        <v>4</v>
      </c>
      <c r="H1750">
        <v>5.99</v>
      </c>
      <c r="J1750">
        <v>23.96</v>
      </c>
      <c r="K1750" t="s">
        <v>16</v>
      </c>
      <c r="L1750" t="s">
        <v>17</v>
      </c>
      <c r="M1750" t="s">
        <v>57</v>
      </c>
    </row>
    <row r="1751" spans="1:13" x14ac:dyDescent="0.2">
      <c r="A1751">
        <v>386656</v>
      </c>
      <c r="B1751" s="1">
        <v>45134</v>
      </c>
      <c r="C1751">
        <v>85350</v>
      </c>
      <c r="D1751" t="s">
        <v>25</v>
      </c>
      <c r="E1751" t="s">
        <v>26</v>
      </c>
      <c r="F1751" t="s">
        <v>27</v>
      </c>
      <c r="G1751">
        <v>2</v>
      </c>
      <c r="H1751">
        <v>31.49</v>
      </c>
      <c r="I1751">
        <v>0.1</v>
      </c>
      <c r="J1751">
        <v>56.68</v>
      </c>
      <c r="K1751" t="s">
        <v>16</v>
      </c>
      <c r="L1751" t="s">
        <v>17</v>
      </c>
      <c r="M1751" t="s">
        <v>96</v>
      </c>
    </row>
    <row r="1752" spans="1:13" x14ac:dyDescent="0.2">
      <c r="A1752">
        <v>386675</v>
      </c>
      <c r="B1752" s="2">
        <v>44668</v>
      </c>
      <c r="C1752">
        <v>42250</v>
      </c>
      <c r="D1752" t="s">
        <v>48</v>
      </c>
      <c r="E1752" t="s">
        <v>139</v>
      </c>
      <c r="F1752" t="s">
        <v>140</v>
      </c>
      <c r="G1752">
        <v>2</v>
      </c>
      <c r="H1752">
        <v>5.59</v>
      </c>
      <c r="J1752">
        <v>11.18</v>
      </c>
      <c r="K1752" t="s">
        <v>22</v>
      </c>
      <c r="L1752" t="s">
        <v>23</v>
      </c>
      <c r="M1752" t="s">
        <v>76</v>
      </c>
    </row>
    <row r="1753" spans="1:13" x14ac:dyDescent="0.2">
      <c r="A1753">
        <v>386993</v>
      </c>
      <c r="B1753" s="1">
        <v>45395</v>
      </c>
      <c r="C1753">
        <v>54126</v>
      </c>
      <c r="D1753" t="s">
        <v>48</v>
      </c>
      <c r="E1753" t="s">
        <v>139</v>
      </c>
      <c r="F1753" t="s">
        <v>140</v>
      </c>
      <c r="G1753">
        <v>1</v>
      </c>
      <c r="H1753">
        <v>5.59</v>
      </c>
      <c r="I1753">
        <v>0.3</v>
      </c>
      <c r="J1753">
        <v>3.91</v>
      </c>
      <c r="K1753" t="s">
        <v>36</v>
      </c>
      <c r="L1753" t="s">
        <v>17</v>
      </c>
    </row>
    <row r="1754" spans="1:13" x14ac:dyDescent="0.2">
      <c r="A1754">
        <v>386998</v>
      </c>
      <c r="B1754" s="1">
        <v>45069</v>
      </c>
      <c r="C1754">
        <v>44800</v>
      </c>
      <c r="D1754" t="s">
        <v>97</v>
      </c>
      <c r="E1754" t="s">
        <v>151</v>
      </c>
      <c r="F1754" t="s">
        <v>152</v>
      </c>
      <c r="G1754">
        <v>1</v>
      </c>
      <c r="H1754">
        <v>24.49</v>
      </c>
      <c r="I1754">
        <v>0.3</v>
      </c>
      <c r="J1754">
        <v>17.14</v>
      </c>
      <c r="K1754" t="s">
        <v>36</v>
      </c>
      <c r="L1754" t="s">
        <v>17</v>
      </c>
      <c r="M1754" t="s">
        <v>62</v>
      </c>
    </row>
    <row r="1755" spans="1:13" x14ac:dyDescent="0.2">
      <c r="A1755">
        <v>387164</v>
      </c>
      <c r="B1755" s="1">
        <v>44808</v>
      </c>
      <c r="C1755">
        <v>90801</v>
      </c>
      <c r="D1755" t="s">
        <v>25</v>
      </c>
      <c r="E1755" t="s">
        <v>70</v>
      </c>
      <c r="F1755" t="s">
        <v>71</v>
      </c>
      <c r="G1755">
        <v>2</v>
      </c>
      <c r="H1755">
        <v>89.99</v>
      </c>
      <c r="J1755">
        <v>179.98</v>
      </c>
      <c r="K1755" t="s">
        <v>36</v>
      </c>
      <c r="L1755" t="s">
        <v>23</v>
      </c>
      <c r="M1755" t="s">
        <v>123</v>
      </c>
    </row>
    <row r="1756" spans="1:13" x14ac:dyDescent="0.2">
      <c r="A1756">
        <v>387198</v>
      </c>
      <c r="B1756" s="2">
        <v>44917</v>
      </c>
      <c r="C1756">
        <v>82536</v>
      </c>
      <c r="D1756" t="s">
        <v>82</v>
      </c>
      <c r="E1756" t="s">
        <v>188</v>
      </c>
      <c r="F1756" t="s">
        <v>189</v>
      </c>
      <c r="G1756">
        <v>1</v>
      </c>
      <c r="H1756">
        <v>38.24</v>
      </c>
      <c r="I1756">
        <v>0.15</v>
      </c>
      <c r="J1756">
        <v>32.5</v>
      </c>
      <c r="K1756" t="s">
        <v>22</v>
      </c>
      <c r="L1756" t="s">
        <v>17</v>
      </c>
      <c r="M1756" t="s">
        <v>120</v>
      </c>
    </row>
    <row r="1757" spans="1:13" x14ac:dyDescent="0.2">
      <c r="A1757">
        <v>387880</v>
      </c>
      <c r="B1757" s="1">
        <v>45490</v>
      </c>
      <c r="C1757">
        <v>19891</v>
      </c>
      <c r="D1757" t="s">
        <v>29</v>
      </c>
      <c r="E1757" t="s">
        <v>88</v>
      </c>
      <c r="F1757" t="s">
        <v>89</v>
      </c>
      <c r="G1757">
        <v>5</v>
      </c>
      <c r="H1757">
        <v>34.99</v>
      </c>
      <c r="I1757">
        <v>0.3</v>
      </c>
      <c r="J1757">
        <v>122.46</v>
      </c>
      <c r="K1757" t="s">
        <v>36</v>
      </c>
      <c r="L1757" t="s">
        <v>17</v>
      </c>
      <c r="M1757" t="s">
        <v>102</v>
      </c>
    </row>
    <row r="1758" spans="1:13" x14ac:dyDescent="0.2">
      <c r="A1758">
        <v>388050</v>
      </c>
      <c r="B1758" s="1">
        <v>45126</v>
      </c>
      <c r="C1758">
        <v>38321</v>
      </c>
      <c r="D1758" t="s">
        <v>82</v>
      </c>
      <c r="E1758" t="s">
        <v>188</v>
      </c>
      <c r="F1758" t="s">
        <v>189</v>
      </c>
      <c r="G1758">
        <v>5</v>
      </c>
      <c r="H1758">
        <v>31.49</v>
      </c>
      <c r="I1758">
        <v>0.3</v>
      </c>
      <c r="J1758">
        <v>110.21</v>
      </c>
      <c r="K1758" t="s">
        <v>32</v>
      </c>
      <c r="L1758" t="s">
        <v>17</v>
      </c>
      <c r="M1758" t="s">
        <v>18</v>
      </c>
    </row>
    <row r="1759" spans="1:13" x14ac:dyDescent="0.2">
      <c r="A1759">
        <v>388084</v>
      </c>
      <c r="B1759" s="1">
        <v>44938</v>
      </c>
      <c r="C1759">
        <v>55542</v>
      </c>
      <c r="D1759" t="s">
        <v>48</v>
      </c>
      <c r="E1759" t="s">
        <v>109</v>
      </c>
      <c r="F1759" t="s">
        <v>110</v>
      </c>
      <c r="G1759">
        <v>1</v>
      </c>
      <c r="H1759">
        <v>6.99</v>
      </c>
      <c r="J1759">
        <v>6.99</v>
      </c>
      <c r="K1759" t="s">
        <v>36</v>
      </c>
      <c r="L1759" t="s">
        <v>17</v>
      </c>
      <c r="M1759" t="s">
        <v>96</v>
      </c>
    </row>
    <row r="1760" spans="1:13" x14ac:dyDescent="0.2">
      <c r="A1760">
        <v>388176</v>
      </c>
      <c r="B1760" s="1">
        <v>44937</v>
      </c>
      <c r="C1760">
        <v>60447</v>
      </c>
      <c r="D1760" t="s">
        <v>40</v>
      </c>
      <c r="E1760" t="s">
        <v>20</v>
      </c>
      <c r="F1760" t="s">
        <v>21</v>
      </c>
      <c r="G1760">
        <v>2</v>
      </c>
      <c r="H1760">
        <v>9.99</v>
      </c>
      <c r="J1760">
        <v>19.98</v>
      </c>
      <c r="K1760" t="s">
        <v>22</v>
      </c>
      <c r="L1760" t="s">
        <v>17</v>
      </c>
      <c r="M1760" t="s">
        <v>67</v>
      </c>
    </row>
    <row r="1761" spans="1:13" x14ac:dyDescent="0.2">
      <c r="A1761">
        <v>388379</v>
      </c>
      <c r="B1761" s="1">
        <v>44864</v>
      </c>
      <c r="C1761">
        <v>14781</v>
      </c>
      <c r="D1761" t="s">
        <v>25</v>
      </c>
      <c r="E1761" t="s">
        <v>113</v>
      </c>
      <c r="F1761" t="s">
        <v>114</v>
      </c>
      <c r="G1761">
        <v>1</v>
      </c>
      <c r="H1761">
        <v>119.99</v>
      </c>
      <c r="J1761">
        <v>119.99</v>
      </c>
      <c r="K1761" t="s">
        <v>16</v>
      </c>
      <c r="L1761" t="s">
        <v>17</v>
      </c>
      <c r="M1761" t="s">
        <v>161</v>
      </c>
    </row>
    <row r="1762" spans="1:13" x14ac:dyDescent="0.2">
      <c r="A1762">
        <v>388666</v>
      </c>
      <c r="B1762" s="1">
        <v>45479</v>
      </c>
      <c r="C1762">
        <v>68041</v>
      </c>
      <c r="D1762" t="s">
        <v>13</v>
      </c>
      <c r="E1762" t="s">
        <v>104</v>
      </c>
      <c r="F1762" t="s">
        <v>105</v>
      </c>
      <c r="G1762">
        <v>4</v>
      </c>
      <c r="H1762">
        <v>29.99</v>
      </c>
      <c r="J1762">
        <v>119.96</v>
      </c>
      <c r="K1762" t="s">
        <v>16</v>
      </c>
      <c r="L1762" t="s">
        <v>37</v>
      </c>
      <c r="M1762" t="s">
        <v>123</v>
      </c>
    </row>
    <row r="1763" spans="1:13" x14ac:dyDescent="0.2">
      <c r="A1763">
        <v>388805</v>
      </c>
      <c r="B1763" s="1">
        <v>45312</v>
      </c>
      <c r="D1763" t="s">
        <v>40</v>
      </c>
      <c r="E1763" t="s">
        <v>197</v>
      </c>
      <c r="F1763" t="s">
        <v>198</v>
      </c>
      <c r="G1763">
        <v>1</v>
      </c>
      <c r="H1763">
        <v>13.49</v>
      </c>
      <c r="I1763">
        <v>0.1</v>
      </c>
      <c r="J1763">
        <v>12.14</v>
      </c>
      <c r="K1763" t="s">
        <v>22</v>
      </c>
      <c r="L1763" t="s">
        <v>17</v>
      </c>
      <c r="M1763" t="s">
        <v>62</v>
      </c>
    </row>
    <row r="1764" spans="1:13" x14ac:dyDescent="0.2">
      <c r="A1764">
        <v>389360</v>
      </c>
      <c r="B1764" s="1">
        <v>45002</v>
      </c>
      <c r="C1764">
        <v>21693</v>
      </c>
      <c r="D1764" t="s">
        <v>13</v>
      </c>
      <c r="E1764" t="s">
        <v>186</v>
      </c>
      <c r="F1764" t="s">
        <v>187</v>
      </c>
      <c r="G1764">
        <v>4</v>
      </c>
      <c r="H1764">
        <v>39.99</v>
      </c>
      <c r="I1764">
        <v>0.2</v>
      </c>
      <c r="J1764">
        <v>127.97</v>
      </c>
      <c r="K1764" t="s">
        <v>16</v>
      </c>
      <c r="L1764" t="s">
        <v>17</v>
      </c>
      <c r="M1764" t="s">
        <v>57</v>
      </c>
    </row>
    <row r="1765" spans="1:13" x14ac:dyDescent="0.2">
      <c r="A1765">
        <v>389511</v>
      </c>
      <c r="B1765" s="1">
        <v>45236</v>
      </c>
      <c r="C1765">
        <v>92926</v>
      </c>
      <c r="D1765" t="s">
        <v>40</v>
      </c>
      <c r="E1765" t="s">
        <v>58</v>
      </c>
      <c r="F1765" t="s">
        <v>59</v>
      </c>
      <c r="G1765">
        <v>1</v>
      </c>
      <c r="H1765">
        <v>3.19</v>
      </c>
      <c r="I1765">
        <v>0.2</v>
      </c>
      <c r="J1765">
        <v>2.5499999999999998</v>
      </c>
      <c r="K1765" t="s">
        <v>36</v>
      </c>
      <c r="L1765" t="s">
        <v>17</v>
      </c>
      <c r="M1765" t="s">
        <v>24</v>
      </c>
    </row>
    <row r="1766" spans="1:13" x14ac:dyDescent="0.2">
      <c r="A1766">
        <v>389511</v>
      </c>
      <c r="B1766" s="1">
        <v>44824</v>
      </c>
      <c r="C1766">
        <v>29297</v>
      </c>
      <c r="D1766" t="s">
        <v>85</v>
      </c>
      <c r="E1766" t="s">
        <v>86</v>
      </c>
      <c r="F1766" t="s">
        <v>87</v>
      </c>
      <c r="G1766">
        <v>1</v>
      </c>
      <c r="H1766">
        <v>11.04</v>
      </c>
      <c r="I1766">
        <v>0.15</v>
      </c>
      <c r="J1766">
        <v>9.3800000000000008</v>
      </c>
      <c r="K1766" t="s">
        <v>16</v>
      </c>
      <c r="L1766" t="s">
        <v>17</v>
      </c>
      <c r="M1766" t="s">
        <v>102</v>
      </c>
    </row>
    <row r="1767" spans="1:13" x14ac:dyDescent="0.2">
      <c r="A1767">
        <v>389643</v>
      </c>
      <c r="B1767" s="1">
        <v>44640</v>
      </c>
      <c r="C1767">
        <v>73374</v>
      </c>
      <c r="D1767" t="s">
        <v>25</v>
      </c>
      <c r="E1767" t="s">
        <v>26</v>
      </c>
      <c r="F1767" t="s">
        <v>27</v>
      </c>
      <c r="G1767">
        <v>1</v>
      </c>
      <c r="H1767">
        <v>34.99</v>
      </c>
      <c r="J1767">
        <v>34.99</v>
      </c>
      <c r="K1767" t="s">
        <v>36</v>
      </c>
      <c r="L1767" t="s">
        <v>17</v>
      </c>
      <c r="M1767" t="s">
        <v>62</v>
      </c>
    </row>
    <row r="1768" spans="1:13" x14ac:dyDescent="0.2">
      <c r="A1768">
        <v>389797</v>
      </c>
      <c r="B1768" s="1">
        <v>44755</v>
      </c>
      <c r="C1768">
        <v>26403</v>
      </c>
      <c r="D1768" t="s">
        <v>85</v>
      </c>
      <c r="E1768" t="s">
        <v>153</v>
      </c>
      <c r="F1768" t="s">
        <v>154</v>
      </c>
      <c r="G1768">
        <v>1</v>
      </c>
      <c r="H1768">
        <v>29.99</v>
      </c>
      <c r="J1768">
        <v>29.99</v>
      </c>
      <c r="K1768" t="s">
        <v>36</v>
      </c>
      <c r="L1768" t="s">
        <v>37</v>
      </c>
      <c r="M1768" t="s">
        <v>117</v>
      </c>
    </row>
    <row r="1769" spans="1:13" x14ac:dyDescent="0.2">
      <c r="A1769">
        <v>389847</v>
      </c>
      <c r="B1769" s="1">
        <v>45054</v>
      </c>
      <c r="C1769">
        <v>87425</v>
      </c>
      <c r="D1769" t="s">
        <v>82</v>
      </c>
      <c r="E1769" t="s">
        <v>147</v>
      </c>
      <c r="F1769" t="s">
        <v>148</v>
      </c>
      <c r="G1769">
        <v>1</v>
      </c>
      <c r="H1769">
        <v>11.04</v>
      </c>
      <c r="I1769">
        <v>0.15</v>
      </c>
      <c r="J1769">
        <v>9.3800000000000008</v>
      </c>
      <c r="K1769" t="s">
        <v>36</v>
      </c>
      <c r="L1769" t="s">
        <v>17</v>
      </c>
      <c r="M1769" t="s">
        <v>47</v>
      </c>
    </row>
    <row r="1770" spans="1:13" x14ac:dyDescent="0.2">
      <c r="A1770">
        <v>390253</v>
      </c>
      <c r="B1770" s="1">
        <v>44642</v>
      </c>
      <c r="C1770">
        <v>62133</v>
      </c>
      <c r="D1770" t="s">
        <v>63</v>
      </c>
      <c r="E1770" t="s">
        <v>111</v>
      </c>
      <c r="F1770" t="s">
        <v>112</v>
      </c>
      <c r="G1770">
        <v>2</v>
      </c>
      <c r="H1770">
        <v>13.49</v>
      </c>
      <c r="I1770">
        <v>0.1</v>
      </c>
      <c r="J1770">
        <v>24.28</v>
      </c>
      <c r="K1770" t="s">
        <v>32</v>
      </c>
      <c r="L1770" t="s">
        <v>17</v>
      </c>
      <c r="M1770" t="s">
        <v>76</v>
      </c>
    </row>
    <row r="1771" spans="1:13" x14ac:dyDescent="0.2">
      <c r="A1771">
        <v>391137</v>
      </c>
      <c r="B1771" s="1">
        <v>44941</v>
      </c>
      <c r="C1771">
        <v>97906</v>
      </c>
      <c r="D1771" t="s">
        <v>97</v>
      </c>
      <c r="E1771" t="s">
        <v>165</v>
      </c>
      <c r="F1771" t="s">
        <v>166</v>
      </c>
      <c r="G1771">
        <v>1</v>
      </c>
      <c r="H1771">
        <v>85.49</v>
      </c>
      <c r="I1771">
        <v>0.05</v>
      </c>
      <c r="J1771">
        <v>81.22</v>
      </c>
      <c r="K1771" t="s">
        <v>16</v>
      </c>
      <c r="L1771" t="s">
        <v>17</v>
      </c>
      <c r="M1771" t="s">
        <v>67</v>
      </c>
    </row>
    <row r="1772" spans="1:13" x14ac:dyDescent="0.2">
      <c r="A1772">
        <v>391208</v>
      </c>
      <c r="B1772" s="1">
        <v>44879</v>
      </c>
      <c r="C1772">
        <v>56912</v>
      </c>
      <c r="D1772" t="s">
        <v>44</v>
      </c>
      <c r="E1772" t="s">
        <v>177</v>
      </c>
      <c r="F1772" t="s">
        <v>178</v>
      </c>
      <c r="G1772">
        <v>1</v>
      </c>
      <c r="H1772">
        <v>10.79</v>
      </c>
      <c r="I1772">
        <v>0.1</v>
      </c>
      <c r="J1772">
        <v>9.7100000000000009</v>
      </c>
      <c r="K1772" t="s">
        <v>36</v>
      </c>
      <c r="L1772" t="s">
        <v>37</v>
      </c>
      <c r="M1772" t="s">
        <v>47</v>
      </c>
    </row>
    <row r="1773" spans="1:13" x14ac:dyDescent="0.2">
      <c r="A1773">
        <v>391625</v>
      </c>
      <c r="B1773" s="1">
        <v>44866</v>
      </c>
      <c r="C1773">
        <v>86935</v>
      </c>
      <c r="D1773" t="s">
        <v>97</v>
      </c>
      <c r="E1773" t="s">
        <v>151</v>
      </c>
      <c r="F1773" t="s">
        <v>152</v>
      </c>
      <c r="G1773">
        <v>4</v>
      </c>
      <c r="H1773">
        <v>29.74</v>
      </c>
      <c r="I1773">
        <v>0.15</v>
      </c>
      <c r="J1773">
        <v>101.12</v>
      </c>
      <c r="K1773" t="s">
        <v>32</v>
      </c>
      <c r="L1773" t="s">
        <v>17</v>
      </c>
      <c r="M1773" t="s">
        <v>161</v>
      </c>
    </row>
    <row r="1774" spans="1:13" x14ac:dyDescent="0.2">
      <c r="A1774">
        <v>391761</v>
      </c>
      <c r="B1774" s="1">
        <v>45402</v>
      </c>
      <c r="C1774">
        <v>13046</v>
      </c>
      <c r="D1774" t="s">
        <v>29</v>
      </c>
      <c r="E1774" t="s">
        <v>170</v>
      </c>
      <c r="F1774" t="s">
        <v>171</v>
      </c>
      <c r="G1774">
        <v>1</v>
      </c>
      <c r="H1774">
        <v>14.24</v>
      </c>
      <c r="I1774">
        <v>0.05</v>
      </c>
      <c r="J1774">
        <v>13.53</v>
      </c>
      <c r="K1774" t="s">
        <v>36</v>
      </c>
      <c r="L1774" t="s">
        <v>17</v>
      </c>
      <c r="M1774" t="s">
        <v>28</v>
      </c>
    </row>
    <row r="1775" spans="1:13" x14ac:dyDescent="0.2">
      <c r="A1775">
        <v>392003</v>
      </c>
      <c r="B1775" s="1">
        <v>44793</v>
      </c>
      <c r="C1775">
        <v>60465</v>
      </c>
      <c r="D1775" t="s">
        <v>40</v>
      </c>
      <c r="E1775" t="s">
        <v>41</v>
      </c>
      <c r="F1775" t="s">
        <v>42</v>
      </c>
      <c r="G1775">
        <v>5</v>
      </c>
      <c r="H1775">
        <v>4.79</v>
      </c>
      <c r="I1775">
        <v>0.2</v>
      </c>
      <c r="J1775">
        <v>19.16</v>
      </c>
      <c r="K1775" t="s">
        <v>16</v>
      </c>
      <c r="L1775" t="s">
        <v>17</v>
      </c>
      <c r="M1775" t="s">
        <v>33</v>
      </c>
    </row>
    <row r="1776" spans="1:13" x14ac:dyDescent="0.2">
      <c r="A1776">
        <v>392080</v>
      </c>
      <c r="B1776" s="1">
        <v>44711</v>
      </c>
      <c r="C1776">
        <v>26603</v>
      </c>
      <c r="D1776" t="s">
        <v>29</v>
      </c>
      <c r="E1776" t="s">
        <v>72</v>
      </c>
      <c r="F1776" t="s">
        <v>73</v>
      </c>
      <c r="G1776">
        <v>2</v>
      </c>
      <c r="H1776">
        <v>37.99</v>
      </c>
      <c r="I1776">
        <v>0.05</v>
      </c>
      <c r="J1776">
        <v>72.180000000000007</v>
      </c>
      <c r="K1776" t="s">
        <v>22</v>
      </c>
      <c r="L1776" t="s">
        <v>23</v>
      </c>
      <c r="M1776" t="s">
        <v>81</v>
      </c>
    </row>
    <row r="1777" spans="1:13" x14ac:dyDescent="0.2">
      <c r="A1777">
        <v>392476</v>
      </c>
      <c r="B1777" s="2">
        <v>45363</v>
      </c>
      <c r="C1777">
        <v>86484</v>
      </c>
      <c r="D1777" t="s">
        <v>63</v>
      </c>
      <c r="E1777" t="s">
        <v>64</v>
      </c>
      <c r="F1777" t="s">
        <v>65</v>
      </c>
      <c r="G1777">
        <v>1</v>
      </c>
      <c r="H1777">
        <v>4.99</v>
      </c>
      <c r="J1777">
        <v>4.99</v>
      </c>
      <c r="K1777" t="s">
        <v>22</v>
      </c>
      <c r="L1777" t="s">
        <v>17</v>
      </c>
      <c r="M1777" t="s">
        <v>62</v>
      </c>
    </row>
    <row r="1778" spans="1:13" x14ac:dyDescent="0.2">
      <c r="A1778">
        <v>392583</v>
      </c>
      <c r="B1778" s="2">
        <v>44829</v>
      </c>
      <c r="C1778">
        <v>64619</v>
      </c>
      <c r="D1778" t="s">
        <v>13</v>
      </c>
      <c r="E1778" t="s">
        <v>127</v>
      </c>
      <c r="F1778" t="s">
        <v>128</v>
      </c>
      <c r="G1778">
        <v>1</v>
      </c>
      <c r="H1778">
        <v>16.989999999999998</v>
      </c>
      <c r="I1778">
        <v>0.15</v>
      </c>
      <c r="J1778">
        <v>14.44</v>
      </c>
      <c r="K1778" t="s">
        <v>36</v>
      </c>
      <c r="L1778" t="s">
        <v>37</v>
      </c>
      <c r="M1778" t="s">
        <v>123</v>
      </c>
    </row>
    <row r="1779" spans="1:13" x14ac:dyDescent="0.2">
      <c r="A1779">
        <v>392792</v>
      </c>
      <c r="B1779" s="1">
        <v>45093</v>
      </c>
      <c r="C1779">
        <v>54477</v>
      </c>
      <c r="D1779" t="s">
        <v>29</v>
      </c>
      <c r="E1779" t="s">
        <v>30</v>
      </c>
      <c r="F1779" t="s">
        <v>31</v>
      </c>
      <c r="G1779">
        <v>1</v>
      </c>
      <c r="H1779">
        <v>17.489999999999998</v>
      </c>
      <c r="I1779">
        <v>0.3</v>
      </c>
      <c r="J1779">
        <v>12.24</v>
      </c>
      <c r="K1779" t="s">
        <v>16</v>
      </c>
      <c r="L1779" t="s">
        <v>37</v>
      </c>
      <c r="M1779" t="s">
        <v>57</v>
      </c>
    </row>
    <row r="1780" spans="1:13" x14ac:dyDescent="0.2">
      <c r="A1780">
        <v>393033</v>
      </c>
      <c r="B1780" s="1">
        <v>44766</v>
      </c>
      <c r="C1780">
        <v>97917</v>
      </c>
      <c r="D1780" t="s">
        <v>48</v>
      </c>
      <c r="E1780" t="s">
        <v>139</v>
      </c>
      <c r="F1780" t="s">
        <v>140</v>
      </c>
      <c r="G1780">
        <v>4</v>
      </c>
      <c r="H1780">
        <v>5.59</v>
      </c>
      <c r="I1780">
        <v>0.3</v>
      </c>
      <c r="J1780">
        <v>15.65</v>
      </c>
      <c r="K1780" t="s">
        <v>16</v>
      </c>
      <c r="L1780" t="s">
        <v>23</v>
      </c>
      <c r="M1780" t="s">
        <v>57</v>
      </c>
    </row>
    <row r="1781" spans="1:13" x14ac:dyDescent="0.2">
      <c r="A1781">
        <v>393116</v>
      </c>
      <c r="B1781" s="1">
        <v>45412</v>
      </c>
      <c r="C1781">
        <v>54287</v>
      </c>
      <c r="D1781" t="s">
        <v>82</v>
      </c>
      <c r="E1781" t="s">
        <v>168</v>
      </c>
      <c r="F1781" t="s">
        <v>169</v>
      </c>
      <c r="G1781">
        <v>2</v>
      </c>
      <c r="H1781">
        <v>6.74</v>
      </c>
      <c r="I1781">
        <v>0.25</v>
      </c>
      <c r="J1781">
        <v>10.11</v>
      </c>
      <c r="K1781" t="s">
        <v>36</v>
      </c>
      <c r="L1781" t="s">
        <v>17</v>
      </c>
      <c r="M1781" t="s">
        <v>33</v>
      </c>
    </row>
    <row r="1782" spans="1:13" x14ac:dyDescent="0.2">
      <c r="A1782">
        <v>393201</v>
      </c>
      <c r="B1782" s="1">
        <v>45091</v>
      </c>
      <c r="C1782">
        <v>29843</v>
      </c>
      <c r="D1782" t="s">
        <v>40</v>
      </c>
      <c r="E1782" t="s">
        <v>197</v>
      </c>
      <c r="F1782" t="s">
        <v>198</v>
      </c>
      <c r="G1782">
        <v>2</v>
      </c>
      <c r="H1782">
        <v>14.99</v>
      </c>
      <c r="J1782">
        <v>29.98</v>
      </c>
      <c r="K1782" t="s">
        <v>16</v>
      </c>
      <c r="L1782" t="s">
        <v>17</v>
      </c>
      <c r="M1782" t="s">
        <v>123</v>
      </c>
    </row>
    <row r="1783" spans="1:13" x14ac:dyDescent="0.2">
      <c r="A1783">
        <v>393333</v>
      </c>
      <c r="B1783" s="2">
        <v>44750</v>
      </c>
      <c r="C1783">
        <v>95239</v>
      </c>
      <c r="D1783" t="s">
        <v>40</v>
      </c>
      <c r="E1783" t="s">
        <v>58</v>
      </c>
      <c r="F1783" t="s">
        <v>59</v>
      </c>
      <c r="G1783">
        <v>2</v>
      </c>
      <c r="H1783">
        <v>2.99</v>
      </c>
      <c r="I1783">
        <v>0.25</v>
      </c>
      <c r="J1783">
        <v>4.49</v>
      </c>
      <c r="K1783" t="s">
        <v>16</v>
      </c>
      <c r="L1783" t="s">
        <v>17</v>
      </c>
      <c r="M1783" t="s">
        <v>103</v>
      </c>
    </row>
    <row r="1784" spans="1:13" x14ac:dyDescent="0.2">
      <c r="A1784">
        <v>393355</v>
      </c>
      <c r="B1784" s="1">
        <v>45474</v>
      </c>
      <c r="C1784">
        <v>14108</v>
      </c>
      <c r="D1784" t="s">
        <v>97</v>
      </c>
      <c r="E1784" t="s">
        <v>121</v>
      </c>
      <c r="F1784" t="s">
        <v>122</v>
      </c>
      <c r="G1784">
        <v>1</v>
      </c>
      <c r="H1784">
        <v>9.09</v>
      </c>
      <c r="J1784">
        <v>9.09</v>
      </c>
      <c r="K1784" t="s">
        <v>32</v>
      </c>
      <c r="L1784" t="s">
        <v>17</v>
      </c>
      <c r="M1784" t="s">
        <v>120</v>
      </c>
    </row>
    <row r="1785" spans="1:13" x14ac:dyDescent="0.2">
      <c r="A1785">
        <v>393631</v>
      </c>
      <c r="B1785" s="2">
        <v>45212</v>
      </c>
      <c r="C1785">
        <v>14548</v>
      </c>
      <c r="D1785" t="s">
        <v>13</v>
      </c>
      <c r="E1785" t="s">
        <v>186</v>
      </c>
      <c r="F1785" t="s">
        <v>187</v>
      </c>
      <c r="G1785">
        <v>1</v>
      </c>
      <c r="H1785">
        <v>34.99</v>
      </c>
      <c r="I1785">
        <v>0.3</v>
      </c>
      <c r="J1785">
        <v>24.49</v>
      </c>
      <c r="K1785" t="s">
        <v>36</v>
      </c>
      <c r="L1785" t="s">
        <v>37</v>
      </c>
      <c r="M1785" t="s">
        <v>123</v>
      </c>
    </row>
    <row r="1786" spans="1:13" x14ac:dyDescent="0.2">
      <c r="A1786">
        <v>393768</v>
      </c>
      <c r="B1786" s="1">
        <v>45220</v>
      </c>
      <c r="C1786">
        <v>74393</v>
      </c>
      <c r="D1786" t="s">
        <v>13</v>
      </c>
      <c r="E1786" t="s">
        <v>77</v>
      </c>
      <c r="F1786" t="s">
        <v>78</v>
      </c>
      <c r="G1786">
        <v>1</v>
      </c>
      <c r="H1786">
        <v>474.99</v>
      </c>
      <c r="I1786">
        <v>0.05</v>
      </c>
      <c r="J1786">
        <v>451.24</v>
      </c>
      <c r="K1786" t="s">
        <v>16</v>
      </c>
      <c r="L1786" t="s">
        <v>17</v>
      </c>
      <c r="M1786" t="s">
        <v>120</v>
      </c>
    </row>
    <row r="1787" spans="1:13" x14ac:dyDescent="0.2">
      <c r="A1787">
        <v>393777</v>
      </c>
      <c r="B1787" s="2">
        <v>44685</v>
      </c>
      <c r="C1787">
        <v>65015</v>
      </c>
      <c r="D1787" t="s">
        <v>63</v>
      </c>
      <c r="E1787" t="s">
        <v>64</v>
      </c>
      <c r="F1787" t="s">
        <v>65</v>
      </c>
      <c r="G1787">
        <v>2</v>
      </c>
      <c r="H1787">
        <v>4.74</v>
      </c>
      <c r="I1787">
        <v>0.05</v>
      </c>
      <c r="J1787">
        <v>9.01</v>
      </c>
      <c r="K1787" t="s">
        <v>16</v>
      </c>
      <c r="L1787" t="s">
        <v>37</v>
      </c>
      <c r="M1787" t="s">
        <v>24</v>
      </c>
    </row>
    <row r="1788" spans="1:13" x14ac:dyDescent="0.2">
      <c r="A1788">
        <v>393780</v>
      </c>
      <c r="B1788" s="1">
        <v>45157</v>
      </c>
      <c r="C1788">
        <v>57192</v>
      </c>
      <c r="D1788" t="s">
        <v>40</v>
      </c>
      <c r="E1788" t="s">
        <v>20</v>
      </c>
      <c r="F1788" t="s">
        <v>21</v>
      </c>
      <c r="G1788">
        <v>4</v>
      </c>
      <c r="H1788">
        <v>9.99</v>
      </c>
      <c r="J1788">
        <v>39.96</v>
      </c>
      <c r="K1788" t="s">
        <v>22</v>
      </c>
      <c r="L1788" t="s">
        <v>23</v>
      </c>
      <c r="M1788" t="s">
        <v>102</v>
      </c>
    </row>
    <row r="1789" spans="1:13" x14ac:dyDescent="0.2">
      <c r="A1789">
        <v>393827</v>
      </c>
      <c r="B1789" s="1">
        <v>45329</v>
      </c>
      <c r="C1789">
        <v>74430</v>
      </c>
      <c r="D1789" t="s">
        <v>29</v>
      </c>
      <c r="E1789" t="s">
        <v>38</v>
      </c>
      <c r="F1789" t="s">
        <v>39</v>
      </c>
      <c r="G1789">
        <v>5</v>
      </c>
      <c r="H1789">
        <v>22.49</v>
      </c>
      <c r="I1789">
        <v>0.25</v>
      </c>
      <c r="J1789">
        <v>84.34</v>
      </c>
      <c r="K1789" t="s">
        <v>16</v>
      </c>
      <c r="L1789" t="s">
        <v>17</v>
      </c>
      <c r="M1789" t="s">
        <v>57</v>
      </c>
    </row>
    <row r="1790" spans="1:13" x14ac:dyDescent="0.2">
      <c r="A1790">
        <v>393897</v>
      </c>
      <c r="B1790" s="1">
        <v>44735</v>
      </c>
      <c r="C1790">
        <v>39623</v>
      </c>
      <c r="D1790" t="s">
        <v>13</v>
      </c>
      <c r="E1790" t="s">
        <v>34</v>
      </c>
      <c r="F1790" t="s">
        <v>35</v>
      </c>
      <c r="G1790">
        <v>1</v>
      </c>
      <c r="H1790">
        <v>34.99</v>
      </c>
      <c r="J1790">
        <v>34.99</v>
      </c>
      <c r="K1790" t="s">
        <v>16</v>
      </c>
      <c r="L1790" t="s">
        <v>17</v>
      </c>
      <c r="M1790" t="s">
        <v>90</v>
      </c>
    </row>
    <row r="1791" spans="1:13" x14ac:dyDescent="0.2">
      <c r="A1791">
        <v>393997</v>
      </c>
      <c r="B1791" s="1">
        <v>44779</v>
      </c>
      <c r="D1791" t="s">
        <v>63</v>
      </c>
      <c r="E1791" t="s">
        <v>125</v>
      </c>
      <c r="F1791" t="s">
        <v>126</v>
      </c>
      <c r="G1791">
        <v>1</v>
      </c>
      <c r="H1791">
        <v>25.49</v>
      </c>
      <c r="I1791">
        <v>0.15</v>
      </c>
      <c r="J1791">
        <v>21.67</v>
      </c>
      <c r="K1791" t="s">
        <v>95</v>
      </c>
      <c r="L1791" t="s">
        <v>17</v>
      </c>
      <c r="M1791" t="s">
        <v>24</v>
      </c>
    </row>
    <row r="1792" spans="1:13" x14ac:dyDescent="0.2">
      <c r="A1792">
        <v>394095</v>
      </c>
      <c r="B1792" s="1">
        <v>44697</v>
      </c>
      <c r="C1792">
        <v>39018</v>
      </c>
      <c r="D1792" t="s">
        <v>63</v>
      </c>
      <c r="E1792" t="s">
        <v>125</v>
      </c>
      <c r="F1792" t="s">
        <v>126</v>
      </c>
      <c r="G1792">
        <v>3</v>
      </c>
      <c r="H1792">
        <v>29.99</v>
      </c>
      <c r="J1792">
        <v>89.97</v>
      </c>
      <c r="K1792" t="s">
        <v>53</v>
      </c>
      <c r="L1792" t="s">
        <v>17</v>
      </c>
      <c r="M1792" t="s">
        <v>33</v>
      </c>
    </row>
    <row r="1793" spans="1:13" x14ac:dyDescent="0.2">
      <c r="A1793">
        <v>394238</v>
      </c>
      <c r="B1793" s="1">
        <v>45229</v>
      </c>
      <c r="C1793">
        <v>61584</v>
      </c>
      <c r="D1793" t="s">
        <v>82</v>
      </c>
      <c r="E1793" t="s">
        <v>155</v>
      </c>
      <c r="F1793" t="s">
        <v>156</v>
      </c>
      <c r="G1793">
        <v>2</v>
      </c>
      <c r="H1793">
        <v>15.99</v>
      </c>
      <c r="J1793">
        <v>31.98</v>
      </c>
      <c r="K1793" t="s">
        <v>16</v>
      </c>
      <c r="L1793" t="s">
        <v>37</v>
      </c>
      <c r="M1793" t="s">
        <v>117</v>
      </c>
    </row>
    <row r="1794" spans="1:13" x14ac:dyDescent="0.2">
      <c r="A1794">
        <v>394351</v>
      </c>
      <c r="B1794" s="1">
        <v>44872</v>
      </c>
      <c r="C1794">
        <v>19073</v>
      </c>
      <c r="D1794" t="s">
        <v>97</v>
      </c>
      <c r="E1794" t="s">
        <v>151</v>
      </c>
      <c r="F1794" t="s">
        <v>152</v>
      </c>
      <c r="G1794">
        <v>1</v>
      </c>
      <c r="H1794">
        <v>34.99</v>
      </c>
      <c r="J1794">
        <v>34.99</v>
      </c>
      <c r="K1794" t="s">
        <v>22</v>
      </c>
      <c r="L1794" t="s">
        <v>17</v>
      </c>
      <c r="M1794" t="s">
        <v>33</v>
      </c>
    </row>
    <row r="1795" spans="1:13" x14ac:dyDescent="0.2">
      <c r="A1795">
        <v>394368</v>
      </c>
      <c r="B1795" s="1">
        <v>44806</v>
      </c>
      <c r="C1795">
        <v>14068</v>
      </c>
      <c r="D1795" t="s">
        <v>25</v>
      </c>
      <c r="E1795" t="s">
        <v>60</v>
      </c>
      <c r="F1795" t="s">
        <v>61</v>
      </c>
      <c r="G1795">
        <v>2</v>
      </c>
      <c r="H1795">
        <v>49.49</v>
      </c>
      <c r="I1795">
        <v>0.1</v>
      </c>
      <c r="J1795">
        <v>89.08</v>
      </c>
      <c r="K1795" t="s">
        <v>22</v>
      </c>
      <c r="L1795" t="s">
        <v>23</v>
      </c>
      <c r="M1795" t="s">
        <v>18</v>
      </c>
    </row>
    <row r="1796" spans="1:13" x14ac:dyDescent="0.2">
      <c r="A1796">
        <v>394523</v>
      </c>
      <c r="B1796" s="1">
        <v>44898</v>
      </c>
      <c r="C1796">
        <v>12830</v>
      </c>
      <c r="D1796" t="s">
        <v>40</v>
      </c>
      <c r="E1796" t="s">
        <v>20</v>
      </c>
      <c r="F1796" t="s">
        <v>21</v>
      </c>
      <c r="G1796">
        <v>1</v>
      </c>
      <c r="H1796">
        <v>9.99</v>
      </c>
      <c r="J1796">
        <v>9.99</v>
      </c>
      <c r="K1796" t="s">
        <v>32</v>
      </c>
      <c r="L1796" t="s">
        <v>37</v>
      </c>
      <c r="M1796" t="s">
        <v>161</v>
      </c>
    </row>
    <row r="1797" spans="1:13" x14ac:dyDescent="0.2">
      <c r="A1797">
        <v>394695</v>
      </c>
      <c r="B1797" s="1">
        <v>45569</v>
      </c>
      <c r="C1797">
        <v>35076</v>
      </c>
      <c r="D1797" t="s">
        <v>25</v>
      </c>
      <c r="E1797" t="s">
        <v>26</v>
      </c>
      <c r="F1797" t="s">
        <v>27</v>
      </c>
      <c r="G1797">
        <v>3</v>
      </c>
      <c r="H1797">
        <v>31.49</v>
      </c>
      <c r="I1797">
        <v>0.1</v>
      </c>
      <c r="J1797">
        <v>85.02</v>
      </c>
      <c r="K1797" t="s">
        <v>22</v>
      </c>
      <c r="L1797" t="s">
        <v>37</v>
      </c>
      <c r="M1797" t="s">
        <v>62</v>
      </c>
    </row>
    <row r="1798" spans="1:13" x14ac:dyDescent="0.2">
      <c r="A1798">
        <v>394804</v>
      </c>
      <c r="B1798" s="1">
        <v>44887</v>
      </c>
      <c r="C1798">
        <v>23119</v>
      </c>
      <c r="D1798" t="s">
        <v>44</v>
      </c>
      <c r="E1798" t="s">
        <v>45</v>
      </c>
      <c r="F1798" t="s">
        <v>46</v>
      </c>
      <c r="G1798">
        <v>2</v>
      </c>
      <c r="H1798">
        <v>1.79</v>
      </c>
      <c r="J1798">
        <v>3.58</v>
      </c>
      <c r="K1798" t="s">
        <v>36</v>
      </c>
      <c r="L1798" t="s">
        <v>37</v>
      </c>
      <c r="M1798" t="s">
        <v>67</v>
      </c>
    </row>
    <row r="1799" spans="1:13" x14ac:dyDescent="0.2">
      <c r="A1799">
        <v>394914</v>
      </c>
      <c r="B1799" s="1">
        <v>45361</v>
      </c>
      <c r="C1799">
        <v>52057</v>
      </c>
      <c r="D1799" t="s">
        <v>63</v>
      </c>
      <c r="E1799" t="s">
        <v>111</v>
      </c>
      <c r="F1799" t="s">
        <v>112</v>
      </c>
      <c r="G1799">
        <v>3</v>
      </c>
      <c r="H1799">
        <v>12.74</v>
      </c>
      <c r="I1799">
        <v>0.15</v>
      </c>
      <c r="J1799">
        <v>32.49</v>
      </c>
      <c r="K1799" t="s">
        <v>22</v>
      </c>
      <c r="L1799" t="s">
        <v>17</v>
      </c>
      <c r="M1799" t="s">
        <v>62</v>
      </c>
    </row>
    <row r="1800" spans="1:13" x14ac:dyDescent="0.2">
      <c r="A1800">
        <v>394954</v>
      </c>
      <c r="B1800" s="1">
        <v>45136</v>
      </c>
      <c r="C1800">
        <v>99966</v>
      </c>
      <c r="D1800" t="s">
        <v>85</v>
      </c>
      <c r="E1800" t="s">
        <v>153</v>
      </c>
      <c r="F1800" t="s">
        <v>154</v>
      </c>
      <c r="G1800">
        <v>2</v>
      </c>
      <c r="H1800">
        <v>28.49</v>
      </c>
      <c r="I1800">
        <v>0.05</v>
      </c>
      <c r="J1800">
        <v>54.13</v>
      </c>
      <c r="K1800" t="s">
        <v>36</v>
      </c>
      <c r="L1800" t="s">
        <v>17</v>
      </c>
      <c r="M1800" t="s">
        <v>62</v>
      </c>
    </row>
    <row r="1801" spans="1:13" x14ac:dyDescent="0.2">
      <c r="A1801">
        <v>395019</v>
      </c>
      <c r="B1801" s="1">
        <v>45279</v>
      </c>
      <c r="C1801">
        <v>33175</v>
      </c>
      <c r="D1801" t="s">
        <v>44</v>
      </c>
      <c r="E1801" t="s">
        <v>107</v>
      </c>
      <c r="F1801" t="s">
        <v>108</v>
      </c>
      <c r="G1801">
        <v>5</v>
      </c>
      <c r="H1801">
        <v>3.49</v>
      </c>
      <c r="J1801">
        <v>17.45</v>
      </c>
      <c r="K1801" t="s">
        <v>32</v>
      </c>
      <c r="L1801" t="s">
        <v>37</v>
      </c>
      <c r="M1801" t="s">
        <v>54</v>
      </c>
    </row>
    <row r="1802" spans="1:13" x14ac:dyDescent="0.2">
      <c r="A1802">
        <v>395647</v>
      </c>
      <c r="B1802" s="1">
        <v>45564</v>
      </c>
      <c r="C1802">
        <v>59433</v>
      </c>
      <c r="D1802" t="s">
        <v>97</v>
      </c>
      <c r="E1802" t="s">
        <v>121</v>
      </c>
      <c r="F1802" t="s">
        <v>122</v>
      </c>
      <c r="G1802">
        <v>2</v>
      </c>
      <c r="H1802">
        <v>11.04</v>
      </c>
      <c r="I1802">
        <v>0.15</v>
      </c>
      <c r="J1802">
        <v>18.77</v>
      </c>
      <c r="K1802" t="s">
        <v>16</v>
      </c>
      <c r="L1802" t="s">
        <v>17</v>
      </c>
      <c r="M1802" t="s">
        <v>102</v>
      </c>
    </row>
    <row r="1803" spans="1:13" x14ac:dyDescent="0.2">
      <c r="A1803">
        <v>395648</v>
      </c>
      <c r="B1803" s="1">
        <v>44691</v>
      </c>
      <c r="C1803">
        <v>62925</v>
      </c>
      <c r="D1803" t="s">
        <v>25</v>
      </c>
      <c r="E1803" t="s">
        <v>26</v>
      </c>
      <c r="F1803" t="s">
        <v>27</v>
      </c>
      <c r="G1803">
        <v>2</v>
      </c>
      <c r="H1803">
        <v>27.99</v>
      </c>
      <c r="I1803">
        <v>0.2</v>
      </c>
      <c r="J1803">
        <v>44.78</v>
      </c>
      <c r="K1803" t="s">
        <v>36</v>
      </c>
      <c r="L1803" t="s">
        <v>17</v>
      </c>
      <c r="M1803" t="s">
        <v>43</v>
      </c>
    </row>
    <row r="1804" spans="1:13" x14ac:dyDescent="0.2">
      <c r="A1804">
        <v>395694</v>
      </c>
      <c r="B1804" s="1">
        <v>45181</v>
      </c>
      <c r="D1804" t="s">
        <v>192</v>
      </c>
      <c r="E1804" t="s">
        <v>165</v>
      </c>
      <c r="F1804" t="s">
        <v>166</v>
      </c>
      <c r="G1804">
        <v>1</v>
      </c>
      <c r="H1804">
        <v>80.989999999999995</v>
      </c>
      <c r="I1804">
        <v>0.1</v>
      </c>
      <c r="J1804">
        <v>72.89</v>
      </c>
      <c r="K1804" t="s">
        <v>36</v>
      </c>
      <c r="L1804" t="s">
        <v>17</v>
      </c>
      <c r="M1804" t="s">
        <v>24</v>
      </c>
    </row>
    <row r="1805" spans="1:13" x14ac:dyDescent="0.2">
      <c r="A1805">
        <v>395746</v>
      </c>
      <c r="B1805" s="1">
        <v>44641</v>
      </c>
      <c r="C1805">
        <v>61752</v>
      </c>
      <c r="D1805" t="s">
        <v>48</v>
      </c>
      <c r="E1805" t="s">
        <v>109</v>
      </c>
      <c r="F1805" t="s">
        <v>110</v>
      </c>
      <c r="G1805">
        <v>3</v>
      </c>
      <c r="H1805">
        <v>6.99</v>
      </c>
      <c r="J1805">
        <v>20.97</v>
      </c>
      <c r="K1805" t="s">
        <v>16</v>
      </c>
      <c r="L1805" t="s">
        <v>37</v>
      </c>
      <c r="M1805" t="s">
        <v>117</v>
      </c>
    </row>
    <row r="1806" spans="1:13" x14ac:dyDescent="0.2">
      <c r="A1806">
        <v>395968</v>
      </c>
      <c r="B1806" s="2">
        <v>45542</v>
      </c>
      <c r="C1806">
        <v>23491</v>
      </c>
      <c r="D1806" t="s">
        <v>40</v>
      </c>
      <c r="E1806" t="s">
        <v>20</v>
      </c>
      <c r="F1806" t="s">
        <v>21</v>
      </c>
      <c r="G1806">
        <v>4</v>
      </c>
      <c r="H1806">
        <v>7.49</v>
      </c>
      <c r="I1806">
        <v>0.25</v>
      </c>
      <c r="J1806">
        <v>22.47</v>
      </c>
      <c r="K1806" t="s">
        <v>16</v>
      </c>
      <c r="L1806" t="s">
        <v>17</v>
      </c>
      <c r="M1806" t="s">
        <v>33</v>
      </c>
    </row>
    <row r="1807" spans="1:13" x14ac:dyDescent="0.2">
      <c r="A1807">
        <v>396080</v>
      </c>
      <c r="B1807" s="1">
        <v>44709</v>
      </c>
      <c r="C1807">
        <v>61612</v>
      </c>
      <c r="D1807" t="s">
        <v>82</v>
      </c>
      <c r="E1807" t="s">
        <v>147</v>
      </c>
      <c r="F1807" t="s">
        <v>148</v>
      </c>
      <c r="G1807">
        <v>3</v>
      </c>
      <c r="H1807">
        <v>9.09</v>
      </c>
      <c r="J1807">
        <v>27.27</v>
      </c>
      <c r="K1807" t="s">
        <v>53</v>
      </c>
      <c r="L1807" t="s">
        <v>17</v>
      </c>
      <c r="M1807" t="s">
        <v>24</v>
      </c>
    </row>
    <row r="1808" spans="1:13" x14ac:dyDescent="0.2">
      <c r="A1808">
        <v>396191</v>
      </c>
      <c r="B1808" s="1">
        <v>45012</v>
      </c>
      <c r="C1808">
        <v>45673</v>
      </c>
      <c r="D1808" t="s">
        <v>29</v>
      </c>
      <c r="E1808" t="s">
        <v>38</v>
      </c>
      <c r="F1808" t="s">
        <v>39</v>
      </c>
      <c r="G1808">
        <v>3</v>
      </c>
      <c r="H1808">
        <v>29.99</v>
      </c>
      <c r="J1808">
        <v>89.97</v>
      </c>
      <c r="K1808" t="s">
        <v>16</v>
      </c>
      <c r="L1808" t="s">
        <v>17</v>
      </c>
      <c r="M1808" t="s">
        <v>54</v>
      </c>
    </row>
    <row r="1809" spans="1:13" x14ac:dyDescent="0.2">
      <c r="A1809">
        <v>396251</v>
      </c>
      <c r="B1809" s="1">
        <v>45051</v>
      </c>
      <c r="C1809">
        <v>66885</v>
      </c>
      <c r="D1809" t="s">
        <v>85</v>
      </c>
      <c r="E1809" t="s">
        <v>157</v>
      </c>
      <c r="F1809" t="s">
        <v>158</v>
      </c>
      <c r="G1809">
        <v>2</v>
      </c>
      <c r="H1809">
        <v>12.14</v>
      </c>
      <c r="I1809">
        <v>0.1</v>
      </c>
      <c r="J1809">
        <v>21.85</v>
      </c>
      <c r="K1809" t="s">
        <v>22</v>
      </c>
      <c r="L1809" t="s">
        <v>23</v>
      </c>
      <c r="M1809" t="s">
        <v>81</v>
      </c>
    </row>
    <row r="1810" spans="1:13" x14ac:dyDescent="0.2">
      <c r="A1810">
        <v>396742</v>
      </c>
      <c r="B1810" s="2">
        <v>44566</v>
      </c>
      <c r="C1810">
        <v>71150</v>
      </c>
      <c r="D1810" t="s">
        <v>40</v>
      </c>
      <c r="E1810" t="s">
        <v>197</v>
      </c>
      <c r="F1810" t="s">
        <v>198</v>
      </c>
      <c r="G1810">
        <v>3</v>
      </c>
      <c r="H1810">
        <v>14.99</v>
      </c>
      <c r="J1810">
        <v>44.97</v>
      </c>
      <c r="K1810" t="s">
        <v>95</v>
      </c>
      <c r="L1810" t="s">
        <v>37</v>
      </c>
      <c r="M1810" t="s">
        <v>43</v>
      </c>
    </row>
    <row r="1811" spans="1:13" x14ac:dyDescent="0.2">
      <c r="A1811">
        <v>397167</v>
      </c>
      <c r="B1811" s="1">
        <v>45623</v>
      </c>
      <c r="D1811" t="s">
        <v>25</v>
      </c>
      <c r="E1811" t="s">
        <v>51</v>
      </c>
      <c r="F1811" t="s">
        <v>52</v>
      </c>
      <c r="G1811">
        <v>2</v>
      </c>
      <c r="H1811">
        <v>26.59</v>
      </c>
      <c r="I1811">
        <v>0.05</v>
      </c>
      <c r="J1811">
        <v>50.52</v>
      </c>
      <c r="K1811" t="s">
        <v>16</v>
      </c>
      <c r="L1811" t="s">
        <v>37</v>
      </c>
      <c r="M1811" t="s">
        <v>76</v>
      </c>
    </row>
    <row r="1812" spans="1:13" x14ac:dyDescent="0.2">
      <c r="A1812">
        <v>397459</v>
      </c>
      <c r="B1812" s="1">
        <v>44794</v>
      </c>
      <c r="C1812">
        <v>39627</v>
      </c>
      <c r="D1812" t="s">
        <v>82</v>
      </c>
      <c r="E1812" t="s">
        <v>83</v>
      </c>
      <c r="F1812" t="s">
        <v>84</v>
      </c>
      <c r="G1812">
        <v>5</v>
      </c>
      <c r="H1812">
        <v>16.14</v>
      </c>
      <c r="I1812">
        <v>0.05</v>
      </c>
      <c r="J1812">
        <v>76.66</v>
      </c>
      <c r="K1812" t="s">
        <v>53</v>
      </c>
      <c r="L1812" t="s">
        <v>37</v>
      </c>
      <c r="M1812" t="s">
        <v>67</v>
      </c>
    </row>
    <row r="1813" spans="1:13" x14ac:dyDescent="0.2">
      <c r="A1813">
        <v>397721</v>
      </c>
      <c r="B1813" s="1">
        <v>45319</v>
      </c>
      <c r="C1813">
        <v>92951</v>
      </c>
      <c r="D1813" t="s">
        <v>29</v>
      </c>
      <c r="E1813" t="s">
        <v>30</v>
      </c>
      <c r="F1813" t="s">
        <v>31</v>
      </c>
      <c r="G1813">
        <v>2</v>
      </c>
      <c r="H1813">
        <v>24.99</v>
      </c>
      <c r="J1813">
        <v>49.98</v>
      </c>
      <c r="K1813" t="s">
        <v>36</v>
      </c>
      <c r="L1813" t="s">
        <v>37</v>
      </c>
      <c r="M1813" t="s">
        <v>33</v>
      </c>
    </row>
    <row r="1814" spans="1:13" x14ac:dyDescent="0.2">
      <c r="A1814">
        <v>398194</v>
      </c>
      <c r="B1814" s="1">
        <v>45415</v>
      </c>
      <c r="C1814">
        <v>83685</v>
      </c>
      <c r="D1814" t="s">
        <v>97</v>
      </c>
      <c r="E1814" t="s">
        <v>151</v>
      </c>
      <c r="F1814" t="s">
        <v>152</v>
      </c>
      <c r="G1814">
        <v>1</v>
      </c>
      <c r="H1814">
        <v>34.99</v>
      </c>
      <c r="J1814">
        <v>34.99</v>
      </c>
      <c r="K1814" t="s">
        <v>36</v>
      </c>
      <c r="L1814" t="s">
        <v>37</v>
      </c>
      <c r="M1814" t="s">
        <v>33</v>
      </c>
    </row>
    <row r="1815" spans="1:13" x14ac:dyDescent="0.2">
      <c r="A1815">
        <v>398221</v>
      </c>
      <c r="B1815" s="1">
        <v>44695</v>
      </c>
      <c r="C1815">
        <v>45205</v>
      </c>
      <c r="D1815" t="s">
        <v>82</v>
      </c>
      <c r="E1815" t="s">
        <v>147</v>
      </c>
      <c r="F1815" t="s">
        <v>148</v>
      </c>
      <c r="G1815">
        <v>1</v>
      </c>
      <c r="H1815">
        <v>9.74</v>
      </c>
      <c r="I1815">
        <v>0.25</v>
      </c>
      <c r="J1815">
        <v>7.3</v>
      </c>
      <c r="K1815" t="s">
        <v>16</v>
      </c>
      <c r="L1815" t="s">
        <v>17</v>
      </c>
      <c r="M1815" t="s">
        <v>43</v>
      </c>
    </row>
    <row r="1816" spans="1:13" x14ac:dyDescent="0.2">
      <c r="A1816">
        <v>398254</v>
      </c>
      <c r="B1816" s="2">
        <v>45335</v>
      </c>
      <c r="C1816">
        <v>58026</v>
      </c>
      <c r="D1816" t="s">
        <v>48</v>
      </c>
      <c r="E1816" t="s">
        <v>49</v>
      </c>
      <c r="F1816" t="s">
        <v>50</v>
      </c>
      <c r="G1816">
        <v>4</v>
      </c>
      <c r="H1816">
        <v>7.64</v>
      </c>
      <c r="I1816">
        <v>0.15</v>
      </c>
      <c r="J1816">
        <v>25.98</v>
      </c>
      <c r="K1816" t="s">
        <v>16</v>
      </c>
      <c r="L1816" t="s">
        <v>17</v>
      </c>
      <c r="M1816" t="s">
        <v>47</v>
      </c>
    </row>
    <row r="1817" spans="1:13" x14ac:dyDescent="0.2">
      <c r="A1817">
        <v>398357</v>
      </c>
      <c r="B1817" s="1">
        <v>45654</v>
      </c>
      <c r="C1817">
        <v>28346</v>
      </c>
      <c r="D1817" t="s">
        <v>25</v>
      </c>
      <c r="E1817" t="s">
        <v>113</v>
      </c>
      <c r="F1817" t="s">
        <v>114</v>
      </c>
      <c r="G1817">
        <v>1</v>
      </c>
      <c r="H1817">
        <v>113.99</v>
      </c>
      <c r="I1817">
        <v>0.05</v>
      </c>
      <c r="J1817">
        <v>108.29</v>
      </c>
      <c r="K1817" t="s">
        <v>36</v>
      </c>
      <c r="L1817" t="s">
        <v>37</v>
      </c>
      <c r="M1817" t="s">
        <v>18</v>
      </c>
    </row>
    <row r="1818" spans="1:13" x14ac:dyDescent="0.2">
      <c r="A1818">
        <v>398539</v>
      </c>
      <c r="B1818" s="1">
        <v>44571</v>
      </c>
      <c r="C1818">
        <v>89986</v>
      </c>
      <c r="D1818" t="s">
        <v>13</v>
      </c>
      <c r="E1818" t="s">
        <v>77</v>
      </c>
      <c r="F1818" t="s">
        <v>78</v>
      </c>
      <c r="G1818">
        <v>2</v>
      </c>
      <c r="H1818">
        <v>399.99</v>
      </c>
      <c r="I1818">
        <v>0.2</v>
      </c>
      <c r="J1818">
        <v>639.98</v>
      </c>
      <c r="K1818" t="s">
        <v>16</v>
      </c>
      <c r="L1818" t="s">
        <v>23</v>
      </c>
      <c r="M1818" t="s">
        <v>76</v>
      </c>
    </row>
    <row r="1819" spans="1:13" x14ac:dyDescent="0.2">
      <c r="A1819">
        <v>398714</v>
      </c>
      <c r="B1819" s="1">
        <v>45602</v>
      </c>
      <c r="C1819">
        <v>30546</v>
      </c>
      <c r="D1819" t="s">
        <v>82</v>
      </c>
      <c r="E1819" t="s">
        <v>83</v>
      </c>
      <c r="F1819" t="s">
        <v>84</v>
      </c>
      <c r="G1819">
        <v>5</v>
      </c>
      <c r="H1819">
        <v>11.89</v>
      </c>
      <c r="I1819">
        <v>0.3</v>
      </c>
      <c r="J1819">
        <v>41.62</v>
      </c>
      <c r="K1819" t="s">
        <v>16</v>
      </c>
      <c r="L1819" t="s">
        <v>37</v>
      </c>
      <c r="M1819" t="s">
        <v>102</v>
      </c>
    </row>
    <row r="1820" spans="1:13" x14ac:dyDescent="0.2">
      <c r="A1820">
        <v>398803</v>
      </c>
      <c r="B1820" s="1">
        <v>45545</v>
      </c>
      <c r="C1820">
        <v>64922</v>
      </c>
      <c r="D1820" t="s">
        <v>25</v>
      </c>
      <c r="E1820" t="s">
        <v>113</v>
      </c>
      <c r="F1820" t="s">
        <v>114</v>
      </c>
      <c r="G1820">
        <v>4</v>
      </c>
      <c r="H1820">
        <v>107.99</v>
      </c>
      <c r="I1820">
        <v>0.1</v>
      </c>
      <c r="J1820">
        <v>388.76</v>
      </c>
      <c r="K1820" t="s">
        <v>16</v>
      </c>
      <c r="L1820" t="s">
        <v>37</v>
      </c>
      <c r="M1820" t="s">
        <v>57</v>
      </c>
    </row>
    <row r="1821" spans="1:13" x14ac:dyDescent="0.2">
      <c r="A1821">
        <v>398876</v>
      </c>
      <c r="B1821" s="1">
        <v>45320</v>
      </c>
      <c r="C1821">
        <v>59834</v>
      </c>
      <c r="D1821" t="s">
        <v>13</v>
      </c>
      <c r="E1821" t="s">
        <v>127</v>
      </c>
      <c r="F1821" t="s">
        <v>128</v>
      </c>
      <c r="G1821">
        <v>5</v>
      </c>
      <c r="H1821">
        <v>15.99</v>
      </c>
      <c r="I1821">
        <v>0.2</v>
      </c>
      <c r="J1821">
        <v>63.96</v>
      </c>
      <c r="K1821" t="s">
        <v>22</v>
      </c>
      <c r="L1821" t="s">
        <v>17</v>
      </c>
      <c r="M1821" t="s">
        <v>123</v>
      </c>
    </row>
    <row r="1822" spans="1:13" x14ac:dyDescent="0.2">
      <c r="A1822">
        <v>398882</v>
      </c>
      <c r="B1822" s="1">
        <v>45346</v>
      </c>
      <c r="C1822">
        <v>10609</v>
      </c>
      <c r="D1822" t="s">
        <v>44</v>
      </c>
      <c r="E1822" t="s">
        <v>107</v>
      </c>
      <c r="F1822" t="s">
        <v>108</v>
      </c>
      <c r="G1822">
        <v>2</v>
      </c>
      <c r="H1822">
        <v>3.32</v>
      </c>
      <c r="I1822">
        <v>0.05</v>
      </c>
      <c r="J1822">
        <v>6.31</v>
      </c>
      <c r="K1822" t="s">
        <v>36</v>
      </c>
      <c r="L1822" t="s">
        <v>37</v>
      </c>
      <c r="M1822" t="s">
        <v>54</v>
      </c>
    </row>
    <row r="1823" spans="1:13" x14ac:dyDescent="0.2">
      <c r="A1823">
        <v>398910</v>
      </c>
      <c r="B1823" s="1">
        <v>44772</v>
      </c>
      <c r="C1823">
        <v>77286</v>
      </c>
      <c r="D1823" t="s">
        <v>13</v>
      </c>
      <c r="E1823" t="s">
        <v>55</v>
      </c>
      <c r="F1823" t="s">
        <v>56</v>
      </c>
      <c r="G1823">
        <v>4</v>
      </c>
      <c r="H1823">
        <v>230.99</v>
      </c>
      <c r="I1823">
        <v>0.3</v>
      </c>
      <c r="J1823">
        <v>646.77</v>
      </c>
      <c r="K1823" t="s">
        <v>36</v>
      </c>
      <c r="L1823" t="s">
        <v>17</v>
      </c>
      <c r="M1823" t="s">
        <v>47</v>
      </c>
    </row>
    <row r="1824" spans="1:13" x14ac:dyDescent="0.2">
      <c r="A1824">
        <v>399006</v>
      </c>
      <c r="B1824" s="1">
        <v>45176</v>
      </c>
      <c r="C1824">
        <v>78806</v>
      </c>
      <c r="D1824" t="s">
        <v>40</v>
      </c>
      <c r="E1824" t="s">
        <v>197</v>
      </c>
      <c r="F1824" t="s">
        <v>198</v>
      </c>
      <c r="G1824">
        <v>1</v>
      </c>
      <c r="H1824">
        <v>11.99</v>
      </c>
      <c r="I1824">
        <v>0.2</v>
      </c>
      <c r="J1824">
        <v>9.59</v>
      </c>
      <c r="K1824" t="s">
        <v>53</v>
      </c>
      <c r="L1824" t="s">
        <v>37</v>
      </c>
      <c r="M1824" t="s">
        <v>117</v>
      </c>
    </row>
    <row r="1825" spans="1:13" x14ac:dyDescent="0.2">
      <c r="A1825">
        <v>399346</v>
      </c>
      <c r="B1825" s="1">
        <v>45333</v>
      </c>
      <c r="D1825" t="s">
        <v>167</v>
      </c>
      <c r="E1825" t="s">
        <v>179</v>
      </c>
      <c r="F1825" t="s">
        <v>180</v>
      </c>
      <c r="G1825">
        <v>1</v>
      </c>
      <c r="H1825">
        <v>11.39</v>
      </c>
      <c r="I1825">
        <v>0.05</v>
      </c>
      <c r="J1825">
        <v>10.82</v>
      </c>
      <c r="K1825" t="s">
        <v>16</v>
      </c>
      <c r="L1825" t="s">
        <v>37</v>
      </c>
      <c r="M1825" t="s">
        <v>103</v>
      </c>
    </row>
    <row r="1826" spans="1:13" x14ac:dyDescent="0.2">
      <c r="A1826">
        <v>399480</v>
      </c>
      <c r="B1826" s="1">
        <v>45256</v>
      </c>
      <c r="C1826">
        <v>68455</v>
      </c>
      <c r="D1826" t="s">
        <v>44</v>
      </c>
      <c r="E1826" t="s">
        <v>190</v>
      </c>
      <c r="F1826" t="s">
        <v>191</v>
      </c>
      <c r="G1826">
        <v>2</v>
      </c>
      <c r="H1826">
        <v>3</v>
      </c>
      <c r="I1826">
        <v>0.3</v>
      </c>
      <c r="J1826">
        <v>4.2</v>
      </c>
      <c r="K1826" t="s">
        <v>53</v>
      </c>
      <c r="L1826" t="s">
        <v>37</v>
      </c>
      <c r="M1826" t="s">
        <v>123</v>
      </c>
    </row>
    <row r="1827" spans="1:13" x14ac:dyDescent="0.2">
      <c r="A1827">
        <v>399549</v>
      </c>
      <c r="B1827" s="1">
        <v>44656</v>
      </c>
      <c r="D1827" t="s">
        <v>48</v>
      </c>
      <c r="E1827" t="s">
        <v>143</v>
      </c>
      <c r="F1827" t="s">
        <v>144</v>
      </c>
      <c r="G1827">
        <v>1</v>
      </c>
      <c r="H1827">
        <v>12.74</v>
      </c>
      <c r="I1827">
        <v>0.15</v>
      </c>
      <c r="J1827">
        <v>10.83</v>
      </c>
      <c r="K1827" t="s">
        <v>66</v>
      </c>
      <c r="L1827" t="s">
        <v>23</v>
      </c>
      <c r="M1827" t="s">
        <v>54</v>
      </c>
    </row>
    <row r="1828" spans="1:13" x14ac:dyDescent="0.2">
      <c r="A1828">
        <v>399577</v>
      </c>
      <c r="B1828" s="1">
        <v>45532</v>
      </c>
      <c r="C1828">
        <v>16540</v>
      </c>
      <c r="D1828" t="s">
        <v>25</v>
      </c>
      <c r="E1828" t="s">
        <v>113</v>
      </c>
      <c r="F1828" t="s">
        <v>114</v>
      </c>
      <c r="G1828">
        <v>1</v>
      </c>
      <c r="H1828">
        <v>83.99</v>
      </c>
      <c r="I1828">
        <v>0.3</v>
      </c>
      <c r="J1828">
        <v>58.79</v>
      </c>
      <c r="K1828" t="s">
        <v>16</v>
      </c>
      <c r="L1828" t="s">
        <v>17</v>
      </c>
      <c r="M1828" t="s">
        <v>54</v>
      </c>
    </row>
    <row r="1829" spans="1:13" x14ac:dyDescent="0.2">
      <c r="A1829">
        <v>399900</v>
      </c>
      <c r="B1829" s="1">
        <v>44950</v>
      </c>
      <c r="C1829">
        <v>55378</v>
      </c>
      <c r="D1829" t="s">
        <v>44</v>
      </c>
      <c r="E1829" t="s">
        <v>172</v>
      </c>
      <c r="F1829" t="s">
        <v>173</v>
      </c>
      <c r="G1829">
        <v>5</v>
      </c>
      <c r="H1829">
        <v>4.04</v>
      </c>
      <c r="I1829">
        <v>0.1</v>
      </c>
      <c r="J1829">
        <v>18.18</v>
      </c>
      <c r="K1829" t="s">
        <v>16</v>
      </c>
      <c r="L1829" t="s">
        <v>17</v>
      </c>
      <c r="M1829" t="s">
        <v>81</v>
      </c>
    </row>
    <row r="1830" spans="1:13" x14ac:dyDescent="0.2">
      <c r="A1830">
        <v>399950</v>
      </c>
      <c r="B1830" s="1">
        <v>45022</v>
      </c>
      <c r="C1830">
        <v>28585</v>
      </c>
      <c r="D1830" t="s">
        <v>13</v>
      </c>
      <c r="E1830" t="s">
        <v>159</v>
      </c>
      <c r="F1830" t="s">
        <v>160</v>
      </c>
      <c r="G1830">
        <v>1</v>
      </c>
      <c r="H1830">
        <v>56.99</v>
      </c>
      <c r="I1830">
        <v>0.05</v>
      </c>
      <c r="J1830">
        <v>54.14</v>
      </c>
      <c r="K1830" t="s">
        <v>53</v>
      </c>
      <c r="L1830" t="s">
        <v>17</v>
      </c>
      <c r="M1830" t="s">
        <v>43</v>
      </c>
    </row>
    <row r="1831" spans="1:13" x14ac:dyDescent="0.2">
      <c r="A1831">
        <v>400527</v>
      </c>
      <c r="B1831" s="2">
        <v>45373</v>
      </c>
      <c r="C1831">
        <v>32577</v>
      </c>
      <c r="D1831" t="s">
        <v>97</v>
      </c>
      <c r="E1831" t="s">
        <v>121</v>
      </c>
      <c r="F1831" t="s">
        <v>122</v>
      </c>
      <c r="G1831">
        <v>2</v>
      </c>
      <c r="H1831">
        <v>9.74</v>
      </c>
      <c r="I1831">
        <v>0.25</v>
      </c>
      <c r="J1831">
        <v>14.61</v>
      </c>
      <c r="K1831" t="s">
        <v>36</v>
      </c>
      <c r="L1831" t="s">
        <v>17</v>
      </c>
      <c r="M1831" t="s">
        <v>47</v>
      </c>
    </row>
    <row r="1832" spans="1:13" x14ac:dyDescent="0.2">
      <c r="A1832">
        <v>400551</v>
      </c>
      <c r="B1832" s="1">
        <v>45217</v>
      </c>
      <c r="C1832">
        <v>97389</v>
      </c>
      <c r="D1832" t="s">
        <v>40</v>
      </c>
      <c r="E1832" t="s">
        <v>41</v>
      </c>
      <c r="F1832" t="s">
        <v>42</v>
      </c>
      <c r="G1832">
        <v>3</v>
      </c>
      <c r="H1832">
        <v>4.79</v>
      </c>
      <c r="I1832">
        <v>0.2</v>
      </c>
      <c r="J1832">
        <v>11.5</v>
      </c>
      <c r="K1832" t="s">
        <v>22</v>
      </c>
      <c r="L1832" t="s">
        <v>17</v>
      </c>
      <c r="M1832" t="s">
        <v>47</v>
      </c>
    </row>
    <row r="1833" spans="1:13" x14ac:dyDescent="0.2">
      <c r="A1833">
        <v>400676</v>
      </c>
      <c r="B1833" s="1">
        <v>44728</v>
      </c>
      <c r="C1833">
        <v>92438</v>
      </c>
      <c r="D1833" t="s">
        <v>48</v>
      </c>
      <c r="E1833" t="s">
        <v>49</v>
      </c>
      <c r="F1833" t="s">
        <v>50</v>
      </c>
      <c r="G1833">
        <v>2</v>
      </c>
      <c r="H1833">
        <v>6.74</v>
      </c>
      <c r="I1833">
        <v>0.25</v>
      </c>
      <c r="J1833">
        <v>10.11</v>
      </c>
      <c r="K1833" t="s">
        <v>16</v>
      </c>
      <c r="L1833" t="s">
        <v>17</v>
      </c>
      <c r="M1833" t="s">
        <v>18</v>
      </c>
    </row>
    <row r="1834" spans="1:13" x14ac:dyDescent="0.2">
      <c r="A1834">
        <v>400681</v>
      </c>
      <c r="B1834" s="2">
        <v>45513</v>
      </c>
      <c r="C1834">
        <v>81847</v>
      </c>
      <c r="D1834" t="s">
        <v>63</v>
      </c>
      <c r="E1834" t="s">
        <v>111</v>
      </c>
      <c r="F1834" t="s">
        <v>112</v>
      </c>
      <c r="G1834">
        <v>1</v>
      </c>
      <c r="H1834">
        <v>10.49</v>
      </c>
      <c r="I1834">
        <v>0.3</v>
      </c>
      <c r="J1834">
        <v>7.34</v>
      </c>
      <c r="K1834" t="s">
        <v>22</v>
      </c>
      <c r="L1834" t="s">
        <v>37</v>
      </c>
      <c r="M1834" t="s">
        <v>90</v>
      </c>
    </row>
    <row r="1835" spans="1:13" x14ac:dyDescent="0.2">
      <c r="A1835">
        <v>400909</v>
      </c>
      <c r="B1835" s="1">
        <v>44827</v>
      </c>
      <c r="C1835">
        <v>23380</v>
      </c>
      <c r="D1835" t="s">
        <v>44</v>
      </c>
      <c r="E1835" t="s">
        <v>133</v>
      </c>
      <c r="F1835" t="s">
        <v>134</v>
      </c>
      <c r="G1835">
        <v>5</v>
      </c>
      <c r="H1835">
        <v>3.6</v>
      </c>
      <c r="I1835">
        <v>0.05</v>
      </c>
      <c r="J1835">
        <v>17.100000000000001</v>
      </c>
      <c r="K1835" t="s">
        <v>36</v>
      </c>
      <c r="L1835" t="s">
        <v>17</v>
      </c>
      <c r="M1835" t="s">
        <v>161</v>
      </c>
    </row>
    <row r="1836" spans="1:13" x14ac:dyDescent="0.2">
      <c r="A1836">
        <v>401098</v>
      </c>
      <c r="B1836" s="2">
        <v>44852</v>
      </c>
      <c r="C1836">
        <v>23136</v>
      </c>
      <c r="D1836" t="s">
        <v>25</v>
      </c>
      <c r="E1836" t="s">
        <v>70</v>
      </c>
      <c r="F1836" t="s">
        <v>71</v>
      </c>
      <c r="G1836">
        <v>4</v>
      </c>
      <c r="H1836">
        <v>85.49</v>
      </c>
      <c r="I1836">
        <v>0.05</v>
      </c>
      <c r="J1836">
        <v>324.86</v>
      </c>
      <c r="K1836" t="s">
        <v>53</v>
      </c>
      <c r="L1836" t="s">
        <v>17</v>
      </c>
      <c r="M1836" t="s">
        <v>96</v>
      </c>
    </row>
    <row r="1837" spans="1:13" x14ac:dyDescent="0.2">
      <c r="A1837">
        <v>401421</v>
      </c>
      <c r="B1837" s="1">
        <v>45436</v>
      </c>
      <c r="C1837">
        <v>62002</v>
      </c>
      <c r="D1837" t="s">
        <v>48</v>
      </c>
      <c r="E1837" t="s">
        <v>49</v>
      </c>
      <c r="F1837" t="s">
        <v>50</v>
      </c>
      <c r="G1837">
        <v>5</v>
      </c>
      <c r="H1837">
        <v>8.99</v>
      </c>
      <c r="J1837">
        <v>44.95</v>
      </c>
      <c r="K1837" t="s">
        <v>16</v>
      </c>
      <c r="L1837" t="s">
        <v>17</v>
      </c>
      <c r="M1837" t="s">
        <v>76</v>
      </c>
    </row>
    <row r="1838" spans="1:13" x14ac:dyDescent="0.2">
      <c r="A1838">
        <v>401488</v>
      </c>
      <c r="B1838" s="2">
        <v>44899</v>
      </c>
      <c r="C1838">
        <v>52250</v>
      </c>
      <c r="D1838" t="s">
        <v>63</v>
      </c>
      <c r="E1838" t="s">
        <v>131</v>
      </c>
      <c r="F1838" t="s">
        <v>132</v>
      </c>
      <c r="G1838">
        <v>1</v>
      </c>
      <c r="H1838">
        <v>2.97</v>
      </c>
      <c r="I1838">
        <v>0.15</v>
      </c>
      <c r="J1838">
        <v>2.52</v>
      </c>
      <c r="K1838" t="s">
        <v>95</v>
      </c>
      <c r="L1838" t="s">
        <v>17</v>
      </c>
      <c r="M1838" t="s">
        <v>33</v>
      </c>
    </row>
    <row r="1839" spans="1:13" x14ac:dyDescent="0.2">
      <c r="A1839">
        <v>401716</v>
      </c>
      <c r="B1839" s="1">
        <v>45422</v>
      </c>
      <c r="C1839">
        <v>52937</v>
      </c>
      <c r="D1839" t="s">
        <v>44</v>
      </c>
      <c r="E1839" t="s">
        <v>133</v>
      </c>
      <c r="F1839" t="s">
        <v>134</v>
      </c>
      <c r="G1839">
        <v>1</v>
      </c>
      <c r="H1839">
        <v>3.79</v>
      </c>
      <c r="J1839">
        <v>3.79</v>
      </c>
      <c r="K1839" t="s">
        <v>36</v>
      </c>
      <c r="L1839" t="s">
        <v>17</v>
      </c>
      <c r="M1839" t="s">
        <v>103</v>
      </c>
    </row>
    <row r="1840" spans="1:13" x14ac:dyDescent="0.2">
      <c r="A1840">
        <v>401936</v>
      </c>
      <c r="B1840" s="1">
        <v>45284</v>
      </c>
      <c r="C1840">
        <v>41533</v>
      </c>
      <c r="D1840" t="s">
        <v>85</v>
      </c>
      <c r="E1840" t="s">
        <v>145</v>
      </c>
      <c r="F1840" t="s">
        <v>146</v>
      </c>
      <c r="G1840">
        <v>2</v>
      </c>
      <c r="H1840">
        <v>16.989999999999998</v>
      </c>
      <c r="J1840">
        <v>33.979999999999997</v>
      </c>
      <c r="K1840" t="s">
        <v>16</v>
      </c>
      <c r="L1840" t="s">
        <v>17</v>
      </c>
      <c r="M1840" t="s">
        <v>103</v>
      </c>
    </row>
    <row r="1841" spans="1:13" x14ac:dyDescent="0.2">
      <c r="A1841">
        <v>401982</v>
      </c>
      <c r="B1841" s="1">
        <v>44912</v>
      </c>
      <c r="C1841">
        <v>34258</v>
      </c>
      <c r="D1841" t="s">
        <v>29</v>
      </c>
      <c r="E1841" t="s">
        <v>38</v>
      </c>
      <c r="F1841" t="s">
        <v>39</v>
      </c>
      <c r="G1841">
        <v>1</v>
      </c>
      <c r="H1841">
        <v>28.49</v>
      </c>
      <c r="I1841">
        <v>0.05</v>
      </c>
      <c r="J1841">
        <v>27.07</v>
      </c>
      <c r="K1841" t="s">
        <v>16</v>
      </c>
      <c r="L1841" t="s">
        <v>17</v>
      </c>
      <c r="M1841" t="s">
        <v>117</v>
      </c>
    </row>
    <row r="1842" spans="1:13" x14ac:dyDescent="0.2">
      <c r="A1842">
        <v>402144</v>
      </c>
      <c r="B1842" s="2">
        <v>45146</v>
      </c>
      <c r="C1842">
        <v>88245</v>
      </c>
      <c r="D1842" t="s">
        <v>44</v>
      </c>
      <c r="E1842" t="s">
        <v>91</v>
      </c>
      <c r="F1842" t="s">
        <v>92</v>
      </c>
      <c r="G1842">
        <v>2</v>
      </c>
      <c r="H1842">
        <v>6.29</v>
      </c>
      <c r="J1842">
        <v>12.58</v>
      </c>
      <c r="K1842" t="s">
        <v>36</v>
      </c>
      <c r="L1842" t="s">
        <v>17</v>
      </c>
      <c r="M1842" t="s">
        <v>117</v>
      </c>
    </row>
    <row r="1843" spans="1:13" x14ac:dyDescent="0.2">
      <c r="A1843">
        <v>402154</v>
      </c>
      <c r="B1843" s="1">
        <v>44882</v>
      </c>
      <c r="C1843">
        <v>44238</v>
      </c>
      <c r="D1843" t="s">
        <v>13</v>
      </c>
      <c r="E1843" t="s">
        <v>79</v>
      </c>
      <c r="F1843" t="s">
        <v>80</v>
      </c>
      <c r="G1843">
        <v>3</v>
      </c>
      <c r="H1843">
        <v>80.989999999999995</v>
      </c>
      <c r="I1843">
        <v>0.1</v>
      </c>
      <c r="J1843">
        <v>218.67</v>
      </c>
      <c r="K1843" t="s">
        <v>16</v>
      </c>
      <c r="L1843" t="s">
        <v>37</v>
      </c>
      <c r="M1843" t="s">
        <v>90</v>
      </c>
    </row>
    <row r="1844" spans="1:13" x14ac:dyDescent="0.2">
      <c r="A1844">
        <v>402217</v>
      </c>
      <c r="B1844" s="2">
        <v>44834</v>
      </c>
      <c r="C1844">
        <v>85147</v>
      </c>
      <c r="D1844" t="s">
        <v>40</v>
      </c>
      <c r="E1844" t="s">
        <v>41</v>
      </c>
      <c r="F1844" t="s">
        <v>42</v>
      </c>
      <c r="G1844">
        <v>3</v>
      </c>
      <c r="H1844">
        <v>5.39</v>
      </c>
      <c r="J1844">
        <v>16.170000000000002</v>
      </c>
      <c r="K1844" t="s">
        <v>36</v>
      </c>
      <c r="L1844" t="s">
        <v>37</v>
      </c>
      <c r="M1844" t="s">
        <v>81</v>
      </c>
    </row>
    <row r="1845" spans="1:13" x14ac:dyDescent="0.2">
      <c r="A1845">
        <v>402276</v>
      </c>
      <c r="B1845" s="2">
        <v>44917</v>
      </c>
      <c r="C1845">
        <v>67954</v>
      </c>
      <c r="D1845" t="s">
        <v>48</v>
      </c>
      <c r="E1845" t="s">
        <v>49</v>
      </c>
      <c r="F1845" t="s">
        <v>50</v>
      </c>
      <c r="G1845">
        <v>3</v>
      </c>
      <c r="H1845">
        <v>8.09</v>
      </c>
      <c r="I1845">
        <v>0.1</v>
      </c>
      <c r="J1845">
        <v>21.84</v>
      </c>
      <c r="K1845" t="s">
        <v>36</v>
      </c>
      <c r="L1845" t="s">
        <v>17</v>
      </c>
      <c r="M1845" t="s">
        <v>117</v>
      </c>
    </row>
    <row r="1846" spans="1:13" x14ac:dyDescent="0.2">
      <c r="A1846">
        <v>402295</v>
      </c>
      <c r="B1846" s="1">
        <v>45047</v>
      </c>
      <c r="C1846">
        <v>30403</v>
      </c>
      <c r="D1846" t="s">
        <v>25</v>
      </c>
      <c r="E1846" t="s">
        <v>70</v>
      </c>
      <c r="F1846" t="s">
        <v>71</v>
      </c>
      <c r="G1846">
        <v>2</v>
      </c>
      <c r="H1846">
        <v>62.99</v>
      </c>
      <c r="I1846">
        <v>0.3</v>
      </c>
      <c r="J1846">
        <v>88.19</v>
      </c>
      <c r="K1846" t="s">
        <v>16</v>
      </c>
      <c r="L1846" t="s">
        <v>37</v>
      </c>
      <c r="M1846" t="s">
        <v>54</v>
      </c>
    </row>
    <row r="1847" spans="1:13" x14ac:dyDescent="0.2">
      <c r="A1847">
        <v>402624</v>
      </c>
      <c r="B1847" s="1">
        <v>44581</v>
      </c>
      <c r="C1847">
        <v>23233</v>
      </c>
      <c r="D1847" t="s">
        <v>48</v>
      </c>
      <c r="E1847" t="s">
        <v>118</v>
      </c>
      <c r="F1847" t="s">
        <v>119</v>
      </c>
      <c r="G1847">
        <v>4</v>
      </c>
      <c r="H1847">
        <v>4.99</v>
      </c>
      <c r="J1847">
        <v>19.96</v>
      </c>
      <c r="K1847" t="s">
        <v>36</v>
      </c>
      <c r="L1847" t="s">
        <v>17</v>
      </c>
      <c r="M1847" t="s">
        <v>123</v>
      </c>
    </row>
    <row r="1848" spans="1:13" x14ac:dyDescent="0.2">
      <c r="A1848">
        <v>402769</v>
      </c>
      <c r="B1848" s="1">
        <v>45372</v>
      </c>
      <c r="C1848">
        <v>80505</v>
      </c>
      <c r="D1848" t="s">
        <v>85</v>
      </c>
      <c r="E1848" t="s">
        <v>129</v>
      </c>
      <c r="F1848" t="s">
        <v>130</v>
      </c>
      <c r="G1848">
        <v>3</v>
      </c>
      <c r="H1848">
        <v>8.99</v>
      </c>
      <c r="J1848">
        <v>26.97</v>
      </c>
      <c r="K1848" t="s">
        <v>22</v>
      </c>
      <c r="L1848" t="s">
        <v>17</v>
      </c>
      <c r="M1848" t="s">
        <v>117</v>
      </c>
    </row>
    <row r="1849" spans="1:13" x14ac:dyDescent="0.2">
      <c r="A1849">
        <v>402806</v>
      </c>
      <c r="B1849" s="1">
        <v>44897</v>
      </c>
      <c r="C1849">
        <v>18990</v>
      </c>
      <c r="D1849" t="s">
        <v>48</v>
      </c>
      <c r="E1849" t="s">
        <v>143</v>
      </c>
      <c r="F1849" t="s">
        <v>144</v>
      </c>
      <c r="G1849">
        <v>1</v>
      </c>
      <c r="H1849">
        <v>12.74</v>
      </c>
      <c r="I1849">
        <v>0.15</v>
      </c>
      <c r="J1849">
        <v>10.83</v>
      </c>
      <c r="K1849" t="s">
        <v>36</v>
      </c>
      <c r="L1849" t="s">
        <v>17</v>
      </c>
      <c r="M1849" t="s">
        <v>103</v>
      </c>
    </row>
    <row r="1850" spans="1:13" x14ac:dyDescent="0.2">
      <c r="A1850">
        <v>403504</v>
      </c>
      <c r="B1850" s="2">
        <v>45230</v>
      </c>
      <c r="C1850">
        <v>90205</v>
      </c>
      <c r="D1850" t="s">
        <v>29</v>
      </c>
      <c r="E1850" t="s">
        <v>72</v>
      </c>
      <c r="F1850" t="s">
        <v>73</v>
      </c>
      <c r="G1850">
        <v>2</v>
      </c>
      <c r="H1850">
        <v>31.99</v>
      </c>
      <c r="I1850">
        <v>0.2</v>
      </c>
      <c r="J1850">
        <v>51.18</v>
      </c>
      <c r="K1850" t="s">
        <v>22</v>
      </c>
      <c r="L1850" t="s">
        <v>17</v>
      </c>
      <c r="M1850" t="s">
        <v>33</v>
      </c>
    </row>
    <row r="1851" spans="1:13" x14ac:dyDescent="0.2">
      <c r="A1851">
        <v>403593</v>
      </c>
      <c r="B1851" s="1">
        <v>44571</v>
      </c>
      <c r="C1851">
        <v>85712</v>
      </c>
      <c r="D1851" t="s">
        <v>97</v>
      </c>
      <c r="E1851" t="s">
        <v>121</v>
      </c>
      <c r="F1851" t="s">
        <v>122</v>
      </c>
      <c r="G1851">
        <v>2</v>
      </c>
      <c r="H1851">
        <v>12.99</v>
      </c>
      <c r="J1851">
        <v>25.98</v>
      </c>
      <c r="K1851" t="s">
        <v>36</v>
      </c>
      <c r="L1851" t="s">
        <v>17</v>
      </c>
      <c r="M1851" t="s">
        <v>96</v>
      </c>
    </row>
    <row r="1852" spans="1:13" x14ac:dyDescent="0.2">
      <c r="A1852">
        <v>403815</v>
      </c>
      <c r="B1852" s="2">
        <v>45534</v>
      </c>
      <c r="C1852">
        <v>29925</v>
      </c>
      <c r="D1852" t="s">
        <v>82</v>
      </c>
      <c r="E1852" t="s">
        <v>168</v>
      </c>
      <c r="F1852" t="s">
        <v>169</v>
      </c>
      <c r="G1852">
        <v>3</v>
      </c>
      <c r="H1852">
        <v>7.64</v>
      </c>
      <c r="I1852">
        <v>0.15</v>
      </c>
      <c r="J1852">
        <v>19.48</v>
      </c>
      <c r="K1852" t="s">
        <v>16</v>
      </c>
      <c r="L1852" t="s">
        <v>37</v>
      </c>
      <c r="M1852" t="s">
        <v>54</v>
      </c>
    </row>
    <row r="1853" spans="1:13" x14ac:dyDescent="0.2">
      <c r="A1853">
        <v>403859</v>
      </c>
      <c r="B1853" s="2">
        <v>45595</v>
      </c>
      <c r="C1853">
        <v>72371</v>
      </c>
      <c r="D1853" t="s">
        <v>48</v>
      </c>
      <c r="E1853" t="s">
        <v>118</v>
      </c>
      <c r="F1853" t="s">
        <v>119</v>
      </c>
      <c r="G1853">
        <v>1</v>
      </c>
      <c r="H1853">
        <v>4.99</v>
      </c>
      <c r="J1853">
        <v>4.99</v>
      </c>
      <c r="K1853" t="s">
        <v>16</v>
      </c>
      <c r="L1853" t="s">
        <v>17</v>
      </c>
      <c r="M1853" t="s">
        <v>117</v>
      </c>
    </row>
    <row r="1854" spans="1:13" x14ac:dyDescent="0.2">
      <c r="A1854">
        <v>403924</v>
      </c>
      <c r="B1854" s="1">
        <v>45392</v>
      </c>
      <c r="C1854">
        <v>76447</v>
      </c>
      <c r="D1854" t="s">
        <v>63</v>
      </c>
      <c r="E1854" t="s">
        <v>111</v>
      </c>
      <c r="F1854" t="s">
        <v>112</v>
      </c>
      <c r="G1854">
        <v>1</v>
      </c>
      <c r="H1854">
        <v>14.24</v>
      </c>
      <c r="I1854">
        <v>0.05</v>
      </c>
      <c r="J1854">
        <v>13.53</v>
      </c>
      <c r="K1854" t="s">
        <v>53</v>
      </c>
      <c r="L1854" t="s">
        <v>37</v>
      </c>
      <c r="M1854" t="s">
        <v>90</v>
      </c>
    </row>
    <row r="1855" spans="1:13" x14ac:dyDescent="0.2">
      <c r="A1855">
        <v>403941</v>
      </c>
      <c r="B1855" s="1">
        <v>45574</v>
      </c>
      <c r="C1855">
        <v>71773</v>
      </c>
      <c r="D1855" t="s">
        <v>63</v>
      </c>
      <c r="E1855" t="s">
        <v>68</v>
      </c>
      <c r="F1855" t="s">
        <v>69</v>
      </c>
      <c r="G1855">
        <v>3</v>
      </c>
      <c r="H1855">
        <v>17.489999999999998</v>
      </c>
      <c r="I1855">
        <v>0.3</v>
      </c>
      <c r="J1855">
        <v>36.729999999999997</v>
      </c>
      <c r="K1855" t="s">
        <v>36</v>
      </c>
      <c r="L1855" t="s">
        <v>17</v>
      </c>
      <c r="M1855" t="s">
        <v>123</v>
      </c>
    </row>
    <row r="1856" spans="1:13" x14ac:dyDescent="0.2">
      <c r="A1856">
        <v>404012</v>
      </c>
      <c r="B1856" s="1">
        <v>44935</v>
      </c>
      <c r="C1856">
        <v>86582</v>
      </c>
      <c r="D1856" t="s">
        <v>29</v>
      </c>
      <c r="E1856" t="s">
        <v>170</v>
      </c>
      <c r="F1856" t="s">
        <v>171</v>
      </c>
      <c r="G1856">
        <v>5</v>
      </c>
      <c r="H1856">
        <v>14.99</v>
      </c>
      <c r="J1856">
        <v>74.95</v>
      </c>
      <c r="K1856" t="s">
        <v>32</v>
      </c>
      <c r="L1856" t="s">
        <v>17</v>
      </c>
      <c r="M1856" t="s">
        <v>120</v>
      </c>
    </row>
    <row r="1857" spans="1:13" x14ac:dyDescent="0.2">
      <c r="A1857">
        <v>404265</v>
      </c>
      <c r="B1857" s="1">
        <v>44563</v>
      </c>
      <c r="C1857">
        <v>47787</v>
      </c>
      <c r="D1857" t="s">
        <v>25</v>
      </c>
      <c r="E1857" t="s">
        <v>26</v>
      </c>
      <c r="F1857" t="s">
        <v>27</v>
      </c>
      <c r="G1857">
        <v>1</v>
      </c>
      <c r="H1857">
        <v>34.99</v>
      </c>
      <c r="J1857">
        <v>34.99</v>
      </c>
      <c r="K1857" t="s">
        <v>36</v>
      </c>
      <c r="L1857" t="s">
        <v>37</v>
      </c>
      <c r="M1857" t="s">
        <v>96</v>
      </c>
    </row>
    <row r="1858" spans="1:13" x14ac:dyDescent="0.2">
      <c r="A1858">
        <v>404465</v>
      </c>
      <c r="B1858" s="1">
        <v>45262</v>
      </c>
      <c r="D1858" t="s">
        <v>40</v>
      </c>
      <c r="E1858" t="s">
        <v>58</v>
      </c>
      <c r="F1858" t="s">
        <v>59</v>
      </c>
      <c r="G1858">
        <v>1</v>
      </c>
      <c r="H1858">
        <v>3.99</v>
      </c>
      <c r="J1858">
        <v>3.99</v>
      </c>
      <c r="K1858" t="s">
        <v>95</v>
      </c>
      <c r="L1858" t="s">
        <v>37</v>
      </c>
      <c r="M1858" t="s">
        <v>62</v>
      </c>
    </row>
    <row r="1859" spans="1:13" x14ac:dyDescent="0.2">
      <c r="A1859">
        <v>405051</v>
      </c>
      <c r="B1859" s="2">
        <v>45639</v>
      </c>
      <c r="C1859">
        <v>73179</v>
      </c>
      <c r="D1859" t="s">
        <v>40</v>
      </c>
      <c r="E1859" t="s">
        <v>20</v>
      </c>
      <c r="F1859" t="s">
        <v>21</v>
      </c>
      <c r="G1859">
        <v>1</v>
      </c>
      <c r="H1859">
        <v>7.49</v>
      </c>
      <c r="I1859">
        <v>0.25</v>
      </c>
      <c r="J1859">
        <v>5.62</v>
      </c>
      <c r="K1859" t="s">
        <v>22</v>
      </c>
      <c r="L1859" t="s">
        <v>17</v>
      </c>
      <c r="M1859" t="s">
        <v>81</v>
      </c>
    </row>
    <row r="1860" spans="1:13" x14ac:dyDescent="0.2">
      <c r="A1860">
        <v>405156</v>
      </c>
      <c r="B1860" s="1">
        <v>45130</v>
      </c>
      <c r="C1860">
        <v>46052</v>
      </c>
      <c r="D1860" t="s">
        <v>85</v>
      </c>
      <c r="E1860" t="s">
        <v>129</v>
      </c>
      <c r="F1860" t="s">
        <v>130</v>
      </c>
      <c r="G1860">
        <v>2</v>
      </c>
      <c r="H1860">
        <v>7.64</v>
      </c>
      <c r="I1860">
        <v>0.15</v>
      </c>
      <c r="J1860">
        <v>12.99</v>
      </c>
      <c r="K1860" t="s">
        <v>66</v>
      </c>
      <c r="L1860" t="s">
        <v>17</v>
      </c>
      <c r="M1860" t="s">
        <v>54</v>
      </c>
    </row>
    <row r="1861" spans="1:13" x14ac:dyDescent="0.2">
      <c r="A1861">
        <v>405318</v>
      </c>
      <c r="B1861" s="1">
        <v>45143</v>
      </c>
      <c r="C1861">
        <v>52451</v>
      </c>
      <c r="D1861" t="s">
        <v>183</v>
      </c>
      <c r="E1861" t="s">
        <v>100</v>
      </c>
      <c r="F1861" t="s">
        <v>101</v>
      </c>
      <c r="G1861">
        <v>1</v>
      </c>
      <c r="H1861">
        <v>21.84</v>
      </c>
      <c r="I1861">
        <v>0.05</v>
      </c>
      <c r="J1861">
        <v>20.75</v>
      </c>
      <c r="K1861" t="s">
        <v>16</v>
      </c>
      <c r="L1861" t="s">
        <v>17</v>
      </c>
      <c r="M1861" t="s">
        <v>90</v>
      </c>
    </row>
    <row r="1862" spans="1:13" x14ac:dyDescent="0.2">
      <c r="A1862">
        <v>405457</v>
      </c>
      <c r="B1862" s="1">
        <v>45327</v>
      </c>
      <c r="C1862">
        <v>40169</v>
      </c>
      <c r="D1862" t="s">
        <v>25</v>
      </c>
      <c r="E1862" t="s">
        <v>60</v>
      </c>
      <c r="F1862" t="s">
        <v>61</v>
      </c>
      <c r="G1862">
        <v>4</v>
      </c>
      <c r="H1862">
        <v>54.99</v>
      </c>
      <c r="J1862">
        <v>219.96</v>
      </c>
      <c r="K1862" t="s">
        <v>16</v>
      </c>
      <c r="L1862" t="s">
        <v>17</v>
      </c>
      <c r="M1862" t="s">
        <v>54</v>
      </c>
    </row>
    <row r="1863" spans="1:13" x14ac:dyDescent="0.2">
      <c r="A1863">
        <v>405936</v>
      </c>
      <c r="B1863" s="1">
        <v>45642</v>
      </c>
      <c r="C1863">
        <v>19878</v>
      </c>
      <c r="D1863" t="s">
        <v>40</v>
      </c>
      <c r="E1863" t="s">
        <v>20</v>
      </c>
      <c r="F1863" t="s">
        <v>21</v>
      </c>
      <c r="G1863">
        <v>1</v>
      </c>
      <c r="H1863">
        <v>7.49</v>
      </c>
      <c r="I1863">
        <v>0.25</v>
      </c>
      <c r="J1863">
        <v>5.62</v>
      </c>
      <c r="K1863" t="s">
        <v>16</v>
      </c>
      <c r="L1863" t="s">
        <v>17</v>
      </c>
      <c r="M1863" t="s">
        <v>28</v>
      </c>
    </row>
    <row r="1864" spans="1:13" x14ac:dyDescent="0.2">
      <c r="A1864">
        <v>406199</v>
      </c>
      <c r="B1864" s="2">
        <v>45576</v>
      </c>
      <c r="C1864">
        <v>17601</v>
      </c>
      <c r="D1864" t="s">
        <v>85</v>
      </c>
      <c r="E1864" t="s">
        <v>86</v>
      </c>
      <c r="F1864" t="s">
        <v>87</v>
      </c>
      <c r="G1864">
        <v>1</v>
      </c>
      <c r="H1864">
        <v>12.99</v>
      </c>
      <c r="J1864">
        <v>12.99</v>
      </c>
      <c r="K1864" t="s">
        <v>16</v>
      </c>
      <c r="L1864" t="s">
        <v>17</v>
      </c>
      <c r="M1864" t="s">
        <v>57</v>
      </c>
    </row>
    <row r="1865" spans="1:13" x14ac:dyDescent="0.2">
      <c r="A1865">
        <v>406536</v>
      </c>
      <c r="B1865" s="1">
        <v>44584</v>
      </c>
      <c r="C1865">
        <v>28415</v>
      </c>
      <c r="D1865" t="s">
        <v>63</v>
      </c>
      <c r="E1865" t="s">
        <v>64</v>
      </c>
      <c r="F1865" t="s">
        <v>65</v>
      </c>
      <c r="G1865">
        <v>3</v>
      </c>
      <c r="H1865">
        <v>4.99</v>
      </c>
      <c r="J1865">
        <v>14.97</v>
      </c>
      <c r="K1865" t="s">
        <v>16</v>
      </c>
      <c r="L1865" t="s">
        <v>17</v>
      </c>
      <c r="M1865" t="s">
        <v>57</v>
      </c>
    </row>
    <row r="1866" spans="1:13" x14ac:dyDescent="0.2">
      <c r="A1866">
        <v>406552</v>
      </c>
      <c r="B1866" s="2">
        <v>44922</v>
      </c>
      <c r="C1866">
        <v>72625</v>
      </c>
      <c r="D1866" t="s">
        <v>25</v>
      </c>
      <c r="E1866" t="s">
        <v>70</v>
      </c>
      <c r="F1866" t="s">
        <v>71</v>
      </c>
      <c r="G1866">
        <v>1</v>
      </c>
      <c r="H1866">
        <v>89.99</v>
      </c>
      <c r="J1866">
        <v>89.99</v>
      </c>
      <c r="K1866" t="s">
        <v>16</v>
      </c>
      <c r="L1866" t="s">
        <v>17</v>
      </c>
      <c r="M1866" t="s">
        <v>57</v>
      </c>
    </row>
    <row r="1867" spans="1:13" x14ac:dyDescent="0.2">
      <c r="A1867">
        <v>406665</v>
      </c>
      <c r="B1867" s="1">
        <v>45052</v>
      </c>
      <c r="C1867">
        <v>95959</v>
      </c>
      <c r="D1867" t="s">
        <v>85</v>
      </c>
      <c r="E1867" t="s">
        <v>129</v>
      </c>
      <c r="F1867" t="s">
        <v>130</v>
      </c>
      <c r="G1867">
        <v>2</v>
      </c>
      <c r="H1867">
        <v>7.64</v>
      </c>
      <c r="I1867">
        <v>0.15</v>
      </c>
      <c r="J1867">
        <v>12.99</v>
      </c>
      <c r="K1867" t="s">
        <v>36</v>
      </c>
      <c r="L1867" t="s">
        <v>23</v>
      </c>
      <c r="M1867" t="s">
        <v>96</v>
      </c>
    </row>
    <row r="1868" spans="1:13" x14ac:dyDescent="0.2">
      <c r="A1868">
        <v>406740</v>
      </c>
      <c r="B1868" s="1">
        <v>44686</v>
      </c>
      <c r="C1868">
        <v>67946</v>
      </c>
      <c r="D1868" t="s">
        <v>82</v>
      </c>
      <c r="E1868" t="s">
        <v>100</v>
      </c>
      <c r="F1868" t="s">
        <v>101</v>
      </c>
      <c r="G1868">
        <v>4</v>
      </c>
      <c r="H1868">
        <v>17.239999999999998</v>
      </c>
      <c r="I1868">
        <v>0.25</v>
      </c>
      <c r="J1868">
        <v>51.72</v>
      </c>
      <c r="K1868" t="s">
        <v>22</v>
      </c>
      <c r="L1868" t="s">
        <v>17</v>
      </c>
      <c r="M1868" t="s">
        <v>54</v>
      </c>
    </row>
    <row r="1869" spans="1:13" x14ac:dyDescent="0.2">
      <c r="A1869">
        <v>406741</v>
      </c>
      <c r="B1869" s="2">
        <v>44758</v>
      </c>
      <c r="C1869">
        <v>36792</v>
      </c>
      <c r="D1869" t="s">
        <v>63</v>
      </c>
      <c r="E1869" t="s">
        <v>111</v>
      </c>
      <c r="F1869" t="s">
        <v>112</v>
      </c>
      <c r="G1869">
        <v>2</v>
      </c>
      <c r="H1869">
        <v>11.99</v>
      </c>
      <c r="I1869">
        <v>0.2</v>
      </c>
      <c r="J1869">
        <v>19.18</v>
      </c>
      <c r="K1869" t="s">
        <v>22</v>
      </c>
      <c r="L1869" t="s">
        <v>37</v>
      </c>
      <c r="M1869" t="s">
        <v>24</v>
      </c>
    </row>
    <row r="1870" spans="1:13" x14ac:dyDescent="0.2">
      <c r="A1870">
        <v>406873</v>
      </c>
      <c r="B1870" s="1">
        <v>45340</v>
      </c>
      <c r="C1870">
        <v>38475</v>
      </c>
      <c r="D1870" t="s">
        <v>13</v>
      </c>
      <c r="E1870" t="s">
        <v>77</v>
      </c>
      <c r="F1870" t="s">
        <v>78</v>
      </c>
      <c r="G1870">
        <v>5</v>
      </c>
      <c r="H1870">
        <v>449.99</v>
      </c>
      <c r="I1870">
        <v>0.1</v>
      </c>
      <c r="J1870">
        <v>2024.96</v>
      </c>
      <c r="K1870" t="s">
        <v>36</v>
      </c>
      <c r="L1870" t="s">
        <v>17</v>
      </c>
      <c r="M1870" t="s">
        <v>54</v>
      </c>
    </row>
    <row r="1871" spans="1:13" x14ac:dyDescent="0.2">
      <c r="A1871">
        <v>406940</v>
      </c>
      <c r="B1871" s="1">
        <v>44854</v>
      </c>
      <c r="C1871">
        <v>37036</v>
      </c>
      <c r="D1871" t="s">
        <v>25</v>
      </c>
      <c r="E1871" t="s">
        <v>113</v>
      </c>
      <c r="F1871" t="s">
        <v>114</v>
      </c>
      <c r="G1871">
        <v>2</v>
      </c>
      <c r="H1871">
        <v>95.99</v>
      </c>
      <c r="I1871">
        <v>0.2</v>
      </c>
      <c r="J1871">
        <v>153.58000000000001</v>
      </c>
      <c r="K1871" t="s">
        <v>36</v>
      </c>
      <c r="L1871" t="s">
        <v>17</v>
      </c>
      <c r="M1871" t="s">
        <v>18</v>
      </c>
    </row>
    <row r="1872" spans="1:13" x14ac:dyDescent="0.2">
      <c r="A1872">
        <v>407059</v>
      </c>
      <c r="B1872" s="1">
        <v>44842</v>
      </c>
      <c r="C1872">
        <v>24042</v>
      </c>
      <c r="D1872" t="s">
        <v>97</v>
      </c>
      <c r="E1872" t="s">
        <v>193</v>
      </c>
      <c r="F1872" t="s">
        <v>194</v>
      </c>
      <c r="G1872">
        <v>2</v>
      </c>
      <c r="H1872">
        <v>58.49</v>
      </c>
      <c r="I1872">
        <v>0.1</v>
      </c>
      <c r="J1872">
        <v>105.28</v>
      </c>
      <c r="K1872" t="s">
        <v>16</v>
      </c>
      <c r="L1872" t="s">
        <v>17</v>
      </c>
      <c r="M1872" t="s">
        <v>102</v>
      </c>
    </row>
    <row r="1873" spans="1:13" x14ac:dyDescent="0.2">
      <c r="A1873">
        <v>407211</v>
      </c>
      <c r="B1873" s="1">
        <v>45447</v>
      </c>
      <c r="C1873">
        <v>72984</v>
      </c>
      <c r="D1873" t="s">
        <v>44</v>
      </c>
      <c r="E1873" t="s">
        <v>184</v>
      </c>
      <c r="F1873" t="s">
        <v>185</v>
      </c>
      <c r="G1873">
        <v>2</v>
      </c>
      <c r="H1873">
        <v>4.3899999999999997</v>
      </c>
      <c r="I1873">
        <v>0.2</v>
      </c>
      <c r="J1873">
        <v>7.02</v>
      </c>
      <c r="K1873" t="s">
        <v>53</v>
      </c>
      <c r="L1873" t="s">
        <v>17</v>
      </c>
      <c r="M1873" t="s">
        <v>96</v>
      </c>
    </row>
    <row r="1874" spans="1:13" x14ac:dyDescent="0.2">
      <c r="A1874">
        <v>407572</v>
      </c>
      <c r="B1874" s="1">
        <v>44759</v>
      </c>
      <c r="C1874">
        <v>67614</v>
      </c>
      <c r="D1874" t="s">
        <v>40</v>
      </c>
      <c r="E1874" t="s">
        <v>197</v>
      </c>
      <c r="F1874" t="s">
        <v>198</v>
      </c>
      <c r="G1874">
        <v>1</v>
      </c>
      <c r="H1874">
        <v>14.99</v>
      </c>
      <c r="J1874">
        <v>14.99</v>
      </c>
      <c r="K1874" t="s">
        <v>36</v>
      </c>
      <c r="L1874" t="s">
        <v>17</v>
      </c>
      <c r="M1874" t="s">
        <v>62</v>
      </c>
    </row>
    <row r="1875" spans="1:13" x14ac:dyDescent="0.2">
      <c r="A1875">
        <v>408347</v>
      </c>
      <c r="B1875" s="1">
        <v>45397</v>
      </c>
      <c r="C1875">
        <v>29669</v>
      </c>
      <c r="D1875" t="s">
        <v>25</v>
      </c>
      <c r="E1875" t="s">
        <v>51</v>
      </c>
      <c r="F1875" t="s">
        <v>52</v>
      </c>
      <c r="G1875">
        <v>2</v>
      </c>
      <c r="H1875">
        <v>23.79</v>
      </c>
      <c r="I1875">
        <v>0.15</v>
      </c>
      <c r="J1875">
        <v>40.44</v>
      </c>
      <c r="K1875" t="s">
        <v>16</v>
      </c>
      <c r="L1875" t="s">
        <v>17</v>
      </c>
      <c r="M1875" t="s">
        <v>24</v>
      </c>
    </row>
    <row r="1876" spans="1:13" x14ac:dyDescent="0.2">
      <c r="A1876">
        <v>408545</v>
      </c>
      <c r="B1876" s="1">
        <v>44809</v>
      </c>
      <c r="C1876">
        <v>33296</v>
      </c>
      <c r="D1876" t="s">
        <v>82</v>
      </c>
      <c r="E1876" t="s">
        <v>100</v>
      </c>
      <c r="F1876" t="s">
        <v>101</v>
      </c>
      <c r="G1876">
        <v>1</v>
      </c>
      <c r="H1876">
        <v>22.99</v>
      </c>
      <c r="J1876">
        <v>22.99</v>
      </c>
      <c r="K1876" t="s">
        <v>36</v>
      </c>
      <c r="L1876" t="s">
        <v>17</v>
      </c>
      <c r="M1876" t="s">
        <v>81</v>
      </c>
    </row>
    <row r="1877" spans="1:13" x14ac:dyDescent="0.2">
      <c r="A1877">
        <v>408719</v>
      </c>
      <c r="B1877" s="2">
        <v>45346</v>
      </c>
      <c r="C1877">
        <v>97540</v>
      </c>
      <c r="D1877" t="s">
        <v>29</v>
      </c>
      <c r="E1877" t="s">
        <v>170</v>
      </c>
      <c r="F1877" t="s">
        <v>171</v>
      </c>
      <c r="G1877">
        <v>4</v>
      </c>
      <c r="H1877">
        <v>14.99</v>
      </c>
      <c r="J1877">
        <v>59.96</v>
      </c>
      <c r="K1877" t="s">
        <v>16</v>
      </c>
      <c r="L1877" t="s">
        <v>17</v>
      </c>
      <c r="M1877" t="s">
        <v>18</v>
      </c>
    </row>
    <row r="1878" spans="1:13" x14ac:dyDescent="0.2">
      <c r="A1878">
        <v>408721</v>
      </c>
      <c r="B1878" s="1">
        <v>45147</v>
      </c>
      <c r="C1878">
        <v>28643</v>
      </c>
      <c r="D1878" t="s">
        <v>19</v>
      </c>
      <c r="E1878" t="s">
        <v>41</v>
      </c>
      <c r="F1878" t="s">
        <v>42</v>
      </c>
      <c r="G1878">
        <v>1</v>
      </c>
      <c r="H1878">
        <v>4.49</v>
      </c>
      <c r="I1878">
        <v>0.25</v>
      </c>
      <c r="J1878">
        <v>3.37</v>
      </c>
      <c r="K1878" t="s">
        <v>36</v>
      </c>
      <c r="L1878" t="s">
        <v>17</v>
      </c>
      <c r="M1878" t="s">
        <v>28</v>
      </c>
    </row>
    <row r="1879" spans="1:13" x14ac:dyDescent="0.2">
      <c r="A1879">
        <v>408949</v>
      </c>
      <c r="B1879" s="2">
        <v>45578</v>
      </c>
      <c r="C1879">
        <v>75554</v>
      </c>
      <c r="D1879" t="s">
        <v>29</v>
      </c>
      <c r="E1879" t="s">
        <v>38</v>
      </c>
      <c r="F1879" t="s">
        <v>39</v>
      </c>
      <c r="G1879">
        <v>2</v>
      </c>
      <c r="H1879">
        <v>20.99</v>
      </c>
      <c r="I1879">
        <v>0.3</v>
      </c>
      <c r="J1879">
        <v>29.39</v>
      </c>
      <c r="K1879" t="s">
        <v>36</v>
      </c>
      <c r="L1879" t="s">
        <v>37</v>
      </c>
      <c r="M1879" t="s">
        <v>67</v>
      </c>
    </row>
    <row r="1880" spans="1:13" x14ac:dyDescent="0.2">
      <c r="A1880">
        <v>409060</v>
      </c>
      <c r="B1880" s="1">
        <v>45131</v>
      </c>
      <c r="C1880">
        <v>17217</v>
      </c>
      <c r="D1880" t="s">
        <v>29</v>
      </c>
      <c r="E1880" t="s">
        <v>30</v>
      </c>
      <c r="F1880" t="s">
        <v>31</v>
      </c>
      <c r="G1880">
        <v>1</v>
      </c>
      <c r="H1880">
        <v>18.739999999999998</v>
      </c>
      <c r="I1880">
        <v>0.25</v>
      </c>
      <c r="J1880">
        <v>14.06</v>
      </c>
      <c r="K1880" t="s">
        <v>53</v>
      </c>
      <c r="L1880" t="s">
        <v>17</v>
      </c>
      <c r="M1880" t="s">
        <v>33</v>
      </c>
    </row>
    <row r="1881" spans="1:13" x14ac:dyDescent="0.2">
      <c r="A1881">
        <v>409079</v>
      </c>
      <c r="B1881" s="2">
        <v>45593</v>
      </c>
      <c r="C1881">
        <v>75125</v>
      </c>
      <c r="D1881" t="s">
        <v>63</v>
      </c>
      <c r="E1881" t="s">
        <v>111</v>
      </c>
      <c r="F1881" t="s">
        <v>112</v>
      </c>
      <c r="G1881">
        <v>1</v>
      </c>
      <c r="H1881">
        <v>11.24</v>
      </c>
      <c r="I1881">
        <v>0.25</v>
      </c>
      <c r="J1881">
        <v>8.43</v>
      </c>
      <c r="K1881" t="s">
        <v>16</v>
      </c>
      <c r="L1881" t="s">
        <v>37</v>
      </c>
      <c r="M1881" t="s">
        <v>102</v>
      </c>
    </row>
    <row r="1882" spans="1:13" x14ac:dyDescent="0.2">
      <c r="A1882">
        <v>409143</v>
      </c>
      <c r="B1882" s="2">
        <v>45180</v>
      </c>
      <c r="C1882">
        <v>27612</v>
      </c>
      <c r="D1882" t="s">
        <v>44</v>
      </c>
      <c r="E1882" t="s">
        <v>162</v>
      </c>
      <c r="F1882" t="s">
        <v>163</v>
      </c>
      <c r="G1882">
        <v>2</v>
      </c>
      <c r="H1882">
        <v>6.39</v>
      </c>
      <c r="I1882">
        <v>0.2</v>
      </c>
      <c r="J1882">
        <v>10.220000000000001</v>
      </c>
      <c r="K1882" t="s">
        <v>95</v>
      </c>
      <c r="L1882" t="s">
        <v>17</v>
      </c>
      <c r="M1882" t="s">
        <v>103</v>
      </c>
    </row>
    <row r="1883" spans="1:13" x14ac:dyDescent="0.2">
      <c r="A1883">
        <v>409253</v>
      </c>
      <c r="B1883" s="1">
        <v>44872</v>
      </c>
      <c r="C1883">
        <v>21389</v>
      </c>
      <c r="D1883" t="s">
        <v>97</v>
      </c>
      <c r="E1883" t="s">
        <v>121</v>
      </c>
      <c r="F1883" t="s">
        <v>122</v>
      </c>
      <c r="G1883">
        <v>1</v>
      </c>
      <c r="H1883">
        <v>12.99</v>
      </c>
      <c r="J1883">
        <v>12.99</v>
      </c>
      <c r="K1883" t="s">
        <v>16</v>
      </c>
      <c r="L1883" t="s">
        <v>17</v>
      </c>
      <c r="M1883" t="s">
        <v>161</v>
      </c>
    </row>
    <row r="1884" spans="1:13" x14ac:dyDescent="0.2">
      <c r="A1884">
        <v>409405</v>
      </c>
      <c r="B1884" s="1">
        <v>45047</v>
      </c>
      <c r="C1884">
        <v>64869</v>
      </c>
      <c r="D1884" t="s">
        <v>44</v>
      </c>
      <c r="E1884" t="s">
        <v>162</v>
      </c>
      <c r="F1884" t="s">
        <v>163</v>
      </c>
      <c r="G1884">
        <v>1</v>
      </c>
      <c r="H1884">
        <v>7.99</v>
      </c>
      <c r="J1884">
        <v>7.99</v>
      </c>
      <c r="K1884" t="s">
        <v>16</v>
      </c>
      <c r="L1884" t="s">
        <v>37</v>
      </c>
      <c r="M1884" t="s">
        <v>28</v>
      </c>
    </row>
    <row r="1885" spans="1:13" x14ac:dyDescent="0.2">
      <c r="A1885">
        <v>409458</v>
      </c>
      <c r="B1885" s="1">
        <v>45070</v>
      </c>
      <c r="C1885">
        <v>32539</v>
      </c>
      <c r="D1885" t="s">
        <v>29</v>
      </c>
      <c r="E1885" t="s">
        <v>30</v>
      </c>
      <c r="F1885" t="s">
        <v>31</v>
      </c>
      <c r="G1885">
        <v>2</v>
      </c>
      <c r="H1885">
        <v>17.489999999999998</v>
      </c>
      <c r="I1885">
        <v>0.3</v>
      </c>
      <c r="J1885">
        <v>24.49</v>
      </c>
      <c r="K1885" t="s">
        <v>36</v>
      </c>
      <c r="L1885" t="s">
        <v>17</v>
      </c>
      <c r="M1885" t="s">
        <v>81</v>
      </c>
    </row>
    <row r="1886" spans="1:13" x14ac:dyDescent="0.2">
      <c r="A1886">
        <v>409502</v>
      </c>
      <c r="B1886" s="2">
        <v>44827</v>
      </c>
      <c r="C1886">
        <v>95858</v>
      </c>
      <c r="D1886" t="s">
        <v>13</v>
      </c>
      <c r="E1886" t="s">
        <v>55</v>
      </c>
      <c r="F1886" t="s">
        <v>56</v>
      </c>
      <c r="G1886">
        <v>3</v>
      </c>
      <c r="H1886">
        <v>247.49</v>
      </c>
      <c r="I1886">
        <v>0.25</v>
      </c>
      <c r="J1886">
        <v>556.85</v>
      </c>
      <c r="K1886" t="s">
        <v>22</v>
      </c>
      <c r="L1886" t="s">
        <v>23</v>
      </c>
    </row>
    <row r="1887" spans="1:13" x14ac:dyDescent="0.2">
      <c r="A1887">
        <v>409871</v>
      </c>
      <c r="B1887" s="1">
        <v>45370</v>
      </c>
      <c r="C1887">
        <v>22944</v>
      </c>
      <c r="D1887" t="s">
        <v>63</v>
      </c>
      <c r="E1887" t="s">
        <v>131</v>
      </c>
      <c r="F1887" t="s">
        <v>132</v>
      </c>
      <c r="G1887">
        <v>3</v>
      </c>
      <c r="H1887">
        <v>2.79</v>
      </c>
      <c r="I1887">
        <v>0.2</v>
      </c>
      <c r="J1887">
        <v>6.7</v>
      </c>
      <c r="K1887" t="s">
        <v>36</v>
      </c>
      <c r="L1887" t="s">
        <v>17</v>
      </c>
      <c r="M1887" t="s">
        <v>123</v>
      </c>
    </row>
    <row r="1888" spans="1:13" x14ac:dyDescent="0.2">
      <c r="A1888">
        <v>409898</v>
      </c>
      <c r="B1888" s="1">
        <v>45605</v>
      </c>
      <c r="C1888">
        <v>41370</v>
      </c>
      <c r="D1888" t="s">
        <v>29</v>
      </c>
      <c r="E1888" t="s">
        <v>170</v>
      </c>
      <c r="F1888" t="s">
        <v>171</v>
      </c>
      <c r="G1888">
        <v>3</v>
      </c>
      <c r="H1888">
        <v>14.24</v>
      </c>
      <c r="I1888">
        <v>0.05</v>
      </c>
      <c r="J1888">
        <v>40.58</v>
      </c>
      <c r="K1888" t="s">
        <v>22</v>
      </c>
      <c r="L1888" t="s">
        <v>37</v>
      </c>
      <c r="M1888" t="s">
        <v>67</v>
      </c>
    </row>
    <row r="1889" spans="1:13" x14ac:dyDescent="0.2">
      <c r="A1889">
        <v>410397</v>
      </c>
      <c r="B1889" s="1">
        <v>45373</v>
      </c>
      <c r="C1889">
        <v>25346</v>
      </c>
      <c r="D1889" t="s">
        <v>40</v>
      </c>
      <c r="E1889" t="s">
        <v>197</v>
      </c>
      <c r="F1889" t="s">
        <v>198</v>
      </c>
      <c r="G1889">
        <v>2</v>
      </c>
      <c r="H1889">
        <v>14.99</v>
      </c>
      <c r="J1889">
        <v>29.98</v>
      </c>
      <c r="K1889" t="s">
        <v>16</v>
      </c>
      <c r="L1889" t="s">
        <v>23</v>
      </c>
      <c r="M1889" t="s">
        <v>90</v>
      </c>
    </row>
    <row r="1890" spans="1:13" x14ac:dyDescent="0.2">
      <c r="A1890">
        <v>410533</v>
      </c>
      <c r="B1890" s="1">
        <v>45624</v>
      </c>
      <c r="C1890">
        <v>24438</v>
      </c>
      <c r="D1890" t="s">
        <v>44</v>
      </c>
      <c r="E1890" t="s">
        <v>172</v>
      </c>
      <c r="F1890" t="s">
        <v>173</v>
      </c>
      <c r="G1890">
        <v>1</v>
      </c>
      <c r="H1890">
        <v>4.2699999999999996</v>
      </c>
      <c r="I1890">
        <v>0.05</v>
      </c>
      <c r="J1890">
        <v>4.0599999999999996</v>
      </c>
      <c r="K1890" t="s">
        <v>36</v>
      </c>
      <c r="L1890" t="s">
        <v>17</v>
      </c>
      <c r="M1890" t="s">
        <v>43</v>
      </c>
    </row>
    <row r="1891" spans="1:13" x14ac:dyDescent="0.2">
      <c r="A1891">
        <v>410657</v>
      </c>
      <c r="B1891" s="1">
        <v>45120</v>
      </c>
      <c r="C1891">
        <v>79707</v>
      </c>
      <c r="D1891" t="s">
        <v>13</v>
      </c>
      <c r="E1891" t="s">
        <v>55</v>
      </c>
      <c r="F1891" t="s">
        <v>56</v>
      </c>
      <c r="G1891">
        <v>3</v>
      </c>
      <c r="H1891">
        <v>280.49</v>
      </c>
      <c r="I1891">
        <v>0.15</v>
      </c>
      <c r="J1891">
        <v>715.25</v>
      </c>
      <c r="K1891" t="s">
        <v>22</v>
      </c>
      <c r="L1891" t="s">
        <v>37</v>
      </c>
      <c r="M1891" t="s">
        <v>120</v>
      </c>
    </row>
    <row r="1892" spans="1:13" x14ac:dyDescent="0.2">
      <c r="A1892">
        <v>410668</v>
      </c>
      <c r="B1892" s="1">
        <v>44985</v>
      </c>
      <c r="C1892">
        <v>59827</v>
      </c>
      <c r="D1892" t="s">
        <v>82</v>
      </c>
      <c r="E1892" t="s">
        <v>168</v>
      </c>
      <c r="F1892" t="s">
        <v>169</v>
      </c>
      <c r="G1892">
        <v>1</v>
      </c>
      <c r="H1892">
        <v>8.09</v>
      </c>
      <c r="I1892">
        <v>0.1</v>
      </c>
      <c r="J1892">
        <v>7.28</v>
      </c>
      <c r="K1892" t="s">
        <v>53</v>
      </c>
      <c r="L1892" t="s">
        <v>17</v>
      </c>
      <c r="M1892" t="s">
        <v>54</v>
      </c>
    </row>
    <row r="1893" spans="1:13" x14ac:dyDescent="0.2">
      <c r="A1893">
        <v>411038</v>
      </c>
      <c r="B1893" s="1">
        <v>45391</v>
      </c>
      <c r="C1893">
        <v>41618</v>
      </c>
      <c r="D1893" t="s">
        <v>25</v>
      </c>
      <c r="E1893" t="s">
        <v>51</v>
      </c>
      <c r="F1893" t="s">
        <v>52</v>
      </c>
      <c r="G1893">
        <v>3</v>
      </c>
      <c r="H1893">
        <v>22.39</v>
      </c>
      <c r="I1893">
        <v>0.2</v>
      </c>
      <c r="J1893">
        <v>53.74</v>
      </c>
      <c r="K1893" t="s">
        <v>36</v>
      </c>
      <c r="L1893" t="s">
        <v>17</v>
      </c>
      <c r="M1893" t="s">
        <v>76</v>
      </c>
    </row>
    <row r="1894" spans="1:13" x14ac:dyDescent="0.2">
      <c r="A1894">
        <v>411178</v>
      </c>
      <c r="B1894" s="2">
        <v>45418</v>
      </c>
      <c r="C1894">
        <v>23710</v>
      </c>
      <c r="D1894" t="s">
        <v>44</v>
      </c>
      <c r="E1894" t="s">
        <v>91</v>
      </c>
      <c r="F1894" t="s">
        <v>92</v>
      </c>
      <c r="G1894">
        <v>1</v>
      </c>
      <c r="H1894">
        <v>4.72</v>
      </c>
      <c r="I1894">
        <v>0.25</v>
      </c>
      <c r="J1894">
        <v>3.54</v>
      </c>
      <c r="K1894" t="s">
        <v>16</v>
      </c>
      <c r="L1894" t="s">
        <v>17</v>
      </c>
      <c r="M1894" t="s">
        <v>96</v>
      </c>
    </row>
    <row r="1895" spans="1:13" x14ac:dyDescent="0.2">
      <c r="A1895">
        <v>411733</v>
      </c>
      <c r="B1895" s="1">
        <v>45195</v>
      </c>
      <c r="C1895">
        <v>71823</v>
      </c>
      <c r="D1895" t="s">
        <v>25</v>
      </c>
      <c r="E1895" t="s">
        <v>51</v>
      </c>
      <c r="F1895" t="s">
        <v>52</v>
      </c>
      <c r="G1895">
        <v>1</v>
      </c>
      <c r="H1895">
        <v>26.59</v>
      </c>
      <c r="I1895">
        <v>0.05</v>
      </c>
      <c r="J1895">
        <v>25.26</v>
      </c>
      <c r="K1895" t="s">
        <v>36</v>
      </c>
      <c r="L1895" t="s">
        <v>17</v>
      </c>
      <c r="M1895" t="s">
        <v>62</v>
      </c>
    </row>
    <row r="1896" spans="1:13" x14ac:dyDescent="0.2">
      <c r="A1896">
        <v>411823</v>
      </c>
      <c r="B1896" s="1">
        <v>44810</v>
      </c>
      <c r="C1896">
        <v>83657</v>
      </c>
      <c r="D1896" t="s">
        <v>29</v>
      </c>
      <c r="E1896" t="s">
        <v>88</v>
      </c>
      <c r="F1896" t="s">
        <v>89</v>
      </c>
      <c r="G1896">
        <v>5</v>
      </c>
      <c r="H1896">
        <v>39.99</v>
      </c>
      <c r="I1896">
        <v>0.2</v>
      </c>
      <c r="J1896">
        <v>159.96</v>
      </c>
      <c r="K1896" t="s">
        <v>36</v>
      </c>
      <c r="L1896" t="s">
        <v>17</v>
      </c>
      <c r="M1896" t="s">
        <v>161</v>
      </c>
    </row>
    <row r="1897" spans="1:13" x14ac:dyDescent="0.2">
      <c r="A1897">
        <v>411974</v>
      </c>
      <c r="B1897" s="2">
        <v>45494</v>
      </c>
      <c r="D1897" t="s">
        <v>44</v>
      </c>
      <c r="E1897" t="s">
        <v>177</v>
      </c>
      <c r="F1897" t="s">
        <v>178</v>
      </c>
      <c r="G1897">
        <v>1</v>
      </c>
      <c r="H1897">
        <v>11.99</v>
      </c>
      <c r="J1897">
        <v>11.99</v>
      </c>
      <c r="K1897" t="s">
        <v>16</v>
      </c>
      <c r="L1897" t="s">
        <v>17</v>
      </c>
      <c r="M1897" t="s">
        <v>62</v>
      </c>
    </row>
    <row r="1898" spans="1:13" x14ac:dyDescent="0.2">
      <c r="A1898">
        <v>412053</v>
      </c>
      <c r="B1898" s="1">
        <v>45397</v>
      </c>
      <c r="C1898">
        <v>41469</v>
      </c>
      <c r="D1898" t="s">
        <v>25</v>
      </c>
      <c r="E1898" t="s">
        <v>70</v>
      </c>
      <c r="F1898" t="s">
        <v>71</v>
      </c>
      <c r="G1898">
        <v>3</v>
      </c>
      <c r="H1898">
        <v>67.489999999999995</v>
      </c>
      <c r="J1898">
        <v>202.47</v>
      </c>
      <c r="K1898" t="s">
        <v>22</v>
      </c>
      <c r="L1898" t="s">
        <v>17</v>
      </c>
      <c r="M1898" t="s">
        <v>102</v>
      </c>
    </row>
    <row r="1899" spans="1:13" x14ac:dyDescent="0.2">
      <c r="A1899">
        <v>412143</v>
      </c>
      <c r="B1899" s="1">
        <v>45416</v>
      </c>
      <c r="C1899">
        <v>14798</v>
      </c>
      <c r="D1899" t="s">
        <v>44</v>
      </c>
      <c r="E1899" t="s">
        <v>172</v>
      </c>
      <c r="F1899" t="s">
        <v>173</v>
      </c>
      <c r="G1899">
        <v>2</v>
      </c>
      <c r="H1899">
        <v>4.49</v>
      </c>
      <c r="J1899">
        <v>8.98</v>
      </c>
      <c r="K1899" t="s">
        <v>36</v>
      </c>
      <c r="L1899" t="s">
        <v>17</v>
      </c>
      <c r="M1899" t="s">
        <v>43</v>
      </c>
    </row>
    <row r="1900" spans="1:13" x14ac:dyDescent="0.2">
      <c r="A1900">
        <v>412298</v>
      </c>
      <c r="B1900" s="1">
        <v>44670</v>
      </c>
      <c r="C1900">
        <v>59698</v>
      </c>
      <c r="D1900" t="s">
        <v>13</v>
      </c>
      <c r="E1900" t="s">
        <v>14</v>
      </c>
      <c r="F1900" t="s">
        <v>15</v>
      </c>
      <c r="G1900">
        <v>2</v>
      </c>
      <c r="H1900">
        <v>59.99</v>
      </c>
      <c r="I1900">
        <v>0.25</v>
      </c>
      <c r="J1900">
        <v>89.98</v>
      </c>
      <c r="K1900" t="s">
        <v>36</v>
      </c>
      <c r="L1900" t="s">
        <v>17</v>
      </c>
      <c r="M1900" t="s">
        <v>33</v>
      </c>
    </row>
    <row r="1901" spans="1:13" x14ac:dyDescent="0.2">
      <c r="A1901">
        <v>412442</v>
      </c>
      <c r="B1901" s="1">
        <v>45195</v>
      </c>
      <c r="C1901">
        <v>38454</v>
      </c>
      <c r="D1901" t="s">
        <v>44</v>
      </c>
      <c r="E1901" t="s">
        <v>107</v>
      </c>
      <c r="F1901" t="s">
        <v>108</v>
      </c>
      <c r="G1901">
        <v>1</v>
      </c>
      <c r="H1901">
        <v>3.49</v>
      </c>
      <c r="J1901">
        <v>3.49</v>
      </c>
      <c r="K1901" t="s">
        <v>22</v>
      </c>
      <c r="L1901" t="s">
        <v>37</v>
      </c>
      <c r="M1901" t="s">
        <v>47</v>
      </c>
    </row>
    <row r="1902" spans="1:13" x14ac:dyDescent="0.2">
      <c r="A1902">
        <v>412758</v>
      </c>
      <c r="B1902" s="2">
        <v>44992</v>
      </c>
      <c r="C1902">
        <v>50699</v>
      </c>
      <c r="D1902" t="s">
        <v>63</v>
      </c>
      <c r="E1902" t="s">
        <v>111</v>
      </c>
      <c r="F1902" t="s">
        <v>112</v>
      </c>
      <c r="G1902">
        <v>1</v>
      </c>
      <c r="H1902">
        <v>11.24</v>
      </c>
      <c r="I1902">
        <v>0.25</v>
      </c>
      <c r="J1902">
        <v>8.43</v>
      </c>
      <c r="K1902" t="s">
        <v>53</v>
      </c>
      <c r="L1902" t="s">
        <v>37</v>
      </c>
      <c r="M1902" t="s">
        <v>54</v>
      </c>
    </row>
    <row r="1903" spans="1:13" x14ac:dyDescent="0.2">
      <c r="A1903">
        <v>412865</v>
      </c>
      <c r="B1903" s="1">
        <v>44699</v>
      </c>
      <c r="C1903">
        <v>37230</v>
      </c>
      <c r="D1903" t="s">
        <v>85</v>
      </c>
      <c r="E1903" t="s">
        <v>153</v>
      </c>
      <c r="F1903" t="s">
        <v>154</v>
      </c>
      <c r="G1903">
        <v>5</v>
      </c>
      <c r="H1903">
        <v>26.99</v>
      </c>
      <c r="I1903">
        <v>0.1</v>
      </c>
      <c r="J1903">
        <v>121.46</v>
      </c>
      <c r="K1903" t="s">
        <v>95</v>
      </c>
      <c r="L1903" t="s">
        <v>37</v>
      </c>
      <c r="M1903" t="s">
        <v>117</v>
      </c>
    </row>
    <row r="1904" spans="1:13" x14ac:dyDescent="0.2">
      <c r="A1904">
        <v>412941</v>
      </c>
      <c r="B1904" s="2">
        <v>44585</v>
      </c>
      <c r="D1904" t="s">
        <v>82</v>
      </c>
      <c r="E1904" t="s">
        <v>168</v>
      </c>
      <c r="F1904" t="s">
        <v>169</v>
      </c>
      <c r="G1904">
        <v>4</v>
      </c>
      <c r="H1904">
        <v>8.99</v>
      </c>
      <c r="J1904">
        <v>35.96</v>
      </c>
      <c r="K1904" t="s">
        <v>36</v>
      </c>
      <c r="L1904" t="s">
        <v>17</v>
      </c>
      <c r="M1904" t="s">
        <v>90</v>
      </c>
    </row>
    <row r="1905" spans="1:13" x14ac:dyDescent="0.2">
      <c r="A1905">
        <v>413054</v>
      </c>
      <c r="B1905" s="1">
        <v>45184</v>
      </c>
      <c r="C1905">
        <v>66045</v>
      </c>
      <c r="D1905" t="s">
        <v>82</v>
      </c>
      <c r="E1905" t="s">
        <v>168</v>
      </c>
      <c r="F1905" t="s">
        <v>169</v>
      </c>
      <c r="G1905">
        <v>1</v>
      </c>
      <c r="H1905">
        <v>8.09</v>
      </c>
      <c r="I1905">
        <v>0.1</v>
      </c>
      <c r="J1905">
        <v>7.28</v>
      </c>
      <c r="K1905" t="s">
        <v>22</v>
      </c>
      <c r="L1905" t="s">
        <v>23</v>
      </c>
      <c r="M1905" t="s">
        <v>47</v>
      </c>
    </row>
    <row r="1906" spans="1:13" x14ac:dyDescent="0.2">
      <c r="A1906">
        <v>413685</v>
      </c>
      <c r="B1906" s="1">
        <v>45466</v>
      </c>
      <c r="C1906">
        <v>49599</v>
      </c>
      <c r="D1906" t="s">
        <v>63</v>
      </c>
      <c r="E1906" t="s">
        <v>131</v>
      </c>
      <c r="F1906" t="s">
        <v>132</v>
      </c>
      <c r="G1906">
        <v>5</v>
      </c>
      <c r="H1906">
        <v>2.97</v>
      </c>
      <c r="I1906">
        <v>0.15</v>
      </c>
      <c r="J1906">
        <v>12.62</v>
      </c>
      <c r="K1906" t="s">
        <v>16</v>
      </c>
      <c r="L1906" t="s">
        <v>17</v>
      </c>
      <c r="M1906" t="s">
        <v>76</v>
      </c>
    </row>
    <row r="1907" spans="1:13" x14ac:dyDescent="0.2">
      <c r="A1907">
        <v>413814</v>
      </c>
      <c r="B1907" s="1">
        <v>44857</v>
      </c>
      <c r="C1907">
        <v>61007</v>
      </c>
      <c r="D1907" t="s">
        <v>82</v>
      </c>
      <c r="E1907" t="s">
        <v>100</v>
      </c>
      <c r="F1907" t="s">
        <v>101</v>
      </c>
      <c r="G1907">
        <v>5</v>
      </c>
      <c r="H1907">
        <v>18.39</v>
      </c>
      <c r="I1907">
        <v>0.2</v>
      </c>
      <c r="J1907">
        <v>73.56</v>
      </c>
      <c r="K1907" t="s">
        <v>32</v>
      </c>
      <c r="L1907" t="s">
        <v>17</v>
      </c>
      <c r="M1907" t="s">
        <v>67</v>
      </c>
    </row>
    <row r="1908" spans="1:13" x14ac:dyDescent="0.2">
      <c r="A1908">
        <v>414007</v>
      </c>
      <c r="B1908" s="2">
        <v>44796</v>
      </c>
      <c r="C1908">
        <v>29340</v>
      </c>
      <c r="D1908" t="s">
        <v>82</v>
      </c>
      <c r="E1908" t="s">
        <v>83</v>
      </c>
      <c r="F1908" t="s">
        <v>84</v>
      </c>
      <c r="G1908">
        <v>4</v>
      </c>
      <c r="H1908">
        <v>16.14</v>
      </c>
      <c r="I1908">
        <v>0.05</v>
      </c>
      <c r="J1908">
        <v>61.33</v>
      </c>
      <c r="K1908" t="s">
        <v>16</v>
      </c>
      <c r="L1908" t="s">
        <v>17</v>
      </c>
      <c r="M1908" t="s">
        <v>43</v>
      </c>
    </row>
    <row r="1909" spans="1:13" x14ac:dyDescent="0.2">
      <c r="A1909">
        <v>414075</v>
      </c>
      <c r="B1909" s="1">
        <v>45606</v>
      </c>
      <c r="C1909">
        <v>24735</v>
      </c>
      <c r="D1909" t="s">
        <v>82</v>
      </c>
      <c r="E1909" t="s">
        <v>83</v>
      </c>
      <c r="F1909" t="s">
        <v>84</v>
      </c>
      <c r="G1909">
        <v>1</v>
      </c>
      <c r="H1909">
        <v>15.29</v>
      </c>
      <c r="I1909">
        <v>0.1</v>
      </c>
      <c r="J1909">
        <v>13.76</v>
      </c>
      <c r="K1909" t="s">
        <v>16</v>
      </c>
      <c r="L1909" t="s">
        <v>17</v>
      </c>
      <c r="M1909" t="s">
        <v>90</v>
      </c>
    </row>
    <row r="1910" spans="1:13" x14ac:dyDescent="0.2">
      <c r="A1910">
        <v>414134</v>
      </c>
      <c r="B1910" s="2">
        <v>45353</v>
      </c>
      <c r="C1910">
        <v>50331</v>
      </c>
      <c r="D1910" t="s">
        <v>85</v>
      </c>
      <c r="E1910" t="s">
        <v>157</v>
      </c>
      <c r="F1910" t="s">
        <v>158</v>
      </c>
      <c r="G1910">
        <v>2</v>
      </c>
      <c r="H1910">
        <v>13.49</v>
      </c>
      <c r="J1910">
        <v>26.98</v>
      </c>
      <c r="K1910" t="s">
        <v>16</v>
      </c>
      <c r="L1910" t="s">
        <v>17</v>
      </c>
      <c r="M1910" t="s">
        <v>96</v>
      </c>
    </row>
    <row r="1911" spans="1:13" x14ac:dyDescent="0.2">
      <c r="A1911">
        <v>414135</v>
      </c>
      <c r="B1911" s="1">
        <v>45144</v>
      </c>
      <c r="C1911">
        <v>66813</v>
      </c>
      <c r="D1911" t="s">
        <v>13</v>
      </c>
      <c r="E1911" t="s">
        <v>77</v>
      </c>
      <c r="F1911" t="s">
        <v>78</v>
      </c>
      <c r="G1911">
        <v>2</v>
      </c>
      <c r="H1911">
        <v>349.99</v>
      </c>
      <c r="I1911">
        <v>0.3</v>
      </c>
      <c r="J1911">
        <v>489.99</v>
      </c>
      <c r="K1911" t="s">
        <v>16</v>
      </c>
      <c r="L1911" t="s">
        <v>37</v>
      </c>
      <c r="M1911" t="s">
        <v>120</v>
      </c>
    </row>
    <row r="1912" spans="1:13" x14ac:dyDescent="0.2">
      <c r="A1912">
        <v>414423</v>
      </c>
      <c r="B1912" s="2">
        <v>45315</v>
      </c>
      <c r="C1912">
        <v>80975</v>
      </c>
      <c r="D1912" t="s">
        <v>48</v>
      </c>
      <c r="E1912" t="s">
        <v>49</v>
      </c>
      <c r="F1912" t="s">
        <v>50</v>
      </c>
      <c r="G1912">
        <v>2</v>
      </c>
      <c r="H1912">
        <v>8.99</v>
      </c>
      <c r="J1912">
        <v>17.98</v>
      </c>
      <c r="K1912" t="s">
        <v>22</v>
      </c>
      <c r="L1912" t="s">
        <v>17</v>
      </c>
      <c r="M1912" t="s">
        <v>81</v>
      </c>
    </row>
    <row r="1913" spans="1:13" x14ac:dyDescent="0.2">
      <c r="A1913">
        <v>414492</v>
      </c>
      <c r="B1913" s="1">
        <v>45362</v>
      </c>
      <c r="C1913">
        <v>81659</v>
      </c>
      <c r="D1913" t="s">
        <v>13</v>
      </c>
      <c r="E1913" t="s">
        <v>159</v>
      </c>
      <c r="F1913" t="s">
        <v>160</v>
      </c>
      <c r="G1913">
        <v>5</v>
      </c>
      <c r="H1913">
        <v>59.99</v>
      </c>
      <c r="J1913">
        <v>299.95</v>
      </c>
      <c r="K1913" t="s">
        <v>32</v>
      </c>
      <c r="L1913" t="s">
        <v>23</v>
      </c>
      <c r="M1913" t="s">
        <v>54</v>
      </c>
    </row>
    <row r="1914" spans="1:13" x14ac:dyDescent="0.2">
      <c r="A1914">
        <v>414687</v>
      </c>
      <c r="B1914" s="1">
        <v>45583</v>
      </c>
      <c r="C1914">
        <v>17276</v>
      </c>
      <c r="D1914" t="s">
        <v>97</v>
      </c>
      <c r="E1914" t="s">
        <v>141</v>
      </c>
      <c r="F1914" t="s">
        <v>142</v>
      </c>
      <c r="G1914">
        <v>4</v>
      </c>
      <c r="H1914">
        <v>22.99</v>
      </c>
      <c r="J1914">
        <v>91.96</v>
      </c>
      <c r="K1914" t="s">
        <v>16</v>
      </c>
      <c r="L1914" t="s">
        <v>37</v>
      </c>
      <c r="M1914" t="s">
        <v>117</v>
      </c>
    </row>
    <row r="1915" spans="1:13" x14ac:dyDescent="0.2">
      <c r="A1915">
        <v>414752</v>
      </c>
      <c r="B1915" s="1">
        <v>45649</v>
      </c>
      <c r="C1915">
        <v>54696</v>
      </c>
      <c r="D1915" t="s">
        <v>85</v>
      </c>
      <c r="E1915" t="s">
        <v>157</v>
      </c>
      <c r="F1915" t="s">
        <v>158</v>
      </c>
      <c r="G1915">
        <v>5</v>
      </c>
      <c r="H1915">
        <v>12.14</v>
      </c>
      <c r="I1915">
        <v>0.1</v>
      </c>
      <c r="J1915">
        <v>54.63</v>
      </c>
      <c r="K1915" t="s">
        <v>36</v>
      </c>
      <c r="L1915" t="s">
        <v>37</v>
      </c>
      <c r="M1915" t="s">
        <v>123</v>
      </c>
    </row>
    <row r="1916" spans="1:13" x14ac:dyDescent="0.2">
      <c r="A1916">
        <v>415109</v>
      </c>
      <c r="B1916" s="2">
        <v>44649</v>
      </c>
      <c r="C1916">
        <v>21206</v>
      </c>
      <c r="D1916" t="s">
        <v>44</v>
      </c>
      <c r="E1916" t="s">
        <v>133</v>
      </c>
      <c r="F1916" t="s">
        <v>134</v>
      </c>
      <c r="G1916">
        <v>1</v>
      </c>
      <c r="H1916">
        <v>2.84</v>
      </c>
      <c r="I1916">
        <v>0.25</v>
      </c>
      <c r="J1916">
        <v>2.13</v>
      </c>
      <c r="K1916" t="s">
        <v>53</v>
      </c>
      <c r="L1916" t="s">
        <v>17</v>
      </c>
      <c r="M1916" t="s">
        <v>67</v>
      </c>
    </row>
    <row r="1917" spans="1:13" x14ac:dyDescent="0.2">
      <c r="A1917">
        <v>415275</v>
      </c>
      <c r="B1917" s="1">
        <v>44617</v>
      </c>
      <c r="C1917">
        <v>41394</v>
      </c>
      <c r="D1917" t="s">
        <v>63</v>
      </c>
      <c r="E1917" t="s">
        <v>131</v>
      </c>
      <c r="F1917" t="s">
        <v>132</v>
      </c>
      <c r="G1917">
        <v>5</v>
      </c>
      <c r="H1917">
        <v>2.79</v>
      </c>
      <c r="I1917">
        <v>0.2</v>
      </c>
      <c r="J1917">
        <v>11.16</v>
      </c>
      <c r="K1917" t="s">
        <v>16</v>
      </c>
      <c r="L1917" t="s">
        <v>17</v>
      </c>
      <c r="M1917" t="s">
        <v>43</v>
      </c>
    </row>
    <row r="1918" spans="1:13" x14ac:dyDescent="0.2">
      <c r="A1918">
        <v>415382</v>
      </c>
      <c r="B1918" s="1">
        <v>44567</v>
      </c>
      <c r="C1918">
        <v>97275</v>
      </c>
      <c r="D1918" t="s">
        <v>40</v>
      </c>
      <c r="E1918" t="s">
        <v>58</v>
      </c>
      <c r="F1918" t="s">
        <v>59</v>
      </c>
      <c r="G1918">
        <v>5</v>
      </c>
      <c r="H1918">
        <v>3.39</v>
      </c>
      <c r="I1918">
        <v>0.15</v>
      </c>
      <c r="J1918">
        <v>14.41</v>
      </c>
      <c r="K1918" t="s">
        <v>16</v>
      </c>
      <c r="L1918" t="s">
        <v>17</v>
      </c>
      <c r="M1918" t="s">
        <v>24</v>
      </c>
    </row>
    <row r="1919" spans="1:13" x14ac:dyDescent="0.2">
      <c r="A1919">
        <v>415588</v>
      </c>
      <c r="B1919" s="1">
        <v>45380</v>
      </c>
      <c r="C1919">
        <v>55455</v>
      </c>
      <c r="D1919" t="s">
        <v>44</v>
      </c>
      <c r="E1919" t="s">
        <v>172</v>
      </c>
      <c r="F1919" t="s">
        <v>173</v>
      </c>
      <c r="G1919">
        <v>1</v>
      </c>
      <c r="H1919">
        <v>3.59</v>
      </c>
      <c r="I1919">
        <v>0.2</v>
      </c>
      <c r="J1919">
        <v>2.87</v>
      </c>
      <c r="K1919" t="s">
        <v>16</v>
      </c>
      <c r="L1919" t="s">
        <v>37</v>
      </c>
      <c r="M1919" t="s">
        <v>24</v>
      </c>
    </row>
    <row r="1920" spans="1:13" x14ac:dyDescent="0.2">
      <c r="A1920">
        <v>415636</v>
      </c>
      <c r="B1920" s="2">
        <v>45470</v>
      </c>
      <c r="C1920">
        <v>54188</v>
      </c>
      <c r="D1920" t="s">
        <v>82</v>
      </c>
      <c r="E1920" t="s">
        <v>147</v>
      </c>
      <c r="F1920" t="s">
        <v>148</v>
      </c>
      <c r="G1920">
        <v>1</v>
      </c>
      <c r="H1920">
        <v>11.69</v>
      </c>
      <c r="I1920">
        <v>0.1</v>
      </c>
      <c r="J1920">
        <v>10.52</v>
      </c>
      <c r="K1920" t="s">
        <v>16</v>
      </c>
      <c r="L1920" t="s">
        <v>17</v>
      </c>
      <c r="M1920" t="s">
        <v>103</v>
      </c>
    </row>
    <row r="1921" spans="1:13" x14ac:dyDescent="0.2">
      <c r="A1921">
        <v>415641</v>
      </c>
      <c r="B1921" s="1">
        <v>44683</v>
      </c>
      <c r="C1921">
        <v>86546</v>
      </c>
      <c r="D1921" t="s">
        <v>85</v>
      </c>
      <c r="E1921" t="s">
        <v>145</v>
      </c>
      <c r="F1921" t="s">
        <v>146</v>
      </c>
      <c r="G1921">
        <v>1</v>
      </c>
      <c r="H1921">
        <v>13.59</v>
      </c>
      <c r="I1921">
        <v>0.2</v>
      </c>
      <c r="J1921">
        <v>10.87</v>
      </c>
      <c r="K1921" t="s">
        <v>36</v>
      </c>
      <c r="L1921" t="s">
        <v>17</v>
      </c>
      <c r="M1921" t="s">
        <v>54</v>
      </c>
    </row>
    <row r="1922" spans="1:13" x14ac:dyDescent="0.2">
      <c r="A1922">
        <v>415929</v>
      </c>
      <c r="B1922" s="1">
        <v>44891</v>
      </c>
      <c r="C1922">
        <v>33638</v>
      </c>
      <c r="D1922" t="s">
        <v>40</v>
      </c>
      <c r="E1922" t="s">
        <v>41</v>
      </c>
      <c r="F1922" t="s">
        <v>42</v>
      </c>
      <c r="G1922">
        <v>1</v>
      </c>
      <c r="H1922">
        <v>4.79</v>
      </c>
      <c r="I1922">
        <v>0.2</v>
      </c>
      <c r="J1922">
        <v>3.83</v>
      </c>
      <c r="K1922" t="s">
        <v>53</v>
      </c>
      <c r="L1922" t="s">
        <v>37</v>
      </c>
      <c r="M1922" t="s">
        <v>57</v>
      </c>
    </row>
    <row r="1923" spans="1:13" x14ac:dyDescent="0.2">
      <c r="A1923">
        <v>416062</v>
      </c>
      <c r="B1923" s="1">
        <v>45323</v>
      </c>
      <c r="C1923">
        <v>63841</v>
      </c>
      <c r="D1923" t="s">
        <v>25</v>
      </c>
      <c r="E1923" t="s">
        <v>113</v>
      </c>
      <c r="F1923" t="s">
        <v>114</v>
      </c>
      <c r="G1923">
        <v>5</v>
      </c>
      <c r="H1923">
        <v>113.99</v>
      </c>
      <c r="I1923">
        <v>0.05</v>
      </c>
      <c r="J1923">
        <v>541.45000000000005</v>
      </c>
      <c r="K1923" t="s">
        <v>16</v>
      </c>
      <c r="L1923" t="s">
        <v>17</v>
      </c>
      <c r="M1923" t="s">
        <v>123</v>
      </c>
    </row>
    <row r="1924" spans="1:13" x14ac:dyDescent="0.2">
      <c r="A1924">
        <v>416127</v>
      </c>
      <c r="B1924" s="1">
        <v>44868</v>
      </c>
      <c r="C1924">
        <v>79393</v>
      </c>
      <c r="D1924" t="s">
        <v>40</v>
      </c>
      <c r="E1924" t="s">
        <v>115</v>
      </c>
      <c r="F1924" t="s">
        <v>116</v>
      </c>
      <c r="G1924">
        <v>1</v>
      </c>
      <c r="H1924">
        <v>9.09</v>
      </c>
      <c r="I1924">
        <v>0.3</v>
      </c>
      <c r="J1924">
        <v>6.36</v>
      </c>
      <c r="K1924" t="s">
        <v>36</v>
      </c>
      <c r="L1924" t="s">
        <v>17</v>
      </c>
      <c r="M1924" t="s">
        <v>28</v>
      </c>
    </row>
    <row r="1925" spans="1:13" x14ac:dyDescent="0.2">
      <c r="A1925">
        <v>416437</v>
      </c>
      <c r="B1925" s="2">
        <v>44774</v>
      </c>
      <c r="C1925">
        <v>30221</v>
      </c>
      <c r="D1925" t="s">
        <v>40</v>
      </c>
      <c r="E1925" t="s">
        <v>20</v>
      </c>
      <c r="F1925" t="s">
        <v>21</v>
      </c>
      <c r="G1925">
        <v>4</v>
      </c>
      <c r="H1925">
        <v>7.99</v>
      </c>
      <c r="I1925">
        <v>0.2</v>
      </c>
      <c r="J1925">
        <v>25.57</v>
      </c>
      <c r="K1925" t="s">
        <v>16</v>
      </c>
      <c r="L1925" t="s">
        <v>17</v>
      </c>
      <c r="M1925" t="s">
        <v>96</v>
      </c>
    </row>
    <row r="1926" spans="1:13" x14ac:dyDescent="0.2">
      <c r="A1926">
        <v>416464</v>
      </c>
      <c r="B1926" s="1">
        <v>44938</v>
      </c>
      <c r="C1926">
        <v>15331</v>
      </c>
      <c r="D1926" t="s">
        <v>13</v>
      </c>
      <c r="E1926" t="s">
        <v>159</v>
      </c>
      <c r="F1926" t="s">
        <v>160</v>
      </c>
      <c r="G1926">
        <v>3</v>
      </c>
      <c r="H1926">
        <v>50.99</v>
      </c>
      <c r="I1926">
        <v>0.15</v>
      </c>
      <c r="J1926">
        <v>130.02000000000001</v>
      </c>
      <c r="K1926" t="s">
        <v>16</v>
      </c>
      <c r="L1926" t="s">
        <v>17</v>
      </c>
      <c r="M1926" t="s">
        <v>18</v>
      </c>
    </row>
    <row r="1927" spans="1:13" x14ac:dyDescent="0.2">
      <c r="A1927">
        <v>416638</v>
      </c>
      <c r="B1927" s="1">
        <v>44601</v>
      </c>
      <c r="C1927">
        <v>45829</v>
      </c>
      <c r="D1927" t="s">
        <v>82</v>
      </c>
      <c r="E1927" t="s">
        <v>100</v>
      </c>
      <c r="F1927" t="s">
        <v>101</v>
      </c>
      <c r="G1927">
        <v>4</v>
      </c>
      <c r="H1927">
        <v>22.99</v>
      </c>
      <c r="J1927">
        <v>91.96</v>
      </c>
      <c r="K1927" t="s">
        <v>36</v>
      </c>
      <c r="L1927" t="s">
        <v>17</v>
      </c>
      <c r="M1927" t="s">
        <v>47</v>
      </c>
    </row>
    <row r="1928" spans="1:13" x14ac:dyDescent="0.2">
      <c r="A1928">
        <v>416772</v>
      </c>
      <c r="B1928" s="1">
        <v>45101</v>
      </c>
      <c r="C1928">
        <v>80328</v>
      </c>
      <c r="D1928" t="s">
        <v>29</v>
      </c>
      <c r="E1928" t="s">
        <v>88</v>
      </c>
      <c r="F1928" t="s">
        <v>89</v>
      </c>
      <c r="G1928">
        <v>5</v>
      </c>
      <c r="H1928">
        <v>47.49</v>
      </c>
      <c r="I1928">
        <v>0.05</v>
      </c>
      <c r="J1928">
        <v>225.58</v>
      </c>
      <c r="K1928" t="s">
        <v>16</v>
      </c>
      <c r="L1928" t="s">
        <v>17</v>
      </c>
    </row>
    <row r="1929" spans="1:13" x14ac:dyDescent="0.2">
      <c r="A1929">
        <v>417034</v>
      </c>
      <c r="B1929" s="2">
        <v>44857</v>
      </c>
      <c r="C1929">
        <v>38332</v>
      </c>
      <c r="D1929" t="s">
        <v>48</v>
      </c>
      <c r="E1929" t="s">
        <v>179</v>
      </c>
      <c r="F1929" t="s">
        <v>180</v>
      </c>
      <c r="G1929">
        <v>5</v>
      </c>
      <c r="H1929">
        <v>8.39</v>
      </c>
      <c r="I1929">
        <v>0.3</v>
      </c>
      <c r="J1929">
        <v>29.36</v>
      </c>
      <c r="K1929" t="s">
        <v>16</v>
      </c>
      <c r="L1929" t="s">
        <v>17</v>
      </c>
      <c r="M1929" t="s">
        <v>33</v>
      </c>
    </row>
    <row r="1930" spans="1:13" x14ac:dyDescent="0.2">
      <c r="A1930">
        <v>417612</v>
      </c>
      <c r="B1930" s="1">
        <v>45519</v>
      </c>
      <c r="C1930">
        <v>25261</v>
      </c>
      <c r="D1930" t="s">
        <v>192</v>
      </c>
      <c r="E1930" t="s">
        <v>141</v>
      </c>
      <c r="F1930" t="s">
        <v>142</v>
      </c>
      <c r="G1930">
        <v>1</v>
      </c>
      <c r="H1930">
        <v>17.239999999999998</v>
      </c>
      <c r="I1930">
        <v>0.25</v>
      </c>
      <c r="J1930">
        <v>12.93</v>
      </c>
      <c r="K1930" t="s">
        <v>16</v>
      </c>
      <c r="L1930" t="s">
        <v>17</v>
      </c>
      <c r="M1930" t="s">
        <v>57</v>
      </c>
    </row>
    <row r="1931" spans="1:13" x14ac:dyDescent="0.2">
      <c r="A1931">
        <v>417734</v>
      </c>
      <c r="B1931" s="1">
        <v>45212</v>
      </c>
      <c r="C1931">
        <v>59926</v>
      </c>
      <c r="D1931" t="s">
        <v>44</v>
      </c>
      <c r="E1931" t="s">
        <v>177</v>
      </c>
      <c r="F1931" t="s">
        <v>178</v>
      </c>
      <c r="G1931">
        <v>5</v>
      </c>
      <c r="H1931">
        <v>11.99</v>
      </c>
      <c r="J1931">
        <v>59.95</v>
      </c>
      <c r="K1931" t="s">
        <v>22</v>
      </c>
      <c r="L1931" t="s">
        <v>23</v>
      </c>
      <c r="M1931" t="s">
        <v>90</v>
      </c>
    </row>
    <row r="1932" spans="1:13" x14ac:dyDescent="0.2">
      <c r="A1932">
        <v>417768</v>
      </c>
      <c r="B1932" s="1">
        <v>45224</v>
      </c>
      <c r="C1932">
        <v>53170</v>
      </c>
      <c r="D1932" t="s">
        <v>48</v>
      </c>
      <c r="E1932" t="s">
        <v>109</v>
      </c>
      <c r="F1932" t="s">
        <v>110</v>
      </c>
      <c r="G1932">
        <v>2</v>
      </c>
      <c r="H1932">
        <v>5.24</v>
      </c>
      <c r="I1932">
        <v>0.25</v>
      </c>
      <c r="J1932">
        <v>7.86</v>
      </c>
      <c r="K1932" t="s">
        <v>22</v>
      </c>
      <c r="L1932" t="s">
        <v>17</v>
      </c>
      <c r="M1932" t="s">
        <v>62</v>
      </c>
    </row>
    <row r="1933" spans="1:13" x14ac:dyDescent="0.2">
      <c r="A1933">
        <v>418178</v>
      </c>
      <c r="B1933" s="1">
        <v>45492</v>
      </c>
      <c r="C1933">
        <v>76396</v>
      </c>
      <c r="D1933" t="s">
        <v>40</v>
      </c>
      <c r="E1933" t="s">
        <v>115</v>
      </c>
      <c r="F1933" t="s">
        <v>116</v>
      </c>
      <c r="G1933">
        <v>5</v>
      </c>
      <c r="H1933">
        <v>12.34</v>
      </c>
      <c r="I1933">
        <v>0.05</v>
      </c>
      <c r="J1933">
        <v>58.62</v>
      </c>
      <c r="K1933" t="s">
        <v>16</v>
      </c>
      <c r="L1933" t="s">
        <v>37</v>
      </c>
      <c r="M1933" t="s">
        <v>96</v>
      </c>
    </row>
    <row r="1934" spans="1:13" x14ac:dyDescent="0.2">
      <c r="A1934">
        <v>418362</v>
      </c>
      <c r="B1934" s="2">
        <v>45176</v>
      </c>
      <c r="C1934">
        <v>12554</v>
      </c>
      <c r="D1934" t="s">
        <v>40</v>
      </c>
      <c r="E1934" t="s">
        <v>115</v>
      </c>
      <c r="F1934" t="s">
        <v>116</v>
      </c>
      <c r="G1934">
        <v>1</v>
      </c>
      <c r="H1934">
        <v>11.04</v>
      </c>
      <c r="I1934">
        <v>0.15</v>
      </c>
      <c r="J1934">
        <v>9.3800000000000008</v>
      </c>
      <c r="K1934" t="s">
        <v>16</v>
      </c>
      <c r="L1934" t="s">
        <v>17</v>
      </c>
      <c r="M1934" t="s">
        <v>103</v>
      </c>
    </row>
    <row r="1935" spans="1:13" x14ac:dyDescent="0.2">
      <c r="A1935">
        <v>418912</v>
      </c>
      <c r="B1935" s="1">
        <v>44664</v>
      </c>
      <c r="C1935">
        <v>29138</v>
      </c>
      <c r="D1935" t="s">
        <v>29</v>
      </c>
      <c r="E1935" t="s">
        <v>30</v>
      </c>
      <c r="F1935" t="s">
        <v>31</v>
      </c>
      <c r="G1935">
        <v>4</v>
      </c>
      <c r="H1935">
        <v>22.49</v>
      </c>
      <c r="I1935">
        <v>0.1</v>
      </c>
      <c r="J1935">
        <v>80.959999999999994</v>
      </c>
      <c r="K1935" t="s">
        <v>16</v>
      </c>
      <c r="L1935" t="s">
        <v>17</v>
      </c>
      <c r="M1935" t="s">
        <v>123</v>
      </c>
    </row>
    <row r="1936" spans="1:13" x14ac:dyDescent="0.2">
      <c r="A1936">
        <v>419190</v>
      </c>
      <c r="B1936" s="1">
        <v>44991</v>
      </c>
      <c r="C1936">
        <v>19202</v>
      </c>
      <c r="D1936" t="s">
        <v>97</v>
      </c>
      <c r="E1936" t="s">
        <v>193</v>
      </c>
      <c r="F1936" t="s">
        <v>194</v>
      </c>
      <c r="G1936">
        <v>1</v>
      </c>
      <c r="H1936">
        <v>58.49</v>
      </c>
      <c r="I1936">
        <v>0.1</v>
      </c>
      <c r="J1936">
        <v>52.64</v>
      </c>
      <c r="K1936" t="s">
        <v>16</v>
      </c>
      <c r="L1936" t="s">
        <v>17</v>
      </c>
      <c r="M1936" t="s">
        <v>54</v>
      </c>
    </row>
    <row r="1937" spans="1:13" x14ac:dyDescent="0.2">
      <c r="A1937">
        <v>419231</v>
      </c>
      <c r="B1937" s="1">
        <v>45502</v>
      </c>
      <c r="C1937">
        <v>41896</v>
      </c>
      <c r="D1937" t="s">
        <v>13</v>
      </c>
      <c r="E1937" t="s">
        <v>127</v>
      </c>
      <c r="F1937" t="s">
        <v>128</v>
      </c>
      <c r="G1937">
        <v>2</v>
      </c>
      <c r="H1937">
        <v>19.989999999999998</v>
      </c>
      <c r="J1937">
        <v>39.979999999999997</v>
      </c>
      <c r="K1937" t="s">
        <v>16</v>
      </c>
      <c r="L1937" t="s">
        <v>17</v>
      </c>
      <c r="M1937" t="s">
        <v>47</v>
      </c>
    </row>
    <row r="1938" spans="1:13" x14ac:dyDescent="0.2">
      <c r="A1938">
        <v>419317</v>
      </c>
      <c r="B1938" s="1">
        <v>45153</v>
      </c>
      <c r="C1938">
        <v>29144</v>
      </c>
      <c r="D1938" t="s">
        <v>63</v>
      </c>
      <c r="E1938" t="s">
        <v>125</v>
      </c>
      <c r="F1938" t="s">
        <v>126</v>
      </c>
      <c r="G1938">
        <v>4</v>
      </c>
      <c r="H1938">
        <v>20.99</v>
      </c>
      <c r="I1938">
        <v>0.3</v>
      </c>
      <c r="J1938">
        <v>58.77</v>
      </c>
      <c r="K1938" t="s">
        <v>36</v>
      </c>
      <c r="L1938" t="s">
        <v>37</v>
      </c>
      <c r="M1938" t="s">
        <v>62</v>
      </c>
    </row>
    <row r="1939" spans="1:13" x14ac:dyDescent="0.2">
      <c r="A1939">
        <v>419700</v>
      </c>
      <c r="B1939" s="1">
        <v>45207</v>
      </c>
      <c r="C1939">
        <v>11776</v>
      </c>
      <c r="D1939" t="s">
        <v>85</v>
      </c>
      <c r="E1939" t="s">
        <v>129</v>
      </c>
      <c r="F1939" t="s">
        <v>130</v>
      </c>
      <c r="G1939">
        <v>4</v>
      </c>
      <c r="H1939">
        <v>8.5399999999999991</v>
      </c>
      <c r="I1939">
        <v>0.05</v>
      </c>
      <c r="J1939">
        <v>32.450000000000003</v>
      </c>
      <c r="K1939" t="s">
        <v>16</v>
      </c>
      <c r="L1939" t="s">
        <v>37</v>
      </c>
      <c r="M1939" t="s">
        <v>18</v>
      </c>
    </row>
    <row r="1940" spans="1:13" x14ac:dyDescent="0.2">
      <c r="A1940">
        <v>419747</v>
      </c>
      <c r="B1940" s="1">
        <v>45314</v>
      </c>
      <c r="C1940">
        <v>10905</v>
      </c>
      <c r="D1940" t="s">
        <v>82</v>
      </c>
      <c r="E1940" t="s">
        <v>168</v>
      </c>
      <c r="F1940" t="s">
        <v>169</v>
      </c>
      <c r="G1940">
        <v>1</v>
      </c>
      <c r="H1940">
        <v>8.5399999999999991</v>
      </c>
      <c r="I1940">
        <v>0.05</v>
      </c>
      <c r="J1940">
        <v>8.11</v>
      </c>
      <c r="K1940" t="s">
        <v>36</v>
      </c>
      <c r="L1940" t="s">
        <v>37</v>
      </c>
      <c r="M1940" t="s">
        <v>47</v>
      </c>
    </row>
    <row r="1941" spans="1:13" x14ac:dyDescent="0.2">
      <c r="A1941">
        <v>419837</v>
      </c>
      <c r="B1941" s="1">
        <v>45597</v>
      </c>
      <c r="C1941">
        <v>55994</v>
      </c>
      <c r="D1941" t="s">
        <v>44</v>
      </c>
      <c r="E1941" t="s">
        <v>172</v>
      </c>
      <c r="F1941" t="s">
        <v>173</v>
      </c>
      <c r="G1941">
        <v>5</v>
      </c>
      <c r="H1941">
        <v>4.49</v>
      </c>
      <c r="J1941">
        <v>22.45</v>
      </c>
      <c r="K1941" t="s">
        <v>53</v>
      </c>
      <c r="L1941" t="s">
        <v>17</v>
      </c>
      <c r="M1941" t="s">
        <v>117</v>
      </c>
    </row>
    <row r="1942" spans="1:13" x14ac:dyDescent="0.2">
      <c r="A1942">
        <v>419891</v>
      </c>
      <c r="B1942" s="1">
        <v>44789</v>
      </c>
      <c r="C1942">
        <v>32460</v>
      </c>
      <c r="D1942" t="s">
        <v>13</v>
      </c>
      <c r="E1942" t="s">
        <v>127</v>
      </c>
      <c r="F1942" t="s">
        <v>128</v>
      </c>
      <c r="G1942">
        <v>5</v>
      </c>
      <c r="H1942">
        <v>16.989999999999998</v>
      </c>
      <c r="I1942">
        <v>0.15</v>
      </c>
      <c r="J1942">
        <v>72.209999999999994</v>
      </c>
      <c r="K1942" t="s">
        <v>36</v>
      </c>
      <c r="L1942" t="s">
        <v>17</v>
      </c>
      <c r="M1942" t="s">
        <v>62</v>
      </c>
    </row>
    <row r="1943" spans="1:13" x14ac:dyDescent="0.2">
      <c r="A1943">
        <v>420526</v>
      </c>
      <c r="B1943" s="1">
        <v>45352</v>
      </c>
      <c r="C1943">
        <v>10406</v>
      </c>
      <c r="D1943" t="s">
        <v>97</v>
      </c>
      <c r="E1943" t="s">
        <v>165</v>
      </c>
      <c r="F1943" t="s">
        <v>166</v>
      </c>
      <c r="G1943">
        <v>1</v>
      </c>
      <c r="H1943">
        <v>71.989999999999995</v>
      </c>
      <c r="I1943">
        <v>0.2</v>
      </c>
      <c r="J1943">
        <v>57.59</v>
      </c>
      <c r="K1943" t="s">
        <v>22</v>
      </c>
      <c r="L1943" t="s">
        <v>17</v>
      </c>
      <c r="M1943" t="s">
        <v>57</v>
      </c>
    </row>
    <row r="1944" spans="1:13" x14ac:dyDescent="0.2">
      <c r="A1944">
        <v>420711</v>
      </c>
      <c r="B1944" s="1">
        <v>44656</v>
      </c>
      <c r="C1944">
        <v>27774</v>
      </c>
      <c r="D1944" t="s">
        <v>63</v>
      </c>
      <c r="E1944" t="s">
        <v>64</v>
      </c>
      <c r="F1944" t="s">
        <v>65</v>
      </c>
      <c r="G1944">
        <v>3</v>
      </c>
      <c r="H1944">
        <v>3.99</v>
      </c>
      <c r="I1944">
        <v>0.2</v>
      </c>
      <c r="J1944">
        <v>9.58</v>
      </c>
      <c r="K1944" t="s">
        <v>36</v>
      </c>
      <c r="L1944" t="s">
        <v>37</v>
      </c>
      <c r="M1944" t="s">
        <v>81</v>
      </c>
    </row>
    <row r="1945" spans="1:13" x14ac:dyDescent="0.2">
      <c r="A1945">
        <v>420739</v>
      </c>
      <c r="B1945" s="1">
        <v>44630</v>
      </c>
      <c r="C1945">
        <v>56810</v>
      </c>
      <c r="D1945" t="s">
        <v>29</v>
      </c>
      <c r="E1945" t="s">
        <v>88</v>
      </c>
      <c r="F1945" t="s">
        <v>89</v>
      </c>
      <c r="G1945">
        <v>2</v>
      </c>
      <c r="H1945">
        <v>39.99</v>
      </c>
      <c r="I1945">
        <v>0.2</v>
      </c>
      <c r="J1945">
        <v>63.98</v>
      </c>
      <c r="K1945" t="s">
        <v>36</v>
      </c>
      <c r="L1945" t="s">
        <v>17</v>
      </c>
      <c r="M1945" t="s">
        <v>28</v>
      </c>
    </row>
    <row r="1946" spans="1:13" x14ac:dyDescent="0.2">
      <c r="A1946">
        <v>420775</v>
      </c>
      <c r="B1946" s="1">
        <v>45200</v>
      </c>
      <c r="C1946">
        <v>70721</v>
      </c>
      <c r="D1946" t="s">
        <v>82</v>
      </c>
      <c r="E1946" t="s">
        <v>83</v>
      </c>
      <c r="F1946" t="s">
        <v>84</v>
      </c>
      <c r="G1946">
        <v>1</v>
      </c>
      <c r="H1946">
        <v>15.29</v>
      </c>
      <c r="I1946">
        <v>0.1</v>
      </c>
      <c r="J1946">
        <v>13.76</v>
      </c>
      <c r="K1946" t="s">
        <v>95</v>
      </c>
      <c r="L1946" t="s">
        <v>23</v>
      </c>
      <c r="M1946" t="s">
        <v>54</v>
      </c>
    </row>
    <row r="1947" spans="1:13" x14ac:dyDescent="0.2">
      <c r="A1947">
        <v>420863</v>
      </c>
      <c r="B1947" s="1">
        <v>45487</v>
      </c>
      <c r="C1947">
        <v>59034</v>
      </c>
      <c r="D1947" t="s">
        <v>85</v>
      </c>
      <c r="E1947" t="s">
        <v>153</v>
      </c>
      <c r="F1947" t="s">
        <v>154</v>
      </c>
      <c r="G1947">
        <v>2</v>
      </c>
      <c r="H1947">
        <v>28.49</v>
      </c>
      <c r="J1947">
        <v>56.98</v>
      </c>
      <c r="K1947" t="s">
        <v>16</v>
      </c>
      <c r="L1947" t="s">
        <v>17</v>
      </c>
      <c r="M1947" t="s">
        <v>43</v>
      </c>
    </row>
    <row r="1948" spans="1:13" x14ac:dyDescent="0.2">
      <c r="A1948">
        <v>421000</v>
      </c>
      <c r="B1948" s="2">
        <v>45028</v>
      </c>
      <c r="C1948">
        <v>77662</v>
      </c>
      <c r="D1948" t="s">
        <v>29</v>
      </c>
      <c r="E1948" t="s">
        <v>38</v>
      </c>
      <c r="F1948" t="s">
        <v>39</v>
      </c>
      <c r="G1948">
        <v>1</v>
      </c>
      <c r="H1948">
        <v>25.49</v>
      </c>
      <c r="I1948">
        <v>0.15</v>
      </c>
      <c r="J1948">
        <v>21.67</v>
      </c>
      <c r="K1948" t="s">
        <v>22</v>
      </c>
      <c r="L1948" t="s">
        <v>17</v>
      </c>
      <c r="M1948" t="s">
        <v>120</v>
      </c>
    </row>
    <row r="1949" spans="1:13" x14ac:dyDescent="0.2">
      <c r="A1949">
        <v>421153</v>
      </c>
      <c r="B1949" s="2">
        <v>44767</v>
      </c>
      <c r="C1949">
        <v>67541</v>
      </c>
      <c r="D1949" t="s">
        <v>82</v>
      </c>
      <c r="E1949" t="s">
        <v>83</v>
      </c>
      <c r="F1949" t="s">
        <v>84</v>
      </c>
      <c r="G1949">
        <v>5</v>
      </c>
      <c r="H1949">
        <v>16.989999999999998</v>
      </c>
      <c r="J1949">
        <v>84.95</v>
      </c>
      <c r="K1949" t="s">
        <v>22</v>
      </c>
      <c r="L1949" t="s">
        <v>17</v>
      </c>
      <c r="M1949" t="s">
        <v>103</v>
      </c>
    </row>
    <row r="1950" spans="1:13" x14ac:dyDescent="0.2">
      <c r="A1950">
        <v>421451</v>
      </c>
      <c r="B1950" s="2">
        <v>45484</v>
      </c>
      <c r="C1950">
        <v>22772</v>
      </c>
      <c r="D1950" t="s">
        <v>29</v>
      </c>
      <c r="E1950" t="s">
        <v>30</v>
      </c>
      <c r="F1950" t="s">
        <v>31</v>
      </c>
      <c r="G1950">
        <v>5</v>
      </c>
      <c r="H1950">
        <v>19.989999999999998</v>
      </c>
      <c r="I1950">
        <v>0.2</v>
      </c>
      <c r="J1950">
        <v>79.959999999999994</v>
      </c>
      <c r="K1950" t="s">
        <v>36</v>
      </c>
      <c r="L1950" t="s">
        <v>23</v>
      </c>
      <c r="M1950" t="s">
        <v>28</v>
      </c>
    </row>
    <row r="1951" spans="1:13" x14ac:dyDescent="0.2">
      <c r="A1951">
        <v>421647</v>
      </c>
      <c r="B1951" s="1">
        <v>44795</v>
      </c>
      <c r="C1951">
        <v>94114</v>
      </c>
      <c r="D1951" t="s">
        <v>97</v>
      </c>
      <c r="E1951" t="s">
        <v>151</v>
      </c>
      <c r="F1951" t="s">
        <v>152</v>
      </c>
      <c r="G1951">
        <v>1</v>
      </c>
      <c r="H1951">
        <v>33.24</v>
      </c>
      <c r="I1951">
        <v>0.05</v>
      </c>
      <c r="J1951">
        <v>31.58</v>
      </c>
      <c r="K1951" t="s">
        <v>16</v>
      </c>
      <c r="L1951" t="s">
        <v>17</v>
      </c>
      <c r="M1951" t="s">
        <v>90</v>
      </c>
    </row>
    <row r="1952" spans="1:13" x14ac:dyDescent="0.2">
      <c r="A1952">
        <v>421739</v>
      </c>
      <c r="B1952" s="2">
        <v>44717</v>
      </c>
      <c r="C1952">
        <v>59015</v>
      </c>
      <c r="D1952" t="s">
        <v>97</v>
      </c>
      <c r="E1952" t="s">
        <v>98</v>
      </c>
      <c r="F1952" t="s">
        <v>99</v>
      </c>
      <c r="G1952">
        <v>4</v>
      </c>
      <c r="H1952">
        <v>19.59</v>
      </c>
      <c r="I1952">
        <v>0.3</v>
      </c>
      <c r="J1952">
        <v>54.85</v>
      </c>
      <c r="K1952" t="s">
        <v>16</v>
      </c>
      <c r="L1952" t="s">
        <v>17</v>
      </c>
      <c r="M1952" t="s">
        <v>67</v>
      </c>
    </row>
    <row r="1953" spans="1:13" x14ac:dyDescent="0.2">
      <c r="A1953">
        <v>421746</v>
      </c>
      <c r="B1953" s="1">
        <v>44642</v>
      </c>
      <c r="C1953">
        <v>40420</v>
      </c>
      <c r="D1953" t="s">
        <v>13</v>
      </c>
      <c r="E1953" t="s">
        <v>127</v>
      </c>
      <c r="F1953" t="s">
        <v>128</v>
      </c>
      <c r="G1953">
        <v>1</v>
      </c>
      <c r="H1953">
        <v>19.989999999999998</v>
      </c>
      <c r="J1953">
        <v>19.989999999999998</v>
      </c>
      <c r="K1953" t="s">
        <v>36</v>
      </c>
      <c r="L1953" t="s">
        <v>17</v>
      </c>
      <c r="M1953" t="s">
        <v>90</v>
      </c>
    </row>
    <row r="1954" spans="1:13" x14ac:dyDescent="0.2">
      <c r="A1954">
        <v>421844</v>
      </c>
      <c r="B1954" s="1">
        <v>45041</v>
      </c>
      <c r="C1954">
        <v>92125</v>
      </c>
      <c r="D1954" t="s">
        <v>82</v>
      </c>
      <c r="E1954" t="s">
        <v>155</v>
      </c>
      <c r="F1954" t="s">
        <v>156</v>
      </c>
      <c r="G1954">
        <v>4</v>
      </c>
      <c r="H1954">
        <v>18.989999999999998</v>
      </c>
      <c r="I1954">
        <v>0.05</v>
      </c>
      <c r="J1954">
        <v>72.16</v>
      </c>
      <c r="K1954" t="s">
        <v>95</v>
      </c>
      <c r="L1954" t="s">
        <v>17</v>
      </c>
      <c r="M1954" t="s">
        <v>18</v>
      </c>
    </row>
    <row r="1955" spans="1:13" x14ac:dyDescent="0.2">
      <c r="A1955">
        <v>422066</v>
      </c>
      <c r="B1955" s="1">
        <v>45131</v>
      </c>
      <c r="C1955">
        <v>70418</v>
      </c>
      <c r="D1955" t="s">
        <v>48</v>
      </c>
      <c r="E1955" t="s">
        <v>143</v>
      </c>
      <c r="F1955" t="s">
        <v>144</v>
      </c>
      <c r="G1955">
        <v>1</v>
      </c>
      <c r="H1955">
        <v>11.99</v>
      </c>
      <c r="I1955">
        <v>0.2</v>
      </c>
      <c r="J1955">
        <v>9.59</v>
      </c>
      <c r="K1955" t="s">
        <v>16</v>
      </c>
      <c r="L1955" t="s">
        <v>17</v>
      </c>
      <c r="M1955" t="s">
        <v>43</v>
      </c>
    </row>
    <row r="1956" spans="1:13" x14ac:dyDescent="0.2">
      <c r="A1956">
        <v>422130</v>
      </c>
      <c r="B1956" s="2">
        <v>45033</v>
      </c>
      <c r="C1956">
        <v>51963</v>
      </c>
      <c r="D1956" t="s">
        <v>63</v>
      </c>
      <c r="E1956" t="s">
        <v>125</v>
      </c>
      <c r="F1956" t="s">
        <v>126</v>
      </c>
      <c r="G1956">
        <v>5</v>
      </c>
      <c r="H1956">
        <v>25.49</v>
      </c>
      <c r="I1956">
        <v>0.15</v>
      </c>
      <c r="J1956">
        <v>108.33</v>
      </c>
      <c r="K1956" t="s">
        <v>53</v>
      </c>
      <c r="L1956" t="s">
        <v>37</v>
      </c>
      <c r="M1956" t="s">
        <v>62</v>
      </c>
    </row>
    <row r="1957" spans="1:13" x14ac:dyDescent="0.2">
      <c r="A1957">
        <v>422457</v>
      </c>
      <c r="B1957" s="1">
        <v>45250</v>
      </c>
      <c r="C1957">
        <v>46183</v>
      </c>
      <c r="D1957" t="s">
        <v>82</v>
      </c>
      <c r="E1957" t="s">
        <v>155</v>
      </c>
      <c r="F1957" t="s">
        <v>156</v>
      </c>
      <c r="G1957">
        <v>4</v>
      </c>
      <c r="H1957">
        <v>19.989999999999998</v>
      </c>
      <c r="J1957">
        <v>79.959999999999994</v>
      </c>
      <c r="K1957" t="s">
        <v>16</v>
      </c>
      <c r="L1957" t="s">
        <v>17</v>
      </c>
      <c r="M1957" t="s">
        <v>161</v>
      </c>
    </row>
    <row r="1958" spans="1:13" x14ac:dyDescent="0.2">
      <c r="A1958">
        <v>422532</v>
      </c>
      <c r="B1958" s="2">
        <v>44990</v>
      </c>
      <c r="C1958">
        <v>44631</v>
      </c>
      <c r="D1958" t="s">
        <v>29</v>
      </c>
      <c r="E1958" t="s">
        <v>30</v>
      </c>
      <c r="F1958" t="s">
        <v>31</v>
      </c>
      <c r="G1958">
        <v>2</v>
      </c>
      <c r="H1958">
        <v>23.74</v>
      </c>
      <c r="I1958">
        <v>0.05</v>
      </c>
      <c r="J1958">
        <v>45.11</v>
      </c>
      <c r="K1958" t="s">
        <v>22</v>
      </c>
      <c r="L1958" t="s">
        <v>17</v>
      </c>
      <c r="M1958" t="s">
        <v>90</v>
      </c>
    </row>
    <row r="1959" spans="1:13" x14ac:dyDescent="0.2">
      <c r="A1959">
        <v>422648</v>
      </c>
      <c r="B1959" s="1">
        <v>44837</v>
      </c>
      <c r="C1959">
        <v>17269</v>
      </c>
      <c r="D1959" t="s">
        <v>13</v>
      </c>
      <c r="E1959" t="s">
        <v>34</v>
      </c>
      <c r="F1959" t="s">
        <v>35</v>
      </c>
      <c r="G1959">
        <v>5</v>
      </c>
      <c r="H1959">
        <v>34.99</v>
      </c>
      <c r="J1959">
        <v>174.95</v>
      </c>
      <c r="K1959" t="s">
        <v>95</v>
      </c>
      <c r="L1959" t="s">
        <v>17</v>
      </c>
      <c r="M1959" t="s">
        <v>62</v>
      </c>
    </row>
    <row r="1960" spans="1:13" x14ac:dyDescent="0.2">
      <c r="A1960">
        <v>422820</v>
      </c>
      <c r="B1960" s="1">
        <v>44851</v>
      </c>
      <c r="C1960">
        <v>53872</v>
      </c>
      <c r="D1960" t="s">
        <v>63</v>
      </c>
      <c r="E1960" t="s">
        <v>131</v>
      </c>
      <c r="F1960" t="s">
        <v>132</v>
      </c>
      <c r="G1960">
        <v>4</v>
      </c>
      <c r="H1960">
        <v>3.14</v>
      </c>
      <c r="I1960">
        <v>0.1</v>
      </c>
      <c r="J1960">
        <v>11.3</v>
      </c>
      <c r="K1960" t="s">
        <v>16</v>
      </c>
      <c r="L1960" t="s">
        <v>17</v>
      </c>
      <c r="M1960" t="s">
        <v>62</v>
      </c>
    </row>
    <row r="1961" spans="1:13" x14ac:dyDescent="0.2">
      <c r="A1961">
        <v>422902</v>
      </c>
      <c r="B1961" s="1">
        <v>44604</v>
      </c>
      <c r="C1961">
        <v>55457</v>
      </c>
      <c r="D1961" t="s">
        <v>29</v>
      </c>
      <c r="E1961" t="s">
        <v>30</v>
      </c>
      <c r="F1961" t="s">
        <v>31</v>
      </c>
      <c r="G1961">
        <v>2</v>
      </c>
      <c r="H1961">
        <v>22.49</v>
      </c>
      <c r="I1961">
        <v>0.1</v>
      </c>
      <c r="J1961">
        <v>40.479999999999997</v>
      </c>
      <c r="K1961" t="s">
        <v>32</v>
      </c>
      <c r="L1961" t="s">
        <v>17</v>
      </c>
      <c r="M1961" t="s">
        <v>117</v>
      </c>
    </row>
    <row r="1962" spans="1:13" x14ac:dyDescent="0.2">
      <c r="A1962">
        <v>422983</v>
      </c>
      <c r="B1962" s="1">
        <v>45529</v>
      </c>
      <c r="C1962">
        <v>90855</v>
      </c>
      <c r="D1962" t="s">
        <v>85</v>
      </c>
      <c r="E1962" t="s">
        <v>149</v>
      </c>
      <c r="F1962" t="s">
        <v>150</v>
      </c>
      <c r="G1962">
        <v>1</v>
      </c>
      <c r="H1962">
        <v>19.989999999999998</v>
      </c>
      <c r="J1962">
        <v>19.989999999999998</v>
      </c>
      <c r="K1962" t="s">
        <v>16</v>
      </c>
      <c r="L1962" t="s">
        <v>17</v>
      </c>
      <c r="M1962" t="s">
        <v>102</v>
      </c>
    </row>
    <row r="1963" spans="1:13" x14ac:dyDescent="0.2">
      <c r="A1963">
        <v>423040</v>
      </c>
      <c r="B1963" s="1">
        <v>44760</v>
      </c>
      <c r="C1963">
        <v>53533</v>
      </c>
      <c r="D1963" t="s">
        <v>40</v>
      </c>
      <c r="E1963" t="s">
        <v>58</v>
      </c>
      <c r="F1963" t="s">
        <v>59</v>
      </c>
      <c r="G1963">
        <v>2</v>
      </c>
      <c r="H1963">
        <v>3.99</v>
      </c>
      <c r="J1963">
        <v>7.98</v>
      </c>
      <c r="K1963" t="s">
        <v>36</v>
      </c>
      <c r="L1963" t="s">
        <v>17</v>
      </c>
      <c r="M1963" t="s">
        <v>28</v>
      </c>
    </row>
    <row r="1964" spans="1:13" x14ac:dyDescent="0.2">
      <c r="A1964">
        <v>423143</v>
      </c>
      <c r="B1964" s="2">
        <v>45467</v>
      </c>
      <c r="C1964">
        <v>14480</v>
      </c>
      <c r="D1964" t="s">
        <v>44</v>
      </c>
      <c r="E1964" t="s">
        <v>133</v>
      </c>
      <c r="F1964" t="s">
        <v>134</v>
      </c>
      <c r="G1964">
        <v>1</v>
      </c>
      <c r="H1964">
        <v>3.79</v>
      </c>
      <c r="J1964">
        <v>3.79</v>
      </c>
      <c r="K1964" t="s">
        <v>36</v>
      </c>
      <c r="L1964" t="s">
        <v>17</v>
      </c>
      <c r="M1964" t="s">
        <v>28</v>
      </c>
    </row>
    <row r="1965" spans="1:13" x14ac:dyDescent="0.2">
      <c r="A1965">
        <v>423312</v>
      </c>
      <c r="B1965" s="1">
        <v>45234</v>
      </c>
      <c r="C1965">
        <v>14128</v>
      </c>
      <c r="D1965" t="s">
        <v>25</v>
      </c>
      <c r="E1965" t="s">
        <v>26</v>
      </c>
      <c r="F1965" t="s">
        <v>27</v>
      </c>
      <c r="G1965">
        <v>2</v>
      </c>
      <c r="H1965">
        <v>26.24</v>
      </c>
      <c r="I1965">
        <v>0.25</v>
      </c>
      <c r="J1965">
        <v>39.36</v>
      </c>
      <c r="K1965" t="s">
        <v>32</v>
      </c>
      <c r="L1965" t="s">
        <v>37</v>
      </c>
      <c r="M1965" t="s">
        <v>18</v>
      </c>
    </row>
    <row r="1966" spans="1:13" x14ac:dyDescent="0.2">
      <c r="A1966">
        <v>423327</v>
      </c>
      <c r="B1966" s="1">
        <v>44804</v>
      </c>
      <c r="C1966">
        <v>55118</v>
      </c>
      <c r="D1966" t="s">
        <v>40</v>
      </c>
      <c r="E1966" t="s">
        <v>58</v>
      </c>
      <c r="F1966" t="s">
        <v>59</v>
      </c>
      <c r="G1966">
        <v>2</v>
      </c>
      <c r="H1966">
        <v>3.99</v>
      </c>
      <c r="J1966">
        <v>7.98</v>
      </c>
      <c r="K1966" t="s">
        <v>16</v>
      </c>
      <c r="L1966" t="s">
        <v>17</v>
      </c>
      <c r="M1966" t="s">
        <v>28</v>
      </c>
    </row>
    <row r="1967" spans="1:13" x14ac:dyDescent="0.2">
      <c r="A1967">
        <v>423335</v>
      </c>
      <c r="B1967" s="1">
        <v>44592</v>
      </c>
      <c r="C1967">
        <v>64156</v>
      </c>
      <c r="D1967" t="s">
        <v>13</v>
      </c>
      <c r="E1967" t="s">
        <v>77</v>
      </c>
      <c r="F1967" t="s">
        <v>78</v>
      </c>
      <c r="G1967">
        <v>5</v>
      </c>
      <c r="H1967">
        <v>499.99</v>
      </c>
      <c r="J1967">
        <v>2499.9499999999998</v>
      </c>
      <c r="K1967" t="s">
        <v>22</v>
      </c>
      <c r="L1967" t="s">
        <v>37</v>
      </c>
      <c r="M1967" t="s">
        <v>96</v>
      </c>
    </row>
    <row r="1968" spans="1:13" x14ac:dyDescent="0.2">
      <c r="A1968">
        <v>423402</v>
      </c>
      <c r="B1968" s="1">
        <v>44595</v>
      </c>
      <c r="C1968">
        <v>94337</v>
      </c>
      <c r="D1968" t="s">
        <v>40</v>
      </c>
      <c r="E1968" t="s">
        <v>197</v>
      </c>
      <c r="F1968" t="s">
        <v>198</v>
      </c>
      <c r="G1968">
        <v>5</v>
      </c>
      <c r="H1968">
        <v>14.99</v>
      </c>
      <c r="J1968">
        <v>74.95</v>
      </c>
      <c r="K1968" t="s">
        <v>16</v>
      </c>
      <c r="L1968" t="s">
        <v>17</v>
      </c>
      <c r="M1968" t="s">
        <v>18</v>
      </c>
    </row>
    <row r="1969" spans="1:13" x14ac:dyDescent="0.2">
      <c r="A1969">
        <v>423452</v>
      </c>
      <c r="B1969" s="1">
        <v>45657</v>
      </c>
      <c r="C1969">
        <v>99446</v>
      </c>
      <c r="D1969" t="s">
        <v>63</v>
      </c>
      <c r="E1969" t="s">
        <v>131</v>
      </c>
      <c r="F1969" t="s">
        <v>132</v>
      </c>
      <c r="G1969">
        <v>1</v>
      </c>
      <c r="H1969">
        <v>2.44</v>
      </c>
      <c r="I1969">
        <v>0.3</v>
      </c>
      <c r="J1969">
        <v>1.71</v>
      </c>
      <c r="K1969" t="s">
        <v>16</v>
      </c>
      <c r="L1969" t="s">
        <v>17</v>
      </c>
      <c r="M1969" t="s">
        <v>54</v>
      </c>
    </row>
    <row r="1970" spans="1:13" x14ac:dyDescent="0.2">
      <c r="A1970">
        <v>423595</v>
      </c>
      <c r="B1970" s="1">
        <v>44660</v>
      </c>
      <c r="C1970">
        <v>62184</v>
      </c>
      <c r="D1970" t="s">
        <v>25</v>
      </c>
      <c r="E1970" t="s">
        <v>60</v>
      </c>
      <c r="F1970" t="s">
        <v>61</v>
      </c>
      <c r="G1970">
        <v>1</v>
      </c>
      <c r="H1970">
        <v>46.74</v>
      </c>
      <c r="J1970">
        <v>46.74</v>
      </c>
      <c r="K1970" t="s">
        <v>16</v>
      </c>
      <c r="L1970" t="s">
        <v>17</v>
      </c>
      <c r="M1970" t="s">
        <v>28</v>
      </c>
    </row>
    <row r="1971" spans="1:13" x14ac:dyDescent="0.2">
      <c r="A1971">
        <v>423694</v>
      </c>
      <c r="B1971" s="1">
        <v>45215</v>
      </c>
      <c r="C1971">
        <v>22948</v>
      </c>
      <c r="D1971" t="s">
        <v>85</v>
      </c>
      <c r="E1971" t="s">
        <v>153</v>
      </c>
      <c r="F1971" t="s">
        <v>154</v>
      </c>
      <c r="G1971">
        <v>1</v>
      </c>
      <c r="H1971">
        <v>25.49</v>
      </c>
      <c r="I1971">
        <v>0.15</v>
      </c>
      <c r="J1971">
        <v>21.67</v>
      </c>
      <c r="K1971" t="s">
        <v>22</v>
      </c>
      <c r="L1971" t="s">
        <v>17</v>
      </c>
      <c r="M1971" t="s">
        <v>67</v>
      </c>
    </row>
    <row r="1972" spans="1:13" x14ac:dyDescent="0.2">
      <c r="A1972">
        <v>424072</v>
      </c>
      <c r="B1972" s="1">
        <v>45419</v>
      </c>
      <c r="C1972">
        <v>95717</v>
      </c>
      <c r="D1972" t="s">
        <v>82</v>
      </c>
      <c r="E1972" t="s">
        <v>147</v>
      </c>
      <c r="F1972" t="s">
        <v>148</v>
      </c>
      <c r="G1972">
        <v>4</v>
      </c>
      <c r="H1972">
        <v>9.09</v>
      </c>
      <c r="I1972">
        <v>0.3</v>
      </c>
      <c r="J1972">
        <v>25.45</v>
      </c>
      <c r="K1972" t="s">
        <v>36</v>
      </c>
      <c r="L1972" t="s">
        <v>17</v>
      </c>
      <c r="M1972" t="s">
        <v>81</v>
      </c>
    </row>
    <row r="1973" spans="1:13" x14ac:dyDescent="0.2">
      <c r="A1973">
        <v>424557</v>
      </c>
      <c r="B1973" s="1">
        <v>45631</v>
      </c>
      <c r="C1973">
        <v>77094</v>
      </c>
      <c r="D1973" t="s">
        <v>44</v>
      </c>
      <c r="E1973" t="s">
        <v>195</v>
      </c>
      <c r="F1973" t="s">
        <v>196</v>
      </c>
      <c r="G1973">
        <v>1</v>
      </c>
      <c r="H1973">
        <v>3.74</v>
      </c>
      <c r="I1973">
        <v>0.25</v>
      </c>
      <c r="J1973">
        <v>2.8</v>
      </c>
      <c r="K1973" t="s">
        <v>53</v>
      </c>
      <c r="L1973" t="s">
        <v>23</v>
      </c>
      <c r="M1973" t="s">
        <v>33</v>
      </c>
    </row>
    <row r="1974" spans="1:13" x14ac:dyDescent="0.2">
      <c r="A1974">
        <v>424773</v>
      </c>
      <c r="B1974" s="1">
        <v>45321</v>
      </c>
      <c r="C1974">
        <v>87927</v>
      </c>
      <c r="D1974" t="s">
        <v>97</v>
      </c>
      <c r="E1974" t="s">
        <v>121</v>
      </c>
      <c r="F1974" t="s">
        <v>122</v>
      </c>
      <c r="G1974">
        <v>5</v>
      </c>
      <c r="H1974">
        <v>12.99</v>
      </c>
      <c r="J1974">
        <v>64.95</v>
      </c>
      <c r="K1974" t="s">
        <v>22</v>
      </c>
      <c r="L1974" t="s">
        <v>17</v>
      </c>
      <c r="M1974" t="s">
        <v>90</v>
      </c>
    </row>
    <row r="1975" spans="1:13" x14ac:dyDescent="0.2">
      <c r="A1975">
        <v>424863</v>
      </c>
      <c r="B1975" s="1">
        <v>44695</v>
      </c>
      <c r="C1975">
        <v>28089</v>
      </c>
      <c r="D1975" t="s">
        <v>29</v>
      </c>
      <c r="E1975" t="s">
        <v>88</v>
      </c>
      <c r="F1975" t="s">
        <v>89</v>
      </c>
      <c r="G1975">
        <v>4</v>
      </c>
      <c r="H1975">
        <v>47.49</v>
      </c>
      <c r="I1975">
        <v>0.05</v>
      </c>
      <c r="J1975">
        <v>180.46</v>
      </c>
      <c r="K1975" t="s">
        <v>16</v>
      </c>
      <c r="L1975" t="s">
        <v>17</v>
      </c>
      <c r="M1975" t="s">
        <v>81</v>
      </c>
    </row>
    <row r="1976" spans="1:13" x14ac:dyDescent="0.2">
      <c r="A1976">
        <v>425142</v>
      </c>
      <c r="B1976" s="1">
        <v>45310</v>
      </c>
      <c r="C1976">
        <v>30306</v>
      </c>
      <c r="D1976" t="s">
        <v>85</v>
      </c>
      <c r="E1976" t="s">
        <v>149</v>
      </c>
      <c r="F1976" t="s">
        <v>150</v>
      </c>
      <c r="G1976">
        <v>1</v>
      </c>
      <c r="H1976">
        <v>14.99</v>
      </c>
      <c r="I1976">
        <v>0.25</v>
      </c>
      <c r="J1976">
        <v>11.24</v>
      </c>
      <c r="K1976" t="s">
        <v>36</v>
      </c>
      <c r="L1976" t="s">
        <v>17</v>
      </c>
      <c r="M1976" t="s">
        <v>33</v>
      </c>
    </row>
    <row r="1977" spans="1:13" x14ac:dyDescent="0.2">
      <c r="A1977">
        <v>425166</v>
      </c>
      <c r="B1977" s="1">
        <v>45086</v>
      </c>
      <c r="C1977">
        <v>74924</v>
      </c>
      <c r="D1977" t="s">
        <v>82</v>
      </c>
      <c r="E1977" t="s">
        <v>147</v>
      </c>
      <c r="F1977" t="s">
        <v>148</v>
      </c>
      <c r="G1977">
        <v>1</v>
      </c>
      <c r="H1977">
        <v>11.04</v>
      </c>
      <c r="I1977">
        <v>0.15</v>
      </c>
      <c r="J1977">
        <v>9.3800000000000008</v>
      </c>
      <c r="K1977" t="s">
        <v>36</v>
      </c>
      <c r="L1977" t="s">
        <v>17</v>
      </c>
      <c r="M1977" t="s">
        <v>120</v>
      </c>
    </row>
    <row r="1978" spans="1:13" x14ac:dyDescent="0.2">
      <c r="A1978">
        <v>425818</v>
      </c>
      <c r="B1978" s="1">
        <v>45379</v>
      </c>
      <c r="C1978">
        <v>91230</v>
      </c>
      <c r="D1978" t="s">
        <v>82</v>
      </c>
      <c r="E1978" t="s">
        <v>83</v>
      </c>
      <c r="F1978" t="s">
        <v>84</v>
      </c>
      <c r="G1978">
        <v>1</v>
      </c>
      <c r="H1978">
        <v>15.29</v>
      </c>
      <c r="I1978">
        <v>0.1</v>
      </c>
      <c r="J1978">
        <v>13.76</v>
      </c>
      <c r="K1978" t="s">
        <v>36</v>
      </c>
      <c r="L1978" t="s">
        <v>17</v>
      </c>
      <c r="M1978" t="s">
        <v>76</v>
      </c>
    </row>
    <row r="1979" spans="1:13" x14ac:dyDescent="0.2">
      <c r="A1979">
        <v>426088</v>
      </c>
      <c r="B1979" s="2">
        <v>45290</v>
      </c>
      <c r="C1979">
        <v>72202</v>
      </c>
      <c r="D1979" t="s">
        <v>97</v>
      </c>
      <c r="E1979" t="s">
        <v>135</v>
      </c>
      <c r="F1979" t="s">
        <v>136</v>
      </c>
      <c r="G1979">
        <v>1</v>
      </c>
      <c r="H1979">
        <v>8.49</v>
      </c>
      <c r="I1979">
        <v>0.15</v>
      </c>
      <c r="J1979">
        <v>7.22</v>
      </c>
      <c r="K1979" t="s">
        <v>16</v>
      </c>
      <c r="L1979" t="s">
        <v>17</v>
      </c>
      <c r="M1979" t="s">
        <v>62</v>
      </c>
    </row>
    <row r="1980" spans="1:13" x14ac:dyDescent="0.2">
      <c r="A1980">
        <v>426126</v>
      </c>
      <c r="B1980" s="1">
        <v>44903</v>
      </c>
      <c r="C1980">
        <v>42450</v>
      </c>
      <c r="D1980" t="s">
        <v>97</v>
      </c>
      <c r="E1980" t="s">
        <v>151</v>
      </c>
      <c r="F1980" t="s">
        <v>152</v>
      </c>
      <c r="G1980">
        <v>1</v>
      </c>
      <c r="H1980">
        <v>29.74</v>
      </c>
      <c r="I1980">
        <v>0.15</v>
      </c>
      <c r="J1980">
        <v>25.28</v>
      </c>
      <c r="K1980" t="s">
        <v>16</v>
      </c>
      <c r="L1980" t="s">
        <v>17</v>
      </c>
      <c r="M1980" t="s">
        <v>24</v>
      </c>
    </row>
    <row r="1981" spans="1:13" x14ac:dyDescent="0.2">
      <c r="A1981">
        <v>426305</v>
      </c>
      <c r="B1981" s="2">
        <v>44577</v>
      </c>
      <c r="C1981">
        <v>31356</v>
      </c>
      <c r="D1981" t="s">
        <v>40</v>
      </c>
      <c r="E1981" t="s">
        <v>20</v>
      </c>
      <c r="F1981" t="s">
        <v>21</v>
      </c>
      <c r="G1981">
        <v>1</v>
      </c>
      <c r="H1981">
        <v>6.99</v>
      </c>
      <c r="I1981">
        <v>0.3</v>
      </c>
      <c r="J1981">
        <v>4.8899999999999997</v>
      </c>
      <c r="K1981" t="s">
        <v>53</v>
      </c>
      <c r="L1981" t="s">
        <v>17</v>
      </c>
      <c r="M1981" t="s">
        <v>96</v>
      </c>
    </row>
    <row r="1982" spans="1:13" x14ac:dyDescent="0.2">
      <c r="A1982">
        <v>426369</v>
      </c>
      <c r="B1982" s="2">
        <v>45172</v>
      </c>
      <c r="C1982">
        <v>22928</v>
      </c>
      <c r="D1982" t="s">
        <v>44</v>
      </c>
      <c r="E1982" t="s">
        <v>177</v>
      </c>
      <c r="F1982" t="s">
        <v>178</v>
      </c>
      <c r="G1982">
        <v>3</v>
      </c>
      <c r="H1982">
        <v>11.39</v>
      </c>
      <c r="I1982">
        <v>0.05</v>
      </c>
      <c r="J1982">
        <v>32.46</v>
      </c>
      <c r="K1982" t="s">
        <v>36</v>
      </c>
      <c r="L1982" t="s">
        <v>17</v>
      </c>
      <c r="M1982" t="s">
        <v>102</v>
      </c>
    </row>
    <row r="1983" spans="1:13" x14ac:dyDescent="0.2">
      <c r="A1983">
        <v>426769</v>
      </c>
      <c r="B1983" s="1">
        <v>45148</v>
      </c>
      <c r="C1983">
        <v>25961</v>
      </c>
      <c r="D1983" t="s">
        <v>25</v>
      </c>
      <c r="E1983" t="s">
        <v>113</v>
      </c>
      <c r="F1983" t="s">
        <v>114</v>
      </c>
      <c r="G1983">
        <v>1</v>
      </c>
      <c r="H1983">
        <v>83.99</v>
      </c>
      <c r="I1983">
        <v>0.3</v>
      </c>
      <c r="J1983">
        <v>58.79</v>
      </c>
      <c r="K1983" t="s">
        <v>22</v>
      </c>
      <c r="L1983" t="s">
        <v>17</v>
      </c>
      <c r="M1983" t="s">
        <v>57</v>
      </c>
    </row>
    <row r="1984" spans="1:13" x14ac:dyDescent="0.2">
      <c r="A1984">
        <v>427100</v>
      </c>
      <c r="B1984" s="1">
        <v>44902</v>
      </c>
      <c r="C1984">
        <v>34934</v>
      </c>
      <c r="D1984" t="s">
        <v>40</v>
      </c>
      <c r="E1984" t="s">
        <v>20</v>
      </c>
      <c r="F1984" t="s">
        <v>21</v>
      </c>
      <c r="G1984">
        <v>2</v>
      </c>
      <c r="H1984">
        <v>8.49</v>
      </c>
      <c r="I1984">
        <v>0.15</v>
      </c>
      <c r="J1984">
        <v>14.43</v>
      </c>
      <c r="K1984" t="s">
        <v>16</v>
      </c>
      <c r="L1984" t="s">
        <v>17</v>
      </c>
      <c r="M1984" t="s">
        <v>103</v>
      </c>
    </row>
    <row r="1985" spans="1:13" x14ac:dyDescent="0.2">
      <c r="A1985">
        <v>427115</v>
      </c>
      <c r="B1985" s="2">
        <v>45302</v>
      </c>
      <c r="C1985">
        <v>58038</v>
      </c>
      <c r="D1985" t="s">
        <v>25</v>
      </c>
      <c r="E1985" t="s">
        <v>51</v>
      </c>
      <c r="F1985" t="s">
        <v>52</v>
      </c>
      <c r="G1985">
        <v>1</v>
      </c>
      <c r="H1985">
        <v>23.79</v>
      </c>
      <c r="I1985">
        <v>0.15</v>
      </c>
      <c r="J1985">
        <v>20.22</v>
      </c>
      <c r="K1985" t="s">
        <v>36</v>
      </c>
      <c r="L1985" t="s">
        <v>37</v>
      </c>
      <c r="M1985" t="s">
        <v>81</v>
      </c>
    </row>
    <row r="1986" spans="1:13" x14ac:dyDescent="0.2">
      <c r="A1986">
        <v>427556</v>
      </c>
      <c r="B1986" s="2">
        <v>44599</v>
      </c>
      <c r="C1986">
        <v>36200</v>
      </c>
      <c r="D1986" t="s">
        <v>25</v>
      </c>
      <c r="E1986" t="s">
        <v>60</v>
      </c>
      <c r="F1986" t="s">
        <v>61</v>
      </c>
      <c r="G1986">
        <v>1</v>
      </c>
      <c r="H1986">
        <v>54.99</v>
      </c>
      <c r="J1986">
        <v>54.99</v>
      </c>
      <c r="K1986" t="s">
        <v>36</v>
      </c>
      <c r="L1986" t="s">
        <v>17</v>
      </c>
      <c r="M1986" t="s">
        <v>102</v>
      </c>
    </row>
    <row r="1987" spans="1:13" x14ac:dyDescent="0.2">
      <c r="A1987">
        <v>427819</v>
      </c>
      <c r="B1987" s="2">
        <v>45144</v>
      </c>
      <c r="C1987">
        <v>50593</v>
      </c>
      <c r="D1987" t="s">
        <v>40</v>
      </c>
      <c r="E1987" t="s">
        <v>115</v>
      </c>
      <c r="F1987" t="s">
        <v>116</v>
      </c>
      <c r="G1987">
        <v>4</v>
      </c>
      <c r="H1987">
        <v>11.69</v>
      </c>
      <c r="I1987">
        <v>0.1</v>
      </c>
      <c r="J1987">
        <v>42.08</v>
      </c>
      <c r="K1987" t="s">
        <v>22</v>
      </c>
      <c r="L1987" t="s">
        <v>23</v>
      </c>
      <c r="M1987" t="s">
        <v>96</v>
      </c>
    </row>
    <row r="1988" spans="1:13" x14ac:dyDescent="0.2">
      <c r="A1988">
        <v>428154</v>
      </c>
      <c r="B1988" s="1">
        <v>45587</v>
      </c>
      <c r="C1988">
        <v>61224</v>
      </c>
      <c r="D1988" t="s">
        <v>13</v>
      </c>
      <c r="E1988" t="s">
        <v>104</v>
      </c>
      <c r="F1988" t="s">
        <v>105</v>
      </c>
      <c r="G1988">
        <v>3</v>
      </c>
      <c r="H1988">
        <v>25.49</v>
      </c>
      <c r="I1988">
        <v>0.15</v>
      </c>
      <c r="J1988">
        <v>65</v>
      </c>
      <c r="K1988" t="s">
        <v>16</v>
      </c>
      <c r="L1988" t="s">
        <v>23</v>
      </c>
      <c r="M1988" t="s">
        <v>43</v>
      </c>
    </row>
    <row r="1989" spans="1:13" x14ac:dyDescent="0.2">
      <c r="A1989">
        <v>428201</v>
      </c>
      <c r="B1989" s="1">
        <v>45478</v>
      </c>
      <c r="C1989">
        <v>64397</v>
      </c>
      <c r="D1989" t="s">
        <v>25</v>
      </c>
      <c r="E1989" t="s">
        <v>51</v>
      </c>
      <c r="F1989" t="s">
        <v>52</v>
      </c>
      <c r="G1989">
        <v>3</v>
      </c>
      <c r="H1989">
        <v>23.79</v>
      </c>
      <c r="I1989">
        <v>0.15</v>
      </c>
      <c r="J1989">
        <v>60.66</v>
      </c>
      <c r="K1989" t="s">
        <v>36</v>
      </c>
      <c r="L1989" t="s">
        <v>17</v>
      </c>
      <c r="M1989" t="s">
        <v>90</v>
      </c>
    </row>
    <row r="1990" spans="1:13" x14ac:dyDescent="0.2">
      <c r="A1990">
        <v>428914</v>
      </c>
      <c r="B1990" s="1">
        <v>45451</v>
      </c>
      <c r="C1990">
        <v>85574</v>
      </c>
      <c r="D1990" t="s">
        <v>29</v>
      </c>
      <c r="E1990" t="s">
        <v>88</v>
      </c>
      <c r="F1990" t="s">
        <v>89</v>
      </c>
      <c r="G1990">
        <v>3</v>
      </c>
      <c r="H1990">
        <v>42.49</v>
      </c>
      <c r="I1990">
        <v>0.15</v>
      </c>
      <c r="J1990">
        <v>108.35</v>
      </c>
      <c r="K1990" t="s">
        <v>16</v>
      </c>
      <c r="L1990" t="s">
        <v>23</v>
      </c>
      <c r="M1990" t="s">
        <v>57</v>
      </c>
    </row>
    <row r="1991" spans="1:13" x14ac:dyDescent="0.2">
      <c r="A1991">
        <v>428915</v>
      </c>
      <c r="B1991" s="2">
        <v>45636</v>
      </c>
      <c r="C1991">
        <v>93598</v>
      </c>
      <c r="D1991" t="s">
        <v>40</v>
      </c>
      <c r="E1991" t="s">
        <v>41</v>
      </c>
      <c r="F1991" t="s">
        <v>42</v>
      </c>
      <c r="G1991">
        <v>1</v>
      </c>
      <c r="H1991">
        <v>4.49</v>
      </c>
      <c r="J1991">
        <v>4.49</v>
      </c>
      <c r="K1991" t="s">
        <v>95</v>
      </c>
      <c r="L1991" t="s">
        <v>37</v>
      </c>
      <c r="M1991" t="s">
        <v>117</v>
      </c>
    </row>
    <row r="1992" spans="1:13" x14ac:dyDescent="0.2">
      <c r="A1992">
        <v>428987</v>
      </c>
      <c r="B1992" s="1">
        <v>44838</v>
      </c>
      <c r="D1992" t="s">
        <v>13</v>
      </c>
      <c r="E1992" t="s">
        <v>14</v>
      </c>
      <c r="F1992" t="s">
        <v>15</v>
      </c>
      <c r="G1992">
        <v>2</v>
      </c>
      <c r="H1992">
        <v>79.989999999999995</v>
      </c>
      <c r="J1992">
        <v>159.97999999999999</v>
      </c>
      <c r="K1992" t="s">
        <v>36</v>
      </c>
      <c r="L1992" t="s">
        <v>23</v>
      </c>
      <c r="M1992" t="s">
        <v>76</v>
      </c>
    </row>
    <row r="1993" spans="1:13" x14ac:dyDescent="0.2">
      <c r="A1993">
        <v>429160</v>
      </c>
      <c r="B1993" s="1">
        <v>44628</v>
      </c>
      <c r="C1993">
        <v>21134</v>
      </c>
      <c r="D1993" t="s">
        <v>63</v>
      </c>
      <c r="E1993" t="s">
        <v>68</v>
      </c>
      <c r="F1993" t="s">
        <v>69</v>
      </c>
      <c r="G1993">
        <v>2</v>
      </c>
      <c r="H1993">
        <v>18.739999999999998</v>
      </c>
      <c r="I1993">
        <v>0.25</v>
      </c>
      <c r="J1993">
        <v>28.11</v>
      </c>
      <c r="K1993" t="s">
        <v>95</v>
      </c>
      <c r="L1993" t="s">
        <v>23</v>
      </c>
      <c r="M1993" t="s">
        <v>47</v>
      </c>
    </row>
    <row r="1994" spans="1:13" x14ac:dyDescent="0.2">
      <c r="A1994">
        <v>429221</v>
      </c>
      <c r="B1994" s="1">
        <v>45655</v>
      </c>
      <c r="C1994">
        <v>46282</v>
      </c>
      <c r="D1994" t="s">
        <v>164</v>
      </c>
      <c r="E1994" t="s">
        <v>88</v>
      </c>
      <c r="F1994" t="s">
        <v>89</v>
      </c>
      <c r="G1994">
        <v>2</v>
      </c>
      <c r="H1994">
        <v>47.49</v>
      </c>
      <c r="I1994">
        <v>0.05</v>
      </c>
      <c r="J1994">
        <v>90.23</v>
      </c>
      <c r="K1994" t="s">
        <v>36</v>
      </c>
      <c r="L1994" t="s">
        <v>17</v>
      </c>
      <c r="M1994" t="s">
        <v>76</v>
      </c>
    </row>
    <row r="1995" spans="1:13" x14ac:dyDescent="0.2">
      <c r="A1995">
        <v>429329</v>
      </c>
      <c r="B1995" s="1">
        <v>45532</v>
      </c>
      <c r="C1995">
        <v>38519</v>
      </c>
      <c r="D1995" t="s">
        <v>85</v>
      </c>
      <c r="E1995" t="s">
        <v>153</v>
      </c>
      <c r="F1995" t="s">
        <v>154</v>
      </c>
      <c r="G1995">
        <v>1</v>
      </c>
      <c r="H1995">
        <v>29.99</v>
      </c>
      <c r="J1995">
        <v>29.99</v>
      </c>
      <c r="K1995" t="s">
        <v>16</v>
      </c>
      <c r="L1995" t="s">
        <v>23</v>
      </c>
      <c r="M1995" t="s">
        <v>96</v>
      </c>
    </row>
    <row r="1996" spans="1:13" x14ac:dyDescent="0.2">
      <c r="A1996">
        <v>429657</v>
      </c>
      <c r="B1996" s="2">
        <v>44843</v>
      </c>
      <c r="C1996">
        <v>34385</v>
      </c>
      <c r="D1996" t="s">
        <v>82</v>
      </c>
      <c r="E1996" t="s">
        <v>147</v>
      </c>
      <c r="F1996" t="s">
        <v>148</v>
      </c>
      <c r="G1996">
        <v>1</v>
      </c>
      <c r="H1996">
        <v>9.09</v>
      </c>
      <c r="I1996">
        <v>0.3</v>
      </c>
      <c r="J1996">
        <v>6.36</v>
      </c>
      <c r="K1996" t="s">
        <v>16</v>
      </c>
      <c r="L1996" t="s">
        <v>17</v>
      </c>
      <c r="M1996" t="s">
        <v>47</v>
      </c>
    </row>
    <row r="1997" spans="1:13" x14ac:dyDescent="0.2">
      <c r="A1997">
        <v>429776</v>
      </c>
      <c r="B1997" s="1">
        <v>44801</v>
      </c>
      <c r="C1997">
        <v>41148</v>
      </c>
      <c r="D1997" t="s">
        <v>48</v>
      </c>
      <c r="E1997" t="s">
        <v>143</v>
      </c>
      <c r="F1997" t="s">
        <v>144</v>
      </c>
      <c r="G1997">
        <v>3</v>
      </c>
      <c r="H1997">
        <v>13.49</v>
      </c>
      <c r="I1997">
        <v>0.1</v>
      </c>
      <c r="J1997">
        <v>36.42</v>
      </c>
      <c r="K1997" t="s">
        <v>16</v>
      </c>
      <c r="L1997" t="s">
        <v>17</v>
      </c>
      <c r="M1997" t="s">
        <v>47</v>
      </c>
    </row>
    <row r="1998" spans="1:13" x14ac:dyDescent="0.2">
      <c r="A1998">
        <v>429798</v>
      </c>
      <c r="B1998" s="2">
        <v>45228</v>
      </c>
      <c r="C1998">
        <v>22510</v>
      </c>
      <c r="D1998" t="s">
        <v>63</v>
      </c>
      <c r="E1998" t="s">
        <v>64</v>
      </c>
      <c r="F1998" t="s">
        <v>65</v>
      </c>
      <c r="G1998">
        <v>2</v>
      </c>
      <c r="H1998">
        <v>4.99</v>
      </c>
      <c r="J1998">
        <v>9.98</v>
      </c>
      <c r="K1998" t="s">
        <v>22</v>
      </c>
      <c r="L1998" t="s">
        <v>17</v>
      </c>
      <c r="M1998" t="s">
        <v>62</v>
      </c>
    </row>
    <row r="1999" spans="1:13" x14ac:dyDescent="0.2">
      <c r="A1999">
        <v>430210</v>
      </c>
      <c r="B1999" s="1">
        <v>44869</v>
      </c>
      <c r="C1999">
        <v>36130</v>
      </c>
      <c r="D1999" t="s">
        <v>29</v>
      </c>
      <c r="E1999" t="s">
        <v>170</v>
      </c>
      <c r="F1999" t="s">
        <v>171</v>
      </c>
      <c r="G1999">
        <v>1</v>
      </c>
      <c r="H1999">
        <v>14.99</v>
      </c>
      <c r="J1999">
        <v>14.99</v>
      </c>
      <c r="K1999" t="s">
        <v>95</v>
      </c>
      <c r="L1999" t="s">
        <v>17</v>
      </c>
      <c r="M1999" t="s">
        <v>57</v>
      </c>
    </row>
    <row r="2000" spans="1:13" x14ac:dyDescent="0.2">
      <c r="A2000">
        <v>430463</v>
      </c>
      <c r="B2000" s="1">
        <v>45655</v>
      </c>
      <c r="C2000">
        <v>64046</v>
      </c>
      <c r="D2000" t="s">
        <v>82</v>
      </c>
      <c r="E2000" t="s">
        <v>155</v>
      </c>
      <c r="F2000" t="s">
        <v>156</v>
      </c>
      <c r="G2000">
        <v>5</v>
      </c>
      <c r="H2000">
        <v>14.99</v>
      </c>
      <c r="J2000">
        <v>74.95</v>
      </c>
      <c r="K2000" t="s">
        <v>32</v>
      </c>
      <c r="L2000" t="s">
        <v>23</v>
      </c>
      <c r="M2000" t="s">
        <v>120</v>
      </c>
    </row>
    <row r="2001" spans="1:13" x14ac:dyDescent="0.2">
      <c r="A2001">
        <v>430623</v>
      </c>
      <c r="B2001" s="1">
        <v>45569</v>
      </c>
      <c r="C2001">
        <v>46175</v>
      </c>
      <c r="D2001" t="s">
        <v>85</v>
      </c>
      <c r="E2001" t="s">
        <v>86</v>
      </c>
      <c r="F2001" t="s">
        <v>87</v>
      </c>
      <c r="G2001">
        <v>1</v>
      </c>
      <c r="H2001">
        <v>10.39</v>
      </c>
      <c r="I2001">
        <v>0.2</v>
      </c>
      <c r="J2001">
        <v>8.31</v>
      </c>
      <c r="K2001" t="s">
        <v>16</v>
      </c>
      <c r="L2001" t="s">
        <v>23</v>
      </c>
      <c r="M2001" t="s">
        <v>123</v>
      </c>
    </row>
    <row r="2002" spans="1:13" x14ac:dyDescent="0.2">
      <c r="A2002">
        <v>430768</v>
      </c>
      <c r="B2002" s="1">
        <v>45539</v>
      </c>
      <c r="C2002">
        <v>59635</v>
      </c>
      <c r="D2002" t="s">
        <v>40</v>
      </c>
      <c r="E2002" t="s">
        <v>197</v>
      </c>
      <c r="F2002" t="s">
        <v>198</v>
      </c>
      <c r="G2002">
        <v>2</v>
      </c>
      <c r="H2002">
        <v>13.49</v>
      </c>
      <c r="I2002">
        <v>0.1</v>
      </c>
      <c r="J2002">
        <v>24.28</v>
      </c>
      <c r="K2002" t="s">
        <v>36</v>
      </c>
      <c r="L2002" t="s">
        <v>17</v>
      </c>
      <c r="M2002" t="s">
        <v>120</v>
      </c>
    </row>
    <row r="2003" spans="1:13" x14ac:dyDescent="0.2">
      <c r="A2003">
        <v>430868</v>
      </c>
      <c r="B2003" s="1">
        <v>44926</v>
      </c>
      <c r="C2003">
        <v>36112</v>
      </c>
      <c r="D2003" t="s">
        <v>48</v>
      </c>
      <c r="E2003" t="s">
        <v>179</v>
      </c>
      <c r="F2003" t="s">
        <v>180</v>
      </c>
      <c r="G2003">
        <v>1</v>
      </c>
      <c r="H2003">
        <v>10.79</v>
      </c>
      <c r="I2003">
        <v>0.1</v>
      </c>
      <c r="J2003">
        <v>9.7100000000000009</v>
      </c>
      <c r="K2003" t="s">
        <v>16</v>
      </c>
      <c r="L2003" t="s">
        <v>37</v>
      </c>
      <c r="M2003" t="s">
        <v>81</v>
      </c>
    </row>
    <row r="2004" spans="1:13" x14ac:dyDescent="0.2">
      <c r="A2004">
        <v>430909</v>
      </c>
      <c r="B2004" s="1">
        <v>45036</v>
      </c>
      <c r="C2004">
        <v>72477</v>
      </c>
      <c r="D2004" t="s">
        <v>183</v>
      </c>
      <c r="E2004" t="s">
        <v>168</v>
      </c>
      <c r="F2004" t="s">
        <v>169</v>
      </c>
      <c r="G2004">
        <v>1</v>
      </c>
      <c r="H2004">
        <v>8.99</v>
      </c>
      <c r="J2004">
        <v>8.99</v>
      </c>
      <c r="K2004" t="s">
        <v>36</v>
      </c>
      <c r="L2004" t="s">
        <v>17</v>
      </c>
      <c r="M2004" t="s">
        <v>117</v>
      </c>
    </row>
    <row r="2005" spans="1:13" x14ac:dyDescent="0.2">
      <c r="A2005">
        <v>431442</v>
      </c>
      <c r="B2005" s="1">
        <v>44638</v>
      </c>
      <c r="C2005">
        <v>39268</v>
      </c>
      <c r="D2005" t="s">
        <v>29</v>
      </c>
      <c r="E2005" t="s">
        <v>88</v>
      </c>
      <c r="F2005" t="s">
        <v>89</v>
      </c>
      <c r="G2005">
        <v>2</v>
      </c>
      <c r="H2005">
        <v>37.49</v>
      </c>
      <c r="I2005">
        <v>0.25</v>
      </c>
      <c r="J2005">
        <v>56.24</v>
      </c>
      <c r="K2005" t="s">
        <v>36</v>
      </c>
      <c r="L2005" t="s">
        <v>17</v>
      </c>
      <c r="M2005" t="s">
        <v>33</v>
      </c>
    </row>
    <row r="2006" spans="1:13" x14ac:dyDescent="0.2">
      <c r="A2006">
        <v>431836</v>
      </c>
      <c r="B2006" s="2">
        <v>45290</v>
      </c>
      <c r="C2006">
        <v>96423</v>
      </c>
      <c r="D2006" t="s">
        <v>13</v>
      </c>
      <c r="E2006" t="s">
        <v>127</v>
      </c>
      <c r="F2006" t="s">
        <v>128</v>
      </c>
      <c r="G2006">
        <v>2</v>
      </c>
      <c r="H2006">
        <v>14.99</v>
      </c>
      <c r="I2006">
        <v>0.25</v>
      </c>
      <c r="J2006">
        <v>22.48</v>
      </c>
      <c r="K2006" t="s">
        <v>16</v>
      </c>
      <c r="L2006" t="s">
        <v>17</v>
      </c>
      <c r="M2006" t="s">
        <v>76</v>
      </c>
    </row>
    <row r="2007" spans="1:13" x14ac:dyDescent="0.2">
      <c r="A2007">
        <v>431864</v>
      </c>
      <c r="B2007" s="1">
        <v>45385</v>
      </c>
      <c r="C2007">
        <v>73790</v>
      </c>
      <c r="D2007" t="s">
        <v>25</v>
      </c>
      <c r="E2007" t="s">
        <v>70</v>
      </c>
      <c r="F2007" t="s">
        <v>71</v>
      </c>
      <c r="G2007">
        <v>1</v>
      </c>
      <c r="H2007">
        <v>85.49</v>
      </c>
      <c r="I2007">
        <v>0.05</v>
      </c>
      <c r="J2007">
        <v>81.22</v>
      </c>
      <c r="K2007" t="s">
        <v>16</v>
      </c>
      <c r="L2007" t="s">
        <v>37</v>
      </c>
      <c r="M2007" t="s">
        <v>117</v>
      </c>
    </row>
    <row r="2008" spans="1:13" x14ac:dyDescent="0.2">
      <c r="A2008">
        <v>431964</v>
      </c>
      <c r="B2008" s="1">
        <v>45510</v>
      </c>
      <c r="C2008">
        <v>23836</v>
      </c>
      <c r="D2008" t="s">
        <v>85</v>
      </c>
      <c r="E2008" t="s">
        <v>86</v>
      </c>
      <c r="F2008" t="s">
        <v>87</v>
      </c>
      <c r="G2008">
        <v>3</v>
      </c>
      <c r="H2008">
        <v>12.34</v>
      </c>
      <c r="I2008">
        <v>0.05</v>
      </c>
      <c r="J2008">
        <v>35.17</v>
      </c>
      <c r="K2008" t="s">
        <v>36</v>
      </c>
      <c r="L2008" t="s">
        <v>37</v>
      </c>
      <c r="M2008" t="s">
        <v>33</v>
      </c>
    </row>
    <row r="2009" spans="1:13" x14ac:dyDescent="0.2">
      <c r="A2009">
        <v>432095</v>
      </c>
      <c r="B2009" s="2">
        <v>44956</v>
      </c>
      <c r="C2009">
        <v>64134</v>
      </c>
      <c r="D2009" t="s">
        <v>97</v>
      </c>
      <c r="E2009" t="s">
        <v>151</v>
      </c>
      <c r="F2009" t="s">
        <v>152</v>
      </c>
      <c r="G2009">
        <v>1</v>
      </c>
      <c r="H2009">
        <v>27.99</v>
      </c>
      <c r="I2009">
        <v>0.2</v>
      </c>
      <c r="J2009">
        <v>22.39</v>
      </c>
      <c r="K2009" t="s">
        <v>22</v>
      </c>
      <c r="L2009" t="s">
        <v>17</v>
      </c>
      <c r="M2009" t="s">
        <v>123</v>
      </c>
    </row>
    <row r="2010" spans="1:13" x14ac:dyDescent="0.2">
      <c r="A2010">
        <v>432125</v>
      </c>
      <c r="B2010" s="1">
        <v>44781</v>
      </c>
      <c r="C2010">
        <v>67503</v>
      </c>
      <c r="D2010" t="s">
        <v>44</v>
      </c>
      <c r="E2010" t="s">
        <v>190</v>
      </c>
      <c r="F2010" t="s">
        <v>191</v>
      </c>
      <c r="G2010">
        <v>2</v>
      </c>
      <c r="H2010">
        <v>4.29</v>
      </c>
      <c r="J2010">
        <v>8.58</v>
      </c>
      <c r="K2010" t="s">
        <v>22</v>
      </c>
      <c r="L2010" t="s">
        <v>37</v>
      </c>
      <c r="M2010" t="s">
        <v>62</v>
      </c>
    </row>
    <row r="2011" spans="1:13" x14ac:dyDescent="0.2">
      <c r="A2011">
        <v>432185</v>
      </c>
      <c r="B2011" s="1">
        <v>44811</v>
      </c>
      <c r="C2011">
        <v>25827</v>
      </c>
      <c r="D2011" t="s">
        <v>97</v>
      </c>
      <c r="E2011" t="s">
        <v>181</v>
      </c>
      <c r="F2011" t="s">
        <v>182</v>
      </c>
      <c r="G2011">
        <v>4</v>
      </c>
      <c r="H2011">
        <v>14.24</v>
      </c>
      <c r="I2011">
        <v>0.05</v>
      </c>
      <c r="J2011">
        <v>54.11</v>
      </c>
      <c r="K2011" t="s">
        <v>22</v>
      </c>
      <c r="L2011" t="s">
        <v>37</v>
      </c>
      <c r="M2011" t="s">
        <v>117</v>
      </c>
    </row>
    <row r="2012" spans="1:13" x14ac:dyDescent="0.2">
      <c r="A2012">
        <v>432583</v>
      </c>
      <c r="B2012" s="1">
        <v>45581</v>
      </c>
      <c r="C2012">
        <v>57361</v>
      </c>
      <c r="D2012" t="s">
        <v>44</v>
      </c>
      <c r="E2012" t="s">
        <v>172</v>
      </c>
      <c r="F2012" t="s">
        <v>173</v>
      </c>
      <c r="G2012">
        <v>1</v>
      </c>
      <c r="H2012">
        <v>4.49</v>
      </c>
      <c r="J2012">
        <v>4.49</v>
      </c>
      <c r="K2012" t="s">
        <v>36</v>
      </c>
      <c r="L2012" t="s">
        <v>17</v>
      </c>
      <c r="M2012" t="s">
        <v>24</v>
      </c>
    </row>
    <row r="2013" spans="1:13" x14ac:dyDescent="0.2">
      <c r="A2013">
        <v>432802</v>
      </c>
      <c r="B2013" s="2">
        <v>45012</v>
      </c>
      <c r="C2013">
        <v>71815</v>
      </c>
      <c r="D2013" t="s">
        <v>85</v>
      </c>
      <c r="E2013" t="s">
        <v>145</v>
      </c>
      <c r="F2013" t="s">
        <v>146</v>
      </c>
      <c r="G2013">
        <v>2</v>
      </c>
      <c r="H2013">
        <v>13.59</v>
      </c>
      <c r="I2013">
        <v>0.2</v>
      </c>
      <c r="J2013">
        <v>21.74</v>
      </c>
      <c r="K2013" t="s">
        <v>22</v>
      </c>
      <c r="L2013" t="s">
        <v>23</v>
      </c>
      <c r="M2013" t="s">
        <v>24</v>
      </c>
    </row>
    <row r="2014" spans="1:13" x14ac:dyDescent="0.2">
      <c r="A2014">
        <v>432901</v>
      </c>
      <c r="B2014" s="2">
        <v>45219</v>
      </c>
      <c r="C2014">
        <v>10644</v>
      </c>
      <c r="D2014" t="s">
        <v>13</v>
      </c>
      <c r="E2014" t="s">
        <v>79</v>
      </c>
      <c r="F2014" t="s">
        <v>80</v>
      </c>
      <c r="G2014">
        <v>5</v>
      </c>
      <c r="H2014">
        <v>80.989999999999995</v>
      </c>
      <c r="I2014">
        <v>0.1</v>
      </c>
      <c r="J2014">
        <v>364.46</v>
      </c>
      <c r="K2014" t="s">
        <v>36</v>
      </c>
      <c r="L2014" t="s">
        <v>17</v>
      </c>
      <c r="M2014" t="s">
        <v>117</v>
      </c>
    </row>
    <row r="2015" spans="1:13" x14ac:dyDescent="0.2">
      <c r="A2015">
        <v>433053</v>
      </c>
      <c r="B2015" s="1">
        <v>45620</v>
      </c>
      <c r="C2015">
        <v>32240</v>
      </c>
      <c r="D2015" t="s">
        <v>63</v>
      </c>
      <c r="E2015" t="s">
        <v>131</v>
      </c>
      <c r="F2015" t="s">
        <v>132</v>
      </c>
      <c r="G2015">
        <v>3</v>
      </c>
      <c r="H2015">
        <v>3.14</v>
      </c>
      <c r="I2015">
        <v>0.1</v>
      </c>
      <c r="J2015">
        <v>8.48</v>
      </c>
      <c r="K2015" t="s">
        <v>53</v>
      </c>
      <c r="L2015" t="s">
        <v>23</v>
      </c>
      <c r="M2015" t="s">
        <v>161</v>
      </c>
    </row>
    <row r="2016" spans="1:13" x14ac:dyDescent="0.2">
      <c r="A2016">
        <v>433343</v>
      </c>
      <c r="B2016" s="1">
        <v>44894</v>
      </c>
      <c r="C2016">
        <v>65298</v>
      </c>
      <c r="D2016" t="s">
        <v>63</v>
      </c>
      <c r="E2016" t="s">
        <v>68</v>
      </c>
      <c r="F2016" t="s">
        <v>69</v>
      </c>
      <c r="G2016">
        <v>5</v>
      </c>
      <c r="H2016">
        <v>24.99</v>
      </c>
      <c r="J2016">
        <v>124.95</v>
      </c>
      <c r="K2016" t="s">
        <v>95</v>
      </c>
      <c r="L2016" t="s">
        <v>17</v>
      </c>
      <c r="M2016" t="s">
        <v>96</v>
      </c>
    </row>
    <row r="2017" spans="1:13" x14ac:dyDescent="0.2">
      <c r="A2017">
        <v>433508</v>
      </c>
      <c r="B2017" s="1">
        <v>44958</v>
      </c>
      <c r="C2017">
        <v>94555</v>
      </c>
      <c r="D2017" t="s">
        <v>29</v>
      </c>
      <c r="E2017" t="s">
        <v>170</v>
      </c>
      <c r="F2017" t="s">
        <v>171</v>
      </c>
      <c r="G2017">
        <v>3</v>
      </c>
      <c r="H2017">
        <v>12.74</v>
      </c>
      <c r="I2017">
        <v>0.15</v>
      </c>
      <c r="J2017">
        <v>32.49</v>
      </c>
      <c r="K2017" t="s">
        <v>16</v>
      </c>
      <c r="L2017" t="s">
        <v>17</v>
      </c>
      <c r="M2017" t="s">
        <v>120</v>
      </c>
    </row>
    <row r="2018" spans="1:13" x14ac:dyDescent="0.2">
      <c r="A2018">
        <v>433702</v>
      </c>
      <c r="B2018" s="1">
        <v>45243</v>
      </c>
      <c r="C2018">
        <v>28849</v>
      </c>
      <c r="D2018" t="s">
        <v>29</v>
      </c>
      <c r="E2018" t="s">
        <v>72</v>
      </c>
      <c r="F2018" t="s">
        <v>73</v>
      </c>
      <c r="G2018">
        <v>3</v>
      </c>
      <c r="H2018">
        <v>33.99</v>
      </c>
      <c r="I2018">
        <v>0.15</v>
      </c>
      <c r="J2018">
        <v>86.67</v>
      </c>
      <c r="K2018" t="s">
        <v>16</v>
      </c>
      <c r="L2018" t="s">
        <v>37</v>
      </c>
      <c r="M2018" t="s">
        <v>54</v>
      </c>
    </row>
    <row r="2019" spans="1:13" x14ac:dyDescent="0.2">
      <c r="A2019">
        <v>433804</v>
      </c>
      <c r="B2019" s="1">
        <v>44758</v>
      </c>
      <c r="C2019">
        <v>43965</v>
      </c>
      <c r="D2019" t="s">
        <v>85</v>
      </c>
      <c r="E2019" t="s">
        <v>137</v>
      </c>
      <c r="F2019" t="s">
        <v>138</v>
      </c>
      <c r="G2019">
        <v>5</v>
      </c>
      <c r="H2019">
        <v>5.59</v>
      </c>
      <c r="I2019">
        <v>0.3</v>
      </c>
      <c r="J2019">
        <v>19.559999999999999</v>
      </c>
      <c r="K2019" t="s">
        <v>36</v>
      </c>
      <c r="L2019" t="s">
        <v>17</v>
      </c>
      <c r="M2019" t="s">
        <v>24</v>
      </c>
    </row>
    <row r="2020" spans="1:13" x14ac:dyDescent="0.2">
      <c r="A2020">
        <v>433879</v>
      </c>
      <c r="B2020" s="1">
        <v>45034</v>
      </c>
      <c r="C2020">
        <v>37579</v>
      </c>
      <c r="D2020" t="s">
        <v>29</v>
      </c>
      <c r="E2020" t="s">
        <v>175</v>
      </c>
      <c r="F2020" t="s">
        <v>176</v>
      </c>
      <c r="G2020">
        <v>2</v>
      </c>
      <c r="H2020">
        <v>9.59</v>
      </c>
      <c r="I2020">
        <v>0.2</v>
      </c>
      <c r="J2020">
        <v>15.34</v>
      </c>
      <c r="K2020" t="s">
        <v>16</v>
      </c>
      <c r="L2020" t="s">
        <v>17</v>
      </c>
      <c r="M2020" t="s">
        <v>117</v>
      </c>
    </row>
    <row r="2021" spans="1:13" x14ac:dyDescent="0.2">
      <c r="A2021">
        <v>433888</v>
      </c>
      <c r="B2021" s="1">
        <v>44771</v>
      </c>
      <c r="D2021" t="s">
        <v>82</v>
      </c>
      <c r="E2021" t="s">
        <v>168</v>
      </c>
      <c r="F2021" t="s">
        <v>169</v>
      </c>
      <c r="G2021">
        <v>5</v>
      </c>
      <c r="H2021">
        <v>8.99</v>
      </c>
      <c r="J2021">
        <v>44.95</v>
      </c>
      <c r="K2021" t="s">
        <v>16</v>
      </c>
      <c r="L2021" t="s">
        <v>37</v>
      </c>
      <c r="M2021" t="s">
        <v>57</v>
      </c>
    </row>
    <row r="2022" spans="1:13" x14ac:dyDescent="0.2">
      <c r="A2022">
        <v>434136</v>
      </c>
      <c r="B2022" s="1">
        <v>45177</v>
      </c>
      <c r="C2022">
        <v>56218</v>
      </c>
      <c r="D2022" t="s">
        <v>48</v>
      </c>
      <c r="E2022" t="s">
        <v>143</v>
      </c>
      <c r="F2022" t="s">
        <v>144</v>
      </c>
      <c r="G2022">
        <v>5</v>
      </c>
      <c r="H2022">
        <v>14.24</v>
      </c>
      <c r="I2022">
        <v>0.05</v>
      </c>
      <c r="J2022">
        <v>67.64</v>
      </c>
      <c r="K2022" t="s">
        <v>22</v>
      </c>
      <c r="L2022" t="s">
        <v>17</v>
      </c>
      <c r="M2022" t="s">
        <v>24</v>
      </c>
    </row>
    <row r="2023" spans="1:13" x14ac:dyDescent="0.2">
      <c r="A2023">
        <v>434164</v>
      </c>
      <c r="B2023" s="2">
        <v>45219</v>
      </c>
      <c r="C2023">
        <v>60303</v>
      </c>
      <c r="D2023" t="s">
        <v>82</v>
      </c>
      <c r="E2023" t="s">
        <v>100</v>
      </c>
      <c r="F2023" t="s">
        <v>101</v>
      </c>
      <c r="G2023">
        <v>5</v>
      </c>
      <c r="H2023">
        <v>21.84</v>
      </c>
      <c r="I2023">
        <v>0.05</v>
      </c>
      <c r="J2023">
        <v>103.74</v>
      </c>
      <c r="K2023" t="s">
        <v>36</v>
      </c>
      <c r="L2023" t="s">
        <v>23</v>
      </c>
      <c r="M2023" t="s">
        <v>33</v>
      </c>
    </row>
    <row r="2024" spans="1:13" x14ac:dyDescent="0.2">
      <c r="A2024">
        <v>434443</v>
      </c>
      <c r="B2024" s="1">
        <v>44659</v>
      </c>
      <c r="C2024">
        <v>76932</v>
      </c>
      <c r="D2024" t="s">
        <v>63</v>
      </c>
      <c r="E2024" t="s">
        <v>111</v>
      </c>
      <c r="F2024" t="s">
        <v>112</v>
      </c>
      <c r="G2024">
        <v>2</v>
      </c>
      <c r="H2024">
        <v>11.99</v>
      </c>
      <c r="I2024">
        <v>0.2</v>
      </c>
      <c r="J2024">
        <v>19.18</v>
      </c>
      <c r="K2024" t="s">
        <v>36</v>
      </c>
      <c r="L2024" t="s">
        <v>17</v>
      </c>
      <c r="M2024" t="s">
        <v>62</v>
      </c>
    </row>
    <row r="2025" spans="1:13" x14ac:dyDescent="0.2">
      <c r="A2025">
        <v>434535</v>
      </c>
      <c r="B2025" s="1">
        <v>44898</v>
      </c>
      <c r="C2025">
        <v>37371</v>
      </c>
      <c r="D2025" t="s">
        <v>97</v>
      </c>
      <c r="E2025" t="s">
        <v>181</v>
      </c>
      <c r="F2025" t="s">
        <v>182</v>
      </c>
      <c r="G2025">
        <v>5</v>
      </c>
      <c r="H2025">
        <v>13.49</v>
      </c>
      <c r="I2025">
        <v>0.1</v>
      </c>
      <c r="J2025">
        <v>60.71</v>
      </c>
      <c r="K2025" t="s">
        <v>36</v>
      </c>
      <c r="L2025" t="s">
        <v>37</v>
      </c>
      <c r="M2025" t="s">
        <v>54</v>
      </c>
    </row>
    <row r="2026" spans="1:13" x14ac:dyDescent="0.2">
      <c r="A2026">
        <v>434697</v>
      </c>
      <c r="B2026" s="2">
        <v>44946</v>
      </c>
      <c r="C2026">
        <v>83700</v>
      </c>
      <c r="D2026" t="s">
        <v>82</v>
      </c>
      <c r="E2026" t="s">
        <v>147</v>
      </c>
      <c r="F2026" t="s">
        <v>148</v>
      </c>
      <c r="G2026">
        <v>3</v>
      </c>
      <c r="H2026">
        <v>9.09</v>
      </c>
      <c r="I2026">
        <v>0.3</v>
      </c>
      <c r="J2026">
        <v>19.09</v>
      </c>
      <c r="K2026" t="s">
        <v>53</v>
      </c>
      <c r="L2026" t="s">
        <v>17</v>
      </c>
      <c r="M2026" t="s">
        <v>76</v>
      </c>
    </row>
    <row r="2027" spans="1:13" x14ac:dyDescent="0.2">
      <c r="A2027">
        <v>434708</v>
      </c>
      <c r="B2027" s="1">
        <v>44672</v>
      </c>
      <c r="C2027">
        <v>36380</v>
      </c>
      <c r="D2027" t="s">
        <v>13</v>
      </c>
      <c r="E2027" t="s">
        <v>159</v>
      </c>
      <c r="F2027" t="s">
        <v>160</v>
      </c>
      <c r="G2027">
        <v>1</v>
      </c>
      <c r="H2027">
        <v>41.99</v>
      </c>
      <c r="I2027">
        <v>0.3</v>
      </c>
      <c r="J2027">
        <v>29.39</v>
      </c>
      <c r="K2027" t="s">
        <v>16</v>
      </c>
      <c r="L2027" t="s">
        <v>17</v>
      </c>
      <c r="M2027" t="s">
        <v>28</v>
      </c>
    </row>
    <row r="2028" spans="1:13" x14ac:dyDescent="0.2">
      <c r="A2028">
        <v>434776</v>
      </c>
      <c r="B2028" s="1">
        <v>44985</v>
      </c>
      <c r="C2028">
        <v>87690</v>
      </c>
      <c r="D2028" t="s">
        <v>40</v>
      </c>
      <c r="E2028" t="s">
        <v>41</v>
      </c>
      <c r="F2028" t="s">
        <v>42</v>
      </c>
      <c r="G2028">
        <v>2</v>
      </c>
      <c r="H2028">
        <v>4.49</v>
      </c>
      <c r="I2028">
        <v>0.25</v>
      </c>
      <c r="J2028">
        <v>6.74</v>
      </c>
      <c r="K2028" t="s">
        <v>22</v>
      </c>
      <c r="L2028" t="s">
        <v>37</v>
      </c>
      <c r="M2028" t="s">
        <v>90</v>
      </c>
    </row>
    <row r="2029" spans="1:13" x14ac:dyDescent="0.2">
      <c r="A2029">
        <v>434836</v>
      </c>
      <c r="B2029" s="1">
        <v>45043</v>
      </c>
      <c r="C2029">
        <v>76890</v>
      </c>
      <c r="D2029" t="s">
        <v>97</v>
      </c>
      <c r="E2029" t="s">
        <v>165</v>
      </c>
      <c r="F2029" t="s">
        <v>166</v>
      </c>
      <c r="G2029">
        <v>1</v>
      </c>
      <c r="H2029">
        <v>62.99</v>
      </c>
      <c r="J2029">
        <v>62.99</v>
      </c>
      <c r="K2029" t="s">
        <v>16</v>
      </c>
      <c r="L2029" t="s">
        <v>17</v>
      </c>
      <c r="M2029" t="s">
        <v>57</v>
      </c>
    </row>
    <row r="2030" spans="1:13" x14ac:dyDescent="0.2">
      <c r="A2030">
        <v>434896</v>
      </c>
      <c r="B2030" s="2">
        <v>45261</v>
      </c>
      <c r="C2030">
        <v>37420</v>
      </c>
      <c r="D2030" t="s">
        <v>13</v>
      </c>
      <c r="E2030" t="s">
        <v>55</v>
      </c>
      <c r="F2030" t="s">
        <v>56</v>
      </c>
      <c r="G2030">
        <v>1</v>
      </c>
      <c r="H2030">
        <v>263.99</v>
      </c>
      <c r="I2030">
        <v>0.2</v>
      </c>
      <c r="J2030">
        <v>211.19</v>
      </c>
      <c r="K2030" t="s">
        <v>36</v>
      </c>
      <c r="L2030" t="s">
        <v>17</v>
      </c>
      <c r="M2030" t="s">
        <v>120</v>
      </c>
    </row>
    <row r="2031" spans="1:13" x14ac:dyDescent="0.2">
      <c r="A2031">
        <v>434967</v>
      </c>
      <c r="B2031" s="1">
        <v>45568</v>
      </c>
      <c r="C2031">
        <v>29333</v>
      </c>
      <c r="D2031" t="s">
        <v>13</v>
      </c>
      <c r="E2031" t="s">
        <v>79</v>
      </c>
      <c r="F2031" t="s">
        <v>80</v>
      </c>
      <c r="G2031">
        <v>2</v>
      </c>
      <c r="H2031">
        <v>62.99</v>
      </c>
      <c r="I2031">
        <v>0.3</v>
      </c>
      <c r="J2031">
        <v>88.19</v>
      </c>
      <c r="K2031" t="s">
        <v>16</v>
      </c>
      <c r="L2031" t="s">
        <v>37</v>
      </c>
      <c r="M2031" t="s">
        <v>67</v>
      </c>
    </row>
    <row r="2032" spans="1:13" x14ac:dyDescent="0.2">
      <c r="A2032">
        <v>435297</v>
      </c>
      <c r="B2032" s="1">
        <v>45389</v>
      </c>
      <c r="C2032">
        <v>51570</v>
      </c>
      <c r="D2032" t="s">
        <v>25</v>
      </c>
      <c r="E2032" t="s">
        <v>26</v>
      </c>
      <c r="F2032" t="s">
        <v>27</v>
      </c>
      <c r="G2032">
        <v>3</v>
      </c>
      <c r="H2032">
        <v>34.99</v>
      </c>
      <c r="J2032">
        <v>104.97</v>
      </c>
      <c r="K2032" t="s">
        <v>16</v>
      </c>
      <c r="L2032" t="s">
        <v>17</v>
      </c>
      <c r="M2032" t="s">
        <v>18</v>
      </c>
    </row>
    <row r="2033" spans="1:13" x14ac:dyDescent="0.2">
      <c r="A2033">
        <v>435362</v>
      </c>
      <c r="B2033" s="2">
        <v>45463</v>
      </c>
      <c r="C2033">
        <v>50069</v>
      </c>
      <c r="D2033" t="s">
        <v>48</v>
      </c>
      <c r="E2033" t="s">
        <v>109</v>
      </c>
      <c r="F2033" t="s">
        <v>110</v>
      </c>
      <c r="G2033">
        <v>3</v>
      </c>
      <c r="H2033">
        <v>6.29</v>
      </c>
      <c r="I2033">
        <v>0.1</v>
      </c>
      <c r="J2033">
        <v>16.98</v>
      </c>
      <c r="K2033" t="s">
        <v>32</v>
      </c>
      <c r="L2033" t="s">
        <v>17</v>
      </c>
      <c r="M2033" t="s">
        <v>24</v>
      </c>
    </row>
    <row r="2034" spans="1:13" x14ac:dyDescent="0.2">
      <c r="A2034">
        <v>435781</v>
      </c>
      <c r="B2034" s="2">
        <v>45290</v>
      </c>
      <c r="C2034">
        <v>93249</v>
      </c>
      <c r="D2034" t="s">
        <v>63</v>
      </c>
      <c r="E2034" t="s">
        <v>64</v>
      </c>
      <c r="F2034" t="s">
        <v>65</v>
      </c>
      <c r="G2034">
        <v>1</v>
      </c>
      <c r="H2034">
        <v>4.99</v>
      </c>
      <c r="J2034">
        <v>4.99</v>
      </c>
      <c r="K2034" t="s">
        <v>36</v>
      </c>
      <c r="L2034" t="s">
        <v>17</v>
      </c>
      <c r="M2034" t="s">
        <v>57</v>
      </c>
    </row>
    <row r="2035" spans="1:13" x14ac:dyDescent="0.2">
      <c r="A2035">
        <v>435820</v>
      </c>
      <c r="B2035" s="2">
        <v>45104</v>
      </c>
      <c r="C2035">
        <v>98767</v>
      </c>
      <c r="D2035" t="s">
        <v>29</v>
      </c>
      <c r="E2035" t="s">
        <v>38</v>
      </c>
      <c r="F2035" t="s">
        <v>39</v>
      </c>
      <c r="G2035">
        <v>1</v>
      </c>
      <c r="H2035">
        <v>29.99</v>
      </c>
      <c r="J2035">
        <v>29.99</v>
      </c>
      <c r="K2035" t="s">
        <v>16</v>
      </c>
      <c r="L2035" t="s">
        <v>17</v>
      </c>
      <c r="M2035" t="s">
        <v>43</v>
      </c>
    </row>
    <row r="2036" spans="1:13" x14ac:dyDescent="0.2">
      <c r="A2036">
        <v>435983</v>
      </c>
      <c r="B2036" s="1">
        <v>44715</v>
      </c>
      <c r="C2036">
        <v>24003</v>
      </c>
      <c r="D2036" t="s">
        <v>13</v>
      </c>
      <c r="E2036" t="s">
        <v>104</v>
      </c>
      <c r="F2036" t="s">
        <v>105</v>
      </c>
      <c r="G2036">
        <v>1</v>
      </c>
      <c r="H2036">
        <v>20.99</v>
      </c>
      <c r="I2036">
        <v>0.3</v>
      </c>
      <c r="J2036">
        <v>14.69</v>
      </c>
      <c r="K2036" t="s">
        <v>95</v>
      </c>
      <c r="L2036" t="s">
        <v>17</v>
      </c>
      <c r="M2036" t="s">
        <v>62</v>
      </c>
    </row>
    <row r="2037" spans="1:13" x14ac:dyDescent="0.2">
      <c r="A2037">
        <v>436264</v>
      </c>
      <c r="B2037" s="1">
        <v>45591</v>
      </c>
      <c r="C2037">
        <v>90337</v>
      </c>
      <c r="D2037" t="s">
        <v>63</v>
      </c>
      <c r="E2037" t="s">
        <v>64</v>
      </c>
      <c r="F2037" t="s">
        <v>65</v>
      </c>
      <c r="G2037">
        <v>2</v>
      </c>
      <c r="H2037">
        <v>4.74</v>
      </c>
      <c r="I2037">
        <v>0.05</v>
      </c>
      <c r="J2037">
        <v>9.01</v>
      </c>
      <c r="K2037" t="s">
        <v>36</v>
      </c>
      <c r="L2037" t="s">
        <v>17</v>
      </c>
      <c r="M2037" t="s">
        <v>54</v>
      </c>
    </row>
    <row r="2038" spans="1:13" x14ac:dyDescent="0.2">
      <c r="A2038">
        <v>436296</v>
      </c>
      <c r="B2038" s="1">
        <v>45153</v>
      </c>
      <c r="C2038">
        <v>30407</v>
      </c>
      <c r="D2038" t="s">
        <v>97</v>
      </c>
      <c r="E2038" t="s">
        <v>181</v>
      </c>
      <c r="F2038" t="s">
        <v>182</v>
      </c>
      <c r="G2038">
        <v>1</v>
      </c>
      <c r="H2038">
        <v>10.49</v>
      </c>
      <c r="I2038">
        <v>0.3</v>
      </c>
      <c r="J2038">
        <v>7.34</v>
      </c>
      <c r="K2038" t="s">
        <v>16</v>
      </c>
      <c r="L2038" t="s">
        <v>37</v>
      </c>
      <c r="M2038" t="s">
        <v>123</v>
      </c>
    </row>
    <row r="2039" spans="1:13" x14ac:dyDescent="0.2">
      <c r="A2039">
        <v>436451</v>
      </c>
      <c r="B2039" s="1">
        <v>45414</v>
      </c>
      <c r="C2039">
        <v>74625</v>
      </c>
      <c r="D2039" t="s">
        <v>164</v>
      </c>
      <c r="E2039" t="s">
        <v>170</v>
      </c>
      <c r="F2039" t="s">
        <v>171</v>
      </c>
      <c r="G2039">
        <v>1</v>
      </c>
      <c r="H2039">
        <v>14.24</v>
      </c>
      <c r="I2039">
        <v>0.05</v>
      </c>
      <c r="J2039">
        <v>13.53</v>
      </c>
      <c r="K2039" t="s">
        <v>36</v>
      </c>
      <c r="L2039" t="s">
        <v>17</v>
      </c>
      <c r="M2039" t="s">
        <v>161</v>
      </c>
    </row>
    <row r="2040" spans="1:13" x14ac:dyDescent="0.2">
      <c r="A2040">
        <v>436452</v>
      </c>
      <c r="B2040" s="1">
        <v>44963</v>
      </c>
      <c r="C2040">
        <v>39711</v>
      </c>
      <c r="D2040" t="s">
        <v>48</v>
      </c>
      <c r="E2040" t="s">
        <v>143</v>
      </c>
      <c r="F2040" t="s">
        <v>144</v>
      </c>
      <c r="G2040">
        <v>1</v>
      </c>
      <c r="H2040">
        <v>12.74</v>
      </c>
      <c r="I2040">
        <v>0.15</v>
      </c>
      <c r="J2040">
        <v>10.83</v>
      </c>
      <c r="K2040" t="s">
        <v>16</v>
      </c>
      <c r="L2040" t="s">
        <v>17</v>
      </c>
      <c r="M2040" t="s">
        <v>123</v>
      </c>
    </row>
    <row r="2041" spans="1:13" x14ac:dyDescent="0.2">
      <c r="A2041">
        <v>436679</v>
      </c>
      <c r="B2041" s="1">
        <v>44580</v>
      </c>
      <c r="C2041">
        <v>54839</v>
      </c>
      <c r="D2041" t="s">
        <v>63</v>
      </c>
      <c r="E2041" t="s">
        <v>131</v>
      </c>
      <c r="F2041" t="s">
        <v>132</v>
      </c>
      <c r="G2041">
        <v>1</v>
      </c>
      <c r="H2041">
        <v>2.62</v>
      </c>
      <c r="I2041">
        <v>0.25</v>
      </c>
      <c r="J2041">
        <v>1.96</v>
      </c>
      <c r="K2041" t="s">
        <v>16</v>
      </c>
      <c r="L2041" t="s">
        <v>17</v>
      </c>
      <c r="M2041" t="s">
        <v>120</v>
      </c>
    </row>
    <row r="2042" spans="1:13" x14ac:dyDescent="0.2">
      <c r="A2042">
        <v>436840</v>
      </c>
      <c r="B2042" s="1">
        <v>45150</v>
      </c>
      <c r="C2042">
        <v>55547</v>
      </c>
      <c r="D2042" t="s">
        <v>63</v>
      </c>
      <c r="E2042" t="s">
        <v>64</v>
      </c>
      <c r="F2042" t="s">
        <v>65</v>
      </c>
      <c r="G2042">
        <v>1</v>
      </c>
      <c r="H2042">
        <v>3.74</v>
      </c>
      <c r="I2042">
        <v>0.25</v>
      </c>
      <c r="J2042">
        <v>2.8</v>
      </c>
      <c r="K2042" t="s">
        <v>16</v>
      </c>
      <c r="L2042" t="s">
        <v>17</v>
      </c>
    </row>
    <row r="2043" spans="1:13" x14ac:dyDescent="0.2">
      <c r="A2043">
        <v>436901</v>
      </c>
      <c r="B2043" s="1">
        <v>45646</v>
      </c>
      <c r="C2043">
        <v>14841</v>
      </c>
      <c r="D2043" t="s">
        <v>44</v>
      </c>
      <c r="E2043" t="s">
        <v>177</v>
      </c>
      <c r="F2043" t="s">
        <v>178</v>
      </c>
      <c r="G2043">
        <v>1</v>
      </c>
      <c r="H2043">
        <v>10.19</v>
      </c>
      <c r="J2043">
        <v>10.19</v>
      </c>
      <c r="K2043" t="s">
        <v>16</v>
      </c>
      <c r="L2043" t="s">
        <v>37</v>
      </c>
      <c r="M2043" t="s">
        <v>67</v>
      </c>
    </row>
    <row r="2044" spans="1:13" x14ac:dyDescent="0.2">
      <c r="A2044">
        <v>436920</v>
      </c>
      <c r="B2044" s="2">
        <v>45157</v>
      </c>
      <c r="D2044" t="s">
        <v>63</v>
      </c>
      <c r="E2044" t="s">
        <v>111</v>
      </c>
      <c r="F2044" t="s">
        <v>112</v>
      </c>
      <c r="G2044">
        <v>1</v>
      </c>
      <c r="H2044">
        <v>10.49</v>
      </c>
      <c r="I2044">
        <v>0.3</v>
      </c>
      <c r="J2044">
        <v>7.34</v>
      </c>
      <c r="K2044" t="s">
        <v>53</v>
      </c>
      <c r="L2044" t="s">
        <v>17</v>
      </c>
      <c r="M2044" t="s">
        <v>81</v>
      </c>
    </row>
    <row r="2045" spans="1:13" x14ac:dyDescent="0.2">
      <c r="A2045">
        <v>437161</v>
      </c>
      <c r="B2045" s="1">
        <v>44988</v>
      </c>
      <c r="C2045">
        <v>79936</v>
      </c>
      <c r="D2045" t="s">
        <v>106</v>
      </c>
      <c r="E2045" t="s">
        <v>195</v>
      </c>
      <c r="F2045" t="s">
        <v>196</v>
      </c>
      <c r="G2045">
        <v>3</v>
      </c>
      <c r="H2045">
        <v>4.99</v>
      </c>
      <c r="J2045">
        <v>14.97</v>
      </c>
      <c r="K2045" t="s">
        <v>32</v>
      </c>
      <c r="L2045" t="s">
        <v>17</v>
      </c>
      <c r="M2045" t="s">
        <v>18</v>
      </c>
    </row>
    <row r="2046" spans="1:13" x14ac:dyDescent="0.2">
      <c r="A2046">
        <v>437792</v>
      </c>
      <c r="B2046" s="2">
        <v>45545</v>
      </c>
      <c r="C2046">
        <v>51411</v>
      </c>
      <c r="D2046" t="s">
        <v>44</v>
      </c>
      <c r="E2046" t="s">
        <v>93</v>
      </c>
      <c r="F2046" t="s">
        <v>94</v>
      </c>
      <c r="G2046">
        <v>2</v>
      </c>
      <c r="H2046">
        <v>1.29</v>
      </c>
      <c r="J2046">
        <v>2.58</v>
      </c>
      <c r="K2046" t="s">
        <v>16</v>
      </c>
      <c r="L2046" t="s">
        <v>23</v>
      </c>
    </row>
    <row r="2047" spans="1:13" x14ac:dyDescent="0.2">
      <c r="A2047">
        <v>437895</v>
      </c>
      <c r="B2047" s="1">
        <v>44800</v>
      </c>
      <c r="C2047">
        <v>32880</v>
      </c>
      <c r="D2047" t="s">
        <v>40</v>
      </c>
      <c r="E2047" t="s">
        <v>58</v>
      </c>
      <c r="F2047" t="s">
        <v>59</v>
      </c>
      <c r="G2047">
        <v>1</v>
      </c>
      <c r="H2047">
        <v>3.79</v>
      </c>
      <c r="I2047">
        <v>0.05</v>
      </c>
      <c r="J2047">
        <v>3.6</v>
      </c>
      <c r="K2047" t="s">
        <v>36</v>
      </c>
      <c r="L2047" t="s">
        <v>17</v>
      </c>
      <c r="M2047" t="s">
        <v>123</v>
      </c>
    </row>
    <row r="2048" spans="1:13" x14ac:dyDescent="0.2">
      <c r="A2048">
        <v>438016</v>
      </c>
      <c r="B2048" s="1">
        <v>45414</v>
      </c>
      <c r="C2048">
        <v>12766</v>
      </c>
      <c r="D2048" t="s">
        <v>40</v>
      </c>
      <c r="E2048" t="s">
        <v>20</v>
      </c>
      <c r="F2048" t="s">
        <v>21</v>
      </c>
      <c r="G2048">
        <v>2</v>
      </c>
      <c r="H2048">
        <v>8.99</v>
      </c>
      <c r="I2048">
        <v>0.1</v>
      </c>
      <c r="J2048">
        <v>16.18</v>
      </c>
      <c r="K2048" t="s">
        <v>16</v>
      </c>
      <c r="L2048" t="s">
        <v>17</v>
      </c>
      <c r="M2048" t="s">
        <v>103</v>
      </c>
    </row>
    <row r="2049" spans="1:13" x14ac:dyDescent="0.2">
      <c r="A2049">
        <v>438260</v>
      </c>
      <c r="B2049" s="1">
        <v>44594</v>
      </c>
      <c r="C2049">
        <v>18542</v>
      </c>
      <c r="D2049" t="s">
        <v>44</v>
      </c>
      <c r="E2049" t="s">
        <v>172</v>
      </c>
      <c r="F2049" t="s">
        <v>173</v>
      </c>
      <c r="G2049">
        <v>1</v>
      </c>
      <c r="H2049">
        <v>3.37</v>
      </c>
      <c r="I2049">
        <v>0.25</v>
      </c>
      <c r="J2049">
        <v>2.5299999999999998</v>
      </c>
      <c r="K2049" t="s">
        <v>16</v>
      </c>
      <c r="L2049" t="s">
        <v>17</v>
      </c>
      <c r="M2049" t="s">
        <v>117</v>
      </c>
    </row>
    <row r="2050" spans="1:13" x14ac:dyDescent="0.2">
      <c r="A2050">
        <v>438276</v>
      </c>
      <c r="B2050" s="2">
        <v>45439</v>
      </c>
      <c r="C2050">
        <v>49153</v>
      </c>
      <c r="D2050" t="s">
        <v>44</v>
      </c>
      <c r="E2050" t="s">
        <v>177</v>
      </c>
      <c r="F2050" t="s">
        <v>178</v>
      </c>
      <c r="G2050">
        <v>2</v>
      </c>
      <c r="H2050">
        <v>11.99</v>
      </c>
      <c r="J2050">
        <v>23.98</v>
      </c>
      <c r="K2050" t="s">
        <v>36</v>
      </c>
      <c r="L2050" t="s">
        <v>17</v>
      </c>
      <c r="M2050" t="s">
        <v>62</v>
      </c>
    </row>
    <row r="2051" spans="1:13" x14ac:dyDescent="0.2">
      <c r="A2051">
        <v>438302</v>
      </c>
      <c r="B2051" s="1">
        <v>44879</v>
      </c>
      <c r="C2051">
        <v>96755</v>
      </c>
      <c r="D2051" t="s">
        <v>13</v>
      </c>
      <c r="E2051" t="s">
        <v>104</v>
      </c>
      <c r="F2051" t="s">
        <v>105</v>
      </c>
      <c r="G2051">
        <v>1</v>
      </c>
      <c r="H2051">
        <v>29.99</v>
      </c>
      <c r="J2051">
        <v>29.99</v>
      </c>
      <c r="K2051" t="s">
        <v>36</v>
      </c>
      <c r="L2051" t="s">
        <v>37</v>
      </c>
      <c r="M2051" t="s">
        <v>76</v>
      </c>
    </row>
    <row r="2052" spans="1:13" x14ac:dyDescent="0.2">
      <c r="A2052">
        <v>438595</v>
      </c>
      <c r="B2052" s="1">
        <v>45012</v>
      </c>
      <c r="C2052">
        <v>30197</v>
      </c>
      <c r="D2052" t="s">
        <v>63</v>
      </c>
      <c r="E2052" t="s">
        <v>111</v>
      </c>
      <c r="F2052" t="s">
        <v>112</v>
      </c>
      <c r="G2052">
        <v>2</v>
      </c>
      <c r="H2052">
        <v>14.99</v>
      </c>
      <c r="J2052">
        <v>29.98</v>
      </c>
      <c r="K2052" t="s">
        <v>53</v>
      </c>
      <c r="L2052" t="s">
        <v>37</v>
      </c>
      <c r="M2052" t="s">
        <v>54</v>
      </c>
    </row>
    <row r="2053" spans="1:13" x14ac:dyDescent="0.2">
      <c r="A2053">
        <v>438606</v>
      </c>
      <c r="B2053" s="1">
        <v>45516</v>
      </c>
      <c r="C2053">
        <v>51371</v>
      </c>
      <c r="D2053" t="s">
        <v>13</v>
      </c>
      <c r="E2053" t="s">
        <v>55</v>
      </c>
      <c r="F2053" t="s">
        <v>56</v>
      </c>
      <c r="G2053">
        <v>1</v>
      </c>
      <c r="H2053">
        <v>313.49</v>
      </c>
      <c r="I2053">
        <v>0.05</v>
      </c>
      <c r="J2053">
        <v>297.82</v>
      </c>
      <c r="K2053" t="s">
        <v>16</v>
      </c>
      <c r="L2053" t="s">
        <v>37</v>
      </c>
      <c r="M2053" t="s">
        <v>96</v>
      </c>
    </row>
    <row r="2054" spans="1:13" x14ac:dyDescent="0.2">
      <c r="A2054">
        <v>438690</v>
      </c>
      <c r="B2054" s="1">
        <v>44917</v>
      </c>
      <c r="C2054">
        <v>34668</v>
      </c>
      <c r="D2054" t="s">
        <v>48</v>
      </c>
      <c r="E2054" t="s">
        <v>109</v>
      </c>
      <c r="F2054" t="s">
        <v>110</v>
      </c>
      <c r="G2054">
        <v>1</v>
      </c>
      <c r="H2054">
        <v>5.94</v>
      </c>
      <c r="J2054">
        <v>5.94</v>
      </c>
      <c r="K2054" t="s">
        <v>22</v>
      </c>
      <c r="L2054" t="s">
        <v>17</v>
      </c>
      <c r="M2054" t="s">
        <v>62</v>
      </c>
    </row>
    <row r="2055" spans="1:13" x14ac:dyDescent="0.2">
      <c r="A2055">
        <v>438835</v>
      </c>
      <c r="B2055" s="1">
        <v>45651</v>
      </c>
      <c r="C2055">
        <v>89107</v>
      </c>
      <c r="D2055" t="s">
        <v>29</v>
      </c>
      <c r="E2055" t="s">
        <v>72</v>
      </c>
      <c r="F2055" t="s">
        <v>73</v>
      </c>
      <c r="G2055">
        <v>5</v>
      </c>
      <c r="H2055">
        <v>39.99</v>
      </c>
      <c r="J2055">
        <v>199.95</v>
      </c>
      <c r="K2055" t="s">
        <v>32</v>
      </c>
      <c r="L2055" t="s">
        <v>17</v>
      </c>
      <c r="M2055" t="s">
        <v>90</v>
      </c>
    </row>
    <row r="2056" spans="1:13" x14ac:dyDescent="0.2">
      <c r="A2056">
        <v>439479</v>
      </c>
      <c r="B2056" s="2">
        <v>44702</v>
      </c>
      <c r="D2056" t="s">
        <v>97</v>
      </c>
      <c r="E2056" t="s">
        <v>135</v>
      </c>
      <c r="F2056" t="s">
        <v>136</v>
      </c>
      <c r="G2056">
        <v>5</v>
      </c>
      <c r="H2056">
        <v>9.49</v>
      </c>
      <c r="I2056">
        <v>0.05</v>
      </c>
      <c r="J2056">
        <v>45.08</v>
      </c>
      <c r="K2056" t="s">
        <v>22</v>
      </c>
      <c r="L2056" t="s">
        <v>17</v>
      </c>
      <c r="M2056" t="s">
        <v>103</v>
      </c>
    </row>
    <row r="2057" spans="1:13" x14ac:dyDescent="0.2">
      <c r="A2057">
        <v>439694</v>
      </c>
      <c r="B2057" s="2">
        <v>45300</v>
      </c>
      <c r="C2057">
        <v>42338</v>
      </c>
      <c r="D2057" t="s">
        <v>44</v>
      </c>
      <c r="E2057" t="s">
        <v>195</v>
      </c>
      <c r="F2057" t="s">
        <v>196</v>
      </c>
      <c r="G2057">
        <v>1</v>
      </c>
      <c r="H2057">
        <v>4.99</v>
      </c>
      <c r="J2057">
        <v>4.99</v>
      </c>
      <c r="K2057" t="s">
        <v>16</v>
      </c>
      <c r="L2057" t="s">
        <v>17</v>
      </c>
      <c r="M2057" t="s">
        <v>47</v>
      </c>
    </row>
    <row r="2058" spans="1:13" x14ac:dyDescent="0.2">
      <c r="A2058">
        <v>439784</v>
      </c>
      <c r="B2058" s="1">
        <v>45420</v>
      </c>
      <c r="C2058">
        <v>11722</v>
      </c>
      <c r="D2058" t="s">
        <v>29</v>
      </c>
      <c r="E2058" t="s">
        <v>30</v>
      </c>
      <c r="F2058" t="s">
        <v>31</v>
      </c>
      <c r="G2058">
        <v>2</v>
      </c>
      <c r="H2058">
        <v>21.24</v>
      </c>
      <c r="I2058">
        <v>0.15</v>
      </c>
      <c r="J2058">
        <v>36.11</v>
      </c>
      <c r="K2058" t="s">
        <v>36</v>
      </c>
      <c r="L2058" t="s">
        <v>37</v>
      </c>
      <c r="M2058" t="s">
        <v>62</v>
      </c>
    </row>
    <row r="2059" spans="1:13" x14ac:dyDescent="0.2">
      <c r="A2059">
        <v>440134</v>
      </c>
      <c r="B2059" s="1">
        <v>44834</v>
      </c>
      <c r="C2059">
        <v>94924</v>
      </c>
      <c r="D2059" t="s">
        <v>85</v>
      </c>
      <c r="E2059" t="s">
        <v>149</v>
      </c>
      <c r="F2059" t="s">
        <v>150</v>
      </c>
      <c r="G2059">
        <v>5</v>
      </c>
      <c r="H2059">
        <v>13.99</v>
      </c>
      <c r="I2059">
        <v>0.3</v>
      </c>
      <c r="J2059">
        <v>48.96</v>
      </c>
      <c r="K2059" t="s">
        <v>66</v>
      </c>
      <c r="L2059" t="s">
        <v>17</v>
      </c>
      <c r="M2059" t="s">
        <v>28</v>
      </c>
    </row>
    <row r="2060" spans="1:13" x14ac:dyDescent="0.2">
      <c r="A2060">
        <v>440218</v>
      </c>
      <c r="B2060" s="1">
        <v>45230</v>
      </c>
      <c r="D2060" t="s">
        <v>63</v>
      </c>
      <c r="E2060" t="s">
        <v>125</v>
      </c>
      <c r="F2060" t="s">
        <v>126</v>
      </c>
      <c r="G2060">
        <v>4</v>
      </c>
      <c r="H2060">
        <v>20.99</v>
      </c>
      <c r="I2060">
        <v>0.3</v>
      </c>
      <c r="J2060">
        <v>58.77</v>
      </c>
      <c r="K2060" t="s">
        <v>36</v>
      </c>
      <c r="L2060" t="s">
        <v>37</v>
      </c>
      <c r="M2060" t="s">
        <v>43</v>
      </c>
    </row>
    <row r="2061" spans="1:13" x14ac:dyDescent="0.2">
      <c r="A2061">
        <v>440567</v>
      </c>
      <c r="B2061" s="1">
        <v>45432</v>
      </c>
      <c r="C2061">
        <v>85488</v>
      </c>
      <c r="D2061" t="s">
        <v>97</v>
      </c>
      <c r="E2061" t="s">
        <v>135</v>
      </c>
      <c r="F2061" t="s">
        <v>136</v>
      </c>
      <c r="G2061">
        <v>4</v>
      </c>
      <c r="H2061">
        <v>8.99</v>
      </c>
      <c r="I2061">
        <v>0.1</v>
      </c>
      <c r="J2061">
        <v>32.36</v>
      </c>
      <c r="K2061" t="s">
        <v>22</v>
      </c>
      <c r="L2061" t="s">
        <v>17</v>
      </c>
      <c r="M2061" t="s">
        <v>76</v>
      </c>
    </row>
    <row r="2062" spans="1:13" x14ac:dyDescent="0.2">
      <c r="A2062">
        <v>440945</v>
      </c>
      <c r="B2062" s="2">
        <v>45111</v>
      </c>
      <c r="C2062">
        <v>11776</v>
      </c>
      <c r="D2062" t="s">
        <v>97</v>
      </c>
      <c r="E2062" t="s">
        <v>151</v>
      </c>
      <c r="F2062" t="s">
        <v>152</v>
      </c>
      <c r="G2062">
        <v>1</v>
      </c>
      <c r="H2062">
        <v>34.99</v>
      </c>
      <c r="J2062">
        <v>34.99</v>
      </c>
      <c r="K2062" t="s">
        <v>32</v>
      </c>
      <c r="L2062" t="s">
        <v>17</v>
      </c>
      <c r="M2062" t="s">
        <v>24</v>
      </c>
    </row>
    <row r="2063" spans="1:13" x14ac:dyDescent="0.2">
      <c r="A2063">
        <v>441053</v>
      </c>
      <c r="B2063" s="1">
        <v>45342</v>
      </c>
      <c r="C2063">
        <v>98736</v>
      </c>
      <c r="D2063" t="s">
        <v>29</v>
      </c>
      <c r="E2063" t="s">
        <v>170</v>
      </c>
      <c r="F2063" t="s">
        <v>171</v>
      </c>
      <c r="G2063">
        <v>1</v>
      </c>
      <c r="H2063">
        <v>14.99</v>
      </c>
      <c r="J2063">
        <v>14.99</v>
      </c>
      <c r="K2063" t="s">
        <v>16</v>
      </c>
      <c r="L2063" t="s">
        <v>37</v>
      </c>
      <c r="M2063" t="s">
        <v>18</v>
      </c>
    </row>
    <row r="2064" spans="1:13" x14ac:dyDescent="0.2">
      <c r="A2064">
        <v>441390</v>
      </c>
      <c r="B2064" s="1">
        <v>45476</v>
      </c>
      <c r="C2064">
        <v>10188</v>
      </c>
      <c r="D2064" t="s">
        <v>82</v>
      </c>
      <c r="E2064" t="s">
        <v>100</v>
      </c>
      <c r="F2064" t="s">
        <v>101</v>
      </c>
      <c r="G2064">
        <v>1</v>
      </c>
      <c r="H2064">
        <v>20.69</v>
      </c>
      <c r="I2064">
        <v>0.1</v>
      </c>
      <c r="J2064">
        <v>18.62</v>
      </c>
      <c r="K2064" t="s">
        <v>32</v>
      </c>
      <c r="L2064" t="s">
        <v>37</v>
      </c>
      <c r="M2064" t="s">
        <v>117</v>
      </c>
    </row>
    <row r="2065" spans="1:13" x14ac:dyDescent="0.2">
      <c r="A2065">
        <v>441403</v>
      </c>
      <c r="B2065" s="1">
        <v>45280</v>
      </c>
      <c r="C2065">
        <v>95152</v>
      </c>
      <c r="D2065" t="s">
        <v>40</v>
      </c>
      <c r="E2065" t="s">
        <v>20</v>
      </c>
      <c r="F2065" t="s">
        <v>21</v>
      </c>
      <c r="G2065">
        <v>3</v>
      </c>
      <c r="H2065">
        <v>9.99</v>
      </c>
      <c r="J2065">
        <v>29.97</v>
      </c>
      <c r="K2065" t="s">
        <v>16</v>
      </c>
      <c r="L2065" t="s">
        <v>37</v>
      </c>
      <c r="M2065" t="s">
        <v>54</v>
      </c>
    </row>
    <row r="2066" spans="1:13" x14ac:dyDescent="0.2">
      <c r="A2066">
        <v>441423</v>
      </c>
      <c r="B2066" s="1">
        <v>44873</v>
      </c>
      <c r="C2066">
        <v>84255</v>
      </c>
      <c r="D2066" t="s">
        <v>29</v>
      </c>
      <c r="E2066" t="s">
        <v>170</v>
      </c>
      <c r="F2066" t="s">
        <v>171</v>
      </c>
      <c r="G2066">
        <v>3</v>
      </c>
      <c r="H2066">
        <v>14.99</v>
      </c>
      <c r="J2066">
        <v>44.97</v>
      </c>
      <c r="K2066" t="s">
        <v>22</v>
      </c>
      <c r="L2066" t="s">
        <v>17</v>
      </c>
      <c r="M2066" t="s">
        <v>117</v>
      </c>
    </row>
    <row r="2067" spans="1:13" x14ac:dyDescent="0.2">
      <c r="A2067">
        <v>441426</v>
      </c>
      <c r="B2067" s="1">
        <v>44823</v>
      </c>
      <c r="C2067">
        <v>65842</v>
      </c>
      <c r="D2067" t="s">
        <v>29</v>
      </c>
      <c r="E2067" t="s">
        <v>38</v>
      </c>
      <c r="F2067" t="s">
        <v>39</v>
      </c>
      <c r="G2067">
        <v>4</v>
      </c>
      <c r="H2067">
        <v>29.99</v>
      </c>
      <c r="J2067">
        <v>119.96</v>
      </c>
      <c r="K2067" t="s">
        <v>36</v>
      </c>
      <c r="L2067" t="s">
        <v>17</v>
      </c>
      <c r="M2067" t="s">
        <v>18</v>
      </c>
    </row>
    <row r="2068" spans="1:13" x14ac:dyDescent="0.2">
      <c r="A2068">
        <v>441802</v>
      </c>
      <c r="B2068" s="1">
        <v>45588</v>
      </c>
      <c r="C2068">
        <v>64334</v>
      </c>
      <c r="D2068" t="s">
        <v>97</v>
      </c>
      <c r="E2068" t="s">
        <v>151</v>
      </c>
      <c r="F2068" t="s">
        <v>152</v>
      </c>
      <c r="G2068">
        <v>4</v>
      </c>
      <c r="H2068">
        <v>31.49</v>
      </c>
      <c r="I2068">
        <v>0.1</v>
      </c>
      <c r="J2068">
        <v>113.36</v>
      </c>
      <c r="K2068" t="s">
        <v>22</v>
      </c>
      <c r="L2068" t="s">
        <v>23</v>
      </c>
      <c r="M2068" t="s">
        <v>103</v>
      </c>
    </row>
    <row r="2069" spans="1:13" x14ac:dyDescent="0.2">
      <c r="A2069">
        <v>442211</v>
      </c>
      <c r="B2069" s="2">
        <v>44753</v>
      </c>
      <c r="C2069">
        <v>97071</v>
      </c>
      <c r="D2069" t="s">
        <v>25</v>
      </c>
      <c r="E2069" t="s">
        <v>51</v>
      </c>
      <c r="F2069" t="s">
        <v>52</v>
      </c>
      <c r="G2069">
        <v>5</v>
      </c>
      <c r="H2069">
        <v>19.59</v>
      </c>
      <c r="I2069">
        <v>0.3</v>
      </c>
      <c r="J2069">
        <v>68.56</v>
      </c>
      <c r="K2069" t="s">
        <v>16</v>
      </c>
      <c r="L2069" t="s">
        <v>17</v>
      </c>
      <c r="M2069" t="s">
        <v>18</v>
      </c>
    </row>
    <row r="2070" spans="1:13" x14ac:dyDescent="0.2">
      <c r="A2070">
        <v>442219</v>
      </c>
      <c r="B2070" s="1">
        <v>45570</v>
      </c>
      <c r="C2070">
        <v>80026</v>
      </c>
      <c r="D2070" t="s">
        <v>44</v>
      </c>
      <c r="E2070" t="s">
        <v>195</v>
      </c>
      <c r="F2070" t="s">
        <v>196</v>
      </c>
      <c r="G2070">
        <v>2</v>
      </c>
      <c r="H2070">
        <v>4.49</v>
      </c>
      <c r="I2070">
        <v>0.1</v>
      </c>
      <c r="J2070">
        <v>8.08</v>
      </c>
      <c r="K2070" t="s">
        <v>36</v>
      </c>
      <c r="L2070" t="s">
        <v>17</v>
      </c>
      <c r="M2070" t="s">
        <v>123</v>
      </c>
    </row>
    <row r="2071" spans="1:13" x14ac:dyDescent="0.2">
      <c r="A2071">
        <v>442373</v>
      </c>
      <c r="B2071" s="1">
        <v>45527</v>
      </c>
      <c r="C2071">
        <v>69206</v>
      </c>
      <c r="D2071" t="s">
        <v>40</v>
      </c>
      <c r="E2071" t="s">
        <v>41</v>
      </c>
      <c r="F2071" t="s">
        <v>42</v>
      </c>
      <c r="G2071">
        <v>1</v>
      </c>
      <c r="H2071">
        <v>5.99</v>
      </c>
      <c r="J2071">
        <v>5.99</v>
      </c>
      <c r="K2071" t="s">
        <v>16</v>
      </c>
      <c r="L2071" t="s">
        <v>37</v>
      </c>
      <c r="M2071" t="s">
        <v>47</v>
      </c>
    </row>
    <row r="2072" spans="1:13" x14ac:dyDescent="0.2">
      <c r="A2072">
        <v>442418</v>
      </c>
      <c r="B2072" s="1">
        <v>44779</v>
      </c>
      <c r="C2072">
        <v>53474</v>
      </c>
      <c r="D2072" t="s">
        <v>85</v>
      </c>
      <c r="E2072" t="s">
        <v>137</v>
      </c>
      <c r="F2072" t="s">
        <v>138</v>
      </c>
      <c r="G2072">
        <v>3</v>
      </c>
      <c r="H2072">
        <v>7.99</v>
      </c>
      <c r="J2072">
        <v>23.97</v>
      </c>
      <c r="K2072" t="s">
        <v>16</v>
      </c>
      <c r="L2072" t="s">
        <v>17</v>
      </c>
      <c r="M2072" t="s">
        <v>18</v>
      </c>
    </row>
    <row r="2073" spans="1:13" x14ac:dyDescent="0.2">
      <c r="A2073">
        <v>442704</v>
      </c>
      <c r="B2073" s="2">
        <v>45144</v>
      </c>
      <c r="C2073">
        <v>52361</v>
      </c>
      <c r="D2073" t="s">
        <v>97</v>
      </c>
      <c r="E2073" t="s">
        <v>151</v>
      </c>
      <c r="F2073" t="s">
        <v>152</v>
      </c>
      <c r="G2073">
        <v>1</v>
      </c>
      <c r="H2073">
        <v>29.74</v>
      </c>
      <c r="I2073">
        <v>0.15</v>
      </c>
      <c r="J2073">
        <v>25.28</v>
      </c>
      <c r="K2073" t="s">
        <v>36</v>
      </c>
      <c r="L2073" t="s">
        <v>37</v>
      </c>
      <c r="M2073" t="s">
        <v>161</v>
      </c>
    </row>
    <row r="2074" spans="1:13" x14ac:dyDescent="0.2">
      <c r="A2074">
        <v>443225</v>
      </c>
      <c r="B2074" s="1">
        <v>45305</v>
      </c>
      <c r="C2074">
        <v>94187</v>
      </c>
      <c r="D2074" t="s">
        <v>97</v>
      </c>
      <c r="E2074" t="s">
        <v>135</v>
      </c>
      <c r="F2074" t="s">
        <v>136</v>
      </c>
      <c r="G2074">
        <v>2</v>
      </c>
      <c r="H2074">
        <v>8.99</v>
      </c>
      <c r="I2074">
        <v>0.1</v>
      </c>
      <c r="J2074">
        <v>16.18</v>
      </c>
      <c r="K2074" t="s">
        <v>36</v>
      </c>
      <c r="L2074" t="s">
        <v>17</v>
      </c>
      <c r="M2074" t="s">
        <v>54</v>
      </c>
    </row>
    <row r="2075" spans="1:13" x14ac:dyDescent="0.2">
      <c r="A2075">
        <v>443235</v>
      </c>
      <c r="B2075" s="1">
        <v>45457</v>
      </c>
      <c r="C2075">
        <v>59286</v>
      </c>
      <c r="D2075" t="s">
        <v>29</v>
      </c>
      <c r="E2075" t="s">
        <v>38</v>
      </c>
      <c r="F2075" t="s">
        <v>39</v>
      </c>
      <c r="G2075">
        <v>1</v>
      </c>
      <c r="H2075">
        <v>23.99</v>
      </c>
      <c r="I2075">
        <v>0.2</v>
      </c>
      <c r="J2075">
        <v>19.190000000000001</v>
      </c>
      <c r="K2075" t="s">
        <v>53</v>
      </c>
      <c r="L2075" t="s">
        <v>17</v>
      </c>
      <c r="M2075" t="s">
        <v>47</v>
      </c>
    </row>
    <row r="2076" spans="1:13" x14ac:dyDescent="0.2">
      <c r="A2076">
        <v>443252</v>
      </c>
      <c r="B2076" s="1">
        <v>44751</v>
      </c>
      <c r="C2076">
        <v>45514</v>
      </c>
      <c r="D2076" t="s">
        <v>25</v>
      </c>
      <c r="E2076" t="s">
        <v>26</v>
      </c>
      <c r="F2076" t="s">
        <v>27</v>
      </c>
      <c r="G2076">
        <v>3</v>
      </c>
      <c r="H2076">
        <v>33.24</v>
      </c>
      <c r="I2076">
        <v>0.05</v>
      </c>
      <c r="J2076">
        <v>94.73</v>
      </c>
      <c r="K2076" t="s">
        <v>36</v>
      </c>
      <c r="L2076" t="s">
        <v>17</v>
      </c>
      <c r="M2076" t="s">
        <v>161</v>
      </c>
    </row>
    <row r="2077" spans="1:13" x14ac:dyDescent="0.2">
      <c r="A2077">
        <v>443261</v>
      </c>
      <c r="B2077" s="1">
        <v>45439</v>
      </c>
      <c r="C2077">
        <v>72634</v>
      </c>
      <c r="D2077" t="s">
        <v>13</v>
      </c>
      <c r="E2077" t="s">
        <v>77</v>
      </c>
      <c r="F2077" t="s">
        <v>78</v>
      </c>
      <c r="G2077">
        <v>2</v>
      </c>
      <c r="H2077">
        <v>399.99</v>
      </c>
      <c r="I2077">
        <v>0.2</v>
      </c>
      <c r="J2077">
        <v>639.98</v>
      </c>
      <c r="K2077" t="s">
        <v>36</v>
      </c>
      <c r="L2077" t="s">
        <v>17</v>
      </c>
      <c r="M2077" t="s">
        <v>62</v>
      </c>
    </row>
    <row r="2078" spans="1:13" x14ac:dyDescent="0.2">
      <c r="A2078">
        <v>443281</v>
      </c>
      <c r="B2078" s="1">
        <v>45562</v>
      </c>
      <c r="C2078">
        <v>62193</v>
      </c>
      <c r="D2078" t="s">
        <v>97</v>
      </c>
      <c r="E2078" t="s">
        <v>121</v>
      </c>
      <c r="F2078" t="s">
        <v>122</v>
      </c>
      <c r="G2078">
        <v>1</v>
      </c>
      <c r="H2078">
        <v>12.99</v>
      </c>
      <c r="J2078">
        <v>12.99</v>
      </c>
      <c r="K2078" t="s">
        <v>95</v>
      </c>
      <c r="L2078" t="s">
        <v>37</v>
      </c>
      <c r="M2078" t="s">
        <v>123</v>
      </c>
    </row>
    <row r="2079" spans="1:13" x14ac:dyDescent="0.2">
      <c r="A2079">
        <v>443963</v>
      </c>
      <c r="B2079" s="1">
        <v>45228</v>
      </c>
      <c r="C2079">
        <v>18472</v>
      </c>
      <c r="D2079" t="s">
        <v>97</v>
      </c>
      <c r="E2079" t="s">
        <v>193</v>
      </c>
      <c r="F2079" t="s">
        <v>194</v>
      </c>
      <c r="G2079">
        <v>4</v>
      </c>
      <c r="H2079">
        <v>58.49</v>
      </c>
      <c r="I2079">
        <v>0.1</v>
      </c>
      <c r="J2079">
        <v>210.56</v>
      </c>
      <c r="K2079" t="s">
        <v>22</v>
      </c>
      <c r="L2079" t="s">
        <v>17</v>
      </c>
      <c r="M2079" t="s">
        <v>57</v>
      </c>
    </row>
    <row r="2080" spans="1:13" x14ac:dyDescent="0.2">
      <c r="A2080">
        <v>444204</v>
      </c>
      <c r="B2080" s="1">
        <v>45198</v>
      </c>
      <c r="C2080">
        <v>11510</v>
      </c>
      <c r="D2080" t="s">
        <v>44</v>
      </c>
      <c r="E2080" t="s">
        <v>177</v>
      </c>
      <c r="F2080" t="s">
        <v>178</v>
      </c>
      <c r="G2080">
        <v>1</v>
      </c>
      <c r="H2080">
        <v>11.99</v>
      </c>
      <c r="J2080">
        <v>11.99</v>
      </c>
      <c r="K2080" t="s">
        <v>16</v>
      </c>
      <c r="L2080" t="s">
        <v>23</v>
      </c>
      <c r="M2080" t="s">
        <v>47</v>
      </c>
    </row>
    <row r="2081" spans="1:13" x14ac:dyDescent="0.2">
      <c r="A2081">
        <v>444236</v>
      </c>
      <c r="B2081" s="1">
        <v>45526</v>
      </c>
      <c r="C2081">
        <v>69006</v>
      </c>
      <c r="D2081" t="s">
        <v>85</v>
      </c>
      <c r="E2081" t="s">
        <v>157</v>
      </c>
      <c r="F2081" t="s">
        <v>158</v>
      </c>
      <c r="G2081">
        <v>1</v>
      </c>
      <c r="H2081">
        <v>13.49</v>
      </c>
      <c r="J2081">
        <v>13.49</v>
      </c>
      <c r="K2081" t="s">
        <v>16</v>
      </c>
      <c r="L2081" t="s">
        <v>17</v>
      </c>
      <c r="M2081" t="s">
        <v>67</v>
      </c>
    </row>
    <row r="2082" spans="1:13" x14ac:dyDescent="0.2">
      <c r="A2082">
        <v>444432</v>
      </c>
      <c r="B2082" s="2">
        <v>45012</v>
      </c>
      <c r="C2082">
        <v>57771</v>
      </c>
      <c r="D2082" t="s">
        <v>44</v>
      </c>
      <c r="E2082" t="s">
        <v>177</v>
      </c>
      <c r="F2082" t="s">
        <v>178</v>
      </c>
      <c r="G2082">
        <v>5</v>
      </c>
      <c r="H2082">
        <v>10.19</v>
      </c>
      <c r="I2082">
        <v>0.15</v>
      </c>
      <c r="J2082">
        <v>43.31</v>
      </c>
      <c r="K2082" t="s">
        <v>22</v>
      </c>
      <c r="L2082" t="s">
        <v>37</v>
      </c>
      <c r="M2082" t="s">
        <v>90</v>
      </c>
    </row>
    <row r="2083" spans="1:13" x14ac:dyDescent="0.2">
      <c r="A2083">
        <v>445366</v>
      </c>
      <c r="B2083" s="1">
        <v>44914</v>
      </c>
      <c r="C2083">
        <v>59102</v>
      </c>
      <c r="D2083" t="s">
        <v>19</v>
      </c>
      <c r="E2083" t="s">
        <v>115</v>
      </c>
      <c r="F2083" t="s">
        <v>116</v>
      </c>
      <c r="G2083">
        <v>5</v>
      </c>
      <c r="H2083">
        <v>9.74</v>
      </c>
      <c r="I2083">
        <v>0.25</v>
      </c>
      <c r="J2083">
        <v>36.53</v>
      </c>
      <c r="K2083" t="s">
        <v>22</v>
      </c>
      <c r="L2083" t="s">
        <v>37</v>
      </c>
      <c r="M2083" t="s">
        <v>161</v>
      </c>
    </row>
    <row r="2084" spans="1:13" x14ac:dyDescent="0.2">
      <c r="A2084">
        <v>445752</v>
      </c>
      <c r="B2084" s="1">
        <v>44863</v>
      </c>
      <c r="C2084">
        <v>46253</v>
      </c>
      <c r="D2084" t="s">
        <v>82</v>
      </c>
      <c r="E2084" t="s">
        <v>188</v>
      </c>
      <c r="F2084" t="s">
        <v>189</v>
      </c>
      <c r="G2084">
        <v>1</v>
      </c>
      <c r="H2084">
        <v>31.49</v>
      </c>
      <c r="I2084">
        <v>0.3</v>
      </c>
      <c r="J2084">
        <v>22.04</v>
      </c>
      <c r="K2084" t="s">
        <v>36</v>
      </c>
      <c r="L2084" t="s">
        <v>17</v>
      </c>
      <c r="M2084" t="s">
        <v>123</v>
      </c>
    </row>
    <row r="2085" spans="1:13" x14ac:dyDescent="0.2">
      <c r="A2085">
        <v>445761</v>
      </c>
      <c r="B2085" s="1">
        <v>45537</v>
      </c>
      <c r="C2085">
        <v>73189</v>
      </c>
      <c r="D2085" t="s">
        <v>13</v>
      </c>
      <c r="E2085" t="s">
        <v>127</v>
      </c>
      <c r="F2085" t="s">
        <v>128</v>
      </c>
      <c r="G2085">
        <v>1</v>
      </c>
      <c r="H2085">
        <v>15.99</v>
      </c>
      <c r="I2085">
        <v>0.2</v>
      </c>
      <c r="J2085">
        <v>12.79</v>
      </c>
      <c r="K2085" t="s">
        <v>32</v>
      </c>
      <c r="L2085" t="s">
        <v>17</v>
      </c>
      <c r="M2085" t="s">
        <v>67</v>
      </c>
    </row>
    <row r="2086" spans="1:13" x14ac:dyDescent="0.2">
      <c r="A2086">
        <v>445842</v>
      </c>
      <c r="B2086" s="1">
        <v>45586</v>
      </c>
      <c r="C2086">
        <v>94234</v>
      </c>
      <c r="D2086" t="s">
        <v>40</v>
      </c>
      <c r="E2086" t="s">
        <v>41</v>
      </c>
      <c r="F2086" t="s">
        <v>42</v>
      </c>
      <c r="G2086">
        <v>1</v>
      </c>
      <c r="H2086">
        <v>5.09</v>
      </c>
      <c r="I2086">
        <v>0.15</v>
      </c>
      <c r="J2086">
        <v>4.33</v>
      </c>
      <c r="K2086" t="s">
        <v>95</v>
      </c>
      <c r="L2086" t="s">
        <v>17</v>
      </c>
      <c r="M2086" t="s">
        <v>103</v>
      </c>
    </row>
    <row r="2087" spans="1:13" x14ac:dyDescent="0.2">
      <c r="A2087">
        <v>445890</v>
      </c>
      <c r="B2087" s="2">
        <v>45043</v>
      </c>
      <c r="C2087">
        <v>99118</v>
      </c>
      <c r="D2087" t="s">
        <v>25</v>
      </c>
      <c r="E2087" t="s">
        <v>113</v>
      </c>
      <c r="F2087" t="s">
        <v>114</v>
      </c>
      <c r="G2087">
        <v>1</v>
      </c>
      <c r="H2087">
        <v>107.99</v>
      </c>
      <c r="I2087">
        <v>0.1</v>
      </c>
      <c r="J2087">
        <v>97.19</v>
      </c>
      <c r="K2087" t="s">
        <v>32</v>
      </c>
      <c r="L2087" t="s">
        <v>17</v>
      </c>
      <c r="M2087" t="s">
        <v>43</v>
      </c>
    </row>
    <row r="2088" spans="1:13" x14ac:dyDescent="0.2">
      <c r="A2088">
        <v>445999</v>
      </c>
      <c r="B2088" s="1">
        <v>44612</v>
      </c>
      <c r="C2088">
        <v>68371</v>
      </c>
      <c r="D2088" t="s">
        <v>40</v>
      </c>
      <c r="E2088" t="s">
        <v>115</v>
      </c>
      <c r="F2088" t="s">
        <v>116</v>
      </c>
      <c r="G2088">
        <v>2</v>
      </c>
      <c r="H2088">
        <v>10.39</v>
      </c>
      <c r="I2088">
        <v>0.2</v>
      </c>
      <c r="J2088">
        <v>16.62</v>
      </c>
      <c r="K2088" t="s">
        <v>16</v>
      </c>
      <c r="L2088" t="s">
        <v>37</v>
      </c>
      <c r="M2088" t="s">
        <v>103</v>
      </c>
    </row>
    <row r="2089" spans="1:13" x14ac:dyDescent="0.2">
      <c r="A2089">
        <v>446511</v>
      </c>
      <c r="B2089" s="1">
        <v>44990</v>
      </c>
      <c r="C2089">
        <v>24848</v>
      </c>
      <c r="D2089" t="s">
        <v>44</v>
      </c>
      <c r="E2089" t="s">
        <v>74</v>
      </c>
      <c r="F2089" t="s">
        <v>75</v>
      </c>
      <c r="G2089">
        <v>4</v>
      </c>
      <c r="H2089">
        <v>2.69</v>
      </c>
      <c r="I2089">
        <v>0.1</v>
      </c>
      <c r="J2089">
        <v>9.68</v>
      </c>
      <c r="K2089" t="s">
        <v>53</v>
      </c>
      <c r="L2089" t="s">
        <v>37</v>
      </c>
      <c r="M2089" t="s">
        <v>161</v>
      </c>
    </row>
    <row r="2090" spans="1:13" x14ac:dyDescent="0.2">
      <c r="A2090">
        <v>446526</v>
      </c>
      <c r="B2090" s="1">
        <v>44974</v>
      </c>
      <c r="C2090">
        <v>34403</v>
      </c>
      <c r="D2090" t="s">
        <v>29</v>
      </c>
      <c r="E2090" t="s">
        <v>72</v>
      </c>
      <c r="F2090" t="s">
        <v>73</v>
      </c>
      <c r="G2090">
        <v>2</v>
      </c>
      <c r="H2090">
        <v>31.99</v>
      </c>
      <c r="I2090">
        <v>0.2</v>
      </c>
      <c r="J2090">
        <v>51.18</v>
      </c>
      <c r="K2090" t="s">
        <v>16</v>
      </c>
      <c r="L2090" t="s">
        <v>17</v>
      </c>
    </row>
    <row r="2091" spans="1:13" x14ac:dyDescent="0.2">
      <c r="A2091">
        <v>446700</v>
      </c>
      <c r="B2091" s="1">
        <v>45212</v>
      </c>
      <c r="C2091">
        <v>71400</v>
      </c>
      <c r="D2091" t="s">
        <v>85</v>
      </c>
      <c r="E2091" t="s">
        <v>157</v>
      </c>
      <c r="F2091" t="s">
        <v>158</v>
      </c>
      <c r="G2091">
        <v>1</v>
      </c>
      <c r="H2091">
        <v>9.44</v>
      </c>
      <c r="I2091">
        <v>0.3</v>
      </c>
      <c r="J2091">
        <v>6.61</v>
      </c>
      <c r="K2091" t="s">
        <v>36</v>
      </c>
      <c r="L2091" t="s">
        <v>37</v>
      </c>
      <c r="M2091" t="s">
        <v>47</v>
      </c>
    </row>
    <row r="2092" spans="1:13" x14ac:dyDescent="0.2">
      <c r="A2092">
        <v>446995</v>
      </c>
      <c r="B2092" s="1">
        <v>44608</v>
      </c>
      <c r="C2092">
        <v>23148</v>
      </c>
      <c r="D2092" t="s">
        <v>29</v>
      </c>
      <c r="E2092" t="s">
        <v>170</v>
      </c>
      <c r="F2092" t="s">
        <v>171</v>
      </c>
      <c r="G2092">
        <v>1</v>
      </c>
      <c r="H2092">
        <v>12.74</v>
      </c>
      <c r="I2092">
        <v>0.15</v>
      </c>
      <c r="J2092">
        <v>10.83</v>
      </c>
      <c r="K2092" t="s">
        <v>16</v>
      </c>
      <c r="L2092" t="s">
        <v>37</v>
      </c>
      <c r="M2092" t="s">
        <v>47</v>
      </c>
    </row>
    <row r="2093" spans="1:13" x14ac:dyDescent="0.2">
      <c r="A2093">
        <v>447294</v>
      </c>
      <c r="B2093" s="1">
        <v>45140</v>
      </c>
      <c r="C2093">
        <v>22259</v>
      </c>
      <c r="D2093" t="s">
        <v>29</v>
      </c>
      <c r="E2093" t="s">
        <v>72</v>
      </c>
      <c r="F2093" t="s">
        <v>73</v>
      </c>
      <c r="G2093">
        <v>5</v>
      </c>
      <c r="H2093">
        <v>29.99</v>
      </c>
      <c r="I2093">
        <v>0.25</v>
      </c>
      <c r="J2093">
        <v>112.46</v>
      </c>
      <c r="K2093" t="s">
        <v>32</v>
      </c>
      <c r="L2093" t="s">
        <v>37</v>
      </c>
      <c r="M2093" t="s">
        <v>76</v>
      </c>
    </row>
    <row r="2094" spans="1:13" x14ac:dyDescent="0.2">
      <c r="A2094">
        <v>447478</v>
      </c>
      <c r="B2094" s="2">
        <v>45002</v>
      </c>
      <c r="D2094" t="s">
        <v>97</v>
      </c>
      <c r="E2094" t="s">
        <v>135</v>
      </c>
      <c r="F2094" t="s">
        <v>136</v>
      </c>
      <c r="G2094">
        <v>4</v>
      </c>
      <c r="H2094">
        <v>9.99</v>
      </c>
      <c r="J2094">
        <v>39.96</v>
      </c>
      <c r="K2094" t="s">
        <v>22</v>
      </c>
      <c r="L2094" t="s">
        <v>17</v>
      </c>
      <c r="M2094" t="s">
        <v>28</v>
      </c>
    </row>
    <row r="2095" spans="1:13" x14ac:dyDescent="0.2">
      <c r="A2095">
        <v>447608</v>
      </c>
      <c r="B2095" s="1">
        <v>45059</v>
      </c>
      <c r="C2095">
        <v>95467</v>
      </c>
      <c r="D2095" t="s">
        <v>82</v>
      </c>
      <c r="E2095" t="s">
        <v>188</v>
      </c>
      <c r="F2095" t="s">
        <v>189</v>
      </c>
      <c r="G2095">
        <v>1</v>
      </c>
      <c r="H2095">
        <v>33.74</v>
      </c>
      <c r="I2095">
        <v>0.25</v>
      </c>
      <c r="J2095">
        <v>25.3</v>
      </c>
      <c r="K2095" t="s">
        <v>16</v>
      </c>
      <c r="L2095" t="s">
        <v>17</v>
      </c>
      <c r="M2095" t="s">
        <v>117</v>
      </c>
    </row>
    <row r="2096" spans="1:13" x14ac:dyDescent="0.2">
      <c r="A2096">
        <v>447829</v>
      </c>
      <c r="B2096" s="2">
        <v>45525</v>
      </c>
      <c r="C2096">
        <v>36315</v>
      </c>
      <c r="D2096" t="s">
        <v>97</v>
      </c>
      <c r="E2096" t="s">
        <v>151</v>
      </c>
      <c r="F2096" t="s">
        <v>152</v>
      </c>
      <c r="G2096">
        <v>2</v>
      </c>
      <c r="H2096">
        <v>34.99</v>
      </c>
      <c r="J2096">
        <v>69.98</v>
      </c>
      <c r="K2096" t="s">
        <v>32</v>
      </c>
      <c r="L2096" t="s">
        <v>17</v>
      </c>
      <c r="M2096" t="s">
        <v>76</v>
      </c>
    </row>
    <row r="2097" spans="1:13" x14ac:dyDescent="0.2">
      <c r="A2097">
        <v>447976</v>
      </c>
      <c r="B2097" s="1">
        <v>45613</v>
      </c>
      <c r="C2097">
        <v>54940</v>
      </c>
      <c r="D2097" t="s">
        <v>40</v>
      </c>
      <c r="E2097" t="s">
        <v>115</v>
      </c>
      <c r="F2097" t="s">
        <v>116</v>
      </c>
      <c r="G2097">
        <v>2</v>
      </c>
      <c r="H2097">
        <v>12.99</v>
      </c>
      <c r="J2097">
        <v>25.98</v>
      </c>
      <c r="K2097" t="s">
        <v>36</v>
      </c>
      <c r="L2097" t="s">
        <v>17</v>
      </c>
    </row>
    <row r="2098" spans="1:13" x14ac:dyDescent="0.2">
      <c r="A2098">
        <v>448142</v>
      </c>
      <c r="B2098" s="1">
        <v>45007</v>
      </c>
      <c r="C2098">
        <v>56408</v>
      </c>
      <c r="D2098" t="s">
        <v>44</v>
      </c>
      <c r="E2098" t="s">
        <v>74</v>
      </c>
      <c r="F2098" t="s">
        <v>75</v>
      </c>
      <c r="G2098">
        <v>5</v>
      </c>
      <c r="H2098">
        <v>2.84</v>
      </c>
      <c r="I2098">
        <v>0.05</v>
      </c>
      <c r="J2098">
        <v>13.49</v>
      </c>
      <c r="K2098" t="s">
        <v>36</v>
      </c>
      <c r="L2098" t="s">
        <v>17</v>
      </c>
      <c r="M2098" t="s">
        <v>43</v>
      </c>
    </row>
    <row r="2099" spans="1:13" x14ac:dyDescent="0.2">
      <c r="A2099">
        <v>448284</v>
      </c>
      <c r="B2099" s="1">
        <v>44912</v>
      </c>
      <c r="C2099">
        <v>67732</v>
      </c>
      <c r="D2099" t="s">
        <v>97</v>
      </c>
      <c r="E2099" t="s">
        <v>193</v>
      </c>
      <c r="F2099" t="s">
        <v>194</v>
      </c>
      <c r="G2099">
        <v>1</v>
      </c>
      <c r="H2099">
        <v>51.99</v>
      </c>
      <c r="I2099">
        <v>0.2</v>
      </c>
      <c r="J2099">
        <v>41.59</v>
      </c>
      <c r="K2099" t="s">
        <v>95</v>
      </c>
      <c r="L2099" t="s">
        <v>17</v>
      </c>
      <c r="M2099" t="s">
        <v>28</v>
      </c>
    </row>
    <row r="2100" spans="1:13" x14ac:dyDescent="0.2">
      <c r="A2100">
        <v>448491</v>
      </c>
      <c r="B2100" s="1">
        <v>45011</v>
      </c>
      <c r="C2100">
        <v>41876</v>
      </c>
      <c r="D2100" t="s">
        <v>82</v>
      </c>
      <c r="E2100" t="s">
        <v>155</v>
      </c>
      <c r="F2100" t="s">
        <v>156</v>
      </c>
      <c r="G2100">
        <v>2</v>
      </c>
      <c r="H2100">
        <v>16.989999999999998</v>
      </c>
      <c r="I2100">
        <v>0.15</v>
      </c>
      <c r="J2100">
        <v>28.88</v>
      </c>
      <c r="K2100" t="s">
        <v>16</v>
      </c>
      <c r="L2100" t="s">
        <v>23</v>
      </c>
      <c r="M2100" t="s">
        <v>67</v>
      </c>
    </row>
    <row r="2101" spans="1:13" x14ac:dyDescent="0.2">
      <c r="A2101">
        <v>448670</v>
      </c>
      <c r="B2101" s="2">
        <v>45588</v>
      </c>
      <c r="C2101">
        <v>45841</v>
      </c>
      <c r="D2101" t="s">
        <v>199</v>
      </c>
      <c r="E2101" t="s">
        <v>14</v>
      </c>
      <c r="F2101" t="s">
        <v>15</v>
      </c>
      <c r="G2101">
        <v>1</v>
      </c>
      <c r="H2101">
        <v>75.989999999999995</v>
      </c>
      <c r="J2101">
        <v>75.989999999999995</v>
      </c>
      <c r="K2101" t="s">
        <v>22</v>
      </c>
      <c r="L2101" t="s">
        <v>37</v>
      </c>
      <c r="M2101" t="s">
        <v>24</v>
      </c>
    </row>
    <row r="2102" spans="1:13" x14ac:dyDescent="0.2">
      <c r="A2102">
        <v>449082</v>
      </c>
      <c r="B2102" s="2">
        <v>44891</v>
      </c>
      <c r="C2102">
        <v>22567</v>
      </c>
      <c r="D2102" t="s">
        <v>25</v>
      </c>
      <c r="E2102" t="s">
        <v>70</v>
      </c>
      <c r="F2102" t="s">
        <v>71</v>
      </c>
      <c r="G2102">
        <v>3</v>
      </c>
      <c r="H2102">
        <v>80.989999999999995</v>
      </c>
      <c r="I2102">
        <v>0.1</v>
      </c>
      <c r="J2102">
        <v>218.67</v>
      </c>
      <c r="K2102" t="s">
        <v>36</v>
      </c>
      <c r="L2102" t="s">
        <v>17</v>
      </c>
      <c r="M2102" t="s">
        <v>123</v>
      </c>
    </row>
    <row r="2103" spans="1:13" x14ac:dyDescent="0.2">
      <c r="A2103">
        <v>449707</v>
      </c>
      <c r="B2103" s="2">
        <v>45316</v>
      </c>
      <c r="D2103" t="s">
        <v>40</v>
      </c>
      <c r="E2103" t="s">
        <v>58</v>
      </c>
      <c r="F2103" t="s">
        <v>59</v>
      </c>
      <c r="G2103">
        <v>2</v>
      </c>
      <c r="H2103">
        <v>3.79</v>
      </c>
      <c r="I2103">
        <v>0.05</v>
      </c>
      <c r="J2103">
        <v>7.2</v>
      </c>
      <c r="K2103" t="s">
        <v>16</v>
      </c>
      <c r="L2103" t="s">
        <v>17</v>
      </c>
      <c r="M2103" t="s">
        <v>57</v>
      </c>
    </row>
    <row r="2104" spans="1:13" x14ac:dyDescent="0.2">
      <c r="A2104">
        <v>449850</v>
      </c>
      <c r="B2104" s="2">
        <v>44572</v>
      </c>
      <c r="C2104">
        <v>79072</v>
      </c>
      <c r="D2104" t="s">
        <v>85</v>
      </c>
      <c r="E2104" t="s">
        <v>153</v>
      </c>
      <c r="F2104" t="s">
        <v>154</v>
      </c>
      <c r="G2104">
        <v>4</v>
      </c>
      <c r="H2104">
        <v>29.99</v>
      </c>
      <c r="J2104">
        <v>119.96</v>
      </c>
      <c r="K2104" t="s">
        <v>16</v>
      </c>
      <c r="L2104" t="s">
        <v>17</v>
      </c>
      <c r="M2104" t="s">
        <v>120</v>
      </c>
    </row>
    <row r="2105" spans="1:13" x14ac:dyDescent="0.2">
      <c r="A2105">
        <v>450110</v>
      </c>
      <c r="B2105" s="1">
        <v>45335</v>
      </c>
      <c r="C2105">
        <v>37341</v>
      </c>
      <c r="D2105" t="s">
        <v>63</v>
      </c>
      <c r="E2105" t="s">
        <v>131</v>
      </c>
      <c r="F2105" t="s">
        <v>132</v>
      </c>
      <c r="G2105">
        <v>1</v>
      </c>
      <c r="H2105">
        <v>3.49</v>
      </c>
      <c r="J2105">
        <v>3.49</v>
      </c>
      <c r="K2105" t="s">
        <v>36</v>
      </c>
      <c r="L2105" t="s">
        <v>17</v>
      </c>
      <c r="M2105" t="s">
        <v>43</v>
      </c>
    </row>
    <row r="2106" spans="1:13" x14ac:dyDescent="0.2">
      <c r="A2106">
        <v>450232</v>
      </c>
      <c r="B2106" s="1">
        <v>45343</v>
      </c>
      <c r="C2106">
        <v>10769</v>
      </c>
      <c r="D2106" t="s">
        <v>85</v>
      </c>
      <c r="E2106" t="s">
        <v>86</v>
      </c>
      <c r="F2106" t="s">
        <v>87</v>
      </c>
      <c r="G2106">
        <v>3</v>
      </c>
      <c r="H2106">
        <v>12.99</v>
      </c>
      <c r="J2106">
        <v>38.97</v>
      </c>
      <c r="K2106" t="s">
        <v>53</v>
      </c>
      <c r="L2106" t="s">
        <v>37</v>
      </c>
      <c r="M2106" t="s">
        <v>28</v>
      </c>
    </row>
    <row r="2107" spans="1:13" x14ac:dyDescent="0.2">
      <c r="A2107">
        <v>450713</v>
      </c>
      <c r="B2107" s="1">
        <v>45404</v>
      </c>
      <c r="C2107">
        <v>74130</v>
      </c>
      <c r="D2107" t="s">
        <v>85</v>
      </c>
      <c r="E2107" t="s">
        <v>153</v>
      </c>
      <c r="F2107" t="s">
        <v>154</v>
      </c>
      <c r="G2107">
        <v>2</v>
      </c>
      <c r="H2107">
        <v>20.99</v>
      </c>
      <c r="I2107">
        <v>0.3</v>
      </c>
      <c r="J2107">
        <v>29.39</v>
      </c>
      <c r="K2107" t="s">
        <v>95</v>
      </c>
      <c r="L2107" t="s">
        <v>17</v>
      </c>
      <c r="M2107" t="s">
        <v>96</v>
      </c>
    </row>
    <row r="2108" spans="1:13" x14ac:dyDescent="0.2">
      <c r="A2108">
        <v>450778</v>
      </c>
      <c r="B2108" s="2">
        <v>45326</v>
      </c>
      <c r="C2108">
        <v>30906</v>
      </c>
      <c r="D2108" t="s">
        <v>85</v>
      </c>
      <c r="E2108" t="s">
        <v>145</v>
      </c>
      <c r="F2108" t="s">
        <v>146</v>
      </c>
      <c r="G2108">
        <v>1</v>
      </c>
      <c r="H2108">
        <v>16.989999999999998</v>
      </c>
      <c r="J2108">
        <v>16.989999999999998</v>
      </c>
      <c r="K2108" t="s">
        <v>16</v>
      </c>
      <c r="L2108" t="s">
        <v>17</v>
      </c>
      <c r="M2108" t="s">
        <v>123</v>
      </c>
    </row>
    <row r="2109" spans="1:13" x14ac:dyDescent="0.2">
      <c r="A2109">
        <v>450867</v>
      </c>
      <c r="B2109" s="2">
        <v>45230</v>
      </c>
      <c r="C2109">
        <v>54190</v>
      </c>
      <c r="D2109" t="s">
        <v>25</v>
      </c>
      <c r="E2109" t="s">
        <v>51</v>
      </c>
      <c r="F2109" t="s">
        <v>52</v>
      </c>
      <c r="G2109">
        <v>4</v>
      </c>
      <c r="H2109">
        <v>27.99</v>
      </c>
      <c r="J2109">
        <v>111.96</v>
      </c>
      <c r="K2109" t="s">
        <v>36</v>
      </c>
      <c r="L2109" t="s">
        <v>17</v>
      </c>
      <c r="M2109" t="s">
        <v>62</v>
      </c>
    </row>
    <row r="2110" spans="1:13" x14ac:dyDescent="0.2">
      <c r="A2110">
        <v>450900</v>
      </c>
      <c r="B2110" s="2">
        <v>44803</v>
      </c>
      <c r="C2110">
        <v>51719</v>
      </c>
      <c r="D2110" t="s">
        <v>82</v>
      </c>
      <c r="E2110" t="s">
        <v>100</v>
      </c>
      <c r="F2110" t="s">
        <v>101</v>
      </c>
      <c r="G2110">
        <v>2</v>
      </c>
      <c r="H2110">
        <v>17.239999999999998</v>
      </c>
      <c r="I2110">
        <v>0.25</v>
      </c>
      <c r="J2110">
        <v>25.86</v>
      </c>
      <c r="K2110" t="s">
        <v>36</v>
      </c>
      <c r="L2110" t="s">
        <v>17</v>
      </c>
      <c r="M2110" t="s">
        <v>161</v>
      </c>
    </row>
    <row r="2111" spans="1:13" x14ac:dyDescent="0.2">
      <c r="A2111">
        <v>451323</v>
      </c>
      <c r="B2111" s="2">
        <v>44722</v>
      </c>
      <c r="C2111">
        <v>55144</v>
      </c>
      <c r="D2111" t="s">
        <v>97</v>
      </c>
      <c r="E2111" t="s">
        <v>121</v>
      </c>
      <c r="F2111" t="s">
        <v>122</v>
      </c>
      <c r="G2111">
        <v>1</v>
      </c>
      <c r="H2111">
        <v>10.39</v>
      </c>
      <c r="I2111">
        <v>0.2</v>
      </c>
      <c r="J2111">
        <v>8.31</v>
      </c>
      <c r="K2111" t="s">
        <v>22</v>
      </c>
      <c r="L2111" t="s">
        <v>23</v>
      </c>
      <c r="M2111" t="s">
        <v>102</v>
      </c>
    </row>
    <row r="2112" spans="1:13" x14ac:dyDescent="0.2">
      <c r="A2112">
        <v>451329</v>
      </c>
      <c r="B2112" s="1">
        <v>44956</v>
      </c>
      <c r="C2112">
        <v>34445</v>
      </c>
      <c r="D2112" t="s">
        <v>63</v>
      </c>
      <c r="E2112" t="s">
        <v>125</v>
      </c>
      <c r="F2112" t="s">
        <v>126</v>
      </c>
      <c r="G2112">
        <v>1</v>
      </c>
      <c r="H2112">
        <v>29.99</v>
      </c>
      <c r="J2112">
        <v>29.99</v>
      </c>
      <c r="K2112" t="s">
        <v>36</v>
      </c>
      <c r="L2112" t="s">
        <v>17</v>
      </c>
      <c r="M2112" t="s">
        <v>81</v>
      </c>
    </row>
    <row r="2113" spans="1:13" x14ac:dyDescent="0.2">
      <c r="A2113">
        <v>451382</v>
      </c>
      <c r="B2113" s="1">
        <v>44841</v>
      </c>
      <c r="D2113" t="s">
        <v>97</v>
      </c>
      <c r="E2113" t="s">
        <v>121</v>
      </c>
      <c r="F2113" t="s">
        <v>122</v>
      </c>
      <c r="G2113">
        <v>1</v>
      </c>
      <c r="H2113">
        <v>12.99</v>
      </c>
      <c r="J2113">
        <v>12.99</v>
      </c>
      <c r="K2113" t="s">
        <v>16</v>
      </c>
      <c r="L2113" t="s">
        <v>17</v>
      </c>
      <c r="M2113" t="s">
        <v>54</v>
      </c>
    </row>
    <row r="2114" spans="1:13" x14ac:dyDescent="0.2">
      <c r="A2114">
        <v>451446</v>
      </c>
      <c r="B2114" s="1">
        <v>45090</v>
      </c>
      <c r="C2114">
        <v>29309</v>
      </c>
      <c r="D2114" t="s">
        <v>44</v>
      </c>
      <c r="E2114" t="s">
        <v>190</v>
      </c>
      <c r="F2114" t="s">
        <v>191</v>
      </c>
      <c r="G2114">
        <v>5</v>
      </c>
      <c r="H2114">
        <v>3</v>
      </c>
      <c r="I2114">
        <v>0.3</v>
      </c>
      <c r="J2114">
        <v>10.5</v>
      </c>
      <c r="K2114" t="s">
        <v>95</v>
      </c>
      <c r="L2114" t="s">
        <v>17</v>
      </c>
      <c r="M2114" t="s">
        <v>102</v>
      </c>
    </row>
    <row r="2115" spans="1:13" x14ac:dyDescent="0.2">
      <c r="A2115">
        <v>451525</v>
      </c>
      <c r="B2115" s="1">
        <v>45112</v>
      </c>
      <c r="C2115">
        <v>43492</v>
      </c>
      <c r="D2115" t="s">
        <v>40</v>
      </c>
      <c r="E2115" t="s">
        <v>115</v>
      </c>
      <c r="F2115" t="s">
        <v>116</v>
      </c>
      <c r="G2115">
        <v>2</v>
      </c>
      <c r="H2115">
        <v>11.04</v>
      </c>
      <c r="I2115">
        <v>0.15</v>
      </c>
      <c r="J2115">
        <v>18.77</v>
      </c>
      <c r="K2115" t="s">
        <v>36</v>
      </c>
      <c r="L2115" t="s">
        <v>17</v>
      </c>
      <c r="M2115" t="s">
        <v>117</v>
      </c>
    </row>
    <row r="2116" spans="1:13" x14ac:dyDescent="0.2">
      <c r="A2116">
        <v>451630</v>
      </c>
      <c r="B2116" s="1">
        <v>44589</v>
      </c>
      <c r="C2116">
        <v>38070</v>
      </c>
      <c r="D2116" t="s">
        <v>13</v>
      </c>
      <c r="E2116" t="s">
        <v>104</v>
      </c>
      <c r="F2116" t="s">
        <v>105</v>
      </c>
      <c r="G2116">
        <v>1</v>
      </c>
      <c r="H2116">
        <v>29.99</v>
      </c>
      <c r="J2116">
        <v>29.99</v>
      </c>
      <c r="K2116" t="s">
        <v>36</v>
      </c>
      <c r="L2116" t="s">
        <v>17</v>
      </c>
      <c r="M2116" t="s">
        <v>28</v>
      </c>
    </row>
    <row r="2117" spans="1:13" x14ac:dyDescent="0.2">
      <c r="A2117">
        <v>451637</v>
      </c>
      <c r="B2117" s="1">
        <v>44882</v>
      </c>
      <c r="C2117">
        <v>77672</v>
      </c>
      <c r="D2117" t="s">
        <v>44</v>
      </c>
      <c r="E2117" t="s">
        <v>172</v>
      </c>
      <c r="F2117" t="s">
        <v>173</v>
      </c>
      <c r="G2117">
        <v>2</v>
      </c>
      <c r="H2117">
        <v>3.14</v>
      </c>
      <c r="I2117">
        <v>0.3</v>
      </c>
      <c r="J2117">
        <v>4.4000000000000004</v>
      </c>
      <c r="K2117" t="s">
        <v>95</v>
      </c>
      <c r="L2117" t="s">
        <v>37</v>
      </c>
      <c r="M2117" t="s">
        <v>117</v>
      </c>
    </row>
    <row r="2118" spans="1:13" x14ac:dyDescent="0.2">
      <c r="A2118">
        <v>451706</v>
      </c>
      <c r="B2118" s="1">
        <v>45456</v>
      </c>
      <c r="C2118">
        <v>58264</v>
      </c>
      <c r="D2118" t="s">
        <v>40</v>
      </c>
      <c r="E2118" t="s">
        <v>115</v>
      </c>
      <c r="F2118" t="s">
        <v>116</v>
      </c>
      <c r="G2118">
        <v>4</v>
      </c>
      <c r="H2118">
        <v>12.34</v>
      </c>
      <c r="I2118">
        <v>0.05</v>
      </c>
      <c r="J2118">
        <v>46.89</v>
      </c>
      <c r="K2118" t="s">
        <v>16</v>
      </c>
      <c r="L2118" t="s">
        <v>17</v>
      </c>
      <c r="M2118" t="s">
        <v>96</v>
      </c>
    </row>
    <row r="2119" spans="1:13" x14ac:dyDescent="0.2">
      <c r="A2119">
        <v>451724</v>
      </c>
      <c r="B2119" s="1">
        <v>45478</v>
      </c>
      <c r="C2119">
        <v>29663</v>
      </c>
      <c r="D2119" t="s">
        <v>44</v>
      </c>
      <c r="E2119" t="s">
        <v>162</v>
      </c>
      <c r="F2119" t="s">
        <v>163</v>
      </c>
      <c r="G2119">
        <v>3</v>
      </c>
      <c r="H2119">
        <v>7.19</v>
      </c>
      <c r="I2119">
        <v>0.1</v>
      </c>
      <c r="J2119">
        <v>19.41</v>
      </c>
      <c r="K2119" t="s">
        <v>16</v>
      </c>
      <c r="L2119" t="s">
        <v>37</v>
      </c>
      <c r="M2119" t="s">
        <v>62</v>
      </c>
    </row>
    <row r="2120" spans="1:13" x14ac:dyDescent="0.2">
      <c r="A2120">
        <v>451962</v>
      </c>
      <c r="B2120" s="2">
        <v>44807</v>
      </c>
      <c r="C2120">
        <v>94267</v>
      </c>
      <c r="D2120" t="s">
        <v>63</v>
      </c>
      <c r="E2120" t="s">
        <v>111</v>
      </c>
      <c r="F2120" t="s">
        <v>112</v>
      </c>
      <c r="G2120">
        <v>1</v>
      </c>
      <c r="H2120">
        <v>13.49</v>
      </c>
      <c r="I2120">
        <v>0.1</v>
      </c>
      <c r="J2120">
        <v>12.14</v>
      </c>
      <c r="K2120" t="s">
        <v>53</v>
      </c>
      <c r="L2120" t="s">
        <v>23</v>
      </c>
      <c r="M2120" t="s">
        <v>33</v>
      </c>
    </row>
    <row r="2121" spans="1:13" x14ac:dyDescent="0.2">
      <c r="A2121">
        <v>452457</v>
      </c>
      <c r="B2121" s="1">
        <v>45454</v>
      </c>
      <c r="C2121">
        <v>71261</v>
      </c>
      <c r="D2121" t="s">
        <v>40</v>
      </c>
      <c r="E2121" t="s">
        <v>115</v>
      </c>
      <c r="F2121" t="s">
        <v>116</v>
      </c>
      <c r="G2121">
        <v>1</v>
      </c>
      <c r="H2121">
        <v>9.74</v>
      </c>
      <c r="I2121">
        <v>0.25</v>
      </c>
      <c r="J2121">
        <v>7.3</v>
      </c>
      <c r="K2121" t="s">
        <v>22</v>
      </c>
      <c r="L2121" t="s">
        <v>37</v>
      </c>
      <c r="M2121" t="s">
        <v>33</v>
      </c>
    </row>
    <row r="2122" spans="1:13" x14ac:dyDescent="0.2">
      <c r="A2122">
        <v>452555</v>
      </c>
      <c r="B2122" s="1">
        <v>44772</v>
      </c>
      <c r="C2122">
        <v>20982</v>
      </c>
      <c r="D2122" t="s">
        <v>13</v>
      </c>
      <c r="E2122" t="s">
        <v>186</v>
      </c>
      <c r="F2122" t="s">
        <v>187</v>
      </c>
      <c r="G2122">
        <v>4</v>
      </c>
      <c r="H2122">
        <v>44.99</v>
      </c>
      <c r="J2122">
        <v>179.96</v>
      </c>
      <c r="K2122" t="s">
        <v>95</v>
      </c>
      <c r="L2122" t="s">
        <v>17</v>
      </c>
      <c r="M2122" t="s">
        <v>120</v>
      </c>
    </row>
    <row r="2123" spans="1:13" x14ac:dyDescent="0.2">
      <c r="A2123">
        <v>452612</v>
      </c>
      <c r="B2123" s="1">
        <v>44748</v>
      </c>
      <c r="C2123">
        <v>74957</v>
      </c>
      <c r="D2123" t="s">
        <v>13</v>
      </c>
      <c r="E2123" t="s">
        <v>55</v>
      </c>
      <c r="F2123" t="s">
        <v>56</v>
      </c>
      <c r="G2123">
        <v>2</v>
      </c>
      <c r="H2123">
        <v>263.99</v>
      </c>
      <c r="I2123">
        <v>0.2</v>
      </c>
      <c r="J2123">
        <v>422.38</v>
      </c>
      <c r="K2123" t="s">
        <v>36</v>
      </c>
      <c r="L2123" t="s">
        <v>17</v>
      </c>
      <c r="M2123" t="s">
        <v>123</v>
      </c>
    </row>
    <row r="2124" spans="1:13" x14ac:dyDescent="0.2">
      <c r="A2124">
        <v>452810</v>
      </c>
      <c r="B2124" s="1">
        <v>44716</v>
      </c>
      <c r="C2124">
        <v>46955</v>
      </c>
      <c r="D2124" t="s">
        <v>48</v>
      </c>
      <c r="E2124" t="s">
        <v>143</v>
      </c>
      <c r="F2124" t="s">
        <v>144</v>
      </c>
      <c r="G2124">
        <v>2</v>
      </c>
      <c r="H2124">
        <v>10.49</v>
      </c>
      <c r="I2124">
        <v>0.3</v>
      </c>
      <c r="J2124">
        <v>14.69</v>
      </c>
      <c r="K2124" t="s">
        <v>16</v>
      </c>
      <c r="L2124" t="s">
        <v>17</v>
      </c>
      <c r="M2124" t="s">
        <v>161</v>
      </c>
    </row>
    <row r="2125" spans="1:13" x14ac:dyDescent="0.2">
      <c r="A2125">
        <v>452833</v>
      </c>
      <c r="B2125" s="1">
        <v>45533</v>
      </c>
      <c r="C2125">
        <v>96197</v>
      </c>
      <c r="D2125" t="s">
        <v>82</v>
      </c>
      <c r="E2125" t="s">
        <v>168</v>
      </c>
      <c r="F2125" t="s">
        <v>169</v>
      </c>
      <c r="G2125">
        <v>5</v>
      </c>
      <c r="H2125">
        <v>8.99</v>
      </c>
      <c r="J2125">
        <v>44.95</v>
      </c>
      <c r="K2125" t="s">
        <v>95</v>
      </c>
      <c r="L2125" t="s">
        <v>17</v>
      </c>
      <c r="M2125" t="s">
        <v>102</v>
      </c>
    </row>
    <row r="2126" spans="1:13" x14ac:dyDescent="0.2">
      <c r="A2126">
        <v>453096</v>
      </c>
      <c r="B2126" s="1">
        <v>44786</v>
      </c>
      <c r="D2126" t="s">
        <v>48</v>
      </c>
      <c r="E2126" t="s">
        <v>179</v>
      </c>
      <c r="F2126" t="s">
        <v>180</v>
      </c>
      <c r="G2126">
        <v>2</v>
      </c>
      <c r="H2126">
        <v>11.39</v>
      </c>
      <c r="I2126">
        <v>0.05</v>
      </c>
      <c r="J2126">
        <v>21.64</v>
      </c>
      <c r="K2126" t="s">
        <v>16</v>
      </c>
      <c r="L2126" t="s">
        <v>37</v>
      </c>
      <c r="M2126" t="s">
        <v>96</v>
      </c>
    </row>
    <row r="2127" spans="1:13" x14ac:dyDescent="0.2">
      <c r="A2127">
        <v>453140</v>
      </c>
      <c r="B2127" s="1">
        <v>44776</v>
      </c>
      <c r="C2127">
        <v>88795</v>
      </c>
      <c r="D2127" t="s">
        <v>29</v>
      </c>
      <c r="E2127" t="s">
        <v>175</v>
      </c>
      <c r="F2127" t="s">
        <v>176</v>
      </c>
      <c r="G2127">
        <v>2</v>
      </c>
      <c r="H2127">
        <v>8.39</v>
      </c>
      <c r="I2127">
        <v>0.3</v>
      </c>
      <c r="J2127">
        <v>11.75</v>
      </c>
      <c r="K2127" t="s">
        <v>22</v>
      </c>
      <c r="L2127" t="s">
        <v>17</v>
      </c>
      <c r="M2127" t="s">
        <v>62</v>
      </c>
    </row>
    <row r="2128" spans="1:13" x14ac:dyDescent="0.2">
      <c r="A2128">
        <v>453338</v>
      </c>
      <c r="B2128" s="1">
        <v>45382</v>
      </c>
      <c r="C2128">
        <v>10418</v>
      </c>
      <c r="D2128" t="s">
        <v>97</v>
      </c>
      <c r="E2128" t="s">
        <v>193</v>
      </c>
      <c r="F2128" t="s">
        <v>194</v>
      </c>
      <c r="G2128">
        <v>1</v>
      </c>
      <c r="H2128">
        <v>64.989999999999995</v>
      </c>
      <c r="J2128">
        <v>64.989999999999995</v>
      </c>
      <c r="K2128" t="s">
        <v>16</v>
      </c>
      <c r="L2128" t="s">
        <v>17</v>
      </c>
      <c r="M2128" t="s">
        <v>28</v>
      </c>
    </row>
    <row r="2129" spans="1:13" x14ac:dyDescent="0.2">
      <c r="A2129">
        <v>453393</v>
      </c>
      <c r="B2129" s="1">
        <v>44865</v>
      </c>
      <c r="C2129">
        <v>60307</v>
      </c>
      <c r="D2129" t="s">
        <v>29</v>
      </c>
      <c r="E2129" t="s">
        <v>170</v>
      </c>
      <c r="F2129" t="s">
        <v>171</v>
      </c>
      <c r="G2129">
        <v>3</v>
      </c>
      <c r="H2129">
        <v>14.99</v>
      </c>
      <c r="J2129">
        <v>44.97</v>
      </c>
      <c r="K2129" t="s">
        <v>53</v>
      </c>
      <c r="L2129" t="s">
        <v>37</v>
      </c>
      <c r="M2129" t="s">
        <v>47</v>
      </c>
    </row>
    <row r="2130" spans="1:13" x14ac:dyDescent="0.2">
      <c r="A2130">
        <v>453440</v>
      </c>
      <c r="B2130" s="1">
        <v>45268</v>
      </c>
      <c r="C2130">
        <v>95406</v>
      </c>
      <c r="D2130" t="s">
        <v>82</v>
      </c>
      <c r="E2130" t="s">
        <v>83</v>
      </c>
      <c r="F2130" t="s">
        <v>84</v>
      </c>
      <c r="G2130">
        <v>1</v>
      </c>
      <c r="H2130">
        <v>16.989999999999998</v>
      </c>
      <c r="J2130">
        <v>16.989999999999998</v>
      </c>
      <c r="K2130" t="s">
        <v>36</v>
      </c>
      <c r="L2130" t="s">
        <v>37</v>
      </c>
      <c r="M2130" t="s">
        <v>57</v>
      </c>
    </row>
    <row r="2131" spans="1:13" x14ac:dyDescent="0.2">
      <c r="A2131">
        <v>453509</v>
      </c>
      <c r="B2131" s="1">
        <v>44958</v>
      </c>
      <c r="C2131">
        <v>19534</v>
      </c>
      <c r="D2131" t="s">
        <v>97</v>
      </c>
      <c r="E2131" t="s">
        <v>121</v>
      </c>
      <c r="F2131" t="s">
        <v>122</v>
      </c>
      <c r="G2131">
        <v>2</v>
      </c>
      <c r="H2131">
        <v>12.99</v>
      </c>
      <c r="J2131">
        <v>25.98</v>
      </c>
      <c r="K2131" t="s">
        <v>16</v>
      </c>
      <c r="L2131" t="s">
        <v>17</v>
      </c>
      <c r="M2131" t="s">
        <v>62</v>
      </c>
    </row>
    <row r="2132" spans="1:13" x14ac:dyDescent="0.2">
      <c r="A2132">
        <v>453719</v>
      </c>
      <c r="B2132" s="1">
        <v>44973</v>
      </c>
      <c r="C2132">
        <v>29006</v>
      </c>
      <c r="D2132" t="s">
        <v>82</v>
      </c>
      <c r="E2132" t="s">
        <v>188</v>
      </c>
      <c r="F2132" t="s">
        <v>189</v>
      </c>
      <c r="G2132">
        <v>2</v>
      </c>
      <c r="H2132">
        <v>44.99</v>
      </c>
      <c r="J2132">
        <v>89.98</v>
      </c>
      <c r="K2132" t="s">
        <v>16</v>
      </c>
      <c r="L2132" t="s">
        <v>37</v>
      </c>
      <c r="M2132" t="s">
        <v>54</v>
      </c>
    </row>
    <row r="2133" spans="1:13" x14ac:dyDescent="0.2">
      <c r="A2133">
        <v>453911</v>
      </c>
      <c r="B2133" s="1">
        <v>44826</v>
      </c>
      <c r="C2133">
        <v>22415</v>
      </c>
      <c r="D2133" t="s">
        <v>82</v>
      </c>
      <c r="E2133" t="s">
        <v>83</v>
      </c>
      <c r="F2133" t="s">
        <v>84</v>
      </c>
      <c r="G2133">
        <v>2</v>
      </c>
      <c r="H2133">
        <v>16.989999999999998</v>
      </c>
      <c r="J2133">
        <v>33.979999999999997</v>
      </c>
      <c r="K2133" t="s">
        <v>53</v>
      </c>
      <c r="L2133" t="s">
        <v>17</v>
      </c>
      <c r="M2133" t="s">
        <v>81</v>
      </c>
    </row>
    <row r="2134" spans="1:13" x14ac:dyDescent="0.2">
      <c r="A2134">
        <v>454026</v>
      </c>
      <c r="B2134" s="2">
        <v>45325</v>
      </c>
      <c r="C2134">
        <v>49888</v>
      </c>
      <c r="D2134" t="s">
        <v>63</v>
      </c>
      <c r="E2134" t="s">
        <v>111</v>
      </c>
      <c r="F2134" t="s">
        <v>112</v>
      </c>
      <c r="G2134">
        <v>4</v>
      </c>
      <c r="H2134">
        <v>14.99</v>
      </c>
      <c r="J2134">
        <v>59.96</v>
      </c>
      <c r="K2134" t="s">
        <v>16</v>
      </c>
      <c r="L2134" t="s">
        <v>37</v>
      </c>
      <c r="M2134" t="s">
        <v>120</v>
      </c>
    </row>
    <row r="2135" spans="1:13" x14ac:dyDescent="0.2">
      <c r="A2135">
        <v>454462</v>
      </c>
      <c r="B2135" s="1">
        <v>44715</v>
      </c>
      <c r="C2135">
        <v>12682</v>
      </c>
      <c r="D2135" t="s">
        <v>40</v>
      </c>
      <c r="E2135" t="s">
        <v>41</v>
      </c>
      <c r="F2135" t="s">
        <v>42</v>
      </c>
      <c r="G2135">
        <v>2</v>
      </c>
      <c r="H2135">
        <v>5.99</v>
      </c>
      <c r="J2135">
        <v>11.98</v>
      </c>
      <c r="K2135" t="s">
        <v>22</v>
      </c>
      <c r="L2135" t="s">
        <v>17</v>
      </c>
      <c r="M2135" t="s">
        <v>96</v>
      </c>
    </row>
    <row r="2136" spans="1:13" x14ac:dyDescent="0.2">
      <c r="A2136">
        <v>454806</v>
      </c>
      <c r="B2136" s="1">
        <v>44968</v>
      </c>
      <c r="C2136">
        <v>36021</v>
      </c>
      <c r="D2136" t="s">
        <v>25</v>
      </c>
      <c r="E2136" t="s">
        <v>60</v>
      </c>
      <c r="F2136" t="s">
        <v>61</v>
      </c>
      <c r="G2136">
        <v>3</v>
      </c>
      <c r="H2136">
        <v>49.49</v>
      </c>
      <c r="I2136">
        <v>0.1</v>
      </c>
      <c r="J2136">
        <v>133.62</v>
      </c>
      <c r="K2136" t="s">
        <v>22</v>
      </c>
      <c r="L2136" t="s">
        <v>37</v>
      </c>
      <c r="M2136" t="s">
        <v>123</v>
      </c>
    </row>
    <row r="2137" spans="1:13" x14ac:dyDescent="0.2">
      <c r="A2137">
        <v>454808</v>
      </c>
      <c r="B2137" s="2">
        <v>45075</v>
      </c>
      <c r="C2137">
        <v>17096</v>
      </c>
      <c r="D2137" t="s">
        <v>199</v>
      </c>
      <c r="E2137" t="s">
        <v>79</v>
      </c>
      <c r="F2137" t="s">
        <v>80</v>
      </c>
      <c r="G2137">
        <v>1</v>
      </c>
      <c r="H2137">
        <v>67.489999999999995</v>
      </c>
      <c r="I2137">
        <v>0.25</v>
      </c>
      <c r="J2137">
        <v>50.62</v>
      </c>
      <c r="K2137" t="s">
        <v>16</v>
      </c>
      <c r="L2137" t="s">
        <v>17</v>
      </c>
    </row>
    <row r="2138" spans="1:13" x14ac:dyDescent="0.2">
      <c r="A2138">
        <v>454984</v>
      </c>
      <c r="B2138" s="2">
        <v>45314</v>
      </c>
      <c r="C2138">
        <v>20053</v>
      </c>
      <c r="D2138" t="s">
        <v>48</v>
      </c>
      <c r="E2138" t="s">
        <v>49</v>
      </c>
      <c r="F2138" t="s">
        <v>50</v>
      </c>
      <c r="G2138">
        <v>3</v>
      </c>
      <c r="H2138">
        <v>8.09</v>
      </c>
      <c r="I2138">
        <v>0.1</v>
      </c>
      <c r="J2138">
        <v>21.84</v>
      </c>
      <c r="K2138" t="s">
        <v>32</v>
      </c>
      <c r="L2138" t="s">
        <v>37</v>
      </c>
      <c r="M2138" t="s">
        <v>28</v>
      </c>
    </row>
    <row r="2139" spans="1:13" x14ac:dyDescent="0.2">
      <c r="A2139">
        <v>455035</v>
      </c>
      <c r="B2139" s="1">
        <v>44831</v>
      </c>
      <c r="C2139">
        <v>71781</v>
      </c>
      <c r="D2139" t="s">
        <v>48</v>
      </c>
      <c r="E2139" t="s">
        <v>139</v>
      </c>
      <c r="F2139" t="s">
        <v>140</v>
      </c>
      <c r="G2139">
        <v>2</v>
      </c>
      <c r="H2139">
        <v>5.99</v>
      </c>
      <c r="J2139">
        <v>11.98</v>
      </c>
      <c r="K2139" t="s">
        <v>95</v>
      </c>
      <c r="L2139" t="s">
        <v>37</v>
      </c>
      <c r="M2139" t="s">
        <v>67</v>
      </c>
    </row>
    <row r="2140" spans="1:13" x14ac:dyDescent="0.2">
      <c r="A2140">
        <v>455162</v>
      </c>
      <c r="B2140" s="2">
        <v>45480</v>
      </c>
      <c r="C2140">
        <v>53331</v>
      </c>
      <c r="D2140" t="s">
        <v>48</v>
      </c>
      <c r="E2140" t="s">
        <v>179</v>
      </c>
      <c r="F2140" t="s">
        <v>180</v>
      </c>
      <c r="G2140">
        <v>4</v>
      </c>
      <c r="H2140">
        <v>11.99</v>
      </c>
      <c r="J2140">
        <v>47.96</v>
      </c>
      <c r="K2140" t="s">
        <v>95</v>
      </c>
      <c r="L2140" t="s">
        <v>37</v>
      </c>
      <c r="M2140" t="s">
        <v>33</v>
      </c>
    </row>
    <row r="2141" spans="1:13" x14ac:dyDescent="0.2">
      <c r="A2141">
        <v>455193</v>
      </c>
      <c r="B2141" s="1">
        <v>45521</v>
      </c>
      <c r="C2141">
        <v>57260</v>
      </c>
      <c r="D2141" t="s">
        <v>44</v>
      </c>
      <c r="E2141" t="s">
        <v>190</v>
      </c>
      <c r="F2141" t="s">
        <v>191</v>
      </c>
      <c r="G2141">
        <v>2</v>
      </c>
      <c r="H2141">
        <v>3.22</v>
      </c>
      <c r="I2141">
        <v>0.25</v>
      </c>
      <c r="J2141">
        <v>4.83</v>
      </c>
      <c r="K2141" t="s">
        <v>95</v>
      </c>
      <c r="L2141" t="s">
        <v>17</v>
      </c>
      <c r="M2141" t="s">
        <v>28</v>
      </c>
    </row>
    <row r="2142" spans="1:13" x14ac:dyDescent="0.2">
      <c r="A2142">
        <v>455479</v>
      </c>
      <c r="B2142" s="1">
        <v>45612</v>
      </c>
      <c r="C2142">
        <v>74766</v>
      </c>
      <c r="D2142" t="s">
        <v>44</v>
      </c>
      <c r="E2142" t="s">
        <v>45</v>
      </c>
      <c r="F2142" t="s">
        <v>46</v>
      </c>
      <c r="G2142">
        <v>3</v>
      </c>
      <c r="H2142">
        <v>1.34</v>
      </c>
      <c r="I2142">
        <v>0.25</v>
      </c>
      <c r="J2142">
        <v>3.02</v>
      </c>
      <c r="K2142" t="s">
        <v>36</v>
      </c>
      <c r="L2142" t="s">
        <v>17</v>
      </c>
      <c r="M2142" t="s">
        <v>81</v>
      </c>
    </row>
    <row r="2143" spans="1:13" x14ac:dyDescent="0.2">
      <c r="A2143">
        <v>455589</v>
      </c>
      <c r="B2143" s="1">
        <v>44926</v>
      </c>
      <c r="D2143" t="s">
        <v>48</v>
      </c>
      <c r="E2143" t="s">
        <v>143</v>
      </c>
      <c r="F2143" t="s">
        <v>144</v>
      </c>
      <c r="G2143">
        <v>2</v>
      </c>
      <c r="H2143">
        <v>10.49</v>
      </c>
      <c r="I2143">
        <v>0.3</v>
      </c>
      <c r="J2143">
        <v>14.69</v>
      </c>
      <c r="K2143" t="s">
        <v>16</v>
      </c>
      <c r="L2143" t="s">
        <v>23</v>
      </c>
      <c r="M2143" t="s">
        <v>24</v>
      </c>
    </row>
    <row r="2144" spans="1:13" x14ac:dyDescent="0.2">
      <c r="A2144">
        <v>456209</v>
      </c>
      <c r="B2144" s="2">
        <v>45618</v>
      </c>
      <c r="C2144">
        <v>22200</v>
      </c>
      <c r="D2144" t="s">
        <v>29</v>
      </c>
      <c r="E2144" t="s">
        <v>38</v>
      </c>
      <c r="F2144" t="s">
        <v>39</v>
      </c>
      <c r="G2144">
        <v>3</v>
      </c>
      <c r="H2144">
        <v>23.99</v>
      </c>
      <c r="I2144">
        <v>0.2</v>
      </c>
      <c r="J2144">
        <v>57.58</v>
      </c>
      <c r="K2144" t="s">
        <v>36</v>
      </c>
      <c r="L2144" t="s">
        <v>37</v>
      </c>
      <c r="M2144" t="s">
        <v>47</v>
      </c>
    </row>
    <row r="2145" spans="1:13" x14ac:dyDescent="0.2">
      <c r="A2145">
        <v>456263</v>
      </c>
      <c r="B2145" s="1">
        <v>45639</v>
      </c>
      <c r="C2145">
        <v>81879</v>
      </c>
      <c r="D2145" t="s">
        <v>82</v>
      </c>
      <c r="E2145" t="s">
        <v>83</v>
      </c>
      <c r="F2145" t="s">
        <v>84</v>
      </c>
      <c r="G2145">
        <v>3</v>
      </c>
      <c r="H2145">
        <v>16.989999999999998</v>
      </c>
      <c r="J2145">
        <v>50.97</v>
      </c>
      <c r="K2145" t="s">
        <v>36</v>
      </c>
      <c r="L2145" t="s">
        <v>17</v>
      </c>
      <c r="M2145" t="s">
        <v>96</v>
      </c>
    </row>
    <row r="2146" spans="1:13" x14ac:dyDescent="0.2">
      <c r="A2146">
        <v>456489</v>
      </c>
      <c r="B2146" s="1">
        <v>44960</v>
      </c>
      <c r="C2146">
        <v>90758</v>
      </c>
      <c r="D2146" t="s">
        <v>48</v>
      </c>
      <c r="E2146" t="s">
        <v>109</v>
      </c>
      <c r="F2146" t="s">
        <v>110</v>
      </c>
      <c r="G2146">
        <v>1</v>
      </c>
      <c r="H2146">
        <v>5.59</v>
      </c>
      <c r="I2146">
        <v>0.2</v>
      </c>
      <c r="J2146">
        <v>4.47</v>
      </c>
      <c r="K2146" t="s">
        <v>16</v>
      </c>
      <c r="L2146" t="s">
        <v>17</v>
      </c>
      <c r="M2146" t="s">
        <v>161</v>
      </c>
    </row>
    <row r="2147" spans="1:13" x14ac:dyDescent="0.2">
      <c r="A2147">
        <v>456705</v>
      </c>
      <c r="B2147" s="1">
        <v>44657</v>
      </c>
      <c r="C2147">
        <v>54856</v>
      </c>
      <c r="D2147" t="s">
        <v>82</v>
      </c>
      <c r="E2147" t="s">
        <v>83</v>
      </c>
      <c r="F2147" t="s">
        <v>84</v>
      </c>
      <c r="G2147">
        <v>1</v>
      </c>
      <c r="H2147">
        <v>16.989999999999998</v>
      </c>
      <c r="J2147">
        <v>16.989999999999998</v>
      </c>
      <c r="K2147" t="s">
        <v>16</v>
      </c>
      <c r="L2147" t="s">
        <v>17</v>
      </c>
      <c r="M2147" t="s">
        <v>120</v>
      </c>
    </row>
    <row r="2148" spans="1:13" x14ac:dyDescent="0.2">
      <c r="A2148">
        <v>456792</v>
      </c>
      <c r="B2148" s="1">
        <v>45008</v>
      </c>
      <c r="C2148">
        <v>67668</v>
      </c>
      <c r="D2148" t="s">
        <v>97</v>
      </c>
      <c r="E2148" t="s">
        <v>141</v>
      </c>
      <c r="F2148" t="s">
        <v>142</v>
      </c>
      <c r="G2148">
        <v>1</v>
      </c>
      <c r="H2148">
        <v>22.99</v>
      </c>
      <c r="J2148">
        <v>22.99</v>
      </c>
      <c r="K2148" t="s">
        <v>22</v>
      </c>
      <c r="L2148" t="s">
        <v>37</v>
      </c>
      <c r="M2148" t="s">
        <v>54</v>
      </c>
    </row>
    <row r="2149" spans="1:13" x14ac:dyDescent="0.2">
      <c r="A2149">
        <v>456982</v>
      </c>
      <c r="B2149" s="1">
        <v>44592</v>
      </c>
      <c r="C2149">
        <v>31562</v>
      </c>
      <c r="D2149" t="s">
        <v>48</v>
      </c>
      <c r="E2149" t="s">
        <v>179</v>
      </c>
      <c r="F2149" t="s">
        <v>180</v>
      </c>
      <c r="G2149">
        <v>3</v>
      </c>
      <c r="H2149">
        <v>11.99</v>
      </c>
      <c r="J2149">
        <v>35.97</v>
      </c>
      <c r="K2149" t="s">
        <v>36</v>
      </c>
      <c r="L2149" t="s">
        <v>17</v>
      </c>
      <c r="M2149" t="s">
        <v>57</v>
      </c>
    </row>
    <row r="2150" spans="1:13" x14ac:dyDescent="0.2">
      <c r="A2150">
        <v>457144</v>
      </c>
      <c r="B2150" s="2">
        <v>45300</v>
      </c>
      <c r="C2150">
        <v>64775</v>
      </c>
      <c r="D2150" t="s">
        <v>13</v>
      </c>
      <c r="E2150" t="s">
        <v>55</v>
      </c>
      <c r="F2150" t="s">
        <v>56</v>
      </c>
      <c r="G2150">
        <v>1</v>
      </c>
      <c r="H2150">
        <v>247.49</v>
      </c>
      <c r="I2150">
        <v>0.25</v>
      </c>
      <c r="J2150">
        <v>185.62</v>
      </c>
      <c r="K2150" t="s">
        <v>36</v>
      </c>
      <c r="L2150" t="s">
        <v>17</v>
      </c>
      <c r="M2150" t="s">
        <v>103</v>
      </c>
    </row>
    <row r="2151" spans="1:13" x14ac:dyDescent="0.2">
      <c r="A2151">
        <v>457356</v>
      </c>
      <c r="B2151" s="1">
        <v>44782</v>
      </c>
      <c r="C2151">
        <v>41030</v>
      </c>
      <c r="D2151" t="s">
        <v>82</v>
      </c>
      <c r="E2151" t="s">
        <v>83</v>
      </c>
      <c r="F2151" t="s">
        <v>84</v>
      </c>
      <c r="G2151">
        <v>1</v>
      </c>
      <c r="H2151">
        <v>12.74</v>
      </c>
      <c r="I2151">
        <v>0.25</v>
      </c>
      <c r="J2151">
        <v>9.56</v>
      </c>
      <c r="K2151" t="s">
        <v>36</v>
      </c>
      <c r="L2151" t="s">
        <v>37</v>
      </c>
      <c r="M2151" t="s">
        <v>33</v>
      </c>
    </row>
    <row r="2152" spans="1:13" x14ac:dyDescent="0.2">
      <c r="A2152">
        <v>457505</v>
      </c>
      <c r="B2152" s="1">
        <v>44665</v>
      </c>
      <c r="C2152">
        <v>72498</v>
      </c>
      <c r="D2152" t="s">
        <v>29</v>
      </c>
      <c r="E2152" t="s">
        <v>38</v>
      </c>
      <c r="F2152" t="s">
        <v>39</v>
      </c>
      <c r="G2152">
        <v>1</v>
      </c>
      <c r="H2152">
        <v>22.49</v>
      </c>
      <c r="I2152">
        <v>0.25</v>
      </c>
      <c r="J2152">
        <v>16.87</v>
      </c>
      <c r="K2152" t="s">
        <v>16</v>
      </c>
      <c r="L2152" t="s">
        <v>17</v>
      </c>
      <c r="M2152" t="s">
        <v>96</v>
      </c>
    </row>
    <row r="2153" spans="1:13" x14ac:dyDescent="0.2">
      <c r="A2153">
        <v>457875</v>
      </c>
      <c r="B2153" s="2">
        <v>45232</v>
      </c>
      <c r="C2153">
        <v>50152</v>
      </c>
      <c r="D2153" t="s">
        <v>13</v>
      </c>
      <c r="E2153" t="s">
        <v>127</v>
      </c>
      <c r="F2153" t="s">
        <v>128</v>
      </c>
      <c r="G2153">
        <v>2</v>
      </c>
      <c r="H2153">
        <v>13.99</v>
      </c>
      <c r="I2153">
        <v>0.3</v>
      </c>
      <c r="J2153">
        <v>19.59</v>
      </c>
      <c r="K2153" t="s">
        <v>16</v>
      </c>
      <c r="L2153" t="s">
        <v>17</v>
      </c>
      <c r="M2153" t="s">
        <v>102</v>
      </c>
    </row>
    <row r="2154" spans="1:13" x14ac:dyDescent="0.2">
      <c r="A2154">
        <v>457948</v>
      </c>
      <c r="B2154" s="1">
        <v>45324</v>
      </c>
      <c r="D2154" t="s">
        <v>97</v>
      </c>
      <c r="E2154" t="s">
        <v>141</v>
      </c>
      <c r="F2154" t="s">
        <v>142</v>
      </c>
      <c r="G2154">
        <v>2</v>
      </c>
      <c r="H2154">
        <v>17.239999999999998</v>
      </c>
      <c r="I2154">
        <v>0.25</v>
      </c>
      <c r="J2154">
        <v>25.86</v>
      </c>
      <c r="K2154" t="s">
        <v>53</v>
      </c>
      <c r="L2154" t="s">
        <v>17</v>
      </c>
      <c r="M2154" t="s">
        <v>67</v>
      </c>
    </row>
    <row r="2155" spans="1:13" x14ac:dyDescent="0.2">
      <c r="A2155">
        <v>457953</v>
      </c>
      <c r="B2155" s="2">
        <v>44738</v>
      </c>
      <c r="C2155">
        <v>98742</v>
      </c>
      <c r="D2155" t="s">
        <v>63</v>
      </c>
      <c r="E2155" t="s">
        <v>131</v>
      </c>
      <c r="F2155" t="s">
        <v>132</v>
      </c>
      <c r="G2155">
        <v>1</v>
      </c>
      <c r="H2155">
        <v>3.49</v>
      </c>
      <c r="J2155">
        <v>3.49</v>
      </c>
      <c r="K2155" t="s">
        <v>16</v>
      </c>
      <c r="L2155" t="s">
        <v>37</v>
      </c>
      <c r="M2155" t="s">
        <v>28</v>
      </c>
    </row>
    <row r="2156" spans="1:13" x14ac:dyDescent="0.2">
      <c r="A2156">
        <v>458100</v>
      </c>
      <c r="B2156" s="2">
        <v>45466</v>
      </c>
      <c r="C2156">
        <v>81095</v>
      </c>
      <c r="D2156" t="s">
        <v>44</v>
      </c>
      <c r="E2156" t="s">
        <v>162</v>
      </c>
      <c r="F2156" t="s">
        <v>163</v>
      </c>
      <c r="G2156">
        <v>2</v>
      </c>
      <c r="H2156">
        <v>6.39</v>
      </c>
      <c r="I2156">
        <v>0.2</v>
      </c>
      <c r="J2156">
        <v>10.220000000000001</v>
      </c>
      <c r="K2156" t="s">
        <v>16</v>
      </c>
      <c r="L2156" t="s">
        <v>17</v>
      </c>
      <c r="M2156" t="s">
        <v>76</v>
      </c>
    </row>
    <row r="2157" spans="1:13" x14ac:dyDescent="0.2">
      <c r="A2157">
        <v>458328</v>
      </c>
      <c r="B2157" s="1">
        <v>45535</v>
      </c>
      <c r="C2157">
        <v>52102</v>
      </c>
      <c r="D2157" t="s">
        <v>97</v>
      </c>
      <c r="E2157" t="s">
        <v>193</v>
      </c>
      <c r="F2157" t="s">
        <v>194</v>
      </c>
      <c r="G2157">
        <v>5</v>
      </c>
      <c r="H2157">
        <v>51.99</v>
      </c>
      <c r="I2157">
        <v>0.2</v>
      </c>
      <c r="J2157">
        <v>207.96</v>
      </c>
      <c r="K2157" t="s">
        <v>95</v>
      </c>
      <c r="L2157" t="s">
        <v>17</v>
      </c>
    </row>
    <row r="2158" spans="1:13" x14ac:dyDescent="0.2">
      <c r="A2158">
        <v>458792</v>
      </c>
      <c r="B2158" s="1">
        <v>45379</v>
      </c>
      <c r="C2158">
        <v>37691</v>
      </c>
      <c r="D2158" t="s">
        <v>13</v>
      </c>
      <c r="E2158" t="s">
        <v>14</v>
      </c>
      <c r="F2158" t="s">
        <v>15</v>
      </c>
      <c r="G2158">
        <v>5</v>
      </c>
      <c r="H2158">
        <v>75.989999999999995</v>
      </c>
      <c r="I2158">
        <v>0.05</v>
      </c>
      <c r="J2158">
        <v>360.95</v>
      </c>
      <c r="K2158" t="s">
        <v>36</v>
      </c>
      <c r="L2158" t="s">
        <v>23</v>
      </c>
      <c r="M2158" t="s">
        <v>28</v>
      </c>
    </row>
    <row r="2159" spans="1:13" x14ac:dyDescent="0.2">
      <c r="A2159">
        <v>458995</v>
      </c>
      <c r="B2159" s="1">
        <v>44701</v>
      </c>
      <c r="D2159" t="s">
        <v>97</v>
      </c>
      <c r="E2159" t="s">
        <v>135</v>
      </c>
      <c r="F2159" t="s">
        <v>136</v>
      </c>
      <c r="G2159">
        <v>1</v>
      </c>
      <c r="H2159">
        <v>7.99</v>
      </c>
      <c r="I2159">
        <v>0.2</v>
      </c>
      <c r="J2159">
        <v>6.39</v>
      </c>
      <c r="K2159" t="s">
        <v>16</v>
      </c>
      <c r="L2159" t="s">
        <v>37</v>
      </c>
      <c r="M2159" t="s">
        <v>90</v>
      </c>
    </row>
    <row r="2160" spans="1:13" x14ac:dyDescent="0.2">
      <c r="A2160">
        <v>459113</v>
      </c>
      <c r="B2160" s="1">
        <v>45295</v>
      </c>
      <c r="C2160">
        <v>27141</v>
      </c>
      <c r="D2160" t="s">
        <v>85</v>
      </c>
      <c r="E2160" t="s">
        <v>149</v>
      </c>
      <c r="F2160" t="s">
        <v>150</v>
      </c>
      <c r="G2160">
        <v>5</v>
      </c>
      <c r="H2160">
        <v>13.99</v>
      </c>
      <c r="I2160">
        <v>0.3</v>
      </c>
      <c r="J2160">
        <v>48.96</v>
      </c>
      <c r="K2160" t="s">
        <v>22</v>
      </c>
      <c r="L2160" t="s">
        <v>37</v>
      </c>
    </row>
    <row r="2161" spans="1:13" x14ac:dyDescent="0.2">
      <c r="A2161">
        <v>459434</v>
      </c>
      <c r="B2161" s="1">
        <v>45468</v>
      </c>
      <c r="C2161">
        <v>35167</v>
      </c>
      <c r="D2161" t="s">
        <v>63</v>
      </c>
      <c r="E2161" t="s">
        <v>131</v>
      </c>
      <c r="F2161" t="s">
        <v>132</v>
      </c>
      <c r="G2161">
        <v>4</v>
      </c>
      <c r="H2161">
        <v>2.97</v>
      </c>
      <c r="I2161">
        <v>0.15</v>
      </c>
      <c r="J2161">
        <v>10.1</v>
      </c>
      <c r="K2161" t="s">
        <v>95</v>
      </c>
      <c r="L2161" t="s">
        <v>17</v>
      </c>
      <c r="M2161" t="s">
        <v>28</v>
      </c>
    </row>
    <row r="2162" spans="1:13" x14ac:dyDescent="0.2">
      <c r="A2162">
        <v>459462</v>
      </c>
      <c r="B2162" s="1">
        <v>44927</v>
      </c>
      <c r="D2162" t="s">
        <v>44</v>
      </c>
      <c r="E2162" t="s">
        <v>172</v>
      </c>
      <c r="F2162" t="s">
        <v>173</v>
      </c>
      <c r="G2162">
        <v>1</v>
      </c>
      <c r="H2162">
        <v>4.49</v>
      </c>
      <c r="J2162">
        <v>4.49</v>
      </c>
      <c r="K2162" t="s">
        <v>36</v>
      </c>
      <c r="L2162" t="s">
        <v>17</v>
      </c>
      <c r="M2162" t="s">
        <v>120</v>
      </c>
    </row>
    <row r="2163" spans="1:13" x14ac:dyDescent="0.2">
      <c r="A2163">
        <v>459653</v>
      </c>
      <c r="B2163" s="1">
        <v>45057</v>
      </c>
      <c r="C2163">
        <v>23027</v>
      </c>
      <c r="D2163" t="s">
        <v>13</v>
      </c>
      <c r="E2163" t="s">
        <v>127</v>
      </c>
      <c r="F2163" t="s">
        <v>128</v>
      </c>
      <c r="G2163">
        <v>1</v>
      </c>
      <c r="H2163">
        <v>19.989999999999998</v>
      </c>
      <c r="J2163">
        <v>19.989999999999998</v>
      </c>
      <c r="K2163" t="s">
        <v>36</v>
      </c>
      <c r="L2163" t="s">
        <v>37</v>
      </c>
      <c r="M2163" t="s">
        <v>43</v>
      </c>
    </row>
    <row r="2164" spans="1:13" x14ac:dyDescent="0.2">
      <c r="A2164">
        <v>459724</v>
      </c>
      <c r="B2164" s="1">
        <v>45306</v>
      </c>
      <c r="C2164">
        <v>25368</v>
      </c>
      <c r="D2164" t="s">
        <v>29</v>
      </c>
      <c r="E2164" t="s">
        <v>175</v>
      </c>
      <c r="F2164" t="s">
        <v>176</v>
      </c>
      <c r="G2164">
        <v>1</v>
      </c>
      <c r="H2164">
        <v>8.39</v>
      </c>
      <c r="J2164">
        <v>8.39</v>
      </c>
      <c r="K2164" t="s">
        <v>22</v>
      </c>
      <c r="L2164" t="s">
        <v>37</v>
      </c>
      <c r="M2164" t="s">
        <v>33</v>
      </c>
    </row>
    <row r="2165" spans="1:13" x14ac:dyDescent="0.2">
      <c r="A2165">
        <v>459806</v>
      </c>
      <c r="B2165" s="2">
        <v>45077</v>
      </c>
      <c r="C2165">
        <v>47951</v>
      </c>
      <c r="D2165" t="s">
        <v>13</v>
      </c>
      <c r="E2165" t="s">
        <v>79</v>
      </c>
      <c r="F2165" t="s">
        <v>80</v>
      </c>
      <c r="G2165">
        <v>2</v>
      </c>
      <c r="H2165">
        <v>62.99</v>
      </c>
      <c r="I2165">
        <v>0.3</v>
      </c>
      <c r="J2165">
        <v>88.19</v>
      </c>
      <c r="K2165" t="s">
        <v>16</v>
      </c>
      <c r="L2165" t="s">
        <v>17</v>
      </c>
      <c r="M2165" t="s">
        <v>117</v>
      </c>
    </row>
    <row r="2166" spans="1:13" x14ac:dyDescent="0.2">
      <c r="A2166">
        <v>460175</v>
      </c>
      <c r="B2166" s="1">
        <v>45211</v>
      </c>
      <c r="C2166">
        <v>26550</v>
      </c>
      <c r="D2166" t="s">
        <v>44</v>
      </c>
      <c r="E2166" t="s">
        <v>195</v>
      </c>
      <c r="F2166" t="s">
        <v>196</v>
      </c>
      <c r="G2166">
        <v>2</v>
      </c>
      <c r="H2166">
        <v>4.49</v>
      </c>
      <c r="I2166">
        <v>0.1</v>
      </c>
      <c r="J2166">
        <v>8.08</v>
      </c>
      <c r="K2166" t="s">
        <v>16</v>
      </c>
      <c r="L2166" t="s">
        <v>17</v>
      </c>
      <c r="M2166" t="s">
        <v>96</v>
      </c>
    </row>
    <row r="2167" spans="1:13" x14ac:dyDescent="0.2">
      <c r="A2167">
        <v>460232</v>
      </c>
      <c r="B2167" s="2">
        <v>44622</v>
      </c>
      <c r="C2167">
        <v>13210</v>
      </c>
      <c r="D2167" t="s">
        <v>82</v>
      </c>
      <c r="E2167" t="s">
        <v>168</v>
      </c>
      <c r="F2167" t="s">
        <v>169</v>
      </c>
      <c r="G2167">
        <v>1</v>
      </c>
      <c r="H2167">
        <v>6.74</v>
      </c>
      <c r="I2167">
        <v>0.25</v>
      </c>
      <c r="J2167">
        <v>5.0599999999999996</v>
      </c>
      <c r="K2167" t="s">
        <v>22</v>
      </c>
      <c r="L2167" t="s">
        <v>17</v>
      </c>
      <c r="M2167" t="s">
        <v>120</v>
      </c>
    </row>
    <row r="2168" spans="1:13" x14ac:dyDescent="0.2">
      <c r="A2168">
        <v>460323</v>
      </c>
      <c r="B2168" s="1">
        <v>45292</v>
      </c>
      <c r="C2168">
        <v>87114</v>
      </c>
      <c r="D2168" t="s">
        <v>13</v>
      </c>
      <c r="E2168" t="s">
        <v>186</v>
      </c>
      <c r="F2168" t="s">
        <v>187</v>
      </c>
      <c r="G2168">
        <v>5</v>
      </c>
      <c r="H2168">
        <v>49.99</v>
      </c>
      <c r="J2168">
        <v>249.95</v>
      </c>
      <c r="K2168" t="s">
        <v>16</v>
      </c>
      <c r="L2168" t="s">
        <v>17</v>
      </c>
      <c r="M2168" t="s">
        <v>81</v>
      </c>
    </row>
    <row r="2169" spans="1:13" x14ac:dyDescent="0.2">
      <c r="A2169">
        <v>460663</v>
      </c>
      <c r="B2169" s="1">
        <v>45340</v>
      </c>
      <c r="C2169">
        <v>80284</v>
      </c>
      <c r="D2169" t="s">
        <v>82</v>
      </c>
      <c r="E2169" t="s">
        <v>100</v>
      </c>
      <c r="F2169" t="s">
        <v>101</v>
      </c>
      <c r="G2169">
        <v>1</v>
      </c>
      <c r="H2169">
        <v>22.99</v>
      </c>
      <c r="J2169">
        <v>22.99</v>
      </c>
      <c r="K2169" t="s">
        <v>22</v>
      </c>
      <c r="L2169" t="s">
        <v>37</v>
      </c>
      <c r="M2169" t="s">
        <v>18</v>
      </c>
    </row>
    <row r="2170" spans="1:13" x14ac:dyDescent="0.2">
      <c r="A2170">
        <v>460959</v>
      </c>
      <c r="B2170" s="1">
        <v>44876</v>
      </c>
      <c r="C2170">
        <v>74028</v>
      </c>
      <c r="D2170" t="s">
        <v>13</v>
      </c>
      <c r="E2170" t="s">
        <v>79</v>
      </c>
      <c r="F2170" t="s">
        <v>80</v>
      </c>
      <c r="G2170">
        <v>1</v>
      </c>
      <c r="H2170">
        <v>71.989999999999995</v>
      </c>
      <c r="I2170">
        <v>0.2</v>
      </c>
      <c r="J2170">
        <v>57.59</v>
      </c>
      <c r="K2170" t="s">
        <v>16</v>
      </c>
      <c r="L2170" t="s">
        <v>17</v>
      </c>
      <c r="M2170" t="s">
        <v>18</v>
      </c>
    </row>
    <row r="2171" spans="1:13" x14ac:dyDescent="0.2">
      <c r="A2171">
        <v>460987</v>
      </c>
      <c r="B2171" s="2">
        <v>45546</v>
      </c>
      <c r="C2171">
        <v>59173</v>
      </c>
      <c r="D2171" t="s">
        <v>85</v>
      </c>
      <c r="E2171" t="s">
        <v>145</v>
      </c>
      <c r="F2171" t="s">
        <v>146</v>
      </c>
      <c r="G2171">
        <v>3</v>
      </c>
      <c r="H2171">
        <v>13.59</v>
      </c>
      <c r="I2171">
        <v>0.2</v>
      </c>
      <c r="J2171">
        <v>32.619999999999997</v>
      </c>
      <c r="K2171" t="s">
        <v>16</v>
      </c>
      <c r="L2171" t="s">
        <v>17</v>
      </c>
      <c r="M2171" t="s">
        <v>24</v>
      </c>
    </row>
    <row r="2172" spans="1:13" x14ac:dyDescent="0.2">
      <c r="A2172">
        <v>460996</v>
      </c>
      <c r="B2172" s="1">
        <v>45186</v>
      </c>
      <c r="C2172">
        <v>24350</v>
      </c>
      <c r="D2172" t="s">
        <v>13</v>
      </c>
      <c r="E2172" t="s">
        <v>34</v>
      </c>
      <c r="F2172" t="s">
        <v>35</v>
      </c>
      <c r="G2172">
        <v>3</v>
      </c>
      <c r="H2172">
        <v>31.49</v>
      </c>
      <c r="I2172">
        <v>0.1</v>
      </c>
      <c r="J2172">
        <v>85.02</v>
      </c>
      <c r="K2172" t="s">
        <v>22</v>
      </c>
      <c r="L2172" t="s">
        <v>17</v>
      </c>
      <c r="M2172" t="s">
        <v>54</v>
      </c>
    </row>
    <row r="2173" spans="1:13" x14ac:dyDescent="0.2">
      <c r="A2173">
        <v>461018</v>
      </c>
      <c r="B2173" s="1">
        <v>45017</v>
      </c>
      <c r="C2173">
        <v>53318</v>
      </c>
      <c r="D2173" t="s">
        <v>97</v>
      </c>
      <c r="E2173" t="s">
        <v>165</v>
      </c>
      <c r="F2173" t="s">
        <v>166</v>
      </c>
      <c r="G2173">
        <v>3</v>
      </c>
      <c r="H2173">
        <v>62.99</v>
      </c>
      <c r="I2173">
        <v>0.3</v>
      </c>
      <c r="J2173">
        <v>132.28</v>
      </c>
      <c r="K2173" t="s">
        <v>36</v>
      </c>
      <c r="L2173" t="s">
        <v>17</v>
      </c>
      <c r="M2173" t="s">
        <v>102</v>
      </c>
    </row>
    <row r="2174" spans="1:13" x14ac:dyDescent="0.2">
      <c r="A2174">
        <v>461264</v>
      </c>
      <c r="B2174" s="2">
        <v>45008</v>
      </c>
      <c r="C2174">
        <v>19046</v>
      </c>
      <c r="D2174" t="s">
        <v>48</v>
      </c>
      <c r="E2174" t="s">
        <v>49</v>
      </c>
      <c r="F2174" t="s">
        <v>50</v>
      </c>
      <c r="G2174">
        <v>1</v>
      </c>
      <c r="H2174">
        <v>8.99</v>
      </c>
      <c r="J2174">
        <v>8.99</v>
      </c>
      <c r="K2174" t="s">
        <v>16</v>
      </c>
      <c r="L2174" t="s">
        <v>17</v>
      </c>
      <c r="M2174" t="s">
        <v>161</v>
      </c>
    </row>
    <row r="2175" spans="1:13" x14ac:dyDescent="0.2">
      <c r="A2175">
        <v>461325</v>
      </c>
      <c r="B2175" s="1">
        <v>45353</v>
      </c>
      <c r="C2175">
        <v>43501</v>
      </c>
      <c r="D2175" t="s">
        <v>174</v>
      </c>
      <c r="E2175" t="s">
        <v>149</v>
      </c>
      <c r="F2175" t="s">
        <v>150</v>
      </c>
      <c r="G2175">
        <v>5</v>
      </c>
      <c r="H2175">
        <v>18.989999999999998</v>
      </c>
      <c r="I2175">
        <v>0.05</v>
      </c>
      <c r="J2175">
        <v>90.2</v>
      </c>
      <c r="K2175" t="s">
        <v>16</v>
      </c>
      <c r="L2175" t="s">
        <v>17</v>
      </c>
      <c r="M2175" t="s">
        <v>103</v>
      </c>
    </row>
    <row r="2176" spans="1:13" x14ac:dyDescent="0.2">
      <c r="A2176">
        <v>461518</v>
      </c>
      <c r="B2176" s="1">
        <v>44623</v>
      </c>
      <c r="C2176">
        <v>81083</v>
      </c>
      <c r="D2176" t="s">
        <v>82</v>
      </c>
      <c r="E2176" t="s">
        <v>188</v>
      </c>
      <c r="F2176" t="s">
        <v>189</v>
      </c>
      <c r="G2176">
        <v>2</v>
      </c>
      <c r="H2176">
        <v>38.24</v>
      </c>
      <c r="I2176">
        <v>0.15</v>
      </c>
      <c r="J2176">
        <v>65.010000000000005</v>
      </c>
      <c r="K2176" t="s">
        <v>16</v>
      </c>
      <c r="L2176" t="s">
        <v>17</v>
      </c>
      <c r="M2176" t="s">
        <v>47</v>
      </c>
    </row>
    <row r="2177" spans="1:13" x14ac:dyDescent="0.2">
      <c r="A2177">
        <v>461702</v>
      </c>
      <c r="B2177" s="1">
        <v>44611</v>
      </c>
      <c r="C2177">
        <v>24673</v>
      </c>
      <c r="D2177" t="s">
        <v>29</v>
      </c>
      <c r="E2177" t="s">
        <v>72</v>
      </c>
      <c r="F2177" t="s">
        <v>73</v>
      </c>
      <c r="G2177">
        <v>1</v>
      </c>
      <c r="H2177">
        <v>39.99</v>
      </c>
      <c r="J2177">
        <v>39.99</v>
      </c>
      <c r="K2177" t="s">
        <v>36</v>
      </c>
      <c r="L2177" t="s">
        <v>17</v>
      </c>
      <c r="M2177" t="s">
        <v>103</v>
      </c>
    </row>
    <row r="2178" spans="1:13" x14ac:dyDescent="0.2">
      <c r="A2178">
        <v>461722</v>
      </c>
      <c r="B2178" s="1">
        <v>45519</v>
      </c>
      <c r="C2178">
        <v>97539</v>
      </c>
      <c r="D2178" t="s">
        <v>63</v>
      </c>
      <c r="E2178" t="s">
        <v>64</v>
      </c>
      <c r="F2178" t="s">
        <v>65</v>
      </c>
      <c r="G2178">
        <v>2</v>
      </c>
      <c r="H2178">
        <v>3.74</v>
      </c>
      <c r="I2178">
        <v>0.25</v>
      </c>
      <c r="J2178">
        <v>5.61</v>
      </c>
      <c r="K2178" t="s">
        <v>36</v>
      </c>
      <c r="L2178" t="s">
        <v>17</v>
      </c>
      <c r="M2178" t="s">
        <v>161</v>
      </c>
    </row>
    <row r="2179" spans="1:13" x14ac:dyDescent="0.2">
      <c r="A2179">
        <v>461792</v>
      </c>
      <c r="B2179" s="1">
        <v>45393</v>
      </c>
      <c r="C2179">
        <v>75776</v>
      </c>
      <c r="D2179" t="s">
        <v>48</v>
      </c>
      <c r="E2179" t="s">
        <v>143</v>
      </c>
      <c r="F2179" t="s">
        <v>144</v>
      </c>
      <c r="G2179">
        <v>4</v>
      </c>
      <c r="H2179">
        <v>12.74</v>
      </c>
      <c r="I2179">
        <v>0.15</v>
      </c>
      <c r="J2179">
        <v>43.32</v>
      </c>
      <c r="K2179" t="s">
        <v>36</v>
      </c>
      <c r="L2179" t="s">
        <v>17</v>
      </c>
      <c r="M2179" t="s">
        <v>24</v>
      </c>
    </row>
    <row r="2180" spans="1:13" x14ac:dyDescent="0.2">
      <c r="A2180">
        <v>461855</v>
      </c>
      <c r="B2180" s="1">
        <v>44789</v>
      </c>
      <c r="C2180">
        <v>38878</v>
      </c>
      <c r="D2180" t="s">
        <v>40</v>
      </c>
      <c r="E2180" t="s">
        <v>41</v>
      </c>
      <c r="F2180" t="s">
        <v>42</v>
      </c>
      <c r="G2180">
        <v>4</v>
      </c>
      <c r="H2180">
        <v>5.99</v>
      </c>
      <c r="J2180">
        <v>23.96</v>
      </c>
      <c r="K2180" t="s">
        <v>32</v>
      </c>
      <c r="L2180" t="s">
        <v>37</v>
      </c>
      <c r="M2180" t="s">
        <v>161</v>
      </c>
    </row>
    <row r="2181" spans="1:13" x14ac:dyDescent="0.2">
      <c r="A2181">
        <v>461876</v>
      </c>
      <c r="B2181" s="1">
        <v>44908</v>
      </c>
      <c r="C2181">
        <v>66898</v>
      </c>
      <c r="D2181" t="s">
        <v>106</v>
      </c>
      <c r="E2181" t="s">
        <v>172</v>
      </c>
      <c r="F2181" t="s">
        <v>173</v>
      </c>
      <c r="G2181">
        <v>2</v>
      </c>
      <c r="H2181">
        <v>3.37</v>
      </c>
      <c r="I2181">
        <v>0.25</v>
      </c>
      <c r="J2181">
        <v>5.0599999999999996</v>
      </c>
      <c r="K2181" t="s">
        <v>22</v>
      </c>
      <c r="L2181" t="s">
        <v>37</v>
      </c>
      <c r="M2181" t="s">
        <v>120</v>
      </c>
    </row>
    <row r="2182" spans="1:13" x14ac:dyDescent="0.2">
      <c r="A2182">
        <v>462420</v>
      </c>
      <c r="B2182" s="1">
        <v>44668</v>
      </c>
      <c r="C2182">
        <v>34211</v>
      </c>
      <c r="D2182" t="s">
        <v>63</v>
      </c>
      <c r="E2182" t="s">
        <v>64</v>
      </c>
      <c r="F2182" t="s">
        <v>65</v>
      </c>
      <c r="G2182">
        <v>2</v>
      </c>
      <c r="H2182">
        <v>3.74</v>
      </c>
      <c r="I2182">
        <v>0.25</v>
      </c>
      <c r="J2182">
        <v>5.61</v>
      </c>
      <c r="K2182" t="s">
        <v>16</v>
      </c>
      <c r="L2182" t="s">
        <v>17</v>
      </c>
      <c r="M2182" t="s">
        <v>18</v>
      </c>
    </row>
    <row r="2183" spans="1:13" x14ac:dyDescent="0.2">
      <c r="A2183">
        <v>462512</v>
      </c>
      <c r="B2183" s="1">
        <v>45542</v>
      </c>
      <c r="D2183" t="s">
        <v>63</v>
      </c>
      <c r="E2183" t="s">
        <v>64</v>
      </c>
      <c r="F2183" t="s">
        <v>65</v>
      </c>
      <c r="G2183">
        <v>1</v>
      </c>
      <c r="H2183">
        <v>4.24</v>
      </c>
      <c r="I2183">
        <v>0.15</v>
      </c>
      <c r="J2183">
        <v>3.6</v>
      </c>
      <c r="K2183" t="s">
        <v>53</v>
      </c>
      <c r="L2183" t="s">
        <v>37</v>
      </c>
      <c r="M2183" t="s">
        <v>96</v>
      </c>
    </row>
    <row r="2184" spans="1:13" x14ac:dyDescent="0.2">
      <c r="A2184">
        <v>462611</v>
      </c>
      <c r="B2184" s="1">
        <v>45458</v>
      </c>
      <c r="C2184">
        <v>39159</v>
      </c>
      <c r="D2184" t="s">
        <v>97</v>
      </c>
      <c r="E2184" t="s">
        <v>141</v>
      </c>
      <c r="F2184" t="s">
        <v>142</v>
      </c>
      <c r="G2184">
        <v>1</v>
      </c>
      <c r="H2184">
        <v>18.39</v>
      </c>
      <c r="I2184">
        <v>0.2</v>
      </c>
      <c r="J2184">
        <v>14.71</v>
      </c>
      <c r="K2184" t="s">
        <v>36</v>
      </c>
      <c r="L2184" t="s">
        <v>23</v>
      </c>
      <c r="M2184" t="s">
        <v>47</v>
      </c>
    </row>
    <row r="2185" spans="1:13" x14ac:dyDescent="0.2">
      <c r="A2185">
        <v>463108</v>
      </c>
      <c r="B2185" s="2">
        <v>44779</v>
      </c>
      <c r="C2185">
        <v>11602</v>
      </c>
      <c r="D2185" t="s">
        <v>48</v>
      </c>
      <c r="E2185" t="s">
        <v>179</v>
      </c>
      <c r="F2185" t="s">
        <v>180</v>
      </c>
      <c r="G2185">
        <v>4</v>
      </c>
      <c r="H2185">
        <v>8.99</v>
      </c>
      <c r="I2185">
        <v>0.25</v>
      </c>
      <c r="J2185">
        <v>26.97</v>
      </c>
      <c r="K2185" t="s">
        <v>53</v>
      </c>
      <c r="L2185" t="s">
        <v>17</v>
      </c>
      <c r="M2185" t="s">
        <v>54</v>
      </c>
    </row>
    <row r="2186" spans="1:13" x14ac:dyDescent="0.2">
      <c r="A2186">
        <v>463175</v>
      </c>
      <c r="B2186" s="1">
        <v>45563</v>
      </c>
      <c r="C2186">
        <v>35277</v>
      </c>
      <c r="D2186" t="s">
        <v>44</v>
      </c>
      <c r="E2186" t="s">
        <v>45</v>
      </c>
      <c r="F2186" t="s">
        <v>46</v>
      </c>
      <c r="G2186">
        <v>4</v>
      </c>
      <c r="H2186">
        <v>1.79</v>
      </c>
      <c r="J2186">
        <v>7.16</v>
      </c>
      <c r="K2186" t="s">
        <v>16</v>
      </c>
      <c r="L2186" t="s">
        <v>17</v>
      </c>
      <c r="M2186" t="s">
        <v>33</v>
      </c>
    </row>
    <row r="2187" spans="1:13" x14ac:dyDescent="0.2">
      <c r="A2187">
        <v>463402</v>
      </c>
      <c r="B2187" s="1">
        <v>44749</v>
      </c>
      <c r="C2187">
        <v>52025</v>
      </c>
      <c r="D2187" t="s">
        <v>44</v>
      </c>
      <c r="E2187" t="s">
        <v>177</v>
      </c>
      <c r="F2187" t="s">
        <v>178</v>
      </c>
      <c r="G2187">
        <v>1</v>
      </c>
      <c r="H2187">
        <v>10.19</v>
      </c>
      <c r="I2187">
        <v>0.15</v>
      </c>
      <c r="J2187">
        <v>8.66</v>
      </c>
      <c r="K2187" t="s">
        <v>36</v>
      </c>
      <c r="L2187" t="s">
        <v>17</v>
      </c>
      <c r="M2187" t="s">
        <v>62</v>
      </c>
    </row>
    <row r="2188" spans="1:13" x14ac:dyDescent="0.2">
      <c r="A2188">
        <v>463488</v>
      </c>
      <c r="B2188" s="2">
        <v>45524</v>
      </c>
      <c r="C2188">
        <v>59250</v>
      </c>
      <c r="D2188" t="s">
        <v>13</v>
      </c>
      <c r="E2188" t="s">
        <v>14</v>
      </c>
      <c r="F2188" t="s">
        <v>15</v>
      </c>
      <c r="G2188">
        <v>2</v>
      </c>
      <c r="H2188">
        <v>59.99</v>
      </c>
      <c r="I2188">
        <v>0.25</v>
      </c>
      <c r="J2188">
        <v>89.98</v>
      </c>
      <c r="K2188" t="s">
        <v>22</v>
      </c>
      <c r="L2188" t="s">
        <v>17</v>
      </c>
      <c r="M2188" t="s">
        <v>43</v>
      </c>
    </row>
    <row r="2189" spans="1:13" x14ac:dyDescent="0.2">
      <c r="A2189">
        <v>463949</v>
      </c>
      <c r="B2189" s="2">
        <v>44609</v>
      </c>
      <c r="C2189">
        <v>84237</v>
      </c>
      <c r="D2189" t="s">
        <v>97</v>
      </c>
      <c r="E2189" t="s">
        <v>181</v>
      </c>
      <c r="F2189" t="s">
        <v>182</v>
      </c>
      <c r="G2189">
        <v>2</v>
      </c>
      <c r="H2189">
        <v>14.99</v>
      </c>
      <c r="J2189">
        <v>29.98</v>
      </c>
      <c r="K2189" t="s">
        <v>36</v>
      </c>
      <c r="L2189" t="s">
        <v>37</v>
      </c>
      <c r="M2189" t="s">
        <v>103</v>
      </c>
    </row>
    <row r="2190" spans="1:13" x14ac:dyDescent="0.2">
      <c r="A2190">
        <v>464210</v>
      </c>
      <c r="B2190" s="2">
        <v>45059</v>
      </c>
      <c r="C2190">
        <v>89617</v>
      </c>
      <c r="D2190" t="s">
        <v>82</v>
      </c>
      <c r="E2190" t="s">
        <v>147</v>
      </c>
      <c r="F2190" t="s">
        <v>148</v>
      </c>
      <c r="G2190">
        <v>3</v>
      </c>
      <c r="H2190">
        <v>12.99</v>
      </c>
      <c r="J2190">
        <v>38.97</v>
      </c>
      <c r="K2190" t="s">
        <v>16</v>
      </c>
      <c r="L2190" t="s">
        <v>17</v>
      </c>
      <c r="M2190" t="s">
        <v>81</v>
      </c>
    </row>
    <row r="2191" spans="1:13" x14ac:dyDescent="0.2">
      <c r="A2191">
        <v>464252</v>
      </c>
      <c r="B2191" s="1">
        <v>44641</v>
      </c>
      <c r="C2191">
        <v>40067</v>
      </c>
      <c r="D2191" t="s">
        <v>85</v>
      </c>
      <c r="E2191" t="s">
        <v>129</v>
      </c>
      <c r="F2191" t="s">
        <v>130</v>
      </c>
      <c r="G2191">
        <v>5</v>
      </c>
      <c r="H2191">
        <v>7.19</v>
      </c>
      <c r="I2191">
        <v>0.2</v>
      </c>
      <c r="J2191">
        <v>28.76</v>
      </c>
      <c r="K2191" t="s">
        <v>16</v>
      </c>
      <c r="L2191" t="s">
        <v>17</v>
      </c>
      <c r="M2191" t="s">
        <v>62</v>
      </c>
    </row>
    <row r="2192" spans="1:13" x14ac:dyDescent="0.2">
      <c r="A2192">
        <v>464375</v>
      </c>
      <c r="B2192" s="1">
        <v>45276</v>
      </c>
      <c r="C2192">
        <v>14567</v>
      </c>
      <c r="D2192" t="s">
        <v>82</v>
      </c>
      <c r="E2192" t="s">
        <v>147</v>
      </c>
      <c r="F2192" t="s">
        <v>148</v>
      </c>
      <c r="G2192">
        <v>2</v>
      </c>
      <c r="H2192">
        <v>11.04</v>
      </c>
      <c r="I2192">
        <v>0.15</v>
      </c>
      <c r="J2192">
        <v>18.77</v>
      </c>
      <c r="K2192" t="s">
        <v>32</v>
      </c>
      <c r="L2192" t="s">
        <v>17</v>
      </c>
      <c r="M2192" t="s">
        <v>28</v>
      </c>
    </row>
    <row r="2193" spans="1:13" x14ac:dyDescent="0.2">
      <c r="A2193">
        <v>464498</v>
      </c>
      <c r="B2193" s="1">
        <v>45400</v>
      </c>
      <c r="C2193">
        <v>45261</v>
      </c>
      <c r="D2193" t="s">
        <v>29</v>
      </c>
      <c r="E2193" t="s">
        <v>175</v>
      </c>
      <c r="F2193" t="s">
        <v>176</v>
      </c>
      <c r="G2193">
        <v>2</v>
      </c>
      <c r="H2193">
        <v>11.99</v>
      </c>
      <c r="J2193">
        <v>23.98</v>
      </c>
      <c r="K2193" t="s">
        <v>16</v>
      </c>
      <c r="L2193" t="s">
        <v>17</v>
      </c>
      <c r="M2193" t="s">
        <v>123</v>
      </c>
    </row>
    <row r="2194" spans="1:13" x14ac:dyDescent="0.2">
      <c r="A2194">
        <v>464528</v>
      </c>
      <c r="B2194" s="1">
        <v>44738</v>
      </c>
      <c r="C2194">
        <v>12472</v>
      </c>
      <c r="D2194" t="s">
        <v>25</v>
      </c>
      <c r="E2194" t="s">
        <v>60</v>
      </c>
      <c r="F2194" t="s">
        <v>61</v>
      </c>
      <c r="G2194">
        <v>5</v>
      </c>
      <c r="H2194">
        <v>46.74</v>
      </c>
      <c r="I2194">
        <v>0.15</v>
      </c>
      <c r="J2194">
        <v>198.64</v>
      </c>
      <c r="K2194" t="s">
        <v>16</v>
      </c>
      <c r="L2194" t="s">
        <v>37</v>
      </c>
      <c r="M2194" t="s">
        <v>62</v>
      </c>
    </row>
    <row r="2195" spans="1:13" x14ac:dyDescent="0.2">
      <c r="A2195">
        <v>464699</v>
      </c>
      <c r="B2195" s="1">
        <v>45186</v>
      </c>
      <c r="C2195">
        <v>54068</v>
      </c>
      <c r="D2195" t="s">
        <v>48</v>
      </c>
      <c r="E2195" t="s">
        <v>139</v>
      </c>
      <c r="F2195" t="s">
        <v>140</v>
      </c>
      <c r="G2195">
        <v>2</v>
      </c>
      <c r="H2195">
        <v>7.99</v>
      </c>
      <c r="J2195">
        <v>15.98</v>
      </c>
      <c r="K2195" t="s">
        <v>22</v>
      </c>
      <c r="L2195" t="s">
        <v>23</v>
      </c>
      <c r="M2195" t="s">
        <v>90</v>
      </c>
    </row>
    <row r="2196" spans="1:13" x14ac:dyDescent="0.2">
      <c r="A2196">
        <v>464731</v>
      </c>
      <c r="B2196" s="1">
        <v>44906</v>
      </c>
      <c r="C2196">
        <v>35348</v>
      </c>
      <c r="D2196" t="s">
        <v>48</v>
      </c>
      <c r="E2196" t="s">
        <v>118</v>
      </c>
      <c r="F2196" t="s">
        <v>119</v>
      </c>
      <c r="G2196">
        <v>1</v>
      </c>
      <c r="H2196">
        <v>4.99</v>
      </c>
      <c r="J2196">
        <v>4.99</v>
      </c>
      <c r="K2196" t="s">
        <v>36</v>
      </c>
      <c r="L2196" t="s">
        <v>37</v>
      </c>
      <c r="M2196" t="s">
        <v>76</v>
      </c>
    </row>
    <row r="2197" spans="1:13" x14ac:dyDescent="0.2">
      <c r="A2197">
        <v>464793</v>
      </c>
      <c r="B2197" s="1">
        <v>45183</v>
      </c>
      <c r="C2197">
        <v>80763</v>
      </c>
      <c r="D2197" t="s">
        <v>63</v>
      </c>
      <c r="E2197" t="s">
        <v>125</v>
      </c>
      <c r="F2197" t="s">
        <v>126</v>
      </c>
      <c r="G2197">
        <v>4</v>
      </c>
      <c r="H2197">
        <v>22.49</v>
      </c>
      <c r="I2197">
        <v>0.25</v>
      </c>
      <c r="J2197">
        <v>67.47</v>
      </c>
      <c r="K2197" t="s">
        <v>22</v>
      </c>
      <c r="L2197" t="s">
        <v>17</v>
      </c>
      <c r="M2197" t="s">
        <v>54</v>
      </c>
    </row>
    <row r="2198" spans="1:13" x14ac:dyDescent="0.2">
      <c r="A2198">
        <v>465032</v>
      </c>
      <c r="B2198" s="1">
        <v>45426</v>
      </c>
      <c r="C2198">
        <v>88904</v>
      </c>
      <c r="D2198" t="s">
        <v>29</v>
      </c>
      <c r="E2198" t="s">
        <v>88</v>
      </c>
      <c r="F2198" t="s">
        <v>89</v>
      </c>
      <c r="G2198">
        <v>2</v>
      </c>
      <c r="H2198">
        <v>49.99</v>
      </c>
      <c r="J2198">
        <v>99.98</v>
      </c>
      <c r="K2198" t="s">
        <v>16</v>
      </c>
      <c r="L2198" t="s">
        <v>37</v>
      </c>
      <c r="M2198" t="s">
        <v>18</v>
      </c>
    </row>
    <row r="2199" spans="1:13" x14ac:dyDescent="0.2">
      <c r="A2199">
        <v>465068</v>
      </c>
      <c r="B2199" s="1">
        <v>44868</v>
      </c>
      <c r="C2199">
        <v>20663</v>
      </c>
      <c r="D2199" t="s">
        <v>40</v>
      </c>
      <c r="E2199" t="s">
        <v>197</v>
      </c>
      <c r="F2199" t="s">
        <v>198</v>
      </c>
      <c r="G2199">
        <v>4</v>
      </c>
      <c r="H2199">
        <v>14.24</v>
      </c>
      <c r="I2199">
        <v>0.05</v>
      </c>
      <c r="J2199">
        <v>54.11</v>
      </c>
      <c r="K2199" t="s">
        <v>66</v>
      </c>
      <c r="L2199" t="s">
        <v>23</v>
      </c>
      <c r="M2199" t="s">
        <v>62</v>
      </c>
    </row>
    <row r="2200" spans="1:13" x14ac:dyDescent="0.2">
      <c r="A2200">
        <v>465108</v>
      </c>
      <c r="B2200" s="1">
        <v>44622</v>
      </c>
      <c r="C2200">
        <v>41888</v>
      </c>
      <c r="D2200" t="s">
        <v>40</v>
      </c>
      <c r="E2200" t="s">
        <v>58</v>
      </c>
      <c r="F2200" t="s">
        <v>59</v>
      </c>
      <c r="G2200">
        <v>2</v>
      </c>
      <c r="H2200">
        <v>3.59</v>
      </c>
      <c r="I2200">
        <v>0.1</v>
      </c>
      <c r="J2200">
        <v>6.46</v>
      </c>
      <c r="K2200" t="s">
        <v>16</v>
      </c>
      <c r="L2200" t="s">
        <v>37</v>
      </c>
      <c r="M2200" t="s">
        <v>18</v>
      </c>
    </row>
    <row r="2201" spans="1:13" x14ac:dyDescent="0.2">
      <c r="A2201">
        <v>465158</v>
      </c>
      <c r="B2201" s="2">
        <v>45271</v>
      </c>
      <c r="C2201">
        <v>44993</v>
      </c>
      <c r="D2201" t="s">
        <v>44</v>
      </c>
      <c r="E2201" t="s">
        <v>184</v>
      </c>
      <c r="F2201" t="s">
        <v>185</v>
      </c>
      <c r="G2201">
        <v>3</v>
      </c>
      <c r="H2201">
        <v>4.67</v>
      </c>
      <c r="I2201">
        <v>0.15</v>
      </c>
      <c r="J2201">
        <v>11.91</v>
      </c>
      <c r="K2201" t="s">
        <v>22</v>
      </c>
      <c r="L2201" t="s">
        <v>37</v>
      </c>
      <c r="M2201" t="s">
        <v>161</v>
      </c>
    </row>
    <row r="2202" spans="1:13" x14ac:dyDescent="0.2">
      <c r="A2202">
        <v>465226</v>
      </c>
      <c r="B2202" s="1">
        <v>44920</v>
      </c>
      <c r="C2202">
        <v>91865</v>
      </c>
      <c r="D2202" t="s">
        <v>97</v>
      </c>
      <c r="E2202" t="s">
        <v>165</v>
      </c>
      <c r="F2202" t="s">
        <v>166</v>
      </c>
      <c r="G2202">
        <v>2</v>
      </c>
      <c r="H2202">
        <v>89.99</v>
      </c>
      <c r="J2202">
        <v>179.98</v>
      </c>
      <c r="K2202" t="s">
        <v>22</v>
      </c>
      <c r="L2202" t="s">
        <v>23</v>
      </c>
      <c r="M2202" t="s">
        <v>81</v>
      </c>
    </row>
    <row r="2203" spans="1:13" x14ac:dyDescent="0.2">
      <c r="A2203">
        <v>465924</v>
      </c>
      <c r="B2203" s="2">
        <v>44751</v>
      </c>
      <c r="C2203">
        <v>49673</v>
      </c>
      <c r="D2203" t="s">
        <v>48</v>
      </c>
      <c r="E2203" t="s">
        <v>143</v>
      </c>
      <c r="F2203" t="s">
        <v>144</v>
      </c>
      <c r="G2203">
        <v>1</v>
      </c>
      <c r="H2203">
        <v>14.99</v>
      </c>
      <c r="J2203">
        <v>14.99</v>
      </c>
      <c r="K2203" t="s">
        <v>22</v>
      </c>
      <c r="L2203" t="s">
        <v>17</v>
      </c>
      <c r="M2203" t="s">
        <v>18</v>
      </c>
    </row>
    <row r="2204" spans="1:13" x14ac:dyDescent="0.2">
      <c r="A2204">
        <v>466220</v>
      </c>
      <c r="B2204" s="1">
        <v>45317</v>
      </c>
      <c r="C2204">
        <v>27826</v>
      </c>
      <c r="D2204" t="s">
        <v>44</v>
      </c>
      <c r="E2204" t="s">
        <v>177</v>
      </c>
      <c r="F2204" t="s">
        <v>178</v>
      </c>
      <c r="G2204">
        <v>5</v>
      </c>
      <c r="H2204">
        <v>11.99</v>
      </c>
      <c r="J2204">
        <v>59.95</v>
      </c>
      <c r="K2204" t="s">
        <v>36</v>
      </c>
      <c r="L2204" t="s">
        <v>17</v>
      </c>
      <c r="M2204" t="s">
        <v>62</v>
      </c>
    </row>
    <row r="2205" spans="1:13" x14ac:dyDescent="0.2">
      <c r="A2205">
        <v>466634</v>
      </c>
      <c r="B2205" s="1">
        <v>45411</v>
      </c>
      <c r="C2205">
        <v>36370</v>
      </c>
      <c r="D2205" t="s">
        <v>97</v>
      </c>
      <c r="E2205" t="s">
        <v>193</v>
      </c>
      <c r="F2205" t="s">
        <v>194</v>
      </c>
      <c r="G2205">
        <v>1</v>
      </c>
      <c r="H2205">
        <v>51.99</v>
      </c>
      <c r="I2205">
        <v>0.2</v>
      </c>
      <c r="J2205">
        <v>41.59</v>
      </c>
      <c r="K2205" t="s">
        <v>16</v>
      </c>
      <c r="L2205" t="s">
        <v>17</v>
      </c>
      <c r="M2205" t="s">
        <v>54</v>
      </c>
    </row>
    <row r="2206" spans="1:13" x14ac:dyDescent="0.2">
      <c r="A2206">
        <v>466719</v>
      </c>
      <c r="B2206" s="2">
        <v>45585</v>
      </c>
      <c r="C2206">
        <v>36874</v>
      </c>
      <c r="D2206" t="s">
        <v>97</v>
      </c>
      <c r="E2206" t="s">
        <v>165</v>
      </c>
      <c r="F2206" t="s">
        <v>166</v>
      </c>
      <c r="G2206">
        <v>1</v>
      </c>
      <c r="H2206">
        <v>89.99</v>
      </c>
      <c r="J2206">
        <v>89.99</v>
      </c>
      <c r="K2206" t="s">
        <v>36</v>
      </c>
      <c r="L2206" t="s">
        <v>17</v>
      </c>
      <c r="M2206" t="s">
        <v>117</v>
      </c>
    </row>
    <row r="2207" spans="1:13" x14ac:dyDescent="0.2">
      <c r="A2207">
        <v>467872</v>
      </c>
      <c r="B2207" s="1">
        <v>45450</v>
      </c>
      <c r="C2207">
        <v>24684</v>
      </c>
      <c r="D2207" t="s">
        <v>25</v>
      </c>
      <c r="E2207" t="s">
        <v>113</v>
      </c>
      <c r="F2207" t="s">
        <v>114</v>
      </c>
      <c r="G2207">
        <v>3</v>
      </c>
      <c r="H2207">
        <v>113.99</v>
      </c>
      <c r="I2207">
        <v>0.05</v>
      </c>
      <c r="J2207">
        <v>324.87</v>
      </c>
      <c r="K2207" t="s">
        <v>36</v>
      </c>
      <c r="L2207" t="s">
        <v>23</v>
      </c>
      <c r="M2207" t="s">
        <v>81</v>
      </c>
    </row>
    <row r="2208" spans="1:13" x14ac:dyDescent="0.2">
      <c r="A2208">
        <v>468081</v>
      </c>
      <c r="B2208" s="1">
        <v>44984</v>
      </c>
      <c r="C2208">
        <v>11089</v>
      </c>
      <c r="D2208" t="s">
        <v>63</v>
      </c>
      <c r="E2208" t="s">
        <v>131</v>
      </c>
      <c r="F2208" t="s">
        <v>132</v>
      </c>
      <c r="G2208">
        <v>1</v>
      </c>
      <c r="H2208">
        <v>2.97</v>
      </c>
      <c r="I2208">
        <v>0.15</v>
      </c>
      <c r="J2208">
        <v>2.52</v>
      </c>
      <c r="K2208" t="s">
        <v>16</v>
      </c>
      <c r="L2208" t="s">
        <v>37</v>
      </c>
      <c r="M2208" t="s">
        <v>57</v>
      </c>
    </row>
    <row r="2209" spans="1:13" x14ac:dyDescent="0.2">
      <c r="A2209">
        <v>468470</v>
      </c>
      <c r="B2209" s="1">
        <v>45207</v>
      </c>
      <c r="C2209">
        <v>37897</v>
      </c>
      <c r="D2209" t="s">
        <v>44</v>
      </c>
      <c r="E2209" t="s">
        <v>93</v>
      </c>
      <c r="F2209" t="s">
        <v>94</v>
      </c>
      <c r="G2209">
        <v>3</v>
      </c>
      <c r="H2209">
        <v>1.03</v>
      </c>
      <c r="I2209">
        <v>0.2</v>
      </c>
      <c r="J2209">
        <v>2.4700000000000002</v>
      </c>
      <c r="K2209" t="s">
        <v>36</v>
      </c>
      <c r="L2209" t="s">
        <v>17</v>
      </c>
      <c r="M2209" t="s">
        <v>81</v>
      </c>
    </row>
    <row r="2210" spans="1:13" x14ac:dyDescent="0.2">
      <c r="A2210">
        <v>468543</v>
      </c>
      <c r="B2210" s="1">
        <v>45385</v>
      </c>
      <c r="C2210">
        <v>40121</v>
      </c>
      <c r="D2210" t="s">
        <v>82</v>
      </c>
      <c r="E2210" t="s">
        <v>100</v>
      </c>
      <c r="F2210" t="s">
        <v>101</v>
      </c>
      <c r="G2210">
        <v>1</v>
      </c>
      <c r="H2210">
        <v>21.84</v>
      </c>
      <c r="I2210">
        <v>0.05</v>
      </c>
      <c r="J2210">
        <v>20.75</v>
      </c>
      <c r="K2210" t="s">
        <v>36</v>
      </c>
      <c r="L2210" t="s">
        <v>37</v>
      </c>
      <c r="M2210" t="s">
        <v>57</v>
      </c>
    </row>
    <row r="2211" spans="1:13" x14ac:dyDescent="0.2">
      <c r="A2211">
        <v>468710</v>
      </c>
      <c r="B2211" s="1">
        <v>45304</v>
      </c>
      <c r="C2211">
        <v>58891</v>
      </c>
      <c r="D2211" t="s">
        <v>29</v>
      </c>
      <c r="E2211" t="s">
        <v>30</v>
      </c>
      <c r="F2211" t="s">
        <v>31</v>
      </c>
      <c r="G2211">
        <v>2</v>
      </c>
      <c r="H2211">
        <v>24.99</v>
      </c>
      <c r="J2211">
        <v>49.98</v>
      </c>
      <c r="K2211" t="s">
        <v>36</v>
      </c>
      <c r="L2211" t="s">
        <v>17</v>
      </c>
      <c r="M2211" t="s">
        <v>33</v>
      </c>
    </row>
    <row r="2212" spans="1:13" x14ac:dyDescent="0.2">
      <c r="A2212">
        <v>468959</v>
      </c>
      <c r="B2212" s="2">
        <v>44690</v>
      </c>
      <c r="C2212">
        <v>28355</v>
      </c>
      <c r="D2212" t="s">
        <v>63</v>
      </c>
      <c r="E2212" t="s">
        <v>111</v>
      </c>
      <c r="F2212" t="s">
        <v>112</v>
      </c>
      <c r="G2212">
        <v>3</v>
      </c>
      <c r="H2212">
        <v>14.99</v>
      </c>
      <c r="J2212">
        <v>44.97</v>
      </c>
      <c r="K2212" t="s">
        <v>36</v>
      </c>
      <c r="L2212" t="s">
        <v>17</v>
      </c>
      <c r="M2212" t="s">
        <v>18</v>
      </c>
    </row>
    <row r="2213" spans="1:13" x14ac:dyDescent="0.2">
      <c r="A2213">
        <v>469198</v>
      </c>
      <c r="B2213" s="2">
        <v>44632</v>
      </c>
      <c r="C2213">
        <v>99378</v>
      </c>
      <c r="D2213" t="s">
        <v>48</v>
      </c>
      <c r="E2213" t="s">
        <v>49</v>
      </c>
      <c r="F2213" t="s">
        <v>50</v>
      </c>
      <c r="G2213">
        <v>4</v>
      </c>
      <c r="H2213">
        <v>7.64</v>
      </c>
      <c r="I2213">
        <v>0.15</v>
      </c>
      <c r="J2213">
        <v>25.98</v>
      </c>
      <c r="K2213" t="s">
        <v>32</v>
      </c>
      <c r="L2213" t="s">
        <v>17</v>
      </c>
      <c r="M2213" t="s">
        <v>28</v>
      </c>
    </row>
    <row r="2214" spans="1:13" x14ac:dyDescent="0.2">
      <c r="A2214">
        <v>469390</v>
      </c>
      <c r="B2214" s="1">
        <v>45606</v>
      </c>
      <c r="C2214">
        <v>42606</v>
      </c>
      <c r="D2214" t="s">
        <v>167</v>
      </c>
      <c r="E2214" t="s">
        <v>179</v>
      </c>
      <c r="F2214" t="s">
        <v>180</v>
      </c>
      <c r="G2214">
        <v>1</v>
      </c>
      <c r="H2214">
        <v>8.39</v>
      </c>
      <c r="I2214">
        <v>0.3</v>
      </c>
      <c r="J2214">
        <v>5.87</v>
      </c>
      <c r="K2214" t="s">
        <v>66</v>
      </c>
      <c r="L2214" t="s">
        <v>17</v>
      </c>
      <c r="M2214" t="s">
        <v>24</v>
      </c>
    </row>
    <row r="2215" spans="1:13" x14ac:dyDescent="0.2">
      <c r="A2215">
        <v>469722</v>
      </c>
      <c r="B2215" s="1">
        <v>44921</v>
      </c>
      <c r="C2215">
        <v>26699</v>
      </c>
      <c r="D2215" t="s">
        <v>13</v>
      </c>
      <c r="E2215" t="s">
        <v>79</v>
      </c>
      <c r="F2215" t="s">
        <v>80</v>
      </c>
      <c r="G2215">
        <v>1</v>
      </c>
      <c r="H2215">
        <v>80.989999999999995</v>
      </c>
      <c r="I2215">
        <v>0.1</v>
      </c>
      <c r="J2215">
        <v>72.89</v>
      </c>
      <c r="K2215" t="s">
        <v>16</v>
      </c>
      <c r="L2215" t="s">
        <v>17</v>
      </c>
      <c r="M2215" t="s">
        <v>96</v>
      </c>
    </row>
    <row r="2216" spans="1:13" x14ac:dyDescent="0.2">
      <c r="A2216">
        <v>469787</v>
      </c>
      <c r="B2216" s="1">
        <v>44910</v>
      </c>
      <c r="C2216">
        <v>49844</v>
      </c>
      <c r="D2216" t="s">
        <v>48</v>
      </c>
      <c r="E2216" t="s">
        <v>139</v>
      </c>
      <c r="F2216" t="s">
        <v>140</v>
      </c>
      <c r="G2216">
        <v>1</v>
      </c>
      <c r="H2216">
        <v>5.99</v>
      </c>
      <c r="I2216">
        <v>0.25</v>
      </c>
      <c r="J2216">
        <v>4.49</v>
      </c>
      <c r="K2216" t="s">
        <v>36</v>
      </c>
      <c r="L2216" t="s">
        <v>23</v>
      </c>
      <c r="M2216" t="s">
        <v>28</v>
      </c>
    </row>
    <row r="2217" spans="1:13" x14ac:dyDescent="0.2">
      <c r="A2217">
        <v>470037</v>
      </c>
      <c r="B2217" s="1">
        <v>45498</v>
      </c>
      <c r="C2217">
        <v>95755</v>
      </c>
      <c r="D2217" t="s">
        <v>97</v>
      </c>
      <c r="E2217" t="s">
        <v>135</v>
      </c>
      <c r="F2217" t="s">
        <v>136</v>
      </c>
      <c r="G2217">
        <v>1</v>
      </c>
      <c r="H2217">
        <v>9.49</v>
      </c>
      <c r="I2217">
        <v>0.05</v>
      </c>
      <c r="J2217">
        <v>9.02</v>
      </c>
      <c r="K2217" t="s">
        <v>36</v>
      </c>
      <c r="L2217" t="s">
        <v>17</v>
      </c>
      <c r="M2217" t="s">
        <v>96</v>
      </c>
    </row>
    <row r="2218" spans="1:13" x14ac:dyDescent="0.2">
      <c r="A2218">
        <v>470058</v>
      </c>
      <c r="B2218" s="1">
        <v>45346</v>
      </c>
      <c r="C2218">
        <v>31921</v>
      </c>
      <c r="D2218" t="s">
        <v>25</v>
      </c>
      <c r="E2218" t="s">
        <v>26</v>
      </c>
      <c r="F2218" t="s">
        <v>27</v>
      </c>
      <c r="G2218">
        <v>1</v>
      </c>
      <c r="H2218">
        <v>27.99</v>
      </c>
      <c r="I2218">
        <v>0.2</v>
      </c>
      <c r="J2218">
        <v>22.39</v>
      </c>
      <c r="K2218" t="s">
        <v>16</v>
      </c>
      <c r="L2218" t="s">
        <v>17</v>
      </c>
      <c r="M2218" t="s">
        <v>67</v>
      </c>
    </row>
    <row r="2219" spans="1:13" x14ac:dyDescent="0.2">
      <c r="A2219">
        <v>470248</v>
      </c>
      <c r="B2219" s="1">
        <v>45032</v>
      </c>
      <c r="C2219">
        <v>42539</v>
      </c>
      <c r="D2219" t="s">
        <v>85</v>
      </c>
      <c r="E2219" t="s">
        <v>149</v>
      </c>
      <c r="F2219" t="s">
        <v>150</v>
      </c>
      <c r="G2219">
        <v>2</v>
      </c>
      <c r="H2219">
        <v>16.989999999999998</v>
      </c>
      <c r="I2219">
        <v>0.15</v>
      </c>
      <c r="J2219">
        <v>28.88</v>
      </c>
      <c r="K2219" t="s">
        <v>32</v>
      </c>
      <c r="L2219" t="s">
        <v>17</v>
      </c>
      <c r="M2219" t="s">
        <v>96</v>
      </c>
    </row>
    <row r="2220" spans="1:13" x14ac:dyDescent="0.2">
      <c r="A2220">
        <v>470350</v>
      </c>
      <c r="B2220" s="1">
        <v>45328</v>
      </c>
      <c r="C2220">
        <v>97350</v>
      </c>
      <c r="D2220" t="s">
        <v>44</v>
      </c>
      <c r="E2220" t="s">
        <v>190</v>
      </c>
      <c r="F2220" t="s">
        <v>191</v>
      </c>
      <c r="G2220">
        <v>3</v>
      </c>
      <c r="H2220">
        <v>4.29</v>
      </c>
      <c r="J2220">
        <v>12.87</v>
      </c>
      <c r="K2220" t="s">
        <v>36</v>
      </c>
      <c r="L2220" t="s">
        <v>37</v>
      </c>
      <c r="M2220" t="s">
        <v>120</v>
      </c>
    </row>
    <row r="2221" spans="1:13" x14ac:dyDescent="0.2">
      <c r="A2221">
        <v>470378</v>
      </c>
      <c r="B2221" s="1">
        <v>45506</v>
      </c>
      <c r="C2221">
        <v>92831</v>
      </c>
      <c r="D2221" t="s">
        <v>29</v>
      </c>
      <c r="E2221" t="s">
        <v>30</v>
      </c>
      <c r="F2221" t="s">
        <v>31</v>
      </c>
      <c r="G2221">
        <v>5</v>
      </c>
      <c r="H2221">
        <v>19.989999999999998</v>
      </c>
      <c r="I2221">
        <v>0.2</v>
      </c>
      <c r="J2221">
        <v>79.959999999999994</v>
      </c>
      <c r="K2221" t="s">
        <v>36</v>
      </c>
      <c r="L2221" t="s">
        <v>17</v>
      </c>
      <c r="M2221" t="s">
        <v>120</v>
      </c>
    </row>
    <row r="2222" spans="1:13" x14ac:dyDescent="0.2">
      <c r="A2222">
        <v>470410</v>
      </c>
      <c r="B2222" s="2">
        <v>44647</v>
      </c>
      <c r="C2222">
        <v>56094</v>
      </c>
      <c r="D2222" t="s">
        <v>44</v>
      </c>
      <c r="E2222" t="s">
        <v>195</v>
      </c>
      <c r="F2222" t="s">
        <v>196</v>
      </c>
      <c r="G2222">
        <v>2</v>
      </c>
      <c r="H2222">
        <v>4.49</v>
      </c>
      <c r="I2222">
        <v>0.1</v>
      </c>
      <c r="J2222">
        <v>8.08</v>
      </c>
      <c r="K2222" t="s">
        <v>32</v>
      </c>
      <c r="L2222" t="s">
        <v>17</v>
      </c>
      <c r="M2222" t="s">
        <v>57</v>
      </c>
    </row>
    <row r="2223" spans="1:13" x14ac:dyDescent="0.2">
      <c r="A2223">
        <v>470576</v>
      </c>
      <c r="B2223" s="1">
        <v>45375</v>
      </c>
      <c r="C2223">
        <v>79452</v>
      </c>
      <c r="D2223" t="s">
        <v>82</v>
      </c>
      <c r="E2223" t="s">
        <v>168</v>
      </c>
      <c r="F2223" t="s">
        <v>169</v>
      </c>
      <c r="G2223">
        <v>1</v>
      </c>
      <c r="H2223">
        <v>7.19</v>
      </c>
      <c r="I2223">
        <v>0.2</v>
      </c>
      <c r="J2223">
        <v>5.75</v>
      </c>
      <c r="K2223" t="s">
        <v>22</v>
      </c>
      <c r="L2223" t="s">
        <v>37</v>
      </c>
      <c r="M2223" t="s">
        <v>67</v>
      </c>
    </row>
    <row r="2224" spans="1:13" x14ac:dyDescent="0.2">
      <c r="A2224">
        <v>470764</v>
      </c>
      <c r="B2224" s="1">
        <v>44939</v>
      </c>
      <c r="C2224">
        <v>16600</v>
      </c>
      <c r="D2224" t="s">
        <v>40</v>
      </c>
      <c r="E2224" t="s">
        <v>41</v>
      </c>
      <c r="F2224" t="s">
        <v>42</v>
      </c>
      <c r="G2224">
        <v>1</v>
      </c>
      <c r="H2224">
        <v>5.99</v>
      </c>
      <c r="J2224">
        <v>5.99</v>
      </c>
      <c r="K2224" t="s">
        <v>22</v>
      </c>
      <c r="L2224" t="s">
        <v>17</v>
      </c>
      <c r="M2224" t="s">
        <v>24</v>
      </c>
    </row>
    <row r="2225" spans="1:13" x14ac:dyDescent="0.2">
      <c r="A2225">
        <v>470922</v>
      </c>
      <c r="B2225" s="1">
        <v>44877</v>
      </c>
      <c r="C2225">
        <v>90993</v>
      </c>
      <c r="D2225" t="s">
        <v>44</v>
      </c>
      <c r="E2225" t="s">
        <v>91</v>
      </c>
      <c r="F2225" t="s">
        <v>92</v>
      </c>
      <c r="G2225">
        <v>1</v>
      </c>
      <c r="H2225">
        <v>6.29</v>
      </c>
      <c r="J2225">
        <v>6.29</v>
      </c>
      <c r="K2225" t="s">
        <v>32</v>
      </c>
      <c r="L2225" t="s">
        <v>17</v>
      </c>
      <c r="M2225" t="s">
        <v>96</v>
      </c>
    </row>
    <row r="2226" spans="1:13" x14ac:dyDescent="0.2">
      <c r="A2226">
        <v>471781</v>
      </c>
      <c r="B2226" s="1">
        <v>44937</v>
      </c>
      <c r="C2226">
        <v>86579</v>
      </c>
      <c r="D2226" t="s">
        <v>29</v>
      </c>
      <c r="E2226" t="s">
        <v>38</v>
      </c>
      <c r="F2226" t="s">
        <v>39</v>
      </c>
      <c r="G2226">
        <v>1</v>
      </c>
      <c r="H2226">
        <v>22.49</v>
      </c>
      <c r="I2226">
        <v>0.25</v>
      </c>
      <c r="J2226">
        <v>16.87</v>
      </c>
      <c r="K2226" t="s">
        <v>36</v>
      </c>
      <c r="L2226" t="s">
        <v>17</v>
      </c>
      <c r="M2226" t="s">
        <v>96</v>
      </c>
    </row>
    <row r="2227" spans="1:13" x14ac:dyDescent="0.2">
      <c r="A2227">
        <v>472209</v>
      </c>
      <c r="B2227" s="1">
        <v>45386</v>
      </c>
      <c r="C2227">
        <v>90018</v>
      </c>
      <c r="D2227" t="s">
        <v>97</v>
      </c>
      <c r="E2227" t="s">
        <v>98</v>
      </c>
      <c r="F2227" t="s">
        <v>99</v>
      </c>
      <c r="G2227">
        <v>2</v>
      </c>
      <c r="H2227">
        <v>25.19</v>
      </c>
      <c r="I2227">
        <v>0.1</v>
      </c>
      <c r="J2227">
        <v>45.34</v>
      </c>
      <c r="K2227" t="s">
        <v>16</v>
      </c>
      <c r="L2227" t="s">
        <v>37</v>
      </c>
      <c r="M2227" t="s">
        <v>62</v>
      </c>
    </row>
    <row r="2228" spans="1:13" x14ac:dyDescent="0.2">
      <c r="A2228">
        <v>472244</v>
      </c>
      <c r="B2228" s="2">
        <v>44984</v>
      </c>
      <c r="C2228">
        <v>30782</v>
      </c>
      <c r="D2228" t="s">
        <v>82</v>
      </c>
      <c r="E2228" t="s">
        <v>168</v>
      </c>
      <c r="F2228" t="s">
        <v>169</v>
      </c>
      <c r="G2228">
        <v>1</v>
      </c>
      <c r="H2228">
        <v>7.19</v>
      </c>
      <c r="J2228">
        <v>7.19</v>
      </c>
      <c r="K2228" t="s">
        <v>53</v>
      </c>
      <c r="L2228" t="s">
        <v>23</v>
      </c>
      <c r="M2228" t="s">
        <v>18</v>
      </c>
    </row>
    <row r="2229" spans="1:13" x14ac:dyDescent="0.2">
      <c r="A2229">
        <v>472501</v>
      </c>
      <c r="B2229" s="1">
        <v>44858</v>
      </c>
      <c r="C2229">
        <v>74370</v>
      </c>
      <c r="D2229" t="s">
        <v>13</v>
      </c>
      <c r="E2229" t="s">
        <v>14</v>
      </c>
      <c r="F2229" t="s">
        <v>15</v>
      </c>
      <c r="G2229">
        <v>4</v>
      </c>
      <c r="H2229">
        <v>79.989999999999995</v>
      </c>
      <c r="J2229">
        <v>319.95999999999998</v>
      </c>
      <c r="K2229" t="s">
        <v>16</v>
      </c>
      <c r="L2229" t="s">
        <v>37</v>
      </c>
      <c r="M2229" t="s">
        <v>161</v>
      </c>
    </row>
    <row r="2230" spans="1:13" x14ac:dyDescent="0.2">
      <c r="A2230">
        <v>472521</v>
      </c>
      <c r="B2230" s="2">
        <v>44772</v>
      </c>
      <c r="C2230">
        <v>96887</v>
      </c>
      <c r="D2230" t="s">
        <v>97</v>
      </c>
      <c r="E2230" t="s">
        <v>135</v>
      </c>
      <c r="F2230" t="s">
        <v>136</v>
      </c>
      <c r="G2230">
        <v>4</v>
      </c>
      <c r="H2230">
        <v>8.49</v>
      </c>
      <c r="I2230">
        <v>0.15</v>
      </c>
      <c r="J2230">
        <v>28.87</v>
      </c>
      <c r="K2230" t="s">
        <v>16</v>
      </c>
      <c r="L2230" t="s">
        <v>37</v>
      </c>
      <c r="M2230" t="s">
        <v>57</v>
      </c>
    </row>
    <row r="2231" spans="1:13" x14ac:dyDescent="0.2">
      <c r="A2231">
        <v>472625</v>
      </c>
      <c r="B2231" s="1">
        <v>45484</v>
      </c>
      <c r="C2231">
        <v>80888</v>
      </c>
      <c r="D2231" t="s">
        <v>48</v>
      </c>
      <c r="E2231" t="s">
        <v>109</v>
      </c>
      <c r="F2231" t="s">
        <v>110</v>
      </c>
      <c r="G2231">
        <v>1</v>
      </c>
      <c r="H2231">
        <v>6.99</v>
      </c>
      <c r="J2231">
        <v>6.99</v>
      </c>
      <c r="K2231" t="s">
        <v>36</v>
      </c>
      <c r="L2231" t="s">
        <v>17</v>
      </c>
      <c r="M2231" t="s">
        <v>103</v>
      </c>
    </row>
    <row r="2232" spans="1:13" x14ac:dyDescent="0.2">
      <c r="A2232">
        <v>472851</v>
      </c>
      <c r="B2232" s="1">
        <v>44930</v>
      </c>
      <c r="C2232">
        <v>20919</v>
      </c>
      <c r="D2232" t="s">
        <v>85</v>
      </c>
      <c r="E2232" t="s">
        <v>145</v>
      </c>
      <c r="F2232" t="s">
        <v>146</v>
      </c>
      <c r="G2232">
        <v>1</v>
      </c>
      <c r="H2232">
        <v>15.29</v>
      </c>
      <c r="I2232">
        <v>0.1</v>
      </c>
      <c r="J2232">
        <v>13.76</v>
      </c>
      <c r="K2232" t="s">
        <v>22</v>
      </c>
      <c r="L2232" t="s">
        <v>37</v>
      </c>
      <c r="M2232" t="s">
        <v>57</v>
      </c>
    </row>
    <row r="2233" spans="1:13" x14ac:dyDescent="0.2">
      <c r="A2233">
        <v>473145</v>
      </c>
      <c r="B2233" s="1">
        <v>45034</v>
      </c>
      <c r="C2233">
        <v>39392</v>
      </c>
      <c r="D2233" t="s">
        <v>13</v>
      </c>
      <c r="E2233" t="s">
        <v>104</v>
      </c>
      <c r="F2233" t="s">
        <v>105</v>
      </c>
      <c r="G2233">
        <v>2</v>
      </c>
      <c r="H2233">
        <v>22.49</v>
      </c>
      <c r="I2233">
        <v>0.25</v>
      </c>
      <c r="J2233">
        <v>33.74</v>
      </c>
      <c r="K2233" t="s">
        <v>36</v>
      </c>
      <c r="L2233" t="s">
        <v>17</v>
      </c>
      <c r="M2233" t="s">
        <v>103</v>
      </c>
    </row>
    <row r="2234" spans="1:13" x14ac:dyDescent="0.2">
      <c r="A2234">
        <v>473231</v>
      </c>
      <c r="B2234" s="2">
        <v>45222</v>
      </c>
      <c r="C2234">
        <v>59311</v>
      </c>
      <c r="D2234" t="s">
        <v>63</v>
      </c>
      <c r="E2234" t="s">
        <v>111</v>
      </c>
      <c r="F2234" t="s">
        <v>112</v>
      </c>
      <c r="G2234">
        <v>3</v>
      </c>
      <c r="H2234">
        <v>10.49</v>
      </c>
      <c r="I2234">
        <v>0.3</v>
      </c>
      <c r="J2234">
        <v>22.03</v>
      </c>
      <c r="K2234" t="s">
        <v>16</v>
      </c>
      <c r="L2234" t="s">
        <v>23</v>
      </c>
      <c r="M2234" t="s">
        <v>117</v>
      </c>
    </row>
    <row r="2235" spans="1:13" x14ac:dyDescent="0.2">
      <c r="A2235">
        <v>473446</v>
      </c>
      <c r="B2235" s="1">
        <v>45432</v>
      </c>
      <c r="C2235">
        <v>56447</v>
      </c>
      <c r="D2235" t="s">
        <v>19</v>
      </c>
      <c r="E2235" t="s">
        <v>58</v>
      </c>
      <c r="F2235" t="s">
        <v>59</v>
      </c>
      <c r="G2235">
        <v>1</v>
      </c>
      <c r="H2235">
        <v>3.39</v>
      </c>
      <c r="I2235">
        <v>0.15</v>
      </c>
      <c r="J2235">
        <v>2.88</v>
      </c>
      <c r="K2235" t="s">
        <v>16</v>
      </c>
      <c r="L2235" t="s">
        <v>37</v>
      </c>
      <c r="M2235" t="s">
        <v>103</v>
      </c>
    </row>
    <row r="2236" spans="1:13" x14ac:dyDescent="0.2">
      <c r="A2236">
        <v>473482</v>
      </c>
      <c r="B2236" s="1">
        <v>44759</v>
      </c>
      <c r="C2236">
        <v>61278</v>
      </c>
      <c r="D2236" t="s">
        <v>48</v>
      </c>
      <c r="E2236" t="s">
        <v>179</v>
      </c>
      <c r="F2236" t="s">
        <v>180</v>
      </c>
      <c r="G2236">
        <v>5</v>
      </c>
      <c r="H2236">
        <v>8.39</v>
      </c>
      <c r="I2236">
        <v>0.3</v>
      </c>
      <c r="J2236">
        <v>29.36</v>
      </c>
      <c r="K2236" t="s">
        <v>22</v>
      </c>
      <c r="L2236" t="s">
        <v>17</v>
      </c>
      <c r="M2236" t="s">
        <v>103</v>
      </c>
    </row>
    <row r="2237" spans="1:13" x14ac:dyDescent="0.2">
      <c r="A2237">
        <v>473492</v>
      </c>
      <c r="B2237" s="2">
        <v>45439</v>
      </c>
      <c r="C2237">
        <v>68171</v>
      </c>
      <c r="D2237" t="s">
        <v>85</v>
      </c>
      <c r="E2237" t="s">
        <v>157</v>
      </c>
      <c r="F2237" t="s">
        <v>158</v>
      </c>
      <c r="G2237">
        <v>4</v>
      </c>
      <c r="H2237">
        <v>12.14</v>
      </c>
      <c r="I2237">
        <v>0.1</v>
      </c>
      <c r="J2237">
        <v>43.7</v>
      </c>
      <c r="K2237" t="s">
        <v>36</v>
      </c>
      <c r="L2237" t="s">
        <v>37</v>
      </c>
      <c r="M2237" t="s">
        <v>76</v>
      </c>
    </row>
    <row r="2238" spans="1:13" x14ac:dyDescent="0.2">
      <c r="A2238">
        <v>473504</v>
      </c>
      <c r="B2238" s="2">
        <v>44911</v>
      </c>
      <c r="C2238">
        <v>77207</v>
      </c>
      <c r="D2238" t="s">
        <v>106</v>
      </c>
      <c r="E2238" t="s">
        <v>172</v>
      </c>
      <c r="F2238" t="s">
        <v>173</v>
      </c>
      <c r="G2238">
        <v>5</v>
      </c>
      <c r="H2238">
        <v>3.59</v>
      </c>
      <c r="I2238">
        <v>0.2</v>
      </c>
      <c r="J2238">
        <v>14.36</v>
      </c>
      <c r="K2238" t="s">
        <v>16</v>
      </c>
      <c r="L2238" t="s">
        <v>17</v>
      </c>
      <c r="M2238" t="s">
        <v>96</v>
      </c>
    </row>
    <row r="2239" spans="1:13" x14ac:dyDescent="0.2">
      <c r="A2239">
        <v>473577</v>
      </c>
      <c r="B2239" s="1">
        <v>44844</v>
      </c>
      <c r="C2239">
        <v>87928</v>
      </c>
      <c r="D2239" t="s">
        <v>40</v>
      </c>
      <c r="E2239" t="s">
        <v>115</v>
      </c>
      <c r="F2239" t="s">
        <v>116</v>
      </c>
      <c r="G2239">
        <v>2</v>
      </c>
      <c r="H2239">
        <v>12.99</v>
      </c>
      <c r="J2239">
        <v>25.98</v>
      </c>
      <c r="K2239" t="s">
        <v>22</v>
      </c>
      <c r="L2239" t="s">
        <v>37</v>
      </c>
      <c r="M2239" t="s">
        <v>18</v>
      </c>
    </row>
    <row r="2240" spans="1:13" x14ac:dyDescent="0.2">
      <c r="A2240">
        <v>473637</v>
      </c>
      <c r="B2240" s="1">
        <v>44577</v>
      </c>
      <c r="C2240">
        <v>63261</v>
      </c>
      <c r="D2240" t="s">
        <v>48</v>
      </c>
      <c r="E2240" t="s">
        <v>118</v>
      </c>
      <c r="F2240" t="s">
        <v>119</v>
      </c>
      <c r="G2240">
        <v>2</v>
      </c>
      <c r="H2240">
        <v>4.99</v>
      </c>
      <c r="J2240">
        <v>9.98</v>
      </c>
      <c r="K2240" t="s">
        <v>22</v>
      </c>
      <c r="L2240" t="s">
        <v>37</v>
      </c>
      <c r="M2240" t="s">
        <v>43</v>
      </c>
    </row>
    <row r="2241" spans="1:13" x14ac:dyDescent="0.2">
      <c r="A2241">
        <v>473657</v>
      </c>
      <c r="B2241" s="1">
        <v>45301</v>
      </c>
      <c r="C2241">
        <v>90921</v>
      </c>
      <c r="D2241" t="s">
        <v>48</v>
      </c>
      <c r="E2241" t="s">
        <v>118</v>
      </c>
      <c r="F2241" t="s">
        <v>119</v>
      </c>
      <c r="G2241">
        <v>1</v>
      </c>
      <c r="H2241">
        <v>4.99</v>
      </c>
      <c r="J2241">
        <v>4.99</v>
      </c>
      <c r="K2241" t="s">
        <v>32</v>
      </c>
      <c r="L2241" t="s">
        <v>17</v>
      </c>
      <c r="M2241" t="s">
        <v>102</v>
      </c>
    </row>
    <row r="2242" spans="1:13" x14ac:dyDescent="0.2">
      <c r="A2242">
        <v>474413</v>
      </c>
      <c r="B2242" s="2">
        <v>45052</v>
      </c>
      <c r="C2242">
        <v>48034</v>
      </c>
      <c r="D2242" t="s">
        <v>82</v>
      </c>
      <c r="E2242" t="s">
        <v>147</v>
      </c>
      <c r="F2242" t="s">
        <v>148</v>
      </c>
      <c r="G2242">
        <v>2</v>
      </c>
      <c r="H2242">
        <v>9.74</v>
      </c>
      <c r="I2242">
        <v>0.25</v>
      </c>
      <c r="J2242">
        <v>14.61</v>
      </c>
      <c r="K2242" t="s">
        <v>16</v>
      </c>
      <c r="L2242" t="s">
        <v>37</v>
      </c>
      <c r="M2242" t="s">
        <v>103</v>
      </c>
    </row>
    <row r="2243" spans="1:13" x14ac:dyDescent="0.2">
      <c r="A2243">
        <v>474628</v>
      </c>
      <c r="B2243" s="1">
        <v>45068</v>
      </c>
      <c r="C2243">
        <v>26344</v>
      </c>
      <c r="D2243" t="s">
        <v>29</v>
      </c>
      <c r="E2243" t="s">
        <v>170</v>
      </c>
      <c r="F2243" t="s">
        <v>171</v>
      </c>
      <c r="G2243">
        <v>4</v>
      </c>
      <c r="H2243">
        <v>14.99</v>
      </c>
      <c r="J2243">
        <v>59.96</v>
      </c>
      <c r="K2243" t="s">
        <v>16</v>
      </c>
      <c r="L2243" t="s">
        <v>37</v>
      </c>
      <c r="M2243" t="s">
        <v>47</v>
      </c>
    </row>
    <row r="2244" spans="1:13" x14ac:dyDescent="0.2">
      <c r="A2244">
        <v>474635</v>
      </c>
      <c r="B2244" s="1">
        <v>44631</v>
      </c>
      <c r="C2244">
        <v>31818</v>
      </c>
      <c r="D2244" t="s">
        <v>97</v>
      </c>
      <c r="E2244" t="s">
        <v>121</v>
      </c>
      <c r="F2244" t="s">
        <v>122</v>
      </c>
      <c r="G2244">
        <v>4</v>
      </c>
      <c r="H2244">
        <v>9.09</v>
      </c>
      <c r="I2244">
        <v>0.3</v>
      </c>
      <c r="J2244">
        <v>25.45</v>
      </c>
      <c r="K2244" t="s">
        <v>95</v>
      </c>
      <c r="L2244" t="s">
        <v>37</v>
      </c>
      <c r="M2244" t="s">
        <v>43</v>
      </c>
    </row>
    <row r="2245" spans="1:13" x14ac:dyDescent="0.2">
      <c r="A2245">
        <v>475018</v>
      </c>
      <c r="B2245" s="1">
        <v>45326</v>
      </c>
      <c r="C2245">
        <v>24153</v>
      </c>
      <c r="D2245" t="s">
        <v>25</v>
      </c>
      <c r="E2245" t="s">
        <v>51</v>
      </c>
      <c r="F2245" t="s">
        <v>52</v>
      </c>
      <c r="G2245">
        <v>3</v>
      </c>
      <c r="H2245">
        <v>25.19</v>
      </c>
      <c r="I2245">
        <v>0.1</v>
      </c>
      <c r="J2245">
        <v>68.010000000000005</v>
      </c>
      <c r="K2245" t="s">
        <v>16</v>
      </c>
      <c r="L2245" t="s">
        <v>37</v>
      </c>
      <c r="M2245" t="s">
        <v>43</v>
      </c>
    </row>
    <row r="2246" spans="1:13" x14ac:dyDescent="0.2">
      <c r="A2246">
        <v>475103</v>
      </c>
      <c r="B2246" s="1">
        <v>44994</v>
      </c>
      <c r="C2246">
        <v>24119</v>
      </c>
      <c r="D2246" t="s">
        <v>85</v>
      </c>
      <c r="E2246" t="s">
        <v>129</v>
      </c>
      <c r="F2246" t="s">
        <v>130</v>
      </c>
      <c r="G2246">
        <v>2</v>
      </c>
      <c r="H2246">
        <v>8.5399999999999991</v>
      </c>
      <c r="I2246">
        <v>0.05</v>
      </c>
      <c r="J2246">
        <v>16.23</v>
      </c>
      <c r="K2246" t="s">
        <v>16</v>
      </c>
      <c r="L2246" t="s">
        <v>17</v>
      </c>
      <c r="M2246" t="s">
        <v>117</v>
      </c>
    </row>
    <row r="2247" spans="1:13" x14ac:dyDescent="0.2">
      <c r="A2247">
        <v>475187</v>
      </c>
      <c r="B2247" s="1">
        <v>44692</v>
      </c>
      <c r="C2247">
        <v>94545</v>
      </c>
      <c r="D2247" t="s">
        <v>63</v>
      </c>
      <c r="E2247" t="s">
        <v>125</v>
      </c>
      <c r="F2247" t="s">
        <v>126</v>
      </c>
      <c r="G2247">
        <v>1</v>
      </c>
      <c r="H2247">
        <v>25.49</v>
      </c>
      <c r="I2247">
        <v>0.15</v>
      </c>
      <c r="J2247">
        <v>21.67</v>
      </c>
      <c r="K2247" t="s">
        <v>16</v>
      </c>
      <c r="L2247" t="s">
        <v>37</v>
      </c>
      <c r="M2247" t="s">
        <v>102</v>
      </c>
    </row>
    <row r="2248" spans="1:13" x14ac:dyDescent="0.2">
      <c r="A2248">
        <v>475325</v>
      </c>
      <c r="B2248" s="1">
        <v>44872</v>
      </c>
      <c r="C2248">
        <v>12252</v>
      </c>
      <c r="D2248" t="s">
        <v>48</v>
      </c>
      <c r="E2248" t="s">
        <v>139</v>
      </c>
      <c r="F2248" t="s">
        <v>140</v>
      </c>
      <c r="G2248">
        <v>2</v>
      </c>
      <c r="H2248">
        <v>7.19</v>
      </c>
      <c r="I2248">
        <v>0.1</v>
      </c>
      <c r="J2248">
        <v>12.94</v>
      </c>
      <c r="K2248" t="s">
        <v>53</v>
      </c>
      <c r="L2248" t="s">
        <v>17</v>
      </c>
      <c r="M2248" t="s">
        <v>120</v>
      </c>
    </row>
    <row r="2249" spans="1:13" x14ac:dyDescent="0.2">
      <c r="A2249">
        <v>475331</v>
      </c>
      <c r="B2249" s="1">
        <v>45220</v>
      </c>
      <c r="C2249">
        <v>76477</v>
      </c>
      <c r="D2249" t="s">
        <v>97</v>
      </c>
      <c r="E2249" t="s">
        <v>141</v>
      </c>
      <c r="F2249" t="s">
        <v>142</v>
      </c>
      <c r="G2249">
        <v>2</v>
      </c>
      <c r="H2249">
        <v>16.09</v>
      </c>
      <c r="I2249">
        <v>0.3</v>
      </c>
      <c r="J2249">
        <v>22.53</v>
      </c>
      <c r="K2249" t="s">
        <v>36</v>
      </c>
      <c r="L2249" t="s">
        <v>17</v>
      </c>
      <c r="M2249" t="s">
        <v>123</v>
      </c>
    </row>
    <row r="2250" spans="1:13" x14ac:dyDescent="0.2">
      <c r="A2250">
        <v>475670</v>
      </c>
      <c r="B2250" s="1">
        <v>45392</v>
      </c>
      <c r="C2250">
        <v>19373</v>
      </c>
      <c r="D2250" t="s">
        <v>82</v>
      </c>
      <c r="E2250" t="s">
        <v>100</v>
      </c>
      <c r="F2250" t="s">
        <v>101</v>
      </c>
      <c r="G2250">
        <v>5</v>
      </c>
      <c r="H2250">
        <v>22.99</v>
      </c>
      <c r="J2250">
        <v>114.95</v>
      </c>
      <c r="K2250" t="s">
        <v>36</v>
      </c>
      <c r="L2250" t="s">
        <v>17</v>
      </c>
      <c r="M2250" t="s">
        <v>24</v>
      </c>
    </row>
    <row r="2251" spans="1:13" x14ac:dyDescent="0.2">
      <c r="A2251">
        <v>475841</v>
      </c>
      <c r="B2251" s="1">
        <v>44946</v>
      </c>
      <c r="C2251">
        <v>41239</v>
      </c>
      <c r="D2251" t="s">
        <v>13</v>
      </c>
      <c r="E2251" t="s">
        <v>104</v>
      </c>
      <c r="F2251" t="s">
        <v>105</v>
      </c>
      <c r="G2251">
        <v>2</v>
      </c>
      <c r="H2251">
        <v>29.99</v>
      </c>
      <c r="J2251">
        <v>59.98</v>
      </c>
      <c r="K2251" t="s">
        <v>53</v>
      </c>
      <c r="L2251" t="s">
        <v>37</v>
      </c>
      <c r="M2251" t="s">
        <v>47</v>
      </c>
    </row>
    <row r="2252" spans="1:13" x14ac:dyDescent="0.2">
      <c r="A2252">
        <v>475918</v>
      </c>
      <c r="B2252" s="1">
        <v>44950</v>
      </c>
      <c r="C2252">
        <v>23751</v>
      </c>
      <c r="D2252" t="s">
        <v>44</v>
      </c>
      <c r="E2252" t="s">
        <v>45</v>
      </c>
      <c r="F2252" t="s">
        <v>46</v>
      </c>
      <c r="G2252">
        <v>5</v>
      </c>
      <c r="H2252">
        <v>1.25</v>
      </c>
      <c r="I2252">
        <v>0.3</v>
      </c>
      <c r="J2252">
        <v>4.38</v>
      </c>
      <c r="K2252" t="s">
        <v>36</v>
      </c>
      <c r="L2252" t="s">
        <v>37</v>
      </c>
      <c r="M2252" t="s">
        <v>54</v>
      </c>
    </row>
    <row r="2253" spans="1:13" x14ac:dyDescent="0.2">
      <c r="A2253">
        <v>476149</v>
      </c>
      <c r="B2253" s="1">
        <v>45462</v>
      </c>
      <c r="C2253">
        <v>17678</v>
      </c>
      <c r="D2253" t="s">
        <v>40</v>
      </c>
      <c r="E2253" t="s">
        <v>41</v>
      </c>
      <c r="F2253" t="s">
        <v>42</v>
      </c>
      <c r="G2253">
        <v>2</v>
      </c>
      <c r="H2253">
        <v>5.99</v>
      </c>
      <c r="J2253">
        <v>11.98</v>
      </c>
      <c r="K2253" t="s">
        <v>16</v>
      </c>
      <c r="L2253" t="s">
        <v>37</v>
      </c>
      <c r="M2253" t="s">
        <v>123</v>
      </c>
    </row>
    <row r="2254" spans="1:13" x14ac:dyDescent="0.2">
      <c r="A2254">
        <v>476353</v>
      </c>
      <c r="B2254" s="1">
        <v>45549</v>
      </c>
      <c r="C2254">
        <v>94813</v>
      </c>
      <c r="D2254" t="s">
        <v>199</v>
      </c>
      <c r="E2254" t="s">
        <v>79</v>
      </c>
      <c r="F2254" t="s">
        <v>80</v>
      </c>
      <c r="G2254">
        <v>2</v>
      </c>
      <c r="H2254">
        <v>89.99</v>
      </c>
      <c r="J2254">
        <v>179.98</v>
      </c>
      <c r="K2254" t="s">
        <v>16</v>
      </c>
      <c r="L2254" t="s">
        <v>17</v>
      </c>
      <c r="M2254" t="s">
        <v>43</v>
      </c>
    </row>
    <row r="2255" spans="1:13" x14ac:dyDescent="0.2">
      <c r="A2255">
        <v>477031</v>
      </c>
      <c r="B2255" s="1">
        <v>44870</v>
      </c>
      <c r="C2255">
        <v>54433</v>
      </c>
      <c r="D2255" t="s">
        <v>174</v>
      </c>
      <c r="E2255" t="s">
        <v>157</v>
      </c>
      <c r="F2255" t="s">
        <v>158</v>
      </c>
      <c r="G2255">
        <v>1</v>
      </c>
      <c r="H2255">
        <v>12.82</v>
      </c>
      <c r="I2255">
        <v>0.05</v>
      </c>
      <c r="J2255">
        <v>12.18</v>
      </c>
      <c r="K2255" t="s">
        <v>36</v>
      </c>
      <c r="L2255" t="s">
        <v>37</v>
      </c>
      <c r="M2255" t="s">
        <v>57</v>
      </c>
    </row>
    <row r="2256" spans="1:13" x14ac:dyDescent="0.2">
      <c r="A2256">
        <v>477174</v>
      </c>
      <c r="B2256" s="2">
        <v>45639</v>
      </c>
      <c r="C2256">
        <v>21703</v>
      </c>
      <c r="D2256" t="s">
        <v>192</v>
      </c>
      <c r="E2256" t="s">
        <v>181</v>
      </c>
      <c r="F2256" t="s">
        <v>182</v>
      </c>
      <c r="G2256">
        <v>1</v>
      </c>
      <c r="H2256">
        <v>14.24</v>
      </c>
      <c r="I2256">
        <v>0.05</v>
      </c>
      <c r="J2256">
        <v>13.53</v>
      </c>
      <c r="K2256" t="s">
        <v>36</v>
      </c>
      <c r="L2256" t="s">
        <v>17</v>
      </c>
      <c r="M2256" t="s">
        <v>62</v>
      </c>
    </row>
    <row r="2257" spans="1:13" x14ac:dyDescent="0.2">
      <c r="A2257">
        <v>477196</v>
      </c>
      <c r="B2257" s="1">
        <v>45213</v>
      </c>
      <c r="C2257">
        <v>38253</v>
      </c>
      <c r="D2257" t="s">
        <v>63</v>
      </c>
      <c r="E2257" t="s">
        <v>64</v>
      </c>
      <c r="F2257" t="s">
        <v>65</v>
      </c>
      <c r="G2257">
        <v>2</v>
      </c>
      <c r="H2257">
        <v>3.49</v>
      </c>
      <c r="I2257">
        <v>0.3</v>
      </c>
      <c r="J2257">
        <v>4.8899999999999997</v>
      </c>
      <c r="K2257" t="s">
        <v>22</v>
      </c>
      <c r="L2257" t="s">
        <v>23</v>
      </c>
      <c r="M2257" t="s">
        <v>103</v>
      </c>
    </row>
    <row r="2258" spans="1:13" x14ac:dyDescent="0.2">
      <c r="A2258">
        <v>477214</v>
      </c>
      <c r="B2258" s="1">
        <v>45036</v>
      </c>
      <c r="C2258">
        <v>46167</v>
      </c>
      <c r="D2258" t="s">
        <v>13</v>
      </c>
      <c r="E2258" t="s">
        <v>159</v>
      </c>
      <c r="F2258" t="s">
        <v>160</v>
      </c>
      <c r="G2258">
        <v>3</v>
      </c>
      <c r="H2258">
        <v>59.99</v>
      </c>
      <c r="J2258">
        <v>179.97</v>
      </c>
      <c r="K2258" t="s">
        <v>16</v>
      </c>
      <c r="L2258" t="s">
        <v>17</v>
      </c>
      <c r="M2258" t="s">
        <v>81</v>
      </c>
    </row>
    <row r="2259" spans="1:13" x14ac:dyDescent="0.2">
      <c r="A2259">
        <v>477351</v>
      </c>
      <c r="B2259" s="1">
        <v>45234</v>
      </c>
      <c r="C2259">
        <v>99033</v>
      </c>
      <c r="D2259" t="s">
        <v>40</v>
      </c>
      <c r="E2259" t="s">
        <v>197</v>
      </c>
      <c r="F2259" t="s">
        <v>198</v>
      </c>
      <c r="G2259">
        <v>2</v>
      </c>
      <c r="H2259">
        <v>10.49</v>
      </c>
      <c r="I2259">
        <v>0.3</v>
      </c>
      <c r="J2259">
        <v>14.69</v>
      </c>
      <c r="K2259" t="s">
        <v>16</v>
      </c>
      <c r="L2259" t="s">
        <v>17</v>
      </c>
    </row>
    <row r="2260" spans="1:13" x14ac:dyDescent="0.2">
      <c r="A2260">
        <v>477403</v>
      </c>
      <c r="B2260" s="2">
        <v>45336</v>
      </c>
      <c r="C2260">
        <v>64214</v>
      </c>
      <c r="D2260" t="s">
        <v>44</v>
      </c>
      <c r="E2260" t="s">
        <v>162</v>
      </c>
      <c r="F2260" t="s">
        <v>163</v>
      </c>
      <c r="G2260">
        <v>5</v>
      </c>
      <c r="H2260">
        <v>6.79</v>
      </c>
      <c r="I2260">
        <v>0.15</v>
      </c>
      <c r="J2260">
        <v>28.86</v>
      </c>
      <c r="K2260" t="s">
        <v>16</v>
      </c>
      <c r="L2260" t="s">
        <v>17</v>
      </c>
      <c r="M2260" t="s">
        <v>123</v>
      </c>
    </row>
    <row r="2261" spans="1:13" x14ac:dyDescent="0.2">
      <c r="A2261">
        <v>477510</v>
      </c>
      <c r="B2261" s="1">
        <v>45164</v>
      </c>
      <c r="C2261">
        <v>29309</v>
      </c>
      <c r="D2261" t="s">
        <v>82</v>
      </c>
      <c r="E2261" t="s">
        <v>188</v>
      </c>
      <c r="F2261" t="s">
        <v>189</v>
      </c>
      <c r="G2261">
        <v>3</v>
      </c>
      <c r="H2261">
        <v>44.99</v>
      </c>
      <c r="J2261">
        <v>134.97</v>
      </c>
      <c r="K2261" t="s">
        <v>95</v>
      </c>
      <c r="L2261" t="s">
        <v>17</v>
      </c>
      <c r="M2261" t="s">
        <v>102</v>
      </c>
    </row>
    <row r="2262" spans="1:13" x14ac:dyDescent="0.2">
      <c r="A2262">
        <v>477609</v>
      </c>
      <c r="B2262" s="1">
        <v>44866</v>
      </c>
      <c r="C2262">
        <v>56133</v>
      </c>
      <c r="D2262" t="s">
        <v>48</v>
      </c>
      <c r="E2262" t="s">
        <v>118</v>
      </c>
      <c r="F2262" t="s">
        <v>119</v>
      </c>
      <c r="G2262">
        <v>4</v>
      </c>
      <c r="H2262">
        <v>4.74</v>
      </c>
      <c r="I2262">
        <v>0.05</v>
      </c>
      <c r="J2262">
        <v>18.010000000000002</v>
      </c>
      <c r="K2262" t="s">
        <v>16</v>
      </c>
      <c r="L2262" t="s">
        <v>17</v>
      </c>
      <c r="M2262" t="s">
        <v>102</v>
      </c>
    </row>
    <row r="2263" spans="1:13" x14ac:dyDescent="0.2">
      <c r="A2263">
        <v>477722</v>
      </c>
      <c r="B2263" s="1">
        <v>45555</v>
      </c>
      <c r="C2263">
        <v>88186</v>
      </c>
      <c r="D2263" t="s">
        <v>192</v>
      </c>
      <c r="E2263" t="s">
        <v>181</v>
      </c>
      <c r="F2263" t="s">
        <v>182</v>
      </c>
      <c r="G2263">
        <v>1</v>
      </c>
      <c r="H2263">
        <v>14.24</v>
      </c>
      <c r="I2263">
        <v>0.05</v>
      </c>
      <c r="J2263">
        <v>13.53</v>
      </c>
      <c r="K2263" t="s">
        <v>22</v>
      </c>
      <c r="L2263" t="s">
        <v>17</v>
      </c>
      <c r="M2263" t="s">
        <v>43</v>
      </c>
    </row>
    <row r="2264" spans="1:13" x14ac:dyDescent="0.2">
      <c r="A2264">
        <v>477769</v>
      </c>
      <c r="B2264" s="2">
        <v>45071</v>
      </c>
      <c r="C2264">
        <v>76379</v>
      </c>
      <c r="D2264" t="s">
        <v>13</v>
      </c>
      <c r="E2264" t="s">
        <v>14</v>
      </c>
      <c r="F2264" t="s">
        <v>15</v>
      </c>
      <c r="G2264">
        <v>5</v>
      </c>
      <c r="H2264">
        <v>55.99</v>
      </c>
      <c r="I2264">
        <v>0.3</v>
      </c>
      <c r="J2264">
        <v>195.96</v>
      </c>
      <c r="K2264" t="s">
        <v>36</v>
      </c>
      <c r="L2264" t="s">
        <v>17</v>
      </c>
      <c r="M2264" t="s">
        <v>33</v>
      </c>
    </row>
    <row r="2265" spans="1:13" x14ac:dyDescent="0.2">
      <c r="A2265">
        <v>478007</v>
      </c>
      <c r="B2265" s="1">
        <v>45009</v>
      </c>
      <c r="C2265">
        <v>61976</v>
      </c>
      <c r="D2265" t="s">
        <v>63</v>
      </c>
      <c r="E2265" t="s">
        <v>111</v>
      </c>
      <c r="F2265" t="s">
        <v>112</v>
      </c>
      <c r="G2265">
        <v>1</v>
      </c>
      <c r="H2265">
        <v>14.99</v>
      </c>
      <c r="J2265">
        <v>14.99</v>
      </c>
      <c r="K2265" t="s">
        <v>22</v>
      </c>
      <c r="L2265" t="s">
        <v>17</v>
      </c>
      <c r="M2265" t="s">
        <v>28</v>
      </c>
    </row>
    <row r="2266" spans="1:13" x14ac:dyDescent="0.2">
      <c r="A2266">
        <v>478015</v>
      </c>
      <c r="B2266" s="2">
        <v>45249</v>
      </c>
      <c r="C2266">
        <v>75654</v>
      </c>
      <c r="D2266" t="s">
        <v>40</v>
      </c>
      <c r="E2266" t="s">
        <v>58</v>
      </c>
      <c r="F2266" t="s">
        <v>59</v>
      </c>
      <c r="G2266">
        <v>1</v>
      </c>
      <c r="H2266">
        <v>3.79</v>
      </c>
      <c r="I2266">
        <v>0.05</v>
      </c>
      <c r="J2266">
        <v>3.6</v>
      </c>
      <c r="K2266" t="s">
        <v>36</v>
      </c>
      <c r="L2266" t="s">
        <v>17</v>
      </c>
      <c r="M2266" t="s">
        <v>43</v>
      </c>
    </row>
    <row r="2267" spans="1:13" x14ac:dyDescent="0.2">
      <c r="A2267">
        <v>478412</v>
      </c>
      <c r="B2267" s="1">
        <v>44987</v>
      </c>
      <c r="C2267">
        <v>88346</v>
      </c>
      <c r="D2267" t="s">
        <v>29</v>
      </c>
      <c r="E2267" t="s">
        <v>88</v>
      </c>
      <c r="F2267" t="s">
        <v>89</v>
      </c>
      <c r="G2267">
        <v>1</v>
      </c>
      <c r="H2267">
        <v>49.99</v>
      </c>
      <c r="J2267">
        <v>49.99</v>
      </c>
      <c r="K2267" t="s">
        <v>36</v>
      </c>
      <c r="L2267" t="s">
        <v>17</v>
      </c>
      <c r="M2267" t="s">
        <v>161</v>
      </c>
    </row>
    <row r="2268" spans="1:13" x14ac:dyDescent="0.2">
      <c r="A2268">
        <v>478504</v>
      </c>
      <c r="B2268" s="1">
        <v>44642</v>
      </c>
      <c r="C2268">
        <v>83643</v>
      </c>
      <c r="D2268" t="s">
        <v>44</v>
      </c>
      <c r="E2268" t="s">
        <v>74</v>
      </c>
      <c r="F2268" t="s">
        <v>75</v>
      </c>
      <c r="G2268">
        <v>1</v>
      </c>
      <c r="H2268">
        <v>2.09</v>
      </c>
      <c r="I2268">
        <v>0.3</v>
      </c>
      <c r="J2268">
        <v>1.46</v>
      </c>
      <c r="K2268" t="s">
        <v>22</v>
      </c>
      <c r="L2268" t="s">
        <v>23</v>
      </c>
      <c r="M2268" t="s">
        <v>24</v>
      </c>
    </row>
    <row r="2269" spans="1:13" x14ac:dyDescent="0.2">
      <c r="A2269">
        <v>478510</v>
      </c>
      <c r="B2269" s="1">
        <v>45250</v>
      </c>
      <c r="C2269">
        <v>36214</v>
      </c>
      <c r="D2269" t="s">
        <v>48</v>
      </c>
      <c r="E2269" t="s">
        <v>49</v>
      </c>
      <c r="F2269" t="s">
        <v>50</v>
      </c>
      <c r="G2269">
        <v>1</v>
      </c>
      <c r="H2269">
        <v>8.99</v>
      </c>
      <c r="J2269">
        <v>8.99</v>
      </c>
      <c r="K2269" t="s">
        <v>16</v>
      </c>
      <c r="L2269" t="s">
        <v>17</v>
      </c>
      <c r="M2269" t="s">
        <v>81</v>
      </c>
    </row>
    <row r="2270" spans="1:13" x14ac:dyDescent="0.2">
      <c r="A2270">
        <v>478800</v>
      </c>
      <c r="B2270" s="1">
        <v>45243</v>
      </c>
      <c r="C2270">
        <v>16083</v>
      </c>
      <c r="D2270" t="s">
        <v>13</v>
      </c>
      <c r="E2270" t="s">
        <v>79</v>
      </c>
      <c r="F2270" t="s">
        <v>80</v>
      </c>
      <c r="G2270">
        <v>1</v>
      </c>
      <c r="H2270">
        <v>62.99</v>
      </c>
      <c r="I2270">
        <v>0.3</v>
      </c>
      <c r="J2270">
        <v>44.09</v>
      </c>
      <c r="K2270" t="s">
        <v>32</v>
      </c>
      <c r="L2270" t="s">
        <v>17</v>
      </c>
      <c r="M2270" t="s">
        <v>102</v>
      </c>
    </row>
    <row r="2271" spans="1:13" x14ac:dyDescent="0.2">
      <c r="A2271">
        <v>478949</v>
      </c>
      <c r="B2271" s="1">
        <v>44612</v>
      </c>
      <c r="C2271">
        <v>36638</v>
      </c>
      <c r="D2271" t="s">
        <v>13</v>
      </c>
      <c r="E2271" t="s">
        <v>55</v>
      </c>
      <c r="F2271" t="s">
        <v>56</v>
      </c>
      <c r="G2271">
        <v>2</v>
      </c>
      <c r="H2271">
        <v>263.99</v>
      </c>
      <c r="I2271">
        <v>0.2</v>
      </c>
      <c r="J2271">
        <v>422.38</v>
      </c>
      <c r="K2271" t="s">
        <v>36</v>
      </c>
      <c r="L2271" t="s">
        <v>17</v>
      </c>
      <c r="M2271" t="s">
        <v>54</v>
      </c>
    </row>
    <row r="2272" spans="1:13" x14ac:dyDescent="0.2">
      <c r="A2272">
        <v>479076</v>
      </c>
      <c r="B2272" s="1">
        <v>45331</v>
      </c>
      <c r="C2272">
        <v>61890</v>
      </c>
      <c r="D2272" t="s">
        <v>63</v>
      </c>
      <c r="E2272" t="s">
        <v>131</v>
      </c>
      <c r="F2272" t="s">
        <v>132</v>
      </c>
      <c r="G2272">
        <v>3</v>
      </c>
      <c r="H2272">
        <v>3.49</v>
      </c>
      <c r="J2272">
        <v>10.47</v>
      </c>
      <c r="K2272" t="s">
        <v>22</v>
      </c>
      <c r="L2272" t="s">
        <v>17</v>
      </c>
      <c r="M2272" t="s">
        <v>103</v>
      </c>
    </row>
    <row r="2273" spans="1:13" x14ac:dyDescent="0.2">
      <c r="A2273">
        <v>479357</v>
      </c>
      <c r="B2273" s="1">
        <v>45654</v>
      </c>
      <c r="C2273">
        <v>63706</v>
      </c>
      <c r="D2273" t="s">
        <v>85</v>
      </c>
      <c r="E2273" t="s">
        <v>129</v>
      </c>
      <c r="F2273" t="s">
        <v>130</v>
      </c>
      <c r="G2273">
        <v>2</v>
      </c>
      <c r="H2273">
        <v>8.99</v>
      </c>
      <c r="J2273">
        <v>17.98</v>
      </c>
      <c r="K2273" t="s">
        <v>16</v>
      </c>
      <c r="L2273" t="s">
        <v>37</v>
      </c>
      <c r="M2273" t="s">
        <v>33</v>
      </c>
    </row>
    <row r="2274" spans="1:13" x14ac:dyDescent="0.2">
      <c r="A2274">
        <v>479572</v>
      </c>
      <c r="B2274" s="1">
        <v>45112</v>
      </c>
      <c r="C2274">
        <v>31890</v>
      </c>
      <c r="D2274" t="s">
        <v>82</v>
      </c>
      <c r="E2274" t="s">
        <v>188</v>
      </c>
      <c r="F2274" t="s">
        <v>189</v>
      </c>
      <c r="G2274">
        <v>5</v>
      </c>
      <c r="H2274">
        <v>38.24</v>
      </c>
      <c r="I2274">
        <v>0.15</v>
      </c>
      <c r="J2274">
        <v>162.52000000000001</v>
      </c>
      <c r="K2274" t="s">
        <v>95</v>
      </c>
      <c r="L2274" t="s">
        <v>17</v>
      </c>
      <c r="M2274" t="s">
        <v>103</v>
      </c>
    </row>
    <row r="2275" spans="1:13" x14ac:dyDescent="0.2">
      <c r="A2275">
        <v>479856</v>
      </c>
      <c r="B2275" s="2">
        <v>45485</v>
      </c>
      <c r="C2275">
        <v>74865</v>
      </c>
      <c r="D2275" t="s">
        <v>25</v>
      </c>
      <c r="E2275" t="s">
        <v>113</v>
      </c>
      <c r="F2275" t="s">
        <v>114</v>
      </c>
      <c r="G2275">
        <v>3</v>
      </c>
      <c r="H2275">
        <v>119.99</v>
      </c>
      <c r="J2275">
        <v>359.97</v>
      </c>
      <c r="K2275" t="s">
        <v>32</v>
      </c>
      <c r="L2275" t="s">
        <v>17</v>
      </c>
      <c r="M2275" t="s">
        <v>161</v>
      </c>
    </row>
    <row r="2276" spans="1:13" x14ac:dyDescent="0.2">
      <c r="A2276">
        <v>479907</v>
      </c>
      <c r="B2276" s="1">
        <v>44923</v>
      </c>
      <c r="C2276">
        <v>80920</v>
      </c>
      <c r="D2276" t="s">
        <v>25</v>
      </c>
      <c r="E2276" t="s">
        <v>51</v>
      </c>
      <c r="F2276" t="s">
        <v>52</v>
      </c>
      <c r="G2276">
        <v>5</v>
      </c>
      <c r="H2276">
        <v>27.99</v>
      </c>
      <c r="J2276">
        <v>139.94999999999999</v>
      </c>
      <c r="K2276" t="s">
        <v>32</v>
      </c>
      <c r="L2276" t="s">
        <v>37</v>
      </c>
      <c r="M2276" t="s">
        <v>161</v>
      </c>
    </row>
    <row r="2277" spans="1:13" x14ac:dyDescent="0.2">
      <c r="A2277">
        <v>479937</v>
      </c>
      <c r="B2277" s="1">
        <v>45595</v>
      </c>
      <c r="C2277">
        <v>79188</v>
      </c>
      <c r="D2277" t="s">
        <v>25</v>
      </c>
      <c r="E2277" t="s">
        <v>51</v>
      </c>
      <c r="F2277" t="s">
        <v>52</v>
      </c>
      <c r="G2277">
        <v>1</v>
      </c>
      <c r="H2277">
        <v>23.79</v>
      </c>
      <c r="I2277">
        <v>0.15</v>
      </c>
      <c r="J2277">
        <v>20.22</v>
      </c>
      <c r="K2277" t="s">
        <v>36</v>
      </c>
      <c r="L2277" t="s">
        <v>17</v>
      </c>
    </row>
    <row r="2278" spans="1:13" x14ac:dyDescent="0.2">
      <c r="A2278">
        <v>479983</v>
      </c>
      <c r="B2278" s="1">
        <v>45343</v>
      </c>
      <c r="C2278">
        <v>32765</v>
      </c>
      <c r="D2278" t="s">
        <v>25</v>
      </c>
      <c r="E2278" t="s">
        <v>70</v>
      </c>
      <c r="F2278" t="s">
        <v>71</v>
      </c>
      <c r="G2278">
        <v>2</v>
      </c>
      <c r="H2278">
        <v>62.99</v>
      </c>
      <c r="I2278">
        <v>0.3</v>
      </c>
      <c r="J2278">
        <v>88.19</v>
      </c>
      <c r="K2278" t="s">
        <v>16</v>
      </c>
      <c r="L2278" t="s">
        <v>23</v>
      </c>
      <c r="M2278" t="s">
        <v>103</v>
      </c>
    </row>
    <row r="2279" spans="1:13" x14ac:dyDescent="0.2">
      <c r="A2279">
        <v>480740</v>
      </c>
      <c r="B2279" s="1">
        <v>45620</v>
      </c>
      <c r="C2279">
        <v>68853</v>
      </c>
      <c r="D2279" t="s">
        <v>29</v>
      </c>
      <c r="E2279" t="s">
        <v>88</v>
      </c>
      <c r="F2279" t="s">
        <v>89</v>
      </c>
      <c r="G2279">
        <v>5</v>
      </c>
      <c r="H2279">
        <v>34.99</v>
      </c>
      <c r="I2279">
        <v>0.3</v>
      </c>
      <c r="J2279">
        <v>122.46</v>
      </c>
      <c r="K2279" t="s">
        <v>16</v>
      </c>
      <c r="L2279" t="s">
        <v>17</v>
      </c>
      <c r="M2279" t="s">
        <v>102</v>
      </c>
    </row>
    <row r="2280" spans="1:13" x14ac:dyDescent="0.2">
      <c r="A2280">
        <v>480776</v>
      </c>
      <c r="B2280" s="1">
        <v>45070</v>
      </c>
      <c r="C2280">
        <v>52989</v>
      </c>
      <c r="D2280" t="s">
        <v>25</v>
      </c>
      <c r="E2280" t="s">
        <v>70</v>
      </c>
      <c r="F2280" t="s">
        <v>71</v>
      </c>
      <c r="G2280">
        <v>3</v>
      </c>
      <c r="H2280">
        <v>67.489999999999995</v>
      </c>
      <c r="I2280">
        <v>0.25</v>
      </c>
      <c r="J2280">
        <v>151.85</v>
      </c>
      <c r="K2280" t="s">
        <v>95</v>
      </c>
      <c r="L2280" t="s">
        <v>17</v>
      </c>
      <c r="M2280" t="s">
        <v>120</v>
      </c>
    </row>
    <row r="2281" spans="1:13" x14ac:dyDescent="0.2">
      <c r="A2281">
        <v>480987</v>
      </c>
      <c r="B2281" s="1">
        <v>45056</v>
      </c>
      <c r="C2281">
        <v>85137</v>
      </c>
      <c r="D2281" t="s">
        <v>44</v>
      </c>
      <c r="E2281" t="s">
        <v>133</v>
      </c>
      <c r="F2281" t="s">
        <v>134</v>
      </c>
      <c r="G2281">
        <v>3</v>
      </c>
      <c r="H2281">
        <v>3.79</v>
      </c>
      <c r="J2281">
        <v>11.37</v>
      </c>
      <c r="K2281" t="s">
        <v>16</v>
      </c>
      <c r="L2281" t="s">
        <v>37</v>
      </c>
      <c r="M2281" t="s">
        <v>76</v>
      </c>
    </row>
    <row r="2282" spans="1:13" x14ac:dyDescent="0.2">
      <c r="A2282">
        <v>481019</v>
      </c>
      <c r="B2282" s="1">
        <v>45184</v>
      </c>
      <c r="C2282">
        <v>55104</v>
      </c>
      <c r="D2282" t="s">
        <v>25</v>
      </c>
      <c r="E2282" t="s">
        <v>51</v>
      </c>
      <c r="F2282" t="s">
        <v>52</v>
      </c>
      <c r="G2282">
        <v>1</v>
      </c>
      <c r="H2282">
        <v>23.79</v>
      </c>
      <c r="I2282">
        <v>0.15</v>
      </c>
      <c r="J2282">
        <v>20.22</v>
      </c>
      <c r="K2282" t="s">
        <v>36</v>
      </c>
      <c r="L2282" t="s">
        <v>17</v>
      </c>
      <c r="M2282" t="s">
        <v>161</v>
      </c>
    </row>
    <row r="2283" spans="1:13" x14ac:dyDescent="0.2">
      <c r="A2283">
        <v>481395</v>
      </c>
      <c r="B2283" s="1">
        <v>44708</v>
      </c>
      <c r="C2283">
        <v>79309</v>
      </c>
      <c r="D2283" t="s">
        <v>44</v>
      </c>
      <c r="E2283" t="s">
        <v>172</v>
      </c>
      <c r="F2283" t="s">
        <v>173</v>
      </c>
      <c r="G2283">
        <v>1</v>
      </c>
      <c r="H2283">
        <v>4.49</v>
      </c>
      <c r="J2283">
        <v>4.49</v>
      </c>
      <c r="K2283" t="s">
        <v>16</v>
      </c>
      <c r="L2283" t="s">
        <v>17</v>
      </c>
      <c r="M2283" t="s">
        <v>67</v>
      </c>
    </row>
    <row r="2284" spans="1:13" x14ac:dyDescent="0.2">
      <c r="A2284">
        <v>481434</v>
      </c>
      <c r="B2284" s="1">
        <v>44744</v>
      </c>
      <c r="C2284">
        <v>57584</v>
      </c>
      <c r="D2284" t="s">
        <v>63</v>
      </c>
      <c r="E2284" t="s">
        <v>68</v>
      </c>
      <c r="F2284" t="s">
        <v>69</v>
      </c>
      <c r="G2284">
        <v>1</v>
      </c>
      <c r="H2284">
        <v>24.99</v>
      </c>
      <c r="J2284">
        <v>24.99</v>
      </c>
      <c r="K2284" t="s">
        <v>16</v>
      </c>
      <c r="L2284" t="s">
        <v>17</v>
      </c>
      <c r="M2284" t="s">
        <v>62</v>
      </c>
    </row>
    <row r="2285" spans="1:13" x14ac:dyDescent="0.2">
      <c r="A2285">
        <v>481558</v>
      </c>
      <c r="B2285" s="1">
        <v>45409</v>
      </c>
      <c r="C2285">
        <v>30232</v>
      </c>
      <c r="D2285" t="s">
        <v>44</v>
      </c>
      <c r="E2285" t="s">
        <v>177</v>
      </c>
      <c r="F2285" t="s">
        <v>178</v>
      </c>
      <c r="G2285">
        <v>2</v>
      </c>
      <c r="H2285">
        <v>11.39</v>
      </c>
      <c r="I2285">
        <v>0.05</v>
      </c>
      <c r="J2285">
        <v>21.64</v>
      </c>
      <c r="K2285" t="s">
        <v>16</v>
      </c>
      <c r="L2285" t="s">
        <v>17</v>
      </c>
      <c r="M2285" t="s">
        <v>120</v>
      </c>
    </row>
    <row r="2286" spans="1:13" x14ac:dyDescent="0.2">
      <c r="A2286">
        <v>482051</v>
      </c>
      <c r="B2286" s="1">
        <v>44785</v>
      </c>
      <c r="C2286">
        <v>33801</v>
      </c>
      <c r="D2286" t="s">
        <v>85</v>
      </c>
      <c r="E2286" t="s">
        <v>149</v>
      </c>
      <c r="F2286" t="s">
        <v>150</v>
      </c>
      <c r="G2286">
        <v>1</v>
      </c>
      <c r="H2286">
        <v>16.989999999999998</v>
      </c>
      <c r="I2286">
        <v>0.15</v>
      </c>
      <c r="J2286">
        <v>14.44</v>
      </c>
      <c r="K2286" t="s">
        <v>16</v>
      </c>
      <c r="L2286" t="s">
        <v>37</v>
      </c>
      <c r="M2286" t="s">
        <v>123</v>
      </c>
    </row>
    <row r="2287" spans="1:13" x14ac:dyDescent="0.2">
      <c r="A2287">
        <v>482221</v>
      </c>
      <c r="B2287" s="1">
        <v>45307</v>
      </c>
      <c r="C2287">
        <v>56802</v>
      </c>
      <c r="D2287" t="s">
        <v>48</v>
      </c>
      <c r="E2287" t="s">
        <v>179</v>
      </c>
      <c r="F2287" t="s">
        <v>180</v>
      </c>
      <c r="G2287">
        <v>2</v>
      </c>
      <c r="H2287">
        <v>10.79</v>
      </c>
      <c r="I2287">
        <v>0.1</v>
      </c>
      <c r="J2287">
        <v>19.420000000000002</v>
      </c>
      <c r="K2287" t="s">
        <v>16</v>
      </c>
      <c r="L2287" t="s">
        <v>23</v>
      </c>
      <c r="M2287" t="s">
        <v>62</v>
      </c>
    </row>
    <row r="2288" spans="1:13" x14ac:dyDescent="0.2">
      <c r="A2288">
        <v>482391</v>
      </c>
      <c r="B2288" s="2">
        <v>44804</v>
      </c>
      <c r="C2288">
        <v>21723</v>
      </c>
      <c r="D2288" t="s">
        <v>183</v>
      </c>
      <c r="E2288" t="s">
        <v>100</v>
      </c>
      <c r="F2288" t="s">
        <v>101</v>
      </c>
      <c r="G2288">
        <v>2</v>
      </c>
      <c r="H2288">
        <v>21.84</v>
      </c>
      <c r="I2288">
        <v>0.05</v>
      </c>
      <c r="J2288">
        <v>41.5</v>
      </c>
      <c r="K2288" t="s">
        <v>95</v>
      </c>
      <c r="L2288" t="s">
        <v>23</v>
      </c>
      <c r="M2288" t="s">
        <v>90</v>
      </c>
    </row>
    <row r="2289" spans="1:13" x14ac:dyDescent="0.2">
      <c r="A2289">
        <v>482500</v>
      </c>
      <c r="B2289" s="1">
        <v>44729</v>
      </c>
      <c r="C2289">
        <v>85610</v>
      </c>
      <c r="D2289" t="s">
        <v>48</v>
      </c>
      <c r="E2289" t="s">
        <v>109</v>
      </c>
      <c r="F2289" t="s">
        <v>110</v>
      </c>
      <c r="G2289">
        <v>2</v>
      </c>
      <c r="H2289">
        <v>6.99</v>
      </c>
      <c r="J2289">
        <v>13.98</v>
      </c>
      <c r="K2289" t="s">
        <v>16</v>
      </c>
      <c r="L2289" t="s">
        <v>37</v>
      </c>
      <c r="M2289" t="s">
        <v>24</v>
      </c>
    </row>
    <row r="2290" spans="1:13" x14ac:dyDescent="0.2">
      <c r="A2290">
        <v>482522</v>
      </c>
      <c r="B2290" s="1">
        <v>44884</v>
      </c>
      <c r="C2290">
        <v>41277</v>
      </c>
      <c r="D2290" t="s">
        <v>85</v>
      </c>
      <c r="E2290" t="s">
        <v>149</v>
      </c>
      <c r="F2290" t="s">
        <v>150</v>
      </c>
      <c r="G2290">
        <v>5</v>
      </c>
      <c r="H2290">
        <v>15.99</v>
      </c>
      <c r="I2290">
        <v>0.2</v>
      </c>
      <c r="J2290">
        <v>63.96</v>
      </c>
      <c r="K2290" t="s">
        <v>22</v>
      </c>
      <c r="L2290" t="s">
        <v>17</v>
      </c>
      <c r="M2290" t="s">
        <v>28</v>
      </c>
    </row>
    <row r="2291" spans="1:13" x14ac:dyDescent="0.2">
      <c r="A2291">
        <v>482523</v>
      </c>
      <c r="B2291" s="1">
        <v>45409</v>
      </c>
      <c r="C2291">
        <v>51885</v>
      </c>
      <c r="D2291" t="s">
        <v>13</v>
      </c>
      <c r="E2291" t="s">
        <v>186</v>
      </c>
      <c r="F2291" t="s">
        <v>187</v>
      </c>
      <c r="G2291">
        <v>2</v>
      </c>
      <c r="H2291">
        <v>49.99</v>
      </c>
      <c r="J2291">
        <v>99.98</v>
      </c>
      <c r="K2291" t="s">
        <v>95</v>
      </c>
      <c r="L2291" t="s">
        <v>17</v>
      </c>
      <c r="M2291" t="s">
        <v>47</v>
      </c>
    </row>
    <row r="2292" spans="1:13" x14ac:dyDescent="0.2">
      <c r="A2292">
        <v>482615</v>
      </c>
      <c r="B2292" s="2">
        <v>45537</v>
      </c>
      <c r="C2292">
        <v>31389</v>
      </c>
      <c r="D2292" t="s">
        <v>82</v>
      </c>
      <c r="E2292" t="s">
        <v>188</v>
      </c>
      <c r="F2292" t="s">
        <v>189</v>
      </c>
      <c r="G2292">
        <v>2</v>
      </c>
      <c r="H2292">
        <v>42.74</v>
      </c>
      <c r="I2292">
        <v>0.05</v>
      </c>
      <c r="J2292">
        <v>81.209999999999994</v>
      </c>
      <c r="K2292" t="s">
        <v>36</v>
      </c>
      <c r="L2292" t="s">
        <v>17</v>
      </c>
      <c r="M2292" t="s">
        <v>76</v>
      </c>
    </row>
    <row r="2293" spans="1:13" x14ac:dyDescent="0.2">
      <c r="A2293">
        <v>482944</v>
      </c>
      <c r="B2293" s="2">
        <v>45291</v>
      </c>
      <c r="C2293">
        <v>60408</v>
      </c>
      <c r="D2293" t="s">
        <v>48</v>
      </c>
      <c r="E2293" t="s">
        <v>118</v>
      </c>
      <c r="F2293" t="s">
        <v>119</v>
      </c>
      <c r="G2293">
        <v>1</v>
      </c>
      <c r="H2293">
        <v>4.99</v>
      </c>
      <c r="J2293">
        <v>4.99</v>
      </c>
      <c r="K2293" t="s">
        <v>22</v>
      </c>
      <c r="L2293" t="s">
        <v>37</v>
      </c>
      <c r="M2293" t="s">
        <v>28</v>
      </c>
    </row>
    <row r="2294" spans="1:13" x14ac:dyDescent="0.2">
      <c r="A2294">
        <v>483004</v>
      </c>
      <c r="B2294" s="1">
        <v>44597</v>
      </c>
      <c r="C2294">
        <v>78983</v>
      </c>
      <c r="D2294" t="s">
        <v>25</v>
      </c>
      <c r="E2294" t="s">
        <v>70</v>
      </c>
      <c r="F2294" t="s">
        <v>71</v>
      </c>
      <c r="G2294">
        <v>1</v>
      </c>
      <c r="H2294">
        <v>76.489999999999995</v>
      </c>
      <c r="I2294">
        <v>0.15</v>
      </c>
      <c r="J2294">
        <v>65.02</v>
      </c>
      <c r="K2294" t="s">
        <v>16</v>
      </c>
      <c r="L2294" t="s">
        <v>17</v>
      </c>
      <c r="M2294" t="s">
        <v>43</v>
      </c>
    </row>
    <row r="2295" spans="1:13" x14ac:dyDescent="0.2">
      <c r="A2295">
        <v>483103</v>
      </c>
      <c r="B2295" s="1">
        <v>44802</v>
      </c>
      <c r="C2295">
        <v>86162</v>
      </c>
      <c r="D2295" t="s">
        <v>40</v>
      </c>
      <c r="E2295" t="s">
        <v>20</v>
      </c>
      <c r="F2295" t="s">
        <v>21</v>
      </c>
      <c r="G2295">
        <v>2</v>
      </c>
      <c r="H2295">
        <v>6.99</v>
      </c>
      <c r="I2295">
        <v>0.3</v>
      </c>
      <c r="J2295">
        <v>9.7899999999999991</v>
      </c>
      <c r="K2295" t="s">
        <v>36</v>
      </c>
      <c r="L2295" t="s">
        <v>17</v>
      </c>
      <c r="M2295" t="s">
        <v>76</v>
      </c>
    </row>
    <row r="2296" spans="1:13" x14ac:dyDescent="0.2">
      <c r="A2296">
        <v>483279</v>
      </c>
      <c r="B2296" s="2">
        <v>44656</v>
      </c>
      <c r="C2296">
        <v>71830</v>
      </c>
      <c r="D2296" t="s">
        <v>63</v>
      </c>
      <c r="E2296" t="s">
        <v>68</v>
      </c>
      <c r="F2296" t="s">
        <v>69</v>
      </c>
      <c r="G2296">
        <v>1</v>
      </c>
      <c r="H2296">
        <v>23.74</v>
      </c>
      <c r="I2296">
        <v>0.05</v>
      </c>
      <c r="J2296">
        <v>22.55</v>
      </c>
      <c r="K2296" t="s">
        <v>16</v>
      </c>
      <c r="L2296" t="s">
        <v>37</v>
      </c>
      <c r="M2296" t="s">
        <v>54</v>
      </c>
    </row>
    <row r="2297" spans="1:13" x14ac:dyDescent="0.2">
      <c r="A2297">
        <v>483450</v>
      </c>
      <c r="B2297" s="1">
        <v>45453</v>
      </c>
      <c r="C2297">
        <v>65584</v>
      </c>
      <c r="D2297" t="s">
        <v>29</v>
      </c>
      <c r="E2297" t="s">
        <v>72</v>
      </c>
      <c r="F2297" t="s">
        <v>73</v>
      </c>
      <c r="G2297">
        <v>1</v>
      </c>
      <c r="H2297">
        <v>33.99</v>
      </c>
      <c r="I2297">
        <v>0.15</v>
      </c>
      <c r="J2297">
        <v>28.89</v>
      </c>
      <c r="K2297" t="s">
        <v>16</v>
      </c>
      <c r="L2297" t="s">
        <v>37</v>
      </c>
      <c r="M2297" t="s">
        <v>96</v>
      </c>
    </row>
    <row r="2298" spans="1:13" x14ac:dyDescent="0.2">
      <c r="A2298">
        <v>483461</v>
      </c>
      <c r="B2298" s="1">
        <v>44972</v>
      </c>
      <c r="C2298">
        <v>49580</v>
      </c>
      <c r="D2298" t="s">
        <v>85</v>
      </c>
      <c r="E2298" t="s">
        <v>86</v>
      </c>
      <c r="F2298" t="s">
        <v>87</v>
      </c>
      <c r="G2298">
        <v>1</v>
      </c>
      <c r="H2298">
        <v>9.09</v>
      </c>
      <c r="I2298">
        <v>0.3</v>
      </c>
      <c r="J2298">
        <v>6.36</v>
      </c>
      <c r="K2298" t="s">
        <v>16</v>
      </c>
      <c r="L2298" t="s">
        <v>37</v>
      </c>
      <c r="M2298" t="s">
        <v>18</v>
      </c>
    </row>
    <row r="2299" spans="1:13" x14ac:dyDescent="0.2">
      <c r="A2299">
        <v>483683</v>
      </c>
      <c r="B2299" s="1">
        <v>45314</v>
      </c>
      <c r="C2299">
        <v>54193</v>
      </c>
      <c r="D2299" t="s">
        <v>13</v>
      </c>
      <c r="E2299" t="s">
        <v>34</v>
      </c>
      <c r="F2299" t="s">
        <v>35</v>
      </c>
      <c r="G2299">
        <v>3</v>
      </c>
      <c r="H2299">
        <v>34.99</v>
      </c>
      <c r="J2299">
        <v>104.97</v>
      </c>
      <c r="K2299" t="s">
        <v>16</v>
      </c>
      <c r="L2299" t="s">
        <v>17</v>
      </c>
      <c r="M2299" t="s">
        <v>62</v>
      </c>
    </row>
    <row r="2300" spans="1:13" x14ac:dyDescent="0.2">
      <c r="A2300">
        <v>483791</v>
      </c>
      <c r="B2300" s="1">
        <v>44729</v>
      </c>
      <c r="C2300">
        <v>73215</v>
      </c>
      <c r="D2300" t="s">
        <v>85</v>
      </c>
      <c r="E2300" t="s">
        <v>86</v>
      </c>
      <c r="F2300" t="s">
        <v>87</v>
      </c>
      <c r="G2300">
        <v>1</v>
      </c>
      <c r="H2300">
        <v>12.99</v>
      </c>
      <c r="J2300">
        <v>12.99</v>
      </c>
      <c r="K2300" t="s">
        <v>16</v>
      </c>
      <c r="L2300" t="s">
        <v>17</v>
      </c>
      <c r="M2300" t="s">
        <v>120</v>
      </c>
    </row>
    <row r="2301" spans="1:13" x14ac:dyDescent="0.2">
      <c r="A2301">
        <v>483947</v>
      </c>
      <c r="B2301" s="1">
        <v>45495</v>
      </c>
      <c r="C2301">
        <v>97838</v>
      </c>
      <c r="D2301" t="s">
        <v>48</v>
      </c>
      <c r="E2301" t="s">
        <v>109</v>
      </c>
      <c r="F2301" t="s">
        <v>110</v>
      </c>
      <c r="G2301">
        <v>2</v>
      </c>
      <c r="H2301">
        <v>6.99</v>
      </c>
      <c r="J2301">
        <v>13.98</v>
      </c>
      <c r="K2301" t="s">
        <v>16</v>
      </c>
      <c r="L2301" t="s">
        <v>23</v>
      </c>
      <c r="M2301" t="s">
        <v>54</v>
      </c>
    </row>
    <row r="2302" spans="1:13" x14ac:dyDescent="0.2">
      <c r="A2302">
        <v>484163</v>
      </c>
      <c r="B2302" s="1">
        <v>44932</v>
      </c>
      <c r="C2302">
        <v>48686</v>
      </c>
      <c r="D2302" t="s">
        <v>82</v>
      </c>
      <c r="E2302" t="s">
        <v>147</v>
      </c>
      <c r="F2302" t="s">
        <v>148</v>
      </c>
      <c r="G2302">
        <v>1</v>
      </c>
      <c r="H2302">
        <v>11.69</v>
      </c>
      <c r="I2302">
        <v>0.1</v>
      </c>
      <c r="J2302">
        <v>10.52</v>
      </c>
      <c r="K2302" t="s">
        <v>36</v>
      </c>
      <c r="L2302" t="s">
        <v>23</v>
      </c>
      <c r="M2302" t="s">
        <v>96</v>
      </c>
    </row>
    <row r="2303" spans="1:13" x14ac:dyDescent="0.2">
      <c r="A2303">
        <v>484189</v>
      </c>
      <c r="B2303" s="1">
        <v>44947</v>
      </c>
      <c r="C2303">
        <v>60455</v>
      </c>
      <c r="D2303" t="s">
        <v>174</v>
      </c>
      <c r="E2303" t="s">
        <v>157</v>
      </c>
      <c r="F2303" t="s">
        <v>158</v>
      </c>
      <c r="G2303">
        <v>4</v>
      </c>
      <c r="H2303">
        <v>12.14</v>
      </c>
      <c r="I2303">
        <v>0.1</v>
      </c>
      <c r="J2303">
        <v>43.7</v>
      </c>
      <c r="K2303" t="s">
        <v>16</v>
      </c>
      <c r="L2303" t="s">
        <v>17</v>
      </c>
      <c r="M2303" t="s">
        <v>28</v>
      </c>
    </row>
    <row r="2304" spans="1:13" x14ac:dyDescent="0.2">
      <c r="A2304">
        <v>484327</v>
      </c>
      <c r="B2304" s="1">
        <v>44906</v>
      </c>
      <c r="C2304">
        <v>64318</v>
      </c>
      <c r="D2304" t="s">
        <v>85</v>
      </c>
      <c r="E2304" t="s">
        <v>157</v>
      </c>
      <c r="F2304" t="s">
        <v>158</v>
      </c>
      <c r="G2304">
        <v>5</v>
      </c>
      <c r="H2304">
        <v>10.119999999999999</v>
      </c>
      <c r="I2304">
        <v>0.25</v>
      </c>
      <c r="J2304">
        <v>37.950000000000003</v>
      </c>
      <c r="K2304" t="s">
        <v>16</v>
      </c>
      <c r="L2304" t="s">
        <v>17</v>
      </c>
      <c r="M2304" t="s">
        <v>123</v>
      </c>
    </row>
    <row r="2305" spans="1:13" x14ac:dyDescent="0.2">
      <c r="A2305">
        <v>484612</v>
      </c>
      <c r="B2305" s="1">
        <v>44609</v>
      </c>
      <c r="C2305">
        <v>50034</v>
      </c>
      <c r="D2305" t="s">
        <v>97</v>
      </c>
      <c r="E2305" t="s">
        <v>181</v>
      </c>
      <c r="F2305" t="s">
        <v>182</v>
      </c>
      <c r="G2305">
        <v>4</v>
      </c>
      <c r="H2305">
        <v>13.49</v>
      </c>
      <c r="I2305">
        <v>0.1</v>
      </c>
      <c r="J2305">
        <v>48.56</v>
      </c>
      <c r="K2305" t="s">
        <v>16</v>
      </c>
      <c r="L2305" t="s">
        <v>17</v>
      </c>
      <c r="M2305" t="s">
        <v>120</v>
      </c>
    </row>
    <row r="2306" spans="1:13" x14ac:dyDescent="0.2">
      <c r="A2306">
        <v>484731</v>
      </c>
      <c r="B2306" s="1">
        <v>45547</v>
      </c>
      <c r="C2306">
        <v>92013</v>
      </c>
      <c r="D2306" t="s">
        <v>174</v>
      </c>
      <c r="E2306" t="s">
        <v>137</v>
      </c>
      <c r="F2306" t="s">
        <v>138</v>
      </c>
      <c r="G2306">
        <v>5</v>
      </c>
      <c r="H2306">
        <v>7.19</v>
      </c>
      <c r="I2306">
        <v>0.1</v>
      </c>
      <c r="J2306">
        <v>32.36</v>
      </c>
      <c r="K2306" t="s">
        <v>36</v>
      </c>
      <c r="L2306" t="s">
        <v>17</v>
      </c>
      <c r="M2306" t="s">
        <v>54</v>
      </c>
    </row>
    <row r="2307" spans="1:13" x14ac:dyDescent="0.2">
      <c r="A2307">
        <v>484848</v>
      </c>
      <c r="B2307" s="1">
        <v>45430</v>
      </c>
      <c r="C2307">
        <v>85119</v>
      </c>
      <c r="D2307" t="s">
        <v>44</v>
      </c>
      <c r="E2307" t="s">
        <v>133</v>
      </c>
      <c r="F2307" t="s">
        <v>134</v>
      </c>
      <c r="G2307">
        <v>1</v>
      </c>
      <c r="H2307">
        <v>3.03</v>
      </c>
      <c r="I2307">
        <v>0.2</v>
      </c>
      <c r="J2307">
        <v>2.42</v>
      </c>
      <c r="K2307" t="s">
        <v>66</v>
      </c>
      <c r="L2307" t="s">
        <v>17</v>
      </c>
      <c r="M2307" t="s">
        <v>28</v>
      </c>
    </row>
    <row r="2308" spans="1:13" x14ac:dyDescent="0.2">
      <c r="A2308">
        <v>485298</v>
      </c>
      <c r="B2308" s="2">
        <v>45480</v>
      </c>
      <c r="C2308">
        <v>97105</v>
      </c>
      <c r="D2308" t="s">
        <v>48</v>
      </c>
      <c r="E2308" t="s">
        <v>118</v>
      </c>
      <c r="F2308" t="s">
        <v>119</v>
      </c>
      <c r="G2308">
        <v>5</v>
      </c>
      <c r="H2308">
        <v>4.99</v>
      </c>
      <c r="J2308">
        <v>24.95</v>
      </c>
      <c r="K2308" t="s">
        <v>16</v>
      </c>
      <c r="L2308" t="s">
        <v>17</v>
      </c>
      <c r="M2308" t="s">
        <v>33</v>
      </c>
    </row>
    <row r="2309" spans="1:13" x14ac:dyDescent="0.2">
      <c r="A2309">
        <v>485303</v>
      </c>
      <c r="B2309" s="1">
        <v>44728</v>
      </c>
      <c r="D2309" t="s">
        <v>200</v>
      </c>
      <c r="E2309" t="s">
        <v>113</v>
      </c>
      <c r="F2309" t="s">
        <v>114</v>
      </c>
      <c r="G2309">
        <v>1</v>
      </c>
      <c r="H2309">
        <v>83.99</v>
      </c>
      <c r="I2309">
        <v>0.3</v>
      </c>
      <c r="J2309">
        <v>58.79</v>
      </c>
      <c r="K2309" t="s">
        <v>36</v>
      </c>
      <c r="L2309" t="s">
        <v>23</v>
      </c>
      <c r="M2309" t="s">
        <v>62</v>
      </c>
    </row>
    <row r="2310" spans="1:13" x14ac:dyDescent="0.2">
      <c r="A2310">
        <v>485501</v>
      </c>
      <c r="B2310" s="1">
        <v>44859</v>
      </c>
      <c r="C2310">
        <v>97607</v>
      </c>
      <c r="D2310" t="s">
        <v>40</v>
      </c>
      <c r="E2310" t="s">
        <v>197</v>
      </c>
      <c r="F2310" t="s">
        <v>198</v>
      </c>
      <c r="G2310">
        <v>3</v>
      </c>
      <c r="H2310">
        <v>11.24</v>
      </c>
      <c r="I2310">
        <v>0.25</v>
      </c>
      <c r="J2310">
        <v>25.29</v>
      </c>
      <c r="K2310" t="s">
        <v>36</v>
      </c>
      <c r="L2310" t="s">
        <v>17</v>
      </c>
      <c r="M2310" t="s">
        <v>62</v>
      </c>
    </row>
    <row r="2311" spans="1:13" x14ac:dyDescent="0.2">
      <c r="A2311">
        <v>485536</v>
      </c>
      <c r="B2311" s="2">
        <v>45567</v>
      </c>
      <c r="C2311">
        <v>18056</v>
      </c>
      <c r="D2311" t="s">
        <v>25</v>
      </c>
      <c r="E2311" t="s">
        <v>60</v>
      </c>
      <c r="F2311" t="s">
        <v>61</v>
      </c>
      <c r="G2311">
        <v>3</v>
      </c>
      <c r="H2311">
        <v>46.74</v>
      </c>
      <c r="I2311">
        <v>0.15</v>
      </c>
      <c r="J2311">
        <v>119.19</v>
      </c>
      <c r="K2311" t="s">
        <v>22</v>
      </c>
      <c r="L2311" t="s">
        <v>17</v>
      </c>
      <c r="M2311" t="s">
        <v>18</v>
      </c>
    </row>
    <row r="2312" spans="1:13" x14ac:dyDescent="0.2">
      <c r="A2312">
        <v>485695</v>
      </c>
      <c r="B2312" s="2">
        <v>45167</v>
      </c>
      <c r="C2312">
        <v>62667</v>
      </c>
      <c r="D2312" t="s">
        <v>25</v>
      </c>
      <c r="E2312" t="s">
        <v>70</v>
      </c>
      <c r="F2312" t="s">
        <v>71</v>
      </c>
      <c r="G2312">
        <v>4</v>
      </c>
      <c r="H2312">
        <v>67.489999999999995</v>
      </c>
      <c r="I2312">
        <v>0.25</v>
      </c>
      <c r="J2312">
        <v>202.47</v>
      </c>
      <c r="K2312" t="s">
        <v>36</v>
      </c>
      <c r="L2312" t="s">
        <v>17</v>
      </c>
      <c r="M2312" t="s">
        <v>18</v>
      </c>
    </row>
    <row r="2313" spans="1:13" x14ac:dyDescent="0.2">
      <c r="A2313">
        <v>486251</v>
      </c>
      <c r="B2313" s="1">
        <v>45175</v>
      </c>
      <c r="C2313">
        <v>50327</v>
      </c>
      <c r="D2313" t="s">
        <v>63</v>
      </c>
      <c r="E2313" t="s">
        <v>125</v>
      </c>
      <c r="F2313" t="s">
        <v>126</v>
      </c>
      <c r="G2313">
        <v>4</v>
      </c>
      <c r="H2313">
        <v>22.49</v>
      </c>
      <c r="I2313">
        <v>0.25</v>
      </c>
      <c r="J2313">
        <v>67.47</v>
      </c>
      <c r="K2313" t="s">
        <v>36</v>
      </c>
      <c r="L2313" t="s">
        <v>17</v>
      </c>
      <c r="M2313" t="s">
        <v>161</v>
      </c>
    </row>
    <row r="2314" spans="1:13" x14ac:dyDescent="0.2">
      <c r="A2314">
        <v>486322</v>
      </c>
      <c r="B2314" s="2">
        <v>44800</v>
      </c>
      <c r="C2314">
        <v>30482</v>
      </c>
      <c r="D2314" t="s">
        <v>97</v>
      </c>
      <c r="E2314" t="s">
        <v>141</v>
      </c>
      <c r="F2314" t="s">
        <v>142</v>
      </c>
      <c r="G2314">
        <v>5</v>
      </c>
      <c r="H2314">
        <v>19.54</v>
      </c>
      <c r="I2314">
        <v>0.15</v>
      </c>
      <c r="J2314">
        <v>83.04</v>
      </c>
      <c r="K2314" t="s">
        <v>36</v>
      </c>
      <c r="L2314" t="s">
        <v>17</v>
      </c>
      <c r="M2314" t="s">
        <v>123</v>
      </c>
    </row>
    <row r="2315" spans="1:13" x14ac:dyDescent="0.2">
      <c r="A2315">
        <v>486513</v>
      </c>
      <c r="B2315" s="2">
        <v>45246</v>
      </c>
      <c r="C2315">
        <v>60095</v>
      </c>
      <c r="D2315" t="s">
        <v>82</v>
      </c>
      <c r="E2315" t="s">
        <v>188</v>
      </c>
      <c r="F2315" t="s">
        <v>189</v>
      </c>
      <c r="G2315">
        <v>5</v>
      </c>
      <c r="H2315">
        <v>42.74</v>
      </c>
      <c r="I2315">
        <v>0.05</v>
      </c>
      <c r="J2315">
        <v>203.02</v>
      </c>
      <c r="K2315" t="s">
        <v>53</v>
      </c>
      <c r="L2315" t="s">
        <v>37</v>
      </c>
      <c r="M2315" t="s">
        <v>57</v>
      </c>
    </row>
    <row r="2316" spans="1:13" x14ac:dyDescent="0.2">
      <c r="A2316">
        <v>486566</v>
      </c>
      <c r="B2316" s="1">
        <v>45074</v>
      </c>
      <c r="C2316">
        <v>85292</v>
      </c>
      <c r="D2316" t="s">
        <v>63</v>
      </c>
      <c r="E2316" t="s">
        <v>111</v>
      </c>
      <c r="F2316" t="s">
        <v>112</v>
      </c>
      <c r="G2316">
        <v>3</v>
      </c>
      <c r="H2316">
        <v>11.24</v>
      </c>
      <c r="I2316">
        <v>0.25</v>
      </c>
      <c r="J2316">
        <v>25.29</v>
      </c>
      <c r="K2316" t="s">
        <v>16</v>
      </c>
      <c r="L2316" t="s">
        <v>17</v>
      </c>
      <c r="M2316" t="s">
        <v>28</v>
      </c>
    </row>
    <row r="2317" spans="1:13" x14ac:dyDescent="0.2">
      <c r="A2317">
        <v>486667</v>
      </c>
      <c r="B2317" s="1">
        <v>45266</v>
      </c>
      <c r="C2317">
        <v>13507</v>
      </c>
      <c r="D2317" t="s">
        <v>29</v>
      </c>
      <c r="E2317" t="s">
        <v>38</v>
      </c>
      <c r="F2317" t="s">
        <v>39</v>
      </c>
      <c r="G2317">
        <v>3</v>
      </c>
      <c r="H2317">
        <v>20.99</v>
      </c>
      <c r="I2317">
        <v>0.3</v>
      </c>
      <c r="J2317">
        <v>44.08</v>
      </c>
      <c r="K2317" t="s">
        <v>36</v>
      </c>
      <c r="L2317" t="s">
        <v>17</v>
      </c>
      <c r="M2317" t="s">
        <v>62</v>
      </c>
    </row>
    <row r="2318" spans="1:13" x14ac:dyDescent="0.2">
      <c r="A2318">
        <v>486749</v>
      </c>
      <c r="B2318" s="1">
        <v>44974</v>
      </c>
      <c r="C2318">
        <v>19284</v>
      </c>
      <c r="D2318" t="s">
        <v>63</v>
      </c>
      <c r="E2318" t="s">
        <v>64</v>
      </c>
      <c r="F2318" t="s">
        <v>65</v>
      </c>
      <c r="G2318">
        <v>2</v>
      </c>
      <c r="H2318">
        <v>3.49</v>
      </c>
      <c r="I2318">
        <v>0.3</v>
      </c>
      <c r="J2318">
        <v>4.8899999999999997</v>
      </c>
      <c r="K2318" t="s">
        <v>36</v>
      </c>
      <c r="L2318" t="s">
        <v>17</v>
      </c>
      <c r="M2318" t="s">
        <v>43</v>
      </c>
    </row>
    <row r="2319" spans="1:13" x14ac:dyDescent="0.2">
      <c r="A2319">
        <v>486854</v>
      </c>
      <c r="B2319" s="1">
        <v>45087</v>
      </c>
      <c r="C2319">
        <v>49314</v>
      </c>
      <c r="D2319" t="s">
        <v>97</v>
      </c>
      <c r="E2319" t="s">
        <v>141</v>
      </c>
      <c r="F2319" t="s">
        <v>142</v>
      </c>
      <c r="G2319">
        <v>2</v>
      </c>
      <c r="H2319">
        <v>20.69</v>
      </c>
      <c r="I2319">
        <v>0.1</v>
      </c>
      <c r="J2319">
        <v>37.24</v>
      </c>
      <c r="K2319" t="s">
        <v>36</v>
      </c>
      <c r="L2319" t="s">
        <v>17</v>
      </c>
      <c r="M2319" t="s">
        <v>96</v>
      </c>
    </row>
    <row r="2320" spans="1:13" x14ac:dyDescent="0.2">
      <c r="A2320">
        <v>486947</v>
      </c>
      <c r="B2320" s="1">
        <v>45497</v>
      </c>
      <c r="C2320">
        <v>85279</v>
      </c>
      <c r="D2320" t="s">
        <v>82</v>
      </c>
      <c r="E2320" t="s">
        <v>188</v>
      </c>
      <c r="F2320" t="s">
        <v>189</v>
      </c>
      <c r="G2320">
        <v>3</v>
      </c>
      <c r="H2320">
        <v>44.99</v>
      </c>
      <c r="J2320">
        <v>134.97</v>
      </c>
      <c r="K2320" t="s">
        <v>36</v>
      </c>
      <c r="L2320" t="s">
        <v>17</v>
      </c>
      <c r="M2320" t="s">
        <v>117</v>
      </c>
    </row>
    <row r="2321" spans="1:13" x14ac:dyDescent="0.2">
      <c r="A2321">
        <v>487168</v>
      </c>
      <c r="B2321" s="1">
        <v>45247</v>
      </c>
      <c r="C2321">
        <v>73896</v>
      </c>
      <c r="D2321" t="s">
        <v>82</v>
      </c>
      <c r="E2321" t="s">
        <v>188</v>
      </c>
      <c r="F2321" t="s">
        <v>189</v>
      </c>
      <c r="G2321">
        <v>4</v>
      </c>
      <c r="H2321">
        <v>44.99</v>
      </c>
      <c r="J2321">
        <v>179.96</v>
      </c>
      <c r="K2321" t="s">
        <v>32</v>
      </c>
      <c r="L2321" t="s">
        <v>17</v>
      </c>
      <c r="M2321" t="s">
        <v>81</v>
      </c>
    </row>
    <row r="2322" spans="1:13" x14ac:dyDescent="0.2">
      <c r="A2322">
        <v>487205</v>
      </c>
      <c r="B2322" s="1">
        <v>45613</v>
      </c>
      <c r="C2322">
        <v>27161</v>
      </c>
      <c r="D2322" t="s">
        <v>25</v>
      </c>
      <c r="E2322" t="s">
        <v>26</v>
      </c>
      <c r="F2322" t="s">
        <v>27</v>
      </c>
      <c r="G2322">
        <v>5</v>
      </c>
      <c r="H2322">
        <v>26.24</v>
      </c>
      <c r="I2322">
        <v>0.25</v>
      </c>
      <c r="J2322">
        <v>98.4</v>
      </c>
      <c r="K2322" t="s">
        <v>36</v>
      </c>
      <c r="L2322" t="s">
        <v>37</v>
      </c>
      <c r="M2322" t="s">
        <v>103</v>
      </c>
    </row>
    <row r="2323" spans="1:13" x14ac:dyDescent="0.2">
      <c r="A2323">
        <v>487236</v>
      </c>
      <c r="B2323" s="1">
        <v>45159</v>
      </c>
      <c r="C2323">
        <v>16055</v>
      </c>
      <c r="D2323" t="s">
        <v>82</v>
      </c>
      <c r="E2323" t="s">
        <v>100</v>
      </c>
      <c r="F2323" t="s">
        <v>101</v>
      </c>
      <c r="G2323">
        <v>1</v>
      </c>
      <c r="H2323">
        <v>22.99</v>
      </c>
      <c r="J2323">
        <v>22.99</v>
      </c>
      <c r="K2323" t="s">
        <v>16</v>
      </c>
      <c r="L2323" t="s">
        <v>17</v>
      </c>
      <c r="M2323" t="s">
        <v>90</v>
      </c>
    </row>
    <row r="2324" spans="1:13" x14ac:dyDescent="0.2">
      <c r="A2324">
        <v>487392</v>
      </c>
      <c r="B2324" s="2">
        <v>44753</v>
      </c>
      <c r="C2324">
        <v>67631</v>
      </c>
      <c r="D2324" t="s">
        <v>13</v>
      </c>
      <c r="E2324" t="s">
        <v>55</v>
      </c>
      <c r="F2324" t="s">
        <v>56</v>
      </c>
      <c r="G2324">
        <v>4</v>
      </c>
      <c r="H2324">
        <v>296.99</v>
      </c>
      <c r="I2324">
        <v>0.1</v>
      </c>
      <c r="J2324">
        <v>1069.1600000000001</v>
      </c>
      <c r="K2324" t="s">
        <v>16</v>
      </c>
      <c r="L2324" t="s">
        <v>23</v>
      </c>
      <c r="M2324" t="s">
        <v>57</v>
      </c>
    </row>
    <row r="2325" spans="1:13" x14ac:dyDescent="0.2">
      <c r="A2325">
        <v>487547</v>
      </c>
      <c r="B2325" s="1">
        <v>44680</v>
      </c>
      <c r="C2325">
        <v>61197</v>
      </c>
      <c r="D2325" t="s">
        <v>82</v>
      </c>
      <c r="E2325" t="s">
        <v>147</v>
      </c>
      <c r="F2325" t="s">
        <v>148</v>
      </c>
      <c r="G2325">
        <v>2</v>
      </c>
      <c r="H2325">
        <v>9.09</v>
      </c>
      <c r="I2325">
        <v>0.3</v>
      </c>
      <c r="J2325">
        <v>12.73</v>
      </c>
      <c r="K2325" t="s">
        <v>22</v>
      </c>
      <c r="L2325" t="s">
        <v>17</v>
      </c>
    </row>
    <row r="2326" spans="1:13" x14ac:dyDescent="0.2">
      <c r="A2326">
        <v>487982</v>
      </c>
      <c r="B2326" s="1">
        <v>45531</v>
      </c>
      <c r="C2326">
        <v>40597</v>
      </c>
      <c r="D2326" t="s">
        <v>44</v>
      </c>
      <c r="E2326" t="s">
        <v>91</v>
      </c>
      <c r="F2326" t="s">
        <v>92</v>
      </c>
      <c r="G2326">
        <v>1</v>
      </c>
      <c r="H2326">
        <v>6.29</v>
      </c>
      <c r="J2326">
        <v>6.29</v>
      </c>
      <c r="K2326" t="s">
        <v>16</v>
      </c>
      <c r="L2326" t="s">
        <v>17</v>
      </c>
      <c r="M2326" t="s">
        <v>102</v>
      </c>
    </row>
    <row r="2327" spans="1:13" x14ac:dyDescent="0.2">
      <c r="A2327">
        <v>488070</v>
      </c>
      <c r="B2327" s="1">
        <v>44976</v>
      </c>
      <c r="C2327">
        <v>65932</v>
      </c>
      <c r="D2327" t="s">
        <v>97</v>
      </c>
      <c r="E2327" t="s">
        <v>141</v>
      </c>
      <c r="F2327" t="s">
        <v>142</v>
      </c>
      <c r="G2327">
        <v>1</v>
      </c>
      <c r="H2327">
        <v>22.99</v>
      </c>
      <c r="J2327">
        <v>22.99</v>
      </c>
      <c r="K2327" t="s">
        <v>36</v>
      </c>
      <c r="L2327" t="s">
        <v>17</v>
      </c>
      <c r="M2327" t="s">
        <v>54</v>
      </c>
    </row>
    <row r="2328" spans="1:13" x14ac:dyDescent="0.2">
      <c r="A2328">
        <v>488399</v>
      </c>
      <c r="B2328" s="1">
        <v>45473</v>
      </c>
      <c r="C2328">
        <v>65438</v>
      </c>
      <c r="D2328" t="s">
        <v>199</v>
      </c>
      <c r="E2328" t="s">
        <v>127</v>
      </c>
      <c r="F2328" t="s">
        <v>128</v>
      </c>
      <c r="G2328">
        <v>2</v>
      </c>
      <c r="H2328">
        <v>14.99</v>
      </c>
      <c r="I2328">
        <v>0.25</v>
      </c>
      <c r="J2328">
        <v>22.48</v>
      </c>
      <c r="K2328" t="s">
        <v>36</v>
      </c>
      <c r="L2328" t="s">
        <v>17</v>
      </c>
      <c r="M2328" t="s">
        <v>161</v>
      </c>
    </row>
    <row r="2329" spans="1:13" x14ac:dyDescent="0.2">
      <c r="A2329">
        <v>488684</v>
      </c>
      <c r="B2329" s="1">
        <v>45025</v>
      </c>
      <c r="C2329">
        <v>61549</v>
      </c>
      <c r="D2329" t="s">
        <v>85</v>
      </c>
      <c r="E2329" t="s">
        <v>153</v>
      </c>
      <c r="F2329" t="s">
        <v>154</v>
      </c>
      <c r="G2329">
        <v>3</v>
      </c>
      <c r="H2329">
        <v>29.99</v>
      </c>
      <c r="J2329">
        <v>89.97</v>
      </c>
      <c r="K2329" t="s">
        <v>36</v>
      </c>
      <c r="L2329" t="s">
        <v>23</v>
      </c>
      <c r="M2329" t="s">
        <v>120</v>
      </c>
    </row>
    <row r="2330" spans="1:13" x14ac:dyDescent="0.2">
      <c r="A2330">
        <v>488770</v>
      </c>
      <c r="B2330" s="1">
        <v>44903</v>
      </c>
      <c r="C2330">
        <v>10035</v>
      </c>
      <c r="D2330" t="s">
        <v>44</v>
      </c>
      <c r="E2330" t="s">
        <v>177</v>
      </c>
      <c r="F2330" t="s">
        <v>178</v>
      </c>
      <c r="G2330">
        <v>4</v>
      </c>
      <c r="H2330">
        <v>11.99</v>
      </c>
      <c r="J2330">
        <v>47.96</v>
      </c>
      <c r="K2330" t="s">
        <v>36</v>
      </c>
      <c r="L2330" t="s">
        <v>17</v>
      </c>
      <c r="M2330" t="s">
        <v>120</v>
      </c>
    </row>
    <row r="2331" spans="1:13" x14ac:dyDescent="0.2">
      <c r="A2331">
        <v>488801</v>
      </c>
      <c r="B2331" s="1">
        <v>44598</v>
      </c>
      <c r="C2331">
        <v>19652</v>
      </c>
      <c r="D2331" t="s">
        <v>19</v>
      </c>
      <c r="E2331" t="s">
        <v>20</v>
      </c>
      <c r="F2331" t="s">
        <v>21</v>
      </c>
      <c r="G2331">
        <v>1</v>
      </c>
      <c r="H2331">
        <v>6.99</v>
      </c>
      <c r="J2331">
        <v>6.99</v>
      </c>
      <c r="K2331" t="s">
        <v>36</v>
      </c>
      <c r="L2331" t="s">
        <v>17</v>
      </c>
      <c r="M2331" t="s">
        <v>62</v>
      </c>
    </row>
    <row r="2332" spans="1:13" x14ac:dyDescent="0.2">
      <c r="A2332">
        <v>488918</v>
      </c>
      <c r="B2332" s="1">
        <v>44700</v>
      </c>
      <c r="C2332">
        <v>15380</v>
      </c>
      <c r="D2332" t="s">
        <v>44</v>
      </c>
      <c r="E2332" t="s">
        <v>74</v>
      </c>
      <c r="F2332" t="s">
        <v>75</v>
      </c>
      <c r="G2332">
        <v>2</v>
      </c>
      <c r="H2332">
        <v>2.84</v>
      </c>
      <c r="I2332">
        <v>0.05</v>
      </c>
      <c r="J2332">
        <v>5.4</v>
      </c>
      <c r="K2332" t="s">
        <v>36</v>
      </c>
      <c r="L2332" t="s">
        <v>17</v>
      </c>
      <c r="M2332" t="s">
        <v>90</v>
      </c>
    </row>
    <row r="2333" spans="1:13" x14ac:dyDescent="0.2">
      <c r="A2333">
        <v>489014</v>
      </c>
      <c r="B2333" s="1">
        <v>45498</v>
      </c>
      <c r="C2333">
        <v>71625</v>
      </c>
      <c r="D2333" t="s">
        <v>82</v>
      </c>
      <c r="E2333" t="s">
        <v>168</v>
      </c>
      <c r="F2333" t="s">
        <v>169</v>
      </c>
      <c r="G2333">
        <v>5</v>
      </c>
      <c r="H2333">
        <v>7.19</v>
      </c>
      <c r="I2333">
        <v>0.2</v>
      </c>
      <c r="J2333">
        <v>28.76</v>
      </c>
      <c r="K2333" t="s">
        <v>22</v>
      </c>
      <c r="L2333" t="s">
        <v>23</v>
      </c>
      <c r="M2333" t="s">
        <v>96</v>
      </c>
    </row>
    <row r="2334" spans="1:13" x14ac:dyDescent="0.2">
      <c r="A2334">
        <v>489176</v>
      </c>
      <c r="B2334" s="1">
        <v>45156</v>
      </c>
      <c r="C2334">
        <v>48511</v>
      </c>
      <c r="D2334" t="s">
        <v>82</v>
      </c>
      <c r="E2334" t="s">
        <v>83</v>
      </c>
      <c r="F2334" t="s">
        <v>84</v>
      </c>
      <c r="G2334">
        <v>5</v>
      </c>
      <c r="H2334">
        <v>16.14</v>
      </c>
      <c r="J2334">
        <v>80.7</v>
      </c>
      <c r="K2334" t="s">
        <v>22</v>
      </c>
      <c r="L2334" t="s">
        <v>37</v>
      </c>
      <c r="M2334" t="s">
        <v>57</v>
      </c>
    </row>
    <row r="2335" spans="1:13" x14ac:dyDescent="0.2">
      <c r="A2335">
        <v>489340</v>
      </c>
      <c r="B2335" s="1">
        <v>44822</v>
      </c>
      <c r="D2335" t="s">
        <v>167</v>
      </c>
      <c r="E2335" t="s">
        <v>109</v>
      </c>
      <c r="F2335" t="s">
        <v>110</v>
      </c>
      <c r="G2335">
        <v>1</v>
      </c>
      <c r="H2335">
        <v>4.8899999999999997</v>
      </c>
      <c r="I2335">
        <v>0.3</v>
      </c>
      <c r="J2335">
        <v>3.42</v>
      </c>
      <c r="K2335" t="s">
        <v>16</v>
      </c>
      <c r="L2335" t="s">
        <v>37</v>
      </c>
      <c r="M2335" t="s">
        <v>96</v>
      </c>
    </row>
    <row r="2336" spans="1:13" x14ac:dyDescent="0.2">
      <c r="A2336">
        <v>489723</v>
      </c>
      <c r="B2336" s="1">
        <v>44638</v>
      </c>
      <c r="C2336">
        <v>85636</v>
      </c>
      <c r="D2336" t="s">
        <v>97</v>
      </c>
      <c r="E2336" t="s">
        <v>135</v>
      </c>
      <c r="F2336" t="s">
        <v>136</v>
      </c>
      <c r="G2336">
        <v>4</v>
      </c>
      <c r="H2336">
        <v>6.99</v>
      </c>
      <c r="I2336">
        <v>0.3</v>
      </c>
      <c r="J2336">
        <v>19.57</v>
      </c>
      <c r="K2336" t="s">
        <v>16</v>
      </c>
      <c r="L2336" t="s">
        <v>17</v>
      </c>
      <c r="M2336" t="s">
        <v>161</v>
      </c>
    </row>
    <row r="2337" spans="1:13" x14ac:dyDescent="0.2">
      <c r="A2337">
        <v>490135</v>
      </c>
      <c r="B2337" s="2">
        <v>45216</v>
      </c>
      <c r="C2337">
        <v>83903</v>
      </c>
      <c r="D2337" t="s">
        <v>48</v>
      </c>
      <c r="E2337" t="s">
        <v>143</v>
      </c>
      <c r="F2337" t="s">
        <v>144</v>
      </c>
      <c r="G2337">
        <v>3</v>
      </c>
      <c r="H2337">
        <v>14.99</v>
      </c>
      <c r="J2337">
        <v>44.97</v>
      </c>
      <c r="K2337" t="s">
        <v>16</v>
      </c>
      <c r="L2337" t="s">
        <v>17</v>
      </c>
      <c r="M2337" t="s">
        <v>96</v>
      </c>
    </row>
    <row r="2338" spans="1:13" x14ac:dyDescent="0.2">
      <c r="A2338">
        <v>490224</v>
      </c>
      <c r="B2338" s="2">
        <v>45118</v>
      </c>
      <c r="C2338">
        <v>46582</v>
      </c>
      <c r="D2338" t="s">
        <v>97</v>
      </c>
      <c r="E2338" t="s">
        <v>121</v>
      </c>
      <c r="F2338" t="s">
        <v>122</v>
      </c>
      <c r="G2338">
        <v>5</v>
      </c>
      <c r="H2338">
        <v>10.39</v>
      </c>
      <c r="I2338">
        <v>0.2</v>
      </c>
      <c r="J2338">
        <v>41.56</v>
      </c>
      <c r="K2338" t="s">
        <v>16</v>
      </c>
      <c r="L2338" t="s">
        <v>37</v>
      </c>
      <c r="M2338" t="s">
        <v>62</v>
      </c>
    </row>
    <row r="2339" spans="1:13" x14ac:dyDescent="0.2">
      <c r="A2339">
        <v>490358</v>
      </c>
      <c r="B2339" s="1">
        <v>45138</v>
      </c>
      <c r="C2339">
        <v>13649</v>
      </c>
      <c r="D2339" t="s">
        <v>63</v>
      </c>
      <c r="E2339" t="s">
        <v>64</v>
      </c>
      <c r="F2339" t="s">
        <v>65</v>
      </c>
      <c r="G2339">
        <v>5</v>
      </c>
      <c r="H2339">
        <v>4.49</v>
      </c>
      <c r="J2339">
        <v>22.45</v>
      </c>
      <c r="K2339" t="s">
        <v>95</v>
      </c>
      <c r="L2339" t="s">
        <v>17</v>
      </c>
      <c r="M2339" t="s">
        <v>18</v>
      </c>
    </row>
    <row r="2340" spans="1:13" x14ac:dyDescent="0.2">
      <c r="A2340">
        <v>490436</v>
      </c>
      <c r="B2340" s="2">
        <v>44992</v>
      </c>
      <c r="C2340">
        <v>38112</v>
      </c>
      <c r="D2340" t="s">
        <v>13</v>
      </c>
      <c r="E2340" t="s">
        <v>104</v>
      </c>
      <c r="F2340" t="s">
        <v>105</v>
      </c>
      <c r="G2340">
        <v>1</v>
      </c>
      <c r="H2340">
        <v>22.49</v>
      </c>
      <c r="I2340">
        <v>0.25</v>
      </c>
      <c r="J2340">
        <v>16.87</v>
      </c>
      <c r="K2340" t="s">
        <v>22</v>
      </c>
      <c r="L2340" t="s">
        <v>17</v>
      </c>
      <c r="M2340" t="s">
        <v>76</v>
      </c>
    </row>
    <row r="2341" spans="1:13" x14ac:dyDescent="0.2">
      <c r="A2341">
        <v>490479</v>
      </c>
      <c r="B2341" s="1">
        <v>45186</v>
      </c>
      <c r="C2341">
        <v>40815</v>
      </c>
      <c r="D2341" t="s">
        <v>44</v>
      </c>
      <c r="E2341" t="s">
        <v>162</v>
      </c>
      <c r="F2341" t="s">
        <v>163</v>
      </c>
      <c r="G2341">
        <v>1</v>
      </c>
      <c r="H2341">
        <v>5.59</v>
      </c>
      <c r="I2341">
        <v>0.3</v>
      </c>
      <c r="J2341">
        <v>3.91</v>
      </c>
      <c r="K2341" t="s">
        <v>16</v>
      </c>
      <c r="L2341" t="s">
        <v>37</v>
      </c>
      <c r="M2341" t="s">
        <v>81</v>
      </c>
    </row>
    <row r="2342" spans="1:13" x14ac:dyDescent="0.2">
      <c r="A2342">
        <v>490555</v>
      </c>
      <c r="B2342" s="1">
        <v>44948</v>
      </c>
      <c r="C2342">
        <v>82796</v>
      </c>
      <c r="D2342" t="s">
        <v>82</v>
      </c>
      <c r="E2342" t="s">
        <v>83</v>
      </c>
      <c r="F2342" t="s">
        <v>84</v>
      </c>
      <c r="G2342">
        <v>1</v>
      </c>
      <c r="H2342">
        <v>16.14</v>
      </c>
      <c r="I2342">
        <v>0.05</v>
      </c>
      <c r="J2342">
        <v>15.33</v>
      </c>
      <c r="K2342" t="s">
        <v>95</v>
      </c>
      <c r="L2342" t="s">
        <v>17</v>
      </c>
      <c r="M2342" t="s">
        <v>161</v>
      </c>
    </row>
    <row r="2343" spans="1:13" x14ac:dyDescent="0.2">
      <c r="A2343">
        <v>490827</v>
      </c>
      <c r="B2343" s="1">
        <v>45111</v>
      </c>
      <c r="C2343">
        <v>92529</v>
      </c>
      <c r="D2343" t="s">
        <v>48</v>
      </c>
      <c r="E2343" t="s">
        <v>139</v>
      </c>
      <c r="F2343" t="s">
        <v>140</v>
      </c>
      <c r="G2343">
        <v>2</v>
      </c>
      <c r="H2343">
        <v>7.99</v>
      </c>
      <c r="J2343">
        <v>15.98</v>
      </c>
      <c r="K2343" t="s">
        <v>36</v>
      </c>
      <c r="L2343" t="s">
        <v>37</v>
      </c>
      <c r="M2343" t="s">
        <v>96</v>
      </c>
    </row>
    <row r="2344" spans="1:13" x14ac:dyDescent="0.2">
      <c r="A2344">
        <v>490924</v>
      </c>
      <c r="B2344" s="1">
        <v>44984</v>
      </c>
      <c r="C2344">
        <v>67708</v>
      </c>
      <c r="D2344" t="s">
        <v>85</v>
      </c>
      <c r="E2344" t="s">
        <v>145</v>
      </c>
      <c r="F2344" t="s">
        <v>146</v>
      </c>
      <c r="G2344">
        <v>1</v>
      </c>
      <c r="H2344">
        <v>13.59</v>
      </c>
      <c r="I2344">
        <v>0.2</v>
      </c>
      <c r="J2344">
        <v>10.87</v>
      </c>
      <c r="K2344" t="s">
        <v>16</v>
      </c>
      <c r="L2344" t="s">
        <v>17</v>
      </c>
      <c r="M2344" t="s">
        <v>102</v>
      </c>
    </row>
    <row r="2345" spans="1:13" x14ac:dyDescent="0.2">
      <c r="A2345">
        <v>491009</v>
      </c>
      <c r="B2345" s="1">
        <v>44919</v>
      </c>
      <c r="C2345">
        <v>91296</v>
      </c>
      <c r="D2345" t="s">
        <v>44</v>
      </c>
      <c r="E2345" t="s">
        <v>184</v>
      </c>
      <c r="F2345" t="s">
        <v>185</v>
      </c>
      <c r="G2345">
        <v>1</v>
      </c>
      <c r="H2345">
        <v>4.12</v>
      </c>
      <c r="I2345">
        <v>0.25</v>
      </c>
      <c r="J2345">
        <v>3.09</v>
      </c>
      <c r="K2345" t="s">
        <v>16</v>
      </c>
      <c r="L2345" t="s">
        <v>17</v>
      </c>
      <c r="M2345" t="s">
        <v>43</v>
      </c>
    </row>
    <row r="2346" spans="1:13" x14ac:dyDescent="0.2">
      <c r="A2346">
        <v>491283</v>
      </c>
      <c r="B2346" s="2">
        <v>44638</v>
      </c>
      <c r="C2346">
        <v>22858</v>
      </c>
      <c r="D2346" t="s">
        <v>48</v>
      </c>
      <c r="E2346" t="s">
        <v>109</v>
      </c>
      <c r="F2346" t="s">
        <v>110</v>
      </c>
      <c r="G2346">
        <v>1</v>
      </c>
      <c r="H2346">
        <v>6.99</v>
      </c>
      <c r="J2346">
        <v>6.99</v>
      </c>
      <c r="K2346" t="s">
        <v>16</v>
      </c>
      <c r="L2346" t="s">
        <v>17</v>
      </c>
      <c r="M2346" t="s">
        <v>54</v>
      </c>
    </row>
    <row r="2347" spans="1:13" x14ac:dyDescent="0.2">
      <c r="A2347">
        <v>491413</v>
      </c>
      <c r="B2347" s="1">
        <v>44675</v>
      </c>
      <c r="C2347">
        <v>19337</v>
      </c>
      <c r="D2347" t="s">
        <v>13</v>
      </c>
      <c r="E2347" t="s">
        <v>55</v>
      </c>
      <c r="F2347" t="s">
        <v>56</v>
      </c>
      <c r="G2347">
        <v>3</v>
      </c>
      <c r="H2347">
        <v>296.99</v>
      </c>
      <c r="I2347">
        <v>0.1</v>
      </c>
      <c r="J2347">
        <v>801.87</v>
      </c>
      <c r="K2347" t="s">
        <v>66</v>
      </c>
      <c r="L2347" t="s">
        <v>17</v>
      </c>
      <c r="M2347" t="s">
        <v>28</v>
      </c>
    </row>
    <row r="2348" spans="1:13" x14ac:dyDescent="0.2">
      <c r="A2348">
        <v>492026</v>
      </c>
      <c r="B2348" s="2">
        <v>44749</v>
      </c>
      <c r="C2348">
        <v>95764</v>
      </c>
      <c r="D2348" t="s">
        <v>25</v>
      </c>
      <c r="E2348" t="s">
        <v>60</v>
      </c>
      <c r="F2348" t="s">
        <v>61</v>
      </c>
      <c r="G2348">
        <v>1</v>
      </c>
      <c r="H2348">
        <v>52.24</v>
      </c>
      <c r="I2348">
        <v>0.05</v>
      </c>
      <c r="J2348">
        <v>49.63</v>
      </c>
      <c r="K2348" t="s">
        <v>16</v>
      </c>
      <c r="L2348" t="s">
        <v>17</v>
      </c>
      <c r="M2348" t="s">
        <v>43</v>
      </c>
    </row>
    <row r="2349" spans="1:13" x14ac:dyDescent="0.2">
      <c r="A2349">
        <v>492052</v>
      </c>
      <c r="B2349" s="2">
        <v>45289</v>
      </c>
      <c r="C2349">
        <v>28408</v>
      </c>
      <c r="D2349" t="s">
        <v>85</v>
      </c>
      <c r="E2349" t="s">
        <v>129</v>
      </c>
      <c r="F2349" t="s">
        <v>130</v>
      </c>
      <c r="G2349">
        <v>2</v>
      </c>
      <c r="H2349">
        <v>8.09</v>
      </c>
      <c r="I2349">
        <v>0.1</v>
      </c>
      <c r="J2349">
        <v>14.56</v>
      </c>
      <c r="K2349" t="s">
        <v>16</v>
      </c>
      <c r="L2349" t="s">
        <v>17</v>
      </c>
      <c r="M2349" t="s">
        <v>43</v>
      </c>
    </row>
    <row r="2350" spans="1:13" x14ac:dyDescent="0.2">
      <c r="A2350">
        <v>492517</v>
      </c>
      <c r="B2350" s="2">
        <v>45104</v>
      </c>
      <c r="C2350">
        <v>47389</v>
      </c>
      <c r="D2350" t="s">
        <v>25</v>
      </c>
      <c r="E2350" t="s">
        <v>60</v>
      </c>
      <c r="F2350" t="s">
        <v>61</v>
      </c>
      <c r="G2350">
        <v>5</v>
      </c>
      <c r="H2350">
        <v>41.24</v>
      </c>
      <c r="I2350">
        <v>0.25</v>
      </c>
      <c r="J2350">
        <v>154.65</v>
      </c>
      <c r="K2350" t="s">
        <v>22</v>
      </c>
      <c r="L2350" t="s">
        <v>37</v>
      </c>
    </row>
    <row r="2351" spans="1:13" x14ac:dyDescent="0.2">
      <c r="A2351">
        <v>492753</v>
      </c>
      <c r="B2351" s="1">
        <v>44686</v>
      </c>
      <c r="C2351">
        <v>78599</v>
      </c>
      <c r="D2351" t="s">
        <v>97</v>
      </c>
      <c r="E2351" t="s">
        <v>135</v>
      </c>
      <c r="F2351" t="s">
        <v>136</v>
      </c>
      <c r="G2351">
        <v>1</v>
      </c>
      <c r="H2351">
        <v>8.99</v>
      </c>
      <c r="I2351">
        <v>0.1</v>
      </c>
      <c r="J2351">
        <v>8.09</v>
      </c>
      <c r="K2351" t="s">
        <v>53</v>
      </c>
      <c r="L2351" t="s">
        <v>37</v>
      </c>
      <c r="M2351" t="s">
        <v>76</v>
      </c>
    </row>
    <row r="2352" spans="1:13" x14ac:dyDescent="0.2">
      <c r="A2352">
        <v>492937</v>
      </c>
      <c r="B2352" s="1">
        <v>45446</v>
      </c>
      <c r="C2352">
        <v>42673</v>
      </c>
      <c r="D2352" t="s">
        <v>29</v>
      </c>
      <c r="E2352" t="s">
        <v>175</v>
      </c>
      <c r="F2352" t="s">
        <v>176</v>
      </c>
      <c r="G2352">
        <v>5</v>
      </c>
      <c r="H2352">
        <v>10.19</v>
      </c>
      <c r="I2352">
        <v>0.15</v>
      </c>
      <c r="J2352">
        <v>43.31</v>
      </c>
      <c r="K2352" t="s">
        <v>16</v>
      </c>
      <c r="L2352" t="s">
        <v>23</v>
      </c>
      <c r="M2352" t="s">
        <v>117</v>
      </c>
    </row>
    <row r="2353" spans="1:13" x14ac:dyDescent="0.2">
      <c r="A2353">
        <v>492987</v>
      </c>
      <c r="B2353" s="1">
        <v>44755</v>
      </c>
      <c r="C2353">
        <v>21877</v>
      </c>
      <c r="D2353" t="s">
        <v>29</v>
      </c>
      <c r="E2353" t="s">
        <v>30</v>
      </c>
      <c r="F2353" t="s">
        <v>31</v>
      </c>
      <c r="G2353">
        <v>1</v>
      </c>
      <c r="H2353">
        <v>17.489999999999998</v>
      </c>
      <c r="I2353">
        <v>0.3</v>
      </c>
      <c r="J2353">
        <v>12.24</v>
      </c>
      <c r="K2353" t="s">
        <v>95</v>
      </c>
      <c r="L2353" t="s">
        <v>17</v>
      </c>
      <c r="M2353" t="s">
        <v>103</v>
      </c>
    </row>
    <row r="2354" spans="1:13" x14ac:dyDescent="0.2">
      <c r="A2354">
        <v>493301</v>
      </c>
      <c r="B2354" s="1">
        <v>45310</v>
      </c>
      <c r="C2354">
        <v>79451</v>
      </c>
      <c r="D2354" t="s">
        <v>44</v>
      </c>
      <c r="E2354" t="s">
        <v>184</v>
      </c>
      <c r="F2354" t="s">
        <v>185</v>
      </c>
      <c r="G2354">
        <v>4</v>
      </c>
      <c r="H2354">
        <v>5.49</v>
      </c>
      <c r="J2354">
        <v>21.96</v>
      </c>
      <c r="K2354" t="s">
        <v>36</v>
      </c>
      <c r="L2354" t="s">
        <v>17</v>
      </c>
    </row>
    <row r="2355" spans="1:13" x14ac:dyDescent="0.2">
      <c r="A2355">
        <v>493332</v>
      </c>
      <c r="B2355" s="1">
        <v>45090</v>
      </c>
      <c r="C2355">
        <v>72869</v>
      </c>
      <c r="D2355" t="s">
        <v>25</v>
      </c>
      <c r="E2355" t="s">
        <v>26</v>
      </c>
      <c r="F2355" t="s">
        <v>27</v>
      </c>
      <c r="G2355">
        <v>1</v>
      </c>
      <c r="H2355">
        <v>34.99</v>
      </c>
      <c r="J2355">
        <v>34.99</v>
      </c>
      <c r="K2355" t="s">
        <v>36</v>
      </c>
      <c r="L2355" t="s">
        <v>17</v>
      </c>
      <c r="M2355" t="s">
        <v>96</v>
      </c>
    </row>
    <row r="2356" spans="1:13" x14ac:dyDescent="0.2">
      <c r="A2356">
        <v>493347</v>
      </c>
      <c r="B2356" s="1">
        <v>44842</v>
      </c>
      <c r="C2356">
        <v>78040</v>
      </c>
      <c r="D2356" t="s">
        <v>29</v>
      </c>
      <c r="E2356" t="s">
        <v>72</v>
      </c>
      <c r="F2356" t="s">
        <v>73</v>
      </c>
      <c r="G2356">
        <v>4</v>
      </c>
      <c r="H2356">
        <v>37.99</v>
      </c>
      <c r="I2356">
        <v>0.05</v>
      </c>
      <c r="J2356">
        <v>144.36000000000001</v>
      </c>
      <c r="K2356" t="s">
        <v>16</v>
      </c>
      <c r="L2356" t="s">
        <v>17</v>
      </c>
      <c r="M2356" t="s">
        <v>57</v>
      </c>
    </row>
    <row r="2357" spans="1:13" x14ac:dyDescent="0.2">
      <c r="A2357">
        <v>493513</v>
      </c>
      <c r="B2357" s="1">
        <v>45126</v>
      </c>
      <c r="C2357">
        <v>48514</v>
      </c>
      <c r="D2357" t="s">
        <v>44</v>
      </c>
      <c r="E2357" t="s">
        <v>177</v>
      </c>
      <c r="F2357" t="s">
        <v>178</v>
      </c>
      <c r="G2357">
        <v>1</v>
      </c>
      <c r="H2357">
        <v>11.39</v>
      </c>
      <c r="I2357">
        <v>0.05</v>
      </c>
      <c r="J2357">
        <v>10.82</v>
      </c>
      <c r="K2357" t="s">
        <v>22</v>
      </c>
      <c r="L2357" t="s">
        <v>17</v>
      </c>
      <c r="M2357" t="s">
        <v>62</v>
      </c>
    </row>
    <row r="2358" spans="1:13" x14ac:dyDescent="0.2">
      <c r="A2358">
        <v>493731</v>
      </c>
      <c r="B2358" s="1">
        <v>44871</v>
      </c>
      <c r="C2358">
        <v>67497</v>
      </c>
      <c r="D2358" t="s">
        <v>63</v>
      </c>
      <c r="E2358" t="s">
        <v>125</v>
      </c>
      <c r="F2358" t="s">
        <v>126</v>
      </c>
      <c r="G2358">
        <v>2</v>
      </c>
      <c r="H2358">
        <v>29.99</v>
      </c>
      <c r="J2358">
        <v>59.98</v>
      </c>
      <c r="K2358" t="s">
        <v>16</v>
      </c>
      <c r="L2358" t="s">
        <v>17</v>
      </c>
      <c r="M2358" t="s">
        <v>123</v>
      </c>
    </row>
    <row r="2359" spans="1:13" x14ac:dyDescent="0.2">
      <c r="A2359">
        <v>493740</v>
      </c>
      <c r="B2359" s="1">
        <v>45286</v>
      </c>
      <c r="C2359">
        <v>26833</v>
      </c>
      <c r="D2359" t="s">
        <v>25</v>
      </c>
      <c r="E2359" t="s">
        <v>60</v>
      </c>
      <c r="F2359" t="s">
        <v>61</v>
      </c>
      <c r="G2359">
        <v>4</v>
      </c>
      <c r="H2359">
        <v>54.99</v>
      </c>
      <c r="J2359">
        <v>219.96</v>
      </c>
      <c r="K2359" t="s">
        <v>95</v>
      </c>
      <c r="L2359" t="s">
        <v>17</v>
      </c>
      <c r="M2359" t="s">
        <v>62</v>
      </c>
    </row>
    <row r="2360" spans="1:13" x14ac:dyDescent="0.2">
      <c r="A2360">
        <v>493774</v>
      </c>
      <c r="B2360" s="1">
        <v>45047</v>
      </c>
      <c r="C2360">
        <v>17122</v>
      </c>
      <c r="D2360" t="s">
        <v>82</v>
      </c>
      <c r="E2360" t="s">
        <v>188</v>
      </c>
      <c r="F2360" t="s">
        <v>189</v>
      </c>
      <c r="G2360">
        <v>4</v>
      </c>
      <c r="H2360">
        <v>35.99</v>
      </c>
      <c r="I2360">
        <v>0.2</v>
      </c>
      <c r="J2360">
        <v>115.17</v>
      </c>
      <c r="K2360" t="s">
        <v>36</v>
      </c>
      <c r="L2360" t="s">
        <v>17</v>
      </c>
      <c r="M2360" t="s">
        <v>43</v>
      </c>
    </row>
    <row r="2361" spans="1:13" x14ac:dyDescent="0.2">
      <c r="A2361">
        <v>493869</v>
      </c>
      <c r="B2361" s="1">
        <v>45241</v>
      </c>
      <c r="C2361">
        <v>30836</v>
      </c>
      <c r="D2361" t="s">
        <v>40</v>
      </c>
      <c r="E2361" t="s">
        <v>197</v>
      </c>
      <c r="F2361" t="s">
        <v>198</v>
      </c>
      <c r="G2361">
        <v>2</v>
      </c>
      <c r="H2361">
        <v>14.99</v>
      </c>
      <c r="J2361">
        <v>29.98</v>
      </c>
      <c r="K2361" t="s">
        <v>16</v>
      </c>
      <c r="L2361" t="s">
        <v>17</v>
      </c>
      <c r="M2361" t="s">
        <v>24</v>
      </c>
    </row>
    <row r="2362" spans="1:13" x14ac:dyDescent="0.2">
      <c r="A2362">
        <v>493917</v>
      </c>
      <c r="B2362" s="1">
        <v>45462</v>
      </c>
      <c r="C2362">
        <v>19444</v>
      </c>
      <c r="D2362" t="s">
        <v>63</v>
      </c>
      <c r="E2362" t="s">
        <v>111</v>
      </c>
      <c r="F2362" t="s">
        <v>112</v>
      </c>
      <c r="G2362">
        <v>3</v>
      </c>
      <c r="H2362">
        <v>10.49</v>
      </c>
      <c r="I2362">
        <v>0.3</v>
      </c>
      <c r="J2362">
        <v>22.03</v>
      </c>
      <c r="K2362" t="s">
        <v>36</v>
      </c>
      <c r="L2362" t="s">
        <v>17</v>
      </c>
      <c r="M2362" t="s">
        <v>102</v>
      </c>
    </row>
    <row r="2363" spans="1:13" x14ac:dyDescent="0.2">
      <c r="A2363">
        <v>494297</v>
      </c>
      <c r="B2363" s="1">
        <v>44836</v>
      </c>
      <c r="C2363">
        <v>16778</v>
      </c>
      <c r="D2363" t="s">
        <v>82</v>
      </c>
      <c r="E2363" t="s">
        <v>155</v>
      </c>
      <c r="F2363" t="s">
        <v>156</v>
      </c>
      <c r="G2363">
        <v>1</v>
      </c>
      <c r="H2363">
        <v>16.989999999999998</v>
      </c>
      <c r="I2363">
        <v>0.15</v>
      </c>
      <c r="J2363">
        <v>14.44</v>
      </c>
      <c r="K2363" t="s">
        <v>36</v>
      </c>
      <c r="L2363" t="s">
        <v>17</v>
      </c>
      <c r="M2363" t="s">
        <v>54</v>
      </c>
    </row>
    <row r="2364" spans="1:13" x14ac:dyDescent="0.2">
      <c r="A2364">
        <v>494302</v>
      </c>
      <c r="B2364" s="1">
        <v>45170</v>
      </c>
      <c r="C2364">
        <v>45487</v>
      </c>
      <c r="D2364" t="s">
        <v>63</v>
      </c>
      <c r="E2364" t="s">
        <v>64</v>
      </c>
      <c r="F2364" t="s">
        <v>65</v>
      </c>
      <c r="G2364">
        <v>1</v>
      </c>
      <c r="H2364">
        <v>4.99</v>
      </c>
      <c r="J2364">
        <v>4.99</v>
      </c>
      <c r="K2364" t="s">
        <v>16</v>
      </c>
      <c r="L2364" t="s">
        <v>17</v>
      </c>
      <c r="M2364" t="s">
        <v>24</v>
      </c>
    </row>
    <row r="2365" spans="1:13" x14ac:dyDescent="0.2">
      <c r="A2365">
        <v>494508</v>
      </c>
      <c r="B2365" s="1">
        <v>45510</v>
      </c>
      <c r="C2365">
        <v>73209</v>
      </c>
      <c r="D2365" t="s">
        <v>44</v>
      </c>
      <c r="E2365" t="s">
        <v>177</v>
      </c>
      <c r="F2365" t="s">
        <v>178</v>
      </c>
      <c r="G2365">
        <v>1</v>
      </c>
      <c r="H2365">
        <v>8.99</v>
      </c>
      <c r="I2365">
        <v>0.25</v>
      </c>
      <c r="J2365">
        <v>6.74</v>
      </c>
      <c r="K2365" t="s">
        <v>22</v>
      </c>
      <c r="L2365" t="s">
        <v>17</v>
      </c>
      <c r="M2365" t="s">
        <v>62</v>
      </c>
    </row>
    <row r="2366" spans="1:13" x14ac:dyDescent="0.2">
      <c r="A2366">
        <v>494559</v>
      </c>
      <c r="B2366" s="1">
        <v>44636</v>
      </c>
      <c r="C2366">
        <v>73575</v>
      </c>
      <c r="D2366" t="s">
        <v>85</v>
      </c>
      <c r="E2366" t="s">
        <v>153</v>
      </c>
      <c r="F2366" t="s">
        <v>154</v>
      </c>
      <c r="G2366">
        <v>1</v>
      </c>
      <c r="H2366">
        <v>29.99</v>
      </c>
      <c r="J2366">
        <v>29.99</v>
      </c>
      <c r="K2366" t="s">
        <v>32</v>
      </c>
      <c r="L2366" t="s">
        <v>17</v>
      </c>
      <c r="M2366" t="s">
        <v>103</v>
      </c>
    </row>
    <row r="2367" spans="1:13" x14ac:dyDescent="0.2">
      <c r="A2367">
        <v>494562</v>
      </c>
      <c r="B2367" s="2">
        <v>44603</v>
      </c>
      <c r="C2367">
        <v>65731</v>
      </c>
      <c r="D2367" t="s">
        <v>48</v>
      </c>
      <c r="E2367" t="s">
        <v>179</v>
      </c>
      <c r="F2367" t="s">
        <v>180</v>
      </c>
      <c r="G2367">
        <v>1</v>
      </c>
      <c r="H2367">
        <v>9.59</v>
      </c>
      <c r="I2367">
        <v>0.2</v>
      </c>
      <c r="J2367">
        <v>7.67</v>
      </c>
      <c r="K2367" t="s">
        <v>36</v>
      </c>
      <c r="L2367" t="s">
        <v>17</v>
      </c>
      <c r="M2367" t="s">
        <v>117</v>
      </c>
    </row>
    <row r="2368" spans="1:13" x14ac:dyDescent="0.2">
      <c r="A2368">
        <v>494675</v>
      </c>
      <c r="B2368" s="1">
        <v>45576</v>
      </c>
      <c r="C2368">
        <v>50289</v>
      </c>
      <c r="D2368" t="s">
        <v>25</v>
      </c>
      <c r="E2368" t="s">
        <v>60</v>
      </c>
      <c r="F2368" t="s">
        <v>61</v>
      </c>
      <c r="G2368">
        <v>2</v>
      </c>
      <c r="H2368">
        <v>54.99</v>
      </c>
      <c r="J2368">
        <v>109.98</v>
      </c>
      <c r="K2368" t="s">
        <v>95</v>
      </c>
      <c r="L2368" t="s">
        <v>17</v>
      </c>
      <c r="M2368" t="s">
        <v>123</v>
      </c>
    </row>
    <row r="2369" spans="1:13" x14ac:dyDescent="0.2">
      <c r="A2369">
        <v>495006</v>
      </c>
      <c r="B2369" s="2">
        <v>45512</v>
      </c>
      <c r="C2369">
        <v>69154</v>
      </c>
      <c r="D2369" t="s">
        <v>82</v>
      </c>
      <c r="E2369" t="s">
        <v>155</v>
      </c>
      <c r="F2369" t="s">
        <v>156</v>
      </c>
      <c r="G2369">
        <v>5</v>
      </c>
      <c r="H2369">
        <v>19.989999999999998</v>
      </c>
      <c r="J2369">
        <v>99.95</v>
      </c>
      <c r="K2369" t="s">
        <v>16</v>
      </c>
      <c r="L2369" t="s">
        <v>17</v>
      </c>
      <c r="M2369" t="s">
        <v>96</v>
      </c>
    </row>
    <row r="2370" spans="1:13" x14ac:dyDescent="0.2">
      <c r="A2370">
        <v>495022</v>
      </c>
      <c r="B2370" s="1">
        <v>45391</v>
      </c>
      <c r="C2370">
        <v>48488</v>
      </c>
      <c r="D2370" t="s">
        <v>29</v>
      </c>
      <c r="E2370" t="s">
        <v>175</v>
      </c>
      <c r="F2370" t="s">
        <v>176</v>
      </c>
      <c r="G2370">
        <v>1</v>
      </c>
      <c r="H2370">
        <v>11.99</v>
      </c>
      <c r="J2370">
        <v>11.99</v>
      </c>
      <c r="K2370" t="s">
        <v>16</v>
      </c>
      <c r="L2370" t="s">
        <v>17</v>
      </c>
      <c r="M2370" t="s">
        <v>67</v>
      </c>
    </row>
    <row r="2371" spans="1:13" x14ac:dyDescent="0.2">
      <c r="A2371">
        <v>495023</v>
      </c>
      <c r="B2371" s="1">
        <v>45654</v>
      </c>
      <c r="C2371">
        <v>55023</v>
      </c>
      <c r="D2371" t="s">
        <v>25</v>
      </c>
      <c r="E2371" t="s">
        <v>60</v>
      </c>
      <c r="F2371" t="s">
        <v>61</v>
      </c>
      <c r="G2371">
        <v>3</v>
      </c>
      <c r="H2371">
        <v>54.99</v>
      </c>
      <c r="J2371">
        <v>164.97</v>
      </c>
      <c r="K2371" t="s">
        <v>36</v>
      </c>
      <c r="L2371" t="s">
        <v>17</v>
      </c>
      <c r="M2371" t="s">
        <v>47</v>
      </c>
    </row>
    <row r="2372" spans="1:13" x14ac:dyDescent="0.2">
      <c r="A2372">
        <v>495048</v>
      </c>
      <c r="B2372" s="1">
        <v>45438</v>
      </c>
      <c r="C2372">
        <v>11777</v>
      </c>
      <c r="D2372" t="s">
        <v>29</v>
      </c>
      <c r="E2372" t="s">
        <v>88</v>
      </c>
      <c r="F2372" t="s">
        <v>89</v>
      </c>
      <c r="G2372">
        <v>1</v>
      </c>
      <c r="H2372">
        <v>44.99</v>
      </c>
      <c r="I2372">
        <v>0.1</v>
      </c>
      <c r="J2372">
        <v>40.49</v>
      </c>
      <c r="K2372" t="s">
        <v>53</v>
      </c>
      <c r="L2372" t="s">
        <v>17</v>
      </c>
      <c r="M2372" t="s">
        <v>123</v>
      </c>
    </row>
    <row r="2373" spans="1:13" x14ac:dyDescent="0.2">
      <c r="A2373">
        <v>495166</v>
      </c>
      <c r="B2373" s="1">
        <v>44935</v>
      </c>
      <c r="C2373">
        <v>13600</v>
      </c>
      <c r="D2373" t="s">
        <v>29</v>
      </c>
      <c r="E2373" t="s">
        <v>72</v>
      </c>
      <c r="F2373" t="s">
        <v>73</v>
      </c>
      <c r="G2373">
        <v>3</v>
      </c>
      <c r="H2373">
        <v>27.99</v>
      </c>
      <c r="I2373">
        <v>0.3</v>
      </c>
      <c r="J2373">
        <v>58.78</v>
      </c>
      <c r="K2373" t="s">
        <v>36</v>
      </c>
      <c r="L2373" t="s">
        <v>17</v>
      </c>
      <c r="M2373" t="s">
        <v>47</v>
      </c>
    </row>
    <row r="2374" spans="1:13" x14ac:dyDescent="0.2">
      <c r="A2374">
        <v>495237</v>
      </c>
      <c r="B2374" s="2">
        <v>45650</v>
      </c>
      <c r="C2374">
        <v>60942</v>
      </c>
      <c r="D2374" t="s">
        <v>25</v>
      </c>
      <c r="E2374" t="s">
        <v>70</v>
      </c>
      <c r="F2374" t="s">
        <v>71</v>
      </c>
      <c r="G2374">
        <v>5</v>
      </c>
      <c r="H2374">
        <v>62.99</v>
      </c>
      <c r="I2374">
        <v>0.3</v>
      </c>
      <c r="J2374">
        <v>220.46</v>
      </c>
      <c r="K2374" t="s">
        <v>36</v>
      </c>
      <c r="L2374" t="s">
        <v>17</v>
      </c>
      <c r="M2374" t="s">
        <v>28</v>
      </c>
    </row>
    <row r="2375" spans="1:13" x14ac:dyDescent="0.2">
      <c r="A2375">
        <v>495302</v>
      </c>
      <c r="B2375" s="2">
        <v>44738</v>
      </c>
      <c r="C2375">
        <v>83331</v>
      </c>
      <c r="D2375" t="s">
        <v>48</v>
      </c>
      <c r="E2375" t="s">
        <v>179</v>
      </c>
      <c r="F2375" t="s">
        <v>180</v>
      </c>
      <c r="G2375">
        <v>3</v>
      </c>
      <c r="H2375">
        <v>10.79</v>
      </c>
      <c r="I2375">
        <v>0.1</v>
      </c>
      <c r="J2375">
        <v>29.13</v>
      </c>
      <c r="K2375" t="s">
        <v>36</v>
      </c>
      <c r="L2375" t="s">
        <v>17</v>
      </c>
      <c r="M2375" t="s">
        <v>76</v>
      </c>
    </row>
    <row r="2376" spans="1:13" x14ac:dyDescent="0.2">
      <c r="A2376">
        <v>495364</v>
      </c>
      <c r="B2376" s="1">
        <v>45438</v>
      </c>
      <c r="C2376">
        <v>88578</v>
      </c>
      <c r="D2376" t="s">
        <v>82</v>
      </c>
      <c r="E2376" t="s">
        <v>147</v>
      </c>
      <c r="F2376" t="s">
        <v>148</v>
      </c>
      <c r="G2376">
        <v>3</v>
      </c>
      <c r="H2376">
        <v>12.34</v>
      </c>
      <c r="I2376">
        <v>0.05</v>
      </c>
      <c r="J2376">
        <v>35.17</v>
      </c>
      <c r="K2376" t="s">
        <v>36</v>
      </c>
      <c r="L2376" t="s">
        <v>17</v>
      </c>
      <c r="M2376" t="s">
        <v>33</v>
      </c>
    </row>
    <row r="2377" spans="1:13" x14ac:dyDescent="0.2">
      <c r="A2377">
        <v>495483</v>
      </c>
      <c r="B2377" s="1">
        <v>45633</v>
      </c>
      <c r="C2377">
        <v>57623</v>
      </c>
      <c r="D2377" t="s">
        <v>25</v>
      </c>
      <c r="E2377" t="s">
        <v>113</v>
      </c>
      <c r="F2377" t="s">
        <v>114</v>
      </c>
      <c r="G2377">
        <v>1</v>
      </c>
      <c r="H2377">
        <v>119.99</v>
      </c>
      <c r="J2377">
        <v>119.99</v>
      </c>
      <c r="K2377" t="s">
        <v>16</v>
      </c>
      <c r="L2377" t="s">
        <v>17</v>
      </c>
      <c r="M2377" t="s">
        <v>161</v>
      </c>
    </row>
    <row r="2378" spans="1:13" x14ac:dyDescent="0.2">
      <c r="A2378">
        <v>495958</v>
      </c>
      <c r="B2378" s="1">
        <v>44925</v>
      </c>
      <c r="C2378">
        <v>69897</v>
      </c>
      <c r="D2378" t="s">
        <v>85</v>
      </c>
      <c r="E2378" t="s">
        <v>129</v>
      </c>
      <c r="F2378" t="s">
        <v>130</v>
      </c>
      <c r="G2378">
        <v>3</v>
      </c>
      <c r="H2378">
        <v>6.74</v>
      </c>
      <c r="I2378">
        <v>0.25</v>
      </c>
      <c r="J2378">
        <v>15.16</v>
      </c>
      <c r="K2378" t="s">
        <v>32</v>
      </c>
      <c r="L2378" t="s">
        <v>23</v>
      </c>
      <c r="M2378" t="s">
        <v>120</v>
      </c>
    </row>
    <row r="2379" spans="1:13" x14ac:dyDescent="0.2">
      <c r="A2379">
        <v>496037</v>
      </c>
      <c r="B2379" s="1">
        <v>45437</v>
      </c>
      <c r="C2379">
        <v>35992</v>
      </c>
      <c r="D2379" t="s">
        <v>82</v>
      </c>
      <c r="E2379" t="s">
        <v>100</v>
      </c>
      <c r="F2379" t="s">
        <v>101</v>
      </c>
      <c r="G2379">
        <v>2</v>
      </c>
      <c r="H2379">
        <v>22.99</v>
      </c>
      <c r="J2379">
        <v>45.98</v>
      </c>
      <c r="K2379" t="s">
        <v>53</v>
      </c>
      <c r="L2379" t="s">
        <v>17</v>
      </c>
      <c r="M2379" t="s">
        <v>24</v>
      </c>
    </row>
    <row r="2380" spans="1:13" x14ac:dyDescent="0.2">
      <c r="A2380">
        <v>496213</v>
      </c>
      <c r="B2380" s="1">
        <v>45287</v>
      </c>
      <c r="C2380">
        <v>97940</v>
      </c>
      <c r="D2380" t="s">
        <v>183</v>
      </c>
      <c r="E2380" t="s">
        <v>100</v>
      </c>
      <c r="F2380" t="s">
        <v>101</v>
      </c>
      <c r="G2380">
        <v>1</v>
      </c>
      <c r="H2380">
        <v>22.99</v>
      </c>
      <c r="J2380">
        <v>22.99</v>
      </c>
      <c r="K2380" t="s">
        <v>16</v>
      </c>
      <c r="L2380" t="s">
        <v>17</v>
      </c>
      <c r="M2380" t="s">
        <v>123</v>
      </c>
    </row>
    <row r="2381" spans="1:13" x14ac:dyDescent="0.2">
      <c r="A2381">
        <v>496283</v>
      </c>
      <c r="B2381" s="1">
        <v>44699</v>
      </c>
      <c r="C2381">
        <v>93257</v>
      </c>
      <c r="D2381" t="s">
        <v>63</v>
      </c>
      <c r="E2381" t="s">
        <v>125</v>
      </c>
      <c r="F2381" t="s">
        <v>126</v>
      </c>
      <c r="G2381">
        <v>5</v>
      </c>
      <c r="H2381">
        <v>29.99</v>
      </c>
      <c r="J2381">
        <v>149.94999999999999</v>
      </c>
      <c r="K2381" t="s">
        <v>22</v>
      </c>
      <c r="L2381" t="s">
        <v>37</v>
      </c>
      <c r="M2381" t="s">
        <v>96</v>
      </c>
    </row>
    <row r="2382" spans="1:13" x14ac:dyDescent="0.2">
      <c r="A2382">
        <v>496396</v>
      </c>
      <c r="B2382" s="1">
        <v>45344</v>
      </c>
      <c r="C2382">
        <v>48488</v>
      </c>
      <c r="D2382" t="s">
        <v>25</v>
      </c>
      <c r="E2382" t="s">
        <v>51</v>
      </c>
      <c r="F2382" t="s">
        <v>52</v>
      </c>
      <c r="G2382">
        <v>5</v>
      </c>
      <c r="H2382">
        <v>27.99</v>
      </c>
      <c r="J2382">
        <v>139.94999999999999</v>
      </c>
      <c r="K2382" t="s">
        <v>16</v>
      </c>
      <c r="L2382" t="s">
        <v>23</v>
      </c>
      <c r="M2382" t="s">
        <v>102</v>
      </c>
    </row>
    <row r="2383" spans="1:13" x14ac:dyDescent="0.2">
      <c r="A2383">
        <v>496452</v>
      </c>
      <c r="B2383" s="1">
        <v>45523</v>
      </c>
      <c r="C2383">
        <v>52015</v>
      </c>
      <c r="D2383" t="s">
        <v>48</v>
      </c>
      <c r="E2383" t="s">
        <v>109</v>
      </c>
      <c r="F2383" t="s">
        <v>110</v>
      </c>
      <c r="G2383">
        <v>1</v>
      </c>
      <c r="H2383">
        <v>6.99</v>
      </c>
      <c r="J2383">
        <v>6.99</v>
      </c>
      <c r="K2383" t="s">
        <v>16</v>
      </c>
      <c r="L2383" t="s">
        <v>17</v>
      </c>
      <c r="M2383" t="s">
        <v>47</v>
      </c>
    </row>
    <row r="2384" spans="1:13" x14ac:dyDescent="0.2">
      <c r="A2384">
        <v>496744</v>
      </c>
      <c r="B2384" s="1">
        <v>44818</v>
      </c>
      <c r="C2384">
        <v>49816</v>
      </c>
      <c r="D2384" t="s">
        <v>25</v>
      </c>
      <c r="E2384" t="s">
        <v>26</v>
      </c>
      <c r="F2384" t="s">
        <v>27</v>
      </c>
      <c r="G2384">
        <v>4</v>
      </c>
      <c r="H2384">
        <v>29.74</v>
      </c>
      <c r="I2384">
        <v>0.15</v>
      </c>
      <c r="J2384">
        <v>101.12</v>
      </c>
      <c r="K2384" t="s">
        <v>16</v>
      </c>
      <c r="L2384" t="s">
        <v>37</v>
      </c>
    </row>
    <row r="2385" spans="1:13" x14ac:dyDescent="0.2">
      <c r="A2385">
        <v>497123</v>
      </c>
      <c r="B2385" s="1">
        <v>45254</v>
      </c>
      <c r="C2385">
        <v>20397</v>
      </c>
      <c r="D2385" t="s">
        <v>63</v>
      </c>
      <c r="E2385" t="s">
        <v>125</v>
      </c>
      <c r="F2385" t="s">
        <v>126</v>
      </c>
      <c r="G2385">
        <v>4</v>
      </c>
      <c r="H2385">
        <v>23.99</v>
      </c>
      <c r="I2385">
        <v>0.2</v>
      </c>
      <c r="J2385">
        <v>76.77</v>
      </c>
      <c r="K2385" t="s">
        <v>22</v>
      </c>
      <c r="L2385" t="s">
        <v>17</v>
      </c>
      <c r="M2385" t="s">
        <v>123</v>
      </c>
    </row>
    <row r="2386" spans="1:13" x14ac:dyDescent="0.2">
      <c r="A2386">
        <v>497184</v>
      </c>
      <c r="B2386" s="1">
        <v>44814</v>
      </c>
      <c r="C2386">
        <v>85044</v>
      </c>
      <c r="D2386" t="s">
        <v>25</v>
      </c>
      <c r="E2386" t="s">
        <v>26</v>
      </c>
      <c r="F2386" t="s">
        <v>27</v>
      </c>
      <c r="G2386">
        <v>2</v>
      </c>
      <c r="H2386">
        <v>27.99</v>
      </c>
      <c r="I2386">
        <v>0.2</v>
      </c>
      <c r="J2386">
        <v>44.78</v>
      </c>
      <c r="K2386" t="s">
        <v>36</v>
      </c>
      <c r="L2386" t="s">
        <v>17</v>
      </c>
      <c r="M2386" t="s">
        <v>28</v>
      </c>
    </row>
    <row r="2387" spans="1:13" x14ac:dyDescent="0.2">
      <c r="A2387">
        <v>497305</v>
      </c>
      <c r="B2387" s="1">
        <v>44741</v>
      </c>
      <c r="C2387">
        <v>18559</v>
      </c>
      <c r="D2387" t="s">
        <v>29</v>
      </c>
      <c r="E2387" t="s">
        <v>38</v>
      </c>
      <c r="F2387" t="s">
        <v>39</v>
      </c>
      <c r="G2387">
        <v>2</v>
      </c>
      <c r="H2387">
        <v>22.49</v>
      </c>
      <c r="I2387">
        <v>0.25</v>
      </c>
      <c r="J2387">
        <v>33.74</v>
      </c>
      <c r="K2387" t="s">
        <v>36</v>
      </c>
      <c r="L2387" t="s">
        <v>17</v>
      </c>
      <c r="M2387" t="s">
        <v>62</v>
      </c>
    </row>
    <row r="2388" spans="1:13" x14ac:dyDescent="0.2">
      <c r="A2388">
        <v>497384</v>
      </c>
      <c r="B2388" s="2">
        <v>45182</v>
      </c>
      <c r="C2388">
        <v>99198</v>
      </c>
      <c r="D2388" t="s">
        <v>199</v>
      </c>
      <c r="E2388" t="s">
        <v>55</v>
      </c>
      <c r="F2388" t="s">
        <v>56</v>
      </c>
      <c r="G2388">
        <v>1</v>
      </c>
      <c r="H2388">
        <v>313.49</v>
      </c>
      <c r="I2388">
        <v>0.05</v>
      </c>
      <c r="J2388">
        <v>297.82</v>
      </c>
      <c r="K2388" t="s">
        <v>36</v>
      </c>
      <c r="L2388" t="s">
        <v>37</v>
      </c>
      <c r="M2388" t="s">
        <v>123</v>
      </c>
    </row>
    <row r="2389" spans="1:13" x14ac:dyDescent="0.2">
      <c r="A2389">
        <v>497473</v>
      </c>
      <c r="B2389" s="1">
        <v>45397</v>
      </c>
      <c r="C2389">
        <v>26485</v>
      </c>
      <c r="D2389" t="s">
        <v>82</v>
      </c>
      <c r="E2389" t="s">
        <v>100</v>
      </c>
      <c r="F2389" t="s">
        <v>101</v>
      </c>
      <c r="G2389">
        <v>2</v>
      </c>
      <c r="H2389">
        <v>19.54</v>
      </c>
      <c r="I2389">
        <v>0.15</v>
      </c>
      <c r="J2389">
        <v>33.22</v>
      </c>
      <c r="K2389" t="s">
        <v>16</v>
      </c>
      <c r="L2389" t="s">
        <v>17</v>
      </c>
      <c r="M2389" t="s">
        <v>120</v>
      </c>
    </row>
    <row r="2390" spans="1:13" x14ac:dyDescent="0.2">
      <c r="A2390">
        <v>497561</v>
      </c>
      <c r="B2390" s="1">
        <v>45085</v>
      </c>
      <c r="C2390">
        <v>57411</v>
      </c>
      <c r="D2390" t="s">
        <v>40</v>
      </c>
      <c r="E2390" t="s">
        <v>115</v>
      </c>
      <c r="F2390" t="s">
        <v>116</v>
      </c>
      <c r="G2390">
        <v>5</v>
      </c>
      <c r="H2390">
        <v>12.99</v>
      </c>
      <c r="J2390">
        <v>64.95</v>
      </c>
      <c r="K2390" t="s">
        <v>36</v>
      </c>
      <c r="L2390" t="s">
        <v>23</v>
      </c>
      <c r="M2390" t="s">
        <v>54</v>
      </c>
    </row>
    <row r="2391" spans="1:13" x14ac:dyDescent="0.2">
      <c r="A2391">
        <v>497602</v>
      </c>
      <c r="B2391" s="2">
        <v>45546</v>
      </c>
      <c r="C2391">
        <v>90896</v>
      </c>
      <c r="D2391" t="s">
        <v>25</v>
      </c>
      <c r="E2391" t="s">
        <v>113</v>
      </c>
      <c r="F2391" t="s">
        <v>114</v>
      </c>
      <c r="G2391">
        <v>3</v>
      </c>
      <c r="H2391">
        <v>89.99</v>
      </c>
      <c r="I2391">
        <v>0.25</v>
      </c>
      <c r="J2391">
        <v>202.48</v>
      </c>
      <c r="K2391" t="s">
        <v>95</v>
      </c>
      <c r="L2391" t="s">
        <v>17</v>
      </c>
      <c r="M2391" t="s">
        <v>102</v>
      </c>
    </row>
    <row r="2392" spans="1:13" x14ac:dyDescent="0.2">
      <c r="A2392">
        <v>497865</v>
      </c>
      <c r="B2392" s="1">
        <v>45350</v>
      </c>
      <c r="C2392">
        <v>26910</v>
      </c>
      <c r="D2392" t="s">
        <v>13</v>
      </c>
      <c r="E2392" t="s">
        <v>55</v>
      </c>
      <c r="F2392" t="s">
        <v>56</v>
      </c>
      <c r="G2392">
        <v>2</v>
      </c>
      <c r="H2392">
        <v>329.99</v>
      </c>
      <c r="J2392">
        <v>659.98</v>
      </c>
      <c r="K2392" t="s">
        <v>16</v>
      </c>
      <c r="L2392" t="s">
        <v>37</v>
      </c>
      <c r="M2392" t="s">
        <v>33</v>
      </c>
    </row>
    <row r="2393" spans="1:13" x14ac:dyDescent="0.2">
      <c r="A2393">
        <v>498070</v>
      </c>
      <c r="B2393" s="1">
        <v>45558</v>
      </c>
      <c r="C2393">
        <v>23612</v>
      </c>
      <c r="D2393" t="s">
        <v>164</v>
      </c>
      <c r="E2393" t="s">
        <v>30</v>
      </c>
      <c r="F2393" t="s">
        <v>31</v>
      </c>
      <c r="G2393">
        <v>3</v>
      </c>
      <c r="H2393">
        <v>23.74</v>
      </c>
      <c r="I2393">
        <v>0.05</v>
      </c>
      <c r="J2393">
        <v>67.66</v>
      </c>
      <c r="K2393" t="s">
        <v>36</v>
      </c>
      <c r="L2393" t="s">
        <v>17</v>
      </c>
      <c r="M2393" t="s">
        <v>62</v>
      </c>
    </row>
    <row r="2394" spans="1:13" x14ac:dyDescent="0.2">
      <c r="A2394">
        <v>498216</v>
      </c>
      <c r="B2394" s="1">
        <v>45275</v>
      </c>
      <c r="C2394">
        <v>60397</v>
      </c>
      <c r="D2394" t="s">
        <v>13</v>
      </c>
      <c r="E2394" t="s">
        <v>34</v>
      </c>
      <c r="F2394" t="s">
        <v>35</v>
      </c>
      <c r="G2394">
        <v>1</v>
      </c>
      <c r="H2394">
        <v>34.99</v>
      </c>
      <c r="J2394">
        <v>34.99</v>
      </c>
      <c r="K2394" t="s">
        <v>36</v>
      </c>
      <c r="L2394" t="s">
        <v>37</v>
      </c>
      <c r="M2394" t="s">
        <v>18</v>
      </c>
    </row>
    <row r="2395" spans="1:13" x14ac:dyDescent="0.2">
      <c r="A2395">
        <v>498242</v>
      </c>
      <c r="B2395" s="1">
        <v>44774</v>
      </c>
      <c r="C2395">
        <v>73480</v>
      </c>
      <c r="D2395" t="s">
        <v>97</v>
      </c>
      <c r="E2395" t="s">
        <v>135</v>
      </c>
      <c r="F2395" t="s">
        <v>136</v>
      </c>
      <c r="G2395">
        <v>2</v>
      </c>
      <c r="H2395">
        <v>9.49</v>
      </c>
      <c r="I2395">
        <v>0.05</v>
      </c>
      <c r="J2395">
        <v>18.03</v>
      </c>
      <c r="K2395" t="s">
        <v>16</v>
      </c>
      <c r="L2395" t="s">
        <v>17</v>
      </c>
      <c r="M2395" t="s">
        <v>28</v>
      </c>
    </row>
    <row r="2396" spans="1:13" x14ac:dyDescent="0.2">
      <c r="A2396">
        <v>498281</v>
      </c>
      <c r="B2396" s="2">
        <v>44915</v>
      </c>
      <c r="C2396">
        <v>74397</v>
      </c>
      <c r="D2396" t="s">
        <v>29</v>
      </c>
      <c r="E2396" t="s">
        <v>170</v>
      </c>
      <c r="F2396" t="s">
        <v>171</v>
      </c>
      <c r="G2396">
        <v>2</v>
      </c>
      <c r="H2396">
        <v>12.74</v>
      </c>
      <c r="I2396">
        <v>0.15</v>
      </c>
      <c r="J2396">
        <v>21.66</v>
      </c>
      <c r="K2396" t="s">
        <v>36</v>
      </c>
      <c r="L2396" t="s">
        <v>37</v>
      </c>
      <c r="M2396" t="s">
        <v>18</v>
      </c>
    </row>
    <row r="2397" spans="1:13" x14ac:dyDescent="0.2">
      <c r="A2397">
        <v>498327</v>
      </c>
      <c r="B2397" s="1">
        <v>45308</v>
      </c>
      <c r="C2397">
        <v>49645</v>
      </c>
      <c r="D2397" t="s">
        <v>40</v>
      </c>
      <c r="E2397" t="s">
        <v>115</v>
      </c>
      <c r="F2397" t="s">
        <v>116</v>
      </c>
      <c r="G2397">
        <v>1</v>
      </c>
      <c r="H2397">
        <v>12.34</v>
      </c>
      <c r="I2397">
        <v>0.05</v>
      </c>
      <c r="J2397">
        <v>11.72</v>
      </c>
      <c r="K2397" t="s">
        <v>22</v>
      </c>
      <c r="L2397" t="s">
        <v>17</v>
      </c>
      <c r="M2397" t="s">
        <v>57</v>
      </c>
    </row>
    <row r="2398" spans="1:13" x14ac:dyDescent="0.2">
      <c r="A2398">
        <v>498472</v>
      </c>
      <c r="B2398" s="2">
        <v>45310</v>
      </c>
      <c r="C2398">
        <v>40954</v>
      </c>
      <c r="D2398" t="s">
        <v>44</v>
      </c>
      <c r="E2398" t="s">
        <v>195</v>
      </c>
      <c r="F2398" t="s">
        <v>196</v>
      </c>
      <c r="G2398">
        <v>5</v>
      </c>
      <c r="H2398">
        <v>4.74</v>
      </c>
      <c r="J2398">
        <v>23.7</v>
      </c>
      <c r="K2398" t="s">
        <v>95</v>
      </c>
      <c r="L2398" t="s">
        <v>17</v>
      </c>
      <c r="M2398" t="s">
        <v>120</v>
      </c>
    </row>
    <row r="2399" spans="1:13" x14ac:dyDescent="0.2">
      <c r="A2399">
        <v>498590</v>
      </c>
      <c r="B2399" s="2">
        <v>44799</v>
      </c>
      <c r="D2399" t="s">
        <v>85</v>
      </c>
      <c r="E2399" t="s">
        <v>145</v>
      </c>
      <c r="F2399" t="s">
        <v>146</v>
      </c>
      <c r="G2399">
        <v>3</v>
      </c>
      <c r="H2399">
        <v>16.989999999999998</v>
      </c>
      <c r="J2399">
        <v>50.97</v>
      </c>
      <c r="K2399" t="s">
        <v>16</v>
      </c>
      <c r="L2399" t="s">
        <v>17</v>
      </c>
      <c r="M2399" t="s">
        <v>102</v>
      </c>
    </row>
    <row r="2400" spans="1:13" x14ac:dyDescent="0.2">
      <c r="A2400">
        <v>498720</v>
      </c>
      <c r="B2400" s="1">
        <v>44753</v>
      </c>
      <c r="C2400">
        <v>94928</v>
      </c>
      <c r="D2400" t="s">
        <v>40</v>
      </c>
      <c r="E2400" t="s">
        <v>197</v>
      </c>
      <c r="F2400" t="s">
        <v>198</v>
      </c>
      <c r="G2400">
        <v>4</v>
      </c>
      <c r="H2400">
        <v>14.99</v>
      </c>
      <c r="J2400">
        <v>59.96</v>
      </c>
      <c r="K2400" t="s">
        <v>36</v>
      </c>
      <c r="L2400" t="s">
        <v>17</v>
      </c>
      <c r="M2400" t="s">
        <v>123</v>
      </c>
    </row>
    <row r="2401" spans="1:13" x14ac:dyDescent="0.2">
      <c r="A2401">
        <v>499279</v>
      </c>
      <c r="B2401" s="1">
        <v>45638</v>
      </c>
      <c r="C2401">
        <v>92070</v>
      </c>
      <c r="D2401" t="s">
        <v>13</v>
      </c>
      <c r="E2401" t="s">
        <v>14</v>
      </c>
      <c r="F2401" t="s">
        <v>15</v>
      </c>
      <c r="G2401">
        <v>5</v>
      </c>
      <c r="H2401">
        <v>79.989999999999995</v>
      </c>
      <c r="J2401">
        <v>399.95</v>
      </c>
      <c r="K2401" t="s">
        <v>16</v>
      </c>
      <c r="L2401" t="s">
        <v>23</v>
      </c>
      <c r="M2401" t="s">
        <v>33</v>
      </c>
    </row>
    <row r="2402" spans="1:13" x14ac:dyDescent="0.2">
      <c r="A2402">
        <v>499322</v>
      </c>
      <c r="B2402" s="1">
        <v>45073</v>
      </c>
      <c r="C2402">
        <v>59937</v>
      </c>
      <c r="D2402" t="s">
        <v>25</v>
      </c>
      <c r="E2402" t="s">
        <v>26</v>
      </c>
      <c r="F2402" t="s">
        <v>27</v>
      </c>
      <c r="G2402">
        <v>5</v>
      </c>
      <c r="H2402">
        <v>29.74</v>
      </c>
      <c r="I2402">
        <v>0.15</v>
      </c>
      <c r="J2402">
        <v>126.39</v>
      </c>
      <c r="K2402" t="s">
        <v>36</v>
      </c>
      <c r="L2402" t="s">
        <v>17</v>
      </c>
      <c r="M2402" t="s">
        <v>123</v>
      </c>
    </row>
    <row r="2403" spans="1:13" x14ac:dyDescent="0.2">
      <c r="A2403">
        <v>499371</v>
      </c>
      <c r="B2403" s="1">
        <v>44588</v>
      </c>
      <c r="C2403">
        <v>31094</v>
      </c>
      <c r="D2403" t="s">
        <v>63</v>
      </c>
      <c r="E2403" t="s">
        <v>64</v>
      </c>
      <c r="F2403" t="s">
        <v>65</v>
      </c>
      <c r="G2403">
        <v>1</v>
      </c>
      <c r="H2403">
        <v>3.49</v>
      </c>
      <c r="I2403">
        <v>0.3</v>
      </c>
      <c r="J2403">
        <v>2.44</v>
      </c>
      <c r="K2403" t="s">
        <v>16</v>
      </c>
      <c r="L2403" t="s">
        <v>37</v>
      </c>
      <c r="M2403" t="s">
        <v>90</v>
      </c>
    </row>
    <row r="2404" spans="1:13" x14ac:dyDescent="0.2">
      <c r="A2404">
        <v>499545</v>
      </c>
      <c r="B2404" s="1">
        <v>45510</v>
      </c>
      <c r="C2404">
        <v>18547</v>
      </c>
      <c r="D2404" t="s">
        <v>48</v>
      </c>
      <c r="E2404" t="s">
        <v>49</v>
      </c>
      <c r="F2404" t="s">
        <v>50</v>
      </c>
      <c r="G2404">
        <v>5</v>
      </c>
      <c r="H2404">
        <v>8.09</v>
      </c>
      <c r="I2404">
        <v>0.1</v>
      </c>
      <c r="J2404">
        <v>36.4</v>
      </c>
      <c r="K2404" t="s">
        <v>32</v>
      </c>
      <c r="L2404" t="s">
        <v>17</v>
      </c>
    </row>
    <row r="2405" spans="1:13" x14ac:dyDescent="0.2">
      <c r="A2405">
        <v>499650</v>
      </c>
      <c r="B2405" s="1">
        <v>45010</v>
      </c>
      <c r="C2405">
        <v>78681</v>
      </c>
      <c r="D2405" t="s">
        <v>97</v>
      </c>
      <c r="E2405" t="s">
        <v>181</v>
      </c>
      <c r="F2405" t="s">
        <v>182</v>
      </c>
      <c r="G2405">
        <v>5</v>
      </c>
      <c r="H2405">
        <v>10.49</v>
      </c>
      <c r="I2405">
        <v>0.3</v>
      </c>
      <c r="J2405">
        <v>36.71</v>
      </c>
      <c r="K2405" t="s">
        <v>66</v>
      </c>
      <c r="L2405" t="s">
        <v>37</v>
      </c>
      <c r="M2405" t="s">
        <v>33</v>
      </c>
    </row>
    <row r="2406" spans="1:13" x14ac:dyDescent="0.2">
      <c r="A2406">
        <v>499812</v>
      </c>
      <c r="B2406" s="1">
        <v>45624</v>
      </c>
      <c r="C2406">
        <v>11990</v>
      </c>
      <c r="D2406" t="s">
        <v>63</v>
      </c>
      <c r="E2406" t="s">
        <v>111</v>
      </c>
      <c r="F2406" t="s">
        <v>112</v>
      </c>
      <c r="G2406">
        <v>1</v>
      </c>
      <c r="H2406">
        <v>13.49</v>
      </c>
      <c r="I2406">
        <v>0.1</v>
      </c>
      <c r="J2406">
        <v>12.14</v>
      </c>
      <c r="K2406" t="s">
        <v>16</v>
      </c>
      <c r="L2406" t="s">
        <v>23</v>
      </c>
      <c r="M2406" t="s">
        <v>96</v>
      </c>
    </row>
    <row r="2407" spans="1:13" x14ac:dyDescent="0.2">
      <c r="A2407">
        <v>500004</v>
      </c>
      <c r="B2407" s="1">
        <v>45216</v>
      </c>
      <c r="C2407">
        <v>24128</v>
      </c>
      <c r="D2407" t="s">
        <v>82</v>
      </c>
      <c r="E2407" t="s">
        <v>100</v>
      </c>
      <c r="F2407" t="s">
        <v>101</v>
      </c>
      <c r="G2407">
        <v>5</v>
      </c>
      <c r="H2407">
        <v>22.99</v>
      </c>
      <c r="J2407">
        <v>114.95</v>
      </c>
      <c r="K2407" t="s">
        <v>95</v>
      </c>
      <c r="L2407" t="s">
        <v>37</v>
      </c>
    </row>
    <row r="2408" spans="1:13" x14ac:dyDescent="0.2">
      <c r="A2408">
        <v>500033</v>
      </c>
      <c r="B2408" s="1">
        <v>45131</v>
      </c>
      <c r="D2408" t="s">
        <v>13</v>
      </c>
      <c r="E2408" t="s">
        <v>77</v>
      </c>
      <c r="F2408" t="s">
        <v>78</v>
      </c>
      <c r="G2408">
        <v>4</v>
      </c>
      <c r="H2408">
        <v>399.99</v>
      </c>
      <c r="I2408">
        <v>0.2</v>
      </c>
      <c r="J2408">
        <v>1279.97</v>
      </c>
      <c r="K2408" t="s">
        <v>36</v>
      </c>
      <c r="L2408" t="s">
        <v>17</v>
      </c>
      <c r="M2408" t="s">
        <v>54</v>
      </c>
    </row>
    <row r="2409" spans="1:13" x14ac:dyDescent="0.2">
      <c r="A2409">
        <v>500558</v>
      </c>
      <c r="B2409" s="1">
        <v>45117</v>
      </c>
      <c r="C2409">
        <v>84157</v>
      </c>
      <c r="D2409" t="s">
        <v>192</v>
      </c>
      <c r="E2409" t="s">
        <v>165</v>
      </c>
      <c r="F2409" t="s">
        <v>166</v>
      </c>
      <c r="G2409">
        <v>1</v>
      </c>
      <c r="H2409">
        <v>80.989999999999995</v>
      </c>
      <c r="I2409">
        <v>0.1</v>
      </c>
      <c r="J2409">
        <v>72.89</v>
      </c>
      <c r="K2409" t="s">
        <v>16</v>
      </c>
      <c r="L2409" t="s">
        <v>37</v>
      </c>
      <c r="M2409" t="s">
        <v>33</v>
      </c>
    </row>
    <row r="2410" spans="1:13" x14ac:dyDescent="0.2">
      <c r="A2410">
        <v>500990</v>
      </c>
      <c r="B2410" s="1">
        <v>45511</v>
      </c>
      <c r="D2410" t="s">
        <v>40</v>
      </c>
      <c r="E2410" t="s">
        <v>41</v>
      </c>
      <c r="F2410" t="s">
        <v>42</v>
      </c>
      <c r="G2410">
        <v>4</v>
      </c>
      <c r="H2410">
        <v>4.1900000000000004</v>
      </c>
      <c r="I2410">
        <v>0.3</v>
      </c>
      <c r="J2410">
        <v>11.73</v>
      </c>
      <c r="K2410" t="s">
        <v>36</v>
      </c>
      <c r="L2410" t="s">
        <v>37</v>
      </c>
      <c r="M2410" t="s">
        <v>67</v>
      </c>
    </row>
    <row r="2411" spans="1:13" x14ac:dyDescent="0.2">
      <c r="A2411">
        <v>501054</v>
      </c>
      <c r="B2411" s="1">
        <v>44733</v>
      </c>
      <c r="C2411">
        <v>45971</v>
      </c>
      <c r="D2411" t="s">
        <v>25</v>
      </c>
      <c r="E2411" t="s">
        <v>51</v>
      </c>
      <c r="F2411" t="s">
        <v>52</v>
      </c>
      <c r="G2411">
        <v>1</v>
      </c>
      <c r="H2411">
        <v>20.99</v>
      </c>
      <c r="I2411">
        <v>0.25</v>
      </c>
      <c r="J2411">
        <v>15.74</v>
      </c>
      <c r="K2411" t="s">
        <v>22</v>
      </c>
      <c r="L2411" t="s">
        <v>37</v>
      </c>
      <c r="M2411" t="s">
        <v>81</v>
      </c>
    </row>
    <row r="2412" spans="1:13" x14ac:dyDescent="0.2">
      <c r="A2412">
        <v>501155</v>
      </c>
      <c r="B2412" s="1">
        <v>44667</v>
      </c>
      <c r="C2412">
        <v>16587</v>
      </c>
      <c r="D2412" t="s">
        <v>192</v>
      </c>
      <c r="E2412" t="s">
        <v>121</v>
      </c>
      <c r="F2412" t="s">
        <v>122</v>
      </c>
      <c r="G2412">
        <v>1</v>
      </c>
      <c r="H2412">
        <v>12.99</v>
      </c>
      <c r="J2412">
        <v>12.99</v>
      </c>
      <c r="K2412" t="s">
        <v>36</v>
      </c>
      <c r="L2412" t="s">
        <v>17</v>
      </c>
      <c r="M2412" t="s">
        <v>81</v>
      </c>
    </row>
    <row r="2413" spans="1:13" x14ac:dyDescent="0.2">
      <c r="A2413">
        <v>501404</v>
      </c>
      <c r="B2413" s="1">
        <v>44930</v>
      </c>
      <c r="C2413">
        <v>10349</v>
      </c>
      <c r="D2413" t="s">
        <v>13</v>
      </c>
      <c r="E2413" t="s">
        <v>159</v>
      </c>
      <c r="F2413" t="s">
        <v>160</v>
      </c>
      <c r="G2413">
        <v>1</v>
      </c>
      <c r="H2413">
        <v>44.99</v>
      </c>
      <c r="I2413">
        <v>0.25</v>
      </c>
      <c r="J2413">
        <v>33.74</v>
      </c>
      <c r="K2413" t="s">
        <v>16</v>
      </c>
      <c r="L2413" t="s">
        <v>17</v>
      </c>
      <c r="M2413" t="s">
        <v>103</v>
      </c>
    </row>
    <row r="2414" spans="1:13" x14ac:dyDescent="0.2">
      <c r="A2414">
        <v>501518</v>
      </c>
      <c r="B2414" s="1">
        <v>44964</v>
      </c>
      <c r="C2414">
        <v>87681</v>
      </c>
      <c r="D2414" t="s">
        <v>13</v>
      </c>
      <c r="E2414" t="s">
        <v>55</v>
      </c>
      <c r="F2414" t="s">
        <v>56</v>
      </c>
      <c r="G2414">
        <v>3</v>
      </c>
      <c r="H2414">
        <v>263.99</v>
      </c>
      <c r="I2414">
        <v>0.2</v>
      </c>
      <c r="J2414">
        <v>633.58000000000004</v>
      </c>
      <c r="K2414" t="s">
        <v>16</v>
      </c>
      <c r="L2414" t="s">
        <v>17</v>
      </c>
      <c r="M2414" t="s">
        <v>43</v>
      </c>
    </row>
    <row r="2415" spans="1:13" x14ac:dyDescent="0.2">
      <c r="A2415">
        <v>502099</v>
      </c>
      <c r="B2415" s="1">
        <v>44928</v>
      </c>
      <c r="C2415">
        <v>87352</v>
      </c>
      <c r="D2415" t="s">
        <v>63</v>
      </c>
      <c r="E2415" t="s">
        <v>64</v>
      </c>
      <c r="F2415" t="s">
        <v>65</v>
      </c>
      <c r="G2415">
        <v>2</v>
      </c>
      <c r="H2415">
        <v>3.99</v>
      </c>
      <c r="I2415">
        <v>0.2</v>
      </c>
      <c r="J2415">
        <v>6.38</v>
      </c>
      <c r="K2415" t="s">
        <v>16</v>
      </c>
      <c r="L2415" t="s">
        <v>17</v>
      </c>
      <c r="M2415" t="s">
        <v>67</v>
      </c>
    </row>
    <row r="2416" spans="1:13" x14ac:dyDescent="0.2">
      <c r="A2416">
        <v>502175</v>
      </c>
      <c r="B2416" s="2">
        <v>45592</v>
      </c>
      <c r="C2416">
        <v>39409</v>
      </c>
      <c r="D2416" t="s">
        <v>25</v>
      </c>
      <c r="E2416" t="s">
        <v>113</v>
      </c>
      <c r="F2416" t="s">
        <v>114</v>
      </c>
      <c r="G2416">
        <v>1</v>
      </c>
      <c r="H2416">
        <v>119.99</v>
      </c>
      <c r="J2416">
        <v>119.99</v>
      </c>
      <c r="K2416" t="s">
        <v>66</v>
      </c>
      <c r="L2416" t="s">
        <v>17</v>
      </c>
      <c r="M2416" t="s">
        <v>54</v>
      </c>
    </row>
    <row r="2417" spans="1:13" x14ac:dyDescent="0.2">
      <c r="A2417">
        <v>502295</v>
      </c>
      <c r="B2417" s="2">
        <v>45057</v>
      </c>
      <c r="C2417">
        <v>44369</v>
      </c>
      <c r="D2417" t="s">
        <v>97</v>
      </c>
      <c r="E2417" t="s">
        <v>98</v>
      </c>
      <c r="F2417" t="s">
        <v>99</v>
      </c>
      <c r="G2417">
        <v>3</v>
      </c>
      <c r="H2417">
        <v>27.99</v>
      </c>
      <c r="J2417">
        <v>83.97</v>
      </c>
      <c r="K2417" t="s">
        <v>36</v>
      </c>
      <c r="L2417" t="s">
        <v>37</v>
      </c>
      <c r="M2417" t="s">
        <v>120</v>
      </c>
    </row>
    <row r="2418" spans="1:13" x14ac:dyDescent="0.2">
      <c r="A2418">
        <v>502338</v>
      </c>
      <c r="B2418" s="1">
        <v>45240</v>
      </c>
      <c r="C2418">
        <v>44077</v>
      </c>
      <c r="D2418" t="s">
        <v>25</v>
      </c>
      <c r="E2418" t="s">
        <v>60</v>
      </c>
      <c r="F2418" t="s">
        <v>61</v>
      </c>
      <c r="G2418">
        <v>2</v>
      </c>
      <c r="H2418">
        <v>41.24</v>
      </c>
      <c r="I2418">
        <v>0.25</v>
      </c>
      <c r="J2418">
        <v>61.86</v>
      </c>
      <c r="K2418" t="s">
        <v>16</v>
      </c>
      <c r="L2418" t="s">
        <v>37</v>
      </c>
      <c r="M2418" t="s">
        <v>67</v>
      </c>
    </row>
    <row r="2419" spans="1:13" x14ac:dyDescent="0.2">
      <c r="A2419">
        <v>502354</v>
      </c>
      <c r="B2419" s="1">
        <v>45036</v>
      </c>
      <c r="C2419">
        <v>41794</v>
      </c>
      <c r="D2419" t="s">
        <v>25</v>
      </c>
      <c r="E2419" t="s">
        <v>60</v>
      </c>
      <c r="F2419" t="s">
        <v>61</v>
      </c>
      <c r="G2419">
        <v>2</v>
      </c>
      <c r="H2419">
        <v>52.24</v>
      </c>
      <c r="I2419">
        <v>0.05</v>
      </c>
      <c r="J2419">
        <v>99.26</v>
      </c>
      <c r="K2419" t="s">
        <v>36</v>
      </c>
      <c r="L2419" t="s">
        <v>37</v>
      </c>
      <c r="M2419" t="s">
        <v>123</v>
      </c>
    </row>
    <row r="2420" spans="1:13" x14ac:dyDescent="0.2">
      <c r="A2420">
        <v>502484</v>
      </c>
      <c r="B2420" s="1">
        <v>44908</v>
      </c>
      <c r="C2420">
        <v>57067</v>
      </c>
      <c r="D2420" t="s">
        <v>82</v>
      </c>
      <c r="E2420" t="s">
        <v>100</v>
      </c>
      <c r="F2420" t="s">
        <v>101</v>
      </c>
      <c r="G2420">
        <v>5</v>
      </c>
      <c r="H2420">
        <v>19.54</v>
      </c>
      <c r="I2420">
        <v>0.15</v>
      </c>
      <c r="J2420">
        <v>83.04</v>
      </c>
      <c r="K2420" t="s">
        <v>53</v>
      </c>
      <c r="L2420" t="s">
        <v>17</v>
      </c>
      <c r="M2420" t="s">
        <v>90</v>
      </c>
    </row>
    <row r="2421" spans="1:13" x14ac:dyDescent="0.2">
      <c r="A2421">
        <v>502887</v>
      </c>
      <c r="B2421" s="1">
        <v>44819</v>
      </c>
      <c r="C2421">
        <v>81981</v>
      </c>
      <c r="D2421" t="s">
        <v>106</v>
      </c>
      <c r="E2421" t="s">
        <v>172</v>
      </c>
      <c r="F2421" t="s">
        <v>173</v>
      </c>
      <c r="G2421">
        <v>5</v>
      </c>
      <c r="H2421">
        <v>3.82</v>
      </c>
      <c r="I2421">
        <v>0.15</v>
      </c>
      <c r="J2421">
        <v>16.239999999999998</v>
      </c>
      <c r="K2421" t="s">
        <v>16</v>
      </c>
      <c r="L2421" t="s">
        <v>37</v>
      </c>
      <c r="M2421" t="s">
        <v>90</v>
      </c>
    </row>
    <row r="2422" spans="1:13" x14ac:dyDescent="0.2">
      <c r="A2422">
        <v>502890</v>
      </c>
      <c r="B2422" s="2">
        <v>44825</v>
      </c>
      <c r="C2422">
        <v>86445</v>
      </c>
      <c r="D2422" t="s">
        <v>44</v>
      </c>
      <c r="E2422" t="s">
        <v>190</v>
      </c>
      <c r="F2422" t="s">
        <v>191</v>
      </c>
      <c r="G2422">
        <v>2</v>
      </c>
      <c r="H2422">
        <v>4.29</v>
      </c>
      <c r="J2422">
        <v>8.58</v>
      </c>
      <c r="K2422" t="s">
        <v>53</v>
      </c>
      <c r="L2422" t="s">
        <v>17</v>
      </c>
      <c r="M2422" t="s">
        <v>103</v>
      </c>
    </row>
    <row r="2423" spans="1:13" x14ac:dyDescent="0.2">
      <c r="A2423">
        <v>503234</v>
      </c>
      <c r="B2423" s="1">
        <v>45274</v>
      </c>
      <c r="C2423">
        <v>30942</v>
      </c>
      <c r="D2423" t="s">
        <v>48</v>
      </c>
      <c r="E2423" t="s">
        <v>143</v>
      </c>
      <c r="F2423" t="s">
        <v>144</v>
      </c>
      <c r="G2423">
        <v>2</v>
      </c>
      <c r="H2423">
        <v>14.99</v>
      </c>
      <c r="J2423">
        <v>29.98</v>
      </c>
      <c r="K2423" t="s">
        <v>16</v>
      </c>
      <c r="L2423" t="s">
        <v>17</v>
      </c>
      <c r="M2423" t="s">
        <v>161</v>
      </c>
    </row>
    <row r="2424" spans="1:13" x14ac:dyDescent="0.2">
      <c r="A2424">
        <v>503268</v>
      </c>
      <c r="B2424" s="1">
        <v>44786</v>
      </c>
      <c r="C2424">
        <v>63613</v>
      </c>
      <c r="D2424" t="s">
        <v>48</v>
      </c>
      <c r="E2424" t="s">
        <v>49</v>
      </c>
      <c r="F2424" t="s">
        <v>50</v>
      </c>
      <c r="G2424">
        <v>4</v>
      </c>
      <c r="H2424">
        <v>6.29</v>
      </c>
      <c r="I2424">
        <v>0.3</v>
      </c>
      <c r="J2424">
        <v>17.61</v>
      </c>
      <c r="K2424" t="s">
        <v>16</v>
      </c>
      <c r="L2424" t="s">
        <v>17</v>
      </c>
      <c r="M2424" t="s">
        <v>18</v>
      </c>
    </row>
    <row r="2425" spans="1:13" x14ac:dyDescent="0.2">
      <c r="A2425">
        <v>503772</v>
      </c>
      <c r="B2425" s="1">
        <v>44678</v>
      </c>
      <c r="C2425">
        <v>41002</v>
      </c>
      <c r="D2425" t="s">
        <v>63</v>
      </c>
      <c r="E2425" t="s">
        <v>64</v>
      </c>
      <c r="F2425" t="s">
        <v>65</v>
      </c>
      <c r="G2425">
        <v>1</v>
      </c>
      <c r="H2425">
        <v>4.24</v>
      </c>
      <c r="I2425">
        <v>0.15</v>
      </c>
      <c r="J2425">
        <v>3.6</v>
      </c>
      <c r="K2425" t="s">
        <v>16</v>
      </c>
      <c r="L2425" t="s">
        <v>17</v>
      </c>
      <c r="M2425" t="s">
        <v>161</v>
      </c>
    </row>
    <row r="2426" spans="1:13" x14ac:dyDescent="0.2">
      <c r="A2426">
        <v>503788</v>
      </c>
      <c r="B2426" s="1">
        <v>44936</v>
      </c>
      <c r="C2426">
        <v>81608</v>
      </c>
      <c r="D2426" t="s">
        <v>44</v>
      </c>
      <c r="E2426" t="s">
        <v>195</v>
      </c>
      <c r="F2426" t="s">
        <v>196</v>
      </c>
      <c r="G2426">
        <v>1</v>
      </c>
      <c r="H2426">
        <v>4.99</v>
      </c>
      <c r="J2426">
        <v>4.99</v>
      </c>
      <c r="K2426" t="s">
        <v>22</v>
      </c>
      <c r="L2426" t="s">
        <v>37</v>
      </c>
      <c r="M2426" t="s">
        <v>33</v>
      </c>
    </row>
    <row r="2427" spans="1:13" x14ac:dyDescent="0.2">
      <c r="A2427">
        <v>503958</v>
      </c>
      <c r="B2427" s="2">
        <v>44892</v>
      </c>
      <c r="C2427">
        <v>88539</v>
      </c>
      <c r="D2427" t="s">
        <v>85</v>
      </c>
      <c r="E2427" t="s">
        <v>86</v>
      </c>
      <c r="F2427" t="s">
        <v>87</v>
      </c>
      <c r="G2427">
        <v>5</v>
      </c>
      <c r="H2427">
        <v>9.74</v>
      </c>
      <c r="I2427">
        <v>0.25</v>
      </c>
      <c r="J2427">
        <v>36.53</v>
      </c>
      <c r="K2427" t="s">
        <v>16</v>
      </c>
      <c r="L2427" t="s">
        <v>37</v>
      </c>
      <c r="M2427" t="s">
        <v>81</v>
      </c>
    </row>
    <row r="2428" spans="1:13" x14ac:dyDescent="0.2">
      <c r="A2428">
        <v>504025</v>
      </c>
      <c r="B2428" s="2">
        <v>45177</v>
      </c>
      <c r="C2428">
        <v>69103</v>
      </c>
      <c r="D2428" t="s">
        <v>106</v>
      </c>
      <c r="E2428" t="s">
        <v>195</v>
      </c>
      <c r="F2428" t="s">
        <v>196</v>
      </c>
      <c r="G2428">
        <v>1</v>
      </c>
      <c r="H2428">
        <v>4.99</v>
      </c>
      <c r="J2428">
        <v>4.99</v>
      </c>
      <c r="K2428" t="s">
        <v>22</v>
      </c>
      <c r="L2428" t="s">
        <v>17</v>
      </c>
      <c r="M2428" t="s">
        <v>57</v>
      </c>
    </row>
    <row r="2429" spans="1:13" x14ac:dyDescent="0.2">
      <c r="A2429">
        <v>504036</v>
      </c>
      <c r="B2429" s="1">
        <v>45129</v>
      </c>
      <c r="C2429">
        <v>36269</v>
      </c>
      <c r="D2429" t="s">
        <v>13</v>
      </c>
      <c r="E2429" t="s">
        <v>127</v>
      </c>
      <c r="F2429" t="s">
        <v>128</v>
      </c>
      <c r="G2429">
        <v>1</v>
      </c>
      <c r="H2429">
        <v>17.989999999999998</v>
      </c>
      <c r="I2429">
        <v>0.1</v>
      </c>
      <c r="J2429">
        <v>16.190000000000001</v>
      </c>
      <c r="K2429" t="s">
        <v>16</v>
      </c>
      <c r="L2429" t="s">
        <v>17</v>
      </c>
      <c r="M2429" t="s">
        <v>62</v>
      </c>
    </row>
    <row r="2430" spans="1:13" x14ac:dyDescent="0.2">
      <c r="A2430">
        <v>504747</v>
      </c>
      <c r="B2430" s="1">
        <v>44688</v>
      </c>
      <c r="C2430">
        <v>83092</v>
      </c>
      <c r="D2430" t="s">
        <v>97</v>
      </c>
      <c r="E2430" t="s">
        <v>135</v>
      </c>
      <c r="F2430" t="s">
        <v>136</v>
      </c>
      <c r="G2430">
        <v>2</v>
      </c>
      <c r="H2430">
        <v>9.99</v>
      </c>
      <c r="J2430">
        <v>19.98</v>
      </c>
      <c r="K2430" t="s">
        <v>36</v>
      </c>
      <c r="L2430" t="s">
        <v>37</v>
      </c>
      <c r="M2430" t="s">
        <v>76</v>
      </c>
    </row>
    <row r="2431" spans="1:13" x14ac:dyDescent="0.2">
      <c r="A2431">
        <v>504930</v>
      </c>
      <c r="B2431" s="1">
        <v>45544</v>
      </c>
      <c r="C2431">
        <v>59137</v>
      </c>
      <c r="D2431" t="s">
        <v>48</v>
      </c>
      <c r="E2431" t="s">
        <v>179</v>
      </c>
      <c r="F2431" t="s">
        <v>180</v>
      </c>
      <c r="G2431">
        <v>4</v>
      </c>
      <c r="H2431">
        <v>8.39</v>
      </c>
      <c r="I2431">
        <v>0.3</v>
      </c>
      <c r="J2431">
        <v>23.49</v>
      </c>
      <c r="K2431" t="s">
        <v>22</v>
      </c>
      <c r="L2431" t="s">
        <v>37</v>
      </c>
      <c r="M2431" t="s">
        <v>33</v>
      </c>
    </row>
    <row r="2432" spans="1:13" x14ac:dyDescent="0.2">
      <c r="A2432">
        <v>505042</v>
      </c>
      <c r="B2432" s="1">
        <v>45564</v>
      </c>
      <c r="C2432">
        <v>52000</v>
      </c>
      <c r="D2432" t="s">
        <v>82</v>
      </c>
      <c r="E2432" t="s">
        <v>83</v>
      </c>
      <c r="F2432" t="s">
        <v>84</v>
      </c>
      <c r="G2432">
        <v>1</v>
      </c>
      <c r="H2432">
        <v>11.89</v>
      </c>
      <c r="I2432">
        <v>0.3</v>
      </c>
      <c r="J2432">
        <v>8.32</v>
      </c>
      <c r="K2432" t="s">
        <v>16</v>
      </c>
      <c r="L2432" t="s">
        <v>17</v>
      </c>
      <c r="M2432" t="s">
        <v>47</v>
      </c>
    </row>
    <row r="2433" spans="1:13" x14ac:dyDescent="0.2">
      <c r="A2433">
        <v>505189</v>
      </c>
      <c r="B2433" s="2">
        <v>45575</v>
      </c>
      <c r="D2433" t="s">
        <v>63</v>
      </c>
      <c r="E2433" t="s">
        <v>68</v>
      </c>
      <c r="F2433" t="s">
        <v>69</v>
      </c>
      <c r="G2433">
        <v>1</v>
      </c>
      <c r="H2433">
        <v>22.49</v>
      </c>
      <c r="I2433">
        <v>0.1</v>
      </c>
      <c r="J2433">
        <v>20.239999999999998</v>
      </c>
      <c r="K2433" t="s">
        <v>22</v>
      </c>
      <c r="L2433" t="s">
        <v>37</v>
      </c>
      <c r="M2433" t="s">
        <v>120</v>
      </c>
    </row>
    <row r="2434" spans="1:13" x14ac:dyDescent="0.2">
      <c r="A2434">
        <v>505527</v>
      </c>
      <c r="B2434" s="2">
        <v>45393</v>
      </c>
      <c r="C2434">
        <v>31573</v>
      </c>
      <c r="D2434" t="s">
        <v>40</v>
      </c>
      <c r="E2434" t="s">
        <v>58</v>
      </c>
      <c r="F2434" t="s">
        <v>59</v>
      </c>
      <c r="G2434">
        <v>5</v>
      </c>
      <c r="H2434">
        <v>3.59</v>
      </c>
      <c r="I2434">
        <v>0.1</v>
      </c>
      <c r="J2434">
        <v>16.16</v>
      </c>
      <c r="K2434" t="s">
        <v>16</v>
      </c>
      <c r="L2434" t="s">
        <v>17</v>
      </c>
      <c r="M2434" t="s">
        <v>24</v>
      </c>
    </row>
    <row r="2435" spans="1:13" x14ac:dyDescent="0.2">
      <c r="A2435">
        <v>505531</v>
      </c>
      <c r="B2435" s="1">
        <v>44968</v>
      </c>
      <c r="C2435">
        <v>12243</v>
      </c>
      <c r="D2435" t="s">
        <v>48</v>
      </c>
      <c r="E2435" t="s">
        <v>139</v>
      </c>
      <c r="F2435" t="s">
        <v>140</v>
      </c>
      <c r="G2435">
        <v>3</v>
      </c>
      <c r="H2435">
        <v>6.39</v>
      </c>
      <c r="I2435">
        <v>0.2</v>
      </c>
      <c r="J2435">
        <v>15.34</v>
      </c>
      <c r="K2435" t="s">
        <v>36</v>
      </c>
      <c r="L2435" t="s">
        <v>17</v>
      </c>
      <c r="M2435" t="s">
        <v>81</v>
      </c>
    </row>
    <row r="2436" spans="1:13" x14ac:dyDescent="0.2">
      <c r="A2436">
        <v>505908</v>
      </c>
      <c r="B2436" s="1">
        <v>45342</v>
      </c>
      <c r="C2436">
        <v>61695</v>
      </c>
      <c r="D2436" t="s">
        <v>13</v>
      </c>
      <c r="E2436" t="s">
        <v>79</v>
      </c>
      <c r="F2436" t="s">
        <v>80</v>
      </c>
      <c r="G2436">
        <v>3</v>
      </c>
      <c r="H2436">
        <v>67.489999999999995</v>
      </c>
      <c r="I2436">
        <v>0.25</v>
      </c>
      <c r="J2436">
        <v>151.85</v>
      </c>
      <c r="K2436" t="s">
        <v>36</v>
      </c>
      <c r="L2436" t="s">
        <v>23</v>
      </c>
      <c r="M2436" t="s">
        <v>18</v>
      </c>
    </row>
    <row r="2437" spans="1:13" x14ac:dyDescent="0.2">
      <c r="A2437">
        <v>506012</v>
      </c>
      <c r="B2437" s="1">
        <v>44646</v>
      </c>
      <c r="C2437">
        <v>66263</v>
      </c>
      <c r="D2437" t="s">
        <v>40</v>
      </c>
      <c r="E2437" t="s">
        <v>115</v>
      </c>
      <c r="F2437" t="s">
        <v>116</v>
      </c>
      <c r="G2437">
        <v>1</v>
      </c>
      <c r="H2437">
        <v>12.99</v>
      </c>
      <c r="J2437">
        <v>12.99</v>
      </c>
      <c r="K2437" t="s">
        <v>22</v>
      </c>
      <c r="L2437" t="s">
        <v>17</v>
      </c>
      <c r="M2437" t="s">
        <v>28</v>
      </c>
    </row>
    <row r="2438" spans="1:13" x14ac:dyDescent="0.2">
      <c r="A2438">
        <v>506299</v>
      </c>
      <c r="B2438" s="1">
        <v>45432</v>
      </c>
      <c r="C2438">
        <v>83730</v>
      </c>
      <c r="D2438" t="s">
        <v>97</v>
      </c>
      <c r="E2438" t="s">
        <v>181</v>
      </c>
      <c r="F2438" t="s">
        <v>182</v>
      </c>
      <c r="G2438">
        <v>3</v>
      </c>
      <c r="H2438">
        <v>14.99</v>
      </c>
      <c r="J2438">
        <v>44.97</v>
      </c>
      <c r="K2438" t="s">
        <v>16</v>
      </c>
      <c r="L2438" t="s">
        <v>17</v>
      </c>
      <c r="M2438" t="s">
        <v>96</v>
      </c>
    </row>
    <row r="2439" spans="1:13" x14ac:dyDescent="0.2">
      <c r="A2439">
        <v>506465</v>
      </c>
      <c r="B2439" s="2">
        <v>45186</v>
      </c>
      <c r="C2439">
        <v>74743</v>
      </c>
      <c r="D2439" t="s">
        <v>25</v>
      </c>
      <c r="E2439" t="s">
        <v>26</v>
      </c>
      <c r="F2439" t="s">
        <v>27</v>
      </c>
      <c r="G2439">
        <v>2</v>
      </c>
      <c r="H2439">
        <v>31.49</v>
      </c>
      <c r="I2439">
        <v>0.1</v>
      </c>
      <c r="J2439">
        <v>56.68</v>
      </c>
      <c r="K2439" t="s">
        <v>22</v>
      </c>
      <c r="L2439" t="s">
        <v>17</v>
      </c>
      <c r="M2439" t="s">
        <v>161</v>
      </c>
    </row>
    <row r="2440" spans="1:13" x14ac:dyDescent="0.2">
      <c r="A2440">
        <v>506722</v>
      </c>
      <c r="B2440" s="1">
        <v>45291</v>
      </c>
      <c r="C2440">
        <v>12389</v>
      </c>
      <c r="D2440" t="s">
        <v>25</v>
      </c>
      <c r="E2440" t="s">
        <v>51</v>
      </c>
      <c r="F2440" t="s">
        <v>52</v>
      </c>
      <c r="G2440">
        <v>1</v>
      </c>
      <c r="H2440">
        <v>27.99</v>
      </c>
      <c r="J2440">
        <v>27.99</v>
      </c>
      <c r="K2440" t="s">
        <v>16</v>
      </c>
      <c r="L2440" t="s">
        <v>17</v>
      </c>
      <c r="M2440" t="s">
        <v>28</v>
      </c>
    </row>
    <row r="2441" spans="1:13" x14ac:dyDescent="0.2">
      <c r="A2441">
        <v>506773</v>
      </c>
      <c r="B2441" s="1">
        <v>44762</v>
      </c>
      <c r="C2441">
        <v>35336</v>
      </c>
      <c r="D2441" t="s">
        <v>85</v>
      </c>
      <c r="E2441" t="s">
        <v>129</v>
      </c>
      <c r="F2441" t="s">
        <v>130</v>
      </c>
      <c r="G2441">
        <v>2</v>
      </c>
      <c r="H2441">
        <v>6.74</v>
      </c>
      <c r="I2441">
        <v>0.25</v>
      </c>
      <c r="J2441">
        <v>10.11</v>
      </c>
      <c r="K2441" t="s">
        <v>36</v>
      </c>
      <c r="L2441" t="s">
        <v>23</v>
      </c>
      <c r="M2441" t="s">
        <v>120</v>
      </c>
    </row>
    <row r="2442" spans="1:13" x14ac:dyDescent="0.2">
      <c r="A2442">
        <v>506810</v>
      </c>
      <c r="B2442" s="1">
        <v>45227</v>
      </c>
      <c r="C2442">
        <v>80360</v>
      </c>
      <c r="D2442" t="s">
        <v>63</v>
      </c>
      <c r="E2442" t="s">
        <v>131</v>
      </c>
      <c r="F2442" t="s">
        <v>132</v>
      </c>
      <c r="G2442">
        <v>5</v>
      </c>
      <c r="H2442">
        <v>2.62</v>
      </c>
      <c r="I2442">
        <v>0.25</v>
      </c>
      <c r="J2442">
        <v>9.83</v>
      </c>
      <c r="K2442" t="s">
        <v>36</v>
      </c>
      <c r="L2442" t="s">
        <v>17</v>
      </c>
      <c r="M2442" t="s">
        <v>24</v>
      </c>
    </row>
    <row r="2443" spans="1:13" x14ac:dyDescent="0.2">
      <c r="A2443">
        <v>506826</v>
      </c>
      <c r="B2443" s="2">
        <v>45644</v>
      </c>
      <c r="C2443">
        <v>69922</v>
      </c>
      <c r="D2443" t="s">
        <v>63</v>
      </c>
      <c r="E2443" t="s">
        <v>64</v>
      </c>
      <c r="F2443" t="s">
        <v>65</v>
      </c>
      <c r="G2443">
        <v>1</v>
      </c>
      <c r="H2443">
        <v>3.74</v>
      </c>
      <c r="I2443">
        <v>0.25</v>
      </c>
      <c r="J2443">
        <v>2.8</v>
      </c>
      <c r="K2443" t="s">
        <v>16</v>
      </c>
      <c r="L2443" t="s">
        <v>17</v>
      </c>
      <c r="M2443" t="s">
        <v>102</v>
      </c>
    </row>
    <row r="2444" spans="1:13" x14ac:dyDescent="0.2">
      <c r="A2444">
        <v>507101</v>
      </c>
      <c r="B2444" s="1">
        <v>44604</v>
      </c>
      <c r="C2444">
        <v>47532</v>
      </c>
      <c r="D2444" t="s">
        <v>48</v>
      </c>
      <c r="E2444" t="s">
        <v>143</v>
      </c>
      <c r="F2444" t="s">
        <v>144</v>
      </c>
      <c r="G2444">
        <v>1</v>
      </c>
      <c r="H2444">
        <v>10.49</v>
      </c>
      <c r="I2444">
        <v>0.3</v>
      </c>
      <c r="J2444">
        <v>7.34</v>
      </c>
      <c r="K2444" t="s">
        <v>36</v>
      </c>
      <c r="L2444" t="s">
        <v>17</v>
      </c>
      <c r="M2444" t="s">
        <v>161</v>
      </c>
    </row>
    <row r="2445" spans="1:13" x14ac:dyDescent="0.2">
      <c r="A2445">
        <v>507535</v>
      </c>
      <c r="B2445" s="1">
        <v>45274</v>
      </c>
      <c r="C2445">
        <v>72771</v>
      </c>
      <c r="D2445" t="s">
        <v>82</v>
      </c>
      <c r="E2445" t="s">
        <v>83</v>
      </c>
      <c r="F2445" t="s">
        <v>84</v>
      </c>
      <c r="G2445">
        <v>4</v>
      </c>
      <c r="H2445">
        <v>16.989999999999998</v>
      </c>
      <c r="J2445">
        <v>67.959999999999994</v>
      </c>
      <c r="K2445" t="s">
        <v>36</v>
      </c>
      <c r="L2445" t="s">
        <v>17</v>
      </c>
      <c r="M2445" t="s">
        <v>81</v>
      </c>
    </row>
    <row r="2446" spans="1:13" x14ac:dyDescent="0.2">
      <c r="A2446">
        <v>507560</v>
      </c>
      <c r="B2446" s="1">
        <v>45169</v>
      </c>
      <c r="C2446">
        <v>98510</v>
      </c>
      <c r="D2446" t="s">
        <v>13</v>
      </c>
      <c r="E2446" t="s">
        <v>186</v>
      </c>
      <c r="F2446" t="s">
        <v>187</v>
      </c>
      <c r="G2446">
        <v>1</v>
      </c>
      <c r="H2446">
        <v>44.99</v>
      </c>
      <c r="I2446">
        <v>0.1</v>
      </c>
      <c r="J2446">
        <v>40.49</v>
      </c>
      <c r="K2446" t="s">
        <v>36</v>
      </c>
      <c r="L2446" t="s">
        <v>17</v>
      </c>
      <c r="M2446" t="s">
        <v>47</v>
      </c>
    </row>
    <row r="2447" spans="1:13" x14ac:dyDescent="0.2">
      <c r="A2447">
        <v>507683</v>
      </c>
      <c r="B2447" s="1">
        <v>45091</v>
      </c>
      <c r="C2447">
        <v>58806</v>
      </c>
      <c r="D2447" t="s">
        <v>29</v>
      </c>
      <c r="E2447" t="s">
        <v>38</v>
      </c>
      <c r="F2447" t="s">
        <v>39</v>
      </c>
      <c r="G2447">
        <v>1</v>
      </c>
      <c r="H2447">
        <v>22.49</v>
      </c>
      <c r="I2447">
        <v>0.25</v>
      </c>
      <c r="J2447">
        <v>16.87</v>
      </c>
      <c r="K2447" t="s">
        <v>22</v>
      </c>
      <c r="L2447" t="s">
        <v>17</v>
      </c>
      <c r="M2447" t="s">
        <v>76</v>
      </c>
    </row>
    <row r="2448" spans="1:13" x14ac:dyDescent="0.2">
      <c r="A2448">
        <v>507834</v>
      </c>
      <c r="B2448" s="1">
        <v>45491</v>
      </c>
      <c r="D2448" t="s">
        <v>44</v>
      </c>
      <c r="E2448" t="s">
        <v>74</v>
      </c>
      <c r="F2448" t="s">
        <v>75</v>
      </c>
      <c r="G2448">
        <v>1</v>
      </c>
      <c r="H2448">
        <v>2.69</v>
      </c>
      <c r="I2448">
        <v>0.1</v>
      </c>
      <c r="J2448">
        <v>2.42</v>
      </c>
      <c r="K2448" t="s">
        <v>16</v>
      </c>
      <c r="L2448" t="s">
        <v>17</v>
      </c>
      <c r="M2448" t="s">
        <v>62</v>
      </c>
    </row>
    <row r="2449" spans="1:13" x14ac:dyDescent="0.2">
      <c r="A2449">
        <v>507888</v>
      </c>
      <c r="B2449" s="1">
        <v>45418</v>
      </c>
      <c r="C2449">
        <v>36958</v>
      </c>
      <c r="D2449" t="s">
        <v>97</v>
      </c>
      <c r="E2449" t="s">
        <v>141</v>
      </c>
      <c r="F2449" t="s">
        <v>142</v>
      </c>
      <c r="G2449">
        <v>3</v>
      </c>
      <c r="H2449">
        <v>17.239999999999998</v>
      </c>
      <c r="I2449">
        <v>0.25</v>
      </c>
      <c r="J2449">
        <v>38.79</v>
      </c>
      <c r="K2449" t="s">
        <v>16</v>
      </c>
      <c r="L2449" t="s">
        <v>37</v>
      </c>
      <c r="M2449" t="s">
        <v>43</v>
      </c>
    </row>
    <row r="2450" spans="1:13" x14ac:dyDescent="0.2">
      <c r="A2450">
        <v>508160</v>
      </c>
      <c r="B2450" s="1">
        <v>44632</v>
      </c>
      <c r="C2450">
        <v>41456</v>
      </c>
      <c r="D2450" t="s">
        <v>25</v>
      </c>
      <c r="E2450" t="s">
        <v>113</v>
      </c>
      <c r="F2450" t="s">
        <v>114</v>
      </c>
      <c r="G2450">
        <v>2</v>
      </c>
      <c r="H2450">
        <v>89.99</v>
      </c>
      <c r="I2450">
        <v>0.25</v>
      </c>
      <c r="J2450">
        <v>134.97999999999999</v>
      </c>
      <c r="K2450" t="s">
        <v>95</v>
      </c>
      <c r="L2450" t="s">
        <v>23</v>
      </c>
      <c r="M2450" t="s">
        <v>76</v>
      </c>
    </row>
    <row r="2451" spans="1:13" x14ac:dyDescent="0.2">
      <c r="A2451">
        <v>508304</v>
      </c>
      <c r="B2451" s="1">
        <v>44963</v>
      </c>
      <c r="C2451">
        <v>65064</v>
      </c>
      <c r="D2451" t="s">
        <v>97</v>
      </c>
      <c r="E2451" t="s">
        <v>193</v>
      </c>
      <c r="F2451" t="s">
        <v>194</v>
      </c>
      <c r="G2451">
        <v>1</v>
      </c>
      <c r="H2451">
        <v>64.989999999999995</v>
      </c>
      <c r="J2451">
        <v>64.989999999999995</v>
      </c>
      <c r="K2451" t="s">
        <v>53</v>
      </c>
      <c r="L2451" t="s">
        <v>17</v>
      </c>
      <c r="M2451" t="s">
        <v>102</v>
      </c>
    </row>
    <row r="2452" spans="1:13" x14ac:dyDescent="0.2">
      <c r="A2452">
        <v>508379</v>
      </c>
      <c r="B2452" s="2">
        <v>45643</v>
      </c>
      <c r="C2452">
        <v>59817</v>
      </c>
      <c r="D2452" t="s">
        <v>85</v>
      </c>
      <c r="E2452" t="s">
        <v>157</v>
      </c>
      <c r="F2452" t="s">
        <v>158</v>
      </c>
      <c r="G2452">
        <v>3</v>
      </c>
      <c r="H2452">
        <v>13.49</v>
      </c>
      <c r="J2452">
        <v>40.47</v>
      </c>
      <c r="K2452" t="s">
        <v>22</v>
      </c>
      <c r="L2452" t="s">
        <v>17</v>
      </c>
      <c r="M2452" t="s">
        <v>62</v>
      </c>
    </row>
    <row r="2453" spans="1:13" x14ac:dyDescent="0.2">
      <c r="A2453">
        <v>508926</v>
      </c>
      <c r="B2453" s="1">
        <v>44867</v>
      </c>
      <c r="C2453">
        <v>51497</v>
      </c>
      <c r="D2453" t="s">
        <v>13</v>
      </c>
      <c r="E2453" t="s">
        <v>127</v>
      </c>
      <c r="F2453" t="s">
        <v>128</v>
      </c>
      <c r="G2453">
        <v>2</v>
      </c>
      <c r="H2453">
        <v>14.99</v>
      </c>
      <c r="J2453">
        <v>29.98</v>
      </c>
      <c r="K2453" t="s">
        <v>16</v>
      </c>
      <c r="L2453" t="s">
        <v>17</v>
      </c>
      <c r="M2453" t="s">
        <v>62</v>
      </c>
    </row>
    <row r="2454" spans="1:13" x14ac:dyDescent="0.2">
      <c r="A2454">
        <v>509035</v>
      </c>
      <c r="B2454" s="1">
        <v>44697</v>
      </c>
      <c r="C2454">
        <v>93831</v>
      </c>
      <c r="D2454" t="s">
        <v>48</v>
      </c>
      <c r="E2454" t="s">
        <v>49</v>
      </c>
      <c r="F2454" t="s">
        <v>50</v>
      </c>
      <c r="G2454">
        <v>2</v>
      </c>
      <c r="H2454">
        <v>8.09</v>
      </c>
      <c r="I2454">
        <v>0.1</v>
      </c>
      <c r="J2454">
        <v>14.56</v>
      </c>
      <c r="K2454" t="s">
        <v>16</v>
      </c>
      <c r="L2454" t="s">
        <v>17</v>
      </c>
      <c r="M2454" t="s">
        <v>47</v>
      </c>
    </row>
    <row r="2455" spans="1:13" x14ac:dyDescent="0.2">
      <c r="A2455">
        <v>509150</v>
      </c>
      <c r="B2455" s="1">
        <v>45252</v>
      </c>
      <c r="C2455">
        <v>81873</v>
      </c>
      <c r="D2455" t="s">
        <v>40</v>
      </c>
      <c r="E2455" t="s">
        <v>58</v>
      </c>
      <c r="F2455" t="s">
        <v>59</v>
      </c>
      <c r="G2455">
        <v>3</v>
      </c>
      <c r="H2455">
        <v>3.39</v>
      </c>
      <c r="I2455">
        <v>0.15</v>
      </c>
      <c r="J2455">
        <v>8.64</v>
      </c>
      <c r="K2455" t="s">
        <v>16</v>
      </c>
      <c r="L2455" t="s">
        <v>23</v>
      </c>
      <c r="M2455" t="s">
        <v>24</v>
      </c>
    </row>
    <row r="2456" spans="1:13" x14ac:dyDescent="0.2">
      <c r="A2456">
        <v>509320</v>
      </c>
      <c r="B2456" s="1">
        <v>44867</v>
      </c>
      <c r="C2456">
        <v>63504</v>
      </c>
      <c r="D2456" t="s">
        <v>82</v>
      </c>
      <c r="E2456" t="s">
        <v>188</v>
      </c>
      <c r="F2456" t="s">
        <v>189</v>
      </c>
      <c r="G2456">
        <v>1</v>
      </c>
      <c r="H2456">
        <v>35.99</v>
      </c>
      <c r="I2456">
        <v>0.2</v>
      </c>
      <c r="J2456">
        <v>28.79</v>
      </c>
      <c r="K2456" t="s">
        <v>36</v>
      </c>
      <c r="L2456" t="s">
        <v>17</v>
      </c>
      <c r="M2456" t="s">
        <v>57</v>
      </c>
    </row>
    <row r="2457" spans="1:13" x14ac:dyDescent="0.2">
      <c r="A2457">
        <v>509409</v>
      </c>
      <c r="B2457" s="1">
        <v>44798</v>
      </c>
      <c r="C2457">
        <v>22609</v>
      </c>
      <c r="D2457" t="s">
        <v>25</v>
      </c>
      <c r="E2457" t="s">
        <v>26</v>
      </c>
      <c r="F2457" t="s">
        <v>27</v>
      </c>
      <c r="G2457">
        <v>2</v>
      </c>
      <c r="H2457">
        <v>29.74</v>
      </c>
      <c r="I2457">
        <v>0.15</v>
      </c>
      <c r="J2457">
        <v>50.56</v>
      </c>
      <c r="K2457" t="s">
        <v>36</v>
      </c>
      <c r="L2457" t="s">
        <v>23</v>
      </c>
      <c r="M2457" t="s">
        <v>57</v>
      </c>
    </row>
    <row r="2458" spans="1:13" x14ac:dyDescent="0.2">
      <c r="A2458">
        <v>509600</v>
      </c>
      <c r="B2458" s="2">
        <v>44598</v>
      </c>
      <c r="C2458">
        <v>87317</v>
      </c>
      <c r="D2458" t="s">
        <v>97</v>
      </c>
      <c r="E2458" t="s">
        <v>121</v>
      </c>
      <c r="F2458" t="s">
        <v>122</v>
      </c>
      <c r="G2458">
        <v>1</v>
      </c>
      <c r="H2458">
        <v>12.34</v>
      </c>
      <c r="I2458">
        <v>0.05</v>
      </c>
      <c r="J2458">
        <v>11.72</v>
      </c>
      <c r="K2458" t="s">
        <v>16</v>
      </c>
      <c r="L2458" t="s">
        <v>17</v>
      </c>
      <c r="M2458" t="s">
        <v>103</v>
      </c>
    </row>
    <row r="2459" spans="1:13" x14ac:dyDescent="0.2">
      <c r="A2459">
        <v>509718</v>
      </c>
      <c r="B2459" s="1">
        <v>45464</v>
      </c>
      <c r="C2459">
        <v>28314</v>
      </c>
      <c r="D2459" t="s">
        <v>29</v>
      </c>
      <c r="E2459" t="s">
        <v>88</v>
      </c>
      <c r="F2459" t="s">
        <v>89</v>
      </c>
      <c r="G2459">
        <v>2</v>
      </c>
      <c r="H2459">
        <v>37.49</v>
      </c>
      <c r="I2459">
        <v>0.25</v>
      </c>
      <c r="J2459">
        <v>56.24</v>
      </c>
      <c r="K2459" t="s">
        <v>36</v>
      </c>
      <c r="L2459" t="s">
        <v>37</v>
      </c>
    </row>
    <row r="2460" spans="1:13" x14ac:dyDescent="0.2">
      <c r="A2460">
        <v>510061</v>
      </c>
      <c r="B2460" s="2">
        <v>44656</v>
      </c>
      <c r="C2460">
        <v>26952</v>
      </c>
      <c r="D2460" t="s">
        <v>40</v>
      </c>
      <c r="E2460" t="s">
        <v>41</v>
      </c>
      <c r="F2460" t="s">
        <v>42</v>
      </c>
      <c r="G2460">
        <v>2</v>
      </c>
      <c r="H2460">
        <v>5.69</v>
      </c>
      <c r="I2460">
        <v>0.05</v>
      </c>
      <c r="J2460">
        <v>10.81</v>
      </c>
      <c r="K2460" t="s">
        <v>16</v>
      </c>
      <c r="L2460" t="s">
        <v>17</v>
      </c>
      <c r="M2460" t="s">
        <v>33</v>
      </c>
    </row>
    <row r="2461" spans="1:13" x14ac:dyDescent="0.2">
      <c r="A2461">
        <v>510372</v>
      </c>
      <c r="B2461" s="1">
        <v>44969</v>
      </c>
      <c r="C2461">
        <v>42420</v>
      </c>
      <c r="D2461" t="s">
        <v>19</v>
      </c>
      <c r="E2461" t="s">
        <v>58</v>
      </c>
      <c r="F2461" t="s">
        <v>59</v>
      </c>
      <c r="G2461">
        <v>2</v>
      </c>
      <c r="H2461">
        <v>2.79</v>
      </c>
      <c r="I2461">
        <v>0.3</v>
      </c>
      <c r="J2461">
        <v>3.91</v>
      </c>
      <c r="K2461" t="s">
        <v>16</v>
      </c>
      <c r="L2461" t="s">
        <v>17</v>
      </c>
      <c r="M2461" t="s">
        <v>117</v>
      </c>
    </row>
    <row r="2462" spans="1:13" x14ac:dyDescent="0.2">
      <c r="A2462">
        <v>510661</v>
      </c>
      <c r="B2462" s="1">
        <v>45414</v>
      </c>
      <c r="C2462">
        <v>13840</v>
      </c>
      <c r="D2462" t="s">
        <v>48</v>
      </c>
      <c r="E2462" t="s">
        <v>179</v>
      </c>
      <c r="F2462" t="s">
        <v>180</v>
      </c>
      <c r="G2462">
        <v>1</v>
      </c>
      <c r="H2462">
        <v>8.99</v>
      </c>
      <c r="I2462">
        <v>0.25</v>
      </c>
      <c r="J2462">
        <v>6.74</v>
      </c>
      <c r="K2462" t="s">
        <v>16</v>
      </c>
      <c r="L2462" t="s">
        <v>17</v>
      </c>
      <c r="M2462" t="s">
        <v>33</v>
      </c>
    </row>
    <row r="2463" spans="1:13" x14ac:dyDescent="0.2">
      <c r="A2463">
        <v>510720</v>
      </c>
      <c r="B2463" s="2">
        <v>44865</v>
      </c>
      <c r="C2463">
        <v>54974</v>
      </c>
      <c r="D2463" t="s">
        <v>82</v>
      </c>
      <c r="E2463" t="s">
        <v>168</v>
      </c>
      <c r="F2463" t="s">
        <v>169</v>
      </c>
      <c r="G2463">
        <v>1</v>
      </c>
      <c r="H2463">
        <v>8.99</v>
      </c>
      <c r="J2463">
        <v>8.99</v>
      </c>
      <c r="K2463" t="s">
        <v>36</v>
      </c>
      <c r="L2463" t="s">
        <v>17</v>
      </c>
      <c r="M2463" t="s">
        <v>62</v>
      </c>
    </row>
    <row r="2464" spans="1:13" x14ac:dyDescent="0.2">
      <c r="A2464">
        <v>510918</v>
      </c>
      <c r="B2464" s="1">
        <v>45127</v>
      </c>
      <c r="C2464">
        <v>36610</v>
      </c>
      <c r="D2464" t="s">
        <v>13</v>
      </c>
      <c r="E2464" t="s">
        <v>186</v>
      </c>
      <c r="F2464" t="s">
        <v>187</v>
      </c>
      <c r="G2464">
        <v>2</v>
      </c>
      <c r="H2464">
        <v>49.99</v>
      </c>
      <c r="J2464">
        <v>99.98</v>
      </c>
      <c r="K2464" t="s">
        <v>32</v>
      </c>
      <c r="L2464" t="s">
        <v>17</v>
      </c>
      <c r="M2464" t="s">
        <v>24</v>
      </c>
    </row>
    <row r="2465" spans="1:13" x14ac:dyDescent="0.2">
      <c r="A2465">
        <v>511016</v>
      </c>
      <c r="B2465" s="2">
        <v>44770</v>
      </c>
      <c r="C2465">
        <v>57729</v>
      </c>
      <c r="D2465" t="s">
        <v>164</v>
      </c>
      <c r="E2465" t="s">
        <v>72</v>
      </c>
      <c r="F2465" t="s">
        <v>73</v>
      </c>
      <c r="G2465">
        <v>2</v>
      </c>
      <c r="H2465">
        <v>27.99</v>
      </c>
      <c r="I2465">
        <v>0.3</v>
      </c>
      <c r="J2465">
        <v>39.19</v>
      </c>
      <c r="K2465" t="s">
        <v>95</v>
      </c>
      <c r="L2465" t="s">
        <v>37</v>
      </c>
      <c r="M2465" t="s">
        <v>54</v>
      </c>
    </row>
    <row r="2466" spans="1:13" x14ac:dyDescent="0.2">
      <c r="A2466">
        <v>511070</v>
      </c>
      <c r="B2466" s="1">
        <v>45433</v>
      </c>
      <c r="D2466" t="s">
        <v>44</v>
      </c>
      <c r="E2466" t="s">
        <v>195</v>
      </c>
      <c r="F2466" t="s">
        <v>196</v>
      </c>
      <c r="G2466">
        <v>5</v>
      </c>
      <c r="H2466">
        <v>3.49</v>
      </c>
      <c r="I2466">
        <v>0.3</v>
      </c>
      <c r="J2466">
        <v>12.22</v>
      </c>
      <c r="K2466" t="s">
        <v>22</v>
      </c>
      <c r="L2466" t="s">
        <v>37</v>
      </c>
      <c r="M2466" t="s">
        <v>96</v>
      </c>
    </row>
    <row r="2467" spans="1:13" x14ac:dyDescent="0.2">
      <c r="A2467">
        <v>511180</v>
      </c>
      <c r="B2467" s="2">
        <v>45198</v>
      </c>
      <c r="C2467">
        <v>66548</v>
      </c>
      <c r="D2467" t="s">
        <v>40</v>
      </c>
      <c r="E2467" t="s">
        <v>58</v>
      </c>
      <c r="F2467" t="s">
        <v>59</v>
      </c>
      <c r="G2467">
        <v>2</v>
      </c>
      <c r="H2467">
        <v>3.59</v>
      </c>
      <c r="I2467">
        <v>0.1</v>
      </c>
      <c r="J2467">
        <v>6.46</v>
      </c>
      <c r="K2467" t="s">
        <v>36</v>
      </c>
      <c r="L2467" t="s">
        <v>17</v>
      </c>
      <c r="M2467" t="s">
        <v>54</v>
      </c>
    </row>
    <row r="2468" spans="1:13" x14ac:dyDescent="0.2">
      <c r="A2468">
        <v>511227</v>
      </c>
      <c r="B2468" s="1">
        <v>44955</v>
      </c>
      <c r="C2468">
        <v>32756</v>
      </c>
      <c r="D2468" t="s">
        <v>25</v>
      </c>
      <c r="E2468" t="s">
        <v>70</v>
      </c>
      <c r="F2468" t="s">
        <v>71</v>
      </c>
      <c r="G2468">
        <v>1</v>
      </c>
      <c r="H2468">
        <v>67.489999999999995</v>
      </c>
      <c r="I2468">
        <v>0.25</v>
      </c>
      <c r="J2468">
        <v>50.62</v>
      </c>
      <c r="K2468" t="s">
        <v>16</v>
      </c>
      <c r="L2468" t="s">
        <v>37</v>
      </c>
      <c r="M2468" t="s">
        <v>47</v>
      </c>
    </row>
    <row r="2469" spans="1:13" x14ac:dyDescent="0.2">
      <c r="A2469">
        <v>511338</v>
      </c>
      <c r="B2469" s="1">
        <v>45430</v>
      </c>
      <c r="C2469">
        <v>32962</v>
      </c>
      <c r="D2469" t="s">
        <v>85</v>
      </c>
      <c r="E2469" t="s">
        <v>149</v>
      </c>
      <c r="F2469" t="s">
        <v>150</v>
      </c>
      <c r="G2469">
        <v>2</v>
      </c>
      <c r="H2469">
        <v>15.99</v>
      </c>
      <c r="I2469">
        <v>0.2</v>
      </c>
      <c r="J2469">
        <v>25.58</v>
      </c>
      <c r="K2469" t="s">
        <v>16</v>
      </c>
      <c r="L2469" t="s">
        <v>23</v>
      </c>
      <c r="M2469" t="s">
        <v>54</v>
      </c>
    </row>
    <row r="2470" spans="1:13" x14ac:dyDescent="0.2">
      <c r="A2470">
        <v>511472</v>
      </c>
      <c r="B2470" s="2">
        <v>44583</v>
      </c>
      <c r="C2470">
        <v>83318</v>
      </c>
      <c r="D2470" t="s">
        <v>48</v>
      </c>
      <c r="E2470" t="s">
        <v>118</v>
      </c>
      <c r="F2470" t="s">
        <v>119</v>
      </c>
      <c r="G2470">
        <v>4</v>
      </c>
      <c r="H2470">
        <v>4.99</v>
      </c>
      <c r="J2470">
        <v>19.96</v>
      </c>
      <c r="K2470" t="s">
        <v>36</v>
      </c>
      <c r="L2470" t="s">
        <v>37</v>
      </c>
      <c r="M2470" t="s">
        <v>90</v>
      </c>
    </row>
    <row r="2471" spans="1:13" x14ac:dyDescent="0.2">
      <c r="A2471">
        <v>511876</v>
      </c>
      <c r="B2471" s="1">
        <v>45191</v>
      </c>
      <c r="C2471">
        <v>32467</v>
      </c>
      <c r="D2471" t="s">
        <v>48</v>
      </c>
      <c r="E2471" t="s">
        <v>143</v>
      </c>
      <c r="F2471" t="s">
        <v>144</v>
      </c>
      <c r="G2471">
        <v>5</v>
      </c>
      <c r="H2471">
        <v>11.24</v>
      </c>
      <c r="I2471">
        <v>0.25</v>
      </c>
      <c r="J2471">
        <v>42.15</v>
      </c>
      <c r="K2471" t="s">
        <v>32</v>
      </c>
      <c r="L2471" t="s">
        <v>17</v>
      </c>
      <c r="M2471" t="s">
        <v>76</v>
      </c>
    </row>
    <row r="2472" spans="1:13" x14ac:dyDescent="0.2">
      <c r="A2472">
        <v>511893</v>
      </c>
      <c r="B2472" s="1">
        <v>44958</v>
      </c>
      <c r="C2472">
        <v>17354</v>
      </c>
      <c r="D2472" t="s">
        <v>82</v>
      </c>
      <c r="E2472" t="s">
        <v>83</v>
      </c>
      <c r="F2472" t="s">
        <v>84</v>
      </c>
      <c r="G2472">
        <v>2</v>
      </c>
      <c r="H2472">
        <v>16.14</v>
      </c>
      <c r="J2472">
        <v>32.28</v>
      </c>
      <c r="K2472" t="s">
        <v>95</v>
      </c>
      <c r="L2472" t="s">
        <v>17</v>
      </c>
      <c r="M2472" t="s">
        <v>57</v>
      </c>
    </row>
    <row r="2473" spans="1:13" x14ac:dyDescent="0.2">
      <c r="A2473">
        <v>511999</v>
      </c>
      <c r="B2473" s="1">
        <v>45266</v>
      </c>
      <c r="C2473">
        <v>31715</v>
      </c>
      <c r="D2473" t="s">
        <v>63</v>
      </c>
      <c r="E2473" t="s">
        <v>68</v>
      </c>
      <c r="F2473" t="s">
        <v>69</v>
      </c>
      <c r="G2473">
        <v>4</v>
      </c>
      <c r="H2473">
        <v>18.739999999999998</v>
      </c>
      <c r="I2473">
        <v>0.25</v>
      </c>
      <c r="J2473">
        <v>56.22</v>
      </c>
      <c r="K2473" t="s">
        <v>36</v>
      </c>
      <c r="L2473" t="s">
        <v>37</v>
      </c>
      <c r="M2473" t="s">
        <v>28</v>
      </c>
    </row>
    <row r="2474" spans="1:13" x14ac:dyDescent="0.2">
      <c r="A2474">
        <v>512279</v>
      </c>
      <c r="B2474" s="1">
        <v>44818</v>
      </c>
      <c r="C2474">
        <v>42181</v>
      </c>
      <c r="D2474" t="s">
        <v>13</v>
      </c>
      <c r="E2474" t="s">
        <v>127</v>
      </c>
      <c r="F2474" t="s">
        <v>128</v>
      </c>
      <c r="G2474">
        <v>2</v>
      </c>
      <c r="H2474">
        <v>19.989999999999998</v>
      </c>
      <c r="J2474">
        <v>39.979999999999997</v>
      </c>
      <c r="K2474" t="s">
        <v>16</v>
      </c>
      <c r="L2474" t="s">
        <v>37</v>
      </c>
      <c r="M2474" t="s">
        <v>102</v>
      </c>
    </row>
    <row r="2475" spans="1:13" x14ac:dyDescent="0.2">
      <c r="A2475">
        <v>512442</v>
      </c>
      <c r="B2475" s="1">
        <v>44570</v>
      </c>
      <c r="C2475">
        <v>21256</v>
      </c>
      <c r="D2475" t="s">
        <v>48</v>
      </c>
      <c r="E2475" t="s">
        <v>49</v>
      </c>
      <c r="F2475" t="s">
        <v>50</v>
      </c>
      <c r="G2475">
        <v>1</v>
      </c>
      <c r="H2475">
        <v>6.29</v>
      </c>
      <c r="I2475">
        <v>0.3</v>
      </c>
      <c r="J2475">
        <v>4.4000000000000004</v>
      </c>
      <c r="K2475" t="s">
        <v>36</v>
      </c>
      <c r="L2475" t="s">
        <v>17</v>
      </c>
      <c r="M2475" t="s">
        <v>81</v>
      </c>
    </row>
    <row r="2476" spans="1:13" x14ac:dyDescent="0.2">
      <c r="A2476">
        <v>512529</v>
      </c>
      <c r="B2476" s="2">
        <v>45341</v>
      </c>
      <c r="C2476">
        <v>85797</v>
      </c>
      <c r="D2476" t="s">
        <v>85</v>
      </c>
      <c r="E2476" t="s">
        <v>129</v>
      </c>
      <c r="F2476" t="s">
        <v>130</v>
      </c>
      <c r="G2476">
        <v>1</v>
      </c>
      <c r="H2476">
        <v>8.99</v>
      </c>
      <c r="J2476">
        <v>8.99</v>
      </c>
      <c r="K2476" t="s">
        <v>16</v>
      </c>
      <c r="L2476" t="s">
        <v>17</v>
      </c>
      <c r="M2476" t="s">
        <v>120</v>
      </c>
    </row>
    <row r="2477" spans="1:13" x14ac:dyDescent="0.2">
      <c r="A2477">
        <v>512807</v>
      </c>
      <c r="B2477" s="2">
        <v>45031</v>
      </c>
      <c r="C2477">
        <v>68833</v>
      </c>
      <c r="D2477" t="s">
        <v>13</v>
      </c>
      <c r="E2477" t="s">
        <v>159</v>
      </c>
      <c r="F2477" t="s">
        <v>160</v>
      </c>
      <c r="G2477">
        <v>3</v>
      </c>
      <c r="H2477">
        <v>47.99</v>
      </c>
      <c r="I2477">
        <v>0.2</v>
      </c>
      <c r="J2477">
        <v>115.18</v>
      </c>
      <c r="K2477" t="s">
        <v>16</v>
      </c>
      <c r="L2477" t="s">
        <v>37</v>
      </c>
      <c r="M2477" t="s">
        <v>18</v>
      </c>
    </row>
    <row r="2478" spans="1:13" x14ac:dyDescent="0.2">
      <c r="A2478">
        <v>513688</v>
      </c>
      <c r="B2478" s="1">
        <v>44905</v>
      </c>
      <c r="C2478">
        <v>97884</v>
      </c>
      <c r="D2478" t="s">
        <v>82</v>
      </c>
      <c r="E2478" t="s">
        <v>100</v>
      </c>
      <c r="F2478" t="s">
        <v>101</v>
      </c>
      <c r="G2478">
        <v>1</v>
      </c>
      <c r="H2478">
        <v>16.09</v>
      </c>
      <c r="I2478">
        <v>0.3</v>
      </c>
      <c r="J2478">
        <v>11.26</v>
      </c>
      <c r="K2478" t="s">
        <v>16</v>
      </c>
      <c r="L2478" t="s">
        <v>37</v>
      </c>
      <c r="M2478" t="s">
        <v>117</v>
      </c>
    </row>
    <row r="2479" spans="1:13" x14ac:dyDescent="0.2">
      <c r="A2479">
        <v>513837</v>
      </c>
      <c r="B2479" s="1">
        <v>45469</v>
      </c>
      <c r="C2479">
        <v>62309</v>
      </c>
      <c r="D2479" t="s">
        <v>63</v>
      </c>
      <c r="E2479" t="s">
        <v>68</v>
      </c>
      <c r="F2479" t="s">
        <v>69</v>
      </c>
      <c r="G2479">
        <v>1</v>
      </c>
      <c r="H2479">
        <v>24.99</v>
      </c>
      <c r="J2479">
        <v>24.99</v>
      </c>
      <c r="K2479" t="s">
        <v>16</v>
      </c>
      <c r="L2479" t="s">
        <v>37</v>
      </c>
      <c r="M2479" t="s">
        <v>120</v>
      </c>
    </row>
    <row r="2480" spans="1:13" x14ac:dyDescent="0.2">
      <c r="A2480">
        <v>513907</v>
      </c>
      <c r="B2480" s="1">
        <v>45014</v>
      </c>
      <c r="C2480">
        <v>17247</v>
      </c>
      <c r="D2480" t="s">
        <v>97</v>
      </c>
      <c r="E2480" t="s">
        <v>141</v>
      </c>
      <c r="F2480" t="s">
        <v>142</v>
      </c>
      <c r="G2480">
        <v>1</v>
      </c>
      <c r="H2480">
        <v>19.54</v>
      </c>
      <c r="I2480">
        <v>0.15</v>
      </c>
      <c r="J2480">
        <v>16.61</v>
      </c>
      <c r="K2480" t="s">
        <v>36</v>
      </c>
      <c r="L2480" t="s">
        <v>37</v>
      </c>
      <c r="M2480" t="s">
        <v>76</v>
      </c>
    </row>
    <row r="2481" spans="1:13" x14ac:dyDescent="0.2">
      <c r="A2481">
        <v>514050</v>
      </c>
      <c r="B2481" s="2">
        <v>45505</v>
      </c>
      <c r="C2481">
        <v>34594</v>
      </c>
      <c r="D2481" t="s">
        <v>174</v>
      </c>
      <c r="E2481" t="s">
        <v>145</v>
      </c>
      <c r="F2481" t="s">
        <v>146</v>
      </c>
      <c r="G2481">
        <v>5</v>
      </c>
      <c r="H2481">
        <v>12.74</v>
      </c>
      <c r="I2481">
        <v>0.25</v>
      </c>
      <c r="J2481">
        <v>47.78</v>
      </c>
      <c r="K2481" t="s">
        <v>95</v>
      </c>
      <c r="L2481" t="s">
        <v>23</v>
      </c>
      <c r="M2481" t="s">
        <v>96</v>
      </c>
    </row>
    <row r="2482" spans="1:13" x14ac:dyDescent="0.2">
      <c r="A2482">
        <v>514114</v>
      </c>
      <c r="B2482" s="1">
        <v>44576</v>
      </c>
      <c r="C2482">
        <v>85412</v>
      </c>
      <c r="D2482" t="s">
        <v>40</v>
      </c>
      <c r="E2482" t="s">
        <v>58</v>
      </c>
      <c r="F2482" t="s">
        <v>59</v>
      </c>
      <c r="G2482">
        <v>2</v>
      </c>
      <c r="H2482">
        <v>3.59</v>
      </c>
      <c r="I2482">
        <v>0.1</v>
      </c>
      <c r="J2482">
        <v>6.46</v>
      </c>
      <c r="K2482" t="s">
        <v>36</v>
      </c>
      <c r="L2482" t="s">
        <v>17</v>
      </c>
      <c r="M2482" t="s">
        <v>54</v>
      </c>
    </row>
    <row r="2483" spans="1:13" x14ac:dyDescent="0.2">
      <c r="A2483">
        <v>514180</v>
      </c>
      <c r="B2483" s="2">
        <v>44811</v>
      </c>
      <c r="C2483">
        <v>30529</v>
      </c>
      <c r="D2483" t="s">
        <v>40</v>
      </c>
      <c r="E2483" t="s">
        <v>20</v>
      </c>
      <c r="F2483" t="s">
        <v>21</v>
      </c>
      <c r="G2483">
        <v>2</v>
      </c>
      <c r="H2483">
        <v>9.49</v>
      </c>
      <c r="I2483">
        <v>0.05</v>
      </c>
      <c r="J2483">
        <v>18.03</v>
      </c>
      <c r="K2483" t="s">
        <v>36</v>
      </c>
      <c r="L2483" t="s">
        <v>17</v>
      </c>
      <c r="M2483" t="s">
        <v>102</v>
      </c>
    </row>
    <row r="2484" spans="1:13" x14ac:dyDescent="0.2">
      <c r="A2484">
        <v>514328</v>
      </c>
      <c r="B2484" s="1">
        <v>44879</v>
      </c>
      <c r="C2484">
        <v>13548</v>
      </c>
      <c r="D2484" t="s">
        <v>48</v>
      </c>
      <c r="E2484" t="s">
        <v>49</v>
      </c>
      <c r="F2484" t="s">
        <v>50</v>
      </c>
      <c r="G2484">
        <v>1</v>
      </c>
      <c r="H2484">
        <v>7.19</v>
      </c>
      <c r="I2484">
        <v>0.2</v>
      </c>
      <c r="J2484">
        <v>5.75</v>
      </c>
      <c r="K2484" t="s">
        <v>16</v>
      </c>
      <c r="L2484" t="s">
        <v>17</v>
      </c>
      <c r="M2484" t="s">
        <v>76</v>
      </c>
    </row>
    <row r="2485" spans="1:13" x14ac:dyDescent="0.2">
      <c r="A2485">
        <v>514638</v>
      </c>
      <c r="B2485" s="2">
        <v>44686</v>
      </c>
      <c r="D2485" t="s">
        <v>25</v>
      </c>
      <c r="E2485" t="s">
        <v>60</v>
      </c>
      <c r="F2485" t="s">
        <v>61</v>
      </c>
      <c r="G2485">
        <v>4</v>
      </c>
      <c r="H2485">
        <v>54.99</v>
      </c>
      <c r="J2485">
        <v>219.96</v>
      </c>
      <c r="K2485" t="s">
        <v>16</v>
      </c>
      <c r="L2485" t="s">
        <v>17</v>
      </c>
      <c r="M2485" t="s">
        <v>47</v>
      </c>
    </row>
    <row r="2486" spans="1:13" x14ac:dyDescent="0.2">
      <c r="A2486">
        <v>514727</v>
      </c>
      <c r="B2486" s="2">
        <v>45052</v>
      </c>
      <c r="C2486">
        <v>32219</v>
      </c>
      <c r="D2486" t="s">
        <v>25</v>
      </c>
      <c r="E2486" t="s">
        <v>70</v>
      </c>
      <c r="F2486" t="s">
        <v>71</v>
      </c>
      <c r="G2486">
        <v>4</v>
      </c>
      <c r="H2486">
        <v>89.99</v>
      </c>
      <c r="J2486">
        <v>359.96</v>
      </c>
      <c r="K2486" t="s">
        <v>22</v>
      </c>
      <c r="L2486" t="s">
        <v>17</v>
      </c>
      <c r="M2486" t="s">
        <v>33</v>
      </c>
    </row>
    <row r="2487" spans="1:13" x14ac:dyDescent="0.2">
      <c r="A2487">
        <v>514853</v>
      </c>
      <c r="B2487" s="2">
        <v>45441</v>
      </c>
      <c r="C2487">
        <v>52597</v>
      </c>
      <c r="D2487" t="s">
        <v>48</v>
      </c>
      <c r="E2487" t="s">
        <v>118</v>
      </c>
      <c r="F2487" t="s">
        <v>119</v>
      </c>
      <c r="G2487">
        <v>4</v>
      </c>
      <c r="H2487">
        <v>3.74</v>
      </c>
      <c r="I2487">
        <v>0.25</v>
      </c>
      <c r="J2487">
        <v>11.22</v>
      </c>
      <c r="K2487" t="s">
        <v>16</v>
      </c>
      <c r="L2487" t="s">
        <v>17</v>
      </c>
      <c r="M2487" t="s">
        <v>67</v>
      </c>
    </row>
    <row r="2488" spans="1:13" x14ac:dyDescent="0.2">
      <c r="A2488">
        <v>514913</v>
      </c>
      <c r="B2488" s="1">
        <v>44839</v>
      </c>
      <c r="C2488">
        <v>53193</v>
      </c>
      <c r="D2488" t="s">
        <v>85</v>
      </c>
      <c r="E2488" t="s">
        <v>137</v>
      </c>
      <c r="F2488" t="s">
        <v>138</v>
      </c>
      <c r="G2488">
        <v>1</v>
      </c>
      <c r="H2488">
        <v>7.19</v>
      </c>
      <c r="I2488">
        <v>0.1</v>
      </c>
      <c r="J2488">
        <v>6.47</v>
      </c>
      <c r="K2488" t="s">
        <v>32</v>
      </c>
      <c r="L2488" t="s">
        <v>17</v>
      </c>
      <c r="M2488" t="s">
        <v>102</v>
      </c>
    </row>
    <row r="2489" spans="1:13" x14ac:dyDescent="0.2">
      <c r="A2489">
        <v>515320</v>
      </c>
      <c r="B2489" s="1">
        <v>44783</v>
      </c>
      <c r="C2489">
        <v>35674</v>
      </c>
      <c r="D2489" t="s">
        <v>13</v>
      </c>
      <c r="E2489" t="s">
        <v>159</v>
      </c>
      <c r="F2489" t="s">
        <v>160</v>
      </c>
      <c r="G2489">
        <v>2</v>
      </c>
      <c r="H2489">
        <v>44.99</v>
      </c>
      <c r="I2489">
        <v>0.25</v>
      </c>
      <c r="J2489">
        <v>67.48</v>
      </c>
      <c r="K2489" t="s">
        <v>36</v>
      </c>
      <c r="L2489" t="s">
        <v>17</v>
      </c>
      <c r="M2489" t="s">
        <v>28</v>
      </c>
    </row>
    <row r="2490" spans="1:13" x14ac:dyDescent="0.2">
      <c r="A2490">
        <v>515404</v>
      </c>
      <c r="B2490" s="1">
        <v>45457</v>
      </c>
      <c r="C2490">
        <v>84586</v>
      </c>
      <c r="D2490" t="s">
        <v>29</v>
      </c>
      <c r="E2490" t="s">
        <v>38</v>
      </c>
      <c r="F2490" t="s">
        <v>39</v>
      </c>
      <c r="G2490">
        <v>3</v>
      </c>
      <c r="H2490">
        <v>28.49</v>
      </c>
      <c r="I2490">
        <v>0.05</v>
      </c>
      <c r="J2490">
        <v>81.2</v>
      </c>
      <c r="K2490" t="s">
        <v>16</v>
      </c>
      <c r="L2490" t="s">
        <v>37</v>
      </c>
      <c r="M2490" t="s">
        <v>28</v>
      </c>
    </row>
    <row r="2491" spans="1:13" x14ac:dyDescent="0.2">
      <c r="A2491">
        <v>515645</v>
      </c>
      <c r="B2491" s="2">
        <v>44917</v>
      </c>
      <c r="C2491">
        <v>82634</v>
      </c>
      <c r="D2491" t="s">
        <v>13</v>
      </c>
      <c r="E2491" t="s">
        <v>77</v>
      </c>
      <c r="F2491" t="s">
        <v>78</v>
      </c>
      <c r="G2491">
        <v>1</v>
      </c>
      <c r="H2491">
        <v>349.99</v>
      </c>
      <c r="I2491">
        <v>0.3</v>
      </c>
      <c r="J2491">
        <v>244.99</v>
      </c>
      <c r="K2491" t="s">
        <v>53</v>
      </c>
      <c r="L2491" t="s">
        <v>37</v>
      </c>
      <c r="M2491" t="s">
        <v>62</v>
      </c>
    </row>
    <row r="2492" spans="1:13" x14ac:dyDescent="0.2">
      <c r="A2492">
        <v>516131</v>
      </c>
      <c r="B2492" s="2">
        <v>45423</v>
      </c>
      <c r="C2492">
        <v>50751</v>
      </c>
      <c r="D2492" t="s">
        <v>44</v>
      </c>
      <c r="E2492" t="s">
        <v>162</v>
      </c>
      <c r="F2492" t="s">
        <v>163</v>
      </c>
      <c r="G2492">
        <v>1</v>
      </c>
      <c r="H2492">
        <v>7.99</v>
      </c>
      <c r="J2492">
        <v>7.99</v>
      </c>
      <c r="K2492" t="s">
        <v>22</v>
      </c>
      <c r="L2492" t="s">
        <v>17</v>
      </c>
      <c r="M2492" t="s">
        <v>43</v>
      </c>
    </row>
    <row r="2493" spans="1:13" x14ac:dyDescent="0.2">
      <c r="A2493">
        <v>516471</v>
      </c>
      <c r="B2493" s="1">
        <v>45340</v>
      </c>
      <c r="C2493">
        <v>95592</v>
      </c>
      <c r="D2493" t="s">
        <v>48</v>
      </c>
      <c r="E2493" t="s">
        <v>143</v>
      </c>
      <c r="F2493" t="s">
        <v>144</v>
      </c>
      <c r="G2493">
        <v>1</v>
      </c>
      <c r="H2493">
        <v>12.74</v>
      </c>
      <c r="I2493">
        <v>0.15</v>
      </c>
      <c r="J2493">
        <v>10.83</v>
      </c>
      <c r="K2493" t="s">
        <v>95</v>
      </c>
      <c r="L2493" t="s">
        <v>17</v>
      </c>
      <c r="M2493" t="s">
        <v>102</v>
      </c>
    </row>
    <row r="2494" spans="1:13" x14ac:dyDescent="0.2">
      <c r="A2494">
        <v>516686</v>
      </c>
      <c r="B2494" s="2">
        <v>45538</v>
      </c>
      <c r="C2494">
        <v>70226</v>
      </c>
      <c r="D2494" t="s">
        <v>82</v>
      </c>
      <c r="E2494" t="s">
        <v>83</v>
      </c>
      <c r="F2494" t="s">
        <v>84</v>
      </c>
      <c r="G2494">
        <v>4</v>
      </c>
      <c r="H2494">
        <v>13.59</v>
      </c>
      <c r="I2494">
        <v>0.2</v>
      </c>
      <c r="J2494">
        <v>43.49</v>
      </c>
      <c r="K2494" t="s">
        <v>22</v>
      </c>
      <c r="L2494" t="s">
        <v>17</v>
      </c>
      <c r="M2494" t="s">
        <v>54</v>
      </c>
    </row>
    <row r="2495" spans="1:13" x14ac:dyDescent="0.2">
      <c r="A2495">
        <v>516817</v>
      </c>
      <c r="B2495" s="1">
        <v>45608</v>
      </c>
      <c r="C2495">
        <v>10654</v>
      </c>
      <c r="D2495" t="s">
        <v>40</v>
      </c>
      <c r="E2495" t="s">
        <v>115</v>
      </c>
      <c r="F2495" t="s">
        <v>116</v>
      </c>
      <c r="G2495">
        <v>2</v>
      </c>
      <c r="H2495">
        <v>9.09</v>
      </c>
      <c r="I2495">
        <v>0.3</v>
      </c>
      <c r="J2495">
        <v>12.73</v>
      </c>
      <c r="K2495" t="s">
        <v>16</v>
      </c>
      <c r="L2495" t="s">
        <v>17</v>
      </c>
      <c r="M2495" t="s">
        <v>120</v>
      </c>
    </row>
    <row r="2496" spans="1:13" x14ac:dyDescent="0.2">
      <c r="A2496">
        <v>516895</v>
      </c>
      <c r="B2496" s="1">
        <v>44598</v>
      </c>
      <c r="C2496">
        <v>32661</v>
      </c>
      <c r="D2496" t="s">
        <v>183</v>
      </c>
      <c r="E2496" t="s">
        <v>83</v>
      </c>
      <c r="F2496" t="s">
        <v>84</v>
      </c>
      <c r="G2496">
        <v>3</v>
      </c>
      <c r="H2496">
        <v>15.29</v>
      </c>
      <c r="I2496">
        <v>0.1</v>
      </c>
      <c r="J2496">
        <v>41.28</v>
      </c>
      <c r="K2496" t="s">
        <v>36</v>
      </c>
      <c r="L2496" t="s">
        <v>17</v>
      </c>
      <c r="M2496" t="s">
        <v>33</v>
      </c>
    </row>
    <row r="2497" spans="1:13" x14ac:dyDescent="0.2">
      <c r="A2497">
        <v>517153</v>
      </c>
      <c r="B2497" s="1">
        <v>44798</v>
      </c>
      <c r="C2497">
        <v>12339</v>
      </c>
      <c r="D2497" t="s">
        <v>13</v>
      </c>
      <c r="E2497" t="s">
        <v>14</v>
      </c>
      <c r="F2497" t="s">
        <v>15</v>
      </c>
      <c r="G2497">
        <v>1</v>
      </c>
      <c r="H2497">
        <v>55.99</v>
      </c>
      <c r="I2497">
        <v>0.3</v>
      </c>
      <c r="J2497">
        <v>39.19</v>
      </c>
      <c r="K2497" t="s">
        <v>16</v>
      </c>
      <c r="L2497" t="s">
        <v>37</v>
      </c>
      <c r="M2497" t="s">
        <v>81</v>
      </c>
    </row>
    <row r="2498" spans="1:13" x14ac:dyDescent="0.2">
      <c r="A2498">
        <v>517162</v>
      </c>
      <c r="B2498" s="1">
        <v>45288</v>
      </c>
      <c r="C2498">
        <v>39522</v>
      </c>
      <c r="D2498" t="s">
        <v>85</v>
      </c>
      <c r="E2498" t="s">
        <v>137</v>
      </c>
      <c r="F2498" t="s">
        <v>138</v>
      </c>
      <c r="G2498">
        <v>1</v>
      </c>
      <c r="H2498">
        <v>6.79</v>
      </c>
      <c r="I2498">
        <v>0.15</v>
      </c>
      <c r="J2498">
        <v>5.77</v>
      </c>
      <c r="K2498" t="s">
        <v>36</v>
      </c>
      <c r="L2498" t="s">
        <v>17</v>
      </c>
      <c r="M2498" t="s">
        <v>28</v>
      </c>
    </row>
    <row r="2499" spans="1:13" x14ac:dyDescent="0.2">
      <c r="A2499">
        <v>517307</v>
      </c>
      <c r="B2499" s="1">
        <v>44643</v>
      </c>
      <c r="C2499">
        <v>64451</v>
      </c>
      <c r="D2499" t="s">
        <v>13</v>
      </c>
      <c r="E2499" t="s">
        <v>186</v>
      </c>
      <c r="F2499" t="s">
        <v>187</v>
      </c>
      <c r="G2499">
        <v>5</v>
      </c>
      <c r="H2499">
        <v>49.99</v>
      </c>
      <c r="J2499">
        <v>249.95</v>
      </c>
      <c r="K2499" t="s">
        <v>36</v>
      </c>
      <c r="L2499" t="s">
        <v>17</v>
      </c>
      <c r="M2499" t="s">
        <v>90</v>
      </c>
    </row>
    <row r="2500" spans="1:13" x14ac:dyDescent="0.2">
      <c r="A2500">
        <v>517480</v>
      </c>
      <c r="B2500" s="2">
        <v>44856</v>
      </c>
      <c r="C2500">
        <v>34660</v>
      </c>
      <c r="D2500" t="s">
        <v>85</v>
      </c>
      <c r="E2500" t="s">
        <v>157</v>
      </c>
      <c r="F2500" t="s">
        <v>158</v>
      </c>
      <c r="G2500">
        <v>2</v>
      </c>
      <c r="H2500">
        <v>10.119999999999999</v>
      </c>
      <c r="I2500">
        <v>0.25</v>
      </c>
      <c r="J2500">
        <v>15.18</v>
      </c>
      <c r="K2500" t="s">
        <v>36</v>
      </c>
      <c r="L2500" t="s">
        <v>37</v>
      </c>
      <c r="M2500" t="s">
        <v>102</v>
      </c>
    </row>
    <row r="2501" spans="1:13" x14ac:dyDescent="0.2">
      <c r="A2501">
        <v>517624</v>
      </c>
      <c r="B2501" s="2">
        <v>45393</v>
      </c>
      <c r="C2501">
        <v>53482</v>
      </c>
      <c r="D2501" t="s">
        <v>97</v>
      </c>
      <c r="E2501" t="s">
        <v>165</v>
      </c>
      <c r="F2501" t="s">
        <v>166</v>
      </c>
      <c r="G2501">
        <v>2</v>
      </c>
      <c r="H2501">
        <v>71.989999999999995</v>
      </c>
      <c r="I2501">
        <v>0.2</v>
      </c>
      <c r="J2501">
        <v>115.18</v>
      </c>
      <c r="K2501" t="s">
        <v>16</v>
      </c>
      <c r="L2501" t="s">
        <v>17</v>
      </c>
      <c r="M2501" t="s">
        <v>43</v>
      </c>
    </row>
    <row r="2502" spans="1:13" x14ac:dyDescent="0.2">
      <c r="A2502">
        <v>517744</v>
      </c>
      <c r="B2502" s="1">
        <v>45236</v>
      </c>
      <c r="C2502">
        <v>76332</v>
      </c>
      <c r="D2502" t="s">
        <v>97</v>
      </c>
      <c r="E2502" t="s">
        <v>141</v>
      </c>
      <c r="F2502" t="s">
        <v>142</v>
      </c>
      <c r="G2502">
        <v>1</v>
      </c>
      <c r="H2502">
        <v>22.99</v>
      </c>
      <c r="J2502">
        <v>22.99</v>
      </c>
      <c r="K2502" t="s">
        <v>32</v>
      </c>
      <c r="L2502" t="s">
        <v>37</v>
      </c>
      <c r="M2502" t="s">
        <v>103</v>
      </c>
    </row>
    <row r="2503" spans="1:13" x14ac:dyDescent="0.2">
      <c r="A2503">
        <v>517780</v>
      </c>
      <c r="B2503" s="1">
        <v>44718</v>
      </c>
      <c r="C2503">
        <v>40658</v>
      </c>
      <c r="D2503" t="s">
        <v>44</v>
      </c>
      <c r="E2503" t="s">
        <v>91</v>
      </c>
      <c r="F2503" t="s">
        <v>92</v>
      </c>
      <c r="G2503">
        <v>2</v>
      </c>
      <c r="H2503">
        <v>4.4000000000000004</v>
      </c>
      <c r="I2503">
        <v>0.3</v>
      </c>
      <c r="J2503">
        <v>6.16</v>
      </c>
      <c r="K2503" t="s">
        <v>36</v>
      </c>
      <c r="L2503" t="s">
        <v>37</v>
      </c>
      <c r="M2503" t="s">
        <v>161</v>
      </c>
    </row>
    <row r="2504" spans="1:13" x14ac:dyDescent="0.2">
      <c r="A2504">
        <v>517917</v>
      </c>
      <c r="B2504" s="1">
        <v>44992</v>
      </c>
      <c r="C2504">
        <v>77203</v>
      </c>
      <c r="D2504" t="s">
        <v>48</v>
      </c>
      <c r="E2504" t="s">
        <v>139</v>
      </c>
      <c r="F2504" t="s">
        <v>140</v>
      </c>
      <c r="G2504">
        <v>3</v>
      </c>
      <c r="H2504">
        <v>5.59</v>
      </c>
      <c r="I2504">
        <v>0.3</v>
      </c>
      <c r="J2504">
        <v>11.74</v>
      </c>
      <c r="K2504" t="s">
        <v>16</v>
      </c>
      <c r="L2504" t="s">
        <v>37</v>
      </c>
      <c r="M2504" t="s">
        <v>54</v>
      </c>
    </row>
    <row r="2505" spans="1:13" x14ac:dyDescent="0.2">
      <c r="A2505">
        <v>517992</v>
      </c>
      <c r="B2505" s="1">
        <v>44946</v>
      </c>
      <c r="C2505">
        <v>59905</v>
      </c>
      <c r="D2505" t="s">
        <v>40</v>
      </c>
      <c r="E2505" t="s">
        <v>197</v>
      </c>
      <c r="F2505" t="s">
        <v>198</v>
      </c>
      <c r="G2505">
        <v>2</v>
      </c>
      <c r="H2505">
        <v>10.49</v>
      </c>
      <c r="I2505">
        <v>0.3</v>
      </c>
      <c r="J2505">
        <v>14.69</v>
      </c>
      <c r="K2505" t="s">
        <v>36</v>
      </c>
      <c r="L2505" t="s">
        <v>17</v>
      </c>
      <c r="M2505" t="s">
        <v>18</v>
      </c>
    </row>
    <row r="2506" spans="1:13" x14ac:dyDescent="0.2">
      <c r="A2506">
        <v>518068</v>
      </c>
      <c r="B2506" s="1">
        <v>45199</v>
      </c>
      <c r="C2506">
        <v>36280</v>
      </c>
      <c r="D2506" t="s">
        <v>40</v>
      </c>
      <c r="E2506" t="s">
        <v>58</v>
      </c>
      <c r="F2506" t="s">
        <v>59</v>
      </c>
      <c r="G2506">
        <v>1</v>
      </c>
      <c r="H2506">
        <v>3.99</v>
      </c>
      <c r="J2506">
        <v>3.99</v>
      </c>
      <c r="K2506" t="s">
        <v>36</v>
      </c>
      <c r="L2506" t="s">
        <v>17</v>
      </c>
      <c r="M2506" t="s">
        <v>123</v>
      </c>
    </row>
    <row r="2507" spans="1:13" x14ac:dyDescent="0.2">
      <c r="A2507">
        <v>518097</v>
      </c>
      <c r="B2507" s="1">
        <v>44764</v>
      </c>
      <c r="D2507" t="s">
        <v>29</v>
      </c>
      <c r="E2507" t="s">
        <v>30</v>
      </c>
      <c r="F2507" t="s">
        <v>31</v>
      </c>
      <c r="G2507">
        <v>1</v>
      </c>
      <c r="H2507">
        <v>18.739999999999998</v>
      </c>
      <c r="I2507">
        <v>0.25</v>
      </c>
      <c r="J2507">
        <v>14.06</v>
      </c>
      <c r="K2507" t="s">
        <v>16</v>
      </c>
      <c r="L2507" t="s">
        <v>17</v>
      </c>
      <c r="M2507" t="s">
        <v>102</v>
      </c>
    </row>
    <row r="2508" spans="1:13" x14ac:dyDescent="0.2">
      <c r="A2508">
        <v>518101</v>
      </c>
      <c r="B2508" s="1">
        <v>44588</v>
      </c>
      <c r="C2508">
        <v>26704</v>
      </c>
      <c r="D2508" t="s">
        <v>13</v>
      </c>
      <c r="E2508" t="s">
        <v>79</v>
      </c>
      <c r="F2508" t="s">
        <v>80</v>
      </c>
      <c r="G2508">
        <v>3</v>
      </c>
      <c r="H2508">
        <v>62.99</v>
      </c>
      <c r="I2508">
        <v>0.3</v>
      </c>
      <c r="J2508">
        <v>132.28</v>
      </c>
      <c r="K2508" t="s">
        <v>36</v>
      </c>
      <c r="L2508" t="s">
        <v>17</v>
      </c>
      <c r="M2508" t="s">
        <v>54</v>
      </c>
    </row>
    <row r="2509" spans="1:13" x14ac:dyDescent="0.2">
      <c r="A2509">
        <v>518505</v>
      </c>
      <c r="B2509" s="1">
        <v>45455</v>
      </c>
      <c r="C2509">
        <v>63283</v>
      </c>
      <c r="D2509" t="s">
        <v>40</v>
      </c>
      <c r="E2509" t="s">
        <v>20</v>
      </c>
      <c r="F2509" t="s">
        <v>21</v>
      </c>
      <c r="G2509">
        <v>4</v>
      </c>
      <c r="H2509">
        <v>8.49</v>
      </c>
      <c r="I2509">
        <v>0.15</v>
      </c>
      <c r="J2509">
        <v>28.87</v>
      </c>
      <c r="K2509" t="s">
        <v>16</v>
      </c>
      <c r="L2509" t="s">
        <v>17</v>
      </c>
      <c r="M2509" t="s">
        <v>161</v>
      </c>
    </row>
    <row r="2510" spans="1:13" x14ac:dyDescent="0.2">
      <c r="A2510">
        <v>518527</v>
      </c>
      <c r="B2510" s="1">
        <v>45101</v>
      </c>
      <c r="D2510" t="s">
        <v>82</v>
      </c>
      <c r="E2510" t="s">
        <v>83</v>
      </c>
      <c r="F2510" t="s">
        <v>84</v>
      </c>
      <c r="G2510">
        <v>5</v>
      </c>
      <c r="H2510">
        <v>12.74</v>
      </c>
      <c r="I2510">
        <v>0.25</v>
      </c>
      <c r="J2510">
        <v>47.78</v>
      </c>
      <c r="K2510" t="s">
        <v>16</v>
      </c>
      <c r="L2510" t="s">
        <v>17</v>
      </c>
      <c r="M2510" t="s">
        <v>54</v>
      </c>
    </row>
    <row r="2511" spans="1:13" x14ac:dyDescent="0.2">
      <c r="A2511">
        <v>518572</v>
      </c>
      <c r="B2511" s="1">
        <v>45252</v>
      </c>
      <c r="C2511">
        <v>28574</v>
      </c>
      <c r="D2511" t="s">
        <v>25</v>
      </c>
      <c r="E2511" t="s">
        <v>60</v>
      </c>
      <c r="F2511" t="s">
        <v>61</v>
      </c>
      <c r="G2511">
        <v>1</v>
      </c>
      <c r="H2511">
        <v>38.49</v>
      </c>
      <c r="I2511">
        <v>0.3</v>
      </c>
      <c r="J2511">
        <v>26.94</v>
      </c>
      <c r="K2511" t="s">
        <v>95</v>
      </c>
      <c r="L2511" t="s">
        <v>17</v>
      </c>
      <c r="M2511" t="s">
        <v>76</v>
      </c>
    </row>
    <row r="2512" spans="1:13" x14ac:dyDescent="0.2">
      <c r="A2512">
        <v>518609</v>
      </c>
      <c r="B2512" s="1">
        <v>45472</v>
      </c>
      <c r="C2512">
        <v>21377</v>
      </c>
      <c r="D2512" t="s">
        <v>40</v>
      </c>
      <c r="E2512" t="s">
        <v>58</v>
      </c>
      <c r="F2512" t="s">
        <v>59</v>
      </c>
      <c r="G2512">
        <v>1</v>
      </c>
      <c r="H2512">
        <v>3.99</v>
      </c>
      <c r="J2512">
        <v>3.99</v>
      </c>
      <c r="K2512" t="s">
        <v>95</v>
      </c>
      <c r="L2512" t="s">
        <v>37</v>
      </c>
      <c r="M2512" t="s">
        <v>33</v>
      </c>
    </row>
    <row r="2513" spans="1:13" x14ac:dyDescent="0.2">
      <c r="A2513">
        <v>518801</v>
      </c>
      <c r="B2513" s="2">
        <v>45100</v>
      </c>
      <c r="C2513">
        <v>74686</v>
      </c>
      <c r="D2513" t="s">
        <v>44</v>
      </c>
      <c r="E2513" t="s">
        <v>133</v>
      </c>
      <c r="F2513" t="s">
        <v>134</v>
      </c>
      <c r="G2513">
        <v>5</v>
      </c>
      <c r="H2513">
        <v>3.03</v>
      </c>
      <c r="I2513">
        <v>0.2</v>
      </c>
      <c r="J2513">
        <v>12.12</v>
      </c>
      <c r="K2513" t="s">
        <v>16</v>
      </c>
      <c r="L2513" t="s">
        <v>23</v>
      </c>
      <c r="M2513" t="s">
        <v>96</v>
      </c>
    </row>
    <row r="2514" spans="1:13" x14ac:dyDescent="0.2">
      <c r="A2514">
        <v>518898</v>
      </c>
      <c r="B2514" s="1">
        <v>45185</v>
      </c>
      <c r="C2514">
        <v>37628</v>
      </c>
      <c r="D2514" t="s">
        <v>82</v>
      </c>
      <c r="E2514" t="s">
        <v>188</v>
      </c>
      <c r="F2514" t="s">
        <v>189</v>
      </c>
      <c r="G2514">
        <v>2</v>
      </c>
      <c r="H2514">
        <v>40.49</v>
      </c>
      <c r="I2514">
        <v>0.1</v>
      </c>
      <c r="J2514">
        <v>72.88</v>
      </c>
      <c r="K2514" t="s">
        <v>36</v>
      </c>
      <c r="L2514" t="s">
        <v>17</v>
      </c>
      <c r="M2514" t="s">
        <v>96</v>
      </c>
    </row>
    <row r="2515" spans="1:13" x14ac:dyDescent="0.2">
      <c r="A2515">
        <v>519189</v>
      </c>
      <c r="B2515" s="1">
        <v>45488</v>
      </c>
      <c r="C2515">
        <v>64972</v>
      </c>
      <c r="D2515" t="s">
        <v>85</v>
      </c>
      <c r="E2515" t="s">
        <v>145</v>
      </c>
      <c r="F2515" t="s">
        <v>146</v>
      </c>
      <c r="G2515">
        <v>2</v>
      </c>
      <c r="H2515">
        <v>16.989999999999998</v>
      </c>
      <c r="J2515">
        <v>33.979999999999997</v>
      </c>
      <c r="K2515" t="s">
        <v>16</v>
      </c>
      <c r="L2515" t="s">
        <v>37</v>
      </c>
      <c r="M2515" t="s">
        <v>81</v>
      </c>
    </row>
    <row r="2516" spans="1:13" x14ac:dyDescent="0.2">
      <c r="A2516">
        <v>519453</v>
      </c>
      <c r="B2516" s="1">
        <v>44816</v>
      </c>
      <c r="C2516">
        <v>34486</v>
      </c>
      <c r="D2516" t="s">
        <v>13</v>
      </c>
      <c r="E2516" t="s">
        <v>104</v>
      </c>
      <c r="F2516" t="s">
        <v>105</v>
      </c>
      <c r="G2516">
        <v>2</v>
      </c>
      <c r="H2516">
        <v>25.49</v>
      </c>
      <c r="I2516">
        <v>0.15</v>
      </c>
      <c r="J2516">
        <v>43.33</v>
      </c>
      <c r="K2516" t="s">
        <v>36</v>
      </c>
      <c r="L2516" t="s">
        <v>37</v>
      </c>
      <c r="M2516" t="s">
        <v>33</v>
      </c>
    </row>
    <row r="2517" spans="1:13" x14ac:dyDescent="0.2">
      <c r="A2517">
        <v>519482</v>
      </c>
      <c r="B2517" s="1">
        <v>45183</v>
      </c>
      <c r="C2517">
        <v>12584</v>
      </c>
      <c r="D2517" t="s">
        <v>44</v>
      </c>
      <c r="E2517" t="s">
        <v>172</v>
      </c>
      <c r="F2517" t="s">
        <v>173</v>
      </c>
      <c r="G2517">
        <v>1</v>
      </c>
      <c r="H2517">
        <v>4.2699999999999996</v>
      </c>
      <c r="I2517">
        <v>0.05</v>
      </c>
      <c r="J2517">
        <v>4.0599999999999996</v>
      </c>
      <c r="K2517" t="s">
        <v>22</v>
      </c>
      <c r="L2517" t="s">
        <v>17</v>
      </c>
      <c r="M2517" t="s">
        <v>28</v>
      </c>
    </row>
    <row r="2518" spans="1:13" x14ac:dyDescent="0.2">
      <c r="A2518">
        <v>519497</v>
      </c>
      <c r="B2518" s="1">
        <v>44824</v>
      </c>
      <c r="C2518">
        <v>56476</v>
      </c>
      <c r="D2518" t="s">
        <v>97</v>
      </c>
      <c r="E2518" t="s">
        <v>193</v>
      </c>
      <c r="F2518" t="s">
        <v>194</v>
      </c>
      <c r="G2518">
        <v>2</v>
      </c>
      <c r="H2518">
        <v>55.24</v>
      </c>
      <c r="I2518">
        <v>0.15</v>
      </c>
      <c r="J2518">
        <v>93.91</v>
      </c>
      <c r="K2518" t="s">
        <v>16</v>
      </c>
      <c r="L2518" t="s">
        <v>17</v>
      </c>
      <c r="M2518" t="s">
        <v>67</v>
      </c>
    </row>
    <row r="2519" spans="1:13" x14ac:dyDescent="0.2">
      <c r="A2519">
        <v>519530</v>
      </c>
      <c r="B2519" s="1">
        <v>44874</v>
      </c>
      <c r="C2519">
        <v>34787</v>
      </c>
      <c r="D2519" t="s">
        <v>13</v>
      </c>
      <c r="E2519" t="s">
        <v>159</v>
      </c>
      <c r="F2519" t="s">
        <v>160</v>
      </c>
      <c r="G2519">
        <v>3</v>
      </c>
      <c r="H2519">
        <v>59.99</v>
      </c>
      <c r="J2519">
        <v>179.97</v>
      </c>
      <c r="K2519" t="s">
        <v>16</v>
      </c>
      <c r="L2519" t="s">
        <v>17</v>
      </c>
      <c r="M2519" t="s">
        <v>90</v>
      </c>
    </row>
    <row r="2520" spans="1:13" x14ac:dyDescent="0.2">
      <c r="A2520">
        <v>519809</v>
      </c>
      <c r="B2520" s="1">
        <v>44932</v>
      </c>
      <c r="D2520" t="s">
        <v>63</v>
      </c>
      <c r="E2520" t="s">
        <v>64</v>
      </c>
      <c r="F2520" t="s">
        <v>65</v>
      </c>
      <c r="G2520">
        <v>2</v>
      </c>
      <c r="H2520">
        <v>4.49</v>
      </c>
      <c r="I2520">
        <v>0.1</v>
      </c>
      <c r="J2520">
        <v>8.08</v>
      </c>
      <c r="K2520" t="s">
        <v>16</v>
      </c>
      <c r="L2520" t="s">
        <v>37</v>
      </c>
      <c r="M2520" t="s">
        <v>54</v>
      </c>
    </row>
    <row r="2521" spans="1:13" x14ac:dyDescent="0.2">
      <c r="A2521">
        <v>519960</v>
      </c>
      <c r="B2521" s="1">
        <v>45025</v>
      </c>
      <c r="C2521">
        <v>43041</v>
      </c>
      <c r="D2521" t="s">
        <v>25</v>
      </c>
      <c r="E2521" t="s">
        <v>26</v>
      </c>
      <c r="F2521" t="s">
        <v>27</v>
      </c>
      <c r="G2521">
        <v>4</v>
      </c>
      <c r="H2521">
        <v>26.24</v>
      </c>
      <c r="I2521">
        <v>0.25</v>
      </c>
      <c r="J2521">
        <v>78.72</v>
      </c>
      <c r="K2521" t="s">
        <v>36</v>
      </c>
      <c r="L2521" t="s">
        <v>37</v>
      </c>
      <c r="M2521" t="s">
        <v>90</v>
      </c>
    </row>
    <row r="2522" spans="1:13" x14ac:dyDescent="0.2">
      <c r="A2522">
        <v>520026</v>
      </c>
      <c r="B2522" s="1">
        <v>44657</v>
      </c>
      <c r="C2522">
        <v>96136</v>
      </c>
      <c r="D2522" t="s">
        <v>25</v>
      </c>
      <c r="E2522" t="s">
        <v>113</v>
      </c>
      <c r="F2522" t="s">
        <v>114</v>
      </c>
      <c r="G2522">
        <v>3</v>
      </c>
      <c r="H2522">
        <v>83.99</v>
      </c>
      <c r="I2522">
        <v>0.3</v>
      </c>
      <c r="J2522">
        <v>176.38</v>
      </c>
      <c r="K2522" t="s">
        <v>16</v>
      </c>
      <c r="L2522" t="s">
        <v>37</v>
      </c>
      <c r="M2522" t="s">
        <v>81</v>
      </c>
    </row>
    <row r="2523" spans="1:13" x14ac:dyDescent="0.2">
      <c r="A2523">
        <v>520053</v>
      </c>
      <c r="B2523" s="1">
        <v>45572</v>
      </c>
      <c r="C2523">
        <v>10232</v>
      </c>
      <c r="D2523" t="s">
        <v>13</v>
      </c>
      <c r="E2523" t="s">
        <v>34</v>
      </c>
      <c r="F2523" t="s">
        <v>35</v>
      </c>
      <c r="G2523">
        <v>2</v>
      </c>
      <c r="H2523">
        <v>31.49</v>
      </c>
      <c r="I2523">
        <v>0.1</v>
      </c>
      <c r="J2523">
        <v>56.68</v>
      </c>
      <c r="K2523" t="s">
        <v>36</v>
      </c>
      <c r="L2523" t="s">
        <v>23</v>
      </c>
      <c r="M2523" t="s">
        <v>24</v>
      </c>
    </row>
    <row r="2524" spans="1:13" x14ac:dyDescent="0.2">
      <c r="A2524">
        <v>520080</v>
      </c>
      <c r="B2524" s="1">
        <v>45104</v>
      </c>
      <c r="C2524">
        <v>59428</v>
      </c>
      <c r="D2524" t="s">
        <v>13</v>
      </c>
      <c r="E2524" t="s">
        <v>127</v>
      </c>
      <c r="F2524" t="s">
        <v>128</v>
      </c>
      <c r="G2524">
        <v>1</v>
      </c>
      <c r="H2524">
        <v>18.989999999999998</v>
      </c>
      <c r="I2524">
        <v>0.05</v>
      </c>
      <c r="J2524">
        <v>18.04</v>
      </c>
      <c r="K2524" t="s">
        <v>16</v>
      </c>
      <c r="L2524" t="s">
        <v>37</v>
      </c>
      <c r="M2524" t="s">
        <v>76</v>
      </c>
    </row>
    <row r="2525" spans="1:13" x14ac:dyDescent="0.2">
      <c r="A2525">
        <v>520134</v>
      </c>
      <c r="B2525" s="2">
        <v>45197</v>
      </c>
      <c r="C2525">
        <v>68998</v>
      </c>
      <c r="D2525" t="s">
        <v>97</v>
      </c>
      <c r="E2525" t="s">
        <v>135</v>
      </c>
      <c r="F2525" t="s">
        <v>136</v>
      </c>
      <c r="G2525">
        <v>2</v>
      </c>
      <c r="H2525">
        <v>8.49</v>
      </c>
      <c r="I2525">
        <v>0.15</v>
      </c>
      <c r="J2525">
        <v>14.43</v>
      </c>
      <c r="K2525" t="s">
        <v>22</v>
      </c>
      <c r="L2525" t="s">
        <v>37</v>
      </c>
      <c r="M2525" t="s">
        <v>33</v>
      </c>
    </row>
    <row r="2526" spans="1:13" x14ac:dyDescent="0.2">
      <c r="A2526">
        <v>520189</v>
      </c>
      <c r="B2526" s="1">
        <v>45630</v>
      </c>
      <c r="C2526">
        <v>37381</v>
      </c>
      <c r="D2526" t="s">
        <v>25</v>
      </c>
      <c r="E2526" t="s">
        <v>51</v>
      </c>
      <c r="F2526" t="s">
        <v>52</v>
      </c>
      <c r="G2526">
        <v>1</v>
      </c>
      <c r="H2526">
        <v>27.99</v>
      </c>
      <c r="J2526">
        <v>27.99</v>
      </c>
      <c r="K2526" t="s">
        <v>16</v>
      </c>
      <c r="L2526" t="s">
        <v>23</v>
      </c>
      <c r="M2526" t="s">
        <v>81</v>
      </c>
    </row>
    <row r="2527" spans="1:13" x14ac:dyDescent="0.2">
      <c r="A2527">
        <v>520312</v>
      </c>
      <c r="B2527" s="1">
        <v>45578</v>
      </c>
      <c r="C2527">
        <v>74256</v>
      </c>
      <c r="D2527" t="s">
        <v>13</v>
      </c>
      <c r="E2527" t="s">
        <v>159</v>
      </c>
      <c r="F2527" t="s">
        <v>160</v>
      </c>
      <c r="G2527">
        <v>2</v>
      </c>
      <c r="H2527">
        <v>59.99</v>
      </c>
      <c r="J2527">
        <v>119.98</v>
      </c>
      <c r="K2527" t="s">
        <v>16</v>
      </c>
      <c r="L2527" t="s">
        <v>17</v>
      </c>
      <c r="M2527" t="s">
        <v>117</v>
      </c>
    </row>
    <row r="2528" spans="1:13" x14ac:dyDescent="0.2">
      <c r="A2528">
        <v>520372</v>
      </c>
      <c r="B2528" s="2">
        <v>45251</v>
      </c>
      <c r="C2528">
        <v>36326</v>
      </c>
      <c r="D2528" t="s">
        <v>13</v>
      </c>
      <c r="E2528" t="s">
        <v>104</v>
      </c>
      <c r="F2528" t="s">
        <v>105</v>
      </c>
      <c r="G2528">
        <v>5</v>
      </c>
      <c r="H2528">
        <v>23.99</v>
      </c>
      <c r="I2528">
        <v>0.2</v>
      </c>
      <c r="J2528">
        <v>95.96</v>
      </c>
      <c r="K2528" t="s">
        <v>22</v>
      </c>
      <c r="L2528" t="s">
        <v>17</v>
      </c>
      <c r="M2528" t="s">
        <v>117</v>
      </c>
    </row>
    <row r="2529" spans="1:13" x14ac:dyDescent="0.2">
      <c r="A2529">
        <v>520772</v>
      </c>
      <c r="B2529" s="2">
        <v>45249</v>
      </c>
      <c r="C2529">
        <v>84867</v>
      </c>
      <c r="D2529" t="s">
        <v>48</v>
      </c>
      <c r="E2529" t="s">
        <v>118</v>
      </c>
      <c r="F2529" t="s">
        <v>119</v>
      </c>
      <c r="G2529">
        <v>1</v>
      </c>
      <c r="H2529">
        <v>4.74</v>
      </c>
      <c r="I2529">
        <v>0.05</v>
      </c>
      <c r="J2529">
        <v>4.5</v>
      </c>
      <c r="K2529" t="s">
        <v>16</v>
      </c>
      <c r="L2529" t="s">
        <v>17</v>
      </c>
      <c r="M2529" t="s">
        <v>96</v>
      </c>
    </row>
    <row r="2530" spans="1:13" x14ac:dyDescent="0.2">
      <c r="A2530">
        <v>520897</v>
      </c>
      <c r="B2530" s="2">
        <v>44693</v>
      </c>
      <c r="C2530">
        <v>79582</v>
      </c>
      <c r="D2530" t="s">
        <v>85</v>
      </c>
      <c r="E2530" t="s">
        <v>153</v>
      </c>
      <c r="F2530" t="s">
        <v>154</v>
      </c>
      <c r="G2530">
        <v>4</v>
      </c>
      <c r="H2530">
        <v>22.49</v>
      </c>
      <c r="I2530">
        <v>0.25</v>
      </c>
      <c r="J2530">
        <v>67.47</v>
      </c>
      <c r="K2530" t="s">
        <v>95</v>
      </c>
      <c r="L2530" t="s">
        <v>17</v>
      </c>
      <c r="M2530" t="s">
        <v>120</v>
      </c>
    </row>
    <row r="2531" spans="1:13" x14ac:dyDescent="0.2">
      <c r="A2531">
        <v>521326</v>
      </c>
      <c r="B2531" s="1">
        <v>44568</v>
      </c>
      <c r="C2531">
        <v>88893</v>
      </c>
      <c r="D2531" t="s">
        <v>82</v>
      </c>
      <c r="E2531" t="s">
        <v>83</v>
      </c>
      <c r="F2531" t="s">
        <v>84</v>
      </c>
      <c r="G2531">
        <v>4</v>
      </c>
      <c r="H2531">
        <v>12.74</v>
      </c>
      <c r="I2531">
        <v>0.25</v>
      </c>
      <c r="J2531">
        <v>38.22</v>
      </c>
      <c r="K2531" t="s">
        <v>16</v>
      </c>
      <c r="L2531" t="s">
        <v>37</v>
      </c>
      <c r="M2531" t="s">
        <v>123</v>
      </c>
    </row>
    <row r="2532" spans="1:13" x14ac:dyDescent="0.2">
      <c r="A2532">
        <v>521597</v>
      </c>
      <c r="B2532" s="1">
        <v>44965</v>
      </c>
      <c r="C2532">
        <v>42912</v>
      </c>
      <c r="D2532" t="s">
        <v>85</v>
      </c>
      <c r="E2532" t="s">
        <v>145</v>
      </c>
      <c r="F2532" t="s">
        <v>146</v>
      </c>
      <c r="G2532">
        <v>5</v>
      </c>
      <c r="H2532">
        <v>11.89</v>
      </c>
      <c r="I2532">
        <v>0.3</v>
      </c>
      <c r="J2532">
        <v>41.62</v>
      </c>
      <c r="K2532" t="s">
        <v>16</v>
      </c>
      <c r="L2532" t="s">
        <v>17</v>
      </c>
      <c r="M2532" t="s">
        <v>76</v>
      </c>
    </row>
    <row r="2533" spans="1:13" x14ac:dyDescent="0.2">
      <c r="A2533">
        <v>521644</v>
      </c>
      <c r="B2533" s="2">
        <v>44700</v>
      </c>
      <c r="C2533">
        <v>82877</v>
      </c>
      <c r="D2533" t="s">
        <v>48</v>
      </c>
      <c r="E2533" t="s">
        <v>109</v>
      </c>
      <c r="F2533" t="s">
        <v>110</v>
      </c>
      <c r="G2533">
        <v>1</v>
      </c>
      <c r="H2533">
        <v>5.59</v>
      </c>
      <c r="I2533">
        <v>0.2</v>
      </c>
      <c r="J2533">
        <v>4.47</v>
      </c>
      <c r="K2533" t="s">
        <v>66</v>
      </c>
      <c r="L2533" t="s">
        <v>17</v>
      </c>
      <c r="M2533" t="s">
        <v>103</v>
      </c>
    </row>
    <row r="2534" spans="1:13" x14ac:dyDescent="0.2">
      <c r="A2534">
        <v>521659</v>
      </c>
      <c r="B2534" s="1">
        <v>45402</v>
      </c>
      <c r="C2534">
        <v>64703</v>
      </c>
      <c r="D2534" t="s">
        <v>40</v>
      </c>
      <c r="E2534" t="s">
        <v>41</v>
      </c>
      <c r="F2534" t="s">
        <v>42</v>
      </c>
      <c r="G2534">
        <v>5</v>
      </c>
      <c r="H2534">
        <v>5.39</v>
      </c>
      <c r="I2534">
        <v>0.1</v>
      </c>
      <c r="J2534">
        <v>24.26</v>
      </c>
      <c r="K2534" t="s">
        <v>16</v>
      </c>
      <c r="L2534" t="s">
        <v>37</v>
      </c>
      <c r="M2534" t="s">
        <v>33</v>
      </c>
    </row>
    <row r="2535" spans="1:13" x14ac:dyDescent="0.2">
      <c r="A2535">
        <v>521947</v>
      </c>
      <c r="B2535" s="1">
        <v>45182</v>
      </c>
      <c r="C2535">
        <v>73767</v>
      </c>
      <c r="D2535" t="s">
        <v>25</v>
      </c>
      <c r="E2535" t="s">
        <v>113</v>
      </c>
      <c r="F2535" t="s">
        <v>114</v>
      </c>
      <c r="G2535">
        <v>2</v>
      </c>
      <c r="H2535">
        <v>119.99</v>
      </c>
      <c r="J2535">
        <v>239.98</v>
      </c>
      <c r="K2535" t="s">
        <v>16</v>
      </c>
      <c r="L2535" t="s">
        <v>37</v>
      </c>
      <c r="M2535" t="s">
        <v>117</v>
      </c>
    </row>
    <row r="2536" spans="1:13" x14ac:dyDescent="0.2">
      <c r="A2536">
        <v>522286</v>
      </c>
      <c r="B2536" s="2">
        <v>44725</v>
      </c>
      <c r="C2536">
        <v>51044</v>
      </c>
      <c r="D2536" t="s">
        <v>13</v>
      </c>
      <c r="E2536" t="s">
        <v>186</v>
      </c>
      <c r="F2536" t="s">
        <v>187</v>
      </c>
      <c r="G2536">
        <v>2</v>
      </c>
      <c r="H2536">
        <v>47.49</v>
      </c>
      <c r="I2536">
        <v>0.05</v>
      </c>
      <c r="J2536">
        <v>90.23</v>
      </c>
      <c r="K2536" t="s">
        <v>16</v>
      </c>
      <c r="L2536" t="s">
        <v>17</v>
      </c>
      <c r="M2536" t="s">
        <v>54</v>
      </c>
    </row>
    <row r="2537" spans="1:13" x14ac:dyDescent="0.2">
      <c r="A2537">
        <v>522465</v>
      </c>
      <c r="B2537" s="1">
        <v>45608</v>
      </c>
      <c r="C2537">
        <v>16648</v>
      </c>
      <c r="D2537" t="s">
        <v>63</v>
      </c>
      <c r="E2537" t="s">
        <v>64</v>
      </c>
      <c r="F2537" t="s">
        <v>65</v>
      </c>
      <c r="G2537">
        <v>1</v>
      </c>
      <c r="H2537">
        <v>4.49</v>
      </c>
      <c r="I2537">
        <v>0.1</v>
      </c>
      <c r="J2537">
        <v>4.04</v>
      </c>
      <c r="K2537" t="s">
        <v>16</v>
      </c>
      <c r="L2537" t="s">
        <v>17</v>
      </c>
      <c r="M2537" t="s">
        <v>18</v>
      </c>
    </row>
    <row r="2538" spans="1:13" x14ac:dyDescent="0.2">
      <c r="A2538">
        <v>522477</v>
      </c>
      <c r="B2538" s="1">
        <v>45325</v>
      </c>
      <c r="C2538">
        <v>98730</v>
      </c>
      <c r="D2538" t="s">
        <v>167</v>
      </c>
      <c r="E2538" t="s">
        <v>143</v>
      </c>
      <c r="F2538" t="s">
        <v>144</v>
      </c>
      <c r="G2538">
        <v>4</v>
      </c>
      <c r="H2538">
        <v>14.99</v>
      </c>
      <c r="J2538">
        <v>59.96</v>
      </c>
      <c r="K2538" t="s">
        <v>16</v>
      </c>
      <c r="L2538" t="s">
        <v>17</v>
      </c>
      <c r="M2538" t="s">
        <v>67</v>
      </c>
    </row>
    <row r="2539" spans="1:13" x14ac:dyDescent="0.2">
      <c r="A2539">
        <v>522634</v>
      </c>
      <c r="B2539" s="1">
        <v>45656</v>
      </c>
      <c r="C2539">
        <v>45202</v>
      </c>
      <c r="D2539" t="s">
        <v>48</v>
      </c>
      <c r="E2539" t="s">
        <v>109</v>
      </c>
      <c r="F2539" t="s">
        <v>110</v>
      </c>
      <c r="G2539">
        <v>1</v>
      </c>
      <c r="H2539">
        <v>6.99</v>
      </c>
      <c r="J2539">
        <v>6.99</v>
      </c>
      <c r="K2539" t="s">
        <v>16</v>
      </c>
      <c r="L2539" t="s">
        <v>17</v>
      </c>
      <c r="M2539" t="s">
        <v>81</v>
      </c>
    </row>
    <row r="2540" spans="1:13" x14ac:dyDescent="0.2">
      <c r="A2540">
        <v>522988</v>
      </c>
      <c r="B2540" s="1">
        <v>44827</v>
      </c>
      <c r="C2540">
        <v>79963</v>
      </c>
      <c r="D2540" t="s">
        <v>44</v>
      </c>
      <c r="E2540" t="s">
        <v>93</v>
      </c>
      <c r="F2540" t="s">
        <v>94</v>
      </c>
      <c r="G2540">
        <v>3</v>
      </c>
      <c r="H2540">
        <v>1.03</v>
      </c>
      <c r="I2540">
        <v>0.2</v>
      </c>
      <c r="J2540">
        <v>2.4700000000000002</v>
      </c>
      <c r="K2540" t="s">
        <v>16</v>
      </c>
      <c r="L2540" t="s">
        <v>17</v>
      </c>
      <c r="M2540" t="s">
        <v>123</v>
      </c>
    </row>
    <row r="2541" spans="1:13" x14ac:dyDescent="0.2">
      <c r="A2541">
        <v>523849</v>
      </c>
      <c r="B2541" s="1">
        <v>45153</v>
      </c>
      <c r="C2541">
        <v>38148</v>
      </c>
      <c r="D2541" t="s">
        <v>13</v>
      </c>
      <c r="E2541" t="s">
        <v>127</v>
      </c>
      <c r="F2541" t="s">
        <v>128</v>
      </c>
      <c r="G2541">
        <v>2</v>
      </c>
      <c r="H2541">
        <v>19.989999999999998</v>
      </c>
      <c r="J2541">
        <v>39.979999999999997</v>
      </c>
      <c r="K2541" t="s">
        <v>36</v>
      </c>
      <c r="L2541" t="s">
        <v>17</v>
      </c>
      <c r="M2541" t="s">
        <v>123</v>
      </c>
    </row>
    <row r="2542" spans="1:13" x14ac:dyDescent="0.2">
      <c r="A2542">
        <v>523945</v>
      </c>
      <c r="B2542" s="1">
        <v>44995</v>
      </c>
      <c r="C2542">
        <v>35432</v>
      </c>
      <c r="D2542" t="s">
        <v>13</v>
      </c>
      <c r="E2542" t="s">
        <v>34</v>
      </c>
      <c r="F2542" t="s">
        <v>35</v>
      </c>
      <c r="G2542">
        <v>1</v>
      </c>
      <c r="H2542">
        <v>31.49</v>
      </c>
      <c r="I2542">
        <v>0.1</v>
      </c>
      <c r="J2542">
        <v>28.34</v>
      </c>
      <c r="K2542" t="s">
        <v>16</v>
      </c>
      <c r="L2542" t="s">
        <v>17</v>
      </c>
      <c r="M2542" t="s">
        <v>62</v>
      </c>
    </row>
    <row r="2543" spans="1:13" x14ac:dyDescent="0.2">
      <c r="A2543">
        <v>524022</v>
      </c>
      <c r="B2543" s="2">
        <v>45605</v>
      </c>
      <c r="C2543">
        <v>23154</v>
      </c>
      <c r="D2543" t="s">
        <v>44</v>
      </c>
      <c r="E2543" t="s">
        <v>172</v>
      </c>
      <c r="F2543" t="s">
        <v>173</v>
      </c>
      <c r="G2543">
        <v>1</v>
      </c>
      <c r="H2543">
        <v>4.49</v>
      </c>
      <c r="J2543">
        <v>4.49</v>
      </c>
      <c r="K2543" t="s">
        <v>36</v>
      </c>
      <c r="L2543" t="s">
        <v>17</v>
      </c>
      <c r="M2543" t="s">
        <v>33</v>
      </c>
    </row>
    <row r="2544" spans="1:13" x14ac:dyDescent="0.2">
      <c r="A2544">
        <v>524163</v>
      </c>
      <c r="B2544" s="1">
        <v>44950</v>
      </c>
      <c r="C2544">
        <v>11178</v>
      </c>
      <c r="D2544" t="s">
        <v>25</v>
      </c>
      <c r="E2544" t="s">
        <v>60</v>
      </c>
      <c r="F2544" t="s">
        <v>61</v>
      </c>
      <c r="G2544">
        <v>1</v>
      </c>
      <c r="H2544">
        <v>41.24</v>
      </c>
      <c r="I2544">
        <v>0.25</v>
      </c>
      <c r="J2544">
        <v>30.93</v>
      </c>
      <c r="K2544" t="s">
        <v>22</v>
      </c>
      <c r="L2544" t="s">
        <v>17</v>
      </c>
      <c r="M2544" t="s">
        <v>117</v>
      </c>
    </row>
    <row r="2545" spans="1:13" x14ac:dyDescent="0.2">
      <c r="A2545">
        <v>524671</v>
      </c>
      <c r="B2545" s="1">
        <v>44726</v>
      </c>
      <c r="C2545">
        <v>16247</v>
      </c>
      <c r="D2545" t="s">
        <v>44</v>
      </c>
      <c r="E2545" t="s">
        <v>172</v>
      </c>
      <c r="F2545" t="s">
        <v>173</v>
      </c>
      <c r="G2545">
        <v>2</v>
      </c>
      <c r="H2545">
        <v>3.59</v>
      </c>
      <c r="I2545">
        <v>0.2</v>
      </c>
      <c r="J2545">
        <v>5.74</v>
      </c>
      <c r="K2545" t="s">
        <v>36</v>
      </c>
      <c r="L2545" t="s">
        <v>17</v>
      </c>
      <c r="M2545" t="s">
        <v>18</v>
      </c>
    </row>
    <row r="2546" spans="1:13" x14ac:dyDescent="0.2">
      <c r="A2546">
        <v>524678</v>
      </c>
      <c r="B2546" s="1">
        <v>44923</v>
      </c>
      <c r="C2546">
        <v>22587</v>
      </c>
      <c r="D2546" t="s">
        <v>63</v>
      </c>
      <c r="E2546" t="s">
        <v>68</v>
      </c>
      <c r="F2546" t="s">
        <v>69</v>
      </c>
      <c r="G2546">
        <v>1</v>
      </c>
      <c r="H2546">
        <v>24.99</v>
      </c>
      <c r="J2546">
        <v>24.99</v>
      </c>
      <c r="K2546" t="s">
        <v>16</v>
      </c>
      <c r="L2546" t="s">
        <v>17</v>
      </c>
      <c r="M2546" t="s">
        <v>47</v>
      </c>
    </row>
    <row r="2547" spans="1:13" x14ac:dyDescent="0.2">
      <c r="A2547">
        <v>525005</v>
      </c>
      <c r="B2547" s="2">
        <v>45121</v>
      </c>
      <c r="C2547">
        <v>78701</v>
      </c>
      <c r="D2547" t="s">
        <v>85</v>
      </c>
      <c r="E2547" t="s">
        <v>86</v>
      </c>
      <c r="F2547" t="s">
        <v>87</v>
      </c>
      <c r="G2547">
        <v>2</v>
      </c>
      <c r="H2547">
        <v>10.39</v>
      </c>
      <c r="I2547">
        <v>0.2</v>
      </c>
      <c r="J2547">
        <v>16.62</v>
      </c>
      <c r="K2547" t="s">
        <v>95</v>
      </c>
      <c r="L2547" t="s">
        <v>17</v>
      </c>
      <c r="M2547" t="s">
        <v>54</v>
      </c>
    </row>
    <row r="2548" spans="1:13" x14ac:dyDescent="0.2">
      <c r="A2548">
        <v>525027</v>
      </c>
      <c r="B2548" s="1">
        <v>45149</v>
      </c>
      <c r="C2548">
        <v>75588</v>
      </c>
      <c r="D2548" t="s">
        <v>85</v>
      </c>
      <c r="E2548" t="s">
        <v>149</v>
      </c>
      <c r="F2548" t="s">
        <v>150</v>
      </c>
      <c r="G2548">
        <v>4</v>
      </c>
      <c r="H2548">
        <v>18.989999999999998</v>
      </c>
      <c r="I2548">
        <v>0.05</v>
      </c>
      <c r="J2548">
        <v>72.16</v>
      </c>
      <c r="K2548" t="s">
        <v>16</v>
      </c>
      <c r="L2548" t="s">
        <v>17</v>
      </c>
      <c r="M2548" t="s">
        <v>54</v>
      </c>
    </row>
    <row r="2549" spans="1:13" x14ac:dyDescent="0.2">
      <c r="A2549">
        <v>525167</v>
      </c>
      <c r="B2549" s="1">
        <v>45616</v>
      </c>
      <c r="C2549">
        <v>10955</v>
      </c>
      <c r="D2549" t="s">
        <v>44</v>
      </c>
      <c r="E2549" t="s">
        <v>93</v>
      </c>
      <c r="F2549" t="s">
        <v>94</v>
      </c>
      <c r="G2549">
        <v>3</v>
      </c>
      <c r="H2549">
        <v>0.9</v>
      </c>
      <c r="I2549">
        <v>0.3</v>
      </c>
      <c r="J2549">
        <v>1.89</v>
      </c>
      <c r="K2549" t="s">
        <v>32</v>
      </c>
      <c r="L2549" t="s">
        <v>17</v>
      </c>
      <c r="M2549" t="s">
        <v>33</v>
      </c>
    </row>
    <row r="2550" spans="1:13" x14ac:dyDescent="0.2">
      <c r="A2550">
        <v>525197</v>
      </c>
      <c r="B2550" s="1">
        <v>44723</v>
      </c>
      <c r="C2550">
        <v>44807</v>
      </c>
      <c r="D2550" t="s">
        <v>85</v>
      </c>
      <c r="E2550" t="s">
        <v>149</v>
      </c>
      <c r="F2550" t="s">
        <v>150</v>
      </c>
      <c r="G2550">
        <v>1</v>
      </c>
      <c r="H2550">
        <v>19.989999999999998</v>
      </c>
      <c r="J2550">
        <v>19.989999999999998</v>
      </c>
      <c r="K2550" t="s">
        <v>95</v>
      </c>
      <c r="L2550" t="s">
        <v>37</v>
      </c>
      <c r="M2550" t="s">
        <v>117</v>
      </c>
    </row>
    <row r="2551" spans="1:13" x14ac:dyDescent="0.2">
      <c r="A2551">
        <v>525279</v>
      </c>
      <c r="B2551" s="1">
        <v>45348</v>
      </c>
      <c r="D2551" t="s">
        <v>29</v>
      </c>
      <c r="E2551" t="s">
        <v>175</v>
      </c>
      <c r="F2551" t="s">
        <v>176</v>
      </c>
      <c r="G2551">
        <v>5</v>
      </c>
      <c r="H2551">
        <v>11.99</v>
      </c>
      <c r="J2551">
        <v>59.95</v>
      </c>
      <c r="K2551" t="s">
        <v>16</v>
      </c>
      <c r="L2551" t="s">
        <v>37</v>
      </c>
      <c r="M2551" t="s">
        <v>62</v>
      </c>
    </row>
    <row r="2552" spans="1:13" x14ac:dyDescent="0.2">
      <c r="A2552">
        <v>525826</v>
      </c>
      <c r="B2552" s="1">
        <v>44928</v>
      </c>
      <c r="C2552">
        <v>62803</v>
      </c>
      <c r="D2552" t="s">
        <v>25</v>
      </c>
      <c r="E2552" t="s">
        <v>26</v>
      </c>
      <c r="F2552" t="s">
        <v>27</v>
      </c>
      <c r="G2552">
        <v>1</v>
      </c>
      <c r="H2552">
        <v>29.74</v>
      </c>
      <c r="I2552">
        <v>0.15</v>
      </c>
      <c r="J2552">
        <v>25.28</v>
      </c>
      <c r="K2552" t="s">
        <v>36</v>
      </c>
      <c r="L2552" t="s">
        <v>23</v>
      </c>
      <c r="M2552" t="s">
        <v>18</v>
      </c>
    </row>
    <row r="2553" spans="1:13" x14ac:dyDescent="0.2">
      <c r="A2553">
        <v>525831</v>
      </c>
      <c r="B2553" s="1">
        <v>44877</v>
      </c>
      <c r="C2553">
        <v>18242</v>
      </c>
      <c r="D2553" t="s">
        <v>29</v>
      </c>
      <c r="E2553" t="s">
        <v>38</v>
      </c>
      <c r="F2553" t="s">
        <v>39</v>
      </c>
      <c r="G2553">
        <v>5</v>
      </c>
      <c r="H2553">
        <v>23.99</v>
      </c>
      <c r="I2553">
        <v>0.2</v>
      </c>
      <c r="J2553">
        <v>95.96</v>
      </c>
      <c r="K2553" t="s">
        <v>22</v>
      </c>
      <c r="L2553" t="s">
        <v>17</v>
      </c>
      <c r="M2553" t="s">
        <v>18</v>
      </c>
    </row>
    <row r="2554" spans="1:13" x14ac:dyDescent="0.2">
      <c r="A2554">
        <v>526067</v>
      </c>
      <c r="B2554" s="1">
        <v>44995</v>
      </c>
      <c r="C2554">
        <v>41444</v>
      </c>
      <c r="D2554" t="s">
        <v>200</v>
      </c>
      <c r="E2554" t="s">
        <v>60</v>
      </c>
      <c r="F2554" t="s">
        <v>61</v>
      </c>
      <c r="G2554">
        <v>2</v>
      </c>
      <c r="H2554">
        <v>49.49</v>
      </c>
      <c r="I2554">
        <v>0.1</v>
      </c>
      <c r="J2554">
        <v>89.08</v>
      </c>
      <c r="K2554" t="s">
        <v>16</v>
      </c>
      <c r="L2554" t="s">
        <v>17</v>
      </c>
      <c r="M2554" t="s">
        <v>123</v>
      </c>
    </row>
    <row r="2555" spans="1:13" x14ac:dyDescent="0.2">
      <c r="A2555">
        <v>526105</v>
      </c>
      <c r="B2555" s="1">
        <v>45425</v>
      </c>
      <c r="C2555">
        <v>52070</v>
      </c>
      <c r="D2555" t="s">
        <v>40</v>
      </c>
      <c r="E2555" t="s">
        <v>20</v>
      </c>
      <c r="F2555" t="s">
        <v>21</v>
      </c>
      <c r="G2555">
        <v>2</v>
      </c>
      <c r="H2555">
        <v>9.49</v>
      </c>
      <c r="I2555">
        <v>0.05</v>
      </c>
      <c r="J2555">
        <v>18.03</v>
      </c>
      <c r="K2555" t="s">
        <v>95</v>
      </c>
      <c r="L2555" t="s">
        <v>17</v>
      </c>
      <c r="M2555" t="s">
        <v>62</v>
      </c>
    </row>
    <row r="2556" spans="1:13" x14ac:dyDescent="0.2">
      <c r="A2556">
        <v>526421</v>
      </c>
      <c r="B2556" s="1">
        <v>44675</v>
      </c>
      <c r="C2556">
        <v>86947</v>
      </c>
      <c r="D2556" t="s">
        <v>48</v>
      </c>
      <c r="E2556" t="s">
        <v>139</v>
      </c>
      <c r="F2556" t="s">
        <v>140</v>
      </c>
      <c r="G2556">
        <v>1</v>
      </c>
      <c r="H2556">
        <v>7.99</v>
      </c>
      <c r="J2556">
        <v>7.99</v>
      </c>
      <c r="K2556" t="s">
        <v>36</v>
      </c>
      <c r="L2556" t="s">
        <v>17</v>
      </c>
      <c r="M2556" t="s">
        <v>43</v>
      </c>
    </row>
    <row r="2557" spans="1:13" x14ac:dyDescent="0.2">
      <c r="A2557">
        <v>526536</v>
      </c>
      <c r="B2557" s="1">
        <v>45182</v>
      </c>
      <c r="C2557">
        <v>50032</v>
      </c>
      <c r="D2557" t="s">
        <v>48</v>
      </c>
      <c r="E2557" t="s">
        <v>49</v>
      </c>
      <c r="F2557" t="s">
        <v>50</v>
      </c>
      <c r="G2557">
        <v>1</v>
      </c>
      <c r="H2557">
        <v>7.64</v>
      </c>
      <c r="I2557">
        <v>0.15</v>
      </c>
      <c r="J2557">
        <v>6.49</v>
      </c>
      <c r="K2557" t="s">
        <v>16</v>
      </c>
      <c r="L2557" t="s">
        <v>37</v>
      </c>
    </row>
    <row r="2558" spans="1:13" x14ac:dyDescent="0.2">
      <c r="A2558">
        <v>526673</v>
      </c>
      <c r="B2558" s="1">
        <v>45105</v>
      </c>
      <c r="C2558">
        <v>85907</v>
      </c>
      <c r="D2558" t="s">
        <v>82</v>
      </c>
      <c r="E2558" t="s">
        <v>100</v>
      </c>
      <c r="F2558" t="s">
        <v>101</v>
      </c>
      <c r="G2558">
        <v>5</v>
      </c>
      <c r="H2558">
        <v>22.99</v>
      </c>
      <c r="J2558">
        <v>114.95</v>
      </c>
      <c r="K2558" t="s">
        <v>36</v>
      </c>
      <c r="L2558" t="s">
        <v>17</v>
      </c>
      <c r="M2558" t="s">
        <v>103</v>
      </c>
    </row>
    <row r="2559" spans="1:13" x14ac:dyDescent="0.2">
      <c r="A2559">
        <v>526757</v>
      </c>
      <c r="B2559" s="2">
        <v>45165</v>
      </c>
      <c r="C2559">
        <v>64015</v>
      </c>
      <c r="D2559" t="s">
        <v>40</v>
      </c>
      <c r="E2559" t="s">
        <v>20</v>
      </c>
      <c r="F2559" t="s">
        <v>21</v>
      </c>
      <c r="G2559">
        <v>5</v>
      </c>
      <c r="H2559">
        <v>8.49</v>
      </c>
      <c r="I2559">
        <v>0.15</v>
      </c>
      <c r="J2559">
        <v>36.08</v>
      </c>
      <c r="K2559" t="s">
        <v>22</v>
      </c>
      <c r="L2559" t="s">
        <v>17</v>
      </c>
      <c r="M2559" t="s">
        <v>76</v>
      </c>
    </row>
    <row r="2560" spans="1:13" x14ac:dyDescent="0.2">
      <c r="A2560">
        <v>526856</v>
      </c>
      <c r="B2560" s="1">
        <v>45552</v>
      </c>
      <c r="C2560">
        <v>44443</v>
      </c>
      <c r="D2560" t="s">
        <v>97</v>
      </c>
      <c r="E2560" t="s">
        <v>135</v>
      </c>
      <c r="F2560" t="s">
        <v>136</v>
      </c>
      <c r="G2560">
        <v>5</v>
      </c>
      <c r="H2560">
        <v>9.99</v>
      </c>
      <c r="J2560">
        <v>49.95</v>
      </c>
      <c r="K2560" t="s">
        <v>36</v>
      </c>
      <c r="L2560" t="s">
        <v>17</v>
      </c>
    </row>
    <row r="2561" spans="1:13" x14ac:dyDescent="0.2">
      <c r="A2561">
        <v>527002</v>
      </c>
      <c r="B2561" s="1">
        <v>44892</v>
      </c>
      <c r="C2561">
        <v>63028</v>
      </c>
      <c r="D2561" t="s">
        <v>63</v>
      </c>
      <c r="E2561" t="s">
        <v>125</v>
      </c>
      <c r="F2561" t="s">
        <v>126</v>
      </c>
      <c r="G2561">
        <v>2</v>
      </c>
      <c r="H2561">
        <v>29.99</v>
      </c>
      <c r="J2561">
        <v>59.98</v>
      </c>
      <c r="K2561" t="s">
        <v>36</v>
      </c>
      <c r="L2561" t="s">
        <v>17</v>
      </c>
      <c r="M2561" t="s">
        <v>18</v>
      </c>
    </row>
    <row r="2562" spans="1:13" x14ac:dyDescent="0.2">
      <c r="A2562">
        <v>527193</v>
      </c>
      <c r="B2562" s="1">
        <v>45626</v>
      </c>
      <c r="C2562">
        <v>64753</v>
      </c>
      <c r="D2562" t="s">
        <v>13</v>
      </c>
      <c r="E2562" t="s">
        <v>55</v>
      </c>
      <c r="F2562" t="s">
        <v>56</v>
      </c>
      <c r="G2562">
        <v>1</v>
      </c>
      <c r="H2562">
        <v>230.99</v>
      </c>
      <c r="I2562">
        <v>0.3</v>
      </c>
      <c r="J2562">
        <v>161.69</v>
      </c>
      <c r="K2562" t="s">
        <v>36</v>
      </c>
      <c r="L2562" t="s">
        <v>17</v>
      </c>
      <c r="M2562" t="s">
        <v>24</v>
      </c>
    </row>
    <row r="2563" spans="1:13" x14ac:dyDescent="0.2">
      <c r="A2563">
        <v>527393</v>
      </c>
      <c r="B2563" s="2">
        <v>45328</v>
      </c>
      <c r="C2563">
        <v>22562</v>
      </c>
      <c r="D2563" t="s">
        <v>82</v>
      </c>
      <c r="E2563" t="s">
        <v>155</v>
      </c>
      <c r="F2563" t="s">
        <v>156</v>
      </c>
      <c r="G2563">
        <v>3</v>
      </c>
      <c r="H2563">
        <v>14.99</v>
      </c>
      <c r="I2563">
        <v>0.25</v>
      </c>
      <c r="J2563">
        <v>33.729999999999997</v>
      </c>
      <c r="K2563" t="s">
        <v>36</v>
      </c>
      <c r="L2563" t="s">
        <v>17</v>
      </c>
      <c r="M2563" t="s">
        <v>67</v>
      </c>
    </row>
    <row r="2564" spans="1:13" x14ac:dyDescent="0.2">
      <c r="A2564">
        <v>527478</v>
      </c>
      <c r="B2564" s="2">
        <v>44573</v>
      </c>
      <c r="C2564">
        <v>47587</v>
      </c>
      <c r="D2564" t="s">
        <v>25</v>
      </c>
      <c r="E2564" t="s">
        <v>113</v>
      </c>
      <c r="F2564" t="s">
        <v>114</v>
      </c>
      <c r="G2564">
        <v>1</v>
      </c>
      <c r="H2564">
        <v>101.99</v>
      </c>
      <c r="I2564">
        <v>0.15</v>
      </c>
      <c r="J2564">
        <v>86.69</v>
      </c>
      <c r="K2564" t="s">
        <v>22</v>
      </c>
      <c r="L2564" t="s">
        <v>37</v>
      </c>
      <c r="M2564" t="s">
        <v>57</v>
      </c>
    </row>
    <row r="2565" spans="1:13" x14ac:dyDescent="0.2">
      <c r="A2565">
        <v>527481</v>
      </c>
      <c r="B2565" s="2">
        <v>45391</v>
      </c>
      <c r="C2565">
        <v>14773</v>
      </c>
      <c r="D2565" t="s">
        <v>40</v>
      </c>
      <c r="E2565" t="s">
        <v>58</v>
      </c>
      <c r="F2565" t="s">
        <v>59</v>
      </c>
      <c r="G2565">
        <v>2</v>
      </c>
      <c r="H2565">
        <v>3.59</v>
      </c>
      <c r="I2565">
        <v>0.1</v>
      </c>
      <c r="J2565">
        <v>6.46</v>
      </c>
      <c r="K2565" t="s">
        <v>16</v>
      </c>
      <c r="L2565" t="s">
        <v>37</v>
      </c>
      <c r="M2565" t="s">
        <v>120</v>
      </c>
    </row>
    <row r="2566" spans="1:13" x14ac:dyDescent="0.2">
      <c r="A2566">
        <v>527550</v>
      </c>
      <c r="B2566" s="2">
        <v>45075</v>
      </c>
      <c r="C2566">
        <v>63416</v>
      </c>
      <c r="D2566" t="s">
        <v>44</v>
      </c>
      <c r="E2566" t="s">
        <v>107</v>
      </c>
      <c r="F2566" t="s">
        <v>108</v>
      </c>
      <c r="G2566">
        <v>1</v>
      </c>
      <c r="H2566">
        <v>2.97</v>
      </c>
      <c r="I2566">
        <v>0.15</v>
      </c>
      <c r="J2566">
        <v>2.52</v>
      </c>
      <c r="K2566" t="s">
        <v>22</v>
      </c>
      <c r="L2566" t="s">
        <v>37</v>
      </c>
      <c r="M2566" t="s">
        <v>90</v>
      </c>
    </row>
    <row r="2567" spans="1:13" x14ac:dyDescent="0.2">
      <c r="A2567">
        <v>527734</v>
      </c>
      <c r="B2567" s="2">
        <v>44959</v>
      </c>
      <c r="C2567">
        <v>41649</v>
      </c>
      <c r="D2567" t="s">
        <v>63</v>
      </c>
      <c r="E2567" t="s">
        <v>64</v>
      </c>
      <c r="F2567" t="s">
        <v>65</v>
      </c>
      <c r="G2567">
        <v>1</v>
      </c>
      <c r="H2567">
        <v>4.24</v>
      </c>
      <c r="I2567">
        <v>0.15</v>
      </c>
      <c r="J2567">
        <v>3.6</v>
      </c>
      <c r="K2567" t="s">
        <v>22</v>
      </c>
      <c r="L2567" t="s">
        <v>17</v>
      </c>
      <c r="M2567" t="s">
        <v>120</v>
      </c>
    </row>
    <row r="2568" spans="1:13" x14ac:dyDescent="0.2">
      <c r="A2568">
        <v>527912</v>
      </c>
      <c r="B2568" s="2">
        <v>44971</v>
      </c>
      <c r="C2568">
        <v>19525</v>
      </c>
      <c r="D2568" t="s">
        <v>13</v>
      </c>
      <c r="E2568" t="s">
        <v>127</v>
      </c>
      <c r="F2568" t="s">
        <v>128</v>
      </c>
      <c r="G2568">
        <v>2</v>
      </c>
      <c r="H2568">
        <v>15.99</v>
      </c>
      <c r="I2568">
        <v>0.2</v>
      </c>
      <c r="J2568">
        <v>25.58</v>
      </c>
      <c r="K2568" t="s">
        <v>36</v>
      </c>
      <c r="L2568" t="s">
        <v>17</v>
      </c>
      <c r="M2568" t="s">
        <v>117</v>
      </c>
    </row>
    <row r="2569" spans="1:13" x14ac:dyDescent="0.2">
      <c r="A2569">
        <v>527927</v>
      </c>
      <c r="B2569" s="1">
        <v>45376</v>
      </c>
      <c r="C2569">
        <v>94165</v>
      </c>
      <c r="D2569" t="s">
        <v>44</v>
      </c>
      <c r="E2569" t="s">
        <v>107</v>
      </c>
      <c r="F2569" t="s">
        <v>108</v>
      </c>
      <c r="G2569">
        <v>4</v>
      </c>
      <c r="H2569">
        <v>3.49</v>
      </c>
      <c r="J2569">
        <v>13.96</v>
      </c>
      <c r="K2569" t="s">
        <v>36</v>
      </c>
      <c r="L2569" t="s">
        <v>17</v>
      </c>
      <c r="M2569" t="s">
        <v>161</v>
      </c>
    </row>
    <row r="2570" spans="1:13" x14ac:dyDescent="0.2">
      <c r="A2570">
        <v>528188</v>
      </c>
      <c r="B2570" s="2">
        <v>45548</v>
      </c>
      <c r="D2570" t="s">
        <v>63</v>
      </c>
      <c r="E2570" t="s">
        <v>64</v>
      </c>
      <c r="F2570" t="s">
        <v>65</v>
      </c>
      <c r="G2570">
        <v>3</v>
      </c>
      <c r="H2570">
        <v>3.49</v>
      </c>
      <c r="I2570">
        <v>0.3</v>
      </c>
      <c r="J2570">
        <v>7.33</v>
      </c>
      <c r="K2570" t="s">
        <v>36</v>
      </c>
      <c r="L2570" t="s">
        <v>17</v>
      </c>
      <c r="M2570" t="s">
        <v>54</v>
      </c>
    </row>
    <row r="2571" spans="1:13" x14ac:dyDescent="0.2">
      <c r="A2571">
        <v>529063</v>
      </c>
      <c r="B2571" s="1">
        <v>45059</v>
      </c>
      <c r="C2571">
        <v>76436</v>
      </c>
      <c r="D2571" t="s">
        <v>29</v>
      </c>
      <c r="E2571" t="s">
        <v>72</v>
      </c>
      <c r="F2571" t="s">
        <v>73</v>
      </c>
      <c r="G2571">
        <v>2</v>
      </c>
      <c r="H2571">
        <v>29.99</v>
      </c>
      <c r="I2571">
        <v>0.25</v>
      </c>
      <c r="J2571">
        <v>44.98</v>
      </c>
      <c r="K2571" t="s">
        <v>36</v>
      </c>
      <c r="L2571" t="s">
        <v>17</v>
      </c>
      <c r="M2571" t="s">
        <v>96</v>
      </c>
    </row>
    <row r="2572" spans="1:13" x14ac:dyDescent="0.2">
      <c r="A2572">
        <v>529086</v>
      </c>
      <c r="B2572" s="1">
        <v>44609</v>
      </c>
      <c r="C2572">
        <v>31251</v>
      </c>
      <c r="D2572" t="s">
        <v>25</v>
      </c>
      <c r="E2572" t="s">
        <v>26</v>
      </c>
      <c r="F2572" t="s">
        <v>27</v>
      </c>
      <c r="G2572">
        <v>2</v>
      </c>
      <c r="H2572">
        <v>24.49</v>
      </c>
      <c r="I2572">
        <v>0.3</v>
      </c>
      <c r="J2572">
        <v>34.29</v>
      </c>
      <c r="K2572" t="s">
        <v>16</v>
      </c>
      <c r="L2572" t="s">
        <v>37</v>
      </c>
      <c r="M2572" t="s">
        <v>102</v>
      </c>
    </row>
    <row r="2573" spans="1:13" x14ac:dyDescent="0.2">
      <c r="A2573">
        <v>529661</v>
      </c>
      <c r="B2573" s="1">
        <v>44658</v>
      </c>
      <c r="C2573">
        <v>27818</v>
      </c>
      <c r="D2573" t="s">
        <v>106</v>
      </c>
      <c r="E2573" t="s">
        <v>45</v>
      </c>
      <c r="F2573" t="s">
        <v>46</v>
      </c>
      <c r="G2573">
        <v>2</v>
      </c>
      <c r="H2573">
        <v>1.43</v>
      </c>
      <c r="I2573">
        <v>0.2</v>
      </c>
      <c r="J2573">
        <v>2.29</v>
      </c>
      <c r="K2573" t="s">
        <v>22</v>
      </c>
      <c r="L2573" t="s">
        <v>37</v>
      </c>
      <c r="M2573" t="s">
        <v>57</v>
      </c>
    </row>
    <row r="2574" spans="1:13" x14ac:dyDescent="0.2">
      <c r="A2574">
        <v>529708</v>
      </c>
      <c r="B2574" s="1">
        <v>44970</v>
      </c>
      <c r="C2574">
        <v>51529</v>
      </c>
      <c r="D2574" t="s">
        <v>44</v>
      </c>
      <c r="E2574" t="s">
        <v>107</v>
      </c>
      <c r="F2574" t="s">
        <v>108</v>
      </c>
      <c r="G2574">
        <v>2</v>
      </c>
      <c r="H2574">
        <v>2.79</v>
      </c>
      <c r="I2574">
        <v>0.2</v>
      </c>
      <c r="J2574">
        <v>4.46</v>
      </c>
      <c r="K2574" t="s">
        <v>16</v>
      </c>
      <c r="L2574" t="s">
        <v>17</v>
      </c>
      <c r="M2574" t="s">
        <v>161</v>
      </c>
    </row>
    <row r="2575" spans="1:13" x14ac:dyDescent="0.2">
      <c r="A2575">
        <v>529893</v>
      </c>
      <c r="B2575" s="2">
        <v>45497</v>
      </c>
      <c r="C2575">
        <v>44737</v>
      </c>
      <c r="D2575" t="s">
        <v>40</v>
      </c>
      <c r="E2575" t="s">
        <v>20</v>
      </c>
      <c r="F2575" t="s">
        <v>21</v>
      </c>
      <c r="G2575">
        <v>3</v>
      </c>
      <c r="H2575">
        <v>9.99</v>
      </c>
      <c r="J2575">
        <v>29.97</v>
      </c>
      <c r="K2575" t="s">
        <v>16</v>
      </c>
      <c r="L2575" t="s">
        <v>23</v>
      </c>
      <c r="M2575" t="s">
        <v>117</v>
      </c>
    </row>
    <row r="2576" spans="1:13" x14ac:dyDescent="0.2">
      <c r="A2576">
        <v>529906</v>
      </c>
      <c r="B2576" s="1">
        <v>45099</v>
      </c>
      <c r="C2576">
        <v>26894</v>
      </c>
      <c r="D2576" t="s">
        <v>44</v>
      </c>
      <c r="E2576" t="s">
        <v>162</v>
      </c>
      <c r="F2576" t="s">
        <v>163</v>
      </c>
      <c r="G2576">
        <v>2</v>
      </c>
      <c r="H2576">
        <v>7.19</v>
      </c>
      <c r="I2576">
        <v>0.1</v>
      </c>
      <c r="J2576">
        <v>12.94</v>
      </c>
      <c r="K2576" t="s">
        <v>53</v>
      </c>
      <c r="L2576" t="s">
        <v>17</v>
      </c>
      <c r="M2576" t="s">
        <v>161</v>
      </c>
    </row>
    <row r="2577" spans="1:13" x14ac:dyDescent="0.2">
      <c r="A2577">
        <v>530311</v>
      </c>
      <c r="B2577" s="2">
        <v>44872</v>
      </c>
      <c r="C2577">
        <v>18163</v>
      </c>
      <c r="D2577" t="s">
        <v>40</v>
      </c>
      <c r="E2577" t="s">
        <v>197</v>
      </c>
      <c r="F2577" t="s">
        <v>198</v>
      </c>
      <c r="G2577">
        <v>3</v>
      </c>
      <c r="H2577">
        <v>11.99</v>
      </c>
      <c r="I2577">
        <v>0.2</v>
      </c>
      <c r="J2577">
        <v>28.78</v>
      </c>
      <c r="K2577" t="s">
        <v>36</v>
      </c>
      <c r="L2577" t="s">
        <v>17</v>
      </c>
      <c r="M2577" t="s">
        <v>81</v>
      </c>
    </row>
    <row r="2578" spans="1:13" x14ac:dyDescent="0.2">
      <c r="A2578">
        <v>530449</v>
      </c>
      <c r="B2578" s="1">
        <v>45593</v>
      </c>
      <c r="C2578">
        <v>39348</v>
      </c>
      <c r="D2578" t="s">
        <v>85</v>
      </c>
      <c r="E2578" t="s">
        <v>137</v>
      </c>
      <c r="F2578" t="s">
        <v>138</v>
      </c>
      <c r="G2578">
        <v>3</v>
      </c>
      <c r="H2578">
        <v>5.99</v>
      </c>
      <c r="I2578">
        <v>0.25</v>
      </c>
      <c r="J2578">
        <v>13.48</v>
      </c>
      <c r="K2578" t="s">
        <v>36</v>
      </c>
      <c r="L2578" t="s">
        <v>37</v>
      </c>
    </row>
    <row r="2579" spans="1:13" x14ac:dyDescent="0.2">
      <c r="A2579">
        <v>530465</v>
      </c>
      <c r="B2579" s="2">
        <v>45302</v>
      </c>
      <c r="C2579">
        <v>49346</v>
      </c>
      <c r="D2579" t="s">
        <v>48</v>
      </c>
      <c r="E2579" t="s">
        <v>109</v>
      </c>
      <c r="F2579" t="s">
        <v>110</v>
      </c>
      <c r="G2579">
        <v>1</v>
      </c>
      <c r="H2579">
        <v>6.99</v>
      </c>
      <c r="J2579">
        <v>6.99</v>
      </c>
      <c r="K2579" t="s">
        <v>22</v>
      </c>
      <c r="L2579" t="s">
        <v>37</v>
      </c>
      <c r="M2579" t="s">
        <v>57</v>
      </c>
    </row>
    <row r="2580" spans="1:13" x14ac:dyDescent="0.2">
      <c r="A2580">
        <v>530480</v>
      </c>
      <c r="B2580" s="1">
        <v>45108</v>
      </c>
      <c r="C2580">
        <v>24007</v>
      </c>
      <c r="D2580" t="s">
        <v>40</v>
      </c>
      <c r="E2580" t="s">
        <v>41</v>
      </c>
      <c r="F2580" t="s">
        <v>42</v>
      </c>
      <c r="G2580">
        <v>3</v>
      </c>
      <c r="H2580">
        <v>4.1900000000000004</v>
      </c>
      <c r="I2580">
        <v>0.3</v>
      </c>
      <c r="J2580">
        <v>8.8000000000000007</v>
      </c>
      <c r="K2580" t="s">
        <v>66</v>
      </c>
      <c r="L2580" t="s">
        <v>17</v>
      </c>
      <c r="M2580" t="s">
        <v>90</v>
      </c>
    </row>
    <row r="2581" spans="1:13" x14ac:dyDescent="0.2">
      <c r="A2581">
        <v>530798</v>
      </c>
      <c r="B2581" s="1">
        <v>44708</v>
      </c>
      <c r="C2581">
        <v>13916</v>
      </c>
      <c r="D2581" t="s">
        <v>85</v>
      </c>
      <c r="E2581" t="s">
        <v>157</v>
      </c>
      <c r="F2581" t="s">
        <v>158</v>
      </c>
      <c r="G2581">
        <v>5</v>
      </c>
      <c r="H2581">
        <v>12.14</v>
      </c>
      <c r="I2581">
        <v>0.1</v>
      </c>
      <c r="J2581">
        <v>54.63</v>
      </c>
      <c r="K2581" t="s">
        <v>95</v>
      </c>
      <c r="L2581" t="s">
        <v>17</v>
      </c>
      <c r="M2581" t="s">
        <v>81</v>
      </c>
    </row>
    <row r="2582" spans="1:13" x14ac:dyDescent="0.2">
      <c r="A2582">
        <v>530805</v>
      </c>
      <c r="B2582" s="1">
        <v>44712</v>
      </c>
      <c r="C2582">
        <v>25366</v>
      </c>
      <c r="D2582" t="s">
        <v>97</v>
      </c>
      <c r="E2582" t="s">
        <v>181</v>
      </c>
      <c r="F2582" t="s">
        <v>182</v>
      </c>
      <c r="G2582">
        <v>5</v>
      </c>
      <c r="H2582">
        <v>14.24</v>
      </c>
      <c r="I2582">
        <v>0.05</v>
      </c>
      <c r="J2582">
        <v>67.64</v>
      </c>
      <c r="K2582" t="s">
        <v>16</v>
      </c>
      <c r="L2582" t="s">
        <v>37</v>
      </c>
      <c r="M2582" t="s">
        <v>67</v>
      </c>
    </row>
    <row r="2583" spans="1:13" x14ac:dyDescent="0.2">
      <c r="A2583">
        <v>530807</v>
      </c>
      <c r="B2583" s="1">
        <v>45035</v>
      </c>
      <c r="C2583">
        <v>98742</v>
      </c>
      <c r="D2583" t="s">
        <v>13</v>
      </c>
      <c r="E2583" t="s">
        <v>186</v>
      </c>
      <c r="F2583" t="s">
        <v>187</v>
      </c>
      <c r="G2583">
        <v>5</v>
      </c>
      <c r="H2583">
        <v>34.99</v>
      </c>
      <c r="I2583">
        <v>0.3</v>
      </c>
      <c r="J2583">
        <v>122.46</v>
      </c>
      <c r="K2583" t="s">
        <v>36</v>
      </c>
      <c r="L2583" t="s">
        <v>23</v>
      </c>
      <c r="M2583" t="s">
        <v>54</v>
      </c>
    </row>
    <row r="2584" spans="1:13" x14ac:dyDescent="0.2">
      <c r="A2584">
        <v>531094</v>
      </c>
      <c r="B2584" s="1">
        <v>45472</v>
      </c>
      <c r="C2584">
        <v>75968</v>
      </c>
      <c r="D2584" t="s">
        <v>48</v>
      </c>
      <c r="E2584" t="s">
        <v>49</v>
      </c>
      <c r="F2584" t="s">
        <v>50</v>
      </c>
      <c r="G2584">
        <v>1</v>
      </c>
      <c r="H2584">
        <v>6.74</v>
      </c>
      <c r="I2584">
        <v>0.25</v>
      </c>
      <c r="J2584">
        <v>5.0599999999999996</v>
      </c>
      <c r="K2584" t="s">
        <v>22</v>
      </c>
      <c r="L2584" t="s">
        <v>17</v>
      </c>
      <c r="M2584" t="s">
        <v>76</v>
      </c>
    </row>
    <row r="2585" spans="1:13" x14ac:dyDescent="0.2">
      <c r="A2585">
        <v>531171</v>
      </c>
      <c r="B2585" s="1">
        <v>45506</v>
      </c>
      <c r="D2585" t="s">
        <v>97</v>
      </c>
      <c r="E2585" t="s">
        <v>165</v>
      </c>
      <c r="F2585" t="s">
        <v>166</v>
      </c>
      <c r="G2585">
        <v>1</v>
      </c>
      <c r="H2585">
        <v>71.989999999999995</v>
      </c>
      <c r="I2585">
        <v>0.2</v>
      </c>
      <c r="J2585">
        <v>57.59</v>
      </c>
      <c r="K2585" t="s">
        <v>16</v>
      </c>
      <c r="L2585" t="s">
        <v>17</v>
      </c>
      <c r="M2585" t="s">
        <v>161</v>
      </c>
    </row>
    <row r="2586" spans="1:13" x14ac:dyDescent="0.2">
      <c r="A2586">
        <v>531353</v>
      </c>
      <c r="B2586" s="1">
        <v>44760</v>
      </c>
      <c r="C2586">
        <v>84165</v>
      </c>
      <c r="D2586" t="s">
        <v>13</v>
      </c>
      <c r="E2586" t="s">
        <v>77</v>
      </c>
      <c r="F2586" t="s">
        <v>78</v>
      </c>
      <c r="G2586">
        <v>3</v>
      </c>
      <c r="H2586">
        <v>424.99</v>
      </c>
      <c r="I2586">
        <v>0.15</v>
      </c>
      <c r="J2586">
        <v>1083.72</v>
      </c>
      <c r="K2586" t="s">
        <v>36</v>
      </c>
      <c r="L2586" t="s">
        <v>17</v>
      </c>
      <c r="M2586" t="s">
        <v>47</v>
      </c>
    </row>
    <row r="2587" spans="1:13" x14ac:dyDescent="0.2">
      <c r="A2587">
        <v>531473</v>
      </c>
      <c r="B2587" s="1">
        <v>44837</v>
      </c>
      <c r="C2587">
        <v>81569</v>
      </c>
      <c r="D2587" t="s">
        <v>25</v>
      </c>
      <c r="E2587" t="s">
        <v>70</v>
      </c>
      <c r="F2587" t="s">
        <v>71</v>
      </c>
      <c r="G2587">
        <v>4</v>
      </c>
      <c r="H2587">
        <v>85.49</v>
      </c>
      <c r="I2587">
        <v>0.05</v>
      </c>
      <c r="J2587">
        <v>324.86</v>
      </c>
      <c r="K2587" t="s">
        <v>36</v>
      </c>
      <c r="L2587" t="s">
        <v>37</v>
      </c>
      <c r="M2587" t="s">
        <v>57</v>
      </c>
    </row>
    <row r="2588" spans="1:13" x14ac:dyDescent="0.2">
      <c r="A2588">
        <v>531663</v>
      </c>
      <c r="B2588" s="2">
        <v>45584</v>
      </c>
      <c r="C2588">
        <v>62410</v>
      </c>
      <c r="D2588" t="s">
        <v>40</v>
      </c>
      <c r="E2588" t="s">
        <v>115</v>
      </c>
      <c r="F2588" t="s">
        <v>116</v>
      </c>
      <c r="G2588">
        <v>1</v>
      </c>
      <c r="H2588">
        <v>12.34</v>
      </c>
      <c r="J2588">
        <v>12.34</v>
      </c>
      <c r="K2588" t="s">
        <v>22</v>
      </c>
      <c r="L2588" t="s">
        <v>17</v>
      </c>
      <c r="M2588" t="s">
        <v>96</v>
      </c>
    </row>
    <row r="2589" spans="1:13" x14ac:dyDescent="0.2">
      <c r="A2589">
        <v>531761</v>
      </c>
      <c r="B2589" s="1">
        <v>45650</v>
      </c>
      <c r="C2589">
        <v>83588</v>
      </c>
      <c r="D2589" t="s">
        <v>13</v>
      </c>
      <c r="E2589" t="s">
        <v>159</v>
      </c>
      <c r="F2589" t="s">
        <v>160</v>
      </c>
      <c r="G2589">
        <v>4</v>
      </c>
      <c r="H2589">
        <v>56.99</v>
      </c>
      <c r="I2589">
        <v>0.05</v>
      </c>
      <c r="J2589">
        <v>216.56</v>
      </c>
      <c r="K2589" t="s">
        <v>36</v>
      </c>
      <c r="L2589" t="s">
        <v>17</v>
      </c>
      <c r="M2589" t="s">
        <v>123</v>
      </c>
    </row>
    <row r="2590" spans="1:13" x14ac:dyDescent="0.2">
      <c r="A2590">
        <v>531804</v>
      </c>
      <c r="B2590" s="1">
        <v>45177</v>
      </c>
      <c r="C2590">
        <v>56697</v>
      </c>
      <c r="D2590" t="s">
        <v>63</v>
      </c>
      <c r="E2590" t="s">
        <v>125</v>
      </c>
      <c r="F2590" t="s">
        <v>126</v>
      </c>
      <c r="G2590">
        <v>1</v>
      </c>
      <c r="H2590">
        <v>22.49</v>
      </c>
      <c r="I2590">
        <v>0.25</v>
      </c>
      <c r="J2590">
        <v>16.87</v>
      </c>
      <c r="K2590" t="s">
        <v>16</v>
      </c>
      <c r="L2590" t="s">
        <v>37</v>
      </c>
      <c r="M2590" t="s">
        <v>18</v>
      </c>
    </row>
    <row r="2591" spans="1:13" x14ac:dyDescent="0.2">
      <c r="A2591">
        <v>531830</v>
      </c>
      <c r="B2591" s="2">
        <v>45590</v>
      </c>
      <c r="C2591">
        <v>54005</v>
      </c>
      <c r="D2591" t="s">
        <v>25</v>
      </c>
      <c r="E2591" t="s">
        <v>51</v>
      </c>
      <c r="F2591" t="s">
        <v>52</v>
      </c>
      <c r="G2591">
        <v>3</v>
      </c>
      <c r="H2591">
        <v>27.99</v>
      </c>
      <c r="J2591">
        <v>83.97</v>
      </c>
      <c r="K2591" t="s">
        <v>95</v>
      </c>
      <c r="L2591" t="s">
        <v>23</v>
      </c>
      <c r="M2591" t="s">
        <v>33</v>
      </c>
    </row>
    <row r="2592" spans="1:13" x14ac:dyDescent="0.2">
      <c r="A2592">
        <v>532065</v>
      </c>
      <c r="B2592" s="1">
        <v>45259</v>
      </c>
      <c r="C2592">
        <v>35228</v>
      </c>
      <c r="D2592" t="s">
        <v>63</v>
      </c>
      <c r="E2592" t="s">
        <v>111</v>
      </c>
      <c r="F2592" t="s">
        <v>112</v>
      </c>
      <c r="G2592">
        <v>2</v>
      </c>
      <c r="H2592">
        <v>14.99</v>
      </c>
      <c r="J2592">
        <v>29.98</v>
      </c>
      <c r="K2592" t="s">
        <v>36</v>
      </c>
      <c r="L2592" t="s">
        <v>17</v>
      </c>
      <c r="M2592" t="s">
        <v>28</v>
      </c>
    </row>
    <row r="2593" spans="1:13" x14ac:dyDescent="0.2">
      <c r="A2593">
        <v>532126</v>
      </c>
      <c r="B2593" s="2">
        <v>45503</v>
      </c>
      <c r="C2593">
        <v>72402</v>
      </c>
      <c r="D2593" t="s">
        <v>40</v>
      </c>
      <c r="E2593" t="s">
        <v>20</v>
      </c>
      <c r="F2593" t="s">
        <v>21</v>
      </c>
      <c r="G2593">
        <v>2</v>
      </c>
      <c r="H2593">
        <v>9.99</v>
      </c>
      <c r="J2593">
        <v>19.98</v>
      </c>
      <c r="K2593" t="s">
        <v>36</v>
      </c>
      <c r="L2593" t="s">
        <v>17</v>
      </c>
      <c r="M2593" t="s">
        <v>43</v>
      </c>
    </row>
    <row r="2594" spans="1:13" x14ac:dyDescent="0.2">
      <c r="A2594">
        <v>532734</v>
      </c>
      <c r="B2594" s="1">
        <v>45192</v>
      </c>
      <c r="C2594">
        <v>37744</v>
      </c>
      <c r="D2594" t="s">
        <v>40</v>
      </c>
      <c r="E2594" t="s">
        <v>58</v>
      </c>
      <c r="F2594" t="s">
        <v>59</v>
      </c>
      <c r="G2594">
        <v>5</v>
      </c>
      <c r="H2594">
        <v>3.99</v>
      </c>
      <c r="J2594">
        <v>19.95</v>
      </c>
      <c r="K2594" t="s">
        <v>16</v>
      </c>
      <c r="L2594" t="s">
        <v>17</v>
      </c>
      <c r="M2594" t="s">
        <v>67</v>
      </c>
    </row>
    <row r="2595" spans="1:13" x14ac:dyDescent="0.2">
      <c r="A2595">
        <v>532813</v>
      </c>
      <c r="B2595" s="1">
        <v>45145</v>
      </c>
      <c r="C2595">
        <v>23559</v>
      </c>
      <c r="D2595" t="s">
        <v>164</v>
      </c>
      <c r="E2595" t="s">
        <v>72</v>
      </c>
      <c r="F2595" t="s">
        <v>73</v>
      </c>
      <c r="G2595">
        <v>2</v>
      </c>
      <c r="H2595">
        <v>39.99</v>
      </c>
      <c r="J2595">
        <v>79.98</v>
      </c>
      <c r="K2595" t="s">
        <v>66</v>
      </c>
      <c r="L2595" t="s">
        <v>17</v>
      </c>
      <c r="M2595" t="s">
        <v>120</v>
      </c>
    </row>
    <row r="2596" spans="1:13" x14ac:dyDescent="0.2">
      <c r="A2596">
        <v>533064</v>
      </c>
      <c r="B2596" s="1">
        <v>45043</v>
      </c>
      <c r="C2596">
        <v>20797</v>
      </c>
      <c r="D2596" t="s">
        <v>44</v>
      </c>
      <c r="E2596" t="s">
        <v>93</v>
      </c>
      <c r="F2596" t="s">
        <v>94</v>
      </c>
      <c r="G2596">
        <v>1</v>
      </c>
      <c r="H2596">
        <v>1.29</v>
      </c>
      <c r="J2596">
        <v>1.29</v>
      </c>
      <c r="K2596" t="s">
        <v>95</v>
      </c>
      <c r="L2596" t="s">
        <v>17</v>
      </c>
      <c r="M2596" t="s">
        <v>47</v>
      </c>
    </row>
    <row r="2597" spans="1:13" x14ac:dyDescent="0.2">
      <c r="A2597">
        <v>533321</v>
      </c>
      <c r="B2597" s="1">
        <v>44889</v>
      </c>
      <c r="C2597">
        <v>32510</v>
      </c>
      <c r="D2597" t="s">
        <v>85</v>
      </c>
      <c r="E2597" t="s">
        <v>129</v>
      </c>
      <c r="F2597" t="s">
        <v>130</v>
      </c>
      <c r="G2597">
        <v>2</v>
      </c>
      <c r="H2597">
        <v>8.99</v>
      </c>
      <c r="J2597">
        <v>17.98</v>
      </c>
      <c r="K2597" t="s">
        <v>36</v>
      </c>
      <c r="L2597" t="s">
        <v>23</v>
      </c>
      <c r="M2597" t="s">
        <v>18</v>
      </c>
    </row>
    <row r="2598" spans="1:13" x14ac:dyDescent="0.2">
      <c r="A2598">
        <v>533485</v>
      </c>
      <c r="B2598" s="2">
        <v>45501</v>
      </c>
      <c r="C2598">
        <v>33207</v>
      </c>
      <c r="D2598" t="s">
        <v>44</v>
      </c>
      <c r="E2598" t="s">
        <v>184</v>
      </c>
      <c r="F2598" t="s">
        <v>185</v>
      </c>
      <c r="G2598">
        <v>1</v>
      </c>
      <c r="H2598">
        <v>3.84</v>
      </c>
      <c r="I2598">
        <v>0.3</v>
      </c>
      <c r="J2598">
        <v>2.69</v>
      </c>
      <c r="K2598" t="s">
        <v>16</v>
      </c>
      <c r="L2598" t="s">
        <v>17</v>
      </c>
      <c r="M2598" t="s">
        <v>67</v>
      </c>
    </row>
    <row r="2599" spans="1:13" x14ac:dyDescent="0.2">
      <c r="A2599">
        <v>533768</v>
      </c>
      <c r="B2599" s="1">
        <v>45354</v>
      </c>
      <c r="C2599">
        <v>78265</v>
      </c>
      <c r="D2599" t="s">
        <v>63</v>
      </c>
      <c r="E2599" t="s">
        <v>64</v>
      </c>
      <c r="F2599" t="s">
        <v>65</v>
      </c>
      <c r="G2599">
        <v>1</v>
      </c>
      <c r="H2599">
        <v>4.99</v>
      </c>
      <c r="J2599">
        <v>4.99</v>
      </c>
      <c r="K2599" t="s">
        <v>53</v>
      </c>
      <c r="L2599" t="s">
        <v>17</v>
      </c>
      <c r="M2599" t="s">
        <v>43</v>
      </c>
    </row>
    <row r="2600" spans="1:13" x14ac:dyDescent="0.2">
      <c r="A2600">
        <v>534108</v>
      </c>
      <c r="B2600" s="1">
        <v>45128</v>
      </c>
      <c r="C2600">
        <v>77247</v>
      </c>
      <c r="D2600" t="s">
        <v>44</v>
      </c>
      <c r="E2600" t="s">
        <v>190</v>
      </c>
      <c r="F2600" t="s">
        <v>191</v>
      </c>
      <c r="G2600">
        <v>2</v>
      </c>
      <c r="H2600">
        <v>3.65</v>
      </c>
      <c r="I2600">
        <v>0.15</v>
      </c>
      <c r="J2600">
        <v>6.2</v>
      </c>
      <c r="K2600" t="s">
        <v>95</v>
      </c>
      <c r="L2600" t="s">
        <v>23</v>
      </c>
      <c r="M2600" t="s">
        <v>123</v>
      </c>
    </row>
    <row r="2601" spans="1:13" x14ac:dyDescent="0.2">
      <c r="A2601">
        <v>534548</v>
      </c>
      <c r="B2601" s="1">
        <v>44920</v>
      </c>
      <c r="C2601">
        <v>50228</v>
      </c>
      <c r="D2601" t="s">
        <v>48</v>
      </c>
      <c r="E2601" t="s">
        <v>109</v>
      </c>
      <c r="F2601" t="s">
        <v>110</v>
      </c>
      <c r="G2601">
        <v>1</v>
      </c>
      <c r="H2601">
        <v>5.94</v>
      </c>
      <c r="I2601">
        <v>0.15</v>
      </c>
      <c r="J2601">
        <v>5.05</v>
      </c>
      <c r="K2601" t="s">
        <v>16</v>
      </c>
      <c r="L2601" t="s">
        <v>17</v>
      </c>
      <c r="M2601" t="s">
        <v>123</v>
      </c>
    </row>
    <row r="2602" spans="1:13" x14ac:dyDescent="0.2">
      <c r="A2602">
        <v>534765</v>
      </c>
      <c r="B2602" s="1">
        <v>44624</v>
      </c>
      <c r="C2602">
        <v>34056</v>
      </c>
      <c r="D2602" t="s">
        <v>97</v>
      </c>
      <c r="E2602" t="s">
        <v>121</v>
      </c>
      <c r="F2602" t="s">
        <v>122</v>
      </c>
      <c r="G2602">
        <v>5</v>
      </c>
      <c r="H2602">
        <v>9.74</v>
      </c>
      <c r="I2602">
        <v>0.25</v>
      </c>
      <c r="J2602">
        <v>36.53</v>
      </c>
      <c r="K2602" t="s">
        <v>53</v>
      </c>
      <c r="L2602" t="s">
        <v>17</v>
      </c>
      <c r="M2602" t="s">
        <v>43</v>
      </c>
    </row>
    <row r="2603" spans="1:13" x14ac:dyDescent="0.2">
      <c r="A2603">
        <v>534868</v>
      </c>
      <c r="B2603" s="2">
        <v>45158</v>
      </c>
      <c r="C2603">
        <v>32953</v>
      </c>
      <c r="D2603" t="s">
        <v>48</v>
      </c>
      <c r="E2603" t="s">
        <v>139</v>
      </c>
      <c r="F2603" t="s">
        <v>140</v>
      </c>
      <c r="G2603">
        <v>1</v>
      </c>
      <c r="H2603">
        <v>7.99</v>
      </c>
      <c r="J2603">
        <v>7.99</v>
      </c>
      <c r="K2603" t="s">
        <v>16</v>
      </c>
      <c r="L2603" t="s">
        <v>17</v>
      </c>
      <c r="M2603" t="s">
        <v>47</v>
      </c>
    </row>
    <row r="2604" spans="1:13" x14ac:dyDescent="0.2">
      <c r="A2604">
        <v>534984</v>
      </c>
      <c r="B2604" s="1">
        <v>44609</v>
      </c>
      <c r="C2604">
        <v>96750</v>
      </c>
      <c r="D2604" t="s">
        <v>48</v>
      </c>
      <c r="E2604" t="s">
        <v>109</v>
      </c>
      <c r="F2604" t="s">
        <v>110</v>
      </c>
      <c r="G2604">
        <v>2</v>
      </c>
      <c r="H2604">
        <v>6.64</v>
      </c>
      <c r="I2604">
        <v>0.05</v>
      </c>
      <c r="J2604">
        <v>12.62</v>
      </c>
      <c r="K2604" t="s">
        <v>22</v>
      </c>
      <c r="L2604" t="s">
        <v>23</v>
      </c>
      <c r="M2604" t="s">
        <v>62</v>
      </c>
    </row>
    <row r="2605" spans="1:13" x14ac:dyDescent="0.2">
      <c r="A2605">
        <v>535029</v>
      </c>
      <c r="B2605" s="1">
        <v>44991</v>
      </c>
      <c r="C2605">
        <v>77973</v>
      </c>
      <c r="D2605" t="s">
        <v>13</v>
      </c>
      <c r="E2605" t="s">
        <v>77</v>
      </c>
      <c r="F2605" t="s">
        <v>78</v>
      </c>
      <c r="G2605">
        <v>1</v>
      </c>
      <c r="H2605">
        <v>449.99</v>
      </c>
      <c r="J2605">
        <v>449.99</v>
      </c>
      <c r="K2605" t="s">
        <v>16</v>
      </c>
      <c r="L2605" t="s">
        <v>17</v>
      </c>
      <c r="M2605" t="s">
        <v>120</v>
      </c>
    </row>
    <row r="2606" spans="1:13" x14ac:dyDescent="0.2">
      <c r="A2606">
        <v>535368</v>
      </c>
      <c r="B2606" s="1">
        <v>45287</v>
      </c>
      <c r="C2606">
        <v>28143</v>
      </c>
      <c r="D2606" t="s">
        <v>13</v>
      </c>
      <c r="E2606" t="s">
        <v>14</v>
      </c>
      <c r="F2606" t="s">
        <v>15</v>
      </c>
      <c r="G2606">
        <v>1</v>
      </c>
      <c r="H2606">
        <v>59.99</v>
      </c>
      <c r="I2606">
        <v>0.25</v>
      </c>
      <c r="J2606">
        <v>44.99</v>
      </c>
      <c r="K2606" t="s">
        <v>36</v>
      </c>
      <c r="L2606" t="s">
        <v>37</v>
      </c>
      <c r="M2606" t="s">
        <v>161</v>
      </c>
    </row>
    <row r="2607" spans="1:13" x14ac:dyDescent="0.2">
      <c r="A2607">
        <v>535520</v>
      </c>
      <c r="B2607" s="1">
        <v>45413</v>
      </c>
      <c r="C2607">
        <v>16903</v>
      </c>
      <c r="D2607" t="s">
        <v>97</v>
      </c>
      <c r="E2607" t="s">
        <v>141</v>
      </c>
      <c r="F2607" t="s">
        <v>142</v>
      </c>
      <c r="G2607">
        <v>1</v>
      </c>
      <c r="H2607">
        <v>21.84</v>
      </c>
      <c r="I2607">
        <v>0.05</v>
      </c>
      <c r="J2607">
        <v>20.75</v>
      </c>
      <c r="K2607" t="s">
        <v>16</v>
      </c>
      <c r="L2607" t="s">
        <v>17</v>
      </c>
      <c r="M2607" t="s">
        <v>81</v>
      </c>
    </row>
    <row r="2608" spans="1:13" x14ac:dyDescent="0.2">
      <c r="A2608">
        <v>535571</v>
      </c>
      <c r="B2608" s="1">
        <v>44903</v>
      </c>
      <c r="C2608">
        <v>82933</v>
      </c>
      <c r="D2608" t="s">
        <v>40</v>
      </c>
      <c r="E2608" t="s">
        <v>20</v>
      </c>
      <c r="F2608" t="s">
        <v>21</v>
      </c>
      <c r="G2608">
        <v>2</v>
      </c>
      <c r="H2608">
        <v>8.49</v>
      </c>
      <c r="I2608">
        <v>0.15</v>
      </c>
      <c r="J2608">
        <v>14.43</v>
      </c>
      <c r="K2608" t="s">
        <v>95</v>
      </c>
      <c r="L2608" t="s">
        <v>17</v>
      </c>
      <c r="M2608" t="s">
        <v>81</v>
      </c>
    </row>
    <row r="2609" spans="1:13" x14ac:dyDescent="0.2">
      <c r="A2609">
        <v>535643</v>
      </c>
      <c r="B2609" s="1">
        <v>45561</v>
      </c>
      <c r="C2609">
        <v>48183</v>
      </c>
      <c r="D2609" t="s">
        <v>97</v>
      </c>
      <c r="E2609" t="s">
        <v>181</v>
      </c>
      <c r="F2609" t="s">
        <v>182</v>
      </c>
      <c r="G2609">
        <v>1</v>
      </c>
      <c r="H2609">
        <v>13.49</v>
      </c>
      <c r="I2609">
        <v>0.1</v>
      </c>
      <c r="J2609">
        <v>12.14</v>
      </c>
      <c r="K2609" t="s">
        <v>32</v>
      </c>
      <c r="L2609" t="s">
        <v>37</v>
      </c>
      <c r="M2609" t="s">
        <v>90</v>
      </c>
    </row>
    <row r="2610" spans="1:13" x14ac:dyDescent="0.2">
      <c r="A2610">
        <v>535663</v>
      </c>
      <c r="B2610" s="1">
        <v>44977</v>
      </c>
      <c r="C2610">
        <v>93154</v>
      </c>
      <c r="D2610" t="s">
        <v>40</v>
      </c>
      <c r="E2610" t="s">
        <v>197</v>
      </c>
      <c r="F2610" t="s">
        <v>198</v>
      </c>
      <c r="G2610">
        <v>4</v>
      </c>
      <c r="H2610">
        <v>12.74</v>
      </c>
      <c r="I2610">
        <v>0.15</v>
      </c>
      <c r="J2610">
        <v>43.32</v>
      </c>
      <c r="K2610" t="s">
        <v>16</v>
      </c>
      <c r="L2610" t="s">
        <v>17</v>
      </c>
      <c r="M2610" t="s">
        <v>102</v>
      </c>
    </row>
    <row r="2611" spans="1:13" x14ac:dyDescent="0.2">
      <c r="A2611">
        <v>535673</v>
      </c>
      <c r="B2611" s="1">
        <v>45159</v>
      </c>
      <c r="C2611">
        <v>82255</v>
      </c>
      <c r="D2611" t="s">
        <v>44</v>
      </c>
      <c r="E2611" t="s">
        <v>93</v>
      </c>
      <c r="F2611" t="s">
        <v>94</v>
      </c>
      <c r="G2611">
        <v>3</v>
      </c>
      <c r="H2611">
        <v>0.9</v>
      </c>
      <c r="I2611">
        <v>0.3</v>
      </c>
      <c r="J2611">
        <v>1.89</v>
      </c>
      <c r="K2611" t="s">
        <v>16</v>
      </c>
      <c r="L2611" t="s">
        <v>23</v>
      </c>
      <c r="M2611" t="s">
        <v>54</v>
      </c>
    </row>
    <row r="2612" spans="1:13" x14ac:dyDescent="0.2">
      <c r="A2612">
        <v>535697</v>
      </c>
      <c r="B2612" s="1">
        <v>45610</v>
      </c>
      <c r="C2612">
        <v>57471</v>
      </c>
      <c r="D2612" t="s">
        <v>85</v>
      </c>
      <c r="E2612" t="s">
        <v>86</v>
      </c>
      <c r="F2612" t="s">
        <v>87</v>
      </c>
      <c r="G2612">
        <v>1</v>
      </c>
      <c r="H2612">
        <v>10.39</v>
      </c>
      <c r="I2612">
        <v>0.2</v>
      </c>
      <c r="J2612">
        <v>8.31</v>
      </c>
      <c r="K2612" t="s">
        <v>16</v>
      </c>
      <c r="L2612" t="s">
        <v>17</v>
      </c>
      <c r="M2612" t="s">
        <v>161</v>
      </c>
    </row>
    <row r="2613" spans="1:13" x14ac:dyDescent="0.2">
      <c r="A2613">
        <v>536019</v>
      </c>
      <c r="B2613" s="2">
        <v>45587</v>
      </c>
      <c r="C2613">
        <v>74166</v>
      </c>
      <c r="D2613" t="s">
        <v>85</v>
      </c>
      <c r="E2613" t="s">
        <v>129</v>
      </c>
      <c r="F2613" t="s">
        <v>130</v>
      </c>
      <c r="G2613">
        <v>2</v>
      </c>
      <c r="H2613">
        <v>7.64</v>
      </c>
      <c r="I2613">
        <v>0.15</v>
      </c>
      <c r="J2613">
        <v>12.99</v>
      </c>
      <c r="K2613" t="s">
        <v>36</v>
      </c>
      <c r="L2613" t="s">
        <v>23</v>
      </c>
      <c r="M2613" t="s">
        <v>123</v>
      </c>
    </row>
    <row r="2614" spans="1:13" x14ac:dyDescent="0.2">
      <c r="A2614">
        <v>536287</v>
      </c>
      <c r="B2614" s="1">
        <v>44944</v>
      </c>
      <c r="C2614">
        <v>36048</v>
      </c>
      <c r="D2614" t="s">
        <v>40</v>
      </c>
      <c r="E2614" t="s">
        <v>41</v>
      </c>
      <c r="F2614" t="s">
        <v>42</v>
      </c>
      <c r="G2614">
        <v>3</v>
      </c>
      <c r="H2614">
        <v>4.49</v>
      </c>
      <c r="I2614">
        <v>0.25</v>
      </c>
      <c r="J2614">
        <v>10.1</v>
      </c>
      <c r="K2614" t="s">
        <v>22</v>
      </c>
      <c r="L2614" t="s">
        <v>37</v>
      </c>
      <c r="M2614" t="s">
        <v>62</v>
      </c>
    </row>
    <row r="2615" spans="1:13" x14ac:dyDescent="0.2">
      <c r="A2615">
        <v>536308</v>
      </c>
      <c r="B2615" s="2">
        <v>44788</v>
      </c>
      <c r="C2615">
        <v>97941</v>
      </c>
      <c r="D2615" t="s">
        <v>13</v>
      </c>
      <c r="E2615" t="s">
        <v>186</v>
      </c>
      <c r="F2615" t="s">
        <v>187</v>
      </c>
      <c r="G2615">
        <v>4</v>
      </c>
      <c r="H2615">
        <v>49.99</v>
      </c>
      <c r="J2615">
        <v>199.96</v>
      </c>
      <c r="K2615" t="s">
        <v>16</v>
      </c>
      <c r="L2615" t="s">
        <v>37</v>
      </c>
      <c r="M2615" t="s">
        <v>67</v>
      </c>
    </row>
    <row r="2616" spans="1:13" x14ac:dyDescent="0.2">
      <c r="A2616">
        <v>536489</v>
      </c>
      <c r="B2616" s="2">
        <v>45159</v>
      </c>
      <c r="C2616">
        <v>64745</v>
      </c>
      <c r="D2616" t="s">
        <v>44</v>
      </c>
      <c r="E2616" t="s">
        <v>45</v>
      </c>
      <c r="F2616" t="s">
        <v>46</v>
      </c>
      <c r="G2616">
        <v>1</v>
      </c>
      <c r="H2616">
        <v>1.61</v>
      </c>
      <c r="I2616">
        <v>0.1</v>
      </c>
      <c r="J2616">
        <v>1.45</v>
      </c>
      <c r="K2616" t="s">
        <v>16</v>
      </c>
      <c r="L2616" t="s">
        <v>17</v>
      </c>
      <c r="M2616" t="s">
        <v>43</v>
      </c>
    </row>
    <row r="2617" spans="1:13" x14ac:dyDescent="0.2">
      <c r="A2617">
        <v>536548</v>
      </c>
      <c r="B2617" s="1">
        <v>45342</v>
      </c>
      <c r="C2617">
        <v>80507</v>
      </c>
      <c r="D2617" t="s">
        <v>13</v>
      </c>
      <c r="E2617" t="s">
        <v>104</v>
      </c>
      <c r="F2617" t="s">
        <v>105</v>
      </c>
      <c r="G2617">
        <v>1</v>
      </c>
      <c r="H2617">
        <v>20.99</v>
      </c>
      <c r="I2617">
        <v>0.3</v>
      </c>
      <c r="J2617">
        <v>14.69</v>
      </c>
      <c r="K2617" t="s">
        <v>16</v>
      </c>
      <c r="L2617" t="s">
        <v>17</v>
      </c>
      <c r="M2617" t="s">
        <v>81</v>
      </c>
    </row>
    <row r="2618" spans="1:13" x14ac:dyDescent="0.2">
      <c r="A2618">
        <v>536802</v>
      </c>
      <c r="B2618" s="1">
        <v>44565</v>
      </c>
      <c r="C2618">
        <v>57265</v>
      </c>
      <c r="D2618" t="s">
        <v>44</v>
      </c>
      <c r="E2618" t="s">
        <v>172</v>
      </c>
      <c r="F2618" t="s">
        <v>173</v>
      </c>
      <c r="G2618">
        <v>1</v>
      </c>
      <c r="H2618">
        <v>3.82</v>
      </c>
      <c r="I2618">
        <v>0.15</v>
      </c>
      <c r="J2618">
        <v>3.25</v>
      </c>
      <c r="K2618" t="s">
        <v>36</v>
      </c>
      <c r="L2618" t="s">
        <v>37</v>
      </c>
      <c r="M2618" t="s">
        <v>24</v>
      </c>
    </row>
    <row r="2619" spans="1:13" x14ac:dyDescent="0.2">
      <c r="A2619">
        <v>536811</v>
      </c>
      <c r="B2619" s="2">
        <v>44882</v>
      </c>
      <c r="C2619">
        <v>31228</v>
      </c>
      <c r="D2619" t="s">
        <v>97</v>
      </c>
      <c r="E2619" t="s">
        <v>165</v>
      </c>
      <c r="F2619" t="s">
        <v>166</v>
      </c>
      <c r="G2619">
        <v>3</v>
      </c>
      <c r="H2619">
        <v>80.989999999999995</v>
      </c>
      <c r="I2619">
        <v>0.1</v>
      </c>
      <c r="J2619">
        <v>218.67</v>
      </c>
      <c r="K2619" t="s">
        <v>36</v>
      </c>
      <c r="L2619" t="s">
        <v>17</v>
      </c>
      <c r="M2619" t="s">
        <v>24</v>
      </c>
    </row>
    <row r="2620" spans="1:13" x14ac:dyDescent="0.2">
      <c r="A2620">
        <v>536943</v>
      </c>
      <c r="B2620" s="2">
        <v>45322</v>
      </c>
      <c r="C2620">
        <v>17640</v>
      </c>
      <c r="D2620" t="s">
        <v>82</v>
      </c>
      <c r="E2620" t="s">
        <v>188</v>
      </c>
      <c r="F2620" t="s">
        <v>189</v>
      </c>
      <c r="G2620">
        <v>2</v>
      </c>
      <c r="H2620">
        <v>35.99</v>
      </c>
      <c r="I2620">
        <v>0.2</v>
      </c>
      <c r="J2620">
        <v>57.58</v>
      </c>
      <c r="K2620" t="s">
        <v>95</v>
      </c>
      <c r="L2620" t="s">
        <v>17</v>
      </c>
      <c r="M2620" t="s">
        <v>123</v>
      </c>
    </row>
    <row r="2621" spans="1:13" x14ac:dyDescent="0.2">
      <c r="A2621">
        <v>537125</v>
      </c>
      <c r="B2621" s="1">
        <v>45161</v>
      </c>
      <c r="C2621">
        <v>65258</v>
      </c>
      <c r="D2621" t="s">
        <v>48</v>
      </c>
      <c r="E2621" t="s">
        <v>139</v>
      </c>
      <c r="F2621" t="s">
        <v>140</v>
      </c>
      <c r="G2621">
        <v>1</v>
      </c>
      <c r="H2621">
        <v>6.79</v>
      </c>
      <c r="I2621">
        <v>0.15</v>
      </c>
      <c r="J2621">
        <v>5.77</v>
      </c>
      <c r="K2621" t="s">
        <v>53</v>
      </c>
      <c r="L2621" t="s">
        <v>17</v>
      </c>
      <c r="M2621" t="s">
        <v>161</v>
      </c>
    </row>
    <row r="2622" spans="1:13" x14ac:dyDescent="0.2">
      <c r="A2622">
        <v>537224</v>
      </c>
      <c r="B2622" s="1">
        <v>44731</v>
      </c>
      <c r="D2622" t="s">
        <v>44</v>
      </c>
      <c r="E2622" t="s">
        <v>190</v>
      </c>
      <c r="F2622" t="s">
        <v>191</v>
      </c>
      <c r="G2622">
        <v>2</v>
      </c>
      <c r="H2622">
        <v>4.29</v>
      </c>
      <c r="J2622">
        <v>8.58</v>
      </c>
      <c r="K2622" t="s">
        <v>36</v>
      </c>
      <c r="L2622" t="s">
        <v>17</v>
      </c>
      <c r="M2622" t="s">
        <v>24</v>
      </c>
    </row>
    <row r="2623" spans="1:13" x14ac:dyDescent="0.2">
      <c r="A2623">
        <v>537951</v>
      </c>
      <c r="B2623" s="1">
        <v>45264</v>
      </c>
      <c r="C2623">
        <v>38354</v>
      </c>
      <c r="D2623" t="s">
        <v>29</v>
      </c>
      <c r="E2623" t="s">
        <v>88</v>
      </c>
      <c r="F2623" t="s">
        <v>89</v>
      </c>
      <c r="G2623">
        <v>5</v>
      </c>
      <c r="H2623">
        <v>37.49</v>
      </c>
      <c r="I2623">
        <v>0.25</v>
      </c>
      <c r="J2623">
        <v>140.59</v>
      </c>
      <c r="K2623" t="s">
        <v>36</v>
      </c>
      <c r="L2623" t="s">
        <v>17</v>
      </c>
      <c r="M2623" t="s">
        <v>76</v>
      </c>
    </row>
    <row r="2624" spans="1:13" x14ac:dyDescent="0.2">
      <c r="A2624">
        <v>537983</v>
      </c>
      <c r="B2624" s="1">
        <v>45441</v>
      </c>
      <c r="C2624">
        <v>32527</v>
      </c>
      <c r="D2624" t="s">
        <v>40</v>
      </c>
      <c r="E2624" t="s">
        <v>20</v>
      </c>
      <c r="F2624" t="s">
        <v>21</v>
      </c>
      <c r="G2624">
        <v>3</v>
      </c>
      <c r="H2624">
        <v>7.99</v>
      </c>
      <c r="I2624">
        <v>0.2</v>
      </c>
      <c r="J2624">
        <v>19.18</v>
      </c>
      <c r="K2624" t="s">
        <v>95</v>
      </c>
      <c r="L2624" t="s">
        <v>17</v>
      </c>
      <c r="M2624" t="s">
        <v>103</v>
      </c>
    </row>
    <row r="2625" spans="1:13" x14ac:dyDescent="0.2">
      <c r="A2625">
        <v>537995</v>
      </c>
      <c r="B2625" s="1">
        <v>45326</v>
      </c>
      <c r="C2625">
        <v>85578</v>
      </c>
      <c r="D2625" t="s">
        <v>85</v>
      </c>
      <c r="E2625" t="s">
        <v>137</v>
      </c>
      <c r="F2625" t="s">
        <v>138</v>
      </c>
      <c r="G2625">
        <v>3</v>
      </c>
      <c r="H2625">
        <v>5.99</v>
      </c>
      <c r="I2625">
        <v>0.25</v>
      </c>
      <c r="J2625">
        <v>13.48</v>
      </c>
      <c r="K2625" t="s">
        <v>16</v>
      </c>
      <c r="L2625" t="s">
        <v>17</v>
      </c>
      <c r="M2625" t="s">
        <v>123</v>
      </c>
    </row>
    <row r="2626" spans="1:13" x14ac:dyDescent="0.2">
      <c r="A2626">
        <v>538070</v>
      </c>
      <c r="B2626" s="1">
        <v>45573</v>
      </c>
      <c r="C2626">
        <v>94153</v>
      </c>
      <c r="D2626" t="s">
        <v>25</v>
      </c>
      <c r="E2626" t="s">
        <v>26</v>
      </c>
      <c r="F2626" t="s">
        <v>27</v>
      </c>
      <c r="G2626">
        <v>1</v>
      </c>
      <c r="H2626">
        <v>26.24</v>
      </c>
      <c r="I2626">
        <v>0.25</v>
      </c>
      <c r="J2626">
        <v>19.68</v>
      </c>
      <c r="K2626" t="s">
        <v>16</v>
      </c>
      <c r="L2626" t="s">
        <v>17</v>
      </c>
      <c r="M2626" t="s">
        <v>117</v>
      </c>
    </row>
    <row r="2627" spans="1:13" x14ac:dyDescent="0.2">
      <c r="A2627">
        <v>538091</v>
      </c>
      <c r="B2627" s="1">
        <v>44875</v>
      </c>
      <c r="C2627">
        <v>23468</v>
      </c>
      <c r="D2627" t="s">
        <v>44</v>
      </c>
      <c r="E2627" t="s">
        <v>45</v>
      </c>
      <c r="F2627" t="s">
        <v>46</v>
      </c>
      <c r="G2627">
        <v>2</v>
      </c>
      <c r="H2627">
        <v>1.79</v>
      </c>
      <c r="J2627">
        <v>3.58</v>
      </c>
      <c r="K2627" t="s">
        <v>16</v>
      </c>
      <c r="L2627" t="s">
        <v>17</v>
      </c>
      <c r="M2627" t="s">
        <v>57</v>
      </c>
    </row>
    <row r="2628" spans="1:13" x14ac:dyDescent="0.2">
      <c r="A2628">
        <v>538495</v>
      </c>
      <c r="B2628" s="1">
        <v>44949</v>
      </c>
      <c r="C2628">
        <v>86971</v>
      </c>
      <c r="D2628" t="s">
        <v>13</v>
      </c>
      <c r="E2628" t="s">
        <v>77</v>
      </c>
      <c r="F2628" t="s">
        <v>78</v>
      </c>
      <c r="G2628">
        <v>1</v>
      </c>
      <c r="H2628">
        <v>449.99</v>
      </c>
      <c r="I2628">
        <v>0.1</v>
      </c>
      <c r="J2628">
        <v>404.99</v>
      </c>
      <c r="K2628" t="s">
        <v>53</v>
      </c>
      <c r="L2628" t="s">
        <v>17</v>
      </c>
      <c r="M2628" t="s">
        <v>103</v>
      </c>
    </row>
    <row r="2629" spans="1:13" x14ac:dyDescent="0.2">
      <c r="A2629">
        <v>538535</v>
      </c>
      <c r="B2629" s="2">
        <v>44825</v>
      </c>
      <c r="D2629" t="s">
        <v>48</v>
      </c>
      <c r="E2629" t="s">
        <v>143</v>
      </c>
      <c r="F2629" t="s">
        <v>144</v>
      </c>
      <c r="G2629">
        <v>1</v>
      </c>
      <c r="H2629">
        <v>14.99</v>
      </c>
      <c r="J2629">
        <v>14.99</v>
      </c>
      <c r="K2629" t="s">
        <v>36</v>
      </c>
      <c r="L2629" t="s">
        <v>37</v>
      </c>
      <c r="M2629" t="s">
        <v>81</v>
      </c>
    </row>
    <row r="2630" spans="1:13" x14ac:dyDescent="0.2">
      <c r="A2630">
        <v>538591</v>
      </c>
      <c r="B2630" s="1">
        <v>45276</v>
      </c>
      <c r="C2630">
        <v>22139</v>
      </c>
      <c r="D2630" t="s">
        <v>85</v>
      </c>
      <c r="E2630" t="s">
        <v>145</v>
      </c>
      <c r="F2630" t="s">
        <v>146</v>
      </c>
      <c r="G2630">
        <v>5</v>
      </c>
      <c r="H2630">
        <v>15.29</v>
      </c>
      <c r="I2630">
        <v>0.1</v>
      </c>
      <c r="J2630">
        <v>68.8</v>
      </c>
      <c r="K2630" t="s">
        <v>36</v>
      </c>
      <c r="L2630" t="s">
        <v>23</v>
      </c>
      <c r="M2630" t="s">
        <v>120</v>
      </c>
    </row>
    <row r="2631" spans="1:13" x14ac:dyDescent="0.2">
      <c r="A2631">
        <v>538631</v>
      </c>
      <c r="B2631" s="1">
        <v>44837</v>
      </c>
      <c r="C2631">
        <v>72506</v>
      </c>
      <c r="D2631" t="s">
        <v>48</v>
      </c>
      <c r="E2631" t="s">
        <v>143</v>
      </c>
      <c r="F2631" t="s">
        <v>144</v>
      </c>
      <c r="G2631">
        <v>3</v>
      </c>
      <c r="H2631">
        <v>11.99</v>
      </c>
      <c r="I2631">
        <v>0.2</v>
      </c>
      <c r="J2631">
        <v>28.78</v>
      </c>
      <c r="K2631" t="s">
        <v>16</v>
      </c>
      <c r="L2631" t="s">
        <v>17</v>
      </c>
      <c r="M2631" t="s">
        <v>43</v>
      </c>
    </row>
    <row r="2632" spans="1:13" x14ac:dyDescent="0.2">
      <c r="A2632">
        <v>538902</v>
      </c>
      <c r="B2632" s="1">
        <v>45163</v>
      </c>
      <c r="C2632">
        <v>82130</v>
      </c>
      <c r="D2632" t="s">
        <v>44</v>
      </c>
      <c r="E2632" t="s">
        <v>172</v>
      </c>
      <c r="F2632" t="s">
        <v>173</v>
      </c>
      <c r="G2632">
        <v>1</v>
      </c>
      <c r="H2632">
        <v>3.14</v>
      </c>
      <c r="I2632">
        <v>0.3</v>
      </c>
      <c r="J2632">
        <v>2.2000000000000002</v>
      </c>
      <c r="K2632" t="s">
        <v>36</v>
      </c>
      <c r="L2632" t="s">
        <v>17</v>
      </c>
      <c r="M2632" t="s">
        <v>120</v>
      </c>
    </row>
    <row r="2633" spans="1:13" x14ac:dyDescent="0.2">
      <c r="A2633">
        <v>538967</v>
      </c>
      <c r="B2633" s="1">
        <v>44686</v>
      </c>
      <c r="C2633">
        <v>85066</v>
      </c>
      <c r="D2633" t="s">
        <v>48</v>
      </c>
      <c r="E2633" t="s">
        <v>139</v>
      </c>
      <c r="F2633" t="s">
        <v>140</v>
      </c>
      <c r="G2633">
        <v>4</v>
      </c>
      <c r="H2633">
        <v>6.39</v>
      </c>
      <c r="I2633">
        <v>0.2</v>
      </c>
      <c r="J2633">
        <v>20.45</v>
      </c>
      <c r="K2633" t="s">
        <v>95</v>
      </c>
      <c r="L2633" t="s">
        <v>37</v>
      </c>
      <c r="M2633" t="s">
        <v>81</v>
      </c>
    </row>
    <row r="2634" spans="1:13" x14ac:dyDescent="0.2">
      <c r="A2634">
        <v>539196</v>
      </c>
      <c r="B2634" s="1">
        <v>45553</v>
      </c>
      <c r="C2634">
        <v>80466</v>
      </c>
      <c r="D2634" t="s">
        <v>63</v>
      </c>
      <c r="E2634" t="s">
        <v>68</v>
      </c>
      <c r="F2634" t="s">
        <v>69</v>
      </c>
      <c r="G2634">
        <v>2</v>
      </c>
      <c r="H2634">
        <v>23.74</v>
      </c>
      <c r="I2634">
        <v>0.05</v>
      </c>
      <c r="J2634">
        <v>45.11</v>
      </c>
      <c r="K2634" t="s">
        <v>66</v>
      </c>
      <c r="L2634" t="s">
        <v>37</v>
      </c>
      <c r="M2634" t="s">
        <v>28</v>
      </c>
    </row>
    <row r="2635" spans="1:13" x14ac:dyDescent="0.2">
      <c r="A2635">
        <v>539272</v>
      </c>
      <c r="B2635" s="1">
        <v>45268</v>
      </c>
      <c r="C2635">
        <v>18166</v>
      </c>
      <c r="D2635" t="s">
        <v>82</v>
      </c>
      <c r="E2635" t="s">
        <v>100</v>
      </c>
      <c r="F2635" t="s">
        <v>101</v>
      </c>
      <c r="G2635">
        <v>3</v>
      </c>
      <c r="H2635">
        <v>16.09</v>
      </c>
      <c r="I2635">
        <v>0.3</v>
      </c>
      <c r="J2635">
        <v>33.79</v>
      </c>
      <c r="K2635" t="s">
        <v>16</v>
      </c>
      <c r="L2635" t="s">
        <v>37</v>
      </c>
      <c r="M2635" t="s">
        <v>120</v>
      </c>
    </row>
    <row r="2636" spans="1:13" x14ac:dyDescent="0.2">
      <c r="A2636">
        <v>539301</v>
      </c>
      <c r="B2636" s="2">
        <v>44751</v>
      </c>
      <c r="C2636">
        <v>41497</v>
      </c>
      <c r="D2636" t="s">
        <v>82</v>
      </c>
      <c r="E2636" t="s">
        <v>188</v>
      </c>
      <c r="F2636" t="s">
        <v>189</v>
      </c>
      <c r="G2636">
        <v>1</v>
      </c>
      <c r="H2636">
        <v>33.74</v>
      </c>
      <c r="I2636">
        <v>0.25</v>
      </c>
      <c r="J2636">
        <v>25.3</v>
      </c>
      <c r="K2636" t="s">
        <v>36</v>
      </c>
      <c r="L2636" t="s">
        <v>37</v>
      </c>
      <c r="M2636" t="s">
        <v>81</v>
      </c>
    </row>
    <row r="2637" spans="1:13" x14ac:dyDescent="0.2">
      <c r="A2637">
        <v>540178</v>
      </c>
      <c r="B2637" s="1">
        <v>44664</v>
      </c>
      <c r="C2637">
        <v>13991</v>
      </c>
      <c r="D2637" t="s">
        <v>13</v>
      </c>
      <c r="E2637" t="s">
        <v>14</v>
      </c>
      <c r="F2637" t="s">
        <v>15</v>
      </c>
      <c r="G2637">
        <v>1</v>
      </c>
      <c r="H2637">
        <v>67.989999999999995</v>
      </c>
      <c r="I2637">
        <v>0.15</v>
      </c>
      <c r="J2637">
        <v>57.79</v>
      </c>
      <c r="K2637" t="s">
        <v>36</v>
      </c>
      <c r="L2637" t="s">
        <v>23</v>
      </c>
      <c r="M2637" t="s">
        <v>96</v>
      </c>
    </row>
    <row r="2638" spans="1:13" x14ac:dyDescent="0.2">
      <c r="A2638">
        <v>540222</v>
      </c>
      <c r="B2638" s="2">
        <v>44638</v>
      </c>
      <c r="C2638">
        <v>53217</v>
      </c>
      <c r="D2638" t="s">
        <v>40</v>
      </c>
      <c r="E2638" t="s">
        <v>20</v>
      </c>
      <c r="F2638" t="s">
        <v>21</v>
      </c>
      <c r="G2638">
        <v>1</v>
      </c>
      <c r="H2638">
        <v>6.99</v>
      </c>
      <c r="I2638">
        <v>0.3</v>
      </c>
      <c r="J2638">
        <v>4.8899999999999997</v>
      </c>
      <c r="K2638" t="s">
        <v>16</v>
      </c>
      <c r="L2638" t="s">
        <v>17</v>
      </c>
      <c r="M2638" t="s">
        <v>47</v>
      </c>
    </row>
    <row r="2639" spans="1:13" x14ac:dyDescent="0.2">
      <c r="A2639">
        <v>540268</v>
      </c>
      <c r="B2639" s="1">
        <v>45246</v>
      </c>
      <c r="C2639">
        <v>15500</v>
      </c>
      <c r="D2639" t="s">
        <v>44</v>
      </c>
      <c r="E2639" t="s">
        <v>74</v>
      </c>
      <c r="F2639" t="s">
        <v>75</v>
      </c>
      <c r="G2639">
        <v>1</v>
      </c>
      <c r="H2639">
        <v>2.54</v>
      </c>
      <c r="I2639">
        <v>0.15</v>
      </c>
      <c r="J2639">
        <v>2.16</v>
      </c>
      <c r="K2639" t="s">
        <v>22</v>
      </c>
      <c r="L2639" t="s">
        <v>37</v>
      </c>
      <c r="M2639" t="s">
        <v>47</v>
      </c>
    </row>
    <row r="2640" spans="1:13" x14ac:dyDescent="0.2">
      <c r="A2640">
        <v>540391</v>
      </c>
      <c r="B2640" s="2">
        <v>45333</v>
      </c>
      <c r="C2640">
        <v>22931</v>
      </c>
      <c r="D2640" t="s">
        <v>82</v>
      </c>
      <c r="E2640" t="s">
        <v>155</v>
      </c>
      <c r="F2640" t="s">
        <v>156</v>
      </c>
      <c r="G2640">
        <v>1</v>
      </c>
      <c r="H2640">
        <v>17.989999999999998</v>
      </c>
      <c r="I2640">
        <v>0.1</v>
      </c>
      <c r="J2640">
        <v>16.190000000000001</v>
      </c>
      <c r="K2640" t="s">
        <v>36</v>
      </c>
      <c r="L2640" t="s">
        <v>17</v>
      </c>
      <c r="M2640" t="s">
        <v>43</v>
      </c>
    </row>
    <row r="2641" spans="1:13" x14ac:dyDescent="0.2">
      <c r="A2641">
        <v>540435</v>
      </c>
      <c r="B2641" s="1">
        <v>45448</v>
      </c>
      <c r="C2641">
        <v>56154</v>
      </c>
      <c r="D2641" t="s">
        <v>40</v>
      </c>
      <c r="E2641" t="s">
        <v>197</v>
      </c>
      <c r="F2641" t="s">
        <v>198</v>
      </c>
      <c r="G2641">
        <v>5</v>
      </c>
      <c r="H2641">
        <v>11.99</v>
      </c>
      <c r="I2641">
        <v>0.2</v>
      </c>
      <c r="J2641">
        <v>47.96</v>
      </c>
      <c r="K2641" t="s">
        <v>22</v>
      </c>
      <c r="L2641" t="s">
        <v>17</v>
      </c>
    </row>
    <row r="2642" spans="1:13" x14ac:dyDescent="0.2">
      <c r="A2642">
        <v>540788</v>
      </c>
      <c r="B2642" s="2">
        <v>45068</v>
      </c>
      <c r="C2642">
        <v>96025</v>
      </c>
      <c r="D2642" t="s">
        <v>29</v>
      </c>
      <c r="E2642" t="s">
        <v>88</v>
      </c>
      <c r="F2642" t="s">
        <v>89</v>
      </c>
      <c r="G2642">
        <v>5</v>
      </c>
      <c r="H2642">
        <v>37.49</v>
      </c>
      <c r="I2642">
        <v>0.25</v>
      </c>
      <c r="J2642">
        <v>140.59</v>
      </c>
      <c r="K2642" t="s">
        <v>22</v>
      </c>
      <c r="L2642" t="s">
        <v>17</v>
      </c>
      <c r="M2642" t="s">
        <v>120</v>
      </c>
    </row>
    <row r="2643" spans="1:13" x14ac:dyDescent="0.2">
      <c r="A2643">
        <v>541458</v>
      </c>
      <c r="B2643" s="1">
        <v>45214</v>
      </c>
      <c r="C2643">
        <v>17101</v>
      </c>
      <c r="D2643" t="s">
        <v>174</v>
      </c>
      <c r="E2643" t="s">
        <v>145</v>
      </c>
      <c r="F2643" t="s">
        <v>146</v>
      </c>
      <c r="G2643">
        <v>1</v>
      </c>
      <c r="H2643">
        <v>11.89</v>
      </c>
      <c r="I2643">
        <v>0.3</v>
      </c>
      <c r="J2643">
        <v>8.32</v>
      </c>
      <c r="K2643" t="s">
        <v>16</v>
      </c>
      <c r="L2643" t="s">
        <v>17</v>
      </c>
      <c r="M2643" t="s">
        <v>117</v>
      </c>
    </row>
    <row r="2644" spans="1:13" x14ac:dyDescent="0.2">
      <c r="A2644">
        <v>541471</v>
      </c>
      <c r="B2644" s="2">
        <v>45208</v>
      </c>
      <c r="C2644">
        <v>68780</v>
      </c>
      <c r="D2644" t="s">
        <v>82</v>
      </c>
      <c r="E2644" t="s">
        <v>168</v>
      </c>
      <c r="F2644" t="s">
        <v>169</v>
      </c>
      <c r="G2644">
        <v>1</v>
      </c>
      <c r="H2644">
        <v>8.99</v>
      </c>
      <c r="J2644">
        <v>8.99</v>
      </c>
      <c r="K2644" t="s">
        <v>95</v>
      </c>
      <c r="L2644" t="s">
        <v>37</v>
      </c>
      <c r="M2644" t="s">
        <v>103</v>
      </c>
    </row>
    <row r="2645" spans="1:13" x14ac:dyDescent="0.2">
      <c r="A2645">
        <v>541508</v>
      </c>
      <c r="B2645" s="1">
        <v>45145</v>
      </c>
      <c r="C2645">
        <v>36082</v>
      </c>
      <c r="D2645" t="s">
        <v>85</v>
      </c>
      <c r="E2645" t="s">
        <v>129</v>
      </c>
      <c r="F2645" t="s">
        <v>130</v>
      </c>
      <c r="G2645">
        <v>1</v>
      </c>
      <c r="H2645">
        <v>8.99</v>
      </c>
      <c r="J2645">
        <v>8.99</v>
      </c>
      <c r="K2645" t="s">
        <v>16</v>
      </c>
      <c r="L2645" t="s">
        <v>23</v>
      </c>
      <c r="M2645" t="s">
        <v>120</v>
      </c>
    </row>
    <row r="2646" spans="1:13" x14ac:dyDescent="0.2">
      <c r="A2646">
        <v>541631</v>
      </c>
      <c r="B2646" s="1">
        <v>45505</v>
      </c>
      <c r="C2646">
        <v>51486</v>
      </c>
      <c r="D2646" t="s">
        <v>63</v>
      </c>
      <c r="E2646" t="s">
        <v>64</v>
      </c>
      <c r="F2646" t="s">
        <v>65</v>
      </c>
      <c r="G2646">
        <v>2</v>
      </c>
      <c r="H2646">
        <v>3.99</v>
      </c>
      <c r="I2646">
        <v>0.2</v>
      </c>
      <c r="J2646">
        <v>6.38</v>
      </c>
      <c r="K2646" t="s">
        <v>36</v>
      </c>
      <c r="L2646" t="s">
        <v>37</v>
      </c>
      <c r="M2646" t="s">
        <v>62</v>
      </c>
    </row>
    <row r="2647" spans="1:13" x14ac:dyDescent="0.2">
      <c r="A2647">
        <v>541650</v>
      </c>
      <c r="B2647" s="1">
        <v>45021</v>
      </c>
      <c r="C2647">
        <v>49510</v>
      </c>
      <c r="D2647" t="s">
        <v>29</v>
      </c>
      <c r="E2647" t="s">
        <v>72</v>
      </c>
      <c r="F2647" t="s">
        <v>73</v>
      </c>
      <c r="G2647">
        <v>3</v>
      </c>
      <c r="H2647">
        <v>33.99</v>
      </c>
      <c r="I2647">
        <v>0.15</v>
      </c>
      <c r="J2647">
        <v>86.67</v>
      </c>
      <c r="K2647" t="s">
        <v>36</v>
      </c>
      <c r="L2647" t="s">
        <v>23</v>
      </c>
      <c r="M2647" t="s">
        <v>103</v>
      </c>
    </row>
    <row r="2648" spans="1:13" x14ac:dyDescent="0.2">
      <c r="A2648">
        <v>541756</v>
      </c>
      <c r="B2648" s="1">
        <v>44913</v>
      </c>
      <c r="C2648">
        <v>76172</v>
      </c>
      <c r="D2648" t="s">
        <v>97</v>
      </c>
      <c r="E2648" t="s">
        <v>135</v>
      </c>
      <c r="F2648" t="s">
        <v>136</v>
      </c>
      <c r="G2648">
        <v>3</v>
      </c>
      <c r="H2648">
        <v>9.99</v>
      </c>
      <c r="J2648">
        <v>29.97</v>
      </c>
      <c r="K2648" t="s">
        <v>36</v>
      </c>
      <c r="L2648" t="s">
        <v>17</v>
      </c>
      <c r="M2648" t="s">
        <v>57</v>
      </c>
    </row>
    <row r="2649" spans="1:13" x14ac:dyDescent="0.2">
      <c r="A2649">
        <v>541792</v>
      </c>
      <c r="B2649" s="2">
        <v>44703</v>
      </c>
      <c r="C2649">
        <v>94531</v>
      </c>
      <c r="D2649" t="s">
        <v>97</v>
      </c>
      <c r="E2649" t="s">
        <v>135</v>
      </c>
      <c r="F2649" t="s">
        <v>136</v>
      </c>
      <c r="G2649">
        <v>4</v>
      </c>
      <c r="H2649">
        <v>8.49</v>
      </c>
      <c r="I2649">
        <v>0.15</v>
      </c>
      <c r="J2649">
        <v>28.87</v>
      </c>
      <c r="K2649" t="s">
        <v>36</v>
      </c>
      <c r="L2649" t="s">
        <v>37</v>
      </c>
      <c r="M2649" t="s">
        <v>28</v>
      </c>
    </row>
    <row r="2650" spans="1:13" x14ac:dyDescent="0.2">
      <c r="A2650">
        <v>542004</v>
      </c>
      <c r="B2650" s="1">
        <v>45032</v>
      </c>
      <c r="C2650">
        <v>19420</v>
      </c>
      <c r="D2650" t="s">
        <v>85</v>
      </c>
      <c r="E2650" t="s">
        <v>157</v>
      </c>
      <c r="F2650" t="s">
        <v>158</v>
      </c>
      <c r="G2650">
        <v>2</v>
      </c>
      <c r="H2650">
        <v>12.14</v>
      </c>
      <c r="I2650">
        <v>0.1</v>
      </c>
      <c r="J2650">
        <v>21.85</v>
      </c>
      <c r="K2650" t="s">
        <v>22</v>
      </c>
      <c r="L2650" t="s">
        <v>37</v>
      </c>
      <c r="M2650" t="s">
        <v>123</v>
      </c>
    </row>
    <row r="2651" spans="1:13" x14ac:dyDescent="0.2">
      <c r="A2651">
        <v>542151</v>
      </c>
      <c r="B2651" s="1">
        <v>45266</v>
      </c>
      <c r="C2651">
        <v>65620</v>
      </c>
      <c r="D2651" t="s">
        <v>25</v>
      </c>
      <c r="E2651" t="s">
        <v>70</v>
      </c>
      <c r="F2651" t="s">
        <v>71</v>
      </c>
      <c r="G2651">
        <v>4</v>
      </c>
      <c r="H2651">
        <v>76.489999999999995</v>
      </c>
      <c r="J2651">
        <v>305.95999999999998</v>
      </c>
      <c r="K2651" t="s">
        <v>36</v>
      </c>
      <c r="L2651" t="s">
        <v>37</v>
      </c>
      <c r="M2651" t="s">
        <v>120</v>
      </c>
    </row>
    <row r="2652" spans="1:13" x14ac:dyDescent="0.2">
      <c r="A2652">
        <v>542155</v>
      </c>
      <c r="B2652" s="1">
        <v>44579</v>
      </c>
      <c r="C2652">
        <v>16221</v>
      </c>
      <c r="D2652" t="s">
        <v>25</v>
      </c>
      <c r="E2652" t="s">
        <v>70</v>
      </c>
      <c r="F2652" t="s">
        <v>71</v>
      </c>
      <c r="G2652">
        <v>3</v>
      </c>
      <c r="H2652">
        <v>85.49</v>
      </c>
      <c r="I2652">
        <v>0.05</v>
      </c>
      <c r="J2652">
        <v>243.65</v>
      </c>
      <c r="K2652" t="s">
        <v>16</v>
      </c>
      <c r="L2652" t="s">
        <v>17</v>
      </c>
      <c r="M2652" t="s">
        <v>123</v>
      </c>
    </row>
    <row r="2653" spans="1:13" x14ac:dyDescent="0.2">
      <c r="A2653">
        <v>542428</v>
      </c>
      <c r="B2653" s="1">
        <v>45165</v>
      </c>
      <c r="C2653">
        <v>19162</v>
      </c>
      <c r="D2653" t="s">
        <v>29</v>
      </c>
      <c r="E2653" t="s">
        <v>175</v>
      </c>
      <c r="F2653" t="s">
        <v>176</v>
      </c>
      <c r="G2653">
        <v>2</v>
      </c>
      <c r="H2653">
        <v>8.99</v>
      </c>
      <c r="I2653">
        <v>0.25</v>
      </c>
      <c r="J2653">
        <v>13.48</v>
      </c>
      <c r="K2653" t="s">
        <v>36</v>
      </c>
      <c r="L2653" t="s">
        <v>37</v>
      </c>
      <c r="M2653" t="s">
        <v>57</v>
      </c>
    </row>
    <row r="2654" spans="1:13" x14ac:dyDescent="0.2">
      <c r="A2654">
        <v>542555</v>
      </c>
      <c r="B2654" s="1">
        <v>44577</v>
      </c>
      <c r="C2654">
        <v>46034</v>
      </c>
      <c r="D2654" t="s">
        <v>82</v>
      </c>
      <c r="E2654" t="s">
        <v>168</v>
      </c>
      <c r="F2654" t="s">
        <v>169</v>
      </c>
      <c r="G2654">
        <v>1</v>
      </c>
      <c r="H2654">
        <v>8.5399999999999991</v>
      </c>
      <c r="I2654">
        <v>0.05</v>
      </c>
      <c r="J2654">
        <v>8.11</v>
      </c>
      <c r="K2654" t="s">
        <v>36</v>
      </c>
      <c r="L2654" t="s">
        <v>17</v>
      </c>
      <c r="M2654" t="s">
        <v>123</v>
      </c>
    </row>
    <row r="2655" spans="1:13" x14ac:dyDescent="0.2">
      <c r="A2655">
        <v>543447</v>
      </c>
      <c r="B2655" s="2">
        <v>44746</v>
      </c>
      <c r="C2655">
        <v>19206</v>
      </c>
      <c r="D2655" t="s">
        <v>40</v>
      </c>
      <c r="E2655" t="s">
        <v>58</v>
      </c>
      <c r="F2655" t="s">
        <v>59</v>
      </c>
      <c r="G2655">
        <v>3</v>
      </c>
      <c r="H2655">
        <v>3.39</v>
      </c>
      <c r="I2655">
        <v>0.15</v>
      </c>
      <c r="J2655">
        <v>8.64</v>
      </c>
      <c r="K2655" t="s">
        <v>95</v>
      </c>
      <c r="L2655" t="s">
        <v>17</v>
      </c>
      <c r="M2655" t="s">
        <v>67</v>
      </c>
    </row>
    <row r="2656" spans="1:13" x14ac:dyDescent="0.2">
      <c r="A2656">
        <v>543529</v>
      </c>
      <c r="B2656" s="1">
        <v>44716</v>
      </c>
      <c r="C2656">
        <v>60446</v>
      </c>
      <c r="D2656" t="s">
        <v>40</v>
      </c>
      <c r="E2656" t="s">
        <v>197</v>
      </c>
      <c r="F2656" t="s">
        <v>198</v>
      </c>
      <c r="G2656">
        <v>2</v>
      </c>
      <c r="H2656">
        <v>11.99</v>
      </c>
      <c r="I2656">
        <v>0.2</v>
      </c>
      <c r="J2656">
        <v>19.18</v>
      </c>
      <c r="K2656" t="s">
        <v>22</v>
      </c>
      <c r="L2656" t="s">
        <v>37</v>
      </c>
      <c r="M2656" t="s">
        <v>96</v>
      </c>
    </row>
    <row r="2657" spans="1:13" x14ac:dyDescent="0.2">
      <c r="A2657">
        <v>543538</v>
      </c>
      <c r="B2657" s="1">
        <v>45305</v>
      </c>
      <c r="D2657" t="s">
        <v>82</v>
      </c>
      <c r="E2657" t="s">
        <v>100</v>
      </c>
      <c r="F2657" t="s">
        <v>101</v>
      </c>
      <c r="G2657">
        <v>1</v>
      </c>
      <c r="H2657">
        <v>17.239999999999998</v>
      </c>
      <c r="I2657">
        <v>0.25</v>
      </c>
      <c r="J2657">
        <v>12.93</v>
      </c>
      <c r="K2657" t="s">
        <v>53</v>
      </c>
      <c r="L2657" t="s">
        <v>17</v>
      </c>
      <c r="M2657" t="s">
        <v>24</v>
      </c>
    </row>
    <row r="2658" spans="1:13" x14ac:dyDescent="0.2">
      <c r="A2658">
        <v>543905</v>
      </c>
      <c r="B2658" s="1">
        <v>44618</v>
      </c>
      <c r="C2658">
        <v>61160</v>
      </c>
      <c r="D2658" t="s">
        <v>97</v>
      </c>
      <c r="E2658" t="s">
        <v>141</v>
      </c>
      <c r="F2658" t="s">
        <v>142</v>
      </c>
      <c r="G2658">
        <v>2</v>
      </c>
      <c r="H2658">
        <v>17.239999999999998</v>
      </c>
      <c r="I2658">
        <v>0.25</v>
      </c>
      <c r="J2658">
        <v>25.86</v>
      </c>
      <c r="K2658" t="s">
        <v>36</v>
      </c>
      <c r="L2658" t="s">
        <v>37</v>
      </c>
      <c r="M2658" t="s">
        <v>54</v>
      </c>
    </row>
    <row r="2659" spans="1:13" x14ac:dyDescent="0.2">
      <c r="A2659">
        <v>543973</v>
      </c>
      <c r="B2659" s="1">
        <v>45640</v>
      </c>
      <c r="C2659">
        <v>38074</v>
      </c>
      <c r="D2659" t="s">
        <v>82</v>
      </c>
      <c r="E2659" t="s">
        <v>188</v>
      </c>
      <c r="F2659" t="s">
        <v>189</v>
      </c>
      <c r="G2659">
        <v>3</v>
      </c>
      <c r="H2659">
        <v>44.99</v>
      </c>
      <c r="J2659">
        <v>134.97</v>
      </c>
      <c r="K2659" t="s">
        <v>16</v>
      </c>
      <c r="L2659" t="s">
        <v>17</v>
      </c>
      <c r="M2659" t="s">
        <v>28</v>
      </c>
    </row>
    <row r="2660" spans="1:13" x14ac:dyDescent="0.2">
      <c r="A2660">
        <v>543990</v>
      </c>
      <c r="B2660" s="2">
        <v>44947</v>
      </c>
      <c r="C2660">
        <v>10426</v>
      </c>
      <c r="D2660" t="s">
        <v>48</v>
      </c>
      <c r="E2660" t="s">
        <v>143</v>
      </c>
      <c r="F2660" t="s">
        <v>144</v>
      </c>
      <c r="G2660">
        <v>2</v>
      </c>
      <c r="H2660">
        <v>11.99</v>
      </c>
      <c r="I2660">
        <v>0.2</v>
      </c>
      <c r="J2660">
        <v>19.18</v>
      </c>
      <c r="K2660" t="s">
        <v>16</v>
      </c>
      <c r="L2660" t="s">
        <v>17</v>
      </c>
      <c r="M2660" t="s">
        <v>47</v>
      </c>
    </row>
    <row r="2661" spans="1:13" x14ac:dyDescent="0.2">
      <c r="A2661">
        <v>544007</v>
      </c>
      <c r="B2661" s="1">
        <v>45469</v>
      </c>
      <c r="C2661">
        <v>69042</v>
      </c>
      <c r="D2661" t="s">
        <v>25</v>
      </c>
      <c r="E2661" t="s">
        <v>26</v>
      </c>
      <c r="F2661" t="s">
        <v>27</v>
      </c>
      <c r="G2661">
        <v>1</v>
      </c>
      <c r="H2661">
        <v>24.49</v>
      </c>
      <c r="I2661">
        <v>0.3</v>
      </c>
      <c r="J2661">
        <v>17.14</v>
      </c>
      <c r="K2661" t="s">
        <v>16</v>
      </c>
      <c r="L2661" t="s">
        <v>17</v>
      </c>
      <c r="M2661" t="s">
        <v>18</v>
      </c>
    </row>
    <row r="2662" spans="1:13" x14ac:dyDescent="0.2">
      <c r="A2662">
        <v>544114</v>
      </c>
      <c r="B2662" s="2">
        <v>44745</v>
      </c>
      <c r="D2662" t="s">
        <v>48</v>
      </c>
      <c r="E2662" t="s">
        <v>49</v>
      </c>
      <c r="F2662" t="s">
        <v>50</v>
      </c>
      <c r="G2662">
        <v>3</v>
      </c>
      <c r="H2662">
        <v>8.99</v>
      </c>
      <c r="J2662">
        <v>26.97</v>
      </c>
      <c r="K2662" t="s">
        <v>16</v>
      </c>
      <c r="L2662" t="s">
        <v>17</v>
      </c>
      <c r="M2662" t="s">
        <v>76</v>
      </c>
    </row>
    <row r="2663" spans="1:13" x14ac:dyDescent="0.2">
      <c r="A2663">
        <v>544136</v>
      </c>
      <c r="B2663" s="2">
        <v>45081</v>
      </c>
      <c r="C2663">
        <v>62095</v>
      </c>
      <c r="D2663" t="s">
        <v>97</v>
      </c>
      <c r="E2663" t="s">
        <v>141</v>
      </c>
      <c r="F2663" t="s">
        <v>142</v>
      </c>
      <c r="G2663">
        <v>4</v>
      </c>
      <c r="H2663">
        <v>20.69</v>
      </c>
      <c r="I2663">
        <v>0.1</v>
      </c>
      <c r="J2663">
        <v>74.48</v>
      </c>
      <c r="K2663" t="s">
        <v>66</v>
      </c>
      <c r="L2663" t="s">
        <v>17</v>
      </c>
      <c r="M2663" t="s">
        <v>28</v>
      </c>
    </row>
    <row r="2664" spans="1:13" x14ac:dyDescent="0.2">
      <c r="A2664">
        <v>544256</v>
      </c>
      <c r="B2664" s="1">
        <v>45331</v>
      </c>
      <c r="C2664">
        <v>43045</v>
      </c>
      <c r="D2664" t="s">
        <v>25</v>
      </c>
      <c r="E2664" t="s">
        <v>113</v>
      </c>
      <c r="F2664" t="s">
        <v>114</v>
      </c>
      <c r="G2664">
        <v>4</v>
      </c>
      <c r="H2664">
        <v>89.99</v>
      </c>
      <c r="I2664">
        <v>0.25</v>
      </c>
      <c r="J2664">
        <v>269.97000000000003</v>
      </c>
      <c r="K2664" t="s">
        <v>53</v>
      </c>
      <c r="L2664" t="s">
        <v>23</v>
      </c>
      <c r="M2664" t="s">
        <v>67</v>
      </c>
    </row>
    <row r="2665" spans="1:13" x14ac:dyDescent="0.2">
      <c r="A2665">
        <v>544283</v>
      </c>
      <c r="B2665" s="2">
        <v>44736</v>
      </c>
      <c r="C2665">
        <v>83890</v>
      </c>
      <c r="D2665" t="s">
        <v>40</v>
      </c>
      <c r="E2665" t="s">
        <v>197</v>
      </c>
      <c r="F2665" t="s">
        <v>198</v>
      </c>
      <c r="G2665">
        <v>5</v>
      </c>
      <c r="H2665">
        <v>11.99</v>
      </c>
      <c r="I2665">
        <v>0.2</v>
      </c>
      <c r="J2665">
        <v>47.96</v>
      </c>
      <c r="K2665" t="s">
        <v>16</v>
      </c>
      <c r="L2665" t="s">
        <v>17</v>
      </c>
      <c r="M2665" t="s">
        <v>57</v>
      </c>
    </row>
    <row r="2666" spans="1:13" x14ac:dyDescent="0.2">
      <c r="A2666">
        <v>544368</v>
      </c>
      <c r="B2666" s="1">
        <v>44650</v>
      </c>
      <c r="C2666">
        <v>79619</v>
      </c>
      <c r="D2666" t="s">
        <v>13</v>
      </c>
      <c r="E2666" t="s">
        <v>186</v>
      </c>
      <c r="F2666" t="s">
        <v>187</v>
      </c>
      <c r="G2666">
        <v>5</v>
      </c>
      <c r="H2666">
        <v>34.99</v>
      </c>
      <c r="I2666">
        <v>0.3</v>
      </c>
      <c r="J2666">
        <v>122.46</v>
      </c>
      <c r="K2666" t="s">
        <v>36</v>
      </c>
      <c r="L2666" t="s">
        <v>37</v>
      </c>
      <c r="M2666" t="s">
        <v>18</v>
      </c>
    </row>
    <row r="2667" spans="1:13" x14ac:dyDescent="0.2">
      <c r="A2667">
        <v>544425</v>
      </c>
      <c r="B2667" s="1">
        <v>45027</v>
      </c>
      <c r="C2667">
        <v>79459</v>
      </c>
      <c r="D2667" t="s">
        <v>63</v>
      </c>
      <c r="E2667" t="s">
        <v>64</v>
      </c>
      <c r="F2667" t="s">
        <v>65</v>
      </c>
      <c r="G2667">
        <v>2</v>
      </c>
      <c r="H2667">
        <v>3.74</v>
      </c>
      <c r="I2667">
        <v>0.25</v>
      </c>
      <c r="J2667">
        <v>5.61</v>
      </c>
      <c r="K2667" t="s">
        <v>95</v>
      </c>
      <c r="L2667" t="s">
        <v>37</v>
      </c>
      <c r="M2667" t="s">
        <v>96</v>
      </c>
    </row>
    <row r="2668" spans="1:13" x14ac:dyDescent="0.2">
      <c r="A2668">
        <v>544438</v>
      </c>
      <c r="B2668" s="1">
        <v>44681</v>
      </c>
      <c r="C2668">
        <v>95271</v>
      </c>
      <c r="D2668" t="s">
        <v>40</v>
      </c>
      <c r="E2668" t="s">
        <v>197</v>
      </c>
      <c r="F2668" t="s">
        <v>198</v>
      </c>
      <c r="G2668">
        <v>5</v>
      </c>
      <c r="H2668">
        <v>13.49</v>
      </c>
      <c r="I2668">
        <v>0.1</v>
      </c>
      <c r="J2668">
        <v>60.71</v>
      </c>
      <c r="K2668" t="s">
        <v>22</v>
      </c>
      <c r="L2668" t="s">
        <v>23</v>
      </c>
      <c r="M2668" t="s">
        <v>57</v>
      </c>
    </row>
    <row r="2669" spans="1:13" x14ac:dyDescent="0.2">
      <c r="A2669">
        <v>544554</v>
      </c>
      <c r="B2669" s="1">
        <v>45352</v>
      </c>
      <c r="C2669">
        <v>60805</v>
      </c>
      <c r="D2669" t="s">
        <v>48</v>
      </c>
      <c r="E2669" t="s">
        <v>139</v>
      </c>
      <c r="F2669" t="s">
        <v>140</v>
      </c>
      <c r="G2669">
        <v>3</v>
      </c>
      <c r="H2669">
        <v>6.39</v>
      </c>
      <c r="I2669">
        <v>0.2</v>
      </c>
      <c r="J2669">
        <v>15.34</v>
      </c>
      <c r="K2669" t="s">
        <v>16</v>
      </c>
      <c r="L2669" t="s">
        <v>37</v>
      </c>
      <c r="M2669" t="s">
        <v>67</v>
      </c>
    </row>
    <row r="2670" spans="1:13" x14ac:dyDescent="0.2">
      <c r="A2670">
        <v>545152</v>
      </c>
      <c r="B2670" s="2">
        <v>44887</v>
      </c>
      <c r="C2670">
        <v>26340</v>
      </c>
      <c r="D2670" t="s">
        <v>44</v>
      </c>
      <c r="E2670" t="s">
        <v>91</v>
      </c>
      <c r="F2670" t="s">
        <v>92</v>
      </c>
      <c r="G2670">
        <v>1</v>
      </c>
      <c r="H2670">
        <v>4.72</v>
      </c>
      <c r="I2670">
        <v>0.25</v>
      </c>
      <c r="J2670">
        <v>3.54</v>
      </c>
      <c r="K2670" t="s">
        <v>22</v>
      </c>
      <c r="L2670" t="s">
        <v>17</v>
      </c>
      <c r="M2670" t="s">
        <v>120</v>
      </c>
    </row>
    <row r="2671" spans="1:13" x14ac:dyDescent="0.2">
      <c r="A2671">
        <v>545267</v>
      </c>
      <c r="B2671" s="1">
        <v>44866</v>
      </c>
      <c r="C2671">
        <v>63754</v>
      </c>
      <c r="D2671" t="s">
        <v>29</v>
      </c>
      <c r="E2671" t="s">
        <v>170</v>
      </c>
      <c r="F2671" t="s">
        <v>171</v>
      </c>
      <c r="G2671">
        <v>1</v>
      </c>
      <c r="H2671">
        <v>13.49</v>
      </c>
      <c r="I2671">
        <v>0.1</v>
      </c>
      <c r="J2671">
        <v>12.14</v>
      </c>
      <c r="K2671" t="s">
        <v>16</v>
      </c>
      <c r="L2671" t="s">
        <v>17</v>
      </c>
      <c r="M2671" t="s">
        <v>18</v>
      </c>
    </row>
    <row r="2672" spans="1:13" x14ac:dyDescent="0.2">
      <c r="A2672">
        <v>545469</v>
      </c>
      <c r="B2672" s="2">
        <v>44781</v>
      </c>
      <c r="D2672" t="s">
        <v>29</v>
      </c>
      <c r="E2672" t="s">
        <v>38</v>
      </c>
      <c r="F2672" t="s">
        <v>39</v>
      </c>
      <c r="G2672">
        <v>2</v>
      </c>
      <c r="H2672">
        <v>22.49</v>
      </c>
      <c r="I2672">
        <v>0.25</v>
      </c>
      <c r="J2672">
        <v>33.74</v>
      </c>
      <c r="K2672" t="s">
        <v>16</v>
      </c>
      <c r="L2672" t="s">
        <v>17</v>
      </c>
      <c r="M2672" t="s">
        <v>18</v>
      </c>
    </row>
    <row r="2673" spans="1:13" x14ac:dyDescent="0.2">
      <c r="A2673">
        <v>545670</v>
      </c>
      <c r="B2673" s="1">
        <v>45550</v>
      </c>
      <c r="C2673">
        <v>90414</v>
      </c>
      <c r="D2673" t="s">
        <v>85</v>
      </c>
      <c r="E2673" t="s">
        <v>149</v>
      </c>
      <c r="F2673" t="s">
        <v>150</v>
      </c>
      <c r="G2673">
        <v>1</v>
      </c>
      <c r="H2673">
        <v>14.99</v>
      </c>
      <c r="I2673">
        <v>0.25</v>
      </c>
      <c r="J2673">
        <v>11.24</v>
      </c>
      <c r="K2673" t="s">
        <v>22</v>
      </c>
      <c r="L2673" t="s">
        <v>17</v>
      </c>
      <c r="M2673" t="s">
        <v>57</v>
      </c>
    </row>
    <row r="2674" spans="1:13" x14ac:dyDescent="0.2">
      <c r="A2674">
        <v>545888</v>
      </c>
      <c r="B2674" s="1">
        <v>44779</v>
      </c>
      <c r="C2674">
        <v>54698</v>
      </c>
      <c r="D2674" t="s">
        <v>29</v>
      </c>
      <c r="E2674" t="s">
        <v>175</v>
      </c>
      <c r="F2674" t="s">
        <v>176</v>
      </c>
      <c r="G2674">
        <v>1</v>
      </c>
      <c r="H2674">
        <v>11.39</v>
      </c>
      <c r="I2674">
        <v>0.05</v>
      </c>
      <c r="J2674">
        <v>10.82</v>
      </c>
      <c r="K2674" t="s">
        <v>95</v>
      </c>
      <c r="L2674" t="s">
        <v>37</v>
      </c>
      <c r="M2674" t="s">
        <v>161</v>
      </c>
    </row>
    <row r="2675" spans="1:13" x14ac:dyDescent="0.2">
      <c r="A2675">
        <v>545957</v>
      </c>
      <c r="B2675" s="1">
        <v>45286</v>
      </c>
      <c r="D2675" t="s">
        <v>29</v>
      </c>
      <c r="E2675" t="s">
        <v>30</v>
      </c>
      <c r="F2675" t="s">
        <v>31</v>
      </c>
      <c r="G2675">
        <v>2</v>
      </c>
      <c r="H2675">
        <v>21.24</v>
      </c>
      <c r="I2675">
        <v>0.15</v>
      </c>
      <c r="J2675">
        <v>36.11</v>
      </c>
      <c r="K2675" t="s">
        <v>16</v>
      </c>
      <c r="L2675" t="s">
        <v>37</v>
      </c>
      <c r="M2675" t="s">
        <v>81</v>
      </c>
    </row>
    <row r="2676" spans="1:13" x14ac:dyDescent="0.2">
      <c r="A2676">
        <v>546306</v>
      </c>
      <c r="B2676" s="1">
        <v>45500</v>
      </c>
      <c r="C2676">
        <v>47194</v>
      </c>
      <c r="D2676" t="s">
        <v>63</v>
      </c>
      <c r="E2676" t="s">
        <v>64</v>
      </c>
      <c r="F2676" t="s">
        <v>65</v>
      </c>
      <c r="G2676">
        <v>1</v>
      </c>
      <c r="H2676">
        <v>3.99</v>
      </c>
      <c r="I2676">
        <v>0.2</v>
      </c>
      <c r="J2676">
        <v>3.19</v>
      </c>
      <c r="K2676" t="s">
        <v>22</v>
      </c>
      <c r="L2676" t="s">
        <v>37</v>
      </c>
      <c r="M2676" t="s">
        <v>28</v>
      </c>
    </row>
    <row r="2677" spans="1:13" x14ac:dyDescent="0.2">
      <c r="A2677">
        <v>546451</v>
      </c>
      <c r="B2677" s="1">
        <v>44613</v>
      </c>
      <c r="C2677">
        <v>25020</v>
      </c>
      <c r="D2677" t="s">
        <v>25</v>
      </c>
      <c r="E2677" t="s">
        <v>70</v>
      </c>
      <c r="F2677" t="s">
        <v>71</v>
      </c>
      <c r="G2677">
        <v>3</v>
      </c>
      <c r="H2677">
        <v>71.989999999999995</v>
      </c>
      <c r="I2677">
        <v>0.2</v>
      </c>
      <c r="J2677">
        <v>172.78</v>
      </c>
      <c r="K2677" t="s">
        <v>36</v>
      </c>
      <c r="L2677" t="s">
        <v>37</v>
      </c>
      <c r="M2677" t="s">
        <v>90</v>
      </c>
    </row>
    <row r="2678" spans="1:13" x14ac:dyDescent="0.2">
      <c r="A2678">
        <v>546754</v>
      </c>
      <c r="B2678" s="1">
        <v>44569</v>
      </c>
      <c r="C2678">
        <v>89760</v>
      </c>
      <c r="D2678" t="s">
        <v>29</v>
      </c>
      <c r="E2678" t="s">
        <v>175</v>
      </c>
      <c r="F2678" t="s">
        <v>176</v>
      </c>
      <c r="G2678">
        <v>4</v>
      </c>
      <c r="H2678">
        <v>9.59</v>
      </c>
      <c r="I2678">
        <v>0.2</v>
      </c>
      <c r="J2678">
        <v>30.69</v>
      </c>
      <c r="K2678" t="s">
        <v>22</v>
      </c>
      <c r="L2678" t="s">
        <v>37</v>
      </c>
      <c r="M2678" t="s">
        <v>117</v>
      </c>
    </row>
    <row r="2679" spans="1:13" x14ac:dyDescent="0.2">
      <c r="A2679">
        <v>547097</v>
      </c>
      <c r="B2679" s="1">
        <v>44815</v>
      </c>
      <c r="C2679">
        <v>56958</v>
      </c>
      <c r="D2679" t="s">
        <v>97</v>
      </c>
      <c r="E2679" t="s">
        <v>141</v>
      </c>
      <c r="F2679" t="s">
        <v>142</v>
      </c>
      <c r="G2679">
        <v>1</v>
      </c>
      <c r="H2679">
        <v>16.09</v>
      </c>
      <c r="I2679">
        <v>0.3</v>
      </c>
      <c r="J2679">
        <v>11.26</v>
      </c>
      <c r="K2679" t="s">
        <v>36</v>
      </c>
      <c r="L2679" t="s">
        <v>23</v>
      </c>
      <c r="M2679" t="s">
        <v>120</v>
      </c>
    </row>
    <row r="2680" spans="1:13" x14ac:dyDescent="0.2">
      <c r="A2680">
        <v>547151</v>
      </c>
      <c r="B2680" s="2">
        <v>45171</v>
      </c>
      <c r="D2680" t="s">
        <v>13</v>
      </c>
      <c r="E2680" t="s">
        <v>77</v>
      </c>
      <c r="F2680" t="s">
        <v>78</v>
      </c>
      <c r="G2680">
        <v>1</v>
      </c>
      <c r="H2680">
        <v>449.99</v>
      </c>
      <c r="I2680">
        <v>0.1</v>
      </c>
      <c r="J2680">
        <v>404.99</v>
      </c>
      <c r="K2680" t="s">
        <v>36</v>
      </c>
      <c r="L2680" t="s">
        <v>37</v>
      </c>
      <c r="M2680" t="s">
        <v>67</v>
      </c>
    </row>
    <row r="2681" spans="1:13" x14ac:dyDescent="0.2">
      <c r="A2681">
        <v>547162</v>
      </c>
      <c r="B2681" s="2">
        <v>44812</v>
      </c>
      <c r="C2681">
        <v>91582</v>
      </c>
      <c r="D2681" t="s">
        <v>13</v>
      </c>
      <c r="E2681" t="s">
        <v>127</v>
      </c>
      <c r="F2681" t="s">
        <v>128</v>
      </c>
      <c r="G2681">
        <v>2</v>
      </c>
      <c r="H2681">
        <v>13.99</v>
      </c>
      <c r="I2681">
        <v>0.3</v>
      </c>
      <c r="J2681">
        <v>19.59</v>
      </c>
      <c r="K2681" t="s">
        <v>16</v>
      </c>
      <c r="L2681" t="s">
        <v>17</v>
      </c>
      <c r="M2681" t="s">
        <v>117</v>
      </c>
    </row>
    <row r="2682" spans="1:13" x14ac:dyDescent="0.2">
      <c r="A2682">
        <v>547272</v>
      </c>
      <c r="B2682" s="1">
        <v>44913</v>
      </c>
      <c r="C2682">
        <v>12133</v>
      </c>
      <c r="D2682" t="s">
        <v>40</v>
      </c>
      <c r="E2682" t="s">
        <v>197</v>
      </c>
      <c r="F2682" t="s">
        <v>198</v>
      </c>
      <c r="G2682">
        <v>2</v>
      </c>
      <c r="H2682">
        <v>13.49</v>
      </c>
      <c r="I2682">
        <v>0.1</v>
      </c>
      <c r="J2682">
        <v>24.28</v>
      </c>
      <c r="K2682" t="s">
        <v>36</v>
      </c>
      <c r="L2682" t="s">
        <v>37</v>
      </c>
      <c r="M2682" t="s">
        <v>117</v>
      </c>
    </row>
    <row r="2683" spans="1:13" x14ac:dyDescent="0.2">
      <c r="A2683">
        <v>547554</v>
      </c>
      <c r="B2683" s="2">
        <v>45023</v>
      </c>
      <c r="C2683">
        <v>62048</v>
      </c>
      <c r="D2683" t="s">
        <v>40</v>
      </c>
      <c r="E2683" t="s">
        <v>115</v>
      </c>
      <c r="F2683" t="s">
        <v>116</v>
      </c>
      <c r="G2683">
        <v>1</v>
      </c>
      <c r="H2683">
        <v>12.99</v>
      </c>
      <c r="J2683">
        <v>12.99</v>
      </c>
      <c r="K2683" t="s">
        <v>16</v>
      </c>
      <c r="L2683" t="s">
        <v>17</v>
      </c>
      <c r="M2683" t="s">
        <v>161</v>
      </c>
    </row>
    <row r="2684" spans="1:13" x14ac:dyDescent="0.2">
      <c r="A2684">
        <v>547555</v>
      </c>
      <c r="B2684" s="1">
        <v>45051</v>
      </c>
      <c r="C2684">
        <v>92837</v>
      </c>
      <c r="D2684" t="s">
        <v>85</v>
      </c>
      <c r="E2684" t="s">
        <v>137</v>
      </c>
      <c r="F2684" t="s">
        <v>138</v>
      </c>
      <c r="G2684">
        <v>2</v>
      </c>
      <c r="H2684">
        <v>7.99</v>
      </c>
      <c r="J2684">
        <v>15.98</v>
      </c>
      <c r="K2684" t="s">
        <v>36</v>
      </c>
      <c r="L2684" t="s">
        <v>17</v>
      </c>
      <c r="M2684" t="s">
        <v>81</v>
      </c>
    </row>
    <row r="2685" spans="1:13" x14ac:dyDescent="0.2">
      <c r="A2685">
        <v>547642</v>
      </c>
      <c r="B2685" s="1">
        <v>45209</v>
      </c>
      <c r="C2685">
        <v>11708</v>
      </c>
      <c r="D2685" t="s">
        <v>13</v>
      </c>
      <c r="E2685" t="s">
        <v>186</v>
      </c>
      <c r="F2685" t="s">
        <v>187</v>
      </c>
      <c r="G2685">
        <v>4</v>
      </c>
      <c r="H2685">
        <v>44.99</v>
      </c>
      <c r="I2685">
        <v>0.1</v>
      </c>
      <c r="J2685">
        <v>161.96</v>
      </c>
      <c r="K2685" t="s">
        <v>36</v>
      </c>
      <c r="L2685" t="s">
        <v>17</v>
      </c>
      <c r="M2685" t="s">
        <v>24</v>
      </c>
    </row>
    <row r="2686" spans="1:13" x14ac:dyDescent="0.2">
      <c r="A2686">
        <v>547733</v>
      </c>
      <c r="B2686" s="1">
        <v>45607</v>
      </c>
      <c r="D2686" t="s">
        <v>25</v>
      </c>
      <c r="E2686" t="s">
        <v>60</v>
      </c>
      <c r="F2686" t="s">
        <v>61</v>
      </c>
      <c r="G2686">
        <v>4</v>
      </c>
      <c r="H2686">
        <v>49.49</v>
      </c>
      <c r="I2686">
        <v>0.1</v>
      </c>
      <c r="J2686">
        <v>178.16</v>
      </c>
      <c r="K2686" t="s">
        <v>36</v>
      </c>
      <c r="L2686" t="s">
        <v>17</v>
      </c>
      <c r="M2686" t="s">
        <v>123</v>
      </c>
    </row>
    <row r="2687" spans="1:13" x14ac:dyDescent="0.2">
      <c r="A2687">
        <v>547837</v>
      </c>
      <c r="B2687" s="1">
        <v>45435</v>
      </c>
      <c r="C2687">
        <v>37336</v>
      </c>
      <c r="D2687" t="s">
        <v>25</v>
      </c>
      <c r="E2687" t="s">
        <v>70</v>
      </c>
      <c r="F2687" t="s">
        <v>71</v>
      </c>
      <c r="G2687">
        <v>1</v>
      </c>
      <c r="H2687">
        <v>89.99</v>
      </c>
      <c r="J2687">
        <v>89.99</v>
      </c>
      <c r="K2687" t="s">
        <v>22</v>
      </c>
      <c r="L2687" t="s">
        <v>37</v>
      </c>
      <c r="M2687" t="s">
        <v>28</v>
      </c>
    </row>
    <row r="2688" spans="1:13" x14ac:dyDescent="0.2">
      <c r="A2688">
        <v>547861</v>
      </c>
      <c r="B2688" s="2">
        <v>45326</v>
      </c>
      <c r="C2688">
        <v>69090</v>
      </c>
      <c r="D2688" t="s">
        <v>97</v>
      </c>
      <c r="E2688" t="s">
        <v>135</v>
      </c>
      <c r="F2688" t="s">
        <v>136</v>
      </c>
      <c r="G2688">
        <v>1</v>
      </c>
      <c r="H2688">
        <v>9.49</v>
      </c>
      <c r="I2688">
        <v>0.05</v>
      </c>
      <c r="J2688">
        <v>9.02</v>
      </c>
      <c r="K2688" t="s">
        <v>22</v>
      </c>
      <c r="L2688" t="s">
        <v>17</v>
      </c>
      <c r="M2688" t="s">
        <v>67</v>
      </c>
    </row>
    <row r="2689" spans="1:13" x14ac:dyDescent="0.2">
      <c r="A2689">
        <v>547889</v>
      </c>
      <c r="B2689" s="2">
        <v>44774</v>
      </c>
      <c r="C2689">
        <v>72746</v>
      </c>
      <c r="D2689" t="s">
        <v>82</v>
      </c>
      <c r="E2689" t="s">
        <v>155</v>
      </c>
      <c r="F2689" t="s">
        <v>156</v>
      </c>
      <c r="G2689">
        <v>4</v>
      </c>
      <c r="H2689">
        <v>15.99</v>
      </c>
      <c r="I2689">
        <v>0.2</v>
      </c>
      <c r="J2689">
        <v>51.17</v>
      </c>
      <c r="K2689" t="s">
        <v>36</v>
      </c>
      <c r="L2689" t="s">
        <v>37</v>
      </c>
      <c r="M2689" t="s">
        <v>57</v>
      </c>
    </row>
    <row r="2690" spans="1:13" x14ac:dyDescent="0.2">
      <c r="A2690">
        <v>547972</v>
      </c>
      <c r="B2690" s="1">
        <v>44766</v>
      </c>
      <c r="C2690">
        <v>89304</v>
      </c>
      <c r="D2690" t="s">
        <v>97</v>
      </c>
      <c r="E2690" t="s">
        <v>135</v>
      </c>
      <c r="F2690" t="s">
        <v>136</v>
      </c>
      <c r="G2690">
        <v>5</v>
      </c>
      <c r="H2690">
        <v>6.99</v>
      </c>
      <c r="I2690">
        <v>0.3</v>
      </c>
      <c r="J2690">
        <v>24.46</v>
      </c>
      <c r="K2690" t="s">
        <v>16</v>
      </c>
      <c r="L2690" t="s">
        <v>17</v>
      </c>
      <c r="M2690" t="s">
        <v>47</v>
      </c>
    </row>
    <row r="2691" spans="1:13" x14ac:dyDescent="0.2">
      <c r="A2691">
        <v>548092</v>
      </c>
      <c r="B2691" s="1">
        <v>44864</v>
      </c>
      <c r="C2691">
        <v>75792</v>
      </c>
      <c r="D2691" t="s">
        <v>97</v>
      </c>
      <c r="E2691" t="s">
        <v>165</v>
      </c>
      <c r="F2691" t="s">
        <v>166</v>
      </c>
      <c r="G2691">
        <v>1</v>
      </c>
      <c r="H2691">
        <v>89.99</v>
      </c>
      <c r="J2691">
        <v>89.99</v>
      </c>
      <c r="K2691" t="s">
        <v>36</v>
      </c>
      <c r="L2691" t="s">
        <v>17</v>
      </c>
      <c r="M2691" t="s">
        <v>28</v>
      </c>
    </row>
    <row r="2692" spans="1:13" x14ac:dyDescent="0.2">
      <c r="A2692">
        <v>548229</v>
      </c>
      <c r="B2692" s="1">
        <v>45125</v>
      </c>
      <c r="C2692">
        <v>51151</v>
      </c>
      <c r="D2692" t="s">
        <v>13</v>
      </c>
      <c r="E2692" t="s">
        <v>104</v>
      </c>
      <c r="F2692" t="s">
        <v>105</v>
      </c>
      <c r="G2692">
        <v>3</v>
      </c>
      <c r="H2692">
        <v>29.99</v>
      </c>
      <c r="J2692">
        <v>89.97</v>
      </c>
      <c r="K2692" t="s">
        <v>22</v>
      </c>
      <c r="L2692" t="s">
        <v>17</v>
      </c>
      <c r="M2692" t="s">
        <v>81</v>
      </c>
    </row>
    <row r="2693" spans="1:13" x14ac:dyDescent="0.2">
      <c r="A2693">
        <v>548324</v>
      </c>
      <c r="B2693" s="1">
        <v>45227</v>
      </c>
      <c r="C2693">
        <v>59856</v>
      </c>
      <c r="D2693" t="s">
        <v>40</v>
      </c>
      <c r="E2693" t="s">
        <v>58</v>
      </c>
      <c r="F2693" t="s">
        <v>59</v>
      </c>
      <c r="G2693">
        <v>5</v>
      </c>
      <c r="H2693">
        <v>2.99</v>
      </c>
      <c r="I2693">
        <v>0.25</v>
      </c>
      <c r="J2693">
        <v>11.21</v>
      </c>
      <c r="K2693" t="s">
        <v>22</v>
      </c>
      <c r="L2693" t="s">
        <v>17</v>
      </c>
      <c r="M2693" t="s">
        <v>123</v>
      </c>
    </row>
    <row r="2694" spans="1:13" x14ac:dyDescent="0.2">
      <c r="A2694">
        <v>548415</v>
      </c>
      <c r="B2694" s="1">
        <v>45411</v>
      </c>
      <c r="C2694">
        <v>64662</v>
      </c>
      <c r="D2694" t="s">
        <v>40</v>
      </c>
      <c r="E2694" t="s">
        <v>41</v>
      </c>
      <c r="F2694" t="s">
        <v>42</v>
      </c>
      <c r="G2694">
        <v>3</v>
      </c>
      <c r="H2694">
        <v>5.99</v>
      </c>
      <c r="J2694">
        <v>17.97</v>
      </c>
      <c r="K2694" t="s">
        <v>16</v>
      </c>
      <c r="L2694" t="s">
        <v>17</v>
      </c>
      <c r="M2694" t="s">
        <v>81</v>
      </c>
    </row>
    <row r="2695" spans="1:13" x14ac:dyDescent="0.2">
      <c r="A2695">
        <v>548538</v>
      </c>
      <c r="B2695" s="1">
        <v>45110</v>
      </c>
      <c r="C2695">
        <v>38183</v>
      </c>
      <c r="D2695" t="s">
        <v>40</v>
      </c>
      <c r="E2695" t="s">
        <v>20</v>
      </c>
      <c r="F2695" t="s">
        <v>21</v>
      </c>
      <c r="G2695">
        <v>4</v>
      </c>
      <c r="H2695">
        <v>9.99</v>
      </c>
      <c r="J2695">
        <v>39.96</v>
      </c>
      <c r="K2695" t="s">
        <v>22</v>
      </c>
      <c r="L2695" t="s">
        <v>17</v>
      </c>
      <c r="M2695" t="s">
        <v>90</v>
      </c>
    </row>
    <row r="2696" spans="1:13" x14ac:dyDescent="0.2">
      <c r="A2696">
        <v>548676</v>
      </c>
      <c r="B2696" s="1">
        <v>45399</v>
      </c>
      <c r="C2696">
        <v>95974</v>
      </c>
      <c r="D2696" t="s">
        <v>97</v>
      </c>
      <c r="E2696" t="s">
        <v>98</v>
      </c>
      <c r="F2696" t="s">
        <v>99</v>
      </c>
      <c r="G2696">
        <v>2</v>
      </c>
      <c r="H2696">
        <v>26.59</v>
      </c>
      <c r="I2696">
        <v>0.05</v>
      </c>
      <c r="J2696">
        <v>50.52</v>
      </c>
      <c r="K2696" t="s">
        <v>36</v>
      </c>
      <c r="L2696" t="s">
        <v>17</v>
      </c>
      <c r="M2696" t="s">
        <v>96</v>
      </c>
    </row>
    <row r="2697" spans="1:13" x14ac:dyDescent="0.2">
      <c r="A2697">
        <v>548759</v>
      </c>
      <c r="B2697" s="1">
        <v>45356</v>
      </c>
      <c r="C2697">
        <v>38878</v>
      </c>
      <c r="D2697" t="s">
        <v>29</v>
      </c>
      <c r="E2697" t="s">
        <v>72</v>
      </c>
      <c r="F2697" t="s">
        <v>73</v>
      </c>
      <c r="G2697">
        <v>1</v>
      </c>
      <c r="H2697">
        <v>33.99</v>
      </c>
      <c r="I2697">
        <v>0.15</v>
      </c>
      <c r="J2697">
        <v>28.89</v>
      </c>
      <c r="K2697" t="s">
        <v>36</v>
      </c>
      <c r="L2697" t="s">
        <v>17</v>
      </c>
      <c r="M2697" t="s">
        <v>33</v>
      </c>
    </row>
    <row r="2698" spans="1:13" x14ac:dyDescent="0.2">
      <c r="A2698">
        <v>549140</v>
      </c>
      <c r="B2698" s="1">
        <v>44629</v>
      </c>
      <c r="C2698">
        <v>76116</v>
      </c>
      <c r="D2698" t="s">
        <v>82</v>
      </c>
      <c r="E2698" t="s">
        <v>188</v>
      </c>
      <c r="F2698" t="s">
        <v>189</v>
      </c>
      <c r="G2698">
        <v>1</v>
      </c>
      <c r="H2698">
        <v>44.99</v>
      </c>
      <c r="J2698">
        <v>44.99</v>
      </c>
      <c r="K2698" t="s">
        <v>16</v>
      </c>
      <c r="L2698" t="s">
        <v>17</v>
      </c>
      <c r="M2698" t="s">
        <v>117</v>
      </c>
    </row>
    <row r="2699" spans="1:13" x14ac:dyDescent="0.2">
      <c r="A2699">
        <v>549339</v>
      </c>
      <c r="B2699" s="1">
        <v>45356</v>
      </c>
      <c r="D2699" t="s">
        <v>25</v>
      </c>
      <c r="E2699" t="s">
        <v>51</v>
      </c>
      <c r="F2699" t="s">
        <v>52</v>
      </c>
      <c r="G2699">
        <v>1</v>
      </c>
      <c r="H2699">
        <v>23.79</v>
      </c>
      <c r="I2699">
        <v>0.15</v>
      </c>
      <c r="J2699">
        <v>20.22</v>
      </c>
      <c r="K2699" t="s">
        <v>36</v>
      </c>
      <c r="L2699" t="s">
        <v>23</v>
      </c>
      <c r="M2699" t="s">
        <v>67</v>
      </c>
    </row>
    <row r="2700" spans="1:13" x14ac:dyDescent="0.2">
      <c r="A2700">
        <v>549372</v>
      </c>
      <c r="B2700" s="2">
        <v>44794</v>
      </c>
      <c r="C2700">
        <v>80940</v>
      </c>
      <c r="D2700" t="s">
        <v>63</v>
      </c>
      <c r="E2700" t="s">
        <v>111</v>
      </c>
      <c r="F2700" t="s">
        <v>112</v>
      </c>
      <c r="G2700">
        <v>2</v>
      </c>
      <c r="H2700">
        <v>14.99</v>
      </c>
      <c r="J2700">
        <v>29.98</v>
      </c>
      <c r="K2700" t="s">
        <v>36</v>
      </c>
      <c r="L2700" t="s">
        <v>23</v>
      </c>
      <c r="M2700" t="s">
        <v>76</v>
      </c>
    </row>
    <row r="2701" spans="1:13" x14ac:dyDescent="0.2">
      <c r="A2701">
        <v>549519</v>
      </c>
      <c r="B2701" s="1">
        <v>45193</v>
      </c>
      <c r="C2701">
        <v>92999</v>
      </c>
      <c r="D2701" t="s">
        <v>25</v>
      </c>
      <c r="E2701" t="s">
        <v>70</v>
      </c>
      <c r="F2701" t="s">
        <v>71</v>
      </c>
      <c r="G2701">
        <v>2</v>
      </c>
      <c r="H2701">
        <v>76.489999999999995</v>
      </c>
      <c r="I2701">
        <v>0.15</v>
      </c>
      <c r="J2701">
        <v>130.03</v>
      </c>
      <c r="K2701" t="s">
        <v>36</v>
      </c>
      <c r="L2701" t="s">
        <v>17</v>
      </c>
      <c r="M2701" t="s">
        <v>43</v>
      </c>
    </row>
    <row r="2702" spans="1:13" x14ac:dyDescent="0.2">
      <c r="A2702">
        <v>549653</v>
      </c>
      <c r="B2702" s="1">
        <v>45425</v>
      </c>
      <c r="C2702">
        <v>77653</v>
      </c>
      <c r="D2702" t="s">
        <v>85</v>
      </c>
      <c r="E2702" t="s">
        <v>153</v>
      </c>
      <c r="F2702" t="s">
        <v>154</v>
      </c>
      <c r="G2702">
        <v>1</v>
      </c>
      <c r="H2702">
        <v>28.49</v>
      </c>
      <c r="I2702">
        <v>0.05</v>
      </c>
      <c r="J2702">
        <v>27.07</v>
      </c>
      <c r="K2702" t="s">
        <v>36</v>
      </c>
      <c r="L2702" t="s">
        <v>17</v>
      </c>
      <c r="M2702" t="s">
        <v>103</v>
      </c>
    </row>
    <row r="2703" spans="1:13" x14ac:dyDescent="0.2">
      <c r="A2703">
        <v>549741</v>
      </c>
      <c r="B2703" s="1">
        <v>45533</v>
      </c>
      <c r="C2703">
        <v>15188</v>
      </c>
      <c r="D2703" t="s">
        <v>29</v>
      </c>
      <c r="E2703" t="s">
        <v>88</v>
      </c>
      <c r="F2703" t="s">
        <v>89</v>
      </c>
      <c r="G2703">
        <v>2</v>
      </c>
      <c r="H2703">
        <v>42.49</v>
      </c>
      <c r="I2703">
        <v>0.15</v>
      </c>
      <c r="J2703">
        <v>72.23</v>
      </c>
      <c r="K2703" t="s">
        <v>36</v>
      </c>
      <c r="L2703" t="s">
        <v>37</v>
      </c>
      <c r="M2703" t="s">
        <v>57</v>
      </c>
    </row>
    <row r="2704" spans="1:13" x14ac:dyDescent="0.2">
      <c r="A2704">
        <v>549969</v>
      </c>
      <c r="B2704" s="2">
        <v>45650</v>
      </c>
      <c r="C2704">
        <v>51676</v>
      </c>
      <c r="D2704" t="s">
        <v>25</v>
      </c>
      <c r="E2704" t="s">
        <v>26</v>
      </c>
      <c r="F2704" t="s">
        <v>27</v>
      </c>
      <c r="G2704">
        <v>4</v>
      </c>
      <c r="H2704">
        <v>27.99</v>
      </c>
      <c r="I2704">
        <v>0.2</v>
      </c>
      <c r="J2704">
        <v>89.57</v>
      </c>
      <c r="K2704" t="s">
        <v>16</v>
      </c>
      <c r="L2704" t="s">
        <v>17</v>
      </c>
      <c r="M2704" t="s">
        <v>62</v>
      </c>
    </row>
    <row r="2705" spans="1:13" x14ac:dyDescent="0.2">
      <c r="A2705">
        <v>549994</v>
      </c>
      <c r="B2705" s="2">
        <v>45268</v>
      </c>
      <c r="D2705" t="s">
        <v>25</v>
      </c>
      <c r="E2705" t="s">
        <v>70</v>
      </c>
      <c r="F2705" t="s">
        <v>71</v>
      </c>
      <c r="G2705">
        <v>3</v>
      </c>
      <c r="H2705">
        <v>62.99</v>
      </c>
      <c r="I2705">
        <v>0.3</v>
      </c>
      <c r="J2705">
        <v>132.28</v>
      </c>
      <c r="K2705" t="s">
        <v>95</v>
      </c>
      <c r="L2705" t="s">
        <v>17</v>
      </c>
      <c r="M2705" t="s">
        <v>43</v>
      </c>
    </row>
    <row r="2706" spans="1:13" x14ac:dyDescent="0.2">
      <c r="A2706">
        <v>550276</v>
      </c>
      <c r="B2706" s="1">
        <v>45276</v>
      </c>
      <c r="C2706">
        <v>25476</v>
      </c>
      <c r="D2706" t="s">
        <v>13</v>
      </c>
      <c r="E2706" t="s">
        <v>127</v>
      </c>
      <c r="F2706" t="s">
        <v>128</v>
      </c>
      <c r="G2706">
        <v>2</v>
      </c>
      <c r="H2706">
        <v>19.989999999999998</v>
      </c>
      <c r="J2706">
        <v>39.979999999999997</v>
      </c>
      <c r="K2706" t="s">
        <v>36</v>
      </c>
      <c r="L2706" t="s">
        <v>17</v>
      </c>
      <c r="M2706" t="s">
        <v>28</v>
      </c>
    </row>
    <row r="2707" spans="1:13" x14ac:dyDescent="0.2">
      <c r="A2707">
        <v>550442</v>
      </c>
      <c r="B2707" s="1">
        <v>44724</v>
      </c>
      <c r="C2707">
        <v>13335</v>
      </c>
      <c r="D2707" t="s">
        <v>85</v>
      </c>
      <c r="E2707" t="s">
        <v>137</v>
      </c>
      <c r="F2707" t="s">
        <v>138</v>
      </c>
      <c r="G2707">
        <v>4</v>
      </c>
      <c r="H2707">
        <v>7.99</v>
      </c>
      <c r="J2707">
        <v>31.96</v>
      </c>
      <c r="K2707" t="s">
        <v>16</v>
      </c>
      <c r="L2707" t="s">
        <v>17</v>
      </c>
      <c r="M2707" t="s">
        <v>18</v>
      </c>
    </row>
    <row r="2708" spans="1:13" x14ac:dyDescent="0.2">
      <c r="A2708">
        <v>550572</v>
      </c>
      <c r="B2708" s="1">
        <v>44661</v>
      </c>
      <c r="C2708">
        <v>50910</v>
      </c>
      <c r="D2708" t="s">
        <v>63</v>
      </c>
      <c r="E2708" t="s">
        <v>125</v>
      </c>
      <c r="F2708" t="s">
        <v>126</v>
      </c>
      <c r="G2708">
        <v>4</v>
      </c>
      <c r="H2708">
        <v>26.99</v>
      </c>
      <c r="I2708">
        <v>0.1</v>
      </c>
      <c r="J2708">
        <v>97.16</v>
      </c>
      <c r="K2708" t="s">
        <v>36</v>
      </c>
      <c r="L2708" t="s">
        <v>17</v>
      </c>
      <c r="M2708" t="s">
        <v>54</v>
      </c>
    </row>
    <row r="2709" spans="1:13" x14ac:dyDescent="0.2">
      <c r="A2709">
        <v>550657</v>
      </c>
      <c r="B2709" s="2">
        <v>45533</v>
      </c>
      <c r="C2709">
        <v>16215</v>
      </c>
      <c r="D2709" t="s">
        <v>40</v>
      </c>
      <c r="E2709" t="s">
        <v>58</v>
      </c>
      <c r="F2709" t="s">
        <v>59</v>
      </c>
      <c r="G2709">
        <v>1</v>
      </c>
      <c r="H2709">
        <v>3.99</v>
      </c>
      <c r="J2709">
        <v>3.99</v>
      </c>
      <c r="K2709" t="s">
        <v>16</v>
      </c>
      <c r="L2709" t="s">
        <v>17</v>
      </c>
      <c r="M2709" t="s">
        <v>90</v>
      </c>
    </row>
    <row r="2710" spans="1:13" x14ac:dyDescent="0.2">
      <c r="A2710">
        <v>550691</v>
      </c>
      <c r="B2710" s="1">
        <v>45264</v>
      </c>
      <c r="C2710">
        <v>80173</v>
      </c>
      <c r="D2710" t="s">
        <v>63</v>
      </c>
      <c r="E2710" t="s">
        <v>64</v>
      </c>
      <c r="F2710" t="s">
        <v>65</v>
      </c>
      <c r="G2710">
        <v>4</v>
      </c>
      <c r="H2710">
        <v>4.99</v>
      </c>
      <c r="J2710">
        <v>19.96</v>
      </c>
      <c r="K2710" t="s">
        <v>95</v>
      </c>
      <c r="L2710" t="s">
        <v>17</v>
      </c>
      <c r="M2710" t="s">
        <v>18</v>
      </c>
    </row>
    <row r="2711" spans="1:13" x14ac:dyDescent="0.2">
      <c r="A2711">
        <v>551472</v>
      </c>
      <c r="B2711" s="1">
        <v>44582</v>
      </c>
      <c r="C2711">
        <v>97536</v>
      </c>
      <c r="D2711" t="s">
        <v>174</v>
      </c>
      <c r="E2711" t="s">
        <v>129</v>
      </c>
      <c r="F2711" t="s">
        <v>130</v>
      </c>
      <c r="G2711">
        <v>2</v>
      </c>
      <c r="H2711">
        <v>8.99</v>
      </c>
      <c r="J2711">
        <v>17.98</v>
      </c>
      <c r="K2711" t="s">
        <v>36</v>
      </c>
      <c r="L2711" t="s">
        <v>17</v>
      </c>
      <c r="M2711" t="s">
        <v>28</v>
      </c>
    </row>
    <row r="2712" spans="1:13" x14ac:dyDescent="0.2">
      <c r="A2712">
        <v>551494</v>
      </c>
      <c r="B2712" s="1">
        <v>44859</v>
      </c>
      <c r="C2712">
        <v>99504</v>
      </c>
      <c r="D2712" t="s">
        <v>85</v>
      </c>
      <c r="E2712" t="s">
        <v>153</v>
      </c>
      <c r="F2712" t="s">
        <v>154</v>
      </c>
      <c r="G2712">
        <v>3</v>
      </c>
      <c r="H2712">
        <v>29.99</v>
      </c>
      <c r="J2712">
        <v>89.97</v>
      </c>
      <c r="K2712" t="s">
        <v>16</v>
      </c>
      <c r="L2712" t="s">
        <v>17</v>
      </c>
      <c r="M2712" t="s">
        <v>62</v>
      </c>
    </row>
    <row r="2713" spans="1:13" x14ac:dyDescent="0.2">
      <c r="A2713">
        <v>551551</v>
      </c>
      <c r="B2713" s="2">
        <v>45562</v>
      </c>
      <c r="C2713">
        <v>71876</v>
      </c>
      <c r="D2713" t="s">
        <v>48</v>
      </c>
      <c r="E2713" t="s">
        <v>143</v>
      </c>
      <c r="F2713" t="s">
        <v>144</v>
      </c>
      <c r="G2713">
        <v>4</v>
      </c>
      <c r="H2713">
        <v>14.99</v>
      </c>
      <c r="J2713">
        <v>59.96</v>
      </c>
      <c r="K2713" t="s">
        <v>16</v>
      </c>
      <c r="L2713" t="s">
        <v>17</v>
      </c>
      <c r="M2713" t="s">
        <v>43</v>
      </c>
    </row>
    <row r="2714" spans="1:13" x14ac:dyDescent="0.2">
      <c r="A2714">
        <v>551880</v>
      </c>
      <c r="B2714" s="2">
        <v>44952</v>
      </c>
      <c r="C2714">
        <v>29949</v>
      </c>
      <c r="D2714" t="s">
        <v>40</v>
      </c>
      <c r="E2714" t="s">
        <v>58</v>
      </c>
      <c r="F2714" t="s">
        <v>59</v>
      </c>
      <c r="G2714">
        <v>4</v>
      </c>
      <c r="H2714">
        <v>3.99</v>
      </c>
      <c r="J2714">
        <v>15.96</v>
      </c>
      <c r="K2714" t="s">
        <v>53</v>
      </c>
      <c r="L2714" t="s">
        <v>17</v>
      </c>
      <c r="M2714" t="s">
        <v>47</v>
      </c>
    </row>
    <row r="2715" spans="1:13" x14ac:dyDescent="0.2">
      <c r="A2715">
        <v>551892</v>
      </c>
      <c r="B2715" s="2">
        <v>45101</v>
      </c>
      <c r="C2715">
        <v>45702</v>
      </c>
      <c r="D2715" t="s">
        <v>29</v>
      </c>
      <c r="E2715" t="s">
        <v>88</v>
      </c>
      <c r="F2715" t="s">
        <v>89</v>
      </c>
      <c r="G2715">
        <v>1</v>
      </c>
      <c r="H2715">
        <v>44.99</v>
      </c>
      <c r="I2715">
        <v>0.1</v>
      </c>
      <c r="J2715">
        <v>40.49</v>
      </c>
      <c r="K2715" t="s">
        <v>32</v>
      </c>
      <c r="L2715" t="s">
        <v>17</v>
      </c>
      <c r="M2715" t="s">
        <v>103</v>
      </c>
    </row>
    <row r="2716" spans="1:13" x14ac:dyDescent="0.2">
      <c r="A2716">
        <v>551982</v>
      </c>
      <c r="B2716" s="1">
        <v>45558</v>
      </c>
      <c r="D2716" t="s">
        <v>25</v>
      </c>
      <c r="E2716" t="s">
        <v>113</v>
      </c>
      <c r="F2716" t="s">
        <v>114</v>
      </c>
      <c r="G2716">
        <v>2</v>
      </c>
      <c r="H2716">
        <v>95.99</v>
      </c>
      <c r="I2716">
        <v>0.2</v>
      </c>
      <c r="J2716">
        <v>153.58000000000001</v>
      </c>
      <c r="K2716" t="s">
        <v>22</v>
      </c>
      <c r="L2716" t="s">
        <v>17</v>
      </c>
      <c r="M2716" t="s">
        <v>117</v>
      </c>
    </row>
    <row r="2717" spans="1:13" x14ac:dyDescent="0.2">
      <c r="A2717">
        <v>552050</v>
      </c>
      <c r="B2717" s="2">
        <v>45489</v>
      </c>
      <c r="C2717">
        <v>51607</v>
      </c>
      <c r="D2717" t="s">
        <v>63</v>
      </c>
      <c r="E2717" t="s">
        <v>64</v>
      </c>
      <c r="F2717" t="s">
        <v>65</v>
      </c>
      <c r="G2717">
        <v>4</v>
      </c>
      <c r="H2717">
        <v>3.49</v>
      </c>
      <c r="I2717">
        <v>0.3</v>
      </c>
      <c r="J2717">
        <v>9.77</v>
      </c>
      <c r="K2717" t="s">
        <v>16</v>
      </c>
      <c r="L2717" t="s">
        <v>17</v>
      </c>
      <c r="M2717" t="s">
        <v>28</v>
      </c>
    </row>
    <row r="2718" spans="1:13" x14ac:dyDescent="0.2">
      <c r="A2718">
        <v>552438</v>
      </c>
      <c r="B2718" s="1">
        <v>45379</v>
      </c>
      <c r="C2718">
        <v>13378</v>
      </c>
      <c r="D2718" t="s">
        <v>29</v>
      </c>
      <c r="E2718" t="s">
        <v>88</v>
      </c>
      <c r="F2718" t="s">
        <v>89</v>
      </c>
      <c r="G2718">
        <v>5</v>
      </c>
      <c r="H2718">
        <v>42.49</v>
      </c>
      <c r="I2718">
        <v>0.15</v>
      </c>
      <c r="J2718">
        <v>180.58</v>
      </c>
      <c r="K2718" t="s">
        <v>22</v>
      </c>
      <c r="L2718" t="s">
        <v>17</v>
      </c>
      <c r="M2718" t="s">
        <v>123</v>
      </c>
    </row>
    <row r="2719" spans="1:13" x14ac:dyDescent="0.2">
      <c r="A2719">
        <v>552453</v>
      </c>
      <c r="B2719" s="1">
        <v>45214</v>
      </c>
      <c r="C2719">
        <v>86200</v>
      </c>
      <c r="D2719" t="s">
        <v>63</v>
      </c>
      <c r="E2719" t="s">
        <v>111</v>
      </c>
      <c r="F2719" t="s">
        <v>112</v>
      </c>
      <c r="G2719">
        <v>1</v>
      </c>
      <c r="H2719">
        <v>11.99</v>
      </c>
      <c r="I2719">
        <v>0.2</v>
      </c>
      <c r="J2719">
        <v>9.59</v>
      </c>
      <c r="K2719" t="s">
        <v>22</v>
      </c>
      <c r="L2719" t="s">
        <v>17</v>
      </c>
      <c r="M2719" t="s">
        <v>103</v>
      </c>
    </row>
    <row r="2720" spans="1:13" x14ac:dyDescent="0.2">
      <c r="A2720">
        <v>552825</v>
      </c>
      <c r="B2720" s="1">
        <v>45290</v>
      </c>
      <c r="C2720">
        <v>91083</v>
      </c>
      <c r="D2720" t="s">
        <v>40</v>
      </c>
      <c r="E2720" t="s">
        <v>41</v>
      </c>
      <c r="F2720" t="s">
        <v>42</v>
      </c>
      <c r="G2720">
        <v>5</v>
      </c>
      <c r="H2720">
        <v>4.1900000000000004</v>
      </c>
      <c r="I2720">
        <v>0.3</v>
      </c>
      <c r="J2720">
        <v>14.66</v>
      </c>
      <c r="K2720" t="s">
        <v>36</v>
      </c>
      <c r="L2720" t="s">
        <v>17</v>
      </c>
      <c r="M2720" t="s">
        <v>33</v>
      </c>
    </row>
    <row r="2721" spans="1:13" x14ac:dyDescent="0.2">
      <c r="A2721">
        <v>552911</v>
      </c>
      <c r="B2721" s="1">
        <v>45563</v>
      </c>
      <c r="C2721">
        <v>67009</v>
      </c>
      <c r="D2721" t="s">
        <v>25</v>
      </c>
      <c r="E2721" t="s">
        <v>26</v>
      </c>
      <c r="F2721" t="s">
        <v>27</v>
      </c>
      <c r="G2721">
        <v>4</v>
      </c>
      <c r="H2721">
        <v>27.99</v>
      </c>
      <c r="J2721">
        <v>111.96</v>
      </c>
      <c r="K2721" t="s">
        <v>36</v>
      </c>
      <c r="L2721" t="s">
        <v>17</v>
      </c>
      <c r="M2721" t="s">
        <v>33</v>
      </c>
    </row>
    <row r="2722" spans="1:13" x14ac:dyDescent="0.2">
      <c r="A2722">
        <v>553190</v>
      </c>
      <c r="B2722" s="1">
        <v>44654</v>
      </c>
      <c r="C2722">
        <v>29285</v>
      </c>
      <c r="D2722" t="s">
        <v>13</v>
      </c>
      <c r="E2722" t="s">
        <v>104</v>
      </c>
      <c r="F2722" t="s">
        <v>105</v>
      </c>
      <c r="G2722">
        <v>3</v>
      </c>
      <c r="H2722">
        <v>29.99</v>
      </c>
      <c r="J2722">
        <v>89.97</v>
      </c>
      <c r="K2722" t="s">
        <v>16</v>
      </c>
      <c r="L2722" t="s">
        <v>37</v>
      </c>
      <c r="M2722" t="s">
        <v>54</v>
      </c>
    </row>
    <row r="2723" spans="1:13" x14ac:dyDescent="0.2">
      <c r="A2723">
        <v>553190</v>
      </c>
      <c r="B2723" s="1">
        <v>45175</v>
      </c>
      <c r="C2723">
        <v>46530</v>
      </c>
      <c r="D2723" t="s">
        <v>85</v>
      </c>
      <c r="E2723" t="s">
        <v>157</v>
      </c>
      <c r="F2723" t="s">
        <v>158</v>
      </c>
      <c r="G2723">
        <v>1</v>
      </c>
      <c r="H2723">
        <v>12.82</v>
      </c>
      <c r="I2723">
        <v>0.05</v>
      </c>
      <c r="J2723">
        <v>12.18</v>
      </c>
      <c r="K2723" t="s">
        <v>22</v>
      </c>
      <c r="L2723" t="s">
        <v>37</v>
      </c>
      <c r="M2723" t="s">
        <v>120</v>
      </c>
    </row>
    <row r="2724" spans="1:13" x14ac:dyDescent="0.2">
      <c r="A2724">
        <v>553262</v>
      </c>
      <c r="B2724" s="1">
        <v>45026</v>
      </c>
      <c r="C2724">
        <v>90954</v>
      </c>
      <c r="D2724" t="s">
        <v>97</v>
      </c>
      <c r="E2724" t="s">
        <v>181</v>
      </c>
      <c r="F2724" t="s">
        <v>182</v>
      </c>
      <c r="G2724">
        <v>1</v>
      </c>
      <c r="H2724">
        <v>13.49</v>
      </c>
      <c r="I2724">
        <v>0.1</v>
      </c>
      <c r="J2724">
        <v>12.14</v>
      </c>
      <c r="K2724" t="s">
        <v>95</v>
      </c>
      <c r="L2724" t="s">
        <v>17</v>
      </c>
      <c r="M2724" t="s">
        <v>76</v>
      </c>
    </row>
    <row r="2725" spans="1:13" x14ac:dyDescent="0.2">
      <c r="A2725">
        <v>553527</v>
      </c>
      <c r="B2725" s="1">
        <v>44990</v>
      </c>
      <c r="C2725">
        <v>19746</v>
      </c>
      <c r="D2725" t="s">
        <v>40</v>
      </c>
      <c r="E2725" t="s">
        <v>58</v>
      </c>
      <c r="F2725" t="s">
        <v>59</v>
      </c>
      <c r="G2725">
        <v>2</v>
      </c>
      <c r="H2725">
        <v>3.79</v>
      </c>
      <c r="I2725">
        <v>0.05</v>
      </c>
      <c r="J2725">
        <v>7.2</v>
      </c>
      <c r="K2725" t="s">
        <v>36</v>
      </c>
      <c r="L2725" t="s">
        <v>17</v>
      </c>
      <c r="M2725" t="s">
        <v>90</v>
      </c>
    </row>
    <row r="2726" spans="1:13" x14ac:dyDescent="0.2">
      <c r="A2726">
        <v>553732</v>
      </c>
      <c r="B2726" s="2">
        <v>45388</v>
      </c>
      <c r="C2726">
        <v>81008</v>
      </c>
      <c r="D2726" t="s">
        <v>40</v>
      </c>
      <c r="E2726" t="s">
        <v>20</v>
      </c>
      <c r="F2726" t="s">
        <v>21</v>
      </c>
      <c r="G2726">
        <v>2</v>
      </c>
      <c r="H2726">
        <v>6.99</v>
      </c>
      <c r="I2726">
        <v>0.3</v>
      </c>
      <c r="J2726">
        <v>9.7899999999999991</v>
      </c>
      <c r="K2726" t="s">
        <v>16</v>
      </c>
      <c r="L2726" t="s">
        <v>17</v>
      </c>
      <c r="M2726" t="s">
        <v>161</v>
      </c>
    </row>
    <row r="2727" spans="1:13" x14ac:dyDescent="0.2">
      <c r="A2727">
        <v>553915</v>
      </c>
      <c r="B2727" s="1">
        <v>44903</v>
      </c>
      <c r="C2727">
        <v>83919</v>
      </c>
      <c r="D2727" t="s">
        <v>97</v>
      </c>
      <c r="E2727" t="s">
        <v>181</v>
      </c>
      <c r="F2727" t="s">
        <v>182</v>
      </c>
      <c r="G2727">
        <v>1</v>
      </c>
      <c r="H2727">
        <v>14.99</v>
      </c>
      <c r="J2727">
        <v>14.99</v>
      </c>
      <c r="K2727" t="s">
        <v>32</v>
      </c>
      <c r="L2727" t="s">
        <v>17</v>
      </c>
      <c r="M2727" t="s">
        <v>47</v>
      </c>
    </row>
    <row r="2728" spans="1:13" x14ac:dyDescent="0.2">
      <c r="A2728">
        <v>554048</v>
      </c>
      <c r="B2728" s="1">
        <v>44687</v>
      </c>
      <c r="C2728">
        <v>16126</v>
      </c>
      <c r="D2728" t="s">
        <v>48</v>
      </c>
      <c r="E2728" t="s">
        <v>49</v>
      </c>
      <c r="F2728" t="s">
        <v>50</v>
      </c>
      <c r="G2728">
        <v>4</v>
      </c>
      <c r="H2728">
        <v>8.99</v>
      </c>
      <c r="J2728">
        <v>35.96</v>
      </c>
      <c r="K2728" t="s">
        <v>16</v>
      </c>
      <c r="L2728" t="s">
        <v>23</v>
      </c>
      <c r="M2728" t="s">
        <v>117</v>
      </c>
    </row>
    <row r="2729" spans="1:13" x14ac:dyDescent="0.2">
      <c r="A2729">
        <v>554163</v>
      </c>
      <c r="B2729" s="2">
        <v>45178</v>
      </c>
      <c r="C2729">
        <v>71993</v>
      </c>
      <c r="D2729" t="s">
        <v>44</v>
      </c>
      <c r="E2729" t="s">
        <v>177</v>
      </c>
      <c r="F2729" t="s">
        <v>178</v>
      </c>
      <c r="G2729">
        <v>4</v>
      </c>
      <c r="H2729">
        <v>10.79</v>
      </c>
      <c r="I2729">
        <v>0.1</v>
      </c>
      <c r="J2729">
        <v>38.840000000000003</v>
      </c>
      <c r="K2729" t="s">
        <v>16</v>
      </c>
      <c r="L2729" t="s">
        <v>37</v>
      </c>
      <c r="M2729" t="s">
        <v>103</v>
      </c>
    </row>
    <row r="2730" spans="1:13" x14ac:dyDescent="0.2">
      <c r="A2730">
        <v>554187</v>
      </c>
      <c r="B2730" s="1">
        <v>44881</v>
      </c>
      <c r="C2730">
        <v>55500</v>
      </c>
      <c r="D2730" t="s">
        <v>97</v>
      </c>
      <c r="E2730" t="s">
        <v>141</v>
      </c>
      <c r="F2730" t="s">
        <v>142</v>
      </c>
      <c r="G2730">
        <v>3</v>
      </c>
      <c r="H2730">
        <v>17.239999999999998</v>
      </c>
      <c r="I2730">
        <v>0.25</v>
      </c>
      <c r="J2730">
        <v>38.79</v>
      </c>
      <c r="K2730" t="s">
        <v>22</v>
      </c>
      <c r="L2730" t="s">
        <v>17</v>
      </c>
      <c r="M2730" t="s">
        <v>67</v>
      </c>
    </row>
    <row r="2731" spans="1:13" x14ac:dyDescent="0.2">
      <c r="A2731">
        <v>554319</v>
      </c>
      <c r="B2731" s="2">
        <v>44748</v>
      </c>
      <c r="C2731">
        <v>95690</v>
      </c>
      <c r="D2731" t="s">
        <v>97</v>
      </c>
      <c r="E2731" t="s">
        <v>151</v>
      </c>
      <c r="F2731" t="s">
        <v>152</v>
      </c>
      <c r="G2731">
        <v>1</v>
      </c>
      <c r="H2731">
        <v>31.49</v>
      </c>
      <c r="I2731">
        <v>0.1</v>
      </c>
      <c r="J2731">
        <v>28.34</v>
      </c>
      <c r="K2731" t="s">
        <v>53</v>
      </c>
      <c r="L2731" t="s">
        <v>37</v>
      </c>
      <c r="M2731" t="s">
        <v>18</v>
      </c>
    </row>
    <row r="2732" spans="1:13" x14ac:dyDescent="0.2">
      <c r="A2732">
        <v>554766</v>
      </c>
      <c r="B2732" s="1">
        <v>45111</v>
      </c>
      <c r="C2732">
        <v>39451</v>
      </c>
      <c r="D2732" t="s">
        <v>29</v>
      </c>
      <c r="E2732" t="s">
        <v>72</v>
      </c>
      <c r="F2732" t="s">
        <v>73</v>
      </c>
      <c r="G2732">
        <v>4</v>
      </c>
      <c r="H2732">
        <v>39.99</v>
      </c>
      <c r="J2732">
        <v>159.96</v>
      </c>
      <c r="K2732" t="s">
        <v>22</v>
      </c>
      <c r="L2732" t="s">
        <v>37</v>
      </c>
      <c r="M2732" t="s">
        <v>18</v>
      </c>
    </row>
    <row r="2733" spans="1:13" x14ac:dyDescent="0.2">
      <c r="A2733">
        <v>554908</v>
      </c>
      <c r="B2733" s="1">
        <v>45538</v>
      </c>
      <c r="D2733" t="s">
        <v>82</v>
      </c>
      <c r="E2733" t="s">
        <v>83</v>
      </c>
      <c r="F2733" t="s">
        <v>84</v>
      </c>
      <c r="G2733">
        <v>2</v>
      </c>
      <c r="H2733">
        <v>12.74</v>
      </c>
      <c r="I2733">
        <v>0.25</v>
      </c>
      <c r="J2733">
        <v>19.11</v>
      </c>
      <c r="K2733" t="s">
        <v>36</v>
      </c>
      <c r="L2733" t="s">
        <v>17</v>
      </c>
      <c r="M2733" t="s">
        <v>24</v>
      </c>
    </row>
    <row r="2734" spans="1:13" x14ac:dyDescent="0.2">
      <c r="A2734">
        <v>555036</v>
      </c>
      <c r="B2734" s="1">
        <v>44733</v>
      </c>
      <c r="C2734">
        <v>17629</v>
      </c>
      <c r="D2734" t="s">
        <v>25</v>
      </c>
      <c r="E2734" t="s">
        <v>26</v>
      </c>
      <c r="F2734" t="s">
        <v>27</v>
      </c>
      <c r="G2734">
        <v>1</v>
      </c>
      <c r="H2734">
        <v>34.99</v>
      </c>
      <c r="J2734">
        <v>34.99</v>
      </c>
      <c r="K2734" t="s">
        <v>22</v>
      </c>
      <c r="L2734" t="s">
        <v>37</v>
      </c>
      <c r="M2734" t="s">
        <v>18</v>
      </c>
    </row>
    <row r="2735" spans="1:13" x14ac:dyDescent="0.2">
      <c r="A2735">
        <v>555072</v>
      </c>
      <c r="B2735" s="1">
        <v>45527</v>
      </c>
      <c r="D2735" t="s">
        <v>85</v>
      </c>
      <c r="E2735" t="s">
        <v>86</v>
      </c>
      <c r="F2735" t="s">
        <v>87</v>
      </c>
      <c r="G2735">
        <v>5</v>
      </c>
      <c r="H2735">
        <v>11.69</v>
      </c>
      <c r="I2735">
        <v>0.1</v>
      </c>
      <c r="J2735">
        <v>52.6</v>
      </c>
      <c r="K2735" t="s">
        <v>22</v>
      </c>
      <c r="L2735" t="s">
        <v>37</v>
      </c>
      <c r="M2735" t="s">
        <v>47</v>
      </c>
    </row>
    <row r="2736" spans="1:13" x14ac:dyDescent="0.2">
      <c r="A2736">
        <v>555229</v>
      </c>
      <c r="B2736" s="1">
        <v>45453</v>
      </c>
      <c r="C2736">
        <v>39170</v>
      </c>
      <c r="D2736" t="s">
        <v>82</v>
      </c>
      <c r="E2736" t="s">
        <v>155</v>
      </c>
      <c r="F2736" t="s">
        <v>156</v>
      </c>
      <c r="G2736">
        <v>1</v>
      </c>
      <c r="H2736">
        <v>19.989999999999998</v>
      </c>
      <c r="J2736">
        <v>19.989999999999998</v>
      </c>
      <c r="K2736" t="s">
        <v>36</v>
      </c>
      <c r="L2736" t="s">
        <v>37</v>
      </c>
      <c r="M2736" t="s">
        <v>102</v>
      </c>
    </row>
    <row r="2737" spans="1:13" x14ac:dyDescent="0.2">
      <c r="A2737">
        <v>555653</v>
      </c>
      <c r="B2737" s="1">
        <v>44697</v>
      </c>
      <c r="C2737">
        <v>85681</v>
      </c>
      <c r="D2737" t="s">
        <v>63</v>
      </c>
      <c r="E2737" t="s">
        <v>131</v>
      </c>
      <c r="F2737" t="s">
        <v>132</v>
      </c>
      <c r="G2737">
        <v>4</v>
      </c>
      <c r="H2737">
        <v>2.79</v>
      </c>
      <c r="I2737">
        <v>0.2</v>
      </c>
      <c r="J2737">
        <v>8.93</v>
      </c>
      <c r="K2737" t="s">
        <v>16</v>
      </c>
      <c r="L2737" t="s">
        <v>37</v>
      </c>
      <c r="M2737" t="s">
        <v>24</v>
      </c>
    </row>
    <row r="2738" spans="1:13" x14ac:dyDescent="0.2">
      <c r="A2738">
        <v>555679</v>
      </c>
      <c r="B2738" s="1">
        <v>44778</v>
      </c>
      <c r="C2738">
        <v>55314</v>
      </c>
      <c r="D2738" t="s">
        <v>97</v>
      </c>
      <c r="E2738" t="s">
        <v>151</v>
      </c>
      <c r="F2738" t="s">
        <v>152</v>
      </c>
      <c r="G2738">
        <v>2</v>
      </c>
      <c r="H2738">
        <v>34.99</v>
      </c>
      <c r="J2738">
        <v>69.98</v>
      </c>
      <c r="K2738" t="s">
        <v>36</v>
      </c>
      <c r="L2738" t="s">
        <v>17</v>
      </c>
      <c r="M2738" t="s">
        <v>102</v>
      </c>
    </row>
    <row r="2739" spans="1:13" x14ac:dyDescent="0.2">
      <c r="A2739">
        <v>555715</v>
      </c>
      <c r="B2739" s="2">
        <v>45617</v>
      </c>
      <c r="C2739">
        <v>83697</v>
      </c>
      <c r="D2739" t="s">
        <v>183</v>
      </c>
      <c r="E2739" t="s">
        <v>168</v>
      </c>
      <c r="F2739" t="s">
        <v>169</v>
      </c>
      <c r="G2739">
        <v>5</v>
      </c>
      <c r="H2739">
        <v>8.99</v>
      </c>
      <c r="J2739">
        <v>44.95</v>
      </c>
      <c r="K2739" t="s">
        <v>16</v>
      </c>
      <c r="L2739" t="s">
        <v>17</v>
      </c>
      <c r="M2739" t="s">
        <v>33</v>
      </c>
    </row>
    <row r="2740" spans="1:13" x14ac:dyDescent="0.2">
      <c r="A2740">
        <v>555826</v>
      </c>
      <c r="B2740" s="1">
        <v>45493</v>
      </c>
      <c r="C2740">
        <v>76551</v>
      </c>
      <c r="D2740" t="s">
        <v>63</v>
      </c>
      <c r="E2740" t="s">
        <v>131</v>
      </c>
      <c r="F2740" t="s">
        <v>132</v>
      </c>
      <c r="G2740">
        <v>1</v>
      </c>
      <c r="H2740">
        <v>2.62</v>
      </c>
      <c r="I2740">
        <v>0.25</v>
      </c>
      <c r="J2740">
        <v>1.96</v>
      </c>
      <c r="K2740" t="s">
        <v>22</v>
      </c>
      <c r="L2740" t="s">
        <v>17</v>
      </c>
      <c r="M2740" t="s">
        <v>24</v>
      </c>
    </row>
    <row r="2741" spans="1:13" x14ac:dyDescent="0.2">
      <c r="A2741">
        <v>556068</v>
      </c>
      <c r="B2741" s="1">
        <v>44648</v>
      </c>
      <c r="C2741">
        <v>19835</v>
      </c>
      <c r="D2741" t="s">
        <v>40</v>
      </c>
      <c r="E2741" t="s">
        <v>197</v>
      </c>
      <c r="F2741" t="s">
        <v>198</v>
      </c>
      <c r="G2741">
        <v>2</v>
      </c>
      <c r="H2741">
        <v>12.74</v>
      </c>
      <c r="I2741">
        <v>0.15</v>
      </c>
      <c r="J2741">
        <v>21.66</v>
      </c>
      <c r="K2741" t="s">
        <v>95</v>
      </c>
      <c r="L2741" t="s">
        <v>23</v>
      </c>
      <c r="M2741" t="s">
        <v>43</v>
      </c>
    </row>
    <row r="2742" spans="1:13" x14ac:dyDescent="0.2">
      <c r="A2742">
        <v>556087</v>
      </c>
      <c r="B2742" s="1">
        <v>44917</v>
      </c>
      <c r="C2742">
        <v>10574</v>
      </c>
      <c r="D2742" t="s">
        <v>25</v>
      </c>
      <c r="E2742" t="s">
        <v>51</v>
      </c>
      <c r="F2742" t="s">
        <v>52</v>
      </c>
      <c r="G2742">
        <v>1</v>
      </c>
      <c r="H2742">
        <v>27.99</v>
      </c>
      <c r="J2742">
        <v>27.99</v>
      </c>
      <c r="K2742" t="s">
        <v>36</v>
      </c>
      <c r="L2742" t="s">
        <v>17</v>
      </c>
      <c r="M2742" t="s">
        <v>102</v>
      </c>
    </row>
    <row r="2743" spans="1:13" x14ac:dyDescent="0.2">
      <c r="A2743">
        <v>556752</v>
      </c>
      <c r="B2743" s="1">
        <v>45404</v>
      </c>
      <c r="C2743">
        <v>88904</v>
      </c>
      <c r="D2743" t="s">
        <v>63</v>
      </c>
      <c r="E2743" t="s">
        <v>64</v>
      </c>
      <c r="F2743" t="s">
        <v>65</v>
      </c>
      <c r="G2743">
        <v>3</v>
      </c>
      <c r="H2743">
        <v>3.74</v>
      </c>
      <c r="I2743">
        <v>0.25</v>
      </c>
      <c r="J2743">
        <v>8.42</v>
      </c>
      <c r="K2743" t="s">
        <v>16</v>
      </c>
      <c r="L2743" t="s">
        <v>37</v>
      </c>
      <c r="M2743" t="s">
        <v>33</v>
      </c>
    </row>
    <row r="2744" spans="1:13" x14ac:dyDescent="0.2">
      <c r="A2744">
        <v>556997</v>
      </c>
      <c r="B2744" s="2">
        <v>45043</v>
      </c>
      <c r="C2744">
        <v>14258</v>
      </c>
      <c r="D2744" t="s">
        <v>48</v>
      </c>
      <c r="E2744" t="s">
        <v>143</v>
      </c>
      <c r="F2744" t="s">
        <v>144</v>
      </c>
      <c r="G2744">
        <v>5</v>
      </c>
      <c r="H2744">
        <v>12.74</v>
      </c>
      <c r="I2744">
        <v>0.15</v>
      </c>
      <c r="J2744">
        <v>54.14</v>
      </c>
      <c r="K2744" t="s">
        <v>16</v>
      </c>
      <c r="L2744" t="s">
        <v>23</v>
      </c>
      <c r="M2744" t="s">
        <v>123</v>
      </c>
    </row>
    <row r="2745" spans="1:13" x14ac:dyDescent="0.2">
      <c r="A2745">
        <v>557082</v>
      </c>
      <c r="B2745" s="1">
        <v>45589</v>
      </c>
      <c r="C2745">
        <v>79102</v>
      </c>
      <c r="D2745" t="s">
        <v>48</v>
      </c>
      <c r="E2745" t="s">
        <v>139</v>
      </c>
      <c r="F2745" t="s">
        <v>140</v>
      </c>
      <c r="G2745">
        <v>2</v>
      </c>
      <c r="H2745">
        <v>7.59</v>
      </c>
      <c r="I2745">
        <v>0.05</v>
      </c>
      <c r="J2745">
        <v>14.42</v>
      </c>
      <c r="K2745" t="s">
        <v>36</v>
      </c>
      <c r="L2745" t="s">
        <v>17</v>
      </c>
      <c r="M2745" t="s">
        <v>81</v>
      </c>
    </row>
    <row r="2746" spans="1:13" x14ac:dyDescent="0.2">
      <c r="A2746">
        <v>557280</v>
      </c>
      <c r="B2746" s="2">
        <v>45476</v>
      </c>
      <c r="C2746">
        <v>74484</v>
      </c>
      <c r="D2746" t="s">
        <v>164</v>
      </c>
      <c r="E2746" t="s">
        <v>30</v>
      </c>
      <c r="F2746" t="s">
        <v>31</v>
      </c>
      <c r="G2746">
        <v>3</v>
      </c>
      <c r="H2746">
        <v>21.24</v>
      </c>
      <c r="I2746">
        <v>0.15</v>
      </c>
      <c r="J2746">
        <v>54.16</v>
      </c>
      <c r="K2746" t="s">
        <v>16</v>
      </c>
      <c r="L2746" t="s">
        <v>23</v>
      </c>
      <c r="M2746" t="s">
        <v>62</v>
      </c>
    </row>
    <row r="2747" spans="1:13" x14ac:dyDescent="0.2">
      <c r="A2747">
        <v>557346</v>
      </c>
      <c r="B2747" s="1">
        <v>45351</v>
      </c>
      <c r="C2747">
        <v>52322</v>
      </c>
      <c r="D2747" t="s">
        <v>40</v>
      </c>
      <c r="E2747" t="s">
        <v>20</v>
      </c>
      <c r="F2747" t="s">
        <v>21</v>
      </c>
      <c r="G2747">
        <v>2</v>
      </c>
      <c r="H2747">
        <v>9.99</v>
      </c>
      <c r="J2747">
        <v>19.98</v>
      </c>
      <c r="K2747" t="s">
        <v>36</v>
      </c>
      <c r="L2747" t="s">
        <v>17</v>
      </c>
      <c r="M2747" t="s">
        <v>67</v>
      </c>
    </row>
    <row r="2748" spans="1:13" x14ac:dyDescent="0.2">
      <c r="A2748">
        <v>557379</v>
      </c>
      <c r="B2748" s="2">
        <v>45436</v>
      </c>
      <c r="C2748">
        <v>56361</v>
      </c>
      <c r="D2748" t="s">
        <v>48</v>
      </c>
      <c r="E2748" t="s">
        <v>109</v>
      </c>
      <c r="F2748" t="s">
        <v>110</v>
      </c>
      <c r="G2748">
        <v>2</v>
      </c>
      <c r="H2748">
        <v>6.99</v>
      </c>
      <c r="J2748">
        <v>13.98</v>
      </c>
      <c r="K2748" t="s">
        <v>36</v>
      </c>
      <c r="L2748" t="s">
        <v>17</v>
      </c>
      <c r="M2748" t="s">
        <v>117</v>
      </c>
    </row>
    <row r="2749" spans="1:13" x14ac:dyDescent="0.2">
      <c r="A2749">
        <v>557680</v>
      </c>
      <c r="B2749" s="1">
        <v>45483</v>
      </c>
      <c r="C2749">
        <v>50929</v>
      </c>
      <c r="D2749" t="s">
        <v>13</v>
      </c>
      <c r="E2749" t="s">
        <v>159</v>
      </c>
      <c r="F2749" t="s">
        <v>160</v>
      </c>
      <c r="G2749">
        <v>5</v>
      </c>
      <c r="H2749">
        <v>47.99</v>
      </c>
      <c r="I2749">
        <v>0.2</v>
      </c>
      <c r="J2749">
        <v>191.96</v>
      </c>
      <c r="K2749" t="s">
        <v>22</v>
      </c>
      <c r="L2749" t="s">
        <v>17</v>
      </c>
      <c r="M2749" t="s">
        <v>47</v>
      </c>
    </row>
    <row r="2750" spans="1:13" x14ac:dyDescent="0.2">
      <c r="A2750">
        <v>557753</v>
      </c>
      <c r="B2750" s="1">
        <v>45368</v>
      </c>
      <c r="C2750">
        <v>92973</v>
      </c>
      <c r="D2750" t="s">
        <v>85</v>
      </c>
      <c r="E2750" t="s">
        <v>137</v>
      </c>
      <c r="F2750" t="s">
        <v>138</v>
      </c>
      <c r="G2750">
        <v>1</v>
      </c>
      <c r="H2750">
        <v>7.19</v>
      </c>
      <c r="I2750">
        <v>0.1</v>
      </c>
      <c r="J2750">
        <v>6.47</v>
      </c>
      <c r="K2750" t="s">
        <v>16</v>
      </c>
      <c r="L2750" t="s">
        <v>17</v>
      </c>
      <c r="M2750" t="s">
        <v>33</v>
      </c>
    </row>
    <row r="2751" spans="1:13" x14ac:dyDescent="0.2">
      <c r="A2751">
        <v>557830</v>
      </c>
      <c r="B2751" s="2">
        <v>45588</v>
      </c>
      <c r="C2751">
        <v>39858</v>
      </c>
      <c r="D2751" t="s">
        <v>44</v>
      </c>
      <c r="E2751" t="s">
        <v>195</v>
      </c>
      <c r="F2751" t="s">
        <v>196</v>
      </c>
      <c r="G2751">
        <v>3</v>
      </c>
      <c r="H2751">
        <v>4.74</v>
      </c>
      <c r="I2751">
        <v>0.05</v>
      </c>
      <c r="J2751">
        <v>13.51</v>
      </c>
      <c r="K2751" t="s">
        <v>22</v>
      </c>
      <c r="L2751" t="s">
        <v>37</v>
      </c>
      <c r="M2751" t="s">
        <v>24</v>
      </c>
    </row>
    <row r="2752" spans="1:13" x14ac:dyDescent="0.2">
      <c r="A2752">
        <v>557969</v>
      </c>
      <c r="B2752" s="1">
        <v>44987</v>
      </c>
      <c r="C2752">
        <v>22288</v>
      </c>
      <c r="D2752" t="s">
        <v>85</v>
      </c>
      <c r="E2752" t="s">
        <v>153</v>
      </c>
      <c r="F2752" t="s">
        <v>154</v>
      </c>
      <c r="G2752">
        <v>1</v>
      </c>
      <c r="H2752">
        <v>20.99</v>
      </c>
      <c r="I2752">
        <v>0.3</v>
      </c>
      <c r="J2752">
        <v>14.69</v>
      </c>
      <c r="K2752" t="s">
        <v>16</v>
      </c>
      <c r="L2752" t="s">
        <v>37</v>
      </c>
      <c r="M2752" t="s">
        <v>123</v>
      </c>
    </row>
    <row r="2753" spans="1:13" x14ac:dyDescent="0.2">
      <c r="A2753">
        <v>558201</v>
      </c>
      <c r="B2753" s="1">
        <v>45008</v>
      </c>
      <c r="C2753">
        <v>47742</v>
      </c>
      <c r="D2753" t="s">
        <v>63</v>
      </c>
      <c r="E2753" t="s">
        <v>68</v>
      </c>
      <c r="F2753" t="s">
        <v>69</v>
      </c>
      <c r="G2753">
        <v>4</v>
      </c>
      <c r="H2753">
        <v>24.99</v>
      </c>
      <c r="J2753">
        <v>99.96</v>
      </c>
      <c r="K2753" t="s">
        <v>32</v>
      </c>
      <c r="L2753" t="s">
        <v>17</v>
      </c>
      <c r="M2753" t="s">
        <v>28</v>
      </c>
    </row>
    <row r="2754" spans="1:13" x14ac:dyDescent="0.2">
      <c r="A2754">
        <v>558381</v>
      </c>
      <c r="B2754" s="1">
        <v>45625</v>
      </c>
      <c r="C2754">
        <v>70766</v>
      </c>
      <c r="D2754" t="s">
        <v>25</v>
      </c>
      <c r="E2754" t="s">
        <v>60</v>
      </c>
      <c r="F2754" t="s">
        <v>61</v>
      </c>
      <c r="G2754">
        <v>1</v>
      </c>
      <c r="H2754">
        <v>46.74</v>
      </c>
      <c r="I2754">
        <v>0.15</v>
      </c>
      <c r="J2754">
        <v>39.729999999999997</v>
      </c>
      <c r="K2754" t="s">
        <v>36</v>
      </c>
      <c r="L2754" t="s">
        <v>23</v>
      </c>
    </row>
    <row r="2755" spans="1:13" x14ac:dyDescent="0.2">
      <c r="A2755">
        <v>558452</v>
      </c>
      <c r="B2755" s="1">
        <v>45194</v>
      </c>
      <c r="C2755">
        <v>65661</v>
      </c>
      <c r="D2755" t="s">
        <v>85</v>
      </c>
      <c r="E2755" t="s">
        <v>149</v>
      </c>
      <c r="F2755" t="s">
        <v>150</v>
      </c>
      <c r="G2755">
        <v>3</v>
      </c>
      <c r="H2755">
        <v>13.99</v>
      </c>
      <c r="I2755">
        <v>0.3</v>
      </c>
      <c r="J2755">
        <v>29.38</v>
      </c>
      <c r="K2755" t="s">
        <v>16</v>
      </c>
      <c r="L2755" t="s">
        <v>17</v>
      </c>
      <c r="M2755" t="s">
        <v>120</v>
      </c>
    </row>
    <row r="2756" spans="1:13" x14ac:dyDescent="0.2">
      <c r="A2756">
        <v>558598</v>
      </c>
      <c r="B2756" s="1">
        <v>44711</v>
      </c>
      <c r="C2756">
        <v>59820</v>
      </c>
      <c r="D2756" t="s">
        <v>25</v>
      </c>
      <c r="E2756" t="s">
        <v>70</v>
      </c>
      <c r="F2756" t="s">
        <v>71</v>
      </c>
      <c r="G2756">
        <v>1</v>
      </c>
      <c r="H2756">
        <v>85.49</v>
      </c>
      <c r="I2756">
        <v>0.05</v>
      </c>
      <c r="J2756">
        <v>81.22</v>
      </c>
      <c r="K2756" t="s">
        <v>36</v>
      </c>
      <c r="L2756" t="s">
        <v>37</v>
      </c>
      <c r="M2756" t="s">
        <v>123</v>
      </c>
    </row>
    <row r="2757" spans="1:13" x14ac:dyDescent="0.2">
      <c r="A2757">
        <v>558697</v>
      </c>
      <c r="B2757" s="1">
        <v>45203</v>
      </c>
      <c r="C2757">
        <v>74503</v>
      </c>
      <c r="D2757" t="s">
        <v>63</v>
      </c>
      <c r="E2757" t="s">
        <v>131</v>
      </c>
      <c r="F2757" t="s">
        <v>132</v>
      </c>
      <c r="G2757">
        <v>1</v>
      </c>
      <c r="H2757">
        <v>2.44</v>
      </c>
      <c r="I2757">
        <v>0.3</v>
      </c>
      <c r="J2757">
        <v>1.71</v>
      </c>
      <c r="K2757" t="s">
        <v>16</v>
      </c>
      <c r="L2757" t="s">
        <v>17</v>
      </c>
      <c r="M2757" t="s">
        <v>161</v>
      </c>
    </row>
    <row r="2758" spans="1:13" x14ac:dyDescent="0.2">
      <c r="A2758">
        <v>558767</v>
      </c>
      <c r="B2758" s="1">
        <v>44971</v>
      </c>
      <c r="C2758">
        <v>66893</v>
      </c>
      <c r="D2758" t="s">
        <v>40</v>
      </c>
      <c r="E2758" t="s">
        <v>41</v>
      </c>
      <c r="F2758" t="s">
        <v>42</v>
      </c>
      <c r="G2758">
        <v>1</v>
      </c>
      <c r="H2758">
        <v>5.69</v>
      </c>
      <c r="I2758">
        <v>0.05</v>
      </c>
      <c r="J2758">
        <v>5.41</v>
      </c>
      <c r="K2758" t="s">
        <v>22</v>
      </c>
      <c r="L2758" t="s">
        <v>17</v>
      </c>
      <c r="M2758" t="s">
        <v>103</v>
      </c>
    </row>
    <row r="2759" spans="1:13" x14ac:dyDescent="0.2">
      <c r="A2759">
        <v>558856</v>
      </c>
      <c r="B2759" s="1">
        <v>44591</v>
      </c>
      <c r="C2759">
        <v>29585</v>
      </c>
      <c r="D2759" t="s">
        <v>44</v>
      </c>
      <c r="E2759" t="s">
        <v>93</v>
      </c>
      <c r="F2759" t="s">
        <v>94</v>
      </c>
      <c r="G2759">
        <v>1</v>
      </c>
      <c r="H2759">
        <v>1.03</v>
      </c>
      <c r="I2759">
        <v>0.2</v>
      </c>
      <c r="J2759">
        <v>0.82</v>
      </c>
      <c r="K2759" t="s">
        <v>16</v>
      </c>
      <c r="L2759" t="s">
        <v>17</v>
      </c>
      <c r="M2759" t="s">
        <v>123</v>
      </c>
    </row>
    <row r="2760" spans="1:13" x14ac:dyDescent="0.2">
      <c r="A2760">
        <v>558880</v>
      </c>
      <c r="B2760" s="1">
        <v>45587</v>
      </c>
      <c r="C2760">
        <v>41208</v>
      </c>
      <c r="D2760" t="s">
        <v>48</v>
      </c>
      <c r="E2760" t="s">
        <v>109</v>
      </c>
      <c r="F2760" t="s">
        <v>110</v>
      </c>
      <c r="G2760">
        <v>1</v>
      </c>
      <c r="H2760">
        <v>5.59</v>
      </c>
      <c r="I2760">
        <v>0.2</v>
      </c>
      <c r="J2760">
        <v>4.47</v>
      </c>
      <c r="K2760" t="s">
        <v>36</v>
      </c>
      <c r="L2760" t="s">
        <v>17</v>
      </c>
      <c r="M2760" t="s">
        <v>67</v>
      </c>
    </row>
    <row r="2761" spans="1:13" x14ac:dyDescent="0.2">
      <c r="A2761">
        <v>558916</v>
      </c>
      <c r="B2761" s="1">
        <v>45620</v>
      </c>
      <c r="C2761">
        <v>54890</v>
      </c>
      <c r="D2761" t="s">
        <v>44</v>
      </c>
      <c r="E2761" t="s">
        <v>184</v>
      </c>
      <c r="F2761" t="s">
        <v>185</v>
      </c>
      <c r="G2761">
        <v>1</v>
      </c>
      <c r="H2761">
        <v>4.67</v>
      </c>
      <c r="I2761">
        <v>0.15</v>
      </c>
      <c r="J2761">
        <v>3.97</v>
      </c>
      <c r="K2761" t="s">
        <v>22</v>
      </c>
      <c r="L2761" t="s">
        <v>17</v>
      </c>
      <c r="M2761" t="s">
        <v>47</v>
      </c>
    </row>
    <row r="2762" spans="1:13" x14ac:dyDescent="0.2">
      <c r="A2762">
        <v>558976</v>
      </c>
      <c r="B2762" s="1">
        <v>45605</v>
      </c>
      <c r="C2762">
        <v>19368</v>
      </c>
      <c r="D2762" t="s">
        <v>97</v>
      </c>
      <c r="E2762" t="s">
        <v>121</v>
      </c>
      <c r="F2762" t="s">
        <v>122</v>
      </c>
      <c r="G2762">
        <v>1</v>
      </c>
      <c r="H2762">
        <v>10.39</v>
      </c>
      <c r="I2762">
        <v>0.2</v>
      </c>
      <c r="J2762">
        <v>8.31</v>
      </c>
      <c r="K2762" t="s">
        <v>36</v>
      </c>
      <c r="L2762" t="s">
        <v>17</v>
      </c>
      <c r="M2762" t="s">
        <v>81</v>
      </c>
    </row>
    <row r="2763" spans="1:13" x14ac:dyDescent="0.2">
      <c r="A2763">
        <v>559198</v>
      </c>
      <c r="B2763" s="1">
        <v>45198</v>
      </c>
      <c r="C2763">
        <v>29776</v>
      </c>
      <c r="D2763" t="s">
        <v>48</v>
      </c>
      <c r="E2763" t="s">
        <v>109</v>
      </c>
      <c r="F2763" t="s">
        <v>110</v>
      </c>
      <c r="G2763">
        <v>1</v>
      </c>
      <c r="H2763">
        <v>6.99</v>
      </c>
      <c r="J2763">
        <v>6.99</v>
      </c>
      <c r="K2763" t="s">
        <v>32</v>
      </c>
      <c r="L2763" t="s">
        <v>17</v>
      </c>
      <c r="M2763" t="s">
        <v>47</v>
      </c>
    </row>
    <row r="2764" spans="1:13" x14ac:dyDescent="0.2">
      <c r="A2764">
        <v>559333</v>
      </c>
      <c r="B2764" s="1">
        <v>45045</v>
      </c>
      <c r="C2764">
        <v>28040</v>
      </c>
      <c r="D2764" t="s">
        <v>29</v>
      </c>
      <c r="E2764" t="s">
        <v>175</v>
      </c>
      <c r="F2764" t="s">
        <v>176</v>
      </c>
      <c r="G2764">
        <v>1</v>
      </c>
      <c r="H2764">
        <v>8.39</v>
      </c>
      <c r="I2764">
        <v>0.3</v>
      </c>
      <c r="J2764">
        <v>5.87</v>
      </c>
      <c r="K2764" t="s">
        <v>36</v>
      </c>
      <c r="L2764" t="s">
        <v>17</v>
      </c>
      <c r="M2764" t="s">
        <v>161</v>
      </c>
    </row>
    <row r="2765" spans="1:13" x14ac:dyDescent="0.2">
      <c r="A2765">
        <v>559414</v>
      </c>
      <c r="B2765" s="2">
        <v>45608</v>
      </c>
      <c r="C2765">
        <v>86406</v>
      </c>
      <c r="D2765" t="s">
        <v>63</v>
      </c>
      <c r="E2765" t="s">
        <v>131</v>
      </c>
      <c r="F2765" t="s">
        <v>132</v>
      </c>
      <c r="G2765">
        <v>3</v>
      </c>
      <c r="H2765">
        <v>3.49</v>
      </c>
      <c r="J2765">
        <v>10.47</v>
      </c>
      <c r="K2765" t="s">
        <v>36</v>
      </c>
      <c r="L2765" t="s">
        <v>17</v>
      </c>
      <c r="M2765" t="s">
        <v>62</v>
      </c>
    </row>
    <row r="2766" spans="1:13" x14ac:dyDescent="0.2">
      <c r="A2766">
        <v>559550</v>
      </c>
      <c r="B2766" s="1">
        <v>45174</v>
      </c>
      <c r="C2766">
        <v>44172</v>
      </c>
      <c r="D2766" t="s">
        <v>48</v>
      </c>
      <c r="E2766" t="s">
        <v>143</v>
      </c>
      <c r="F2766" t="s">
        <v>144</v>
      </c>
      <c r="G2766">
        <v>2</v>
      </c>
      <c r="H2766">
        <v>14.24</v>
      </c>
      <c r="I2766">
        <v>0.05</v>
      </c>
      <c r="J2766">
        <v>27.06</v>
      </c>
      <c r="K2766" t="s">
        <v>22</v>
      </c>
      <c r="L2766" t="s">
        <v>17</v>
      </c>
      <c r="M2766" t="s">
        <v>96</v>
      </c>
    </row>
    <row r="2767" spans="1:13" x14ac:dyDescent="0.2">
      <c r="A2767">
        <v>559650</v>
      </c>
      <c r="B2767" s="1">
        <v>44637</v>
      </c>
      <c r="C2767">
        <v>50102</v>
      </c>
      <c r="D2767" t="s">
        <v>48</v>
      </c>
      <c r="E2767" t="s">
        <v>179</v>
      </c>
      <c r="F2767" t="s">
        <v>180</v>
      </c>
      <c r="G2767">
        <v>2</v>
      </c>
      <c r="H2767">
        <v>11.99</v>
      </c>
      <c r="J2767">
        <v>23.98</v>
      </c>
      <c r="K2767" t="s">
        <v>36</v>
      </c>
      <c r="L2767" t="s">
        <v>37</v>
      </c>
      <c r="M2767" t="s">
        <v>117</v>
      </c>
    </row>
    <row r="2768" spans="1:13" x14ac:dyDescent="0.2">
      <c r="A2768">
        <v>559849</v>
      </c>
      <c r="B2768" s="1">
        <v>44989</v>
      </c>
      <c r="C2768">
        <v>26338</v>
      </c>
      <c r="D2768" t="s">
        <v>48</v>
      </c>
      <c r="E2768" t="s">
        <v>109</v>
      </c>
      <c r="F2768" t="s">
        <v>110</v>
      </c>
      <c r="G2768">
        <v>1</v>
      </c>
      <c r="H2768">
        <v>5.59</v>
      </c>
      <c r="I2768">
        <v>0.2</v>
      </c>
      <c r="J2768">
        <v>4.47</v>
      </c>
      <c r="K2768" t="s">
        <v>36</v>
      </c>
      <c r="L2768" t="s">
        <v>17</v>
      </c>
      <c r="M2768" t="s">
        <v>96</v>
      </c>
    </row>
    <row r="2769" spans="1:13" x14ac:dyDescent="0.2">
      <c r="A2769">
        <v>559915</v>
      </c>
      <c r="B2769" s="1">
        <v>44768</v>
      </c>
      <c r="C2769">
        <v>89904</v>
      </c>
      <c r="D2769" t="s">
        <v>97</v>
      </c>
      <c r="E2769" t="s">
        <v>98</v>
      </c>
      <c r="F2769" t="s">
        <v>99</v>
      </c>
      <c r="G2769">
        <v>1</v>
      </c>
      <c r="H2769">
        <v>22.39</v>
      </c>
      <c r="I2769">
        <v>0.2</v>
      </c>
      <c r="J2769">
        <v>17.91</v>
      </c>
      <c r="K2769" t="s">
        <v>36</v>
      </c>
      <c r="L2769" t="s">
        <v>17</v>
      </c>
      <c r="M2769" t="s">
        <v>103</v>
      </c>
    </row>
    <row r="2770" spans="1:13" x14ac:dyDescent="0.2">
      <c r="A2770">
        <v>560156</v>
      </c>
      <c r="B2770" s="2">
        <v>45109</v>
      </c>
      <c r="C2770">
        <v>92721</v>
      </c>
      <c r="D2770" t="s">
        <v>13</v>
      </c>
      <c r="E2770" t="s">
        <v>104</v>
      </c>
      <c r="F2770" t="s">
        <v>105</v>
      </c>
      <c r="G2770">
        <v>1</v>
      </c>
      <c r="H2770">
        <v>22.49</v>
      </c>
      <c r="I2770">
        <v>0.25</v>
      </c>
      <c r="J2770">
        <v>16.87</v>
      </c>
      <c r="K2770" t="s">
        <v>16</v>
      </c>
      <c r="L2770" t="s">
        <v>17</v>
      </c>
      <c r="M2770" t="s">
        <v>96</v>
      </c>
    </row>
    <row r="2771" spans="1:13" x14ac:dyDescent="0.2">
      <c r="A2771">
        <v>560190</v>
      </c>
      <c r="B2771" s="1">
        <v>44960</v>
      </c>
      <c r="C2771">
        <v>88860</v>
      </c>
      <c r="D2771" t="s">
        <v>85</v>
      </c>
      <c r="E2771" t="s">
        <v>153</v>
      </c>
      <c r="F2771" t="s">
        <v>154</v>
      </c>
      <c r="G2771">
        <v>3</v>
      </c>
      <c r="H2771">
        <v>25.49</v>
      </c>
      <c r="I2771">
        <v>0.15</v>
      </c>
      <c r="J2771">
        <v>65</v>
      </c>
      <c r="K2771" t="s">
        <v>32</v>
      </c>
      <c r="L2771" t="s">
        <v>17</v>
      </c>
      <c r="M2771" t="s">
        <v>24</v>
      </c>
    </row>
    <row r="2772" spans="1:13" x14ac:dyDescent="0.2">
      <c r="A2772">
        <v>560352</v>
      </c>
      <c r="B2772" s="1">
        <v>44853</v>
      </c>
      <c r="C2772">
        <v>58702</v>
      </c>
      <c r="D2772" t="s">
        <v>29</v>
      </c>
      <c r="E2772" t="s">
        <v>38</v>
      </c>
      <c r="F2772" t="s">
        <v>39</v>
      </c>
      <c r="G2772">
        <v>5</v>
      </c>
      <c r="H2772">
        <v>29.99</v>
      </c>
      <c r="J2772">
        <v>149.94999999999999</v>
      </c>
      <c r="K2772" t="s">
        <v>22</v>
      </c>
      <c r="L2772" t="s">
        <v>17</v>
      </c>
      <c r="M2772" t="s">
        <v>103</v>
      </c>
    </row>
    <row r="2773" spans="1:13" x14ac:dyDescent="0.2">
      <c r="A2773">
        <v>560504</v>
      </c>
      <c r="B2773" s="1">
        <v>45480</v>
      </c>
      <c r="C2773">
        <v>27970</v>
      </c>
      <c r="D2773" t="s">
        <v>97</v>
      </c>
      <c r="E2773" t="s">
        <v>135</v>
      </c>
      <c r="F2773" t="s">
        <v>136</v>
      </c>
      <c r="G2773">
        <v>1</v>
      </c>
      <c r="H2773">
        <v>8.49</v>
      </c>
      <c r="I2773">
        <v>0.15</v>
      </c>
      <c r="J2773">
        <v>7.22</v>
      </c>
      <c r="K2773" t="s">
        <v>22</v>
      </c>
      <c r="L2773" t="s">
        <v>17</v>
      </c>
      <c r="M2773" t="s">
        <v>57</v>
      </c>
    </row>
    <row r="2774" spans="1:13" x14ac:dyDescent="0.2">
      <c r="A2774">
        <v>560582</v>
      </c>
      <c r="B2774" s="1">
        <v>44757</v>
      </c>
      <c r="D2774" t="s">
        <v>82</v>
      </c>
      <c r="E2774" t="s">
        <v>147</v>
      </c>
      <c r="F2774" t="s">
        <v>148</v>
      </c>
      <c r="G2774">
        <v>2</v>
      </c>
      <c r="H2774">
        <v>9.09</v>
      </c>
      <c r="I2774">
        <v>0.3</v>
      </c>
      <c r="J2774">
        <v>12.73</v>
      </c>
      <c r="K2774" t="s">
        <v>16</v>
      </c>
      <c r="L2774" t="s">
        <v>17</v>
      </c>
      <c r="M2774" t="s">
        <v>33</v>
      </c>
    </row>
    <row r="2775" spans="1:13" x14ac:dyDescent="0.2">
      <c r="A2775">
        <v>560858</v>
      </c>
      <c r="B2775" s="2">
        <v>44644</v>
      </c>
      <c r="D2775" t="s">
        <v>48</v>
      </c>
      <c r="E2775" t="s">
        <v>118</v>
      </c>
      <c r="F2775" t="s">
        <v>119</v>
      </c>
      <c r="G2775">
        <v>4</v>
      </c>
      <c r="H2775">
        <v>3.74</v>
      </c>
      <c r="I2775">
        <v>0.25</v>
      </c>
      <c r="J2775">
        <v>11.22</v>
      </c>
      <c r="K2775" t="s">
        <v>95</v>
      </c>
      <c r="L2775" t="s">
        <v>37</v>
      </c>
    </row>
    <row r="2776" spans="1:13" x14ac:dyDescent="0.2">
      <c r="A2776">
        <v>560980</v>
      </c>
      <c r="B2776" s="2">
        <v>45500</v>
      </c>
      <c r="C2776">
        <v>90037</v>
      </c>
      <c r="D2776" t="s">
        <v>29</v>
      </c>
      <c r="E2776" t="s">
        <v>38</v>
      </c>
      <c r="F2776" t="s">
        <v>39</v>
      </c>
      <c r="G2776">
        <v>5</v>
      </c>
      <c r="H2776">
        <v>23.99</v>
      </c>
      <c r="I2776">
        <v>0.2</v>
      </c>
      <c r="J2776">
        <v>95.96</v>
      </c>
      <c r="K2776" t="s">
        <v>16</v>
      </c>
      <c r="L2776" t="s">
        <v>17</v>
      </c>
      <c r="M2776" t="s">
        <v>96</v>
      </c>
    </row>
    <row r="2777" spans="1:13" x14ac:dyDescent="0.2">
      <c r="A2777">
        <v>561047</v>
      </c>
      <c r="B2777" s="1">
        <v>44668</v>
      </c>
      <c r="C2777">
        <v>25374</v>
      </c>
      <c r="D2777" t="s">
        <v>13</v>
      </c>
      <c r="E2777" t="s">
        <v>104</v>
      </c>
      <c r="F2777" t="s">
        <v>105</v>
      </c>
      <c r="G2777">
        <v>2</v>
      </c>
      <c r="H2777">
        <v>29.99</v>
      </c>
      <c r="J2777">
        <v>59.98</v>
      </c>
      <c r="K2777" t="s">
        <v>16</v>
      </c>
      <c r="L2777" t="s">
        <v>17</v>
      </c>
      <c r="M2777" t="s">
        <v>43</v>
      </c>
    </row>
    <row r="2778" spans="1:13" x14ac:dyDescent="0.2">
      <c r="A2778">
        <v>561105</v>
      </c>
      <c r="B2778" s="1">
        <v>44870</v>
      </c>
      <c r="C2778">
        <v>16267</v>
      </c>
      <c r="D2778" t="s">
        <v>63</v>
      </c>
      <c r="E2778" t="s">
        <v>68</v>
      </c>
      <c r="F2778" t="s">
        <v>69</v>
      </c>
      <c r="G2778">
        <v>1</v>
      </c>
      <c r="H2778">
        <v>23.74</v>
      </c>
      <c r="I2778">
        <v>0.05</v>
      </c>
      <c r="J2778">
        <v>22.55</v>
      </c>
      <c r="K2778" t="s">
        <v>22</v>
      </c>
      <c r="L2778" t="s">
        <v>17</v>
      </c>
      <c r="M2778" t="s">
        <v>62</v>
      </c>
    </row>
    <row r="2779" spans="1:13" x14ac:dyDescent="0.2">
      <c r="A2779">
        <v>561154</v>
      </c>
      <c r="B2779" s="1">
        <v>45506</v>
      </c>
      <c r="C2779">
        <v>25717</v>
      </c>
      <c r="D2779" t="s">
        <v>48</v>
      </c>
      <c r="E2779" t="s">
        <v>143</v>
      </c>
      <c r="F2779" t="s">
        <v>144</v>
      </c>
      <c r="G2779">
        <v>4</v>
      </c>
      <c r="H2779">
        <v>11.24</v>
      </c>
      <c r="I2779">
        <v>0.25</v>
      </c>
      <c r="J2779">
        <v>33.72</v>
      </c>
      <c r="K2779" t="s">
        <v>32</v>
      </c>
      <c r="L2779" t="s">
        <v>37</v>
      </c>
      <c r="M2779" t="s">
        <v>62</v>
      </c>
    </row>
    <row r="2780" spans="1:13" x14ac:dyDescent="0.2">
      <c r="A2780">
        <v>561630</v>
      </c>
      <c r="B2780" s="1">
        <v>44643</v>
      </c>
      <c r="C2780">
        <v>62257</v>
      </c>
      <c r="D2780" t="s">
        <v>25</v>
      </c>
      <c r="E2780" t="s">
        <v>60</v>
      </c>
      <c r="F2780" t="s">
        <v>61</v>
      </c>
      <c r="G2780">
        <v>3</v>
      </c>
      <c r="H2780">
        <v>46.74</v>
      </c>
      <c r="I2780">
        <v>0.15</v>
      </c>
      <c r="J2780">
        <v>119.19</v>
      </c>
      <c r="K2780" t="s">
        <v>36</v>
      </c>
      <c r="L2780" t="s">
        <v>17</v>
      </c>
      <c r="M2780" t="s">
        <v>102</v>
      </c>
    </row>
    <row r="2781" spans="1:13" x14ac:dyDescent="0.2">
      <c r="A2781">
        <v>561804</v>
      </c>
      <c r="B2781" s="1">
        <v>44968</v>
      </c>
      <c r="C2781">
        <v>37937</v>
      </c>
      <c r="D2781" t="s">
        <v>44</v>
      </c>
      <c r="E2781" t="s">
        <v>162</v>
      </c>
      <c r="F2781" t="s">
        <v>163</v>
      </c>
      <c r="G2781">
        <v>1</v>
      </c>
      <c r="H2781">
        <v>7.59</v>
      </c>
      <c r="I2781">
        <v>0.05</v>
      </c>
      <c r="J2781">
        <v>7.21</v>
      </c>
      <c r="K2781" t="s">
        <v>53</v>
      </c>
      <c r="L2781" t="s">
        <v>17</v>
      </c>
      <c r="M2781" t="s">
        <v>47</v>
      </c>
    </row>
    <row r="2782" spans="1:13" x14ac:dyDescent="0.2">
      <c r="A2782">
        <v>561903</v>
      </c>
      <c r="B2782" s="1">
        <v>45264</v>
      </c>
      <c r="C2782">
        <v>48441</v>
      </c>
      <c r="D2782" t="s">
        <v>48</v>
      </c>
      <c r="E2782" t="s">
        <v>179</v>
      </c>
      <c r="F2782" t="s">
        <v>180</v>
      </c>
      <c r="G2782">
        <v>5</v>
      </c>
      <c r="H2782">
        <v>11.39</v>
      </c>
      <c r="I2782">
        <v>0.05</v>
      </c>
      <c r="J2782">
        <v>54.1</v>
      </c>
      <c r="K2782" t="s">
        <v>22</v>
      </c>
      <c r="L2782" t="s">
        <v>17</v>
      </c>
      <c r="M2782" t="s">
        <v>57</v>
      </c>
    </row>
    <row r="2783" spans="1:13" x14ac:dyDescent="0.2">
      <c r="A2783">
        <v>562290</v>
      </c>
      <c r="B2783" s="1">
        <v>44809</v>
      </c>
      <c r="C2783">
        <v>52689</v>
      </c>
      <c r="D2783" t="s">
        <v>25</v>
      </c>
      <c r="E2783" t="s">
        <v>60</v>
      </c>
      <c r="F2783" t="s">
        <v>61</v>
      </c>
      <c r="G2783">
        <v>2</v>
      </c>
      <c r="H2783">
        <v>52.24</v>
      </c>
      <c r="I2783">
        <v>0.05</v>
      </c>
      <c r="J2783">
        <v>99.26</v>
      </c>
      <c r="K2783" t="s">
        <v>36</v>
      </c>
      <c r="L2783" t="s">
        <v>17</v>
      </c>
      <c r="M2783" t="s">
        <v>161</v>
      </c>
    </row>
    <row r="2784" spans="1:13" x14ac:dyDescent="0.2">
      <c r="A2784">
        <v>562307</v>
      </c>
      <c r="B2784" s="1">
        <v>45381</v>
      </c>
      <c r="C2784">
        <v>81160</v>
      </c>
      <c r="D2784" t="s">
        <v>63</v>
      </c>
      <c r="E2784" t="s">
        <v>125</v>
      </c>
      <c r="F2784" t="s">
        <v>126</v>
      </c>
      <c r="G2784">
        <v>1</v>
      </c>
      <c r="H2784">
        <v>20.99</v>
      </c>
      <c r="I2784">
        <v>0.3</v>
      </c>
      <c r="J2784">
        <v>14.69</v>
      </c>
      <c r="K2784" t="s">
        <v>22</v>
      </c>
      <c r="L2784" t="s">
        <v>17</v>
      </c>
      <c r="M2784" t="s">
        <v>18</v>
      </c>
    </row>
    <row r="2785" spans="1:13" x14ac:dyDescent="0.2">
      <c r="A2785">
        <v>562484</v>
      </c>
      <c r="B2785" s="1">
        <v>45271</v>
      </c>
      <c r="C2785">
        <v>76872</v>
      </c>
      <c r="D2785" t="s">
        <v>63</v>
      </c>
      <c r="E2785" t="s">
        <v>111</v>
      </c>
      <c r="F2785" t="s">
        <v>112</v>
      </c>
      <c r="G2785">
        <v>1</v>
      </c>
      <c r="H2785">
        <v>14.99</v>
      </c>
      <c r="J2785">
        <v>14.99</v>
      </c>
      <c r="K2785" t="s">
        <v>36</v>
      </c>
      <c r="L2785" t="s">
        <v>37</v>
      </c>
      <c r="M2785" t="s">
        <v>28</v>
      </c>
    </row>
    <row r="2786" spans="1:13" x14ac:dyDescent="0.2">
      <c r="A2786">
        <v>562531</v>
      </c>
      <c r="B2786" s="2">
        <v>45437</v>
      </c>
      <c r="C2786">
        <v>64179</v>
      </c>
      <c r="D2786" t="s">
        <v>63</v>
      </c>
      <c r="E2786" t="s">
        <v>68</v>
      </c>
      <c r="F2786" t="s">
        <v>69</v>
      </c>
      <c r="G2786">
        <v>5</v>
      </c>
      <c r="H2786">
        <v>24.99</v>
      </c>
      <c r="J2786">
        <v>124.95</v>
      </c>
      <c r="K2786" t="s">
        <v>66</v>
      </c>
      <c r="L2786" t="s">
        <v>23</v>
      </c>
      <c r="M2786" t="s">
        <v>28</v>
      </c>
    </row>
    <row r="2787" spans="1:13" x14ac:dyDescent="0.2">
      <c r="A2787">
        <v>562816</v>
      </c>
      <c r="B2787" s="1">
        <v>45377</v>
      </c>
      <c r="C2787">
        <v>30431</v>
      </c>
      <c r="D2787" t="s">
        <v>40</v>
      </c>
      <c r="E2787" t="s">
        <v>20</v>
      </c>
      <c r="F2787" t="s">
        <v>21</v>
      </c>
      <c r="G2787">
        <v>1</v>
      </c>
      <c r="H2787">
        <v>7.99</v>
      </c>
      <c r="I2787">
        <v>0.2</v>
      </c>
      <c r="J2787">
        <v>6.39</v>
      </c>
      <c r="K2787" t="s">
        <v>36</v>
      </c>
      <c r="L2787" t="s">
        <v>17</v>
      </c>
      <c r="M2787" t="s">
        <v>54</v>
      </c>
    </row>
    <row r="2788" spans="1:13" x14ac:dyDescent="0.2">
      <c r="A2788">
        <v>562915</v>
      </c>
      <c r="B2788" s="2">
        <v>44911</v>
      </c>
      <c r="C2788">
        <v>73866</v>
      </c>
      <c r="D2788" t="s">
        <v>25</v>
      </c>
      <c r="E2788" t="s">
        <v>113</v>
      </c>
      <c r="F2788" t="s">
        <v>114</v>
      </c>
      <c r="G2788">
        <v>4</v>
      </c>
      <c r="H2788">
        <v>83.99</v>
      </c>
      <c r="I2788">
        <v>0.3</v>
      </c>
      <c r="J2788">
        <v>235.17</v>
      </c>
      <c r="K2788" t="s">
        <v>16</v>
      </c>
      <c r="L2788" t="s">
        <v>17</v>
      </c>
      <c r="M2788" t="s">
        <v>76</v>
      </c>
    </row>
    <row r="2789" spans="1:13" x14ac:dyDescent="0.2">
      <c r="A2789">
        <v>563011</v>
      </c>
      <c r="B2789" s="2">
        <v>44820</v>
      </c>
      <c r="C2789">
        <v>41909</v>
      </c>
      <c r="D2789" t="s">
        <v>63</v>
      </c>
      <c r="E2789" t="s">
        <v>68</v>
      </c>
      <c r="F2789" t="s">
        <v>69</v>
      </c>
      <c r="G2789">
        <v>1</v>
      </c>
      <c r="H2789">
        <v>24.99</v>
      </c>
      <c r="J2789">
        <v>24.99</v>
      </c>
      <c r="K2789" t="s">
        <v>95</v>
      </c>
      <c r="L2789" t="s">
        <v>17</v>
      </c>
      <c r="M2789" t="s">
        <v>90</v>
      </c>
    </row>
    <row r="2790" spans="1:13" x14ac:dyDescent="0.2">
      <c r="A2790">
        <v>563016</v>
      </c>
      <c r="B2790" s="1">
        <v>44583</v>
      </c>
      <c r="C2790">
        <v>85131</v>
      </c>
      <c r="D2790" t="s">
        <v>82</v>
      </c>
      <c r="E2790" t="s">
        <v>100</v>
      </c>
      <c r="F2790" t="s">
        <v>101</v>
      </c>
      <c r="G2790">
        <v>3</v>
      </c>
      <c r="H2790">
        <v>17.239999999999998</v>
      </c>
      <c r="I2790">
        <v>0.25</v>
      </c>
      <c r="J2790">
        <v>38.79</v>
      </c>
      <c r="K2790" t="s">
        <v>36</v>
      </c>
      <c r="L2790" t="s">
        <v>37</v>
      </c>
      <c r="M2790" t="s">
        <v>33</v>
      </c>
    </row>
    <row r="2791" spans="1:13" x14ac:dyDescent="0.2">
      <c r="A2791">
        <v>563147</v>
      </c>
      <c r="B2791" s="2">
        <v>44783</v>
      </c>
      <c r="C2791">
        <v>48359</v>
      </c>
      <c r="D2791" t="s">
        <v>29</v>
      </c>
      <c r="E2791" t="s">
        <v>30</v>
      </c>
      <c r="F2791" t="s">
        <v>31</v>
      </c>
      <c r="G2791">
        <v>1</v>
      </c>
      <c r="H2791">
        <v>18.739999999999998</v>
      </c>
      <c r="I2791">
        <v>0.25</v>
      </c>
      <c r="J2791">
        <v>14.06</v>
      </c>
      <c r="K2791" t="s">
        <v>36</v>
      </c>
      <c r="L2791" t="s">
        <v>17</v>
      </c>
      <c r="M2791" t="s">
        <v>57</v>
      </c>
    </row>
    <row r="2792" spans="1:13" x14ac:dyDescent="0.2">
      <c r="A2792">
        <v>563267</v>
      </c>
      <c r="B2792" s="2">
        <v>45350</v>
      </c>
      <c r="C2792">
        <v>82359</v>
      </c>
      <c r="D2792" t="s">
        <v>44</v>
      </c>
      <c r="E2792" t="s">
        <v>184</v>
      </c>
      <c r="F2792" t="s">
        <v>185</v>
      </c>
      <c r="G2792">
        <v>1</v>
      </c>
      <c r="H2792">
        <v>5.22</v>
      </c>
      <c r="I2792">
        <v>0.05</v>
      </c>
      <c r="J2792">
        <v>4.96</v>
      </c>
      <c r="K2792" t="s">
        <v>36</v>
      </c>
      <c r="L2792" t="s">
        <v>37</v>
      </c>
      <c r="M2792" t="s">
        <v>67</v>
      </c>
    </row>
    <row r="2793" spans="1:13" x14ac:dyDescent="0.2">
      <c r="A2793">
        <v>563363</v>
      </c>
      <c r="B2793" s="1">
        <v>44711</v>
      </c>
      <c r="C2793">
        <v>38179</v>
      </c>
      <c r="D2793" t="s">
        <v>97</v>
      </c>
      <c r="E2793" t="s">
        <v>151</v>
      </c>
      <c r="F2793" t="s">
        <v>152</v>
      </c>
      <c r="G2793">
        <v>2</v>
      </c>
      <c r="H2793">
        <v>33.24</v>
      </c>
      <c r="I2793">
        <v>0.05</v>
      </c>
      <c r="J2793">
        <v>63.16</v>
      </c>
      <c r="K2793" t="s">
        <v>36</v>
      </c>
      <c r="L2793" t="s">
        <v>17</v>
      </c>
      <c r="M2793" t="s">
        <v>28</v>
      </c>
    </row>
    <row r="2794" spans="1:13" x14ac:dyDescent="0.2">
      <c r="A2794">
        <v>563468</v>
      </c>
      <c r="B2794" s="1">
        <v>45467</v>
      </c>
      <c r="C2794">
        <v>48463</v>
      </c>
      <c r="D2794" t="s">
        <v>44</v>
      </c>
      <c r="E2794" t="s">
        <v>172</v>
      </c>
      <c r="F2794" t="s">
        <v>173</v>
      </c>
      <c r="G2794">
        <v>4</v>
      </c>
      <c r="H2794">
        <v>3.59</v>
      </c>
      <c r="I2794">
        <v>0.2</v>
      </c>
      <c r="J2794">
        <v>11.49</v>
      </c>
      <c r="K2794" t="s">
        <v>22</v>
      </c>
      <c r="L2794" t="s">
        <v>37</v>
      </c>
      <c r="M2794" t="s">
        <v>96</v>
      </c>
    </row>
    <row r="2795" spans="1:13" x14ac:dyDescent="0.2">
      <c r="A2795">
        <v>564001</v>
      </c>
      <c r="B2795" s="2">
        <v>45261</v>
      </c>
      <c r="C2795">
        <v>41504</v>
      </c>
      <c r="D2795" t="s">
        <v>40</v>
      </c>
      <c r="E2795" t="s">
        <v>58</v>
      </c>
      <c r="F2795" t="s">
        <v>59</v>
      </c>
      <c r="G2795">
        <v>4</v>
      </c>
      <c r="H2795">
        <v>3.79</v>
      </c>
      <c r="I2795">
        <v>0.05</v>
      </c>
      <c r="J2795">
        <v>14.4</v>
      </c>
      <c r="K2795" t="s">
        <v>16</v>
      </c>
      <c r="L2795" t="s">
        <v>23</v>
      </c>
      <c r="M2795" t="s">
        <v>62</v>
      </c>
    </row>
    <row r="2796" spans="1:13" x14ac:dyDescent="0.2">
      <c r="A2796">
        <v>564020</v>
      </c>
      <c r="B2796" s="1">
        <v>44897</v>
      </c>
      <c r="C2796">
        <v>78872</v>
      </c>
      <c r="D2796" t="s">
        <v>48</v>
      </c>
      <c r="E2796" t="s">
        <v>139</v>
      </c>
      <c r="F2796" t="s">
        <v>140</v>
      </c>
      <c r="G2796">
        <v>1</v>
      </c>
      <c r="H2796">
        <v>7.99</v>
      </c>
      <c r="J2796">
        <v>7.99</v>
      </c>
      <c r="K2796" t="s">
        <v>16</v>
      </c>
      <c r="L2796" t="s">
        <v>17</v>
      </c>
    </row>
    <row r="2797" spans="1:13" x14ac:dyDescent="0.2">
      <c r="A2797">
        <v>564319</v>
      </c>
      <c r="B2797" s="1">
        <v>45451</v>
      </c>
      <c r="C2797">
        <v>19772</v>
      </c>
      <c r="D2797" t="s">
        <v>13</v>
      </c>
      <c r="E2797" t="s">
        <v>104</v>
      </c>
      <c r="F2797" t="s">
        <v>105</v>
      </c>
      <c r="G2797">
        <v>1</v>
      </c>
      <c r="H2797">
        <v>23.99</v>
      </c>
      <c r="I2797">
        <v>0.2</v>
      </c>
      <c r="J2797">
        <v>19.190000000000001</v>
      </c>
      <c r="K2797" t="s">
        <v>22</v>
      </c>
      <c r="L2797" t="s">
        <v>17</v>
      </c>
      <c r="M2797" t="s">
        <v>103</v>
      </c>
    </row>
    <row r="2798" spans="1:13" x14ac:dyDescent="0.2">
      <c r="A2798">
        <v>564371</v>
      </c>
      <c r="B2798" s="2">
        <v>45537</v>
      </c>
      <c r="C2798">
        <v>59097</v>
      </c>
      <c r="D2798" t="s">
        <v>63</v>
      </c>
      <c r="E2798" t="s">
        <v>131</v>
      </c>
      <c r="F2798" t="s">
        <v>132</v>
      </c>
      <c r="G2798">
        <v>2</v>
      </c>
      <c r="H2798">
        <v>3.49</v>
      </c>
      <c r="J2798">
        <v>6.98</v>
      </c>
      <c r="K2798" t="s">
        <v>36</v>
      </c>
      <c r="L2798" t="s">
        <v>37</v>
      </c>
      <c r="M2798" t="s">
        <v>18</v>
      </c>
    </row>
    <row r="2799" spans="1:13" x14ac:dyDescent="0.2">
      <c r="A2799">
        <v>564415</v>
      </c>
      <c r="B2799" s="1">
        <v>45345</v>
      </c>
      <c r="C2799">
        <v>92508</v>
      </c>
      <c r="D2799" t="s">
        <v>48</v>
      </c>
      <c r="E2799" t="s">
        <v>179</v>
      </c>
      <c r="F2799" t="s">
        <v>180</v>
      </c>
      <c r="G2799">
        <v>3</v>
      </c>
      <c r="H2799">
        <v>11.99</v>
      </c>
      <c r="J2799">
        <v>35.97</v>
      </c>
      <c r="K2799" t="s">
        <v>95</v>
      </c>
      <c r="L2799" t="s">
        <v>17</v>
      </c>
      <c r="M2799" t="s">
        <v>103</v>
      </c>
    </row>
    <row r="2800" spans="1:13" x14ac:dyDescent="0.2">
      <c r="A2800">
        <v>565200</v>
      </c>
      <c r="B2800" s="1">
        <v>44962</v>
      </c>
      <c r="C2800">
        <v>12796</v>
      </c>
      <c r="D2800" t="s">
        <v>29</v>
      </c>
      <c r="E2800" t="s">
        <v>170</v>
      </c>
      <c r="F2800" t="s">
        <v>171</v>
      </c>
      <c r="G2800">
        <v>2</v>
      </c>
      <c r="H2800">
        <v>14.99</v>
      </c>
      <c r="J2800">
        <v>29.98</v>
      </c>
      <c r="K2800" t="s">
        <v>95</v>
      </c>
      <c r="L2800" t="s">
        <v>37</v>
      </c>
      <c r="M2800" t="s">
        <v>90</v>
      </c>
    </row>
    <row r="2801" spans="1:13" x14ac:dyDescent="0.2">
      <c r="A2801">
        <v>565387</v>
      </c>
      <c r="B2801" s="2">
        <v>44757</v>
      </c>
      <c r="C2801">
        <v>81410</v>
      </c>
      <c r="D2801" t="s">
        <v>85</v>
      </c>
      <c r="E2801" t="s">
        <v>157</v>
      </c>
      <c r="F2801" t="s">
        <v>158</v>
      </c>
      <c r="G2801">
        <v>5</v>
      </c>
      <c r="H2801">
        <v>12.14</v>
      </c>
      <c r="I2801">
        <v>0.1</v>
      </c>
      <c r="J2801">
        <v>54.63</v>
      </c>
      <c r="K2801" t="s">
        <v>36</v>
      </c>
      <c r="L2801" t="s">
        <v>17</v>
      </c>
      <c r="M2801" t="s">
        <v>62</v>
      </c>
    </row>
    <row r="2802" spans="1:13" x14ac:dyDescent="0.2">
      <c r="A2802">
        <v>565393</v>
      </c>
      <c r="B2802" s="1">
        <v>45440</v>
      </c>
      <c r="C2802">
        <v>41463</v>
      </c>
      <c r="D2802" t="s">
        <v>29</v>
      </c>
      <c r="E2802" t="s">
        <v>175</v>
      </c>
      <c r="F2802" t="s">
        <v>176</v>
      </c>
      <c r="G2802">
        <v>2</v>
      </c>
      <c r="H2802">
        <v>10.79</v>
      </c>
      <c r="I2802">
        <v>0.1</v>
      </c>
      <c r="J2802">
        <v>19.420000000000002</v>
      </c>
      <c r="K2802" t="s">
        <v>36</v>
      </c>
      <c r="L2802" t="s">
        <v>37</v>
      </c>
      <c r="M2802" t="s">
        <v>96</v>
      </c>
    </row>
    <row r="2803" spans="1:13" x14ac:dyDescent="0.2">
      <c r="A2803">
        <v>565579</v>
      </c>
      <c r="B2803" s="2">
        <v>45441</v>
      </c>
      <c r="C2803">
        <v>99495</v>
      </c>
      <c r="D2803" t="s">
        <v>97</v>
      </c>
      <c r="E2803" t="s">
        <v>135</v>
      </c>
      <c r="F2803" t="s">
        <v>136</v>
      </c>
      <c r="G2803">
        <v>2</v>
      </c>
      <c r="H2803">
        <v>9.49</v>
      </c>
      <c r="I2803">
        <v>0.05</v>
      </c>
      <c r="J2803">
        <v>18.03</v>
      </c>
      <c r="K2803" t="s">
        <v>95</v>
      </c>
      <c r="L2803" t="s">
        <v>17</v>
      </c>
      <c r="M2803" t="s">
        <v>43</v>
      </c>
    </row>
    <row r="2804" spans="1:13" x14ac:dyDescent="0.2">
      <c r="A2804">
        <v>565794</v>
      </c>
      <c r="B2804" s="1">
        <v>44896</v>
      </c>
      <c r="C2804">
        <v>67451</v>
      </c>
      <c r="D2804" t="s">
        <v>44</v>
      </c>
      <c r="E2804" t="s">
        <v>177</v>
      </c>
      <c r="F2804" t="s">
        <v>178</v>
      </c>
      <c r="G2804">
        <v>1</v>
      </c>
      <c r="H2804">
        <v>9.59</v>
      </c>
      <c r="I2804">
        <v>0.2</v>
      </c>
      <c r="J2804">
        <v>7.67</v>
      </c>
      <c r="K2804" t="s">
        <v>16</v>
      </c>
      <c r="L2804" t="s">
        <v>17</v>
      </c>
      <c r="M2804" t="s">
        <v>90</v>
      </c>
    </row>
    <row r="2805" spans="1:13" x14ac:dyDescent="0.2">
      <c r="A2805">
        <v>565808</v>
      </c>
      <c r="B2805" s="1">
        <v>45649</v>
      </c>
      <c r="C2805">
        <v>53114</v>
      </c>
      <c r="D2805" t="s">
        <v>63</v>
      </c>
      <c r="E2805" t="s">
        <v>68</v>
      </c>
      <c r="F2805" t="s">
        <v>69</v>
      </c>
      <c r="G2805">
        <v>3</v>
      </c>
      <c r="H2805">
        <v>17.489999999999998</v>
      </c>
      <c r="I2805">
        <v>0.3</v>
      </c>
      <c r="J2805">
        <v>36.729999999999997</v>
      </c>
      <c r="K2805" t="s">
        <v>36</v>
      </c>
      <c r="L2805" t="s">
        <v>17</v>
      </c>
      <c r="M2805" t="s">
        <v>33</v>
      </c>
    </row>
    <row r="2806" spans="1:13" x14ac:dyDescent="0.2">
      <c r="A2806">
        <v>565843</v>
      </c>
      <c r="B2806" s="1">
        <v>45066</v>
      </c>
      <c r="C2806">
        <v>40318</v>
      </c>
      <c r="D2806" t="s">
        <v>25</v>
      </c>
      <c r="E2806" t="s">
        <v>113</v>
      </c>
      <c r="F2806" t="s">
        <v>114</v>
      </c>
      <c r="G2806">
        <v>1</v>
      </c>
      <c r="H2806">
        <v>83.99</v>
      </c>
      <c r="I2806">
        <v>0.3</v>
      </c>
      <c r="J2806">
        <v>58.79</v>
      </c>
      <c r="K2806" t="s">
        <v>36</v>
      </c>
      <c r="L2806" t="s">
        <v>23</v>
      </c>
      <c r="M2806" t="s">
        <v>18</v>
      </c>
    </row>
    <row r="2807" spans="1:13" x14ac:dyDescent="0.2">
      <c r="A2807">
        <v>565876</v>
      </c>
      <c r="B2807" s="1">
        <v>44950</v>
      </c>
      <c r="C2807">
        <v>47511</v>
      </c>
      <c r="D2807" t="s">
        <v>82</v>
      </c>
      <c r="E2807" t="s">
        <v>188</v>
      </c>
      <c r="F2807" t="s">
        <v>189</v>
      </c>
      <c r="G2807">
        <v>3</v>
      </c>
      <c r="H2807">
        <v>44.99</v>
      </c>
      <c r="J2807">
        <v>134.97</v>
      </c>
      <c r="K2807" t="s">
        <v>16</v>
      </c>
      <c r="L2807" t="s">
        <v>37</v>
      </c>
      <c r="M2807" t="s">
        <v>90</v>
      </c>
    </row>
    <row r="2808" spans="1:13" x14ac:dyDescent="0.2">
      <c r="A2808">
        <v>565974</v>
      </c>
      <c r="B2808" s="1">
        <v>45037</v>
      </c>
      <c r="C2808">
        <v>93838</v>
      </c>
      <c r="D2808" t="s">
        <v>82</v>
      </c>
      <c r="E2808" t="s">
        <v>147</v>
      </c>
      <c r="F2808" t="s">
        <v>148</v>
      </c>
      <c r="G2808">
        <v>4</v>
      </c>
      <c r="H2808">
        <v>11.04</v>
      </c>
      <c r="I2808">
        <v>0.15</v>
      </c>
      <c r="J2808">
        <v>37.54</v>
      </c>
      <c r="K2808" t="s">
        <v>36</v>
      </c>
      <c r="L2808" t="s">
        <v>37</v>
      </c>
      <c r="M2808" t="s">
        <v>24</v>
      </c>
    </row>
    <row r="2809" spans="1:13" x14ac:dyDescent="0.2">
      <c r="A2809">
        <v>566251</v>
      </c>
      <c r="B2809" s="1">
        <v>45452</v>
      </c>
      <c r="C2809">
        <v>96790</v>
      </c>
      <c r="D2809" t="s">
        <v>44</v>
      </c>
      <c r="E2809" t="s">
        <v>184</v>
      </c>
      <c r="F2809" t="s">
        <v>185</v>
      </c>
      <c r="G2809">
        <v>3</v>
      </c>
      <c r="H2809">
        <v>5.49</v>
      </c>
      <c r="J2809">
        <v>16.47</v>
      </c>
      <c r="K2809" t="s">
        <v>95</v>
      </c>
      <c r="L2809" t="s">
        <v>17</v>
      </c>
      <c r="M2809" t="s">
        <v>81</v>
      </c>
    </row>
    <row r="2810" spans="1:13" x14ac:dyDescent="0.2">
      <c r="A2810">
        <v>566309</v>
      </c>
      <c r="B2810" s="1">
        <v>44676</v>
      </c>
      <c r="C2810">
        <v>73607</v>
      </c>
      <c r="D2810" t="s">
        <v>48</v>
      </c>
      <c r="E2810" t="s">
        <v>109</v>
      </c>
      <c r="F2810" t="s">
        <v>110</v>
      </c>
      <c r="G2810">
        <v>4</v>
      </c>
      <c r="H2810">
        <v>6.99</v>
      </c>
      <c r="J2810">
        <v>27.96</v>
      </c>
      <c r="K2810" t="s">
        <v>16</v>
      </c>
      <c r="L2810" t="s">
        <v>17</v>
      </c>
      <c r="M2810" t="s">
        <v>18</v>
      </c>
    </row>
    <row r="2811" spans="1:13" x14ac:dyDescent="0.2">
      <c r="A2811">
        <v>566311</v>
      </c>
      <c r="B2811" s="1">
        <v>45261</v>
      </c>
      <c r="C2811">
        <v>99386</v>
      </c>
      <c r="D2811" t="s">
        <v>13</v>
      </c>
      <c r="E2811" t="s">
        <v>159</v>
      </c>
      <c r="F2811" t="s">
        <v>160</v>
      </c>
      <c r="G2811">
        <v>1</v>
      </c>
      <c r="H2811">
        <v>59.99</v>
      </c>
      <c r="J2811">
        <v>59.99</v>
      </c>
      <c r="K2811" t="s">
        <v>36</v>
      </c>
      <c r="L2811" t="s">
        <v>17</v>
      </c>
      <c r="M2811" t="s">
        <v>18</v>
      </c>
    </row>
    <row r="2812" spans="1:13" x14ac:dyDescent="0.2">
      <c r="A2812">
        <v>566690</v>
      </c>
      <c r="B2812" s="1">
        <v>44643</v>
      </c>
      <c r="C2812">
        <v>61515</v>
      </c>
      <c r="D2812" t="s">
        <v>63</v>
      </c>
      <c r="E2812" t="s">
        <v>64</v>
      </c>
      <c r="F2812" t="s">
        <v>65</v>
      </c>
      <c r="G2812">
        <v>1</v>
      </c>
      <c r="H2812">
        <v>3.74</v>
      </c>
      <c r="I2812">
        <v>0.25</v>
      </c>
      <c r="J2812">
        <v>2.8</v>
      </c>
      <c r="K2812" t="s">
        <v>36</v>
      </c>
      <c r="L2812" t="s">
        <v>17</v>
      </c>
      <c r="M2812" t="s">
        <v>33</v>
      </c>
    </row>
    <row r="2813" spans="1:13" x14ac:dyDescent="0.2">
      <c r="A2813">
        <v>566775</v>
      </c>
      <c r="B2813" s="1">
        <v>45288</v>
      </c>
      <c r="C2813">
        <v>71759</v>
      </c>
      <c r="D2813" t="s">
        <v>19</v>
      </c>
      <c r="E2813" t="s">
        <v>41</v>
      </c>
      <c r="F2813" t="s">
        <v>42</v>
      </c>
      <c r="G2813">
        <v>1</v>
      </c>
      <c r="H2813">
        <v>5.99</v>
      </c>
      <c r="J2813">
        <v>5.99</v>
      </c>
      <c r="K2813" t="s">
        <v>16</v>
      </c>
      <c r="L2813" t="s">
        <v>17</v>
      </c>
      <c r="M2813" t="s">
        <v>103</v>
      </c>
    </row>
    <row r="2814" spans="1:13" x14ac:dyDescent="0.2">
      <c r="A2814">
        <v>566895</v>
      </c>
      <c r="B2814" s="1">
        <v>44902</v>
      </c>
      <c r="C2814">
        <v>86706</v>
      </c>
      <c r="D2814" t="s">
        <v>48</v>
      </c>
      <c r="E2814" t="s">
        <v>109</v>
      </c>
      <c r="F2814" t="s">
        <v>110</v>
      </c>
      <c r="G2814">
        <v>3</v>
      </c>
      <c r="H2814">
        <v>6.99</v>
      </c>
      <c r="J2814">
        <v>20.97</v>
      </c>
      <c r="K2814" t="s">
        <v>53</v>
      </c>
      <c r="L2814" t="s">
        <v>17</v>
      </c>
      <c r="M2814" t="s">
        <v>103</v>
      </c>
    </row>
    <row r="2815" spans="1:13" x14ac:dyDescent="0.2">
      <c r="A2815">
        <v>566989</v>
      </c>
      <c r="B2815" s="1">
        <v>45397</v>
      </c>
      <c r="C2815">
        <v>70482</v>
      </c>
      <c r="D2815" t="s">
        <v>85</v>
      </c>
      <c r="E2815" t="s">
        <v>157</v>
      </c>
      <c r="F2815" t="s">
        <v>158</v>
      </c>
      <c r="G2815">
        <v>5</v>
      </c>
      <c r="H2815">
        <v>11.47</v>
      </c>
      <c r="I2815">
        <v>0.15</v>
      </c>
      <c r="J2815">
        <v>48.75</v>
      </c>
      <c r="K2815" t="s">
        <v>95</v>
      </c>
      <c r="L2815" t="s">
        <v>17</v>
      </c>
      <c r="M2815" t="s">
        <v>161</v>
      </c>
    </row>
    <row r="2816" spans="1:13" x14ac:dyDescent="0.2">
      <c r="A2816">
        <v>567025</v>
      </c>
      <c r="B2816" s="2">
        <v>45389</v>
      </c>
      <c r="C2816">
        <v>15242</v>
      </c>
      <c r="D2816" t="s">
        <v>82</v>
      </c>
      <c r="E2816" t="s">
        <v>147</v>
      </c>
      <c r="F2816" t="s">
        <v>148</v>
      </c>
      <c r="G2816">
        <v>3</v>
      </c>
      <c r="H2816">
        <v>10.39</v>
      </c>
      <c r="I2816">
        <v>0.2</v>
      </c>
      <c r="J2816">
        <v>24.94</v>
      </c>
      <c r="K2816" t="s">
        <v>16</v>
      </c>
      <c r="L2816" t="s">
        <v>17</v>
      </c>
      <c r="M2816" t="s">
        <v>28</v>
      </c>
    </row>
    <row r="2817" spans="1:13" x14ac:dyDescent="0.2">
      <c r="A2817">
        <v>567076</v>
      </c>
      <c r="B2817" s="1">
        <v>45095</v>
      </c>
      <c r="C2817">
        <v>89644</v>
      </c>
      <c r="D2817" t="s">
        <v>85</v>
      </c>
      <c r="E2817" t="s">
        <v>86</v>
      </c>
      <c r="F2817" t="s">
        <v>87</v>
      </c>
      <c r="G2817">
        <v>2</v>
      </c>
      <c r="H2817">
        <v>12.34</v>
      </c>
      <c r="I2817">
        <v>0.05</v>
      </c>
      <c r="J2817">
        <v>23.45</v>
      </c>
      <c r="K2817" t="s">
        <v>22</v>
      </c>
      <c r="L2817" t="s">
        <v>17</v>
      </c>
      <c r="M2817" t="s">
        <v>28</v>
      </c>
    </row>
    <row r="2818" spans="1:13" x14ac:dyDescent="0.2">
      <c r="A2818">
        <v>567126</v>
      </c>
      <c r="B2818" s="1">
        <v>45020</v>
      </c>
      <c r="C2818">
        <v>14082</v>
      </c>
      <c r="D2818" t="s">
        <v>167</v>
      </c>
      <c r="E2818" t="s">
        <v>143</v>
      </c>
      <c r="F2818" t="s">
        <v>144</v>
      </c>
      <c r="G2818">
        <v>1</v>
      </c>
      <c r="H2818">
        <v>14.99</v>
      </c>
      <c r="J2818">
        <v>14.99</v>
      </c>
      <c r="K2818" t="s">
        <v>36</v>
      </c>
      <c r="L2818" t="s">
        <v>23</v>
      </c>
      <c r="M2818" t="s">
        <v>117</v>
      </c>
    </row>
    <row r="2819" spans="1:13" x14ac:dyDescent="0.2">
      <c r="A2819">
        <v>567357</v>
      </c>
      <c r="B2819" s="2">
        <v>44642</v>
      </c>
      <c r="C2819">
        <v>63033</v>
      </c>
      <c r="D2819" t="s">
        <v>44</v>
      </c>
      <c r="E2819" t="s">
        <v>177</v>
      </c>
      <c r="F2819" t="s">
        <v>178</v>
      </c>
      <c r="G2819">
        <v>1</v>
      </c>
      <c r="H2819">
        <v>10.79</v>
      </c>
      <c r="I2819">
        <v>0.1</v>
      </c>
      <c r="J2819">
        <v>9.7100000000000009</v>
      </c>
      <c r="K2819" t="s">
        <v>16</v>
      </c>
      <c r="L2819" t="s">
        <v>23</v>
      </c>
      <c r="M2819" t="s">
        <v>123</v>
      </c>
    </row>
    <row r="2820" spans="1:13" x14ac:dyDescent="0.2">
      <c r="A2820">
        <v>567423</v>
      </c>
      <c r="B2820" s="1">
        <v>44975</v>
      </c>
      <c r="C2820">
        <v>92345</v>
      </c>
      <c r="D2820" t="s">
        <v>63</v>
      </c>
      <c r="E2820" t="s">
        <v>125</v>
      </c>
      <c r="F2820" t="s">
        <v>126</v>
      </c>
      <c r="G2820">
        <v>3</v>
      </c>
      <c r="H2820">
        <v>20.99</v>
      </c>
      <c r="I2820">
        <v>0.3</v>
      </c>
      <c r="J2820">
        <v>44.08</v>
      </c>
      <c r="K2820" t="s">
        <v>22</v>
      </c>
      <c r="L2820" t="s">
        <v>17</v>
      </c>
      <c r="M2820" t="s">
        <v>28</v>
      </c>
    </row>
    <row r="2821" spans="1:13" x14ac:dyDescent="0.2">
      <c r="A2821">
        <v>567481</v>
      </c>
      <c r="B2821" s="1">
        <v>45512</v>
      </c>
      <c r="C2821">
        <v>33623</v>
      </c>
      <c r="D2821" t="s">
        <v>29</v>
      </c>
      <c r="E2821" t="s">
        <v>88</v>
      </c>
      <c r="F2821" t="s">
        <v>89</v>
      </c>
      <c r="G2821">
        <v>1</v>
      </c>
      <c r="H2821">
        <v>47.49</v>
      </c>
      <c r="I2821">
        <v>0.05</v>
      </c>
      <c r="J2821">
        <v>45.12</v>
      </c>
      <c r="K2821" t="s">
        <v>95</v>
      </c>
      <c r="L2821" t="s">
        <v>17</v>
      </c>
      <c r="M2821" t="s">
        <v>76</v>
      </c>
    </row>
    <row r="2822" spans="1:13" x14ac:dyDescent="0.2">
      <c r="A2822">
        <v>567925</v>
      </c>
      <c r="B2822" s="1">
        <v>45042</v>
      </c>
      <c r="C2822">
        <v>74673</v>
      </c>
      <c r="D2822" t="s">
        <v>29</v>
      </c>
      <c r="E2822" t="s">
        <v>88</v>
      </c>
      <c r="F2822" t="s">
        <v>89</v>
      </c>
      <c r="G2822">
        <v>3</v>
      </c>
      <c r="H2822">
        <v>47.49</v>
      </c>
      <c r="I2822">
        <v>0.05</v>
      </c>
      <c r="J2822">
        <v>135.35</v>
      </c>
      <c r="K2822" t="s">
        <v>36</v>
      </c>
      <c r="L2822" t="s">
        <v>17</v>
      </c>
      <c r="M2822" t="s">
        <v>81</v>
      </c>
    </row>
    <row r="2823" spans="1:13" x14ac:dyDescent="0.2">
      <c r="A2823">
        <v>568480</v>
      </c>
      <c r="B2823" s="1">
        <v>44885</v>
      </c>
      <c r="C2823">
        <v>51486</v>
      </c>
      <c r="D2823" t="s">
        <v>44</v>
      </c>
      <c r="E2823" t="s">
        <v>172</v>
      </c>
      <c r="F2823" t="s">
        <v>173</v>
      </c>
      <c r="G2823">
        <v>2</v>
      </c>
      <c r="H2823">
        <v>3.82</v>
      </c>
      <c r="I2823">
        <v>0.15</v>
      </c>
      <c r="J2823">
        <v>6.49</v>
      </c>
      <c r="K2823" t="s">
        <v>36</v>
      </c>
      <c r="L2823" t="s">
        <v>37</v>
      </c>
      <c r="M2823" t="s">
        <v>161</v>
      </c>
    </row>
    <row r="2824" spans="1:13" x14ac:dyDescent="0.2">
      <c r="A2824">
        <v>568698</v>
      </c>
      <c r="B2824" s="1">
        <v>45352</v>
      </c>
      <c r="C2824">
        <v>23716</v>
      </c>
      <c r="D2824" t="s">
        <v>29</v>
      </c>
      <c r="E2824" t="s">
        <v>170</v>
      </c>
      <c r="F2824" t="s">
        <v>171</v>
      </c>
      <c r="G2824">
        <v>4</v>
      </c>
      <c r="H2824">
        <v>14.99</v>
      </c>
      <c r="J2824">
        <v>59.96</v>
      </c>
      <c r="K2824" t="s">
        <v>16</v>
      </c>
      <c r="L2824" t="s">
        <v>37</v>
      </c>
      <c r="M2824" t="s">
        <v>28</v>
      </c>
    </row>
    <row r="2825" spans="1:13" x14ac:dyDescent="0.2">
      <c r="A2825">
        <v>568735</v>
      </c>
      <c r="B2825" s="1">
        <v>45376</v>
      </c>
      <c r="C2825">
        <v>14240</v>
      </c>
      <c r="D2825" t="s">
        <v>97</v>
      </c>
      <c r="E2825" t="s">
        <v>151</v>
      </c>
      <c r="F2825" t="s">
        <v>152</v>
      </c>
      <c r="G2825">
        <v>2</v>
      </c>
      <c r="H2825">
        <v>29.74</v>
      </c>
      <c r="I2825">
        <v>0.15</v>
      </c>
      <c r="J2825">
        <v>50.56</v>
      </c>
      <c r="K2825" t="s">
        <v>36</v>
      </c>
      <c r="L2825" t="s">
        <v>17</v>
      </c>
      <c r="M2825" t="s">
        <v>28</v>
      </c>
    </row>
    <row r="2826" spans="1:13" x14ac:dyDescent="0.2">
      <c r="A2826">
        <v>568771</v>
      </c>
      <c r="B2826" s="1">
        <v>44857</v>
      </c>
      <c r="C2826">
        <v>76131</v>
      </c>
      <c r="D2826" t="s">
        <v>44</v>
      </c>
      <c r="E2826" t="s">
        <v>74</v>
      </c>
      <c r="F2826" t="s">
        <v>75</v>
      </c>
      <c r="G2826">
        <v>1</v>
      </c>
      <c r="H2826">
        <v>2.99</v>
      </c>
      <c r="J2826">
        <v>2.99</v>
      </c>
      <c r="K2826" t="s">
        <v>32</v>
      </c>
      <c r="L2826" t="s">
        <v>17</v>
      </c>
    </row>
    <row r="2827" spans="1:13" x14ac:dyDescent="0.2">
      <c r="A2827">
        <v>568835</v>
      </c>
      <c r="B2827" s="2">
        <v>44911</v>
      </c>
      <c r="C2827">
        <v>50278</v>
      </c>
      <c r="D2827" t="s">
        <v>13</v>
      </c>
      <c r="E2827" t="s">
        <v>104</v>
      </c>
      <c r="F2827" t="s">
        <v>105</v>
      </c>
      <c r="G2827">
        <v>2</v>
      </c>
      <c r="H2827">
        <v>26.99</v>
      </c>
      <c r="I2827">
        <v>0.1</v>
      </c>
      <c r="J2827">
        <v>48.58</v>
      </c>
      <c r="K2827" t="s">
        <v>16</v>
      </c>
      <c r="L2827" t="s">
        <v>17</v>
      </c>
      <c r="M2827" t="s">
        <v>81</v>
      </c>
    </row>
    <row r="2828" spans="1:13" x14ac:dyDescent="0.2">
      <c r="A2828">
        <v>569270</v>
      </c>
      <c r="B2828" s="1">
        <v>45554</v>
      </c>
      <c r="C2828">
        <v>62909</v>
      </c>
      <c r="D2828" t="s">
        <v>63</v>
      </c>
      <c r="E2828" t="s">
        <v>125</v>
      </c>
      <c r="F2828" t="s">
        <v>126</v>
      </c>
      <c r="G2828">
        <v>4</v>
      </c>
      <c r="H2828">
        <v>20.99</v>
      </c>
      <c r="I2828">
        <v>0.3</v>
      </c>
      <c r="J2828">
        <v>58.77</v>
      </c>
      <c r="K2828" t="s">
        <v>22</v>
      </c>
      <c r="L2828" t="s">
        <v>23</v>
      </c>
      <c r="M2828" t="s">
        <v>96</v>
      </c>
    </row>
    <row r="2829" spans="1:13" x14ac:dyDescent="0.2">
      <c r="A2829">
        <v>569275</v>
      </c>
      <c r="B2829" s="1">
        <v>45633</v>
      </c>
      <c r="C2829">
        <v>71372</v>
      </c>
      <c r="D2829" t="s">
        <v>40</v>
      </c>
      <c r="E2829" t="s">
        <v>20</v>
      </c>
      <c r="F2829" t="s">
        <v>21</v>
      </c>
      <c r="G2829">
        <v>1</v>
      </c>
      <c r="H2829">
        <v>7.99</v>
      </c>
      <c r="I2829">
        <v>0.2</v>
      </c>
      <c r="J2829">
        <v>6.39</v>
      </c>
      <c r="K2829" t="s">
        <v>95</v>
      </c>
      <c r="L2829" t="s">
        <v>17</v>
      </c>
      <c r="M2829" t="s">
        <v>76</v>
      </c>
    </row>
    <row r="2830" spans="1:13" x14ac:dyDescent="0.2">
      <c r="A2830">
        <v>569327</v>
      </c>
      <c r="B2830" s="1">
        <v>44740</v>
      </c>
      <c r="C2830">
        <v>50096</v>
      </c>
      <c r="D2830" t="s">
        <v>199</v>
      </c>
      <c r="E2830" t="s">
        <v>55</v>
      </c>
      <c r="F2830" t="s">
        <v>56</v>
      </c>
      <c r="G2830">
        <v>1</v>
      </c>
      <c r="H2830">
        <v>247.49</v>
      </c>
      <c r="I2830">
        <v>0.25</v>
      </c>
      <c r="J2830">
        <v>185.62</v>
      </c>
      <c r="K2830" t="s">
        <v>36</v>
      </c>
      <c r="L2830" t="s">
        <v>37</v>
      </c>
      <c r="M2830" t="s">
        <v>81</v>
      </c>
    </row>
    <row r="2831" spans="1:13" x14ac:dyDescent="0.2">
      <c r="A2831">
        <v>569416</v>
      </c>
      <c r="B2831" s="1">
        <v>44660</v>
      </c>
      <c r="C2831">
        <v>21817</v>
      </c>
      <c r="D2831" t="s">
        <v>29</v>
      </c>
      <c r="E2831" t="s">
        <v>175</v>
      </c>
      <c r="F2831" t="s">
        <v>176</v>
      </c>
      <c r="G2831">
        <v>2</v>
      </c>
      <c r="H2831">
        <v>9.59</v>
      </c>
      <c r="I2831">
        <v>0.2</v>
      </c>
      <c r="J2831">
        <v>15.34</v>
      </c>
      <c r="K2831" t="s">
        <v>16</v>
      </c>
      <c r="L2831" t="s">
        <v>17</v>
      </c>
      <c r="M2831" t="s">
        <v>102</v>
      </c>
    </row>
    <row r="2832" spans="1:13" x14ac:dyDescent="0.2">
      <c r="A2832">
        <v>569428</v>
      </c>
      <c r="B2832" s="2">
        <v>44789</v>
      </c>
      <c r="C2832">
        <v>70423</v>
      </c>
      <c r="D2832" t="s">
        <v>85</v>
      </c>
      <c r="E2832" t="s">
        <v>129</v>
      </c>
      <c r="F2832" t="s">
        <v>130</v>
      </c>
      <c r="G2832">
        <v>3</v>
      </c>
      <c r="H2832">
        <v>8.09</v>
      </c>
      <c r="I2832">
        <v>0.1</v>
      </c>
      <c r="J2832">
        <v>21.84</v>
      </c>
      <c r="K2832" t="s">
        <v>22</v>
      </c>
      <c r="L2832" t="s">
        <v>17</v>
      </c>
      <c r="M2832" t="s">
        <v>123</v>
      </c>
    </row>
    <row r="2833" spans="1:13" x14ac:dyDescent="0.2">
      <c r="A2833">
        <v>569454</v>
      </c>
      <c r="B2833" s="1">
        <v>44840</v>
      </c>
      <c r="C2833">
        <v>81781</v>
      </c>
      <c r="D2833" t="s">
        <v>29</v>
      </c>
      <c r="E2833" t="s">
        <v>38</v>
      </c>
      <c r="F2833" t="s">
        <v>39</v>
      </c>
      <c r="G2833">
        <v>1</v>
      </c>
      <c r="H2833">
        <v>25.49</v>
      </c>
      <c r="I2833">
        <v>0.15</v>
      </c>
      <c r="J2833">
        <v>21.67</v>
      </c>
      <c r="K2833" t="s">
        <v>16</v>
      </c>
      <c r="L2833" t="s">
        <v>17</v>
      </c>
      <c r="M2833" t="s">
        <v>161</v>
      </c>
    </row>
    <row r="2834" spans="1:13" x14ac:dyDescent="0.2">
      <c r="A2834">
        <v>569615</v>
      </c>
      <c r="B2834" s="1">
        <v>44989</v>
      </c>
      <c r="C2834">
        <v>92364</v>
      </c>
      <c r="D2834" t="s">
        <v>48</v>
      </c>
      <c r="E2834" t="s">
        <v>49</v>
      </c>
      <c r="F2834" t="s">
        <v>50</v>
      </c>
      <c r="G2834">
        <v>3</v>
      </c>
      <c r="H2834">
        <v>6.29</v>
      </c>
      <c r="I2834">
        <v>0.3</v>
      </c>
      <c r="J2834">
        <v>13.21</v>
      </c>
      <c r="K2834" t="s">
        <v>22</v>
      </c>
      <c r="L2834" t="s">
        <v>23</v>
      </c>
      <c r="M2834" t="s">
        <v>120</v>
      </c>
    </row>
    <row r="2835" spans="1:13" x14ac:dyDescent="0.2">
      <c r="A2835">
        <v>569961</v>
      </c>
      <c r="B2835" s="2">
        <v>45003</v>
      </c>
      <c r="C2835">
        <v>92081</v>
      </c>
      <c r="D2835" t="s">
        <v>85</v>
      </c>
      <c r="E2835" t="s">
        <v>157</v>
      </c>
      <c r="F2835" t="s">
        <v>158</v>
      </c>
      <c r="G2835">
        <v>2</v>
      </c>
      <c r="H2835">
        <v>11.47</v>
      </c>
      <c r="I2835">
        <v>0.15</v>
      </c>
      <c r="J2835">
        <v>19.5</v>
      </c>
      <c r="K2835" t="s">
        <v>22</v>
      </c>
      <c r="L2835" t="s">
        <v>17</v>
      </c>
      <c r="M2835" t="s">
        <v>81</v>
      </c>
    </row>
    <row r="2836" spans="1:13" x14ac:dyDescent="0.2">
      <c r="A2836">
        <v>570065</v>
      </c>
      <c r="B2836" s="1">
        <v>45107</v>
      </c>
      <c r="C2836">
        <v>19895</v>
      </c>
      <c r="D2836" t="s">
        <v>40</v>
      </c>
      <c r="E2836" t="s">
        <v>41</v>
      </c>
      <c r="F2836" t="s">
        <v>42</v>
      </c>
      <c r="G2836">
        <v>1</v>
      </c>
      <c r="H2836">
        <v>5.39</v>
      </c>
      <c r="I2836">
        <v>0.1</v>
      </c>
      <c r="J2836">
        <v>4.8499999999999996</v>
      </c>
      <c r="K2836" t="s">
        <v>16</v>
      </c>
      <c r="L2836" t="s">
        <v>23</v>
      </c>
      <c r="M2836" t="s">
        <v>43</v>
      </c>
    </row>
    <row r="2837" spans="1:13" x14ac:dyDescent="0.2">
      <c r="A2837">
        <v>570208</v>
      </c>
      <c r="B2837" s="1">
        <v>44634</v>
      </c>
      <c r="C2837">
        <v>68673</v>
      </c>
      <c r="D2837" t="s">
        <v>63</v>
      </c>
      <c r="E2837" t="s">
        <v>111</v>
      </c>
      <c r="F2837" t="s">
        <v>112</v>
      </c>
      <c r="G2837">
        <v>5</v>
      </c>
      <c r="H2837">
        <v>12.74</v>
      </c>
      <c r="I2837">
        <v>0.15</v>
      </c>
      <c r="J2837">
        <v>54.14</v>
      </c>
      <c r="K2837" t="s">
        <v>95</v>
      </c>
      <c r="L2837" t="s">
        <v>37</v>
      </c>
      <c r="M2837" t="s">
        <v>120</v>
      </c>
    </row>
    <row r="2838" spans="1:13" x14ac:dyDescent="0.2">
      <c r="A2838">
        <v>570257</v>
      </c>
      <c r="B2838" s="1">
        <v>44643</v>
      </c>
      <c r="D2838" t="s">
        <v>82</v>
      </c>
      <c r="E2838" t="s">
        <v>100</v>
      </c>
      <c r="F2838" t="s">
        <v>101</v>
      </c>
      <c r="G2838">
        <v>5</v>
      </c>
      <c r="H2838">
        <v>18.39</v>
      </c>
      <c r="I2838">
        <v>0.2</v>
      </c>
      <c r="J2838">
        <v>73.56</v>
      </c>
      <c r="K2838" t="s">
        <v>16</v>
      </c>
      <c r="L2838" t="s">
        <v>17</v>
      </c>
      <c r="M2838" t="s">
        <v>62</v>
      </c>
    </row>
    <row r="2839" spans="1:13" x14ac:dyDescent="0.2">
      <c r="A2839">
        <v>570506</v>
      </c>
      <c r="B2839" s="1">
        <v>44817</v>
      </c>
      <c r="C2839">
        <v>58313</v>
      </c>
      <c r="D2839" t="s">
        <v>40</v>
      </c>
      <c r="E2839" t="s">
        <v>41</v>
      </c>
      <c r="F2839" t="s">
        <v>42</v>
      </c>
      <c r="G2839">
        <v>1</v>
      </c>
      <c r="H2839">
        <v>4.49</v>
      </c>
      <c r="I2839">
        <v>0.25</v>
      </c>
      <c r="J2839">
        <v>3.37</v>
      </c>
      <c r="K2839" t="s">
        <v>16</v>
      </c>
      <c r="L2839" t="s">
        <v>37</v>
      </c>
      <c r="M2839" t="s">
        <v>117</v>
      </c>
    </row>
    <row r="2840" spans="1:13" x14ac:dyDescent="0.2">
      <c r="A2840">
        <v>570928</v>
      </c>
      <c r="B2840" s="1">
        <v>45353</v>
      </c>
      <c r="C2840">
        <v>14147</v>
      </c>
      <c r="D2840" t="s">
        <v>85</v>
      </c>
      <c r="E2840" t="s">
        <v>129</v>
      </c>
      <c r="F2840" t="s">
        <v>130</v>
      </c>
      <c r="G2840">
        <v>2</v>
      </c>
      <c r="H2840">
        <v>7.19</v>
      </c>
      <c r="I2840">
        <v>0.2</v>
      </c>
      <c r="J2840">
        <v>11.5</v>
      </c>
      <c r="K2840" t="s">
        <v>36</v>
      </c>
      <c r="L2840" t="s">
        <v>17</v>
      </c>
      <c r="M2840" t="s">
        <v>47</v>
      </c>
    </row>
    <row r="2841" spans="1:13" x14ac:dyDescent="0.2">
      <c r="A2841">
        <v>571223</v>
      </c>
      <c r="B2841" s="1">
        <v>45117</v>
      </c>
      <c r="C2841">
        <v>52087</v>
      </c>
      <c r="D2841" t="s">
        <v>29</v>
      </c>
      <c r="E2841" t="s">
        <v>72</v>
      </c>
      <c r="F2841" t="s">
        <v>73</v>
      </c>
      <c r="G2841">
        <v>4</v>
      </c>
      <c r="H2841">
        <v>39.99</v>
      </c>
      <c r="J2841">
        <v>159.96</v>
      </c>
      <c r="K2841" t="s">
        <v>22</v>
      </c>
      <c r="L2841" t="s">
        <v>17</v>
      </c>
      <c r="M2841" t="s">
        <v>103</v>
      </c>
    </row>
    <row r="2842" spans="1:13" x14ac:dyDescent="0.2">
      <c r="A2842">
        <v>571225</v>
      </c>
      <c r="B2842" s="2">
        <v>45213</v>
      </c>
      <c r="C2842">
        <v>44808</v>
      </c>
      <c r="D2842" t="s">
        <v>13</v>
      </c>
      <c r="E2842" t="s">
        <v>79</v>
      </c>
      <c r="F2842" t="s">
        <v>80</v>
      </c>
      <c r="G2842">
        <v>2</v>
      </c>
      <c r="H2842">
        <v>67.489999999999995</v>
      </c>
      <c r="I2842">
        <v>0.25</v>
      </c>
      <c r="J2842">
        <v>101.23</v>
      </c>
      <c r="K2842" t="s">
        <v>36</v>
      </c>
      <c r="L2842" t="s">
        <v>37</v>
      </c>
      <c r="M2842" t="s">
        <v>123</v>
      </c>
    </row>
    <row r="2843" spans="1:13" x14ac:dyDescent="0.2">
      <c r="A2843">
        <v>571233</v>
      </c>
      <c r="B2843" s="1">
        <v>45213</v>
      </c>
      <c r="C2843">
        <v>47997</v>
      </c>
      <c r="D2843" t="s">
        <v>13</v>
      </c>
      <c r="E2843" t="s">
        <v>34</v>
      </c>
      <c r="F2843" t="s">
        <v>35</v>
      </c>
      <c r="G2843">
        <v>5</v>
      </c>
      <c r="H2843">
        <v>26.24</v>
      </c>
      <c r="I2843">
        <v>0.25</v>
      </c>
      <c r="J2843">
        <v>98.4</v>
      </c>
      <c r="K2843" t="s">
        <v>16</v>
      </c>
      <c r="L2843" t="s">
        <v>17</v>
      </c>
      <c r="M2843" t="s">
        <v>81</v>
      </c>
    </row>
    <row r="2844" spans="1:13" x14ac:dyDescent="0.2">
      <c r="A2844">
        <v>571497</v>
      </c>
      <c r="B2844" s="1">
        <v>44715</v>
      </c>
      <c r="C2844">
        <v>89405</v>
      </c>
      <c r="D2844" t="s">
        <v>44</v>
      </c>
      <c r="E2844" t="s">
        <v>107</v>
      </c>
      <c r="F2844" t="s">
        <v>108</v>
      </c>
      <c r="G2844">
        <v>1</v>
      </c>
      <c r="H2844">
        <v>3.14</v>
      </c>
      <c r="I2844">
        <v>0.1</v>
      </c>
      <c r="J2844">
        <v>2.83</v>
      </c>
      <c r="K2844" t="s">
        <v>22</v>
      </c>
      <c r="L2844" t="s">
        <v>37</v>
      </c>
      <c r="M2844" t="s">
        <v>103</v>
      </c>
    </row>
    <row r="2845" spans="1:13" x14ac:dyDescent="0.2">
      <c r="A2845">
        <v>571635</v>
      </c>
      <c r="B2845" s="1">
        <v>44684</v>
      </c>
      <c r="C2845">
        <v>46942</v>
      </c>
      <c r="D2845" t="s">
        <v>97</v>
      </c>
      <c r="E2845" t="s">
        <v>135</v>
      </c>
      <c r="F2845" t="s">
        <v>136</v>
      </c>
      <c r="G2845">
        <v>2</v>
      </c>
      <c r="H2845">
        <v>7.99</v>
      </c>
      <c r="I2845">
        <v>0.2</v>
      </c>
      <c r="J2845">
        <v>12.78</v>
      </c>
      <c r="K2845" t="s">
        <v>95</v>
      </c>
      <c r="L2845" t="s">
        <v>17</v>
      </c>
      <c r="M2845" t="s">
        <v>96</v>
      </c>
    </row>
    <row r="2846" spans="1:13" x14ac:dyDescent="0.2">
      <c r="A2846">
        <v>572658</v>
      </c>
      <c r="B2846" s="1">
        <v>44600</v>
      </c>
      <c r="C2846">
        <v>98447</v>
      </c>
      <c r="D2846" t="s">
        <v>85</v>
      </c>
      <c r="E2846" t="s">
        <v>149</v>
      </c>
      <c r="F2846" t="s">
        <v>150</v>
      </c>
      <c r="G2846">
        <v>1</v>
      </c>
      <c r="H2846">
        <v>17.989999999999998</v>
      </c>
      <c r="I2846">
        <v>0.1</v>
      </c>
      <c r="J2846">
        <v>16.190000000000001</v>
      </c>
      <c r="K2846" t="s">
        <v>22</v>
      </c>
      <c r="L2846" t="s">
        <v>17</v>
      </c>
      <c r="M2846" t="s">
        <v>54</v>
      </c>
    </row>
    <row r="2847" spans="1:13" x14ac:dyDescent="0.2">
      <c r="A2847">
        <v>572769</v>
      </c>
      <c r="B2847" s="2">
        <v>45643</v>
      </c>
      <c r="C2847">
        <v>15989</v>
      </c>
      <c r="D2847" t="s">
        <v>82</v>
      </c>
      <c r="E2847" t="s">
        <v>83</v>
      </c>
      <c r="F2847" t="s">
        <v>84</v>
      </c>
      <c r="G2847">
        <v>5</v>
      </c>
      <c r="H2847">
        <v>13.59</v>
      </c>
      <c r="I2847">
        <v>0.2</v>
      </c>
      <c r="J2847">
        <v>54.36</v>
      </c>
      <c r="K2847" t="s">
        <v>16</v>
      </c>
      <c r="L2847" t="s">
        <v>17</v>
      </c>
      <c r="M2847" t="s">
        <v>120</v>
      </c>
    </row>
    <row r="2848" spans="1:13" x14ac:dyDescent="0.2">
      <c r="A2848">
        <v>572801</v>
      </c>
      <c r="B2848" s="1">
        <v>44568</v>
      </c>
      <c r="D2848" t="s">
        <v>25</v>
      </c>
      <c r="E2848" t="s">
        <v>26</v>
      </c>
      <c r="F2848" t="s">
        <v>27</v>
      </c>
      <c r="G2848">
        <v>2</v>
      </c>
      <c r="H2848">
        <v>34.99</v>
      </c>
      <c r="J2848">
        <v>69.98</v>
      </c>
      <c r="K2848" t="s">
        <v>16</v>
      </c>
      <c r="L2848" t="s">
        <v>17</v>
      </c>
      <c r="M2848" t="s">
        <v>33</v>
      </c>
    </row>
    <row r="2849" spans="1:13" x14ac:dyDescent="0.2">
      <c r="A2849">
        <v>573148</v>
      </c>
      <c r="B2849" s="1">
        <v>45089</v>
      </c>
      <c r="C2849">
        <v>35099</v>
      </c>
      <c r="D2849" t="s">
        <v>25</v>
      </c>
      <c r="E2849" t="s">
        <v>51</v>
      </c>
      <c r="F2849" t="s">
        <v>52</v>
      </c>
      <c r="G2849">
        <v>1</v>
      </c>
      <c r="H2849">
        <v>27.99</v>
      </c>
      <c r="J2849">
        <v>27.99</v>
      </c>
      <c r="K2849" t="s">
        <v>36</v>
      </c>
      <c r="L2849" t="s">
        <v>23</v>
      </c>
    </row>
    <row r="2850" spans="1:13" x14ac:dyDescent="0.2">
      <c r="A2850">
        <v>573469</v>
      </c>
      <c r="B2850" s="1">
        <v>44784</v>
      </c>
      <c r="C2850">
        <v>98458</v>
      </c>
      <c r="D2850" t="s">
        <v>48</v>
      </c>
      <c r="E2850" t="s">
        <v>143</v>
      </c>
      <c r="F2850" t="s">
        <v>144</v>
      </c>
      <c r="G2850">
        <v>2</v>
      </c>
      <c r="H2850">
        <v>12.74</v>
      </c>
      <c r="I2850">
        <v>0.15</v>
      </c>
      <c r="J2850">
        <v>21.66</v>
      </c>
      <c r="K2850" t="s">
        <v>16</v>
      </c>
      <c r="L2850" t="s">
        <v>17</v>
      </c>
      <c r="M2850" t="s">
        <v>33</v>
      </c>
    </row>
    <row r="2851" spans="1:13" x14ac:dyDescent="0.2">
      <c r="A2851">
        <v>573598</v>
      </c>
      <c r="B2851" s="2">
        <v>45242</v>
      </c>
      <c r="C2851">
        <v>26711</v>
      </c>
      <c r="D2851" t="s">
        <v>48</v>
      </c>
      <c r="E2851" t="s">
        <v>143</v>
      </c>
      <c r="F2851" t="s">
        <v>144</v>
      </c>
      <c r="G2851">
        <v>2</v>
      </c>
      <c r="H2851">
        <v>12.74</v>
      </c>
      <c r="I2851">
        <v>0.15</v>
      </c>
      <c r="J2851">
        <v>21.66</v>
      </c>
      <c r="K2851" t="s">
        <v>53</v>
      </c>
      <c r="L2851" t="s">
        <v>37</v>
      </c>
      <c r="M2851" t="s">
        <v>62</v>
      </c>
    </row>
    <row r="2852" spans="1:13" x14ac:dyDescent="0.2">
      <c r="A2852">
        <v>573899</v>
      </c>
      <c r="B2852" s="1">
        <v>44677</v>
      </c>
      <c r="C2852">
        <v>97864</v>
      </c>
      <c r="D2852" t="s">
        <v>97</v>
      </c>
      <c r="E2852" t="s">
        <v>98</v>
      </c>
      <c r="F2852" t="s">
        <v>99</v>
      </c>
      <c r="G2852">
        <v>2</v>
      </c>
      <c r="H2852">
        <v>27.99</v>
      </c>
      <c r="J2852">
        <v>55.98</v>
      </c>
      <c r="K2852" t="s">
        <v>36</v>
      </c>
      <c r="L2852" t="s">
        <v>17</v>
      </c>
      <c r="M2852" t="s">
        <v>24</v>
      </c>
    </row>
    <row r="2853" spans="1:13" x14ac:dyDescent="0.2">
      <c r="A2853">
        <v>574472</v>
      </c>
      <c r="B2853" s="1">
        <v>45564</v>
      </c>
      <c r="C2853">
        <v>53094</v>
      </c>
      <c r="D2853" t="s">
        <v>63</v>
      </c>
      <c r="E2853" t="s">
        <v>131</v>
      </c>
      <c r="F2853" t="s">
        <v>132</v>
      </c>
      <c r="G2853">
        <v>4</v>
      </c>
      <c r="H2853">
        <v>3.49</v>
      </c>
      <c r="J2853">
        <v>13.96</v>
      </c>
      <c r="K2853" t="s">
        <v>95</v>
      </c>
      <c r="L2853" t="s">
        <v>37</v>
      </c>
      <c r="M2853" t="s">
        <v>81</v>
      </c>
    </row>
    <row r="2854" spans="1:13" x14ac:dyDescent="0.2">
      <c r="A2854">
        <v>574497</v>
      </c>
      <c r="B2854" s="1">
        <v>45578</v>
      </c>
      <c r="C2854">
        <v>34716</v>
      </c>
      <c r="D2854" t="s">
        <v>44</v>
      </c>
      <c r="E2854" t="s">
        <v>45</v>
      </c>
      <c r="F2854" t="s">
        <v>46</v>
      </c>
      <c r="G2854">
        <v>1</v>
      </c>
      <c r="H2854">
        <v>1.7</v>
      </c>
      <c r="I2854">
        <v>0.05</v>
      </c>
      <c r="J2854">
        <v>1.62</v>
      </c>
      <c r="K2854" t="s">
        <v>16</v>
      </c>
      <c r="L2854" t="s">
        <v>17</v>
      </c>
      <c r="M2854" t="s">
        <v>28</v>
      </c>
    </row>
    <row r="2855" spans="1:13" x14ac:dyDescent="0.2">
      <c r="A2855">
        <v>574523</v>
      </c>
      <c r="B2855" s="1">
        <v>44735</v>
      </c>
      <c r="C2855">
        <v>99393</v>
      </c>
      <c r="D2855" t="s">
        <v>82</v>
      </c>
      <c r="E2855" t="s">
        <v>168</v>
      </c>
      <c r="F2855" t="s">
        <v>169</v>
      </c>
      <c r="G2855">
        <v>2</v>
      </c>
      <c r="H2855">
        <v>8.99</v>
      </c>
      <c r="J2855">
        <v>17.98</v>
      </c>
      <c r="K2855" t="s">
        <v>36</v>
      </c>
      <c r="L2855" t="s">
        <v>17</v>
      </c>
    </row>
    <row r="2856" spans="1:13" x14ac:dyDescent="0.2">
      <c r="A2856">
        <v>574528</v>
      </c>
      <c r="B2856" s="1">
        <v>44980</v>
      </c>
      <c r="C2856">
        <v>28578</v>
      </c>
      <c r="D2856" t="s">
        <v>29</v>
      </c>
      <c r="E2856" t="s">
        <v>38</v>
      </c>
      <c r="F2856" t="s">
        <v>39</v>
      </c>
      <c r="G2856">
        <v>5</v>
      </c>
      <c r="H2856">
        <v>29.99</v>
      </c>
      <c r="J2856">
        <v>149.94999999999999</v>
      </c>
      <c r="K2856" t="s">
        <v>36</v>
      </c>
      <c r="L2856" t="s">
        <v>17</v>
      </c>
      <c r="M2856" t="s">
        <v>120</v>
      </c>
    </row>
    <row r="2857" spans="1:13" x14ac:dyDescent="0.2">
      <c r="A2857">
        <v>574539</v>
      </c>
      <c r="B2857" s="1">
        <v>44620</v>
      </c>
      <c r="C2857">
        <v>72286</v>
      </c>
      <c r="D2857" t="s">
        <v>44</v>
      </c>
      <c r="E2857" t="s">
        <v>107</v>
      </c>
      <c r="F2857" t="s">
        <v>108</v>
      </c>
      <c r="G2857">
        <v>1</v>
      </c>
      <c r="H2857">
        <v>2.79</v>
      </c>
      <c r="I2857">
        <v>0.2</v>
      </c>
      <c r="J2857">
        <v>2.23</v>
      </c>
      <c r="K2857" t="s">
        <v>16</v>
      </c>
      <c r="L2857" t="s">
        <v>17</v>
      </c>
      <c r="M2857" t="s">
        <v>47</v>
      </c>
    </row>
    <row r="2858" spans="1:13" x14ac:dyDescent="0.2">
      <c r="A2858">
        <v>574602</v>
      </c>
      <c r="B2858" s="1">
        <v>45194</v>
      </c>
      <c r="C2858">
        <v>54496</v>
      </c>
      <c r="D2858" t="s">
        <v>82</v>
      </c>
      <c r="E2858" t="s">
        <v>155</v>
      </c>
      <c r="F2858" t="s">
        <v>156</v>
      </c>
      <c r="G2858">
        <v>5</v>
      </c>
      <c r="H2858">
        <v>15.99</v>
      </c>
      <c r="I2858">
        <v>0.2</v>
      </c>
      <c r="J2858">
        <v>63.96</v>
      </c>
      <c r="K2858" t="s">
        <v>32</v>
      </c>
      <c r="L2858" t="s">
        <v>17</v>
      </c>
      <c r="M2858" t="s">
        <v>120</v>
      </c>
    </row>
    <row r="2859" spans="1:13" x14ac:dyDescent="0.2">
      <c r="A2859">
        <v>574746</v>
      </c>
      <c r="B2859" s="1">
        <v>44842</v>
      </c>
      <c r="C2859">
        <v>19118</v>
      </c>
      <c r="D2859" t="s">
        <v>48</v>
      </c>
      <c r="E2859" t="s">
        <v>49</v>
      </c>
      <c r="F2859" t="s">
        <v>50</v>
      </c>
      <c r="G2859">
        <v>4</v>
      </c>
      <c r="H2859">
        <v>8.5399999999999991</v>
      </c>
      <c r="I2859">
        <v>0.05</v>
      </c>
      <c r="J2859">
        <v>32.450000000000003</v>
      </c>
      <c r="K2859" t="s">
        <v>36</v>
      </c>
      <c r="L2859" t="s">
        <v>37</v>
      </c>
      <c r="M2859" t="s">
        <v>103</v>
      </c>
    </row>
    <row r="2860" spans="1:13" x14ac:dyDescent="0.2">
      <c r="A2860">
        <v>574861</v>
      </c>
      <c r="B2860" s="1">
        <v>45194</v>
      </c>
      <c r="C2860">
        <v>61358</v>
      </c>
      <c r="D2860" t="s">
        <v>44</v>
      </c>
      <c r="E2860" t="s">
        <v>133</v>
      </c>
      <c r="F2860" t="s">
        <v>134</v>
      </c>
      <c r="G2860">
        <v>2</v>
      </c>
      <c r="H2860">
        <v>3.79</v>
      </c>
      <c r="J2860">
        <v>7.58</v>
      </c>
      <c r="K2860" t="s">
        <v>16</v>
      </c>
      <c r="L2860" t="s">
        <v>17</v>
      </c>
      <c r="M2860" t="s">
        <v>120</v>
      </c>
    </row>
    <row r="2861" spans="1:13" x14ac:dyDescent="0.2">
      <c r="A2861">
        <v>574977</v>
      </c>
      <c r="B2861" s="2">
        <v>45529</v>
      </c>
      <c r="C2861">
        <v>19828</v>
      </c>
      <c r="D2861" t="s">
        <v>85</v>
      </c>
      <c r="E2861" t="s">
        <v>129</v>
      </c>
      <c r="F2861" t="s">
        <v>130</v>
      </c>
      <c r="G2861">
        <v>2</v>
      </c>
      <c r="H2861">
        <v>8.09</v>
      </c>
      <c r="I2861">
        <v>0.1</v>
      </c>
      <c r="J2861">
        <v>14.56</v>
      </c>
      <c r="K2861" t="s">
        <v>36</v>
      </c>
      <c r="L2861" t="s">
        <v>17</v>
      </c>
      <c r="M2861" t="s">
        <v>62</v>
      </c>
    </row>
    <row r="2862" spans="1:13" x14ac:dyDescent="0.2">
      <c r="A2862">
        <v>575071</v>
      </c>
      <c r="B2862" s="1">
        <v>44650</v>
      </c>
      <c r="C2862">
        <v>79559</v>
      </c>
      <c r="D2862" t="s">
        <v>85</v>
      </c>
      <c r="E2862" t="s">
        <v>153</v>
      </c>
      <c r="F2862" t="s">
        <v>154</v>
      </c>
      <c r="G2862">
        <v>1</v>
      </c>
      <c r="H2862">
        <v>22.49</v>
      </c>
      <c r="I2862">
        <v>0.25</v>
      </c>
      <c r="J2862">
        <v>16.87</v>
      </c>
      <c r="K2862" t="s">
        <v>22</v>
      </c>
      <c r="L2862" t="s">
        <v>37</v>
      </c>
      <c r="M2862" t="s">
        <v>47</v>
      </c>
    </row>
    <row r="2863" spans="1:13" x14ac:dyDescent="0.2">
      <c r="A2863">
        <v>575256</v>
      </c>
      <c r="B2863" s="1">
        <v>44892</v>
      </c>
      <c r="C2863">
        <v>69199</v>
      </c>
      <c r="D2863" t="s">
        <v>29</v>
      </c>
      <c r="E2863" t="s">
        <v>30</v>
      </c>
      <c r="F2863" t="s">
        <v>31</v>
      </c>
      <c r="G2863">
        <v>3</v>
      </c>
      <c r="H2863">
        <v>21.24</v>
      </c>
      <c r="I2863">
        <v>0.15</v>
      </c>
      <c r="J2863">
        <v>54.16</v>
      </c>
      <c r="K2863" t="s">
        <v>36</v>
      </c>
      <c r="L2863" t="s">
        <v>17</v>
      </c>
      <c r="M2863" t="s">
        <v>76</v>
      </c>
    </row>
    <row r="2864" spans="1:13" x14ac:dyDescent="0.2">
      <c r="A2864">
        <v>575461</v>
      </c>
      <c r="B2864" s="1">
        <v>45087</v>
      </c>
      <c r="C2864">
        <v>46589</v>
      </c>
      <c r="D2864" t="s">
        <v>13</v>
      </c>
      <c r="E2864" t="s">
        <v>14</v>
      </c>
      <c r="F2864" t="s">
        <v>15</v>
      </c>
      <c r="G2864">
        <v>1</v>
      </c>
      <c r="H2864">
        <v>55.99</v>
      </c>
      <c r="I2864">
        <v>0.3</v>
      </c>
      <c r="J2864">
        <v>39.19</v>
      </c>
      <c r="K2864" t="s">
        <v>16</v>
      </c>
      <c r="L2864" t="s">
        <v>37</v>
      </c>
    </row>
    <row r="2865" spans="1:13" x14ac:dyDescent="0.2">
      <c r="A2865">
        <v>575531</v>
      </c>
      <c r="B2865" s="1">
        <v>45483</v>
      </c>
      <c r="C2865">
        <v>42375</v>
      </c>
      <c r="D2865" t="s">
        <v>13</v>
      </c>
      <c r="E2865" t="s">
        <v>14</v>
      </c>
      <c r="F2865" t="s">
        <v>15</v>
      </c>
      <c r="G2865">
        <v>1</v>
      </c>
      <c r="H2865">
        <v>67.989999999999995</v>
      </c>
      <c r="I2865">
        <v>0.15</v>
      </c>
      <c r="J2865">
        <v>57.79</v>
      </c>
      <c r="K2865" t="s">
        <v>16</v>
      </c>
      <c r="L2865" t="s">
        <v>17</v>
      </c>
      <c r="M2865" t="s">
        <v>102</v>
      </c>
    </row>
    <row r="2866" spans="1:13" x14ac:dyDescent="0.2">
      <c r="A2866">
        <v>575565</v>
      </c>
      <c r="B2866" s="1">
        <v>45321</v>
      </c>
      <c r="C2866">
        <v>13063</v>
      </c>
      <c r="D2866" t="s">
        <v>97</v>
      </c>
      <c r="E2866" t="s">
        <v>98</v>
      </c>
      <c r="F2866" t="s">
        <v>99</v>
      </c>
      <c r="G2866">
        <v>1</v>
      </c>
      <c r="H2866">
        <v>22.39</v>
      </c>
      <c r="I2866">
        <v>0.2</v>
      </c>
      <c r="J2866">
        <v>17.91</v>
      </c>
      <c r="K2866" t="s">
        <v>53</v>
      </c>
      <c r="L2866" t="s">
        <v>17</v>
      </c>
      <c r="M2866" t="s">
        <v>24</v>
      </c>
    </row>
    <row r="2867" spans="1:13" x14ac:dyDescent="0.2">
      <c r="A2867">
        <v>575913</v>
      </c>
      <c r="B2867" s="2">
        <v>44699</v>
      </c>
      <c r="C2867">
        <v>51182</v>
      </c>
      <c r="D2867" t="s">
        <v>124</v>
      </c>
      <c r="E2867" t="s">
        <v>125</v>
      </c>
      <c r="F2867" t="s">
        <v>126</v>
      </c>
      <c r="G2867">
        <v>1</v>
      </c>
      <c r="H2867">
        <v>28.49</v>
      </c>
      <c r="I2867">
        <v>0.05</v>
      </c>
      <c r="J2867">
        <v>27.07</v>
      </c>
      <c r="K2867" t="s">
        <v>95</v>
      </c>
      <c r="L2867" t="s">
        <v>23</v>
      </c>
      <c r="M2867" t="s">
        <v>33</v>
      </c>
    </row>
    <row r="2868" spans="1:13" x14ac:dyDescent="0.2">
      <c r="A2868">
        <v>575973</v>
      </c>
      <c r="B2868" s="1">
        <v>45591</v>
      </c>
      <c r="C2868">
        <v>85520</v>
      </c>
      <c r="D2868" t="s">
        <v>106</v>
      </c>
      <c r="E2868" t="s">
        <v>74</v>
      </c>
      <c r="F2868" t="s">
        <v>75</v>
      </c>
      <c r="G2868">
        <v>2</v>
      </c>
      <c r="H2868">
        <v>2.09</v>
      </c>
      <c r="I2868">
        <v>0.3</v>
      </c>
      <c r="J2868">
        <v>2.93</v>
      </c>
      <c r="K2868" t="s">
        <v>36</v>
      </c>
      <c r="L2868" t="s">
        <v>37</v>
      </c>
      <c r="M2868" t="s">
        <v>120</v>
      </c>
    </row>
    <row r="2869" spans="1:13" x14ac:dyDescent="0.2">
      <c r="A2869">
        <v>576136</v>
      </c>
      <c r="B2869" s="2">
        <v>45167</v>
      </c>
      <c r="C2869">
        <v>34318</v>
      </c>
      <c r="D2869" t="s">
        <v>63</v>
      </c>
      <c r="E2869" t="s">
        <v>131</v>
      </c>
      <c r="F2869" t="s">
        <v>132</v>
      </c>
      <c r="G2869">
        <v>2</v>
      </c>
      <c r="H2869">
        <v>3.14</v>
      </c>
      <c r="I2869">
        <v>0.1</v>
      </c>
      <c r="J2869">
        <v>5.65</v>
      </c>
      <c r="K2869" t="s">
        <v>36</v>
      </c>
      <c r="L2869" t="s">
        <v>17</v>
      </c>
      <c r="M2869" t="s">
        <v>120</v>
      </c>
    </row>
    <row r="2870" spans="1:13" x14ac:dyDescent="0.2">
      <c r="A2870">
        <v>576197</v>
      </c>
      <c r="B2870" s="2">
        <v>45360</v>
      </c>
      <c r="C2870">
        <v>37876</v>
      </c>
      <c r="D2870" t="s">
        <v>63</v>
      </c>
      <c r="E2870" t="s">
        <v>125</v>
      </c>
      <c r="F2870" t="s">
        <v>126</v>
      </c>
      <c r="G2870">
        <v>2</v>
      </c>
      <c r="H2870">
        <v>25.49</v>
      </c>
      <c r="I2870">
        <v>0.15</v>
      </c>
      <c r="J2870">
        <v>43.33</v>
      </c>
      <c r="K2870" t="s">
        <v>16</v>
      </c>
      <c r="L2870" t="s">
        <v>17</v>
      </c>
      <c r="M2870" t="s">
        <v>33</v>
      </c>
    </row>
    <row r="2871" spans="1:13" x14ac:dyDescent="0.2">
      <c r="A2871">
        <v>576345</v>
      </c>
      <c r="B2871" s="1">
        <v>45170</v>
      </c>
      <c r="D2871" t="s">
        <v>44</v>
      </c>
      <c r="E2871" t="s">
        <v>195</v>
      </c>
      <c r="F2871" t="s">
        <v>196</v>
      </c>
      <c r="G2871">
        <v>1</v>
      </c>
      <c r="H2871">
        <v>4.24</v>
      </c>
      <c r="I2871">
        <v>0.15</v>
      </c>
      <c r="J2871">
        <v>3.6</v>
      </c>
      <c r="K2871" t="s">
        <v>16</v>
      </c>
      <c r="L2871" t="s">
        <v>17</v>
      </c>
      <c r="M2871" t="s">
        <v>102</v>
      </c>
    </row>
    <row r="2872" spans="1:13" x14ac:dyDescent="0.2">
      <c r="A2872">
        <v>576666</v>
      </c>
      <c r="B2872" s="1">
        <v>45392</v>
      </c>
      <c r="C2872">
        <v>59638</v>
      </c>
      <c r="D2872" t="s">
        <v>48</v>
      </c>
      <c r="E2872" t="s">
        <v>109</v>
      </c>
      <c r="F2872" t="s">
        <v>110</v>
      </c>
      <c r="G2872">
        <v>5</v>
      </c>
      <c r="H2872">
        <v>6.99</v>
      </c>
      <c r="J2872">
        <v>34.950000000000003</v>
      </c>
      <c r="K2872" t="s">
        <v>22</v>
      </c>
      <c r="L2872" t="s">
        <v>17</v>
      </c>
      <c r="M2872" t="s">
        <v>96</v>
      </c>
    </row>
    <row r="2873" spans="1:13" x14ac:dyDescent="0.2">
      <c r="A2873">
        <v>576680</v>
      </c>
      <c r="B2873" s="1">
        <v>44800</v>
      </c>
      <c r="C2873">
        <v>50001</v>
      </c>
      <c r="D2873" t="s">
        <v>29</v>
      </c>
      <c r="E2873" t="s">
        <v>88</v>
      </c>
      <c r="F2873" t="s">
        <v>89</v>
      </c>
      <c r="G2873">
        <v>1</v>
      </c>
      <c r="H2873">
        <v>44.99</v>
      </c>
      <c r="I2873">
        <v>0.1</v>
      </c>
      <c r="J2873">
        <v>40.49</v>
      </c>
      <c r="K2873" t="s">
        <v>36</v>
      </c>
      <c r="L2873" t="s">
        <v>17</v>
      </c>
      <c r="M2873" t="s">
        <v>54</v>
      </c>
    </row>
    <row r="2874" spans="1:13" x14ac:dyDescent="0.2">
      <c r="A2874">
        <v>576789</v>
      </c>
      <c r="B2874" s="1">
        <v>45594</v>
      </c>
      <c r="C2874">
        <v>90111</v>
      </c>
      <c r="D2874" t="s">
        <v>25</v>
      </c>
      <c r="E2874" t="s">
        <v>70</v>
      </c>
      <c r="F2874" t="s">
        <v>71</v>
      </c>
      <c r="G2874">
        <v>5</v>
      </c>
      <c r="H2874">
        <v>89.99</v>
      </c>
      <c r="J2874">
        <v>449.95</v>
      </c>
      <c r="K2874" t="s">
        <v>16</v>
      </c>
      <c r="L2874" t="s">
        <v>17</v>
      </c>
      <c r="M2874" t="s">
        <v>43</v>
      </c>
    </row>
    <row r="2875" spans="1:13" x14ac:dyDescent="0.2">
      <c r="A2875">
        <v>577385</v>
      </c>
      <c r="B2875" s="1">
        <v>44801</v>
      </c>
      <c r="C2875">
        <v>27545</v>
      </c>
      <c r="D2875" t="s">
        <v>40</v>
      </c>
      <c r="E2875" t="s">
        <v>115</v>
      </c>
      <c r="F2875" t="s">
        <v>116</v>
      </c>
      <c r="G2875">
        <v>2</v>
      </c>
      <c r="H2875">
        <v>9.74</v>
      </c>
      <c r="I2875">
        <v>0.25</v>
      </c>
      <c r="J2875">
        <v>14.61</v>
      </c>
      <c r="K2875" t="s">
        <v>16</v>
      </c>
      <c r="L2875" t="s">
        <v>17</v>
      </c>
      <c r="M2875" t="s">
        <v>96</v>
      </c>
    </row>
    <row r="2876" spans="1:13" x14ac:dyDescent="0.2">
      <c r="A2876">
        <v>577621</v>
      </c>
      <c r="B2876" s="1">
        <v>44613</v>
      </c>
      <c r="C2876">
        <v>89099</v>
      </c>
      <c r="D2876" t="s">
        <v>97</v>
      </c>
      <c r="E2876" t="s">
        <v>135</v>
      </c>
      <c r="F2876" t="s">
        <v>136</v>
      </c>
      <c r="G2876">
        <v>3</v>
      </c>
      <c r="H2876">
        <v>6.99</v>
      </c>
      <c r="I2876">
        <v>0.3</v>
      </c>
      <c r="J2876">
        <v>14.68</v>
      </c>
      <c r="K2876" t="s">
        <v>16</v>
      </c>
      <c r="L2876" t="s">
        <v>17</v>
      </c>
      <c r="M2876" t="s">
        <v>57</v>
      </c>
    </row>
    <row r="2877" spans="1:13" x14ac:dyDescent="0.2">
      <c r="A2877">
        <v>577656</v>
      </c>
      <c r="B2877" s="1">
        <v>45194</v>
      </c>
      <c r="C2877">
        <v>16160</v>
      </c>
      <c r="D2877" t="s">
        <v>13</v>
      </c>
      <c r="E2877" t="s">
        <v>159</v>
      </c>
      <c r="F2877" t="s">
        <v>160</v>
      </c>
      <c r="G2877">
        <v>1</v>
      </c>
      <c r="H2877">
        <v>59.99</v>
      </c>
      <c r="J2877">
        <v>59.99</v>
      </c>
      <c r="K2877" t="s">
        <v>36</v>
      </c>
      <c r="L2877" t="s">
        <v>17</v>
      </c>
      <c r="M2877" t="s">
        <v>43</v>
      </c>
    </row>
    <row r="2878" spans="1:13" x14ac:dyDescent="0.2">
      <c r="A2878">
        <v>577847</v>
      </c>
      <c r="B2878" s="1">
        <v>45157</v>
      </c>
      <c r="C2878">
        <v>57292</v>
      </c>
      <c r="D2878" t="s">
        <v>97</v>
      </c>
      <c r="E2878" t="s">
        <v>141</v>
      </c>
      <c r="F2878" t="s">
        <v>142</v>
      </c>
      <c r="G2878">
        <v>1</v>
      </c>
      <c r="H2878">
        <v>22.99</v>
      </c>
      <c r="J2878">
        <v>22.99</v>
      </c>
      <c r="K2878" t="s">
        <v>53</v>
      </c>
      <c r="L2878" t="s">
        <v>17</v>
      </c>
      <c r="M2878" t="s">
        <v>33</v>
      </c>
    </row>
    <row r="2879" spans="1:13" x14ac:dyDescent="0.2">
      <c r="A2879">
        <v>577867</v>
      </c>
      <c r="B2879" s="1">
        <v>45007</v>
      </c>
      <c r="D2879" t="s">
        <v>63</v>
      </c>
      <c r="E2879" t="s">
        <v>125</v>
      </c>
      <c r="F2879" t="s">
        <v>126</v>
      </c>
      <c r="G2879">
        <v>3</v>
      </c>
      <c r="H2879">
        <v>22.49</v>
      </c>
      <c r="I2879">
        <v>0.25</v>
      </c>
      <c r="J2879">
        <v>50.6</v>
      </c>
      <c r="K2879" t="s">
        <v>53</v>
      </c>
      <c r="L2879" t="s">
        <v>17</v>
      </c>
    </row>
    <row r="2880" spans="1:13" x14ac:dyDescent="0.2">
      <c r="A2880">
        <v>578015</v>
      </c>
      <c r="B2880" s="2">
        <v>45271</v>
      </c>
      <c r="C2880">
        <v>37269</v>
      </c>
      <c r="D2880" t="s">
        <v>97</v>
      </c>
      <c r="E2880" t="s">
        <v>135</v>
      </c>
      <c r="F2880" t="s">
        <v>136</v>
      </c>
      <c r="G2880">
        <v>1</v>
      </c>
      <c r="H2880">
        <v>8.49</v>
      </c>
      <c r="I2880">
        <v>0.15</v>
      </c>
      <c r="J2880">
        <v>7.22</v>
      </c>
      <c r="K2880" t="s">
        <v>16</v>
      </c>
      <c r="L2880" t="s">
        <v>23</v>
      </c>
      <c r="M2880" t="s">
        <v>123</v>
      </c>
    </row>
    <row r="2881" spans="1:13" x14ac:dyDescent="0.2">
      <c r="A2881">
        <v>578151</v>
      </c>
      <c r="B2881" s="1">
        <v>45144</v>
      </c>
      <c r="C2881">
        <v>30585</v>
      </c>
      <c r="D2881" t="s">
        <v>97</v>
      </c>
      <c r="E2881" t="s">
        <v>135</v>
      </c>
      <c r="F2881" t="s">
        <v>136</v>
      </c>
      <c r="G2881">
        <v>5</v>
      </c>
      <c r="H2881">
        <v>8.99</v>
      </c>
      <c r="I2881">
        <v>0.1</v>
      </c>
      <c r="J2881">
        <v>40.46</v>
      </c>
      <c r="K2881" t="s">
        <v>36</v>
      </c>
      <c r="L2881" t="s">
        <v>17</v>
      </c>
      <c r="M2881" t="s">
        <v>18</v>
      </c>
    </row>
    <row r="2882" spans="1:13" x14ac:dyDescent="0.2">
      <c r="A2882">
        <v>578160</v>
      </c>
      <c r="B2882" s="1">
        <v>45339</v>
      </c>
      <c r="C2882">
        <v>50596</v>
      </c>
      <c r="D2882" t="s">
        <v>82</v>
      </c>
      <c r="E2882" t="s">
        <v>147</v>
      </c>
      <c r="F2882" t="s">
        <v>148</v>
      </c>
      <c r="G2882">
        <v>1</v>
      </c>
      <c r="H2882">
        <v>12.99</v>
      </c>
      <c r="J2882">
        <v>12.99</v>
      </c>
      <c r="K2882" t="s">
        <v>16</v>
      </c>
      <c r="L2882" t="s">
        <v>17</v>
      </c>
      <c r="M2882" t="s">
        <v>81</v>
      </c>
    </row>
    <row r="2883" spans="1:13" x14ac:dyDescent="0.2">
      <c r="A2883">
        <v>578266</v>
      </c>
      <c r="B2883" s="2">
        <v>45024</v>
      </c>
      <c r="C2883">
        <v>38920</v>
      </c>
      <c r="D2883" t="s">
        <v>40</v>
      </c>
      <c r="E2883" t="s">
        <v>58</v>
      </c>
      <c r="F2883" t="s">
        <v>59</v>
      </c>
      <c r="G2883">
        <v>1</v>
      </c>
      <c r="H2883">
        <v>2.99</v>
      </c>
      <c r="I2883">
        <v>0.25</v>
      </c>
      <c r="J2883">
        <v>2.2400000000000002</v>
      </c>
      <c r="K2883" t="s">
        <v>16</v>
      </c>
      <c r="L2883" t="s">
        <v>17</v>
      </c>
      <c r="M2883" t="s">
        <v>67</v>
      </c>
    </row>
    <row r="2884" spans="1:13" x14ac:dyDescent="0.2">
      <c r="A2884">
        <v>578788</v>
      </c>
      <c r="B2884" s="1">
        <v>45037</v>
      </c>
      <c r="C2884">
        <v>88916</v>
      </c>
      <c r="D2884" t="s">
        <v>13</v>
      </c>
      <c r="E2884" t="s">
        <v>186</v>
      </c>
      <c r="F2884" t="s">
        <v>187</v>
      </c>
      <c r="G2884">
        <v>5</v>
      </c>
      <c r="H2884">
        <v>42.49</v>
      </c>
      <c r="I2884">
        <v>0.15</v>
      </c>
      <c r="J2884">
        <v>180.58</v>
      </c>
      <c r="K2884" t="s">
        <v>36</v>
      </c>
      <c r="L2884" t="s">
        <v>17</v>
      </c>
      <c r="M2884" t="s">
        <v>54</v>
      </c>
    </row>
    <row r="2885" spans="1:13" x14ac:dyDescent="0.2">
      <c r="A2885">
        <v>578842</v>
      </c>
      <c r="B2885" s="1">
        <v>45127</v>
      </c>
      <c r="C2885">
        <v>30445</v>
      </c>
      <c r="D2885" t="s">
        <v>25</v>
      </c>
      <c r="E2885" t="s">
        <v>26</v>
      </c>
      <c r="F2885" t="s">
        <v>27</v>
      </c>
      <c r="G2885">
        <v>3</v>
      </c>
      <c r="H2885">
        <v>29.74</v>
      </c>
      <c r="I2885">
        <v>0.15</v>
      </c>
      <c r="J2885">
        <v>75.84</v>
      </c>
      <c r="K2885" t="s">
        <v>53</v>
      </c>
      <c r="L2885" t="s">
        <v>37</v>
      </c>
      <c r="M2885" t="s">
        <v>103</v>
      </c>
    </row>
    <row r="2886" spans="1:13" x14ac:dyDescent="0.2">
      <c r="A2886">
        <v>579121</v>
      </c>
      <c r="B2886" s="1">
        <v>45132</v>
      </c>
      <c r="C2886">
        <v>94172</v>
      </c>
      <c r="D2886" t="s">
        <v>63</v>
      </c>
      <c r="E2886" t="s">
        <v>68</v>
      </c>
      <c r="F2886" t="s">
        <v>69</v>
      </c>
      <c r="G2886">
        <v>1</v>
      </c>
      <c r="H2886">
        <v>23.74</v>
      </c>
      <c r="I2886">
        <v>0.05</v>
      </c>
      <c r="J2886">
        <v>22.55</v>
      </c>
      <c r="K2886" t="s">
        <v>22</v>
      </c>
      <c r="L2886" t="s">
        <v>37</v>
      </c>
      <c r="M2886" t="s">
        <v>161</v>
      </c>
    </row>
    <row r="2887" spans="1:13" x14ac:dyDescent="0.2">
      <c r="A2887">
        <v>579389</v>
      </c>
      <c r="B2887" s="1">
        <v>44879</v>
      </c>
      <c r="C2887">
        <v>67932</v>
      </c>
      <c r="D2887" t="s">
        <v>13</v>
      </c>
      <c r="E2887" t="s">
        <v>159</v>
      </c>
      <c r="F2887" t="s">
        <v>160</v>
      </c>
      <c r="G2887">
        <v>3</v>
      </c>
      <c r="H2887">
        <v>47.99</v>
      </c>
      <c r="I2887">
        <v>0.2</v>
      </c>
      <c r="J2887">
        <v>115.18</v>
      </c>
      <c r="K2887" t="s">
        <v>16</v>
      </c>
      <c r="L2887" t="s">
        <v>23</v>
      </c>
      <c r="M2887" t="s">
        <v>90</v>
      </c>
    </row>
    <row r="2888" spans="1:13" x14ac:dyDescent="0.2">
      <c r="A2888">
        <v>579585</v>
      </c>
      <c r="B2888" s="1">
        <v>44641</v>
      </c>
      <c r="C2888">
        <v>73017</v>
      </c>
      <c r="D2888" t="s">
        <v>40</v>
      </c>
      <c r="E2888" t="s">
        <v>20</v>
      </c>
      <c r="F2888" t="s">
        <v>21</v>
      </c>
      <c r="G2888">
        <v>1</v>
      </c>
      <c r="H2888">
        <v>7.99</v>
      </c>
      <c r="I2888">
        <v>0.2</v>
      </c>
      <c r="J2888">
        <v>6.39</v>
      </c>
      <c r="K2888" t="s">
        <v>36</v>
      </c>
      <c r="L2888" t="s">
        <v>37</v>
      </c>
      <c r="M2888" t="s">
        <v>117</v>
      </c>
    </row>
    <row r="2889" spans="1:13" x14ac:dyDescent="0.2">
      <c r="A2889">
        <v>579947</v>
      </c>
      <c r="B2889" s="1">
        <v>45110</v>
      </c>
      <c r="C2889">
        <v>28585</v>
      </c>
      <c r="D2889" t="s">
        <v>44</v>
      </c>
      <c r="E2889" t="s">
        <v>93</v>
      </c>
      <c r="F2889" t="s">
        <v>94</v>
      </c>
      <c r="G2889">
        <v>1</v>
      </c>
      <c r="H2889">
        <v>1.23</v>
      </c>
      <c r="I2889">
        <v>0.05</v>
      </c>
      <c r="J2889">
        <v>1.17</v>
      </c>
      <c r="K2889" t="s">
        <v>22</v>
      </c>
      <c r="L2889" t="s">
        <v>37</v>
      </c>
      <c r="M2889" t="s">
        <v>120</v>
      </c>
    </row>
    <row r="2890" spans="1:13" x14ac:dyDescent="0.2">
      <c r="A2890">
        <v>580115</v>
      </c>
      <c r="B2890" s="1">
        <v>44696</v>
      </c>
      <c r="C2890">
        <v>20085</v>
      </c>
      <c r="D2890" t="s">
        <v>82</v>
      </c>
      <c r="E2890" t="s">
        <v>155</v>
      </c>
      <c r="F2890" t="s">
        <v>156</v>
      </c>
      <c r="G2890">
        <v>5</v>
      </c>
      <c r="H2890">
        <v>18.989999999999998</v>
      </c>
      <c r="I2890">
        <v>0.05</v>
      </c>
      <c r="J2890">
        <v>90.2</v>
      </c>
      <c r="K2890" t="s">
        <v>16</v>
      </c>
      <c r="L2890" t="s">
        <v>17</v>
      </c>
    </row>
    <row r="2891" spans="1:13" x14ac:dyDescent="0.2">
      <c r="A2891">
        <v>580150</v>
      </c>
      <c r="B2891" s="1">
        <v>45391</v>
      </c>
      <c r="C2891">
        <v>14932</v>
      </c>
      <c r="D2891" t="s">
        <v>25</v>
      </c>
      <c r="E2891" t="s">
        <v>26</v>
      </c>
      <c r="F2891" t="s">
        <v>27</v>
      </c>
      <c r="G2891">
        <v>1</v>
      </c>
      <c r="H2891">
        <v>29.74</v>
      </c>
      <c r="I2891">
        <v>0.15</v>
      </c>
      <c r="J2891">
        <v>25.28</v>
      </c>
      <c r="K2891" t="s">
        <v>16</v>
      </c>
      <c r="L2891" t="s">
        <v>17</v>
      </c>
      <c r="M2891" t="s">
        <v>96</v>
      </c>
    </row>
    <row r="2892" spans="1:13" x14ac:dyDescent="0.2">
      <c r="A2892">
        <v>580242</v>
      </c>
      <c r="B2892" s="1">
        <v>45608</v>
      </c>
      <c r="D2892" t="s">
        <v>13</v>
      </c>
      <c r="E2892" t="s">
        <v>159</v>
      </c>
      <c r="F2892" t="s">
        <v>160</v>
      </c>
      <c r="G2892">
        <v>1</v>
      </c>
      <c r="H2892">
        <v>50.99</v>
      </c>
      <c r="I2892">
        <v>0.15</v>
      </c>
      <c r="J2892">
        <v>43.34</v>
      </c>
      <c r="K2892" t="s">
        <v>36</v>
      </c>
      <c r="L2892" t="s">
        <v>37</v>
      </c>
      <c r="M2892" t="s">
        <v>103</v>
      </c>
    </row>
    <row r="2893" spans="1:13" x14ac:dyDescent="0.2">
      <c r="A2893">
        <v>580585</v>
      </c>
      <c r="B2893" s="2">
        <v>44927</v>
      </c>
      <c r="C2893">
        <v>54929</v>
      </c>
      <c r="D2893" t="s">
        <v>40</v>
      </c>
      <c r="E2893" t="s">
        <v>58</v>
      </c>
      <c r="F2893" t="s">
        <v>59</v>
      </c>
      <c r="G2893">
        <v>1</v>
      </c>
      <c r="H2893">
        <v>2.99</v>
      </c>
      <c r="I2893">
        <v>0.25</v>
      </c>
      <c r="J2893">
        <v>2.2400000000000002</v>
      </c>
      <c r="K2893" t="s">
        <v>36</v>
      </c>
      <c r="L2893" t="s">
        <v>17</v>
      </c>
      <c r="M2893" t="s">
        <v>76</v>
      </c>
    </row>
    <row r="2894" spans="1:13" x14ac:dyDescent="0.2">
      <c r="A2894">
        <v>580733</v>
      </c>
      <c r="B2894" s="1">
        <v>44563</v>
      </c>
      <c r="C2894">
        <v>59421</v>
      </c>
      <c r="D2894" t="s">
        <v>44</v>
      </c>
      <c r="E2894" t="s">
        <v>162</v>
      </c>
      <c r="F2894" t="s">
        <v>163</v>
      </c>
      <c r="G2894">
        <v>4</v>
      </c>
      <c r="H2894">
        <v>7.99</v>
      </c>
      <c r="J2894">
        <v>31.96</v>
      </c>
      <c r="K2894" t="s">
        <v>95</v>
      </c>
      <c r="L2894" t="s">
        <v>17</v>
      </c>
      <c r="M2894" t="s">
        <v>33</v>
      </c>
    </row>
    <row r="2895" spans="1:13" x14ac:dyDescent="0.2">
      <c r="A2895">
        <v>580855</v>
      </c>
      <c r="B2895" s="1">
        <v>45590</v>
      </c>
      <c r="C2895">
        <v>34926</v>
      </c>
      <c r="D2895" t="s">
        <v>40</v>
      </c>
      <c r="E2895" t="s">
        <v>115</v>
      </c>
      <c r="F2895" t="s">
        <v>116</v>
      </c>
      <c r="G2895">
        <v>1</v>
      </c>
      <c r="H2895">
        <v>9.74</v>
      </c>
      <c r="I2895">
        <v>0.25</v>
      </c>
      <c r="J2895">
        <v>7.3</v>
      </c>
      <c r="K2895" t="s">
        <v>53</v>
      </c>
      <c r="L2895" t="s">
        <v>17</v>
      </c>
      <c r="M2895" t="s">
        <v>57</v>
      </c>
    </row>
    <row r="2896" spans="1:13" x14ac:dyDescent="0.2">
      <c r="A2896">
        <v>581184</v>
      </c>
      <c r="B2896" s="1">
        <v>45339</v>
      </c>
      <c r="C2896">
        <v>21566</v>
      </c>
      <c r="D2896" t="s">
        <v>29</v>
      </c>
      <c r="E2896" t="s">
        <v>170</v>
      </c>
      <c r="F2896" t="s">
        <v>171</v>
      </c>
      <c r="G2896">
        <v>1</v>
      </c>
      <c r="H2896">
        <v>12.74</v>
      </c>
      <c r="I2896">
        <v>0.15</v>
      </c>
      <c r="J2896">
        <v>10.83</v>
      </c>
      <c r="K2896" t="s">
        <v>16</v>
      </c>
      <c r="L2896" t="s">
        <v>23</v>
      </c>
      <c r="M2896" t="s">
        <v>123</v>
      </c>
    </row>
    <row r="2897" spans="1:13" x14ac:dyDescent="0.2">
      <c r="A2897">
        <v>581197</v>
      </c>
      <c r="B2897" s="2">
        <v>45611</v>
      </c>
      <c r="C2897">
        <v>71787</v>
      </c>
      <c r="D2897" t="s">
        <v>29</v>
      </c>
      <c r="E2897" t="s">
        <v>30</v>
      </c>
      <c r="F2897" t="s">
        <v>31</v>
      </c>
      <c r="G2897">
        <v>1</v>
      </c>
      <c r="H2897">
        <v>24.99</v>
      </c>
      <c r="J2897">
        <v>24.99</v>
      </c>
      <c r="K2897" t="s">
        <v>22</v>
      </c>
      <c r="L2897" t="s">
        <v>17</v>
      </c>
      <c r="M2897" t="s">
        <v>24</v>
      </c>
    </row>
    <row r="2898" spans="1:13" x14ac:dyDescent="0.2">
      <c r="A2898">
        <v>581247</v>
      </c>
      <c r="B2898" s="1">
        <v>45569</v>
      </c>
      <c r="C2898">
        <v>90547</v>
      </c>
      <c r="D2898" t="s">
        <v>85</v>
      </c>
      <c r="E2898" t="s">
        <v>153</v>
      </c>
      <c r="F2898" t="s">
        <v>154</v>
      </c>
      <c r="G2898">
        <v>2</v>
      </c>
      <c r="H2898">
        <v>29.99</v>
      </c>
      <c r="J2898">
        <v>59.98</v>
      </c>
      <c r="K2898" t="s">
        <v>36</v>
      </c>
      <c r="L2898" t="s">
        <v>17</v>
      </c>
      <c r="M2898" t="s">
        <v>120</v>
      </c>
    </row>
    <row r="2899" spans="1:13" x14ac:dyDescent="0.2">
      <c r="A2899">
        <v>581282</v>
      </c>
      <c r="B2899" s="2">
        <v>45310</v>
      </c>
      <c r="C2899">
        <v>57947</v>
      </c>
      <c r="D2899" t="s">
        <v>40</v>
      </c>
      <c r="E2899" t="s">
        <v>41</v>
      </c>
      <c r="F2899" t="s">
        <v>42</v>
      </c>
      <c r="G2899">
        <v>4</v>
      </c>
      <c r="H2899">
        <v>4.1900000000000004</v>
      </c>
      <c r="I2899">
        <v>0.3</v>
      </c>
      <c r="J2899">
        <v>11.73</v>
      </c>
      <c r="K2899" t="s">
        <v>53</v>
      </c>
      <c r="L2899" t="s">
        <v>17</v>
      </c>
      <c r="M2899" t="s">
        <v>33</v>
      </c>
    </row>
    <row r="2900" spans="1:13" x14ac:dyDescent="0.2">
      <c r="A2900">
        <v>581688</v>
      </c>
      <c r="B2900" s="2">
        <v>44674</v>
      </c>
      <c r="C2900">
        <v>66157</v>
      </c>
      <c r="D2900" t="s">
        <v>82</v>
      </c>
      <c r="E2900" t="s">
        <v>168</v>
      </c>
      <c r="F2900" t="s">
        <v>169</v>
      </c>
      <c r="G2900">
        <v>5</v>
      </c>
      <c r="H2900">
        <v>8.99</v>
      </c>
      <c r="J2900">
        <v>44.95</v>
      </c>
      <c r="K2900" t="s">
        <v>16</v>
      </c>
      <c r="L2900" t="s">
        <v>17</v>
      </c>
      <c r="M2900" t="s">
        <v>54</v>
      </c>
    </row>
    <row r="2901" spans="1:13" x14ac:dyDescent="0.2">
      <c r="A2901">
        <v>581759</v>
      </c>
      <c r="B2901" s="2">
        <v>45587</v>
      </c>
      <c r="D2901" t="s">
        <v>85</v>
      </c>
      <c r="E2901" t="s">
        <v>145</v>
      </c>
      <c r="F2901" t="s">
        <v>146</v>
      </c>
      <c r="G2901">
        <v>1</v>
      </c>
      <c r="H2901">
        <v>16.989999999999998</v>
      </c>
      <c r="J2901">
        <v>16.989999999999998</v>
      </c>
      <c r="K2901" t="s">
        <v>36</v>
      </c>
      <c r="L2901" t="s">
        <v>17</v>
      </c>
    </row>
    <row r="2902" spans="1:13" x14ac:dyDescent="0.2">
      <c r="A2902">
        <v>581813</v>
      </c>
      <c r="B2902" s="1">
        <v>45309</v>
      </c>
      <c r="C2902">
        <v>61602</v>
      </c>
      <c r="D2902" t="s">
        <v>48</v>
      </c>
      <c r="E2902" t="s">
        <v>49</v>
      </c>
      <c r="F2902" t="s">
        <v>50</v>
      </c>
      <c r="G2902">
        <v>4</v>
      </c>
      <c r="H2902">
        <v>8.09</v>
      </c>
      <c r="I2902">
        <v>0.1</v>
      </c>
      <c r="J2902">
        <v>29.12</v>
      </c>
      <c r="K2902" t="s">
        <v>16</v>
      </c>
      <c r="L2902" t="s">
        <v>17</v>
      </c>
      <c r="M2902" t="s">
        <v>81</v>
      </c>
    </row>
    <row r="2903" spans="1:13" x14ac:dyDescent="0.2">
      <c r="A2903">
        <v>581903</v>
      </c>
      <c r="B2903" s="1">
        <v>44889</v>
      </c>
      <c r="C2903">
        <v>26176</v>
      </c>
      <c r="D2903" t="s">
        <v>13</v>
      </c>
      <c r="E2903" t="s">
        <v>55</v>
      </c>
      <c r="F2903" t="s">
        <v>56</v>
      </c>
      <c r="G2903">
        <v>1</v>
      </c>
      <c r="H2903">
        <v>313.49</v>
      </c>
      <c r="I2903">
        <v>0.05</v>
      </c>
      <c r="J2903">
        <v>297.82</v>
      </c>
      <c r="K2903" t="s">
        <v>16</v>
      </c>
      <c r="L2903" t="s">
        <v>23</v>
      </c>
      <c r="M2903" t="s">
        <v>54</v>
      </c>
    </row>
    <row r="2904" spans="1:13" x14ac:dyDescent="0.2">
      <c r="A2904">
        <v>582055</v>
      </c>
      <c r="B2904" s="1">
        <v>44755</v>
      </c>
      <c r="C2904">
        <v>58847</v>
      </c>
      <c r="D2904" t="s">
        <v>106</v>
      </c>
      <c r="E2904" t="s">
        <v>91</v>
      </c>
      <c r="F2904" t="s">
        <v>92</v>
      </c>
      <c r="G2904">
        <v>5</v>
      </c>
      <c r="H2904">
        <v>5.98</v>
      </c>
      <c r="I2904">
        <v>0.05</v>
      </c>
      <c r="J2904">
        <v>28.4</v>
      </c>
      <c r="K2904" t="s">
        <v>36</v>
      </c>
      <c r="L2904" t="s">
        <v>17</v>
      </c>
      <c r="M2904" t="s">
        <v>43</v>
      </c>
    </row>
    <row r="2905" spans="1:13" x14ac:dyDescent="0.2">
      <c r="A2905">
        <v>582100</v>
      </c>
      <c r="B2905" s="1">
        <v>45403</v>
      </c>
      <c r="D2905" t="s">
        <v>85</v>
      </c>
      <c r="E2905" t="s">
        <v>129</v>
      </c>
      <c r="F2905" t="s">
        <v>130</v>
      </c>
      <c r="G2905">
        <v>4</v>
      </c>
      <c r="H2905">
        <v>6.29</v>
      </c>
      <c r="I2905">
        <v>0.3</v>
      </c>
      <c r="J2905">
        <v>17.61</v>
      </c>
      <c r="K2905" t="s">
        <v>16</v>
      </c>
      <c r="L2905" t="s">
        <v>17</v>
      </c>
      <c r="M2905" t="s">
        <v>62</v>
      </c>
    </row>
    <row r="2906" spans="1:13" x14ac:dyDescent="0.2">
      <c r="A2906">
        <v>582200</v>
      </c>
      <c r="B2906" s="1">
        <v>45192</v>
      </c>
      <c r="C2906">
        <v>24961</v>
      </c>
      <c r="D2906" t="s">
        <v>85</v>
      </c>
      <c r="E2906" t="s">
        <v>153</v>
      </c>
      <c r="F2906" t="s">
        <v>154</v>
      </c>
      <c r="G2906">
        <v>1</v>
      </c>
      <c r="H2906">
        <v>23.99</v>
      </c>
      <c r="I2906">
        <v>0.2</v>
      </c>
      <c r="J2906">
        <v>19.190000000000001</v>
      </c>
      <c r="K2906" t="s">
        <v>36</v>
      </c>
      <c r="L2906" t="s">
        <v>17</v>
      </c>
      <c r="M2906" t="s">
        <v>96</v>
      </c>
    </row>
    <row r="2907" spans="1:13" x14ac:dyDescent="0.2">
      <c r="A2907">
        <v>582313</v>
      </c>
      <c r="B2907" s="2">
        <v>44843</v>
      </c>
      <c r="C2907">
        <v>57288</v>
      </c>
      <c r="D2907" t="s">
        <v>48</v>
      </c>
      <c r="E2907" t="s">
        <v>118</v>
      </c>
      <c r="F2907" t="s">
        <v>119</v>
      </c>
      <c r="G2907">
        <v>1</v>
      </c>
      <c r="H2907">
        <v>4.49</v>
      </c>
      <c r="I2907">
        <v>0.1</v>
      </c>
      <c r="J2907">
        <v>4.04</v>
      </c>
      <c r="K2907" t="s">
        <v>22</v>
      </c>
      <c r="L2907" t="s">
        <v>17</v>
      </c>
      <c r="M2907" t="s">
        <v>120</v>
      </c>
    </row>
    <row r="2908" spans="1:13" x14ac:dyDescent="0.2">
      <c r="A2908">
        <v>582363</v>
      </c>
      <c r="B2908" s="1">
        <v>44585</v>
      </c>
      <c r="C2908">
        <v>68979</v>
      </c>
      <c r="D2908" t="s">
        <v>40</v>
      </c>
      <c r="E2908" t="s">
        <v>41</v>
      </c>
      <c r="F2908" t="s">
        <v>42</v>
      </c>
      <c r="G2908">
        <v>3</v>
      </c>
      <c r="H2908">
        <v>5.99</v>
      </c>
      <c r="J2908">
        <v>17.97</v>
      </c>
      <c r="K2908" t="s">
        <v>53</v>
      </c>
      <c r="L2908" t="s">
        <v>37</v>
      </c>
      <c r="M2908" t="s">
        <v>47</v>
      </c>
    </row>
    <row r="2909" spans="1:13" x14ac:dyDescent="0.2">
      <c r="A2909">
        <v>582944</v>
      </c>
      <c r="B2909" s="1">
        <v>45436</v>
      </c>
      <c r="C2909">
        <v>70623</v>
      </c>
      <c r="D2909" t="s">
        <v>40</v>
      </c>
      <c r="E2909" t="s">
        <v>41</v>
      </c>
      <c r="F2909" t="s">
        <v>42</v>
      </c>
      <c r="G2909">
        <v>1</v>
      </c>
      <c r="H2909">
        <v>5.39</v>
      </c>
      <c r="I2909">
        <v>0.1</v>
      </c>
      <c r="J2909">
        <v>4.8499999999999996</v>
      </c>
      <c r="K2909" t="s">
        <v>36</v>
      </c>
      <c r="L2909" t="s">
        <v>37</v>
      </c>
      <c r="M2909" t="s">
        <v>47</v>
      </c>
    </row>
    <row r="2910" spans="1:13" x14ac:dyDescent="0.2">
      <c r="A2910">
        <v>583179</v>
      </c>
      <c r="B2910" s="2">
        <v>45407</v>
      </c>
      <c r="C2910">
        <v>23831</v>
      </c>
      <c r="D2910" t="s">
        <v>192</v>
      </c>
      <c r="E2910" t="s">
        <v>165</v>
      </c>
      <c r="F2910" t="s">
        <v>166</v>
      </c>
      <c r="G2910">
        <v>5</v>
      </c>
      <c r="H2910">
        <v>62.99</v>
      </c>
      <c r="I2910">
        <v>0.3</v>
      </c>
      <c r="J2910">
        <v>220.46</v>
      </c>
      <c r="K2910" t="s">
        <v>32</v>
      </c>
      <c r="L2910" t="s">
        <v>23</v>
      </c>
      <c r="M2910" t="s">
        <v>123</v>
      </c>
    </row>
    <row r="2911" spans="1:13" x14ac:dyDescent="0.2">
      <c r="A2911">
        <v>583464</v>
      </c>
      <c r="B2911" s="1">
        <v>45056</v>
      </c>
      <c r="C2911">
        <v>10239</v>
      </c>
      <c r="D2911" t="s">
        <v>29</v>
      </c>
      <c r="E2911" t="s">
        <v>38</v>
      </c>
      <c r="F2911" t="s">
        <v>39</v>
      </c>
      <c r="G2911">
        <v>2</v>
      </c>
      <c r="H2911">
        <v>20.99</v>
      </c>
      <c r="I2911">
        <v>0.3</v>
      </c>
      <c r="J2911">
        <v>29.39</v>
      </c>
      <c r="K2911" t="s">
        <v>16</v>
      </c>
      <c r="L2911" t="s">
        <v>17</v>
      </c>
      <c r="M2911" t="s">
        <v>102</v>
      </c>
    </row>
    <row r="2912" spans="1:13" x14ac:dyDescent="0.2">
      <c r="A2912">
        <v>583616</v>
      </c>
      <c r="B2912" s="1">
        <v>44842</v>
      </c>
      <c r="C2912">
        <v>51717</v>
      </c>
      <c r="D2912" t="s">
        <v>25</v>
      </c>
      <c r="E2912" t="s">
        <v>70</v>
      </c>
      <c r="F2912" t="s">
        <v>71</v>
      </c>
      <c r="G2912">
        <v>1</v>
      </c>
      <c r="H2912">
        <v>85.49</v>
      </c>
      <c r="I2912">
        <v>0.05</v>
      </c>
      <c r="J2912">
        <v>81.22</v>
      </c>
      <c r="K2912" t="s">
        <v>22</v>
      </c>
      <c r="L2912" t="s">
        <v>17</v>
      </c>
      <c r="M2912" t="s">
        <v>54</v>
      </c>
    </row>
    <row r="2913" spans="1:13" x14ac:dyDescent="0.2">
      <c r="A2913">
        <v>583876</v>
      </c>
      <c r="B2913" s="1">
        <v>45217</v>
      </c>
      <c r="C2913">
        <v>74695</v>
      </c>
      <c r="D2913" t="s">
        <v>29</v>
      </c>
      <c r="E2913" t="s">
        <v>72</v>
      </c>
      <c r="F2913" t="s">
        <v>73</v>
      </c>
      <c r="G2913">
        <v>3</v>
      </c>
      <c r="H2913">
        <v>37.99</v>
      </c>
      <c r="I2913">
        <v>0.05</v>
      </c>
      <c r="J2913">
        <v>108.27</v>
      </c>
      <c r="K2913" t="s">
        <v>16</v>
      </c>
      <c r="L2913" t="s">
        <v>17</v>
      </c>
    </row>
    <row r="2914" spans="1:13" x14ac:dyDescent="0.2">
      <c r="A2914">
        <v>584002</v>
      </c>
      <c r="B2914" s="1">
        <v>45312</v>
      </c>
      <c r="C2914">
        <v>90259</v>
      </c>
      <c r="D2914" t="s">
        <v>29</v>
      </c>
      <c r="E2914" t="s">
        <v>175</v>
      </c>
      <c r="F2914" t="s">
        <v>176</v>
      </c>
      <c r="G2914">
        <v>1</v>
      </c>
      <c r="H2914">
        <v>10.19</v>
      </c>
      <c r="I2914">
        <v>0.15</v>
      </c>
      <c r="J2914">
        <v>8.66</v>
      </c>
      <c r="K2914" t="s">
        <v>22</v>
      </c>
      <c r="L2914" t="s">
        <v>17</v>
      </c>
      <c r="M2914" t="s">
        <v>43</v>
      </c>
    </row>
    <row r="2915" spans="1:13" x14ac:dyDescent="0.2">
      <c r="A2915">
        <v>584049</v>
      </c>
      <c r="B2915" s="1">
        <v>45100</v>
      </c>
      <c r="D2915" t="s">
        <v>82</v>
      </c>
      <c r="E2915" t="s">
        <v>155</v>
      </c>
      <c r="F2915" t="s">
        <v>156</v>
      </c>
      <c r="G2915">
        <v>1</v>
      </c>
      <c r="H2915">
        <v>14.99</v>
      </c>
      <c r="I2915">
        <v>0.25</v>
      </c>
      <c r="J2915">
        <v>11.24</v>
      </c>
      <c r="K2915" t="s">
        <v>36</v>
      </c>
      <c r="L2915" t="s">
        <v>17</v>
      </c>
      <c r="M2915" t="s">
        <v>161</v>
      </c>
    </row>
    <row r="2916" spans="1:13" x14ac:dyDescent="0.2">
      <c r="A2916">
        <v>584051</v>
      </c>
      <c r="B2916" s="1">
        <v>45060</v>
      </c>
      <c r="C2916">
        <v>92242</v>
      </c>
      <c r="D2916" t="s">
        <v>200</v>
      </c>
      <c r="E2916" t="s">
        <v>26</v>
      </c>
      <c r="F2916" t="s">
        <v>27</v>
      </c>
      <c r="G2916">
        <v>2</v>
      </c>
      <c r="H2916">
        <v>31.49</v>
      </c>
      <c r="I2916">
        <v>0.1</v>
      </c>
      <c r="J2916">
        <v>56.68</v>
      </c>
      <c r="K2916" t="s">
        <v>16</v>
      </c>
      <c r="L2916" t="s">
        <v>17</v>
      </c>
      <c r="M2916" t="s">
        <v>62</v>
      </c>
    </row>
    <row r="2917" spans="1:13" x14ac:dyDescent="0.2">
      <c r="A2917">
        <v>584241</v>
      </c>
      <c r="B2917" s="1">
        <v>44989</v>
      </c>
      <c r="C2917">
        <v>73654</v>
      </c>
      <c r="D2917" t="s">
        <v>48</v>
      </c>
      <c r="E2917" t="s">
        <v>118</v>
      </c>
      <c r="F2917" t="s">
        <v>119</v>
      </c>
      <c r="G2917">
        <v>3</v>
      </c>
      <c r="H2917">
        <v>4.99</v>
      </c>
      <c r="J2917">
        <v>14.97</v>
      </c>
      <c r="K2917" t="s">
        <v>22</v>
      </c>
      <c r="L2917" t="s">
        <v>23</v>
      </c>
      <c r="M2917" t="s">
        <v>102</v>
      </c>
    </row>
    <row r="2918" spans="1:13" x14ac:dyDescent="0.2">
      <c r="A2918">
        <v>584341</v>
      </c>
      <c r="B2918" s="2">
        <v>45478</v>
      </c>
      <c r="C2918">
        <v>22067</v>
      </c>
      <c r="D2918" t="s">
        <v>13</v>
      </c>
      <c r="E2918" t="s">
        <v>159</v>
      </c>
      <c r="F2918" t="s">
        <v>160</v>
      </c>
      <c r="G2918">
        <v>5</v>
      </c>
      <c r="H2918">
        <v>50.99</v>
      </c>
      <c r="I2918">
        <v>0.15</v>
      </c>
      <c r="J2918">
        <v>216.71</v>
      </c>
      <c r="K2918" t="s">
        <v>32</v>
      </c>
      <c r="L2918" t="s">
        <v>23</v>
      </c>
      <c r="M2918" t="s">
        <v>18</v>
      </c>
    </row>
    <row r="2919" spans="1:13" x14ac:dyDescent="0.2">
      <c r="A2919">
        <v>584425</v>
      </c>
      <c r="B2919" s="1">
        <v>45434</v>
      </c>
      <c r="C2919">
        <v>82003</v>
      </c>
      <c r="D2919" t="s">
        <v>29</v>
      </c>
      <c r="E2919" t="s">
        <v>72</v>
      </c>
      <c r="F2919" t="s">
        <v>73</v>
      </c>
      <c r="G2919">
        <v>1</v>
      </c>
      <c r="H2919">
        <v>29.99</v>
      </c>
      <c r="I2919">
        <v>0.25</v>
      </c>
      <c r="J2919">
        <v>22.49</v>
      </c>
      <c r="K2919" t="s">
        <v>36</v>
      </c>
      <c r="L2919" t="s">
        <v>37</v>
      </c>
      <c r="M2919" t="s">
        <v>62</v>
      </c>
    </row>
    <row r="2920" spans="1:13" x14ac:dyDescent="0.2">
      <c r="A2920">
        <v>584487</v>
      </c>
      <c r="B2920" s="2">
        <v>45594</v>
      </c>
      <c r="C2920">
        <v>92564</v>
      </c>
      <c r="D2920" t="s">
        <v>124</v>
      </c>
      <c r="E2920" t="s">
        <v>131</v>
      </c>
      <c r="F2920" t="s">
        <v>132</v>
      </c>
      <c r="G2920">
        <v>1</v>
      </c>
      <c r="H2920">
        <v>3.14</v>
      </c>
      <c r="J2920">
        <v>3.14</v>
      </c>
      <c r="K2920" t="s">
        <v>36</v>
      </c>
      <c r="L2920" t="s">
        <v>37</v>
      </c>
      <c r="M2920" t="s">
        <v>28</v>
      </c>
    </row>
    <row r="2921" spans="1:13" x14ac:dyDescent="0.2">
      <c r="A2921">
        <v>584537</v>
      </c>
      <c r="B2921" s="2">
        <v>45458</v>
      </c>
      <c r="C2921">
        <v>25503</v>
      </c>
      <c r="D2921" t="s">
        <v>48</v>
      </c>
      <c r="E2921" t="s">
        <v>49</v>
      </c>
      <c r="F2921" t="s">
        <v>50</v>
      </c>
      <c r="G2921">
        <v>2</v>
      </c>
      <c r="H2921">
        <v>7.64</v>
      </c>
      <c r="I2921">
        <v>0.15</v>
      </c>
      <c r="J2921">
        <v>12.99</v>
      </c>
      <c r="K2921" t="s">
        <v>16</v>
      </c>
      <c r="L2921" t="s">
        <v>23</v>
      </c>
      <c r="M2921" t="s">
        <v>57</v>
      </c>
    </row>
    <row r="2922" spans="1:13" x14ac:dyDescent="0.2">
      <c r="A2922">
        <v>584596</v>
      </c>
      <c r="B2922" s="1">
        <v>44576</v>
      </c>
      <c r="C2922">
        <v>37954</v>
      </c>
      <c r="D2922" t="s">
        <v>63</v>
      </c>
      <c r="E2922" t="s">
        <v>131</v>
      </c>
      <c r="F2922" t="s">
        <v>132</v>
      </c>
      <c r="G2922">
        <v>2</v>
      </c>
      <c r="H2922">
        <v>2.62</v>
      </c>
      <c r="I2922">
        <v>0.25</v>
      </c>
      <c r="J2922">
        <v>3.93</v>
      </c>
      <c r="K2922" t="s">
        <v>36</v>
      </c>
      <c r="L2922" t="s">
        <v>37</v>
      </c>
      <c r="M2922" t="s">
        <v>120</v>
      </c>
    </row>
    <row r="2923" spans="1:13" x14ac:dyDescent="0.2">
      <c r="A2923">
        <v>584863</v>
      </c>
      <c r="B2923" s="1">
        <v>44666</v>
      </c>
      <c r="C2923">
        <v>52889</v>
      </c>
      <c r="D2923" t="s">
        <v>13</v>
      </c>
      <c r="E2923" t="s">
        <v>34</v>
      </c>
      <c r="F2923" t="s">
        <v>35</v>
      </c>
      <c r="G2923">
        <v>4</v>
      </c>
      <c r="H2923">
        <v>24.49</v>
      </c>
      <c r="I2923">
        <v>0.3</v>
      </c>
      <c r="J2923">
        <v>68.569999999999993</v>
      </c>
      <c r="K2923" t="s">
        <v>16</v>
      </c>
      <c r="L2923" t="s">
        <v>23</v>
      </c>
    </row>
    <row r="2924" spans="1:13" x14ac:dyDescent="0.2">
      <c r="A2924">
        <v>584913</v>
      </c>
      <c r="B2924" s="1">
        <v>45309</v>
      </c>
      <c r="C2924">
        <v>88612</v>
      </c>
      <c r="D2924" t="s">
        <v>48</v>
      </c>
      <c r="E2924" t="s">
        <v>179</v>
      </c>
      <c r="F2924" t="s">
        <v>180</v>
      </c>
      <c r="G2924">
        <v>1</v>
      </c>
      <c r="H2924">
        <v>8.99</v>
      </c>
      <c r="I2924">
        <v>0.25</v>
      </c>
      <c r="J2924">
        <v>6.74</v>
      </c>
      <c r="K2924" t="s">
        <v>36</v>
      </c>
      <c r="L2924" t="s">
        <v>37</v>
      </c>
      <c r="M2924" t="s">
        <v>81</v>
      </c>
    </row>
    <row r="2925" spans="1:13" x14ac:dyDescent="0.2">
      <c r="A2925">
        <v>585100</v>
      </c>
      <c r="B2925" s="1">
        <v>44849</v>
      </c>
      <c r="C2925">
        <v>82132</v>
      </c>
      <c r="D2925" t="s">
        <v>85</v>
      </c>
      <c r="E2925" t="s">
        <v>145</v>
      </c>
      <c r="F2925" t="s">
        <v>146</v>
      </c>
      <c r="G2925">
        <v>1</v>
      </c>
      <c r="H2925">
        <v>13.59</v>
      </c>
      <c r="I2925">
        <v>0.2</v>
      </c>
      <c r="J2925">
        <v>10.87</v>
      </c>
      <c r="K2925" t="s">
        <v>36</v>
      </c>
      <c r="L2925" t="s">
        <v>23</v>
      </c>
      <c r="M2925" t="s">
        <v>33</v>
      </c>
    </row>
    <row r="2926" spans="1:13" x14ac:dyDescent="0.2">
      <c r="A2926">
        <v>585168</v>
      </c>
      <c r="B2926" s="1">
        <v>45609</v>
      </c>
      <c r="C2926">
        <v>33575</v>
      </c>
      <c r="D2926" t="s">
        <v>63</v>
      </c>
      <c r="E2926" t="s">
        <v>111</v>
      </c>
      <c r="F2926" t="s">
        <v>112</v>
      </c>
      <c r="G2926">
        <v>2</v>
      </c>
      <c r="H2926">
        <v>11.99</v>
      </c>
      <c r="I2926">
        <v>0.2</v>
      </c>
      <c r="J2926">
        <v>19.18</v>
      </c>
      <c r="K2926" t="s">
        <v>36</v>
      </c>
      <c r="L2926" t="s">
        <v>17</v>
      </c>
      <c r="M2926" t="s">
        <v>76</v>
      </c>
    </row>
    <row r="2927" spans="1:13" x14ac:dyDescent="0.2">
      <c r="A2927">
        <v>585331</v>
      </c>
      <c r="B2927" s="1">
        <v>44837</v>
      </c>
      <c r="C2927">
        <v>24264</v>
      </c>
      <c r="D2927" t="s">
        <v>48</v>
      </c>
      <c r="E2927" t="s">
        <v>49</v>
      </c>
      <c r="F2927" t="s">
        <v>50</v>
      </c>
      <c r="G2927">
        <v>5</v>
      </c>
      <c r="H2927">
        <v>7.64</v>
      </c>
      <c r="I2927">
        <v>0.15</v>
      </c>
      <c r="J2927">
        <v>32.47</v>
      </c>
      <c r="K2927" t="s">
        <v>36</v>
      </c>
      <c r="L2927" t="s">
        <v>37</v>
      </c>
      <c r="M2927" t="s">
        <v>123</v>
      </c>
    </row>
    <row r="2928" spans="1:13" x14ac:dyDescent="0.2">
      <c r="A2928">
        <v>585525</v>
      </c>
      <c r="B2928" s="1">
        <v>44884</v>
      </c>
      <c r="C2928">
        <v>58128</v>
      </c>
      <c r="D2928" t="s">
        <v>40</v>
      </c>
      <c r="E2928" t="s">
        <v>20</v>
      </c>
      <c r="F2928" t="s">
        <v>21</v>
      </c>
      <c r="G2928">
        <v>4</v>
      </c>
      <c r="H2928">
        <v>8.49</v>
      </c>
      <c r="I2928">
        <v>0.15</v>
      </c>
      <c r="J2928">
        <v>28.87</v>
      </c>
      <c r="K2928" t="s">
        <v>36</v>
      </c>
      <c r="L2928" t="s">
        <v>17</v>
      </c>
      <c r="M2928" t="s">
        <v>67</v>
      </c>
    </row>
    <row r="2929" spans="1:13" x14ac:dyDescent="0.2">
      <c r="A2929">
        <v>585603</v>
      </c>
      <c r="B2929" s="2">
        <v>45509</v>
      </c>
      <c r="C2929">
        <v>35555</v>
      </c>
      <c r="D2929" t="s">
        <v>82</v>
      </c>
      <c r="E2929" t="s">
        <v>155</v>
      </c>
      <c r="F2929" t="s">
        <v>156</v>
      </c>
      <c r="G2929">
        <v>3</v>
      </c>
      <c r="H2929">
        <v>19.989999999999998</v>
      </c>
      <c r="J2929">
        <v>59.97</v>
      </c>
      <c r="K2929" t="s">
        <v>36</v>
      </c>
      <c r="L2929" t="s">
        <v>17</v>
      </c>
      <c r="M2929" t="s">
        <v>90</v>
      </c>
    </row>
    <row r="2930" spans="1:13" x14ac:dyDescent="0.2">
      <c r="A2930">
        <v>585807</v>
      </c>
      <c r="B2930" s="1">
        <v>45294</v>
      </c>
      <c r="C2930">
        <v>55492</v>
      </c>
      <c r="D2930" t="s">
        <v>48</v>
      </c>
      <c r="E2930" t="s">
        <v>118</v>
      </c>
      <c r="F2930" t="s">
        <v>119</v>
      </c>
      <c r="G2930">
        <v>1</v>
      </c>
      <c r="H2930">
        <v>4.99</v>
      </c>
      <c r="J2930">
        <v>4.99</v>
      </c>
      <c r="K2930" t="s">
        <v>36</v>
      </c>
      <c r="L2930" t="s">
        <v>17</v>
      </c>
      <c r="M2930" t="s">
        <v>54</v>
      </c>
    </row>
    <row r="2931" spans="1:13" x14ac:dyDescent="0.2">
      <c r="A2931">
        <v>585981</v>
      </c>
      <c r="B2931" s="1">
        <v>45654</v>
      </c>
      <c r="C2931">
        <v>48702</v>
      </c>
      <c r="D2931" t="s">
        <v>13</v>
      </c>
      <c r="E2931" t="s">
        <v>77</v>
      </c>
      <c r="F2931" t="s">
        <v>78</v>
      </c>
      <c r="G2931">
        <v>1</v>
      </c>
      <c r="H2931">
        <v>399.99</v>
      </c>
      <c r="I2931">
        <v>0.2</v>
      </c>
      <c r="J2931">
        <v>319.99</v>
      </c>
      <c r="K2931" t="s">
        <v>36</v>
      </c>
      <c r="L2931" t="s">
        <v>37</v>
      </c>
      <c r="M2931" t="s">
        <v>161</v>
      </c>
    </row>
    <row r="2932" spans="1:13" x14ac:dyDescent="0.2">
      <c r="A2932">
        <v>586425</v>
      </c>
      <c r="B2932" s="2">
        <v>45334</v>
      </c>
      <c r="C2932">
        <v>33987</v>
      </c>
      <c r="D2932" t="s">
        <v>85</v>
      </c>
      <c r="E2932" t="s">
        <v>145</v>
      </c>
      <c r="F2932" t="s">
        <v>146</v>
      </c>
      <c r="G2932">
        <v>1</v>
      </c>
      <c r="H2932">
        <v>12.74</v>
      </c>
      <c r="I2932">
        <v>0.25</v>
      </c>
      <c r="J2932">
        <v>9.56</v>
      </c>
      <c r="K2932" t="s">
        <v>16</v>
      </c>
      <c r="L2932" t="s">
        <v>23</v>
      </c>
      <c r="M2932" t="s">
        <v>67</v>
      </c>
    </row>
    <row r="2933" spans="1:13" x14ac:dyDescent="0.2">
      <c r="A2933">
        <v>586501</v>
      </c>
      <c r="B2933" s="1">
        <v>45386</v>
      </c>
      <c r="C2933">
        <v>36797</v>
      </c>
      <c r="D2933" t="s">
        <v>40</v>
      </c>
      <c r="E2933" t="s">
        <v>20</v>
      </c>
      <c r="F2933" t="s">
        <v>21</v>
      </c>
      <c r="G2933">
        <v>1</v>
      </c>
      <c r="H2933">
        <v>8.49</v>
      </c>
      <c r="I2933">
        <v>0.15</v>
      </c>
      <c r="J2933">
        <v>7.22</v>
      </c>
      <c r="K2933" t="s">
        <v>16</v>
      </c>
      <c r="L2933" t="s">
        <v>17</v>
      </c>
      <c r="M2933" t="s">
        <v>43</v>
      </c>
    </row>
    <row r="2934" spans="1:13" x14ac:dyDescent="0.2">
      <c r="A2934">
        <v>586530</v>
      </c>
      <c r="B2934" s="1">
        <v>45539</v>
      </c>
      <c r="D2934" t="s">
        <v>82</v>
      </c>
      <c r="E2934" t="s">
        <v>168</v>
      </c>
      <c r="F2934" t="s">
        <v>169</v>
      </c>
      <c r="G2934">
        <v>2</v>
      </c>
      <c r="H2934">
        <v>7.19</v>
      </c>
      <c r="I2934">
        <v>0.2</v>
      </c>
      <c r="J2934">
        <v>11.5</v>
      </c>
      <c r="K2934" t="s">
        <v>16</v>
      </c>
      <c r="L2934" t="s">
        <v>17</v>
      </c>
    </row>
    <row r="2935" spans="1:13" x14ac:dyDescent="0.2">
      <c r="A2935">
        <v>586610</v>
      </c>
      <c r="B2935" s="2">
        <v>45193</v>
      </c>
      <c r="D2935" t="s">
        <v>85</v>
      </c>
      <c r="E2935" t="s">
        <v>137</v>
      </c>
      <c r="F2935" t="s">
        <v>138</v>
      </c>
      <c r="G2935">
        <v>2</v>
      </c>
      <c r="H2935">
        <v>7.19</v>
      </c>
      <c r="I2935">
        <v>0.1</v>
      </c>
      <c r="J2935">
        <v>12.94</v>
      </c>
      <c r="K2935" t="s">
        <v>16</v>
      </c>
      <c r="L2935" t="s">
        <v>37</v>
      </c>
      <c r="M2935" t="s">
        <v>28</v>
      </c>
    </row>
    <row r="2936" spans="1:13" x14ac:dyDescent="0.2">
      <c r="A2936">
        <v>586692</v>
      </c>
      <c r="B2936" s="2">
        <v>44735</v>
      </c>
      <c r="C2936">
        <v>23180</v>
      </c>
      <c r="D2936" t="s">
        <v>40</v>
      </c>
      <c r="E2936" t="s">
        <v>41</v>
      </c>
      <c r="F2936" t="s">
        <v>42</v>
      </c>
      <c r="G2936">
        <v>3</v>
      </c>
      <c r="H2936">
        <v>5.39</v>
      </c>
      <c r="I2936">
        <v>0.1</v>
      </c>
      <c r="J2936">
        <v>14.55</v>
      </c>
      <c r="K2936" t="s">
        <v>16</v>
      </c>
      <c r="L2936" t="s">
        <v>17</v>
      </c>
      <c r="M2936" t="s">
        <v>28</v>
      </c>
    </row>
    <row r="2937" spans="1:13" x14ac:dyDescent="0.2">
      <c r="A2937">
        <v>586819</v>
      </c>
      <c r="B2937" s="1">
        <v>45015</v>
      </c>
      <c r="D2937" t="s">
        <v>63</v>
      </c>
      <c r="E2937" t="s">
        <v>64</v>
      </c>
      <c r="F2937" t="s">
        <v>65</v>
      </c>
      <c r="G2937">
        <v>3</v>
      </c>
      <c r="H2937">
        <v>4.99</v>
      </c>
      <c r="J2937">
        <v>14.97</v>
      </c>
      <c r="K2937" t="s">
        <v>36</v>
      </c>
      <c r="L2937" t="s">
        <v>17</v>
      </c>
      <c r="M2937" t="s">
        <v>76</v>
      </c>
    </row>
    <row r="2938" spans="1:13" x14ac:dyDescent="0.2">
      <c r="A2938">
        <v>586883</v>
      </c>
      <c r="B2938" s="2">
        <v>45412</v>
      </c>
      <c r="C2938">
        <v>85265</v>
      </c>
      <c r="D2938" t="s">
        <v>63</v>
      </c>
      <c r="E2938" t="s">
        <v>68</v>
      </c>
      <c r="F2938" t="s">
        <v>69</v>
      </c>
      <c r="G2938">
        <v>4</v>
      </c>
      <c r="H2938">
        <v>17.489999999999998</v>
      </c>
      <c r="I2938">
        <v>0.3</v>
      </c>
      <c r="J2938">
        <v>48.97</v>
      </c>
      <c r="K2938" t="s">
        <v>36</v>
      </c>
      <c r="L2938" t="s">
        <v>17</v>
      </c>
      <c r="M2938" t="s">
        <v>18</v>
      </c>
    </row>
    <row r="2939" spans="1:13" x14ac:dyDescent="0.2">
      <c r="A2939">
        <v>587034</v>
      </c>
      <c r="B2939" s="1">
        <v>45355</v>
      </c>
      <c r="D2939" t="s">
        <v>48</v>
      </c>
      <c r="E2939" t="s">
        <v>49</v>
      </c>
      <c r="F2939" t="s">
        <v>50</v>
      </c>
      <c r="G2939">
        <v>4</v>
      </c>
      <c r="H2939">
        <v>8.5399999999999991</v>
      </c>
      <c r="I2939">
        <v>0.05</v>
      </c>
      <c r="J2939">
        <v>32.450000000000003</v>
      </c>
      <c r="K2939" t="s">
        <v>95</v>
      </c>
      <c r="L2939" t="s">
        <v>37</v>
      </c>
      <c r="M2939" t="s">
        <v>161</v>
      </c>
    </row>
    <row r="2940" spans="1:13" x14ac:dyDescent="0.2">
      <c r="A2940">
        <v>587343</v>
      </c>
      <c r="B2940" s="1">
        <v>44718</v>
      </c>
      <c r="C2940">
        <v>89969</v>
      </c>
      <c r="D2940" t="s">
        <v>13</v>
      </c>
      <c r="E2940" t="s">
        <v>14</v>
      </c>
      <c r="F2940" t="s">
        <v>15</v>
      </c>
      <c r="G2940">
        <v>2</v>
      </c>
      <c r="H2940">
        <v>55.99</v>
      </c>
      <c r="I2940">
        <v>0.3</v>
      </c>
      <c r="J2940">
        <v>78.39</v>
      </c>
      <c r="K2940" t="s">
        <v>16</v>
      </c>
      <c r="L2940" t="s">
        <v>17</v>
      </c>
      <c r="M2940" t="s">
        <v>117</v>
      </c>
    </row>
    <row r="2941" spans="1:13" x14ac:dyDescent="0.2">
      <c r="A2941">
        <v>587369</v>
      </c>
      <c r="B2941" s="1">
        <v>44678</v>
      </c>
      <c r="C2941">
        <v>79470</v>
      </c>
      <c r="D2941" t="s">
        <v>13</v>
      </c>
      <c r="E2941" t="s">
        <v>34</v>
      </c>
      <c r="F2941" t="s">
        <v>35</v>
      </c>
      <c r="G2941">
        <v>1</v>
      </c>
      <c r="H2941">
        <v>31.49</v>
      </c>
      <c r="I2941">
        <v>0.1</v>
      </c>
      <c r="J2941">
        <v>28.34</v>
      </c>
      <c r="K2941" t="s">
        <v>16</v>
      </c>
      <c r="L2941" t="s">
        <v>17</v>
      </c>
      <c r="M2941" t="s">
        <v>102</v>
      </c>
    </row>
    <row r="2942" spans="1:13" x14ac:dyDescent="0.2">
      <c r="A2942">
        <v>587640</v>
      </c>
      <c r="B2942" s="1">
        <v>44692</v>
      </c>
      <c r="C2942">
        <v>92534</v>
      </c>
      <c r="D2942" t="s">
        <v>40</v>
      </c>
      <c r="E2942" t="s">
        <v>58</v>
      </c>
      <c r="F2942" t="s">
        <v>59</v>
      </c>
      <c r="G2942">
        <v>1</v>
      </c>
      <c r="H2942">
        <v>3.39</v>
      </c>
      <c r="I2942">
        <v>0.15</v>
      </c>
      <c r="J2942">
        <v>2.88</v>
      </c>
      <c r="K2942" t="s">
        <v>36</v>
      </c>
      <c r="L2942" t="s">
        <v>37</v>
      </c>
      <c r="M2942" t="s">
        <v>33</v>
      </c>
    </row>
    <row r="2943" spans="1:13" x14ac:dyDescent="0.2">
      <c r="A2943">
        <v>587704</v>
      </c>
      <c r="B2943" s="1">
        <v>44958</v>
      </c>
      <c r="C2943">
        <v>35966</v>
      </c>
      <c r="D2943" t="s">
        <v>29</v>
      </c>
      <c r="E2943" t="s">
        <v>170</v>
      </c>
      <c r="F2943" t="s">
        <v>171</v>
      </c>
      <c r="G2943">
        <v>4</v>
      </c>
      <c r="H2943">
        <v>14.24</v>
      </c>
      <c r="I2943">
        <v>0.05</v>
      </c>
      <c r="J2943">
        <v>54.11</v>
      </c>
      <c r="K2943" t="s">
        <v>16</v>
      </c>
      <c r="L2943" t="s">
        <v>37</v>
      </c>
      <c r="M2943" t="s">
        <v>57</v>
      </c>
    </row>
    <row r="2944" spans="1:13" x14ac:dyDescent="0.2">
      <c r="A2944">
        <v>587820</v>
      </c>
      <c r="B2944" s="1">
        <v>45388</v>
      </c>
      <c r="C2944">
        <v>27755</v>
      </c>
      <c r="D2944" t="s">
        <v>97</v>
      </c>
      <c r="E2944" t="s">
        <v>181</v>
      </c>
      <c r="F2944" t="s">
        <v>182</v>
      </c>
      <c r="G2944">
        <v>1</v>
      </c>
      <c r="H2944">
        <v>11.99</v>
      </c>
      <c r="I2944">
        <v>0.2</v>
      </c>
      <c r="J2944">
        <v>9.59</v>
      </c>
      <c r="K2944" t="s">
        <v>16</v>
      </c>
      <c r="L2944" t="s">
        <v>17</v>
      </c>
      <c r="M2944" t="s">
        <v>28</v>
      </c>
    </row>
    <row r="2945" spans="1:13" x14ac:dyDescent="0.2">
      <c r="A2945">
        <v>587941</v>
      </c>
      <c r="B2945" s="1">
        <v>45335</v>
      </c>
      <c r="C2945">
        <v>64074</v>
      </c>
      <c r="D2945" t="s">
        <v>174</v>
      </c>
      <c r="E2945" t="s">
        <v>137</v>
      </c>
      <c r="F2945" t="s">
        <v>138</v>
      </c>
      <c r="G2945">
        <v>1</v>
      </c>
      <c r="H2945">
        <v>7.99</v>
      </c>
      <c r="J2945">
        <v>7.99</v>
      </c>
      <c r="K2945" t="s">
        <v>16</v>
      </c>
      <c r="L2945" t="s">
        <v>17</v>
      </c>
      <c r="M2945" t="s">
        <v>18</v>
      </c>
    </row>
    <row r="2946" spans="1:13" x14ac:dyDescent="0.2">
      <c r="A2946">
        <v>588056</v>
      </c>
      <c r="B2946" s="1">
        <v>45074</v>
      </c>
      <c r="C2946">
        <v>30200</v>
      </c>
      <c r="D2946" t="s">
        <v>29</v>
      </c>
      <c r="E2946" t="s">
        <v>88</v>
      </c>
      <c r="F2946" t="s">
        <v>89</v>
      </c>
      <c r="G2946">
        <v>2</v>
      </c>
      <c r="H2946">
        <v>49.99</v>
      </c>
      <c r="J2946">
        <v>99.98</v>
      </c>
      <c r="K2946" t="s">
        <v>16</v>
      </c>
      <c r="L2946" t="s">
        <v>17</v>
      </c>
    </row>
    <row r="2947" spans="1:13" x14ac:dyDescent="0.2">
      <c r="A2947">
        <v>588368</v>
      </c>
      <c r="B2947" s="2">
        <v>44779</v>
      </c>
      <c r="C2947">
        <v>23988</v>
      </c>
      <c r="D2947" t="s">
        <v>97</v>
      </c>
      <c r="E2947" t="s">
        <v>151</v>
      </c>
      <c r="F2947" t="s">
        <v>152</v>
      </c>
      <c r="G2947">
        <v>1</v>
      </c>
      <c r="H2947">
        <v>33.24</v>
      </c>
      <c r="I2947">
        <v>0.05</v>
      </c>
      <c r="J2947">
        <v>31.58</v>
      </c>
      <c r="K2947" t="s">
        <v>16</v>
      </c>
      <c r="L2947" t="s">
        <v>37</v>
      </c>
      <c r="M2947" t="s">
        <v>67</v>
      </c>
    </row>
    <row r="2948" spans="1:13" x14ac:dyDescent="0.2">
      <c r="A2948">
        <v>588409</v>
      </c>
      <c r="B2948" s="1">
        <v>44789</v>
      </c>
      <c r="C2948">
        <v>50280</v>
      </c>
      <c r="D2948" t="s">
        <v>44</v>
      </c>
      <c r="E2948" t="s">
        <v>91</v>
      </c>
      <c r="F2948" t="s">
        <v>92</v>
      </c>
      <c r="G2948">
        <v>1</v>
      </c>
      <c r="H2948">
        <v>6.29</v>
      </c>
      <c r="J2948">
        <v>6.29</v>
      </c>
      <c r="K2948" t="s">
        <v>66</v>
      </c>
      <c r="L2948" t="s">
        <v>17</v>
      </c>
      <c r="M2948" t="s">
        <v>33</v>
      </c>
    </row>
    <row r="2949" spans="1:13" x14ac:dyDescent="0.2">
      <c r="A2949">
        <v>588556</v>
      </c>
      <c r="B2949" s="1">
        <v>44698</v>
      </c>
      <c r="C2949">
        <v>24565</v>
      </c>
      <c r="D2949" t="s">
        <v>40</v>
      </c>
      <c r="E2949" t="s">
        <v>115</v>
      </c>
      <c r="F2949" t="s">
        <v>116</v>
      </c>
      <c r="G2949">
        <v>2</v>
      </c>
      <c r="H2949">
        <v>9.09</v>
      </c>
      <c r="I2949">
        <v>0.3</v>
      </c>
      <c r="J2949">
        <v>12.73</v>
      </c>
      <c r="K2949" t="s">
        <v>16</v>
      </c>
      <c r="L2949" t="s">
        <v>17</v>
      </c>
      <c r="M2949" t="s">
        <v>43</v>
      </c>
    </row>
    <row r="2950" spans="1:13" x14ac:dyDescent="0.2">
      <c r="A2950">
        <v>588640</v>
      </c>
      <c r="B2950" s="1">
        <v>45298</v>
      </c>
      <c r="C2950">
        <v>51973</v>
      </c>
      <c r="D2950" t="s">
        <v>82</v>
      </c>
      <c r="E2950" t="s">
        <v>83</v>
      </c>
      <c r="F2950" t="s">
        <v>84</v>
      </c>
      <c r="G2950">
        <v>5</v>
      </c>
      <c r="H2950">
        <v>11.89</v>
      </c>
      <c r="I2950">
        <v>0.3</v>
      </c>
      <c r="J2950">
        <v>41.62</v>
      </c>
      <c r="K2950" t="s">
        <v>36</v>
      </c>
      <c r="L2950" t="s">
        <v>23</v>
      </c>
      <c r="M2950" t="s">
        <v>47</v>
      </c>
    </row>
    <row r="2951" spans="1:13" x14ac:dyDescent="0.2">
      <c r="A2951">
        <v>588669</v>
      </c>
      <c r="B2951" s="1">
        <v>44912</v>
      </c>
      <c r="C2951">
        <v>75279</v>
      </c>
      <c r="D2951" t="s">
        <v>40</v>
      </c>
      <c r="E2951" t="s">
        <v>115</v>
      </c>
      <c r="F2951" t="s">
        <v>116</v>
      </c>
      <c r="G2951">
        <v>5</v>
      </c>
      <c r="H2951">
        <v>9.74</v>
      </c>
      <c r="I2951">
        <v>0.25</v>
      </c>
      <c r="J2951">
        <v>36.53</v>
      </c>
      <c r="K2951" t="s">
        <v>16</v>
      </c>
      <c r="L2951" t="s">
        <v>17</v>
      </c>
      <c r="M2951" t="s">
        <v>96</v>
      </c>
    </row>
    <row r="2952" spans="1:13" x14ac:dyDescent="0.2">
      <c r="A2952">
        <v>588843</v>
      </c>
      <c r="B2952" s="1">
        <v>44960</v>
      </c>
      <c r="C2952">
        <v>23619</v>
      </c>
      <c r="D2952" t="s">
        <v>97</v>
      </c>
      <c r="E2952" t="s">
        <v>98</v>
      </c>
      <c r="F2952" t="s">
        <v>99</v>
      </c>
      <c r="G2952">
        <v>2</v>
      </c>
      <c r="H2952">
        <v>19.59</v>
      </c>
      <c r="I2952">
        <v>0.3</v>
      </c>
      <c r="J2952">
        <v>27.43</v>
      </c>
      <c r="K2952" t="s">
        <v>16</v>
      </c>
      <c r="L2952" t="s">
        <v>17</v>
      </c>
      <c r="M2952" t="s">
        <v>90</v>
      </c>
    </row>
    <row r="2953" spans="1:13" x14ac:dyDescent="0.2">
      <c r="A2953">
        <v>589174</v>
      </c>
      <c r="B2953" s="1">
        <v>45002</v>
      </c>
      <c r="C2953">
        <v>13223</v>
      </c>
      <c r="D2953" t="s">
        <v>29</v>
      </c>
      <c r="E2953" t="s">
        <v>30</v>
      </c>
      <c r="F2953" t="s">
        <v>31</v>
      </c>
      <c r="G2953">
        <v>1</v>
      </c>
      <c r="H2953">
        <v>24.99</v>
      </c>
      <c r="J2953">
        <v>24.99</v>
      </c>
      <c r="K2953" t="s">
        <v>16</v>
      </c>
      <c r="L2953" t="s">
        <v>37</v>
      </c>
      <c r="M2953" t="s">
        <v>102</v>
      </c>
    </row>
    <row r="2954" spans="1:13" x14ac:dyDescent="0.2">
      <c r="A2954">
        <v>589187</v>
      </c>
      <c r="B2954" s="1">
        <v>45343</v>
      </c>
      <c r="C2954">
        <v>73871</v>
      </c>
      <c r="D2954" t="s">
        <v>82</v>
      </c>
      <c r="E2954" t="s">
        <v>83</v>
      </c>
      <c r="F2954" t="s">
        <v>84</v>
      </c>
      <c r="G2954">
        <v>1</v>
      </c>
      <c r="H2954">
        <v>15.29</v>
      </c>
      <c r="I2954">
        <v>0.1</v>
      </c>
      <c r="J2954">
        <v>13.76</v>
      </c>
      <c r="K2954" t="s">
        <v>22</v>
      </c>
      <c r="L2954" t="s">
        <v>17</v>
      </c>
      <c r="M2954" t="s">
        <v>96</v>
      </c>
    </row>
    <row r="2955" spans="1:13" x14ac:dyDescent="0.2">
      <c r="A2955">
        <v>589390</v>
      </c>
      <c r="B2955" s="1">
        <v>44942</v>
      </c>
      <c r="C2955">
        <v>59746</v>
      </c>
      <c r="D2955" t="s">
        <v>29</v>
      </c>
      <c r="E2955" t="s">
        <v>175</v>
      </c>
      <c r="F2955" t="s">
        <v>176</v>
      </c>
      <c r="G2955">
        <v>2</v>
      </c>
      <c r="H2955">
        <v>8.39</v>
      </c>
      <c r="I2955">
        <v>0.3</v>
      </c>
      <c r="J2955">
        <v>11.75</v>
      </c>
      <c r="K2955" t="s">
        <v>16</v>
      </c>
      <c r="L2955" t="s">
        <v>17</v>
      </c>
      <c r="M2955" t="s">
        <v>117</v>
      </c>
    </row>
    <row r="2956" spans="1:13" x14ac:dyDescent="0.2">
      <c r="A2956">
        <v>589494</v>
      </c>
      <c r="B2956" s="1">
        <v>45607</v>
      </c>
      <c r="C2956">
        <v>76998</v>
      </c>
      <c r="D2956" t="s">
        <v>44</v>
      </c>
      <c r="E2956" t="s">
        <v>172</v>
      </c>
      <c r="F2956" t="s">
        <v>173</v>
      </c>
      <c r="G2956">
        <v>5</v>
      </c>
      <c r="H2956">
        <v>4.49</v>
      </c>
      <c r="J2956">
        <v>22.45</v>
      </c>
      <c r="K2956" t="s">
        <v>22</v>
      </c>
      <c r="L2956" t="s">
        <v>17</v>
      </c>
      <c r="M2956" t="s">
        <v>81</v>
      </c>
    </row>
    <row r="2957" spans="1:13" x14ac:dyDescent="0.2">
      <c r="A2957">
        <v>589579</v>
      </c>
      <c r="B2957" s="1">
        <v>45490</v>
      </c>
      <c r="C2957">
        <v>72997</v>
      </c>
      <c r="D2957" t="s">
        <v>82</v>
      </c>
      <c r="E2957" t="s">
        <v>83</v>
      </c>
      <c r="F2957" t="s">
        <v>84</v>
      </c>
      <c r="G2957">
        <v>4</v>
      </c>
      <c r="H2957">
        <v>16.989999999999998</v>
      </c>
      <c r="J2957">
        <v>67.959999999999994</v>
      </c>
      <c r="K2957" t="s">
        <v>16</v>
      </c>
      <c r="L2957" t="s">
        <v>23</v>
      </c>
      <c r="M2957" t="s">
        <v>123</v>
      </c>
    </row>
    <row r="2958" spans="1:13" x14ac:dyDescent="0.2">
      <c r="A2958">
        <v>589714</v>
      </c>
      <c r="B2958" s="1">
        <v>45063</v>
      </c>
      <c r="C2958">
        <v>53414</v>
      </c>
      <c r="D2958" t="s">
        <v>97</v>
      </c>
      <c r="E2958" t="s">
        <v>181</v>
      </c>
      <c r="F2958" t="s">
        <v>182</v>
      </c>
      <c r="G2958">
        <v>2</v>
      </c>
      <c r="H2958">
        <v>11.99</v>
      </c>
      <c r="I2958">
        <v>0.2</v>
      </c>
      <c r="J2958">
        <v>19.18</v>
      </c>
      <c r="K2958" t="s">
        <v>16</v>
      </c>
      <c r="L2958" t="s">
        <v>23</v>
      </c>
      <c r="M2958" t="s">
        <v>24</v>
      </c>
    </row>
    <row r="2959" spans="1:13" x14ac:dyDescent="0.2">
      <c r="A2959">
        <v>589730</v>
      </c>
      <c r="B2959" s="1">
        <v>45275</v>
      </c>
      <c r="C2959">
        <v>62421</v>
      </c>
      <c r="D2959" t="s">
        <v>40</v>
      </c>
      <c r="E2959" t="s">
        <v>115</v>
      </c>
      <c r="F2959" t="s">
        <v>116</v>
      </c>
      <c r="G2959">
        <v>3</v>
      </c>
      <c r="H2959">
        <v>9.09</v>
      </c>
      <c r="I2959">
        <v>0.3</v>
      </c>
      <c r="J2959">
        <v>19.09</v>
      </c>
      <c r="K2959" t="s">
        <v>36</v>
      </c>
      <c r="L2959" t="s">
        <v>17</v>
      </c>
      <c r="M2959" t="s">
        <v>96</v>
      </c>
    </row>
    <row r="2960" spans="1:13" x14ac:dyDescent="0.2">
      <c r="A2960">
        <v>589775</v>
      </c>
      <c r="B2960" s="1">
        <v>45017</v>
      </c>
      <c r="C2960">
        <v>57212</v>
      </c>
      <c r="D2960" t="s">
        <v>97</v>
      </c>
      <c r="E2960" t="s">
        <v>193</v>
      </c>
      <c r="F2960" t="s">
        <v>194</v>
      </c>
      <c r="G2960">
        <v>3</v>
      </c>
      <c r="H2960">
        <v>64.989999999999995</v>
      </c>
      <c r="J2960">
        <v>194.97</v>
      </c>
      <c r="K2960" t="s">
        <v>32</v>
      </c>
      <c r="L2960" t="s">
        <v>23</v>
      </c>
      <c r="M2960" t="s">
        <v>47</v>
      </c>
    </row>
    <row r="2961" spans="1:13" x14ac:dyDescent="0.2">
      <c r="A2961">
        <v>589940</v>
      </c>
      <c r="B2961" s="2">
        <v>45449</v>
      </c>
      <c r="C2961">
        <v>54804</v>
      </c>
      <c r="D2961" t="s">
        <v>44</v>
      </c>
      <c r="E2961" t="s">
        <v>74</v>
      </c>
      <c r="F2961" t="s">
        <v>75</v>
      </c>
      <c r="G2961">
        <v>1</v>
      </c>
      <c r="H2961">
        <v>2.54</v>
      </c>
      <c r="I2961">
        <v>0.15</v>
      </c>
      <c r="J2961">
        <v>2.16</v>
      </c>
      <c r="K2961" t="s">
        <v>36</v>
      </c>
      <c r="L2961" t="s">
        <v>37</v>
      </c>
      <c r="M2961" t="s">
        <v>123</v>
      </c>
    </row>
    <row r="2962" spans="1:13" x14ac:dyDescent="0.2">
      <c r="A2962">
        <v>590023</v>
      </c>
      <c r="B2962" s="1">
        <v>45393</v>
      </c>
      <c r="C2962">
        <v>26523</v>
      </c>
      <c r="D2962" t="s">
        <v>40</v>
      </c>
      <c r="E2962" t="s">
        <v>41</v>
      </c>
      <c r="F2962" t="s">
        <v>42</v>
      </c>
      <c r="G2962">
        <v>1</v>
      </c>
      <c r="H2962">
        <v>5.39</v>
      </c>
      <c r="I2962">
        <v>0.1</v>
      </c>
      <c r="J2962">
        <v>4.8499999999999996</v>
      </c>
      <c r="K2962" t="s">
        <v>32</v>
      </c>
      <c r="L2962" t="s">
        <v>17</v>
      </c>
      <c r="M2962" t="s">
        <v>67</v>
      </c>
    </row>
    <row r="2963" spans="1:13" x14ac:dyDescent="0.2">
      <c r="A2963">
        <v>590180</v>
      </c>
      <c r="B2963" s="1">
        <v>45237</v>
      </c>
      <c r="C2963">
        <v>59697</v>
      </c>
      <c r="D2963" t="s">
        <v>25</v>
      </c>
      <c r="E2963" t="s">
        <v>26</v>
      </c>
      <c r="F2963" t="s">
        <v>27</v>
      </c>
      <c r="G2963">
        <v>5</v>
      </c>
      <c r="H2963">
        <v>33.24</v>
      </c>
      <c r="I2963">
        <v>0.05</v>
      </c>
      <c r="J2963">
        <v>157.88999999999999</v>
      </c>
      <c r="K2963" t="s">
        <v>36</v>
      </c>
      <c r="L2963" t="s">
        <v>17</v>
      </c>
      <c r="M2963" t="s">
        <v>47</v>
      </c>
    </row>
    <row r="2964" spans="1:13" x14ac:dyDescent="0.2">
      <c r="A2964">
        <v>590249</v>
      </c>
      <c r="B2964" s="2">
        <v>45085</v>
      </c>
      <c r="C2964">
        <v>45522</v>
      </c>
      <c r="D2964" t="s">
        <v>97</v>
      </c>
      <c r="E2964" t="s">
        <v>193</v>
      </c>
      <c r="F2964" t="s">
        <v>194</v>
      </c>
      <c r="G2964">
        <v>2</v>
      </c>
      <c r="H2964">
        <v>55.24</v>
      </c>
      <c r="I2964">
        <v>0.15</v>
      </c>
      <c r="J2964">
        <v>93.91</v>
      </c>
      <c r="K2964" t="s">
        <v>36</v>
      </c>
      <c r="L2964" t="s">
        <v>17</v>
      </c>
      <c r="M2964" t="s">
        <v>120</v>
      </c>
    </row>
    <row r="2965" spans="1:13" x14ac:dyDescent="0.2">
      <c r="A2965">
        <v>590737</v>
      </c>
      <c r="B2965" s="1">
        <v>45630</v>
      </c>
      <c r="C2965">
        <v>19813</v>
      </c>
      <c r="D2965" t="s">
        <v>48</v>
      </c>
      <c r="E2965" t="s">
        <v>49</v>
      </c>
      <c r="F2965" t="s">
        <v>50</v>
      </c>
      <c r="G2965">
        <v>5</v>
      </c>
      <c r="H2965">
        <v>7.19</v>
      </c>
      <c r="I2965">
        <v>0.2</v>
      </c>
      <c r="J2965">
        <v>28.76</v>
      </c>
      <c r="K2965" t="s">
        <v>16</v>
      </c>
      <c r="L2965" t="s">
        <v>37</v>
      </c>
      <c r="M2965" t="s">
        <v>57</v>
      </c>
    </row>
    <row r="2966" spans="1:13" x14ac:dyDescent="0.2">
      <c r="A2966">
        <v>590928</v>
      </c>
      <c r="B2966" s="1">
        <v>45051</v>
      </c>
      <c r="C2966">
        <v>33076</v>
      </c>
      <c r="D2966" t="s">
        <v>29</v>
      </c>
      <c r="E2966" t="s">
        <v>170</v>
      </c>
      <c r="F2966" t="s">
        <v>171</v>
      </c>
      <c r="G2966">
        <v>1</v>
      </c>
      <c r="H2966">
        <v>14.99</v>
      </c>
      <c r="J2966">
        <v>14.99</v>
      </c>
      <c r="K2966" t="s">
        <v>95</v>
      </c>
      <c r="L2966" t="s">
        <v>17</v>
      </c>
      <c r="M2966" t="s">
        <v>117</v>
      </c>
    </row>
    <row r="2967" spans="1:13" x14ac:dyDescent="0.2">
      <c r="A2967">
        <v>591044</v>
      </c>
      <c r="B2967" s="2">
        <v>45199</v>
      </c>
      <c r="C2967">
        <v>18008</v>
      </c>
      <c r="D2967" t="s">
        <v>40</v>
      </c>
      <c r="E2967" t="s">
        <v>58</v>
      </c>
      <c r="F2967" t="s">
        <v>59</v>
      </c>
      <c r="G2967">
        <v>1</v>
      </c>
      <c r="H2967">
        <v>3.99</v>
      </c>
      <c r="J2967">
        <v>3.99</v>
      </c>
      <c r="K2967" t="s">
        <v>95</v>
      </c>
      <c r="L2967" t="s">
        <v>37</v>
      </c>
      <c r="M2967" t="s">
        <v>76</v>
      </c>
    </row>
    <row r="2968" spans="1:13" x14ac:dyDescent="0.2">
      <c r="A2968">
        <v>591451</v>
      </c>
      <c r="B2968" s="2">
        <v>44738</v>
      </c>
      <c r="C2968">
        <v>81175</v>
      </c>
      <c r="D2968" t="s">
        <v>82</v>
      </c>
      <c r="E2968" t="s">
        <v>147</v>
      </c>
      <c r="F2968" t="s">
        <v>148</v>
      </c>
      <c r="G2968">
        <v>3</v>
      </c>
      <c r="H2968">
        <v>11.69</v>
      </c>
      <c r="I2968">
        <v>0.1</v>
      </c>
      <c r="J2968">
        <v>31.56</v>
      </c>
      <c r="K2968" t="s">
        <v>16</v>
      </c>
      <c r="L2968" t="s">
        <v>17</v>
      </c>
      <c r="M2968" t="s">
        <v>81</v>
      </c>
    </row>
    <row r="2969" spans="1:13" x14ac:dyDescent="0.2">
      <c r="A2969">
        <v>591616</v>
      </c>
      <c r="B2969" s="1">
        <v>45595</v>
      </c>
      <c r="C2969">
        <v>56332</v>
      </c>
      <c r="D2969" t="s">
        <v>29</v>
      </c>
      <c r="E2969" t="s">
        <v>30</v>
      </c>
      <c r="F2969" t="s">
        <v>31</v>
      </c>
      <c r="G2969">
        <v>1</v>
      </c>
      <c r="H2969">
        <v>21.24</v>
      </c>
      <c r="I2969">
        <v>0.15</v>
      </c>
      <c r="J2969">
        <v>18.05</v>
      </c>
      <c r="K2969" t="s">
        <v>16</v>
      </c>
      <c r="L2969" t="s">
        <v>37</v>
      </c>
      <c r="M2969" t="s">
        <v>120</v>
      </c>
    </row>
    <row r="2970" spans="1:13" x14ac:dyDescent="0.2">
      <c r="A2970">
        <v>591736</v>
      </c>
      <c r="B2970" s="1">
        <v>45137</v>
      </c>
      <c r="C2970">
        <v>35990</v>
      </c>
      <c r="D2970" t="s">
        <v>29</v>
      </c>
      <c r="E2970" t="s">
        <v>30</v>
      </c>
      <c r="F2970" t="s">
        <v>31</v>
      </c>
      <c r="G2970">
        <v>2</v>
      </c>
      <c r="H2970">
        <v>24.99</v>
      </c>
      <c r="J2970">
        <v>49.98</v>
      </c>
      <c r="K2970" t="s">
        <v>53</v>
      </c>
      <c r="L2970" t="s">
        <v>17</v>
      </c>
      <c r="M2970" t="s">
        <v>161</v>
      </c>
    </row>
    <row r="2971" spans="1:13" x14ac:dyDescent="0.2">
      <c r="A2971">
        <v>591868</v>
      </c>
      <c r="B2971" s="1">
        <v>44629</v>
      </c>
      <c r="D2971" t="s">
        <v>13</v>
      </c>
      <c r="E2971" t="s">
        <v>34</v>
      </c>
      <c r="F2971" t="s">
        <v>35</v>
      </c>
      <c r="G2971">
        <v>2</v>
      </c>
      <c r="H2971">
        <v>24.49</v>
      </c>
      <c r="I2971">
        <v>0.3</v>
      </c>
      <c r="J2971">
        <v>34.29</v>
      </c>
      <c r="K2971" t="s">
        <v>16</v>
      </c>
      <c r="L2971" t="s">
        <v>17</v>
      </c>
      <c r="M2971" t="s">
        <v>102</v>
      </c>
    </row>
    <row r="2972" spans="1:13" x14ac:dyDescent="0.2">
      <c r="A2972">
        <v>591897</v>
      </c>
      <c r="B2972" s="1">
        <v>45529</v>
      </c>
      <c r="C2972">
        <v>43544</v>
      </c>
      <c r="D2972" t="s">
        <v>44</v>
      </c>
      <c r="E2972" t="s">
        <v>184</v>
      </c>
      <c r="F2972" t="s">
        <v>185</v>
      </c>
      <c r="G2972">
        <v>4</v>
      </c>
      <c r="H2972">
        <v>5.49</v>
      </c>
      <c r="J2972">
        <v>21.96</v>
      </c>
      <c r="K2972" t="s">
        <v>16</v>
      </c>
      <c r="L2972" t="s">
        <v>17</v>
      </c>
      <c r="M2972" t="s">
        <v>103</v>
      </c>
    </row>
    <row r="2973" spans="1:13" x14ac:dyDescent="0.2">
      <c r="A2973">
        <v>592089</v>
      </c>
      <c r="B2973" s="1">
        <v>44586</v>
      </c>
      <c r="C2973">
        <v>81656</v>
      </c>
      <c r="D2973" t="s">
        <v>82</v>
      </c>
      <c r="E2973" t="s">
        <v>188</v>
      </c>
      <c r="F2973" t="s">
        <v>189</v>
      </c>
      <c r="G2973">
        <v>4</v>
      </c>
      <c r="H2973">
        <v>44.99</v>
      </c>
      <c r="J2973">
        <v>179.96</v>
      </c>
      <c r="K2973" t="s">
        <v>16</v>
      </c>
      <c r="L2973" t="s">
        <v>17</v>
      </c>
      <c r="M2973" t="s">
        <v>18</v>
      </c>
    </row>
    <row r="2974" spans="1:13" x14ac:dyDescent="0.2">
      <c r="A2974">
        <v>592130</v>
      </c>
      <c r="B2974" s="1">
        <v>45507</v>
      </c>
      <c r="C2974">
        <v>12847</v>
      </c>
      <c r="D2974" t="s">
        <v>63</v>
      </c>
      <c r="E2974" t="s">
        <v>64</v>
      </c>
      <c r="F2974" t="s">
        <v>65</v>
      </c>
      <c r="G2974">
        <v>2</v>
      </c>
      <c r="H2974">
        <v>3.74</v>
      </c>
      <c r="I2974">
        <v>0.25</v>
      </c>
      <c r="J2974">
        <v>5.61</v>
      </c>
      <c r="K2974" t="s">
        <v>16</v>
      </c>
      <c r="L2974" t="s">
        <v>17</v>
      </c>
      <c r="M2974" t="s">
        <v>33</v>
      </c>
    </row>
    <row r="2975" spans="1:13" x14ac:dyDescent="0.2">
      <c r="A2975">
        <v>592408</v>
      </c>
      <c r="B2975" s="2">
        <v>45425</v>
      </c>
      <c r="C2975">
        <v>17176</v>
      </c>
      <c r="D2975" t="s">
        <v>85</v>
      </c>
      <c r="E2975" t="s">
        <v>145</v>
      </c>
      <c r="F2975" t="s">
        <v>146</v>
      </c>
      <c r="G2975">
        <v>1</v>
      </c>
      <c r="H2975">
        <v>15.29</v>
      </c>
      <c r="I2975">
        <v>0.1</v>
      </c>
      <c r="J2975">
        <v>13.76</v>
      </c>
      <c r="K2975" t="s">
        <v>16</v>
      </c>
      <c r="L2975" t="s">
        <v>17</v>
      </c>
      <c r="M2975" t="s">
        <v>43</v>
      </c>
    </row>
    <row r="2976" spans="1:13" x14ac:dyDescent="0.2">
      <c r="A2976">
        <v>592471</v>
      </c>
      <c r="B2976" s="2">
        <v>45462</v>
      </c>
      <c r="C2976">
        <v>36312</v>
      </c>
      <c r="D2976" t="s">
        <v>82</v>
      </c>
      <c r="E2976" t="s">
        <v>100</v>
      </c>
      <c r="F2976" t="s">
        <v>101</v>
      </c>
      <c r="G2976">
        <v>1</v>
      </c>
      <c r="H2976">
        <v>16.09</v>
      </c>
      <c r="I2976">
        <v>0.3</v>
      </c>
      <c r="J2976">
        <v>11.26</v>
      </c>
      <c r="K2976" t="s">
        <v>16</v>
      </c>
      <c r="L2976" t="s">
        <v>17</v>
      </c>
      <c r="M2976" t="s">
        <v>102</v>
      </c>
    </row>
    <row r="2977" spans="1:13" x14ac:dyDescent="0.2">
      <c r="A2977">
        <v>592811</v>
      </c>
      <c r="B2977" s="1">
        <v>45610</v>
      </c>
      <c r="C2977">
        <v>98715</v>
      </c>
      <c r="D2977" t="s">
        <v>13</v>
      </c>
      <c r="E2977" t="s">
        <v>159</v>
      </c>
      <c r="F2977" t="s">
        <v>160</v>
      </c>
      <c r="G2977">
        <v>4</v>
      </c>
      <c r="H2977">
        <v>59.99</v>
      </c>
      <c r="J2977">
        <v>239.96</v>
      </c>
      <c r="K2977" t="s">
        <v>53</v>
      </c>
      <c r="L2977" t="s">
        <v>17</v>
      </c>
      <c r="M2977" t="s">
        <v>62</v>
      </c>
    </row>
    <row r="2978" spans="1:13" x14ac:dyDescent="0.2">
      <c r="A2978">
        <v>592839</v>
      </c>
      <c r="B2978" s="1">
        <v>44932</v>
      </c>
      <c r="C2978">
        <v>66066</v>
      </c>
      <c r="D2978" t="s">
        <v>40</v>
      </c>
      <c r="E2978" t="s">
        <v>41</v>
      </c>
      <c r="F2978" t="s">
        <v>42</v>
      </c>
      <c r="G2978">
        <v>2</v>
      </c>
      <c r="H2978">
        <v>5.99</v>
      </c>
      <c r="J2978">
        <v>11.98</v>
      </c>
      <c r="K2978" t="s">
        <v>16</v>
      </c>
      <c r="L2978" t="s">
        <v>17</v>
      </c>
      <c r="M2978" t="s">
        <v>62</v>
      </c>
    </row>
    <row r="2979" spans="1:13" x14ac:dyDescent="0.2">
      <c r="A2979">
        <v>592991</v>
      </c>
      <c r="B2979" s="1">
        <v>45481</v>
      </c>
      <c r="C2979">
        <v>98988</v>
      </c>
      <c r="D2979" t="s">
        <v>97</v>
      </c>
      <c r="E2979" t="s">
        <v>165</v>
      </c>
      <c r="F2979" t="s">
        <v>166</v>
      </c>
      <c r="G2979">
        <v>3</v>
      </c>
      <c r="H2979">
        <v>62.99</v>
      </c>
      <c r="I2979">
        <v>0.3</v>
      </c>
      <c r="J2979">
        <v>132.28</v>
      </c>
      <c r="K2979" t="s">
        <v>36</v>
      </c>
      <c r="L2979" t="s">
        <v>37</v>
      </c>
      <c r="M2979" t="s">
        <v>54</v>
      </c>
    </row>
    <row r="2980" spans="1:13" x14ac:dyDescent="0.2">
      <c r="A2980">
        <v>593554</v>
      </c>
      <c r="B2980" s="1">
        <v>44783</v>
      </c>
      <c r="C2980">
        <v>50001</v>
      </c>
      <c r="D2980" t="s">
        <v>85</v>
      </c>
      <c r="E2980" t="s">
        <v>86</v>
      </c>
      <c r="F2980" t="s">
        <v>87</v>
      </c>
      <c r="G2980">
        <v>4</v>
      </c>
      <c r="H2980">
        <v>10.39</v>
      </c>
      <c r="I2980">
        <v>0.2</v>
      </c>
      <c r="J2980">
        <v>33.25</v>
      </c>
      <c r="K2980" t="s">
        <v>36</v>
      </c>
      <c r="L2980" t="s">
        <v>37</v>
      </c>
      <c r="M2980" t="s">
        <v>28</v>
      </c>
    </row>
    <row r="2981" spans="1:13" x14ac:dyDescent="0.2">
      <c r="A2981">
        <v>593598</v>
      </c>
      <c r="B2981" s="1">
        <v>45278</v>
      </c>
      <c r="C2981">
        <v>58456</v>
      </c>
      <c r="D2981" t="s">
        <v>63</v>
      </c>
      <c r="E2981" t="s">
        <v>125</v>
      </c>
      <c r="F2981" t="s">
        <v>126</v>
      </c>
      <c r="G2981">
        <v>1</v>
      </c>
      <c r="H2981">
        <v>25.49</v>
      </c>
      <c r="I2981">
        <v>0.15</v>
      </c>
      <c r="J2981">
        <v>21.67</v>
      </c>
      <c r="K2981" t="s">
        <v>36</v>
      </c>
      <c r="L2981" t="s">
        <v>17</v>
      </c>
      <c r="M2981" t="s">
        <v>18</v>
      </c>
    </row>
    <row r="2982" spans="1:13" x14ac:dyDescent="0.2">
      <c r="A2982">
        <v>593847</v>
      </c>
      <c r="B2982" s="1">
        <v>45338</v>
      </c>
      <c r="C2982">
        <v>61743</v>
      </c>
      <c r="D2982" t="s">
        <v>63</v>
      </c>
      <c r="E2982" t="s">
        <v>125</v>
      </c>
      <c r="F2982" t="s">
        <v>126</v>
      </c>
      <c r="G2982">
        <v>5</v>
      </c>
      <c r="H2982">
        <v>29.99</v>
      </c>
      <c r="J2982">
        <v>149.94999999999999</v>
      </c>
      <c r="K2982" t="s">
        <v>16</v>
      </c>
      <c r="L2982" t="s">
        <v>17</v>
      </c>
      <c r="M2982" t="s">
        <v>18</v>
      </c>
    </row>
    <row r="2983" spans="1:13" x14ac:dyDescent="0.2">
      <c r="A2983">
        <v>594130</v>
      </c>
      <c r="B2983" s="2">
        <v>45610</v>
      </c>
      <c r="C2983">
        <v>92980</v>
      </c>
      <c r="D2983" t="s">
        <v>40</v>
      </c>
      <c r="E2983" t="s">
        <v>41</v>
      </c>
      <c r="F2983" t="s">
        <v>42</v>
      </c>
      <c r="G2983">
        <v>4</v>
      </c>
      <c r="H2983">
        <v>5.39</v>
      </c>
      <c r="I2983">
        <v>0.1</v>
      </c>
      <c r="J2983">
        <v>19.399999999999999</v>
      </c>
      <c r="K2983" t="s">
        <v>22</v>
      </c>
      <c r="L2983" t="s">
        <v>17</v>
      </c>
      <c r="M2983" t="s">
        <v>117</v>
      </c>
    </row>
    <row r="2984" spans="1:13" x14ac:dyDescent="0.2">
      <c r="A2984">
        <v>594282</v>
      </c>
      <c r="B2984" s="1">
        <v>44708</v>
      </c>
      <c r="C2984">
        <v>89166</v>
      </c>
      <c r="D2984" t="s">
        <v>48</v>
      </c>
      <c r="E2984" t="s">
        <v>139</v>
      </c>
      <c r="F2984" t="s">
        <v>140</v>
      </c>
      <c r="G2984">
        <v>1</v>
      </c>
      <c r="H2984">
        <v>6.79</v>
      </c>
      <c r="I2984">
        <v>0.15</v>
      </c>
      <c r="J2984">
        <v>5.77</v>
      </c>
      <c r="K2984" t="s">
        <v>36</v>
      </c>
      <c r="L2984" t="s">
        <v>37</v>
      </c>
      <c r="M2984" t="s">
        <v>57</v>
      </c>
    </row>
    <row r="2985" spans="1:13" x14ac:dyDescent="0.2">
      <c r="A2985">
        <v>594422</v>
      </c>
      <c r="B2985" s="2">
        <v>44673</v>
      </c>
      <c r="C2985">
        <v>79059</v>
      </c>
      <c r="D2985" t="s">
        <v>97</v>
      </c>
      <c r="E2985" t="s">
        <v>165</v>
      </c>
      <c r="F2985" t="s">
        <v>166</v>
      </c>
      <c r="G2985">
        <v>1</v>
      </c>
      <c r="H2985">
        <v>89.99</v>
      </c>
      <c r="J2985">
        <v>89.99</v>
      </c>
      <c r="K2985" t="s">
        <v>16</v>
      </c>
      <c r="L2985" t="s">
        <v>17</v>
      </c>
      <c r="M2985" t="s">
        <v>117</v>
      </c>
    </row>
    <row r="2986" spans="1:13" x14ac:dyDescent="0.2">
      <c r="A2986">
        <v>594797</v>
      </c>
      <c r="B2986" s="1">
        <v>45187</v>
      </c>
      <c r="C2986">
        <v>84843</v>
      </c>
      <c r="D2986" t="s">
        <v>85</v>
      </c>
      <c r="E2986" t="s">
        <v>86</v>
      </c>
      <c r="F2986" t="s">
        <v>87</v>
      </c>
      <c r="G2986">
        <v>4</v>
      </c>
      <c r="H2986">
        <v>11.04</v>
      </c>
      <c r="I2986">
        <v>0.15</v>
      </c>
      <c r="J2986">
        <v>37.54</v>
      </c>
      <c r="K2986" t="s">
        <v>36</v>
      </c>
      <c r="L2986" t="s">
        <v>17</v>
      </c>
      <c r="M2986" t="s">
        <v>90</v>
      </c>
    </row>
    <row r="2987" spans="1:13" x14ac:dyDescent="0.2">
      <c r="A2987">
        <v>594820</v>
      </c>
      <c r="B2987" s="1">
        <v>44611</v>
      </c>
      <c r="C2987">
        <v>83797</v>
      </c>
      <c r="D2987" t="s">
        <v>25</v>
      </c>
      <c r="E2987" t="s">
        <v>60</v>
      </c>
      <c r="F2987" t="s">
        <v>61</v>
      </c>
      <c r="G2987">
        <v>1</v>
      </c>
      <c r="H2987">
        <v>54.99</v>
      </c>
      <c r="J2987">
        <v>54.99</v>
      </c>
      <c r="K2987" t="s">
        <v>32</v>
      </c>
      <c r="L2987" t="s">
        <v>17</v>
      </c>
      <c r="M2987" t="s">
        <v>33</v>
      </c>
    </row>
    <row r="2988" spans="1:13" x14ac:dyDescent="0.2">
      <c r="A2988">
        <v>595375</v>
      </c>
      <c r="B2988" s="1">
        <v>44847</v>
      </c>
      <c r="C2988">
        <v>18622</v>
      </c>
      <c r="D2988" t="s">
        <v>25</v>
      </c>
      <c r="E2988" t="s">
        <v>70</v>
      </c>
      <c r="F2988" t="s">
        <v>71</v>
      </c>
      <c r="G2988">
        <v>2</v>
      </c>
      <c r="H2988">
        <v>80.989999999999995</v>
      </c>
      <c r="I2988">
        <v>0.1</v>
      </c>
      <c r="J2988">
        <v>145.78</v>
      </c>
      <c r="K2988" t="s">
        <v>16</v>
      </c>
      <c r="L2988" t="s">
        <v>17</v>
      </c>
      <c r="M2988" t="s">
        <v>62</v>
      </c>
    </row>
    <row r="2989" spans="1:13" x14ac:dyDescent="0.2">
      <c r="A2989">
        <v>595523</v>
      </c>
      <c r="B2989" s="1">
        <v>44564</v>
      </c>
      <c r="C2989">
        <v>48097</v>
      </c>
      <c r="D2989" t="s">
        <v>13</v>
      </c>
      <c r="E2989" t="s">
        <v>104</v>
      </c>
      <c r="F2989" t="s">
        <v>105</v>
      </c>
      <c r="G2989">
        <v>4</v>
      </c>
      <c r="H2989">
        <v>22.49</v>
      </c>
      <c r="I2989">
        <v>0.25</v>
      </c>
      <c r="J2989">
        <v>67.47</v>
      </c>
      <c r="K2989" t="s">
        <v>36</v>
      </c>
      <c r="L2989" t="s">
        <v>37</v>
      </c>
      <c r="M2989" t="s">
        <v>47</v>
      </c>
    </row>
    <row r="2990" spans="1:13" x14ac:dyDescent="0.2">
      <c r="A2990">
        <v>596004</v>
      </c>
      <c r="B2990" s="2">
        <v>44704</v>
      </c>
      <c r="C2990">
        <v>67212</v>
      </c>
      <c r="D2990" t="s">
        <v>44</v>
      </c>
      <c r="E2990" t="s">
        <v>172</v>
      </c>
      <c r="F2990" t="s">
        <v>173</v>
      </c>
      <c r="G2990">
        <v>1</v>
      </c>
      <c r="H2990">
        <v>4.49</v>
      </c>
      <c r="J2990">
        <v>4.49</v>
      </c>
      <c r="K2990" t="s">
        <v>36</v>
      </c>
      <c r="L2990" t="s">
        <v>17</v>
      </c>
      <c r="M2990" t="s">
        <v>76</v>
      </c>
    </row>
    <row r="2991" spans="1:13" x14ac:dyDescent="0.2">
      <c r="A2991">
        <v>596017</v>
      </c>
      <c r="B2991" s="1">
        <v>44777</v>
      </c>
      <c r="C2991">
        <v>26015</v>
      </c>
      <c r="D2991" t="s">
        <v>44</v>
      </c>
      <c r="E2991" t="s">
        <v>172</v>
      </c>
      <c r="F2991" t="s">
        <v>173</v>
      </c>
      <c r="G2991">
        <v>1</v>
      </c>
      <c r="H2991">
        <v>4.49</v>
      </c>
      <c r="J2991">
        <v>4.49</v>
      </c>
      <c r="K2991" t="s">
        <v>36</v>
      </c>
      <c r="L2991" t="s">
        <v>23</v>
      </c>
      <c r="M2991" t="s">
        <v>33</v>
      </c>
    </row>
    <row r="2992" spans="1:13" x14ac:dyDescent="0.2">
      <c r="A2992">
        <v>596171</v>
      </c>
      <c r="B2992" s="1">
        <v>45375</v>
      </c>
      <c r="C2992">
        <v>20911</v>
      </c>
      <c r="D2992" t="s">
        <v>97</v>
      </c>
      <c r="E2992" t="s">
        <v>193</v>
      </c>
      <c r="F2992" t="s">
        <v>194</v>
      </c>
      <c r="G2992">
        <v>1</v>
      </c>
      <c r="H2992">
        <v>64.989999999999995</v>
      </c>
      <c r="J2992">
        <v>64.989999999999995</v>
      </c>
      <c r="K2992" t="s">
        <v>36</v>
      </c>
      <c r="L2992" t="s">
        <v>17</v>
      </c>
      <c r="M2992" t="s">
        <v>62</v>
      </c>
    </row>
    <row r="2993" spans="1:13" x14ac:dyDescent="0.2">
      <c r="A2993">
        <v>596240</v>
      </c>
      <c r="B2993" s="2">
        <v>44574</v>
      </c>
      <c r="C2993">
        <v>58198</v>
      </c>
      <c r="D2993" t="s">
        <v>40</v>
      </c>
      <c r="E2993" t="s">
        <v>197</v>
      </c>
      <c r="F2993" t="s">
        <v>198</v>
      </c>
      <c r="G2993">
        <v>5</v>
      </c>
      <c r="H2993">
        <v>14.99</v>
      </c>
      <c r="J2993">
        <v>74.95</v>
      </c>
      <c r="K2993" t="s">
        <v>16</v>
      </c>
      <c r="L2993" t="s">
        <v>17</v>
      </c>
      <c r="M2993" t="s">
        <v>161</v>
      </c>
    </row>
    <row r="2994" spans="1:13" x14ac:dyDescent="0.2">
      <c r="A2994">
        <v>596337</v>
      </c>
      <c r="B2994" s="2">
        <v>44783</v>
      </c>
      <c r="C2994">
        <v>24017</v>
      </c>
      <c r="D2994" t="s">
        <v>13</v>
      </c>
      <c r="E2994" t="s">
        <v>14</v>
      </c>
      <c r="F2994" t="s">
        <v>15</v>
      </c>
      <c r="G2994">
        <v>1</v>
      </c>
      <c r="H2994">
        <v>59.99</v>
      </c>
      <c r="I2994">
        <v>0.25</v>
      </c>
      <c r="J2994">
        <v>44.99</v>
      </c>
      <c r="K2994" t="s">
        <v>16</v>
      </c>
      <c r="L2994" t="s">
        <v>17</v>
      </c>
      <c r="M2994" t="s">
        <v>28</v>
      </c>
    </row>
    <row r="2995" spans="1:13" x14ac:dyDescent="0.2">
      <c r="A2995">
        <v>596419</v>
      </c>
      <c r="B2995" s="2">
        <v>45295</v>
      </c>
      <c r="D2995" t="s">
        <v>97</v>
      </c>
      <c r="E2995" t="s">
        <v>98</v>
      </c>
      <c r="F2995" t="s">
        <v>99</v>
      </c>
      <c r="G2995">
        <v>1</v>
      </c>
      <c r="H2995">
        <v>27.99</v>
      </c>
      <c r="J2995">
        <v>27.99</v>
      </c>
      <c r="K2995" t="s">
        <v>22</v>
      </c>
      <c r="L2995" t="s">
        <v>23</v>
      </c>
      <c r="M2995" t="s">
        <v>28</v>
      </c>
    </row>
    <row r="2996" spans="1:13" x14ac:dyDescent="0.2">
      <c r="A2996">
        <v>596574</v>
      </c>
      <c r="B2996" s="2">
        <v>44911</v>
      </c>
      <c r="C2996">
        <v>74106</v>
      </c>
      <c r="D2996" t="s">
        <v>97</v>
      </c>
      <c r="E2996" t="s">
        <v>151</v>
      </c>
      <c r="F2996" t="s">
        <v>152</v>
      </c>
      <c r="G2996">
        <v>5</v>
      </c>
      <c r="H2996">
        <v>31.49</v>
      </c>
      <c r="I2996">
        <v>0.1</v>
      </c>
      <c r="J2996">
        <v>141.69999999999999</v>
      </c>
      <c r="K2996" t="s">
        <v>36</v>
      </c>
      <c r="L2996" t="s">
        <v>17</v>
      </c>
      <c r="M2996" t="s">
        <v>18</v>
      </c>
    </row>
    <row r="2997" spans="1:13" x14ac:dyDescent="0.2">
      <c r="A2997">
        <v>596619</v>
      </c>
      <c r="B2997" s="1">
        <v>45217</v>
      </c>
      <c r="C2997">
        <v>14060</v>
      </c>
      <c r="D2997" t="s">
        <v>82</v>
      </c>
      <c r="E2997" t="s">
        <v>155</v>
      </c>
      <c r="F2997" t="s">
        <v>156</v>
      </c>
      <c r="G2997">
        <v>2</v>
      </c>
      <c r="H2997">
        <v>13.99</v>
      </c>
      <c r="I2997">
        <v>0.3</v>
      </c>
      <c r="J2997">
        <v>19.59</v>
      </c>
      <c r="K2997" t="s">
        <v>16</v>
      </c>
      <c r="L2997" t="s">
        <v>37</v>
      </c>
      <c r="M2997" t="s">
        <v>117</v>
      </c>
    </row>
    <row r="2998" spans="1:13" x14ac:dyDescent="0.2">
      <c r="A2998">
        <v>596694</v>
      </c>
      <c r="B2998" s="2">
        <v>44604</v>
      </c>
      <c r="C2998">
        <v>69219</v>
      </c>
      <c r="D2998" t="s">
        <v>48</v>
      </c>
      <c r="E2998" t="s">
        <v>49</v>
      </c>
      <c r="F2998" t="s">
        <v>50</v>
      </c>
      <c r="G2998">
        <v>2</v>
      </c>
      <c r="H2998">
        <v>8.99</v>
      </c>
      <c r="J2998">
        <v>17.98</v>
      </c>
      <c r="K2998" t="s">
        <v>16</v>
      </c>
      <c r="L2998" t="s">
        <v>17</v>
      </c>
      <c r="M2998" t="s">
        <v>161</v>
      </c>
    </row>
    <row r="2999" spans="1:13" x14ac:dyDescent="0.2">
      <c r="A2999">
        <v>596706</v>
      </c>
      <c r="B2999" s="1">
        <v>45132</v>
      </c>
      <c r="C2999">
        <v>74314</v>
      </c>
      <c r="D2999" t="s">
        <v>44</v>
      </c>
      <c r="E2999" t="s">
        <v>195</v>
      </c>
      <c r="F2999" t="s">
        <v>196</v>
      </c>
      <c r="G2999">
        <v>1</v>
      </c>
      <c r="H2999">
        <v>4.99</v>
      </c>
      <c r="J2999">
        <v>4.99</v>
      </c>
      <c r="K2999" t="s">
        <v>16</v>
      </c>
      <c r="L2999" t="s">
        <v>17</v>
      </c>
      <c r="M2999" t="s">
        <v>24</v>
      </c>
    </row>
    <row r="3000" spans="1:13" x14ac:dyDescent="0.2">
      <c r="A3000">
        <v>596710</v>
      </c>
      <c r="B3000" s="1">
        <v>45447</v>
      </c>
      <c r="C3000">
        <v>21133</v>
      </c>
      <c r="D3000" t="s">
        <v>29</v>
      </c>
      <c r="E3000" t="s">
        <v>175</v>
      </c>
      <c r="F3000" t="s">
        <v>176</v>
      </c>
      <c r="G3000">
        <v>4</v>
      </c>
      <c r="H3000">
        <v>11.39</v>
      </c>
      <c r="I3000">
        <v>0.05</v>
      </c>
      <c r="J3000">
        <v>43.28</v>
      </c>
      <c r="K3000" t="s">
        <v>22</v>
      </c>
      <c r="L3000" t="s">
        <v>37</v>
      </c>
      <c r="M3000" t="s">
        <v>18</v>
      </c>
    </row>
    <row r="3001" spans="1:13" x14ac:dyDescent="0.2">
      <c r="A3001">
        <v>596755</v>
      </c>
      <c r="B3001" s="1">
        <v>45619</v>
      </c>
      <c r="D3001" t="s">
        <v>97</v>
      </c>
      <c r="E3001" t="s">
        <v>165</v>
      </c>
      <c r="F3001" t="s">
        <v>166</v>
      </c>
      <c r="G3001">
        <v>3</v>
      </c>
      <c r="H3001">
        <v>62.99</v>
      </c>
      <c r="I3001">
        <v>0.3</v>
      </c>
      <c r="J3001">
        <v>132.28</v>
      </c>
      <c r="K3001" t="s">
        <v>32</v>
      </c>
      <c r="L3001" t="s">
        <v>17</v>
      </c>
      <c r="M3001" t="s">
        <v>96</v>
      </c>
    </row>
    <row r="3002" spans="1:13" x14ac:dyDescent="0.2">
      <c r="A3002">
        <v>596894</v>
      </c>
      <c r="B3002" s="1">
        <v>44906</v>
      </c>
      <c r="C3002">
        <v>95209</v>
      </c>
      <c r="D3002" t="s">
        <v>44</v>
      </c>
      <c r="E3002" t="s">
        <v>45</v>
      </c>
      <c r="F3002" t="s">
        <v>46</v>
      </c>
      <c r="G3002">
        <v>1</v>
      </c>
      <c r="H3002">
        <v>1.79</v>
      </c>
      <c r="J3002">
        <v>1.79</v>
      </c>
      <c r="K3002" t="s">
        <v>66</v>
      </c>
      <c r="L3002" t="s">
        <v>17</v>
      </c>
      <c r="M3002" t="s">
        <v>43</v>
      </c>
    </row>
    <row r="3003" spans="1:13" x14ac:dyDescent="0.2">
      <c r="A3003">
        <v>596980</v>
      </c>
      <c r="B3003" s="1">
        <v>44979</v>
      </c>
      <c r="C3003">
        <v>94825</v>
      </c>
      <c r="D3003" t="s">
        <v>44</v>
      </c>
      <c r="E3003" t="s">
        <v>195</v>
      </c>
      <c r="F3003" t="s">
        <v>196</v>
      </c>
      <c r="G3003">
        <v>2</v>
      </c>
      <c r="H3003">
        <v>4.74</v>
      </c>
      <c r="I3003">
        <v>0.05</v>
      </c>
      <c r="J3003">
        <v>9.01</v>
      </c>
      <c r="K3003" t="s">
        <v>16</v>
      </c>
      <c r="L3003" t="s">
        <v>17</v>
      </c>
      <c r="M3003" t="s">
        <v>57</v>
      </c>
    </row>
    <row r="3004" spans="1:13" x14ac:dyDescent="0.2">
      <c r="A3004">
        <v>597160</v>
      </c>
      <c r="B3004" s="2">
        <v>45106</v>
      </c>
      <c r="C3004">
        <v>40190</v>
      </c>
      <c r="D3004" t="s">
        <v>13</v>
      </c>
      <c r="E3004" t="s">
        <v>104</v>
      </c>
      <c r="F3004" t="s">
        <v>105</v>
      </c>
      <c r="G3004">
        <v>5</v>
      </c>
      <c r="H3004">
        <v>29.99</v>
      </c>
      <c r="J3004">
        <v>149.94999999999999</v>
      </c>
      <c r="K3004" t="s">
        <v>16</v>
      </c>
      <c r="L3004" t="s">
        <v>17</v>
      </c>
    </row>
    <row r="3005" spans="1:13" x14ac:dyDescent="0.2">
      <c r="A3005">
        <v>597346</v>
      </c>
      <c r="B3005" s="2">
        <v>45146</v>
      </c>
      <c r="C3005">
        <v>93022</v>
      </c>
      <c r="D3005" t="s">
        <v>48</v>
      </c>
      <c r="E3005" t="s">
        <v>143</v>
      </c>
      <c r="F3005" t="s">
        <v>144</v>
      </c>
      <c r="G3005">
        <v>3</v>
      </c>
      <c r="H3005">
        <v>12.74</v>
      </c>
      <c r="I3005">
        <v>0.15</v>
      </c>
      <c r="J3005">
        <v>32.49</v>
      </c>
      <c r="K3005" t="s">
        <v>16</v>
      </c>
      <c r="L3005" t="s">
        <v>17</v>
      </c>
      <c r="M3005" t="s">
        <v>81</v>
      </c>
    </row>
    <row r="3006" spans="1:13" x14ac:dyDescent="0.2">
      <c r="A3006">
        <v>597386</v>
      </c>
      <c r="B3006" s="1">
        <v>45649</v>
      </c>
      <c r="C3006">
        <v>12481</v>
      </c>
      <c r="D3006" t="s">
        <v>40</v>
      </c>
      <c r="E3006" t="s">
        <v>41</v>
      </c>
      <c r="F3006" t="s">
        <v>42</v>
      </c>
      <c r="G3006">
        <v>3</v>
      </c>
      <c r="H3006">
        <v>5.69</v>
      </c>
      <c r="I3006">
        <v>0.05</v>
      </c>
      <c r="J3006">
        <v>16.22</v>
      </c>
      <c r="K3006" t="s">
        <v>16</v>
      </c>
      <c r="L3006" t="s">
        <v>23</v>
      </c>
      <c r="M3006" t="s">
        <v>43</v>
      </c>
    </row>
    <row r="3007" spans="1:13" x14ac:dyDescent="0.2">
      <c r="A3007">
        <v>597443</v>
      </c>
      <c r="B3007" s="1">
        <v>44918</v>
      </c>
      <c r="C3007">
        <v>29011</v>
      </c>
      <c r="D3007" t="s">
        <v>25</v>
      </c>
      <c r="E3007" t="s">
        <v>113</v>
      </c>
      <c r="F3007" t="s">
        <v>114</v>
      </c>
      <c r="G3007">
        <v>2</v>
      </c>
      <c r="H3007">
        <v>119.99</v>
      </c>
      <c r="J3007">
        <v>239.98</v>
      </c>
      <c r="K3007" t="s">
        <v>36</v>
      </c>
      <c r="L3007" t="s">
        <v>17</v>
      </c>
      <c r="M3007" t="s">
        <v>90</v>
      </c>
    </row>
    <row r="3008" spans="1:13" x14ac:dyDescent="0.2">
      <c r="A3008">
        <v>597567</v>
      </c>
      <c r="B3008" s="2">
        <v>44662</v>
      </c>
      <c r="C3008">
        <v>42900</v>
      </c>
      <c r="D3008" t="s">
        <v>85</v>
      </c>
      <c r="E3008" t="s">
        <v>137</v>
      </c>
      <c r="F3008" t="s">
        <v>138</v>
      </c>
      <c r="G3008">
        <v>1</v>
      </c>
      <c r="H3008">
        <v>6.39</v>
      </c>
      <c r="I3008">
        <v>0.2</v>
      </c>
      <c r="J3008">
        <v>5.1100000000000003</v>
      </c>
      <c r="K3008" t="s">
        <v>36</v>
      </c>
      <c r="L3008" t="s">
        <v>37</v>
      </c>
      <c r="M3008" t="s">
        <v>103</v>
      </c>
    </row>
    <row r="3009" spans="1:13" x14ac:dyDescent="0.2">
      <c r="A3009">
        <v>597673</v>
      </c>
      <c r="B3009" s="2">
        <v>45522</v>
      </c>
      <c r="C3009">
        <v>97594</v>
      </c>
      <c r="D3009" t="s">
        <v>97</v>
      </c>
      <c r="E3009" t="s">
        <v>121</v>
      </c>
      <c r="F3009" t="s">
        <v>122</v>
      </c>
      <c r="G3009">
        <v>4</v>
      </c>
      <c r="H3009">
        <v>11.69</v>
      </c>
      <c r="I3009">
        <v>0.1</v>
      </c>
      <c r="J3009">
        <v>42.08</v>
      </c>
      <c r="K3009" t="s">
        <v>36</v>
      </c>
      <c r="L3009" t="s">
        <v>37</v>
      </c>
    </row>
    <row r="3010" spans="1:13" x14ac:dyDescent="0.2">
      <c r="A3010">
        <v>597772</v>
      </c>
      <c r="B3010" s="1">
        <v>45145</v>
      </c>
      <c r="C3010">
        <v>97938</v>
      </c>
      <c r="D3010" t="s">
        <v>25</v>
      </c>
      <c r="E3010" t="s">
        <v>70</v>
      </c>
      <c r="F3010" t="s">
        <v>71</v>
      </c>
      <c r="G3010">
        <v>2</v>
      </c>
      <c r="H3010">
        <v>89.99</v>
      </c>
      <c r="J3010">
        <v>179.98</v>
      </c>
      <c r="K3010" t="s">
        <v>16</v>
      </c>
      <c r="L3010" t="s">
        <v>17</v>
      </c>
      <c r="M3010" t="s">
        <v>67</v>
      </c>
    </row>
    <row r="3011" spans="1:13" x14ac:dyDescent="0.2">
      <c r="A3011">
        <v>597793</v>
      </c>
      <c r="B3011" s="1">
        <v>45339</v>
      </c>
      <c r="C3011">
        <v>18817</v>
      </c>
      <c r="D3011" t="s">
        <v>13</v>
      </c>
      <c r="E3011" t="s">
        <v>34</v>
      </c>
      <c r="F3011" t="s">
        <v>35</v>
      </c>
      <c r="G3011">
        <v>4</v>
      </c>
      <c r="H3011">
        <v>34.99</v>
      </c>
      <c r="J3011">
        <v>139.96</v>
      </c>
      <c r="K3011" t="s">
        <v>36</v>
      </c>
      <c r="L3011" t="s">
        <v>17</v>
      </c>
    </row>
    <row r="3012" spans="1:13" x14ac:dyDescent="0.2">
      <c r="A3012">
        <v>597909</v>
      </c>
      <c r="B3012" s="1">
        <v>44991</v>
      </c>
      <c r="C3012">
        <v>75061</v>
      </c>
      <c r="D3012" t="s">
        <v>29</v>
      </c>
      <c r="E3012" t="s">
        <v>88</v>
      </c>
      <c r="F3012" t="s">
        <v>89</v>
      </c>
      <c r="G3012">
        <v>5</v>
      </c>
      <c r="H3012">
        <v>44.99</v>
      </c>
      <c r="I3012">
        <v>0.1</v>
      </c>
      <c r="J3012">
        <v>202.46</v>
      </c>
      <c r="K3012" t="s">
        <v>22</v>
      </c>
      <c r="L3012" t="s">
        <v>17</v>
      </c>
      <c r="M3012" t="s">
        <v>96</v>
      </c>
    </row>
    <row r="3013" spans="1:13" x14ac:dyDescent="0.2">
      <c r="A3013">
        <v>598091</v>
      </c>
      <c r="B3013" s="1">
        <v>45319</v>
      </c>
      <c r="C3013">
        <v>25896</v>
      </c>
      <c r="D3013" t="s">
        <v>63</v>
      </c>
      <c r="E3013" t="s">
        <v>125</v>
      </c>
      <c r="F3013" t="s">
        <v>126</v>
      </c>
      <c r="G3013">
        <v>3</v>
      </c>
      <c r="H3013">
        <v>29.99</v>
      </c>
      <c r="J3013">
        <v>89.97</v>
      </c>
      <c r="K3013" t="s">
        <v>16</v>
      </c>
      <c r="L3013" t="s">
        <v>17</v>
      </c>
      <c r="M3013" t="s">
        <v>81</v>
      </c>
    </row>
    <row r="3014" spans="1:13" x14ac:dyDescent="0.2">
      <c r="A3014">
        <v>598291</v>
      </c>
      <c r="B3014" s="1">
        <v>45086</v>
      </c>
      <c r="C3014">
        <v>86154</v>
      </c>
      <c r="D3014" t="s">
        <v>48</v>
      </c>
      <c r="E3014" t="s">
        <v>139</v>
      </c>
      <c r="F3014" t="s">
        <v>140</v>
      </c>
      <c r="G3014">
        <v>2</v>
      </c>
      <c r="H3014">
        <v>7.99</v>
      </c>
      <c r="J3014">
        <v>15.98</v>
      </c>
      <c r="K3014" t="s">
        <v>16</v>
      </c>
      <c r="L3014" t="s">
        <v>17</v>
      </c>
      <c r="M3014" t="s">
        <v>28</v>
      </c>
    </row>
    <row r="3015" spans="1:13" x14ac:dyDescent="0.2">
      <c r="A3015">
        <v>598435</v>
      </c>
      <c r="B3015" s="1">
        <v>45018</v>
      </c>
      <c r="C3015">
        <v>43959</v>
      </c>
      <c r="D3015" t="s">
        <v>13</v>
      </c>
      <c r="E3015" t="s">
        <v>79</v>
      </c>
      <c r="F3015" t="s">
        <v>80</v>
      </c>
      <c r="G3015">
        <v>3</v>
      </c>
      <c r="H3015">
        <v>89.99</v>
      </c>
      <c r="J3015">
        <v>269.97000000000003</v>
      </c>
      <c r="K3015" t="s">
        <v>32</v>
      </c>
      <c r="L3015" t="s">
        <v>37</v>
      </c>
      <c r="M3015" t="s">
        <v>18</v>
      </c>
    </row>
    <row r="3016" spans="1:13" x14ac:dyDescent="0.2">
      <c r="A3016">
        <v>598469</v>
      </c>
      <c r="B3016" s="2">
        <v>44630</v>
      </c>
      <c r="C3016">
        <v>11453</v>
      </c>
      <c r="D3016" t="s">
        <v>63</v>
      </c>
      <c r="E3016" t="s">
        <v>125</v>
      </c>
      <c r="F3016" t="s">
        <v>126</v>
      </c>
      <c r="G3016">
        <v>1</v>
      </c>
      <c r="H3016">
        <v>29.99</v>
      </c>
      <c r="J3016">
        <v>29.99</v>
      </c>
      <c r="K3016" t="s">
        <v>32</v>
      </c>
      <c r="L3016" t="s">
        <v>17</v>
      </c>
      <c r="M3016" t="s">
        <v>24</v>
      </c>
    </row>
    <row r="3017" spans="1:13" x14ac:dyDescent="0.2">
      <c r="A3017">
        <v>598577</v>
      </c>
      <c r="B3017" s="1">
        <v>45024</v>
      </c>
      <c r="C3017">
        <v>75906</v>
      </c>
      <c r="D3017" t="s">
        <v>85</v>
      </c>
      <c r="E3017" t="s">
        <v>86</v>
      </c>
      <c r="F3017" t="s">
        <v>87</v>
      </c>
      <c r="G3017">
        <v>2</v>
      </c>
      <c r="H3017">
        <v>9.74</v>
      </c>
      <c r="I3017">
        <v>0.25</v>
      </c>
      <c r="J3017">
        <v>14.61</v>
      </c>
      <c r="K3017" t="s">
        <v>16</v>
      </c>
      <c r="L3017" t="s">
        <v>17</v>
      </c>
      <c r="M3017" t="s">
        <v>117</v>
      </c>
    </row>
    <row r="3018" spans="1:13" x14ac:dyDescent="0.2">
      <c r="A3018">
        <v>598838</v>
      </c>
      <c r="B3018" s="1">
        <v>45371</v>
      </c>
      <c r="C3018">
        <v>55601</v>
      </c>
      <c r="D3018" t="s">
        <v>48</v>
      </c>
      <c r="E3018" t="s">
        <v>143</v>
      </c>
      <c r="F3018" t="s">
        <v>144</v>
      </c>
      <c r="G3018">
        <v>3</v>
      </c>
      <c r="H3018">
        <v>10.49</v>
      </c>
      <c r="I3018">
        <v>0.3</v>
      </c>
      <c r="J3018">
        <v>22.03</v>
      </c>
      <c r="K3018" t="s">
        <v>22</v>
      </c>
      <c r="L3018" t="s">
        <v>17</v>
      </c>
      <c r="M3018" t="s">
        <v>24</v>
      </c>
    </row>
    <row r="3019" spans="1:13" x14ac:dyDescent="0.2">
      <c r="A3019">
        <v>598844</v>
      </c>
      <c r="B3019" s="1">
        <v>45017</v>
      </c>
      <c r="C3019">
        <v>32280</v>
      </c>
      <c r="D3019" t="s">
        <v>82</v>
      </c>
      <c r="E3019" t="s">
        <v>155</v>
      </c>
      <c r="F3019" t="s">
        <v>156</v>
      </c>
      <c r="G3019">
        <v>3</v>
      </c>
      <c r="H3019">
        <v>13.99</v>
      </c>
      <c r="I3019">
        <v>0.3</v>
      </c>
      <c r="J3019">
        <v>29.38</v>
      </c>
      <c r="K3019" t="s">
        <v>36</v>
      </c>
      <c r="L3019" t="s">
        <v>37</v>
      </c>
      <c r="M3019" t="s">
        <v>43</v>
      </c>
    </row>
    <row r="3020" spans="1:13" x14ac:dyDescent="0.2">
      <c r="A3020">
        <v>598949</v>
      </c>
      <c r="B3020" s="2">
        <v>44670</v>
      </c>
      <c r="C3020">
        <v>79711</v>
      </c>
      <c r="D3020" t="s">
        <v>97</v>
      </c>
      <c r="E3020" t="s">
        <v>193</v>
      </c>
      <c r="F3020" t="s">
        <v>194</v>
      </c>
      <c r="G3020">
        <v>1</v>
      </c>
      <c r="H3020">
        <v>45.49</v>
      </c>
      <c r="I3020">
        <v>0.3</v>
      </c>
      <c r="J3020">
        <v>31.84</v>
      </c>
      <c r="K3020" t="s">
        <v>22</v>
      </c>
      <c r="L3020" t="s">
        <v>17</v>
      </c>
      <c r="M3020" t="s">
        <v>57</v>
      </c>
    </row>
    <row r="3021" spans="1:13" x14ac:dyDescent="0.2">
      <c r="A3021">
        <v>599127</v>
      </c>
      <c r="B3021" s="1">
        <v>45392</v>
      </c>
      <c r="C3021">
        <v>75517</v>
      </c>
      <c r="D3021" t="s">
        <v>97</v>
      </c>
      <c r="E3021" t="s">
        <v>151</v>
      </c>
      <c r="F3021" t="s">
        <v>152</v>
      </c>
      <c r="G3021">
        <v>2</v>
      </c>
      <c r="H3021">
        <v>27.99</v>
      </c>
      <c r="I3021">
        <v>0.2</v>
      </c>
      <c r="J3021">
        <v>44.78</v>
      </c>
      <c r="K3021" t="s">
        <v>16</v>
      </c>
      <c r="L3021" t="s">
        <v>17</v>
      </c>
      <c r="M3021" t="s">
        <v>28</v>
      </c>
    </row>
    <row r="3022" spans="1:13" x14ac:dyDescent="0.2">
      <c r="A3022">
        <v>599527</v>
      </c>
      <c r="B3022" s="1">
        <v>44926</v>
      </c>
      <c r="C3022">
        <v>84673</v>
      </c>
      <c r="D3022" t="s">
        <v>85</v>
      </c>
      <c r="E3022" t="s">
        <v>153</v>
      </c>
      <c r="F3022" t="s">
        <v>154</v>
      </c>
      <c r="G3022">
        <v>2</v>
      </c>
      <c r="H3022">
        <v>26.99</v>
      </c>
      <c r="I3022">
        <v>0.1</v>
      </c>
      <c r="J3022">
        <v>48.58</v>
      </c>
      <c r="K3022" t="s">
        <v>66</v>
      </c>
      <c r="L3022" t="s">
        <v>17</v>
      </c>
      <c r="M3022" t="s">
        <v>43</v>
      </c>
    </row>
    <row r="3023" spans="1:13" x14ac:dyDescent="0.2">
      <c r="A3023">
        <v>599771</v>
      </c>
      <c r="B3023" s="1">
        <v>45611</v>
      </c>
      <c r="C3023">
        <v>88383</v>
      </c>
      <c r="D3023" t="s">
        <v>25</v>
      </c>
      <c r="E3023" t="s">
        <v>113</v>
      </c>
      <c r="F3023" t="s">
        <v>114</v>
      </c>
      <c r="G3023">
        <v>2</v>
      </c>
      <c r="H3023">
        <v>113.99</v>
      </c>
      <c r="I3023">
        <v>0.05</v>
      </c>
      <c r="J3023">
        <v>216.58</v>
      </c>
      <c r="K3023" t="s">
        <v>16</v>
      </c>
      <c r="L3023" t="s">
        <v>17</v>
      </c>
      <c r="M3023" t="s">
        <v>28</v>
      </c>
    </row>
    <row r="3024" spans="1:13" x14ac:dyDescent="0.2">
      <c r="A3024">
        <v>600258</v>
      </c>
      <c r="B3024" s="1">
        <v>45452</v>
      </c>
      <c r="C3024">
        <v>89022</v>
      </c>
      <c r="D3024" t="s">
        <v>44</v>
      </c>
      <c r="E3024" t="s">
        <v>74</v>
      </c>
      <c r="F3024" t="s">
        <v>75</v>
      </c>
      <c r="G3024">
        <v>4</v>
      </c>
      <c r="H3024">
        <v>2.2400000000000002</v>
      </c>
      <c r="I3024">
        <v>0.25</v>
      </c>
      <c r="J3024">
        <v>6.72</v>
      </c>
      <c r="K3024" t="s">
        <v>95</v>
      </c>
      <c r="L3024" t="s">
        <v>37</v>
      </c>
    </row>
    <row r="3025" spans="1:13" x14ac:dyDescent="0.2">
      <c r="A3025">
        <v>600356</v>
      </c>
      <c r="B3025" s="1">
        <v>45545</v>
      </c>
      <c r="C3025">
        <v>27134</v>
      </c>
      <c r="D3025" t="s">
        <v>48</v>
      </c>
      <c r="E3025" t="s">
        <v>49</v>
      </c>
      <c r="F3025" t="s">
        <v>50</v>
      </c>
      <c r="G3025">
        <v>1</v>
      </c>
      <c r="H3025">
        <v>7.64</v>
      </c>
      <c r="I3025">
        <v>0.15</v>
      </c>
      <c r="J3025">
        <v>6.49</v>
      </c>
      <c r="K3025" t="s">
        <v>36</v>
      </c>
      <c r="L3025" t="s">
        <v>17</v>
      </c>
      <c r="M3025" t="s">
        <v>81</v>
      </c>
    </row>
    <row r="3026" spans="1:13" x14ac:dyDescent="0.2">
      <c r="A3026">
        <v>600356</v>
      </c>
      <c r="B3026" s="1">
        <v>45572</v>
      </c>
      <c r="C3026">
        <v>18571</v>
      </c>
      <c r="D3026" t="s">
        <v>29</v>
      </c>
      <c r="E3026" t="s">
        <v>88</v>
      </c>
      <c r="F3026" t="s">
        <v>89</v>
      </c>
      <c r="G3026">
        <v>5</v>
      </c>
      <c r="H3026">
        <v>49.99</v>
      </c>
      <c r="J3026">
        <v>249.95</v>
      </c>
      <c r="K3026" t="s">
        <v>22</v>
      </c>
      <c r="L3026" t="s">
        <v>17</v>
      </c>
      <c r="M3026" t="s">
        <v>117</v>
      </c>
    </row>
    <row r="3027" spans="1:13" x14ac:dyDescent="0.2">
      <c r="A3027">
        <v>600400</v>
      </c>
      <c r="B3027" s="1">
        <v>45364</v>
      </c>
      <c r="D3027" t="s">
        <v>13</v>
      </c>
      <c r="E3027" t="s">
        <v>104</v>
      </c>
      <c r="F3027" t="s">
        <v>105</v>
      </c>
      <c r="G3027">
        <v>2</v>
      </c>
      <c r="H3027">
        <v>25.49</v>
      </c>
      <c r="I3027">
        <v>0.15</v>
      </c>
      <c r="J3027">
        <v>43.33</v>
      </c>
      <c r="K3027" t="s">
        <v>53</v>
      </c>
      <c r="L3027" t="s">
        <v>17</v>
      </c>
      <c r="M3027" t="s">
        <v>28</v>
      </c>
    </row>
    <row r="3028" spans="1:13" x14ac:dyDescent="0.2">
      <c r="A3028">
        <v>600572</v>
      </c>
      <c r="B3028" s="1">
        <v>44750</v>
      </c>
      <c r="D3028" t="s">
        <v>25</v>
      </c>
      <c r="E3028" t="s">
        <v>60</v>
      </c>
      <c r="F3028" t="s">
        <v>61</v>
      </c>
      <c r="G3028">
        <v>1</v>
      </c>
      <c r="H3028">
        <v>49.49</v>
      </c>
      <c r="I3028">
        <v>0.1</v>
      </c>
      <c r="J3028">
        <v>44.54</v>
      </c>
      <c r="K3028" t="s">
        <v>36</v>
      </c>
      <c r="L3028" t="s">
        <v>37</v>
      </c>
      <c r="M3028" t="s">
        <v>117</v>
      </c>
    </row>
    <row r="3029" spans="1:13" x14ac:dyDescent="0.2">
      <c r="A3029">
        <v>600594</v>
      </c>
      <c r="B3029" s="1">
        <v>45612</v>
      </c>
      <c r="C3029">
        <v>15089</v>
      </c>
      <c r="D3029" t="s">
        <v>97</v>
      </c>
      <c r="E3029" t="s">
        <v>141</v>
      </c>
      <c r="F3029" t="s">
        <v>142</v>
      </c>
      <c r="G3029">
        <v>3</v>
      </c>
      <c r="H3029">
        <v>21.84</v>
      </c>
      <c r="I3029">
        <v>0.05</v>
      </c>
      <c r="J3029">
        <v>62.24</v>
      </c>
      <c r="K3029" t="s">
        <v>36</v>
      </c>
      <c r="L3029" t="s">
        <v>17</v>
      </c>
      <c r="M3029" t="s">
        <v>102</v>
      </c>
    </row>
    <row r="3030" spans="1:13" x14ac:dyDescent="0.2">
      <c r="A3030">
        <v>600661</v>
      </c>
      <c r="B3030" s="1">
        <v>45182</v>
      </c>
      <c r="D3030" t="s">
        <v>48</v>
      </c>
      <c r="E3030" t="s">
        <v>118</v>
      </c>
      <c r="F3030" t="s">
        <v>119</v>
      </c>
      <c r="G3030">
        <v>4</v>
      </c>
      <c r="H3030">
        <v>4.49</v>
      </c>
      <c r="I3030">
        <v>0.1</v>
      </c>
      <c r="J3030">
        <v>16.16</v>
      </c>
      <c r="K3030" t="s">
        <v>66</v>
      </c>
      <c r="L3030" t="s">
        <v>23</v>
      </c>
      <c r="M3030" t="s">
        <v>76</v>
      </c>
    </row>
    <row r="3031" spans="1:13" x14ac:dyDescent="0.2">
      <c r="A3031">
        <v>600682</v>
      </c>
      <c r="B3031" s="1">
        <v>45173</v>
      </c>
      <c r="C3031">
        <v>66042</v>
      </c>
      <c r="D3031" t="s">
        <v>48</v>
      </c>
      <c r="E3031" t="s">
        <v>139</v>
      </c>
      <c r="F3031" t="s">
        <v>140</v>
      </c>
      <c r="G3031">
        <v>5</v>
      </c>
      <c r="H3031">
        <v>7.99</v>
      </c>
      <c r="J3031">
        <v>39.950000000000003</v>
      </c>
      <c r="K3031" t="s">
        <v>16</v>
      </c>
      <c r="L3031" t="s">
        <v>17</v>
      </c>
      <c r="M3031" t="s">
        <v>120</v>
      </c>
    </row>
    <row r="3032" spans="1:13" x14ac:dyDescent="0.2">
      <c r="A3032">
        <v>601341</v>
      </c>
      <c r="B3032" s="1">
        <v>44725</v>
      </c>
      <c r="C3032">
        <v>77593</v>
      </c>
      <c r="D3032" t="s">
        <v>48</v>
      </c>
      <c r="E3032" t="s">
        <v>49</v>
      </c>
      <c r="F3032" t="s">
        <v>50</v>
      </c>
      <c r="G3032">
        <v>3</v>
      </c>
      <c r="H3032">
        <v>8.99</v>
      </c>
      <c r="J3032">
        <v>26.97</v>
      </c>
      <c r="K3032" t="s">
        <v>53</v>
      </c>
      <c r="L3032" t="s">
        <v>17</v>
      </c>
      <c r="M3032" t="s">
        <v>57</v>
      </c>
    </row>
    <row r="3033" spans="1:13" x14ac:dyDescent="0.2">
      <c r="A3033">
        <v>601644</v>
      </c>
      <c r="B3033" s="1">
        <v>45220</v>
      </c>
      <c r="C3033">
        <v>49273</v>
      </c>
      <c r="D3033" t="s">
        <v>63</v>
      </c>
      <c r="E3033" t="s">
        <v>111</v>
      </c>
      <c r="F3033" t="s">
        <v>112</v>
      </c>
      <c r="G3033">
        <v>3</v>
      </c>
      <c r="H3033">
        <v>13.49</v>
      </c>
      <c r="I3033">
        <v>0.1</v>
      </c>
      <c r="J3033">
        <v>36.42</v>
      </c>
      <c r="K3033" t="s">
        <v>53</v>
      </c>
      <c r="L3033" t="s">
        <v>17</v>
      </c>
      <c r="M3033" t="s">
        <v>47</v>
      </c>
    </row>
    <row r="3034" spans="1:13" x14ac:dyDescent="0.2">
      <c r="A3034">
        <v>601797</v>
      </c>
      <c r="B3034" s="1">
        <v>44569</v>
      </c>
      <c r="C3034">
        <v>66882</v>
      </c>
      <c r="D3034" t="s">
        <v>29</v>
      </c>
      <c r="E3034" t="s">
        <v>88</v>
      </c>
      <c r="F3034" t="s">
        <v>89</v>
      </c>
      <c r="G3034">
        <v>2</v>
      </c>
      <c r="H3034">
        <v>44.99</v>
      </c>
      <c r="I3034">
        <v>0.1</v>
      </c>
      <c r="J3034">
        <v>80.98</v>
      </c>
      <c r="K3034" t="s">
        <v>16</v>
      </c>
      <c r="L3034" t="s">
        <v>37</v>
      </c>
      <c r="M3034" t="s">
        <v>96</v>
      </c>
    </row>
    <row r="3035" spans="1:13" x14ac:dyDescent="0.2">
      <c r="A3035">
        <v>602109</v>
      </c>
      <c r="B3035" s="2">
        <v>45272</v>
      </c>
      <c r="C3035">
        <v>48449</v>
      </c>
      <c r="D3035" t="s">
        <v>25</v>
      </c>
      <c r="E3035" t="s">
        <v>60</v>
      </c>
      <c r="F3035" t="s">
        <v>61</v>
      </c>
      <c r="G3035">
        <v>2</v>
      </c>
      <c r="H3035">
        <v>38.49</v>
      </c>
      <c r="I3035">
        <v>0.3</v>
      </c>
      <c r="J3035">
        <v>53.89</v>
      </c>
      <c r="K3035" t="s">
        <v>32</v>
      </c>
      <c r="L3035" t="s">
        <v>37</v>
      </c>
      <c r="M3035" t="s">
        <v>96</v>
      </c>
    </row>
    <row r="3036" spans="1:13" x14ac:dyDescent="0.2">
      <c r="A3036">
        <v>602218</v>
      </c>
      <c r="B3036" s="1">
        <v>44633</v>
      </c>
      <c r="C3036">
        <v>36498</v>
      </c>
      <c r="D3036" t="s">
        <v>48</v>
      </c>
      <c r="E3036" t="s">
        <v>179</v>
      </c>
      <c r="F3036" t="s">
        <v>180</v>
      </c>
      <c r="G3036">
        <v>2</v>
      </c>
      <c r="H3036">
        <v>11.99</v>
      </c>
      <c r="J3036">
        <v>23.98</v>
      </c>
      <c r="K3036" t="s">
        <v>95</v>
      </c>
      <c r="L3036" t="s">
        <v>17</v>
      </c>
      <c r="M3036" t="s">
        <v>103</v>
      </c>
    </row>
    <row r="3037" spans="1:13" x14ac:dyDescent="0.2">
      <c r="A3037">
        <v>602275</v>
      </c>
      <c r="B3037" s="1">
        <v>45450</v>
      </c>
      <c r="C3037">
        <v>33083</v>
      </c>
      <c r="D3037" t="s">
        <v>85</v>
      </c>
      <c r="E3037" t="s">
        <v>149</v>
      </c>
      <c r="F3037" t="s">
        <v>150</v>
      </c>
      <c r="G3037">
        <v>1</v>
      </c>
      <c r="H3037">
        <v>16.989999999999998</v>
      </c>
      <c r="I3037">
        <v>0.15</v>
      </c>
      <c r="J3037">
        <v>14.44</v>
      </c>
      <c r="K3037" t="s">
        <v>16</v>
      </c>
      <c r="L3037" t="s">
        <v>17</v>
      </c>
      <c r="M3037" t="s">
        <v>103</v>
      </c>
    </row>
    <row r="3038" spans="1:13" x14ac:dyDescent="0.2">
      <c r="A3038">
        <v>602479</v>
      </c>
      <c r="B3038" s="2">
        <v>45369</v>
      </c>
      <c r="C3038">
        <v>63258</v>
      </c>
      <c r="D3038" t="s">
        <v>40</v>
      </c>
      <c r="E3038" t="s">
        <v>197</v>
      </c>
      <c r="F3038" t="s">
        <v>198</v>
      </c>
      <c r="G3038">
        <v>1</v>
      </c>
      <c r="H3038">
        <v>14.24</v>
      </c>
      <c r="I3038">
        <v>0.05</v>
      </c>
      <c r="J3038">
        <v>13.53</v>
      </c>
      <c r="K3038" t="s">
        <v>36</v>
      </c>
      <c r="L3038" t="s">
        <v>17</v>
      </c>
      <c r="M3038" t="s">
        <v>90</v>
      </c>
    </row>
    <row r="3039" spans="1:13" x14ac:dyDescent="0.2">
      <c r="A3039">
        <v>602625</v>
      </c>
      <c r="B3039" s="2">
        <v>45350</v>
      </c>
      <c r="D3039" t="s">
        <v>63</v>
      </c>
      <c r="E3039" t="s">
        <v>125</v>
      </c>
      <c r="F3039" t="s">
        <v>126</v>
      </c>
      <c r="G3039">
        <v>2</v>
      </c>
      <c r="H3039">
        <v>28.49</v>
      </c>
      <c r="I3039">
        <v>0.05</v>
      </c>
      <c r="J3039">
        <v>54.13</v>
      </c>
      <c r="K3039" t="s">
        <v>36</v>
      </c>
      <c r="L3039" t="s">
        <v>17</v>
      </c>
      <c r="M3039" t="s">
        <v>81</v>
      </c>
    </row>
    <row r="3040" spans="1:13" x14ac:dyDescent="0.2">
      <c r="A3040">
        <v>602769</v>
      </c>
      <c r="B3040" s="1">
        <v>45570</v>
      </c>
      <c r="C3040">
        <v>10240</v>
      </c>
      <c r="D3040" t="s">
        <v>82</v>
      </c>
      <c r="E3040" t="s">
        <v>147</v>
      </c>
      <c r="F3040" t="s">
        <v>148</v>
      </c>
      <c r="G3040">
        <v>4</v>
      </c>
      <c r="H3040">
        <v>12.99</v>
      </c>
      <c r="J3040">
        <v>51.96</v>
      </c>
      <c r="K3040" t="s">
        <v>16</v>
      </c>
      <c r="L3040" t="s">
        <v>37</v>
      </c>
      <c r="M3040" t="s">
        <v>57</v>
      </c>
    </row>
    <row r="3041" spans="1:13" x14ac:dyDescent="0.2">
      <c r="A3041">
        <v>602856</v>
      </c>
      <c r="B3041" s="2">
        <v>44790</v>
      </c>
      <c r="C3041">
        <v>29119</v>
      </c>
      <c r="D3041" t="s">
        <v>40</v>
      </c>
      <c r="E3041" t="s">
        <v>41</v>
      </c>
      <c r="F3041" t="s">
        <v>42</v>
      </c>
      <c r="G3041">
        <v>3</v>
      </c>
      <c r="H3041">
        <v>5.99</v>
      </c>
      <c r="J3041">
        <v>17.97</v>
      </c>
      <c r="K3041" t="s">
        <v>22</v>
      </c>
      <c r="L3041" t="s">
        <v>37</v>
      </c>
      <c r="M3041" t="s">
        <v>54</v>
      </c>
    </row>
    <row r="3042" spans="1:13" x14ac:dyDescent="0.2">
      <c r="A3042">
        <v>604147</v>
      </c>
      <c r="B3042" s="2">
        <v>44602</v>
      </c>
      <c r="C3042">
        <v>88510</v>
      </c>
      <c r="D3042" t="s">
        <v>40</v>
      </c>
      <c r="E3042" t="s">
        <v>58</v>
      </c>
      <c r="F3042" t="s">
        <v>59</v>
      </c>
      <c r="G3042">
        <v>3</v>
      </c>
      <c r="H3042">
        <v>3.79</v>
      </c>
      <c r="I3042">
        <v>0.05</v>
      </c>
      <c r="J3042">
        <v>10.8</v>
      </c>
      <c r="K3042" t="s">
        <v>36</v>
      </c>
      <c r="L3042" t="s">
        <v>17</v>
      </c>
      <c r="M3042" t="s">
        <v>43</v>
      </c>
    </row>
    <row r="3043" spans="1:13" x14ac:dyDescent="0.2">
      <c r="A3043">
        <v>604197</v>
      </c>
      <c r="B3043" s="1">
        <v>45448</v>
      </c>
      <c r="C3043">
        <v>83258</v>
      </c>
      <c r="D3043" t="s">
        <v>63</v>
      </c>
      <c r="E3043" t="s">
        <v>68</v>
      </c>
      <c r="F3043" t="s">
        <v>69</v>
      </c>
      <c r="G3043">
        <v>1</v>
      </c>
      <c r="H3043">
        <v>23.74</v>
      </c>
      <c r="I3043">
        <v>0.05</v>
      </c>
      <c r="J3043">
        <v>22.55</v>
      </c>
      <c r="K3043" t="s">
        <v>16</v>
      </c>
      <c r="L3043" t="s">
        <v>37</v>
      </c>
      <c r="M3043" t="s">
        <v>102</v>
      </c>
    </row>
    <row r="3044" spans="1:13" x14ac:dyDescent="0.2">
      <c r="A3044">
        <v>604199</v>
      </c>
      <c r="B3044" s="1">
        <v>45115</v>
      </c>
      <c r="C3044">
        <v>84554</v>
      </c>
      <c r="D3044" t="s">
        <v>48</v>
      </c>
      <c r="E3044" t="s">
        <v>49</v>
      </c>
      <c r="F3044" t="s">
        <v>50</v>
      </c>
      <c r="G3044">
        <v>1</v>
      </c>
      <c r="H3044">
        <v>8.09</v>
      </c>
      <c r="I3044">
        <v>0.1</v>
      </c>
      <c r="J3044">
        <v>7.28</v>
      </c>
      <c r="K3044" t="s">
        <v>32</v>
      </c>
      <c r="L3044" t="s">
        <v>17</v>
      </c>
    </row>
    <row r="3045" spans="1:13" x14ac:dyDescent="0.2">
      <c r="A3045">
        <v>604245</v>
      </c>
      <c r="B3045" s="1">
        <v>44780</v>
      </c>
      <c r="C3045">
        <v>45879</v>
      </c>
      <c r="D3045" t="s">
        <v>82</v>
      </c>
      <c r="E3045" t="s">
        <v>147</v>
      </c>
      <c r="F3045" t="s">
        <v>148</v>
      </c>
      <c r="G3045">
        <v>3</v>
      </c>
      <c r="H3045">
        <v>9.09</v>
      </c>
      <c r="I3045">
        <v>0.3</v>
      </c>
      <c r="J3045">
        <v>19.09</v>
      </c>
      <c r="K3045" t="s">
        <v>22</v>
      </c>
      <c r="L3045" t="s">
        <v>23</v>
      </c>
      <c r="M3045" t="s">
        <v>96</v>
      </c>
    </row>
    <row r="3046" spans="1:13" x14ac:dyDescent="0.2">
      <c r="A3046">
        <v>604393</v>
      </c>
      <c r="B3046" s="1">
        <v>44707</v>
      </c>
      <c r="C3046">
        <v>96678</v>
      </c>
      <c r="D3046" t="s">
        <v>97</v>
      </c>
      <c r="E3046" t="s">
        <v>181</v>
      </c>
      <c r="F3046" t="s">
        <v>182</v>
      </c>
      <c r="G3046">
        <v>3</v>
      </c>
      <c r="H3046">
        <v>11.99</v>
      </c>
      <c r="I3046">
        <v>0.2</v>
      </c>
      <c r="J3046">
        <v>28.78</v>
      </c>
      <c r="K3046" t="s">
        <v>22</v>
      </c>
      <c r="L3046" t="s">
        <v>17</v>
      </c>
      <c r="M3046" t="s">
        <v>161</v>
      </c>
    </row>
    <row r="3047" spans="1:13" x14ac:dyDescent="0.2">
      <c r="A3047">
        <v>604577</v>
      </c>
      <c r="B3047" s="1">
        <v>45638</v>
      </c>
      <c r="D3047" t="s">
        <v>164</v>
      </c>
      <c r="E3047" t="s">
        <v>72</v>
      </c>
      <c r="F3047" t="s">
        <v>73</v>
      </c>
      <c r="G3047">
        <v>4</v>
      </c>
      <c r="H3047">
        <v>35.99</v>
      </c>
      <c r="I3047">
        <v>0.1</v>
      </c>
      <c r="J3047">
        <v>129.56</v>
      </c>
      <c r="K3047" t="s">
        <v>66</v>
      </c>
      <c r="L3047" t="s">
        <v>37</v>
      </c>
      <c r="M3047" t="s">
        <v>96</v>
      </c>
    </row>
    <row r="3048" spans="1:13" x14ac:dyDescent="0.2">
      <c r="A3048">
        <v>604652</v>
      </c>
      <c r="B3048" s="1">
        <v>44737</v>
      </c>
      <c r="D3048" t="s">
        <v>183</v>
      </c>
      <c r="E3048" t="s">
        <v>168</v>
      </c>
      <c r="F3048" t="s">
        <v>169</v>
      </c>
      <c r="G3048">
        <v>5</v>
      </c>
      <c r="H3048">
        <v>6.29</v>
      </c>
      <c r="I3048">
        <v>0.3</v>
      </c>
      <c r="J3048">
        <v>22.01</v>
      </c>
      <c r="K3048" t="s">
        <v>36</v>
      </c>
      <c r="L3048" t="s">
        <v>17</v>
      </c>
      <c r="M3048" t="s">
        <v>161</v>
      </c>
    </row>
    <row r="3049" spans="1:13" x14ac:dyDescent="0.2">
      <c r="A3049">
        <v>604864</v>
      </c>
      <c r="B3049" s="1">
        <v>44981</v>
      </c>
      <c r="C3049">
        <v>50899</v>
      </c>
      <c r="D3049" t="s">
        <v>44</v>
      </c>
      <c r="E3049" t="s">
        <v>184</v>
      </c>
      <c r="F3049" t="s">
        <v>185</v>
      </c>
      <c r="G3049">
        <v>2</v>
      </c>
      <c r="H3049">
        <v>4.9400000000000004</v>
      </c>
      <c r="I3049">
        <v>0.1</v>
      </c>
      <c r="J3049">
        <v>8.89</v>
      </c>
      <c r="K3049" t="s">
        <v>22</v>
      </c>
      <c r="L3049" t="s">
        <v>37</v>
      </c>
    </row>
    <row r="3050" spans="1:13" x14ac:dyDescent="0.2">
      <c r="A3050">
        <v>604999</v>
      </c>
      <c r="B3050" s="1">
        <v>44973</v>
      </c>
      <c r="D3050" t="s">
        <v>85</v>
      </c>
      <c r="E3050" t="s">
        <v>86</v>
      </c>
      <c r="F3050" t="s">
        <v>87</v>
      </c>
      <c r="G3050">
        <v>5</v>
      </c>
      <c r="H3050">
        <v>12.99</v>
      </c>
      <c r="J3050">
        <v>64.95</v>
      </c>
      <c r="K3050" t="s">
        <v>95</v>
      </c>
      <c r="L3050" t="s">
        <v>17</v>
      </c>
      <c r="M3050" t="s">
        <v>18</v>
      </c>
    </row>
    <row r="3051" spans="1:13" x14ac:dyDescent="0.2">
      <c r="A3051">
        <v>605086</v>
      </c>
      <c r="B3051" s="1">
        <v>45464</v>
      </c>
      <c r="C3051">
        <v>69491</v>
      </c>
      <c r="D3051" t="s">
        <v>63</v>
      </c>
      <c r="E3051" t="s">
        <v>64</v>
      </c>
      <c r="F3051" t="s">
        <v>65</v>
      </c>
      <c r="G3051">
        <v>1</v>
      </c>
      <c r="H3051">
        <v>4.74</v>
      </c>
      <c r="I3051">
        <v>0.05</v>
      </c>
      <c r="J3051">
        <v>4.5</v>
      </c>
      <c r="K3051" t="s">
        <v>36</v>
      </c>
      <c r="L3051" t="s">
        <v>17</v>
      </c>
      <c r="M3051" t="s">
        <v>62</v>
      </c>
    </row>
    <row r="3052" spans="1:13" x14ac:dyDescent="0.2">
      <c r="A3052">
        <v>605226</v>
      </c>
      <c r="B3052" s="2">
        <v>44721</v>
      </c>
      <c r="C3052">
        <v>21684</v>
      </c>
      <c r="D3052" t="s">
        <v>40</v>
      </c>
      <c r="E3052" t="s">
        <v>41</v>
      </c>
      <c r="F3052" t="s">
        <v>42</v>
      </c>
      <c r="G3052">
        <v>3</v>
      </c>
      <c r="H3052">
        <v>5.09</v>
      </c>
      <c r="I3052">
        <v>0.15</v>
      </c>
      <c r="J3052">
        <v>12.98</v>
      </c>
      <c r="K3052" t="s">
        <v>16</v>
      </c>
      <c r="L3052" t="s">
        <v>17</v>
      </c>
      <c r="M3052" t="s">
        <v>123</v>
      </c>
    </row>
    <row r="3053" spans="1:13" x14ac:dyDescent="0.2">
      <c r="A3053">
        <v>605282</v>
      </c>
      <c r="B3053" s="1">
        <v>45532</v>
      </c>
      <c r="C3053">
        <v>84431</v>
      </c>
      <c r="D3053" t="s">
        <v>44</v>
      </c>
      <c r="E3053" t="s">
        <v>133</v>
      </c>
      <c r="F3053" t="s">
        <v>134</v>
      </c>
      <c r="G3053">
        <v>2</v>
      </c>
      <c r="H3053">
        <v>2.84</v>
      </c>
      <c r="I3053">
        <v>0.25</v>
      </c>
      <c r="J3053">
        <v>4.26</v>
      </c>
      <c r="K3053" t="s">
        <v>95</v>
      </c>
      <c r="L3053" t="s">
        <v>17</v>
      </c>
      <c r="M3053" t="s">
        <v>90</v>
      </c>
    </row>
    <row r="3054" spans="1:13" x14ac:dyDescent="0.2">
      <c r="A3054">
        <v>605516</v>
      </c>
      <c r="B3054" s="1">
        <v>45052</v>
      </c>
      <c r="C3054">
        <v>78681</v>
      </c>
      <c r="D3054" t="s">
        <v>97</v>
      </c>
      <c r="E3054" t="s">
        <v>181</v>
      </c>
      <c r="F3054" t="s">
        <v>182</v>
      </c>
      <c r="G3054">
        <v>1</v>
      </c>
      <c r="H3054">
        <v>14.99</v>
      </c>
      <c r="J3054">
        <v>14.99</v>
      </c>
      <c r="K3054" t="s">
        <v>16</v>
      </c>
      <c r="L3054" t="s">
        <v>17</v>
      </c>
      <c r="M3054" t="s">
        <v>90</v>
      </c>
    </row>
    <row r="3055" spans="1:13" x14ac:dyDescent="0.2">
      <c r="A3055">
        <v>605571</v>
      </c>
      <c r="B3055" s="1">
        <v>45469</v>
      </c>
      <c r="C3055">
        <v>15951</v>
      </c>
      <c r="D3055" t="s">
        <v>40</v>
      </c>
      <c r="E3055" t="s">
        <v>58</v>
      </c>
      <c r="F3055" t="s">
        <v>59</v>
      </c>
      <c r="G3055">
        <v>3</v>
      </c>
      <c r="H3055">
        <v>3.79</v>
      </c>
      <c r="I3055">
        <v>0.05</v>
      </c>
      <c r="J3055">
        <v>10.8</v>
      </c>
      <c r="K3055" t="s">
        <v>66</v>
      </c>
      <c r="L3055" t="s">
        <v>23</v>
      </c>
      <c r="M3055" t="s">
        <v>120</v>
      </c>
    </row>
    <row r="3056" spans="1:13" x14ac:dyDescent="0.2">
      <c r="A3056">
        <v>605585</v>
      </c>
      <c r="B3056" s="1">
        <v>44688</v>
      </c>
      <c r="C3056">
        <v>97959</v>
      </c>
      <c r="D3056" t="s">
        <v>44</v>
      </c>
      <c r="E3056" t="s">
        <v>190</v>
      </c>
      <c r="F3056" t="s">
        <v>191</v>
      </c>
      <c r="G3056">
        <v>2</v>
      </c>
      <c r="H3056">
        <v>3.43</v>
      </c>
      <c r="I3056">
        <v>0.2</v>
      </c>
      <c r="J3056">
        <v>5.49</v>
      </c>
      <c r="K3056" t="s">
        <v>16</v>
      </c>
      <c r="L3056" t="s">
        <v>17</v>
      </c>
      <c r="M3056" t="s">
        <v>43</v>
      </c>
    </row>
    <row r="3057" spans="1:13" x14ac:dyDescent="0.2">
      <c r="A3057">
        <v>605608</v>
      </c>
      <c r="B3057" s="1">
        <v>45154</v>
      </c>
      <c r="C3057">
        <v>56061</v>
      </c>
      <c r="D3057" t="s">
        <v>13</v>
      </c>
      <c r="E3057" t="s">
        <v>55</v>
      </c>
      <c r="F3057" t="s">
        <v>56</v>
      </c>
      <c r="G3057">
        <v>1</v>
      </c>
      <c r="H3057">
        <v>329.99</v>
      </c>
      <c r="J3057">
        <v>329.99</v>
      </c>
      <c r="K3057" t="s">
        <v>22</v>
      </c>
      <c r="L3057" t="s">
        <v>17</v>
      </c>
      <c r="M3057" t="s">
        <v>47</v>
      </c>
    </row>
    <row r="3058" spans="1:13" x14ac:dyDescent="0.2">
      <c r="A3058">
        <v>605638</v>
      </c>
      <c r="B3058" s="1">
        <v>44981</v>
      </c>
      <c r="C3058">
        <v>51192</v>
      </c>
      <c r="D3058" t="s">
        <v>44</v>
      </c>
      <c r="E3058" t="s">
        <v>93</v>
      </c>
      <c r="F3058" t="s">
        <v>94</v>
      </c>
      <c r="G3058">
        <v>3</v>
      </c>
      <c r="H3058">
        <v>0.9</v>
      </c>
      <c r="I3058">
        <v>0.3</v>
      </c>
      <c r="J3058">
        <v>1.89</v>
      </c>
      <c r="K3058" t="s">
        <v>36</v>
      </c>
      <c r="L3058" t="s">
        <v>17</v>
      </c>
      <c r="M3058" t="s">
        <v>62</v>
      </c>
    </row>
    <row r="3059" spans="1:13" x14ac:dyDescent="0.2">
      <c r="A3059">
        <v>605857</v>
      </c>
      <c r="B3059" s="1">
        <v>45176</v>
      </c>
      <c r="C3059">
        <v>19605</v>
      </c>
      <c r="D3059" t="s">
        <v>44</v>
      </c>
      <c r="E3059" t="s">
        <v>162</v>
      </c>
      <c r="F3059" t="s">
        <v>163</v>
      </c>
      <c r="G3059">
        <v>2</v>
      </c>
      <c r="H3059">
        <v>5.99</v>
      </c>
      <c r="I3059">
        <v>0.25</v>
      </c>
      <c r="J3059">
        <v>8.98</v>
      </c>
      <c r="K3059" t="s">
        <v>36</v>
      </c>
      <c r="L3059" t="s">
        <v>17</v>
      </c>
      <c r="M3059" t="s">
        <v>123</v>
      </c>
    </row>
    <row r="3060" spans="1:13" x14ac:dyDescent="0.2">
      <c r="A3060">
        <v>606001</v>
      </c>
      <c r="B3060" s="1">
        <v>45140</v>
      </c>
      <c r="D3060" t="s">
        <v>25</v>
      </c>
      <c r="E3060" t="s">
        <v>51</v>
      </c>
      <c r="F3060" t="s">
        <v>52</v>
      </c>
      <c r="G3060">
        <v>5</v>
      </c>
      <c r="H3060">
        <v>25.19</v>
      </c>
      <c r="I3060">
        <v>0.1</v>
      </c>
      <c r="J3060">
        <v>113.36</v>
      </c>
      <c r="K3060" t="s">
        <v>22</v>
      </c>
      <c r="L3060" t="s">
        <v>17</v>
      </c>
      <c r="M3060" t="s">
        <v>28</v>
      </c>
    </row>
    <row r="3061" spans="1:13" x14ac:dyDescent="0.2">
      <c r="A3061">
        <v>606097</v>
      </c>
      <c r="B3061" s="1">
        <v>44918</v>
      </c>
      <c r="C3061">
        <v>56179</v>
      </c>
      <c r="D3061" t="s">
        <v>97</v>
      </c>
      <c r="E3061" t="s">
        <v>193</v>
      </c>
      <c r="F3061" t="s">
        <v>194</v>
      </c>
      <c r="G3061">
        <v>5</v>
      </c>
      <c r="H3061">
        <v>64.989999999999995</v>
      </c>
      <c r="J3061">
        <v>324.95</v>
      </c>
      <c r="K3061" t="s">
        <v>16</v>
      </c>
      <c r="L3061" t="s">
        <v>17</v>
      </c>
      <c r="M3061" t="s">
        <v>57</v>
      </c>
    </row>
    <row r="3062" spans="1:13" x14ac:dyDescent="0.2">
      <c r="A3062">
        <v>606106</v>
      </c>
      <c r="B3062" s="1">
        <v>45179</v>
      </c>
      <c r="C3062">
        <v>44387</v>
      </c>
      <c r="D3062" t="s">
        <v>106</v>
      </c>
      <c r="E3062" t="s">
        <v>91</v>
      </c>
      <c r="F3062" t="s">
        <v>92</v>
      </c>
      <c r="G3062">
        <v>2</v>
      </c>
      <c r="H3062">
        <v>6.29</v>
      </c>
      <c r="J3062">
        <v>12.58</v>
      </c>
      <c r="K3062" t="s">
        <v>36</v>
      </c>
      <c r="L3062" t="s">
        <v>17</v>
      </c>
      <c r="M3062" t="s">
        <v>47</v>
      </c>
    </row>
    <row r="3063" spans="1:13" x14ac:dyDescent="0.2">
      <c r="A3063">
        <v>606110</v>
      </c>
      <c r="B3063" s="1">
        <v>44896</v>
      </c>
      <c r="C3063">
        <v>31706</v>
      </c>
      <c r="D3063" t="s">
        <v>85</v>
      </c>
      <c r="E3063" t="s">
        <v>129</v>
      </c>
      <c r="F3063" t="s">
        <v>130</v>
      </c>
      <c r="G3063">
        <v>1</v>
      </c>
      <c r="H3063">
        <v>8.99</v>
      </c>
      <c r="J3063">
        <v>8.99</v>
      </c>
      <c r="K3063" t="s">
        <v>95</v>
      </c>
      <c r="L3063" t="s">
        <v>17</v>
      </c>
      <c r="M3063" t="s">
        <v>103</v>
      </c>
    </row>
    <row r="3064" spans="1:13" x14ac:dyDescent="0.2">
      <c r="A3064">
        <v>606138</v>
      </c>
      <c r="B3064" s="2">
        <v>44683</v>
      </c>
      <c r="C3064">
        <v>11530</v>
      </c>
      <c r="D3064" t="s">
        <v>85</v>
      </c>
      <c r="E3064" t="s">
        <v>129</v>
      </c>
      <c r="F3064" t="s">
        <v>130</v>
      </c>
      <c r="G3064">
        <v>3</v>
      </c>
      <c r="H3064">
        <v>7.19</v>
      </c>
      <c r="I3064">
        <v>0.2</v>
      </c>
      <c r="J3064">
        <v>17.260000000000002</v>
      </c>
      <c r="K3064" t="s">
        <v>53</v>
      </c>
      <c r="L3064" t="s">
        <v>17</v>
      </c>
      <c r="M3064" t="s">
        <v>81</v>
      </c>
    </row>
    <row r="3065" spans="1:13" x14ac:dyDescent="0.2">
      <c r="A3065">
        <v>606638</v>
      </c>
      <c r="B3065" s="1">
        <v>44583</v>
      </c>
      <c r="C3065">
        <v>70952</v>
      </c>
      <c r="D3065" t="s">
        <v>40</v>
      </c>
      <c r="E3065" t="s">
        <v>41</v>
      </c>
      <c r="F3065" t="s">
        <v>42</v>
      </c>
      <c r="G3065">
        <v>3</v>
      </c>
      <c r="H3065">
        <v>4.79</v>
      </c>
      <c r="I3065">
        <v>0.2</v>
      </c>
      <c r="J3065">
        <v>11.5</v>
      </c>
      <c r="K3065" t="s">
        <v>16</v>
      </c>
      <c r="L3065" t="s">
        <v>23</v>
      </c>
      <c r="M3065" t="s">
        <v>57</v>
      </c>
    </row>
    <row r="3066" spans="1:13" x14ac:dyDescent="0.2">
      <c r="A3066">
        <v>607135</v>
      </c>
      <c r="B3066" s="1">
        <v>45463</v>
      </c>
      <c r="C3066">
        <v>14287</v>
      </c>
      <c r="D3066" t="s">
        <v>40</v>
      </c>
      <c r="E3066" t="s">
        <v>41</v>
      </c>
      <c r="F3066" t="s">
        <v>42</v>
      </c>
      <c r="G3066">
        <v>1</v>
      </c>
      <c r="H3066">
        <v>4.49</v>
      </c>
      <c r="I3066">
        <v>0.25</v>
      </c>
      <c r="J3066">
        <v>3.37</v>
      </c>
      <c r="K3066" t="s">
        <v>95</v>
      </c>
      <c r="L3066" t="s">
        <v>23</v>
      </c>
      <c r="M3066" t="s">
        <v>103</v>
      </c>
    </row>
    <row r="3067" spans="1:13" x14ac:dyDescent="0.2">
      <c r="A3067">
        <v>607157</v>
      </c>
      <c r="B3067" s="1">
        <v>44785</v>
      </c>
      <c r="C3067">
        <v>47642</v>
      </c>
      <c r="D3067" t="s">
        <v>85</v>
      </c>
      <c r="E3067" t="s">
        <v>145</v>
      </c>
      <c r="F3067" t="s">
        <v>146</v>
      </c>
      <c r="G3067">
        <v>5</v>
      </c>
      <c r="H3067">
        <v>11.89</v>
      </c>
      <c r="I3067">
        <v>0.3</v>
      </c>
      <c r="J3067">
        <v>41.62</v>
      </c>
      <c r="K3067" t="s">
        <v>22</v>
      </c>
      <c r="L3067" t="s">
        <v>17</v>
      </c>
      <c r="M3067" t="s">
        <v>43</v>
      </c>
    </row>
    <row r="3068" spans="1:13" x14ac:dyDescent="0.2">
      <c r="A3068">
        <v>607418</v>
      </c>
      <c r="B3068" s="2">
        <v>44821</v>
      </c>
      <c r="C3068">
        <v>76525</v>
      </c>
      <c r="D3068" t="s">
        <v>40</v>
      </c>
      <c r="E3068" t="s">
        <v>41</v>
      </c>
      <c r="F3068" t="s">
        <v>42</v>
      </c>
      <c r="G3068">
        <v>5</v>
      </c>
      <c r="H3068">
        <v>5.99</v>
      </c>
      <c r="J3068">
        <v>29.95</v>
      </c>
      <c r="K3068" t="s">
        <v>16</v>
      </c>
      <c r="L3068" t="s">
        <v>37</v>
      </c>
      <c r="M3068" t="s">
        <v>117</v>
      </c>
    </row>
    <row r="3069" spans="1:13" x14ac:dyDescent="0.2">
      <c r="A3069">
        <v>607458</v>
      </c>
      <c r="B3069" s="2">
        <v>44912</v>
      </c>
      <c r="C3069">
        <v>89025</v>
      </c>
      <c r="D3069" t="s">
        <v>97</v>
      </c>
      <c r="E3069" t="s">
        <v>181</v>
      </c>
      <c r="F3069" t="s">
        <v>182</v>
      </c>
      <c r="G3069">
        <v>3</v>
      </c>
      <c r="H3069">
        <v>11.99</v>
      </c>
      <c r="I3069">
        <v>0.2</v>
      </c>
      <c r="J3069">
        <v>28.78</v>
      </c>
      <c r="K3069" t="s">
        <v>16</v>
      </c>
      <c r="L3069" t="s">
        <v>17</v>
      </c>
      <c r="M3069" t="s">
        <v>33</v>
      </c>
    </row>
    <row r="3070" spans="1:13" x14ac:dyDescent="0.2">
      <c r="A3070">
        <v>607762</v>
      </c>
      <c r="B3070" s="1">
        <v>44691</v>
      </c>
      <c r="C3070">
        <v>77605</v>
      </c>
      <c r="D3070" t="s">
        <v>25</v>
      </c>
      <c r="E3070" t="s">
        <v>60</v>
      </c>
      <c r="F3070" t="s">
        <v>61</v>
      </c>
      <c r="G3070">
        <v>4</v>
      </c>
      <c r="H3070">
        <v>41.24</v>
      </c>
      <c r="I3070">
        <v>0.25</v>
      </c>
      <c r="J3070">
        <v>123.72</v>
      </c>
      <c r="K3070" t="s">
        <v>16</v>
      </c>
      <c r="L3070" t="s">
        <v>23</v>
      </c>
      <c r="M3070" t="s">
        <v>161</v>
      </c>
    </row>
    <row r="3071" spans="1:13" x14ac:dyDescent="0.2">
      <c r="A3071">
        <v>607777</v>
      </c>
      <c r="B3071" s="1">
        <v>45571</v>
      </c>
      <c r="C3071">
        <v>16555</v>
      </c>
      <c r="D3071" t="s">
        <v>63</v>
      </c>
      <c r="E3071" t="s">
        <v>64</v>
      </c>
      <c r="F3071" t="s">
        <v>65</v>
      </c>
      <c r="G3071">
        <v>3</v>
      </c>
      <c r="H3071">
        <v>4.99</v>
      </c>
      <c r="J3071">
        <v>14.97</v>
      </c>
      <c r="K3071" t="s">
        <v>16</v>
      </c>
      <c r="L3071" t="s">
        <v>17</v>
      </c>
      <c r="M3071" t="s">
        <v>103</v>
      </c>
    </row>
    <row r="3072" spans="1:13" x14ac:dyDescent="0.2">
      <c r="A3072">
        <v>607920</v>
      </c>
      <c r="B3072" s="1">
        <v>44794</v>
      </c>
      <c r="C3072">
        <v>88433</v>
      </c>
      <c r="D3072" t="s">
        <v>82</v>
      </c>
      <c r="E3072" t="s">
        <v>100</v>
      </c>
      <c r="F3072" t="s">
        <v>101</v>
      </c>
      <c r="G3072">
        <v>1</v>
      </c>
      <c r="H3072">
        <v>20.69</v>
      </c>
      <c r="I3072">
        <v>0.1</v>
      </c>
      <c r="J3072">
        <v>18.62</v>
      </c>
      <c r="K3072" t="s">
        <v>36</v>
      </c>
      <c r="L3072" t="s">
        <v>17</v>
      </c>
      <c r="M3072" t="s">
        <v>102</v>
      </c>
    </row>
    <row r="3073" spans="1:13" x14ac:dyDescent="0.2">
      <c r="A3073">
        <v>608251</v>
      </c>
      <c r="B3073" s="2">
        <v>44596</v>
      </c>
      <c r="D3073" t="s">
        <v>63</v>
      </c>
      <c r="E3073" t="s">
        <v>131</v>
      </c>
      <c r="F3073" t="s">
        <v>132</v>
      </c>
      <c r="G3073">
        <v>3</v>
      </c>
      <c r="H3073">
        <v>3.32</v>
      </c>
      <c r="I3073">
        <v>0.05</v>
      </c>
      <c r="J3073">
        <v>9.4600000000000009</v>
      </c>
      <c r="K3073" t="s">
        <v>32</v>
      </c>
      <c r="L3073" t="s">
        <v>37</v>
      </c>
      <c r="M3073" t="s">
        <v>102</v>
      </c>
    </row>
    <row r="3074" spans="1:13" x14ac:dyDescent="0.2">
      <c r="A3074">
        <v>608360</v>
      </c>
      <c r="B3074" s="1">
        <v>45584</v>
      </c>
      <c r="C3074">
        <v>47934</v>
      </c>
      <c r="D3074" t="s">
        <v>13</v>
      </c>
      <c r="E3074" t="s">
        <v>127</v>
      </c>
      <c r="F3074" t="s">
        <v>128</v>
      </c>
      <c r="G3074">
        <v>5</v>
      </c>
      <c r="H3074">
        <v>13.99</v>
      </c>
      <c r="I3074">
        <v>0.3</v>
      </c>
      <c r="J3074">
        <v>48.96</v>
      </c>
      <c r="K3074" t="s">
        <v>16</v>
      </c>
      <c r="L3074" t="s">
        <v>37</v>
      </c>
      <c r="M3074" t="s">
        <v>18</v>
      </c>
    </row>
    <row r="3075" spans="1:13" x14ac:dyDescent="0.2">
      <c r="A3075">
        <v>608520</v>
      </c>
      <c r="B3075" s="1">
        <v>44760</v>
      </c>
      <c r="C3075">
        <v>32884</v>
      </c>
      <c r="D3075" t="s">
        <v>25</v>
      </c>
      <c r="E3075" t="s">
        <v>113</v>
      </c>
      <c r="F3075" t="s">
        <v>114</v>
      </c>
      <c r="G3075">
        <v>4</v>
      </c>
      <c r="H3075">
        <v>83.99</v>
      </c>
      <c r="I3075">
        <v>0.3</v>
      </c>
      <c r="J3075">
        <v>235.17</v>
      </c>
      <c r="K3075" t="s">
        <v>95</v>
      </c>
      <c r="L3075" t="s">
        <v>23</v>
      </c>
      <c r="M3075" t="s">
        <v>47</v>
      </c>
    </row>
    <row r="3076" spans="1:13" x14ac:dyDescent="0.2">
      <c r="A3076">
        <v>608902</v>
      </c>
      <c r="B3076" s="1">
        <v>45526</v>
      </c>
      <c r="C3076">
        <v>21200</v>
      </c>
      <c r="D3076" t="s">
        <v>85</v>
      </c>
      <c r="E3076" t="s">
        <v>153</v>
      </c>
      <c r="F3076" t="s">
        <v>154</v>
      </c>
      <c r="G3076">
        <v>1</v>
      </c>
      <c r="H3076">
        <v>22.49</v>
      </c>
      <c r="I3076">
        <v>0.25</v>
      </c>
      <c r="J3076">
        <v>16.87</v>
      </c>
      <c r="K3076" t="s">
        <v>95</v>
      </c>
      <c r="L3076" t="s">
        <v>17</v>
      </c>
      <c r="M3076" t="s">
        <v>123</v>
      </c>
    </row>
    <row r="3077" spans="1:13" x14ac:dyDescent="0.2">
      <c r="A3077">
        <v>609013</v>
      </c>
      <c r="B3077" s="1">
        <v>45005</v>
      </c>
      <c r="C3077">
        <v>59162</v>
      </c>
      <c r="D3077" t="s">
        <v>63</v>
      </c>
      <c r="E3077" t="s">
        <v>111</v>
      </c>
      <c r="F3077" t="s">
        <v>112</v>
      </c>
      <c r="G3077">
        <v>1</v>
      </c>
      <c r="H3077">
        <v>13.49</v>
      </c>
      <c r="I3077">
        <v>0.1</v>
      </c>
      <c r="J3077">
        <v>12.14</v>
      </c>
      <c r="K3077" t="s">
        <v>16</v>
      </c>
      <c r="L3077" t="s">
        <v>17</v>
      </c>
      <c r="M3077" t="s">
        <v>18</v>
      </c>
    </row>
    <row r="3078" spans="1:13" x14ac:dyDescent="0.2">
      <c r="A3078">
        <v>609172</v>
      </c>
      <c r="B3078" s="1">
        <v>45403</v>
      </c>
      <c r="C3078">
        <v>62818</v>
      </c>
      <c r="D3078" t="s">
        <v>29</v>
      </c>
      <c r="E3078" t="s">
        <v>175</v>
      </c>
      <c r="F3078" t="s">
        <v>176</v>
      </c>
      <c r="G3078">
        <v>2</v>
      </c>
      <c r="H3078">
        <v>10.79</v>
      </c>
      <c r="I3078">
        <v>0.1</v>
      </c>
      <c r="J3078">
        <v>19.420000000000002</v>
      </c>
      <c r="K3078" t="s">
        <v>16</v>
      </c>
      <c r="L3078" t="s">
        <v>17</v>
      </c>
      <c r="M3078" t="s">
        <v>102</v>
      </c>
    </row>
    <row r="3079" spans="1:13" x14ac:dyDescent="0.2">
      <c r="A3079">
        <v>609253</v>
      </c>
      <c r="B3079" s="1">
        <v>45400</v>
      </c>
      <c r="D3079" t="s">
        <v>48</v>
      </c>
      <c r="E3079" t="s">
        <v>179</v>
      </c>
      <c r="F3079" t="s">
        <v>180</v>
      </c>
      <c r="G3079">
        <v>1</v>
      </c>
      <c r="H3079">
        <v>11.99</v>
      </c>
      <c r="J3079">
        <v>11.99</v>
      </c>
      <c r="K3079" t="s">
        <v>22</v>
      </c>
      <c r="L3079" t="s">
        <v>17</v>
      </c>
      <c r="M3079" t="s">
        <v>67</v>
      </c>
    </row>
    <row r="3080" spans="1:13" x14ac:dyDescent="0.2">
      <c r="A3080">
        <v>609294</v>
      </c>
      <c r="B3080" s="1">
        <v>45644</v>
      </c>
      <c r="C3080">
        <v>82064</v>
      </c>
      <c r="D3080" t="s">
        <v>29</v>
      </c>
      <c r="E3080" t="s">
        <v>72</v>
      </c>
      <c r="F3080" t="s">
        <v>73</v>
      </c>
      <c r="G3080">
        <v>3</v>
      </c>
      <c r="H3080">
        <v>27.99</v>
      </c>
      <c r="I3080">
        <v>0.3</v>
      </c>
      <c r="J3080">
        <v>58.78</v>
      </c>
      <c r="K3080" t="s">
        <v>16</v>
      </c>
      <c r="L3080" t="s">
        <v>37</v>
      </c>
      <c r="M3080" t="s">
        <v>161</v>
      </c>
    </row>
    <row r="3081" spans="1:13" x14ac:dyDescent="0.2">
      <c r="A3081">
        <v>609476</v>
      </c>
      <c r="B3081" s="1">
        <v>45495</v>
      </c>
      <c r="C3081">
        <v>20147</v>
      </c>
      <c r="D3081" t="s">
        <v>63</v>
      </c>
      <c r="E3081" t="s">
        <v>131</v>
      </c>
      <c r="F3081" t="s">
        <v>132</v>
      </c>
      <c r="G3081">
        <v>2</v>
      </c>
      <c r="H3081">
        <v>2.97</v>
      </c>
      <c r="I3081">
        <v>0.15</v>
      </c>
      <c r="J3081">
        <v>5.05</v>
      </c>
      <c r="K3081" t="s">
        <v>36</v>
      </c>
      <c r="L3081" t="s">
        <v>37</v>
      </c>
      <c r="M3081" t="s">
        <v>76</v>
      </c>
    </row>
    <row r="3082" spans="1:13" x14ac:dyDescent="0.2">
      <c r="A3082">
        <v>609604</v>
      </c>
      <c r="B3082" s="2">
        <v>45632</v>
      </c>
      <c r="C3082">
        <v>75369</v>
      </c>
      <c r="D3082" t="s">
        <v>25</v>
      </c>
      <c r="E3082" t="s">
        <v>51</v>
      </c>
      <c r="F3082" t="s">
        <v>52</v>
      </c>
      <c r="G3082">
        <v>1</v>
      </c>
      <c r="H3082">
        <v>27.99</v>
      </c>
      <c r="J3082">
        <v>27.99</v>
      </c>
      <c r="K3082" t="s">
        <v>95</v>
      </c>
      <c r="L3082" t="s">
        <v>17</v>
      </c>
      <c r="M3082" t="s">
        <v>102</v>
      </c>
    </row>
    <row r="3083" spans="1:13" x14ac:dyDescent="0.2">
      <c r="A3083">
        <v>609982</v>
      </c>
      <c r="B3083" s="1">
        <v>45403</v>
      </c>
      <c r="C3083">
        <v>77143</v>
      </c>
      <c r="D3083" t="s">
        <v>13</v>
      </c>
      <c r="E3083" t="s">
        <v>127</v>
      </c>
      <c r="F3083" t="s">
        <v>128</v>
      </c>
      <c r="G3083">
        <v>2</v>
      </c>
      <c r="H3083">
        <v>15.99</v>
      </c>
      <c r="I3083">
        <v>0.2</v>
      </c>
      <c r="J3083">
        <v>25.58</v>
      </c>
      <c r="K3083" t="s">
        <v>16</v>
      </c>
      <c r="L3083" t="s">
        <v>37</v>
      </c>
      <c r="M3083" t="s">
        <v>117</v>
      </c>
    </row>
    <row r="3084" spans="1:13" x14ac:dyDescent="0.2">
      <c r="A3084">
        <v>610077</v>
      </c>
      <c r="B3084" s="1">
        <v>45203</v>
      </c>
      <c r="C3084">
        <v>90111</v>
      </c>
      <c r="D3084" t="s">
        <v>44</v>
      </c>
      <c r="E3084" t="s">
        <v>45</v>
      </c>
      <c r="F3084" t="s">
        <v>46</v>
      </c>
      <c r="G3084">
        <v>1</v>
      </c>
      <c r="H3084">
        <v>1.61</v>
      </c>
      <c r="I3084">
        <v>0.1</v>
      </c>
      <c r="J3084">
        <v>1.45</v>
      </c>
      <c r="K3084" t="s">
        <v>22</v>
      </c>
      <c r="L3084" t="s">
        <v>17</v>
      </c>
      <c r="M3084" t="s">
        <v>62</v>
      </c>
    </row>
    <row r="3085" spans="1:13" x14ac:dyDescent="0.2">
      <c r="A3085">
        <v>610149</v>
      </c>
      <c r="B3085" s="2">
        <v>44993</v>
      </c>
      <c r="C3085">
        <v>60676</v>
      </c>
      <c r="D3085" t="s">
        <v>40</v>
      </c>
      <c r="E3085" t="s">
        <v>115</v>
      </c>
      <c r="F3085" t="s">
        <v>116</v>
      </c>
      <c r="G3085">
        <v>5</v>
      </c>
      <c r="H3085">
        <v>10.39</v>
      </c>
      <c r="I3085">
        <v>0.2</v>
      </c>
      <c r="J3085">
        <v>41.56</v>
      </c>
      <c r="K3085" t="s">
        <v>22</v>
      </c>
      <c r="L3085" t="s">
        <v>17</v>
      </c>
      <c r="M3085" t="s">
        <v>81</v>
      </c>
    </row>
    <row r="3086" spans="1:13" x14ac:dyDescent="0.2">
      <c r="A3086">
        <v>610175</v>
      </c>
      <c r="B3086" s="2">
        <v>45129</v>
      </c>
      <c r="C3086">
        <v>54778</v>
      </c>
      <c r="D3086" t="s">
        <v>40</v>
      </c>
      <c r="E3086" t="s">
        <v>197</v>
      </c>
      <c r="F3086" t="s">
        <v>198</v>
      </c>
      <c r="G3086">
        <v>1</v>
      </c>
      <c r="H3086">
        <v>14.99</v>
      </c>
      <c r="J3086">
        <v>14.99</v>
      </c>
      <c r="K3086" t="s">
        <v>22</v>
      </c>
      <c r="L3086" t="s">
        <v>17</v>
      </c>
      <c r="M3086" t="s">
        <v>123</v>
      </c>
    </row>
    <row r="3087" spans="1:13" x14ac:dyDescent="0.2">
      <c r="A3087">
        <v>610307</v>
      </c>
      <c r="B3087" s="2">
        <v>44702</v>
      </c>
      <c r="C3087">
        <v>90195</v>
      </c>
      <c r="D3087" t="s">
        <v>82</v>
      </c>
      <c r="E3087" t="s">
        <v>188</v>
      </c>
      <c r="F3087" t="s">
        <v>189</v>
      </c>
      <c r="G3087">
        <v>1</v>
      </c>
      <c r="H3087">
        <v>44.99</v>
      </c>
      <c r="J3087">
        <v>44.99</v>
      </c>
      <c r="K3087" t="s">
        <v>16</v>
      </c>
      <c r="L3087" t="s">
        <v>17</v>
      </c>
      <c r="M3087" t="s">
        <v>28</v>
      </c>
    </row>
    <row r="3088" spans="1:13" x14ac:dyDescent="0.2">
      <c r="A3088">
        <v>611460</v>
      </c>
      <c r="B3088" s="1">
        <v>45192</v>
      </c>
      <c r="C3088">
        <v>62722</v>
      </c>
      <c r="D3088" t="s">
        <v>85</v>
      </c>
      <c r="E3088" t="s">
        <v>149</v>
      </c>
      <c r="F3088" t="s">
        <v>150</v>
      </c>
      <c r="G3088">
        <v>1</v>
      </c>
      <c r="H3088">
        <v>17.989999999999998</v>
      </c>
      <c r="I3088">
        <v>0.1</v>
      </c>
      <c r="J3088">
        <v>16.190000000000001</v>
      </c>
      <c r="K3088" t="s">
        <v>36</v>
      </c>
      <c r="L3088" t="s">
        <v>17</v>
      </c>
      <c r="M3088" t="s">
        <v>120</v>
      </c>
    </row>
    <row r="3089" spans="1:13" x14ac:dyDescent="0.2">
      <c r="A3089">
        <v>611472</v>
      </c>
      <c r="B3089" s="1">
        <v>45141</v>
      </c>
      <c r="C3089">
        <v>16401</v>
      </c>
      <c r="D3089" t="s">
        <v>48</v>
      </c>
      <c r="E3089" t="s">
        <v>49</v>
      </c>
      <c r="F3089" t="s">
        <v>50</v>
      </c>
      <c r="G3089">
        <v>1</v>
      </c>
      <c r="H3089">
        <v>7.64</v>
      </c>
      <c r="I3089">
        <v>0.15</v>
      </c>
      <c r="J3089">
        <v>6.49</v>
      </c>
      <c r="K3089" t="s">
        <v>36</v>
      </c>
      <c r="L3089" t="s">
        <v>17</v>
      </c>
      <c r="M3089" t="s">
        <v>96</v>
      </c>
    </row>
    <row r="3090" spans="1:13" x14ac:dyDescent="0.2">
      <c r="A3090">
        <v>611585</v>
      </c>
      <c r="B3090" s="1">
        <v>45347</v>
      </c>
      <c r="C3090">
        <v>28698</v>
      </c>
      <c r="D3090" t="s">
        <v>97</v>
      </c>
      <c r="E3090" t="s">
        <v>151</v>
      </c>
      <c r="F3090" t="s">
        <v>152</v>
      </c>
      <c r="G3090">
        <v>1</v>
      </c>
      <c r="H3090">
        <v>29.74</v>
      </c>
      <c r="I3090">
        <v>0.15</v>
      </c>
      <c r="J3090">
        <v>25.28</v>
      </c>
      <c r="K3090" t="s">
        <v>16</v>
      </c>
      <c r="L3090" t="s">
        <v>17</v>
      </c>
      <c r="M3090" t="s">
        <v>33</v>
      </c>
    </row>
    <row r="3091" spans="1:13" x14ac:dyDescent="0.2">
      <c r="A3091">
        <v>611876</v>
      </c>
      <c r="B3091" s="1">
        <v>45401</v>
      </c>
      <c r="C3091">
        <v>46530</v>
      </c>
      <c r="D3091" t="s">
        <v>29</v>
      </c>
      <c r="E3091" t="s">
        <v>72</v>
      </c>
      <c r="F3091" t="s">
        <v>73</v>
      </c>
      <c r="G3091">
        <v>2</v>
      </c>
      <c r="H3091">
        <v>39.99</v>
      </c>
      <c r="J3091">
        <v>79.98</v>
      </c>
      <c r="K3091" t="s">
        <v>16</v>
      </c>
      <c r="L3091" t="s">
        <v>37</v>
      </c>
      <c r="M3091" t="s">
        <v>123</v>
      </c>
    </row>
    <row r="3092" spans="1:13" x14ac:dyDescent="0.2">
      <c r="A3092">
        <v>611987</v>
      </c>
      <c r="B3092" s="1">
        <v>45465</v>
      </c>
      <c r="C3092">
        <v>21875</v>
      </c>
      <c r="D3092" t="s">
        <v>40</v>
      </c>
      <c r="E3092" t="s">
        <v>20</v>
      </c>
      <c r="F3092" t="s">
        <v>21</v>
      </c>
      <c r="G3092">
        <v>1</v>
      </c>
      <c r="H3092">
        <v>7.99</v>
      </c>
      <c r="I3092">
        <v>0.2</v>
      </c>
      <c r="J3092">
        <v>6.39</v>
      </c>
      <c r="K3092" t="s">
        <v>22</v>
      </c>
      <c r="L3092" t="s">
        <v>17</v>
      </c>
      <c r="M3092" t="s">
        <v>76</v>
      </c>
    </row>
    <row r="3093" spans="1:13" x14ac:dyDescent="0.2">
      <c r="A3093">
        <v>611987</v>
      </c>
      <c r="B3093" s="2">
        <v>44880</v>
      </c>
      <c r="C3093">
        <v>82273</v>
      </c>
      <c r="D3093" t="s">
        <v>13</v>
      </c>
      <c r="E3093" t="s">
        <v>14</v>
      </c>
      <c r="F3093" t="s">
        <v>15</v>
      </c>
      <c r="G3093">
        <v>5</v>
      </c>
      <c r="H3093">
        <v>79.989999999999995</v>
      </c>
      <c r="J3093">
        <v>399.95</v>
      </c>
      <c r="K3093" t="s">
        <v>36</v>
      </c>
      <c r="L3093" t="s">
        <v>17</v>
      </c>
      <c r="M3093" t="s">
        <v>33</v>
      </c>
    </row>
    <row r="3094" spans="1:13" x14ac:dyDescent="0.2">
      <c r="A3094">
        <v>612056</v>
      </c>
      <c r="B3094" s="2">
        <v>45255</v>
      </c>
      <c r="C3094">
        <v>40263</v>
      </c>
      <c r="D3094" t="s">
        <v>82</v>
      </c>
      <c r="E3094" t="s">
        <v>188</v>
      </c>
      <c r="F3094" t="s">
        <v>189</v>
      </c>
      <c r="G3094">
        <v>1</v>
      </c>
      <c r="H3094">
        <v>42.74</v>
      </c>
      <c r="I3094">
        <v>0.05</v>
      </c>
      <c r="J3094">
        <v>40.6</v>
      </c>
      <c r="K3094" t="s">
        <v>16</v>
      </c>
      <c r="L3094" t="s">
        <v>23</v>
      </c>
      <c r="M3094" t="s">
        <v>28</v>
      </c>
    </row>
    <row r="3095" spans="1:13" x14ac:dyDescent="0.2">
      <c r="A3095">
        <v>612222</v>
      </c>
      <c r="B3095" s="1">
        <v>45404</v>
      </c>
      <c r="C3095">
        <v>95219</v>
      </c>
      <c r="D3095" t="s">
        <v>29</v>
      </c>
      <c r="E3095" t="s">
        <v>30</v>
      </c>
      <c r="F3095" t="s">
        <v>31</v>
      </c>
      <c r="G3095">
        <v>5</v>
      </c>
      <c r="H3095">
        <v>19.989999999999998</v>
      </c>
      <c r="I3095">
        <v>0.2</v>
      </c>
      <c r="J3095">
        <v>79.959999999999994</v>
      </c>
      <c r="K3095" t="s">
        <v>36</v>
      </c>
      <c r="L3095" t="s">
        <v>37</v>
      </c>
      <c r="M3095" t="s">
        <v>18</v>
      </c>
    </row>
    <row r="3096" spans="1:13" x14ac:dyDescent="0.2">
      <c r="A3096">
        <v>612530</v>
      </c>
      <c r="B3096" s="1">
        <v>44815</v>
      </c>
      <c r="C3096">
        <v>86923</v>
      </c>
      <c r="D3096" t="s">
        <v>40</v>
      </c>
      <c r="E3096" t="s">
        <v>58</v>
      </c>
      <c r="F3096" t="s">
        <v>59</v>
      </c>
      <c r="G3096">
        <v>1</v>
      </c>
      <c r="H3096">
        <v>3.99</v>
      </c>
      <c r="J3096">
        <v>3.99</v>
      </c>
      <c r="K3096" t="s">
        <v>53</v>
      </c>
      <c r="L3096" t="s">
        <v>17</v>
      </c>
      <c r="M3096" t="s">
        <v>67</v>
      </c>
    </row>
    <row r="3097" spans="1:13" x14ac:dyDescent="0.2">
      <c r="A3097">
        <v>612711</v>
      </c>
      <c r="B3097" s="1">
        <v>45308</v>
      </c>
      <c r="D3097" t="s">
        <v>25</v>
      </c>
      <c r="E3097" t="s">
        <v>113</v>
      </c>
      <c r="F3097" t="s">
        <v>114</v>
      </c>
      <c r="G3097">
        <v>3</v>
      </c>
      <c r="H3097">
        <v>119.99</v>
      </c>
      <c r="J3097">
        <v>359.97</v>
      </c>
      <c r="K3097" t="s">
        <v>53</v>
      </c>
      <c r="L3097" t="s">
        <v>17</v>
      </c>
      <c r="M3097" t="s">
        <v>76</v>
      </c>
    </row>
    <row r="3098" spans="1:13" x14ac:dyDescent="0.2">
      <c r="A3098">
        <v>612861</v>
      </c>
      <c r="B3098" s="1">
        <v>45192</v>
      </c>
      <c r="C3098">
        <v>74631</v>
      </c>
      <c r="D3098" t="s">
        <v>63</v>
      </c>
      <c r="E3098" t="s">
        <v>131</v>
      </c>
      <c r="F3098" t="s">
        <v>132</v>
      </c>
      <c r="G3098">
        <v>2</v>
      </c>
      <c r="H3098">
        <v>3.14</v>
      </c>
      <c r="I3098">
        <v>0.1</v>
      </c>
      <c r="J3098">
        <v>5.65</v>
      </c>
      <c r="K3098" t="s">
        <v>22</v>
      </c>
      <c r="L3098" t="s">
        <v>17</v>
      </c>
      <c r="M3098" t="s">
        <v>67</v>
      </c>
    </row>
    <row r="3099" spans="1:13" x14ac:dyDescent="0.2">
      <c r="A3099">
        <v>612977</v>
      </c>
      <c r="B3099" s="1">
        <v>44995</v>
      </c>
      <c r="C3099">
        <v>42208</v>
      </c>
      <c r="D3099" t="s">
        <v>63</v>
      </c>
      <c r="E3099" t="s">
        <v>64</v>
      </c>
      <c r="F3099" t="s">
        <v>65</v>
      </c>
      <c r="G3099">
        <v>2</v>
      </c>
      <c r="H3099">
        <v>4.99</v>
      </c>
      <c r="J3099">
        <v>9.98</v>
      </c>
      <c r="K3099" t="s">
        <v>95</v>
      </c>
      <c r="L3099" t="s">
        <v>23</v>
      </c>
      <c r="M3099" t="s">
        <v>81</v>
      </c>
    </row>
    <row r="3100" spans="1:13" x14ac:dyDescent="0.2">
      <c r="A3100">
        <v>613132</v>
      </c>
      <c r="B3100" s="2">
        <v>45100</v>
      </c>
      <c r="C3100">
        <v>60551</v>
      </c>
      <c r="D3100" t="s">
        <v>48</v>
      </c>
      <c r="E3100" t="s">
        <v>143</v>
      </c>
      <c r="F3100" t="s">
        <v>144</v>
      </c>
      <c r="G3100">
        <v>1</v>
      </c>
      <c r="H3100">
        <v>14.24</v>
      </c>
      <c r="I3100">
        <v>0.05</v>
      </c>
      <c r="J3100">
        <v>13.53</v>
      </c>
      <c r="K3100" t="s">
        <v>22</v>
      </c>
      <c r="L3100" t="s">
        <v>17</v>
      </c>
      <c r="M3100" t="s">
        <v>43</v>
      </c>
    </row>
    <row r="3101" spans="1:13" x14ac:dyDescent="0.2">
      <c r="A3101">
        <v>613399</v>
      </c>
      <c r="B3101" s="1">
        <v>44787</v>
      </c>
      <c r="C3101">
        <v>86618</v>
      </c>
      <c r="D3101" t="s">
        <v>44</v>
      </c>
      <c r="E3101" t="s">
        <v>45</v>
      </c>
      <c r="F3101" t="s">
        <v>46</v>
      </c>
      <c r="G3101">
        <v>2</v>
      </c>
      <c r="H3101">
        <v>1.25</v>
      </c>
      <c r="J3101">
        <v>2.5</v>
      </c>
      <c r="K3101" t="s">
        <v>16</v>
      </c>
      <c r="L3101" t="s">
        <v>17</v>
      </c>
      <c r="M3101" t="s">
        <v>62</v>
      </c>
    </row>
    <row r="3102" spans="1:13" x14ac:dyDescent="0.2">
      <c r="A3102">
        <v>613769</v>
      </c>
      <c r="B3102" s="1">
        <v>45403</v>
      </c>
      <c r="C3102">
        <v>46588</v>
      </c>
      <c r="D3102" t="s">
        <v>63</v>
      </c>
      <c r="E3102" t="s">
        <v>111</v>
      </c>
      <c r="F3102" t="s">
        <v>112</v>
      </c>
      <c r="G3102">
        <v>1</v>
      </c>
      <c r="H3102">
        <v>14.24</v>
      </c>
      <c r="I3102">
        <v>0.05</v>
      </c>
      <c r="J3102">
        <v>13.53</v>
      </c>
      <c r="K3102" t="s">
        <v>16</v>
      </c>
      <c r="L3102" t="s">
        <v>37</v>
      </c>
      <c r="M3102" t="s">
        <v>18</v>
      </c>
    </row>
    <row r="3103" spans="1:13" x14ac:dyDescent="0.2">
      <c r="A3103">
        <v>613770</v>
      </c>
      <c r="B3103" s="1">
        <v>45100</v>
      </c>
      <c r="C3103">
        <v>84748</v>
      </c>
      <c r="D3103" t="s">
        <v>48</v>
      </c>
      <c r="E3103" t="s">
        <v>139</v>
      </c>
      <c r="F3103" t="s">
        <v>140</v>
      </c>
      <c r="G3103">
        <v>2</v>
      </c>
      <c r="H3103">
        <v>7.99</v>
      </c>
      <c r="J3103">
        <v>15.98</v>
      </c>
      <c r="K3103" t="s">
        <v>16</v>
      </c>
      <c r="L3103" t="s">
        <v>17</v>
      </c>
      <c r="M3103" t="s">
        <v>120</v>
      </c>
    </row>
    <row r="3104" spans="1:13" x14ac:dyDescent="0.2">
      <c r="A3104">
        <v>614005</v>
      </c>
      <c r="B3104" s="1">
        <v>44615</v>
      </c>
      <c r="C3104">
        <v>89875</v>
      </c>
      <c r="D3104" t="s">
        <v>40</v>
      </c>
      <c r="E3104" t="s">
        <v>58</v>
      </c>
      <c r="F3104" t="s">
        <v>59</v>
      </c>
      <c r="G3104">
        <v>5</v>
      </c>
      <c r="H3104">
        <v>3.79</v>
      </c>
      <c r="I3104">
        <v>0.05</v>
      </c>
      <c r="J3104">
        <v>18</v>
      </c>
      <c r="K3104" t="s">
        <v>16</v>
      </c>
      <c r="L3104" t="s">
        <v>37</v>
      </c>
      <c r="M3104" t="s">
        <v>47</v>
      </c>
    </row>
    <row r="3105" spans="1:13" x14ac:dyDescent="0.2">
      <c r="A3105">
        <v>614069</v>
      </c>
      <c r="B3105" s="1">
        <v>45331</v>
      </c>
      <c r="C3105">
        <v>27780</v>
      </c>
      <c r="D3105" t="s">
        <v>44</v>
      </c>
      <c r="E3105" t="s">
        <v>107</v>
      </c>
      <c r="F3105" t="s">
        <v>108</v>
      </c>
      <c r="G3105">
        <v>5</v>
      </c>
      <c r="H3105">
        <v>2.97</v>
      </c>
      <c r="I3105">
        <v>0.15</v>
      </c>
      <c r="J3105">
        <v>12.62</v>
      </c>
      <c r="K3105" t="s">
        <v>16</v>
      </c>
      <c r="L3105" t="s">
        <v>23</v>
      </c>
      <c r="M3105" t="s">
        <v>24</v>
      </c>
    </row>
    <row r="3106" spans="1:13" x14ac:dyDescent="0.2">
      <c r="A3106">
        <v>614393</v>
      </c>
      <c r="B3106" s="2">
        <v>44766</v>
      </c>
      <c r="C3106">
        <v>84376</v>
      </c>
      <c r="D3106" t="s">
        <v>85</v>
      </c>
      <c r="E3106" t="s">
        <v>137</v>
      </c>
      <c r="F3106" t="s">
        <v>138</v>
      </c>
      <c r="G3106">
        <v>2</v>
      </c>
      <c r="H3106">
        <v>7.99</v>
      </c>
      <c r="J3106">
        <v>15.98</v>
      </c>
      <c r="K3106" t="s">
        <v>36</v>
      </c>
      <c r="L3106" t="s">
        <v>37</v>
      </c>
      <c r="M3106" t="s">
        <v>47</v>
      </c>
    </row>
    <row r="3107" spans="1:13" x14ac:dyDescent="0.2">
      <c r="A3107">
        <v>614503</v>
      </c>
      <c r="B3107" s="1">
        <v>45630</v>
      </c>
      <c r="C3107">
        <v>15763</v>
      </c>
      <c r="D3107" t="s">
        <v>48</v>
      </c>
      <c r="E3107" t="s">
        <v>139</v>
      </c>
      <c r="F3107" t="s">
        <v>140</v>
      </c>
      <c r="G3107">
        <v>2</v>
      </c>
      <c r="H3107">
        <v>5.59</v>
      </c>
      <c r="I3107">
        <v>0.3</v>
      </c>
      <c r="J3107">
        <v>7.83</v>
      </c>
      <c r="K3107" t="s">
        <v>95</v>
      </c>
      <c r="L3107" t="s">
        <v>37</v>
      </c>
      <c r="M3107" t="s">
        <v>117</v>
      </c>
    </row>
    <row r="3108" spans="1:13" x14ac:dyDescent="0.2">
      <c r="A3108">
        <v>615010</v>
      </c>
      <c r="B3108" s="2">
        <v>44912</v>
      </c>
      <c r="D3108" t="s">
        <v>63</v>
      </c>
      <c r="E3108" t="s">
        <v>125</v>
      </c>
      <c r="F3108" t="s">
        <v>126</v>
      </c>
      <c r="G3108">
        <v>3</v>
      </c>
      <c r="H3108">
        <v>28.49</v>
      </c>
      <c r="I3108">
        <v>0.05</v>
      </c>
      <c r="J3108">
        <v>81.2</v>
      </c>
      <c r="K3108" t="s">
        <v>16</v>
      </c>
      <c r="L3108" t="s">
        <v>37</v>
      </c>
      <c r="M3108" t="s">
        <v>33</v>
      </c>
    </row>
    <row r="3109" spans="1:13" x14ac:dyDescent="0.2">
      <c r="A3109">
        <v>615057</v>
      </c>
      <c r="B3109" s="2">
        <v>45016</v>
      </c>
      <c r="C3109">
        <v>43741</v>
      </c>
      <c r="D3109" t="s">
        <v>25</v>
      </c>
      <c r="E3109" t="s">
        <v>51</v>
      </c>
      <c r="F3109" t="s">
        <v>52</v>
      </c>
      <c r="G3109">
        <v>1</v>
      </c>
      <c r="H3109">
        <v>22.39</v>
      </c>
      <c r="I3109">
        <v>0.2</v>
      </c>
      <c r="J3109">
        <v>17.91</v>
      </c>
      <c r="K3109" t="s">
        <v>16</v>
      </c>
      <c r="L3109" t="s">
        <v>17</v>
      </c>
      <c r="M3109" t="s">
        <v>81</v>
      </c>
    </row>
    <row r="3110" spans="1:13" x14ac:dyDescent="0.2">
      <c r="A3110">
        <v>615138</v>
      </c>
      <c r="B3110" s="1">
        <v>45454</v>
      </c>
      <c r="C3110">
        <v>96169</v>
      </c>
      <c r="D3110" t="s">
        <v>29</v>
      </c>
      <c r="E3110" t="s">
        <v>175</v>
      </c>
      <c r="F3110" t="s">
        <v>176</v>
      </c>
      <c r="G3110">
        <v>1</v>
      </c>
      <c r="H3110">
        <v>11.99</v>
      </c>
      <c r="J3110">
        <v>11.99</v>
      </c>
      <c r="K3110" t="s">
        <v>53</v>
      </c>
      <c r="L3110" t="s">
        <v>17</v>
      </c>
      <c r="M3110" t="s">
        <v>161</v>
      </c>
    </row>
    <row r="3111" spans="1:13" x14ac:dyDescent="0.2">
      <c r="A3111">
        <v>615375</v>
      </c>
      <c r="B3111" s="2">
        <v>45624</v>
      </c>
      <c r="C3111">
        <v>25540</v>
      </c>
      <c r="D3111" t="s">
        <v>29</v>
      </c>
      <c r="E3111" t="s">
        <v>170</v>
      </c>
      <c r="F3111" t="s">
        <v>171</v>
      </c>
      <c r="G3111">
        <v>1</v>
      </c>
      <c r="H3111">
        <v>11.24</v>
      </c>
      <c r="I3111">
        <v>0.25</v>
      </c>
      <c r="J3111">
        <v>8.43</v>
      </c>
      <c r="K3111" t="s">
        <v>22</v>
      </c>
      <c r="L3111" t="s">
        <v>17</v>
      </c>
      <c r="M3111" t="s">
        <v>161</v>
      </c>
    </row>
    <row r="3112" spans="1:13" x14ac:dyDescent="0.2">
      <c r="A3112">
        <v>615455</v>
      </c>
      <c r="B3112" s="1">
        <v>44713</v>
      </c>
      <c r="C3112">
        <v>68284</v>
      </c>
      <c r="D3112" t="s">
        <v>82</v>
      </c>
      <c r="E3112" t="s">
        <v>155</v>
      </c>
      <c r="F3112" t="s">
        <v>156</v>
      </c>
      <c r="G3112">
        <v>5</v>
      </c>
      <c r="H3112">
        <v>14.99</v>
      </c>
      <c r="I3112">
        <v>0.25</v>
      </c>
      <c r="J3112">
        <v>56.21</v>
      </c>
      <c r="K3112" t="s">
        <v>16</v>
      </c>
      <c r="L3112" t="s">
        <v>37</v>
      </c>
      <c r="M3112" t="s">
        <v>43</v>
      </c>
    </row>
    <row r="3113" spans="1:13" x14ac:dyDescent="0.2">
      <c r="A3113">
        <v>615457</v>
      </c>
      <c r="B3113" s="2">
        <v>45052</v>
      </c>
      <c r="C3113">
        <v>98291</v>
      </c>
      <c r="D3113" t="s">
        <v>13</v>
      </c>
      <c r="E3113" t="s">
        <v>127</v>
      </c>
      <c r="F3113" t="s">
        <v>128</v>
      </c>
      <c r="G3113">
        <v>2</v>
      </c>
      <c r="H3113">
        <v>18.989999999999998</v>
      </c>
      <c r="I3113">
        <v>0.05</v>
      </c>
      <c r="J3113">
        <v>36.08</v>
      </c>
      <c r="K3113" t="s">
        <v>22</v>
      </c>
      <c r="L3113" t="s">
        <v>17</v>
      </c>
      <c r="M3113" t="s">
        <v>24</v>
      </c>
    </row>
    <row r="3114" spans="1:13" x14ac:dyDescent="0.2">
      <c r="A3114">
        <v>615482</v>
      </c>
      <c r="B3114" s="1">
        <v>45360</v>
      </c>
      <c r="C3114">
        <v>30468</v>
      </c>
      <c r="D3114" t="s">
        <v>85</v>
      </c>
      <c r="E3114" t="s">
        <v>149</v>
      </c>
      <c r="F3114" t="s">
        <v>150</v>
      </c>
      <c r="G3114">
        <v>2</v>
      </c>
      <c r="H3114">
        <v>14.99</v>
      </c>
      <c r="I3114">
        <v>0.25</v>
      </c>
      <c r="J3114">
        <v>22.48</v>
      </c>
      <c r="K3114" t="s">
        <v>53</v>
      </c>
      <c r="L3114" t="s">
        <v>17</v>
      </c>
      <c r="M3114" t="s">
        <v>57</v>
      </c>
    </row>
    <row r="3115" spans="1:13" x14ac:dyDescent="0.2">
      <c r="A3115">
        <v>615604</v>
      </c>
      <c r="B3115" s="1">
        <v>45191</v>
      </c>
      <c r="C3115">
        <v>84467</v>
      </c>
      <c r="D3115" t="s">
        <v>85</v>
      </c>
      <c r="E3115" t="s">
        <v>86</v>
      </c>
      <c r="F3115" t="s">
        <v>87</v>
      </c>
      <c r="G3115">
        <v>5</v>
      </c>
      <c r="H3115">
        <v>12.34</v>
      </c>
      <c r="I3115">
        <v>0.05</v>
      </c>
      <c r="J3115">
        <v>58.62</v>
      </c>
      <c r="K3115" t="s">
        <v>16</v>
      </c>
      <c r="L3115" t="s">
        <v>37</v>
      </c>
    </row>
    <row r="3116" spans="1:13" x14ac:dyDescent="0.2">
      <c r="A3116">
        <v>615854</v>
      </c>
      <c r="B3116" s="1">
        <v>45551</v>
      </c>
      <c r="C3116">
        <v>72079</v>
      </c>
      <c r="D3116" t="s">
        <v>48</v>
      </c>
      <c r="E3116" t="s">
        <v>179</v>
      </c>
      <c r="F3116" t="s">
        <v>180</v>
      </c>
      <c r="G3116">
        <v>2</v>
      </c>
      <c r="H3116">
        <v>8.39</v>
      </c>
      <c r="I3116">
        <v>0.3</v>
      </c>
      <c r="J3116">
        <v>11.75</v>
      </c>
      <c r="K3116" t="s">
        <v>22</v>
      </c>
      <c r="L3116" t="s">
        <v>17</v>
      </c>
      <c r="M3116" t="s">
        <v>54</v>
      </c>
    </row>
    <row r="3117" spans="1:13" x14ac:dyDescent="0.2">
      <c r="A3117">
        <v>615917</v>
      </c>
      <c r="B3117" s="2">
        <v>45499</v>
      </c>
      <c r="C3117">
        <v>26296</v>
      </c>
      <c r="D3117" t="s">
        <v>82</v>
      </c>
      <c r="E3117" t="s">
        <v>168</v>
      </c>
      <c r="F3117" t="s">
        <v>169</v>
      </c>
      <c r="G3117">
        <v>1</v>
      </c>
      <c r="H3117">
        <v>8.5399999999999991</v>
      </c>
      <c r="I3117">
        <v>0.05</v>
      </c>
      <c r="J3117">
        <v>8.11</v>
      </c>
      <c r="K3117" t="s">
        <v>95</v>
      </c>
      <c r="L3117" t="s">
        <v>37</v>
      </c>
      <c r="M3117" t="s">
        <v>67</v>
      </c>
    </row>
    <row r="3118" spans="1:13" x14ac:dyDescent="0.2">
      <c r="A3118">
        <v>616022</v>
      </c>
      <c r="B3118" s="1">
        <v>45654</v>
      </c>
      <c r="C3118">
        <v>90657</v>
      </c>
      <c r="D3118" t="s">
        <v>40</v>
      </c>
      <c r="E3118" t="s">
        <v>197</v>
      </c>
      <c r="F3118" t="s">
        <v>198</v>
      </c>
      <c r="G3118">
        <v>5</v>
      </c>
      <c r="H3118">
        <v>14.99</v>
      </c>
      <c r="J3118">
        <v>74.95</v>
      </c>
      <c r="K3118" t="s">
        <v>32</v>
      </c>
      <c r="L3118" t="s">
        <v>23</v>
      </c>
      <c r="M3118" t="s">
        <v>117</v>
      </c>
    </row>
    <row r="3119" spans="1:13" x14ac:dyDescent="0.2">
      <c r="A3119">
        <v>616064</v>
      </c>
      <c r="B3119" s="2">
        <v>44839</v>
      </c>
      <c r="C3119">
        <v>78845</v>
      </c>
      <c r="D3119" t="s">
        <v>85</v>
      </c>
      <c r="E3119" t="s">
        <v>145</v>
      </c>
      <c r="F3119" t="s">
        <v>146</v>
      </c>
      <c r="G3119">
        <v>3</v>
      </c>
      <c r="H3119">
        <v>16.989999999999998</v>
      </c>
      <c r="J3119">
        <v>50.97</v>
      </c>
      <c r="K3119" t="s">
        <v>36</v>
      </c>
      <c r="L3119" t="s">
        <v>23</v>
      </c>
      <c r="M3119" t="s">
        <v>81</v>
      </c>
    </row>
    <row r="3120" spans="1:13" x14ac:dyDescent="0.2">
      <c r="A3120">
        <v>616372</v>
      </c>
      <c r="B3120" s="1">
        <v>44941</v>
      </c>
      <c r="C3120">
        <v>40209</v>
      </c>
      <c r="D3120" t="s">
        <v>25</v>
      </c>
      <c r="E3120" t="s">
        <v>60</v>
      </c>
      <c r="F3120" t="s">
        <v>61</v>
      </c>
      <c r="G3120">
        <v>3</v>
      </c>
      <c r="H3120">
        <v>54.99</v>
      </c>
      <c r="J3120">
        <v>164.97</v>
      </c>
      <c r="K3120" t="s">
        <v>36</v>
      </c>
      <c r="L3120" t="s">
        <v>17</v>
      </c>
      <c r="M3120" t="s">
        <v>120</v>
      </c>
    </row>
    <row r="3121" spans="1:13" x14ac:dyDescent="0.2">
      <c r="A3121">
        <v>616645</v>
      </c>
      <c r="B3121" s="1">
        <v>44635</v>
      </c>
      <c r="C3121">
        <v>35028</v>
      </c>
      <c r="D3121" t="s">
        <v>44</v>
      </c>
      <c r="E3121" t="s">
        <v>107</v>
      </c>
      <c r="F3121" t="s">
        <v>108</v>
      </c>
      <c r="G3121">
        <v>2</v>
      </c>
      <c r="H3121">
        <v>2.44</v>
      </c>
      <c r="I3121">
        <v>0.3</v>
      </c>
      <c r="J3121">
        <v>3.42</v>
      </c>
      <c r="K3121" t="s">
        <v>16</v>
      </c>
      <c r="L3121" t="s">
        <v>17</v>
      </c>
      <c r="M3121" t="s">
        <v>54</v>
      </c>
    </row>
    <row r="3122" spans="1:13" x14ac:dyDescent="0.2">
      <c r="A3122">
        <v>616783</v>
      </c>
      <c r="B3122" s="2">
        <v>44670</v>
      </c>
      <c r="C3122">
        <v>99593</v>
      </c>
      <c r="D3122" t="s">
        <v>85</v>
      </c>
      <c r="E3122" t="s">
        <v>145</v>
      </c>
      <c r="F3122" t="s">
        <v>146</v>
      </c>
      <c r="G3122">
        <v>2</v>
      </c>
      <c r="H3122">
        <v>16.14</v>
      </c>
      <c r="I3122">
        <v>0.05</v>
      </c>
      <c r="J3122">
        <v>30.67</v>
      </c>
      <c r="K3122" t="s">
        <v>36</v>
      </c>
      <c r="L3122" t="s">
        <v>17</v>
      </c>
      <c r="M3122" t="s">
        <v>123</v>
      </c>
    </row>
    <row r="3123" spans="1:13" x14ac:dyDescent="0.2">
      <c r="A3123">
        <v>616942</v>
      </c>
      <c r="B3123" s="1">
        <v>44936</v>
      </c>
      <c r="C3123">
        <v>44359</v>
      </c>
      <c r="D3123" t="s">
        <v>63</v>
      </c>
      <c r="E3123" t="s">
        <v>131</v>
      </c>
      <c r="F3123" t="s">
        <v>132</v>
      </c>
      <c r="G3123">
        <v>5</v>
      </c>
      <c r="H3123">
        <v>3.49</v>
      </c>
      <c r="J3123">
        <v>17.45</v>
      </c>
      <c r="K3123" t="s">
        <v>36</v>
      </c>
      <c r="L3123" t="s">
        <v>37</v>
      </c>
      <c r="M3123" t="s">
        <v>76</v>
      </c>
    </row>
    <row r="3124" spans="1:13" x14ac:dyDescent="0.2">
      <c r="A3124">
        <v>617454</v>
      </c>
      <c r="B3124" s="2">
        <v>44578</v>
      </c>
      <c r="C3124">
        <v>70103</v>
      </c>
      <c r="D3124" t="s">
        <v>82</v>
      </c>
      <c r="E3124" t="s">
        <v>100</v>
      </c>
      <c r="F3124" t="s">
        <v>101</v>
      </c>
      <c r="G3124">
        <v>1</v>
      </c>
      <c r="H3124">
        <v>16.09</v>
      </c>
      <c r="I3124">
        <v>0.3</v>
      </c>
      <c r="J3124">
        <v>11.26</v>
      </c>
      <c r="K3124" t="s">
        <v>16</v>
      </c>
      <c r="L3124" t="s">
        <v>17</v>
      </c>
      <c r="M3124" t="s">
        <v>57</v>
      </c>
    </row>
    <row r="3125" spans="1:13" x14ac:dyDescent="0.2">
      <c r="A3125">
        <v>617494</v>
      </c>
      <c r="B3125" s="1">
        <v>45364</v>
      </c>
      <c r="D3125" t="s">
        <v>82</v>
      </c>
      <c r="E3125" t="s">
        <v>100</v>
      </c>
      <c r="F3125" t="s">
        <v>101</v>
      </c>
      <c r="G3125">
        <v>1</v>
      </c>
      <c r="H3125">
        <v>17.239999999999998</v>
      </c>
      <c r="I3125">
        <v>0.25</v>
      </c>
      <c r="J3125">
        <v>12.93</v>
      </c>
      <c r="K3125" t="s">
        <v>22</v>
      </c>
      <c r="L3125" t="s">
        <v>17</v>
      </c>
      <c r="M3125" t="s">
        <v>102</v>
      </c>
    </row>
    <row r="3126" spans="1:13" x14ac:dyDescent="0.2">
      <c r="A3126">
        <v>617550</v>
      </c>
      <c r="B3126" s="1">
        <v>44638</v>
      </c>
      <c r="C3126">
        <v>69802</v>
      </c>
      <c r="D3126" t="s">
        <v>97</v>
      </c>
      <c r="E3126" t="s">
        <v>151</v>
      </c>
      <c r="F3126" t="s">
        <v>152</v>
      </c>
      <c r="G3126">
        <v>1</v>
      </c>
      <c r="H3126">
        <v>33.24</v>
      </c>
      <c r="I3126">
        <v>0.05</v>
      </c>
      <c r="J3126">
        <v>31.58</v>
      </c>
      <c r="K3126" t="s">
        <v>16</v>
      </c>
      <c r="L3126" t="s">
        <v>37</v>
      </c>
      <c r="M3126" t="s">
        <v>123</v>
      </c>
    </row>
    <row r="3127" spans="1:13" x14ac:dyDescent="0.2">
      <c r="A3127">
        <v>617666</v>
      </c>
      <c r="B3127" s="2">
        <v>45095</v>
      </c>
      <c r="C3127">
        <v>55422</v>
      </c>
      <c r="D3127" t="s">
        <v>29</v>
      </c>
      <c r="E3127" t="s">
        <v>72</v>
      </c>
      <c r="F3127" t="s">
        <v>73</v>
      </c>
      <c r="G3127">
        <v>3</v>
      </c>
      <c r="H3127">
        <v>39.99</v>
      </c>
      <c r="J3127">
        <v>119.97</v>
      </c>
      <c r="K3127" t="s">
        <v>36</v>
      </c>
      <c r="L3127" t="s">
        <v>17</v>
      </c>
      <c r="M3127" t="s">
        <v>103</v>
      </c>
    </row>
    <row r="3128" spans="1:13" x14ac:dyDescent="0.2">
      <c r="A3128">
        <v>617733</v>
      </c>
      <c r="B3128" s="1">
        <v>45570</v>
      </c>
      <c r="C3128">
        <v>20053</v>
      </c>
      <c r="D3128" t="s">
        <v>200</v>
      </c>
      <c r="E3128" t="s">
        <v>70</v>
      </c>
      <c r="F3128" t="s">
        <v>71</v>
      </c>
      <c r="G3128">
        <v>4</v>
      </c>
      <c r="H3128">
        <v>62.99</v>
      </c>
      <c r="I3128">
        <v>0.3</v>
      </c>
      <c r="J3128">
        <v>176.37</v>
      </c>
      <c r="K3128" t="s">
        <v>16</v>
      </c>
      <c r="L3128" t="s">
        <v>17</v>
      </c>
      <c r="M3128" t="s">
        <v>47</v>
      </c>
    </row>
    <row r="3129" spans="1:13" x14ac:dyDescent="0.2">
      <c r="A3129">
        <v>617736</v>
      </c>
      <c r="B3129" s="1">
        <v>45585</v>
      </c>
      <c r="C3129">
        <v>25062</v>
      </c>
      <c r="D3129" t="s">
        <v>85</v>
      </c>
      <c r="E3129" t="s">
        <v>149</v>
      </c>
      <c r="F3129" t="s">
        <v>150</v>
      </c>
      <c r="G3129">
        <v>2</v>
      </c>
      <c r="H3129">
        <v>19.989999999999998</v>
      </c>
      <c r="J3129">
        <v>39.979999999999997</v>
      </c>
      <c r="K3129" t="s">
        <v>22</v>
      </c>
      <c r="L3129" t="s">
        <v>37</v>
      </c>
      <c r="M3129" t="s">
        <v>76</v>
      </c>
    </row>
    <row r="3130" spans="1:13" x14ac:dyDescent="0.2">
      <c r="A3130">
        <v>617810</v>
      </c>
      <c r="B3130" s="2">
        <v>45554</v>
      </c>
      <c r="C3130">
        <v>20938</v>
      </c>
      <c r="D3130" t="s">
        <v>44</v>
      </c>
      <c r="E3130" t="s">
        <v>177</v>
      </c>
      <c r="F3130" t="s">
        <v>178</v>
      </c>
      <c r="G3130">
        <v>1</v>
      </c>
      <c r="H3130">
        <v>11.39</v>
      </c>
      <c r="I3130">
        <v>0.05</v>
      </c>
      <c r="J3130">
        <v>10.82</v>
      </c>
      <c r="K3130" t="s">
        <v>53</v>
      </c>
      <c r="L3130" t="s">
        <v>37</v>
      </c>
      <c r="M3130" t="s">
        <v>102</v>
      </c>
    </row>
    <row r="3131" spans="1:13" x14ac:dyDescent="0.2">
      <c r="A3131">
        <v>617862</v>
      </c>
      <c r="B3131" s="1">
        <v>45111</v>
      </c>
      <c r="C3131">
        <v>43099</v>
      </c>
      <c r="D3131" t="s">
        <v>63</v>
      </c>
      <c r="E3131" t="s">
        <v>68</v>
      </c>
      <c r="F3131" t="s">
        <v>69</v>
      </c>
      <c r="G3131">
        <v>1</v>
      </c>
      <c r="H3131">
        <v>19.989999999999998</v>
      </c>
      <c r="I3131">
        <v>0.2</v>
      </c>
      <c r="J3131">
        <v>15.99</v>
      </c>
      <c r="K3131" t="s">
        <v>53</v>
      </c>
      <c r="L3131" t="s">
        <v>37</v>
      </c>
      <c r="M3131" t="s">
        <v>47</v>
      </c>
    </row>
    <row r="3132" spans="1:13" x14ac:dyDescent="0.2">
      <c r="A3132">
        <v>618322</v>
      </c>
      <c r="B3132" s="1">
        <v>45551</v>
      </c>
      <c r="C3132">
        <v>12539</v>
      </c>
      <c r="D3132" t="s">
        <v>29</v>
      </c>
      <c r="E3132" t="s">
        <v>72</v>
      </c>
      <c r="F3132" t="s">
        <v>73</v>
      </c>
      <c r="G3132">
        <v>4</v>
      </c>
      <c r="H3132">
        <v>39.99</v>
      </c>
      <c r="J3132">
        <v>159.96</v>
      </c>
      <c r="K3132" t="s">
        <v>36</v>
      </c>
      <c r="L3132" t="s">
        <v>37</v>
      </c>
      <c r="M3132" t="s">
        <v>47</v>
      </c>
    </row>
    <row r="3133" spans="1:13" x14ac:dyDescent="0.2">
      <c r="A3133">
        <v>618435</v>
      </c>
      <c r="B3133" s="1">
        <v>45010</v>
      </c>
      <c r="C3133">
        <v>78780</v>
      </c>
      <c r="D3133" t="s">
        <v>48</v>
      </c>
      <c r="E3133" t="s">
        <v>118</v>
      </c>
      <c r="F3133" t="s">
        <v>119</v>
      </c>
      <c r="G3133">
        <v>1</v>
      </c>
      <c r="H3133">
        <v>4.99</v>
      </c>
      <c r="J3133">
        <v>4.99</v>
      </c>
      <c r="K3133" t="s">
        <v>36</v>
      </c>
      <c r="L3133" t="s">
        <v>17</v>
      </c>
      <c r="M3133" t="s">
        <v>81</v>
      </c>
    </row>
    <row r="3134" spans="1:13" x14ac:dyDescent="0.2">
      <c r="A3134">
        <v>618643</v>
      </c>
      <c r="B3134" s="1">
        <v>45599</v>
      </c>
      <c r="C3134">
        <v>68394</v>
      </c>
      <c r="D3134" t="s">
        <v>44</v>
      </c>
      <c r="E3134" t="s">
        <v>93</v>
      </c>
      <c r="F3134" t="s">
        <v>94</v>
      </c>
      <c r="G3134">
        <v>2</v>
      </c>
      <c r="H3134">
        <v>1.1599999999999999</v>
      </c>
      <c r="I3134">
        <v>0.1</v>
      </c>
      <c r="J3134">
        <v>2.09</v>
      </c>
      <c r="K3134" t="s">
        <v>22</v>
      </c>
      <c r="L3134" t="s">
        <v>17</v>
      </c>
      <c r="M3134" t="s">
        <v>96</v>
      </c>
    </row>
    <row r="3135" spans="1:13" x14ac:dyDescent="0.2">
      <c r="A3135">
        <v>618810</v>
      </c>
      <c r="B3135" s="1">
        <v>44784</v>
      </c>
      <c r="C3135">
        <v>88075</v>
      </c>
      <c r="D3135" t="s">
        <v>48</v>
      </c>
      <c r="E3135" t="s">
        <v>179</v>
      </c>
      <c r="F3135" t="s">
        <v>180</v>
      </c>
      <c r="G3135">
        <v>1</v>
      </c>
      <c r="H3135">
        <v>11.39</v>
      </c>
      <c r="I3135">
        <v>0.05</v>
      </c>
      <c r="J3135">
        <v>10.82</v>
      </c>
      <c r="K3135" t="s">
        <v>22</v>
      </c>
      <c r="L3135" t="s">
        <v>37</v>
      </c>
      <c r="M3135" t="s">
        <v>43</v>
      </c>
    </row>
    <row r="3136" spans="1:13" x14ac:dyDescent="0.2">
      <c r="A3136">
        <v>618880</v>
      </c>
      <c r="B3136" s="1">
        <v>44914</v>
      </c>
      <c r="C3136">
        <v>84747</v>
      </c>
      <c r="D3136" t="s">
        <v>44</v>
      </c>
      <c r="E3136" t="s">
        <v>184</v>
      </c>
      <c r="F3136" t="s">
        <v>185</v>
      </c>
      <c r="G3136">
        <v>2</v>
      </c>
      <c r="H3136">
        <v>4.12</v>
      </c>
      <c r="I3136">
        <v>0.25</v>
      </c>
      <c r="J3136">
        <v>6.18</v>
      </c>
      <c r="K3136" t="s">
        <v>16</v>
      </c>
      <c r="L3136" t="s">
        <v>17</v>
      </c>
      <c r="M3136" t="s">
        <v>103</v>
      </c>
    </row>
    <row r="3137" spans="1:13" x14ac:dyDescent="0.2">
      <c r="A3137">
        <v>618924</v>
      </c>
      <c r="B3137" s="1">
        <v>44919</v>
      </c>
      <c r="C3137">
        <v>19359</v>
      </c>
      <c r="D3137" t="s">
        <v>82</v>
      </c>
      <c r="E3137" t="s">
        <v>168</v>
      </c>
      <c r="F3137" t="s">
        <v>169</v>
      </c>
      <c r="G3137">
        <v>1</v>
      </c>
      <c r="H3137">
        <v>8.99</v>
      </c>
      <c r="J3137">
        <v>8.99</v>
      </c>
      <c r="K3137" t="s">
        <v>16</v>
      </c>
      <c r="L3137" t="s">
        <v>17</v>
      </c>
      <c r="M3137" t="s">
        <v>103</v>
      </c>
    </row>
    <row r="3138" spans="1:13" x14ac:dyDescent="0.2">
      <c r="A3138">
        <v>618933</v>
      </c>
      <c r="B3138" s="2">
        <v>45091</v>
      </c>
      <c r="C3138">
        <v>65266</v>
      </c>
      <c r="D3138" t="s">
        <v>97</v>
      </c>
      <c r="E3138" t="s">
        <v>181</v>
      </c>
      <c r="F3138" t="s">
        <v>182</v>
      </c>
      <c r="G3138">
        <v>3</v>
      </c>
      <c r="H3138">
        <v>12.74</v>
      </c>
      <c r="I3138">
        <v>0.15</v>
      </c>
      <c r="J3138">
        <v>32.49</v>
      </c>
      <c r="K3138" t="s">
        <v>36</v>
      </c>
      <c r="L3138" t="s">
        <v>17</v>
      </c>
      <c r="M3138" t="s">
        <v>161</v>
      </c>
    </row>
    <row r="3139" spans="1:13" x14ac:dyDescent="0.2">
      <c r="A3139">
        <v>619142</v>
      </c>
      <c r="B3139" s="1">
        <v>44841</v>
      </c>
      <c r="C3139">
        <v>35251</v>
      </c>
      <c r="D3139" t="s">
        <v>63</v>
      </c>
      <c r="E3139" t="s">
        <v>111</v>
      </c>
      <c r="F3139" t="s">
        <v>112</v>
      </c>
      <c r="G3139">
        <v>4</v>
      </c>
      <c r="H3139">
        <v>11.24</v>
      </c>
      <c r="I3139">
        <v>0.25</v>
      </c>
      <c r="J3139">
        <v>33.72</v>
      </c>
      <c r="K3139" t="s">
        <v>36</v>
      </c>
      <c r="L3139" t="s">
        <v>17</v>
      </c>
      <c r="M3139" t="s">
        <v>102</v>
      </c>
    </row>
    <row r="3140" spans="1:13" x14ac:dyDescent="0.2">
      <c r="A3140">
        <v>619452</v>
      </c>
      <c r="B3140" s="1">
        <v>45582</v>
      </c>
      <c r="C3140">
        <v>61280</v>
      </c>
      <c r="D3140" t="s">
        <v>174</v>
      </c>
      <c r="E3140" t="s">
        <v>153</v>
      </c>
      <c r="F3140" t="s">
        <v>154</v>
      </c>
      <c r="G3140">
        <v>1</v>
      </c>
      <c r="H3140">
        <v>23.99</v>
      </c>
      <c r="I3140">
        <v>0.2</v>
      </c>
      <c r="J3140">
        <v>19.190000000000001</v>
      </c>
      <c r="K3140" t="s">
        <v>36</v>
      </c>
      <c r="L3140" t="s">
        <v>17</v>
      </c>
      <c r="M3140" t="s">
        <v>67</v>
      </c>
    </row>
    <row r="3141" spans="1:13" x14ac:dyDescent="0.2">
      <c r="A3141">
        <v>619571</v>
      </c>
      <c r="B3141" s="1">
        <v>44757</v>
      </c>
      <c r="C3141">
        <v>88788</v>
      </c>
      <c r="D3141" t="s">
        <v>85</v>
      </c>
      <c r="E3141" t="s">
        <v>157</v>
      </c>
      <c r="F3141" t="s">
        <v>158</v>
      </c>
      <c r="G3141">
        <v>4</v>
      </c>
      <c r="H3141">
        <v>10.79</v>
      </c>
      <c r="I3141">
        <v>0.2</v>
      </c>
      <c r="J3141">
        <v>34.53</v>
      </c>
      <c r="K3141" t="s">
        <v>32</v>
      </c>
      <c r="L3141" t="s">
        <v>17</v>
      </c>
      <c r="M3141" t="s">
        <v>33</v>
      </c>
    </row>
    <row r="3142" spans="1:13" x14ac:dyDescent="0.2">
      <c r="A3142">
        <v>619706</v>
      </c>
      <c r="B3142" s="2">
        <v>45249</v>
      </c>
      <c r="C3142">
        <v>39736</v>
      </c>
      <c r="D3142" t="s">
        <v>29</v>
      </c>
      <c r="E3142" t="s">
        <v>72</v>
      </c>
      <c r="F3142" t="s">
        <v>73</v>
      </c>
      <c r="G3142">
        <v>1</v>
      </c>
      <c r="H3142">
        <v>35.99</v>
      </c>
      <c r="I3142">
        <v>0.1</v>
      </c>
      <c r="J3142">
        <v>32.39</v>
      </c>
      <c r="K3142" t="s">
        <v>36</v>
      </c>
      <c r="L3142" t="s">
        <v>23</v>
      </c>
      <c r="M3142" t="s">
        <v>76</v>
      </c>
    </row>
    <row r="3143" spans="1:13" x14ac:dyDescent="0.2">
      <c r="A3143">
        <v>619824</v>
      </c>
      <c r="B3143" s="1">
        <v>45370</v>
      </c>
      <c r="C3143">
        <v>62776</v>
      </c>
      <c r="D3143" t="s">
        <v>29</v>
      </c>
      <c r="E3143" t="s">
        <v>175</v>
      </c>
      <c r="F3143" t="s">
        <v>176</v>
      </c>
      <c r="G3143">
        <v>2</v>
      </c>
      <c r="H3143">
        <v>11.99</v>
      </c>
      <c r="J3143">
        <v>23.98</v>
      </c>
      <c r="K3143" t="s">
        <v>16</v>
      </c>
      <c r="L3143" t="s">
        <v>17</v>
      </c>
      <c r="M3143" t="s">
        <v>123</v>
      </c>
    </row>
    <row r="3144" spans="1:13" x14ac:dyDescent="0.2">
      <c r="A3144">
        <v>620063</v>
      </c>
      <c r="B3144" s="1">
        <v>45528</v>
      </c>
      <c r="C3144">
        <v>90115</v>
      </c>
      <c r="D3144" t="s">
        <v>29</v>
      </c>
      <c r="E3144" t="s">
        <v>175</v>
      </c>
      <c r="F3144" t="s">
        <v>176</v>
      </c>
      <c r="G3144">
        <v>4</v>
      </c>
      <c r="H3144">
        <v>9.59</v>
      </c>
      <c r="I3144">
        <v>0.2</v>
      </c>
      <c r="J3144">
        <v>30.69</v>
      </c>
      <c r="K3144" t="s">
        <v>16</v>
      </c>
      <c r="L3144" t="s">
        <v>17</v>
      </c>
      <c r="M3144" t="s">
        <v>96</v>
      </c>
    </row>
    <row r="3145" spans="1:13" x14ac:dyDescent="0.2">
      <c r="A3145">
        <v>620155</v>
      </c>
      <c r="B3145" s="1">
        <v>45171</v>
      </c>
      <c r="C3145">
        <v>72028</v>
      </c>
      <c r="D3145" t="s">
        <v>13</v>
      </c>
      <c r="E3145" t="s">
        <v>55</v>
      </c>
      <c r="F3145" t="s">
        <v>56</v>
      </c>
      <c r="G3145">
        <v>1</v>
      </c>
      <c r="H3145">
        <v>329.99</v>
      </c>
      <c r="J3145">
        <v>329.99</v>
      </c>
      <c r="K3145" t="s">
        <v>53</v>
      </c>
      <c r="L3145" t="s">
        <v>37</v>
      </c>
      <c r="M3145" t="s">
        <v>57</v>
      </c>
    </row>
    <row r="3146" spans="1:13" x14ac:dyDescent="0.2">
      <c r="A3146">
        <v>620690</v>
      </c>
      <c r="B3146" s="1">
        <v>45645</v>
      </c>
      <c r="D3146" t="s">
        <v>48</v>
      </c>
      <c r="E3146" t="s">
        <v>143</v>
      </c>
      <c r="F3146" t="s">
        <v>144</v>
      </c>
      <c r="G3146">
        <v>3</v>
      </c>
      <c r="H3146">
        <v>14.24</v>
      </c>
      <c r="I3146">
        <v>0.05</v>
      </c>
      <c r="J3146">
        <v>40.58</v>
      </c>
      <c r="K3146" t="s">
        <v>16</v>
      </c>
      <c r="L3146" t="s">
        <v>23</v>
      </c>
      <c r="M3146" t="s">
        <v>96</v>
      </c>
    </row>
    <row r="3147" spans="1:13" x14ac:dyDescent="0.2">
      <c r="A3147">
        <v>621048</v>
      </c>
      <c r="B3147" s="1">
        <v>44618</v>
      </c>
      <c r="C3147">
        <v>59342</v>
      </c>
      <c r="D3147" t="s">
        <v>44</v>
      </c>
      <c r="E3147" t="s">
        <v>91</v>
      </c>
      <c r="F3147" t="s">
        <v>92</v>
      </c>
      <c r="G3147">
        <v>1</v>
      </c>
      <c r="H3147">
        <v>5.35</v>
      </c>
      <c r="I3147">
        <v>0.15</v>
      </c>
      <c r="J3147">
        <v>4.55</v>
      </c>
      <c r="K3147" t="s">
        <v>36</v>
      </c>
      <c r="L3147" t="s">
        <v>17</v>
      </c>
      <c r="M3147" t="s">
        <v>54</v>
      </c>
    </row>
    <row r="3148" spans="1:13" x14ac:dyDescent="0.2">
      <c r="A3148">
        <v>621215</v>
      </c>
      <c r="B3148" s="2">
        <v>44750</v>
      </c>
      <c r="D3148" t="s">
        <v>13</v>
      </c>
      <c r="E3148" t="s">
        <v>127</v>
      </c>
      <c r="F3148" t="s">
        <v>128</v>
      </c>
      <c r="G3148">
        <v>4</v>
      </c>
      <c r="H3148">
        <v>17.989999999999998</v>
      </c>
      <c r="I3148">
        <v>0.1</v>
      </c>
      <c r="J3148">
        <v>64.760000000000005</v>
      </c>
      <c r="K3148" t="s">
        <v>36</v>
      </c>
      <c r="L3148" t="s">
        <v>23</v>
      </c>
      <c r="M3148" t="s">
        <v>161</v>
      </c>
    </row>
    <row r="3149" spans="1:13" x14ac:dyDescent="0.2">
      <c r="A3149">
        <v>621281</v>
      </c>
      <c r="B3149" s="1">
        <v>44670</v>
      </c>
      <c r="C3149">
        <v>12898</v>
      </c>
      <c r="D3149" t="s">
        <v>85</v>
      </c>
      <c r="E3149" t="s">
        <v>137</v>
      </c>
      <c r="F3149" t="s">
        <v>138</v>
      </c>
      <c r="G3149">
        <v>2</v>
      </c>
      <c r="H3149">
        <v>5.99</v>
      </c>
      <c r="I3149">
        <v>0.25</v>
      </c>
      <c r="J3149">
        <v>8.98</v>
      </c>
      <c r="K3149" t="s">
        <v>66</v>
      </c>
      <c r="L3149" t="s">
        <v>17</v>
      </c>
      <c r="M3149" t="s">
        <v>57</v>
      </c>
    </row>
    <row r="3150" spans="1:13" x14ac:dyDescent="0.2">
      <c r="A3150">
        <v>621734</v>
      </c>
      <c r="B3150" s="1">
        <v>44820</v>
      </c>
      <c r="C3150">
        <v>71606</v>
      </c>
      <c r="D3150" t="s">
        <v>29</v>
      </c>
      <c r="E3150" t="s">
        <v>170</v>
      </c>
      <c r="F3150" t="s">
        <v>171</v>
      </c>
      <c r="G3150">
        <v>1</v>
      </c>
      <c r="H3150">
        <v>13.49</v>
      </c>
      <c r="I3150">
        <v>0.1</v>
      </c>
      <c r="J3150">
        <v>12.14</v>
      </c>
      <c r="K3150" t="s">
        <v>36</v>
      </c>
      <c r="L3150" t="s">
        <v>17</v>
      </c>
      <c r="M3150" t="s">
        <v>57</v>
      </c>
    </row>
    <row r="3151" spans="1:13" x14ac:dyDescent="0.2">
      <c r="A3151">
        <v>621849</v>
      </c>
      <c r="B3151" s="1">
        <v>44870</v>
      </c>
      <c r="C3151">
        <v>50819</v>
      </c>
      <c r="D3151" t="s">
        <v>85</v>
      </c>
      <c r="E3151" t="s">
        <v>86</v>
      </c>
      <c r="F3151" t="s">
        <v>87</v>
      </c>
      <c r="G3151">
        <v>1</v>
      </c>
      <c r="H3151">
        <v>9.74</v>
      </c>
      <c r="I3151">
        <v>0.25</v>
      </c>
      <c r="J3151">
        <v>7.3</v>
      </c>
      <c r="K3151" t="s">
        <v>16</v>
      </c>
      <c r="L3151" t="s">
        <v>17</v>
      </c>
      <c r="M3151" t="s">
        <v>57</v>
      </c>
    </row>
    <row r="3152" spans="1:13" x14ac:dyDescent="0.2">
      <c r="A3152">
        <v>621852</v>
      </c>
      <c r="B3152" s="1">
        <v>45422</v>
      </c>
      <c r="C3152">
        <v>43152</v>
      </c>
      <c r="D3152" t="s">
        <v>85</v>
      </c>
      <c r="E3152" t="s">
        <v>145</v>
      </c>
      <c r="F3152" t="s">
        <v>146</v>
      </c>
      <c r="G3152">
        <v>3</v>
      </c>
      <c r="H3152">
        <v>15.29</v>
      </c>
      <c r="I3152">
        <v>0.1</v>
      </c>
      <c r="J3152">
        <v>41.28</v>
      </c>
      <c r="K3152" t="s">
        <v>36</v>
      </c>
      <c r="L3152" t="s">
        <v>17</v>
      </c>
      <c r="M3152" t="s">
        <v>81</v>
      </c>
    </row>
    <row r="3153" spans="1:13" x14ac:dyDescent="0.2">
      <c r="A3153">
        <v>622049</v>
      </c>
      <c r="B3153" s="2">
        <v>45273</v>
      </c>
      <c r="C3153">
        <v>84491</v>
      </c>
      <c r="D3153" t="s">
        <v>82</v>
      </c>
      <c r="E3153" t="s">
        <v>147</v>
      </c>
      <c r="F3153" t="s">
        <v>148</v>
      </c>
      <c r="G3153">
        <v>4</v>
      </c>
      <c r="H3153">
        <v>12.99</v>
      </c>
      <c r="J3153">
        <v>51.96</v>
      </c>
      <c r="K3153" t="s">
        <v>16</v>
      </c>
      <c r="L3153" t="s">
        <v>17</v>
      </c>
      <c r="M3153" t="s">
        <v>76</v>
      </c>
    </row>
    <row r="3154" spans="1:13" x14ac:dyDescent="0.2">
      <c r="A3154">
        <v>622210</v>
      </c>
      <c r="B3154" s="1">
        <v>44620</v>
      </c>
      <c r="C3154">
        <v>75040</v>
      </c>
      <c r="D3154" t="s">
        <v>40</v>
      </c>
      <c r="E3154" t="s">
        <v>197</v>
      </c>
      <c r="F3154" t="s">
        <v>198</v>
      </c>
      <c r="G3154">
        <v>2</v>
      </c>
      <c r="H3154">
        <v>14.99</v>
      </c>
      <c r="J3154">
        <v>29.98</v>
      </c>
      <c r="K3154" t="s">
        <v>95</v>
      </c>
      <c r="L3154" t="s">
        <v>37</v>
      </c>
      <c r="M3154" t="s">
        <v>62</v>
      </c>
    </row>
    <row r="3155" spans="1:13" x14ac:dyDescent="0.2">
      <c r="A3155">
        <v>622352</v>
      </c>
      <c r="B3155" s="1">
        <v>45588</v>
      </c>
      <c r="C3155">
        <v>55792</v>
      </c>
      <c r="D3155" t="s">
        <v>85</v>
      </c>
      <c r="E3155" t="s">
        <v>129</v>
      </c>
      <c r="F3155" t="s">
        <v>130</v>
      </c>
      <c r="G3155">
        <v>2</v>
      </c>
      <c r="H3155">
        <v>8.99</v>
      </c>
      <c r="J3155">
        <v>17.98</v>
      </c>
      <c r="K3155" t="s">
        <v>53</v>
      </c>
      <c r="L3155" t="s">
        <v>17</v>
      </c>
      <c r="M3155" t="s">
        <v>117</v>
      </c>
    </row>
    <row r="3156" spans="1:13" x14ac:dyDescent="0.2">
      <c r="A3156">
        <v>622630</v>
      </c>
      <c r="B3156" s="1">
        <v>45243</v>
      </c>
      <c r="C3156">
        <v>50843</v>
      </c>
      <c r="D3156" t="s">
        <v>48</v>
      </c>
      <c r="E3156" t="s">
        <v>143</v>
      </c>
      <c r="F3156" t="s">
        <v>144</v>
      </c>
      <c r="G3156">
        <v>1</v>
      </c>
      <c r="H3156">
        <v>11.99</v>
      </c>
      <c r="I3156">
        <v>0.2</v>
      </c>
      <c r="J3156">
        <v>9.59</v>
      </c>
      <c r="K3156" t="s">
        <v>32</v>
      </c>
      <c r="L3156" t="s">
        <v>17</v>
      </c>
      <c r="M3156" t="s">
        <v>120</v>
      </c>
    </row>
    <row r="3157" spans="1:13" x14ac:dyDescent="0.2">
      <c r="A3157">
        <v>622930</v>
      </c>
      <c r="B3157" s="1">
        <v>45095</v>
      </c>
      <c r="C3157">
        <v>85253</v>
      </c>
      <c r="D3157" t="s">
        <v>40</v>
      </c>
      <c r="E3157" t="s">
        <v>115</v>
      </c>
      <c r="F3157" t="s">
        <v>116</v>
      </c>
      <c r="G3157">
        <v>2</v>
      </c>
      <c r="H3157">
        <v>11.69</v>
      </c>
      <c r="I3157">
        <v>0.1</v>
      </c>
      <c r="J3157">
        <v>21.04</v>
      </c>
      <c r="K3157" t="s">
        <v>36</v>
      </c>
      <c r="L3157" t="s">
        <v>23</v>
      </c>
      <c r="M3157" t="s">
        <v>117</v>
      </c>
    </row>
    <row r="3158" spans="1:13" x14ac:dyDescent="0.2">
      <c r="A3158">
        <v>623307</v>
      </c>
      <c r="B3158" s="1">
        <v>44785</v>
      </c>
      <c r="C3158">
        <v>36246</v>
      </c>
      <c r="D3158" t="s">
        <v>97</v>
      </c>
      <c r="E3158" t="s">
        <v>193</v>
      </c>
      <c r="F3158" t="s">
        <v>194</v>
      </c>
      <c r="G3158">
        <v>1</v>
      </c>
      <c r="H3158">
        <v>64.989999999999995</v>
      </c>
      <c r="J3158">
        <v>64.989999999999995</v>
      </c>
      <c r="K3158" t="s">
        <v>16</v>
      </c>
      <c r="L3158" t="s">
        <v>37</v>
      </c>
      <c r="M3158" t="s">
        <v>76</v>
      </c>
    </row>
    <row r="3159" spans="1:13" x14ac:dyDescent="0.2">
      <c r="A3159">
        <v>623473</v>
      </c>
      <c r="B3159" s="1">
        <v>45249</v>
      </c>
      <c r="C3159">
        <v>15191</v>
      </c>
      <c r="D3159" t="s">
        <v>44</v>
      </c>
      <c r="E3159" t="s">
        <v>162</v>
      </c>
      <c r="F3159" t="s">
        <v>163</v>
      </c>
      <c r="G3159">
        <v>2</v>
      </c>
      <c r="H3159">
        <v>6.79</v>
      </c>
      <c r="I3159">
        <v>0.15</v>
      </c>
      <c r="J3159">
        <v>11.54</v>
      </c>
      <c r="K3159" t="s">
        <v>36</v>
      </c>
      <c r="L3159" t="s">
        <v>17</v>
      </c>
      <c r="M3159" t="s">
        <v>33</v>
      </c>
    </row>
    <row r="3160" spans="1:13" x14ac:dyDescent="0.2">
      <c r="A3160">
        <v>623516</v>
      </c>
      <c r="B3160" s="1">
        <v>45495</v>
      </c>
      <c r="C3160">
        <v>85723</v>
      </c>
      <c r="D3160" t="s">
        <v>29</v>
      </c>
      <c r="E3160" t="s">
        <v>170</v>
      </c>
      <c r="F3160" t="s">
        <v>171</v>
      </c>
      <c r="G3160">
        <v>4</v>
      </c>
      <c r="H3160">
        <v>14.99</v>
      </c>
      <c r="J3160">
        <v>59.96</v>
      </c>
      <c r="K3160" t="s">
        <v>36</v>
      </c>
      <c r="L3160" t="s">
        <v>23</v>
      </c>
      <c r="M3160" t="s">
        <v>117</v>
      </c>
    </row>
    <row r="3161" spans="1:13" x14ac:dyDescent="0.2">
      <c r="A3161">
        <v>624036</v>
      </c>
      <c r="B3161" s="1">
        <v>45164</v>
      </c>
      <c r="C3161">
        <v>34584</v>
      </c>
      <c r="D3161" t="s">
        <v>13</v>
      </c>
      <c r="E3161" t="s">
        <v>14</v>
      </c>
      <c r="F3161" t="s">
        <v>15</v>
      </c>
      <c r="G3161">
        <v>4</v>
      </c>
      <c r="H3161">
        <v>79.989999999999995</v>
      </c>
      <c r="J3161">
        <v>319.95999999999998</v>
      </c>
      <c r="K3161" t="s">
        <v>16</v>
      </c>
      <c r="L3161" t="s">
        <v>17</v>
      </c>
      <c r="M3161" t="s">
        <v>24</v>
      </c>
    </row>
    <row r="3162" spans="1:13" x14ac:dyDescent="0.2">
      <c r="A3162">
        <v>624144</v>
      </c>
      <c r="B3162" s="1">
        <v>44836</v>
      </c>
      <c r="C3162">
        <v>43648</v>
      </c>
      <c r="D3162" t="s">
        <v>85</v>
      </c>
      <c r="E3162" t="s">
        <v>153</v>
      </c>
      <c r="F3162" t="s">
        <v>154</v>
      </c>
      <c r="G3162">
        <v>1</v>
      </c>
      <c r="H3162">
        <v>28.49</v>
      </c>
      <c r="I3162">
        <v>0.05</v>
      </c>
      <c r="J3162">
        <v>27.07</v>
      </c>
      <c r="K3162" t="s">
        <v>36</v>
      </c>
      <c r="L3162" t="s">
        <v>17</v>
      </c>
      <c r="M3162" t="s">
        <v>96</v>
      </c>
    </row>
    <row r="3163" spans="1:13" x14ac:dyDescent="0.2">
      <c r="A3163">
        <v>624497</v>
      </c>
      <c r="B3163" s="1">
        <v>45338</v>
      </c>
      <c r="C3163">
        <v>77000</v>
      </c>
      <c r="D3163" t="s">
        <v>44</v>
      </c>
      <c r="E3163" t="s">
        <v>133</v>
      </c>
      <c r="F3163" t="s">
        <v>134</v>
      </c>
      <c r="G3163">
        <v>5</v>
      </c>
      <c r="H3163">
        <v>3.79</v>
      </c>
      <c r="J3163">
        <v>18.95</v>
      </c>
      <c r="K3163" t="s">
        <v>16</v>
      </c>
      <c r="L3163" t="s">
        <v>17</v>
      </c>
      <c r="M3163" t="s">
        <v>81</v>
      </c>
    </row>
    <row r="3164" spans="1:13" x14ac:dyDescent="0.2">
      <c r="A3164">
        <v>624538</v>
      </c>
      <c r="B3164" s="1">
        <v>44756</v>
      </c>
      <c r="D3164" t="s">
        <v>25</v>
      </c>
      <c r="E3164" t="s">
        <v>113</v>
      </c>
      <c r="F3164" t="s">
        <v>114</v>
      </c>
      <c r="G3164">
        <v>3</v>
      </c>
      <c r="H3164">
        <v>119.99</v>
      </c>
      <c r="J3164">
        <v>359.97</v>
      </c>
      <c r="K3164" t="s">
        <v>36</v>
      </c>
      <c r="L3164" t="s">
        <v>37</v>
      </c>
      <c r="M3164" t="s">
        <v>43</v>
      </c>
    </row>
    <row r="3165" spans="1:13" x14ac:dyDescent="0.2">
      <c r="A3165">
        <v>624668</v>
      </c>
      <c r="B3165" s="1">
        <v>45289</v>
      </c>
      <c r="C3165">
        <v>32829</v>
      </c>
      <c r="D3165" t="s">
        <v>25</v>
      </c>
      <c r="E3165" t="s">
        <v>60</v>
      </c>
      <c r="F3165" t="s">
        <v>61</v>
      </c>
      <c r="G3165">
        <v>1</v>
      </c>
      <c r="H3165">
        <v>52.24</v>
      </c>
      <c r="I3165">
        <v>0.05</v>
      </c>
      <c r="J3165">
        <v>49.63</v>
      </c>
      <c r="K3165" t="s">
        <v>22</v>
      </c>
      <c r="L3165" t="s">
        <v>37</v>
      </c>
      <c r="M3165" t="s">
        <v>161</v>
      </c>
    </row>
    <row r="3166" spans="1:13" x14ac:dyDescent="0.2">
      <c r="A3166">
        <v>624672</v>
      </c>
      <c r="B3166" s="1">
        <v>45384</v>
      </c>
      <c r="C3166">
        <v>10354</v>
      </c>
      <c r="D3166" t="s">
        <v>85</v>
      </c>
      <c r="E3166" t="s">
        <v>86</v>
      </c>
      <c r="F3166" t="s">
        <v>87</v>
      </c>
      <c r="G3166">
        <v>2</v>
      </c>
      <c r="H3166">
        <v>12.99</v>
      </c>
      <c r="J3166">
        <v>25.98</v>
      </c>
      <c r="K3166" t="s">
        <v>22</v>
      </c>
      <c r="L3166" t="s">
        <v>17</v>
      </c>
      <c r="M3166" t="s">
        <v>90</v>
      </c>
    </row>
    <row r="3167" spans="1:13" x14ac:dyDescent="0.2">
      <c r="A3167">
        <v>624740</v>
      </c>
      <c r="B3167" s="1">
        <v>45131</v>
      </c>
      <c r="C3167">
        <v>32361</v>
      </c>
      <c r="D3167" t="s">
        <v>97</v>
      </c>
      <c r="E3167" t="s">
        <v>135</v>
      </c>
      <c r="F3167" t="s">
        <v>136</v>
      </c>
      <c r="G3167">
        <v>2</v>
      </c>
      <c r="H3167">
        <v>7.99</v>
      </c>
      <c r="I3167">
        <v>0.2</v>
      </c>
      <c r="J3167">
        <v>12.78</v>
      </c>
      <c r="K3167" t="s">
        <v>32</v>
      </c>
      <c r="L3167" t="s">
        <v>17</v>
      </c>
      <c r="M3167" t="s">
        <v>103</v>
      </c>
    </row>
    <row r="3168" spans="1:13" x14ac:dyDescent="0.2">
      <c r="A3168">
        <v>624788</v>
      </c>
      <c r="B3168" s="2">
        <v>44707</v>
      </c>
      <c r="D3168" t="s">
        <v>40</v>
      </c>
      <c r="E3168" t="s">
        <v>20</v>
      </c>
      <c r="F3168" t="s">
        <v>21</v>
      </c>
      <c r="G3168">
        <v>5</v>
      </c>
      <c r="H3168">
        <v>7.49</v>
      </c>
      <c r="I3168">
        <v>0.25</v>
      </c>
      <c r="J3168">
        <v>28.09</v>
      </c>
      <c r="K3168" t="s">
        <v>36</v>
      </c>
      <c r="L3168" t="s">
        <v>37</v>
      </c>
      <c r="M3168" t="s">
        <v>28</v>
      </c>
    </row>
    <row r="3169" spans="1:13" x14ac:dyDescent="0.2">
      <c r="A3169">
        <v>624801</v>
      </c>
      <c r="B3169" s="1">
        <v>44829</v>
      </c>
      <c r="C3169">
        <v>18760</v>
      </c>
      <c r="D3169" t="s">
        <v>40</v>
      </c>
      <c r="E3169" t="s">
        <v>197</v>
      </c>
      <c r="F3169" t="s">
        <v>198</v>
      </c>
      <c r="G3169">
        <v>1</v>
      </c>
      <c r="H3169">
        <v>11.24</v>
      </c>
      <c r="I3169">
        <v>0.25</v>
      </c>
      <c r="J3169">
        <v>8.43</v>
      </c>
      <c r="K3169" t="s">
        <v>36</v>
      </c>
      <c r="L3169" t="s">
        <v>17</v>
      </c>
      <c r="M3169" t="s">
        <v>103</v>
      </c>
    </row>
    <row r="3170" spans="1:13" x14ac:dyDescent="0.2">
      <c r="A3170">
        <v>624846</v>
      </c>
      <c r="B3170" s="1">
        <v>45657</v>
      </c>
      <c r="C3170">
        <v>93950</v>
      </c>
      <c r="D3170" t="s">
        <v>97</v>
      </c>
      <c r="E3170" t="s">
        <v>141</v>
      </c>
      <c r="F3170" t="s">
        <v>142</v>
      </c>
      <c r="G3170">
        <v>1</v>
      </c>
      <c r="H3170">
        <v>22.99</v>
      </c>
      <c r="J3170">
        <v>22.99</v>
      </c>
      <c r="K3170" t="s">
        <v>22</v>
      </c>
      <c r="L3170" t="s">
        <v>17</v>
      </c>
      <c r="M3170" t="s">
        <v>33</v>
      </c>
    </row>
    <row r="3171" spans="1:13" x14ac:dyDescent="0.2">
      <c r="A3171">
        <v>625141</v>
      </c>
      <c r="B3171" s="1">
        <v>45284</v>
      </c>
      <c r="C3171">
        <v>90227</v>
      </c>
      <c r="D3171" t="s">
        <v>82</v>
      </c>
      <c r="E3171" t="s">
        <v>83</v>
      </c>
      <c r="F3171" t="s">
        <v>84</v>
      </c>
      <c r="G3171">
        <v>2</v>
      </c>
      <c r="H3171">
        <v>13.59</v>
      </c>
      <c r="J3171">
        <v>27.18</v>
      </c>
      <c r="K3171" t="s">
        <v>36</v>
      </c>
      <c r="L3171" t="s">
        <v>37</v>
      </c>
      <c r="M3171" t="s">
        <v>43</v>
      </c>
    </row>
    <row r="3172" spans="1:13" x14ac:dyDescent="0.2">
      <c r="A3172">
        <v>625161</v>
      </c>
      <c r="B3172" s="2">
        <v>45628</v>
      </c>
      <c r="C3172">
        <v>53866</v>
      </c>
      <c r="D3172" t="s">
        <v>85</v>
      </c>
      <c r="E3172" t="s">
        <v>153</v>
      </c>
      <c r="F3172" t="s">
        <v>154</v>
      </c>
      <c r="G3172">
        <v>1</v>
      </c>
      <c r="H3172">
        <v>29.99</v>
      </c>
      <c r="J3172">
        <v>29.99</v>
      </c>
      <c r="K3172" t="s">
        <v>16</v>
      </c>
      <c r="L3172" t="s">
        <v>17</v>
      </c>
      <c r="M3172" t="s">
        <v>43</v>
      </c>
    </row>
    <row r="3173" spans="1:13" x14ac:dyDescent="0.2">
      <c r="A3173">
        <v>625474</v>
      </c>
      <c r="B3173" s="1">
        <v>45132</v>
      </c>
      <c r="C3173">
        <v>90181</v>
      </c>
      <c r="D3173" t="s">
        <v>82</v>
      </c>
      <c r="E3173" t="s">
        <v>168</v>
      </c>
      <c r="F3173" t="s">
        <v>169</v>
      </c>
      <c r="G3173">
        <v>1</v>
      </c>
      <c r="H3173">
        <v>8.99</v>
      </c>
      <c r="J3173">
        <v>8.99</v>
      </c>
      <c r="K3173" t="s">
        <v>16</v>
      </c>
      <c r="L3173" t="s">
        <v>23</v>
      </c>
      <c r="M3173" t="s">
        <v>102</v>
      </c>
    </row>
    <row r="3174" spans="1:13" x14ac:dyDescent="0.2">
      <c r="A3174">
        <v>625764</v>
      </c>
      <c r="B3174" s="1">
        <v>45184</v>
      </c>
      <c r="C3174">
        <v>88938</v>
      </c>
      <c r="D3174" t="s">
        <v>40</v>
      </c>
      <c r="E3174" t="s">
        <v>58</v>
      </c>
      <c r="F3174" t="s">
        <v>59</v>
      </c>
      <c r="G3174">
        <v>1</v>
      </c>
      <c r="H3174">
        <v>3.99</v>
      </c>
      <c r="J3174">
        <v>3.99</v>
      </c>
      <c r="K3174" t="s">
        <v>22</v>
      </c>
      <c r="L3174" t="s">
        <v>17</v>
      </c>
      <c r="M3174" t="s">
        <v>33</v>
      </c>
    </row>
    <row r="3175" spans="1:13" x14ac:dyDescent="0.2">
      <c r="A3175">
        <v>625965</v>
      </c>
      <c r="B3175" s="2">
        <v>45087</v>
      </c>
      <c r="C3175">
        <v>18682</v>
      </c>
      <c r="D3175" t="s">
        <v>40</v>
      </c>
      <c r="E3175" t="s">
        <v>41</v>
      </c>
      <c r="F3175" t="s">
        <v>42</v>
      </c>
      <c r="G3175">
        <v>2</v>
      </c>
      <c r="H3175">
        <v>5.99</v>
      </c>
      <c r="J3175">
        <v>11.98</v>
      </c>
      <c r="K3175" t="s">
        <v>36</v>
      </c>
      <c r="L3175" t="s">
        <v>17</v>
      </c>
      <c r="M3175" t="s">
        <v>81</v>
      </c>
    </row>
    <row r="3176" spans="1:13" x14ac:dyDescent="0.2">
      <c r="A3176">
        <v>626266</v>
      </c>
      <c r="B3176" s="2">
        <v>45304</v>
      </c>
      <c r="C3176">
        <v>49811</v>
      </c>
      <c r="D3176" t="s">
        <v>48</v>
      </c>
      <c r="E3176" t="s">
        <v>143</v>
      </c>
      <c r="F3176" t="s">
        <v>144</v>
      </c>
      <c r="G3176">
        <v>1</v>
      </c>
      <c r="H3176">
        <v>14.99</v>
      </c>
      <c r="J3176">
        <v>14.99</v>
      </c>
      <c r="K3176" t="s">
        <v>16</v>
      </c>
      <c r="L3176" t="s">
        <v>23</v>
      </c>
      <c r="M3176" t="s">
        <v>81</v>
      </c>
    </row>
    <row r="3177" spans="1:13" x14ac:dyDescent="0.2">
      <c r="A3177">
        <v>626636</v>
      </c>
      <c r="B3177" s="1">
        <v>45236</v>
      </c>
      <c r="C3177">
        <v>14239</v>
      </c>
      <c r="D3177" t="s">
        <v>85</v>
      </c>
      <c r="E3177" t="s">
        <v>149</v>
      </c>
      <c r="F3177" t="s">
        <v>150</v>
      </c>
      <c r="G3177">
        <v>5</v>
      </c>
      <c r="H3177">
        <v>18.989999999999998</v>
      </c>
      <c r="I3177">
        <v>0.05</v>
      </c>
      <c r="J3177">
        <v>90.2</v>
      </c>
      <c r="K3177" t="s">
        <v>95</v>
      </c>
      <c r="L3177" t="s">
        <v>17</v>
      </c>
      <c r="M3177" t="s">
        <v>28</v>
      </c>
    </row>
    <row r="3178" spans="1:13" x14ac:dyDescent="0.2">
      <c r="A3178">
        <v>626895</v>
      </c>
      <c r="B3178" s="1">
        <v>45283</v>
      </c>
      <c r="C3178">
        <v>53270</v>
      </c>
      <c r="D3178" t="s">
        <v>40</v>
      </c>
      <c r="E3178" t="s">
        <v>115</v>
      </c>
      <c r="F3178" t="s">
        <v>116</v>
      </c>
      <c r="G3178">
        <v>1</v>
      </c>
      <c r="H3178">
        <v>12.99</v>
      </c>
      <c r="J3178">
        <v>12.99</v>
      </c>
      <c r="K3178" t="s">
        <v>16</v>
      </c>
      <c r="L3178" t="s">
        <v>17</v>
      </c>
      <c r="M3178" t="s">
        <v>120</v>
      </c>
    </row>
    <row r="3179" spans="1:13" x14ac:dyDescent="0.2">
      <c r="A3179">
        <v>626988</v>
      </c>
      <c r="B3179" s="1">
        <v>45625</v>
      </c>
      <c r="C3179">
        <v>15458</v>
      </c>
      <c r="D3179" t="s">
        <v>97</v>
      </c>
      <c r="E3179" t="s">
        <v>135</v>
      </c>
      <c r="F3179" t="s">
        <v>136</v>
      </c>
      <c r="G3179">
        <v>3</v>
      </c>
      <c r="H3179">
        <v>8.49</v>
      </c>
      <c r="I3179">
        <v>0.15</v>
      </c>
      <c r="J3179">
        <v>21.65</v>
      </c>
      <c r="K3179" t="s">
        <v>66</v>
      </c>
      <c r="L3179" t="s">
        <v>23</v>
      </c>
      <c r="M3179" t="s">
        <v>18</v>
      </c>
    </row>
    <row r="3180" spans="1:13" x14ac:dyDescent="0.2">
      <c r="A3180">
        <v>627025</v>
      </c>
      <c r="B3180" s="1">
        <v>44788</v>
      </c>
      <c r="C3180">
        <v>47557</v>
      </c>
      <c r="D3180" t="s">
        <v>40</v>
      </c>
      <c r="E3180" t="s">
        <v>41</v>
      </c>
      <c r="F3180" t="s">
        <v>42</v>
      </c>
      <c r="G3180">
        <v>3</v>
      </c>
      <c r="H3180">
        <v>5.99</v>
      </c>
      <c r="J3180">
        <v>17.97</v>
      </c>
      <c r="K3180" t="s">
        <v>16</v>
      </c>
      <c r="L3180" t="s">
        <v>23</v>
      </c>
      <c r="M3180" t="s">
        <v>28</v>
      </c>
    </row>
    <row r="3181" spans="1:13" x14ac:dyDescent="0.2">
      <c r="A3181">
        <v>627028</v>
      </c>
      <c r="B3181" s="2">
        <v>44664</v>
      </c>
      <c r="C3181">
        <v>53321</v>
      </c>
      <c r="D3181" t="s">
        <v>85</v>
      </c>
      <c r="E3181" t="s">
        <v>149</v>
      </c>
      <c r="F3181" t="s">
        <v>150</v>
      </c>
      <c r="G3181">
        <v>2</v>
      </c>
      <c r="H3181">
        <v>16.989999999999998</v>
      </c>
      <c r="I3181">
        <v>0.15</v>
      </c>
      <c r="J3181">
        <v>28.88</v>
      </c>
      <c r="K3181" t="s">
        <v>32</v>
      </c>
      <c r="L3181" t="s">
        <v>17</v>
      </c>
      <c r="M3181" t="s">
        <v>90</v>
      </c>
    </row>
    <row r="3182" spans="1:13" x14ac:dyDescent="0.2">
      <c r="A3182">
        <v>627246</v>
      </c>
      <c r="B3182" s="1">
        <v>45263</v>
      </c>
      <c r="C3182">
        <v>27830</v>
      </c>
      <c r="D3182" t="s">
        <v>200</v>
      </c>
      <c r="E3182" t="s">
        <v>26</v>
      </c>
      <c r="F3182" t="s">
        <v>27</v>
      </c>
      <c r="G3182">
        <v>1</v>
      </c>
      <c r="H3182">
        <v>24.49</v>
      </c>
      <c r="I3182">
        <v>0.3</v>
      </c>
      <c r="J3182">
        <v>17.14</v>
      </c>
      <c r="K3182" t="s">
        <v>36</v>
      </c>
      <c r="L3182" t="s">
        <v>17</v>
      </c>
      <c r="M3182" t="s">
        <v>120</v>
      </c>
    </row>
    <row r="3183" spans="1:13" x14ac:dyDescent="0.2">
      <c r="A3183">
        <v>627560</v>
      </c>
      <c r="B3183" s="2">
        <v>45183</v>
      </c>
      <c r="C3183">
        <v>31343</v>
      </c>
      <c r="D3183" t="s">
        <v>97</v>
      </c>
      <c r="E3183" t="s">
        <v>151</v>
      </c>
      <c r="F3183" t="s">
        <v>152</v>
      </c>
      <c r="G3183">
        <v>2</v>
      </c>
      <c r="H3183">
        <v>34.99</v>
      </c>
      <c r="J3183">
        <v>69.98</v>
      </c>
      <c r="K3183" t="s">
        <v>36</v>
      </c>
      <c r="L3183" t="s">
        <v>37</v>
      </c>
      <c r="M3183" t="s">
        <v>24</v>
      </c>
    </row>
    <row r="3184" spans="1:13" x14ac:dyDescent="0.2">
      <c r="A3184">
        <v>627786</v>
      </c>
      <c r="B3184" s="2">
        <v>44845</v>
      </c>
      <c r="C3184">
        <v>10839</v>
      </c>
      <c r="D3184" t="s">
        <v>25</v>
      </c>
      <c r="E3184" t="s">
        <v>70</v>
      </c>
      <c r="F3184" t="s">
        <v>71</v>
      </c>
      <c r="G3184">
        <v>3</v>
      </c>
      <c r="H3184">
        <v>89.99</v>
      </c>
      <c r="J3184">
        <v>269.97000000000003</v>
      </c>
      <c r="K3184" t="s">
        <v>16</v>
      </c>
      <c r="L3184" t="s">
        <v>23</v>
      </c>
      <c r="M3184" t="s">
        <v>43</v>
      </c>
    </row>
    <row r="3185" spans="1:13" x14ac:dyDescent="0.2">
      <c r="A3185">
        <v>627881</v>
      </c>
      <c r="B3185" s="1">
        <v>44602</v>
      </c>
      <c r="C3185">
        <v>46481</v>
      </c>
      <c r="D3185" t="s">
        <v>40</v>
      </c>
      <c r="E3185" t="s">
        <v>115</v>
      </c>
      <c r="F3185" t="s">
        <v>116</v>
      </c>
      <c r="G3185">
        <v>3</v>
      </c>
      <c r="H3185">
        <v>12.99</v>
      </c>
      <c r="J3185">
        <v>38.97</v>
      </c>
      <c r="K3185" t="s">
        <v>36</v>
      </c>
      <c r="L3185" t="s">
        <v>17</v>
      </c>
      <c r="M3185" t="s">
        <v>47</v>
      </c>
    </row>
    <row r="3186" spans="1:13" x14ac:dyDescent="0.2">
      <c r="A3186">
        <v>627940</v>
      </c>
      <c r="B3186" s="2">
        <v>45561</v>
      </c>
      <c r="C3186">
        <v>23710</v>
      </c>
      <c r="D3186" t="s">
        <v>13</v>
      </c>
      <c r="E3186" t="s">
        <v>159</v>
      </c>
      <c r="F3186" t="s">
        <v>160</v>
      </c>
      <c r="G3186">
        <v>1</v>
      </c>
      <c r="H3186">
        <v>41.99</v>
      </c>
      <c r="I3186">
        <v>0.3</v>
      </c>
      <c r="J3186">
        <v>29.39</v>
      </c>
      <c r="K3186" t="s">
        <v>22</v>
      </c>
      <c r="L3186" t="s">
        <v>37</v>
      </c>
      <c r="M3186" t="s">
        <v>28</v>
      </c>
    </row>
    <row r="3187" spans="1:13" x14ac:dyDescent="0.2">
      <c r="A3187">
        <v>627949</v>
      </c>
      <c r="B3187" s="1">
        <v>45260</v>
      </c>
      <c r="D3187" t="s">
        <v>85</v>
      </c>
      <c r="E3187" t="s">
        <v>137</v>
      </c>
      <c r="F3187" t="s">
        <v>138</v>
      </c>
      <c r="G3187">
        <v>2</v>
      </c>
      <c r="H3187">
        <v>6.39</v>
      </c>
      <c r="I3187">
        <v>0.2</v>
      </c>
      <c r="J3187">
        <v>10.220000000000001</v>
      </c>
      <c r="K3187" t="s">
        <v>22</v>
      </c>
      <c r="L3187" t="s">
        <v>17</v>
      </c>
      <c r="M3187" t="s">
        <v>96</v>
      </c>
    </row>
    <row r="3188" spans="1:13" x14ac:dyDescent="0.2">
      <c r="A3188">
        <v>628236</v>
      </c>
      <c r="B3188" s="1">
        <v>45153</v>
      </c>
      <c r="C3188">
        <v>77275</v>
      </c>
      <c r="D3188" t="s">
        <v>48</v>
      </c>
      <c r="E3188" t="s">
        <v>49</v>
      </c>
      <c r="F3188" t="s">
        <v>50</v>
      </c>
      <c r="G3188">
        <v>1</v>
      </c>
      <c r="H3188">
        <v>8.5399999999999991</v>
      </c>
      <c r="I3188">
        <v>0.05</v>
      </c>
      <c r="J3188">
        <v>8.11</v>
      </c>
      <c r="K3188" t="s">
        <v>16</v>
      </c>
      <c r="L3188" t="s">
        <v>37</v>
      </c>
      <c r="M3188" t="s">
        <v>28</v>
      </c>
    </row>
    <row r="3189" spans="1:13" x14ac:dyDescent="0.2">
      <c r="A3189">
        <v>628503</v>
      </c>
      <c r="B3189" s="2">
        <v>45338</v>
      </c>
      <c r="C3189">
        <v>21146</v>
      </c>
      <c r="D3189" t="s">
        <v>44</v>
      </c>
      <c r="E3189" t="s">
        <v>91</v>
      </c>
      <c r="F3189" t="s">
        <v>92</v>
      </c>
      <c r="G3189">
        <v>4</v>
      </c>
      <c r="H3189">
        <v>6.29</v>
      </c>
      <c r="J3189">
        <v>25.16</v>
      </c>
      <c r="K3189" t="s">
        <v>16</v>
      </c>
      <c r="L3189" t="s">
        <v>37</v>
      </c>
      <c r="M3189" t="s">
        <v>67</v>
      </c>
    </row>
    <row r="3190" spans="1:13" x14ac:dyDescent="0.2">
      <c r="A3190">
        <v>628583</v>
      </c>
      <c r="B3190" s="1">
        <v>45049</v>
      </c>
      <c r="C3190">
        <v>53359</v>
      </c>
      <c r="D3190" t="s">
        <v>48</v>
      </c>
      <c r="E3190" t="s">
        <v>118</v>
      </c>
      <c r="F3190" t="s">
        <v>119</v>
      </c>
      <c r="G3190">
        <v>1</v>
      </c>
      <c r="H3190">
        <v>3.74</v>
      </c>
      <c r="I3190">
        <v>0.25</v>
      </c>
      <c r="J3190">
        <v>2.8</v>
      </c>
      <c r="K3190" t="s">
        <v>32</v>
      </c>
      <c r="L3190" t="s">
        <v>17</v>
      </c>
      <c r="M3190" t="s">
        <v>43</v>
      </c>
    </row>
    <row r="3191" spans="1:13" x14ac:dyDescent="0.2">
      <c r="A3191">
        <v>628662</v>
      </c>
      <c r="B3191" s="2">
        <v>45479</v>
      </c>
      <c r="C3191">
        <v>39893</v>
      </c>
      <c r="D3191" t="s">
        <v>82</v>
      </c>
      <c r="E3191" t="s">
        <v>147</v>
      </c>
      <c r="F3191" t="s">
        <v>148</v>
      </c>
      <c r="G3191">
        <v>1</v>
      </c>
      <c r="H3191">
        <v>12.34</v>
      </c>
      <c r="I3191">
        <v>0.05</v>
      </c>
      <c r="J3191">
        <v>11.72</v>
      </c>
      <c r="K3191" t="s">
        <v>22</v>
      </c>
      <c r="L3191" t="s">
        <v>17</v>
      </c>
      <c r="M3191" t="s">
        <v>117</v>
      </c>
    </row>
    <row r="3192" spans="1:13" x14ac:dyDescent="0.2">
      <c r="A3192">
        <v>628891</v>
      </c>
      <c r="B3192" s="1">
        <v>44690</v>
      </c>
      <c r="C3192">
        <v>32513</v>
      </c>
      <c r="D3192" t="s">
        <v>82</v>
      </c>
      <c r="E3192" t="s">
        <v>168</v>
      </c>
      <c r="F3192" t="s">
        <v>169</v>
      </c>
      <c r="G3192">
        <v>1</v>
      </c>
      <c r="H3192">
        <v>7.64</v>
      </c>
      <c r="I3192">
        <v>0.15</v>
      </c>
      <c r="J3192">
        <v>6.49</v>
      </c>
      <c r="K3192" t="s">
        <v>22</v>
      </c>
      <c r="L3192" t="s">
        <v>17</v>
      </c>
      <c r="M3192" t="s">
        <v>102</v>
      </c>
    </row>
    <row r="3193" spans="1:13" x14ac:dyDescent="0.2">
      <c r="A3193">
        <v>628896</v>
      </c>
      <c r="B3193" s="2">
        <v>45317</v>
      </c>
      <c r="C3193">
        <v>43130</v>
      </c>
      <c r="D3193" t="s">
        <v>48</v>
      </c>
      <c r="E3193" t="s">
        <v>139</v>
      </c>
      <c r="F3193" t="s">
        <v>140</v>
      </c>
      <c r="G3193">
        <v>4</v>
      </c>
      <c r="H3193">
        <v>7.99</v>
      </c>
      <c r="J3193">
        <v>31.96</v>
      </c>
      <c r="K3193" t="s">
        <v>36</v>
      </c>
      <c r="L3193" t="s">
        <v>17</v>
      </c>
      <c r="M3193" t="s">
        <v>117</v>
      </c>
    </row>
    <row r="3194" spans="1:13" x14ac:dyDescent="0.2">
      <c r="A3194">
        <v>628897</v>
      </c>
      <c r="B3194" s="1">
        <v>45212</v>
      </c>
      <c r="C3194">
        <v>44009</v>
      </c>
      <c r="D3194" t="s">
        <v>13</v>
      </c>
      <c r="E3194" t="s">
        <v>77</v>
      </c>
      <c r="F3194" t="s">
        <v>78</v>
      </c>
      <c r="G3194">
        <v>1</v>
      </c>
      <c r="H3194">
        <v>499.99</v>
      </c>
      <c r="J3194">
        <v>499.99</v>
      </c>
      <c r="K3194" t="s">
        <v>16</v>
      </c>
      <c r="L3194" t="s">
        <v>23</v>
      </c>
      <c r="M3194" t="s">
        <v>33</v>
      </c>
    </row>
    <row r="3195" spans="1:13" x14ac:dyDescent="0.2">
      <c r="A3195">
        <v>628905</v>
      </c>
      <c r="B3195" s="1">
        <v>45379</v>
      </c>
      <c r="C3195">
        <v>63217</v>
      </c>
      <c r="D3195" t="s">
        <v>48</v>
      </c>
      <c r="E3195" t="s">
        <v>49</v>
      </c>
      <c r="F3195" t="s">
        <v>50</v>
      </c>
      <c r="G3195">
        <v>2</v>
      </c>
      <c r="H3195">
        <v>7.19</v>
      </c>
      <c r="I3195">
        <v>0.2</v>
      </c>
      <c r="J3195">
        <v>11.5</v>
      </c>
      <c r="K3195" t="s">
        <v>66</v>
      </c>
      <c r="L3195" t="s">
        <v>17</v>
      </c>
      <c r="M3195" t="s">
        <v>102</v>
      </c>
    </row>
    <row r="3196" spans="1:13" x14ac:dyDescent="0.2">
      <c r="A3196">
        <v>629018</v>
      </c>
      <c r="B3196" s="1">
        <v>44947</v>
      </c>
      <c r="C3196">
        <v>50180</v>
      </c>
      <c r="D3196" t="s">
        <v>40</v>
      </c>
      <c r="E3196" t="s">
        <v>115</v>
      </c>
      <c r="F3196" t="s">
        <v>116</v>
      </c>
      <c r="G3196">
        <v>5</v>
      </c>
      <c r="H3196">
        <v>12.99</v>
      </c>
      <c r="J3196">
        <v>64.95</v>
      </c>
      <c r="K3196" t="s">
        <v>95</v>
      </c>
      <c r="L3196" t="s">
        <v>17</v>
      </c>
    </row>
    <row r="3197" spans="1:13" x14ac:dyDescent="0.2">
      <c r="A3197">
        <v>629075</v>
      </c>
      <c r="B3197" s="2">
        <v>44689</v>
      </c>
      <c r="C3197">
        <v>48870</v>
      </c>
      <c r="D3197" t="s">
        <v>44</v>
      </c>
      <c r="E3197" t="s">
        <v>45</v>
      </c>
      <c r="F3197" t="s">
        <v>46</v>
      </c>
      <c r="G3197">
        <v>1</v>
      </c>
      <c r="H3197">
        <v>1.79</v>
      </c>
      <c r="J3197">
        <v>1.79</v>
      </c>
      <c r="K3197" t="s">
        <v>53</v>
      </c>
      <c r="L3197" t="s">
        <v>17</v>
      </c>
      <c r="M3197" t="s">
        <v>76</v>
      </c>
    </row>
    <row r="3198" spans="1:13" x14ac:dyDescent="0.2">
      <c r="A3198">
        <v>629115</v>
      </c>
      <c r="B3198" s="1">
        <v>44619</v>
      </c>
      <c r="C3198">
        <v>86596</v>
      </c>
      <c r="D3198" t="s">
        <v>63</v>
      </c>
      <c r="E3198" t="s">
        <v>131</v>
      </c>
      <c r="F3198" t="s">
        <v>132</v>
      </c>
      <c r="G3198">
        <v>1</v>
      </c>
      <c r="H3198">
        <v>3.49</v>
      </c>
      <c r="J3198">
        <v>3.49</v>
      </c>
      <c r="K3198" t="s">
        <v>16</v>
      </c>
      <c r="L3198" t="s">
        <v>37</v>
      </c>
      <c r="M3198" t="s">
        <v>102</v>
      </c>
    </row>
    <row r="3199" spans="1:13" x14ac:dyDescent="0.2">
      <c r="A3199">
        <v>629234</v>
      </c>
      <c r="B3199" s="1">
        <v>45240</v>
      </c>
      <c r="C3199">
        <v>10359</v>
      </c>
      <c r="D3199" t="s">
        <v>40</v>
      </c>
      <c r="E3199" t="s">
        <v>41</v>
      </c>
      <c r="F3199" t="s">
        <v>42</v>
      </c>
      <c r="G3199">
        <v>1</v>
      </c>
      <c r="H3199">
        <v>4.79</v>
      </c>
      <c r="I3199">
        <v>0.2</v>
      </c>
      <c r="J3199">
        <v>3.83</v>
      </c>
      <c r="K3199" t="s">
        <v>36</v>
      </c>
      <c r="L3199" t="s">
        <v>37</v>
      </c>
      <c r="M3199" t="s">
        <v>90</v>
      </c>
    </row>
    <row r="3200" spans="1:13" x14ac:dyDescent="0.2">
      <c r="A3200">
        <v>629348</v>
      </c>
      <c r="B3200" s="1">
        <v>45072</v>
      </c>
      <c r="C3200">
        <v>12908</v>
      </c>
      <c r="D3200" t="s">
        <v>82</v>
      </c>
      <c r="E3200" t="s">
        <v>155</v>
      </c>
      <c r="F3200" t="s">
        <v>156</v>
      </c>
      <c r="G3200">
        <v>4</v>
      </c>
      <c r="H3200">
        <v>17.989999999999998</v>
      </c>
      <c r="I3200">
        <v>0.1</v>
      </c>
      <c r="J3200">
        <v>64.760000000000005</v>
      </c>
      <c r="K3200" t="s">
        <v>22</v>
      </c>
      <c r="L3200" t="s">
        <v>17</v>
      </c>
      <c r="M3200" t="s">
        <v>90</v>
      </c>
    </row>
    <row r="3201" spans="1:13" x14ac:dyDescent="0.2">
      <c r="A3201">
        <v>629966</v>
      </c>
      <c r="B3201" s="1">
        <v>44758</v>
      </c>
      <c r="D3201" t="s">
        <v>82</v>
      </c>
      <c r="E3201" t="s">
        <v>100</v>
      </c>
      <c r="F3201" t="s">
        <v>101</v>
      </c>
      <c r="G3201">
        <v>4</v>
      </c>
      <c r="H3201">
        <v>17.239999999999998</v>
      </c>
      <c r="I3201">
        <v>0.25</v>
      </c>
      <c r="J3201">
        <v>51.72</v>
      </c>
      <c r="K3201" t="s">
        <v>16</v>
      </c>
      <c r="L3201" t="s">
        <v>17</v>
      </c>
      <c r="M3201" t="s">
        <v>67</v>
      </c>
    </row>
    <row r="3202" spans="1:13" x14ac:dyDescent="0.2">
      <c r="A3202">
        <v>630573</v>
      </c>
      <c r="B3202" s="2">
        <v>45317</v>
      </c>
      <c r="C3202">
        <v>69009</v>
      </c>
      <c r="D3202" t="s">
        <v>29</v>
      </c>
      <c r="E3202" t="s">
        <v>88</v>
      </c>
      <c r="F3202" t="s">
        <v>89</v>
      </c>
      <c r="G3202">
        <v>5</v>
      </c>
      <c r="H3202">
        <v>34.99</v>
      </c>
      <c r="I3202">
        <v>0.3</v>
      </c>
      <c r="J3202">
        <v>122.46</v>
      </c>
      <c r="K3202" t="s">
        <v>36</v>
      </c>
      <c r="L3202" t="s">
        <v>17</v>
      </c>
      <c r="M3202" t="s">
        <v>123</v>
      </c>
    </row>
    <row r="3203" spans="1:13" x14ac:dyDescent="0.2">
      <c r="A3203">
        <v>630740</v>
      </c>
      <c r="B3203" s="1">
        <v>44887</v>
      </c>
      <c r="C3203">
        <v>35575</v>
      </c>
      <c r="D3203" t="s">
        <v>40</v>
      </c>
      <c r="E3203" t="s">
        <v>41</v>
      </c>
      <c r="F3203" t="s">
        <v>42</v>
      </c>
      <c r="G3203">
        <v>1</v>
      </c>
      <c r="H3203">
        <v>5.09</v>
      </c>
      <c r="I3203">
        <v>0.15</v>
      </c>
      <c r="J3203">
        <v>4.33</v>
      </c>
      <c r="K3203" t="s">
        <v>22</v>
      </c>
      <c r="L3203" t="s">
        <v>17</v>
      </c>
      <c r="M3203" t="s">
        <v>90</v>
      </c>
    </row>
    <row r="3204" spans="1:13" x14ac:dyDescent="0.2">
      <c r="A3204">
        <v>630782</v>
      </c>
      <c r="B3204" s="2">
        <v>45461</v>
      </c>
      <c r="C3204">
        <v>28407</v>
      </c>
      <c r="D3204" t="s">
        <v>63</v>
      </c>
      <c r="E3204" t="s">
        <v>68</v>
      </c>
      <c r="F3204" t="s">
        <v>69</v>
      </c>
      <c r="G3204">
        <v>2</v>
      </c>
      <c r="H3204">
        <v>18.739999999999998</v>
      </c>
      <c r="I3204">
        <v>0.25</v>
      </c>
      <c r="J3204">
        <v>28.11</v>
      </c>
      <c r="K3204" t="s">
        <v>95</v>
      </c>
      <c r="L3204" t="s">
        <v>17</v>
      </c>
      <c r="M3204" t="s">
        <v>62</v>
      </c>
    </row>
    <row r="3205" spans="1:13" x14ac:dyDescent="0.2">
      <c r="A3205">
        <v>630842</v>
      </c>
      <c r="B3205" s="1">
        <v>44865</v>
      </c>
      <c r="C3205">
        <v>58388</v>
      </c>
      <c r="D3205" t="s">
        <v>48</v>
      </c>
      <c r="E3205" t="s">
        <v>139</v>
      </c>
      <c r="F3205" t="s">
        <v>140</v>
      </c>
      <c r="G3205">
        <v>2</v>
      </c>
      <c r="H3205">
        <v>7.19</v>
      </c>
      <c r="I3205">
        <v>0.1</v>
      </c>
      <c r="J3205">
        <v>12.94</v>
      </c>
      <c r="K3205" t="s">
        <v>22</v>
      </c>
      <c r="L3205" t="s">
        <v>23</v>
      </c>
      <c r="M3205" t="s">
        <v>90</v>
      </c>
    </row>
    <row r="3206" spans="1:13" x14ac:dyDescent="0.2">
      <c r="A3206">
        <v>631021</v>
      </c>
      <c r="B3206" s="1">
        <v>45215</v>
      </c>
      <c r="C3206">
        <v>58434</v>
      </c>
      <c r="D3206" t="s">
        <v>13</v>
      </c>
      <c r="E3206" t="s">
        <v>55</v>
      </c>
      <c r="F3206" t="s">
        <v>56</v>
      </c>
      <c r="G3206">
        <v>1</v>
      </c>
      <c r="H3206">
        <v>313.49</v>
      </c>
      <c r="I3206">
        <v>0.05</v>
      </c>
      <c r="J3206">
        <v>297.82</v>
      </c>
      <c r="K3206" t="s">
        <v>16</v>
      </c>
      <c r="L3206" t="s">
        <v>17</v>
      </c>
      <c r="M3206" t="s">
        <v>33</v>
      </c>
    </row>
    <row r="3207" spans="1:13" x14ac:dyDescent="0.2">
      <c r="A3207">
        <v>631022</v>
      </c>
      <c r="B3207" s="1">
        <v>44654</v>
      </c>
      <c r="D3207" t="s">
        <v>13</v>
      </c>
      <c r="E3207" t="s">
        <v>77</v>
      </c>
      <c r="F3207" t="s">
        <v>78</v>
      </c>
      <c r="G3207">
        <v>1</v>
      </c>
      <c r="H3207">
        <v>449.99</v>
      </c>
      <c r="I3207">
        <v>0.1</v>
      </c>
      <c r="J3207">
        <v>404.99</v>
      </c>
      <c r="K3207" t="s">
        <v>36</v>
      </c>
      <c r="L3207" t="s">
        <v>17</v>
      </c>
      <c r="M3207" t="s">
        <v>117</v>
      </c>
    </row>
    <row r="3208" spans="1:13" x14ac:dyDescent="0.2">
      <c r="A3208">
        <v>631045</v>
      </c>
      <c r="B3208" s="1">
        <v>44724</v>
      </c>
      <c r="C3208">
        <v>78128</v>
      </c>
      <c r="D3208" t="s">
        <v>40</v>
      </c>
      <c r="E3208" t="s">
        <v>115</v>
      </c>
      <c r="F3208" t="s">
        <v>116</v>
      </c>
      <c r="G3208">
        <v>4</v>
      </c>
      <c r="H3208">
        <v>12.99</v>
      </c>
      <c r="J3208">
        <v>51.96</v>
      </c>
      <c r="K3208" t="s">
        <v>32</v>
      </c>
      <c r="L3208" t="s">
        <v>17</v>
      </c>
      <c r="M3208" t="s">
        <v>161</v>
      </c>
    </row>
    <row r="3209" spans="1:13" x14ac:dyDescent="0.2">
      <c r="A3209">
        <v>631159</v>
      </c>
      <c r="B3209" s="1">
        <v>44967</v>
      </c>
      <c r="C3209">
        <v>24305</v>
      </c>
      <c r="D3209" t="s">
        <v>82</v>
      </c>
      <c r="E3209" t="s">
        <v>100</v>
      </c>
      <c r="F3209" t="s">
        <v>101</v>
      </c>
      <c r="G3209">
        <v>1</v>
      </c>
      <c r="H3209">
        <v>16.09</v>
      </c>
      <c r="J3209">
        <v>16.09</v>
      </c>
      <c r="K3209" t="s">
        <v>22</v>
      </c>
      <c r="L3209" t="s">
        <v>23</v>
      </c>
      <c r="M3209" t="s">
        <v>123</v>
      </c>
    </row>
    <row r="3210" spans="1:13" x14ac:dyDescent="0.2">
      <c r="A3210">
        <v>631235</v>
      </c>
      <c r="B3210" s="1">
        <v>45058</v>
      </c>
      <c r="C3210">
        <v>71935</v>
      </c>
      <c r="D3210" t="s">
        <v>183</v>
      </c>
      <c r="E3210" t="s">
        <v>168</v>
      </c>
      <c r="F3210" t="s">
        <v>169</v>
      </c>
      <c r="G3210">
        <v>4</v>
      </c>
      <c r="H3210">
        <v>8.99</v>
      </c>
      <c r="J3210">
        <v>35.96</v>
      </c>
      <c r="K3210" t="s">
        <v>36</v>
      </c>
      <c r="L3210" t="s">
        <v>17</v>
      </c>
      <c r="M3210" t="s">
        <v>103</v>
      </c>
    </row>
    <row r="3211" spans="1:13" x14ac:dyDescent="0.2">
      <c r="A3211">
        <v>631265</v>
      </c>
      <c r="B3211" s="1">
        <v>45370</v>
      </c>
      <c r="C3211">
        <v>55188</v>
      </c>
      <c r="D3211" t="s">
        <v>82</v>
      </c>
      <c r="E3211" t="s">
        <v>188</v>
      </c>
      <c r="F3211" t="s">
        <v>189</v>
      </c>
      <c r="G3211">
        <v>2</v>
      </c>
      <c r="H3211">
        <v>40.49</v>
      </c>
      <c r="I3211">
        <v>0.1</v>
      </c>
      <c r="J3211">
        <v>72.88</v>
      </c>
      <c r="K3211" t="s">
        <v>16</v>
      </c>
      <c r="L3211" t="s">
        <v>17</v>
      </c>
      <c r="M3211" t="s">
        <v>67</v>
      </c>
    </row>
    <row r="3212" spans="1:13" x14ac:dyDescent="0.2">
      <c r="A3212">
        <v>631327</v>
      </c>
      <c r="B3212" s="1">
        <v>45340</v>
      </c>
      <c r="C3212">
        <v>95525</v>
      </c>
      <c r="D3212" t="s">
        <v>82</v>
      </c>
      <c r="E3212" t="s">
        <v>155</v>
      </c>
      <c r="F3212" t="s">
        <v>156</v>
      </c>
      <c r="G3212">
        <v>1</v>
      </c>
      <c r="H3212">
        <v>19.989999999999998</v>
      </c>
      <c r="J3212">
        <v>19.989999999999998</v>
      </c>
      <c r="K3212" t="s">
        <v>36</v>
      </c>
      <c r="L3212" t="s">
        <v>17</v>
      </c>
      <c r="M3212" t="s">
        <v>28</v>
      </c>
    </row>
    <row r="3213" spans="1:13" x14ac:dyDescent="0.2">
      <c r="A3213">
        <v>631331</v>
      </c>
      <c r="B3213" s="2">
        <v>45283</v>
      </c>
      <c r="C3213">
        <v>83608</v>
      </c>
      <c r="D3213" t="s">
        <v>13</v>
      </c>
      <c r="E3213" t="s">
        <v>55</v>
      </c>
      <c r="F3213" t="s">
        <v>56</v>
      </c>
      <c r="G3213">
        <v>1</v>
      </c>
      <c r="H3213">
        <v>280.49</v>
      </c>
      <c r="I3213">
        <v>0.15</v>
      </c>
      <c r="J3213">
        <v>238.42</v>
      </c>
      <c r="K3213" t="s">
        <v>16</v>
      </c>
      <c r="L3213" t="s">
        <v>23</v>
      </c>
      <c r="M3213" t="s">
        <v>103</v>
      </c>
    </row>
    <row r="3214" spans="1:13" x14ac:dyDescent="0.2">
      <c r="A3214">
        <v>631363</v>
      </c>
      <c r="B3214" s="2">
        <v>45116</v>
      </c>
      <c r="C3214">
        <v>26401</v>
      </c>
      <c r="D3214" t="s">
        <v>25</v>
      </c>
      <c r="E3214" t="s">
        <v>60</v>
      </c>
      <c r="F3214" t="s">
        <v>61</v>
      </c>
      <c r="G3214">
        <v>5</v>
      </c>
      <c r="H3214">
        <v>41.24</v>
      </c>
      <c r="I3214">
        <v>0.25</v>
      </c>
      <c r="J3214">
        <v>154.65</v>
      </c>
      <c r="K3214" t="s">
        <v>16</v>
      </c>
      <c r="L3214" t="s">
        <v>17</v>
      </c>
      <c r="M3214" t="s">
        <v>123</v>
      </c>
    </row>
    <row r="3215" spans="1:13" x14ac:dyDescent="0.2">
      <c r="A3215">
        <v>631395</v>
      </c>
      <c r="B3215" s="1">
        <v>45320</v>
      </c>
      <c r="C3215">
        <v>45289</v>
      </c>
      <c r="D3215" t="s">
        <v>63</v>
      </c>
      <c r="E3215" t="s">
        <v>64</v>
      </c>
      <c r="F3215" t="s">
        <v>65</v>
      </c>
      <c r="G3215">
        <v>4</v>
      </c>
      <c r="H3215">
        <v>4.99</v>
      </c>
      <c r="J3215">
        <v>19.96</v>
      </c>
      <c r="K3215" t="s">
        <v>53</v>
      </c>
      <c r="L3215" t="s">
        <v>17</v>
      </c>
      <c r="M3215" t="s">
        <v>33</v>
      </c>
    </row>
    <row r="3216" spans="1:13" x14ac:dyDescent="0.2">
      <c r="A3216">
        <v>631691</v>
      </c>
      <c r="B3216" s="1">
        <v>45017</v>
      </c>
      <c r="C3216">
        <v>98091</v>
      </c>
      <c r="D3216" t="s">
        <v>97</v>
      </c>
      <c r="E3216" t="s">
        <v>98</v>
      </c>
      <c r="F3216" t="s">
        <v>99</v>
      </c>
      <c r="G3216">
        <v>1</v>
      </c>
      <c r="H3216">
        <v>27.99</v>
      </c>
      <c r="J3216">
        <v>27.99</v>
      </c>
      <c r="K3216" t="s">
        <v>22</v>
      </c>
      <c r="L3216" t="s">
        <v>17</v>
      </c>
      <c r="M3216" t="s">
        <v>81</v>
      </c>
    </row>
    <row r="3217" spans="1:13" x14ac:dyDescent="0.2">
      <c r="A3217">
        <v>631767</v>
      </c>
      <c r="B3217" s="1">
        <v>45655</v>
      </c>
      <c r="C3217">
        <v>42650</v>
      </c>
      <c r="D3217" t="s">
        <v>82</v>
      </c>
      <c r="E3217" t="s">
        <v>147</v>
      </c>
      <c r="F3217" t="s">
        <v>148</v>
      </c>
      <c r="G3217">
        <v>3</v>
      </c>
      <c r="H3217">
        <v>11.69</v>
      </c>
      <c r="I3217">
        <v>0.1</v>
      </c>
      <c r="J3217">
        <v>31.56</v>
      </c>
      <c r="K3217" t="s">
        <v>16</v>
      </c>
      <c r="L3217" t="s">
        <v>17</v>
      </c>
      <c r="M3217" t="s">
        <v>76</v>
      </c>
    </row>
    <row r="3218" spans="1:13" x14ac:dyDescent="0.2">
      <c r="A3218">
        <v>631825</v>
      </c>
      <c r="B3218" s="1">
        <v>44723</v>
      </c>
      <c r="C3218">
        <v>57193</v>
      </c>
      <c r="D3218" t="s">
        <v>97</v>
      </c>
      <c r="E3218" t="s">
        <v>121</v>
      </c>
      <c r="F3218" t="s">
        <v>122</v>
      </c>
      <c r="G3218">
        <v>4</v>
      </c>
      <c r="H3218">
        <v>12.99</v>
      </c>
      <c r="J3218">
        <v>51.96</v>
      </c>
      <c r="K3218" t="s">
        <v>36</v>
      </c>
      <c r="L3218" t="s">
        <v>17</v>
      </c>
      <c r="M3218" t="s">
        <v>54</v>
      </c>
    </row>
    <row r="3219" spans="1:13" x14ac:dyDescent="0.2">
      <c r="A3219">
        <v>631850</v>
      </c>
      <c r="B3219" s="1">
        <v>45073</v>
      </c>
      <c r="D3219" t="s">
        <v>13</v>
      </c>
      <c r="E3219" t="s">
        <v>104</v>
      </c>
      <c r="F3219" t="s">
        <v>105</v>
      </c>
      <c r="G3219">
        <v>1</v>
      </c>
      <c r="H3219">
        <v>23.99</v>
      </c>
      <c r="I3219">
        <v>0.2</v>
      </c>
      <c r="J3219">
        <v>19.190000000000001</v>
      </c>
      <c r="K3219" t="s">
        <v>36</v>
      </c>
      <c r="L3219" t="s">
        <v>23</v>
      </c>
      <c r="M3219" t="s">
        <v>96</v>
      </c>
    </row>
    <row r="3220" spans="1:13" x14ac:dyDescent="0.2">
      <c r="A3220">
        <v>632450</v>
      </c>
      <c r="B3220" s="1">
        <v>44904</v>
      </c>
      <c r="C3220">
        <v>72037</v>
      </c>
      <c r="D3220" t="s">
        <v>85</v>
      </c>
      <c r="E3220" t="s">
        <v>153</v>
      </c>
      <c r="F3220" t="s">
        <v>154</v>
      </c>
      <c r="G3220">
        <v>1</v>
      </c>
      <c r="H3220">
        <v>22.49</v>
      </c>
      <c r="I3220">
        <v>0.25</v>
      </c>
      <c r="J3220">
        <v>16.87</v>
      </c>
      <c r="K3220" t="s">
        <v>53</v>
      </c>
      <c r="L3220" t="s">
        <v>17</v>
      </c>
      <c r="M3220" t="s">
        <v>62</v>
      </c>
    </row>
    <row r="3221" spans="1:13" x14ac:dyDescent="0.2">
      <c r="A3221">
        <v>632478</v>
      </c>
      <c r="B3221" s="1">
        <v>44959</v>
      </c>
      <c r="C3221">
        <v>53107</v>
      </c>
      <c r="D3221" t="s">
        <v>44</v>
      </c>
      <c r="E3221" t="s">
        <v>162</v>
      </c>
      <c r="F3221" t="s">
        <v>163</v>
      </c>
      <c r="G3221">
        <v>1</v>
      </c>
      <c r="H3221">
        <v>6.79</v>
      </c>
      <c r="I3221">
        <v>0.15</v>
      </c>
      <c r="J3221">
        <v>5.77</v>
      </c>
      <c r="K3221" t="s">
        <v>36</v>
      </c>
      <c r="L3221" t="s">
        <v>37</v>
      </c>
      <c r="M3221" t="s">
        <v>43</v>
      </c>
    </row>
    <row r="3222" spans="1:13" x14ac:dyDescent="0.2">
      <c r="A3222">
        <v>632668</v>
      </c>
      <c r="B3222" s="1">
        <v>45628</v>
      </c>
      <c r="C3222">
        <v>83812</v>
      </c>
      <c r="D3222" t="s">
        <v>29</v>
      </c>
      <c r="E3222" t="s">
        <v>175</v>
      </c>
      <c r="F3222" t="s">
        <v>176</v>
      </c>
      <c r="G3222">
        <v>5</v>
      </c>
      <c r="H3222">
        <v>10.19</v>
      </c>
      <c r="I3222">
        <v>0.15</v>
      </c>
      <c r="J3222">
        <v>43.31</v>
      </c>
      <c r="K3222" t="s">
        <v>36</v>
      </c>
      <c r="L3222" t="s">
        <v>17</v>
      </c>
      <c r="M3222" t="s">
        <v>102</v>
      </c>
    </row>
    <row r="3223" spans="1:13" x14ac:dyDescent="0.2">
      <c r="A3223">
        <v>632684</v>
      </c>
      <c r="B3223" s="2">
        <v>45462</v>
      </c>
      <c r="C3223">
        <v>68026</v>
      </c>
      <c r="D3223" t="s">
        <v>29</v>
      </c>
      <c r="E3223" t="s">
        <v>175</v>
      </c>
      <c r="F3223" t="s">
        <v>176</v>
      </c>
      <c r="G3223">
        <v>5</v>
      </c>
      <c r="H3223">
        <v>8.39</v>
      </c>
      <c r="I3223">
        <v>0.3</v>
      </c>
      <c r="J3223">
        <v>29.36</v>
      </c>
      <c r="K3223" t="s">
        <v>16</v>
      </c>
      <c r="L3223" t="s">
        <v>17</v>
      </c>
      <c r="M3223" t="s">
        <v>33</v>
      </c>
    </row>
    <row r="3224" spans="1:13" x14ac:dyDescent="0.2">
      <c r="A3224">
        <v>632794</v>
      </c>
      <c r="B3224" s="2">
        <v>44583</v>
      </c>
      <c r="C3224">
        <v>17173</v>
      </c>
      <c r="D3224" t="s">
        <v>106</v>
      </c>
      <c r="E3224" t="s">
        <v>184</v>
      </c>
      <c r="F3224" t="s">
        <v>185</v>
      </c>
      <c r="G3224">
        <v>2</v>
      </c>
      <c r="H3224">
        <v>5.49</v>
      </c>
      <c r="J3224">
        <v>10.98</v>
      </c>
      <c r="K3224" t="s">
        <v>36</v>
      </c>
      <c r="L3224" t="s">
        <v>23</v>
      </c>
    </row>
    <row r="3225" spans="1:13" x14ac:dyDescent="0.2">
      <c r="A3225">
        <v>632990</v>
      </c>
      <c r="B3225" s="1">
        <v>45562</v>
      </c>
      <c r="C3225">
        <v>95418</v>
      </c>
      <c r="D3225" t="s">
        <v>63</v>
      </c>
      <c r="E3225" t="s">
        <v>125</v>
      </c>
      <c r="F3225" t="s">
        <v>126</v>
      </c>
      <c r="G3225">
        <v>1</v>
      </c>
      <c r="H3225">
        <v>25.49</v>
      </c>
      <c r="I3225">
        <v>0.15</v>
      </c>
      <c r="J3225">
        <v>21.67</v>
      </c>
      <c r="K3225" t="s">
        <v>32</v>
      </c>
      <c r="L3225" t="s">
        <v>17</v>
      </c>
      <c r="M3225" t="s">
        <v>24</v>
      </c>
    </row>
    <row r="3226" spans="1:13" x14ac:dyDescent="0.2">
      <c r="A3226">
        <v>633008</v>
      </c>
      <c r="B3226" s="1">
        <v>44806</v>
      </c>
      <c r="C3226">
        <v>29229</v>
      </c>
      <c r="D3226" t="s">
        <v>29</v>
      </c>
      <c r="E3226" t="s">
        <v>38</v>
      </c>
      <c r="F3226" t="s">
        <v>39</v>
      </c>
      <c r="G3226">
        <v>1</v>
      </c>
      <c r="H3226">
        <v>22.49</v>
      </c>
      <c r="J3226">
        <v>22.49</v>
      </c>
      <c r="K3226" t="s">
        <v>36</v>
      </c>
      <c r="L3226" t="s">
        <v>37</v>
      </c>
      <c r="M3226" t="s">
        <v>123</v>
      </c>
    </row>
    <row r="3227" spans="1:13" x14ac:dyDescent="0.2">
      <c r="A3227">
        <v>633469</v>
      </c>
      <c r="B3227" s="1">
        <v>44884</v>
      </c>
      <c r="C3227">
        <v>41029</v>
      </c>
      <c r="D3227" t="s">
        <v>97</v>
      </c>
      <c r="E3227" t="s">
        <v>165</v>
      </c>
      <c r="F3227" t="s">
        <v>166</v>
      </c>
      <c r="G3227">
        <v>4</v>
      </c>
      <c r="H3227">
        <v>89.99</v>
      </c>
      <c r="J3227">
        <v>359.96</v>
      </c>
      <c r="K3227" t="s">
        <v>22</v>
      </c>
      <c r="L3227" t="s">
        <v>23</v>
      </c>
      <c r="M3227" t="s">
        <v>117</v>
      </c>
    </row>
    <row r="3228" spans="1:13" x14ac:dyDescent="0.2">
      <c r="A3228">
        <v>633524</v>
      </c>
      <c r="B3228" s="1">
        <v>45231</v>
      </c>
      <c r="C3228">
        <v>96501</v>
      </c>
      <c r="D3228" t="s">
        <v>13</v>
      </c>
      <c r="E3228" t="s">
        <v>77</v>
      </c>
      <c r="F3228" t="s">
        <v>78</v>
      </c>
      <c r="G3228">
        <v>5</v>
      </c>
      <c r="H3228">
        <v>399.99</v>
      </c>
      <c r="I3228">
        <v>0.2</v>
      </c>
      <c r="J3228">
        <v>1599.96</v>
      </c>
      <c r="K3228" t="s">
        <v>36</v>
      </c>
      <c r="L3228" t="s">
        <v>17</v>
      </c>
      <c r="M3228" t="s">
        <v>117</v>
      </c>
    </row>
    <row r="3229" spans="1:13" x14ac:dyDescent="0.2">
      <c r="A3229">
        <v>633595</v>
      </c>
      <c r="B3229" s="1">
        <v>45530</v>
      </c>
      <c r="C3229">
        <v>64784</v>
      </c>
      <c r="D3229" t="s">
        <v>82</v>
      </c>
      <c r="E3229" t="s">
        <v>155</v>
      </c>
      <c r="F3229" t="s">
        <v>156</v>
      </c>
      <c r="G3229">
        <v>1</v>
      </c>
      <c r="H3229">
        <v>14.99</v>
      </c>
      <c r="I3229">
        <v>0.25</v>
      </c>
      <c r="J3229">
        <v>11.24</v>
      </c>
      <c r="K3229" t="s">
        <v>32</v>
      </c>
      <c r="L3229" t="s">
        <v>37</v>
      </c>
      <c r="M3229" t="s">
        <v>47</v>
      </c>
    </row>
    <row r="3230" spans="1:13" x14ac:dyDescent="0.2">
      <c r="A3230">
        <v>633737</v>
      </c>
      <c r="B3230" s="2">
        <v>44939</v>
      </c>
      <c r="C3230">
        <v>18043</v>
      </c>
      <c r="D3230" t="s">
        <v>97</v>
      </c>
      <c r="E3230" t="s">
        <v>193</v>
      </c>
      <c r="F3230" t="s">
        <v>194</v>
      </c>
      <c r="G3230">
        <v>2</v>
      </c>
      <c r="H3230">
        <v>45.49</v>
      </c>
      <c r="I3230">
        <v>0.3</v>
      </c>
      <c r="J3230">
        <v>63.69</v>
      </c>
      <c r="K3230" t="s">
        <v>16</v>
      </c>
      <c r="L3230" t="s">
        <v>23</v>
      </c>
      <c r="M3230" t="s">
        <v>54</v>
      </c>
    </row>
    <row r="3231" spans="1:13" x14ac:dyDescent="0.2">
      <c r="A3231">
        <v>633812</v>
      </c>
      <c r="B3231" s="1">
        <v>45561</v>
      </c>
      <c r="C3231">
        <v>11759</v>
      </c>
      <c r="D3231" t="s">
        <v>97</v>
      </c>
      <c r="E3231" t="s">
        <v>121</v>
      </c>
      <c r="F3231" t="s">
        <v>122</v>
      </c>
      <c r="G3231">
        <v>2</v>
      </c>
      <c r="H3231">
        <v>9.74</v>
      </c>
      <c r="I3231">
        <v>0.25</v>
      </c>
      <c r="J3231">
        <v>14.61</v>
      </c>
      <c r="K3231" t="s">
        <v>16</v>
      </c>
      <c r="L3231" t="s">
        <v>23</v>
      </c>
      <c r="M3231" t="s">
        <v>120</v>
      </c>
    </row>
    <row r="3232" spans="1:13" x14ac:dyDescent="0.2">
      <c r="A3232">
        <v>633949</v>
      </c>
      <c r="B3232" s="1">
        <v>45286</v>
      </c>
      <c r="C3232">
        <v>48767</v>
      </c>
      <c r="D3232" t="s">
        <v>13</v>
      </c>
      <c r="E3232" t="s">
        <v>77</v>
      </c>
      <c r="F3232" t="s">
        <v>78</v>
      </c>
      <c r="G3232">
        <v>2</v>
      </c>
      <c r="H3232">
        <v>474.99</v>
      </c>
      <c r="I3232">
        <v>0.05</v>
      </c>
      <c r="J3232">
        <v>902.48</v>
      </c>
      <c r="K3232" t="s">
        <v>36</v>
      </c>
      <c r="L3232" t="s">
        <v>17</v>
      </c>
      <c r="M3232" t="s">
        <v>28</v>
      </c>
    </row>
    <row r="3233" spans="1:13" x14ac:dyDescent="0.2">
      <c r="A3233">
        <v>634148</v>
      </c>
      <c r="B3233" s="1">
        <v>45174</v>
      </c>
      <c r="C3233">
        <v>60044</v>
      </c>
      <c r="D3233" t="s">
        <v>48</v>
      </c>
      <c r="E3233" t="s">
        <v>143</v>
      </c>
      <c r="F3233" t="s">
        <v>144</v>
      </c>
      <c r="G3233">
        <v>1</v>
      </c>
      <c r="H3233">
        <v>14.24</v>
      </c>
      <c r="I3233">
        <v>0.05</v>
      </c>
      <c r="J3233">
        <v>13.53</v>
      </c>
      <c r="K3233" t="s">
        <v>66</v>
      </c>
      <c r="L3233" t="s">
        <v>37</v>
      </c>
      <c r="M3233" t="s">
        <v>103</v>
      </c>
    </row>
    <row r="3234" spans="1:13" x14ac:dyDescent="0.2">
      <c r="A3234">
        <v>634258</v>
      </c>
      <c r="B3234" s="1">
        <v>45342</v>
      </c>
      <c r="C3234">
        <v>63145</v>
      </c>
      <c r="D3234" t="s">
        <v>85</v>
      </c>
      <c r="E3234" t="s">
        <v>137</v>
      </c>
      <c r="F3234" t="s">
        <v>138</v>
      </c>
      <c r="G3234">
        <v>5</v>
      </c>
      <c r="H3234">
        <v>7.99</v>
      </c>
      <c r="J3234">
        <v>39.950000000000003</v>
      </c>
      <c r="K3234" t="s">
        <v>36</v>
      </c>
      <c r="L3234" t="s">
        <v>23</v>
      </c>
      <c r="M3234" t="s">
        <v>161</v>
      </c>
    </row>
    <row r="3235" spans="1:13" x14ac:dyDescent="0.2">
      <c r="A3235">
        <v>634479</v>
      </c>
      <c r="B3235" s="1">
        <v>44868</v>
      </c>
      <c r="C3235">
        <v>51077</v>
      </c>
      <c r="D3235" t="s">
        <v>40</v>
      </c>
      <c r="E3235" t="s">
        <v>115</v>
      </c>
      <c r="F3235" t="s">
        <v>116</v>
      </c>
      <c r="G3235">
        <v>2</v>
      </c>
      <c r="H3235">
        <v>12.99</v>
      </c>
      <c r="J3235">
        <v>25.98</v>
      </c>
      <c r="K3235" t="s">
        <v>16</v>
      </c>
      <c r="L3235" t="s">
        <v>17</v>
      </c>
      <c r="M3235" t="s">
        <v>120</v>
      </c>
    </row>
    <row r="3236" spans="1:13" x14ac:dyDescent="0.2">
      <c r="A3236">
        <v>634509</v>
      </c>
      <c r="B3236" s="1">
        <v>45187</v>
      </c>
      <c r="C3236">
        <v>35206</v>
      </c>
      <c r="D3236" t="s">
        <v>25</v>
      </c>
      <c r="E3236" t="s">
        <v>26</v>
      </c>
      <c r="F3236" t="s">
        <v>27</v>
      </c>
      <c r="G3236">
        <v>1</v>
      </c>
      <c r="H3236">
        <v>24.49</v>
      </c>
      <c r="I3236">
        <v>0.3</v>
      </c>
      <c r="J3236">
        <v>17.14</v>
      </c>
      <c r="K3236" t="s">
        <v>36</v>
      </c>
      <c r="L3236" t="s">
        <v>17</v>
      </c>
      <c r="M3236" t="s">
        <v>76</v>
      </c>
    </row>
    <row r="3237" spans="1:13" x14ac:dyDescent="0.2">
      <c r="A3237">
        <v>634628</v>
      </c>
      <c r="B3237" s="2">
        <v>45033</v>
      </c>
      <c r="C3237">
        <v>76082</v>
      </c>
      <c r="D3237" t="s">
        <v>106</v>
      </c>
      <c r="E3237" t="s">
        <v>133</v>
      </c>
      <c r="F3237" t="s">
        <v>134</v>
      </c>
      <c r="G3237">
        <v>2</v>
      </c>
      <c r="H3237">
        <v>3.41</v>
      </c>
      <c r="J3237">
        <v>6.82</v>
      </c>
      <c r="K3237" t="s">
        <v>95</v>
      </c>
      <c r="L3237" t="s">
        <v>17</v>
      </c>
    </row>
    <row r="3238" spans="1:13" x14ac:dyDescent="0.2">
      <c r="A3238">
        <v>634714</v>
      </c>
      <c r="B3238" s="2">
        <v>44757</v>
      </c>
      <c r="C3238">
        <v>55434</v>
      </c>
      <c r="D3238" t="s">
        <v>25</v>
      </c>
      <c r="E3238" t="s">
        <v>51</v>
      </c>
      <c r="F3238" t="s">
        <v>52</v>
      </c>
      <c r="G3238">
        <v>2</v>
      </c>
      <c r="H3238">
        <v>27.99</v>
      </c>
      <c r="J3238">
        <v>55.98</v>
      </c>
      <c r="K3238" t="s">
        <v>36</v>
      </c>
      <c r="L3238" t="s">
        <v>17</v>
      </c>
      <c r="M3238" t="s">
        <v>33</v>
      </c>
    </row>
    <row r="3239" spans="1:13" x14ac:dyDescent="0.2">
      <c r="A3239">
        <v>635207</v>
      </c>
      <c r="B3239" s="1">
        <v>45377</v>
      </c>
      <c r="C3239">
        <v>36990</v>
      </c>
      <c r="D3239" t="s">
        <v>63</v>
      </c>
      <c r="E3239" t="s">
        <v>125</v>
      </c>
      <c r="F3239" t="s">
        <v>126</v>
      </c>
      <c r="G3239">
        <v>4</v>
      </c>
      <c r="H3239">
        <v>29.99</v>
      </c>
      <c r="J3239">
        <v>119.96</v>
      </c>
      <c r="K3239" t="s">
        <v>36</v>
      </c>
      <c r="L3239" t="s">
        <v>37</v>
      </c>
      <c r="M3239" t="s">
        <v>57</v>
      </c>
    </row>
    <row r="3240" spans="1:13" x14ac:dyDescent="0.2">
      <c r="A3240">
        <v>635228</v>
      </c>
      <c r="B3240" s="2">
        <v>45523</v>
      </c>
      <c r="C3240">
        <v>70678</v>
      </c>
      <c r="D3240" t="s">
        <v>40</v>
      </c>
      <c r="E3240" t="s">
        <v>58</v>
      </c>
      <c r="F3240" t="s">
        <v>59</v>
      </c>
      <c r="G3240">
        <v>2</v>
      </c>
      <c r="H3240">
        <v>3.79</v>
      </c>
      <c r="I3240">
        <v>0.05</v>
      </c>
      <c r="J3240">
        <v>7.2</v>
      </c>
      <c r="K3240" t="s">
        <v>22</v>
      </c>
      <c r="L3240" t="s">
        <v>17</v>
      </c>
      <c r="M3240" t="s">
        <v>43</v>
      </c>
    </row>
    <row r="3241" spans="1:13" x14ac:dyDescent="0.2">
      <c r="A3241">
        <v>635326</v>
      </c>
      <c r="B3241" s="1">
        <v>45203</v>
      </c>
      <c r="C3241">
        <v>59370</v>
      </c>
      <c r="D3241" t="s">
        <v>97</v>
      </c>
      <c r="E3241" t="s">
        <v>141</v>
      </c>
      <c r="F3241" t="s">
        <v>142</v>
      </c>
      <c r="G3241">
        <v>3</v>
      </c>
      <c r="H3241">
        <v>22.99</v>
      </c>
      <c r="J3241">
        <v>68.97</v>
      </c>
      <c r="K3241" t="s">
        <v>36</v>
      </c>
      <c r="L3241" t="s">
        <v>17</v>
      </c>
      <c r="M3241" t="s">
        <v>123</v>
      </c>
    </row>
    <row r="3242" spans="1:13" x14ac:dyDescent="0.2">
      <c r="A3242">
        <v>635501</v>
      </c>
      <c r="B3242" s="2">
        <v>44951</v>
      </c>
      <c r="C3242">
        <v>13582</v>
      </c>
      <c r="D3242" t="s">
        <v>82</v>
      </c>
      <c r="E3242" t="s">
        <v>100</v>
      </c>
      <c r="F3242" t="s">
        <v>101</v>
      </c>
      <c r="G3242">
        <v>2</v>
      </c>
      <c r="H3242">
        <v>17.239999999999998</v>
      </c>
      <c r="I3242">
        <v>0.25</v>
      </c>
      <c r="J3242">
        <v>25.86</v>
      </c>
      <c r="K3242" t="s">
        <v>95</v>
      </c>
      <c r="L3242" t="s">
        <v>17</v>
      </c>
      <c r="M3242" t="s">
        <v>24</v>
      </c>
    </row>
    <row r="3243" spans="1:13" x14ac:dyDescent="0.2">
      <c r="A3243">
        <v>635646</v>
      </c>
      <c r="B3243" s="1">
        <v>44965</v>
      </c>
      <c r="C3243">
        <v>81740</v>
      </c>
      <c r="D3243" t="s">
        <v>48</v>
      </c>
      <c r="E3243" t="s">
        <v>49</v>
      </c>
      <c r="F3243" t="s">
        <v>50</v>
      </c>
      <c r="G3243">
        <v>1</v>
      </c>
      <c r="H3243">
        <v>8.99</v>
      </c>
      <c r="J3243">
        <v>8.99</v>
      </c>
      <c r="K3243" t="s">
        <v>66</v>
      </c>
      <c r="L3243" t="s">
        <v>17</v>
      </c>
      <c r="M3243" t="s">
        <v>120</v>
      </c>
    </row>
    <row r="3244" spans="1:13" x14ac:dyDescent="0.2">
      <c r="A3244">
        <v>635836</v>
      </c>
      <c r="B3244" s="1">
        <v>45392</v>
      </c>
      <c r="C3244">
        <v>37525</v>
      </c>
      <c r="D3244" t="s">
        <v>97</v>
      </c>
      <c r="E3244" t="s">
        <v>165</v>
      </c>
      <c r="F3244" t="s">
        <v>166</v>
      </c>
      <c r="G3244">
        <v>1</v>
      </c>
      <c r="H3244">
        <v>67.489999999999995</v>
      </c>
      <c r="I3244">
        <v>0.25</v>
      </c>
      <c r="J3244">
        <v>50.62</v>
      </c>
      <c r="K3244" t="s">
        <v>16</v>
      </c>
      <c r="L3244" t="s">
        <v>17</v>
      </c>
      <c r="M3244" t="s">
        <v>28</v>
      </c>
    </row>
    <row r="3245" spans="1:13" x14ac:dyDescent="0.2">
      <c r="A3245">
        <v>635894</v>
      </c>
      <c r="B3245" s="2">
        <v>45198</v>
      </c>
      <c r="C3245">
        <v>84494</v>
      </c>
      <c r="D3245" t="s">
        <v>167</v>
      </c>
      <c r="E3245" t="s">
        <v>109</v>
      </c>
      <c r="F3245" t="s">
        <v>110</v>
      </c>
      <c r="G3245">
        <v>1</v>
      </c>
      <c r="H3245">
        <v>6.64</v>
      </c>
      <c r="I3245">
        <v>0.05</v>
      </c>
      <c r="J3245">
        <v>6.31</v>
      </c>
      <c r="K3245" t="s">
        <v>36</v>
      </c>
      <c r="L3245" t="s">
        <v>17</v>
      </c>
      <c r="M3245" t="s">
        <v>76</v>
      </c>
    </row>
    <row r="3246" spans="1:13" x14ac:dyDescent="0.2">
      <c r="A3246">
        <v>636014</v>
      </c>
      <c r="B3246" s="1">
        <v>44566</v>
      </c>
      <c r="C3246">
        <v>76425</v>
      </c>
      <c r="D3246" t="s">
        <v>63</v>
      </c>
      <c r="E3246" t="s">
        <v>111</v>
      </c>
      <c r="F3246" t="s">
        <v>112</v>
      </c>
      <c r="G3246">
        <v>3</v>
      </c>
      <c r="H3246">
        <v>11.24</v>
      </c>
      <c r="I3246">
        <v>0.25</v>
      </c>
      <c r="J3246">
        <v>25.29</v>
      </c>
      <c r="K3246" t="s">
        <v>22</v>
      </c>
      <c r="L3246" t="s">
        <v>37</v>
      </c>
      <c r="M3246" t="s">
        <v>96</v>
      </c>
    </row>
    <row r="3247" spans="1:13" x14ac:dyDescent="0.2">
      <c r="A3247">
        <v>636965</v>
      </c>
      <c r="B3247" s="1">
        <v>45410</v>
      </c>
      <c r="C3247">
        <v>34494</v>
      </c>
      <c r="D3247" t="s">
        <v>192</v>
      </c>
      <c r="E3247" t="s">
        <v>141</v>
      </c>
      <c r="F3247" t="s">
        <v>142</v>
      </c>
      <c r="G3247">
        <v>1</v>
      </c>
      <c r="H3247">
        <v>22.99</v>
      </c>
      <c r="J3247">
        <v>22.99</v>
      </c>
      <c r="K3247" t="s">
        <v>36</v>
      </c>
      <c r="L3247" t="s">
        <v>37</v>
      </c>
    </row>
    <row r="3248" spans="1:13" x14ac:dyDescent="0.2">
      <c r="A3248">
        <v>637331</v>
      </c>
      <c r="B3248" s="1">
        <v>45154</v>
      </c>
      <c r="C3248">
        <v>39462</v>
      </c>
      <c r="D3248" t="s">
        <v>13</v>
      </c>
      <c r="E3248" t="s">
        <v>34</v>
      </c>
      <c r="F3248" t="s">
        <v>35</v>
      </c>
      <c r="G3248">
        <v>2</v>
      </c>
      <c r="H3248">
        <v>27.99</v>
      </c>
      <c r="I3248">
        <v>0.2</v>
      </c>
      <c r="J3248">
        <v>44.78</v>
      </c>
      <c r="K3248" t="s">
        <v>36</v>
      </c>
      <c r="L3248" t="s">
        <v>17</v>
      </c>
      <c r="M3248" t="s">
        <v>43</v>
      </c>
    </row>
    <row r="3249" spans="1:13" x14ac:dyDescent="0.2">
      <c r="A3249">
        <v>637549</v>
      </c>
      <c r="B3249" s="2">
        <v>45392</v>
      </c>
      <c r="C3249">
        <v>39829</v>
      </c>
      <c r="D3249" t="s">
        <v>29</v>
      </c>
      <c r="E3249" t="s">
        <v>30</v>
      </c>
      <c r="F3249" t="s">
        <v>31</v>
      </c>
      <c r="G3249">
        <v>2</v>
      </c>
      <c r="H3249">
        <v>24.99</v>
      </c>
      <c r="J3249">
        <v>49.98</v>
      </c>
      <c r="K3249" t="s">
        <v>53</v>
      </c>
      <c r="L3249" t="s">
        <v>23</v>
      </c>
      <c r="M3249" t="s">
        <v>18</v>
      </c>
    </row>
    <row r="3250" spans="1:13" x14ac:dyDescent="0.2">
      <c r="A3250">
        <v>638027</v>
      </c>
      <c r="B3250" s="1">
        <v>45136</v>
      </c>
      <c r="C3250">
        <v>43040</v>
      </c>
      <c r="D3250" t="s">
        <v>97</v>
      </c>
      <c r="E3250" t="s">
        <v>135</v>
      </c>
      <c r="F3250" t="s">
        <v>136</v>
      </c>
      <c r="G3250">
        <v>2</v>
      </c>
      <c r="H3250">
        <v>9.99</v>
      </c>
      <c r="J3250">
        <v>19.98</v>
      </c>
      <c r="K3250" t="s">
        <v>16</v>
      </c>
      <c r="L3250" t="s">
        <v>17</v>
      </c>
    </row>
    <row r="3251" spans="1:13" x14ac:dyDescent="0.2">
      <c r="A3251">
        <v>638029</v>
      </c>
      <c r="B3251" s="1">
        <v>44876</v>
      </c>
      <c r="C3251">
        <v>57498</v>
      </c>
      <c r="D3251" t="s">
        <v>29</v>
      </c>
      <c r="E3251" t="s">
        <v>175</v>
      </c>
      <c r="F3251" t="s">
        <v>176</v>
      </c>
      <c r="G3251">
        <v>3</v>
      </c>
      <c r="H3251">
        <v>10.19</v>
      </c>
      <c r="I3251">
        <v>0.15</v>
      </c>
      <c r="J3251">
        <v>25.98</v>
      </c>
      <c r="K3251" t="s">
        <v>95</v>
      </c>
      <c r="L3251" t="s">
        <v>17</v>
      </c>
      <c r="M3251" t="s">
        <v>67</v>
      </c>
    </row>
    <row r="3252" spans="1:13" x14ac:dyDescent="0.2">
      <c r="A3252">
        <v>638094</v>
      </c>
      <c r="B3252" s="2">
        <v>44782</v>
      </c>
      <c r="C3252">
        <v>80059</v>
      </c>
      <c r="D3252" t="s">
        <v>29</v>
      </c>
      <c r="E3252" t="s">
        <v>88</v>
      </c>
      <c r="F3252" t="s">
        <v>89</v>
      </c>
      <c r="G3252">
        <v>2</v>
      </c>
      <c r="H3252">
        <v>49.99</v>
      </c>
      <c r="J3252">
        <v>99.98</v>
      </c>
      <c r="K3252" t="s">
        <v>16</v>
      </c>
      <c r="L3252" t="s">
        <v>17</v>
      </c>
      <c r="M3252" t="s">
        <v>102</v>
      </c>
    </row>
    <row r="3253" spans="1:13" x14ac:dyDescent="0.2">
      <c r="A3253">
        <v>638134</v>
      </c>
      <c r="B3253" s="1">
        <v>45107</v>
      </c>
      <c r="C3253">
        <v>78981</v>
      </c>
      <c r="D3253" t="s">
        <v>40</v>
      </c>
      <c r="E3253" t="s">
        <v>41</v>
      </c>
      <c r="F3253" t="s">
        <v>42</v>
      </c>
      <c r="G3253">
        <v>2</v>
      </c>
      <c r="H3253">
        <v>5.09</v>
      </c>
      <c r="I3253">
        <v>0.15</v>
      </c>
      <c r="J3253">
        <v>8.65</v>
      </c>
      <c r="K3253" t="s">
        <v>36</v>
      </c>
      <c r="L3253" t="s">
        <v>37</v>
      </c>
      <c r="M3253" t="s">
        <v>18</v>
      </c>
    </row>
    <row r="3254" spans="1:13" x14ac:dyDescent="0.2">
      <c r="A3254">
        <v>638307</v>
      </c>
      <c r="B3254" s="1">
        <v>45461</v>
      </c>
      <c r="C3254">
        <v>30918</v>
      </c>
      <c r="D3254" t="s">
        <v>40</v>
      </c>
      <c r="E3254" t="s">
        <v>20</v>
      </c>
      <c r="F3254" t="s">
        <v>21</v>
      </c>
      <c r="G3254">
        <v>2</v>
      </c>
      <c r="H3254">
        <v>9.99</v>
      </c>
      <c r="J3254">
        <v>19.98</v>
      </c>
      <c r="K3254" t="s">
        <v>36</v>
      </c>
      <c r="L3254" t="s">
        <v>37</v>
      </c>
      <c r="M3254" t="s">
        <v>57</v>
      </c>
    </row>
    <row r="3255" spans="1:13" x14ac:dyDescent="0.2">
      <c r="A3255">
        <v>638314</v>
      </c>
      <c r="B3255" s="1">
        <v>45323</v>
      </c>
      <c r="C3255">
        <v>48950</v>
      </c>
      <c r="D3255" t="s">
        <v>48</v>
      </c>
      <c r="E3255" t="s">
        <v>118</v>
      </c>
      <c r="F3255" t="s">
        <v>119</v>
      </c>
      <c r="G3255">
        <v>2</v>
      </c>
      <c r="H3255">
        <v>3.49</v>
      </c>
      <c r="I3255">
        <v>0.3</v>
      </c>
      <c r="J3255">
        <v>4.8899999999999997</v>
      </c>
      <c r="K3255" t="s">
        <v>22</v>
      </c>
      <c r="L3255" t="s">
        <v>17</v>
      </c>
      <c r="M3255" t="s">
        <v>33</v>
      </c>
    </row>
    <row r="3256" spans="1:13" x14ac:dyDescent="0.2">
      <c r="A3256">
        <v>638416</v>
      </c>
      <c r="B3256" s="1">
        <v>45575</v>
      </c>
      <c r="C3256">
        <v>31348</v>
      </c>
      <c r="D3256" t="s">
        <v>13</v>
      </c>
      <c r="E3256" t="s">
        <v>55</v>
      </c>
      <c r="F3256" t="s">
        <v>56</v>
      </c>
      <c r="G3256">
        <v>1</v>
      </c>
      <c r="H3256">
        <v>313.49</v>
      </c>
      <c r="I3256">
        <v>0.05</v>
      </c>
      <c r="J3256">
        <v>297.82</v>
      </c>
      <c r="K3256" t="s">
        <v>22</v>
      </c>
      <c r="L3256" t="s">
        <v>17</v>
      </c>
      <c r="M3256" t="s">
        <v>67</v>
      </c>
    </row>
    <row r="3257" spans="1:13" x14ac:dyDescent="0.2">
      <c r="A3257">
        <v>638884</v>
      </c>
      <c r="B3257" s="1">
        <v>45045</v>
      </c>
      <c r="C3257">
        <v>17955</v>
      </c>
      <c r="D3257" t="s">
        <v>40</v>
      </c>
      <c r="E3257" t="s">
        <v>20</v>
      </c>
      <c r="F3257" t="s">
        <v>21</v>
      </c>
      <c r="G3257">
        <v>2</v>
      </c>
      <c r="H3257">
        <v>9.99</v>
      </c>
      <c r="J3257">
        <v>19.98</v>
      </c>
      <c r="K3257" t="s">
        <v>36</v>
      </c>
      <c r="L3257" t="s">
        <v>17</v>
      </c>
      <c r="M3257" t="s">
        <v>24</v>
      </c>
    </row>
    <row r="3258" spans="1:13" x14ac:dyDescent="0.2">
      <c r="A3258">
        <v>639023</v>
      </c>
      <c r="B3258" s="2">
        <v>44841</v>
      </c>
      <c r="C3258">
        <v>45665</v>
      </c>
      <c r="D3258" t="s">
        <v>85</v>
      </c>
      <c r="E3258" t="s">
        <v>145</v>
      </c>
      <c r="F3258" t="s">
        <v>146</v>
      </c>
      <c r="G3258">
        <v>1</v>
      </c>
      <c r="H3258">
        <v>16.14</v>
      </c>
      <c r="I3258">
        <v>0.05</v>
      </c>
      <c r="J3258">
        <v>15.33</v>
      </c>
      <c r="K3258" t="s">
        <v>95</v>
      </c>
      <c r="L3258" t="s">
        <v>17</v>
      </c>
      <c r="M3258" t="s">
        <v>81</v>
      </c>
    </row>
    <row r="3259" spans="1:13" x14ac:dyDescent="0.2">
      <c r="A3259">
        <v>639078</v>
      </c>
      <c r="B3259" s="1">
        <v>44768</v>
      </c>
      <c r="C3259">
        <v>56803</v>
      </c>
      <c r="D3259" t="s">
        <v>25</v>
      </c>
      <c r="E3259" t="s">
        <v>26</v>
      </c>
      <c r="F3259" t="s">
        <v>27</v>
      </c>
      <c r="G3259">
        <v>1</v>
      </c>
      <c r="H3259">
        <v>27.99</v>
      </c>
      <c r="I3259">
        <v>0.2</v>
      </c>
      <c r="J3259">
        <v>22.39</v>
      </c>
      <c r="K3259" t="s">
        <v>16</v>
      </c>
      <c r="L3259" t="s">
        <v>17</v>
      </c>
      <c r="M3259" t="s">
        <v>102</v>
      </c>
    </row>
    <row r="3260" spans="1:13" x14ac:dyDescent="0.2">
      <c r="A3260">
        <v>639217</v>
      </c>
      <c r="B3260" s="1">
        <v>45229</v>
      </c>
      <c r="C3260">
        <v>30563</v>
      </c>
      <c r="D3260" t="s">
        <v>63</v>
      </c>
      <c r="E3260" t="s">
        <v>111</v>
      </c>
      <c r="F3260" t="s">
        <v>112</v>
      </c>
      <c r="G3260">
        <v>1</v>
      </c>
      <c r="H3260">
        <v>14.99</v>
      </c>
      <c r="J3260">
        <v>14.99</v>
      </c>
      <c r="K3260" t="s">
        <v>16</v>
      </c>
      <c r="L3260" t="s">
        <v>17</v>
      </c>
      <c r="M3260" t="s">
        <v>96</v>
      </c>
    </row>
    <row r="3261" spans="1:13" x14ac:dyDescent="0.2">
      <c r="A3261">
        <v>639683</v>
      </c>
      <c r="B3261" s="2">
        <v>44726</v>
      </c>
      <c r="C3261">
        <v>44550</v>
      </c>
      <c r="D3261" t="s">
        <v>63</v>
      </c>
      <c r="E3261" t="s">
        <v>131</v>
      </c>
      <c r="F3261" t="s">
        <v>132</v>
      </c>
      <c r="G3261">
        <v>3</v>
      </c>
      <c r="H3261">
        <v>2.79</v>
      </c>
      <c r="I3261">
        <v>0.2</v>
      </c>
      <c r="J3261">
        <v>6.7</v>
      </c>
      <c r="K3261" t="s">
        <v>53</v>
      </c>
      <c r="L3261" t="s">
        <v>37</v>
      </c>
      <c r="M3261" t="s">
        <v>76</v>
      </c>
    </row>
    <row r="3262" spans="1:13" x14ac:dyDescent="0.2">
      <c r="A3262">
        <v>639823</v>
      </c>
      <c r="B3262" s="1">
        <v>45527</v>
      </c>
      <c r="C3262">
        <v>44984</v>
      </c>
      <c r="D3262" t="s">
        <v>40</v>
      </c>
      <c r="E3262" t="s">
        <v>58</v>
      </c>
      <c r="F3262" t="s">
        <v>59</v>
      </c>
      <c r="G3262">
        <v>4</v>
      </c>
      <c r="H3262">
        <v>3.99</v>
      </c>
      <c r="J3262">
        <v>15.96</v>
      </c>
      <c r="K3262" t="s">
        <v>32</v>
      </c>
      <c r="L3262" t="s">
        <v>23</v>
      </c>
      <c r="M3262" t="s">
        <v>123</v>
      </c>
    </row>
    <row r="3263" spans="1:13" x14ac:dyDescent="0.2">
      <c r="A3263">
        <v>639957</v>
      </c>
      <c r="B3263" s="2">
        <v>44829</v>
      </c>
      <c r="C3263">
        <v>90843</v>
      </c>
      <c r="D3263" t="s">
        <v>97</v>
      </c>
      <c r="E3263" t="s">
        <v>141</v>
      </c>
      <c r="F3263" t="s">
        <v>142</v>
      </c>
      <c r="G3263">
        <v>3</v>
      </c>
      <c r="H3263">
        <v>22.99</v>
      </c>
      <c r="J3263">
        <v>68.97</v>
      </c>
      <c r="K3263" t="s">
        <v>16</v>
      </c>
      <c r="L3263" t="s">
        <v>23</v>
      </c>
      <c r="M3263" t="s">
        <v>120</v>
      </c>
    </row>
    <row r="3264" spans="1:13" x14ac:dyDescent="0.2">
      <c r="A3264">
        <v>639995</v>
      </c>
      <c r="B3264" s="2">
        <v>45378</v>
      </c>
      <c r="C3264">
        <v>45058</v>
      </c>
      <c r="D3264" t="s">
        <v>82</v>
      </c>
      <c r="E3264" t="s">
        <v>155</v>
      </c>
      <c r="F3264" t="s">
        <v>156</v>
      </c>
      <c r="G3264">
        <v>4</v>
      </c>
      <c r="H3264">
        <v>19.989999999999998</v>
      </c>
      <c r="J3264">
        <v>79.959999999999994</v>
      </c>
      <c r="K3264" t="s">
        <v>36</v>
      </c>
      <c r="L3264" t="s">
        <v>17</v>
      </c>
      <c r="M3264" t="s">
        <v>90</v>
      </c>
    </row>
    <row r="3265" spans="1:13" x14ac:dyDescent="0.2">
      <c r="A3265">
        <v>640004</v>
      </c>
      <c r="B3265" s="1">
        <v>44961</v>
      </c>
      <c r="C3265">
        <v>24052</v>
      </c>
      <c r="D3265" t="s">
        <v>48</v>
      </c>
      <c r="E3265" t="s">
        <v>109</v>
      </c>
      <c r="F3265" t="s">
        <v>110</v>
      </c>
      <c r="G3265">
        <v>1</v>
      </c>
      <c r="H3265">
        <v>6.64</v>
      </c>
      <c r="I3265">
        <v>0.05</v>
      </c>
      <c r="J3265">
        <v>6.31</v>
      </c>
      <c r="K3265" t="s">
        <v>22</v>
      </c>
      <c r="L3265" t="s">
        <v>17</v>
      </c>
      <c r="M3265" t="s">
        <v>33</v>
      </c>
    </row>
    <row r="3266" spans="1:13" x14ac:dyDescent="0.2">
      <c r="A3266">
        <v>640175</v>
      </c>
      <c r="B3266" s="1">
        <v>44788</v>
      </c>
      <c r="C3266">
        <v>41430</v>
      </c>
      <c r="D3266" t="s">
        <v>40</v>
      </c>
      <c r="E3266" t="s">
        <v>20</v>
      </c>
      <c r="F3266" t="s">
        <v>21</v>
      </c>
      <c r="G3266">
        <v>4</v>
      </c>
      <c r="H3266">
        <v>6.99</v>
      </c>
      <c r="I3266">
        <v>0.3</v>
      </c>
      <c r="J3266">
        <v>19.57</v>
      </c>
      <c r="K3266" t="s">
        <v>22</v>
      </c>
      <c r="L3266" t="s">
        <v>17</v>
      </c>
      <c r="M3266" t="s">
        <v>120</v>
      </c>
    </row>
    <row r="3267" spans="1:13" x14ac:dyDescent="0.2">
      <c r="A3267">
        <v>640241</v>
      </c>
      <c r="B3267" s="1">
        <v>45601</v>
      </c>
      <c r="C3267">
        <v>57861</v>
      </c>
      <c r="D3267" t="s">
        <v>44</v>
      </c>
      <c r="E3267" t="s">
        <v>177</v>
      </c>
      <c r="F3267" t="s">
        <v>178</v>
      </c>
      <c r="G3267">
        <v>2</v>
      </c>
      <c r="H3267">
        <v>8.39</v>
      </c>
      <c r="I3267">
        <v>0.3</v>
      </c>
      <c r="J3267">
        <v>11.75</v>
      </c>
      <c r="K3267" t="s">
        <v>36</v>
      </c>
      <c r="L3267" t="s">
        <v>17</v>
      </c>
      <c r="M3267" t="s">
        <v>76</v>
      </c>
    </row>
    <row r="3268" spans="1:13" x14ac:dyDescent="0.2">
      <c r="A3268">
        <v>640312</v>
      </c>
      <c r="B3268" s="1">
        <v>45080</v>
      </c>
      <c r="C3268">
        <v>90581</v>
      </c>
      <c r="D3268" t="s">
        <v>82</v>
      </c>
      <c r="E3268" t="s">
        <v>83</v>
      </c>
      <c r="F3268" t="s">
        <v>84</v>
      </c>
      <c r="G3268">
        <v>1</v>
      </c>
      <c r="H3268">
        <v>11.89</v>
      </c>
      <c r="I3268">
        <v>0.3</v>
      </c>
      <c r="J3268">
        <v>8.32</v>
      </c>
      <c r="K3268" t="s">
        <v>36</v>
      </c>
      <c r="L3268" t="s">
        <v>37</v>
      </c>
      <c r="M3268" t="s">
        <v>57</v>
      </c>
    </row>
    <row r="3269" spans="1:13" x14ac:dyDescent="0.2">
      <c r="A3269">
        <v>640358</v>
      </c>
      <c r="B3269" s="1">
        <v>44806</v>
      </c>
      <c r="C3269">
        <v>11086</v>
      </c>
      <c r="D3269" t="s">
        <v>29</v>
      </c>
      <c r="E3269" t="s">
        <v>175</v>
      </c>
      <c r="F3269" t="s">
        <v>176</v>
      </c>
      <c r="G3269">
        <v>5</v>
      </c>
      <c r="H3269">
        <v>11.99</v>
      </c>
      <c r="J3269">
        <v>59.95</v>
      </c>
      <c r="K3269" t="s">
        <v>36</v>
      </c>
      <c r="L3269" t="s">
        <v>37</v>
      </c>
      <c r="M3269" t="s">
        <v>62</v>
      </c>
    </row>
    <row r="3270" spans="1:13" x14ac:dyDescent="0.2">
      <c r="A3270">
        <v>640457</v>
      </c>
      <c r="B3270" s="1">
        <v>44961</v>
      </c>
      <c r="C3270">
        <v>20796</v>
      </c>
      <c r="D3270" t="s">
        <v>25</v>
      </c>
      <c r="E3270" t="s">
        <v>51</v>
      </c>
      <c r="F3270" t="s">
        <v>52</v>
      </c>
      <c r="G3270">
        <v>3</v>
      </c>
      <c r="H3270">
        <v>23.79</v>
      </c>
      <c r="I3270">
        <v>0.15</v>
      </c>
      <c r="J3270">
        <v>60.66</v>
      </c>
      <c r="K3270" t="s">
        <v>16</v>
      </c>
      <c r="L3270" t="s">
        <v>17</v>
      </c>
      <c r="M3270" t="s">
        <v>120</v>
      </c>
    </row>
    <row r="3271" spans="1:13" x14ac:dyDescent="0.2">
      <c r="A3271">
        <v>640557</v>
      </c>
      <c r="B3271" s="2">
        <v>44756</v>
      </c>
      <c r="C3271">
        <v>80544</v>
      </c>
      <c r="D3271" t="s">
        <v>25</v>
      </c>
      <c r="E3271" t="s">
        <v>113</v>
      </c>
      <c r="F3271" t="s">
        <v>114</v>
      </c>
      <c r="G3271">
        <v>1</v>
      </c>
      <c r="H3271">
        <v>107.99</v>
      </c>
      <c r="I3271">
        <v>0.1</v>
      </c>
      <c r="J3271">
        <v>97.19</v>
      </c>
      <c r="K3271" t="s">
        <v>36</v>
      </c>
      <c r="L3271" t="s">
        <v>23</v>
      </c>
      <c r="M3271" t="s">
        <v>117</v>
      </c>
    </row>
    <row r="3272" spans="1:13" x14ac:dyDescent="0.2">
      <c r="A3272">
        <v>641008</v>
      </c>
      <c r="B3272" s="2">
        <v>44963</v>
      </c>
      <c r="C3272">
        <v>62142</v>
      </c>
      <c r="D3272" t="s">
        <v>13</v>
      </c>
      <c r="E3272" t="s">
        <v>77</v>
      </c>
      <c r="F3272" t="s">
        <v>78</v>
      </c>
      <c r="G3272">
        <v>1</v>
      </c>
      <c r="H3272">
        <v>374.99</v>
      </c>
      <c r="I3272">
        <v>0.25</v>
      </c>
      <c r="J3272">
        <v>281.24</v>
      </c>
      <c r="K3272" t="s">
        <v>36</v>
      </c>
      <c r="L3272" t="s">
        <v>17</v>
      </c>
      <c r="M3272" t="s">
        <v>96</v>
      </c>
    </row>
    <row r="3273" spans="1:13" x14ac:dyDescent="0.2">
      <c r="A3273">
        <v>641010</v>
      </c>
      <c r="B3273" s="1">
        <v>44744</v>
      </c>
      <c r="C3273">
        <v>25141</v>
      </c>
      <c r="D3273" t="s">
        <v>82</v>
      </c>
      <c r="E3273" t="s">
        <v>100</v>
      </c>
      <c r="F3273" t="s">
        <v>101</v>
      </c>
      <c r="G3273">
        <v>2</v>
      </c>
      <c r="H3273">
        <v>22.99</v>
      </c>
      <c r="J3273">
        <v>45.98</v>
      </c>
      <c r="K3273" t="s">
        <v>53</v>
      </c>
      <c r="L3273" t="s">
        <v>17</v>
      </c>
      <c r="M3273" t="s">
        <v>161</v>
      </c>
    </row>
    <row r="3274" spans="1:13" x14ac:dyDescent="0.2">
      <c r="A3274">
        <v>641182</v>
      </c>
      <c r="B3274" s="1">
        <v>45584</v>
      </c>
      <c r="C3274">
        <v>96535</v>
      </c>
      <c r="D3274" t="s">
        <v>97</v>
      </c>
      <c r="E3274" t="s">
        <v>135</v>
      </c>
      <c r="F3274" t="s">
        <v>136</v>
      </c>
      <c r="G3274">
        <v>2</v>
      </c>
      <c r="H3274">
        <v>7.99</v>
      </c>
      <c r="I3274">
        <v>0.2</v>
      </c>
      <c r="J3274">
        <v>12.78</v>
      </c>
      <c r="K3274" t="s">
        <v>36</v>
      </c>
      <c r="L3274" t="s">
        <v>17</v>
      </c>
      <c r="M3274" t="s">
        <v>102</v>
      </c>
    </row>
    <row r="3275" spans="1:13" x14ac:dyDescent="0.2">
      <c r="A3275">
        <v>641862</v>
      </c>
      <c r="B3275" s="1">
        <v>44938</v>
      </c>
      <c r="C3275">
        <v>12899</v>
      </c>
      <c r="D3275" t="s">
        <v>13</v>
      </c>
      <c r="E3275" t="s">
        <v>127</v>
      </c>
      <c r="F3275" t="s">
        <v>128</v>
      </c>
      <c r="G3275">
        <v>5</v>
      </c>
      <c r="H3275">
        <v>13.99</v>
      </c>
      <c r="I3275">
        <v>0.3</v>
      </c>
      <c r="J3275">
        <v>48.96</v>
      </c>
      <c r="K3275" t="s">
        <v>36</v>
      </c>
      <c r="L3275" t="s">
        <v>17</v>
      </c>
      <c r="M3275" t="s">
        <v>120</v>
      </c>
    </row>
    <row r="3276" spans="1:13" x14ac:dyDescent="0.2">
      <c r="A3276">
        <v>642099</v>
      </c>
      <c r="B3276" s="1">
        <v>45139</v>
      </c>
      <c r="C3276">
        <v>37377</v>
      </c>
      <c r="D3276" t="s">
        <v>25</v>
      </c>
      <c r="E3276" t="s">
        <v>70</v>
      </c>
      <c r="F3276" t="s">
        <v>71</v>
      </c>
      <c r="G3276">
        <v>1</v>
      </c>
      <c r="H3276">
        <v>76.489999999999995</v>
      </c>
      <c r="I3276">
        <v>0.15</v>
      </c>
      <c r="J3276">
        <v>65.02</v>
      </c>
      <c r="K3276" t="s">
        <v>16</v>
      </c>
      <c r="L3276" t="s">
        <v>17</v>
      </c>
    </row>
    <row r="3277" spans="1:13" x14ac:dyDescent="0.2">
      <c r="A3277">
        <v>642605</v>
      </c>
      <c r="B3277" s="1">
        <v>45257</v>
      </c>
      <c r="C3277">
        <v>18767</v>
      </c>
      <c r="D3277" t="s">
        <v>25</v>
      </c>
      <c r="E3277" t="s">
        <v>113</v>
      </c>
      <c r="F3277" t="s">
        <v>114</v>
      </c>
      <c r="G3277">
        <v>1</v>
      </c>
      <c r="H3277">
        <v>83.99</v>
      </c>
      <c r="I3277">
        <v>0.3</v>
      </c>
      <c r="J3277">
        <v>58.79</v>
      </c>
      <c r="K3277" t="s">
        <v>36</v>
      </c>
      <c r="L3277" t="s">
        <v>17</v>
      </c>
      <c r="M3277" t="s">
        <v>123</v>
      </c>
    </row>
    <row r="3278" spans="1:13" x14ac:dyDescent="0.2">
      <c r="A3278">
        <v>643014</v>
      </c>
      <c r="B3278" s="1">
        <v>44599</v>
      </c>
      <c r="C3278">
        <v>26203</v>
      </c>
      <c r="D3278" t="s">
        <v>25</v>
      </c>
      <c r="E3278" t="s">
        <v>26</v>
      </c>
      <c r="F3278" t="s">
        <v>27</v>
      </c>
      <c r="G3278">
        <v>1</v>
      </c>
      <c r="H3278">
        <v>34.99</v>
      </c>
      <c r="J3278">
        <v>34.99</v>
      </c>
      <c r="K3278" t="s">
        <v>16</v>
      </c>
      <c r="L3278" t="s">
        <v>17</v>
      </c>
      <c r="M3278" t="s">
        <v>54</v>
      </c>
    </row>
    <row r="3279" spans="1:13" x14ac:dyDescent="0.2">
      <c r="A3279">
        <v>643123</v>
      </c>
      <c r="B3279" s="2">
        <v>44631</v>
      </c>
      <c r="C3279">
        <v>73335</v>
      </c>
      <c r="D3279" t="s">
        <v>25</v>
      </c>
      <c r="E3279" t="s">
        <v>70</v>
      </c>
      <c r="F3279" t="s">
        <v>71</v>
      </c>
      <c r="G3279">
        <v>1</v>
      </c>
      <c r="H3279">
        <v>89.99</v>
      </c>
      <c r="J3279">
        <v>89.99</v>
      </c>
      <c r="K3279" t="s">
        <v>16</v>
      </c>
      <c r="L3279" t="s">
        <v>37</v>
      </c>
      <c r="M3279" t="s">
        <v>18</v>
      </c>
    </row>
    <row r="3280" spans="1:13" x14ac:dyDescent="0.2">
      <c r="A3280">
        <v>643304</v>
      </c>
      <c r="B3280" s="1">
        <v>45219</v>
      </c>
      <c r="C3280">
        <v>75088</v>
      </c>
      <c r="D3280" t="s">
        <v>40</v>
      </c>
      <c r="E3280" t="s">
        <v>115</v>
      </c>
      <c r="F3280" t="s">
        <v>116</v>
      </c>
      <c r="G3280">
        <v>2</v>
      </c>
      <c r="H3280">
        <v>12.99</v>
      </c>
      <c r="J3280">
        <v>25.98</v>
      </c>
      <c r="K3280" t="s">
        <v>22</v>
      </c>
      <c r="L3280" t="s">
        <v>17</v>
      </c>
      <c r="M3280" t="s">
        <v>90</v>
      </c>
    </row>
    <row r="3281" spans="1:13" x14ac:dyDescent="0.2">
      <c r="A3281">
        <v>643355</v>
      </c>
      <c r="B3281" s="1">
        <v>44587</v>
      </c>
      <c r="C3281">
        <v>92636</v>
      </c>
      <c r="D3281" t="s">
        <v>97</v>
      </c>
      <c r="E3281" t="s">
        <v>121</v>
      </c>
      <c r="F3281" t="s">
        <v>122</v>
      </c>
      <c r="G3281">
        <v>1</v>
      </c>
      <c r="H3281">
        <v>12.34</v>
      </c>
      <c r="I3281">
        <v>0.05</v>
      </c>
      <c r="J3281">
        <v>11.72</v>
      </c>
      <c r="K3281" t="s">
        <v>36</v>
      </c>
      <c r="L3281" t="s">
        <v>17</v>
      </c>
      <c r="M3281" t="s">
        <v>102</v>
      </c>
    </row>
    <row r="3282" spans="1:13" x14ac:dyDescent="0.2">
      <c r="A3282">
        <v>643389</v>
      </c>
      <c r="B3282" s="1">
        <v>45586</v>
      </c>
      <c r="C3282">
        <v>25835</v>
      </c>
      <c r="D3282" t="s">
        <v>63</v>
      </c>
      <c r="E3282" t="s">
        <v>125</v>
      </c>
      <c r="F3282" t="s">
        <v>126</v>
      </c>
      <c r="G3282">
        <v>2</v>
      </c>
      <c r="H3282">
        <v>29.99</v>
      </c>
      <c r="J3282">
        <v>59.98</v>
      </c>
      <c r="K3282" t="s">
        <v>16</v>
      </c>
      <c r="L3282" t="s">
        <v>17</v>
      </c>
      <c r="M3282" t="s">
        <v>161</v>
      </c>
    </row>
    <row r="3283" spans="1:13" x14ac:dyDescent="0.2">
      <c r="A3283">
        <v>643490</v>
      </c>
      <c r="B3283" s="1">
        <v>45275</v>
      </c>
      <c r="C3283">
        <v>28803</v>
      </c>
      <c r="D3283" t="s">
        <v>82</v>
      </c>
      <c r="E3283" t="s">
        <v>147</v>
      </c>
      <c r="F3283" t="s">
        <v>148</v>
      </c>
      <c r="G3283">
        <v>1</v>
      </c>
      <c r="H3283">
        <v>9.09</v>
      </c>
      <c r="I3283">
        <v>0.3</v>
      </c>
      <c r="J3283">
        <v>6.36</v>
      </c>
      <c r="K3283" t="s">
        <v>16</v>
      </c>
      <c r="L3283" t="s">
        <v>37</v>
      </c>
      <c r="M3283" t="s">
        <v>90</v>
      </c>
    </row>
    <row r="3284" spans="1:13" x14ac:dyDescent="0.2">
      <c r="A3284">
        <v>643491</v>
      </c>
      <c r="B3284" s="1">
        <v>45091</v>
      </c>
      <c r="C3284">
        <v>45366</v>
      </c>
      <c r="D3284" t="s">
        <v>44</v>
      </c>
      <c r="E3284" t="s">
        <v>190</v>
      </c>
      <c r="F3284" t="s">
        <v>191</v>
      </c>
      <c r="G3284">
        <v>4</v>
      </c>
      <c r="H3284">
        <v>3.65</v>
      </c>
      <c r="I3284">
        <v>0.15</v>
      </c>
      <c r="J3284">
        <v>12.41</v>
      </c>
      <c r="K3284" t="s">
        <v>22</v>
      </c>
      <c r="L3284" t="s">
        <v>23</v>
      </c>
      <c r="M3284" t="s">
        <v>24</v>
      </c>
    </row>
    <row r="3285" spans="1:13" x14ac:dyDescent="0.2">
      <c r="A3285">
        <v>643577</v>
      </c>
      <c r="B3285" s="1">
        <v>45273</v>
      </c>
      <c r="C3285">
        <v>46084</v>
      </c>
      <c r="D3285" t="s">
        <v>97</v>
      </c>
      <c r="E3285" t="s">
        <v>165</v>
      </c>
      <c r="F3285" t="s">
        <v>166</v>
      </c>
      <c r="G3285">
        <v>5</v>
      </c>
      <c r="H3285">
        <v>71.989999999999995</v>
      </c>
      <c r="I3285">
        <v>0.2</v>
      </c>
      <c r="J3285">
        <v>287.95999999999998</v>
      </c>
      <c r="K3285" t="s">
        <v>36</v>
      </c>
      <c r="L3285" t="s">
        <v>17</v>
      </c>
    </row>
    <row r="3286" spans="1:13" x14ac:dyDescent="0.2">
      <c r="A3286">
        <v>643623</v>
      </c>
      <c r="B3286" s="2">
        <v>45508</v>
      </c>
      <c r="C3286">
        <v>16764</v>
      </c>
      <c r="D3286" t="s">
        <v>48</v>
      </c>
      <c r="E3286" t="s">
        <v>139</v>
      </c>
      <c r="F3286" t="s">
        <v>140</v>
      </c>
      <c r="G3286">
        <v>1</v>
      </c>
      <c r="H3286">
        <v>6.39</v>
      </c>
      <c r="I3286">
        <v>0.2</v>
      </c>
      <c r="J3286">
        <v>5.1100000000000003</v>
      </c>
      <c r="K3286" t="s">
        <v>36</v>
      </c>
      <c r="L3286" t="s">
        <v>37</v>
      </c>
      <c r="M3286" t="s">
        <v>43</v>
      </c>
    </row>
    <row r="3287" spans="1:13" x14ac:dyDescent="0.2">
      <c r="A3287">
        <v>643724</v>
      </c>
      <c r="B3287" s="1">
        <v>45563</v>
      </c>
      <c r="C3287">
        <v>49007</v>
      </c>
      <c r="D3287" t="s">
        <v>25</v>
      </c>
      <c r="E3287" t="s">
        <v>60</v>
      </c>
      <c r="F3287" t="s">
        <v>61</v>
      </c>
      <c r="G3287">
        <v>4</v>
      </c>
      <c r="H3287">
        <v>54.99</v>
      </c>
      <c r="J3287">
        <v>219.96</v>
      </c>
      <c r="K3287" t="s">
        <v>36</v>
      </c>
      <c r="L3287" t="s">
        <v>17</v>
      </c>
      <c r="M3287" t="s">
        <v>28</v>
      </c>
    </row>
    <row r="3288" spans="1:13" x14ac:dyDescent="0.2">
      <c r="A3288">
        <v>644273</v>
      </c>
      <c r="B3288" s="2">
        <v>44932</v>
      </c>
      <c r="C3288">
        <v>51688</v>
      </c>
      <c r="D3288" t="s">
        <v>13</v>
      </c>
      <c r="E3288" t="s">
        <v>159</v>
      </c>
      <c r="F3288" t="s">
        <v>160</v>
      </c>
      <c r="G3288">
        <v>1</v>
      </c>
      <c r="H3288">
        <v>59.99</v>
      </c>
      <c r="J3288">
        <v>59.99</v>
      </c>
      <c r="K3288" t="s">
        <v>16</v>
      </c>
      <c r="L3288" t="s">
        <v>37</v>
      </c>
      <c r="M3288" t="s">
        <v>67</v>
      </c>
    </row>
    <row r="3289" spans="1:13" x14ac:dyDescent="0.2">
      <c r="A3289">
        <v>644456</v>
      </c>
      <c r="B3289" s="1">
        <v>44838</v>
      </c>
      <c r="C3289">
        <v>95273</v>
      </c>
      <c r="D3289" t="s">
        <v>124</v>
      </c>
      <c r="E3289" t="s">
        <v>68</v>
      </c>
      <c r="F3289" t="s">
        <v>69</v>
      </c>
      <c r="G3289">
        <v>1</v>
      </c>
      <c r="H3289">
        <v>24.99</v>
      </c>
      <c r="J3289">
        <v>24.99</v>
      </c>
      <c r="K3289" t="s">
        <v>16</v>
      </c>
      <c r="L3289" t="s">
        <v>17</v>
      </c>
      <c r="M3289" t="s">
        <v>62</v>
      </c>
    </row>
    <row r="3290" spans="1:13" x14ac:dyDescent="0.2">
      <c r="A3290">
        <v>644594</v>
      </c>
      <c r="B3290" s="1">
        <v>45378</v>
      </c>
      <c r="D3290" t="s">
        <v>19</v>
      </c>
      <c r="E3290" t="s">
        <v>20</v>
      </c>
      <c r="F3290" t="s">
        <v>21</v>
      </c>
      <c r="G3290">
        <v>3</v>
      </c>
      <c r="H3290">
        <v>7.49</v>
      </c>
      <c r="I3290">
        <v>0.25</v>
      </c>
      <c r="J3290">
        <v>16.850000000000001</v>
      </c>
      <c r="K3290" t="s">
        <v>36</v>
      </c>
      <c r="L3290" t="s">
        <v>37</v>
      </c>
      <c r="M3290" t="s">
        <v>47</v>
      </c>
    </row>
    <row r="3291" spans="1:13" x14ac:dyDescent="0.2">
      <c r="A3291">
        <v>644675</v>
      </c>
      <c r="B3291" s="1">
        <v>44562</v>
      </c>
      <c r="C3291">
        <v>28331</v>
      </c>
      <c r="D3291" t="s">
        <v>44</v>
      </c>
      <c r="E3291" t="s">
        <v>45</v>
      </c>
      <c r="F3291" t="s">
        <v>46</v>
      </c>
      <c r="G3291">
        <v>1</v>
      </c>
      <c r="H3291">
        <v>1.7</v>
      </c>
      <c r="I3291">
        <v>0.05</v>
      </c>
      <c r="J3291">
        <v>1.62</v>
      </c>
      <c r="K3291" t="s">
        <v>36</v>
      </c>
      <c r="L3291" t="s">
        <v>17</v>
      </c>
      <c r="M3291" t="s">
        <v>96</v>
      </c>
    </row>
    <row r="3292" spans="1:13" x14ac:dyDescent="0.2">
      <c r="A3292">
        <v>645126</v>
      </c>
      <c r="B3292" s="1">
        <v>45439</v>
      </c>
      <c r="C3292">
        <v>51846</v>
      </c>
      <c r="D3292" t="s">
        <v>106</v>
      </c>
      <c r="E3292" t="s">
        <v>45</v>
      </c>
      <c r="F3292" t="s">
        <v>46</v>
      </c>
      <c r="G3292">
        <v>4</v>
      </c>
      <c r="H3292">
        <v>1.43</v>
      </c>
      <c r="I3292">
        <v>0.2</v>
      </c>
      <c r="J3292">
        <v>4.58</v>
      </c>
      <c r="K3292" t="s">
        <v>16</v>
      </c>
      <c r="L3292" t="s">
        <v>17</v>
      </c>
      <c r="M3292" t="s">
        <v>123</v>
      </c>
    </row>
    <row r="3293" spans="1:13" x14ac:dyDescent="0.2">
      <c r="A3293">
        <v>645168</v>
      </c>
      <c r="B3293" s="1">
        <v>45375</v>
      </c>
      <c r="D3293" t="s">
        <v>44</v>
      </c>
      <c r="E3293" t="s">
        <v>177</v>
      </c>
      <c r="F3293" t="s">
        <v>178</v>
      </c>
      <c r="G3293">
        <v>2</v>
      </c>
      <c r="H3293">
        <v>8.39</v>
      </c>
      <c r="I3293">
        <v>0.3</v>
      </c>
      <c r="J3293">
        <v>11.75</v>
      </c>
      <c r="K3293" t="s">
        <v>16</v>
      </c>
      <c r="L3293" t="s">
        <v>23</v>
      </c>
      <c r="M3293" t="s">
        <v>57</v>
      </c>
    </row>
    <row r="3294" spans="1:13" x14ac:dyDescent="0.2">
      <c r="A3294">
        <v>645353</v>
      </c>
      <c r="B3294" s="1">
        <v>44582</v>
      </c>
      <c r="C3294">
        <v>38083</v>
      </c>
      <c r="D3294" t="s">
        <v>97</v>
      </c>
      <c r="E3294" t="s">
        <v>121</v>
      </c>
      <c r="F3294" t="s">
        <v>122</v>
      </c>
      <c r="G3294">
        <v>2</v>
      </c>
      <c r="H3294">
        <v>12.99</v>
      </c>
      <c r="J3294">
        <v>25.98</v>
      </c>
      <c r="K3294" t="s">
        <v>95</v>
      </c>
      <c r="L3294" t="s">
        <v>37</v>
      </c>
      <c r="M3294" t="s">
        <v>81</v>
      </c>
    </row>
    <row r="3295" spans="1:13" x14ac:dyDescent="0.2">
      <c r="A3295">
        <v>645428</v>
      </c>
      <c r="B3295" s="2">
        <v>45330</v>
      </c>
      <c r="C3295">
        <v>20550</v>
      </c>
      <c r="D3295" t="s">
        <v>40</v>
      </c>
      <c r="E3295" t="s">
        <v>115</v>
      </c>
      <c r="F3295" t="s">
        <v>116</v>
      </c>
      <c r="G3295">
        <v>3</v>
      </c>
      <c r="H3295">
        <v>9.74</v>
      </c>
      <c r="I3295">
        <v>0.25</v>
      </c>
      <c r="J3295">
        <v>21.92</v>
      </c>
      <c r="K3295" t="s">
        <v>36</v>
      </c>
      <c r="L3295" t="s">
        <v>17</v>
      </c>
      <c r="M3295" t="s">
        <v>161</v>
      </c>
    </row>
    <row r="3296" spans="1:13" x14ac:dyDescent="0.2">
      <c r="A3296">
        <v>645859</v>
      </c>
      <c r="B3296" s="1">
        <v>45454</v>
      </c>
      <c r="C3296">
        <v>19712</v>
      </c>
      <c r="D3296" t="s">
        <v>29</v>
      </c>
      <c r="E3296" t="s">
        <v>72</v>
      </c>
      <c r="F3296" t="s">
        <v>73</v>
      </c>
      <c r="G3296">
        <v>2</v>
      </c>
      <c r="H3296">
        <v>27.99</v>
      </c>
      <c r="I3296">
        <v>0.3</v>
      </c>
      <c r="J3296">
        <v>39.19</v>
      </c>
      <c r="K3296" t="s">
        <v>16</v>
      </c>
      <c r="L3296" t="s">
        <v>17</v>
      </c>
      <c r="M3296" t="s">
        <v>47</v>
      </c>
    </row>
    <row r="3297" spans="1:13" x14ac:dyDescent="0.2">
      <c r="A3297">
        <v>645869</v>
      </c>
      <c r="B3297" s="2">
        <v>44609</v>
      </c>
      <c r="C3297">
        <v>16571</v>
      </c>
      <c r="D3297" t="s">
        <v>40</v>
      </c>
      <c r="E3297" t="s">
        <v>41</v>
      </c>
      <c r="F3297" t="s">
        <v>42</v>
      </c>
      <c r="G3297">
        <v>5</v>
      </c>
      <c r="H3297">
        <v>4.1900000000000004</v>
      </c>
      <c r="I3297">
        <v>0.3</v>
      </c>
      <c r="J3297">
        <v>14.66</v>
      </c>
      <c r="K3297" t="s">
        <v>36</v>
      </c>
      <c r="L3297" t="s">
        <v>17</v>
      </c>
      <c r="M3297" t="s">
        <v>161</v>
      </c>
    </row>
    <row r="3298" spans="1:13" x14ac:dyDescent="0.2">
      <c r="A3298">
        <v>645981</v>
      </c>
      <c r="B3298" s="1">
        <v>44925</v>
      </c>
      <c r="C3298">
        <v>86108</v>
      </c>
      <c r="D3298" t="s">
        <v>44</v>
      </c>
      <c r="E3298" t="s">
        <v>107</v>
      </c>
      <c r="F3298" t="s">
        <v>108</v>
      </c>
      <c r="G3298">
        <v>1</v>
      </c>
      <c r="H3298">
        <v>3.14</v>
      </c>
      <c r="I3298">
        <v>0.1</v>
      </c>
      <c r="J3298">
        <v>2.83</v>
      </c>
      <c r="K3298" t="s">
        <v>36</v>
      </c>
      <c r="L3298" t="s">
        <v>17</v>
      </c>
      <c r="M3298" t="s">
        <v>123</v>
      </c>
    </row>
    <row r="3299" spans="1:13" x14ac:dyDescent="0.2">
      <c r="A3299">
        <v>646015</v>
      </c>
      <c r="B3299" s="1">
        <v>45373</v>
      </c>
      <c r="C3299">
        <v>13896</v>
      </c>
      <c r="D3299" t="s">
        <v>40</v>
      </c>
      <c r="E3299" t="s">
        <v>58</v>
      </c>
      <c r="F3299" t="s">
        <v>59</v>
      </c>
      <c r="G3299">
        <v>2</v>
      </c>
      <c r="H3299">
        <v>3.39</v>
      </c>
      <c r="I3299">
        <v>0.15</v>
      </c>
      <c r="J3299">
        <v>5.76</v>
      </c>
      <c r="K3299" t="s">
        <v>16</v>
      </c>
      <c r="L3299" t="s">
        <v>23</v>
      </c>
      <c r="M3299" t="s">
        <v>67</v>
      </c>
    </row>
    <row r="3300" spans="1:13" x14ac:dyDescent="0.2">
      <c r="A3300">
        <v>646039</v>
      </c>
      <c r="B3300" s="1">
        <v>45213</v>
      </c>
      <c r="C3300">
        <v>67441</v>
      </c>
      <c r="D3300" t="s">
        <v>29</v>
      </c>
      <c r="E3300" t="s">
        <v>30</v>
      </c>
      <c r="F3300" t="s">
        <v>31</v>
      </c>
      <c r="G3300">
        <v>1</v>
      </c>
      <c r="H3300">
        <v>24.99</v>
      </c>
      <c r="J3300">
        <v>24.99</v>
      </c>
      <c r="K3300" t="s">
        <v>32</v>
      </c>
      <c r="L3300" t="s">
        <v>37</v>
      </c>
      <c r="M3300" t="s">
        <v>54</v>
      </c>
    </row>
    <row r="3301" spans="1:13" x14ac:dyDescent="0.2">
      <c r="A3301">
        <v>646164</v>
      </c>
      <c r="B3301" s="1">
        <v>45300</v>
      </c>
      <c r="C3301">
        <v>41289</v>
      </c>
      <c r="D3301" t="s">
        <v>13</v>
      </c>
      <c r="E3301" t="s">
        <v>14</v>
      </c>
      <c r="F3301" t="s">
        <v>15</v>
      </c>
      <c r="G3301">
        <v>1</v>
      </c>
      <c r="H3301">
        <v>75.989999999999995</v>
      </c>
      <c r="I3301">
        <v>0.05</v>
      </c>
      <c r="J3301">
        <v>72.19</v>
      </c>
      <c r="K3301" t="s">
        <v>22</v>
      </c>
      <c r="L3301" t="s">
        <v>23</v>
      </c>
      <c r="M3301" t="s">
        <v>28</v>
      </c>
    </row>
    <row r="3302" spans="1:13" x14ac:dyDescent="0.2">
      <c r="A3302">
        <v>646188</v>
      </c>
      <c r="B3302" s="1">
        <v>45319</v>
      </c>
      <c r="C3302">
        <v>93651</v>
      </c>
      <c r="D3302" t="s">
        <v>13</v>
      </c>
      <c r="E3302" t="s">
        <v>127</v>
      </c>
      <c r="F3302" t="s">
        <v>128</v>
      </c>
      <c r="G3302">
        <v>4</v>
      </c>
      <c r="H3302">
        <v>19.989999999999998</v>
      </c>
      <c r="J3302">
        <v>79.959999999999994</v>
      </c>
      <c r="K3302" t="s">
        <v>16</v>
      </c>
      <c r="L3302" t="s">
        <v>17</v>
      </c>
      <c r="M3302" t="s">
        <v>24</v>
      </c>
    </row>
    <row r="3303" spans="1:13" x14ac:dyDescent="0.2">
      <c r="A3303">
        <v>646238</v>
      </c>
      <c r="B3303" s="1">
        <v>45198</v>
      </c>
      <c r="C3303">
        <v>94417</v>
      </c>
      <c r="D3303" t="s">
        <v>25</v>
      </c>
      <c r="E3303" t="s">
        <v>70</v>
      </c>
      <c r="F3303" t="s">
        <v>71</v>
      </c>
      <c r="G3303">
        <v>1</v>
      </c>
      <c r="H3303">
        <v>89.99</v>
      </c>
      <c r="J3303">
        <v>89.99</v>
      </c>
      <c r="K3303" t="s">
        <v>36</v>
      </c>
      <c r="L3303" t="s">
        <v>17</v>
      </c>
      <c r="M3303" t="s">
        <v>90</v>
      </c>
    </row>
    <row r="3304" spans="1:13" x14ac:dyDescent="0.2">
      <c r="A3304">
        <v>646660</v>
      </c>
      <c r="B3304" s="1">
        <v>44752</v>
      </c>
      <c r="C3304">
        <v>80770</v>
      </c>
      <c r="D3304" t="s">
        <v>63</v>
      </c>
      <c r="E3304" t="s">
        <v>64</v>
      </c>
      <c r="F3304" t="s">
        <v>65</v>
      </c>
      <c r="G3304">
        <v>2</v>
      </c>
      <c r="H3304">
        <v>3.49</v>
      </c>
      <c r="J3304">
        <v>6.98</v>
      </c>
      <c r="K3304" t="s">
        <v>16</v>
      </c>
      <c r="L3304" t="s">
        <v>17</v>
      </c>
      <c r="M3304" t="s">
        <v>47</v>
      </c>
    </row>
    <row r="3305" spans="1:13" x14ac:dyDescent="0.2">
      <c r="A3305">
        <v>646706</v>
      </c>
      <c r="B3305" s="2">
        <v>44962</v>
      </c>
      <c r="C3305">
        <v>31170</v>
      </c>
      <c r="D3305" t="s">
        <v>40</v>
      </c>
      <c r="E3305" t="s">
        <v>115</v>
      </c>
      <c r="F3305" t="s">
        <v>116</v>
      </c>
      <c r="G3305">
        <v>2</v>
      </c>
      <c r="H3305">
        <v>12.99</v>
      </c>
      <c r="J3305">
        <v>25.98</v>
      </c>
      <c r="K3305" t="s">
        <v>95</v>
      </c>
      <c r="L3305" t="s">
        <v>17</v>
      </c>
      <c r="M3305" t="s">
        <v>96</v>
      </c>
    </row>
    <row r="3306" spans="1:13" x14ac:dyDescent="0.2">
      <c r="A3306">
        <v>646992</v>
      </c>
      <c r="B3306" s="1">
        <v>45062</v>
      </c>
      <c r="C3306">
        <v>23017</v>
      </c>
      <c r="D3306" t="s">
        <v>82</v>
      </c>
      <c r="E3306" t="s">
        <v>83</v>
      </c>
      <c r="F3306" t="s">
        <v>84</v>
      </c>
      <c r="G3306">
        <v>1</v>
      </c>
      <c r="H3306">
        <v>16.989999999999998</v>
      </c>
      <c r="J3306">
        <v>16.989999999999998</v>
      </c>
      <c r="K3306" t="s">
        <v>36</v>
      </c>
      <c r="L3306" t="s">
        <v>17</v>
      </c>
      <c r="M3306" t="s">
        <v>33</v>
      </c>
    </row>
    <row r="3307" spans="1:13" x14ac:dyDescent="0.2">
      <c r="A3307">
        <v>646993</v>
      </c>
      <c r="B3307" s="1">
        <v>44934</v>
      </c>
      <c r="C3307">
        <v>48315</v>
      </c>
      <c r="D3307" t="s">
        <v>44</v>
      </c>
      <c r="E3307" t="s">
        <v>190</v>
      </c>
      <c r="F3307" t="s">
        <v>191</v>
      </c>
      <c r="G3307">
        <v>1</v>
      </c>
      <c r="H3307">
        <v>3.22</v>
      </c>
      <c r="I3307">
        <v>0.25</v>
      </c>
      <c r="J3307">
        <v>2.42</v>
      </c>
      <c r="K3307" t="s">
        <v>16</v>
      </c>
      <c r="L3307" t="s">
        <v>17</v>
      </c>
      <c r="M3307" t="s">
        <v>18</v>
      </c>
    </row>
    <row r="3308" spans="1:13" x14ac:dyDescent="0.2">
      <c r="A3308">
        <v>647259</v>
      </c>
      <c r="B3308" s="1">
        <v>44587</v>
      </c>
      <c r="C3308">
        <v>69178</v>
      </c>
      <c r="D3308" t="s">
        <v>85</v>
      </c>
      <c r="E3308" t="s">
        <v>153</v>
      </c>
      <c r="F3308" t="s">
        <v>154</v>
      </c>
      <c r="G3308">
        <v>3</v>
      </c>
      <c r="H3308">
        <v>20.99</v>
      </c>
      <c r="I3308">
        <v>0.3</v>
      </c>
      <c r="J3308">
        <v>44.08</v>
      </c>
      <c r="K3308" t="s">
        <v>36</v>
      </c>
      <c r="L3308" t="s">
        <v>37</v>
      </c>
      <c r="M3308" t="s">
        <v>96</v>
      </c>
    </row>
    <row r="3309" spans="1:13" x14ac:dyDescent="0.2">
      <c r="A3309">
        <v>647414</v>
      </c>
      <c r="B3309" s="1">
        <v>44860</v>
      </c>
      <c r="C3309">
        <v>31062</v>
      </c>
      <c r="D3309" t="s">
        <v>97</v>
      </c>
      <c r="E3309" t="s">
        <v>141</v>
      </c>
      <c r="F3309" t="s">
        <v>142</v>
      </c>
      <c r="G3309">
        <v>2</v>
      </c>
      <c r="H3309">
        <v>22.99</v>
      </c>
      <c r="J3309">
        <v>45.98</v>
      </c>
      <c r="K3309" t="s">
        <v>16</v>
      </c>
      <c r="L3309" t="s">
        <v>17</v>
      </c>
      <c r="M3309" t="s">
        <v>47</v>
      </c>
    </row>
    <row r="3310" spans="1:13" x14ac:dyDescent="0.2">
      <c r="A3310">
        <v>647427</v>
      </c>
      <c r="B3310" s="1">
        <v>45133</v>
      </c>
      <c r="C3310">
        <v>21708</v>
      </c>
      <c r="D3310" t="s">
        <v>48</v>
      </c>
      <c r="E3310" t="s">
        <v>118</v>
      </c>
      <c r="F3310" t="s">
        <v>119</v>
      </c>
      <c r="G3310">
        <v>5</v>
      </c>
      <c r="H3310">
        <v>4.24</v>
      </c>
      <c r="I3310">
        <v>0.15</v>
      </c>
      <c r="J3310">
        <v>18.02</v>
      </c>
      <c r="K3310" t="s">
        <v>95</v>
      </c>
      <c r="L3310" t="s">
        <v>37</v>
      </c>
      <c r="M3310" t="s">
        <v>76</v>
      </c>
    </row>
    <row r="3311" spans="1:13" x14ac:dyDescent="0.2">
      <c r="A3311">
        <v>647514</v>
      </c>
      <c r="B3311" s="1">
        <v>44711</v>
      </c>
      <c r="C3311">
        <v>43408</v>
      </c>
      <c r="D3311" t="s">
        <v>13</v>
      </c>
      <c r="E3311" t="s">
        <v>34</v>
      </c>
      <c r="F3311" t="s">
        <v>35</v>
      </c>
      <c r="G3311">
        <v>2</v>
      </c>
      <c r="H3311">
        <v>26.24</v>
      </c>
      <c r="I3311">
        <v>0.25</v>
      </c>
      <c r="J3311">
        <v>39.36</v>
      </c>
      <c r="K3311" t="s">
        <v>22</v>
      </c>
      <c r="L3311" t="s">
        <v>17</v>
      </c>
      <c r="M3311" t="s">
        <v>33</v>
      </c>
    </row>
    <row r="3312" spans="1:13" x14ac:dyDescent="0.2">
      <c r="A3312">
        <v>647528</v>
      </c>
      <c r="B3312" s="2">
        <v>45405</v>
      </c>
      <c r="C3312">
        <v>94392</v>
      </c>
      <c r="D3312" t="s">
        <v>44</v>
      </c>
      <c r="E3312" t="s">
        <v>107</v>
      </c>
      <c r="F3312" t="s">
        <v>108</v>
      </c>
      <c r="G3312">
        <v>2</v>
      </c>
      <c r="H3312">
        <v>3.14</v>
      </c>
      <c r="I3312">
        <v>0.1</v>
      </c>
      <c r="J3312">
        <v>5.65</v>
      </c>
      <c r="K3312" t="s">
        <v>16</v>
      </c>
      <c r="L3312" t="s">
        <v>37</v>
      </c>
      <c r="M3312" t="s">
        <v>24</v>
      </c>
    </row>
    <row r="3313" spans="1:13" x14ac:dyDescent="0.2">
      <c r="A3313">
        <v>647698</v>
      </c>
      <c r="B3313" s="2">
        <v>45622</v>
      </c>
      <c r="C3313">
        <v>48396</v>
      </c>
      <c r="D3313" t="s">
        <v>25</v>
      </c>
      <c r="E3313" t="s">
        <v>113</v>
      </c>
      <c r="F3313" t="s">
        <v>114</v>
      </c>
      <c r="G3313">
        <v>1</v>
      </c>
      <c r="H3313">
        <v>119.99</v>
      </c>
      <c r="J3313">
        <v>119.99</v>
      </c>
      <c r="K3313" t="s">
        <v>16</v>
      </c>
      <c r="L3313" t="s">
        <v>17</v>
      </c>
      <c r="M3313" t="s">
        <v>102</v>
      </c>
    </row>
    <row r="3314" spans="1:13" x14ac:dyDescent="0.2">
      <c r="A3314">
        <v>647718</v>
      </c>
      <c r="B3314" s="1">
        <v>44636</v>
      </c>
      <c r="C3314">
        <v>87894</v>
      </c>
      <c r="D3314" t="s">
        <v>97</v>
      </c>
      <c r="E3314" t="s">
        <v>141</v>
      </c>
      <c r="F3314" t="s">
        <v>142</v>
      </c>
      <c r="G3314">
        <v>2</v>
      </c>
      <c r="H3314">
        <v>17.239999999999998</v>
      </c>
      <c r="I3314">
        <v>0.25</v>
      </c>
      <c r="J3314">
        <v>25.86</v>
      </c>
      <c r="K3314" t="s">
        <v>16</v>
      </c>
      <c r="L3314" t="s">
        <v>17</v>
      </c>
      <c r="M3314" t="s">
        <v>28</v>
      </c>
    </row>
    <row r="3315" spans="1:13" x14ac:dyDescent="0.2">
      <c r="A3315">
        <v>648080</v>
      </c>
      <c r="B3315" s="1">
        <v>45149</v>
      </c>
      <c r="C3315">
        <v>46578</v>
      </c>
      <c r="D3315" t="s">
        <v>63</v>
      </c>
      <c r="E3315" t="s">
        <v>111</v>
      </c>
      <c r="F3315" t="s">
        <v>112</v>
      </c>
      <c r="G3315">
        <v>3</v>
      </c>
      <c r="H3315">
        <v>14.99</v>
      </c>
      <c r="J3315">
        <v>44.97</v>
      </c>
      <c r="K3315" t="s">
        <v>36</v>
      </c>
      <c r="L3315" t="s">
        <v>17</v>
      </c>
      <c r="M3315" t="s">
        <v>76</v>
      </c>
    </row>
    <row r="3316" spans="1:13" x14ac:dyDescent="0.2">
      <c r="A3316">
        <v>648282</v>
      </c>
      <c r="B3316" s="1">
        <v>44993</v>
      </c>
      <c r="C3316">
        <v>14159</v>
      </c>
      <c r="D3316" t="s">
        <v>106</v>
      </c>
      <c r="E3316" t="s">
        <v>107</v>
      </c>
      <c r="F3316" t="s">
        <v>108</v>
      </c>
      <c r="G3316">
        <v>3</v>
      </c>
      <c r="H3316">
        <v>3.14</v>
      </c>
      <c r="I3316">
        <v>0.1</v>
      </c>
      <c r="J3316">
        <v>8.48</v>
      </c>
      <c r="K3316" t="s">
        <v>16</v>
      </c>
      <c r="L3316" t="s">
        <v>17</v>
      </c>
      <c r="M3316" t="s">
        <v>102</v>
      </c>
    </row>
    <row r="3317" spans="1:13" x14ac:dyDescent="0.2">
      <c r="A3317">
        <v>648415</v>
      </c>
      <c r="B3317" s="1">
        <v>44855</v>
      </c>
      <c r="C3317">
        <v>37835</v>
      </c>
      <c r="D3317" t="s">
        <v>82</v>
      </c>
      <c r="E3317" t="s">
        <v>155</v>
      </c>
      <c r="F3317" t="s">
        <v>156</v>
      </c>
      <c r="G3317">
        <v>1</v>
      </c>
      <c r="H3317">
        <v>19.989999999999998</v>
      </c>
      <c r="J3317">
        <v>19.989999999999998</v>
      </c>
      <c r="K3317" t="s">
        <v>36</v>
      </c>
      <c r="L3317" t="s">
        <v>17</v>
      </c>
      <c r="M3317" t="s">
        <v>43</v>
      </c>
    </row>
    <row r="3318" spans="1:13" x14ac:dyDescent="0.2">
      <c r="A3318">
        <v>648416</v>
      </c>
      <c r="B3318" s="1">
        <v>44928</v>
      </c>
      <c r="C3318">
        <v>98964</v>
      </c>
      <c r="D3318" t="s">
        <v>25</v>
      </c>
      <c r="E3318" t="s">
        <v>60</v>
      </c>
      <c r="F3318" t="s">
        <v>61</v>
      </c>
      <c r="G3318">
        <v>1</v>
      </c>
      <c r="H3318">
        <v>43.99</v>
      </c>
      <c r="I3318">
        <v>0.2</v>
      </c>
      <c r="J3318">
        <v>35.19</v>
      </c>
      <c r="K3318" t="s">
        <v>95</v>
      </c>
      <c r="L3318" t="s">
        <v>17</v>
      </c>
      <c r="M3318" t="s">
        <v>47</v>
      </c>
    </row>
    <row r="3319" spans="1:13" x14ac:dyDescent="0.2">
      <c r="A3319">
        <v>648434</v>
      </c>
      <c r="B3319" s="1">
        <v>44996</v>
      </c>
      <c r="C3319">
        <v>68643</v>
      </c>
      <c r="D3319" t="s">
        <v>25</v>
      </c>
      <c r="E3319" t="s">
        <v>26</v>
      </c>
      <c r="F3319" t="s">
        <v>27</v>
      </c>
      <c r="G3319">
        <v>3</v>
      </c>
      <c r="H3319">
        <v>26.24</v>
      </c>
      <c r="I3319">
        <v>0.25</v>
      </c>
      <c r="J3319">
        <v>59.04</v>
      </c>
      <c r="K3319" t="s">
        <v>16</v>
      </c>
      <c r="L3319" t="s">
        <v>17</v>
      </c>
      <c r="M3319" t="s">
        <v>28</v>
      </c>
    </row>
    <row r="3320" spans="1:13" x14ac:dyDescent="0.2">
      <c r="A3320">
        <v>648818</v>
      </c>
      <c r="B3320" s="1">
        <v>44829</v>
      </c>
      <c r="C3320">
        <v>34028</v>
      </c>
      <c r="D3320" t="s">
        <v>48</v>
      </c>
      <c r="E3320" t="s">
        <v>118</v>
      </c>
      <c r="F3320" t="s">
        <v>119</v>
      </c>
      <c r="G3320">
        <v>4</v>
      </c>
      <c r="H3320">
        <v>3.99</v>
      </c>
      <c r="I3320">
        <v>0.2</v>
      </c>
      <c r="J3320">
        <v>12.77</v>
      </c>
      <c r="K3320" t="s">
        <v>22</v>
      </c>
      <c r="L3320" t="s">
        <v>17</v>
      </c>
      <c r="M3320" t="s">
        <v>117</v>
      </c>
    </row>
    <row r="3321" spans="1:13" x14ac:dyDescent="0.2">
      <c r="A3321">
        <v>649170</v>
      </c>
      <c r="B3321" s="1">
        <v>45486</v>
      </c>
      <c r="C3321">
        <v>24778</v>
      </c>
      <c r="D3321" t="s">
        <v>48</v>
      </c>
      <c r="E3321" t="s">
        <v>109</v>
      </c>
      <c r="F3321" t="s">
        <v>110</v>
      </c>
      <c r="G3321">
        <v>5</v>
      </c>
      <c r="H3321">
        <v>6.99</v>
      </c>
      <c r="J3321">
        <v>34.950000000000003</v>
      </c>
      <c r="K3321" t="s">
        <v>22</v>
      </c>
      <c r="L3321" t="s">
        <v>17</v>
      </c>
      <c r="M3321" t="s">
        <v>47</v>
      </c>
    </row>
    <row r="3322" spans="1:13" x14ac:dyDescent="0.2">
      <c r="A3322">
        <v>649297</v>
      </c>
      <c r="B3322" s="1">
        <v>45356</v>
      </c>
      <c r="C3322">
        <v>95286</v>
      </c>
      <c r="D3322" t="s">
        <v>97</v>
      </c>
      <c r="E3322" t="s">
        <v>121</v>
      </c>
      <c r="F3322" t="s">
        <v>122</v>
      </c>
      <c r="G3322">
        <v>4</v>
      </c>
      <c r="H3322">
        <v>11.04</v>
      </c>
      <c r="I3322">
        <v>0.15</v>
      </c>
      <c r="J3322">
        <v>37.54</v>
      </c>
      <c r="K3322" t="s">
        <v>36</v>
      </c>
      <c r="L3322" t="s">
        <v>17</v>
      </c>
      <c r="M3322" t="s">
        <v>67</v>
      </c>
    </row>
    <row r="3323" spans="1:13" x14ac:dyDescent="0.2">
      <c r="A3323">
        <v>649424</v>
      </c>
      <c r="B3323" s="1">
        <v>44994</v>
      </c>
      <c r="C3323">
        <v>71083</v>
      </c>
      <c r="D3323" t="s">
        <v>29</v>
      </c>
      <c r="E3323" t="s">
        <v>72</v>
      </c>
      <c r="F3323" t="s">
        <v>73</v>
      </c>
      <c r="G3323">
        <v>4</v>
      </c>
      <c r="H3323">
        <v>39.99</v>
      </c>
      <c r="J3323">
        <v>159.96</v>
      </c>
      <c r="K3323" t="s">
        <v>22</v>
      </c>
      <c r="L3323" t="s">
        <v>37</v>
      </c>
      <c r="M3323" t="s">
        <v>67</v>
      </c>
    </row>
    <row r="3324" spans="1:13" x14ac:dyDescent="0.2">
      <c r="A3324">
        <v>649472</v>
      </c>
      <c r="B3324" s="1">
        <v>44998</v>
      </c>
      <c r="C3324">
        <v>29842</v>
      </c>
      <c r="D3324" t="s">
        <v>97</v>
      </c>
      <c r="E3324" t="s">
        <v>181</v>
      </c>
      <c r="F3324" t="s">
        <v>182</v>
      </c>
      <c r="G3324">
        <v>2</v>
      </c>
      <c r="H3324">
        <v>12.74</v>
      </c>
      <c r="I3324">
        <v>0.15</v>
      </c>
      <c r="J3324">
        <v>21.66</v>
      </c>
      <c r="K3324" t="s">
        <v>16</v>
      </c>
      <c r="L3324" t="s">
        <v>37</v>
      </c>
      <c r="M3324" t="s">
        <v>28</v>
      </c>
    </row>
    <row r="3325" spans="1:13" x14ac:dyDescent="0.2">
      <c r="A3325">
        <v>649746</v>
      </c>
      <c r="B3325" s="1">
        <v>44652</v>
      </c>
      <c r="C3325">
        <v>34525</v>
      </c>
      <c r="D3325" t="s">
        <v>40</v>
      </c>
      <c r="E3325" t="s">
        <v>41</v>
      </c>
      <c r="F3325" t="s">
        <v>42</v>
      </c>
      <c r="G3325">
        <v>1</v>
      </c>
      <c r="H3325">
        <v>5.39</v>
      </c>
      <c r="I3325">
        <v>0.1</v>
      </c>
      <c r="J3325">
        <v>4.8499999999999996</v>
      </c>
      <c r="K3325" t="s">
        <v>16</v>
      </c>
      <c r="L3325" t="s">
        <v>17</v>
      </c>
      <c r="M3325" t="s">
        <v>24</v>
      </c>
    </row>
    <row r="3326" spans="1:13" x14ac:dyDescent="0.2">
      <c r="A3326">
        <v>649808</v>
      </c>
      <c r="B3326" s="1">
        <v>45428</v>
      </c>
      <c r="C3326">
        <v>91010</v>
      </c>
      <c r="D3326" t="s">
        <v>29</v>
      </c>
      <c r="E3326" t="s">
        <v>175</v>
      </c>
      <c r="F3326" t="s">
        <v>176</v>
      </c>
      <c r="G3326">
        <v>1</v>
      </c>
      <c r="H3326">
        <v>11.99</v>
      </c>
      <c r="J3326">
        <v>11.99</v>
      </c>
      <c r="K3326" t="s">
        <v>66</v>
      </c>
      <c r="L3326" t="s">
        <v>17</v>
      </c>
      <c r="M3326" t="s">
        <v>54</v>
      </c>
    </row>
    <row r="3327" spans="1:13" x14ac:dyDescent="0.2">
      <c r="A3327">
        <v>649909</v>
      </c>
      <c r="B3327" s="2">
        <v>44665</v>
      </c>
      <c r="C3327">
        <v>91249</v>
      </c>
      <c r="D3327" t="s">
        <v>40</v>
      </c>
      <c r="E3327" t="s">
        <v>115</v>
      </c>
      <c r="F3327" t="s">
        <v>116</v>
      </c>
      <c r="G3327">
        <v>1</v>
      </c>
      <c r="H3327">
        <v>11.69</v>
      </c>
      <c r="I3327">
        <v>0.1</v>
      </c>
      <c r="J3327">
        <v>10.52</v>
      </c>
      <c r="K3327" t="s">
        <v>36</v>
      </c>
      <c r="L3327" t="s">
        <v>17</v>
      </c>
      <c r="M3327" t="s">
        <v>62</v>
      </c>
    </row>
    <row r="3328" spans="1:13" x14ac:dyDescent="0.2">
      <c r="A3328">
        <v>650595</v>
      </c>
      <c r="B3328" s="1">
        <v>45349</v>
      </c>
      <c r="C3328">
        <v>69593</v>
      </c>
      <c r="D3328" t="s">
        <v>97</v>
      </c>
      <c r="E3328" t="s">
        <v>181</v>
      </c>
      <c r="F3328" t="s">
        <v>182</v>
      </c>
      <c r="G3328">
        <v>4</v>
      </c>
      <c r="H3328">
        <v>11.24</v>
      </c>
      <c r="I3328">
        <v>0.25</v>
      </c>
      <c r="J3328">
        <v>33.72</v>
      </c>
      <c r="K3328" t="s">
        <v>22</v>
      </c>
      <c r="L3328" t="s">
        <v>17</v>
      </c>
      <c r="M3328" t="s">
        <v>161</v>
      </c>
    </row>
    <row r="3329" spans="1:13" x14ac:dyDescent="0.2">
      <c r="A3329">
        <v>650748</v>
      </c>
      <c r="B3329" s="1">
        <v>45242</v>
      </c>
      <c r="C3329">
        <v>26747</v>
      </c>
      <c r="D3329" t="s">
        <v>82</v>
      </c>
      <c r="E3329" t="s">
        <v>155</v>
      </c>
      <c r="F3329" t="s">
        <v>156</v>
      </c>
      <c r="G3329">
        <v>1</v>
      </c>
      <c r="H3329">
        <v>17.989999999999998</v>
      </c>
      <c r="I3329">
        <v>0.1</v>
      </c>
      <c r="J3329">
        <v>16.190000000000001</v>
      </c>
      <c r="K3329" t="s">
        <v>16</v>
      </c>
      <c r="L3329" t="s">
        <v>17</v>
      </c>
      <c r="M3329" t="s">
        <v>103</v>
      </c>
    </row>
    <row r="3330" spans="1:13" x14ac:dyDescent="0.2">
      <c r="A3330">
        <v>651009</v>
      </c>
      <c r="B3330" s="1">
        <v>45638</v>
      </c>
      <c r="C3330">
        <v>68960</v>
      </c>
      <c r="D3330" t="s">
        <v>199</v>
      </c>
      <c r="E3330" t="s">
        <v>104</v>
      </c>
      <c r="F3330" t="s">
        <v>105</v>
      </c>
      <c r="G3330">
        <v>5</v>
      </c>
      <c r="H3330">
        <v>29.99</v>
      </c>
      <c r="J3330">
        <v>149.94999999999999</v>
      </c>
      <c r="K3330" t="s">
        <v>95</v>
      </c>
      <c r="L3330" t="s">
        <v>17</v>
      </c>
      <c r="M3330" t="s">
        <v>103</v>
      </c>
    </row>
    <row r="3331" spans="1:13" x14ac:dyDescent="0.2">
      <c r="A3331">
        <v>651199</v>
      </c>
      <c r="B3331" s="1">
        <v>45168</v>
      </c>
      <c r="C3331">
        <v>80801</v>
      </c>
      <c r="D3331" t="s">
        <v>85</v>
      </c>
      <c r="E3331" t="s">
        <v>153</v>
      </c>
      <c r="F3331" t="s">
        <v>154</v>
      </c>
      <c r="G3331">
        <v>4</v>
      </c>
      <c r="H3331">
        <v>28.49</v>
      </c>
      <c r="I3331">
        <v>0.05</v>
      </c>
      <c r="J3331">
        <v>108.26</v>
      </c>
      <c r="K3331" t="s">
        <v>53</v>
      </c>
      <c r="L3331" t="s">
        <v>37</v>
      </c>
      <c r="M3331" t="s">
        <v>103</v>
      </c>
    </row>
    <row r="3332" spans="1:13" x14ac:dyDescent="0.2">
      <c r="A3332">
        <v>651250</v>
      </c>
      <c r="B3332" s="1">
        <v>44958</v>
      </c>
      <c r="C3332">
        <v>71195</v>
      </c>
      <c r="D3332" t="s">
        <v>82</v>
      </c>
      <c r="E3332" t="s">
        <v>155</v>
      </c>
      <c r="F3332" t="s">
        <v>156</v>
      </c>
      <c r="G3332">
        <v>2</v>
      </c>
      <c r="H3332">
        <v>19.989999999999998</v>
      </c>
      <c r="J3332">
        <v>39.979999999999997</v>
      </c>
      <c r="K3332" t="s">
        <v>22</v>
      </c>
      <c r="L3332" t="s">
        <v>17</v>
      </c>
      <c r="M3332" t="s">
        <v>43</v>
      </c>
    </row>
    <row r="3333" spans="1:13" x14ac:dyDescent="0.2">
      <c r="A3333">
        <v>651315</v>
      </c>
      <c r="B3333" s="1">
        <v>44937</v>
      </c>
      <c r="C3333">
        <v>82869</v>
      </c>
      <c r="D3333" t="s">
        <v>13</v>
      </c>
      <c r="E3333" t="s">
        <v>127</v>
      </c>
      <c r="F3333" t="s">
        <v>128</v>
      </c>
      <c r="G3333">
        <v>4</v>
      </c>
      <c r="H3333">
        <v>16.989999999999998</v>
      </c>
      <c r="I3333">
        <v>0.15</v>
      </c>
      <c r="J3333">
        <v>57.77</v>
      </c>
      <c r="K3333" t="s">
        <v>16</v>
      </c>
      <c r="L3333" t="s">
        <v>17</v>
      </c>
      <c r="M3333" t="s">
        <v>67</v>
      </c>
    </row>
    <row r="3334" spans="1:13" x14ac:dyDescent="0.2">
      <c r="A3334">
        <v>651350</v>
      </c>
      <c r="B3334" s="2">
        <v>44864</v>
      </c>
      <c r="D3334" t="s">
        <v>25</v>
      </c>
      <c r="E3334" t="s">
        <v>26</v>
      </c>
      <c r="F3334" t="s">
        <v>27</v>
      </c>
      <c r="G3334">
        <v>5</v>
      </c>
      <c r="H3334">
        <v>33.24</v>
      </c>
      <c r="I3334">
        <v>0.05</v>
      </c>
      <c r="J3334">
        <v>157.88999999999999</v>
      </c>
      <c r="K3334" t="s">
        <v>16</v>
      </c>
      <c r="L3334" t="s">
        <v>17</v>
      </c>
      <c r="M3334" t="s">
        <v>102</v>
      </c>
    </row>
    <row r="3335" spans="1:13" x14ac:dyDescent="0.2">
      <c r="A3335">
        <v>651429</v>
      </c>
      <c r="B3335" s="2">
        <v>44821</v>
      </c>
      <c r="C3335">
        <v>20524</v>
      </c>
      <c r="D3335" t="s">
        <v>85</v>
      </c>
      <c r="E3335" t="s">
        <v>137</v>
      </c>
      <c r="F3335" t="s">
        <v>138</v>
      </c>
      <c r="G3335">
        <v>3</v>
      </c>
      <c r="H3335">
        <v>6.39</v>
      </c>
      <c r="I3335">
        <v>0.2</v>
      </c>
      <c r="J3335">
        <v>15.34</v>
      </c>
      <c r="K3335" t="s">
        <v>66</v>
      </c>
      <c r="L3335" t="s">
        <v>17</v>
      </c>
      <c r="M3335" t="s">
        <v>96</v>
      </c>
    </row>
    <row r="3336" spans="1:13" x14ac:dyDescent="0.2">
      <c r="A3336">
        <v>651621</v>
      </c>
      <c r="B3336" s="1">
        <v>45261</v>
      </c>
      <c r="C3336">
        <v>18613</v>
      </c>
      <c r="D3336" t="s">
        <v>82</v>
      </c>
      <c r="E3336" t="s">
        <v>168</v>
      </c>
      <c r="F3336" t="s">
        <v>169</v>
      </c>
      <c r="G3336">
        <v>1</v>
      </c>
      <c r="H3336">
        <v>7.19</v>
      </c>
      <c r="I3336">
        <v>0.2</v>
      </c>
      <c r="J3336">
        <v>5.75</v>
      </c>
      <c r="K3336" t="s">
        <v>36</v>
      </c>
      <c r="L3336" t="s">
        <v>17</v>
      </c>
      <c r="M3336" t="s">
        <v>102</v>
      </c>
    </row>
    <row r="3337" spans="1:13" x14ac:dyDescent="0.2">
      <c r="A3337">
        <v>651623</v>
      </c>
      <c r="B3337" s="1">
        <v>45538</v>
      </c>
      <c r="C3337">
        <v>19576</v>
      </c>
      <c r="D3337" t="s">
        <v>29</v>
      </c>
      <c r="E3337" t="s">
        <v>170</v>
      </c>
      <c r="F3337" t="s">
        <v>171</v>
      </c>
      <c r="G3337">
        <v>1</v>
      </c>
      <c r="H3337">
        <v>11.24</v>
      </c>
      <c r="I3337">
        <v>0.25</v>
      </c>
      <c r="J3337">
        <v>8.43</v>
      </c>
      <c r="K3337" t="s">
        <v>95</v>
      </c>
      <c r="L3337" t="s">
        <v>17</v>
      </c>
      <c r="M3337" t="s">
        <v>18</v>
      </c>
    </row>
    <row r="3338" spans="1:13" x14ac:dyDescent="0.2">
      <c r="A3338">
        <v>651751</v>
      </c>
      <c r="B3338" s="2">
        <v>45444</v>
      </c>
      <c r="C3338">
        <v>86226</v>
      </c>
      <c r="D3338" t="s">
        <v>192</v>
      </c>
      <c r="E3338" t="s">
        <v>141</v>
      </c>
      <c r="F3338" t="s">
        <v>142</v>
      </c>
      <c r="G3338">
        <v>3</v>
      </c>
      <c r="H3338">
        <v>19.54</v>
      </c>
      <c r="I3338">
        <v>0.15</v>
      </c>
      <c r="J3338">
        <v>49.83</v>
      </c>
      <c r="K3338" t="s">
        <v>36</v>
      </c>
      <c r="L3338" t="s">
        <v>37</v>
      </c>
      <c r="M3338" t="s">
        <v>161</v>
      </c>
    </row>
    <row r="3339" spans="1:13" x14ac:dyDescent="0.2">
      <c r="A3339">
        <v>652016</v>
      </c>
      <c r="B3339" s="2">
        <v>45362</v>
      </c>
      <c r="C3339">
        <v>51469</v>
      </c>
      <c r="D3339" t="s">
        <v>63</v>
      </c>
      <c r="E3339" t="s">
        <v>111</v>
      </c>
      <c r="F3339" t="s">
        <v>112</v>
      </c>
      <c r="G3339">
        <v>3</v>
      </c>
      <c r="H3339">
        <v>14.99</v>
      </c>
      <c r="J3339">
        <v>44.97</v>
      </c>
      <c r="K3339" t="s">
        <v>36</v>
      </c>
      <c r="L3339" t="s">
        <v>37</v>
      </c>
      <c r="M3339" t="s">
        <v>120</v>
      </c>
    </row>
    <row r="3340" spans="1:13" x14ac:dyDescent="0.2">
      <c r="A3340">
        <v>652184</v>
      </c>
      <c r="B3340" s="1">
        <v>45387</v>
      </c>
      <c r="C3340">
        <v>95664</v>
      </c>
      <c r="D3340" t="s">
        <v>25</v>
      </c>
      <c r="E3340" t="s">
        <v>113</v>
      </c>
      <c r="F3340" t="s">
        <v>114</v>
      </c>
      <c r="G3340">
        <v>2</v>
      </c>
      <c r="H3340">
        <v>101.99</v>
      </c>
      <c r="I3340">
        <v>0.15</v>
      </c>
      <c r="J3340">
        <v>173.38</v>
      </c>
      <c r="K3340" t="s">
        <v>36</v>
      </c>
      <c r="L3340" t="s">
        <v>17</v>
      </c>
      <c r="M3340" t="s">
        <v>117</v>
      </c>
    </row>
    <row r="3341" spans="1:13" x14ac:dyDescent="0.2">
      <c r="A3341">
        <v>652294</v>
      </c>
      <c r="B3341" s="1">
        <v>44988</v>
      </c>
      <c r="C3341">
        <v>48089</v>
      </c>
      <c r="D3341" t="s">
        <v>44</v>
      </c>
      <c r="E3341" t="s">
        <v>177</v>
      </c>
      <c r="F3341" t="s">
        <v>178</v>
      </c>
      <c r="G3341">
        <v>3</v>
      </c>
      <c r="H3341">
        <v>9.59</v>
      </c>
      <c r="I3341">
        <v>0.2</v>
      </c>
      <c r="J3341">
        <v>23.02</v>
      </c>
      <c r="K3341" t="s">
        <v>16</v>
      </c>
      <c r="L3341" t="s">
        <v>23</v>
      </c>
      <c r="M3341" t="s">
        <v>47</v>
      </c>
    </row>
    <row r="3342" spans="1:13" x14ac:dyDescent="0.2">
      <c r="A3342">
        <v>652381</v>
      </c>
      <c r="B3342" s="1">
        <v>44776</v>
      </c>
      <c r="C3342">
        <v>78049</v>
      </c>
      <c r="D3342" t="s">
        <v>25</v>
      </c>
      <c r="E3342" t="s">
        <v>51</v>
      </c>
      <c r="F3342" t="s">
        <v>52</v>
      </c>
      <c r="G3342">
        <v>2</v>
      </c>
      <c r="H3342">
        <v>26.59</v>
      </c>
      <c r="I3342">
        <v>0.05</v>
      </c>
      <c r="J3342">
        <v>50.52</v>
      </c>
      <c r="K3342" t="s">
        <v>36</v>
      </c>
      <c r="L3342" t="s">
        <v>17</v>
      </c>
      <c r="M3342" t="s">
        <v>62</v>
      </c>
    </row>
    <row r="3343" spans="1:13" x14ac:dyDescent="0.2">
      <c r="A3343">
        <v>652895</v>
      </c>
      <c r="B3343" s="1">
        <v>45362</v>
      </c>
      <c r="C3343">
        <v>74433</v>
      </c>
      <c r="D3343" t="s">
        <v>63</v>
      </c>
      <c r="E3343" t="s">
        <v>64</v>
      </c>
      <c r="F3343" t="s">
        <v>65</v>
      </c>
      <c r="G3343">
        <v>1</v>
      </c>
      <c r="H3343">
        <v>4.74</v>
      </c>
      <c r="J3343">
        <v>4.74</v>
      </c>
      <c r="K3343" t="s">
        <v>22</v>
      </c>
      <c r="L3343" t="s">
        <v>17</v>
      </c>
      <c r="M3343" t="s">
        <v>67</v>
      </c>
    </row>
    <row r="3344" spans="1:13" x14ac:dyDescent="0.2">
      <c r="A3344">
        <v>652914</v>
      </c>
      <c r="B3344" s="1">
        <v>45639</v>
      </c>
      <c r="C3344">
        <v>30109</v>
      </c>
      <c r="D3344" t="s">
        <v>97</v>
      </c>
      <c r="E3344" t="s">
        <v>165</v>
      </c>
      <c r="F3344" t="s">
        <v>166</v>
      </c>
      <c r="G3344">
        <v>4</v>
      </c>
      <c r="H3344">
        <v>71.989999999999995</v>
      </c>
      <c r="I3344">
        <v>0.2</v>
      </c>
      <c r="J3344">
        <v>230.37</v>
      </c>
      <c r="K3344" t="s">
        <v>53</v>
      </c>
      <c r="L3344" t="s">
        <v>17</v>
      </c>
      <c r="M3344" t="s">
        <v>102</v>
      </c>
    </row>
    <row r="3345" spans="1:13" x14ac:dyDescent="0.2">
      <c r="A3345">
        <v>653075</v>
      </c>
      <c r="B3345" s="1">
        <v>44681</v>
      </c>
      <c r="D3345" t="s">
        <v>44</v>
      </c>
      <c r="E3345" t="s">
        <v>190</v>
      </c>
      <c r="F3345" t="s">
        <v>191</v>
      </c>
      <c r="G3345">
        <v>2</v>
      </c>
      <c r="H3345">
        <v>3.22</v>
      </c>
      <c r="I3345">
        <v>0.25</v>
      </c>
      <c r="J3345">
        <v>4.83</v>
      </c>
      <c r="K3345" t="s">
        <v>32</v>
      </c>
      <c r="L3345" t="s">
        <v>17</v>
      </c>
      <c r="M3345" t="s">
        <v>47</v>
      </c>
    </row>
    <row r="3346" spans="1:13" x14ac:dyDescent="0.2">
      <c r="A3346">
        <v>653123</v>
      </c>
      <c r="B3346" s="2">
        <v>45161</v>
      </c>
      <c r="D3346" t="s">
        <v>97</v>
      </c>
      <c r="E3346" t="s">
        <v>151</v>
      </c>
      <c r="F3346" t="s">
        <v>152</v>
      </c>
      <c r="G3346">
        <v>1</v>
      </c>
      <c r="H3346">
        <v>34.99</v>
      </c>
      <c r="J3346">
        <v>34.99</v>
      </c>
      <c r="K3346" t="s">
        <v>16</v>
      </c>
      <c r="L3346" t="s">
        <v>37</v>
      </c>
      <c r="M3346" t="s">
        <v>57</v>
      </c>
    </row>
    <row r="3347" spans="1:13" x14ac:dyDescent="0.2">
      <c r="A3347">
        <v>653339</v>
      </c>
      <c r="B3347" s="1">
        <v>45495</v>
      </c>
      <c r="C3347">
        <v>95581</v>
      </c>
      <c r="D3347" t="s">
        <v>40</v>
      </c>
      <c r="E3347" t="s">
        <v>115</v>
      </c>
      <c r="F3347" t="s">
        <v>116</v>
      </c>
      <c r="G3347">
        <v>1</v>
      </c>
      <c r="H3347">
        <v>12.99</v>
      </c>
      <c r="J3347">
        <v>12.99</v>
      </c>
      <c r="K3347" t="s">
        <v>36</v>
      </c>
      <c r="L3347" t="s">
        <v>23</v>
      </c>
      <c r="M3347" t="s">
        <v>24</v>
      </c>
    </row>
    <row r="3348" spans="1:13" x14ac:dyDescent="0.2">
      <c r="A3348">
        <v>653358</v>
      </c>
      <c r="B3348" s="2">
        <v>45205</v>
      </c>
      <c r="C3348">
        <v>69195</v>
      </c>
      <c r="D3348" t="s">
        <v>97</v>
      </c>
      <c r="E3348" t="s">
        <v>193</v>
      </c>
      <c r="F3348" t="s">
        <v>194</v>
      </c>
      <c r="G3348">
        <v>1</v>
      </c>
      <c r="H3348">
        <v>48.74</v>
      </c>
      <c r="I3348">
        <v>0.25</v>
      </c>
      <c r="J3348">
        <v>36.56</v>
      </c>
      <c r="K3348" t="s">
        <v>16</v>
      </c>
      <c r="L3348" t="s">
        <v>17</v>
      </c>
      <c r="M3348" t="s">
        <v>161</v>
      </c>
    </row>
    <row r="3349" spans="1:13" x14ac:dyDescent="0.2">
      <c r="A3349">
        <v>653404</v>
      </c>
      <c r="B3349" s="1">
        <v>44802</v>
      </c>
      <c r="C3349">
        <v>42720</v>
      </c>
      <c r="D3349" t="s">
        <v>97</v>
      </c>
      <c r="E3349" t="s">
        <v>141</v>
      </c>
      <c r="F3349" t="s">
        <v>142</v>
      </c>
      <c r="G3349">
        <v>1</v>
      </c>
      <c r="H3349">
        <v>22.99</v>
      </c>
      <c r="J3349">
        <v>22.99</v>
      </c>
      <c r="K3349" t="s">
        <v>36</v>
      </c>
      <c r="L3349" t="s">
        <v>17</v>
      </c>
      <c r="M3349" t="s">
        <v>18</v>
      </c>
    </row>
    <row r="3350" spans="1:13" x14ac:dyDescent="0.2">
      <c r="A3350">
        <v>653435</v>
      </c>
      <c r="B3350" s="1">
        <v>44584</v>
      </c>
      <c r="C3350">
        <v>64068</v>
      </c>
      <c r="D3350" t="s">
        <v>85</v>
      </c>
      <c r="E3350" t="s">
        <v>129</v>
      </c>
      <c r="F3350" t="s">
        <v>130</v>
      </c>
      <c r="G3350">
        <v>1</v>
      </c>
      <c r="H3350">
        <v>6.74</v>
      </c>
      <c r="I3350">
        <v>0.25</v>
      </c>
      <c r="J3350">
        <v>5.0599999999999996</v>
      </c>
      <c r="K3350" t="s">
        <v>22</v>
      </c>
      <c r="L3350" t="s">
        <v>37</v>
      </c>
      <c r="M3350" t="s">
        <v>54</v>
      </c>
    </row>
    <row r="3351" spans="1:13" x14ac:dyDescent="0.2">
      <c r="A3351">
        <v>653776</v>
      </c>
      <c r="B3351" s="1">
        <v>45453</v>
      </c>
      <c r="C3351">
        <v>88139</v>
      </c>
      <c r="D3351" t="s">
        <v>85</v>
      </c>
      <c r="E3351" t="s">
        <v>129</v>
      </c>
      <c r="F3351" t="s">
        <v>130</v>
      </c>
      <c r="G3351">
        <v>1</v>
      </c>
      <c r="H3351">
        <v>8.99</v>
      </c>
      <c r="J3351">
        <v>8.99</v>
      </c>
      <c r="K3351" t="s">
        <v>22</v>
      </c>
      <c r="L3351" t="s">
        <v>17</v>
      </c>
      <c r="M3351" t="s">
        <v>117</v>
      </c>
    </row>
    <row r="3352" spans="1:13" x14ac:dyDescent="0.2">
      <c r="A3352">
        <v>653807</v>
      </c>
      <c r="B3352" s="2">
        <v>44946</v>
      </c>
      <c r="C3352">
        <v>80322</v>
      </c>
      <c r="D3352" t="s">
        <v>63</v>
      </c>
      <c r="E3352" t="s">
        <v>111</v>
      </c>
      <c r="F3352" t="s">
        <v>112</v>
      </c>
      <c r="G3352">
        <v>1</v>
      </c>
      <c r="H3352">
        <v>11.99</v>
      </c>
      <c r="I3352">
        <v>0.2</v>
      </c>
      <c r="J3352">
        <v>9.59</v>
      </c>
      <c r="K3352" t="s">
        <v>16</v>
      </c>
      <c r="L3352" t="s">
        <v>37</v>
      </c>
      <c r="M3352" t="s">
        <v>103</v>
      </c>
    </row>
    <row r="3353" spans="1:13" x14ac:dyDescent="0.2">
      <c r="A3353">
        <v>654625</v>
      </c>
      <c r="B3353" s="2">
        <v>45276</v>
      </c>
      <c r="C3353">
        <v>71198</v>
      </c>
      <c r="D3353" t="s">
        <v>40</v>
      </c>
      <c r="E3353" t="s">
        <v>115</v>
      </c>
      <c r="F3353" t="s">
        <v>116</v>
      </c>
      <c r="G3353">
        <v>2</v>
      </c>
      <c r="H3353">
        <v>12.34</v>
      </c>
      <c r="I3353">
        <v>0.05</v>
      </c>
      <c r="J3353">
        <v>23.45</v>
      </c>
      <c r="K3353" t="s">
        <v>16</v>
      </c>
      <c r="L3353" t="s">
        <v>17</v>
      </c>
      <c r="M3353" t="s">
        <v>103</v>
      </c>
    </row>
    <row r="3354" spans="1:13" x14ac:dyDescent="0.2">
      <c r="A3354">
        <v>654813</v>
      </c>
      <c r="B3354" s="1">
        <v>44751</v>
      </c>
      <c r="C3354">
        <v>98124</v>
      </c>
      <c r="D3354" t="s">
        <v>82</v>
      </c>
      <c r="E3354" t="s">
        <v>188</v>
      </c>
      <c r="F3354" t="s">
        <v>189</v>
      </c>
      <c r="G3354">
        <v>1</v>
      </c>
      <c r="H3354">
        <v>44.99</v>
      </c>
      <c r="J3354">
        <v>44.99</v>
      </c>
      <c r="K3354" t="s">
        <v>16</v>
      </c>
      <c r="L3354" t="s">
        <v>17</v>
      </c>
      <c r="M3354" t="s">
        <v>103</v>
      </c>
    </row>
    <row r="3355" spans="1:13" x14ac:dyDescent="0.2">
      <c r="A3355">
        <v>654919</v>
      </c>
      <c r="B3355" s="1">
        <v>44925</v>
      </c>
      <c r="C3355">
        <v>71982</v>
      </c>
      <c r="D3355" t="s">
        <v>97</v>
      </c>
      <c r="E3355" t="s">
        <v>151</v>
      </c>
      <c r="F3355" t="s">
        <v>152</v>
      </c>
      <c r="G3355">
        <v>2</v>
      </c>
      <c r="H3355">
        <v>26.24</v>
      </c>
      <c r="I3355">
        <v>0.25</v>
      </c>
      <c r="J3355">
        <v>39.36</v>
      </c>
      <c r="K3355" t="s">
        <v>36</v>
      </c>
      <c r="L3355" t="s">
        <v>17</v>
      </c>
      <c r="M3355" t="s">
        <v>33</v>
      </c>
    </row>
    <row r="3356" spans="1:13" x14ac:dyDescent="0.2">
      <c r="A3356">
        <v>655046</v>
      </c>
      <c r="B3356" s="1">
        <v>44724</v>
      </c>
      <c r="C3356">
        <v>74920</v>
      </c>
      <c r="D3356" t="s">
        <v>85</v>
      </c>
      <c r="E3356" t="s">
        <v>153</v>
      </c>
      <c r="F3356" t="s">
        <v>154</v>
      </c>
      <c r="G3356">
        <v>1</v>
      </c>
      <c r="H3356">
        <v>23.99</v>
      </c>
      <c r="I3356">
        <v>0.2</v>
      </c>
      <c r="J3356">
        <v>19.190000000000001</v>
      </c>
      <c r="K3356" t="s">
        <v>22</v>
      </c>
      <c r="L3356" t="s">
        <v>37</v>
      </c>
      <c r="M3356" t="s">
        <v>81</v>
      </c>
    </row>
    <row r="3357" spans="1:13" x14ac:dyDescent="0.2">
      <c r="A3357">
        <v>655324</v>
      </c>
      <c r="B3357" s="2">
        <v>44918</v>
      </c>
      <c r="C3357">
        <v>76887</v>
      </c>
      <c r="D3357" t="s">
        <v>48</v>
      </c>
      <c r="E3357" t="s">
        <v>49</v>
      </c>
      <c r="F3357" t="s">
        <v>50</v>
      </c>
      <c r="G3357">
        <v>4</v>
      </c>
      <c r="H3357">
        <v>8.09</v>
      </c>
      <c r="I3357">
        <v>0.1</v>
      </c>
      <c r="J3357">
        <v>29.12</v>
      </c>
      <c r="K3357" t="s">
        <v>22</v>
      </c>
      <c r="L3357" t="s">
        <v>23</v>
      </c>
      <c r="M3357" t="s">
        <v>28</v>
      </c>
    </row>
    <row r="3358" spans="1:13" x14ac:dyDescent="0.2">
      <c r="A3358">
        <v>655608</v>
      </c>
      <c r="B3358" s="2">
        <v>45158</v>
      </c>
      <c r="C3358">
        <v>31280</v>
      </c>
      <c r="D3358" t="s">
        <v>13</v>
      </c>
      <c r="E3358" t="s">
        <v>127</v>
      </c>
      <c r="F3358" t="s">
        <v>128</v>
      </c>
      <c r="G3358">
        <v>2</v>
      </c>
      <c r="H3358">
        <v>19.989999999999998</v>
      </c>
      <c r="J3358">
        <v>39.979999999999997</v>
      </c>
      <c r="K3358" t="s">
        <v>36</v>
      </c>
      <c r="L3358" t="s">
        <v>17</v>
      </c>
      <c r="M3358" t="s">
        <v>81</v>
      </c>
    </row>
    <row r="3359" spans="1:13" x14ac:dyDescent="0.2">
      <c r="A3359">
        <v>655699</v>
      </c>
      <c r="B3359" s="2">
        <v>44569</v>
      </c>
      <c r="C3359">
        <v>97518</v>
      </c>
      <c r="D3359" t="s">
        <v>13</v>
      </c>
      <c r="E3359" t="s">
        <v>127</v>
      </c>
      <c r="F3359" t="s">
        <v>128</v>
      </c>
      <c r="G3359">
        <v>4</v>
      </c>
      <c r="H3359">
        <v>19.989999999999998</v>
      </c>
      <c r="J3359">
        <v>79.959999999999994</v>
      </c>
      <c r="K3359" t="s">
        <v>36</v>
      </c>
      <c r="L3359" t="s">
        <v>37</v>
      </c>
      <c r="M3359" t="s">
        <v>57</v>
      </c>
    </row>
    <row r="3360" spans="1:13" x14ac:dyDescent="0.2">
      <c r="A3360">
        <v>656106</v>
      </c>
      <c r="B3360" s="2">
        <v>44685</v>
      </c>
      <c r="C3360">
        <v>20370</v>
      </c>
      <c r="D3360" t="s">
        <v>82</v>
      </c>
      <c r="E3360" t="s">
        <v>147</v>
      </c>
      <c r="F3360" t="s">
        <v>148</v>
      </c>
      <c r="G3360">
        <v>5</v>
      </c>
      <c r="H3360">
        <v>12.99</v>
      </c>
      <c r="J3360">
        <v>64.95</v>
      </c>
      <c r="K3360" t="s">
        <v>16</v>
      </c>
      <c r="L3360" t="s">
        <v>17</v>
      </c>
      <c r="M3360" t="s">
        <v>43</v>
      </c>
    </row>
    <row r="3361" spans="1:13" x14ac:dyDescent="0.2">
      <c r="A3361">
        <v>656183</v>
      </c>
      <c r="B3361" s="1">
        <v>45504</v>
      </c>
      <c r="C3361">
        <v>56191</v>
      </c>
      <c r="D3361" t="s">
        <v>48</v>
      </c>
      <c r="E3361" t="s">
        <v>179</v>
      </c>
      <c r="F3361" t="s">
        <v>180</v>
      </c>
      <c r="G3361">
        <v>3</v>
      </c>
      <c r="H3361">
        <v>10.19</v>
      </c>
      <c r="I3361">
        <v>0.15</v>
      </c>
      <c r="J3361">
        <v>25.98</v>
      </c>
      <c r="K3361" t="s">
        <v>36</v>
      </c>
      <c r="L3361" t="s">
        <v>17</v>
      </c>
      <c r="M3361" t="s">
        <v>102</v>
      </c>
    </row>
    <row r="3362" spans="1:13" x14ac:dyDescent="0.2">
      <c r="A3362">
        <v>656439</v>
      </c>
      <c r="B3362" s="1">
        <v>45085</v>
      </c>
      <c r="C3362">
        <v>63481</v>
      </c>
      <c r="D3362" t="s">
        <v>29</v>
      </c>
      <c r="E3362" t="s">
        <v>88</v>
      </c>
      <c r="F3362" t="s">
        <v>89</v>
      </c>
      <c r="G3362">
        <v>2</v>
      </c>
      <c r="H3362">
        <v>42.49</v>
      </c>
      <c r="I3362">
        <v>0.15</v>
      </c>
      <c r="J3362">
        <v>72.23</v>
      </c>
      <c r="K3362" t="s">
        <v>66</v>
      </c>
      <c r="L3362" t="s">
        <v>17</v>
      </c>
      <c r="M3362" t="s">
        <v>120</v>
      </c>
    </row>
    <row r="3363" spans="1:13" x14ac:dyDescent="0.2">
      <c r="A3363">
        <v>656517</v>
      </c>
      <c r="B3363" s="2">
        <v>44743</v>
      </c>
      <c r="C3363">
        <v>38173</v>
      </c>
      <c r="D3363" t="s">
        <v>48</v>
      </c>
      <c r="E3363" t="s">
        <v>143</v>
      </c>
      <c r="F3363" t="s">
        <v>144</v>
      </c>
      <c r="G3363">
        <v>2</v>
      </c>
      <c r="H3363">
        <v>11.24</v>
      </c>
      <c r="I3363">
        <v>0.25</v>
      </c>
      <c r="J3363">
        <v>16.86</v>
      </c>
      <c r="K3363" t="s">
        <v>22</v>
      </c>
      <c r="L3363" t="s">
        <v>17</v>
      </c>
      <c r="M3363" t="s">
        <v>161</v>
      </c>
    </row>
    <row r="3364" spans="1:13" x14ac:dyDescent="0.2">
      <c r="A3364">
        <v>656536</v>
      </c>
      <c r="B3364" s="1">
        <v>45285</v>
      </c>
      <c r="C3364">
        <v>11982</v>
      </c>
      <c r="D3364" t="s">
        <v>124</v>
      </c>
      <c r="E3364" t="s">
        <v>125</v>
      </c>
      <c r="F3364" t="s">
        <v>126</v>
      </c>
      <c r="G3364">
        <v>2</v>
      </c>
      <c r="H3364">
        <v>22.49</v>
      </c>
      <c r="I3364">
        <v>0.25</v>
      </c>
      <c r="J3364">
        <v>33.74</v>
      </c>
      <c r="K3364" t="s">
        <v>36</v>
      </c>
      <c r="L3364" t="s">
        <v>37</v>
      </c>
      <c r="M3364" t="s">
        <v>103</v>
      </c>
    </row>
    <row r="3365" spans="1:13" x14ac:dyDescent="0.2">
      <c r="A3365">
        <v>656806</v>
      </c>
      <c r="B3365" s="1">
        <v>45371</v>
      </c>
      <c r="C3365">
        <v>21273</v>
      </c>
      <c r="D3365" t="s">
        <v>63</v>
      </c>
      <c r="E3365" t="s">
        <v>131</v>
      </c>
      <c r="F3365" t="s">
        <v>132</v>
      </c>
      <c r="G3365">
        <v>1</v>
      </c>
      <c r="H3365">
        <v>2.44</v>
      </c>
      <c r="I3365">
        <v>0.3</v>
      </c>
      <c r="J3365">
        <v>1.71</v>
      </c>
      <c r="K3365" t="s">
        <v>16</v>
      </c>
      <c r="L3365" t="s">
        <v>17</v>
      </c>
      <c r="M3365" t="s">
        <v>102</v>
      </c>
    </row>
    <row r="3366" spans="1:13" x14ac:dyDescent="0.2">
      <c r="A3366">
        <v>657184</v>
      </c>
      <c r="B3366" s="1">
        <v>45340</v>
      </c>
      <c r="C3366">
        <v>42964</v>
      </c>
      <c r="D3366" t="s">
        <v>48</v>
      </c>
      <c r="E3366" t="s">
        <v>49</v>
      </c>
      <c r="F3366" t="s">
        <v>50</v>
      </c>
      <c r="G3366">
        <v>4</v>
      </c>
      <c r="H3366">
        <v>8.09</v>
      </c>
      <c r="I3366">
        <v>0.1</v>
      </c>
      <c r="J3366">
        <v>29.12</v>
      </c>
      <c r="K3366" t="s">
        <v>36</v>
      </c>
      <c r="L3366" t="s">
        <v>17</v>
      </c>
      <c r="M3366" t="s">
        <v>47</v>
      </c>
    </row>
    <row r="3367" spans="1:13" x14ac:dyDescent="0.2">
      <c r="A3367">
        <v>657499</v>
      </c>
      <c r="B3367" s="1">
        <v>44601</v>
      </c>
      <c r="C3367">
        <v>90928</v>
      </c>
      <c r="D3367" t="s">
        <v>29</v>
      </c>
      <c r="E3367" t="s">
        <v>170</v>
      </c>
      <c r="F3367" t="s">
        <v>171</v>
      </c>
      <c r="G3367">
        <v>1</v>
      </c>
      <c r="H3367">
        <v>14.99</v>
      </c>
      <c r="J3367">
        <v>14.99</v>
      </c>
      <c r="K3367" t="s">
        <v>22</v>
      </c>
      <c r="L3367" t="s">
        <v>17</v>
      </c>
    </row>
    <row r="3368" spans="1:13" x14ac:dyDescent="0.2">
      <c r="A3368">
        <v>657756</v>
      </c>
      <c r="B3368" s="1">
        <v>45392</v>
      </c>
      <c r="C3368">
        <v>45073</v>
      </c>
      <c r="D3368" t="s">
        <v>44</v>
      </c>
      <c r="E3368" t="s">
        <v>45</v>
      </c>
      <c r="F3368" t="s">
        <v>46</v>
      </c>
      <c r="G3368">
        <v>2</v>
      </c>
      <c r="H3368">
        <v>1.52</v>
      </c>
      <c r="I3368">
        <v>0.15</v>
      </c>
      <c r="J3368">
        <v>2.58</v>
      </c>
      <c r="K3368" t="s">
        <v>36</v>
      </c>
      <c r="L3368" t="s">
        <v>17</v>
      </c>
      <c r="M3368" t="s">
        <v>24</v>
      </c>
    </row>
    <row r="3369" spans="1:13" x14ac:dyDescent="0.2">
      <c r="A3369">
        <v>658148</v>
      </c>
      <c r="B3369" s="1">
        <v>44922</v>
      </c>
      <c r="C3369">
        <v>21915</v>
      </c>
      <c r="D3369" t="s">
        <v>97</v>
      </c>
      <c r="E3369" t="s">
        <v>193</v>
      </c>
      <c r="F3369" t="s">
        <v>194</v>
      </c>
      <c r="G3369">
        <v>4</v>
      </c>
      <c r="H3369">
        <v>64.989999999999995</v>
      </c>
      <c r="J3369">
        <v>259.95999999999998</v>
      </c>
      <c r="K3369" t="s">
        <v>32</v>
      </c>
      <c r="L3369" t="s">
        <v>17</v>
      </c>
      <c r="M3369" t="s">
        <v>123</v>
      </c>
    </row>
    <row r="3370" spans="1:13" x14ac:dyDescent="0.2">
      <c r="A3370">
        <v>658157</v>
      </c>
      <c r="B3370" s="1">
        <v>44607</v>
      </c>
      <c r="C3370">
        <v>78366</v>
      </c>
      <c r="D3370" t="s">
        <v>29</v>
      </c>
      <c r="E3370" t="s">
        <v>88</v>
      </c>
      <c r="F3370" t="s">
        <v>89</v>
      </c>
      <c r="G3370">
        <v>4</v>
      </c>
      <c r="H3370">
        <v>47.49</v>
      </c>
      <c r="I3370">
        <v>0.05</v>
      </c>
      <c r="J3370">
        <v>180.46</v>
      </c>
      <c r="K3370" t="s">
        <v>36</v>
      </c>
      <c r="L3370" t="s">
        <v>37</v>
      </c>
      <c r="M3370" t="s">
        <v>47</v>
      </c>
    </row>
    <row r="3371" spans="1:13" x14ac:dyDescent="0.2">
      <c r="A3371">
        <v>658162</v>
      </c>
      <c r="B3371" s="2">
        <v>45218</v>
      </c>
      <c r="C3371">
        <v>92118</v>
      </c>
      <c r="D3371" t="s">
        <v>48</v>
      </c>
      <c r="E3371" t="s">
        <v>179</v>
      </c>
      <c r="F3371" t="s">
        <v>180</v>
      </c>
      <c r="G3371">
        <v>4</v>
      </c>
      <c r="H3371">
        <v>10.79</v>
      </c>
      <c r="I3371">
        <v>0.1</v>
      </c>
      <c r="J3371">
        <v>38.840000000000003</v>
      </c>
      <c r="K3371" t="s">
        <v>36</v>
      </c>
      <c r="L3371" t="s">
        <v>37</v>
      </c>
      <c r="M3371" t="s">
        <v>117</v>
      </c>
    </row>
    <row r="3372" spans="1:13" x14ac:dyDescent="0.2">
      <c r="A3372">
        <v>658333</v>
      </c>
      <c r="B3372" s="1">
        <v>45069</v>
      </c>
      <c r="C3372">
        <v>80323</v>
      </c>
      <c r="D3372" t="s">
        <v>82</v>
      </c>
      <c r="E3372" t="s">
        <v>155</v>
      </c>
      <c r="F3372" t="s">
        <v>156</v>
      </c>
      <c r="G3372">
        <v>1</v>
      </c>
      <c r="H3372">
        <v>19.989999999999998</v>
      </c>
      <c r="J3372">
        <v>19.989999999999998</v>
      </c>
      <c r="K3372" t="s">
        <v>16</v>
      </c>
      <c r="L3372" t="s">
        <v>17</v>
      </c>
      <c r="M3372" t="s">
        <v>76</v>
      </c>
    </row>
    <row r="3373" spans="1:13" x14ac:dyDescent="0.2">
      <c r="A3373">
        <v>658333</v>
      </c>
      <c r="B3373" s="2">
        <v>45632</v>
      </c>
      <c r="C3373">
        <v>47342</v>
      </c>
      <c r="D3373" t="s">
        <v>44</v>
      </c>
      <c r="E3373" t="s">
        <v>45</v>
      </c>
      <c r="F3373" t="s">
        <v>46</v>
      </c>
      <c r="G3373">
        <v>5</v>
      </c>
      <c r="H3373">
        <v>1.79</v>
      </c>
      <c r="J3373">
        <v>8.9499999999999993</v>
      </c>
      <c r="K3373" t="s">
        <v>36</v>
      </c>
      <c r="L3373" t="s">
        <v>17</v>
      </c>
      <c r="M3373" t="s">
        <v>54</v>
      </c>
    </row>
    <row r="3374" spans="1:13" x14ac:dyDescent="0.2">
      <c r="A3374">
        <v>658377</v>
      </c>
      <c r="B3374" s="1">
        <v>44845</v>
      </c>
      <c r="C3374">
        <v>80276</v>
      </c>
      <c r="D3374" t="s">
        <v>82</v>
      </c>
      <c r="E3374" t="s">
        <v>155</v>
      </c>
      <c r="F3374" t="s">
        <v>156</v>
      </c>
      <c r="G3374">
        <v>3</v>
      </c>
      <c r="H3374">
        <v>19.989999999999998</v>
      </c>
      <c r="J3374">
        <v>59.97</v>
      </c>
      <c r="K3374" t="s">
        <v>36</v>
      </c>
      <c r="L3374" t="s">
        <v>37</v>
      </c>
      <c r="M3374" t="s">
        <v>43</v>
      </c>
    </row>
    <row r="3375" spans="1:13" x14ac:dyDescent="0.2">
      <c r="A3375">
        <v>658484</v>
      </c>
      <c r="B3375" s="1">
        <v>45424</v>
      </c>
      <c r="C3375">
        <v>63445</v>
      </c>
      <c r="D3375" t="s">
        <v>13</v>
      </c>
      <c r="E3375" t="s">
        <v>77</v>
      </c>
      <c r="F3375" t="s">
        <v>78</v>
      </c>
      <c r="G3375">
        <v>4</v>
      </c>
      <c r="H3375">
        <v>499.99</v>
      </c>
      <c r="J3375">
        <v>1999.96</v>
      </c>
      <c r="K3375" t="s">
        <v>36</v>
      </c>
      <c r="L3375" t="s">
        <v>37</v>
      </c>
      <c r="M3375" t="s">
        <v>102</v>
      </c>
    </row>
    <row r="3376" spans="1:13" x14ac:dyDescent="0.2">
      <c r="A3376">
        <v>658505</v>
      </c>
      <c r="B3376" s="1">
        <v>45199</v>
      </c>
      <c r="C3376">
        <v>94484</v>
      </c>
      <c r="D3376" t="s">
        <v>63</v>
      </c>
      <c r="E3376" t="s">
        <v>111</v>
      </c>
      <c r="F3376" t="s">
        <v>112</v>
      </c>
      <c r="G3376">
        <v>1</v>
      </c>
      <c r="H3376">
        <v>14.99</v>
      </c>
      <c r="J3376">
        <v>14.99</v>
      </c>
      <c r="K3376" t="s">
        <v>36</v>
      </c>
      <c r="L3376" t="s">
        <v>17</v>
      </c>
      <c r="M3376" t="s">
        <v>57</v>
      </c>
    </row>
    <row r="3377" spans="1:13" x14ac:dyDescent="0.2">
      <c r="A3377">
        <v>658596</v>
      </c>
      <c r="B3377" s="1">
        <v>45519</v>
      </c>
      <c r="C3377">
        <v>84202</v>
      </c>
      <c r="D3377" t="s">
        <v>25</v>
      </c>
      <c r="E3377" t="s">
        <v>60</v>
      </c>
      <c r="F3377" t="s">
        <v>61</v>
      </c>
      <c r="G3377">
        <v>5</v>
      </c>
      <c r="H3377">
        <v>49.49</v>
      </c>
      <c r="I3377">
        <v>0.1</v>
      </c>
      <c r="J3377">
        <v>222.7</v>
      </c>
      <c r="K3377" t="s">
        <v>95</v>
      </c>
      <c r="L3377" t="s">
        <v>37</v>
      </c>
      <c r="M3377" t="s">
        <v>28</v>
      </c>
    </row>
    <row r="3378" spans="1:13" x14ac:dyDescent="0.2">
      <c r="A3378">
        <v>658711</v>
      </c>
      <c r="B3378" s="2">
        <v>44802</v>
      </c>
      <c r="C3378">
        <v>99134</v>
      </c>
      <c r="D3378" t="s">
        <v>48</v>
      </c>
      <c r="E3378" t="s">
        <v>143</v>
      </c>
      <c r="F3378" t="s">
        <v>144</v>
      </c>
      <c r="G3378">
        <v>1</v>
      </c>
      <c r="H3378">
        <v>14.99</v>
      </c>
      <c r="J3378">
        <v>14.99</v>
      </c>
      <c r="K3378" t="s">
        <v>16</v>
      </c>
      <c r="L3378" t="s">
        <v>17</v>
      </c>
      <c r="M3378" t="s">
        <v>43</v>
      </c>
    </row>
    <row r="3379" spans="1:13" x14ac:dyDescent="0.2">
      <c r="A3379">
        <v>658922</v>
      </c>
      <c r="B3379" s="1">
        <v>44577</v>
      </c>
      <c r="C3379">
        <v>21118</v>
      </c>
      <c r="D3379" t="s">
        <v>44</v>
      </c>
      <c r="E3379" t="s">
        <v>93</v>
      </c>
      <c r="F3379" t="s">
        <v>94</v>
      </c>
      <c r="G3379">
        <v>1</v>
      </c>
      <c r="H3379">
        <v>1.29</v>
      </c>
      <c r="J3379">
        <v>1.29</v>
      </c>
      <c r="K3379" t="s">
        <v>36</v>
      </c>
      <c r="L3379" t="s">
        <v>37</v>
      </c>
      <c r="M3379" t="s">
        <v>28</v>
      </c>
    </row>
    <row r="3380" spans="1:13" x14ac:dyDescent="0.2">
      <c r="A3380">
        <v>659007</v>
      </c>
      <c r="B3380" s="1">
        <v>45555</v>
      </c>
      <c r="C3380">
        <v>74957</v>
      </c>
      <c r="D3380" t="s">
        <v>63</v>
      </c>
      <c r="E3380" t="s">
        <v>131</v>
      </c>
      <c r="F3380" t="s">
        <v>132</v>
      </c>
      <c r="G3380">
        <v>5</v>
      </c>
      <c r="H3380">
        <v>3.49</v>
      </c>
      <c r="J3380">
        <v>17.45</v>
      </c>
      <c r="K3380" t="s">
        <v>95</v>
      </c>
      <c r="L3380" t="s">
        <v>17</v>
      </c>
      <c r="M3380" t="s">
        <v>54</v>
      </c>
    </row>
    <row r="3381" spans="1:13" x14ac:dyDescent="0.2">
      <c r="A3381">
        <v>659019</v>
      </c>
      <c r="B3381" s="2">
        <v>45247</v>
      </c>
      <c r="C3381">
        <v>65371</v>
      </c>
      <c r="D3381" t="s">
        <v>63</v>
      </c>
      <c r="E3381" t="s">
        <v>131</v>
      </c>
      <c r="F3381" t="s">
        <v>132</v>
      </c>
      <c r="G3381">
        <v>2</v>
      </c>
      <c r="H3381">
        <v>3.32</v>
      </c>
      <c r="I3381">
        <v>0.05</v>
      </c>
      <c r="J3381">
        <v>6.31</v>
      </c>
      <c r="K3381" t="s">
        <v>36</v>
      </c>
      <c r="L3381" t="s">
        <v>37</v>
      </c>
      <c r="M3381" t="s">
        <v>161</v>
      </c>
    </row>
    <row r="3382" spans="1:13" x14ac:dyDescent="0.2">
      <c r="A3382">
        <v>659102</v>
      </c>
      <c r="B3382" s="1">
        <v>45079</v>
      </c>
      <c r="C3382">
        <v>63950</v>
      </c>
      <c r="D3382" t="s">
        <v>48</v>
      </c>
      <c r="E3382" t="s">
        <v>143</v>
      </c>
      <c r="F3382" t="s">
        <v>144</v>
      </c>
      <c r="G3382">
        <v>2</v>
      </c>
      <c r="H3382">
        <v>13.49</v>
      </c>
      <c r="I3382">
        <v>0.1</v>
      </c>
      <c r="J3382">
        <v>24.28</v>
      </c>
      <c r="K3382" t="s">
        <v>16</v>
      </c>
      <c r="L3382" t="s">
        <v>17</v>
      </c>
      <c r="M3382" t="s">
        <v>33</v>
      </c>
    </row>
    <row r="3383" spans="1:13" x14ac:dyDescent="0.2">
      <c r="A3383">
        <v>659301</v>
      </c>
      <c r="B3383" s="1">
        <v>45491</v>
      </c>
      <c r="C3383">
        <v>25385</v>
      </c>
      <c r="D3383" t="s">
        <v>40</v>
      </c>
      <c r="E3383" t="s">
        <v>41</v>
      </c>
      <c r="F3383" t="s">
        <v>42</v>
      </c>
      <c r="G3383">
        <v>1</v>
      </c>
      <c r="H3383">
        <v>5.99</v>
      </c>
      <c r="J3383">
        <v>5.99</v>
      </c>
      <c r="K3383" t="s">
        <v>36</v>
      </c>
      <c r="L3383" t="s">
        <v>23</v>
      </c>
      <c r="M3383" t="s">
        <v>103</v>
      </c>
    </row>
    <row r="3384" spans="1:13" x14ac:dyDescent="0.2">
      <c r="A3384">
        <v>659309</v>
      </c>
      <c r="B3384" s="1">
        <v>44852</v>
      </c>
      <c r="C3384">
        <v>54104</v>
      </c>
      <c r="D3384" t="s">
        <v>63</v>
      </c>
      <c r="E3384" t="s">
        <v>111</v>
      </c>
      <c r="F3384" t="s">
        <v>112</v>
      </c>
      <c r="G3384">
        <v>1</v>
      </c>
      <c r="H3384">
        <v>14.99</v>
      </c>
      <c r="J3384">
        <v>14.99</v>
      </c>
      <c r="K3384" t="s">
        <v>16</v>
      </c>
      <c r="L3384" t="s">
        <v>17</v>
      </c>
      <c r="M3384" t="s">
        <v>18</v>
      </c>
    </row>
    <row r="3385" spans="1:13" x14ac:dyDescent="0.2">
      <c r="A3385">
        <v>659510</v>
      </c>
      <c r="B3385" s="1">
        <v>45173</v>
      </c>
      <c r="C3385">
        <v>66335</v>
      </c>
      <c r="D3385" t="s">
        <v>97</v>
      </c>
      <c r="E3385" t="s">
        <v>135</v>
      </c>
      <c r="F3385" t="s">
        <v>136</v>
      </c>
      <c r="G3385">
        <v>2</v>
      </c>
      <c r="H3385">
        <v>9.99</v>
      </c>
      <c r="J3385">
        <v>19.98</v>
      </c>
      <c r="K3385" t="s">
        <v>36</v>
      </c>
      <c r="L3385" t="s">
        <v>17</v>
      </c>
      <c r="M3385" t="s">
        <v>18</v>
      </c>
    </row>
    <row r="3386" spans="1:13" x14ac:dyDescent="0.2">
      <c r="A3386">
        <v>659905</v>
      </c>
      <c r="B3386" s="2">
        <v>45523</v>
      </c>
      <c r="C3386">
        <v>29859</v>
      </c>
      <c r="D3386" t="s">
        <v>29</v>
      </c>
      <c r="E3386" t="s">
        <v>30</v>
      </c>
      <c r="F3386" t="s">
        <v>31</v>
      </c>
      <c r="G3386">
        <v>5</v>
      </c>
      <c r="H3386">
        <v>17.489999999999998</v>
      </c>
      <c r="I3386">
        <v>0.3</v>
      </c>
      <c r="J3386">
        <v>61.21</v>
      </c>
      <c r="K3386" t="s">
        <v>16</v>
      </c>
      <c r="L3386" t="s">
        <v>17</v>
      </c>
      <c r="M3386" t="s">
        <v>67</v>
      </c>
    </row>
    <row r="3387" spans="1:13" x14ac:dyDescent="0.2">
      <c r="A3387">
        <v>660181</v>
      </c>
      <c r="B3387" s="1">
        <v>45033</v>
      </c>
      <c r="C3387">
        <v>33114</v>
      </c>
      <c r="D3387" t="s">
        <v>48</v>
      </c>
      <c r="E3387" t="s">
        <v>143</v>
      </c>
      <c r="F3387" t="s">
        <v>144</v>
      </c>
      <c r="G3387">
        <v>3</v>
      </c>
      <c r="H3387">
        <v>11.99</v>
      </c>
      <c r="I3387">
        <v>0.2</v>
      </c>
      <c r="J3387">
        <v>28.78</v>
      </c>
      <c r="K3387" t="s">
        <v>53</v>
      </c>
      <c r="L3387" t="s">
        <v>37</v>
      </c>
      <c r="M3387" t="s">
        <v>57</v>
      </c>
    </row>
    <row r="3388" spans="1:13" x14ac:dyDescent="0.2">
      <c r="A3388">
        <v>660335</v>
      </c>
      <c r="B3388" s="2">
        <v>45004</v>
      </c>
      <c r="C3388">
        <v>63239</v>
      </c>
      <c r="D3388" t="s">
        <v>48</v>
      </c>
      <c r="E3388" t="s">
        <v>143</v>
      </c>
      <c r="F3388" t="s">
        <v>144</v>
      </c>
      <c r="G3388">
        <v>4</v>
      </c>
      <c r="H3388">
        <v>13.49</v>
      </c>
      <c r="I3388">
        <v>0.1</v>
      </c>
      <c r="J3388">
        <v>48.56</v>
      </c>
      <c r="K3388" t="s">
        <v>32</v>
      </c>
      <c r="L3388" t="s">
        <v>37</v>
      </c>
      <c r="M3388" t="s">
        <v>120</v>
      </c>
    </row>
    <row r="3389" spans="1:13" x14ac:dyDescent="0.2">
      <c r="A3389">
        <v>660437</v>
      </c>
      <c r="B3389" s="1">
        <v>45521</v>
      </c>
      <c r="C3389">
        <v>67814</v>
      </c>
      <c r="D3389" t="s">
        <v>85</v>
      </c>
      <c r="E3389" t="s">
        <v>129</v>
      </c>
      <c r="F3389" t="s">
        <v>130</v>
      </c>
      <c r="G3389">
        <v>5</v>
      </c>
      <c r="H3389">
        <v>6.74</v>
      </c>
      <c r="I3389">
        <v>0.25</v>
      </c>
      <c r="J3389">
        <v>25.28</v>
      </c>
      <c r="K3389" t="s">
        <v>36</v>
      </c>
      <c r="L3389" t="s">
        <v>17</v>
      </c>
      <c r="M3389" t="s">
        <v>47</v>
      </c>
    </row>
    <row r="3390" spans="1:13" x14ac:dyDescent="0.2">
      <c r="A3390">
        <v>660683</v>
      </c>
      <c r="B3390" s="1">
        <v>44598</v>
      </c>
      <c r="C3390">
        <v>50446</v>
      </c>
      <c r="D3390" t="s">
        <v>63</v>
      </c>
      <c r="E3390" t="s">
        <v>68</v>
      </c>
      <c r="F3390" t="s">
        <v>69</v>
      </c>
      <c r="G3390">
        <v>1</v>
      </c>
      <c r="H3390">
        <v>17.489999999999998</v>
      </c>
      <c r="I3390">
        <v>0.3</v>
      </c>
      <c r="J3390">
        <v>12.24</v>
      </c>
      <c r="K3390" t="s">
        <v>32</v>
      </c>
      <c r="L3390" t="s">
        <v>17</v>
      </c>
      <c r="M3390" t="s">
        <v>62</v>
      </c>
    </row>
    <row r="3391" spans="1:13" x14ac:dyDescent="0.2">
      <c r="A3391">
        <v>660805</v>
      </c>
      <c r="B3391" s="1">
        <v>44806</v>
      </c>
      <c r="C3391">
        <v>81948</v>
      </c>
      <c r="D3391" t="s">
        <v>40</v>
      </c>
      <c r="E3391" t="s">
        <v>20</v>
      </c>
      <c r="F3391" t="s">
        <v>21</v>
      </c>
      <c r="G3391">
        <v>4</v>
      </c>
      <c r="H3391">
        <v>6.99</v>
      </c>
      <c r="I3391">
        <v>0.3</v>
      </c>
      <c r="J3391">
        <v>19.57</v>
      </c>
      <c r="K3391" t="s">
        <v>36</v>
      </c>
      <c r="L3391" t="s">
        <v>23</v>
      </c>
      <c r="M3391" t="s">
        <v>123</v>
      </c>
    </row>
    <row r="3392" spans="1:13" x14ac:dyDescent="0.2">
      <c r="A3392">
        <v>660885</v>
      </c>
      <c r="B3392" s="1">
        <v>45254</v>
      </c>
      <c r="C3392">
        <v>98698</v>
      </c>
      <c r="D3392" t="s">
        <v>19</v>
      </c>
      <c r="E3392" t="s">
        <v>115</v>
      </c>
      <c r="F3392" t="s">
        <v>116</v>
      </c>
      <c r="G3392">
        <v>5</v>
      </c>
      <c r="H3392">
        <v>12.99</v>
      </c>
      <c r="J3392">
        <v>64.95</v>
      </c>
      <c r="K3392" t="s">
        <v>16</v>
      </c>
      <c r="L3392" t="s">
        <v>17</v>
      </c>
      <c r="M3392" t="s">
        <v>102</v>
      </c>
    </row>
    <row r="3393" spans="1:13" x14ac:dyDescent="0.2">
      <c r="A3393">
        <v>661200</v>
      </c>
      <c r="B3393" s="2">
        <v>44739</v>
      </c>
      <c r="C3393">
        <v>66394</v>
      </c>
      <c r="D3393" t="s">
        <v>85</v>
      </c>
      <c r="E3393" t="s">
        <v>145</v>
      </c>
      <c r="F3393" t="s">
        <v>146</v>
      </c>
      <c r="G3393">
        <v>3</v>
      </c>
      <c r="H3393">
        <v>16.989999999999998</v>
      </c>
      <c r="J3393">
        <v>50.97</v>
      </c>
      <c r="K3393" t="s">
        <v>16</v>
      </c>
      <c r="L3393" t="s">
        <v>17</v>
      </c>
      <c r="M3393" t="s">
        <v>62</v>
      </c>
    </row>
    <row r="3394" spans="1:13" x14ac:dyDescent="0.2">
      <c r="A3394">
        <v>661778</v>
      </c>
      <c r="B3394" s="2">
        <v>45222</v>
      </c>
      <c r="C3394">
        <v>61582</v>
      </c>
      <c r="D3394" t="s">
        <v>97</v>
      </c>
      <c r="E3394" t="s">
        <v>141</v>
      </c>
      <c r="F3394" t="s">
        <v>142</v>
      </c>
      <c r="G3394">
        <v>1</v>
      </c>
      <c r="H3394">
        <v>22.99</v>
      </c>
      <c r="J3394">
        <v>22.99</v>
      </c>
      <c r="K3394" t="s">
        <v>36</v>
      </c>
      <c r="L3394" t="s">
        <v>17</v>
      </c>
      <c r="M3394" t="s">
        <v>103</v>
      </c>
    </row>
    <row r="3395" spans="1:13" x14ac:dyDescent="0.2">
      <c r="A3395">
        <v>661894</v>
      </c>
      <c r="B3395" s="1">
        <v>44956</v>
      </c>
      <c r="C3395">
        <v>73464</v>
      </c>
      <c r="D3395" t="s">
        <v>174</v>
      </c>
      <c r="E3395" t="s">
        <v>129</v>
      </c>
      <c r="F3395" t="s">
        <v>130</v>
      </c>
      <c r="G3395">
        <v>1</v>
      </c>
      <c r="H3395">
        <v>7.64</v>
      </c>
      <c r="I3395">
        <v>0.15</v>
      </c>
      <c r="J3395">
        <v>6.49</v>
      </c>
      <c r="K3395" t="s">
        <v>16</v>
      </c>
      <c r="L3395" t="s">
        <v>37</v>
      </c>
      <c r="M3395" t="s">
        <v>54</v>
      </c>
    </row>
    <row r="3396" spans="1:13" x14ac:dyDescent="0.2">
      <c r="A3396">
        <v>662091</v>
      </c>
      <c r="B3396" s="2">
        <v>45129</v>
      </c>
      <c r="C3396">
        <v>51257</v>
      </c>
      <c r="D3396" t="s">
        <v>29</v>
      </c>
      <c r="E3396" t="s">
        <v>72</v>
      </c>
      <c r="F3396" t="s">
        <v>73</v>
      </c>
      <c r="G3396">
        <v>1</v>
      </c>
      <c r="H3396">
        <v>31.99</v>
      </c>
      <c r="I3396">
        <v>0.2</v>
      </c>
      <c r="J3396">
        <v>25.59</v>
      </c>
      <c r="K3396" t="s">
        <v>36</v>
      </c>
      <c r="L3396" t="s">
        <v>17</v>
      </c>
      <c r="M3396" t="s">
        <v>33</v>
      </c>
    </row>
    <row r="3397" spans="1:13" x14ac:dyDescent="0.2">
      <c r="A3397">
        <v>662128</v>
      </c>
      <c r="B3397" s="2">
        <v>44805</v>
      </c>
      <c r="C3397">
        <v>75745</v>
      </c>
      <c r="D3397" t="s">
        <v>97</v>
      </c>
      <c r="E3397" t="s">
        <v>165</v>
      </c>
      <c r="F3397" t="s">
        <v>166</v>
      </c>
      <c r="G3397">
        <v>2</v>
      </c>
      <c r="H3397">
        <v>76.489999999999995</v>
      </c>
      <c r="I3397">
        <v>0.15</v>
      </c>
      <c r="J3397">
        <v>130.03</v>
      </c>
      <c r="K3397" t="s">
        <v>36</v>
      </c>
      <c r="L3397" t="s">
        <v>17</v>
      </c>
      <c r="M3397" t="s">
        <v>102</v>
      </c>
    </row>
    <row r="3398" spans="1:13" x14ac:dyDescent="0.2">
      <c r="A3398">
        <v>662141</v>
      </c>
      <c r="B3398" s="2">
        <v>44886</v>
      </c>
      <c r="C3398">
        <v>48676</v>
      </c>
      <c r="D3398" t="s">
        <v>199</v>
      </c>
      <c r="E3398" t="s">
        <v>79</v>
      </c>
      <c r="F3398" t="s">
        <v>80</v>
      </c>
      <c r="G3398">
        <v>1</v>
      </c>
      <c r="H3398">
        <v>89.99</v>
      </c>
      <c r="J3398">
        <v>89.99</v>
      </c>
      <c r="K3398" t="s">
        <v>36</v>
      </c>
      <c r="L3398" t="s">
        <v>37</v>
      </c>
      <c r="M3398" t="s">
        <v>123</v>
      </c>
    </row>
    <row r="3399" spans="1:13" x14ac:dyDescent="0.2">
      <c r="A3399">
        <v>662147</v>
      </c>
      <c r="B3399" s="1">
        <v>45223</v>
      </c>
      <c r="C3399">
        <v>68170</v>
      </c>
      <c r="D3399" t="s">
        <v>44</v>
      </c>
      <c r="E3399" t="s">
        <v>107</v>
      </c>
      <c r="F3399" t="s">
        <v>108</v>
      </c>
      <c r="G3399">
        <v>3</v>
      </c>
      <c r="H3399">
        <v>2.79</v>
      </c>
      <c r="I3399">
        <v>0.2</v>
      </c>
      <c r="J3399">
        <v>6.7</v>
      </c>
      <c r="K3399" t="s">
        <v>36</v>
      </c>
      <c r="L3399" t="s">
        <v>37</v>
      </c>
      <c r="M3399" t="s">
        <v>24</v>
      </c>
    </row>
    <row r="3400" spans="1:13" x14ac:dyDescent="0.2">
      <c r="A3400">
        <v>662209</v>
      </c>
      <c r="B3400" s="1">
        <v>45555</v>
      </c>
      <c r="C3400">
        <v>71667</v>
      </c>
      <c r="D3400" t="s">
        <v>13</v>
      </c>
      <c r="E3400" t="s">
        <v>34</v>
      </c>
      <c r="F3400" t="s">
        <v>35</v>
      </c>
      <c r="G3400">
        <v>2</v>
      </c>
      <c r="H3400">
        <v>33.24</v>
      </c>
      <c r="I3400">
        <v>0.05</v>
      </c>
      <c r="J3400">
        <v>63.16</v>
      </c>
      <c r="K3400" t="s">
        <v>16</v>
      </c>
      <c r="L3400" t="s">
        <v>17</v>
      </c>
      <c r="M3400" t="s">
        <v>117</v>
      </c>
    </row>
    <row r="3401" spans="1:13" x14ac:dyDescent="0.2">
      <c r="A3401">
        <v>662585</v>
      </c>
      <c r="B3401" s="1">
        <v>44780</v>
      </c>
      <c r="C3401">
        <v>15449</v>
      </c>
      <c r="D3401" t="s">
        <v>25</v>
      </c>
      <c r="E3401" t="s">
        <v>51</v>
      </c>
      <c r="F3401" t="s">
        <v>52</v>
      </c>
      <c r="G3401">
        <v>1</v>
      </c>
      <c r="H3401">
        <v>27.99</v>
      </c>
      <c r="J3401">
        <v>27.99</v>
      </c>
      <c r="K3401" t="s">
        <v>16</v>
      </c>
      <c r="L3401" t="s">
        <v>17</v>
      </c>
      <c r="M3401" t="s">
        <v>43</v>
      </c>
    </row>
    <row r="3402" spans="1:13" x14ac:dyDescent="0.2">
      <c r="A3402">
        <v>662719</v>
      </c>
      <c r="B3402" s="2">
        <v>44613</v>
      </c>
      <c r="C3402">
        <v>67951</v>
      </c>
      <c r="D3402" t="s">
        <v>29</v>
      </c>
      <c r="E3402" t="s">
        <v>30</v>
      </c>
      <c r="F3402" t="s">
        <v>31</v>
      </c>
      <c r="G3402">
        <v>1</v>
      </c>
      <c r="H3402">
        <v>23.74</v>
      </c>
      <c r="I3402">
        <v>0.05</v>
      </c>
      <c r="J3402">
        <v>22.55</v>
      </c>
      <c r="K3402" t="s">
        <v>36</v>
      </c>
      <c r="L3402" t="s">
        <v>17</v>
      </c>
      <c r="M3402" t="s">
        <v>18</v>
      </c>
    </row>
    <row r="3403" spans="1:13" x14ac:dyDescent="0.2">
      <c r="A3403">
        <v>662947</v>
      </c>
      <c r="B3403" s="2">
        <v>45154</v>
      </c>
      <c r="C3403">
        <v>46234</v>
      </c>
      <c r="D3403" t="s">
        <v>25</v>
      </c>
      <c r="E3403" t="s">
        <v>60</v>
      </c>
      <c r="F3403" t="s">
        <v>61</v>
      </c>
      <c r="G3403">
        <v>1</v>
      </c>
      <c r="H3403">
        <v>54.99</v>
      </c>
      <c r="J3403">
        <v>54.99</v>
      </c>
      <c r="K3403" t="s">
        <v>22</v>
      </c>
      <c r="L3403" t="s">
        <v>17</v>
      </c>
      <c r="M3403" t="s">
        <v>62</v>
      </c>
    </row>
    <row r="3404" spans="1:13" x14ac:dyDescent="0.2">
      <c r="A3404">
        <v>662971</v>
      </c>
      <c r="B3404" s="2">
        <v>44753</v>
      </c>
      <c r="C3404">
        <v>72391</v>
      </c>
      <c r="D3404" t="s">
        <v>85</v>
      </c>
      <c r="E3404" t="s">
        <v>145</v>
      </c>
      <c r="F3404" t="s">
        <v>146</v>
      </c>
      <c r="G3404">
        <v>4</v>
      </c>
      <c r="H3404">
        <v>15.29</v>
      </c>
      <c r="I3404">
        <v>0.1</v>
      </c>
      <c r="J3404">
        <v>55.04</v>
      </c>
      <c r="K3404" t="s">
        <v>16</v>
      </c>
      <c r="L3404" t="s">
        <v>23</v>
      </c>
      <c r="M3404" t="s">
        <v>18</v>
      </c>
    </row>
    <row r="3405" spans="1:13" x14ac:dyDescent="0.2">
      <c r="A3405">
        <v>663051</v>
      </c>
      <c r="B3405" s="1">
        <v>44880</v>
      </c>
      <c r="C3405">
        <v>17342</v>
      </c>
      <c r="D3405" t="s">
        <v>13</v>
      </c>
      <c r="E3405" t="s">
        <v>127</v>
      </c>
      <c r="F3405" t="s">
        <v>128</v>
      </c>
      <c r="G3405">
        <v>5</v>
      </c>
      <c r="H3405">
        <v>14.99</v>
      </c>
      <c r="I3405">
        <v>0.25</v>
      </c>
      <c r="J3405">
        <v>56.21</v>
      </c>
      <c r="K3405" t="s">
        <v>32</v>
      </c>
      <c r="L3405" t="s">
        <v>17</v>
      </c>
      <c r="M3405" t="s">
        <v>28</v>
      </c>
    </row>
    <row r="3406" spans="1:13" x14ac:dyDescent="0.2">
      <c r="A3406">
        <v>663196</v>
      </c>
      <c r="B3406" s="1">
        <v>45126</v>
      </c>
      <c r="C3406">
        <v>21031</v>
      </c>
      <c r="D3406" t="s">
        <v>13</v>
      </c>
      <c r="E3406" t="s">
        <v>104</v>
      </c>
      <c r="F3406" t="s">
        <v>105</v>
      </c>
      <c r="G3406">
        <v>1</v>
      </c>
      <c r="H3406">
        <v>29.99</v>
      </c>
      <c r="J3406">
        <v>29.99</v>
      </c>
      <c r="K3406" t="s">
        <v>16</v>
      </c>
      <c r="L3406" t="s">
        <v>37</v>
      </c>
      <c r="M3406" t="s">
        <v>33</v>
      </c>
    </row>
    <row r="3407" spans="1:13" x14ac:dyDescent="0.2">
      <c r="A3407">
        <v>663200</v>
      </c>
      <c r="B3407" s="2">
        <v>45219</v>
      </c>
      <c r="C3407">
        <v>64317</v>
      </c>
      <c r="D3407" t="s">
        <v>85</v>
      </c>
      <c r="E3407" t="s">
        <v>86</v>
      </c>
      <c r="F3407" t="s">
        <v>87</v>
      </c>
      <c r="G3407">
        <v>5</v>
      </c>
      <c r="H3407">
        <v>12.99</v>
      </c>
      <c r="J3407">
        <v>64.95</v>
      </c>
      <c r="K3407" t="s">
        <v>32</v>
      </c>
      <c r="L3407" t="s">
        <v>17</v>
      </c>
      <c r="M3407" t="s">
        <v>18</v>
      </c>
    </row>
    <row r="3408" spans="1:13" x14ac:dyDescent="0.2">
      <c r="A3408">
        <v>663535</v>
      </c>
      <c r="B3408" s="2">
        <v>45162</v>
      </c>
      <c r="C3408">
        <v>95564</v>
      </c>
      <c r="D3408" t="s">
        <v>97</v>
      </c>
      <c r="E3408" t="s">
        <v>141</v>
      </c>
      <c r="F3408" t="s">
        <v>142</v>
      </c>
      <c r="G3408">
        <v>5</v>
      </c>
      <c r="H3408">
        <v>21.84</v>
      </c>
      <c r="I3408">
        <v>0.05</v>
      </c>
      <c r="J3408">
        <v>103.74</v>
      </c>
      <c r="K3408" t="s">
        <v>36</v>
      </c>
      <c r="L3408" t="s">
        <v>17</v>
      </c>
      <c r="M3408" t="s">
        <v>81</v>
      </c>
    </row>
    <row r="3409" spans="1:13" x14ac:dyDescent="0.2">
      <c r="A3409">
        <v>663997</v>
      </c>
      <c r="B3409" s="1">
        <v>45406</v>
      </c>
      <c r="C3409">
        <v>59356</v>
      </c>
      <c r="D3409" t="s">
        <v>25</v>
      </c>
      <c r="E3409" t="s">
        <v>51</v>
      </c>
      <c r="F3409" t="s">
        <v>52</v>
      </c>
      <c r="G3409">
        <v>4</v>
      </c>
      <c r="H3409">
        <v>22.39</v>
      </c>
      <c r="I3409">
        <v>0.2</v>
      </c>
      <c r="J3409">
        <v>71.650000000000006</v>
      </c>
      <c r="K3409" t="s">
        <v>95</v>
      </c>
      <c r="L3409" t="s">
        <v>23</v>
      </c>
      <c r="M3409" t="s">
        <v>81</v>
      </c>
    </row>
    <row r="3410" spans="1:13" x14ac:dyDescent="0.2">
      <c r="A3410">
        <v>664198</v>
      </c>
      <c r="B3410" s="1">
        <v>44674</v>
      </c>
      <c r="C3410">
        <v>46388</v>
      </c>
      <c r="D3410" t="s">
        <v>48</v>
      </c>
      <c r="E3410" t="s">
        <v>118</v>
      </c>
      <c r="F3410" t="s">
        <v>119</v>
      </c>
      <c r="G3410">
        <v>2</v>
      </c>
      <c r="H3410">
        <v>4.24</v>
      </c>
      <c r="I3410">
        <v>0.15</v>
      </c>
      <c r="J3410">
        <v>7.21</v>
      </c>
      <c r="K3410" t="s">
        <v>53</v>
      </c>
      <c r="L3410" t="s">
        <v>17</v>
      </c>
      <c r="M3410" t="s">
        <v>67</v>
      </c>
    </row>
    <row r="3411" spans="1:13" x14ac:dyDescent="0.2">
      <c r="A3411">
        <v>664315</v>
      </c>
      <c r="B3411" s="1">
        <v>45630</v>
      </c>
      <c r="C3411">
        <v>87656</v>
      </c>
      <c r="D3411" t="s">
        <v>48</v>
      </c>
      <c r="E3411" t="s">
        <v>143</v>
      </c>
      <c r="F3411" t="s">
        <v>144</v>
      </c>
      <c r="G3411">
        <v>2</v>
      </c>
      <c r="H3411">
        <v>13.49</v>
      </c>
      <c r="I3411">
        <v>0.1</v>
      </c>
      <c r="J3411">
        <v>24.28</v>
      </c>
      <c r="K3411" t="s">
        <v>32</v>
      </c>
      <c r="L3411" t="s">
        <v>17</v>
      </c>
      <c r="M3411" t="s">
        <v>76</v>
      </c>
    </row>
    <row r="3412" spans="1:13" x14ac:dyDescent="0.2">
      <c r="A3412">
        <v>664476</v>
      </c>
      <c r="B3412" s="1">
        <v>45609</v>
      </c>
      <c r="C3412">
        <v>75470</v>
      </c>
      <c r="D3412" t="s">
        <v>82</v>
      </c>
      <c r="E3412" t="s">
        <v>155</v>
      </c>
      <c r="F3412" t="s">
        <v>156</v>
      </c>
      <c r="G3412">
        <v>3</v>
      </c>
      <c r="H3412">
        <v>19.989999999999998</v>
      </c>
      <c r="J3412">
        <v>59.97</v>
      </c>
      <c r="K3412" t="s">
        <v>36</v>
      </c>
      <c r="L3412" t="s">
        <v>17</v>
      </c>
      <c r="M3412" t="s">
        <v>103</v>
      </c>
    </row>
    <row r="3413" spans="1:13" x14ac:dyDescent="0.2">
      <c r="A3413">
        <v>664763</v>
      </c>
      <c r="B3413" s="1">
        <v>45268</v>
      </c>
      <c r="C3413">
        <v>25349</v>
      </c>
      <c r="D3413" t="s">
        <v>25</v>
      </c>
      <c r="E3413" t="s">
        <v>70</v>
      </c>
      <c r="F3413" t="s">
        <v>71</v>
      </c>
      <c r="G3413">
        <v>1</v>
      </c>
      <c r="H3413">
        <v>71.989999999999995</v>
      </c>
      <c r="I3413">
        <v>0.2</v>
      </c>
      <c r="J3413">
        <v>57.59</v>
      </c>
      <c r="K3413" t="s">
        <v>16</v>
      </c>
      <c r="L3413" t="s">
        <v>17</v>
      </c>
      <c r="M3413" t="s">
        <v>76</v>
      </c>
    </row>
    <row r="3414" spans="1:13" x14ac:dyDescent="0.2">
      <c r="A3414">
        <v>664824</v>
      </c>
      <c r="B3414" s="1">
        <v>44743</v>
      </c>
      <c r="D3414" t="s">
        <v>174</v>
      </c>
      <c r="E3414" t="s">
        <v>153</v>
      </c>
      <c r="F3414" t="s">
        <v>154</v>
      </c>
      <c r="G3414">
        <v>2</v>
      </c>
      <c r="H3414">
        <v>25.49</v>
      </c>
      <c r="I3414">
        <v>0.15</v>
      </c>
      <c r="J3414">
        <v>43.33</v>
      </c>
      <c r="K3414" t="s">
        <v>53</v>
      </c>
      <c r="L3414" t="s">
        <v>17</v>
      </c>
      <c r="M3414" t="s">
        <v>117</v>
      </c>
    </row>
    <row r="3415" spans="1:13" x14ac:dyDescent="0.2">
      <c r="A3415">
        <v>664923</v>
      </c>
      <c r="B3415" s="1">
        <v>45093</v>
      </c>
      <c r="C3415">
        <v>38681</v>
      </c>
      <c r="D3415" t="s">
        <v>13</v>
      </c>
      <c r="E3415" t="s">
        <v>127</v>
      </c>
      <c r="F3415" t="s">
        <v>128</v>
      </c>
      <c r="G3415">
        <v>3</v>
      </c>
      <c r="H3415">
        <v>19.989999999999998</v>
      </c>
      <c r="J3415">
        <v>59.97</v>
      </c>
      <c r="K3415" t="s">
        <v>16</v>
      </c>
      <c r="L3415" t="s">
        <v>17</v>
      </c>
      <c r="M3415" t="s">
        <v>90</v>
      </c>
    </row>
    <row r="3416" spans="1:13" x14ac:dyDescent="0.2">
      <c r="A3416">
        <v>665073</v>
      </c>
      <c r="B3416" s="2">
        <v>44667</v>
      </c>
      <c r="C3416">
        <v>88571</v>
      </c>
      <c r="D3416" t="s">
        <v>44</v>
      </c>
      <c r="E3416" t="s">
        <v>184</v>
      </c>
      <c r="F3416" t="s">
        <v>185</v>
      </c>
      <c r="G3416">
        <v>5</v>
      </c>
      <c r="H3416">
        <v>5.49</v>
      </c>
      <c r="J3416">
        <v>27.45</v>
      </c>
      <c r="K3416" t="s">
        <v>36</v>
      </c>
      <c r="L3416" t="s">
        <v>37</v>
      </c>
      <c r="M3416" t="s">
        <v>96</v>
      </c>
    </row>
    <row r="3417" spans="1:13" x14ac:dyDescent="0.2">
      <c r="A3417">
        <v>665163</v>
      </c>
      <c r="B3417" s="2">
        <v>44692</v>
      </c>
      <c r="C3417">
        <v>37192</v>
      </c>
      <c r="D3417" t="s">
        <v>63</v>
      </c>
      <c r="E3417" t="s">
        <v>125</v>
      </c>
      <c r="F3417" t="s">
        <v>126</v>
      </c>
      <c r="G3417">
        <v>4</v>
      </c>
      <c r="H3417">
        <v>20.99</v>
      </c>
      <c r="I3417">
        <v>0.3</v>
      </c>
      <c r="J3417">
        <v>58.77</v>
      </c>
      <c r="K3417" t="s">
        <v>16</v>
      </c>
      <c r="L3417" t="s">
        <v>37</v>
      </c>
      <c r="M3417" t="s">
        <v>18</v>
      </c>
    </row>
    <row r="3418" spans="1:13" x14ac:dyDescent="0.2">
      <c r="A3418">
        <v>665287</v>
      </c>
      <c r="B3418" s="1">
        <v>45311</v>
      </c>
      <c r="C3418">
        <v>43303</v>
      </c>
      <c r="D3418" t="s">
        <v>13</v>
      </c>
      <c r="E3418" t="s">
        <v>55</v>
      </c>
      <c r="F3418" t="s">
        <v>56</v>
      </c>
      <c r="G3418">
        <v>2</v>
      </c>
      <c r="H3418">
        <v>296.99</v>
      </c>
      <c r="I3418">
        <v>0.1</v>
      </c>
      <c r="J3418">
        <v>534.58000000000004</v>
      </c>
      <c r="K3418" t="s">
        <v>66</v>
      </c>
      <c r="L3418" t="s">
        <v>17</v>
      </c>
      <c r="M3418" t="s">
        <v>120</v>
      </c>
    </row>
    <row r="3419" spans="1:13" x14ac:dyDescent="0.2">
      <c r="A3419">
        <v>665400</v>
      </c>
      <c r="B3419" s="1">
        <v>45057</v>
      </c>
      <c r="C3419">
        <v>52977</v>
      </c>
      <c r="D3419" t="s">
        <v>25</v>
      </c>
      <c r="E3419" t="s">
        <v>70</v>
      </c>
      <c r="F3419" t="s">
        <v>71</v>
      </c>
      <c r="G3419">
        <v>5</v>
      </c>
      <c r="H3419">
        <v>89.99</v>
      </c>
      <c r="J3419">
        <v>449.95</v>
      </c>
      <c r="K3419" t="s">
        <v>36</v>
      </c>
      <c r="L3419" t="s">
        <v>37</v>
      </c>
      <c r="M3419" t="s">
        <v>28</v>
      </c>
    </row>
    <row r="3420" spans="1:13" x14ac:dyDescent="0.2">
      <c r="A3420">
        <v>665594</v>
      </c>
      <c r="B3420" s="1">
        <v>45031</v>
      </c>
      <c r="C3420">
        <v>24507</v>
      </c>
      <c r="D3420" t="s">
        <v>82</v>
      </c>
      <c r="E3420" t="s">
        <v>100</v>
      </c>
      <c r="F3420" t="s">
        <v>101</v>
      </c>
      <c r="G3420">
        <v>4</v>
      </c>
      <c r="H3420">
        <v>20.69</v>
      </c>
      <c r="I3420">
        <v>0.1</v>
      </c>
      <c r="J3420">
        <v>74.48</v>
      </c>
      <c r="K3420" t="s">
        <v>53</v>
      </c>
      <c r="L3420" t="s">
        <v>17</v>
      </c>
      <c r="M3420" t="s">
        <v>123</v>
      </c>
    </row>
    <row r="3421" spans="1:13" x14ac:dyDescent="0.2">
      <c r="A3421">
        <v>665877</v>
      </c>
      <c r="B3421" s="2">
        <v>45135</v>
      </c>
      <c r="C3421">
        <v>75509</v>
      </c>
      <c r="D3421" t="s">
        <v>82</v>
      </c>
      <c r="E3421" t="s">
        <v>155</v>
      </c>
      <c r="F3421" t="s">
        <v>156</v>
      </c>
      <c r="G3421">
        <v>2</v>
      </c>
      <c r="H3421">
        <v>16.989999999999998</v>
      </c>
      <c r="I3421">
        <v>0.15</v>
      </c>
      <c r="J3421">
        <v>28.88</v>
      </c>
      <c r="K3421" t="s">
        <v>53</v>
      </c>
      <c r="L3421" t="s">
        <v>17</v>
      </c>
      <c r="M3421" t="s">
        <v>18</v>
      </c>
    </row>
    <row r="3422" spans="1:13" x14ac:dyDescent="0.2">
      <c r="A3422">
        <v>665979</v>
      </c>
      <c r="B3422" s="1">
        <v>44652</v>
      </c>
      <c r="C3422">
        <v>76046</v>
      </c>
      <c r="D3422" t="s">
        <v>25</v>
      </c>
      <c r="E3422" t="s">
        <v>26</v>
      </c>
      <c r="F3422" t="s">
        <v>27</v>
      </c>
      <c r="G3422">
        <v>2</v>
      </c>
      <c r="H3422">
        <v>27.99</v>
      </c>
      <c r="I3422">
        <v>0.2</v>
      </c>
      <c r="J3422">
        <v>44.78</v>
      </c>
      <c r="K3422" t="s">
        <v>16</v>
      </c>
      <c r="L3422" t="s">
        <v>37</v>
      </c>
      <c r="M3422" t="s">
        <v>33</v>
      </c>
    </row>
    <row r="3423" spans="1:13" x14ac:dyDescent="0.2">
      <c r="A3423">
        <v>666057</v>
      </c>
      <c r="B3423" s="1">
        <v>45274</v>
      </c>
      <c r="C3423">
        <v>39351</v>
      </c>
      <c r="D3423" t="s">
        <v>40</v>
      </c>
      <c r="E3423" t="s">
        <v>58</v>
      </c>
      <c r="F3423" t="s">
        <v>59</v>
      </c>
      <c r="G3423">
        <v>2</v>
      </c>
      <c r="H3423">
        <v>3.99</v>
      </c>
      <c r="J3423">
        <v>7.98</v>
      </c>
      <c r="K3423" t="s">
        <v>22</v>
      </c>
      <c r="L3423" t="s">
        <v>17</v>
      </c>
      <c r="M3423" t="s">
        <v>47</v>
      </c>
    </row>
    <row r="3424" spans="1:13" x14ac:dyDescent="0.2">
      <c r="A3424">
        <v>666076</v>
      </c>
      <c r="B3424" s="1">
        <v>45586</v>
      </c>
      <c r="C3424">
        <v>60231</v>
      </c>
      <c r="D3424" t="s">
        <v>63</v>
      </c>
      <c r="E3424" t="s">
        <v>68</v>
      </c>
      <c r="F3424" t="s">
        <v>69</v>
      </c>
      <c r="G3424">
        <v>5</v>
      </c>
      <c r="H3424">
        <v>22.49</v>
      </c>
      <c r="I3424">
        <v>0.1</v>
      </c>
      <c r="J3424">
        <v>101.2</v>
      </c>
      <c r="K3424" t="s">
        <v>16</v>
      </c>
      <c r="L3424" t="s">
        <v>37</v>
      </c>
      <c r="M3424" t="s">
        <v>76</v>
      </c>
    </row>
    <row r="3425" spans="1:13" x14ac:dyDescent="0.2">
      <c r="A3425">
        <v>666225</v>
      </c>
      <c r="B3425" s="1">
        <v>45340</v>
      </c>
      <c r="C3425">
        <v>93136</v>
      </c>
      <c r="D3425" t="s">
        <v>25</v>
      </c>
      <c r="E3425" t="s">
        <v>70</v>
      </c>
      <c r="F3425" t="s">
        <v>71</v>
      </c>
      <c r="G3425">
        <v>1</v>
      </c>
      <c r="H3425">
        <v>62.99</v>
      </c>
      <c r="I3425">
        <v>0.3</v>
      </c>
      <c r="J3425">
        <v>44.09</v>
      </c>
      <c r="K3425" t="s">
        <v>16</v>
      </c>
      <c r="L3425" t="s">
        <v>17</v>
      </c>
      <c r="M3425" t="s">
        <v>67</v>
      </c>
    </row>
    <row r="3426" spans="1:13" x14ac:dyDescent="0.2">
      <c r="A3426">
        <v>666362</v>
      </c>
      <c r="B3426" s="1">
        <v>44852</v>
      </c>
      <c r="C3426">
        <v>54208</v>
      </c>
      <c r="D3426" t="s">
        <v>25</v>
      </c>
      <c r="E3426" t="s">
        <v>51</v>
      </c>
      <c r="F3426" t="s">
        <v>52</v>
      </c>
      <c r="G3426">
        <v>1</v>
      </c>
      <c r="H3426">
        <v>19.59</v>
      </c>
      <c r="I3426">
        <v>0.3</v>
      </c>
      <c r="J3426">
        <v>13.71</v>
      </c>
      <c r="K3426" t="s">
        <v>16</v>
      </c>
      <c r="L3426" t="s">
        <v>17</v>
      </c>
      <c r="M3426" t="s">
        <v>67</v>
      </c>
    </row>
    <row r="3427" spans="1:13" x14ac:dyDescent="0.2">
      <c r="A3427">
        <v>666432</v>
      </c>
      <c r="B3427" s="1">
        <v>45172</v>
      </c>
      <c r="C3427">
        <v>68239</v>
      </c>
      <c r="D3427" t="s">
        <v>85</v>
      </c>
      <c r="E3427" t="s">
        <v>137</v>
      </c>
      <c r="F3427" t="s">
        <v>138</v>
      </c>
      <c r="G3427">
        <v>5</v>
      </c>
      <c r="H3427">
        <v>6.39</v>
      </c>
      <c r="I3427">
        <v>0.2</v>
      </c>
      <c r="J3427">
        <v>25.56</v>
      </c>
      <c r="K3427" t="s">
        <v>36</v>
      </c>
      <c r="L3427" t="s">
        <v>17</v>
      </c>
      <c r="M3427" t="s">
        <v>54</v>
      </c>
    </row>
    <row r="3428" spans="1:13" x14ac:dyDescent="0.2">
      <c r="A3428">
        <v>666551</v>
      </c>
      <c r="B3428" s="1">
        <v>45297</v>
      </c>
      <c r="C3428">
        <v>29669</v>
      </c>
      <c r="D3428" t="s">
        <v>44</v>
      </c>
      <c r="E3428" t="s">
        <v>177</v>
      </c>
      <c r="F3428" t="s">
        <v>178</v>
      </c>
      <c r="G3428">
        <v>3</v>
      </c>
      <c r="H3428">
        <v>10.19</v>
      </c>
      <c r="I3428">
        <v>0.15</v>
      </c>
      <c r="J3428">
        <v>25.98</v>
      </c>
      <c r="K3428" t="s">
        <v>95</v>
      </c>
      <c r="L3428" t="s">
        <v>17</v>
      </c>
      <c r="M3428" t="s">
        <v>28</v>
      </c>
    </row>
    <row r="3429" spans="1:13" x14ac:dyDescent="0.2">
      <c r="A3429">
        <v>667152</v>
      </c>
      <c r="B3429" s="1">
        <v>45089</v>
      </c>
      <c r="C3429">
        <v>56290</v>
      </c>
      <c r="D3429" t="s">
        <v>29</v>
      </c>
      <c r="E3429" t="s">
        <v>72</v>
      </c>
      <c r="F3429" t="s">
        <v>73</v>
      </c>
      <c r="G3429">
        <v>5</v>
      </c>
      <c r="H3429">
        <v>37.99</v>
      </c>
      <c r="I3429">
        <v>0.05</v>
      </c>
      <c r="J3429">
        <v>180.45</v>
      </c>
      <c r="K3429" t="s">
        <v>16</v>
      </c>
      <c r="L3429" t="s">
        <v>17</v>
      </c>
      <c r="M3429" t="s">
        <v>117</v>
      </c>
    </row>
    <row r="3430" spans="1:13" x14ac:dyDescent="0.2">
      <c r="A3430">
        <v>667423</v>
      </c>
      <c r="B3430" s="2">
        <v>44564</v>
      </c>
      <c r="D3430" t="s">
        <v>44</v>
      </c>
      <c r="E3430" t="s">
        <v>162</v>
      </c>
      <c r="F3430" t="s">
        <v>163</v>
      </c>
      <c r="G3430">
        <v>1</v>
      </c>
      <c r="H3430">
        <v>5.99</v>
      </c>
      <c r="I3430">
        <v>0.25</v>
      </c>
      <c r="J3430">
        <v>4.49</v>
      </c>
      <c r="K3430" t="s">
        <v>22</v>
      </c>
      <c r="L3430" t="s">
        <v>23</v>
      </c>
      <c r="M3430" t="s">
        <v>43</v>
      </c>
    </row>
    <row r="3431" spans="1:13" x14ac:dyDescent="0.2">
      <c r="A3431">
        <v>667453</v>
      </c>
      <c r="B3431" s="1">
        <v>45081</v>
      </c>
      <c r="D3431" t="s">
        <v>29</v>
      </c>
      <c r="E3431" t="s">
        <v>175</v>
      </c>
      <c r="F3431" t="s">
        <v>176</v>
      </c>
      <c r="G3431">
        <v>3</v>
      </c>
      <c r="H3431">
        <v>10.79</v>
      </c>
      <c r="I3431">
        <v>0.1</v>
      </c>
      <c r="J3431">
        <v>29.13</v>
      </c>
      <c r="K3431" t="s">
        <v>36</v>
      </c>
      <c r="L3431" t="s">
        <v>37</v>
      </c>
      <c r="M3431" t="s">
        <v>54</v>
      </c>
    </row>
    <row r="3432" spans="1:13" x14ac:dyDescent="0.2">
      <c r="A3432">
        <v>667607</v>
      </c>
      <c r="B3432" s="1">
        <v>44612</v>
      </c>
      <c r="C3432">
        <v>21092</v>
      </c>
      <c r="D3432" t="s">
        <v>97</v>
      </c>
      <c r="E3432" t="s">
        <v>141</v>
      </c>
      <c r="F3432" t="s">
        <v>142</v>
      </c>
      <c r="G3432">
        <v>1</v>
      </c>
      <c r="H3432">
        <v>22.99</v>
      </c>
      <c r="J3432">
        <v>22.99</v>
      </c>
      <c r="K3432" t="s">
        <v>36</v>
      </c>
      <c r="L3432" t="s">
        <v>17</v>
      </c>
      <c r="M3432" t="s">
        <v>81</v>
      </c>
    </row>
    <row r="3433" spans="1:13" x14ac:dyDescent="0.2">
      <c r="A3433">
        <v>667851</v>
      </c>
      <c r="B3433" s="1">
        <v>44575</v>
      </c>
      <c r="D3433" t="s">
        <v>63</v>
      </c>
      <c r="E3433" t="s">
        <v>131</v>
      </c>
      <c r="F3433" t="s">
        <v>132</v>
      </c>
      <c r="G3433">
        <v>1</v>
      </c>
      <c r="H3433">
        <v>2.79</v>
      </c>
      <c r="I3433">
        <v>0.2</v>
      </c>
      <c r="J3433">
        <v>2.23</v>
      </c>
      <c r="K3433" t="s">
        <v>53</v>
      </c>
      <c r="L3433" t="s">
        <v>37</v>
      </c>
      <c r="M3433" t="s">
        <v>43</v>
      </c>
    </row>
    <row r="3434" spans="1:13" x14ac:dyDescent="0.2">
      <c r="A3434">
        <v>668585</v>
      </c>
      <c r="B3434" s="1">
        <v>44841</v>
      </c>
      <c r="C3434">
        <v>73107</v>
      </c>
      <c r="D3434" t="s">
        <v>40</v>
      </c>
      <c r="E3434" t="s">
        <v>115</v>
      </c>
      <c r="F3434" t="s">
        <v>116</v>
      </c>
      <c r="G3434">
        <v>1</v>
      </c>
      <c r="H3434">
        <v>10.39</v>
      </c>
      <c r="I3434">
        <v>0.2</v>
      </c>
      <c r="J3434">
        <v>8.31</v>
      </c>
      <c r="K3434" t="s">
        <v>36</v>
      </c>
      <c r="L3434" t="s">
        <v>37</v>
      </c>
      <c r="M3434" t="s">
        <v>117</v>
      </c>
    </row>
    <row r="3435" spans="1:13" x14ac:dyDescent="0.2">
      <c r="A3435">
        <v>668664</v>
      </c>
      <c r="B3435" s="1">
        <v>44973</v>
      </c>
      <c r="C3435">
        <v>46047</v>
      </c>
      <c r="D3435" t="s">
        <v>44</v>
      </c>
      <c r="E3435" t="s">
        <v>93</v>
      </c>
      <c r="F3435" t="s">
        <v>94</v>
      </c>
      <c r="G3435">
        <v>1</v>
      </c>
      <c r="H3435">
        <v>0.97</v>
      </c>
      <c r="I3435">
        <v>0.25</v>
      </c>
      <c r="J3435">
        <v>0.73</v>
      </c>
      <c r="K3435" t="s">
        <v>36</v>
      </c>
      <c r="L3435" t="s">
        <v>17</v>
      </c>
      <c r="M3435" t="s">
        <v>120</v>
      </c>
    </row>
    <row r="3436" spans="1:13" x14ac:dyDescent="0.2">
      <c r="A3436">
        <v>668740</v>
      </c>
      <c r="B3436" s="2">
        <v>44582</v>
      </c>
      <c r="C3436">
        <v>32289</v>
      </c>
      <c r="D3436" t="s">
        <v>44</v>
      </c>
      <c r="E3436" t="s">
        <v>184</v>
      </c>
      <c r="F3436" t="s">
        <v>185</v>
      </c>
      <c r="G3436">
        <v>1</v>
      </c>
      <c r="H3436">
        <v>4.12</v>
      </c>
      <c r="I3436">
        <v>0.25</v>
      </c>
      <c r="J3436">
        <v>3.09</v>
      </c>
      <c r="K3436" t="s">
        <v>36</v>
      </c>
      <c r="L3436" t="s">
        <v>37</v>
      </c>
      <c r="M3436" t="s">
        <v>120</v>
      </c>
    </row>
    <row r="3437" spans="1:13" x14ac:dyDescent="0.2">
      <c r="A3437">
        <v>669101</v>
      </c>
      <c r="B3437" s="2">
        <v>45578</v>
      </c>
      <c r="C3437">
        <v>92168</v>
      </c>
      <c r="D3437" t="s">
        <v>29</v>
      </c>
      <c r="E3437" t="s">
        <v>175</v>
      </c>
      <c r="F3437" t="s">
        <v>176</v>
      </c>
      <c r="G3437">
        <v>3</v>
      </c>
      <c r="H3437">
        <v>10.19</v>
      </c>
      <c r="I3437">
        <v>0.15</v>
      </c>
      <c r="J3437">
        <v>25.98</v>
      </c>
      <c r="K3437" t="s">
        <v>22</v>
      </c>
      <c r="L3437" t="s">
        <v>37</v>
      </c>
      <c r="M3437" t="s">
        <v>102</v>
      </c>
    </row>
    <row r="3438" spans="1:13" x14ac:dyDescent="0.2">
      <c r="A3438">
        <v>669128</v>
      </c>
      <c r="B3438" s="1">
        <v>44924</v>
      </c>
      <c r="C3438">
        <v>99165</v>
      </c>
      <c r="D3438" t="s">
        <v>40</v>
      </c>
      <c r="E3438" t="s">
        <v>41</v>
      </c>
      <c r="F3438" t="s">
        <v>42</v>
      </c>
      <c r="G3438">
        <v>2</v>
      </c>
      <c r="H3438">
        <v>4.1900000000000004</v>
      </c>
      <c r="I3438">
        <v>0.3</v>
      </c>
      <c r="J3438">
        <v>5.87</v>
      </c>
      <c r="K3438" t="s">
        <v>22</v>
      </c>
      <c r="L3438" t="s">
        <v>17</v>
      </c>
      <c r="M3438" t="s">
        <v>43</v>
      </c>
    </row>
    <row r="3439" spans="1:13" x14ac:dyDescent="0.2">
      <c r="A3439">
        <v>669346</v>
      </c>
      <c r="B3439" s="2">
        <v>45494</v>
      </c>
      <c r="C3439">
        <v>62930</v>
      </c>
      <c r="D3439" t="s">
        <v>13</v>
      </c>
      <c r="E3439" t="s">
        <v>127</v>
      </c>
      <c r="F3439" t="s">
        <v>128</v>
      </c>
      <c r="G3439">
        <v>5</v>
      </c>
      <c r="H3439">
        <v>18.989999999999998</v>
      </c>
      <c r="J3439">
        <v>94.95</v>
      </c>
      <c r="K3439" t="s">
        <v>16</v>
      </c>
      <c r="L3439" t="s">
        <v>23</v>
      </c>
      <c r="M3439" t="s">
        <v>102</v>
      </c>
    </row>
    <row r="3440" spans="1:13" x14ac:dyDescent="0.2">
      <c r="A3440">
        <v>669488</v>
      </c>
      <c r="B3440" s="1">
        <v>44793</v>
      </c>
      <c r="C3440">
        <v>15453</v>
      </c>
      <c r="D3440" t="s">
        <v>40</v>
      </c>
      <c r="E3440" t="s">
        <v>58</v>
      </c>
      <c r="F3440" t="s">
        <v>59</v>
      </c>
      <c r="G3440">
        <v>1</v>
      </c>
      <c r="H3440">
        <v>3.99</v>
      </c>
      <c r="J3440">
        <v>3.99</v>
      </c>
      <c r="K3440" t="s">
        <v>32</v>
      </c>
      <c r="L3440" t="s">
        <v>17</v>
      </c>
      <c r="M3440" t="s">
        <v>24</v>
      </c>
    </row>
    <row r="3441" spans="1:13" x14ac:dyDescent="0.2">
      <c r="A3441">
        <v>669552</v>
      </c>
      <c r="B3441" s="1">
        <v>45044</v>
      </c>
      <c r="C3441">
        <v>59094</v>
      </c>
      <c r="D3441" t="s">
        <v>44</v>
      </c>
      <c r="E3441" t="s">
        <v>107</v>
      </c>
      <c r="F3441" t="s">
        <v>108</v>
      </c>
      <c r="G3441">
        <v>5</v>
      </c>
      <c r="H3441">
        <v>2.97</v>
      </c>
      <c r="I3441">
        <v>0.15</v>
      </c>
      <c r="J3441">
        <v>12.62</v>
      </c>
      <c r="K3441" t="s">
        <v>36</v>
      </c>
      <c r="L3441" t="s">
        <v>17</v>
      </c>
      <c r="M3441" t="s">
        <v>103</v>
      </c>
    </row>
    <row r="3442" spans="1:13" x14ac:dyDescent="0.2">
      <c r="A3442">
        <v>669827</v>
      </c>
      <c r="B3442" s="2">
        <v>45268</v>
      </c>
      <c r="C3442">
        <v>41300</v>
      </c>
      <c r="D3442" t="s">
        <v>40</v>
      </c>
      <c r="E3442" t="s">
        <v>58</v>
      </c>
      <c r="F3442" t="s">
        <v>59</v>
      </c>
      <c r="G3442">
        <v>2</v>
      </c>
      <c r="H3442">
        <v>3.39</v>
      </c>
      <c r="I3442">
        <v>0.15</v>
      </c>
      <c r="J3442">
        <v>5.76</v>
      </c>
      <c r="K3442" t="s">
        <v>53</v>
      </c>
      <c r="L3442" t="s">
        <v>23</v>
      </c>
      <c r="M3442" t="s">
        <v>161</v>
      </c>
    </row>
    <row r="3443" spans="1:13" x14ac:dyDescent="0.2">
      <c r="A3443">
        <v>669874</v>
      </c>
      <c r="B3443" s="2">
        <v>44979</v>
      </c>
      <c r="C3443">
        <v>41755</v>
      </c>
      <c r="D3443" t="s">
        <v>44</v>
      </c>
      <c r="E3443" t="s">
        <v>74</v>
      </c>
      <c r="F3443" t="s">
        <v>75</v>
      </c>
      <c r="G3443">
        <v>2</v>
      </c>
      <c r="H3443">
        <v>2.69</v>
      </c>
      <c r="I3443">
        <v>0.1</v>
      </c>
      <c r="J3443">
        <v>4.84</v>
      </c>
      <c r="K3443" t="s">
        <v>95</v>
      </c>
      <c r="L3443" t="s">
        <v>17</v>
      </c>
      <c r="M3443" t="s">
        <v>62</v>
      </c>
    </row>
    <row r="3444" spans="1:13" x14ac:dyDescent="0.2">
      <c r="A3444">
        <v>670006</v>
      </c>
      <c r="B3444" s="1">
        <v>45346</v>
      </c>
      <c r="C3444">
        <v>34979</v>
      </c>
      <c r="D3444" t="s">
        <v>40</v>
      </c>
      <c r="E3444" t="s">
        <v>41</v>
      </c>
      <c r="F3444" t="s">
        <v>42</v>
      </c>
      <c r="G3444">
        <v>2</v>
      </c>
      <c r="H3444">
        <v>5.99</v>
      </c>
      <c r="J3444">
        <v>11.98</v>
      </c>
      <c r="K3444" t="s">
        <v>36</v>
      </c>
      <c r="L3444" t="s">
        <v>17</v>
      </c>
      <c r="M3444" t="s">
        <v>76</v>
      </c>
    </row>
    <row r="3445" spans="1:13" x14ac:dyDescent="0.2">
      <c r="A3445">
        <v>670095</v>
      </c>
      <c r="B3445" s="2">
        <v>44745</v>
      </c>
      <c r="C3445">
        <v>50534</v>
      </c>
      <c r="D3445" t="s">
        <v>82</v>
      </c>
      <c r="E3445" t="s">
        <v>83</v>
      </c>
      <c r="F3445" t="s">
        <v>84</v>
      </c>
      <c r="G3445">
        <v>2</v>
      </c>
      <c r="H3445">
        <v>16.989999999999998</v>
      </c>
      <c r="J3445">
        <v>33.979999999999997</v>
      </c>
      <c r="K3445" t="s">
        <v>36</v>
      </c>
      <c r="L3445" t="s">
        <v>37</v>
      </c>
      <c r="M3445" t="s">
        <v>81</v>
      </c>
    </row>
    <row r="3446" spans="1:13" x14ac:dyDescent="0.2">
      <c r="A3446">
        <v>670452</v>
      </c>
      <c r="B3446" s="1">
        <v>45524</v>
      </c>
      <c r="C3446">
        <v>37890</v>
      </c>
      <c r="D3446" t="s">
        <v>82</v>
      </c>
      <c r="E3446" t="s">
        <v>83</v>
      </c>
      <c r="F3446" t="s">
        <v>84</v>
      </c>
      <c r="G3446">
        <v>1</v>
      </c>
      <c r="H3446">
        <v>16.989999999999998</v>
      </c>
      <c r="J3446">
        <v>16.989999999999998</v>
      </c>
      <c r="K3446" t="s">
        <v>16</v>
      </c>
      <c r="L3446" t="s">
        <v>37</v>
      </c>
      <c r="M3446" t="s">
        <v>67</v>
      </c>
    </row>
    <row r="3447" spans="1:13" x14ac:dyDescent="0.2">
      <c r="A3447">
        <v>671123</v>
      </c>
      <c r="B3447" s="2">
        <v>44622</v>
      </c>
      <c r="D3447" t="s">
        <v>48</v>
      </c>
      <c r="E3447" t="s">
        <v>139</v>
      </c>
      <c r="F3447" t="s">
        <v>140</v>
      </c>
      <c r="G3447">
        <v>3</v>
      </c>
      <c r="H3447">
        <v>6.39</v>
      </c>
      <c r="I3447">
        <v>0.2</v>
      </c>
      <c r="J3447">
        <v>15.34</v>
      </c>
      <c r="K3447" t="s">
        <v>36</v>
      </c>
      <c r="L3447" t="s">
        <v>17</v>
      </c>
      <c r="M3447" t="s">
        <v>54</v>
      </c>
    </row>
    <row r="3448" spans="1:13" x14ac:dyDescent="0.2">
      <c r="A3448">
        <v>671279</v>
      </c>
      <c r="B3448" s="1">
        <v>44859</v>
      </c>
      <c r="C3448">
        <v>31325</v>
      </c>
      <c r="D3448" t="s">
        <v>13</v>
      </c>
      <c r="E3448" t="s">
        <v>186</v>
      </c>
      <c r="F3448" t="s">
        <v>187</v>
      </c>
      <c r="G3448">
        <v>2</v>
      </c>
      <c r="H3448">
        <v>42.49</v>
      </c>
      <c r="I3448">
        <v>0.15</v>
      </c>
      <c r="J3448">
        <v>72.23</v>
      </c>
      <c r="K3448" t="s">
        <v>16</v>
      </c>
      <c r="L3448" t="s">
        <v>17</v>
      </c>
      <c r="M3448" t="s">
        <v>18</v>
      </c>
    </row>
    <row r="3449" spans="1:13" x14ac:dyDescent="0.2">
      <c r="A3449">
        <v>671403</v>
      </c>
      <c r="B3449" s="1">
        <v>45032</v>
      </c>
      <c r="C3449">
        <v>44493</v>
      </c>
      <c r="D3449" t="s">
        <v>40</v>
      </c>
      <c r="E3449" t="s">
        <v>41</v>
      </c>
      <c r="F3449" t="s">
        <v>42</v>
      </c>
      <c r="G3449">
        <v>1</v>
      </c>
      <c r="H3449">
        <v>5.99</v>
      </c>
      <c r="J3449">
        <v>5.99</v>
      </c>
      <c r="K3449" t="s">
        <v>53</v>
      </c>
      <c r="L3449" t="s">
        <v>23</v>
      </c>
      <c r="M3449" t="s">
        <v>76</v>
      </c>
    </row>
    <row r="3450" spans="1:13" x14ac:dyDescent="0.2">
      <c r="A3450">
        <v>671692</v>
      </c>
      <c r="B3450" s="1">
        <v>45351</v>
      </c>
      <c r="C3450">
        <v>59168</v>
      </c>
      <c r="D3450" t="s">
        <v>97</v>
      </c>
      <c r="E3450" t="s">
        <v>135</v>
      </c>
      <c r="F3450" t="s">
        <v>136</v>
      </c>
      <c r="G3450">
        <v>4</v>
      </c>
      <c r="H3450">
        <v>7.49</v>
      </c>
      <c r="I3450">
        <v>0.25</v>
      </c>
      <c r="J3450">
        <v>22.47</v>
      </c>
      <c r="K3450" t="s">
        <v>16</v>
      </c>
      <c r="L3450" t="s">
        <v>37</v>
      </c>
      <c r="M3450" t="s">
        <v>81</v>
      </c>
    </row>
    <row r="3451" spans="1:13" x14ac:dyDescent="0.2">
      <c r="A3451">
        <v>671775</v>
      </c>
      <c r="B3451" s="1">
        <v>45129</v>
      </c>
      <c r="C3451">
        <v>82364</v>
      </c>
      <c r="D3451" t="s">
        <v>48</v>
      </c>
      <c r="E3451" t="s">
        <v>109</v>
      </c>
      <c r="F3451" t="s">
        <v>110</v>
      </c>
      <c r="G3451">
        <v>2</v>
      </c>
      <c r="H3451">
        <v>5.24</v>
      </c>
      <c r="I3451">
        <v>0.25</v>
      </c>
      <c r="J3451">
        <v>7.86</v>
      </c>
      <c r="K3451" t="s">
        <v>22</v>
      </c>
      <c r="L3451" t="s">
        <v>17</v>
      </c>
      <c r="M3451" t="s">
        <v>102</v>
      </c>
    </row>
    <row r="3452" spans="1:13" x14ac:dyDescent="0.2">
      <c r="A3452">
        <v>671805</v>
      </c>
      <c r="B3452" s="1">
        <v>45048</v>
      </c>
      <c r="C3452">
        <v>84435</v>
      </c>
      <c r="D3452" t="s">
        <v>29</v>
      </c>
      <c r="E3452" t="s">
        <v>88</v>
      </c>
      <c r="F3452" t="s">
        <v>89</v>
      </c>
      <c r="G3452">
        <v>1</v>
      </c>
      <c r="H3452">
        <v>34.99</v>
      </c>
      <c r="I3452">
        <v>0.3</v>
      </c>
      <c r="J3452">
        <v>24.49</v>
      </c>
      <c r="K3452" t="s">
        <v>36</v>
      </c>
      <c r="L3452" t="s">
        <v>17</v>
      </c>
      <c r="M3452" t="s">
        <v>43</v>
      </c>
    </row>
    <row r="3453" spans="1:13" x14ac:dyDescent="0.2">
      <c r="A3453">
        <v>671852</v>
      </c>
      <c r="B3453" s="2">
        <v>45638</v>
      </c>
      <c r="C3453">
        <v>98419</v>
      </c>
      <c r="D3453" t="s">
        <v>85</v>
      </c>
      <c r="E3453" t="s">
        <v>149</v>
      </c>
      <c r="F3453" t="s">
        <v>150</v>
      </c>
      <c r="G3453">
        <v>4</v>
      </c>
      <c r="H3453">
        <v>13.99</v>
      </c>
      <c r="I3453">
        <v>0.3</v>
      </c>
      <c r="J3453">
        <v>39.17</v>
      </c>
      <c r="K3453" t="s">
        <v>16</v>
      </c>
      <c r="L3453" t="s">
        <v>17</v>
      </c>
      <c r="M3453" t="s">
        <v>102</v>
      </c>
    </row>
    <row r="3454" spans="1:13" x14ac:dyDescent="0.2">
      <c r="A3454">
        <v>672133</v>
      </c>
      <c r="B3454" s="2">
        <v>44795</v>
      </c>
      <c r="C3454">
        <v>70505</v>
      </c>
      <c r="D3454" t="s">
        <v>29</v>
      </c>
      <c r="E3454" t="s">
        <v>38</v>
      </c>
      <c r="F3454" t="s">
        <v>39</v>
      </c>
      <c r="G3454">
        <v>2</v>
      </c>
      <c r="H3454">
        <v>28.49</v>
      </c>
      <c r="I3454">
        <v>0.05</v>
      </c>
      <c r="J3454">
        <v>54.13</v>
      </c>
      <c r="K3454" t="s">
        <v>16</v>
      </c>
      <c r="L3454" t="s">
        <v>37</v>
      </c>
      <c r="M3454" t="s">
        <v>62</v>
      </c>
    </row>
    <row r="3455" spans="1:13" x14ac:dyDescent="0.2">
      <c r="A3455">
        <v>672433</v>
      </c>
      <c r="B3455" s="2">
        <v>45369</v>
      </c>
      <c r="C3455">
        <v>42633</v>
      </c>
      <c r="D3455" t="s">
        <v>82</v>
      </c>
      <c r="E3455" t="s">
        <v>168</v>
      </c>
      <c r="F3455" t="s">
        <v>169</v>
      </c>
      <c r="G3455">
        <v>5</v>
      </c>
      <c r="H3455">
        <v>7.19</v>
      </c>
      <c r="I3455">
        <v>0.2</v>
      </c>
      <c r="J3455">
        <v>28.76</v>
      </c>
      <c r="K3455" t="s">
        <v>36</v>
      </c>
      <c r="L3455" t="s">
        <v>37</v>
      </c>
      <c r="M3455" t="s">
        <v>76</v>
      </c>
    </row>
    <row r="3456" spans="1:13" x14ac:dyDescent="0.2">
      <c r="A3456">
        <v>672555</v>
      </c>
      <c r="B3456" s="1">
        <v>44855</v>
      </c>
      <c r="C3456">
        <v>44389</v>
      </c>
      <c r="D3456" t="s">
        <v>48</v>
      </c>
      <c r="E3456" t="s">
        <v>109</v>
      </c>
      <c r="F3456" t="s">
        <v>110</v>
      </c>
      <c r="G3456">
        <v>2</v>
      </c>
      <c r="H3456">
        <v>5.94</v>
      </c>
      <c r="I3456">
        <v>0.15</v>
      </c>
      <c r="J3456">
        <v>10.1</v>
      </c>
      <c r="K3456" t="s">
        <v>16</v>
      </c>
      <c r="L3456" t="s">
        <v>37</v>
      </c>
      <c r="M3456" t="s">
        <v>54</v>
      </c>
    </row>
    <row r="3457" spans="1:13" x14ac:dyDescent="0.2">
      <c r="A3457">
        <v>672612</v>
      </c>
      <c r="B3457" s="1">
        <v>45009</v>
      </c>
      <c r="C3457">
        <v>37494</v>
      </c>
      <c r="D3457" t="s">
        <v>25</v>
      </c>
      <c r="E3457" t="s">
        <v>26</v>
      </c>
      <c r="F3457" t="s">
        <v>27</v>
      </c>
      <c r="G3457">
        <v>2</v>
      </c>
      <c r="H3457">
        <v>33.24</v>
      </c>
      <c r="I3457">
        <v>0.05</v>
      </c>
      <c r="J3457">
        <v>63.16</v>
      </c>
      <c r="K3457" t="s">
        <v>16</v>
      </c>
      <c r="L3457" t="s">
        <v>17</v>
      </c>
      <c r="M3457" t="s">
        <v>161</v>
      </c>
    </row>
    <row r="3458" spans="1:13" x14ac:dyDescent="0.2">
      <c r="A3458">
        <v>672716</v>
      </c>
      <c r="B3458" s="2">
        <v>45585</v>
      </c>
      <c r="C3458">
        <v>13448</v>
      </c>
      <c r="D3458" t="s">
        <v>29</v>
      </c>
      <c r="E3458" t="s">
        <v>72</v>
      </c>
      <c r="F3458" t="s">
        <v>73</v>
      </c>
      <c r="G3458">
        <v>2</v>
      </c>
      <c r="H3458">
        <v>35.99</v>
      </c>
      <c r="I3458">
        <v>0.1</v>
      </c>
      <c r="J3458">
        <v>64.78</v>
      </c>
      <c r="K3458" t="s">
        <v>32</v>
      </c>
      <c r="L3458" t="s">
        <v>17</v>
      </c>
      <c r="M3458" t="s">
        <v>47</v>
      </c>
    </row>
    <row r="3459" spans="1:13" x14ac:dyDescent="0.2">
      <c r="A3459">
        <v>672875</v>
      </c>
      <c r="B3459" s="1">
        <v>45608</v>
      </c>
      <c r="C3459">
        <v>57730</v>
      </c>
      <c r="D3459" t="s">
        <v>48</v>
      </c>
      <c r="E3459" t="s">
        <v>139</v>
      </c>
      <c r="F3459" t="s">
        <v>140</v>
      </c>
      <c r="G3459">
        <v>2</v>
      </c>
      <c r="H3459">
        <v>7.99</v>
      </c>
      <c r="J3459">
        <v>15.98</v>
      </c>
      <c r="K3459" t="s">
        <v>22</v>
      </c>
      <c r="L3459" t="s">
        <v>23</v>
      </c>
      <c r="M3459" t="s">
        <v>18</v>
      </c>
    </row>
    <row r="3460" spans="1:13" x14ac:dyDescent="0.2">
      <c r="A3460">
        <v>672880</v>
      </c>
      <c r="B3460" s="1">
        <v>45083</v>
      </c>
      <c r="C3460">
        <v>59609</v>
      </c>
      <c r="D3460" t="s">
        <v>13</v>
      </c>
      <c r="E3460" t="s">
        <v>104</v>
      </c>
      <c r="F3460" t="s">
        <v>105</v>
      </c>
      <c r="G3460">
        <v>1</v>
      </c>
      <c r="H3460">
        <v>23.99</v>
      </c>
      <c r="I3460">
        <v>0.2</v>
      </c>
      <c r="J3460">
        <v>19.190000000000001</v>
      </c>
      <c r="K3460" t="s">
        <v>22</v>
      </c>
      <c r="L3460" t="s">
        <v>17</v>
      </c>
      <c r="M3460" t="s">
        <v>102</v>
      </c>
    </row>
    <row r="3461" spans="1:13" x14ac:dyDescent="0.2">
      <c r="A3461">
        <v>672925</v>
      </c>
      <c r="B3461" s="1">
        <v>45579</v>
      </c>
      <c r="C3461">
        <v>45652</v>
      </c>
      <c r="D3461" t="s">
        <v>44</v>
      </c>
      <c r="E3461" t="s">
        <v>107</v>
      </c>
      <c r="F3461" t="s">
        <v>108</v>
      </c>
      <c r="G3461">
        <v>2</v>
      </c>
      <c r="H3461">
        <v>3.49</v>
      </c>
      <c r="J3461">
        <v>6.98</v>
      </c>
      <c r="K3461" t="s">
        <v>36</v>
      </c>
      <c r="L3461" t="s">
        <v>17</v>
      </c>
      <c r="M3461" t="s">
        <v>62</v>
      </c>
    </row>
    <row r="3462" spans="1:13" x14ac:dyDescent="0.2">
      <c r="A3462">
        <v>674035</v>
      </c>
      <c r="B3462" s="1">
        <v>45267</v>
      </c>
      <c r="C3462">
        <v>78748</v>
      </c>
      <c r="D3462" t="s">
        <v>40</v>
      </c>
      <c r="E3462" t="s">
        <v>20</v>
      </c>
      <c r="F3462" t="s">
        <v>21</v>
      </c>
      <c r="G3462">
        <v>4</v>
      </c>
      <c r="H3462">
        <v>7.49</v>
      </c>
      <c r="I3462">
        <v>0.25</v>
      </c>
      <c r="J3462">
        <v>22.47</v>
      </c>
      <c r="K3462" t="s">
        <v>36</v>
      </c>
      <c r="L3462" t="s">
        <v>17</v>
      </c>
      <c r="M3462" t="s">
        <v>102</v>
      </c>
    </row>
    <row r="3463" spans="1:13" x14ac:dyDescent="0.2">
      <c r="A3463">
        <v>674048</v>
      </c>
      <c r="B3463" s="1">
        <v>44618</v>
      </c>
      <c r="C3463">
        <v>36082</v>
      </c>
      <c r="D3463" t="s">
        <v>13</v>
      </c>
      <c r="E3463" t="s">
        <v>127</v>
      </c>
      <c r="F3463" t="s">
        <v>128</v>
      </c>
      <c r="G3463">
        <v>4</v>
      </c>
      <c r="H3463">
        <v>19.989999999999998</v>
      </c>
      <c r="J3463">
        <v>79.959999999999994</v>
      </c>
      <c r="K3463" t="s">
        <v>22</v>
      </c>
      <c r="L3463" t="s">
        <v>17</v>
      </c>
      <c r="M3463" t="s">
        <v>102</v>
      </c>
    </row>
    <row r="3464" spans="1:13" x14ac:dyDescent="0.2">
      <c r="A3464">
        <v>674237</v>
      </c>
      <c r="B3464" s="1">
        <v>45433</v>
      </c>
      <c r="C3464">
        <v>29722</v>
      </c>
      <c r="D3464" t="s">
        <v>13</v>
      </c>
      <c r="E3464" t="s">
        <v>127</v>
      </c>
      <c r="F3464" t="s">
        <v>128</v>
      </c>
      <c r="G3464">
        <v>1</v>
      </c>
      <c r="H3464">
        <v>19.989999999999998</v>
      </c>
      <c r="J3464">
        <v>19.989999999999998</v>
      </c>
      <c r="K3464" t="s">
        <v>36</v>
      </c>
      <c r="L3464" t="s">
        <v>17</v>
      </c>
      <c r="M3464" t="s">
        <v>28</v>
      </c>
    </row>
    <row r="3465" spans="1:13" x14ac:dyDescent="0.2">
      <c r="A3465">
        <v>674240</v>
      </c>
      <c r="B3465" s="1">
        <v>45631</v>
      </c>
      <c r="C3465">
        <v>36741</v>
      </c>
      <c r="D3465" t="s">
        <v>40</v>
      </c>
      <c r="E3465" t="s">
        <v>20</v>
      </c>
      <c r="F3465" t="s">
        <v>21</v>
      </c>
      <c r="G3465">
        <v>1</v>
      </c>
      <c r="H3465">
        <v>7.49</v>
      </c>
      <c r="I3465">
        <v>0.25</v>
      </c>
      <c r="J3465">
        <v>5.62</v>
      </c>
      <c r="K3465" t="s">
        <v>16</v>
      </c>
      <c r="L3465" t="s">
        <v>17</v>
      </c>
      <c r="M3465" t="s">
        <v>90</v>
      </c>
    </row>
    <row r="3466" spans="1:13" x14ac:dyDescent="0.2">
      <c r="A3466">
        <v>674355</v>
      </c>
      <c r="B3466" s="1">
        <v>45093</v>
      </c>
      <c r="C3466">
        <v>40498</v>
      </c>
      <c r="D3466" t="s">
        <v>82</v>
      </c>
      <c r="E3466" t="s">
        <v>100</v>
      </c>
      <c r="F3466" t="s">
        <v>101</v>
      </c>
      <c r="G3466">
        <v>1</v>
      </c>
      <c r="H3466">
        <v>16.09</v>
      </c>
      <c r="I3466">
        <v>0.3</v>
      </c>
      <c r="J3466">
        <v>11.26</v>
      </c>
      <c r="K3466" t="s">
        <v>36</v>
      </c>
      <c r="L3466" t="s">
        <v>23</v>
      </c>
      <c r="M3466" t="s">
        <v>67</v>
      </c>
    </row>
    <row r="3467" spans="1:13" x14ac:dyDescent="0.2">
      <c r="A3467">
        <v>674416</v>
      </c>
      <c r="B3467" s="1">
        <v>45611</v>
      </c>
      <c r="C3467">
        <v>92913</v>
      </c>
      <c r="D3467" t="s">
        <v>44</v>
      </c>
      <c r="E3467" t="s">
        <v>177</v>
      </c>
      <c r="F3467" t="s">
        <v>178</v>
      </c>
      <c r="G3467">
        <v>4</v>
      </c>
      <c r="H3467">
        <v>10.79</v>
      </c>
      <c r="I3467">
        <v>0.1</v>
      </c>
      <c r="J3467">
        <v>38.840000000000003</v>
      </c>
      <c r="K3467" t="s">
        <v>95</v>
      </c>
      <c r="L3467" t="s">
        <v>37</v>
      </c>
      <c r="M3467" t="s">
        <v>33</v>
      </c>
    </row>
    <row r="3468" spans="1:13" x14ac:dyDescent="0.2">
      <c r="A3468">
        <v>674529</v>
      </c>
      <c r="B3468" s="1">
        <v>45657</v>
      </c>
      <c r="C3468">
        <v>47942</v>
      </c>
      <c r="D3468" t="s">
        <v>13</v>
      </c>
      <c r="E3468" t="s">
        <v>79</v>
      </c>
      <c r="F3468" t="s">
        <v>80</v>
      </c>
      <c r="G3468">
        <v>3</v>
      </c>
      <c r="H3468">
        <v>62.99</v>
      </c>
      <c r="I3468">
        <v>0.3</v>
      </c>
      <c r="J3468">
        <v>132.28</v>
      </c>
      <c r="K3468" t="s">
        <v>16</v>
      </c>
      <c r="L3468" t="s">
        <v>37</v>
      </c>
      <c r="M3468" t="s">
        <v>120</v>
      </c>
    </row>
    <row r="3469" spans="1:13" x14ac:dyDescent="0.2">
      <c r="A3469">
        <v>674590</v>
      </c>
      <c r="B3469" s="1">
        <v>45025</v>
      </c>
      <c r="C3469">
        <v>69377</v>
      </c>
      <c r="D3469" t="s">
        <v>29</v>
      </c>
      <c r="E3469" t="s">
        <v>88</v>
      </c>
      <c r="F3469" t="s">
        <v>89</v>
      </c>
      <c r="G3469">
        <v>2</v>
      </c>
      <c r="H3469">
        <v>47.49</v>
      </c>
      <c r="J3469">
        <v>94.98</v>
      </c>
      <c r="K3469" t="s">
        <v>36</v>
      </c>
      <c r="L3469" t="s">
        <v>37</v>
      </c>
      <c r="M3469" t="s">
        <v>123</v>
      </c>
    </row>
    <row r="3470" spans="1:13" x14ac:dyDescent="0.2">
      <c r="A3470">
        <v>674686</v>
      </c>
      <c r="B3470" s="1">
        <v>45313</v>
      </c>
      <c r="C3470">
        <v>31582</v>
      </c>
      <c r="D3470" t="s">
        <v>13</v>
      </c>
      <c r="E3470" t="s">
        <v>34</v>
      </c>
      <c r="F3470" t="s">
        <v>35</v>
      </c>
      <c r="G3470">
        <v>3</v>
      </c>
      <c r="H3470">
        <v>34.99</v>
      </c>
      <c r="J3470">
        <v>104.97</v>
      </c>
      <c r="K3470" t="s">
        <v>36</v>
      </c>
      <c r="L3470" t="s">
        <v>17</v>
      </c>
      <c r="M3470" t="s">
        <v>120</v>
      </c>
    </row>
    <row r="3471" spans="1:13" x14ac:dyDescent="0.2">
      <c r="A3471">
        <v>674691</v>
      </c>
      <c r="B3471" s="1">
        <v>45556</v>
      </c>
      <c r="C3471">
        <v>61495</v>
      </c>
      <c r="D3471" t="s">
        <v>29</v>
      </c>
      <c r="E3471" t="s">
        <v>72</v>
      </c>
      <c r="F3471" t="s">
        <v>73</v>
      </c>
      <c r="G3471">
        <v>3</v>
      </c>
      <c r="H3471">
        <v>35.99</v>
      </c>
      <c r="I3471">
        <v>0.1</v>
      </c>
      <c r="J3471">
        <v>97.17</v>
      </c>
      <c r="K3471" t="s">
        <v>36</v>
      </c>
      <c r="L3471" t="s">
        <v>23</v>
      </c>
      <c r="M3471" t="s">
        <v>62</v>
      </c>
    </row>
    <row r="3472" spans="1:13" x14ac:dyDescent="0.2">
      <c r="A3472">
        <v>674704</v>
      </c>
      <c r="B3472" s="1">
        <v>45608</v>
      </c>
      <c r="C3472">
        <v>42420</v>
      </c>
      <c r="D3472" t="s">
        <v>97</v>
      </c>
      <c r="E3472" t="s">
        <v>165</v>
      </c>
      <c r="F3472" t="s">
        <v>166</v>
      </c>
      <c r="G3472">
        <v>2</v>
      </c>
      <c r="H3472">
        <v>89.99</v>
      </c>
      <c r="J3472">
        <v>179.98</v>
      </c>
      <c r="K3472" t="s">
        <v>36</v>
      </c>
      <c r="L3472" t="s">
        <v>23</v>
      </c>
      <c r="M3472" t="s">
        <v>28</v>
      </c>
    </row>
    <row r="3473" spans="1:13" x14ac:dyDescent="0.2">
      <c r="A3473">
        <v>675046</v>
      </c>
      <c r="B3473" s="1">
        <v>44737</v>
      </c>
      <c r="C3473">
        <v>91674</v>
      </c>
      <c r="D3473" t="s">
        <v>82</v>
      </c>
      <c r="E3473" t="s">
        <v>168</v>
      </c>
      <c r="F3473" t="s">
        <v>169</v>
      </c>
      <c r="G3473">
        <v>4</v>
      </c>
      <c r="H3473">
        <v>8.99</v>
      </c>
      <c r="J3473">
        <v>35.96</v>
      </c>
      <c r="K3473" t="s">
        <v>36</v>
      </c>
      <c r="L3473" t="s">
        <v>17</v>
      </c>
      <c r="M3473" t="s">
        <v>67</v>
      </c>
    </row>
    <row r="3474" spans="1:13" x14ac:dyDescent="0.2">
      <c r="A3474">
        <v>675189</v>
      </c>
      <c r="B3474" s="1">
        <v>44566</v>
      </c>
      <c r="C3474">
        <v>62862</v>
      </c>
      <c r="D3474" t="s">
        <v>85</v>
      </c>
      <c r="E3474" t="s">
        <v>157</v>
      </c>
      <c r="F3474" t="s">
        <v>158</v>
      </c>
      <c r="G3474">
        <v>1</v>
      </c>
      <c r="H3474">
        <v>13.49</v>
      </c>
      <c r="J3474">
        <v>13.49</v>
      </c>
      <c r="K3474" t="s">
        <v>16</v>
      </c>
      <c r="L3474" t="s">
        <v>17</v>
      </c>
      <c r="M3474" t="s">
        <v>120</v>
      </c>
    </row>
    <row r="3475" spans="1:13" x14ac:dyDescent="0.2">
      <c r="A3475">
        <v>675603</v>
      </c>
      <c r="B3475" s="2">
        <v>44575</v>
      </c>
      <c r="C3475">
        <v>43615</v>
      </c>
      <c r="D3475" t="s">
        <v>48</v>
      </c>
      <c r="E3475" t="s">
        <v>109</v>
      </c>
      <c r="F3475" t="s">
        <v>110</v>
      </c>
      <c r="G3475">
        <v>1</v>
      </c>
      <c r="H3475">
        <v>5.59</v>
      </c>
      <c r="I3475">
        <v>0.2</v>
      </c>
      <c r="J3475">
        <v>4.47</v>
      </c>
      <c r="K3475" t="s">
        <v>36</v>
      </c>
      <c r="L3475" t="s">
        <v>37</v>
      </c>
      <c r="M3475" t="s">
        <v>28</v>
      </c>
    </row>
    <row r="3476" spans="1:13" x14ac:dyDescent="0.2">
      <c r="A3476">
        <v>675955</v>
      </c>
      <c r="B3476" s="1">
        <v>45619</v>
      </c>
      <c r="C3476">
        <v>86644</v>
      </c>
      <c r="D3476" t="s">
        <v>97</v>
      </c>
      <c r="E3476" t="s">
        <v>121</v>
      </c>
      <c r="F3476" t="s">
        <v>122</v>
      </c>
      <c r="G3476">
        <v>5</v>
      </c>
      <c r="H3476">
        <v>12.99</v>
      </c>
      <c r="J3476">
        <v>64.95</v>
      </c>
      <c r="K3476" t="s">
        <v>36</v>
      </c>
      <c r="L3476" t="s">
        <v>37</v>
      </c>
      <c r="M3476" t="s">
        <v>103</v>
      </c>
    </row>
    <row r="3477" spans="1:13" x14ac:dyDescent="0.2">
      <c r="A3477">
        <v>676051</v>
      </c>
      <c r="B3477" s="2">
        <v>44771</v>
      </c>
      <c r="C3477">
        <v>47128</v>
      </c>
      <c r="D3477" t="s">
        <v>13</v>
      </c>
      <c r="E3477" t="s">
        <v>159</v>
      </c>
      <c r="F3477" t="s">
        <v>160</v>
      </c>
      <c r="G3477">
        <v>2</v>
      </c>
      <c r="H3477">
        <v>56.99</v>
      </c>
      <c r="I3477">
        <v>0.05</v>
      </c>
      <c r="J3477">
        <v>108.28</v>
      </c>
      <c r="K3477" t="s">
        <v>22</v>
      </c>
      <c r="L3477" t="s">
        <v>17</v>
      </c>
      <c r="M3477" t="s">
        <v>43</v>
      </c>
    </row>
    <row r="3478" spans="1:13" x14ac:dyDescent="0.2">
      <c r="A3478">
        <v>676149</v>
      </c>
      <c r="B3478" s="2">
        <v>45293</v>
      </c>
      <c r="C3478">
        <v>88081</v>
      </c>
      <c r="D3478" t="s">
        <v>97</v>
      </c>
      <c r="E3478" t="s">
        <v>98</v>
      </c>
      <c r="F3478" t="s">
        <v>99</v>
      </c>
      <c r="G3478">
        <v>1</v>
      </c>
      <c r="H3478">
        <v>26.59</v>
      </c>
      <c r="I3478">
        <v>0.05</v>
      </c>
      <c r="J3478">
        <v>25.26</v>
      </c>
      <c r="K3478" t="s">
        <v>22</v>
      </c>
      <c r="L3478" t="s">
        <v>23</v>
      </c>
      <c r="M3478" t="s">
        <v>67</v>
      </c>
    </row>
    <row r="3479" spans="1:13" x14ac:dyDescent="0.2">
      <c r="A3479">
        <v>676661</v>
      </c>
      <c r="B3479" s="1">
        <v>44831</v>
      </c>
      <c r="C3479">
        <v>26709</v>
      </c>
      <c r="D3479" t="s">
        <v>25</v>
      </c>
      <c r="E3479" t="s">
        <v>113</v>
      </c>
      <c r="F3479" t="s">
        <v>114</v>
      </c>
      <c r="G3479">
        <v>5</v>
      </c>
      <c r="H3479">
        <v>89.99</v>
      </c>
      <c r="I3479">
        <v>0.25</v>
      </c>
      <c r="J3479">
        <v>337.46</v>
      </c>
      <c r="K3479" t="s">
        <v>16</v>
      </c>
      <c r="L3479" t="s">
        <v>17</v>
      </c>
      <c r="M3479" t="s">
        <v>43</v>
      </c>
    </row>
    <row r="3480" spans="1:13" x14ac:dyDescent="0.2">
      <c r="A3480">
        <v>676877</v>
      </c>
      <c r="B3480" s="1">
        <v>45427</v>
      </c>
      <c r="C3480">
        <v>35108</v>
      </c>
      <c r="D3480" t="s">
        <v>106</v>
      </c>
      <c r="E3480" t="s">
        <v>162</v>
      </c>
      <c r="F3480" t="s">
        <v>163</v>
      </c>
      <c r="G3480">
        <v>2</v>
      </c>
      <c r="H3480">
        <v>7.99</v>
      </c>
      <c r="J3480">
        <v>15.98</v>
      </c>
      <c r="K3480" t="s">
        <v>22</v>
      </c>
      <c r="L3480" t="s">
        <v>17</v>
      </c>
      <c r="M3480" t="s">
        <v>33</v>
      </c>
    </row>
    <row r="3481" spans="1:13" x14ac:dyDescent="0.2">
      <c r="A3481">
        <v>676898</v>
      </c>
      <c r="B3481" s="1">
        <v>45045</v>
      </c>
      <c r="C3481">
        <v>98095</v>
      </c>
      <c r="D3481" t="s">
        <v>63</v>
      </c>
      <c r="E3481" t="s">
        <v>131</v>
      </c>
      <c r="F3481" t="s">
        <v>132</v>
      </c>
      <c r="G3481">
        <v>1</v>
      </c>
      <c r="H3481">
        <v>3.49</v>
      </c>
      <c r="J3481">
        <v>3.49</v>
      </c>
      <c r="K3481" t="s">
        <v>16</v>
      </c>
      <c r="L3481" t="s">
        <v>37</v>
      </c>
      <c r="M3481" t="s">
        <v>24</v>
      </c>
    </row>
    <row r="3482" spans="1:13" x14ac:dyDescent="0.2">
      <c r="A3482">
        <v>677024</v>
      </c>
      <c r="B3482" s="1">
        <v>45383</v>
      </c>
      <c r="C3482">
        <v>48899</v>
      </c>
      <c r="D3482" t="s">
        <v>13</v>
      </c>
      <c r="E3482" t="s">
        <v>159</v>
      </c>
      <c r="F3482" t="s">
        <v>160</v>
      </c>
      <c r="G3482">
        <v>1</v>
      </c>
      <c r="H3482">
        <v>59.99</v>
      </c>
      <c r="J3482">
        <v>59.99</v>
      </c>
      <c r="K3482" t="s">
        <v>36</v>
      </c>
      <c r="L3482" t="s">
        <v>17</v>
      </c>
      <c r="M3482" t="s">
        <v>62</v>
      </c>
    </row>
    <row r="3483" spans="1:13" x14ac:dyDescent="0.2">
      <c r="A3483">
        <v>677257</v>
      </c>
      <c r="B3483" s="1">
        <v>45495</v>
      </c>
      <c r="C3483">
        <v>77100</v>
      </c>
      <c r="D3483" t="s">
        <v>63</v>
      </c>
      <c r="E3483" t="s">
        <v>111</v>
      </c>
      <c r="F3483" t="s">
        <v>112</v>
      </c>
      <c r="G3483">
        <v>5</v>
      </c>
      <c r="H3483">
        <v>14.99</v>
      </c>
      <c r="J3483">
        <v>74.95</v>
      </c>
      <c r="K3483" t="s">
        <v>16</v>
      </c>
      <c r="L3483" t="s">
        <v>17</v>
      </c>
      <c r="M3483" t="s">
        <v>123</v>
      </c>
    </row>
    <row r="3484" spans="1:13" x14ac:dyDescent="0.2">
      <c r="A3484">
        <v>677380</v>
      </c>
      <c r="B3484" s="1">
        <v>44895</v>
      </c>
      <c r="C3484">
        <v>16790</v>
      </c>
      <c r="D3484" t="s">
        <v>85</v>
      </c>
      <c r="E3484" t="s">
        <v>153</v>
      </c>
      <c r="F3484" t="s">
        <v>154</v>
      </c>
      <c r="G3484">
        <v>1</v>
      </c>
      <c r="H3484">
        <v>29.99</v>
      </c>
      <c r="J3484">
        <v>29.99</v>
      </c>
      <c r="K3484" t="s">
        <v>16</v>
      </c>
      <c r="L3484" t="s">
        <v>17</v>
      </c>
      <c r="M3484" t="s">
        <v>62</v>
      </c>
    </row>
    <row r="3485" spans="1:13" x14ac:dyDescent="0.2">
      <c r="A3485">
        <v>677454</v>
      </c>
      <c r="B3485" s="1">
        <v>44614</v>
      </c>
      <c r="C3485">
        <v>14307</v>
      </c>
      <c r="D3485" t="s">
        <v>97</v>
      </c>
      <c r="E3485" t="s">
        <v>135</v>
      </c>
      <c r="F3485" t="s">
        <v>136</v>
      </c>
      <c r="G3485">
        <v>3</v>
      </c>
      <c r="H3485">
        <v>7.99</v>
      </c>
      <c r="I3485">
        <v>0.2</v>
      </c>
      <c r="J3485">
        <v>19.18</v>
      </c>
      <c r="K3485" t="s">
        <v>36</v>
      </c>
      <c r="L3485" t="s">
        <v>17</v>
      </c>
      <c r="M3485" t="s">
        <v>81</v>
      </c>
    </row>
    <row r="3486" spans="1:13" x14ac:dyDescent="0.2">
      <c r="A3486">
        <v>677609</v>
      </c>
      <c r="B3486" s="2">
        <v>45158</v>
      </c>
      <c r="C3486">
        <v>66876</v>
      </c>
      <c r="D3486" t="s">
        <v>48</v>
      </c>
      <c r="E3486" t="s">
        <v>118</v>
      </c>
      <c r="F3486" t="s">
        <v>119</v>
      </c>
      <c r="G3486">
        <v>1</v>
      </c>
      <c r="H3486">
        <v>3.99</v>
      </c>
      <c r="I3486">
        <v>0.2</v>
      </c>
      <c r="J3486">
        <v>3.19</v>
      </c>
      <c r="K3486" t="s">
        <v>95</v>
      </c>
      <c r="L3486" t="s">
        <v>23</v>
      </c>
      <c r="M3486" t="s">
        <v>18</v>
      </c>
    </row>
    <row r="3487" spans="1:13" x14ac:dyDescent="0.2">
      <c r="A3487">
        <v>677750</v>
      </c>
      <c r="B3487" s="1">
        <v>45263</v>
      </c>
      <c r="C3487">
        <v>70463</v>
      </c>
      <c r="D3487" t="s">
        <v>97</v>
      </c>
      <c r="E3487" t="s">
        <v>135</v>
      </c>
      <c r="F3487" t="s">
        <v>136</v>
      </c>
      <c r="G3487">
        <v>5</v>
      </c>
      <c r="H3487">
        <v>7.99</v>
      </c>
      <c r="J3487">
        <v>39.950000000000003</v>
      </c>
      <c r="K3487" t="s">
        <v>16</v>
      </c>
      <c r="L3487" t="s">
        <v>17</v>
      </c>
      <c r="M3487" t="s">
        <v>28</v>
      </c>
    </row>
    <row r="3488" spans="1:13" x14ac:dyDescent="0.2">
      <c r="A3488">
        <v>677817</v>
      </c>
      <c r="B3488" s="1">
        <v>44740</v>
      </c>
      <c r="C3488">
        <v>18896</v>
      </c>
      <c r="D3488" t="s">
        <v>40</v>
      </c>
      <c r="E3488" t="s">
        <v>20</v>
      </c>
      <c r="F3488" t="s">
        <v>21</v>
      </c>
      <c r="G3488">
        <v>2</v>
      </c>
      <c r="H3488">
        <v>9.99</v>
      </c>
      <c r="J3488">
        <v>19.98</v>
      </c>
      <c r="K3488" t="s">
        <v>53</v>
      </c>
      <c r="L3488" t="s">
        <v>37</v>
      </c>
    </row>
    <row r="3489" spans="1:13" x14ac:dyDescent="0.2">
      <c r="A3489">
        <v>677896</v>
      </c>
      <c r="B3489" s="1">
        <v>45129</v>
      </c>
      <c r="C3489">
        <v>87260</v>
      </c>
      <c r="D3489" t="s">
        <v>63</v>
      </c>
      <c r="E3489" t="s">
        <v>111</v>
      </c>
      <c r="F3489" t="s">
        <v>112</v>
      </c>
      <c r="G3489">
        <v>2</v>
      </c>
      <c r="H3489">
        <v>11.24</v>
      </c>
      <c r="I3489">
        <v>0.25</v>
      </c>
      <c r="J3489">
        <v>16.86</v>
      </c>
      <c r="K3489" t="s">
        <v>36</v>
      </c>
      <c r="L3489" t="s">
        <v>17</v>
      </c>
      <c r="M3489" t="s">
        <v>43</v>
      </c>
    </row>
    <row r="3490" spans="1:13" x14ac:dyDescent="0.2">
      <c r="A3490">
        <v>678051</v>
      </c>
      <c r="B3490" s="1">
        <v>45173</v>
      </c>
      <c r="C3490">
        <v>30035</v>
      </c>
      <c r="D3490" t="s">
        <v>29</v>
      </c>
      <c r="E3490" t="s">
        <v>30</v>
      </c>
      <c r="F3490" t="s">
        <v>31</v>
      </c>
      <c r="G3490">
        <v>2</v>
      </c>
      <c r="H3490">
        <v>19.989999999999998</v>
      </c>
      <c r="I3490">
        <v>0.2</v>
      </c>
      <c r="J3490">
        <v>31.98</v>
      </c>
      <c r="K3490" t="s">
        <v>95</v>
      </c>
      <c r="L3490" t="s">
        <v>17</v>
      </c>
      <c r="M3490" t="s">
        <v>54</v>
      </c>
    </row>
    <row r="3491" spans="1:13" x14ac:dyDescent="0.2">
      <c r="A3491">
        <v>678972</v>
      </c>
      <c r="B3491" s="1">
        <v>45013</v>
      </c>
      <c r="D3491" t="s">
        <v>63</v>
      </c>
      <c r="E3491" t="s">
        <v>64</v>
      </c>
      <c r="F3491" t="s">
        <v>65</v>
      </c>
      <c r="G3491">
        <v>3</v>
      </c>
      <c r="H3491">
        <v>4.49</v>
      </c>
      <c r="I3491">
        <v>0.1</v>
      </c>
      <c r="J3491">
        <v>12.12</v>
      </c>
      <c r="K3491" t="s">
        <v>36</v>
      </c>
      <c r="L3491" t="s">
        <v>17</v>
      </c>
      <c r="M3491" t="s">
        <v>62</v>
      </c>
    </row>
    <row r="3492" spans="1:13" x14ac:dyDescent="0.2">
      <c r="A3492">
        <v>679012</v>
      </c>
      <c r="B3492" s="1">
        <v>45479</v>
      </c>
      <c r="C3492">
        <v>52331</v>
      </c>
      <c r="D3492" t="s">
        <v>29</v>
      </c>
      <c r="E3492" t="s">
        <v>72</v>
      </c>
      <c r="F3492" t="s">
        <v>73</v>
      </c>
      <c r="G3492">
        <v>3</v>
      </c>
      <c r="H3492">
        <v>39.99</v>
      </c>
      <c r="J3492">
        <v>119.97</v>
      </c>
      <c r="K3492" t="s">
        <v>36</v>
      </c>
      <c r="L3492" t="s">
        <v>17</v>
      </c>
      <c r="M3492" t="s">
        <v>18</v>
      </c>
    </row>
    <row r="3493" spans="1:13" x14ac:dyDescent="0.2">
      <c r="A3493">
        <v>679136</v>
      </c>
      <c r="B3493" s="1">
        <v>45492</v>
      </c>
      <c r="C3493">
        <v>53473</v>
      </c>
      <c r="D3493" t="s">
        <v>48</v>
      </c>
      <c r="E3493" t="s">
        <v>118</v>
      </c>
      <c r="F3493" t="s">
        <v>119</v>
      </c>
      <c r="G3493">
        <v>1</v>
      </c>
      <c r="H3493">
        <v>3.99</v>
      </c>
      <c r="I3493">
        <v>0.2</v>
      </c>
      <c r="J3493">
        <v>3.19</v>
      </c>
      <c r="K3493" t="s">
        <v>16</v>
      </c>
      <c r="L3493" t="s">
        <v>17</v>
      </c>
      <c r="M3493" t="s">
        <v>161</v>
      </c>
    </row>
    <row r="3494" spans="1:13" x14ac:dyDescent="0.2">
      <c r="A3494">
        <v>679229</v>
      </c>
      <c r="B3494" s="1">
        <v>45624</v>
      </c>
      <c r="C3494">
        <v>14856</v>
      </c>
      <c r="D3494" t="s">
        <v>82</v>
      </c>
      <c r="E3494" t="s">
        <v>155</v>
      </c>
      <c r="F3494" t="s">
        <v>156</v>
      </c>
      <c r="G3494">
        <v>1</v>
      </c>
      <c r="H3494">
        <v>19.989999999999998</v>
      </c>
      <c r="J3494">
        <v>19.989999999999998</v>
      </c>
      <c r="K3494" t="s">
        <v>16</v>
      </c>
      <c r="L3494" t="s">
        <v>17</v>
      </c>
      <c r="M3494" t="s">
        <v>67</v>
      </c>
    </row>
    <row r="3495" spans="1:13" x14ac:dyDescent="0.2">
      <c r="A3495">
        <v>679246</v>
      </c>
      <c r="B3495" s="1">
        <v>45161</v>
      </c>
      <c r="C3495">
        <v>80262</v>
      </c>
      <c r="D3495" t="s">
        <v>82</v>
      </c>
      <c r="E3495" t="s">
        <v>147</v>
      </c>
      <c r="F3495" t="s">
        <v>148</v>
      </c>
      <c r="G3495">
        <v>5</v>
      </c>
      <c r="H3495">
        <v>9.74</v>
      </c>
      <c r="I3495">
        <v>0.25</v>
      </c>
      <c r="J3495">
        <v>36.53</v>
      </c>
      <c r="K3495" t="s">
        <v>22</v>
      </c>
      <c r="L3495" t="s">
        <v>17</v>
      </c>
      <c r="M3495" t="s">
        <v>54</v>
      </c>
    </row>
    <row r="3496" spans="1:13" x14ac:dyDescent="0.2">
      <c r="A3496">
        <v>679266</v>
      </c>
      <c r="B3496" s="1">
        <v>45556</v>
      </c>
      <c r="C3496">
        <v>82757</v>
      </c>
      <c r="D3496" t="s">
        <v>82</v>
      </c>
      <c r="E3496" t="s">
        <v>100</v>
      </c>
      <c r="F3496" t="s">
        <v>101</v>
      </c>
      <c r="G3496">
        <v>5</v>
      </c>
      <c r="H3496">
        <v>19.54</v>
      </c>
      <c r="I3496">
        <v>0.15</v>
      </c>
      <c r="J3496">
        <v>83.04</v>
      </c>
      <c r="K3496" t="s">
        <v>36</v>
      </c>
      <c r="L3496" t="s">
        <v>17</v>
      </c>
      <c r="M3496" t="s">
        <v>120</v>
      </c>
    </row>
    <row r="3497" spans="1:13" x14ac:dyDescent="0.2">
      <c r="A3497">
        <v>679299</v>
      </c>
      <c r="B3497" s="1">
        <v>45308</v>
      </c>
      <c r="C3497">
        <v>96297</v>
      </c>
      <c r="D3497" t="s">
        <v>29</v>
      </c>
      <c r="E3497" t="s">
        <v>72</v>
      </c>
      <c r="F3497" t="s">
        <v>73</v>
      </c>
      <c r="G3497">
        <v>1</v>
      </c>
      <c r="H3497">
        <v>31.99</v>
      </c>
      <c r="I3497">
        <v>0.2</v>
      </c>
      <c r="J3497">
        <v>25.59</v>
      </c>
      <c r="K3497" t="s">
        <v>16</v>
      </c>
      <c r="L3497" t="s">
        <v>37</v>
      </c>
      <c r="M3497" t="s">
        <v>62</v>
      </c>
    </row>
    <row r="3498" spans="1:13" x14ac:dyDescent="0.2">
      <c r="A3498">
        <v>679299</v>
      </c>
      <c r="B3498" s="2">
        <v>44939</v>
      </c>
      <c r="C3498">
        <v>77364</v>
      </c>
      <c r="D3498" t="s">
        <v>44</v>
      </c>
      <c r="E3498" t="s">
        <v>93</v>
      </c>
      <c r="F3498" t="s">
        <v>94</v>
      </c>
      <c r="G3498">
        <v>1</v>
      </c>
      <c r="H3498">
        <v>1.29</v>
      </c>
      <c r="J3498">
        <v>1.29</v>
      </c>
      <c r="K3498" t="s">
        <v>16</v>
      </c>
      <c r="L3498" t="s">
        <v>17</v>
      </c>
      <c r="M3498" t="s">
        <v>123</v>
      </c>
    </row>
    <row r="3499" spans="1:13" x14ac:dyDescent="0.2">
      <c r="A3499">
        <v>679606</v>
      </c>
      <c r="B3499" s="2">
        <v>44883</v>
      </c>
      <c r="C3499">
        <v>74122</v>
      </c>
      <c r="D3499" t="s">
        <v>82</v>
      </c>
      <c r="E3499" t="s">
        <v>188</v>
      </c>
      <c r="F3499" t="s">
        <v>189</v>
      </c>
      <c r="G3499">
        <v>2</v>
      </c>
      <c r="H3499">
        <v>44.99</v>
      </c>
      <c r="J3499">
        <v>89.98</v>
      </c>
      <c r="K3499" t="s">
        <v>53</v>
      </c>
      <c r="L3499" t="s">
        <v>17</v>
      </c>
      <c r="M3499" t="s">
        <v>123</v>
      </c>
    </row>
    <row r="3500" spans="1:13" x14ac:dyDescent="0.2">
      <c r="A3500">
        <v>679751</v>
      </c>
      <c r="B3500" s="1">
        <v>45244</v>
      </c>
      <c r="C3500">
        <v>80185</v>
      </c>
      <c r="D3500" t="s">
        <v>13</v>
      </c>
      <c r="E3500" t="s">
        <v>79</v>
      </c>
      <c r="F3500" t="s">
        <v>80</v>
      </c>
      <c r="G3500">
        <v>4</v>
      </c>
      <c r="H3500">
        <v>76.489999999999995</v>
      </c>
      <c r="I3500">
        <v>0.15</v>
      </c>
      <c r="J3500">
        <v>260.07</v>
      </c>
      <c r="K3500" t="s">
        <v>16</v>
      </c>
      <c r="L3500" t="s">
        <v>17</v>
      </c>
      <c r="M3500" t="s">
        <v>57</v>
      </c>
    </row>
    <row r="3501" spans="1:13" x14ac:dyDescent="0.2">
      <c r="A3501">
        <v>680016</v>
      </c>
      <c r="B3501" s="1">
        <v>44788</v>
      </c>
      <c r="C3501">
        <v>62760</v>
      </c>
      <c r="D3501" t="s">
        <v>29</v>
      </c>
      <c r="E3501" t="s">
        <v>30</v>
      </c>
      <c r="F3501" t="s">
        <v>31</v>
      </c>
      <c r="G3501">
        <v>5</v>
      </c>
      <c r="H3501">
        <v>22.49</v>
      </c>
      <c r="I3501">
        <v>0.1</v>
      </c>
      <c r="J3501">
        <v>101.2</v>
      </c>
      <c r="K3501" t="s">
        <v>95</v>
      </c>
      <c r="L3501" t="s">
        <v>23</v>
      </c>
      <c r="M3501" t="s">
        <v>81</v>
      </c>
    </row>
    <row r="3502" spans="1:13" x14ac:dyDescent="0.2">
      <c r="A3502">
        <v>680099</v>
      </c>
      <c r="B3502" s="1">
        <v>44570</v>
      </c>
      <c r="C3502">
        <v>76628</v>
      </c>
      <c r="D3502" t="s">
        <v>63</v>
      </c>
      <c r="E3502" t="s">
        <v>131</v>
      </c>
      <c r="F3502" t="s">
        <v>132</v>
      </c>
      <c r="G3502">
        <v>3</v>
      </c>
      <c r="H3502">
        <v>2.44</v>
      </c>
      <c r="I3502">
        <v>0.3</v>
      </c>
      <c r="J3502">
        <v>5.12</v>
      </c>
      <c r="K3502" t="s">
        <v>36</v>
      </c>
      <c r="L3502" t="s">
        <v>37</v>
      </c>
      <c r="M3502" t="s">
        <v>90</v>
      </c>
    </row>
    <row r="3503" spans="1:13" x14ac:dyDescent="0.2">
      <c r="A3503">
        <v>680113</v>
      </c>
      <c r="B3503" s="1">
        <v>45159</v>
      </c>
      <c r="C3503">
        <v>71531</v>
      </c>
      <c r="D3503" t="s">
        <v>44</v>
      </c>
      <c r="E3503" t="s">
        <v>133</v>
      </c>
      <c r="F3503" t="s">
        <v>134</v>
      </c>
      <c r="G3503">
        <v>2</v>
      </c>
      <c r="H3503">
        <v>3.41</v>
      </c>
      <c r="I3503">
        <v>0.1</v>
      </c>
      <c r="J3503">
        <v>6.14</v>
      </c>
      <c r="K3503" t="s">
        <v>16</v>
      </c>
      <c r="L3503" t="s">
        <v>17</v>
      </c>
    </row>
    <row r="3504" spans="1:13" x14ac:dyDescent="0.2">
      <c r="A3504">
        <v>680138</v>
      </c>
      <c r="B3504" s="1">
        <v>45054</v>
      </c>
      <c r="C3504">
        <v>56588</v>
      </c>
      <c r="D3504" t="s">
        <v>44</v>
      </c>
      <c r="E3504" t="s">
        <v>107</v>
      </c>
      <c r="F3504" t="s">
        <v>108</v>
      </c>
      <c r="G3504">
        <v>2</v>
      </c>
      <c r="H3504">
        <v>3.49</v>
      </c>
      <c r="J3504">
        <v>6.98</v>
      </c>
      <c r="K3504" t="s">
        <v>36</v>
      </c>
      <c r="L3504" t="s">
        <v>17</v>
      </c>
      <c r="M3504" t="s">
        <v>43</v>
      </c>
    </row>
    <row r="3505" spans="1:13" x14ac:dyDescent="0.2">
      <c r="A3505">
        <v>680607</v>
      </c>
      <c r="B3505" s="1">
        <v>45286</v>
      </c>
      <c r="C3505">
        <v>60236</v>
      </c>
      <c r="D3505" t="s">
        <v>25</v>
      </c>
      <c r="E3505" t="s">
        <v>113</v>
      </c>
      <c r="F3505" t="s">
        <v>114</v>
      </c>
      <c r="G3505">
        <v>1</v>
      </c>
      <c r="H3505">
        <v>113.99</v>
      </c>
      <c r="J3505">
        <v>113.99</v>
      </c>
      <c r="K3505" t="s">
        <v>16</v>
      </c>
      <c r="L3505" t="s">
        <v>37</v>
      </c>
      <c r="M3505" t="s">
        <v>90</v>
      </c>
    </row>
    <row r="3506" spans="1:13" x14ac:dyDescent="0.2">
      <c r="A3506">
        <v>680624</v>
      </c>
      <c r="B3506" s="1">
        <v>44989</v>
      </c>
      <c r="C3506">
        <v>12116</v>
      </c>
      <c r="D3506" t="s">
        <v>63</v>
      </c>
      <c r="E3506" t="s">
        <v>68</v>
      </c>
      <c r="F3506" t="s">
        <v>69</v>
      </c>
      <c r="G3506">
        <v>5</v>
      </c>
      <c r="H3506">
        <v>18.739999999999998</v>
      </c>
      <c r="I3506">
        <v>0.25</v>
      </c>
      <c r="J3506">
        <v>70.27</v>
      </c>
      <c r="K3506" t="s">
        <v>36</v>
      </c>
      <c r="L3506" t="s">
        <v>17</v>
      </c>
      <c r="M3506" t="s">
        <v>33</v>
      </c>
    </row>
    <row r="3507" spans="1:13" x14ac:dyDescent="0.2">
      <c r="A3507">
        <v>681024</v>
      </c>
      <c r="B3507" s="1">
        <v>44927</v>
      </c>
      <c r="C3507">
        <v>84345</v>
      </c>
      <c r="D3507" t="s">
        <v>85</v>
      </c>
      <c r="E3507" t="s">
        <v>129</v>
      </c>
      <c r="F3507" t="s">
        <v>130</v>
      </c>
      <c r="G3507">
        <v>2</v>
      </c>
      <c r="H3507">
        <v>8.5399999999999991</v>
      </c>
      <c r="I3507">
        <v>0.05</v>
      </c>
      <c r="J3507">
        <v>16.23</v>
      </c>
      <c r="K3507" t="s">
        <v>36</v>
      </c>
      <c r="L3507" t="s">
        <v>17</v>
      </c>
      <c r="M3507" t="s">
        <v>57</v>
      </c>
    </row>
    <row r="3508" spans="1:13" x14ac:dyDescent="0.2">
      <c r="A3508">
        <v>681386</v>
      </c>
      <c r="B3508" s="2">
        <v>45034</v>
      </c>
      <c r="C3508">
        <v>32518</v>
      </c>
      <c r="D3508" t="s">
        <v>63</v>
      </c>
      <c r="E3508" t="s">
        <v>68</v>
      </c>
      <c r="F3508" t="s">
        <v>69</v>
      </c>
      <c r="G3508">
        <v>1</v>
      </c>
      <c r="H3508">
        <v>21.24</v>
      </c>
      <c r="I3508">
        <v>0.15</v>
      </c>
      <c r="J3508">
        <v>18.05</v>
      </c>
      <c r="K3508" t="s">
        <v>22</v>
      </c>
      <c r="L3508" t="s">
        <v>17</v>
      </c>
      <c r="M3508" t="s">
        <v>102</v>
      </c>
    </row>
    <row r="3509" spans="1:13" x14ac:dyDescent="0.2">
      <c r="A3509">
        <v>681552</v>
      </c>
      <c r="B3509" s="2">
        <v>44850</v>
      </c>
      <c r="C3509">
        <v>23856</v>
      </c>
      <c r="D3509" t="s">
        <v>25</v>
      </c>
      <c r="E3509" t="s">
        <v>60</v>
      </c>
      <c r="F3509" t="s">
        <v>61</v>
      </c>
      <c r="G3509">
        <v>1</v>
      </c>
      <c r="H3509">
        <v>54.99</v>
      </c>
      <c r="J3509">
        <v>54.99</v>
      </c>
      <c r="K3509" t="s">
        <v>16</v>
      </c>
      <c r="L3509" t="s">
        <v>17</v>
      </c>
      <c r="M3509" t="s">
        <v>47</v>
      </c>
    </row>
    <row r="3510" spans="1:13" x14ac:dyDescent="0.2">
      <c r="A3510">
        <v>681608</v>
      </c>
      <c r="B3510" s="1">
        <v>45367</v>
      </c>
      <c r="C3510">
        <v>46607</v>
      </c>
      <c r="D3510" t="s">
        <v>63</v>
      </c>
      <c r="E3510" t="s">
        <v>64</v>
      </c>
      <c r="F3510" t="s">
        <v>65</v>
      </c>
      <c r="G3510">
        <v>1</v>
      </c>
      <c r="H3510">
        <v>3.49</v>
      </c>
      <c r="I3510">
        <v>0.3</v>
      </c>
      <c r="J3510">
        <v>2.44</v>
      </c>
      <c r="K3510" t="s">
        <v>53</v>
      </c>
      <c r="L3510" t="s">
        <v>17</v>
      </c>
      <c r="M3510" t="s">
        <v>47</v>
      </c>
    </row>
    <row r="3511" spans="1:13" x14ac:dyDescent="0.2">
      <c r="A3511">
        <v>681698</v>
      </c>
      <c r="B3511" s="1">
        <v>45510</v>
      </c>
      <c r="C3511">
        <v>99969</v>
      </c>
      <c r="D3511" t="s">
        <v>63</v>
      </c>
      <c r="E3511" t="s">
        <v>125</v>
      </c>
      <c r="F3511" t="s">
        <v>126</v>
      </c>
      <c r="G3511">
        <v>5</v>
      </c>
      <c r="H3511">
        <v>20.99</v>
      </c>
      <c r="I3511">
        <v>0.3</v>
      </c>
      <c r="J3511">
        <v>73.459999999999994</v>
      </c>
      <c r="K3511" t="s">
        <v>36</v>
      </c>
      <c r="L3511" t="s">
        <v>37</v>
      </c>
      <c r="M3511" t="s">
        <v>67</v>
      </c>
    </row>
    <row r="3512" spans="1:13" x14ac:dyDescent="0.2">
      <c r="A3512">
        <v>682032</v>
      </c>
      <c r="B3512" s="1">
        <v>45326</v>
      </c>
      <c r="C3512">
        <v>61653</v>
      </c>
      <c r="D3512" t="s">
        <v>44</v>
      </c>
      <c r="E3512" t="s">
        <v>172</v>
      </c>
      <c r="F3512" t="s">
        <v>173</v>
      </c>
      <c r="G3512">
        <v>2</v>
      </c>
      <c r="H3512">
        <v>4.49</v>
      </c>
      <c r="J3512">
        <v>8.98</v>
      </c>
      <c r="K3512" t="s">
        <v>36</v>
      </c>
      <c r="L3512" t="s">
        <v>17</v>
      </c>
      <c r="M3512" t="s">
        <v>123</v>
      </c>
    </row>
    <row r="3513" spans="1:13" x14ac:dyDescent="0.2">
      <c r="A3513">
        <v>682075</v>
      </c>
      <c r="B3513" s="1">
        <v>45308</v>
      </c>
      <c r="C3513">
        <v>41203</v>
      </c>
      <c r="D3513" t="s">
        <v>29</v>
      </c>
      <c r="E3513" t="s">
        <v>170</v>
      </c>
      <c r="F3513" t="s">
        <v>171</v>
      </c>
      <c r="G3513">
        <v>3</v>
      </c>
      <c r="H3513">
        <v>11.99</v>
      </c>
      <c r="I3513">
        <v>0.2</v>
      </c>
      <c r="J3513">
        <v>28.78</v>
      </c>
      <c r="K3513" t="s">
        <v>22</v>
      </c>
      <c r="L3513" t="s">
        <v>17</v>
      </c>
      <c r="M3513" t="s">
        <v>123</v>
      </c>
    </row>
    <row r="3514" spans="1:13" x14ac:dyDescent="0.2">
      <c r="A3514">
        <v>682354</v>
      </c>
      <c r="B3514" s="2">
        <v>44833</v>
      </c>
      <c r="C3514">
        <v>26919</v>
      </c>
      <c r="D3514" t="s">
        <v>48</v>
      </c>
      <c r="E3514" t="s">
        <v>49</v>
      </c>
      <c r="F3514" t="s">
        <v>50</v>
      </c>
      <c r="G3514">
        <v>1</v>
      </c>
      <c r="H3514">
        <v>8.09</v>
      </c>
      <c r="I3514">
        <v>0.1</v>
      </c>
      <c r="J3514">
        <v>7.28</v>
      </c>
      <c r="K3514" t="s">
        <v>22</v>
      </c>
      <c r="L3514" t="s">
        <v>17</v>
      </c>
      <c r="M3514" t="s">
        <v>96</v>
      </c>
    </row>
    <row r="3515" spans="1:13" x14ac:dyDescent="0.2">
      <c r="A3515">
        <v>682376</v>
      </c>
      <c r="B3515" s="1">
        <v>45270</v>
      </c>
      <c r="C3515">
        <v>49030</v>
      </c>
      <c r="D3515" t="s">
        <v>29</v>
      </c>
      <c r="E3515" t="s">
        <v>175</v>
      </c>
      <c r="F3515" t="s">
        <v>176</v>
      </c>
      <c r="G3515">
        <v>4</v>
      </c>
      <c r="H3515">
        <v>11.39</v>
      </c>
      <c r="I3515">
        <v>0.05</v>
      </c>
      <c r="J3515">
        <v>43.28</v>
      </c>
      <c r="K3515" t="s">
        <v>36</v>
      </c>
      <c r="L3515" t="s">
        <v>17</v>
      </c>
      <c r="M3515" t="s">
        <v>67</v>
      </c>
    </row>
    <row r="3516" spans="1:13" x14ac:dyDescent="0.2">
      <c r="A3516">
        <v>682378</v>
      </c>
      <c r="B3516" s="2">
        <v>45255</v>
      </c>
      <c r="C3516">
        <v>50049</v>
      </c>
      <c r="D3516" t="s">
        <v>48</v>
      </c>
      <c r="E3516" t="s">
        <v>179</v>
      </c>
      <c r="F3516" t="s">
        <v>180</v>
      </c>
      <c r="G3516">
        <v>3</v>
      </c>
      <c r="H3516">
        <v>11.99</v>
      </c>
      <c r="J3516">
        <v>35.97</v>
      </c>
      <c r="K3516" t="s">
        <v>16</v>
      </c>
      <c r="L3516" t="s">
        <v>17</v>
      </c>
      <c r="M3516" t="s">
        <v>54</v>
      </c>
    </row>
    <row r="3517" spans="1:13" x14ac:dyDescent="0.2">
      <c r="A3517">
        <v>682478</v>
      </c>
      <c r="B3517" s="2">
        <v>45049</v>
      </c>
      <c r="C3517">
        <v>41826</v>
      </c>
      <c r="D3517" t="s">
        <v>40</v>
      </c>
      <c r="E3517" t="s">
        <v>197</v>
      </c>
      <c r="F3517" t="s">
        <v>198</v>
      </c>
      <c r="G3517">
        <v>1</v>
      </c>
      <c r="H3517">
        <v>11.99</v>
      </c>
      <c r="I3517">
        <v>0.2</v>
      </c>
      <c r="J3517">
        <v>9.59</v>
      </c>
      <c r="K3517" t="s">
        <v>16</v>
      </c>
      <c r="L3517" t="s">
        <v>37</v>
      </c>
      <c r="M3517" t="s">
        <v>103</v>
      </c>
    </row>
    <row r="3518" spans="1:13" x14ac:dyDescent="0.2">
      <c r="A3518">
        <v>682597</v>
      </c>
      <c r="B3518" s="1">
        <v>44989</v>
      </c>
      <c r="C3518">
        <v>50461</v>
      </c>
      <c r="D3518" t="s">
        <v>40</v>
      </c>
      <c r="E3518" t="s">
        <v>115</v>
      </c>
      <c r="F3518" t="s">
        <v>116</v>
      </c>
      <c r="G3518">
        <v>2</v>
      </c>
      <c r="H3518">
        <v>12.99</v>
      </c>
      <c r="J3518">
        <v>25.98</v>
      </c>
      <c r="K3518" t="s">
        <v>95</v>
      </c>
      <c r="L3518" t="s">
        <v>17</v>
      </c>
      <c r="M3518" t="s">
        <v>161</v>
      </c>
    </row>
    <row r="3519" spans="1:13" x14ac:dyDescent="0.2">
      <c r="A3519">
        <v>683105</v>
      </c>
      <c r="B3519" s="1">
        <v>45100</v>
      </c>
      <c r="C3519">
        <v>89066</v>
      </c>
      <c r="D3519" t="s">
        <v>82</v>
      </c>
      <c r="E3519" t="s">
        <v>168</v>
      </c>
      <c r="F3519" t="s">
        <v>169</v>
      </c>
      <c r="G3519">
        <v>2</v>
      </c>
      <c r="H3519">
        <v>8.99</v>
      </c>
      <c r="J3519">
        <v>17.98</v>
      </c>
      <c r="K3519" t="s">
        <v>16</v>
      </c>
      <c r="L3519" t="s">
        <v>37</v>
      </c>
      <c r="M3519" t="s">
        <v>18</v>
      </c>
    </row>
    <row r="3520" spans="1:13" x14ac:dyDescent="0.2">
      <c r="A3520">
        <v>683202</v>
      </c>
      <c r="B3520" s="1">
        <v>44747</v>
      </c>
      <c r="C3520">
        <v>91652</v>
      </c>
      <c r="D3520" t="s">
        <v>97</v>
      </c>
      <c r="E3520" t="s">
        <v>151</v>
      </c>
      <c r="F3520" t="s">
        <v>152</v>
      </c>
      <c r="G3520">
        <v>1</v>
      </c>
      <c r="H3520">
        <v>26.24</v>
      </c>
      <c r="I3520">
        <v>0.25</v>
      </c>
      <c r="J3520">
        <v>19.68</v>
      </c>
      <c r="K3520" t="s">
        <v>22</v>
      </c>
      <c r="L3520" t="s">
        <v>17</v>
      </c>
      <c r="M3520" t="s">
        <v>102</v>
      </c>
    </row>
    <row r="3521" spans="1:13" x14ac:dyDescent="0.2">
      <c r="A3521">
        <v>683222</v>
      </c>
      <c r="B3521" s="2">
        <v>44915</v>
      </c>
      <c r="C3521">
        <v>77626</v>
      </c>
      <c r="D3521" t="s">
        <v>25</v>
      </c>
      <c r="E3521" t="s">
        <v>60</v>
      </c>
      <c r="F3521" t="s">
        <v>61</v>
      </c>
      <c r="G3521">
        <v>5</v>
      </c>
      <c r="H3521">
        <v>43.99</v>
      </c>
      <c r="I3521">
        <v>0.2</v>
      </c>
      <c r="J3521">
        <v>175.96</v>
      </c>
      <c r="K3521" t="s">
        <v>16</v>
      </c>
      <c r="L3521" t="s">
        <v>17</v>
      </c>
      <c r="M3521" t="s">
        <v>96</v>
      </c>
    </row>
    <row r="3522" spans="1:13" x14ac:dyDescent="0.2">
      <c r="A3522">
        <v>683452</v>
      </c>
      <c r="B3522" s="1">
        <v>45642</v>
      </c>
      <c r="C3522">
        <v>89461</v>
      </c>
      <c r="D3522" t="s">
        <v>82</v>
      </c>
      <c r="E3522" t="s">
        <v>147</v>
      </c>
      <c r="F3522" t="s">
        <v>148</v>
      </c>
      <c r="G3522">
        <v>1</v>
      </c>
      <c r="H3522">
        <v>11.69</v>
      </c>
      <c r="I3522">
        <v>0.1</v>
      </c>
      <c r="J3522">
        <v>10.52</v>
      </c>
      <c r="K3522" t="s">
        <v>36</v>
      </c>
      <c r="L3522" t="s">
        <v>37</v>
      </c>
      <c r="M3522" t="s">
        <v>81</v>
      </c>
    </row>
    <row r="3523" spans="1:13" x14ac:dyDescent="0.2">
      <c r="A3523">
        <v>683533</v>
      </c>
      <c r="B3523" s="1">
        <v>44825</v>
      </c>
      <c r="C3523">
        <v>21583</v>
      </c>
      <c r="D3523" t="s">
        <v>25</v>
      </c>
      <c r="E3523" t="s">
        <v>60</v>
      </c>
      <c r="F3523" t="s">
        <v>61</v>
      </c>
      <c r="G3523">
        <v>4</v>
      </c>
      <c r="H3523">
        <v>49.49</v>
      </c>
      <c r="I3523">
        <v>0.1</v>
      </c>
      <c r="J3523">
        <v>178.16</v>
      </c>
      <c r="K3523" t="s">
        <v>36</v>
      </c>
      <c r="L3523" t="s">
        <v>17</v>
      </c>
    </row>
    <row r="3524" spans="1:13" x14ac:dyDescent="0.2">
      <c r="A3524">
        <v>683715</v>
      </c>
      <c r="B3524" s="1">
        <v>44695</v>
      </c>
      <c r="C3524">
        <v>48699</v>
      </c>
      <c r="D3524" t="s">
        <v>29</v>
      </c>
      <c r="E3524" t="s">
        <v>72</v>
      </c>
      <c r="F3524" t="s">
        <v>73</v>
      </c>
      <c r="G3524">
        <v>4</v>
      </c>
      <c r="H3524">
        <v>39.99</v>
      </c>
      <c r="J3524">
        <v>159.96</v>
      </c>
      <c r="K3524" t="s">
        <v>22</v>
      </c>
      <c r="L3524" t="s">
        <v>17</v>
      </c>
      <c r="M3524" t="s">
        <v>43</v>
      </c>
    </row>
    <row r="3525" spans="1:13" x14ac:dyDescent="0.2">
      <c r="A3525">
        <v>683968</v>
      </c>
      <c r="B3525" s="1">
        <v>44722</v>
      </c>
      <c r="C3525">
        <v>95859</v>
      </c>
      <c r="D3525" t="s">
        <v>97</v>
      </c>
      <c r="E3525" t="s">
        <v>165</v>
      </c>
      <c r="F3525" t="s">
        <v>166</v>
      </c>
      <c r="G3525">
        <v>2</v>
      </c>
      <c r="H3525">
        <v>71.989999999999995</v>
      </c>
      <c r="I3525">
        <v>0.2</v>
      </c>
      <c r="J3525">
        <v>115.18</v>
      </c>
      <c r="K3525" t="s">
        <v>16</v>
      </c>
      <c r="L3525" t="s">
        <v>37</v>
      </c>
      <c r="M3525" t="s">
        <v>161</v>
      </c>
    </row>
    <row r="3526" spans="1:13" x14ac:dyDescent="0.2">
      <c r="A3526">
        <v>684132</v>
      </c>
      <c r="B3526" s="1">
        <v>45489</v>
      </c>
      <c r="C3526">
        <v>38557</v>
      </c>
      <c r="D3526" t="s">
        <v>44</v>
      </c>
      <c r="E3526" t="s">
        <v>74</v>
      </c>
      <c r="F3526" t="s">
        <v>75</v>
      </c>
      <c r="G3526">
        <v>4</v>
      </c>
      <c r="H3526">
        <v>2.09</v>
      </c>
      <c r="I3526">
        <v>0.3</v>
      </c>
      <c r="J3526">
        <v>5.85</v>
      </c>
      <c r="K3526" t="s">
        <v>36</v>
      </c>
      <c r="L3526" t="s">
        <v>17</v>
      </c>
    </row>
    <row r="3527" spans="1:13" x14ac:dyDescent="0.2">
      <c r="A3527">
        <v>684174</v>
      </c>
      <c r="B3527" s="1">
        <v>45526</v>
      </c>
      <c r="C3527">
        <v>49692</v>
      </c>
      <c r="D3527" t="s">
        <v>63</v>
      </c>
      <c r="E3527" t="s">
        <v>68</v>
      </c>
      <c r="F3527" t="s">
        <v>69</v>
      </c>
      <c r="G3527">
        <v>1</v>
      </c>
      <c r="H3527">
        <v>24.99</v>
      </c>
      <c r="J3527">
        <v>24.99</v>
      </c>
      <c r="K3527" t="s">
        <v>22</v>
      </c>
      <c r="L3527" t="s">
        <v>17</v>
      </c>
      <c r="M3527" t="s">
        <v>81</v>
      </c>
    </row>
    <row r="3528" spans="1:13" x14ac:dyDescent="0.2">
      <c r="A3528">
        <v>684480</v>
      </c>
      <c r="B3528" s="1">
        <v>45197</v>
      </c>
      <c r="C3528">
        <v>45438</v>
      </c>
      <c r="D3528" t="s">
        <v>97</v>
      </c>
      <c r="E3528" t="s">
        <v>151</v>
      </c>
      <c r="F3528" t="s">
        <v>152</v>
      </c>
      <c r="G3528">
        <v>1</v>
      </c>
      <c r="H3528">
        <v>34.99</v>
      </c>
      <c r="J3528">
        <v>34.99</v>
      </c>
      <c r="K3528" t="s">
        <v>53</v>
      </c>
      <c r="L3528" t="s">
        <v>17</v>
      </c>
      <c r="M3528" t="s">
        <v>24</v>
      </c>
    </row>
    <row r="3529" spans="1:13" x14ac:dyDescent="0.2">
      <c r="A3529">
        <v>684488</v>
      </c>
      <c r="B3529" s="1">
        <v>45392</v>
      </c>
      <c r="C3529">
        <v>70460</v>
      </c>
      <c r="D3529" t="s">
        <v>82</v>
      </c>
      <c r="E3529" t="s">
        <v>155</v>
      </c>
      <c r="F3529" t="s">
        <v>156</v>
      </c>
      <c r="G3529">
        <v>2</v>
      </c>
      <c r="H3529">
        <v>13.99</v>
      </c>
      <c r="I3529">
        <v>0.3</v>
      </c>
      <c r="J3529">
        <v>19.59</v>
      </c>
      <c r="K3529" t="s">
        <v>16</v>
      </c>
      <c r="L3529" t="s">
        <v>17</v>
      </c>
      <c r="M3529" t="s">
        <v>120</v>
      </c>
    </row>
    <row r="3530" spans="1:13" x14ac:dyDescent="0.2">
      <c r="A3530">
        <v>684599</v>
      </c>
      <c r="B3530" s="1">
        <v>45251</v>
      </c>
      <c r="C3530">
        <v>71581</v>
      </c>
      <c r="D3530" t="s">
        <v>48</v>
      </c>
      <c r="E3530" t="s">
        <v>109</v>
      </c>
      <c r="F3530" t="s">
        <v>110</v>
      </c>
      <c r="G3530">
        <v>1</v>
      </c>
      <c r="H3530">
        <v>6.64</v>
      </c>
      <c r="I3530">
        <v>0.05</v>
      </c>
      <c r="J3530">
        <v>6.31</v>
      </c>
      <c r="K3530" t="s">
        <v>36</v>
      </c>
      <c r="L3530" t="s">
        <v>37</v>
      </c>
      <c r="M3530" t="s">
        <v>81</v>
      </c>
    </row>
    <row r="3531" spans="1:13" x14ac:dyDescent="0.2">
      <c r="A3531">
        <v>684776</v>
      </c>
      <c r="B3531" s="2">
        <v>45079</v>
      </c>
      <c r="C3531">
        <v>15988</v>
      </c>
      <c r="D3531" t="s">
        <v>63</v>
      </c>
      <c r="E3531" t="s">
        <v>68</v>
      </c>
      <c r="F3531" t="s">
        <v>69</v>
      </c>
      <c r="G3531">
        <v>1</v>
      </c>
      <c r="H3531">
        <v>19.989999999999998</v>
      </c>
      <c r="I3531">
        <v>0.2</v>
      </c>
      <c r="J3531">
        <v>15.99</v>
      </c>
      <c r="K3531" t="s">
        <v>36</v>
      </c>
      <c r="L3531" t="s">
        <v>37</v>
      </c>
      <c r="M3531" t="s">
        <v>117</v>
      </c>
    </row>
    <row r="3532" spans="1:13" x14ac:dyDescent="0.2">
      <c r="A3532">
        <v>684862</v>
      </c>
      <c r="B3532" s="1">
        <v>44736</v>
      </c>
      <c r="C3532">
        <v>63760</v>
      </c>
      <c r="D3532" t="s">
        <v>63</v>
      </c>
      <c r="E3532" t="s">
        <v>131</v>
      </c>
      <c r="F3532" t="s">
        <v>132</v>
      </c>
      <c r="G3532">
        <v>3</v>
      </c>
      <c r="H3532">
        <v>3.49</v>
      </c>
      <c r="J3532">
        <v>10.47</v>
      </c>
      <c r="K3532" t="s">
        <v>32</v>
      </c>
      <c r="L3532" t="s">
        <v>23</v>
      </c>
      <c r="M3532" t="s">
        <v>33</v>
      </c>
    </row>
    <row r="3533" spans="1:13" x14ac:dyDescent="0.2">
      <c r="A3533">
        <v>685219</v>
      </c>
      <c r="B3533" s="1">
        <v>44791</v>
      </c>
      <c r="C3533">
        <v>53045</v>
      </c>
      <c r="D3533" t="s">
        <v>97</v>
      </c>
      <c r="E3533" t="s">
        <v>121</v>
      </c>
      <c r="F3533" t="s">
        <v>122</v>
      </c>
      <c r="G3533">
        <v>2</v>
      </c>
      <c r="H3533">
        <v>10.39</v>
      </c>
      <c r="I3533">
        <v>0.2</v>
      </c>
      <c r="J3533">
        <v>16.62</v>
      </c>
      <c r="K3533" t="s">
        <v>16</v>
      </c>
      <c r="L3533" t="s">
        <v>37</v>
      </c>
      <c r="M3533" t="s">
        <v>96</v>
      </c>
    </row>
    <row r="3534" spans="1:13" x14ac:dyDescent="0.2">
      <c r="A3534">
        <v>685343</v>
      </c>
      <c r="B3534" s="1">
        <v>45142</v>
      </c>
      <c r="C3534">
        <v>96581</v>
      </c>
      <c r="D3534" t="s">
        <v>40</v>
      </c>
      <c r="E3534" t="s">
        <v>41</v>
      </c>
      <c r="F3534" t="s">
        <v>42</v>
      </c>
      <c r="G3534">
        <v>5</v>
      </c>
      <c r="H3534">
        <v>4.79</v>
      </c>
      <c r="I3534">
        <v>0.2</v>
      </c>
      <c r="J3534">
        <v>19.16</v>
      </c>
      <c r="K3534" t="s">
        <v>16</v>
      </c>
      <c r="L3534" t="s">
        <v>17</v>
      </c>
      <c r="M3534" t="s">
        <v>43</v>
      </c>
    </row>
    <row r="3535" spans="1:13" x14ac:dyDescent="0.2">
      <c r="A3535">
        <v>685600</v>
      </c>
      <c r="B3535" s="1">
        <v>45130</v>
      </c>
      <c r="C3535">
        <v>29925</v>
      </c>
      <c r="D3535" t="s">
        <v>97</v>
      </c>
      <c r="E3535" t="s">
        <v>141</v>
      </c>
      <c r="F3535" t="s">
        <v>142</v>
      </c>
      <c r="G3535">
        <v>5</v>
      </c>
      <c r="H3535">
        <v>22.99</v>
      </c>
      <c r="J3535">
        <v>114.95</v>
      </c>
      <c r="K3535" t="s">
        <v>36</v>
      </c>
      <c r="L3535" t="s">
        <v>17</v>
      </c>
      <c r="M3535" t="s">
        <v>117</v>
      </c>
    </row>
    <row r="3536" spans="1:13" x14ac:dyDescent="0.2">
      <c r="A3536">
        <v>685675</v>
      </c>
      <c r="B3536" s="1">
        <v>45036</v>
      </c>
      <c r="C3536">
        <v>36321</v>
      </c>
      <c r="D3536" t="s">
        <v>85</v>
      </c>
      <c r="E3536" t="s">
        <v>129</v>
      </c>
      <c r="F3536" t="s">
        <v>130</v>
      </c>
      <c r="G3536">
        <v>1</v>
      </c>
      <c r="H3536">
        <v>7.64</v>
      </c>
      <c r="I3536">
        <v>0.15</v>
      </c>
      <c r="J3536">
        <v>6.49</v>
      </c>
      <c r="K3536" t="s">
        <v>95</v>
      </c>
      <c r="L3536" t="s">
        <v>17</v>
      </c>
      <c r="M3536" t="s">
        <v>47</v>
      </c>
    </row>
    <row r="3537" spans="1:13" x14ac:dyDescent="0.2">
      <c r="A3537">
        <v>685676</v>
      </c>
      <c r="B3537" s="1">
        <v>44781</v>
      </c>
      <c r="D3537" t="s">
        <v>82</v>
      </c>
      <c r="E3537" t="s">
        <v>168</v>
      </c>
      <c r="F3537" t="s">
        <v>169</v>
      </c>
      <c r="G3537">
        <v>2</v>
      </c>
      <c r="H3537">
        <v>8.99</v>
      </c>
      <c r="J3537">
        <v>17.98</v>
      </c>
      <c r="K3537" t="s">
        <v>22</v>
      </c>
      <c r="L3537" t="s">
        <v>17</v>
      </c>
      <c r="M3537" t="s">
        <v>96</v>
      </c>
    </row>
    <row r="3538" spans="1:13" x14ac:dyDescent="0.2">
      <c r="A3538">
        <v>685698</v>
      </c>
      <c r="B3538" s="1">
        <v>44922</v>
      </c>
      <c r="C3538">
        <v>42362</v>
      </c>
      <c r="D3538" t="s">
        <v>85</v>
      </c>
      <c r="E3538" t="s">
        <v>153</v>
      </c>
      <c r="F3538" t="s">
        <v>154</v>
      </c>
      <c r="G3538">
        <v>1</v>
      </c>
      <c r="H3538">
        <v>26.99</v>
      </c>
      <c r="I3538">
        <v>0.1</v>
      </c>
      <c r="J3538">
        <v>24.29</v>
      </c>
      <c r="K3538" t="s">
        <v>66</v>
      </c>
      <c r="L3538" t="s">
        <v>17</v>
      </c>
      <c r="M3538" t="s">
        <v>47</v>
      </c>
    </row>
    <row r="3539" spans="1:13" x14ac:dyDescent="0.2">
      <c r="A3539">
        <v>685761</v>
      </c>
      <c r="B3539" s="1">
        <v>45123</v>
      </c>
      <c r="C3539">
        <v>31605</v>
      </c>
      <c r="D3539" t="s">
        <v>13</v>
      </c>
      <c r="E3539" t="s">
        <v>79</v>
      </c>
      <c r="F3539" t="s">
        <v>80</v>
      </c>
      <c r="G3539">
        <v>5</v>
      </c>
      <c r="H3539">
        <v>76.489999999999995</v>
      </c>
      <c r="I3539">
        <v>0.15</v>
      </c>
      <c r="J3539">
        <v>325.08</v>
      </c>
      <c r="K3539" t="s">
        <v>95</v>
      </c>
      <c r="L3539" t="s">
        <v>17</v>
      </c>
      <c r="M3539" t="s">
        <v>47</v>
      </c>
    </row>
    <row r="3540" spans="1:13" x14ac:dyDescent="0.2">
      <c r="A3540">
        <v>685836</v>
      </c>
      <c r="B3540" s="1">
        <v>45587</v>
      </c>
      <c r="C3540">
        <v>91981</v>
      </c>
      <c r="D3540" t="s">
        <v>85</v>
      </c>
      <c r="E3540" t="s">
        <v>145</v>
      </c>
      <c r="F3540" t="s">
        <v>146</v>
      </c>
      <c r="G3540">
        <v>1</v>
      </c>
      <c r="H3540">
        <v>14.44</v>
      </c>
      <c r="I3540">
        <v>0.15</v>
      </c>
      <c r="J3540">
        <v>12.27</v>
      </c>
      <c r="K3540" t="s">
        <v>36</v>
      </c>
      <c r="L3540" t="s">
        <v>37</v>
      </c>
      <c r="M3540" t="s">
        <v>28</v>
      </c>
    </row>
    <row r="3541" spans="1:13" x14ac:dyDescent="0.2">
      <c r="A3541">
        <v>686091</v>
      </c>
      <c r="B3541" s="1">
        <v>45287</v>
      </c>
      <c r="C3541">
        <v>82852</v>
      </c>
      <c r="D3541" t="s">
        <v>40</v>
      </c>
      <c r="E3541" t="s">
        <v>115</v>
      </c>
      <c r="F3541" t="s">
        <v>116</v>
      </c>
      <c r="G3541">
        <v>2</v>
      </c>
      <c r="H3541">
        <v>9.09</v>
      </c>
      <c r="I3541">
        <v>0.3</v>
      </c>
      <c r="J3541">
        <v>12.73</v>
      </c>
      <c r="K3541" t="s">
        <v>36</v>
      </c>
      <c r="L3541" t="s">
        <v>17</v>
      </c>
      <c r="M3541" t="s">
        <v>57</v>
      </c>
    </row>
    <row r="3542" spans="1:13" x14ac:dyDescent="0.2">
      <c r="A3542">
        <v>686330</v>
      </c>
      <c r="B3542" s="1">
        <v>44925</v>
      </c>
      <c r="C3542">
        <v>66011</v>
      </c>
      <c r="D3542" t="s">
        <v>25</v>
      </c>
      <c r="E3542" t="s">
        <v>51</v>
      </c>
      <c r="F3542" t="s">
        <v>52</v>
      </c>
      <c r="G3542">
        <v>1</v>
      </c>
      <c r="H3542">
        <v>23.79</v>
      </c>
      <c r="I3542">
        <v>0.15</v>
      </c>
      <c r="J3542">
        <v>20.22</v>
      </c>
      <c r="K3542" t="s">
        <v>95</v>
      </c>
      <c r="L3542" t="s">
        <v>17</v>
      </c>
      <c r="M3542" t="s">
        <v>67</v>
      </c>
    </row>
    <row r="3543" spans="1:13" x14ac:dyDescent="0.2">
      <c r="A3543">
        <v>686662</v>
      </c>
      <c r="B3543" s="1">
        <v>44626</v>
      </c>
      <c r="C3543">
        <v>53492</v>
      </c>
      <c r="D3543" t="s">
        <v>25</v>
      </c>
      <c r="E3543" t="s">
        <v>70</v>
      </c>
      <c r="F3543" t="s">
        <v>71</v>
      </c>
      <c r="G3543">
        <v>1</v>
      </c>
      <c r="H3543">
        <v>67.489999999999995</v>
      </c>
      <c r="I3543">
        <v>0.25</v>
      </c>
      <c r="J3543">
        <v>50.62</v>
      </c>
      <c r="K3543" t="s">
        <v>36</v>
      </c>
      <c r="L3543" t="s">
        <v>37</v>
      </c>
      <c r="M3543" t="s">
        <v>57</v>
      </c>
    </row>
    <row r="3544" spans="1:13" x14ac:dyDescent="0.2">
      <c r="A3544">
        <v>686676</v>
      </c>
      <c r="B3544" s="2">
        <v>44861</v>
      </c>
      <c r="C3544">
        <v>44477</v>
      </c>
      <c r="D3544" t="s">
        <v>97</v>
      </c>
      <c r="E3544" t="s">
        <v>165</v>
      </c>
      <c r="F3544" t="s">
        <v>166</v>
      </c>
      <c r="G3544">
        <v>4</v>
      </c>
      <c r="H3544">
        <v>89.99</v>
      </c>
      <c r="J3544">
        <v>359.96</v>
      </c>
      <c r="K3544" t="s">
        <v>36</v>
      </c>
      <c r="L3544" t="s">
        <v>37</v>
      </c>
      <c r="M3544" t="s">
        <v>103</v>
      </c>
    </row>
    <row r="3545" spans="1:13" x14ac:dyDescent="0.2">
      <c r="A3545">
        <v>686757</v>
      </c>
      <c r="B3545" s="1">
        <v>45253</v>
      </c>
      <c r="C3545">
        <v>44789</v>
      </c>
      <c r="D3545" t="s">
        <v>48</v>
      </c>
      <c r="E3545" t="s">
        <v>109</v>
      </c>
      <c r="F3545" t="s">
        <v>110</v>
      </c>
      <c r="G3545">
        <v>5</v>
      </c>
      <c r="H3545">
        <v>6.29</v>
      </c>
      <c r="I3545">
        <v>0.1</v>
      </c>
      <c r="J3545">
        <v>28.3</v>
      </c>
      <c r="K3545" t="s">
        <v>16</v>
      </c>
      <c r="L3545" t="s">
        <v>17</v>
      </c>
      <c r="M3545" t="s">
        <v>62</v>
      </c>
    </row>
    <row r="3546" spans="1:13" x14ac:dyDescent="0.2">
      <c r="A3546">
        <v>686776</v>
      </c>
      <c r="B3546" s="1">
        <v>44625</v>
      </c>
      <c r="C3546">
        <v>56873</v>
      </c>
      <c r="D3546" t="s">
        <v>25</v>
      </c>
      <c r="E3546" t="s">
        <v>60</v>
      </c>
      <c r="F3546" t="s">
        <v>61</v>
      </c>
      <c r="G3546">
        <v>1</v>
      </c>
      <c r="H3546">
        <v>54.99</v>
      </c>
      <c r="J3546">
        <v>54.99</v>
      </c>
      <c r="K3546" t="s">
        <v>16</v>
      </c>
      <c r="L3546" t="s">
        <v>17</v>
      </c>
      <c r="M3546" t="s">
        <v>96</v>
      </c>
    </row>
    <row r="3547" spans="1:13" x14ac:dyDescent="0.2">
      <c r="A3547">
        <v>687150</v>
      </c>
      <c r="B3547" s="1">
        <v>45535</v>
      </c>
      <c r="C3547">
        <v>36679</v>
      </c>
      <c r="D3547" t="s">
        <v>25</v>
      </c>
      <c r="E3547" t="s">
        <v>51</v>
      </c>
      <c r="F3547" t="s">
        <v>52</v>
      </c>
      <c r="G3547">
        <v>3</v>
      </c>
      <c r="H3547">
        <v>19.59</v>
      </c>
      <c r="I3547">
        <v>0.3</v>
      </c>
      <c r="J3547">
        <v>41.14</v>
      </c>
      <c r="K3547" t="s">
        <v>95</v>
      </c>
      <c r="L3547" t="s">
        <v>17</v>
      </c>
      <c r="M3547" t="s">
        <v>81</v>
      </c>
    </row>
    <row r="3548" spans="1:13" x14ac:dyDescent="0.2">
      <c r="A3548">
        <v>687240</v>
      </c>
      <c r="B3548" s="1">
        <v>45485</v>
      </c>
      <c r="C3548">
        <v>77463</v>
      </c>
      <c r="D3548" t="s">
        <v>25</v>
      </c>
      <c r="E3548" t="s">
        <v>51</v>
      </c>
      <c r="F3548" t="s">
        <v>52</v>
      </c>
      <c r="G3548">
        <v>5</v>
      </c>
      <c r="H3548">
        <v>25.19</v>
      </c>
      <c r="I3548">
        <v>0.1</v>
      </c>
      <c r="J3548">
        <v>113.36</v>
      </c>
      <c r="K3548" t="s">
        <v>36</v>
      </c>
      <c r="L3548" t="s">
        <v>17</v>
      </c>
      <c r="M3548" t="s">
        <v>117</v>
      </c>
    </row>
    <row r="3549" spans="1:13" x14ac:dyDescent="0.2">
      <c r="A3549">
        <v>687306</v>
      </c>
      <c r="B3549" s="1">
        <v>44928</v>
      </c>
      <c r="D3549" t="s">
        <v>48</v>
      </c>
      <c r="E3549" t="s">
        <v>118</v>
      </c>
      <c r="F3549" t="s">
        <v>119</v>
      </c>
      <c r="G3549">
        <v>1</v>
      </c>
      <c r="H3549">
        <v>4.99</v>
      </c>
      <c r="J3549">
        <v>4.99</v>
      </c>
      <c r="K3549" t="s">
        <v>36</v>
      </c>
      <c r="L3549" t="s">
        <v>17</v>
      </c>
      <c r="M3549" t="s">
        <v>76</v>
      </c>
    </row>
    <row r="3550" spans="1:13" x14ac:dyDescent="0.2">
      <c r="A3550">
        <v>687378</v>
      </c>
      <c r="B3550" s="1">
        <v>44943</v>
      </c>
      <c r="D3550" t="s">
        <v>13</v>
      </c>
      <c r="E3550" t="s">
        <v>79</v>
      </c>
      <c r="F3550" t="s">
        <v>80</v>
      </c>
      <c r="G3550">
        <v>1</v>
      </c>
      <c r="H3550">
        <v>89.99</v>
      </c>
      <c r="J3550">
        <v>89.99</v>
      </c>
      <c r="K3550" t="s">
        <v>36</v>
      </c>
      <c r="L3550" t="s">
        <v>17</v>
      </c>
      <c r="M3550" t="s">
        <v>117</v>
      </c>
    </row>
    <row r="3551" spans="1:13" x14ac:dyDescent="0.2">
      <c r="A3551">
        <v>687732</v>
      </c>
      <c r="B3551" s="1">
        <v>45218</v>
      </c>
      <c r="C3551">
        <v>35561</v>
      </c>
      <c r="D3551" t="s">
        <v>82</v>
      </c>
      <c r="E3551" t="s">
        <v>100</v>
      </c>
      <c r="F3551" t="s">
        <v>101</v>
      </c>
      <c r="G3551">
        <v>5</v>
      </c>
      <c r="H3551">
        <v>19.54</v>
      </c>
      <c r="I3551">
        <v>0.15</v>
      </c>
      <c r="J3551">
        <v>83.04</v>
      </c>
      <c r="K3551" t="s">
        <v>16</v>
      </c>
      <c r="L3551" t="s">
        <v>17</v>
      </c>
      <c r="M3551" t="s">
        <v>96</v>
      </c>
    </row>
    <row r="3552" spans="1:13" x14ac:dyDescent="0.2">
      <c r="A3552">
        <v>688296</v>
      </c>
      <c r="B3552" s="1">
        <v>44642</v>
      </c>
      <c r="C3552">
        <v>14858</v>
      </c>
      <c r="D3552" t="s">
        <v>85</v>
      </c>
      <c r="E3552" t="s">
        <v>129</v>
      </c>
      <c r="F3552" t="s">
        <v>130</v>
      </c>
      <c r="G3552">
        <v>2</v>
      </c>
      <c r="H3552">
        <v>8.09</v>
      </c>
      <c r="I3552">
        <v>0.1</v>
      </c>
      <c r="J3552">
        <v>14.56</v>
      </c>
      <c r="K3552" t="s">
        <v>16</v>
      </c>
      <c r="L3552" t="s">
        <v>17</v>
      </c>
      <c r="M3552" t="s">
        <v>103</v>
      </c>
    </row>
    <row r="3553" spans="1:13" x14ac:dyDescent="0.2">
      <c r="A3553">
        <v>688437</v>
      </c>
      <c r="B3553" s="1">
        <v>44898</v>
      </c>
      <c r="C3553">
        <v>85602</v>
      </c>
      <c r="D3553" t="s">
        <v>25</v>
      </c>
      <c r="E3553" t="s">
        <v>60</v>
      </c>
      <c r="F3553" t="s">
        <v>61</v>
      </c>
      <c r="G3553">
        <v>2</v>
      </c>
      <c r="H3553">
        <v>46.74</v>
      </c>
      <c r="I3553">
        <v>0.15</v>
      </c>
      <c r="J3553">
        <v>79.459999999999994</v>
      </c>
      <c r="K3553" t="s">
        <v>16</v>
      </c>
      <c r="L3553" t="s">
        <v>23</v>
      </c>
      <c r="M3553" t="s">
        <v>76</v>
      </c>
    </row>
    <row r="3554" spans="1:13" x14ac:dyDescent="0.2">
      <c r="A3554">
        <v>688464</v>
      </c>
      <c r="B3554" s="2">
        <v>44640</v>
      </c>
      <c r="C3554">
        <v>94141</v>
      </c>
      <c r="D3554" t="s">
        <v>40</v>
      </c>
      <c r="E3554" t="s">
        <v>20</v>
      </c>
      <c r="F3554" t="s">
        <v>21</v>
      </c>
      <c r="G3554">
        <v>2</v>
      </c>
      <c r="H3554">
        <v>9.99</v>
      </c>
      <c r="J3554">
        <v>19.98</v>
      </c>
      <c r="K3554" t="s">
        <v>16</v>
      </c>
      <c r="L3554" t="s">
        <v>37</v>
      </c>
      <c r="M3554" t="s">
        <v>81</v>
      </c>
    </row>
    <row r="3555" spans="1:13" x14ac:dyDescent="0.2">
      <c r="A3555">
        <v>688922</v>
      </c>
      <c r="B3555" s="1">
        <v>45515</v>
      </c>
      <c r="C3555">
        <v>38503</v>
      </c>
      <c r="D3555" t="s">
        <v>13</v>
      </c>
      <c r="E3555" t="s">
        <v>104</v>
      </c>
      <c r="F3555" t="s">
        <v>105</v>
      </c>
      <c r="G3555">
        <v>5</v>
      </c>
      <c r="H3555">
        <v>25.49</v>
      </c>
      <c r="I3555">
        <v>0.15</v>
      </c>
      <c r="J3555">
        <v>108.33</v>
      </c>
      <c r="K3555" t="s">
        <v>16</v>
      </c>
      <c r="L3555" t="s">
        <v>17</v>
      </c>
      <c r="M3555" t="s">
        <v>161</v>
      </c>
    </row>
    <row r="3556" spans="1:13" x14ac:dyDescent="0.2">
      <c r="A3556">
        <v>689226</v>
      </c>
      <c r="B3556" s="1">
        <v>45070</v>
      </c>
      <c r="C3556">
        <v>81063</v>
      </c>
      <c r="D3556" t="s">
        <v>13</v>
      </c>
      <c r="E3556" t="s">
        <v>104</v>
      </c>
      <c r="F3556" t="s">
        <v>105</v>
      </c>
      <c r="G3556">
        <v>3</v>
      </c>
      <c r="H3556">
        <v>29.99</v>
      </c>
      <c r="J3556">
        <v>89.97</v>
      </c>
      <c r="K3556" t="s">
        <v>16</v>
      </c>
      <c r="L3556" t="s">
        <v>17</v>
      </c>
      <c r="M3556" t="s">
        <v>47</v>
      </c>
    </row>
    <row r="3557" spans="1:13" x14ac:dyDescent="0.2">
      <c r="A3557">
        <v>689271</v>
      </c>
      <c r="B3557" s="1">
        <v>45125</v>
      </c>
      <c r="D3557" t="s">
        <v>29</v>
      </c>
      <c r="E3557" t="s">
        <v>88</v>
      </c>
      <c r="F3557" t="s">
        <v>89</v>
      </c>
      <c r="G3557">
        <v>3</v>
      </c>
      <c r="H3557">
        <v>34.99</v>
      </c>
      <c r="I3557">
        <v>0.3</v>
      </c>
      <c r="J3557">
        <v>73.48</v>
      </c>
      <c r="K3557" t="s">
        <v>95</v>
      </c>
      <c r="L3557" t="s">
        <v>37</v>
      </c>
      <c r="M3557" t="s">
        <v>117</v>
      </c>
    </row>
    <row r="3558" spans="1:13" x14ac:dyDescent="0.2">
      <c r="A3558">
        <v>689333</v>
      </c>
      <c r="B3558" s="1">
        <v>44628</v>
      </c>
      <c r="C3558">
        <v>37925</v>
      </c>
      <c r="D3558" t="s">
        <v>13</v>
      </c>
      <c r="E3558" t="s">
        <v>159</v>
      </c>
      <c r="F3558" t="s">
        <v>160</v>
      </c>
      <c r="G3558">
        <v>4</v>
      </c>
      <c r="H3558">
        <v>47.99</v>
      </c>
      <c r="I3558">
        <v>0.2</v>
      </c>
      <c r="J3558">
        <v>153.57</v>
      </c>
      <c r="K3558" t="s">
        <v>36</v>
      </c>
      <c r="L3558" t="s">
        <v>23</v>
      </c>
      <c r="M3558" t="s">
        <v>54</v>
      </c>
    </row>
    <row r="3559" spans="1:13" x14ac:dyDescent="0.2">
      <c r="A3559">
        <v>689335</v>
      </c>
      <c r="B3559" s="1">
        <v>44759</v>
      </c>
      <c r="C3559">
        <v>13132</v>
      </c>
      <c r="D3559" t="s">
        <v>29</v>
      </c>
      <c r="E3559" t="s">
        <v>88</v>
      </c>
      <c r="F3559" t="s">
        <v>89</v>
      </c>
      <c r="G3559">
        <v>1</v>
      </c>
      <c r="H3559">
        <v>44.99</v>
      </c>
      <c r="I3559">
        <v>0.1</v>
      </c>
      <c r="J3559">
        <v>40.49</v>
      </c>
      <c r="K3559" t="s">
        <v>95</v>
      </c>
      <c r="L3559" t="s">
        <v>17</v>
      </c>
      <c r="M3559" t="s">
        <v>24</v>
      </c>
    </row>
    <row r="3560" spans="1:13" x14ac:dyDescent="0.2">
      <c r="A3560">
        <v>689429</v>
      </c>
      <c r="B3560" s="1">
        <v>45036</v>
      </c>
      <c r="C3560">
        <v>80743</v>
      </c>
      <c r="D3560" t="s">
        <v>63</v>
      </c>
      <c r="E3560" t="s">
        <v>111</v>
      </c>
      <c r="F3560" t="s">
        <v>112</v>
      </c>
      <c r="G3560">
        <v>5</v>
      </c>
      <c r="H3560">
        <v>10.49</v>
      </c>
      <c r="I3560">
        <v>0.3</v>
      </c>
      <c r="J3560">
        <v>36.71</v>
      </c>
      <c r="K3560" t="s">
        <v>16</v>
      </c>
      <c r="L3560" t="s">
        <v>17</v>
      </c>
      <c r="M3560" t="s">
        <v>96</v>
      </c>
    </row>
    <row r="3561" spans="1:13" x14ac:dyDescent="0.2">
      <c r="A3561">
        <v>689807</v>
      </c>
      <c r="B3561" s="1">
        <v>44731</v>
      </c>
      <c r="C3561">
        <v>58766</v>
      </c>
      <c r="D3561" t="s">
        <v>44</v>
      </c>
      <c r="E3561" t="s">
        <v>172</v>
      </c>
      <c r="F3561" t="s">
        <v>173</v>
      </c>
      <c r="G3561">
        <v>1</v>
      </c>
      <c r="H3561">
        <v>4.49</v>
      </c>
      <c r="J3561">
        <v>4.49</v>
      </c>
      <c r="K3561" t="s">
        <v>16</v>
      </c>
      <c r="L3561" t="s">
        <v>17</v>
      </c>
      <c r="M3561" t="s">
        <v>43</v>
      </c>
    </row>
    <row r="3562" spans="1:13" x14ac:dyDescent="0.2">
      <c r="A3562">
        <v>689893</v>
      </c>
      <c r="B3562" s="1">
        <v>45197</v>
      </c>
      <c r="C3562">
        <v>82370</v>
      </c>
      <c r="D3562" t="s">
        <v>82</v>
      </c>
      <c r="E3562" t="s">
        <v>168</v>
      </c>
      <c r="F3562" t="s">
        <v>169</v>
      </c>
      <c r="G3562">
        <v>4</v>
      </c>
      <c r="H3562">
        <v>6.29</v>
      </c>
      <c r="I3562">
        <v>0.3</v>
      </c>
      <c r="J3562">
        <v>17.61</v>
      </c>
      <c r="K3562" t="s">
        <v>16</v>
      </c>
      <c r="L3562" t="s">
        <v>37</v>
      </c>
      <c r="M3562" t="s">
        <v>161</v>
      </c>
    </row>
    <row r="3563" spans="1:13" x14ac:dyDescent="0.2">
      <c r="A3563">
        <v>690480</v>
      </c>
      <c r="B3563" s="2">
        <v>45343</v>
      </c>
      <c r="C3563">
        <v>13067</v>
      </c>
      <c r="D3563" t="s">
        <v>44</v>
      </c>
      <c r="E3563" t="s">
        <v>172</v>
      </c>
      <c r="F3563" t="s">
        <v>173</v>
      </c>
      <c r="G3563">
        <v>4</v>
      </c>
      <c r="H3563">
        <v>3.82</v>
      </c>
      <c r="I3563">
        <v>0.15</v>
      </c>
      <c r="J3563">
        <v>12.99</v>
      </c>
      <c r="K3563" t="s">
        <v>36</v>
      </c>
      <c r="L3563" t="s">
        <v>17</v>
      </c>
      <c r="M3563" t="s">
        <v>33</v>
      </c>
    </row>
    <row r="3564" spans="1:13" x14ac:dyDescent="0.2">
      <c r="A3564">
        <v>690649</v>
      </c>
      <c r="B3564" s="1">
        <v>44636</v>
      </c>
      <c r="C3564">
        <v>36012</v>
      </c>
      <c r="D3564" t="s">
        <v>48</v>
      </c>
      <c r="E3564" t="s">
        <v>49</v>
      </c>
      <c r="F3564" t="s">
        <v>50</v>
      </c>
      <c r="G3564">
        <v>5</v>
      </c>
      <c r="H3564">
        <v>8.5399999999999991</v>
      </c>
      <c r="I3564">
        <v>0.05</v>
      </c>
      <c r="J3564">
        <v>40.56</v>
      </c>
      <c r="K3564" t="s">
        <v>36</v>
      </c>
      <c r="L3564" t="s">
        <v>17</v>
      </c>
      <c r="M3564" t="s">
        <v>62</v>
      </c>
    </row>
    <row r="3565" spans="1:13" x14ac:dyDescent="0.2">
      <c r="A3565">
        <v>690686</v>
      </c>
      <c r="B3565" s="1">
        <v>45150</v>
      </c>
      <c r="C3565">
        <v>72898</v>
      </c>
      <c r="D3565" t="s">
        <v>25</v>
      </c>
      <c r="E3565" t="s">
        <v>51</v>
      </c>
      <c r="F3565" t="s">
        <v>52</v>
      </c>
      <c r="G3565">
        <v>2</v>
      </c>
      <c r="H3565">
        <v>20.99</v>
      </c>
      <c r="I3565">
        <v>0.25</v>
      </c>
      <c r="J3565">
        <v>31.48</v>
      </c>
      <c r="K3565" t="s">
        <v>16</v>
      </c>
      <c r="L3565" t="s">
        <v>37</v>
      </c>
    </row>
    <row r="3566" spans="1:13" x14ac:dyDescent="0.2">
      <c r="A3566">
        <v>690730</v>
      </c>
      <c r="B3566" s="1">
        <v>44869</v>
      </c>
      <c r="C3566">
        <v>18283</v>
      </c>
      <c r="D3566" t="s">
        <v>44</v>
      </c>
      <c r="E3566" t="s">
        <v>133</v>
      </c>
      <c r="F3566" t="s">
        <v>134</v>
      </c>
      <c r="G3566">
        <v>2</v>
      </c>
      <c r="H3566">
        <v>2.65</v>
      </c>
      <c r="I3566">
        <v>0.3</v>
      </c>
      <c r="J3566">
        <v>3.71</v>
      </c>
      <c r="K3566" t="s">
        <v>16</v>
      </c>
      <c r="L3566" t="s">
        <v>17</v>
      </c>
      <c r="M3566" t="s">
        <v>76</v>
      </c>
    </row>
    <row r="3567" spans="1:13" x14ac:dyDescent="0.2">
      <c r="A3567">
        <v>690796</v>
      </c>
      <c r="B3567" s="1">
        <v>44792</v>
      </c>
      <c r="D3567" t="s">
        <v>13</v>
      </c>
      <c r="E3567" t="s">
        <v>127</v>
      </c>
      <c r="F3567" t="s">
        <v>128</v>
      </c>
      <c r="G3567">
        <v>1</v>
      </c>
      <c r="H3567">
        <v>19.989999999999998</v>
      </c>
      <c r="J3567">
        <v>19.989999999999998</v>
      </c>
      <c r="K3567" t="s">
        <v>16</v>
      </c>
      <c r="L3567" t="s">
        <v>17</v>
      </c>
      <c r="M3567" t="s">
        <v>67</v>
      </c>
    </row>
    <row r="3568" spans="1:13" x14ac:dyDescent="0.2">
      <c r="A3568">
        <v>690928</v>
      </c>
      <c r="B3568" s="1">
        <v>45233</v>
      </c>
      <c r="C3568">
        <v>27175</v>
      </c>
      <c r="D3568" t="s">
        <v>48</v>
      </c>
      <c r="E3568" t="s">
        <v>109</v>
      </c>
      <c r="F3568" t="s">
        <v>110</v>
      </c>
      <c r="G3568">
        <v>3</v>
      </c>
      <c r="H3568">
        <v>6.29</v>
      </c>
      <c r="I3568">
        <v>0.1</v>
      </c>
      <c r="J3568">
        <v>16.98</v>
      </c>
      <c r="K3568" t="s">
        <v>53</v>
      </c>
      <c r="L3568" t="s">
        <v>17</v>
      </c>
      <c r="M3568" t="s">
        <v>47</v>
      </c>
    </row>
    <row r="3569" spans="1:13" x14ac:dyDescent="0.2">
      <c r="A3569">
        <v>691071</v>
      </c>
      <c r="B3569" s="1">
        <v>44977</v>
      </c>
      <c r="C3569">
        <v>42934</v>
      </c>
      <c r="D3569" t="s">
        <v>44</v>
      </c>
      <c r="E3569" t="s">
        <v>133</v>
      </c>
      <c r="F3569" t="s">
        <v>134</v>
      </c>
      <c r="G3569">
        <v>2</v>
      </c>
      <c r="H3569">
        <v>3.41</v>
      </c>
      <c r="I3569">
        <v>0.1</v>
      </c>
      <c r="J3569">
        <v>6.14</v>
      </c>
      <c r="K3569" t="s">
        <v>16</v>
      </c>
      <c r="L3569" t="s">
        <v>17</v>
      </c>
      <c r="M3569" t="s">
        <v>43</v>
      </c>
    </row>
    <row r="3570" spans="1:13" x14ac:dyDescent="0.2">
      <c r="A3570">
        <v>691485</v>
      </c>
      <c r="B3570" s="2">
        <v>45489</v>
      </c>
      <c r="C3570">
        <v>96957</v>
      </c>
      <c r="D3570" t="s">
        <v>63</v>
      </c>
      <c r="E3570" t="s">
        <v>68</v>
      </c>
      <c r="F3570" t="s">
        <v>69</v>
      </c>
      <c r="G3570">
        <v>4</v>
      </c>
      <c r="H3570">
        <v>24.99</v>
      </c>
      <c r="J3570">
        <v>99.96</v>
      </c>
      <c r="K3570" t="s">
        <v>16</v>
      </c>
      <c r="L3570" t="s">
        <v>37</v>
      </c>
      <c r="M3570" t="s">
        <v>47</v>
      </c>
    </row>
    <row r="3571" spans="1:13" x14ac:dyDescent="0.2">
      <c r="A3571">
        <v>691497</v>
      </c>
      <c r="B3571" s="1">
        <v>45549</v>
      </c>
      <c r="C3571">
        <v>93861</v>
      </c>
      <c r="D3571" t="s">
        <v>97</v>
      </c>
      <c r="E3571" t="s">
        <v>121</v>
      </c>
      <c r="F3571" t="s">
        <v>122</v>
      </c>
      <c r="G3571">
        <v>3</v>
      </c>
      <c r="H3571">
        <v>9.09</v>
      </c>
      <c r="I3571">
        <v>0.3</v>
      </c>
      <c r="J3571">
        <v>19.09</v>
      </c>
      <c r="K3571" t="s">
        <v>16</v>
      </c>
      <c r="L3571" t="s">
        <v>37</v>
      </c>
      <c r="M3571" t="s">
        <v>81</v>
      </c>
    </row>
    <row r="3572" spans="1:13" x14ac:dyDescent="0.2">
      <c r="A3572">
        <v>691591</v>
      </c>
      <c r="B3572" s="1">
        <v>45204</v>
      </c>
      <c r="C3572">
        <v>94620</v>
      </c>
      <c r="D3572" t="s">
        <v>63</v>
      </c>
      <c r="E3572" t="s">
        <v>131</v>
      </c>
      <c r="F3572" t="s">
        <v>132</v>
      </c>
      <c r="G3572">
        <v>1</v>
      </c>
      <c r="H3572">
        <v>3.49</v>
      </c>
      <c r="J3572">
        <v>3.49</v>
      </c>
      <c r="K3572" t="s">
        <v>16</v>
      </c>
      <c r="L3572" t="s">
        <v>23</v>
      </c>
      <c r="M3572" t="s">
        <v>96</v>
      </c>
    </row>
    <row r="3573" spans="1:13" x14ac:dyDescent="0.2">
      <c r="A3573">
        <v>691641</v>
      </c>
      <c r="B3573" s="1">
        <v>44938</v>
      </c>
      <c r="C3573">
        <v>62482</v>
      </c>
      <c r="D3573" t="s">
        <v>48</v>
      </c>
      <c r="E3573" t="s">
        <v>139</v>
      </c>
      <c r="F3573" t="s">
        <v>140</v>
      </c>
      <c r="G3573">
        <v>1</v>
      </c>
      <c r="H3573">
        <v>7.99</v>
      </c>
      <c r="J3573">
        <v>7.99</v>
      </c>
      <c r="K3573" t="s">
        <v>22</v>
      </c>
      <c r="L3573" t="s">
        <v>23</v>
      </c>
      <c r="M3573" t="s">
        <v>28</v>
      </c>
    </row>
    <row r="3574" spans="1:13" x14ac:dyDescent="0.2">
      <c r="A3574">
        <v>691805</v>
      </c>
      <c r="B3574" s="1">
        <v>44783</v>
      </c>
      <c r="C3574">
        <v>17516</v>
      </c>
      <c r="D3574" t="s">
        <v>29</v>
      </c>
      <c r="E3574" t="s">
        <v>38</v>
      </c>
      <c r="F3574" t="s">
        <v>39</v>
      </c>
      <c r="G3574">
        <v>1</v>
      </c>
      <c r="H3574">
        <v>22.49</v>
      </c>
      <c r="I3574">
        <v>0.25</v>
      </c>
      <c r="J3574">
        <v>16.87</v>
      </c>
      <c r="K3574" t="s">
        <v>16</v>
      </c>
      <c r="L3574" t="s">
        <v>37</v>
      </c>
      <c r="M3574" t="s">
        <v>102</v>
      </c>
    </row>
    <row r="3575" spans="1:13" x14ac:dyDescent="0.2">
      <c r="A3575">
        <v>691953</v>
      </c>
      <c r="B3575" s="2">
        <v>44991</v>
      </c>
      <c r="C3575">
        <v>17051</v>
      </c>
      <c r="D3575" t="s">
        <v>25</v>
      </c>
      <c r="E3575" t="s">
        <v>60</v>
      </c>
      <c r="F3575" t="s">
        <v>61</v>
      </c>
      <c r="G3575">
        <v>4</v>
      </c>
      <c r="H3575">
        <v>43.99</v>
      </c>
      <c r="I3575">
        <v>0.2</v>
      </c>
      <c r="J3575">
        <v>140.77000000000001</v>
      </c>
      <c r="K3575" t="s">
        <v>95</v>
      </c>
      <c r="L3575" t="s">
        <v>37</v>
      </c>
      <c r="M3575" t="s">
        <v>81</v>
      </c>
    </row>
    <row r="3576" spans="1:13" x14ac:dyDescent="0.2">
      <c r="A3576">
        <v>692135</v>
      </c>
      <c r="B3576" s="1">
        <v>45006</v>
      </c>
      <c r="C3576">
        <v>65768</v>
      </c>
      <c r="D3576" t="s">
        <v>40</v>
      </c>
      <c r="E3576" t="s">
        <v>115</v>
      </c>
      <c r="F3576" t="s">
        <v>116</v>
      </c>
      <c r="G3576">
        <v>3</v>
      </c>
      <c r="H3576">
        <v>12.99</v>
      </c>
      <c r="J3576">
        <v>38.97</v>
      </c>
      <c r="K3576" t="s">
        <v>53</v>
      </c>
      <c r="L3576" t="s">
        <v>17</v>
      </c>
      <c r="M3576" t="s">
        <v>28</v>
      </c>
    </row>
    <row r="3577" spans="1:13" x14ac:dyDescent="0.2">
      <c r="A3577">
        <v>692185</v>
      </c>
      <c r="B3577" s="1">
        <v>45550</v>
      </c>
      <c r="C3577">
        <v>85821</v>
      </c>
      <c r="D3577" t="s">
        <v>44</v>
      </c>
      <c r="E3577" t="s">
        <v>184</v>
      </c>
      <c r="F3577" t="s">
        <v>185</v>
      </c>
      <c r="G3577">
        <v>2</v>
      </c>
      <c r="H3577">
        <v>3.84</v>
      </c>
      <c r="J3577">
        <v>7.68</v>
      </c>
      <c r="K3577" t="s">
        <v>36</v>
      </c>
      <c r="L3577" t="s">
        <v>37</v>
      </c>
      <c r="M3577" t="s">
        <v>28</v>
      </c>
    </row>
    <row r="3578" spans="1:13" x14ac:dyDescent="0.2">
      <c r="A3578">
        <v>692691</v>
      </c>
      <c r="B3578" s="2">
        <v>45327</v>
      </c>
      <c r="C3578">
        <v>26165</v>
      </c>
      <c r="D3578" t="s">
        <v>40</v>
      </c>
      <c r="E3578" t="s">
        <v>115</v>
      </c>
      <c r="F3578" t="s">
        <v>116</v>
      </c>
      <c r="G3578">
        <v>1</v>
      </c>
      <c r="H3578">
        <v>12.34</v>
      </c>
      <c r="I3578">
        <v>0.05</v>
      </c>
      <c r="J3578">
        <v>11.72</v>
      </c>
      <c r="K3578" t="s">
        <v>16</v>
      </c>
      <c r="L3578" t="s">
        <v>17</v>
      </c>
      <c r="M3578" t="s">
        <v>102</v>
      </c>
    </row>
    <row r="3579" spans="1:13" x14ac:dyDescent="0.2">
      <c r="A3579">
        <v>692761</v>
      </c>
      <c r="B3579" s="2">
        <v>45527</v>
      </c>
      <c r="C3579">
        <v>92590</v>
      </c>
      <c r="D3579" t="s">
        <v>44</v>
      </c>
      <c r="E3579" t="s">
        <v>195</v>
      </c>
      <c r="F3579" t="s">
        <v>196</v>
      </c>
      <c r="G3579">
        <v>1</v>
      </c>
      <c r="H3579">
        <v>4.49</v>
      </c>
      <c r="I3579">
        <v>0.1</v>
      </c>
      <c r="J3579">
        <v>4.04</v>
      </c>
      <c r="K3579" t="s">
        <v>32</v>
      </c>
      <c r="L3579" t="s">
        <v>17</v>
      </c>
      <c r="M3579" t="s">
        <v>90</v>
      </c>
    </row>
    <row r="3580" spans="1:13" x14ac:dyDescent="0.2">
      <c r="A3580">
        <v>692897</v>
      </c>
      <c r="B3580" s="2">
        <v>44659</v>
      </c>
      <c r="C3580">
        <v>46391</v>
      </c>
      <c r="D3580" t="s">
        <v>97</v>
      </c>
      <c r="E3580" t="s">
        <v>165</v>
      </c>
      <c r="F3580" t="s">
        <v>166</v>
      </c>
      <c r="G3580">
        <v>1</v>
      </c>
      <c r="H3580">
        <v>85.49</v>
      </c>
      <c r="I3580">
        <v>0.05</v>
      </c>
      <c r="J3580">
        <v>81.22</v>
      </c>
      <c r="K3580" t="s">
        <v>36</v>
      </c>
      <c r="L3580" t="s">
        <v>17</v>
      </c>
      <c r="M3580" t="s">
        <v>47</v>
      </c>
    </row>
    <row r="3581" spans="1:13" x14ac:dyDescent="0.2">
      <c r="A3581">
        <v>692965</v>
      </c>
      <c r="B3581" s="1">
        <v>45309</v>
      </c>
      <c r="C3581">
        <v>73358</v>
      </c>
      <c r="D3581" t="s">
        <v>40</v>
      </c>
      <c r="E3581" t="s">
        <v>20</v>
      </c>
      <c r="F3581" t="s">
        <v>21</v>
      </c>
      <c r="G3581">
        <v>3</v>
      </c>
      <c r="H3581">
        <v>9.99</v>
      </c>
      <c r="J3581">
        <v>29.97</v>
      </c>
      <c r="K3581" t="s">
        <v>32</v>
      </c>
      <c r="L3581" t="s">
        <v>17</v>
      </c>
      <c r="M3581" t="s">
        <v>24</v>
      </c>
    </row>
    <row r="3582" spans="1:13" x14ac:dyDescent="0.2">
      <c r="A3582">
        <v>692972</v>
      </c>
      <c r="B3582" s="2">
        <v>44735</v>
      </c>
      <c r="C3582">
        <v>21509</v>
      </c>
      <c r="D3582" t="s">
        <v>82</v>
      </c>
      <c r="E3582" t="s">
        <v>168</v>
      </c>
      <c r="F3582" t="s">
        <v>169</v>
      </c>
      <c r="G3582">
        <v>1</v>
      </c>
      <c r="H3582">
        <v>8.09</v>
      </c>
      <c r="I3582">
        <v>0.1</v>
      </c>
      <c r="J3582">
        <v>7.28</v>
      </c>
      <c r="K3582" t="s">
        <v>36</v>
      </c>
      <c r="L3582" t="s">
        <v>17</v>
      </c>
      <c r="M3582" t="s">
        <v>120</v>
      </c>
    </row>
    <row r="3583" spans="1:13" x14ac:dyDescent="0.2">
      <c r="A3583">
        <v>693461</v>
      </c>
      <c r="B3583" s="1">
        <v>44974</v>
      </c>
      <c r="C3583">
        <v>25565</v>
      </c>
      <c r="D3583" t="s">
        <v>29</v>
      </c>
      <c r="E3583" t="s">
        <v>175</v>
      </c>
      <c r="F3583" t="s">
        <v>176</v>
      </c>
      <c r="G3583">
        <v>3</v>
      </c>
      <c r="H3583">
        <v>10.19</v>
      </c>
      <c r="I3583">
        <v>0.15</v>
      </c>
      <c r="J3583">
        <v>25.98</v>
      </c>
      <c r="K3583" t="s">
        <v>95</v>
      </c>
      <c r="L3583" t="s">
        <v>23</v>
      </c>
      <c r="M3583" t="s">
        <v>120</v>
      </c>
    </row>
    <row r="3584" spans="1:13" x14ac:dyDescent="0.2">
      <c r="A3584">
        <v>693774</v>
      </c>
      <c r="B3584" s="1">
        <v>44803</v>
      </c>
      <c r="C3584">
        <v>29299</v>
      </c>
      <c r="D3584" t="s">
        <v>82</v>
      </c>
      <c r="E3584" t="s">
        <v>147</v>
      </c>
      <c r="F3584" t="s">
        <v>148</v>
      </c>
      <c r="G3584">
        <v>5</v>
      </c>
      <c r="H3584">
        <v>12.99</v>
      </c>
      <c r="J3584">
        <v>64.95</v>
      </c>
      <c r="K3584" t="s">
        <v>36</v>
      </c>
      <c r="L3584" t="s">
        <v>17</v>
      </c>
      <c r="M3584" t="s">
        <v>120</v>
      </c>
    </row>
    <row r="3585" spans="1:13" x14ac:dyDescent="0.2">
      <c r="A3585">
        <v>693829</v>
      </c>
      <c r="B3585" s="1">
        <v>45353</v>
      </c>
      <c r="D3585" t="s">
        <v>40</v>
      </c>
      <c r="E3585" t="s">
        <v>41</v>
      </c>
      <c r="F3585" t="s">
        <v>42</v>
      </c>
      <c r="G3585">
        <v>3</v>
      </c>
      <c r="H3585">
        <v>5.09</v>
      </c>
      <c r="I3585">
        <v>0.15</v>
      </c>
      <c r="J3585">
        <v>12.98</v>
      </c>
      <c r="K3585" t="s">
        <v>16</v>
      </c>
      <c r="L3585" t="s">
        <v>17</v>
      </c>
      <c r="M3585" t="s">
        <v>96</v>
      </c>
    </row>
    <row r="3586" spans="1:13" x14ac:dyDescent="0.2">
      <c r="A3586">
        <v>694423</v>
      </c>
      <c r="B3586" s="1">
        <v>45299</v>
      </c>
      <c r="C3586">
        <v>85223</v>
      </c>
      <c r="D3586" t="s">
        <v>40</v>
      </c>
      <c r="E3586" t="s">
        <v>41</v>
      </c>
      <c r="F3586" t="s">
        <v>42</v>
      </c>
      <c r="G3586">
        <v>2</v>
      </c>
      <c r="H3586">
        <v>5.99</v>
      </c>
      <c r="J3586">
        <v>11.98</v>
      </c>
      <c r="K3586" t="s">
        <v>22</v>
      </c>
      <c r="L3586" t="s">
        <v>17</v>
      </c>
      <c r="M3586" t="s">
        <v>47</v>
      </c>
    </row>
    <row r="3587" spans="1:13" x14ac:dyDescent="0.2">
      <c r="A3587">
        <v>694919</v>
      </c>
      <c r="B3587" s="1">
        <v>45466</v>
      </c>
      <c r="C3587">
        <v>21473</v>
      </c>
      <c r="D3587" t="s">
        <v>97</v>
      </c>
      <c r="E3587" t="s">
        <v>121</v>
      </c>
      <c r="F3587" t="s">
        <v>122</v>
      </c>
      <c r="G3587">
        <v>2</v>
      </c>
      <c r="H3587">
        <v>11.04</v>
      </c>
      <c r="I3587">
        <v>0.15</v>
      </c>
      <c r="J3587">
        <v>18.77</v>
      </c>
      <c r="K3587" t="s">
        <v>36</v>
      </c>
      <c r="L3587" t="s">
        <v>17</v>
      </c>
      <c r="M3587" t="s">
        <v>81</v>
      </c>
    </row>
    <row r="3588" spans="1:13" x14ac:dyDescent="0.2">
      <c r="A3588">
        <v>694982</v>
      </c>
      <c r="B3588" s="1">
        <v>44868</v>
      </c>
      <c r="C3588">
        <v>87342</v>
      </c>
      <c r="D3588" t="s">
        <v>167</v>
      </c>
      <c r="E3588" t="s">
        <v>143</v>
      </c>
      <c r="F3588" t="s">
        <v>144</v>
      </c>
      <c r="G3588">
        <v>1</v>
      </c>
      <c r="H3588">
        <v>14.99</v>
      </c>
      <c r="J3588">
        <v>14.99</v>
      </c>
      <c r="K3588" t="s">
        <v>95</v>
      </c>
      <c r="L3588" t="s">
        <v>37</v>
      </c>
      <c r="M3588" t="s">
        <v>28</v>
      </c>
    </row>
    <row r="3589" spans="1:13" x14ac:dyDescent="0.2">
      <c r="A3589">
        <v>695122</v>
      </c>
      <c r="B3589" s="1">
        <v>45374</v>
      </c>
      <c r="C3589">
        <v>74573</v>
      </c>
      <c r="D3589" t="s">
        <v>63</v>
      </c>
      <c r="E3589" t="s">
        <v>111</v>
      </c>
      <c r="F3589" t="s">
        <v>112</v>
      </c>
      <c r="G3589">
        <v>3</v>
      </c>
      <c r="H3589">
        <v>10.49</v>
      </c>
      <c r="I3589">
        <v>0.3</v>
      </c>
      <c r="J3589">
        <v>22.03</v>
      </c>
      <c r="K3589" t="s">
        <v>95</v>
      </c>
      <c r="L3589" t="s">
        <v>37</v>
      </c>
      <c r="M3589" t="s">
        <v>33</v>
      </c>
    </row>
    <row r="3590" spans="1:13" x14ac:dyDescent="0.2">
      <c r="A3590">
        <v>695403</v>
      </c>
      <c r="B3590" s="1">
        <v>44835</v>
      </c>
      <c r="C3590">
        <v>48230</v>
      </c>
      <c r="D3590" t="s">
        <v>97</v>
      </c>
      <c r="E3590" t="s">
        <v>121</v>
      </c>
      <c r="F3590" t="s">
        <v>122</v>
      </c>
      <c r="G3590">
        <v>1</v>
      </c>
      <c r="H3590">
        <v>10.39</v>
      </c>
      <c r="I3590">
        <v>0.2</v>
      </c>
      <c r="J3590">
        <v>8.31</v>
      </c>
      <c r="K3590" t="s">
        <v>16</v>
      </c>
      <c r="L3590" t="s">
        <v>37</v>
      </c>
      <c r="M3590" t="s">
        <v>62</v>
      </c>
    </row>
    <row r="3591" spans="1:13" x14ac:dyDescent="0.2">
      <c r="A3591">
        <v>695438</v>
      </c>
      <c r="B3591" s="2">
        <v>44917</v>
      </c>
      <c r="C3591">
        <v>70793</v>
      </c>
      <c r="D3591" t="s">
        <v>29</v>
      </c>
      <c r="E3591" t="s">
        <v>170</v>
      </c>
      <c r="F3591" t="s">
        <v>171</v>
      </c>
      <c r="G3591">
        <v>4</v>
      </c>
      <c r="H3591">
        <v>14.99</v>
      </c>
      <c r="J3591">
        <v>59.96</v>
      </c>
      <c r="K3591" t="s">
        <v>32</v>
      </c>
      <c r="L3591" t="s">
        <v>17</v>
      </c>
      <c r="M3591" t="s">
        <v>102</v>
      </c>
    </row>
    <row r="3592" spans="1:13" x14ac:dyDescent="0.2">
      <c r="A3592">
        <v>695501</v>
      </c>
      <c r="B3592" s="2">
        <v>45380</v>
      </c>
      <c r="C3592">
        <v>58236</v>
      </c>
      <c r="D3592" t="s">
        <v>29</v>
      </c>
      <c r="E3592" t="s">
        <v>30</v>
      </c>
      <c r="F3592" t="s">
        <v>31</v>
      </c>
      <c r="G3592">
        <v>1</v>
      </c>
      <c r="H3592">
        <v>24.99</v>
      </c>
      <c r="J3592">
        <v>24.99</v>
      </c>
      <c r="K3592" t="s">
        <v>16</v>
      </c>
      <c r="L3592" t="s">
        <v>23</v>
      </c>
      <c r="M3592" t="s">
        <v>117</v>
      </c>
    </row>
    <row r="3593" spans="1:13" x14ac:dyDescent="0.2">
      <c r="A3593">
        <v>695612</v>
      </c>
      <c r="B3593" s="2">
        <v>44576</v>
      </c>
      <c r="C3593">
        <v>77321</v>
      </c>
      <c r="D3593" t="s">
        <v>97</v>
      </c>
      <c r="E3593" t="s">
        <v>135</v>
      </c>
      <c r="F3593" t="s">
        <v>136</v>
      </c>
      <c r="G3593">
        <v>1</v>
      </c>
      <c r="H3593">
        <v>7.49</v>
      </c>
      <c r="I3593">
        <v>0.25</v>
      </c>
      <c r="J3593">
        <v>5.62</v>
      </c>
      <c r="K3593" t="s">
        <v>36</v>
      </c>
      <c r="L3593" t="s">
        <v>37</v>
      </c>
      <c r="M3593" t="s">
        <v>102</v>
      </c>
    </row>
    <row r="3594" spans="1:13" x14ac:dyDescent="0.2">
      <c r="A3594">
        <v>695632</v>
      </c>
      <c r="B3594" s="1">
        <v>45451</v>
      </c>
      <c r="C3594">
        <v>77141</v>
      </c>
      <c r="D3594" t="s">
        <v>85</v>
      </c>
      <c r="E3594" t="s">
        <v>86</v>
      </c>
      <c r="F3594" t="s">
        <v>87</v>
      </c>
      <c r="G3594">
        <v>2</v>
      </c>
      <c r="H3594">
        <v>11.04</v>
      </c>
      <c r="I3594">
        <v>0.15</v>
      </c>
      <c r="J3594">
        <v>18.77</v>
      </c>
      <c r="K3594" t="s">
        <v>16</v>
      </c>
      <c r="L3594" t="s">
        <v>17</v>
      </c>
      <c r="M3594" t="s">
        <v>90</v>
      </c>
    </row>
    <row r="3595" spans="1:13" x14ac:dyDescent="0.2">
      <c r="A3595">
        <v>696368</v>
      </c>
      <c r="B3595" s="2">
        <v>44637</v>
      </c>
      <c r="C3595">
        <v>57374</v>
      </c>
      <c r="D3595" t="s">
        <v>13</v>
      </c>
      <c r="E3595" t="s">
        <v>127</v>
      </c>
      <c r="F3595" t="s">
        <v>128</v>
      </c>
      <c r="G3595">
        <v>1</v>
      </c>
      <c r="H3595">
        <v>15.99</v>
      </c>
      <c r="I3595">
        <v>0.2</v>
      </c>
      <c r="J3595">
        <v>12.79</v>
      </c>
      <c r="K3595" t="s">
        <v>16</v>
      </c>
      <c r="L3595" t="s">
        <v>17</v>
      </c>
    </row>
    <row r="3596" spans="1:13" x14ac:dyDescent="0.2">
      <c r="A3596">
        <v>696389</v>
      </c>
      <c r="B3596" s="1">
        <v>45311</v>
      </c>
      <c r="C3596">
        <v>12788</v>
      </c>
      <c r="D3596" t="s">
        <v>63</v>
      </c>
      <c r="E3596" t="s">
        <v>64</v>
      </c>
      <c r="F3596" t="s">
        <v>65</v>
      </c>
      <c r="G3596">
        <v>3</v>
      </c>
      <c r="H3596">
        <v>3.99</v>
      </c>
      <c r="I3596">
        <v>0.2</v>
      </c>
      <c r="J3596">
        <v>9.58</v>
      </c>
      <c r="K3596" t="s">
        <v>16</v>
      </c>
      <c r="L3596" t="s">
        <v>17</v>
      </c>
      <c r="M3596" t="s">
        <v>123</v>
      </c>
    </row>
    <row r="3597" spans="1:13" x14ac:dyDescent="0.2">
      <c r="A3597">
        <v>696480</v>
      </c>
      <c r="B3597" s="1">
        <v>45518</v>
      </c>
      <c r="C3597">
        <v>18819</v>
      </c>
      <c r="D3597" t="s">
        <v>25</v>
      </c>
      <c r="E3597" t="s">
        <v>113</v>
      </c>
      <c r="F3597" t="s">
        <v>114</v>
      </c>
      <c r="G3597">
        <v>1</v>
      </c>
      <c r="H3597">
        <v>119.99</v>
      </c>
      <c r="J3597">
        <v>119.99</v>
      </c>
      <c r="K3597" t="s">
        <v>16</v>
      </c>
      <c r="L3597" t="s">
        <v>17</v>
      </c>
      <c r="M3597" t="s">
        <v>18</v>
      </c>
    </row>
    <row r="3598" spans="1:13" x14ac:dyDescent="0.2">
      <c r="A3598">
        <v>696557</v>
      </c>
      <c r="B3598" s="1">
        <v>45515</v>
      </c>
      <c r="C3598">
        <v>58784</v>
      </c>
      <c r="D3598" t="s">
        <v>29</v>
      </c>
      <c r="E3598" t="s">
        <v>175</v>
      </c>
      <c r="F3598" t="s">
        <v>176</v>
      </c>
      <c r="G3598">
        <v>2</v>
      </c>
      <c r="H3598">
        <v>8.39</v>
      </c>
      <c r="I3598">
        <v>0.3</v>
      </c>
      <c r="J3598">
        <v>11.75</v>
      </c>
      <c r="K3598" t="s">
        <v>22</v>
      </c>
      <c r="L3598" t="s">
        <v>37</v>
      </c>
      <c r="M3598" t="s">
        <v>24</v>
      </c>
    </row>
    <row r="3599" spans="1:13" x14ac:dyDescent="0.2">
      <c r="A3599">
        <v>696621</v>
      </c>
      <c r="B3599" s="1">
        <v>45414</v>
      </c>
      <c r="C3599">
        <v>85228</v>
      </c>
      <c r="D3599" t="s">
        <v>29</v>
      </c>
      <c r="E3599" t="s">
        <v>88</v>
      </c>
      <c r="F3599" t="s">
        <v>89</v>
      </c>
      <c r="G3599">
        <v>5</v>
      </c>
      <c r="H3599">
        <v>42.49</v>
      </c>
      <c r="I3599">
        <v>0.15</v>
      </c>
      <c r="J3599">
        <v>180.58</v>
      </c>
      <c r="K3599" t="s">
        <v>32</v>
      </c>
      <c r="L3599" t="s">
        <v>23</v>
      </c>
      <c r="M3599" t="s">
        <v>67</v>
      </c>
    </row>
    <row r="3600" spans="1:13" x14ac:dyDescent="0.2">
      <c r="A3600">
        <v>696632</v>
      </c>
      <c r="B3600" s="2">
        <v>44685</v>
      </c>
      <c r="C3600">
        <v>54689</v>
      </c>
      <c r="D3600" t="s">
        <v>29</v>
      </c>
      <c r="E3600" t="s">
        <v>30</v>
      </c>
      <c r="F3600" t="s">
        <v>31</v>
      </c>
      <c r="G3600">
        <v>2</v>
      </c>
      <c r="H3600">
        <v>21.24</v>
      </c>
      <c r="I3600">
        <v>0.15</v>
      </c>
      <c r="J3600">
        <v>36.11</v>
      </c>
      <c r="K3600" t="s">
        <v>16</v>
      </c>
      <c r="L3600" t="s">
        <v>17</v>
      </c>
      <c r="M3600" t="s">
        <v>57</v>
      </c>
    </row>
    <row r="3601" spans="1:13" x14ac:dyDescent="0.2">
      <c r="A3601">
        <v>696839</v>
      </c>
      <c r="B3601" s="2">
        <v>45144</v>
      </c>
      <c r="C3601">
        <v>23831</v>
      </c>
      <c r="D3601" t="s">
        <v>29</v>
      </c>
      <c r="E3601" t="s">
        <v>30</v>
      </c>
      <c r="F3601" t="s">
        <v>31</v>
      </c>
      <c r="G3601">
        <v>4</v>
      </c>
      <c r="H3601">
        <v>17.489999999999998</v>
      </c>
      <c r="I3601">
        <v>0.3</v>
      </c>
      <c r="J3601">
        <v>48.97</v>
      </c>
      <c r="K3601" t="s">
        <v>53</v>
      </c>
      <c r="L3601" t="s">
        <v>17</v>
      </c>
      <c r="M3601" t="s">
        <v>57</v>
      </c>
    </row>
    <row r="3602" spans="1:13" x14ac:dyDescent="0.2">
      <c r="A3602">
        <v>696935</v>
      </c>
      <c r="B3602" s="2">
        <v>45598</v>
      </c>
      <c r="C3602">
        <v>47931</v>
      </c>
      <c r="D3602" t="s">
        <v>48</v>
      </c>
      <c r="E3602" t="s">
        <v>118</v>
      </c>
      <c r="F3602" t="s">
        <v>119</v>
      </c>
      <c r="G3602">
        <v>1</v>
      </c>
      <c r="H3602">
        <v>3.74</v>
      </c>
      <c r="I3602">
        <v>0.25</v>
      </c>
      <c r="J3602">
        <v>2.8</v>
      </c>
      <c r="K3602" t="s">
        <v>36</v>
      </c>
      <c r="L3602" t="s">
        <v>17</v>
      </c>
      <c r="M3602" t="s">
        <v>62</v>
      </c>
    </row>
    <row r="3603" spans="1:13" x14ac:dyDescent="0.2">
      <c r="A3603">
        <v>697014</v>
      </c>
      <c r="B3603" s="1">
        <v>44732</v>
      </c>
      <c r="C3603">
        <v>74082</v>
      </c>
      <c r="D3603" t="s">
        <v>85</v>
      </c>
      <c r="E3603" t="s">
        <v>129</v>
      </c>
      <c r="F3603" t="s">
        <v>130</v>
      </c>
      <c r="G3603">
        <v>5</v>
      </c>
      <c r="H3603">
        <v>6.74</v>
      </c>
      <c r="I3603">
        <v>0.25</v>
      </c>
      <c r="J3603">
        <v>25.28</v>
      </c>
      <c r="K3603" t="s">
        <v>16</v>
      </c>
      <c r="L3603" t="s">
        <v>17</v>
      </c>
      <c r="M3603" t="s">
        <v>57</v>
      </c>
    </row>
    <row r="3604" spans="1:13" x14ac:dyDescent="0.2">
      <c r="A3604">
        <v>697063</v>
      </c>
      <c r="B3604" s="1">
        <v>45311</v>
      </c>
      <c r="C3604">
        <v>28104</v>
      </c>
      <c r="D3604" t="s">
        <v>97</v>
      </c>
      <c r="E3604" t="s">
        <v>98</v>
      </c>
      <c r="F3604" t="s">
        <v>99</v>
      </c>
      <c r="G3604">
        <v>4</v>
      </c>
      <c r="H3604">
        <v>27.99</v>
      </c>
      <c r="J3604">
        <v>111.96</v>
      </c>
      <c r="K3604" t="s">
        <v>53</v>
      </c>
      <c r="L3604" t="s">
        <v>17</v>
      </c>
      <c r="M3604" t="s">
        <v>33</v>
      </c>
    </row>
    <row r="3605" spans="1:13" x14ac:dyDescent="0.2">
      <c r="A3605">
        <v>697124</v>
      </c>
      <c r="B3605" s="1">
        <v>45189</v>
      </c>
      <c r="C3605">
        <v>71276</v>
      </c>
      <c r="D3605" t="s">
        <v>97</v>
      </c>
      <c r="E3605" t="s">
        <v>121</v>
      </c>
      <c r="F3605" t="s">
        <v>122</v>
      </c>
      <c r="G3605">
        <v>1</v>
      </c>
      <c r="H3605">
        <v>9.09</v>
      </c>
      <c r="I3605">
        <v>0.3</v>
      </c>
      <c r="J3605">
        <v>6.36</v>
      </c>
      <c r="K3605" t="s">
        <v>16</v>
      </c>
      <c r="L3605" t="s">
        <v>17</v>
      </c>
      <c r="M3605" t="s">
        <v>161</v>
      </c>
    </row>
    <row r="3606" spans="1:13" x14ac:dyDescent="0.2">
      <c r="A3606">
        <v>697152</v>
      </c>
      <c r="B3606" s="1">
        <v>45007</v>
      </c>
      <c r="C3606">
        <v>84469</v>
      </c>
      <c r="D3606" t="s">
        <v>200</v>
      </c>
      <c r="E3606" t="s">
        <v>113</v>
      </c>
      <c r="F3606" t="s">
        <v>114</v>
      </c>
      <c r="G3606">
        <v>5</v>
      </c>
      <c r="H3606">
        <v>83.99</v>
      </c>
      <c r="I3606">
        <v>0.3</v>
      </c>
      <c r="J3606">
        <v>293.95999999999998</v>
      </c>
      <c r="K3606" t="s">
        <v>53</v>
      </c>
      <c r="L3606" t="s">
        <v>17</v>
      </c>
      <c r="M3606" t="s">
        <v>43</v>
      </c>
    </row>
    <row r="3607" spans="1:13" x14ac:dyDescent="0.2">
      <c r="A3607">
        <v>697209</v>
      </c>
      <c r="B3607" s="1">
        <v>45296</v>
      </c>
      <c r="C3607">
        <v>33421</v>
      </c>
      <c r="D3607" t="s">
        <v>97</v>
      </c>
      <c r="E3607" t="s">
        <v>141</v>
      </c>
      <c r="F3607" t="s">
        <v>142</v>
      </c>
      <c r="G3607">
        <v>3</v>
      </c>
      <c r="H3607">
        <v>20.69</v>
      </c>
      <c r="J3607">
        <v>62.07</v>
      </c>
      <c r="K3607" t="s">
        <v>36</v>
      </c>
      <c r="L3607" t="s">
        <v>37</v>
      </c>
      <c r="M3607" t="s">
        <v>81</v>
      </c>
    </row>
    <row r="3608" spans="1:13" x14ac:dyDescent="0.2">
      <c r="A3608">
        <v>697729</v>
      </c>
      <c r="B3608" s="1">
        <v>45148</v>
      </c>
      <c r="C3608">
        <v>95293</v>
      </c>
      <c r="D3608" t="s">
        <v>97</v>
      </c>
      <c r="E3608" t="s">
        <v>98</v>
      </c>
      <c r="F3608" t="s">
        <v>99</v>
      </c>
      <c r="G3608">
        <v>3</v>
      </c>
      <c r="H3608">
        <v>27.99</v>
      </c>
      <c r="J3608">
        <v>83.97</v>
      </c>
      <c r="K3608" t="s">
        <v>53</v>
      </c>
      <c r="L3608" t="s">
        <v>17</v>
      </c>
      <c r="M3608" t="s">
        <v>57</v>
      </c>
    </row>
    <row r="3609" spans="1:13" x14ac:dyDescent="0.2">
      <c r="A3609">
        <v>697815</v>
      </c>
      <c r="B3609" s="1">
        <v>45546</v>
      </c>
      <c r="C3609">
        <v>15003</v>
      </c>
      <c r="D3609" t="s">
        <v>29</v>
      </c>
      <c r="E3609" t="s">
        <v>38</v>
      </c>
      <c r="F3609" t="s">
        <v>39</v>
      </c>
      <c r="G3609">
        <v>1</v>
      </c>
      <c r="H3609">
        <v>29.99</v>
      </c>
      <c r="J3609">
        <v>29.99</v>
      </c>
      <c r="K3609" t="s">
        <v>36</v>
      </c>
      <c r="L3609" t="s">
        <v>37</v>
      </c>
      <c r="M3609" t="s">
        <v>33</v>
      </c>
    </row>
    <row r="3610" spans="1:13" x14ac:dyDescent="0.2">
      <c r="A3610">
        <v>698030</v>
      </c>
      <c r="B3610" s="2">
        <v>44902</v>
      </c>
      <c r="C3610">
        <v>12037</v>
      </c>
      <c r="D3610" t="s">
        <v>85</v>
      </c>
      <c r="E3610" t="s">
        <v>145</v>
      </c>
      <c r="F3610" t="s">
        <v>146</v>
      </c>
      <c r="G3610">
        <v>1</v>
      </c>
      <c r="H3610">
        <v>15.29</v>
      </c>
      <c r="I3610">
        <v>0.1</v>
      </c>
      <c r="J3610">
        <v>13.76</v>
      </c>
      <c r="K3610" t="s">
        <v>66</v>
      </c>
      <c r="L3610" t="s">
        <v>17</v>
      </c>
      <c r="M3610" t="s">
        <v>123</v>
      </c>
    </row>
    <row r="3611" spans="1:13" x14ac:dyDescent="0.2">
      <c r="A3611">
        <v>698128</v>
      </c>
      <c r="B3611" s="1">
        <v>45619</v>
      </c>
      <c r="C3611">
        <v>32901</v>
      </c>
      <c r="D3611" t="s">
        <v>25</v>
      </c>
      <c r="E3611" t="s">
        <v>60</v>
      </c>
      <c r="F3611" t="s">
        <v>61</v>
      </c>
      <c r="G3611">
        <v>2</v>
      </c>
      <c r="H3611">
        <v>43.99</v>
      </c>
      <c r="I3611">
        <v>0.2</v>
      </c>
      <c r="J3611">
        <v>70.38</v>
      </c>
      <c r="K3611" t="s">
        <v>36</v>
      </c>
      <c r="L3611" t="s">
        <v>17</v>
      </c>
      <c r="M3611" t="s">
        <v>90</v>
      </c>
    </row>
    <row r="3612" spans="1:13" x14ac:dyDescent="0.2">
      <c r="A3612">
        <v>698129</v>
      </c>
      <c r="B3612" s="2">
        <v>44809</v>
      </c>
      <c r="C3612">
        <v>81554</v>
      </c>
      <c r="D3612" t="s">
        <v>63</v>
      </c>
      <c r="E3612" t="s">
        <v>131</v>
      </c>
      <c r="F3612" t="s">
        <v>132</v>
      </c>
      <c r="G3612">
        <v>1</v>
      </c>
      <c r="H3612">
        <v>3.49</v>
      </c>
      <c r="J3612">
        <v>3.49</v>
      </c>
      <c r="K3612" t="s">
        <v>22</v>
      </c>
      <c r="L3612" t="s">
        <v>17</v>
      </c>
      <c r="M3612" t="s">
        <v>96</v>
      </c>
    </row>
    <row r="3613" spans="1:13" x14ac:dyDescent="0.2">
      <c r="A3613">
        <v>698218</v>
      </c>
      <c r="B3613" s="1">
        <v>44871</v>
      </c>
      <c r="C3613">
        <v>33764</v>
      </c>
      <c r="D3613" t="s">
        <v>85</v>
      </c>
      <c r="E3613" t="s">
        <v>157</v>
      </c>
      <c r="F3613" t="s">
        <v>158</v>
      </c>
      <c r="G3613">
        <v>1</v>
      </c>
      <c r="H3613">
        <v>13.49</v>
      </c>
      <c r="J3613">
        <v>13.49</v>
      </c>
      <c r="K3613" t="s">
        <v>16</v>
      </c>
      <c r="L3613" t="s">
        <v>17</v>
      </c>
      <c r="M3613" t="s">
        <v>47</v>
      </c>
    </row>
    <row r="3614" spans="1:13" x14ac:dyDescent="0.2">
      <c r="A3614">
        <v>698223</v>
      </c>
      <c r="B3614" s="2">
        <v>45125</v>
      </c>
      <c r="C3614">
        <v>63871</v>
      </c>
      <c r="D3614" t="s">
        <v>29</v>
      </c>
      <c r="E3614" t="s">
        <v>88</v>
      </c>
      <c r="F3614" t="s">
        <v>89</v>
      </c>
      <c r="G3614">
        <v>1</v>
      </c>
      <c r="H3614">
        <v>47.49</v>
      </c>
      <c r="I3614">
        <v>0.05</v>
      </c>
      <c r="J3614">
        <v>45.12</v>
      </c>
      <c r="K3614" t="s">
        <v>22</v>
      </c>
      <c r="L3614" t="s">
        <v>17</v>
      </c>
      <c r="M3614" t="s">
        <v>123</v>
      </c>
    </row>
    <row r="3615" spans="1:13" x14ac:dyDescent="0.2">
      <c r="A3615">
        <v>698292</v>
      </c>
      <c r="B3615" s="1">
        <v>44573</v>
      </c>
      <c r="C3615">
        <v>68330</v>
      </c>
      <c r="D3615" t="s">
        <v>44</v>
      </c>
      <c r="E3615" t="s">
        <v>195</v>
      </c>
      <c r="F3615" t="s">
        <v>196</v>
      </c>
      <c r="G3615">
        <v>5</v>
      </c>
      <c r="H3615">
        <v>4.99</v>
      </c>
      <c r="J3615">
        <v>24.95</v>
      </c>
      <c r="K3615" t="s">
        <v>22</v>
      </c>
      <c r="L3615" t="s">
        <v>17</v>
      </c>
      <c r="M3615" t="s">
        <v>67</v>
      </c>
    </row>
    <row r="3616" spans="1:13" x14ac:dyDescent="0.2">
      <c r="A3616">
        <v>698384</v>
      </c>
      <c r="B3616" s="1">
        <v>44950</v>
      </c>
      <c r="C3616">
        <v>10319</v>
      </c>
      <c r="D3616" t="s">
        <v>29</v>
      </c>
      <c r="E3616" t="s">
        <v>88</v>
      </c>
      <c r="F3616" t="s">
        <v>89</v>
      </c>
      <c r="G3616">
        <v>3</v>
      </c>
      <c r="H3616">
        <v>47.49</v>
      </c>
      <c r="I3616">
        <v>0.05</v>
      </c>
      <c r="J3616">
        <v>135.35</v>
      </c>
      <c r="K3616" t="s">
        <v>16</v>
      </c>
      <c r="L3616" t="s">
        <v>17</v>
      </c>
      <c r="M3616" t="s">
        <v>96</v>
      </c>
    </row>
    <row r="3617" spans="1:13" x14ac:dyDescent="0.2">
      <c r="A3617">
        <v>698400</v>
      </c>
      <c r="B3617" s="1">
        <v>44828</v>
      </c>
      <c r="C3617">
        <v>50654</v>
      </c>
      <c r="D3617" t="s">
        <v>63</v>
      </c>
      <c r="E3617" t="s">
        <v>125</v>
      </c>
      <c r="F3617" t="s">
        <v>126</v>
      </c>
      <c r="G3617">
        <v>1</v>
      </c>
      <c r="H3617">
        <v>22.49</v>
      </c>
      <c r="I3617">
        <v>0.25</v>
      </c>
      <c r="J3617">
        <v>16.87</v>
      </c>
      <c r="K3617" t="s">
        <v>22</v>
      </c>
      <c r="L3617" t="s">
        <v>17</v>
      </c>
      <c r="M3617" t="s">
        <v>161</v>
      </c>
    </row>
    <row r="3618" spans="1:13" x14ac:dyDescent="0.2">
      <c r="A3618">
        <v>698608</v>
      </c>
      <c r="B3618" s="2">
        <v>45047</v>
      </c>
      <c r="C3618">
        <v>64306</v>
      </c>
      <c r="D3618" t="s">
        <v>82</v>
      </c>
      <c r="E3618" t="s">
        <v>100</v>
      </c>
      <c r="F3618" t="s">
        <v>101</v>
      </c>
      <c r="G3618">
        <v>3</v>
      </c>
      <c r="H3618">
        <v>19.54</v>
      </c>
      <c r="I3618">
        <v>0.15</v>
      </c>
      <c r="J3618">
        <v>49.83</v>
      </c>
      <c r="K3618" t="s">
        <v>36</v>
      </c>
      <c r="L3618" t="s">
        <v>37</v>
      </c>
      <c r="M3618" t="s">
        <v>90</v>
      </c>
    </row>
    <row r="3619" spans="1:13" x14ac:dyDescent="0.2">
      <c r="A3619">
        <v>698749</v>
      </c>
      <c r="B3619" s="1">
        <v>45556</v>
      </c>
      <c r="C3619">
        <v>91785</v>
      </c>
      <c r="D3619" t="s">
        <v>13</v>
      </c>
      <c r="E3619" t="s">
        <v>34</v>
      </c>
      <c r="F3619" t="s">
        <v>35</v>
      </c>
      <c r="G3619">
        <v>1</v>
      </c>
      <c r="H3619">
        <v>33.24</v>
      </c>
      <c r="I3619">
        <v>0.05</v>
      </c>
      <c r="J3619">
        <v>31.58</v>
      </c>
      <c r="K3619" t="s">
        <v>36</v>
      </c>
      <c r="L3619" t="s">
        <v>17</v>
      </c>
      <c r="M3619" t="s">
        <v>18</v>
      </c>
    </row>
    <row r="3620" spans="1:13" x14ac:dyDescent="0.2">
      <c r="A3620">
        <v>698755</v>
      </c>
      <c r="B3620" s="1">
        <v>45149</v>
      </c>
      <c r="C3620">
        <v>52247</v>
      </c>
      <c r="D3620" t="s">
        <v>44</v>
      </c>
      <c r="E3620" t="s">
        <v>133</v>
      </c>
      <c r="F3620" t="s">
        <v>134</v>
      </c>
      <c r="G3620">
        <v>2</v>
      </c>
      <c r="H3620">
        <v>3.79</v>
      </c>
      <c r="J3620">
        <v>7.58</v>
      </c>
      <c r="K3620" t="s">
        <v>16</v>
      </c>
      <c r="L3620" t="s">
        <v>17</v>
      </c>
    </row>
    <row r="3621" spans="1:13" x14ac:dyDescent="0.2">
      <c r="A3621">
        <v>698846</v>
      </c>
      <c r="B3621" s="2">
        <v>45123</v>
      </c>
      <c r="C3621">
        <v>34348</v>
      </c>
      <c r="D3621" t="s">
        <v>13</v>
      </c>
      <c r="E3621" t="s">
        <v>55</v>
      </c>
      <c r="F3621" t="s">
        <v>56</v>
      </c>
      <c r="G3621">
        <v>1</v>
      </c>
      <c r="H3621">
        <v>296.99</v>
      </c>
      <c r="I3621">
        <v>0.1</v>
      </c>
      <c r="J3621">
        <v>267.29000000000002</v>
      </c>
      <c r="K3621" t="s">
        <v>22</v>
      </c>
      <c r="L3621" t="s">
        <v>17</v>
      </c>
      <c r="M3621" t="s">
        <v>28</v>
      </c>
    </row>
    <row r="3622" spans="1:13" x14ac:dyDescent="0.2">
      <c r="A3622">
        <v>699147</v>
      </c>
      <c r="B3622" s="1">
        <v>44835</v>
      </c>
      <c r="C3622">
        <v>97417</v>
      </c>
      <c r="D3622" t="s">
        <v>29</v>
      </c>
      <c r="E3622" t="s">
        <v>30</v>
      </c>
      <c r="F3622" t="s">
        <v>31</v>
      </c>
      <c r="G3622">
        <v>3</v>
      </c>
      <c r="H3622">
        <v>19.989999999999998</v>
      </c>
      <c r="I3622">
        <v>0.2</v>
      </c>
      <c r="J3622">
        <v>47.98</v>
      </c>
      <c r="K3622" t="s">
        <v>22</v>
      </c>
      <c r="L3622" t="s">
        <v>17</v>
      </c>
      <c r="M3622" t="s">
        <v>24</v>
      </c>
    </row>
    <row r="3623" spans="1:13" x14ac:dyDescent="0.2">
      <c r="A3623">
        <v>699366</v>
      </c>
      <c r="B3623" s="1">
        <v>45271</v>
      </c>
      <c r="D3623" t="s">
        <v>82</v>
      </c>
      <c r="E3623" t="s">
        <v>188</v>
      </c>
      <c r="F3623" t="s">
        <v>189</v>
      </c>
      <c r="G3623">
        <v>1</v>
      </c>
      <c r="H3623">
        <v>44.99</v>
      </c>
      <c r="J3623">
        <v>44.99</v>
      </c>
      <c r="K3623" t="s">
        <v>53</v>
      </c>
      <c r="L3623" t="s">
        <v>17</v>
      </c>
      <c r="M3623" t="s">
        <v>120</v>
      </c>
    </row>
    <row r="3624" spans="1:13" x14ac:dyDescent="0.2">
      <c r="A3624">
        <v>699397</v>
      </c>
      <c r="B3624" s="1">
        <v>45114</v>
      </c>
      <c r="C3624">
        <v>46000</v>
      </c>
      <c r="D3624" t="s">
        <v>25</v>
      </c>
      <c r="E3624" t="s">
        <v>26</v>
      </c>
      <c r="F3624" t="s">
        <v>27</v>
      </c>
      <c r="G3624">
        <v>1</v>
      </c>
      <c r="H3624">
        <v>24.49</v>
      </c>
      <c r="I3624">
        <v>0.3</v>
      </c>
      <c r="J3624">
        <v>17.14</v>
      </c>
      <c r="K3624" t="s">
        <v>36</v>
      </c>
      <c r="L3624" t="s">
        <v>17</v>
      </c>
      <c r="M3624" t="s">
        <v>47</v>
      </c>
    </row>
    <row r="3625" spans="1:13" x14ac:dyDescent="0.2">
      <c r="A3625">
        <v>699405</v>
      </c>
      <c r="B3625" s="2">
        <v>45252</v>
      </c>
      <c r="C3625">
        <v>55039</v>
      </c>
      <c r="D3625" t="s">
        <v>44</v>
      </c>
      <c r="E3625" t="s">
        <v>177</v>
      </c>
      <c r="F3625" t="s">
        <v>178</v>
      </c>
      <c r="G3625">
        <v>3</v>
      </c>
      <c r="H3625">
        <v>9.59</v>
      </c>
      <c r="I3625">
        <v>0.2</v>
      </c>
      <c r="J3625">
        <v>23.02</v>
      </c>
      <c r="K3625" t="s">
        <v>16</v>
      </c>
      <c r="L3625" t="s">
        <v>23</v>
      </c>
      <c r="M3625" t="s">
        <v>96</v>
      </c>
    </row>
    <row r="3626" spans="1:13" x14ac:dyDescent="0.2">
      <c r="A3626">
        <v>699556</v>
      </c>
      <c r="B3626" s="1">
        <v>45371</v>
      </c>
      <c r="C3626">
        <v>61135</v>
      </c>
      <c r="D3626" t="s">
        <v>25</v>
      </c>
      <c r="E3626" t="s">
        <v>113</v>
      </c>
      <c r="F3626" t="s">
        <v>114</v>
      </c>
      <c r="G3626">
        <v>1</v>
      </c>
      <c r="H3626">
        <v>95.99</v>
      </c>
      <c r="I3626">
        <v>0.2</v>
      </c>
      <c r="J3626">
        <v>76.790000000000006</v>
      </c>
      <c r="K3626" t="s">
        <v>36</v>
      </c>
      <c r="L3626" t="s">
        <v>17</v>
      </c>
      <c r="M3626" t="s">
        <v>161</v>
      </c>
    </row>
    <row r="3627" spans="1:13" x14ac:dyDescent="0.2">
      <c r="A3627">
        <v>699663</v>
      </c>
      <c r="B3627" s="1">
        <v>44967</v>
      </c>
      <c r="C3627">
        <v>11757</v>
      </c>
      <c r="D3627" t="s">
        <v>63</v>
      </c>
      <c r="E3627" t="s">
        <v>111</v>
      </c>
      <c r="F3627" t="s">
        <v>112</v>
      </c>
      <c r="G3627">
        <v>1</v>
      </c>
      <c r="H3627">
        <v>14.24</v>
      </c>
      <c r="I3627">
        <v>0.05</v>
      </c>
      <c r="J3627">
        <v>13.53</v>
      </c>
      <c r="K3627" t="s">
        <v>16</v>
      </c>
      <c r="L3627" t="s">
        <v>17</v>
      </c>
      <c r="M3627" t="s">
        <v>24</v>
      </c>
    </row>
    <row r="3628" spans="1:13" x14ac:dyDescent="0.2">
      <c r="A3628">
        <v>699689</v>
      </c>
      <c r="B3628" s="2">
        <v>44924</v>
      </c>
      <c r="C3628">
        <v>11264</v>
      </c>
      <c r="D3628" t="s">
        <v>97</v>
      </c>
      <c r="E3628" t="s">
        <v>193</v>
      </c>
      <c r="F3628" t="s">
        <v>194</v>
      </c>
      <c r="G3628">
        <v>1</v>
      </c>
      <c r="H3628">
        <v>55.24</v>
      </c>
      <c r="I3628">
        <v>0.15</v>
      </c>
      <c r="J3628">
        <v>46.95</v>
      </c>
      <c r="K3628" t="s">
        <v>53</v>
      </c>
      <c r="L3628" t="s">
        <v>37</v>
      </c>
    </row>
    <row r="3629" spans="1:13" x14ac:dyDescent="0.2">
      <c r="A3629">
        <v>699722</v>
      </c>
      <c r="B3629" s="1">
        <v>45013</v>
      </c>
      <c r="C3629">
        <v>17272</v>
      </c>
      <c r="D3629" t="s">
        <v>63</v>
      </c>
      <c r="E3629" t="s">
        <v>131</v>
      </c>
      <c r="F3629" t="s">
        <v>132</v>
      </c>
      <c r="G3629">
        <v>2</v>
      </c>
      <c r="H3629">
        <v>3.14</v>
      </c>
      <c r="I3629">
        <v>0.1</v>
      </c>
      <c r="J3629">
        <v>5.65</v>
      </c>
      <c r="K3629" t="s">
        <v>22</v>
      </c>
      <c r="L3629" t="s">
        <v>37</v>
      </c>
      <c r="M3629" t="s">
        <v>123</v>
      </c>
    </row>
    <row r="3630" spans="1:13" x14ac:dyDescent="0.2">
      <c r="A3630">
        <v>699932</v>
      </c>
      <c r="B3630" s="1">
        <v>45045</v>
      </c>
      <c r="C3630">
        <v>25053</v>
      </c>
      <c r="D3630" t="s">
        <v>25</v>
      </c>
      <c r="E3630" t="s">
        <v>60</v>
      </c>
      <c r="F3630" t="s">
        <v>61</v>
      </c>
      <c r="G3630">
        <v>2</v>
      </c>
      <c r="H3630">
        <v>43.99</v>
      </c>
      <c r="I3630">
        <v>0.2</v>
      </c>
      <c r="J3630">
        <v>70.38</v>
      </c>
      <c r="K3630" t="s">
        <v>16</v>
      </c>
      <c r="L3630" t="s">
        <v>37</v>
      </c>
      <c r="M3630" t="s">
        <v>18</v>
      </c>
    </row>
    <row r="3631" spans="1:13" x14ac:dyDescent="0.2">
      <c r="A3631">
        <v>699975</v>
      </c>
      <c r="B3631" s="1">
        <v>45080</v>
      </c>
      <c r="C3631">
        <v>89632</v>
      </c>
      <c r="D3631" t="s">
        <v>48</v>
      </c>
      <c r="E3631" t="s">
        <v>109</v>
      </c>
      <c r="F3631" t="s">
        <v>110</v>
      </c>
      <c r="G3631">
        <v>3</v>
      </c>
      <c r="H3631">
        <v>6.29</v>
      </c>
      <c r="I3631">
        <v>0.1</v>
      </c>
      <c r="J3631">
        <v>16.98</v>
      </c>
      <c r="K3631" t="s">
        <v>95</v>
      </c>
      <c r="L3631" t="s">
        <v>37</v>
      </c>
      <c r="M3631" t="s">
        <v>123</v>
      </c>
    </row>
    <row r="3632" spans="1:13" x14ac:dyDescent="0.2">
      <c r="A3632">
        <v>699982</v>
      </c>
      <c r="B3632" s="1">
        <v>45624</v>
      </c>
      <c r="C3632">
        <v>35252</v>
      </c>
      <c r="D3632" t="s">
        <v>13</v>
      </c>
      <c r="E3632" t="s">
        <v>127</v>
      </c>
      <c r="F3632" t="s">
        <v>128</v>
      </c>
      <c r="G3632">
        <v>1</v>
      </c>
      <c r="H3632">
        <v>16.989999999999998</v>
      </c>
      <c r="I3632">
        <v>0.15</v>
      </c>
      <c r="J3632">
        <v>14.44</v>
      </c>
      <c r="K3632" t="s">
        <v>95</v>
      </c>
      <c r="L3632" t="s">
        <v>17</v>
      </c>
      <c r="M3632" t="s">
        <v>24</v>
      </c>
    </row>
    <row r="3633" spans="1:13" x14ac:dyDescent="0.2">
      <c r="A3633">
        <v>700089</v>
      </c>
      <c r="B3633" s="2">
        <v>45486</v>
      </c>
      <c r="C3633">
        <v>84138</v>
      </c>
      <c r="D3633" t="s">
        <v>44</v>
      </c>
      <c r="E3633" t="s">
        <v>172</v>
      </c>
      <c r="F3633" t="s">
        <v>173</v>
      </c>
      <c r="G3633">
        <v>5</v>
      </c>
      <c r="H3633">
        <v>4.49</v>
      </c>
      <c r="J3633">
        <v>22.45</v>
      </c>
      <c r="K3633" t="s">
        <v>36</v>
      </c>
      <c r="L3633" t="s">
        <v>23</v>
      </c>
      <c r="M3633" t="s">
        <v>90</v>
      </c>
    </row>
    <row r="3634" spans="1:13" x14ac:dyDescent="0.2">
      <c r="A3634">
        <v>700646</v>
      </c>
      <c r="B3634" s="1">
        <v>45347</v>
      </c>
      <c r="C3634">
        <v>53432</v>
      </c>
      <c r="D3634" t="s">
        <v>25</v>
      </c>
      <c r="E3634" t="s">
        <v>70</v>
      </c>
      <c r="F3634" t="s">
        <v>71</v>
      </c>
      <c r="G3634">
        <v>1</v>
      </c>
      <c r="H3634">
        <v>71.989999999999995</v>
      </c>
      <c r="I3634">
        <v>0.2</v>
      </c>
      <c r="J3634">
        <v>57.59</v>
      </c>
      <c r="K3634" t="s">
        <v>36</v>
      </c>
      <c r="L3634" t="s">
        <v>17</v>
      </c>
      <c r="M3634" t="s">
        <v>18</v>
      </c>
    </row>
    <row r="3635" spans="1:13" x14ac:dyDescent="0.2">
      <c r="A3635">
        <v>700923</v>
      </c>
      <c r="B3635" s="1">
        <v>44916</v>
      </c>
      <c r="C3635">
        <v>78322</v>
      </c>
      <c r="D3635" t="s">
        <v>29</v>
      </c>
      <c r="E3635" t="s">
        <v>30</v>
      </c>
      <c r="F3635" t="s">
        <v>31</v>
      </c>
      <c r="G3635">
        <v>3</v>
      </c>
      <c r="H3635">
        <v>24.99</v>
      </c>
      <c r="J3635">
        <v>74.97</v>
      </c>
      <c r="K3635" t="s">
        <v>16</v>
      </c>
      <c r="L3635" t="s">
        <v>37</v>
      </c>
      <c r="M3635" t="s">
        <v>43</v>
      </c>
    </row>
    <row r="3636" spans="1:13" x14ac:dyDescent="0.2">
      <c r="A3636">
        <v>700934</v>
      </c>
      <c r="B3636" s="1">
        <v>44860</v>
      </c>
      <c r="C3636">
        <v>72306</v>
      </c>
      <c r="D3636" t="s">
        <v>40</v>
      </c>
      <c r="E3636" t="s">
        <v>58</v>
      </c>
      <c r="F3636" t="s">
        <v>59</v>
      </c>
      <c r="G3636">
        <v>1</v>
      </c>
      <c r="H3636">
        <v>3.79</v>
      </c>
      <c r="I3636">
        <v>0.05</v>
      </c>
      <c r="J3636">
        <v>3.6</v>
      </c>
      <c r="K3636" t="s">
        <v>22</v>
      </c>
      <c r="L3636" t="s">
        <v>17</v>
      </c>
      <c r="M3636" t="s">
        <v>62</v>
      </c>
    </row>
    <row r="3637" spans="1:13" x14ac:dyDescent="0.2">
      <c r="A3637">
        <v>701071</v>
      </c>
      <c r="B3637" s="1">
        <v>45567</v>
      </c>
      <c r="C3637">
        <v>87763</v>
      </c>
      <c r="D3637" t="s">
        <v>82</v>
      </c>
      <c r="E3637" t="s">
        <v>188</v>
      </c>
      <c r="F3637" t="s">
        <v>189</v>
      </c>
      <c r="G3637">
        <v>1</v>
      </c>
      <c r="H3637">
        <v>38.24</v>
      </c>
      <c r="I3637">
        <v>0.15</v>
      </c>
      <c r="J3637">
        <v>32.5</v>
      </c>
      <c r="K3637" t="s">
        <v>36</v>
      </c>
      <c r="L3637" t="s">
        <v>17</v>
      </c>
      <c r="M3637" t="s">
        <v>102</v>
      </c>
    </row>
    <row r="3638" spans="1:13" x14ac:dyDescent="0.2">
      <c r="A3638">
        <v>701195</v>
      </c>
      <c r="B3638" s="2">
        <v>45405</v>
      </c>
      <c r="C3638">
        <v>77178</v>
      </c>
      <c r="D3638" t="s">
        <v>13</v>
      </c>
      <c r="E3638" t="s">
        <v>79</v>
      </c>
      <c r="F3638" t="s">
        <v>80</v>
      </c>
      <c r="G3638">
        <v>1</v>
      </c>
      <c r="H3638">
        <v>89.99</v>
      </c>
      <c r="J3638">
        <v>89.99</v>
      </c>
      <c r="K3638" t="s">
        <v>66</v>
      </c>
      <c r="L3638" t="s">
        <v>17</v>
      </c>
      <c r="M3638" t="s">
        <v>47</v>
      </c>
    </row>
    <row r="3639" spans="1:13" x14ac:dyDescent="0.2">
      <c r="A3639">
        <v>701237</v>
      </c>
      <c r="B3639" s="1">
        <v>45500</v>
      </c>
      <c r="C3639">
        <v>95627</v>
      </c>
      <c r="D3639" t="s">
        <v>13</v>
      </c>
      <c r="E3639" t="s">
        <v>127</v>
      </c>
      <c r="F3639" t="s">
        <v>128</v>
      </c>
      <c r="G3639">
        <v>3</v>
      </c>
      <c r="H3639">
        <v>19.989999999999998</v>
      </c>
      <c r="J3639">
        <v>59.97</v>
      </c>
      <c r="K3639" t="s">
        <v>16</v>
      </c>
      <c r="L3639" t="s">
        <v>17</v>
      </c>
      <c r="M3639" t="s">
        <v>120</v>
      </c>
    </row>
    <row r="3640" spans="1:13" x14ac:dyDescent="0.2">
      <c r="A3640">
        <v>701382</v>
      </c>
      <c r="B3640" s="1">
        <v>45102</v>
      </c>
      <c r="C3640">
        <v>65645</v>
      </c>
      <c r="D3640" t="s">
        <v>13</v>
      </c>
      <c r="E3640" t="s">
        <v>127</v>
      </c>
      <c r="F3640" t="s">
        <v>128</v>
      </c>
      <c r="G3640">
        <v>1</v>
      </c>
      <c r="H3640">
        <v>15.99</v>
      </c>
      <c r="I3640">
        <v>0.2</v>
      </c>
      <c r="J3640">
        <v>12.79</v>
      </c>
      <c r="K3640" t="s">
        <v>36</v>
      </c>
      <c r="L3640" t="s">
        <v>37</v>
      </c>
      <c r="M3640" t="s">
        <v>81</v>
      </c>
    </row>
    <row r="3641" spans="1:13" x14ac:dyDescent="0.2">
      <c r="A3641">
        <v>701861</v>
      </c>
      <c r="B3641" s="1">
        <v>44701</v>
      </c>
      <c r="C3641">
        <v>62290</v>
      </c>
      <c r="D3641" t="s">
        <v>63</v>
      </c>
      <c r="E3641" t="s">
        <v>131</v>
      </c>
      <c r="F3641" t="s">
        <v>132</v>
      </c>
      <c r="G3641">
        <v>2</v>
      </c>
      <c r="H3641">
        <v>2.79</v>
      </c>
      <c r="I3641">
        <v>0.2</v>
      </c>
      <c r="J3641">
        <v>4.46</v>
      </c>
      <c r="K3641" t="s">
        <v>22</v>
      </c>
      <c r="L3641" t="s">
        <v>17</v>
      </c>
      <c r="M3641" t="s">
        <v>117</v>
      </c>
    </row>
    <row r="3642" spans="1:13" x14ac:dyDescent="0.2">
      <c r="A3642">
        <v>701885</v>
      </c>
      <c r="B3642" s="1">
        <v>44744</v>
      </c>
      <c r="C3642">
        <v>59976</v>
      </c>
      <c r="D3642" t="s">
        <v>40</v>
      </c>
      <c r="E3642" t="s">
        <v>20</v>
      </c>
      <c r="F3642" t="s">
        <v>21</v>
      </c>
      <c r="G3642">
        <v>5</v>
      </c>
      <c r="H3642">
        <v>9.99</v>
      </c>
      <c r="J3642">
        <v>49.95</v>
      </c>
      <c r="K3642" t="s">
        <v>32</v>
      </c>
      <c r="L3642" t="s">
        <v>37</v>
      </c>
      <c r="M3642" t="s">
        <v>103</v>
      </c>
    </row>
    <row r="3643" spans="1:13" x14ac:dyDescent="0.2">
      <c r="A3643">
        <v>702103</v>
      </c>
      <c r="B3643" s="1">
        <v>44744</v>
      </c>
      <c r="C3643">
        <v>92951</v>
      </c>
      <c r="D3643" t="s">
        <v>25</v>
      </c>
      <c r="E3643" t="s">
        <v>113</v>
      </c>
      <c r="F3643" t="s">
        <v>114</v>
      </c>
      <c r="G3643">
        <v>2</v>
      </c>
      <c r="H3643">
        <v>107.99</v>
      </c>
      <c r="I3643">
        <v>0.1</v>
      </c>
      <c r="J3643">
        <v>194.38</v>
      </c>
      <c r="K3643" t="s">
        <v>32</v>
      </c>
      <c r="L3643" t="s">
        <v>17</v>
      </c>
      <c r="M3643" t="s">
        <v>120</v>
      </c>
    </row>
    <row r="3644" spans="1:13" x14ac:dyDescent="0.2">
      <c r="A3644">
        <v>702156</v>
      </c>
      <c r="B3644" s="1">
        <v>45251</v>
      </c>
      <c r="C3644">
        <v>36016</v>
      </c>
      <c r="D3644" t="s">
        <v>29</v>
      </c>
      <c r="E3644" t="s">
        <v>72</v>
      </c>
      <c r="F3644" t="s">
        <v>73</v>
      </c>
      <c r="G3644">
        <v>3</v>
      </c>
      <c r="H3644">
        <v>39.99</v>
      </c>
      <c r="J3644">
        <v>119.97</v>
      </c>
      <c r="K3644" t="s">
        <v>53</v>
      </c>
      <c r="L3644" t="s">
        <v>17</v>
      </c>
      <c r="M3644" t="s">
        <v>62</v>
      </c>
    </row>
    <row r="3645" spans="1:13" x14ac:dyDescent="0.2">
      <c r="A3645">
        <v>702175</v>
      </c>
      <c r="B3645" s="1">
        <v>44837</v>
      </c>
      <c r="C3645">
        <v>99391</v>
      </c>
      <c r="D3645" t="s">
        <v>40</v>
      </c>
      <c r="E3645" t="s">
        <v>41</v>
      </c>
      <c r="F3645" t="s">
        <v>42</v>
      </c>
      <c r="G3645">
        <v>5</v>
      </c>
      <c r="H3645">
        <v>4.79</v>
      </c>
      <c r="I3645">
        <v>0.2</v>
      </c>
      <c r="J3645">
        <v>19.16</v>
      </c>
      <c r="K3645" t="s">
        <v>95</v>
      </c>
      <c r="L3645" t="s">
        <v>17</v>
      </c>
      <c r="M3645" t="s">
        <v>57</v>
      </c>
    </row>
    <row r="3646" spans="1:13" x14ac:dyDescent="0.2">
      <c r="A3646">
        <v>702284</v>
      </c>
      <c r="B3646" s="1">
        <v>45574</v>
      </c>
      <c r="C3646">
        <v>93992</v>
      </c>
      <c r="D3646" t="s">
        <v>82</v>
      </c>
      <c r="E3646" t="s">
        <v>155</v>
      </c>
      <c r="F3646" t="s">
        <v>156</v>
      </c>
      <c r="G3646">
        <v>2</v>
      </c>
      <c r="H3646">
        <v>19.989999999999998</v>
      </c>
      <c r="J3646">
        <v>39.979999999999997</v>
      </c>
      <c r="K3646" t="s">
        <v>36</v>
      </c>
      <c r="L3646" t="s">
        <v>17</v>
      </c>
      <c r="M3646" t="s">
        <v>18</v>
      </c>
    </row>
    <row r="3647" spans="1:13" x14ac:dyDescent="0.2">
      <c r="A3647">
        <v>703136</v>
      </c>
      <c r="B3647" s="1">
        <v>44744</v>
      </c>
      <c r="C3647">
        <v>37903</v>
      </c>
      <c r="D3647" t="s">
        <v>40</v>
      </c>
      <c r="E3647" t="s">
        <v>20</v>
      </c>
      <c r="F3647" t="s">
        <v>21</v>
      </c>
      <c r="G3647">
        <v>5</v>
      </c>
      <c r="H3647">
        <v>7.99</v>
      </c>
      <c r="I3647">
        <v>0.2</v>
      </c>
      <c r="J3647">
        <v>31.96</v>
      </c>
      <c r="K3647" t="s">
        <v>22</v>
      </c>
      <c r="L3647" t="s">
        <v>17</v>
      </c>
      <c r="M3647" t="s">
        <v>123</v>
      </c>
    </row>
    <row r="3648" spans="1:13" x14ac:dyDescent="0.2">
      <c r="A3648">
        <v>703368</v>
      </c>
      <c r="B3648" s="2">
        <v>45099</v>
      </c>
      <c r="C3648">
        <v>37737</v>
      </c>
      <c r="D3648" t="s">
        <v>97</v>
      </c>
      <c r="E3648" t="s">
        <v>181</v>
      </c>
      <c r="F3648" t="s">
        <v>182</v>
      </c>
      <c r="G3648">
        <v>1</v>
      </c>
      <c r="H3648">
        <v>11.99</v>
      </c>
      <c r="I3648">
        <v>0.2</v>
      </c>
      <c r="J3648">
        <v>9.59</v>
      </c>
      <c r="K3648" t="s">
        <v>53</v>
      </c>
      <c r="L3648" t="s">
        <v>17</v>
      </c>
      <c r="M3648" t="s">
        <v>43</v>
      </c>
    </row>
    <row r="3649" spans="1:13" x14ac:dyDescent="0.2">
      <c r="A3649">
        <v>703400</v>
      </c>
      <c r="B3649" s="2">
        <v>44850</v>
      </c>
      <c r="C3649">
        <v>39707</v>
      </c>
      <c r="D3649" t="s">
        <v>13</v>
      </c>
      <c r="E3649" t="s">
        <v>34</v>
      </c>
      <c r="F3649" t="s">
        <v>35</v>
      </c>
      <c r="G3649">
        <v>1</v>
      </c>
      <c r="H3649">
        <v>24.49</v>
      </c>
      <c r="I3649">
        <v>0.3</v>
      </c>
      <c r="J3649">
        <v>17.14</v>
      </c>
      <c r="K3649" t="s">
        <v>22</v>
      </c>
      <c r="L3649" t="s">
        <v>17</v>
      </c>
      <c r="M3649" t="s">
        <v>120</v>
      </c>
    </row>
    <row r="3650" spans="1:13" x14ac:dyDescent="0.2">
      <c r="A3650">
        <v>703639</v>
      </c>
      <c r="B3650" s="1">
        <v>44991</v>
      </c>
      <c r="C3650">
        <v>77739</v>
      </c>
      <c r="D3650" t="s">
        <v>48</v>
      </c>
      <c r="E3650" t="s">
        <v>118</v>
      </c>
      <c r="F3650" t="s">
        <v>119</v>
      </c>
      <c r="G3650">
        <v>4</v>
      </c>
      <c r="H3650">
        <v>3.99</v>
      </c>
      <c r="I3650">
        <v>0.2</v>
      </c>
      <c r="J3650">
        <v>12.77</v>
      </c>
      <c r="K3650" t="s">
        <v>32</v>
      </c>
      <c r="L3650" t="s">
        <v>17</v>
      </c>
      <c r="M3650" t="s">
        <v>54</v>
      </c>
    </row>
    <row r="3651" spans="1:13" x14ac:dyDescent="0.2">
      <c r="A3651">
        <v>703834</v>
      </c>
      <c r="B3651" s="1">
        <v>44649</v>
      </c>
      <c r="C3651">
        <v>79355</v>
      </c>
      <c r="D3651" t="s">
        <v>44</v>
      </c>
      <c r="E3651" t="s">
        <v>190</v>
      </c>
      <c r="F3651" t="s">
        <v>191</v>
      </c>
      <c r="G3651">
        <v>2</v>
      </c>
      <c r="H3651">
        <v>3</v>
      </c>
      <c r="I3651">
        <v>0.3</v>
      </c>
      <c r="J3651">
        <v>4.2</v>
      </c>
      <c r="K3651" t="s">
        <v>22</v>
      </c>
      <c r="L3651" t="s">
        <v>17</v>
      </c>
      <c r="M3651" t="s">
        <v>161</v>
      </c>
    </row>
    <row r="3652" spans="1:13" x14ac:dyDescent="0.2">
      <c r="A3652">
        <v>704192</v>
      </c>
      <c r="B3652" s="2">
        <v>45312</v>
      </c>
      <c r="C3652">
        <v>73911</v>
      </c>
      <c r="D3652" t="s">
        <v>29</v>
      </c>
      <c r="E3652" t="s">
        <v>175</v>
      </c>
      <c r="F3652" t="s">
        <v>176</v>
      </c>
      <c r="G3652">
        <v>2</v>
      </c>
      <c r="H3652">
        <v>10.19</v>
      </c>
      <c r="I3652">
        <v>0.15</v>
      </c>
      <c r="J3652">
        <v>17.32</v>
      </c>
      <c r="K3652" t="s">
        <v>16</v>
      </c>
      <c r="L3652" t="s">
        <v>17</v>
      </c>
      <c r="M3652" t="s">
        <v>76</v>
      </c>
    </row>
    <row r="3653" spans="1:13" x14ac:dyDescent="0.2">
      <c r="A3653">
        <v>704277</v>
      </c>
      <c r="B3653" s="1">
        <v>45177</v>
      </c>
      <c r="C3653">
        <v>53829</v>
      </c>
      <c r="D3653" t="s">
        <v>25</v>
      </c>
      <c r="E3653" t="s">
        <v>26</v>
      </c>
      <c r="F3653" t="s">
        <v>27</v>
      </c>
      <c r="G3653">
        <v>3</v>
      </c>
      <c r="H3653">
        <v>34.99</v>
      </c>
      <c r="J3653">
        <v>104.97</v>
      </c>
      <c r="K3653" t="s">
        <v>95</v>
      </c>
      <c r="L3653" t="s">
        <v>37</v>
      </c>
      <c r="M3653" t="s">
        <v>102</v>
      </c>
    </row>
    <row r="3654" spans="1:13" x14ac:dyDescent="0.2">
      <c r="A3654">
        <v>704402</v>
      </c>
      <c r="B3654" s="2">
        <v>44686</v>
      </c>
      <c r="C3654">
        <v>64675</v>
      </c>
      <c r="D3654" t="s">
        <v>25</v>
      </c>
      <c r="E3654" t="s">
        <v>60</v>
      </c>
      <c r="F3654" t="s">
        <v>61</v>
      </c>
      <c r="G3654">
        <v>1</v>
      </c>
      <c r="H3654">
        <v>38.49</v>
      </c>
      <c r="I3654">
        <v>0.3</v>
      </c>
      <c r="J3654">
        <v>26.94</v>
      </c>
      <c r="K3654" t="s">
        <v>53</v>
      </c>
      <c r="L3654" t="s">
        <v>17</v>
      </c>
      <c r="M3654" t="s">
        <v>43</v>
      </c>
    </row>
    <row r="3655" spans="1:13" x14ac:dyDescent="0.2">
      <c r="A3655">
        <v>704579</v>
      </c>
      <c r="B3655" s="2">
        <v>45178</v>
      </c>
      <c r="C3655">
        <v>62646</v>
      </c>
      <c r="D3655" t="s">
        <v>63</v>
      </c>
      <c r="E3655" t="s">
        <v>68</v>
      </c>
      <c r="F3655" t="s">
        <v>69</v>
      </c>
      <c r="G3655">
        <v>2</v>
      </c>
      <c r="H3655">
        <v>18.739999999999998</v>
      </c>
      <c r="I3655">
        <v>0.25</v>
      </c>
      <c r="J3655">
        <v>28.11</v>
      </c>
      <c r="K3655" t="s">
        <v>16</v>
      </c>
      <c r="L3655" t="s">
        <v>37</v>
      </c>
      <c r="M3655" t="s">
        <v>102</v>
      </c>
    </row>
    <row r="3656" spans="1:13" x14ac:dyDescent="0.2">
      <c r="A3656">
        <v>704608</v>
      </c>
      <c r="B3656" s="1">
        <v>45522</v>
      </c>
      <c r="C3656">
        <v>22356</v>
      </c>
      <c r="D3656" t="s">
        <v>29</v>
      </c>
      <c r="E3656" t="s">
        <v>175</v>
      </c>
      <c r="F3656" t="s">
        <v>176</v>
      </c>
      <c r="G3656">
        <v>3</v>
      </c>
      <c r="H3656">
        <v>11.99</v>
      </c>
      <c r="J3656">
        <v>35.97</v>
      </c>
      <c r="K3656" t="s">
        <v>16</v>
      </c>
      <c r="L3656" t="s">
        <v>17</v>
      </c>
      <c r="M3656" t="s">
        <v>120</v>
      </c>
    </row>
    <row r="3657" spans="1:13" x14ac:dyDescent="0.2">
      <c r="A3657">
        <v>705090</v>
      </c>
      <c r="B3657" s="1">
        <v>44569</v>
      </c>
      <c r="C3657">
        <v>66654</v>
      </c>
      <c r="D3657" t="s">
        <v>13</v>
      </c>
      <c r="E3657" t="s">
        <v>77</v>
      </c>
      <c r="F3657" t="s">
        <v>78</v>
      </c>
      <c r="G3657">
        <v>2</v>
      </c>
      <c r="H3657">
        <v>424.99</v>
      </c>
      <c r="I3657">
        <v>0.15</v>
      </c>
      <c r="J3657">
        <v>722.48</v>
      </c>
      <c r="K3657" t="s">
        <v>16</v>
      </c>
      <c r="L3657" t="s">
        <v>17</v>
      </c>
      <c r="M3657" t="s">
        <v>24</v>
      </c>
    </row>
    <row r="3658" spans="1:13" x14ac:dyDescent="0.2">
      <c r="A3658">
        <v>705543</v>
      </c>
      <c r="B3658" s="1">
        <v>45077</v>
      </c>
      <c r="C3658">
        <v>70626</v>
      </c>
      <c r="D3658" t="s">
        <v>25</v>
      </c>
      <c r="E3658" t="s">
        <v>51</v>
      </c>
      <c r="F3658" t="s">
        <v>52</v>
      </c>
      <c r="G3658">
        <v>5</v>
      </c>
      <c r="H3658">
        <v>27.99</v>
      </c>
      <c r="J3658">
        <v>139.94999999999999</v>
      </c>
      <c r="K3658" t="s">
        <v>16</v>
      </c>
      <c r="L3658" t="s">
        <v>23</v>
      </c>
      <c r="M3658" t="s">
        <v>90</v>
      </c>
    </row>
    <row r="3659" spans="1:13" x14ac:dyDescent="0.2">
      <c r="A3659">
        <v>705652</v>
      </c>
      <c r="B3659" s="1">
        <v>44789</v>
      </c>
      <c r="C3659">
        <v>25593</v>
      </c>
      <c r="D3659" t="s">
        <v>40</v>
      </c>
      <c r="E3659" t="s">
        <v>197</v>
      </c>
      <c r="F3659" t="s">
        <v>198</v>
      </c>
      <c r="G3659">
        <v>1</v>
      </c>
      <c r="H3659">
        <v>11.99</v>
      </c>
      <c r="I3659">
        <v>0.2</v>
      </c>
      <c r="J3659">
        <v>9.59</v>
      </c>
      <c r="K3659" t="s">
        <v>36</v>
      </c>
      <c r="L3659" t="s">
        <v>17</v>
      </c>
      <c r="M3659" t="s">
        <v>28</v>
      </c>
    </row>
    <row r="3660" spans="1:13" x14ac:dyDescent="0.2">
      <c r="A3660">
        <v>705909</v>
      </c>
      <c r="B3660" s="1">
        <v>44600</v>
      </c>
      <c r="C3660">
        <v>42776</v>
      </c>
      <c r="D3660" t="s">
        <v>85</v>
      </c>
      <c r="E3660" t="s">
        <v>86</v>
      </c>
      <c r="F3660" t="s">
        <v>87</v>
      </c>
      <c r="G3660">
        <v>3</v>
      </c>
      <c r="H3660">
        <v>12.99</v>
      </c>
      <c r="J3660">
        <v>38.97</v>
      </c>
      <c r="K3660" t="s">
        <v>95</v>
      </c>
      <c r="L3660" t="s">
        <v>17</v>
      </c>
      <c r="M3660" t="s">
        <v>67</v>
      </c>
    </row>
    <row r="3661" spans="1:13" x14ac:dyDescent="0.2">
      <c r="A3661">
        <v>705991</v>
      </c>
      <c r="B3661" s="2">
        <v>45151</v>
      </c>
      <c r="C3661">
        <v>24184</v>
      </c>
      <c r="D3661" t="s">
        <v>48</v>
      </c>
      <c r="E3661" t="s">
        <v>179</v>
      </c>
      <c r="F3661" t="s">
        <v>180</v>
      </c>
      <c r="G3661">
        <v>1</v>
      </c>
      <c r="H3661">
        <v>10.79</v>
      </c>
      <c r="I3661">
        <v>0.1</v>
      </c>
      <c r="J3661">
        <v>9.7100000000000009</v>
      </c>
      <c r="K3661" t="s">
        <v>36</v>
      </c>
      <c r="L3661" t="s">
        <v>17</v>
      </c>
      <c r="M3661" t="s">
        <v>90</v>
      </c>
    </row>
    <row r="3662" spans="1:13" x14ac:dyDescent="0.2">
      <c r="A3662">
        <v>706224</v>
      </c>
      <c r="B3662" s="1">
        <v>45095</v>
      </c>
      <c r="D3662" t="s">
        <v>25</v>
      </c>
      <c r="E3662" t="s">
        <v>51</v>
      </c>
      <c r="F3662" t="s">
        <v>52</v>
      </c>
      <c r="G3662">
        <v>3</v>
      </c>
      <c r="H3662">
        <v>27.99</v>
      </c>
      <c r="J3662">
        <v>83.97</v>
      </c>
      <c r="K3662" t="s">
        <v>66</v>
      </c>
      <c r="L3662" t="s">
        <v>17</v>
      </c>
      <c r="M3662" t="s">
        <v>28</v>
      </c>
    </row>
    <row r="3663" spans="1:13" x14ac:dyDescent="0.2">
      <c r="A3663">
        <v>706578</v>
      </c>
      <c r="B3663" s="1">
        <v>45447</v>
      </c>
      <c r="C3663">
        <v>16486</v>
      </c>
      <c r="D3663" t="s">
        <v>97</v>
      </c>
      <c r="E3663" t="s">
        <v>141</v>
      </c>
      <c r="F3663" t="s">
        <v>142</v>
      </c>
      <c r="G3663">
        <v>4</v>
      </c>
      <c r="H3663">
        <v>22.99</v>
      </c>
      <c r="J3663">
        <v>91.96</v>
      </c>
      <c r="K3663" t="s">
        <v>36</v>
      </c>
      <c r="L3663" t="s">
        <v>37</v>
      </c>
      <c r="M3663" t="s">
        <v>33</v>
      </c>
    </row>
    <row r="3664" spans="1:13" x14ac:dyDescent="0.2">
      <c r="A3664">
        <v>707180</v>
      </c>
      <c r="B3664" s="2">
        <v>44829</v>
      </c>
      <c r="C3664">
        <v>64296</v>
      </c>
      <c r="D3664" t="s">
        <v>97</v>
      </c>
      <c r="E3664" t="s">
        <v>135</v>
      </c>
      <c r="F3664" t="s">
        <v>136</v>
      </c>
      <c r="G3664">
        <v>2</v>
      </c>
      <c r="H3664">
        <v>9.99</v>
      </c>
      <c r="J3664">
        <v>19.98</v>
      </c>
      <c r="K3664" t="s">
        <v>22</v>
      </c>
      <c r="L3664" t="s">
        <v>17</v>
      </c>
      <c r="M3664" t="s">
        <v>18</v>
      </c>
    </row>
    <row r="3665" spans="1:13" x14ac:dyDescent="0.2">
      <c r="A3665">
        <v>707497</v>
      </c>
      <c r="B3665" s="1">
        <v>44856</v>
      </c>
      <c r="C3665">
        <v>26080</v>
      </c>
      <c r="D3665" t="s">
        <v>13</v>
      </c>
      <c r="E3665" t="s">
        <v>186</v>
      </c>
      <c r="F3665" t="s">
        <v>187</v>
      </c>
      <c r="G3665">
        <v>3</v>
      </c>
      <c r="H3665">
        <v>49.99</v>
      </c>
      <c r="J3665">
        <v>149.97</v>
      </c>
      <c r="K3665" t="s">
        <v>95</v>
      </c>
      <c r="L3665" t="s">
        <v>17</v>
      </c>
      <c r="M3665" t="s">
        <v>43</v>
      </c>
    </row>
    <row r="3666" spans="1:13" x14ac:dyDescent="0.2">
      <c r="A3666">
        <v>707778</v>
      </c>
      <c r="B3666" s="2">
        <v>44724</v>
      </c>
      <c r="D3666" t="s">
        <v>29</v>
      </c>
      <c r="E3666" t="s">
        <v>170</v>
      </c>
      <c r="F3666" t="s">
        <v>171</v>
      </c>
      <c r="G3666">
        <v>4</v>
      </c>
      <c r="H3666">
        <v>13.49</v>
      </c>
      <c r="I3666">
        <v>0.1</v>
      </c>
      <c r="J3666">
        <v>48.56</v>
      </c>
      <c r="K3666" t="s">
        <v>16</v>
      </c>
      <c r="L3666" t="s">
        <v>17</v>
      </c>
      <c r="M3666" t="s">
        <v>67</v>
      </c>
    </row>
    <row r="3667" spans="1:13" x14ac:dyDescent="0.2">
      <c r="A3667">
        <v>708076</v>
      </c>
      <c r="B3667" s="1">
        <v>44588</v>
      </c>
      <c r="C3667">
        <v>69080</v>
      </c>
      <c r="D3667" t="s">
        <v>82</v>
      </c>
      <c r="E3667" t="s">
        <v>168</v>
      </c>
      <c r="F3667" t="s">
        <v>169</v>
      </c>
      <c r="G3667">
        <v>1</v>
      </c>
      <c r="H3667">
        <v>8.99</v>
      </c>
      <c r="J3667">
        <v>8.99</v>
      </c>
      <c r="K3667" t="s">
        <v>95</v>
      </c>
      <c r="L3667" t="s">
        <v>23</v>
      </c>
      <c r="M3667" t="s">
        <v>81</v>
      </c>
    </row>
    <row r="3668" spans="1:13" x14ac:dyDescent="0.2">
      <c r="A3668">
        <v>708078</v>
      </c>
      <c r="B3668" s="1">
        <v>45032</v>
      </c>
      <c r="C3668">
        <v>70940</v>
      </c>
      <c r="D3668" t="s">
        <v>63</v>
      </c>
      <c r="E3668" t="s">
        <v>68</v>
      </c>
      <c r="F3668" t="s">
        <v>69</v>
      </c>
      <c r="G3668">
        <v>1</v>
      </c>
      <c r="H3668">
        <v>24.99</v>
      </c>
      <c r="J3668">
        <v>24.99</v>
      </c>
      <c r="K3668" t="s">
        <v>36</v>
      </c>
      <c r="L3668" t="s">
        <v>17</v>
      </c>
      <c r="M3668" t="s">
        <v>120</v>
      </c>
    </row>
    <row r="3669" spans="1:13" x14ac:dyDescent="0.2">
      <c r="A3669">
        <v>708447</v>
      </c>
      <c r="B3669" s="1">
        <v>45363</v>
      </c>
      <c r="C3669">
        <v>78078</v>
      </c>
      <c r="D3669" t="s">
        <v>97</v>
      </c>
      <c r="E3669" t="s">
        <v>135</v>
      </c>
      <c r="F3669" t="s">
        <v>136</v>
      </c>
      <c r="G3669">
        <v>4</v>
      </c>
      <c r="H3669">
        <v>9.99</v>
      </c>
      <c r="J3669">
        <v>39.96</v>
      </c>
      <c r="K3669" t="s">
        <v>16</v>
      </c>
      <c r="L3669" t="s">
        <v>17</v>
      </c>
      <c r="M3669" t="s">
        <v>96</v>
      </c>
    </row>
    <row r="3670" spans="1:13" x14ac:dyDescent="0.2">
      <c r="A3670">
        <v>708504</v>
      </c>
      <c r="B3670" s="1">
        <v>44925</v>
      </c>
      <c r="C3670">
        <v>86599</v>
      </c>
      <c r="D3670" t="s">
        <v>13</v>
      </c>
      <c r="E3670" t="s">
        <v>104</v>
      </c>
      <c r="F3670" t="s">
        <v>105</v>
      </c>
      <c r="G3670">
        <v>1</v>
      </c>
      <c r="H3670">
        <v>28.49</v>
      </c>
      <c r="I3670">
        <v>0.05</v>
      </c>
      <c r="J3670">
        <v>27.07</v>
      </c>
      <c r="K3670" t="s">
        <v>36</v>
      </c>
      <c r="L3670" t="s">
        <v>17</v>
      </c>
      <c r="M3670" t="s">
        <v>54</v>
      </c>
    </row>
    <row r="3671" spans="1:13" x14ac:dyDescent="0.2">
      <c r="A3671">
        <v>708519</v>
      </c>
      <c r="B3671" s="1">
        <v>44746</v>
      </c>
      <c r="C3671">
        <v>68947</v>
      </c>
      <c r="D3671" t="s">
        <v>82</v>
      </c>
      <c r="E3671" t="s">
        <v>83</v>
      </c>
      <c r="F3671" t="s">
        <v>84</v>
      </c>
      <c r="G3671">
        <v>2</v>
      </c>
      <c r="H3671">
        <v>11.89</v>
      </c>
      <c r="I3671">
        <v>0.3</v>
      </c>
      <c r="J3671">
        <v>16.649999999999999</v>
      </c>
      <c r="K3671" t="s">
        <v>53</v>
      </c>
      <c r="L3671" t="s">
        <v>37</v>
      </c>
      <c r="M3671" t="s">
        <v>76</v>
      </c>
    </row>
    <row r="3672" spans="1:13" x14ac:dyDescent="0.2">
      <c r="A3672">
        <v>708835</v>
      </c>
      <c r="B3672" s="1">
        <v>45148</v>
      </c>
      <c r="C3672">
        <v>63362</v>
      </c>
      <c r="D3672" t="s">
        <v>97</v>
      </c>
      <c r="E3672" t="s">
        <v>121</v>
      </c>
      <c r="F3672" t="s">
        <v>122</v>
      </c>
      <c r="G3672">
        <v>2</v>
      </c>
      <c r="H3672">
        <v>9.74</v>
      </c>
      <c r="I3672">
        <v>0.25</v>
      </c>
      <c r="J3672">
        <v>14.61</v>
      </c>
      <c r="K3672" t="s">
        <v>36</v>
      </c>
      <c r="L3672" t="s">
        <v>17</v>
      </c>
      <c r="M3672" t="s">
        <v>103</v>
      </c>
    </row>
    <row r="3673" spans="1:13" x14ac:dyDescent="0.2">
      <c r="A3673">
        <v>709483</v>
      </c>
      <c r="B3673" s="2">
        <v>45228</v>
      </c>
      <c r="C3673">
        <v>94134</v>
      </c>
      <c r="D3673" t="s">
        <v>44</v>
      </c>
      <c r="E3673" t="s">
        <v>172</v>
      </c>
      <c r="F3673" t="s">
        <v>173</v>
      </c>
      <c r="G3673">
        <v>5</v>
      </c>
      <c r="H3673">
        <v>4.04</v>
      </c>
      <c r="I3673">
        <v>0.1</v>
      </c>
      <c r="J3673">
        <v>18.18</v>
      </c>
      <c r="K3673" t="s">
        <v>22</v>
      </c>
      <c r="L3673" t="s">
        <v>17</v>
      </c>
      <c r="M3673" t="s">
        <v>67</v>
      </c>
    </row>
    <row r="3674" spans="1:13" x14ac:dyDescent="0.2">
      <c r="A3674">
        <v>709588</v>
      </c>
      <c r="B3674" s="1">
        <v>45004</v>
      </c>
      <c r="C3674">
        <v>82859</v>
      </c>
      <c r="D3674" t="s">
        <v>85</v>
      </c>
      <c r="E3674" t="s">
        <v>149</v>
      </c>
      <c r="F3674" t="s">
        <v>150</v>
      </c>
      <c r="G3674">
        <v>3</v>
      </c>
      <c r="H3674">
        <v>17.989999999999998</v>
      </c>
      <c r="I3674">
        <v>0.1</v>
      </c>
      <c r="J3674">
        <v>48.57</v>
      </c>
      <c r="K3674" t="s">
        <v>16</v>
      </c>
      <c r="L3674" t="s">
        <v>17</v>
      </c>
      <c r="M3674" t="s">
        <v>62</v>
      </c>
    </row>
    <row r="3675" spans="1:13" x14ac:dyDescent="0.2">
      <c r="A3675">
        <v>709675</v>
      </c>
      <c r="B3675" s="2">
        <v>44794</v>
      </c>
      <c r="C3675">
        <v>78026</v>
      </c>
      <c r="D3675" t="s">
        <v>13</v>
      </c>
      <c r="E3675" t="s">
        <v>55</v>
      </c>
      <c r="F3675" t="s">
        <v>56</v>
      </c>
      <c r="G3675">
        <v>4</v>
      </c>
      <c r="H3675">
        <v>329.99</v>
      </c>
      <c r="J3675">
        <v>1319.96</v>
      </c>
      <c r="K3675" t="s">
        <v>53</v>
      </c>
      <c r="L3675" t="s">
        <v>17</v>
      </c>
      <c r="M3675" t="s">
        <v>117</v>
      </c>
    </row>
    <row r="3676" spans="1:13" x14ac:dyDescent="0.2">
      <c r="A3676">
        <v>709710</v>
      </c>
      <c r="B3676" s="2">
        <v>45446</v>
      </c>
      <c r="C3676">
        <v>40785</v>
      </c>
      <c r="D3676" t="s">
        <v>44</v>
      </c>
      <c r="E3676" t="s">
        <v>133</v>
      </c>
      <c r="F3676" t="s">
        <v>134</v>
      </c>
      <c r="G3676">
        <v>4</v>
      </c>
      <c r="H3676">
        <v>3.22</v>
      </c>
      <c r="J3676">
        <v>12.88</v>
      </c>
      <c r="K3676" t="s">
        <v>16</v>
      </c>
      <c r="L3676" t="s">
        <v>37</v>
      </c>
      <c r="M3676" t="s">
        <v>117</v>
      </c>
    </row>
    <row r="3677" spans="1:13" x14ac:dyDescent="0.2">
      <c r="A3677">
        <v>709810</v>
      </c>
      <c r="B3677" s="2">
        <v>45150</v>
      </c>
      <c r="C3677">
        <v>98007</v>
      </c>
      <c r="D3677" t="s">
        <v>97</v>
      </c>
      <c r="E3677" t="s">
        <v>165</v>
      </c>
      <c r="F3677" t="s">
        <v>166</v>
      </c>
      <c r="G3677">
        <v>1</v>
      </c>
      <c r="H3677">
        <v>67.489999999999995</v>
      </c>
      <c r="I3677">
        <v>0.25</v>
      </c>
      <c r="J3677">
        <v>50.62</v>
      </c>
      <c r="K3677" t="s">
        <v>32</v>
      </c>
      <c r="L3677" t="s">
        <v>37</v>
      </c>
      <c r="M3677" t="s">
        <v>62</v>
      </c>
    </row>
    <row r="3678" spans="1:13" x14ac:dyDescent="0.2">
      <c r="A3678">
        <v>710281</v>
      </c>
      <c r="B3678" s="2">
        <v>45558</v>
      </c>
      <c r="C3678">
        <v>79148</v>
      </c>
      <c r="D3678" t="s">
        <v>97</v>
      </c>
      <c r="E3678" t="s">
        <v>121</v>
      </c>
      <c r="F3678" t="s">
        <v>122</v>
      </c>
      <c r="G3678">
        <v>1</v>
      </c>
      <c r="H3678">
        <v>11.04</v>
      </c>
      <c r="I3678">
        <v>0.15</v>
      </c>
      <c r="J3678">
        <v>9.3800000000000008</v>
      </c>
      <c r="K3678" t="s">
        <v>36</v>
      </c>
      <c r="L3678" t="s">
        <v>17</v>
      </c>
      <c r="M3678" t="s">
        <v>90</v>
      </c>
    </row>
    <row r="3679" spans="1:13" x14ac:dyDescent="0.2">
      <c r="A3679">
        <v>710411</v>
      </c>
      <c r="B3679" s="2">
        <v>44989</v>
      </c>
      <c r="C3679">
        <v>61490</v>
      </c>
      <c r="D3679" t="s">
        <v>40</v>
      </c>
      <c r="E3679" t="s">
        <v>41</v>
      </c>
      <c r="F3679" t="s">
        <v>42</v>
      </c>
      <c r="G3679">
        <v>5</v>
      </c>
      <c r="H3679">
        <v>5.99</v>
      </c>
      <c r="J3679">
        <v>29.95</v>
      </c>
      <c r="K3679" t="s">
        <v>16</v>
      </c>
      <c r="L3679" t="s">
        <v>17</v>
      </c>
      <c r="M3679" t="s">
        <v>47</v>
      </c>
    </row>
    <row r="3680" spans="1:13" x14ac:dyDescent="0.2">
      <c r="A3680">
        <v>710678</v>
      </c>
      <c r="B3680" s="1">
        <v>45550</v>
      </c>
      <c r="C3680">
        <v>55808</v>
      </c>
      <c r="D3680" t="s">
        <v>25</v>
      </c>
      <c r="E3680" t="s">
        <v>70</v>
      </c>
      <c r="F3680" t="s">
        <v>71</v>
      </c>
      <c r="G3680">
        <v>4</v>
      </c>
      <c r="H3680">
        <v>89.99</v>
      </c>
      <c r="J3680">
        <v>359.96</v>
      </c>
      <c r="K3680" t="s">
        <v>36</v>
      </c>
      <c r="L3680" t="s">
        <v>17</v>
      </c>
      <c r="M3680" t="s">
        <v>96</v>
      </c>
    </row>
    <row r="3681" spans="1:13" x14ac:dyDescent="0.2">
      <c r="A3681">
        <v>710980</v>
      </c>
      <c r="B3681" s="1">
        <v>45596</v>
      </c>
      <c r="C3681">
        <v>63026</v>
      </c>
      <c r="D3681" t="s">
        <v>82</v>
      </c>
      <c r="E3681" t="s">
        <v>168</v>
      </c>
      <c r="F3681" t="s">
        <v>169</v>
      </c>
      <c r="G3681">
        <v>4</v>
      </c>
      <c r="H3681">
        <v>8.99</v>
      </c>
      <c r="J3681">
        <v>35.96</v>
      </c>
      <c r="K3681" t="s">
        <v>36</v>
      </c>
      <c r="L3681" t="s">
        <v>17</v>
      </c>
      <c r="M3681" t="s">
        <v>67</v>
      </c>
    </row>
    <row r="3682" spans="1:13" x14ac:dyDescent="0.2">
      <c r="A3682">
        <v>711614</v>
      </c>
      <c r="B3682" s="1">
        <v>45354</v>
      </c>
      <c r="C3682">
        <v>59228</v>
      </c>
      <c r="D3682" t="s">
        <v>40</v>
      </c>
      <c r="E3682" t="s">
        <v>115</v>
      </c>
      <c r="F3682" t="s">
        <v>116</v>
      </c>
      <c r="G3682">
        <v>5</v>
      </c>
      <c r="H3682">
        <v>11.69</v>
      </c>
      <c r="I3682">
        <v>0.1</v>
      </c>
      <c r="J3682">
        <v>52.6</v>
      </c>
      <c r="K3682" t="s">
        <v>32</v>
      </c>
      <c r="L3682" t="s">
        <v>17</v>
      </c>
      <c r="M3682" t="s">
        <v>103</v>
      </c>
    </row>
    <row r="3683" spans="1:13" x14ac:dyDescent="0.2">
      <c r="A3683">
        <v>711641</v>
      </c>
      <c r="B3683" s="2">
        <v>44900</v>
      </c>
      <c r="C3683">
        <v>12142</v>
      </c>
      <c r="D3683" t="s">
        <v>85</v>
      </c>
      <c r="E3683" t="s">
        <v>153</v>
      </c>
      <c r="F3683" t="s">
        <v>154</v>
      </c>
      <c r="G3683">
        <v>4</v>
      </c>
      <c r="H3683">
        <v>26.99</v>
      </c>
      <c r="I3683">
        <v>0.1</v>
      </c>
      <c r="J3683">
        <v>97.16</v>
      </c>
      <c r="K3683" t="s">
        <v>22</v>
      </c>
      <c r="L3683" t="s">
        <v>17</v>
      </c>
      <c r="M3683" t="s">
        <v>123</v>
      </c>
    </row>
    <row r="3684" spans="1:13" x14ac:dyDescent="0.2">
      <c r="A3684">
        <v>711844</v>
      </c>
      <c r="B3684" s="1">
        <v>44615</v>
      </c>
      <c r="D3684" t="s">
        <v>40</v>
      </c>
      <c r="E3684" t="s">
        <v>115</v>
      </c>
      <c r="F3684" t="s">
        <v>116</v>
      </c>
      <c r="G3684">
        <v>5</v>
      </c>
      <c r="H3684">
        <v>11.04</v>
      </c>
      <c r="I3684">
        <v>0.15</v>
      </c>
      <c r="J3684">
        <v>46.92</v>
      </c>
      <c r="K3684" t="s">
        <v>22</v>
      </c>
      <c r="L3684" t="s">
        <v>17</v>
      </c>
      <c r="M3684" t="s">
        <v>123</v>
      </c>
    </row>
    <row r="3685" spans="1:13" x14ac:dyDescent="0.2">
      <c r="A3685">
        <v>711917</v>
      </c>
      <c r="B3685" s="2">
        <v>45476</v>
      </c>
      <c r="C3685">
        <v>89573</v>
      </c>
      <c r="D3685" t="s">
        <v>97</v>
      </c>
      <c r="E3685" t="s">
        <v>165</v>
      </c>
      <c r="F3685" t="s">
        <v>166</v>
      </c>
      <c r="G3685">
        <v>4</v>
      </c>
      <c r="H3685">
        <v>67.489999999999995</v>
      </c>
      <c r="I3685">
        <v>0.25</v>
      </c>
      <c r="J3685">
        <v>202.47</v>
      </c>
      <c r="K3685" t="s">
        <v>16</v>
      </c>
      <c r="L3685" t="s">
        <v>23</v>
      </c>
      <c r="M3685" t="s">
        <v>102</v>
      </c>
    </row>
    <row r="3686" spans="1:13" x14ac:dyDescent="0.2">
      <c r="A3686">
        <v>712284</v>
      </c>
      <c r="B3686" s="1">
        <v>45248</v>
      </c>
      <c r="C3686">
        <v>45877</v>
      </c>
      <c r="D3686" t="s">
        <v>13</v>
      </c>
      <c r="E3686" t="s">
        <v>77</v>
      </c>
      <c r="F3686" t="s">
        <v>78</v>
      </c>
      <c r="G3686">
        <v>3</v>
      </c>
      <c r="H3686">
        <v>474.99</v>
      </c>
      <c r="I3686">
        <v>0.05</v>
      </c>
      <c r="J3686">
        <v>1353.72</v>
      </c>
      <c r="K3686" t="s">
        <v>16</v>
      </c>
      <c r="L3686" t="s">
        <v>17</v>
      </c>
      <c r="M3686" t="s">
        <v>90</v>
      </c>
    </row>
    <row r="3687" spans="1:13" x14ac:dyDescent="0.2">
      <c r="A3687">
        <v>712552</v>
      </c>
      <c r="B3687" s="2">
        <v>45284</v>
      </c>
      <c r="C3687">
        <v>98618</v>
      </c>
      <c r="D3687" t="s">
        <v>29</v>
      </c>
      <c r="E3687" t="s">
        <v>30</v>
      </c>
      <c r="F3687" t="s">
        <v>31</v>
      </c>
      <c r="G3687">
        <v>2</v>
      </c>
      <c r="H3687">
        <v>24.99</v>
      </c>
      <c r="J3687">
        <v>49.98</v>
      </c>
      <c r="K3687" t="s">
        <v>36</v>
      </c>
      <c r="L3687" t="s">
        <v>37</v>
      </c>
      <c r="M3687" t="s">
        <v>47</v>
      </c>
    </row>
    <row r="3688" spans="1:13" x14ac:dyDescent="0.2">
      <c r="A3688">
        <v>712686</v>
      </c>
      <c r="B3688" s="2">
        <v>45624</v>
      </c>
      <c r="C3688">
        <v>74165</v>
      </c>
      <c r="D3688" t="s">
        <v>48</v>
      </c>
      <c r="E3688" t="s">
        <v>139</v>
      </c>
      <c r="F3688" t="s">
        <v>140</v>
      </c>
      <c r="G3688">
        <v>4</v>
      </c>
      <c r="H3688">
        <v>6.39</v>
      </c>
      <c r="I3688">
        <v>0.2</v>
      </c>
      <c r="J3688">
        <v>20.45</v>
      </c>
      <c r="K3688" t="s">
        <v>36</v>
      </c>
      <c r="L3688" t="s">
        <v>17</v>
      </c>
      <c r="M3688" t="s">
        <v>76</v>
      </c>
    </row>
    <row r="3689" spans="1:13" x14ac:dyDescent="0.2">
      <c r="A3689">
        <v>712690</v>
      </c>
      <c r="B3689" s="1">
        <v>45216</v>
      </c>
      <c r="C3689">
        <v>28151</v>
      </c>
      <c r="D3689" t="s">
        <v>44</v>
      </c>
      <c r="E3689" t="s">
        <v>107</v>
      </c>
      <c r="F3689" t="s">
        <v>108</v>
      </c>
      <c r="G3689">
        <v>2</v>
      </c>
      <c r="H3689">
        <v>3.49</v>
      </c>
      <c r="J3689">
        <v>6.98</v>
      </c>
      <c r="K3689" t="s">
        <v>53</v>
      </c>
      <c r="L3689" t="s">
        <v>17</v>
      </c>
      <c r="M3689" t="s">
        <v>18</v>
      </c>
    </row>
    <row r="3690" spans="1:13" x14ac:dyDescent="0.2">
      <c r="A3690">
        <v>713015</v>
      </c>
      <c r="B3690" s="1">
        <v>45240</v>
      </c>
      <c r="C3690">
        <v>36878</v>
      </c>
      <c r="D3690" t="s">
        <v>29</v>
      </c>
      <c r="E3690" t="s">
        <v>175</v>
      </c>
      <c r="F3690" t="s">
        <v>176</v>
      </c>
      <c r="G3690">
        <v>1</v>
      </c>
      <c r="H3690">
        <v>11.99</v>
      </c>
      <c r="J3690">
        <v>11.99</v>
      </c>
      <c r="K3690" t="s">
        <v>16</v>
      </c>
      <c r="L3690" t="s">
        <v>37</v>
      </c>
      <c r="M3690" t="s">
        <v>81</v>
      </c>
    </row>
    <row r="3691" spans="1:13" x14ac:dyDescent="0.2">
      <c r="A3691">
        <v>713052</v>
      </c>
      <c r="B3691" s="2">
        <v>44887</v>
      </c>
      <c r="C3691">
        <v>41519</v>
      </c>
      <c r="D3691" t="s">
        <v>40</v>
      </c>
      <c r="E3691" t="s">
        <v>41</v>
      </c>
      <c r="F3691" t="s">
        <v>42</v>
      </c>
      <c r="G3691">
        <v>2</v>
      </c>
      <c r="H3691">
        <v>4.79</v>
      </c>
      <c r="I3691">
        <v>0.2</v>
      </c>
      <c r="J3691">
        <v>7.66</v>
      </c>
      <c r="K3691" t="s">
        <v>53</v>
      </c>
      <c r="L3691" t="s">
        <v>37</v>
      </c>
      <c r="M3691" t="s">
        <v>57</v>
      </c>
    </row>
    <row r="3692" spans="1:13" x14ac:dyDescent="0.2">
      <c r="A3692">
        <v>713247</v>
      </c>
      <c r="B3692" s="1">
        <v>45157</v>
      </c>
      <c r="C3692">
        <v>55714</v>
      </c>
      <c r="D3692" t="s">
        <v>82</v>
      </c>
      <c r="E3692" t="s">
        <v>100</v>
      </c>
      <c r="F3692" t="s">
        <v>101</v>
      </c>
      <c r="G3692">
        <v>5</v>
      </c>
      <c r="H3692">
        <v>21.84</v>
      </c>
      <c r="I3692">
        <v>0.05</v>
      </c>
      <c r="J3692">
        <v>103.74</v>
      </c>
      <c r="K3692" t="s">
        <v>36</v>
      </c>
      <c r="L3692" t="s">
        <v>17</v>
      </c>
    </row>
    <row r="3693" spans="1:13" x14ac:dyDescent="0.2">
      <c r="A3693">
        <v>713272</v>
      </c>
      <c r="B3693" s="1">
        <v>45259</v>
      </c>
      <c r="C3693">
        <v>77439</v>
      </c>
      <c r="D3693" t="s">
        <v>97</v>
      </c>
      <c r="E3693" t="s">
        <v>98</v>
      </c>
      <c r="F3693" t="s">
        <v>99</v>
      </c>
      <c r="G3693">
        <v>2</v>
      </c>
      <c r="H3693">
        <v>26.59</v>
      </c>
      <c r="I3693">
        <v>0.05</v>
      </c>
      <c r="J3693">
        <v>50.52</v>
      </c>
      <c r="K3693" t="s">
        <v>36</v>
      </c>
      <c r="L3693" t="s">
        <v>23</v>
      </c>
      <c r="M3693" t="s">
        <v>57</v>
      </c>
    </row>
    <row r="3694" spans="1:13" x14ac:dyDescent="0.2">
      <c r="A3694">
        <v>713374</v>
      </c>
      <c r="B3694" s="1">
        <v>45207</v>
      </c>
      <c r="C3694">
        <v>83806</v>
      </c>
      <c r="D3694" t="s">
        <v>82</v>
      </c>
      <c r="E3694" t="s">
        <v>168</v>
      </c>
      <c r="F3694" t="s">
        <v>169</v>
      </c>
      <c r="G3694">
        <v>1</v>
      </c>
      <c r="H3694">
        <v>6.74</v>
      </c>
      <c r="I3694">
        <v>0.25</v>
      </c>
      <c r="J3694">
        <v>5.0599999999999996</v>
      </c>
      <c r="K3694" t="s">
        <v>32</v>
      </c>
      <c r="L3694" t="s">
        <v>17</v>
      </c>
      <c r="M3694" t="s">
        <v>62</v>
      </c>
    </row>
    <row r="3695" spans="1:13" x14ac:dyDescent="0.2">
      <c r="A3695">
        <v>713565</v>
      </c>
      <c r="B3695" s="1">
        <v>44719</v>
      </c>
      <c r="C3695">
        <v>71519</v>
      </c>
      <c r="D3695" t="s">
        <v>29</v>
      </c>
      <c r="E3695" t="s">
        <v>30</v>
      </c>
      <c r="F3695" t="s">
        <v>31</v>
      </c>
      <c r="G3695">
        <v>2</v>
      </c>
      <c r="H3695">
        <v>24.99</v>
      </c>
      <c r="J3695">
        <v>49.98</v>
      </c>
      <c r="K3695" t="s">
        <v>16</v>
      </c>
      <c r="L3695" t="s">
        <v>37</v>
      </c>
    </row>
    <row r="3696" spans="1:13" x14ac:dyDescent="0.2">
      <c r="A3696">
        <v>713566</v>
      </c>
      <c r="B3696" s="1">
        <v>44993</v>
      </c>
      <c r="C3696">
        <v>22277</v>
      </c>
      <c r="D3696" t="s">
        <v>82</v>
      </c>
      <c r="E3696" t="s">
        <v>100</v>
      </c>
      <c r="F3696" t="s">
        <v>101</v>
      </c>
      <c r="G3696">
        <v>1</v>
      </c>
      <c r="H3696">
        <v>22.99</v>
      </c>
      <c r="J3696">
        <v>22.99</v>
      </c>
      <c r="K3696" t="s">
        <v>22</v>
      </c>
      <c r="L3696" t="s">
        <v>17</v>
      </c>
      <c r="M3696" t="s">
        <v>90</v>
      </c>
    </row>
    <row r="3697" spans="1:13" x14ac:dyDescent="0.2">
      <c r="A3697">
        <v>713861</v>
      </c>
      <c r="B3697" s="1">
        <v>44781</v>
      </c>
      <c r="C3697">
        <v>34219</v>
      </c>
      <c r="D3697" t="s">
        <v>85</v>
      </c>
      <c r="E3697" t="s">
        <v>153</v>
      </c>
      <c r="F3697" t="s">
        <v>154</v>
      </c>
      <c r="G3697">
        <v>1</v>
      </c>
      <c r="H3697">
        <v>23.99</v>
      </c>
      <c r="I3697">
        <v>0.2</v>
      </c>
      <c r="J3697">
        <v>19.190000000000001</v>
      </c>
      <c r="K3697" t="s">
        <v>53</v>
      </c>
      <c r="L3697" t="s">
        <v>17</v>
      </c>
      <c r="M3697" t="s">
        <v>43</v>
      </c>
    </row>
    <row r="3698" spans="1:13" x14ac:dyDescent="0.2">
      <c r="A3698">
        <v>713999</v>
      </c>
      <c r="B3698" s="1">
        <v>45393</v>
      </c>
      <c r="C3698">
        <v>12559</v>
      </c>
      <c r="D3698" t="s">
        <v>63</v>
      </c>
      <c r="E3698" t="s">
        <v>131</v>
      </c>
      <c r="F3698" t="s">
        <v>132</v>
      </c>
      <c r="G3698">
        <v>2</v>
      </c>
      <c r="H3698">
        <v>2.62</v>
      </c>
      <c r="I3698">
        <v>0.25</v>
      </c>
      <c r="J3698">
        <v>3.93</v>
      </c>
      <c r="K3698" t="s">
        <v>36</v>
      </c>
      <c r="L3698" t="s">
        <v>17</v>
      </c>
      <c r="M3698" t="s">
        <v>67</v>
      </c>
    </row>
    <row r="3699" spans="1:13" x14ac:dyDescent="0.2">
      <c r="A3699">
        <v>714228</v>
      </c>
      <c r="B3699" s="2">
        <v>45557</v>
      </c>
      <c r="C3699">
        <v>93330</v>
      </c>
      <c r="D3699" t="s">
        <v>44</v>
      </c>
      <c r="E3699" t="s">
        <v>177</v>
      </c>
      <c r="F3699" t="s">
        <v>178</v>
      </c>
      <c r="G3699">
        <v>2</v>
      </c>
      <c r="H3699">
        <v>11.99</v>
      </c>
      <c r="J3699">
        <v>23.98</v>
      </c>
      <c r="K3699" t="s">
        <v>36</v>
      </c>
      <c r="L3699" t="s">
        <v>37</v>
      </c>
      <c r="M3699" t="s">
        <v>24</v>
      </c>
    </row>
    <row r="3700" spans="1:13" x14ac:dyDescent="0.2">
      <c r="A3700">
        <v>714407</v>
      </c>
      <c r="B3700" s="1">
        <v>44859</v>
      </c>
      <c r="C3700">
        <v>83659</v>
      </c>
      <c r="D3700" t="s">
        <v>25</v>
      </c>
      <c r="E3700" t="s">
        <v>113</v>
      </c>
      <c r="F3700" t="s">
        <v>114</v>
      </c>
      <c r="G3700">
        <v>1</v>
      </c>
      <c r="H3700">
        <v>101.99</v>
      </c>
      <c r="I3700">
        <v>0.15</v>
      </c>
      <c r="J3700">
        <v>86.69</v>
      </c>
      <c r="K3700" t="s">
        <v>53</v>
      </c>
      <c r="L3700" t="s">
        <v>17</v>
      </c>
      <c r="M3700" t="s">
        <v>47</v>
      </c>
    </row>
    <row r="3701" spans="1:13" x14ac:dyDescent="0.2">
      <c r="A3701">
        <v>714923</v>
      </c>
      <c r="B3701" s="1">
        <v>45328</v>
      </c>
      <c r="C3701">
        <v>88328</v>
      </c>
      <c r="D3701" t="s">
        <v>63</v>
      </c>
      <c r="E3701" t="s">
        <v>125</v>
      </c>
      <c r="F3701" t="s">
        <v>126</v>
      </c>
      <c r="G3701">
        <v>1</v>
      </c>
      <c r="H3701">
        <v>25.49</v>
      </c>
      <c r="I3701">
        <v>0.15</v>
      </c>
      <c r="J3701">
        <v>21.67</v>
      </c>
      <c r="K3701" t="s">
        <v>36</v>
      </c>
      <c r="L3701" t="s">
        <v>17</v>
      </c>
      <c r="M3701" t="s">
        <v>54</v>
      </c>
    </row>
    <row r="3702" spans="1:13" x14ac:dyDescent="0.2">
      <c r="A3702">
        <v>714980</v>
      </c>
      <c r="B3702" s="2">
        <v>45372</v>
      </c>
      <c r="C3702">
        <v>10015</v>
      </c>
      <c r="D3702" t="s">
        <v>44</v>
      </c>
      <c r="E3702" t="s">
        <v>184</v>
      </c>
      <c r="F3702" t="s">
        <v>185</v>
      </c>
      <c r="G3702">
        <v>1</v>
      </c>
      <c r="H3702">
        <v>4.12</v>
      </c>
      <c r="I3702">
        <v>0.25</v>
      </c>
      <c r="J3702">
        <v>3.09</v>
      </c>
      <c r="K3702" t="s">
        <v>16</v>
      </c>
      <c r="L3702" t="s">
        <v>37</v>
      </c>
      <c r="M3702" t="s">
        <v>76</v>
      </c>
    </row>
    <row r="3703" spans="1:13" x14ac:dyDescent="0.2">
      <c r="A3703">
        <v>715084</v>
      </c>
      <c r="B3703" s="1">
        <v>44988</v>
      </c>
      <c r="C3703">
        <v>46716</v>
      </c>
      <c r="D3703" t="s">
        <v>25</v>
      </c>
      <c r="E3703" t="s">
        <v>113</v>
      </c>
      <c r="F3703" t="s">
        <v>114</v>
      </c>
      <c r="G3703">
        <v>5</v>
      </c>
      <c r="H3703">
        <v>119.99</v>
      </c>
      <c r="J3703">
        <v>599.95000000000005</v>
      </c>
      <c r="K3703" t="s">
        <v>32</v>
      </c>
      <c r="L3703" t="s">
        <v>37</v>
      </c>
      <c r="M3703" t="s">
        <v>90</v>
      </c>
    </row>
    <row r="3704" spans="1:13" x14ac:dyDescent="0.2">
      <c r="A3704">
        <v>715126</v>
      </c>
      <c r="B3704" s="1">
        <v>45200</v>
      </c>
      <c r="C3704">
        <v>23549</v>
      </c>
      <c r="D3704" t="s">
        <v>48</v>
      </c>
      <c r="E3704" t="s">
        <v>109</v>
      </c>
      <c r="F3704" t="s">
        <v>110</v>
      </c>
      <c r="G3704">
        <v>1</v>
      </c>
      <c r="H3704">
        <v>6.99</v>
      </c>
      <c r="J3704">
        <v>6.99</v>
      </c>
      <c r="K3704" t="s">
        <v>22</v>
      </c>
      <c r="L3704" t="s">
        <v>17</v>
      </c>
      <c r="M3704" t="s">
        <v>67</v>
      </c>
    </row>
    <row r="3705" spans="1:13" x14ac:dyDescent="0.2">
      <c r="A3705">
        <v>715202</v>
      </c>
      <c r="B3705" s="2">
        <v>44826</v>
      </c>
      <c r="C3705">
        <v>92427</v>
      </c>
      <c r="D3705" t="s">
        <v>44</v>
      </c>
      <c r="E3705" t="s">
        <v>195</v>
      </c>
      <c r="F3705" t="s">
        <v>196</v>
      </c>
      <c r="G3705">
        <v>1</v>
      </c>
      <c r="H3705">
        <v>3.99</v>
      </c>
      <c r="I3705">
        <v>0.2</v>
      </c>
      <c r="J3705">
        <v>3.19</v>
      </c>
      <c r="K3705" t="s">
        <v>16</v>
      </c>
      <c r="L3705" t="s">
        <v>37</v>
      </c>
      <c r="M3705" t="s">
        <v>81</v>
      </c>
    </row>
    <row r="3706" spans="1:13" x14ac:dyDescent="0.2">
      <c r="A3706">
        <v>715702</v>
      </c>
      <c r="B3706" s="1">
        <v>45430</v>
      </c>
      <c r="C3706">
        <v>78852</v>
      </c>
      <c r="D3706" t="s">
        <v>29</v>
      </c>
      <c r="E3706" t="s">
        <v>170</v>
      </c>
      <c r="F3706" t="s">
        <v>171</v>
      </c>
      <c r="G3706">
        <v>1</v>
      </c>
      <c r="H3706">
        <v>11.99</v>
      </c>
      <c r="I3706">
        <v>0.2</v>
      </c>
      <c r="J3706">
        <v>9.59</v>
      </c>
      <c r="K3706" t="s">
        <v>16</v>
      </c>
      <c r="L3706" t="s">
        <v>17</v>
      </c>
      <c r="M3706" t="s">
        <v>123</v>
      </c>
    </row>
    <row r="3707" spans="1:13" x14ac:dyDescent="0.2">
      <c r="A3707">
        <v>715717</v>
      </c>
      <c r="B3707" s="2">
        <v>45357</v>
      </c>
      <c r="C3707">
        <v>42926</v>
      </c>
      <c r="D3707" t="s">
        <v>44</v>
      </c>
      <c r="E3707" t="s">
        <v>45</v>
      </c>
      <c r="F3707" t="s">
        <v>46</v>
      </c>
      <c r="G3707">
        <v>4</v>
      </c>
      <c r="H3707">
        <v>1.52</v>
      </c>
      <c r="I3707">
        <v>0.15</v>
      </c>
      <c r="J3707">
        <v>5.17</v>
      </c>
      <c r="K3707" t="s">
        <v>36</v>
      </c>
      <c r="L3707" t="s">
        <v>17</v>
      </c>
      <c r="M3707" t="s">
        <v>57</v>
      </c>
    </row>
    <row r="3708" spans="1:13" x14ac:dyDescent="0.2">
      <c r="A3708">
        <v>715916</v>
      </c>
      <c r="B3708" s="1">
        <v>45199</v>
      </c>
      <c r="C3708">
        <v>55077</v>
      </c>
      <c r="D3708" t="s">
        <v>44</v>
      </c>
      <c r="E3708" t="s">
        <v>107</v>
      </c>
      <c r="F3708" t="s">
        <v>108</v>
      </c>
      <c r="G3708">
        <v>2</v>
      </c>
      <c r="H3708">
        <v>2.97</v>
      </c>
      <c r="I3708">
        <v>0.15</v>
      </c>
      <c r="J3708">
        <v>5.05</v>
      </c>
      <c r="K3708" t="s">
        <v>53</v>
      </c>
      <c r="L3708" t="s">
        <v>17</v>
      </c>
      <c r="M3708" t="s">
        <v>81</v>
      </c>
    </row>
    <row r="3709" spans="1:13" x14ac:dyDescent="0.2">
      <c r="A3709">
        <v>716185</v>
      </c>
      <c r="B3709" s="1">
        <v>45518</v>
      </c>
      <c r="C3709">
        <v>78205</v>
      </c>
      <c r="D3709" t="s">
        <v>40</v>
      </c>
      <c r="E3709" t="s">
        <v>58</v>
      </c>
      <c r="F3709" t="s">
        <v>59</v>
      </c>
      <c r="G3709">
        <v>1</v>
      </c>
      <c r="H3709">
        <v>3.39</v>
      </c>
      <c r="I3709">
        <v>0.15</v>
      </c>
      <c r="J3709">
        <v>2.88</v>
      </c>
      <c r="K3709" t="s">
        <v>16</v>
      </c>
      <c r="L3709" t="s">
        <v>17</v>
      </c>
      <c r="M3709" t="s">
        <v>67</v>
      </c>
    </row>
    <row r="3710" spans="1:13" x14ac:dyDescent="0.2">
      <c r="A3710">
        <v>716606</v>
      </c>
      <c r="B3710" s="1">
        <v>45534</v>
      </c>
      <c r="D3710" t="s">
        <v>63</v>
      </c>
      <c r="E3710" t="s">
        <v>68</v>
      </c>
      <c r="F3710" t="s">
        <v>69</v>
      </c>
      <c r="G3710">
        <v>1</v>
      </c>
      <c r="H3710">
        <v>19.989999999999998</v>
      </c>
      <c r="I3710">
        <v>0.2</v>
      </c>
      <c r="J3710">
        <v>15.99</v>
      </c>
      <c r="K3710" t="s">
        <v>16</v>
      </c>
      <c r="L3710" t="s">
        <v>17</v>
      </c>
      <c r="M3710" t="s">
        <v>96</v>
      </c>
    </row>
    <row r="3711" spans="1:13" x14ac:dyDescent="0.2">
      <c r="A3711">
        <v>716984</v>
      </c>
      <c r="B3711" s="1">
        <v>44911</v>
      </c>
      <c r="C3711">
        <v>27416</v>
      </c>
      <c r="D3711" t="s">
        <v>25</v>
      </c>
      <c r="E3711" t="s">
        <v>113</v>
      </c>
      <c r="F3711" t="s">
        <v>114</v>
      </c>
      <c r="G3711">
        <v>1</v>
      </c>
      <c r="H3711">
        <v>83.99</v>
      </c>
      <c r="I3711">
        <v>0.3</v>
      </c>
      <c r="J3711">
        <v>58.79</v>
      </c>
      <c r="K3711" t="s">
        <v>36</v>
      </c>
      <c r="L3711" t="s">
        <v>17</v>
      </c>
      <c r="M3711" t="s">
        <v>117</v>
      </c>
    </row>
    <row r="3712" spans="1:13" x14ac:dyDescent="0.2">
      <c r="A3712">
        <v>717108</v>
      </c>
      <c r="B3712" s="1">
        <v>45437</v>
      </c>
      <c r="C3712">
        <v>34937</v>
      </c>
      <c r="D3712" t="s">
        <v>63</v>
      </c>
      <c r="E3712" t="s">
        <v>64</v>
      </c>
      <c r="F3712" t="s">
        <v>65</v>
      </c>
      <c r="G3712">
        <v>2</v>
      </c>
      <c r="H3712">
        <v>4.99</v>
      </c>
      <c r="J3712">
        <v>9.98</v>
      </c>
      <c r="K3712" t="s">
        <v>36</v>
      </c>
      <c r="L3712" t="s">
        <v>17</v>
      </c>
      <c r="M3712" t="s">
        <v>24</v>
      </c>
    </row>
    <row r="3713" spans="1:13" x14ac:dyDescent="0.2">
      <c r="A3713">
        <v>717356</v>
      </c>
      <c r="B3713" s="2">
        <v>44662</v>
      </c>
      <c r="C3713">
        <v>18233</v>
      </c>
      <c r="D3713" t="s">
        <v>13</v>
      </c>
      <c r="E3713" t="s">
        <v>79</v>
      </c>
      <c r="F3713" t="s">
        <v>80</v>
      </c>
      <c r="G3713">
        <v>4</v>
      </c>
      <c r="H3713">
        <v>89.99</v>
      </c>
      <c r="J3713">
        <v>359.96</v>
      </c>
      <c r="K3713" t="s">
        <v>22</v>
      </c>
      <c r="L3713" t="s">
        <v>37</v>
      </c>
      <c r="M3713" t="s">
        <v>24</v>
      </c>
    </row>
    <row r="3714" spans="1:13" x14ac:dyDescent="0.2">
      <c r="A3714">
        <v>717965</v>
      </c>
      <c r="B3714" s="2">
        <v>45115</v>
      </c>
      <c r="C3714">
        <v>19530</v>
      </c>
      <c r="D3714" t="s">
        <v>82</v>
      </c>
      <c r="E3714" t="s">
        <v>188</v>
      </c>
      <c r="F3714" t="s">
        <v>189</v>
      </c>
      <c r="G3714">
        <v>2</v>
      </c>
      <c r="H3714">
        <v>35.99</v>
      </c>
      <c r="I3714">
        <v>0.2</v>
      </c>
      <c r="J3714">
        <v>57.58</v>
      </c>
      <c r="K3714" t="s">
        <v>22</v>
      </c>
      <c r="L3714" t="s">
        <v>17</v>
      </c>
      <c r="M3714" t="s">
        <v>120</v>
      </c>
    </row>
    <row r="3715" spans="1:13" x14ac:dyDescent="0.2">
      <c r="A3715">
        <v>718115</v>
      </c>
      <c r="B3715" s="1">
        <v>45462</v>
      </c>
      <c r="C3715">
        <v>24806</v>
      </c>
      <c r="D3715" t="s">
        <v>44</v>
      </c>
      <c r="E3715" t="s">
        <v>133</v>
      </c>
      <c r="F3715" t="s">
        <v>134</v>
      </c>
      <c r="G3715">
        <v>1</v>
      </c>
      <c r="H3715">
        <v>3.03</v>
      </c>
      <c r="I3715">
        <v>0.2</v>
      </c>
      <c r="J3715">
        <v>2.42</v>
      </c>
      <c r="K3715" t="s">
        <v>22</v>
      </c>
      <c r="L3715" t="s">
        <v>17</v>
      </c>
      <c r="M3715" t="s">
        <v>102</v>
      </c>
    </row>
    <row r="3716" spans="1:13" x14ac:dyDescent="0.2">
      <c r="A3716">
        <v>718123</v>
      </c>
      <c r="B3716" s="2">
        <v>44927</v>
      </c>
      <c r="C3716">
        <v>38911</v>
      </c>
      <c r="D3716" t="s">
        <v>82</v>
      </c>
      <c r="E3716" t="s">
        <v>147</v>
      </c>
      <c r="F3716" t="s">
        <v>148</v>
      </c>
      <c r="G3716">
        <v>5</v>
      </c>
      <c r="H3716">
        <v>10.39</v>
      </c>
      <c r="I3716">
        <v>0.2</v>
      </c>
      <c r="J3716">
        <v>41.56</v>
      </c>
      <c r="K3716" t="s">
        <v>95</v>
      </c>
      <c r="L3716" t="s">
        <v>17</v>
      </c>
      <c r="M3716" t="s">
        <v>103</v>
      </c>
    </row>
    <row r="3717" spans="1:13" x14ac:dyDescent="0.2">
      <c r="A3717">
        <v>718200</v>
      </c>
      <c r="B3717" s="1">
        <v>44812</v>
      </c>
      <c r="C3717">
        <v>56392</v>
      </c>
      <c r="D3717" t="s">
        <v>48</v>
      </c>
      <c r="E3717" t="s">
        <v>49</v>
      </c>
      <c r="F3717" t="s">
        <v>50</v>
      </c>
      <c r="G3717">
        <v>3</v>
      </c>
      <c r="H3717">
        <v>8.5399999999999991</v>
      </c>
      <c r="I3717">
        <v>0.05</v>
      </c>
      <c r="J3717">
        <v>24.34</v>
      </c>
      <c r="K3717" t="s">
        <v>36</v>
      </c>
      <c r="L3717" t="s">
        <v>23</v>
      </c>
      <c r="M3717" t="s">
        <v>102</v>
      </c>
    </row>
    <row r="3718" spans="1:13" x14ac:dyDescent="0.2">
      <c r="A3718">
        <v>718218</v>
      </c>
      <c r="B3718" s="1">
        <v>44693</v>
      </c>
      <c r="C3718">
        <v>81610</v>
      </c>
      <c r="D3718" t="s">
        <v>82</v>
      </c>
      <c r="E3718" t="s">
        <v>188</v>
      </c>
      <c r="F3718" t="s">
        <v>189</v>
      </c>
      <c r="G3718">
        <v>3</v>
      </c>
      <c r="H3718">
        <v>33.74</v>
      </c>
      <c r="I3718">
        <v>0.25</v>
      </c>
      <c r="J3718">
        <v>75.91</v>
      </c>
      <c r="K3718" t="s">
        <v>36</v>
      </c>
      <c r="L3718" t="s">
        <v>17</v>
      </c>
      <c r="M3718" t="s">
        <v>43</v>
      </c>
    </row>
    <row r="3719" spans="1:13" x14ac:dyDescent="0.2">
      <c r="A3719">
        <v>718654</v>
      </c>
      <c r="B3719" s="1">
        <v>45394</v>
      </c>
      <c r="C3719">
        <v>68225</v>
      </c>
      <c r="D3719" t="s">
        <v>85</v>
      </c>
      <c r="E3719" t="s">
        <v>86</v>
      </c>
      <c r="F3719" t="s">
        <v>87</v>
      </c>
      <c r="G3719">
        <v>5</v>
      </c>
      <c r="H3719">
        <v>9.74</v>
      </c>
      <c r="I3719">
        <v>0.25</v>
      </c>
      <c r="J3719">
        <v>36.53</v>
      </c>
      <c r="K3719" t="s">
        <v>95</v>
      </c>
      <c r="L3719" t="s">
        <v>17</v>
      </c>
      <c r="M3719" t="s">
        <v>67</v>
      </c>
    </row>
    <row r="3720" spans="1:13" x14ac:dyDescent="0.2">
      <c r="A3720">
        <v>718831</v>
      </c>
      <c r="B3720" s="2">
        <v>44625</v>
      </c>
      <c r="C3720">
        <v>60012</v>
      </c>
      <c r="D3720" t="s">
        <v>82</v>
      </c>
      <c r="E3720" t="s">
        <v>100</v>
      </c>
      <c r="F3720" t="s">
        <v>101</v>
      </c>
      <c r="G3720">
        <v>2</v>
      </c>
      <c r="H3720">
        <v>21.84</v>
      </c>
      <c r="I3720">
        <v>0.05</v>
      </c>
      <c r="J3720">
        <v>41.5</v>
      </c>
      <c r="K3720" t="s">
        <v>36</v>
      </c>
      <c r="L3720" t="s">
        <v>17</v>
      </c>
      <c r="M3720" t="s">
        <v>33</v>
      </c>
    </row>
    <row r="3721" spans="1:13" x14ac:dyDescent="0.2">
      <c r="A3721">
        <v>718924</v>
      </c>
      <c r="B3721" s="1">
        <v>44829</v>
      </c>
      <c r="D3721" t="s">
        <v>44</v>
      </c>
      <c r="E3721" t="s">
        <v>74</v>
      </c>
      <c r="F3721" t="s">
        <v>75</v>
      </c>
      <c r="G3721">
        <v>1</v>
      </c>
      <c r="H3721">
        <v>2.39</v>
      </c>
      <c r="I3721">
        <v>0.2</v>
      </c>
      <c r="J3721">
        <v>1.91</v>
      </c>
      <c r="K3721" t="s">
        <v>36</v>
      </c>
      <c r="L3721" t="s">
        <v>17</v>
      </c>
      <c r="M3721" t="s">
        <v>81</v>
      </c>
    </row>
    <row r="3722" spans="1:13" x14ac:dyDescent="0.2">
      <c r="A3722">
        <v>719098</v>
      </c>
      <c r="B3722" s="1">
        <v>44576</v>
      </c>
      <c r="C3722">
        <v>13793</v>
      </c>
      <c r="D3722" t="s">
        <v>85</v>
      </c>
      <c r="E3722" t="s">
        <v>137</v>
      </c>
      <c r="F3722" t="s">
        <v>138</v>
      </c>
      <c r="G3722">
        <v>1</v>
      </c>
      <c r="H3722">
        <v>7.99</v>
      </c>
      <c r="J3722">
        <v>7.99</v>
      </c>
      <c r="K3722" t="s">
        <v>36</v>
      </c>
      <c r="L3722" t="s">
        <v>17</v>
      </c>
      <c r="M3722" t="s">
        <v>96</v>
      </c>
    </row>
    <row r="3723" spans="1:13" x14ac:dyDescent="0.2">
      <c r="A3723">
        <v>719244</v>
      </c>
      <c r="B3723" s="1">
        <v>44855</v>
      </c>
      <c r="C3723">
        <v>32114</v>
      </c>
      <c r="D3723" t="s">
        <v>63</v>
      </c>
      <c r="E3723" t="s">
        <v>68</v>
      </c>
      <c r="F3723" t="s">
        <v>69</v>
      </c>
      <c r="G3723">
        <v>2</v>
      </c>
      <c r="H3723">
        <v>19.989999999999998</v>
      </c>
      <c r="I3723">
        <v>0.2</v>
      </c>
      <c r="J3723">
        <v>31.98</v>
      </c>
      <c r="K3723" t="s">
        <v>53</v>
      </c>
      <c r="L3723" t="s">
        <v>37</v>
      </c>
      <c r="M3723" t="s">
        <v>76</v>
      </c>
    </row>
    <row r="3724" spans="1:13" x14ac:dyDescent="0.2">
      <c r="A3724">
        <v>719643</v>
      </c>
      <c r="B3724" s="1">
        <v>44824</v>
      </c>
      <c r="C3724">
        <v>80829</v>
      </c>
      <c r="D3724" t="s">
        <v>25</v>
      </c>
      <c r="E3724" t="s">
        <v>70</v>
      </c>
      <c r="F3724" t="s">
        <v>71</v>
      </c>
      <c r="G3724">
        <v>1</v>
      </c>
      <c r="H3724">
        <v>89.99</v>
      </c>
      <c r="J3724">
        <v>89.99</v>
      </c>
      <c r="K3724" t="s">
        <v>22</v>
      </c>
      <c r="L3724" t="s">
        <v>17</v>
      </c>
      <c r="M3724" t="s">
        <v>117</v>
      </c>
    </row>
    <row r="3725" spans="1:13" x14ac:dyDescent="0.2">
      <c r="A3725">
        <v>720108</v>
      </c>
      <c r="B3725" s="2">
        <v>44883</v>
      </c>
      <c r="C3725">
        <v>21369</v>
      </c>
      <c r="D3725" t="s">
        <v>44</v>
      </c>
      <c r="E3725" t="s">
        <v>133</v>
      </c>
      <c r="F3725" t="s">
        <v>134</v>
      </c>
      <c r="G3725">
        <v>4</v>
      </c>
      <c r="H3725">
        <v>3.41</v>
      </c>
      <c r="I3725">
        <v>0.1</v>
      </c>
      <c r="J3725">
        <v>12.28</v>
      </c>
      <c r="K3725" t="s">
        <v>16</v>
      </c>
      <c r="L3725" t="s">
        <v>17</v>
      </c>
      <c r="M3725" t="s">
        <v>67</v>
      </c>
    </row>
    <row r="3726" spans="1:13" x14ac:dyDescent="0.2">
      <c r="A3726">
        <v>720390</v>
      </c>
      <c r="B3726" s="2">
        <v>44938</v>
      </c>
      <c r="C3726">
        <v>37746</v>
      </c>
      <c r="D3726" t="s">
        <v>63</v>
      </c>
      <c r="E3726" t="s">
        <v>111</v>
      </c>
      <c r="F3726" t="s">
        <v>112</v>
      </c>
      <c r="G3726">
        <v>2</v>
      </c>
      <c r="H3726">
        <v>12.74</v>
      </c>
      <c r="I3726">
        <v>0.15</v>
      </c>
      <c r="J3726">
        <v>21.66</v>
      </c>
      <c r="K3726" t="s">
        <v>16</v>
      </c>
      <c r="L3726" t="s">
        <v>37</v>
      </c>
      <c r="M3726" t="s">
        <v>90</v>
      </c>
    </row>
    <row r="3727" spans="1:13" x14ac:dyDescent="0.2">
      <c r="A3727">
        <v>720475</v>
      </c>
      <c r="B3727" s="1">
        <v>44957</v>
      </c>
      <c r="D3727" t="s">
        <v>44</v>
      </c>
      <c r="E3727" t="s">
        <v>184</v>
      </c>
      <c r="F3727" t="s">
        <v>185</v>
      </c>
      <c r="G3727">
        <v>2</v>
      </c>
      <c r="H3727">
        <v>4.3899999999999997</v>
      </c>
      <c r="I3727">
        <v>0.2</v>
      </c>
      <c r="J3727">
        <v>7.02</v>
      </c>
      <c r="K3727" t="s">
        <v>16</v>
      </c>
      <c r="L3727" t="s">
        <v>37</v>
      </c>
      <c r="M3727" t="s">
        <v>33</v>
      </c>
    </row>
    <row r="3728" spans="1:13" x14ac:dyDescent="0.2">
      <c r="A3728">
        <v>720823</v>
      </c>
      <c r="B3728" s="2">
        <v>45020</v>
      </c>
      <c r="C3728">
        <v>78897</v>
      </c>
      <c r="D3728" t="s">
        <v>85</v>
      </c>
      <c r="E3728" t="s">
        <v>145</v>
      </c>
      <c r="F3728" t="s">
        <v>146</v>
      </c>
      <c r="G3728">
        <v>1</v>
      </c>
      <c r="H3728">
        <v>16.989999999999998</v>
      </c>
      <c r="J3728">
        <v>16.989999999999998</v>
      </c>
      <c r="K3728" t="s">
        <v>16</v>
      </c>
      <c r="L3728" t="s">
        <v>17</v>
      </c>
      <c r="M3728" t="s">
        <v>81</v>
      </c>
    </row>
    <row r="3729" spans="1:13" x14ac:dyDescent="0.2">
      <c r="A3729">
        <v>721195</v>
      </c>
      <c r="B3729" s="1">
        <v>44713</v>
      </c>
      <c r="C3729">
        <v>32420</v>
      </c>
      <c r="D3729" t="s">
        <v>82</v>
      </c>
      <c r="E3729" t="s">
        <v>147</v>
      </c>
      <c r="F3729" t="s">
        <v>148</v>
      </c>
      <c r="G3729">
        <v>3</v>
      </c>
      <c r="H3729">
        <v>10.39</v>
      </c>
      <c r="I3729">
        <v>0.2</v>
      </c>
      <c r="J3729">
        <v>24.94</v>
      </c>
      <c r="K3729" t="s">
        <v>36</v>
      </c>
      <c r="L3729" t="s">
        <v>37</v>
      </c>
      <c r="M3729" t="s">
        <v>90</v>
      </c>
    </row>
    <row r="3730" spans="1:13" x14ac:dyDescent="0.2">
      <c r="A3730">
        <v>721361</v>
      </c>
      <c r="B3730" s="1">
        <v>45156</v>
      </c>
      <c r="C3730">
        <v>52548</v>
      </c>
      <c r="D3730" t="s">
        <v>44</v>
      </c>
      <c r="E3730" t="s">
        <v>91</v>
      </c>
      <c r="F3730" t="s">
        <v>92</v>
      </c>
      <c r="G3730">
        <v>2</v>
      </c>
      <c r="H3730">
        <v>5.03</v>
      </c>
      <c r="I3730">
        <v>0.2</v>
      </c>
      <c r="J3730">
        <v>8.0500000000000007</v>
      </c>
      <c r="K3730" t="s">
        <v>22</v>
      </c>
      <c r="L3730" t="s">
        <v>17</v>
      </c>
      <c r="M3730" t="s">
        <v>24</v>
      </c>
    </row>
    <row r="3731" spans="1:13" x14ac:dyDescent="0.2">
      <c r="A3731">
        <v>721414</v>
      </c>
      <c r="B3731" s="1">
        <v>45522</v>
      </c>
      <c r="C3731">
        <v>26624</v>
      </c>
      <c r="D3731" t="s">
        <v>63</v>
      </c>
      <c r="E3731" t="s">
        <v>125</v>
      </c>
      <c r="F3731" t="s">
        <v>126</v>
      </c>
      <c r="G3731">
        <v>1</v>
      </c>
      <c r="H3731">
        <v>25.49</v>
      </c>
      <c r="I3731">
        <v>0.15</v>
      </c>
      <c r="J3731">
        <v>21.67</v>
      </c>
      <c r="K3731" t="s">
        <v>95</v>
      </c>
      <c r="L3731" t="s">
        <v>17</v>
      </c>
      <c r="M3731" t="s">
        <v>90</v>
      </c>
    </row>
    <row r="3732" spans="1:13" x14ac:dyDescent="0.2">
      <c r="A3732">
        <v>721540</v>
      </c>
      <c r="B3732" s="1">
        <v>45312</v>
      </c>
      <c r="C3732">
        <v>17969</v>
      </c>
      <c r="D3732" t="s">
        <v>63</v>
      </c>
      <c r="E3732" t="s">
        <v>68</v>
      </c>
      <c r="F3732" t="s">
        <v>69</v>
      </c>
      <c r="G3732">
        <v>1</v>
      </c>
      <c r="H3732">
        <v>18.739999999999998</v>
      </c>
      <c r="I3732">
        <v>0.25</v>
      </c>
      <c r="J3732">
        <v>14.06</v>
      </c>
      <c r="K3732" t="s">
        <v>95</v>
      </c>
      <c r="L3732" t="s">
        <v>37</v>
      </c>
      <c r="M3732" t="s">
        <v>28</v>
      </c>
    </row>
    <row r="3733" spans="1:13" x14ac:dyDescent="0.2">
      <c r="A3733">
        <v>721810</v>
      </c>
      <c r="B3733" s="2">
        <v>44860</v>
      </c>
      <c r="C3733">
        <v>86616</v>
      </c>
      <c r="D3733" t="s">
        <v>97</v>
      </c>
      <c r="E3733" t="s">
        <v>151</v>
      </c>
      <c r="F3733" t="s">
        <v>152</v>
      </c>
      <c r="G3733">
        <v>4</v>
      </c>
      <c r="H3733">
        <v>26.24</v>
      </c>
      <c r="I3733">
        <v>0.25</v>
      </c>
      <c r="J3733">
        <v>78.72</v>
      </c>
      <c r="K3733" t="s">
        <v>16</v>
      </c>
      <c r="L3733" t="s">
        <v>17</v>
      </c>
      <c r="M3733" t="s">
        <v>81</v>
      </c>
    </row>
    <row r="3734" spans="1:13" x14ac:dyDescent="0.2">
      <c r="A3734">
        <v>722015</v>
      </c>
      <c r="B3734" s="1">
        <v>44639</v>
      </c>
      <c r="C3734">
        <v>31846</v>
      </c>
      <c r="D3734" t="s">
        <v>19</v>
      </c>
      <c r="E3734" t="s">
        <v>20</v>
      </c>
      <c r="F3734" t="s">
        <v>21</v>
      </c>
      <c r="G3734">
        <v>1</v>
      </c>
      <c r="H3734">
        <v>9.49</v>
      </c>
      <c r="J3734">
        <v>9.49</v>
      </c>
      <c r="K3734" t="s">
        <v>16</v>
      </c>
      <c r="L3734" t="s">
        <v>17</v>
      </c>
      <c r="M3734" t="s">
        <v>120</v>
      </c>
    </row>
    <row r="3735" spans="1:13" x14ac:dyDescent="0.2">
      <c r="A3735">
        <v>722126</v>
      </c>
      <c r="B3735" s="2">
        <v>44831</v>
      </c>
      <c r="C3735">
        <v>13842</v>
      </c>
      <c r="D3735" t="s">
        <v>85</v>
      </c>
      <c r="E3735" t="s">
        <v>145</v>
      </c>
      <c r="F3735" t="s">
        <v>146</v>
      </c>
      <c r="G3735">
        <v>3</v>
      </c>
      <c r="H3735">
        <v>14.44</v>
      </c>
      <c r="I3735">
        <v>0.15</v>
      </c>
      <c r="J3735">
        <v>36.82</v>
      </c>
      <c r="K3735" t="s">
        <v>36</v>
      </c>
      <c r="L3735" t="s">
        <v>17</v>
      </c>
      <c r="M3735" t="s">
        <v>43</v>
      </c>
    </row>
    <row r="3736" spans="1:13" x14ac:dyDescent="0.2">
      <c r="A3736">
        <v>722279</v>
      </c>
      <c r="B3736" s="1">
        <v>45607</v>
      </c>
      <c r="C3736">
        <v>64783</v>
      </c>
      <c r="D3736" t="s">
        <v>97</v>
      </c>
      <c r="E3736" t="s">
        <v>141</v>
      </c>
      <c r="F3736" t="s">
        <v>142</v>
      </c>
      <c r="G3736">
        <v>2</v>
      </c>
      <c r="H3736">
        <v>18.39</v>
      </c>
      <c r="I3736">
        <v>0.2</v>
      </c>
      <c r="J3736">
        <v>29.42</v>
      </c>
      <c r="K3736" t="s">
        <v>16</v>
      </c>
      <c r="L3736" t="s">
        <v>17</v>
      </c>
      <c r="M3736" t="s">
        <v>161</v>
      </c>
    </row>
    <row r="3737" spans="1:13" x14ac:dyDescent="0.2">
      <c r="A3737">
        <v>722341</v>
      </c>
      <c r="B3737" s="1">
        <v>44866</v>
      </c>
      <c r="C3737">
        <v>94373</v>
      </c>
      <c r="D3737" t="s">
        <v>40</v>
      </c>
      <c r="E3737" t="s">
        <v>197</v>
      </c>
      <c r="F3737" t="s">
        <v>198</v>
      </c>
      <c r="G3737">
        <v>2</v>
      </c>
      <c r="H3737">
        <v>12.74</v>
      </c>
      <c r="I3737">
        <v>0.15</v>
      </c>
      <c r="J3737">
        <v>21.66</v>
      </c>
      <c r="K3737" t="s">
        <v>16</v>
      </c>
      <c r="L3737" t="s">
        <v>17</v>
      </c>
      <c r="M3737" t="s">
        <v>120</v>
      </c>
    </row>
    <row r="3738" spans="1:13" x14ac:dyDescent="0.2">
      <c r="A3738">
        <v>722463</v>
      </c>
      <c r="B3738" s="1">
        <v>45276</v>
      </c>
      <c r="D3738" t="s">
        <v>48</v>
      </c>
      <c r="E3738" t="s">
        <v>179</v>
      </c>
      <c r="F3738" t="s">
        <v>180</v>
      </c>
      <c r="G3738">
        <v>2</v>
      </c>
      <c r="H3738">
        <v>11.99</v>
      </c>
      <c r="J3738">
        <v>23.98</v>
      </c>
      <c r="K3738" t="s">
        <v>95</v>
      </c>
      <c r="L3738" t="s">
        <v>37</v>
      </c>
      <c r="M3738" t="s">
        <v>67</v>
      </c>
    </row>
    <row r="3739" spans="1:13" x14ac:dyDescent="0.2">
      <c r="A3739">
        <v>722548</v>
      </c>
      <c r="B3739" s="1">
        <v>45057</v>
      </c>
      <c r="C3739">
        <v>87265</v>
      </c>
      <c r="D3739" t="s">
        <v>44</v>
      </c>
      <c r="E3739" t="s">
        <v>133</v>
      </c>
      <c r="F3739" t="s">
        <v>134</v>
      </c>
      <c r="G3739">
        <v>1</v>
      </c>
      <c r="H3739">
        <v>2.65</v>
      </c>
      <c r="I3739">
        <v>0.3</v>
      </c>
      <c r="J3739">
        <v>1.85</v>
      </c>
      <c r="K3739" t="s">
        <v>36</v>
      </c>
      <c r="L3739" t="s">
        <v>17</v>
      </c>
      <c r="M3739" t="s">
        <v>28</v>
      </c>
    </row>
    <row r="3740" spans="1:13" x14ac:dyDescent="0.2">
      <c r="A3740">
        <v>723357</v>
      </c>
      <c r="B3740" s="2">
        <v>45313</v>
      </c>
      <c r="D3740" t="s">
        <v>13</v>
      </c>
      <c r="E3740" t="s">
        <v>34</v>
      </c>
      <c r="F3740" t="s">
        <v>35</v>
      </c>
      <c r="G3740">
        <v>2</v>
      </c>
      <c r="H3740">
        <v>31.49</v>
      </c>
      <c r="I3740">
        <v>0.1</v>
      </c>
      <c r="J3740">
        <v>56.68</v>
      </c>
      <c r="K3740" t="s">
        <v>16</v>
      </c>
      <c r="L3740" t="s">
        <v>23</v>
      </c>
      <c r="M3740" t="s">
        <v>28</v>
      </c>
    </row>
    <row r="3741" spans="1:13" x14ac:dyDescent="0.2">
      <c r="A3741">
        <v>723365</v>
      </c>
      <c r="B3741" s="1">
        <v>44571</v>
      </c>
      <c r="C3741">
        <v>63024</v>
      </c>
      <c r="D3741" t="s">
        <v>13</v>
      </c>
      <c r="E3741" t="s">
        <v>34</v>
      </c>
      <c r="F3741" t="s">
        <v>35</v>
      </c>
      <c r="G3741">
        <v>2</v>
      </c>
      <c r="H3741">
        <v>34.99</v>
      </c>
      <c r="J3741">
        <v>69.98</v>
      </c>
      <c r="K3741" t="s">
        <v>16</v>
      </c>
      <c r="L3741" t="s">
        <v>17</v>
      </c>
    </row>
    <row r="3742" spans="1:13" x14ac:dyDescent="0.2">
      <c r="A3742">
        <v>723449</v>
      </c>
      <c r="B3742" s="1">
        <v>45160</v>
      </c>
      <c r="C3742">
        <v>92764</v>
      </c>
      <c r="D3742" t="s">
        <v>40</v>
      </c>
      <c r="E3742" t="s">
        <v>197</v>
      </c>
      <c r="F3742" t="s">
        <v>198</v>
      </c>
      <c r="G3742">
        <v>4</v>
      </c>
      <c r="H3742">
        <v>11.24</v>
      </c>
      <c r="I3742">
        <v>0.25</v>
      </c>
      <c r="J3742">
        <v>33.72</v>
      </c>
      <c r="K3742" t="s">
        <v>36</v>
      </c>
      <c r="L3742" t="s">
        <v>17</v>
      </c>
      <c r="M3742" t="s">
        <v>67</v>
      </c>
    </row>
    <row r="3743" spans="1:13" x14ac:dyDescent="0.2">
      <c r="A3743">
        <v>723745</v>
      </c>
      <c r="B3743" s="1">
        <v>45165</v>
      </c>
      <c r="C3743">
        <v>97970</v>
      </c>
      <c r="D3743" t="s">
        <v>48</v>
      </c>
      <c r="E3743" t="s">
        <v>49</v>
      </c>
      <c r="F3743" t="s">
        <v>50</v>
      </c>
      <c r="G3743">
        <v>4</v>
      </c>
      <c r="H3743">
        <v>7.64</v>
      </c>
      <c r="I3743">
        <v>0.15</v>
      </c>
      <c r="J3743">
        <v>25.98</v>
      </c>
      <c r="K3743" t="s">
        <v>16</v>
      </c>
      <c r="L3743" t="s">
        <v>17</v>
      </c>
      <c r="M3743" t="s">
        <v>123</v>
      </c>
    </row>
    <row r="3744" spans="1:13" x14ac:dyDescent="0.2">
      <c r="A3744">
        <v>724284</v>
      </c>
      <c r="B3744" s="1">
        <v>45277</v>
      </c>
      <c r="C3744">
        <v>92754</v>
      </c>
      <c r="D3744" t="s">
        <v>44</v>
      </c>
      <c r="E3744" t="s">
        <v>190</v>
      </c>
      <c r="F3744" t="s">
        <v>191</v>
      </c>
      <c r="G3744">
        <v>1</v>
      </c>
      <c r="H3744">
        <v>3.43</v>
      </c>
      <c r="I3744">
        <v>0.2</v>
      </c>
      <c r="J3744">
        <v>2.74</v>
      </c>
      <c r="K3744" t="s">
        <v>53</v>
      </c>
      <c r="L3744" t="s">
        <v>17</v>
      </c>
      <c r="M3744" t="s">
        <v>161</v>
      </c>
    </row>
    <row r="3745" spans="1:13" x14ac:dyDescent="0.2">
      <c r="A3745">
        <v>724348</v>
      </c>
      <c r="B3745" s="2">
        <v>45103</v>
      </c>
      <c r="C3745">
        <v>13940</v>
      </c>
      <c r="D3745" t="s">
        <v>40</v>
      </c>
      <c r="E3745" t="s">
        <v>20</v>
      </c>
      <c r="F3745" t="s">
        <v>21</v>
      </c>
      <c r="G3745">
        <v>3</v>
      </c>
      <c r="H3745">
        <v>9.99</v>
      </c>
      <c r="J3745">
        <v>29.97</v>
      </c>
      <c r="K3745" t="s">
        <v>53</v>
      </c>
      <c r="L3745" t="s">
        <v>17</v>
      </c>
      <c r="M3745" t="s">
        <v>103</v>
      </c>
    </row>
    <row r="3746" spans="1:13" x14ac:dyDescent="0.2">
      <c r="A3746">
        <v>724377</v>
      </c>
      <c r="B3746" s="2">
        <v>45513</v>
      </c>
      <c r="C3746">
        <v>76162</v>
      </c>
      <c r="D3746" t="s">
        <v>97</v>
      </c>
      <c r="E3746" t="s">
        <v>181</v>
      </c>
      <c r="F3746" t="s">
        <v>182</v>
      </c>
      <c r="G3746">
        <v>5</v>
      </c>
      <c r="H3746">
        <v>10.49</v>
      </c>
      <c r="I3746">
        <v>0.3</v>
      </c>
      <c r="J3746">
        <v>36.71</v>
      </c>
      <c r="K3746" t="s">
        <v>36</v>
      </c>
      <c r="L3746" t="s">
        <v>37</v>
      </c>
      <c r="M3746" t="s">
        <v>47</v>
      </c>
    </row>
    <row r="3747" spans="1:13" x14ac:dyDescent="0.2">
      <c r="A3747">
        <v>724552</v>
      </c>
      <c r="B3747" s="2">
        <v>45095</v>
      </c>
      <c r="C3747">
        <v>22322</v>
      </c>
      <c r="D3747" t="s">
        <v>44</v>
      </c>
      <c r="E3747" t="s">
        <v>91</v>
      </c>
      <c r="F3747" t="s">
        <v>92</v>
      </c>
      <c r="G3747">
        <v>2</v>
      </c>
      <c r="H3747">
        <v>6.29</v>
      </c>
      <c r="J3747">
        <v>12.58</v>
      </c>
      <c r="K3747" t="s">
        <v>16</v>
      </c>
      <c r="L3747" t="s">
        <v>23</v>
      </c>
      <c r="M3747" t="s">
        <v>24</v>
      </c>
    </row>
    <row r="3748" spans="1:13" x14ac:dyDescent="0.2">
      <c r="A3748">
        <v>724788</v>
      </c>
      <c r="B3748" s="2">
        <v>44786</v>
      </c>
      <c r="C3748">
        <v>44386</v>
      </c>
      <c r="D3748" t="s">
        <v>183</v>
      </c>
      <c r="E3748" t="s">
        <v>100</v>
      </c>
      <c r="F3748" t="s">
        <v>101</v>
      </c>
      <c r="G3748">
        <v>1</v>
      </c>
      <c r="H3748">
        <v>17.239999999999998</v>
      </c>
      <c r="I3748">
        <v>0.25</v>
      </c>
      <c r="J3748">
        <v>12.93</v>
      </c>
      <c r="K3748" t="s">
        <v>36</v>
      </c>
      <c r="L3748" t="s">
        <v>17</v>
      </c>
      <c r="M3748" t="s">
        <v>24</v>
      </c>
    </row>
    <row r="3749" spans="1:13" x14ac:dyDescent="0.2">
      <c r="A3749">
        <v>724862</v>
      </c>
      <c r="B3749" s="2">
        <v>44762</v>
      </c>
      <c r="C3749">
        <v>99761</v>
      </c>
      <c r="D3749" t="s">
        <v>25</v>
      </c>
      <c r="E3749" t="s">
        <v>70</v>
      </c>
      <c r="F3749" t="s">
        <v>71</v>
      </c>
      <c r="G3749">
        <v>3</v>
      </c>
      <c r="H3749">
        <v>89.99</v>
      </c>
      <c r="J3749">
        <v>269.97000000000003</v>
      </c>
      <c r="K3749" t="s">
        <v>66</v>
      </c>
      <c r="L3749" t="s">
        <v>17</v>
      </c>
      <c r="M3749" t="s">
        <v>120</v>
      </c>
    </row>
    <row r="3750" spans="1:13" x14ac:dyDescent="0.2">
      <c r="A3750">
        <v>724873</v>
      </c>
      <c r="B3750" s="1">
        <v>44673</v>
      </c>
      <c r="C3750">
        <v>88817</v>
      </c>
      <c r="D3750" t="s">
        <v>13</v>
      </c>
      <c r="E3750" t="s">
        <v>14</v>
      </c>
      <c r="F3750" t="s">
        <v>15</v>
      </c>
      <c r="G3750">
        <v>1</v>
      </c>
      <c r="H3750">
        <v>67.989999999999995</v>
      </c>
      <c r="I3750">
        <v>0.15</v>
      </c>
      <c r="J3750">
        <v>57.79</v>
      </c>
      <c r="K3750" t="s">
        <v>36</v>
      </c>
      <c r="L3750" t="s">
        <v>17</v>
      </c>
      <c r="M3750" t="s">
        <v>90</v>
      </c>
    </row>
    <row r="3751" spans="1:13" x14ac:dyDescent="0.2">
      <c r="A3751">
        <v>724916</v>
      </c>
      <c r="B3751" s="1">
        <v>44796</v>
      </c>
      <c r="C3751">
        <v>33348</v>
      </c>
      <c r="D3751" t="s">
        <v>97</v>
      </c>
      <c r="E3751" t="s">
        <v>181</v>
      </c>
      <c r="F3751" t="s">
        <v>182</v>
      </c>
      <c r="G3751">
        <v>5</v>
      </c>
      <c r="H3751">
        <v>10.49</v>
      </c>
      <c r="I3751">
        <v>0.3</v>
      </c>
      <c r="J3751">
        <v>36.71</v>
      </c>
      <c r="K3751" t="s">
        <v>95</v>
      </c>
      <c r="L3751" t="s">
        <v>17</v>
      </c>
      <c r="M3751" t="s">
        <v>120</v>
      </c>
    </row>
    <row r="3752" spans="1:13" x14ac:dyDescent="0.2">
      <c r="A3752">
        <v>724927</v>
      </c>
      <c r="B3752" s="1">
        <v>44755</v>
      </c>
      <c r="C3752">
        <v>31252</v>
      </c>
      <c r="D3752" t="s">
        <v>48</v>
      </c>
      <c r="E3752" t="s">
        <v>109</v>
      </c>
      <c r="F3752" t="s">
        <v>110</v>
      </c>
      <c r="G3752">
        <v>1</v>
      </c>
      <c r="H3752">
        <v>6.64</v>
      </c>
      <c r="I3752">
        <v>0.05</v>
      </c>
      <c r="J3752">
        <v>6.31</v>
      </c>
      <c r="K3752" t="s">
        <v>36</v>
      </c>
      <c r="L3752" t="s">
        <v>37</v>
      </c>
      <c r="M3752" t="s">
        <v>76</v>
      </c>
    </row>
    <row r="3753" spans="1:13" x14ac:dyDescent="0.2">
      <c r="A3753">
        <v>724932</v>
      </c>
      <c r="B3753" s="1">
        <v>45234</v>
      </c>
      <c r="C3753">
        <v>27038</v>
      </c>
      <c r="D3753" t="s">
        <v>85</v>
      </c>
      <c r="E3753" t="s">
        <v>157</v>
      </c>
      <c r="F3753" t="s">
        <v>158</v>
      </c>
      <c r="G3753">
        <v>4</v>
      </c>
      <c r="H3753">
        <v>13.49</v>
      </c>
      <c r="J3753">
        <v>53.96</v>
      </c>
      <c r="K3753" t="s">
        <v>16</v>
      </c>
      <c r="L3753" t="s">
        <v>37</v>
      </c>
      <c r="M3753" t="s">
        <v>103</v>
      </c>
    </row>
    <row r="3754" spans="1:13" x14ac:dyDescent="0.2">
      <c r="A3754">
        <v>725188</v>
      </c>
      <c r="B3754" s="1">
        <v>45323</v>
      </c>
      <c r="C3754">
        <v>15545</v>
      </c>
      <c r="D3754" t="s">
        <v>97</v>
      </c>
      <c r="E3754" t="s">
        <v>135</v>
      </c>
      <c r="F3754" t="s">
        <v>136</v>
      </c>
      <c r="G3754">
        <v>3</v>
      </c>
      <c r="H3754">
        <v>9.99</v>
      </c>
      <c r="J3754">
        <v>29.97</v>
      </c>
      <c r="K3754" t="s">
        <v>36</v>
      </c>
      <c r="L3754" t="s">
        <v>23</v>
      </c>
      <c r="M3754" t="s">
        <v>117</v>
      </c>
    </row>
    <row r="3755" spans="1:13" x14ac:dyDescent="0.2">
      <c r="A3755">
        <v>725507</v>
      </c>
      <c r="B3755" s="1">
        <v>45636</v>
      </c>
      <c r="C3755">
        <v>64436</v>
      </c>
      <c r="D3755" t="s">
        <v>13</v>
      </c>
      <c r="E3755" t="s">
        <v>79</v>
      </c>
      <c r="F3755" t="s">
        <v>80</v>
      </c>
      <c r="G3755">
        <v>2</v>
      </c>
      <c r="H3755">
        <v>89.99</v>
      </c>
      <c r="J3755">
        <v>179.98</v>
      </c>
      <c r="K3755" t="s">
        <v>22</v>
      </c>
      <c r="L3755" t="s">
        <v>17</v>
      </c>
      <c r="M3755" t="s">
        <v>90</v>
      </c>
    </row>
    <row r="3756" spans="1:13" x14ac:dyDescent="0.2">
      <c r="A3756">
        <v>725656</v>
      </c>
      <c r="B3756" s="2">
        <v>45580</v>
      </c>
      <c r="C3756">
        <v>66869</v>
      </c>
      <c r="D3756" t="s">
        <v>44</v>
      </c>
      <c r="E3756" t="s">
        <v>162</v>
      </c>
      <c r="F3756" t="s">
        <v>163</v>
      </c>
      <c r="G3756">
        <v>2</v>
      </c>
      <c r="H3756">
        <v>6.79</v>
      </c>
      <c r="I3756">
        <v>0.15</v>
      </c>
      <c r="J3756">
        <v>11.54</v>
      </c>
      <c r="K3756" t="s">
        <v>16</v>
      </c>
      <c r="L3756" t="s">
        <v>17</v>
      </c>
      <c r="M3756" t="s">
        <v>33</v>
      </c>
    </row>
    <row r="3757" spans="1:13" x14ac:dyDescent="0.2">
      <c r="A3757">
        <v>725953</v>
      </c>
      <c r="B3757" s="1">
        <v>44949</v>
      </c>
      <c r="C3757">
        <v>64867</v>
      </c>
      <c r="D3757" t="s">
        <v>44</v>
      </c>
      <c r="E3757" t="s">
        <v>162</v>
      </c>
      <c r="F3757" t="s">
        <v>163</v>
      </c>
      <c r="G3757">
        <v>1</v>
      </c>
      <c r="H3757">
        <v>5.99</v>
      </c>
      <c r="I3757">
        <v>0.25</v>
      </c>
      <c r="J3757">
        <v>4.49</v>
      </c>
      <c r="K3757" t="s">
        <v>95</v>
      </c>
      <c r="L3757" t="s">
        <v>37</v>
      </c>
      <c r="M3757" t="s">
        <v>96</v>
      </c>
    </row>
    <row r="3758" spans="1:13" x14ac:dyDescent="0.2">
      <c r="A3758">
        <v>726121</v>
      </c>
      <c r="B3758" s="1">
        <v>45115</v>
      </c>
      <c r="C3758">
        <v>17679</v>
      </c>
      <c r="D3758" t="s">
        <v>63</v>
      </c>
      <c r="E3758" t="s">
        <v>64</v>
      </c>
      <c r="F3758" t="s">
        <v>65</v>
      </c>
      <c r="G3758">
        <v>1</v>
      </c>
      <c r="H3758">
        <v>4.99</v>
      </c>
      <c r="J3758">
        <v>4.99</v>
      </c>
      <c r="K3758" t="s">
        <v>22</v>
      </c>
      <c r="L3758" t="s">
        <v>37</v>
      </c>
      <c r="M3758" t="s">
        <v>18</v>
      </c>
    </row>
    <row r="3759" spans="1:13" x14ac:dyDescent="0.2">
      <c r="A3759">
        <v>726138</v>
      </c>
      <c r="B3759" s="1">
        <v>45073</v>
      </c>
      <c r="C3759">
        <v>43243</v>
      </c>
      <c r="D3759" t="s">
        <v>82</v>
      </c>
      <c r="E3759" t="s">
        <v>155</v>
      </c>
      <c r="F3759" t="s">
        <v>156</v>
      </c>
      <c r="G3759">
        <v>1</v>
      </c>
      <c r="H3759">
        <v>17.989999999999998</v>
      </c>
      <c r="I3759">
        <v>0.1</v>
      </c>
      <c r="J3759">
        <v>16.190000000000001</v>
      </c>
      <c r="K3759" t="s">
        <v>66</v>
      </c>
      <c r="L3759" t="s">
        <v>17</v>
      </c>
      <c r="M3759" t="s">
        <v>117</v>
      </c>
    </row>
    <row r="3760" spans="1:13" x14ac:dyDescent="0.2">
      <c r="A3760">
        <v>726295</v>
      </c>
      <c r="B3760" s="2">
        <v>44849</v>
      </c>
      <c r="C3760">
        <v>51876</v>
      </c>
      <c r="D3760" t="s">
        <v>82</v>
      </c>
      <c r="E3760" t="s">
        <v>155</v>
      </c>
      <c r="F3760" t="s">
        <v>156</v>
      </c>
      <c r="G3760">
        <v>1</v>
      </c>
      <c r="H3760">
        <v>13.99</v>
      </c>
      <c r="I3760">
        <v>0.3</v>
      </c>
      <c r="J3760">
        <v>9.7899999999999991</v>
      </c>
      <c r="K3760" t="s">
        <v>95</v>
      </c>
      <c r="L3760" t="s">
        <v>17</v>
      </c>
      <c r="M3760" t="s">
        <v>161</v>
      </c>
    </row>
    <row r="3761" spans="1:13" x14ac:dyDescent="0.2">
      <c r="A3761">
        <v>726378</v>
      </c>
      <c r="B3761" s="1">
        <v>45238</v>
      </c>
      <c r="C3761">
        <v>22735</v>
      </c>
      <c r="D3761" t="s">
        <v>13</v>
      </c>
      <c r="E3761" t="s">
        <v>34</v>
      </c>
      <c r="F3761" t="s">
        <v>35</v>
      </c>
      <c r="G3761">
        <v>3</v>
      </c>
      <c r="H3761">
        <v>34.99</v>
      </c>
      <c r="J3761">
        <v>104.97</v>
      </c>
      <c r="K3761" t="s">
        <v>95</v>
      </c>
      <c r="L3761" t="s">
        <v>17</v>
      </c>
      <c r="M3761" t="s">
        <v>33</v>
      </c>
    </row>
    <row r="3762" spans="1:13" x14ac:dyDescent="0.2">
      <c r="A3762">
        <v>726615</v>
      </c>
      <c r="B3762" s="1">
        <v>44971</v>
      </c>
      <c r="C3762">
        <v>35551</v>
      </c>
      <c r="D3762" t="s">
        <v>82</v>
      </c>
      <c r="E3762" t="s">
        <v>168</v>
      </c>
      <c r="F3762" t="s">
        <v>169</v>
      </c>
      <c r="G3762">
        <v>5</v>
      </c>
      <c r="H3762">
        <v>8.5399999999999991</v>
      </c>
      <c r="I3762">
        <v>0.05</v>
      </c>
      <c r="J3762">
        <v>40.56</v>
      </c>
      <c r="K3762" t="s">
        <v>16</v>
      </c>
      <c r="L3762" t="s">
        <v>17</v>
      </c>
      <c r="M3762" t="s">
        <v>57</v>
      </c>
    </row>
    <row r="3763" spans="1:13" x14ac:dyDescent="0.2">
      <c r="A3763">
        <v>726739</v>
      </c>
      <c r="B3763" s="1">
        <v>45459</v>
      </c>
      <c r="D3763" t="s">
        <v>25</v>
      </c>
      <c r="E3763" t="s">
        <v>113</v>
      </c>
      <c r="F3763" t="s">
        <v>114</v>
      </c>
      <c r="G3763">
        <v>4</v>
      </c>
      <c r="H3763">
        <v>119.99</v>
      </c>
      <c r="J3763">
        <v>479.96</v>
      </c>
      <c r="K3763" t="s">
        <v>36</v>
      </c>
      <c r="L3763" t="s">
        <v>17</v>
      </c>
      <c r="M3763" t="s">
        <v>123</v>
      </c>
    </row>
    <row r="3764" spans="1:13" x14ac:dyDescent="0.2">
      <c r="A3764">
        <v>726808</v>
      </c>
      <c r="B3764" s="1">
        <v>45010</v>
      </c>
      <c r="C3764">
        <v>32516</v>
      </c>
      <c r="D3764" t="s">
        <v>25</v>
      </c>
      <c r="E3764" t="s">
        <v>60</v>
      </c>
      <c r="F3764" t="s">
        <v>61</v>
      </c>
      <c r="G3764">
        <v>5</v>
      </c>
      <c r="H3764">
        <v>46.74</v>
      </c>
      <c r="I3764">
        <v>0.15</v>
      </c>
      <c r="J3764">
        <v>198.64</v>
      </c>
      <c r="K3764" t="s">
        <v>22</v>
      </c>
      <c r="L3764" t="s">
        <v>23</v>
      </c>
      <c r="M3764" t="s">
        <v>67</v>
      </c>
    </row>
    <row r="3765" spans="1:13" x14ac:dyDescent="0.2">
      <c r="A3765">
        <v>727054</v>
      </c>
      <c r="B3765" s="1">
        <v>45639</v>
      </c>
      <c r="C3765">
        <v>65379</v>
      </c>
      <c r="D3765" t="s">
        <v>85</v>
      </c>
      <c r="E3765" t="s">
        <v>145</v>
      </c>
      <c r="F3765" t="s">
        <v>146</v>
      </c>
      <c r="G3765">
        <v>1</v>
      </c>
      <c r="H3765">
        <v>16.989999999999998</v>
      </c>
      <c r="J3765">
        <v>16.989999999999998</v>
      </c>
      <c r="K3765" t="s">
        <v>22</v>
      </c>
      <c r="L3765" t="s">
        <v>17</v>
      </c>
      <c r="M3765" t="s">
        <v>57</v>
      </c>
    </row>
    <row r="3766" spans="1:13" x14ac:dyDescent="0.2">
      <c r="A3766">
        <v>727378</v>
      </c>
      <c r="B3766" s="1">
        <v>44640</v>
      </c>
      <c r="C3766">
        <v>69347</v>
      </c>
      <c r="D3766" t="s">
        <v>40</v>
      </c>
      <c r="E3766" t="s">
        <v>115</v>
      </c>
      <c r="F3766" t="s">
        <v>116</v>
      </c>
      <c r="G3766">
        <v>4</v>
      </c>
      <c r="H3766">
        <v>9.09</v>
      </c>
      <c r="I3766">
        <v>0.3</v>
      </c>
      <c r="J3766">
        <v>25.45</v>
      </c>
      <c r="K3766" t="s">
        <v>16</v>
      </c>
      <c r="L3766" t="s">
        <v>37</v>
      </c>
      <c r="M3766" t="s">
        <v>54</v>
      </c>
    </row>
    <row r="3767" spans="1:13" x14ac:dyDescent="0.2">
      <c r="A3767">
        <v>727394</v>
      </c>
      <c r="B3767" s="2">
        <v>45205</v>
      </c>
      <c r="C3767">
        <v>83377</v>
      </c>
      <c r="D3767" t="s">
        <v>63</v>
      </c>
      <c r="E3767" t="s">
        <v>68</v>
      </c>
      <c r="F3767" t="s">
        <v>69</v>
      </c>
      <c r="G3767">
        <v>2</v>
      </c>
      <c r="H3767">
        <v>19.989999999999998</v>
      </c>
      <c r="I3767">
        <v>0.2</v>
      </c>
      <c r="J3767">
        <v>31.98</v>
      </c>
      <c r="K3767" t="s">
        <v>95</v>
      </c>
      <c r="L3767" t="s">
        <v>17</v>
      </c>
      <c r="M3767" t="s">
        <v>76</v>
      </c>
    </row>
    <row r="3768" spans="1:13" x14ac:dyDescent="0.2">
      <c r="A3768">
        <v>727475</v>
      </c>
      <c r="B3768" s="1">
        <v>44735</v>
      </c>
      <c r="C3768">
        <v>31172</v>
      </c>
      <c r="D3768" t="s">
        <v>44</v>
      </c>
      <c r="E3768" t="s">
        <v>74</v>
      </c>
      <c r="F3768" t="s">
        <v>75</v>
      </c>
      <c r="G3768">
        <v>5</v>
      </c>
      <c r="H3768">
        <v>2.99</v>
      </c>
      <c r="J3768">
        <v>14.95</v>
      </c>
      <c r="K3768" t="s">
        <v>36</v>
      </c>
      <c r="L3768" t="s">
        <v>17</v>
      </c>
      <c r="M3768" t="s">
        <v>90</v>
      </c>
    </row>
    <row r="3769" spans="1:13" x14ac:dyDescent="0.2">
      <c r="A3769">
        <v>727665</v>
      </c>
      <c r="B3769" s="2">
        <v>44714</v>
      </c>
      <c r="C3769">
        <v>52844</v>
      </c>
      <c r="D3769" t="s">
        <v>85</v>
      </c>
      <c r="E3769" t="s">
        <v>137</v>
      </c>
      <c r="F3769" t="s">
        <v>138</v>
      </c>
      <c r="G3769">
        <v>5</v>
      </c>
      <c r="H3769">
        <v>6.79</v>
      </c>
      <c r="I3769">
        <v>0.15</v>
      </c>
      <c r="J3769">
        <v>28.86</v>
      </c>
      <c r="K3769" t="s">
        <v>22</v>
      </c>
      <c r="L3769" t="s">
        <v>37</v>
      </c>
      <c r="M3769" t="s">
        <v>81</v>
      </c>
    </row>
    <row r="3770" spans="1:13" x14ac:dyDescent="0.2">
      <c r="A3770">
        <v>727706</v>
      </c>
      <c r="B3770" s="1">
        <v>45602</v>
      </c>
      <c r="C3770">
        <v>48823</v>
      </c>
      <c r="D3770" t="s">
        <v>29</v>
      </c>
      <c r="E3770" t="s">
        <v>88</v>
      </c>
      <c r="F3770" t="s">
        <v>89</v>
      </c>
      <c r="G3770">
        <v>1</v>
      </c>
      <c r="H3770">
        <v>44.99</v>
      </c>
      <c r="I3770">
        <v>0.1</v>
      </c>
      <c r="J3770">
        <v>40.49</v>
      </c>
      <c r="K3770" t="s">
        <v>36</v>
      </c>
      <c r="L3770" t="s">
        <v>37</v>
      </c>
      <c r="M3770" t="s">
        <v>18</v>
      </c>
    </row>
    <row r="3771" spans="1:13" x14ac:dyDescent="0.2">
      <c r="A3771">
        <v>727876</v>
      </c>
      <c r="B3771" s="1">
        <v>44804</v>
      </c>
      <c r="C3771">
        <v>83113</v>
      </c>
      <c r="D3771" t="s">
        <v>25</v>
      </c>
      <c r="E3771" t="s">
        <v>113</v>
      </c>
      <c r="F3771" t="s">
        <v>114</v>
      </c>
      <c r="G3771">
        <v>4</v>
      </c>
      <c r="H3771">
        <v>119.99</v>
      </c>
      <c r="J3771">
        <v>479.96</v>
      </c>
      <c r="K3771" t="s">
        <v>16</v>
      </c>
      <c r="L3771" t="s">
        <v>17</v>
      </c>
      <c r="M3771" t="s">
        <v>123</v>
      </c>
    </row>
    <row r="3772" spans="1:13" x14ac:dyDescent="0.2">
      <c r="A3772">
        <v>728391</v>
      </c>
      <c r="B3772" s="2">
        <v>44968</v>
      </c>
      <c r="C3772">
        <v>48950</v>
      </c>
      <c r="D3772" t="s">
        <v>63</v>
      </c>
      <c r="E3772" t="s">
        <v>111</v>
      </c>
      <c r="F3772" t="s">
        <v>112</v>
      </c>
      <c r="G3772">
        <v>2</v>
      </c>
      <c r="H3772">
        <v>13.49</v>
      </c>
      <c r="I3772">
        <v>0.1</v>
      </c>
      <c r="J3772">
        <v>24.28</v>
      </c>
      <c r="K3772" t="s">
        <v>36</v>
      </c>
      <c r="L3772" t="s">
        <v>17</v>
      </c>
      <c r="M3772" t="s">
        <v>90</v>
      </c>
    </row>
    <row r="3773" spans="1:13" x14ac:dyDescent="0.2">
      <c r="A3773">
        <v>728436</v>
      </c>
      <c r="B3773" s="1">
        <v>44993</v>
      </c>
      <c r="C3773">
        <v>24205</v>
      </c>
      <c r="D3773" t="s">
        <v>63</v>
      </c>
      <c r="E3773" t="s">
        <v>131</v>
      </c>
      <c r="F3773" t="s">
        <v>132</v>
      </c>
      <c r="G3773">
        <v>1</v>
      </c>
      <c r="H3773">
        <v>3.49</v>
      </c>
      <c r="J3773">
        <v>3.49</v>
      </c>
      <c r="K3773" t="s">
        <v>22</v>
      </c>
      <c r="L3773" t="s">
        <v>37</v>
      </c>
      <c r="M3773" t="s">
        <v>47</v>
      </c>
    </row>
    <row r="3774" spans="1:13" x14ac:dyDescent="0.2">
      <c r="A3774">
        <v>728506</v>
      </c>
      <c r="B3774" s="1">
        <v>45637</v>
      </c>
      <c r="C3774">
        <v>66634</v>
      </c>
      <c r="D3774" t="s">
        <v>48</v>
      </c>
      <c r="E3774" t="s">
        <v>179</v>
      </c>
      <c r="F3774" t="s">
        <v>180</v>
      </c>
      <c r="G3774">
        <v>2</v>
      </c>
      <c r="H3774">
        <v>11.99</v>
      </c>
      <c r="J3774">
        <v>23.98</v>
      </c>
      <c r="K3774" t="s">
        <v>22</v>
      </c>
      <c r="L3774" t="s">
        <v>37</v>
      </c>
    </row>
    <row r="3775" spans="1:13" x14ac:dyDescent="0.2">
      <c r="A3775">
        <v>728545</v>
      </c>
      <c r="B3775" s="1">
        <v>45435</v>
      </c>
      <c r="C3775">
        <v>21288</v>
      </c>
      <c r="D3775" t="s">
        <v>48</v>
      </c>
      <c r="E3775" t="s">
        <v>49</v>
      </c>
      <c r="F3775" t="s">
        <v>50</v>
      </c>
      <c r="G3775">
        <v>5</v>
      </c>
      <c r="H3775">
        <v>8.09</v>
      </c>
      <c r="I3775">
        <v>0.1</v>
      </c>
      <c r="J3775">
        <v>36.4</v>
      </c>
      <c r="K3775" t="s">
        <v>16</v>
      </c>
      <c r="L3775" t="s">
        <v>17</v>
      </c>
      <c r="M3775" t="s">
        <v>81</v>
      </c>
    </row>
    <row r="3776" spans="1:13" x14ac:dyDescent="0.2">
      <c r="A3776">
        <v>728629</v>
      </c>
      <c r="B3776" s="2">
        <v>45411</v>
      </c>
      <c r="D3776" t="s">
        <v>82</v>
      </c>
      <c r="E3776" t="s">
        <v>100</v>
      </c>
      <c r="F3776" t="s">
        <v>101</v>
      </c>
      <c r="G3776">
        <v>4</v>
      </c>
      <c r="H3776">
        <v>22.99</v>
      </c>
      <c r="J3776">
        <v>91.96</v>
      </c>
      <c r="K3776" t="s">
        <v>36</v>
      </c>
      <c r="L3776" t="s">
        <v>17</v>
      </c>
      <c r="M3776" t="s">
        <v>96</v>
      </c>
    </row>
    <row r="3777" spans="1:13" x14ac:dyDescent="0.2">
      <c r="A3777">
        <v>728635</v>
      </c>
      <c r="B3777" s="2">
        <v>45220</v>
      </c>
      <c r="C3777">
        <v>10268</v>
      </c>
      <c r="D3777" t="s">
        <v>40</v>
      </c>
      <c r="E3777" t="s">
        <v>197</v>
      </c>
      <c r="F3777" t="s">
        <v>198</v>
      </c>
      <c r="G3777">
        <v>1</v>
      </c>
      <c r="H3777">
        <v>12.74</v>
      </c>
      <c r="I3777">
        <v>0.15</v>
      </c>
      <c r="J3777">
        <v>10.83</v>
      </c>
      <c r="K3777" t="s">
        <v>16</v>
      </c>
      <c r="L3777" t="s">
        <v>23</v>
      </c>
      <c r="M3777" t="s">
        <v>57</v>
      </c>
    </row>
    <row r="3778" spans="1:13" x14ac:dyDescent="0.2">
      <c r="A3778">
        <v>728802</v>
      </c>
      <c r="B3778" s="2">
        <v>45051</v>
      </c>
      <c r="C3778">
        <v>41527</v>
      </c>
      <c r="D3778" t="s">
        <v>44</v>
      </c>
      <c r="E3778" t="s">
        <v>93</v>
      </c>
      <c r="F3778" t="s">
        <v>94</v>
      </c>
      <c r="G3778">
        <v>2</v>
      </c>
      <c r="H3778">
        <v>0.9</v>
      </c>
      <c r="I3778">
        <v>0.3</v>
      </c>
      <c r="J3778">
        <v>1.26</v>
      </c>
      <c r="K3778" t="s">
        <v>22</v>
      </c>
      <c r="L3778" t="s">
        <v>17</v>
      </c>
      <c r="M3778" t="s">
        <v>161</v>
      </c>
    </row>
    <row r="3779" spans="1:13" x14ac:dyDescent="0.2">
      <c r="A3779">
        <v>729295</v>
      </c>
      <c r="B3779" s="1">
        <v>44840</v>
      </c>
      <c r="C3779">
        <v>17101</v>
      </c>
      <c r="D3779" t="s">
        <v>40</v>
      </c>
      <c r="E3779" t="s">
        <v>115</v>
      </c>
      <c r="F3779" t="s">
        <v>116</v>
      </c>
      <c r="G3779">
        <v>3</v>
      </c>
      <c r="H3779">
        <v>11.69</v>
      </c>
      <c r="I3779">
        <v>0.1</v>
      </c>
      <c r="J3779">
        <v>31.56</v>
      </c>
      <c r="K3779" t="s">
        <v>16</v>
      </c>
      <c r="L3779" t="s">
        <v>37</v>
      </c>
      <c r="M3779" t="s">
        <v>102</v>
      </c>
    </row>
    <row r="3780" spans="1:13" x14ac:dyDescent="0.2">
      <c r="A3780">
        <v>729511</v>
      </c>
      <c r="B3780" s="1">
        <v>45162</v>
      </c>
      <c r="C3780">
        <v>77699</v>
      </c>
      <c r="D3780" t="s">
        <v>82</v>
      </c>
      <c r="E3780" t="s">
        <v>147</v>
      </c>
      <c r="F3780" t="s">
        <v>148</v>
      </c>
      <c r="G3780">
        <v>2</v>
      </c>
      <c r="H3780">
        <v>9.74</v>
      </c>
      <c r="I3780">
        <v>0.25</v>
      </c>
      <c r="J3780">
        <v>14.61</v>
      </c>
      <c r="K3780" t="s">
        <v>16</v>
      </c>
      <c r="L3780" t="s">
        <v>37</v>
      </c>
      <c r="M3780" t="s">
        <v>90</v>
      </c>
    </row>
    <row r="3781" spans="1:13" x14ac:dyDescent="0.2">
      <c r="A3781">
        <v>729614</v>
      </c>
      <c r="B3781" s="2">
        <v>44689</v>
      </c>
      <c r="C3781">
        <v>56211</v>
      </c>
      <c r="D3781" t="s">
        <v>40</v>
      </c>
      <c r="E3781" t="s">
        <v>115</v>
      </c>
      <c r="F3781" t="s">
        <v>116</v>
      </c>
      <c r="G3781">
        <v>2</v>
      </c>
      <c r="H3781">
        <v>12.99</v>
      </c>
      <c r="J3781">
        <v>25.98</v>
      </c>
      <c r="K3781" t="s">
        <v>22</v>
      </c>
      <c r="L3781" t="s">
        <v>17</v>
      </c>
      <c r="M3781" t="s">
        <v>117</v>
      </c>
    </row>
    <row r="3782" spans="1:13" x14ac:dyDescent="0.2">
      <c r="A3782">
        <v>729730</v>
      </c>
      <c r="B3782" s="2">
        <v>45318</v>
      </c>
      <c r="D3782" t="s">
        <v>97</v>
      </c>
      <c r="E3782" t="s">
        <v>151</v>
      </c>
      <c r="F3782" t="s">
        <v>152</v>
      </c>
      <c r="G3782">
        <v>3</v>
      </c>
      <c r="H3782">
        <v>24.49</v>
      </c>
      <c r="I3782">
        <v>0.3</v>
      </c>
      <c r="J3782">
        <v>51.43</v>
      </c>
      <c r="K3782" t="s">
        <v>36</v>
      </c>
      <c r="L3782" t="s">
        <v>17</v>
      </c>
      <c r="M3782" t="s">
        <v>18</v>
      </c>
    </row>
    <row r="3783" spans="1:13" x14ac:dyDescent="0.2">
      <c r="A3783">
        <v>730143</v>
      </c>
      <c r="B3783" s="1">
        <v>44854</v>
      </c>
      <c r="C3783">
        <v>15053</v>
      </c>
      <c r="D3783" t="s">
        <v>82</v>
      </c>
      <c r="E3783" t="s">
        <v>100</v>
      </c>
      <c r="F3783" t="s">
        <v>101</v>
      </c>
      <c r="G3783">
        <v>2</v>
      </c>
      <c r="H3783">
        <v>17.239999999999998</v>
      </c>
      <c r="I3783">
        <v>0.25</v>
      </c>
      <c r="J3783">
        <v>25.86</v>
      </c>
      <c r="K3783" t="s">
        <v>36</v>
      </c>
      <c r="L3783" t="s">
        <v>17</v>
      </c>
      <c r="M3783" t="s">
        <v>43</v>
      </c>
    </row>
    <row r="3784" spans="1:13" x14ac:dyDescent="0.2">
      <c r="A3784">
        <v>730220</v>
      </c>
      <c r="B3784" s="1">
        <v>45307</v>
      </c>
      <c r="C3784">
        <v>60632</v>
      </c>
      <c r="D3784" t="s">
        <v>82</v>
      </c>
      <c r="E3784" t="s">
        <v>168</v>
      </c>
      <c r="F3784" t="s">
        <v>169</v>
      </c>
      <c r="G3784">
        <v>2</v>
      </c>
      <c r="H3784">
        <v>6.74</v>
      </c>
      <c r="I3784">
        <v>0.25</v>
      </c>
      <c r="J3784">
        <v>10.11</v>
      </c>
      <c r="K3784" t="s">
        <v>36</v>
      </c>
      <c r="L3784" t="s">
        <v>37</v>
      </c>
      <c r="M3784" t="s">
        <v>103</v>
      </c>
    </row>
    <row r="3785" spans="1:13" x14ac:dyDescent="0.2">
      <c r="A3785">
        <v>730222</v>
      </c>
      <c r="B3785" s="2">
        <v>45552</v>
      </c>
      <c r="C3785">
        <v>72154</v>
      </c>
      <c r="D3785" t="s">
        <v>192</v>
      </c>
      <c r="E3785" t="s">
        <v>181</v>
      </c>
      <c r="F3785" t="s">
        <v>182</v>
      </c>
      <c r="G3785">
        <v>2</v>
      </c>
      <c r="H3785">
        <v>13.49</v>
      </c>
      <c r="I3785">
        <v>0.1</v>
      </c>
      <c r="J3785">
        <v>24.28</v>
      </c>
      <c r="K3785" t="s">
        <v>32</v>
      </c>
      <c r="L3785" t="s">
        <v>17</v>
      </c>
      <c r="M3785" t="s">
        <v>57</v>
      </c>
    </row>
    <row r="3786" spans="1:13" x14ac:dyDescent="0.2">
      <c r="A3786">
        <v>730254</v>
      </c>
      <c r="B3786" s="1">
        <v>45066</v>
      </c>
      <c r="C3786">
        <v>91506</v>
      </c>
      <c r="D3786" t="s">
        <v>29</v>
      </c>
      <c r="E3786" t="s">
        <v>175</v>
      </c>
      <c r="F3786" t="s">
        <v>176</v>
      </c>
      <c r="G3786">
        <v>1</v>
      </c>
      <c r="H3786">
        <v>11.99</v>
      </c>
      <c r="J3786">
        <v>11.99</v>
      </c>
      <c r="K3786" t="s">
        <v>36</v>
      </c>
      <c r="L3786" t="s">
        <v>17</v>
      </c>
      <c r="M3786" t="s">
        <v>43</v>
      </c>
    </row>
    <row r="3787" spans="1:13" x14ac:dyDescent="0.2">
      <c r="A3787">
        <v>730296</v>
      </c>
      <c r="B3787" s="2">
        <v>45254</v>
      </c>
      <c r="C3787">
        <v>89234</v>
      </c>
      <c r="D3787" t="s">
        <v>29</v>
      </c>
      <c r="E3787" t="s">
        <v>170</v>
      </c>
      <c r="F3787" t="s">
        <v>171</v>
      </c>
      <c r="G3787">
        <v>4</v>
      </c>
      <c r="H3787">
        <v>14.24</v>
      </c>
      <c r="I3787">
        <v>0.05</v>
      </c>
      <c r="J3787">
        <v>54.11</v>
      </c>
      <c r="K3787" t="s">
        <v>36</v>
      </c>
      <c r="L3787" t="s">
        <v>17</v>
      </c>
      <c r="M3787" t="s">
        <v>102</v>
      </c>
    </row>
    <row r="3788" spans="1:13" x14ac:dyDescent="0.2">
      <c r="A3788">
        <v>730476</v>
      </c>
      <c r="B3788" s="2">
        <v>45041</v>
      </c>
      <c r="D3788" t="s">
        <v>44</v>
      </c>
      <c r="E3788" t="s">
        <v>195</v>
      </c>
      <c r="F3788" t="s">
        <v>196</v>
      </c>
      <c r="G3788">
        <v>1</v>
      </c>
      <c r="H3788">
        <v>3.74</v>
      </c>
      <c r="I3788">
        <v>0.25</v>
      </c>
      <c r="J3788">
        <v>2.8</v>
      </c>
      <c r="K3788" t="s">
        <v>95</v>
      </c>
      <c r="L3788" t="s">
        <v>23</v>
      </c>
      <c r="M3788" t="s">
        <v>57</v>
      </c>
    </row>
    <row r="3789" spans="1:13" x14ac:dyDescent="0.2">
      <c r="A3789">
        <v>730926</v>
      </c>
      <c r="B3789" s="1">
        <v>45009</v>
      </c>
      <c r="C3789">
        <v>65621</v>
      </c>
      <c r="D3789" t="s">
        <v>13</v>
      </c>
      <c r="E3789" t="s">
        <v>55</v>
      </c>
      <c r="F3789" t="s">
        <v>56</v>
      </c>
      <c r="G3789">
        <v>1</v>
      </c>
      <c r="H3789">
        <v>329.99</v>
      </c>
      <c r="J3789">
        <v>329.99</v>
      </c>
      <c r="K3789" t="s">
        <v>36</v>
      </c>
      <c r="L3789" t="s">
        <v>37</v>
      </c>
      <c r="M3789" t="s">
        <v>76</v>
      </c>
    </row>
    <row r="3790" spans="1:13" x14ac:dyDescent="0.2">
      <c r="A3790">
        <v>731394</v>
      </c>
      <c r="B3790" s="1">
        <v>45100</v>
      </c>
      <c r="C3790">
        <v>95394</v>
      </c>
      <c r="D3790" t="s">
        <v>48</v>
      </c>
      <c r="E3790" t="s">
        <v>179</v>
      </c>
      <c r="F3790" t="s">
        <v>180</v>
      </c>
      <c r="G3790">
        <v>3</v>
      </c>
      <c r="H3790">
        <v>10.79</v>
      </c>
      <c r="I3790">
        <v>0.1</v>
      </c>
      <c r="J3790">
        <v>29.13</v>
      </c>
      <c r="K3790" t="s">
        <v>16</v>
      </c>
      <c r="L3790" t="s">
        <v>23</v>
      </c>
      <c r="M3790" t="s">
        <v>102</v>
      </c>
    </row>
    <row r="3791" spans="1:13" x14ac:dyDescent="0.2">
      <c r="A3791">
        <v>731423</v>
      </c>
      <c r="B3791" s="1">
        <v>45098</v>
      </c>
      <c r="C3791">
        <v>38399</v>
      </c>
      <c r="D3791" t="s">
        <v>29</v>
      </c>
      <c r="E3791" t="s">
        <v>30</v>
      </c>
      <c r="F3791" t="s">
        <v>31</v>
      </c>
      <c r="G3791">
        <v>2</v>
      </c>
      <c r="H3791">
        <v>22.49</v>
      </c>
      <c r="I3791">
        <v>0.1</v>
      </c>
      <c r="J3791">
        <v>40.479999999999997</v>
      </c>
      <c r="K3791" t="s">
        <v>36</v>
      </c>
      <c r="L3791" t="s">
        <v>17</v>
      </c>
      <c r="M3791" t="s">
        <v>76</v>
      </c>
    </row>
    <row r="3792" spans="1:13" x14ac:dyDescent="0.2">
      <c r="A3792">
        <v>731429</v>
      </c>
      <c r="B3792" s="1">
        <v>45181</v>
      </c>
      <c r="C3792">
        <v>81278</v>
      </c>
      <c r="D3792" t="s">
        <v>192</v>
      </c>
      <c r="E3792" t="s">
        <v>151</v>
      </c>
      <c r="F3792" t="s">
        <v>152</v>
      </c>
      <c r="G3792">
        <v>1</v>
      </c>
      <c r="H3792">
        <v>34.99</v>
      </c>
      <c r="J3792">
        <v>34.99</v>
      </c>
      <c r="K3792" t="s">
        <v>16</v>
      </c>
      <c r="L3792" t="s">
        <v>17</v>
      </c>
      <c r="M3792" t="s">
        <v>117</v>
      </c>
    </row>
    <row r="3793" spans="1:13" x14ac:dyDescent="0.2">
      <c r="A3793">
        <v>731522</v>
      </c>
      <c r="B3793" s="2">
        <v>44813</v>
      </c>
      <c r="C3793">
        <v>89600</v>
      </c>
      <c r="D3793" t="s">
        <v>85</v>
      </c>
      <c r="E3793" t="s">
        <v>157</v>
      </c>
      <c r="F3793" t="s">
        <v>158</v>
      </c>
      <c r="G3793">
        <v>1</v>
      </c>
      <c r="H3793">
        <v>10.119999999999999</v>
      </c>
      <c r="I3793">
        <v>0.25</v>
      </c>
      <c r="J3793">
        <v>7.59</v>
      </c>
      <c r="K3793" t="s">
        <v>36</v>
      </c>
      <c r="L3793" t="s">
        <v>37</v>
      </c>
      <c r="M3793" t="s">
        <v>117</v>
      </c>
    </row>
    <row r="3794" spans="1:13" x14ac:dyDescent="0.2">
      <c r="A3794">
        <v>732061</v>
      </c>
      <c r="B3794" s="1">
        <v>45251</v>
      </c>
      <c r="C3794">
        <v>86247</v>
      </c>
      <c r="D3794" t="s">
        <v>97</v>
      </c>
      <c r="E3794" t="s">
        <v>181</v>
      </c>
      <c r="F3794" t="s">
        <v>182</v>
      </c>
      <c r="G3794">
        <v>1</v>
      </c>
      <c r="H3794">
        <v>14.99</v>
      </c>
      <c r="J3794">
        <v>14.99</v>
      </c>
      <c r="K3794" t="s">
        <v>16</v>
      </c>
      <c r="L3794" t="s">
        <v>37</v>
      </c>
      <c r="M3794" t="s">
        <v>54</v>
      </c>
    </row>
    <row r="3795" spans="1:13" x14ac:dyDescent="0.2">
      <c r="A3795">
        <v>732185</v>
      </c>
      <c r="B3795" s="1">
        <v>45015</v>
      </c>
      <c r="C3795">
        <v>32830</v>
      </c>
      <c r="D3795" t="s">
        <v>25</v>
      </c>
      <c r="E3795" t="s">
        <v>70</v>
      </c>
      <c r="F3795" t="s">
        <v>71</v>
      </c>
      <c r="G3795">
        <v>5</v>
      </c>
      <c r="H3795">
        <v>89.99</v>
      </c>
      <c r="J3795">
        <v>449.95</v>
      </c>
      <c r="K3795" t="s">
        <v>16</v>
      </c>
      <c r="L3795" t="s">
        <v>17</v>
      </c>
      <c r="M3795" t="s">
        <v>103</v>
      </c>
    </row>
    <row r="3796" spans="1:13" x14ac:dyDescent="0.2">
      <c r="A3796">
        <v>732386</v>
      </c>
      <c r="B3796" s="1">
        <v>44642</v>
      </c>
      <c r="C3796">
        <v>88156</v>
      </c>
      <c r="D3796" t="s">
        <v>40</v>
      </c>
      <c r="E3796" t="s">
        <v>20</v>
      </c>
      <c r="F3796" t="s">
        <v>21</v>
      </c>
      <c r="G3796">
        <v>1</v>
      </c>
      <c r="H3796">
        <v>7.99</v>
      </c>
      <c r="I3796">
        <v>0.2</v>
      </c>
      <c r="J3796">
        <v>6.39</v>
      </c>
      <c r="K3796" t="s">
        <v>95</v>
      </c>
      <c r="L3796" t="s">
        <v>37</v>
      </c>
      <c r="M3796" t="s">
        <v>103</v>
      </c>
    </row>
    <row r="3797" spans="1:13" x14ac:dyDescent="0.2">
      <c r="A3797">
        <v>732552</v>
      </c>
      <c r="B3797" s="1">
        <v>45506</v>
      </c>
      <c r="C3797">
        <v>70477</v>
      </c>
      <c r="D3797" t="s">
        <v>13</v>
      </c>
      <c r="E3797" t="s">
        <v>34</v>
      </c>
      <c r="F3797" t="s">
        <v>35</v>
      </c>
      <c r="G3797">
        <v>1</v>
      </c>
      <c r="H3797">
        <v>26.24</v>
      </c>
      <c r="I3797">
        <v>0.25</v>
      </c>
      <c r="J3797">
        <v>19.68</v>
      </c>
      <c r="K3797" t="s">
        <v>16</v>
      </c>
      <c r="L3797" t="s">
        <v>17</v>
      </c>
      <c r="M3797" t="s">
        <v>96</v>
      </c>
    </row>
    <row r="3798" spans="1:13" x14ac:dyDescent="0.2">
      <c r="A3798">
        <v>732580</v>
      </c>
      <c r="B3798" s="1">
        <v>45330</v>
      </c>
      <c r="C3798">
        <v>88449</v>
      </c>
      <c r="D3798" t="s">
        <v>97</v>
      </c>
      <c r="E3798" t="s">
        <v>141</v>
      </c>
      <c r="F3798" t="s">
        <v>142</v>
      </c>
      <c r="G3798">
        <v>2</v>
      </c>
      <c r="H3798">
        <v>22.99</v>
      </c>
      <c r="J3798">
        <v>45.98</v>
      </c>
      <c r="K3798" t="s">
        <v>36</v>
      </c>
      <c r="L3798" t="s">
        <v>23</v>
      </c>
      <c r="M3798" t="s">
        <v>43</v>
      </c>
    </row>
    <row r="3799" spans="1:13" x14ac:dyDescent="0.2">
      <c r="A3799">
        <v>732610</v>
      </c>
      <c r="B3799" s="1">
        <v>44835</v>
      </c>
      <c r="C3799">
        <v>71745</v>
      </c>
      <c r="D3799" t="s">
        <v>48</v>
      </c>
      <c r="E3799" t="s">
        <v>179</v>
      </c>
      <c r="F3799" t="s">
        <v>180</v>
      </c>
      <c r="G3799">
        <v>3</v>
      </c>
      <c r="H3799">
        <v>11.99</v>
      </c>
      <c r="J3799">
        <v>35.97</v>
      </c>
      <c r="K3799" t="s">
        <v>16</v>
      </c>
      <c r="L3799" t="s">
        <v>17</v>
      </c>
      <c r="M3799" t="s">
        <v>28</v>
      </c>
    </row>
    <row r="3800" spans="1:13" x14ac:dyDescent="0.2">
      <c r="A3800">
        <v>732742</v>
      </c>
      <c r="B3800" s="2">
        <v>44823</v>
      </c>
      <c r="C3800">
        <v>76126</v>
      </c>
      <c r="D3800" t="s">
        <v>13</v>
      </c>
      <c r="E3800" t="s">
        <v>186</v>
      </c>
      <c r="F3800" t="s">
        <v>187</v>
      </c>
      <c r="G3800">
        <v>1</v>
      </c>
      <c r="H3800">
        <v>34.99</v>
      </c>
      <c r="I3800">
        <v>0.3</v>
      </c>
      <c r="J3800">
        <v>24.49</v>
      </c>
      <c r="K3800" t="s">
        <v>53</v>
      </c>
      <c r="L3800" t="s">
        <v>17</v>
      </c>
      <c r="M3800" t="s">
        <v>54</v>
      </c>
    </row>
    <row r="3801" spans="1:13" x14ac:dyDescent="0.2">
      <c r="A3801">
        <v>732795</v>
      </c>
      <c r="B3801" s="2">
        <v>44810</v>
      </c>
      <c r="C3801">
        <v>43879</v>
      </c>
      <c r="D3801" t="s">
        <v>29</v>
      </c>
      <c r="E3801" t="s">
        <v>88</v>
      </c>
      <c r="F3801" t="s">
        <v>89</v>
      </c>
      <c r="G3801">
        <v>2</v>
      </c>
      <c r="H3801">
        <v>39.99</v>
      </c>
      <c r="I3801">
        <v>0.2</v>
      </c>
      <c r="J3801">
        <v>63.98</v>
      </c>
      <c r="K3801" t="s">
        <v>16</v>
      </c>
      <c r="L3801" t="s">
        <v>37</v>
      </c>
      <c r="M3801" t="s">
        <v>54</v>
      </c>
    </row>
    <row r="3802" spans="1:13" x14ac:dyDescent="0.2">
      <c r="A3802">
        <v>732954</v>
      </c>
      <c r="B3802" s="1">
        <v>45299</v>
      </c>
      <c r="C3802">
        <v>88227</v>
      </c>
      <c r="D3802" t="s">
        <v>40</v>
      </c>
      <c r="E3802" t="s">
        <v>115</v>
      </c>
      <c r="F3802" t="s">
        <v>116</v>
      </c>
      <c r="G3802">
        <v>1</v>
      </c>
      <c r="H3802">
        <v>12.99</v>
      </c>
      <c r="J3802">
        <v>12.99</v>
      </c>
      <c r="K3802" t="s">
        <v>36</v>
      </c>
      <c r="L3802" t="s">
        <v>17</v>
      </c>
      <c r="M3802" t="s">
        <v>43</v>
      </c>
    </row>
    <row r="3803" spans="1:13" x14ac:dyDescent="0.2">
      <c r="A3803">
        <v>733677</v>
      </c>
      <c r="B3803" s="1">
        <v>44681</v>
      </c>
      <c r="C3803">
        <v>19928</v>
      </c>
      <c r="D3803" t="s">
        <v>97</v>
      </c>
      <c r="E3803" t="s">
        <v>98</v>
      </c>
      <c r="F3803" t="s">
        <v>99</v>
      </c>
      <c r="G3803">
        <v>1</v>
      </c>
      <c r="H3803">
        <v>27.99</v>
      </c>
      <c r="J3803">
        <v>27.99</v>
      </c>
      <c r="K3803" t="s">
        <v>16</v>
      </c>
      <c r="L3803" t="s">
        <v>37</v>
      </c>
      <c r="M3803" t="s">
        <v>161</v>
      </c>
    </row>
    <row r="3804" spans="1:13" x14ac:dyDescent="0.2">
      <c r="A3804">
        <v>734299</v>
      </c>
      <c r="B3804" s="1">
        <v>44582</v>
      </c>
      <c r="C3804">
        <v>27899</v>
      </c>
      <c r="D3804" t="s">
        <v>63</v>
      </c>
      <c r="E3804" t="s">
        <v>125</v>
      </c>
      <c r="F3804" t="s">
        <v>126</v>
      </c>
      <c r="G3804">
        <v>2</v>
      </c>
      <c r="H3804">
        <v>25.49</v>
      </c>
      <c r="I3804">
        <v>0.15</v>
      </c>
      <c r="J3804">
        <v>43.33</v>
      </c>
      <c r="K3804" t="s">
        <v>36</v>
      </c>
      <c r="L3804" t="s">
        <v>17</v>
      </c>
      <c r="M3804" t="s">
        <v>117</v>
      </c>
    </row>
    <row r="3805" spans="1:13" x14ac:dyDescent="0.2">
      <c r="A3805">
        <v>735145</v>
      </c>
      <c r="B3805" s="1">
        <v>45528</v>
      </c>
      <c r="C3805">
        <v>61274</v>
      </c>
      <c r="D3805" t="s">
        <v>199</v>
      </c>
      <c r="E3805" t="s">
        <v>79</v>
      </c>
      <c r="F3805" t="s">
        <v>80</v>
      </c>
      <c r="G3805">
        <v>5</v>
      </c>
      <c r="H3805">
        <v>71.989999999999995</v>
      </c>
      <c r="I3805">
        <v>0.2</v>
      </c>
      <c r="J3805">
        <v>287.95999999999998</v>
      </c>
      <c r="K3805" t="s">
        <v>16</v>
      </c>
      <c r="L3805" t="s">
        <v>37</v>
      </c>
      <c r="M3805" t="s">
        <v>117</v>
      </c>
    </row>
    <row r="3806" spans="1:13" x14ac:dyDescent="0.2">
      <c r="A3806">
        <v>735307</v>
      </c>
      <c r="B3806" s="2">
        <v>45634</v>
      </c>
      <c r="C3806">
        <v>18905</v>
      </c>
      <c r="D3806" t="s">
        <v>25</v>
      </c>
      <c r="E3806" t="s">
        <v>60</v>
      </c>
      <c r="F3806" t="s">
        <v>61</v>
      </c>
      <c r="G3806">
        <v>4</v>
      </c>
      <c r="H3806">
        <v>46.74</v>
      </c>
      <c r="I3806">
        <v>0.15</v>
      </c>
      <c r="J3806">
        <v>158.91999999999999</v>
      </c>
      <c r="K3806" t="s">
        <v>16</v>
      </c>
      <c r="L3806" t="s">
        <v>17</v>
      </c>
      <c r="M3806" t="s">
        <v>33</v>
      </c>
    </row>
    <row r="3807" spans="1:13" x14ac:dyDescent="0.2">
      <c r="A3807">
        <v>735374</v>
      </c>
      <c r="B3807" s="1">
        <v>44945</v>
      </c>
      <c r="C3807">
        <v>10877</v>
      </c>
      <c r="D3807" t="s">
        <v>40</v>
      </c>
      <c r="E3807" t="s">
        <v>197</v>
      </c>
      <c r="F3807" t="s">
        <v>198</v>
      </c>
      <c r="G3807">
        <v>3</v>
      </c>
      <c r="H3807">
        <v>11.24</v>
      </c>
      <c r="I3807">
        <v>0.25</v>
      </c>
      <c r="J3807">
        <v>25.29</v>
      </c>
      <c r="K3807" t="s">
        <v>16</v>
      </c>
      <c r="L3807" t="s">
        <v>17</v>
      </c>
      <c r="M3807" t="s">
        <v>47</v>
      </c>
    </row>
    <row r="3808" spans="1:13" x14ac:dyDescent="0.2">
      <c r="A3808">
        <v>735577</v>
      </c>
      <c r="B3808" s="1">
        <v>45293</v>
      </c>
      <c r="C3808">
        <v>74405</v>
      </c>
      <c r="D3808" t="s">
        <v>29</v>
      </c>
      <c r="E3808" t="s">
        <v>38</v>
      </c>
      <c r="F3808" t="s">
        <v>39</v>
      </c>
      <c r="G3808">
        <v>5</v>
      </c>
      <c r="H3808">
        <v>29.99</v>
      </c>
      <c r="J3808">
        <v>149.94999999999999</v>
      </c>
      <c r="K3808" t="s">
        <v>32</v>
      </c>
      <c r="L3808" t="s">
        <v>17</v>
      </c>
      <c r="M3808" t="s">
        <v>18</v>
      </c>
    </row>
    <row r="3809" spans="1:13" x14ac:dyDescent="0.2">
      <c r="A3809">
        <v>735638</v>
      </c>
      <c r="B3809" s="1">
        <v>45325</v>
      </c>
      <c r="C3809">
        <v>96270</v>
      </c>
      <c r="D3809" t="s">
        <v>85</v>
      </c>
      <c r="E3809" t="s">
        <v>149</v>
      </c>
      <c r="F3809" t="s">
        <v>150</v>
      </c>
      <c r="G3809">
        <v>3</v>
      </c>
      <c r="H3809">
        <v>16.989999999999998</v>
      </c>
      <c r="I3809">
        <v>0.15</v>
      </c>
      <c r="J3809">
        <v>43.32</v>
      </c>
      <c r="K3809" t="s">
        <v>22</v>
      </c>
      <c r="L3809" t="s">
        <v>37</v>
      </c>
      <c r="M3809" t="s">
        <v>18</v>
      </c>
    </row>
    <row r="3810" spans="1:13" x14ac:dyDescent="0.2">
      <c r="A3810">
        <v>735822</v>
      </c>
      <c r="B3810" s="1">
        <v>44670</v>
      </c>
      <c r="C3810">
        <v>83256</v>
      </c>
      <c r="D3810" t="s">
        <v>44</v>
      </c>
      <c r="E3810" t="s">
        <v>172</v>
      </c>
      <c r="F3810" t="s">
        <v>173</v>
      </c>
      <c r="G3810">
        <v>1</v>
      </c>
      <c r="H3810">
        <v>3.14</v>
      </c>
      <c r="I3810">
        <v>0.3</v>
      </c>
      <c r="J3810">
        <v>2.2000000000000002</v>
      </c>
      <c r="K3810" t="s">
        <v>16</v>
      </c>
      <c r="L3810" t="s">
        <v>17</v>
      </c>
    </row>
    <row r="3811" spans="1:13" x14ac:dyDescent="0.2">
      <c r="A3811">
        <v>736166</v>
      </c>
      <c r="B3811" s="1">
        <v>45597</v>
      </c>
      <c r="C3811">
        <v>64692</v>
      </c>
      <c r="D3811" t="s">
        <v>25</v>
      </c>
      <c r="E3811" t="s">
        <v>60</v>
      </c>
      <c r="F3811" t="s">
        <v>61</v>
      </c>
      <c r="G3811">
        <v>1</v>
      </c>
      <c r="H3811">
        <v>49.49</v>
      </c>
      <c r="I3811">
        <v>0.1</v>
      </c>
      <c r="J3811">
        <v>44.54</v>
      </c>
      <c r="K3811" t="s">
        <v>16</v>
      </c>
      <c r="L3811" t="s">
        <v>17</v>
      </c>
      <c r="M3811" t="s">
        <v>102</v>
      </c>
    </row>
    <row r="3812" spans="1:13" x14ac:dyDescent="0.2">
      <c r="A3812">
        <v>736515</v>
      </c>
      <c r="B3812" s="2">
        <v>45064</v>
      </c>
      <c r="C3812">
        <v>45824</v>
      </c>
      <c r="D3812" t="s">
        <v>44</v>
      </c>
      <c r="E3812" t="s">
        <v>195</v>
      </c>
      <c r="F3812" t="s">
        <v>196</v>
      </c>
      <c r="G3812">
        <v>1</v>
      </c>
      <c r="H3812">
        <v>3.99</v>
      </c>
      <c r="I3812">
        <v>0.2</v>
      </c>
      <c r="J3812">
        <v>3.19</v>
      </c>
      <c r="K3812" t="s">
        <v>66</v>
      </c>
      <c r="L3812" t="s">
        <v>37</v>
      </c>
      <c r="M3812" t="s">
        <v>81</v>
      </c>
    </row>
    <row r="3813" spans="1:13" x14ac:dyDescent="0.2">
      <c r="A3813">
        <v>736597</v>
      </c>
      <c r="B3813" s="1">
        <v>44869</v>
      </c>
      <c r="C3813">
        <v>13984</v>
      </c>
      <c r="D3813" t="s">
        <v>13</v>
      </c>
      <c r="E3813" t="s">
        <v>79</v>
      </c>
      <c r="F3813" t="s">
        <v>80</v>
      </c>
      <c r="G3813">
        <v>2</v>
      </c>
      <c r="H3813">
        <v>89.99</v>
      </c>
      <c r="J3813">
        <v>179.98</v>
      </c>
      <c r="K3813" t="s">
        <v>16</v>
      </c>
      <c r="L3813" t="s">
        <v>23</v>
      </c>
      <c r="M3813" t="s">
        <v>123</v>
      </c>
    </row>
    <row r="3814" spans="1:13" x14ac:dyDescent="0.2">
      <c r="A3814">
        <v>736885</v>
      </c>
      <c r="B3814" s="1">
        <v>45445</v>
      </c>
      <c r="C3814">
        <v>44504</v>
      </c>
      <c r="D3814" t="s">
        <v>44</v>
      </c>
      <c r="E3814" t="s">
        <v>133</v>
      </c>
      <c r="F3814" t="s">
        <v>134</v>
      </c>
      <c r="G3814">
        <v>4</v>
      </c>
      <c r="H3814">
        <v>2.65</v>
      </c>
      <c r="I3814">
        <v>0.3</v>
      </c>
      <c r="J3814">
        <v>7.42</v>
      </c>
      <c r="K3814" t="s">
        <v>22</v>
      </c>
      <c r="L3814" t="s">
        <v>37</v>
      </c>
      <c r="M3814" t="s">
        <v>24</v>
      </c>
    </row>
    <row r="3815" spans="1:13" x14ac:dyDescent="0.2">
      <c r="A3815">
        <v>736941</v>
      </c>
      <c r="B3815" s="1">
        <v>45308</v>
      </c>
      <c r="C3815">
        <v>66611</v>
      </c>
      <c r="D3815" t="s">
        <v>82</v>
      </c>
      <c r="E3815" t="s">
        <v>83</v>
      </c>
      <c r="F3815" t="s">
        <v>84</v>
      </c>
      <c r="G3815">
        <v>1</v>
      </c>
      <c r="H3815">
        <v>13.59</v>
      </c>
      <c r="I3815">
        <v>0.2</v>
      </c>
      <c r="J3815">
        <v>10.87</v>
      </c>
      <c r="K3815" t="s">
        <v>22</v>
      </c>
      <c r="L3815" t="s">
        <v>23</v>
      </c>
    </row>
    <row r="3816" spans="1:13" x14ac:dyDescent="0.2">
      <c r="A3816">
        <v>737202</v>
      </c>
      <c r="B3816" s="2">
        <v>44638</v>
      </c>
      <c r="C3816">
        <v>94592</v>
      </c>
      <c r="D3816" t="s">
        <v>63</v>
      </c>
      <c r="E3816" t="s">
        <v>131</v>
      </c>
      <c r="F3816" t="s">
        <v>132</v>
      </c>
      <c r="G3816">
        <v>5</v>
      </c>
      <c r="H3816">
        <v>3.49</v>
      </c>
      <c r="J3816">
        <v>17.45</v>
      </c>
      <c r="K3816" t="s">
        <v>22</v>
      </c>
      <c r="L3816" t="s">
        <v>37</v>
      </c>
      <c r="M3816" t="s">
        <v>120</v>
      </c>
    </row>
    <row r="3817" spans="1:13" x14ac:dyDescent="0.2">
      <c r="A3817">
        <v>737355</v>
      </c>
      <c r="B3817" s="2">
        <v>45172</v>
      </c>
      <c r="C3817">
        <v>90916</v>
      </c>
      <c r="D3817" t="s">
        <v>13</v>
      </c>
      <c r="E3817" t="s">
        <v>55</v>
      </c>
      <c r="F3817" t="s">
        <v>56</v>
      </c>
      <c r="G3817">
        <v>2</v>
      </c>
      <c r="H3817">
        <v>329.99</v>
      </c>
      <c r="J3817">
        <v>659.98</v>
      </c>
      <c r="K3817" t="s">
        <v>36</v>
      </c>
      <c r="L3817" t="s">
        <v>17</v>
      </c>
      <c r="M3817" t="s">
        <v>96</v>
      </c>
    </row>
    <row r="3818" spans="1:13" x14ac:dyDescent="0.2">
      <c r="A3818">
        <v>737614</v>
      </c>
      <c r="B3818" s="1">
        <v>45461</v>
      </c>
      <c r="C3818">
        <v>60560</v>
      </c>
      <c r="D3818" t="s">
        <v>44</v>
      </c>
      <c r="E3818" t="s">
        <v>93</v>
      </c>
      <c r="F3818" t="s">
        <v>94</v>
      </c>
      <c r="G3818">
        <v>1</v>
      </c>
      <c r="H3818">
        <v>0.97</v>
      </c>
      <c r="I3818">
        <v>0.25</v>
      </c>
      <c r="J3818">
        <v>0.73</v>
      </c>
      <c r="K3818" t="s">
        <v>22</v>
      </c>
      <c r="L3818" t="s">
        <v>17</v>
      </c>
      <c r="M3818" t="s">
        <v>33</v>
      </c>
    </row>
    <row r="3819" spans="1:13" x14ac:dyDescent="0.2">
      <c r="A3819">
        <v>737654</v>
      </c>
      <c r="B3819" s="2">
        <v>45475</v>
      </c>
      <c r="C3819">
        <v>60698</v>
      </c>
      <c r="D3819" t="s">
        <v>63</v>
      </c>
      <c r="E3819" t="s">
        <v>131</v>
      </c>
      <c r="F3819" t="s">
        <v>132</v>
      </c>
      <c r="G3819">
        <v>2</v>
      </c>
      <c r="H3819">
        <v>2.62</v>
      </c>
      <c r="I3819">
        <v>0.25</v>
      </c>
      <c r="J3819">
        <v>3.93</v>
      </c>
      <c r="K3819" t="s">
        <v>66</v>
      </c>
      <c r="L3819" t="s">
        <v>17</v>
      </c>
      <c r="M3819" t="s">
        <v>117</v>
      </c>
    </row>
    <row r="3820" spans="1:13" x14ac:dyDescent="0.2">
      <c r="A3820">
        <v>737806</v>
      </c>
      <c r="B3820" s="1">
        <v>45360</v>
      </c>
      <c r="C3820">
        <v>49081</v>
      </c>
      <c r="D3820" t="s">
        <v>85</v>
      </c>
      <c r="E3820" t="s">
        <v>129</v>
      </c>
      <c r="F3820" t="s">
        <v>130</v>
      </c>
      <c r="G3820">
        <v>2</v>
      </c>
      <c r="H3820">
        <v>8.09</v>
      </c>
      <c r="I3820">
        <v>0.1</v>
      </c>
      <c r="J3820">
        <v>14.56</v>
      </c>
      <c r="K3820" t="s">
        <v>95</v>
      </c>
      <c r="L3820" t="s">
        <v>17</v>
      </c>
      <c r="M3820" t="s">
        <v>90</v>
      </c>
    </row>
    <row r="3821" spans="1:13" x14ac:dyDescent="0.2">
      <c r="A3821">
        <v>737894</v>
      </c>
      <c r="B3821" s="1">
        <v>44916</v>
      </c>
      <c r="C3821">
        <v>94245</v>
      </c>
      <c r="D3821" t="s">
        <v>13</v>
      </c>
      <c r="E3821" t="s">
        <v>55</v>
      </c>
      <c r="F3821" t="s">
        <v>56</v>
      </c>
      <c r="G3821">
        <v>1</v>
      </c>
      <c r="H3821">
        <v>329.99</v>
      </c>
      <c r="J3821">
        <v>329.99</v>
      </c>
      <c r="K3821" t="s">
        <v>95</v>
      </c>
      <c r="L3821" t="s">
        <v>17</v>
      </c>
      <c r="M3821" t="s">
        <v>90</v>
      </c>
    </row>
    <row r="3822" spans="1:13" x14ac:dyDescent="0.2">
      <c r="A3822">
        <v>737979</v>
      </c>
      <c r="B3822" s="1">
        <v>45297</v>
      </c>
      <c r="D3822" t="s">
        <v>48</v>
      </c>
      <c r="E3822" t="s">
        <v>118</v>
      </c>
      <c r="F3822" t="s">
        <v>119</v>
      </c>
      <c r="G3822">
        <v>5</v>
      </c>
      <c r="H3822">
        <v>3.74</v>
      </c>
      <c r="I3822">
        <v>0.25</v>
      </c>
      <c r="J3822">
        <v>14.03</v>
      </c>
      <c r="K3822" t="s">
        <v>36</v>
      </c>
      <c r="L3822" t="s">
        <v>23</v>
      </c>
      <c r="M3822" t="s">
        <v>54</v>
      </c>
    </row>
    <row r="3823" spans="1:13" x14ac:dyDescent="0.2">
      <c r="A3823">
        <v>738000</v>
      </c>
      <c r="B3823" s="1">
        <v>45241</v>
      </c>
      <c r="C3823">
        <v>91722</v>
      </c>
      <c r="D3823" t="s">
        <v>48</v>
      </c>
      <c r="E3823" t="s">
        <v>139</v>
      </c>
      <c r="F3823" t="s">
        <v>140</v>
      </c>
      <c r="G3823">
        <v>5</v>
      </c>
      <c r="H3823">
        <v>5.59</v>
      </c>
      <c r="I3823">
        <v>0.3</v>
      </c>
      <c r="J3823">
        <v>19.559999999999999</v>
      </c>
      <c r="K3823" t="s">
        <v>16</v>
      </c>
      <c r="L3823" t="s">
        <v>17</v>
      </c>
      <c r="M3823" t="s">
        <v>33</v>
      </c>
    </row>
    <row r="3824" spans="1:13" x14ac:dyDescent="0.2">
      <c r="A3824">
        <v>738057</v>
      </c>
      <c r="B3824" s="2">
        <v>44758</v>
      </c>
      <c r="C3824">
        <v>59679</v>
      </c>
      <c r="D3824" t="s">
        <v>48</v>
      </c>
      <c r="E3824" t="s">
        <v>139</v>
      </c>
      <c r="F3824" t="s">
        <v>140</v>
      </c>
      <c r="G3824">
        <v>1</v>
      </c>
      <c r="H3824">
        <v>5.99</v>
      </c>
      <c r="I3824">
        <v>0.25</v>
      </c>
      <c r="J3824">
        <v>4.49</v>
      </c>
      <c r="K3824" t="s">
        <v>16</v>
      </c>
      <c r="L3824" t="s">
        <v>37</v>
      </c>
      <c r="M3824" t="s">
        <v>47</v>
      </c>
    </row>
    <row r="3825" spans="1:13" x14ac:dyDescent="0.2">
      <c r="A3825">
        <v>738081</v>
      </c>
      <c r="B3825" s="1">
        <v>45562</v>
      </c>
      <c r="C3825">
        <v>75726</v>
      </c>
      <c r="D3825" t="s">
        <v>63</v>
      </c>
      <c r="E3825" t="s">
        <v>68</v>
      </c>
      <c r="F3825" t="s">
        <v>69</v>
      </c>
      <c r="G3825">
        <v>1</v>
      </c>
      <c r="H3825">
        <v>24.99</v>
      </c>
      <c r="J3825">
        <v>24.99</v>
      </c>
      <c r="K3825" t="s">
        <v>36</v>
      </c>
      <c r="L3825" t="s">
        <v>17</v>
      </c>
      <c r="M3825" t="s">
        <v>33</v>
      </c>
    </row>
    <row r="3826" spans="1:13" x14ac:dyDescent="0.2">
      <c r="A3826">
        <v>738318</v>
      </c>
      <c r="B3826" s="1">
        <v>45357</v>
      </c>
      <c r="D3826" t="s">
        <v>29</v>
      </c>
      <c r="E3826" t="s">
        <v>88</v>
      </c>
      <c r="F3826" t="s">
        <v>89</v>
      </c>
      <c r="G3826">
        <v>2</v>
      </c>
      <c r="H3826">
        <v>49.99</v>
      </c>
      <c r="J3826">
        <v>99.98</v>
      </c>
      <c r="K3826" t="s">
        <v>66</v>
      </c>
      <c r="L3826" t="s">
        <v>17</v>
      </c>
      <c r="M3826" t="s">
        <v>24</v>
      </c>
    </row>
    <row r="3827" spans="1:13" x14ac:dyDescent="0.2">
      <c r="A3827">
        <v>738684</v>
      </c>
      <c r="B3827" s="1">
        <v>44764</v>
      </c>
      <c r="C3827">
        <v>31269</v>
      </c>
      <c r="D3827" t="s">
        <v>13</v>
      </c>
      <c r="E3827" t="s">
        <v>159</v>
      </c>
      <c r="F3827" t="s">
        <v>160</v>
      </c>
      <c r="G3827">
        <v>3</v>
      </c>
      <c r="H3827">
        <v>56.99</v>
      </c>
      <c r="I3827">
        <v>0.05</v>
      </c>
      <c r="J3827">
        <v>162.41999999999999</v>
      </c>
      <c r="K3827" t="s">
        <v>36</v>
      </c>
      <c r="L3827" t="s">
        <v>37</v>
      </c>
      <c r="M3827" t="s">
        <v>81</v>
      </c>
    </row>
    <row r="3828" spans="1:13" x14ac:dyDescent="0.2">
      <c r="A3828">
        <v>738715</v>
      </c>
      <c r="B3828" s="2">
        <v>45047</v>
      </c>
      <c r="C3828">
        <v>59828</v>
      </c>
      <c r="D3828" t="s">
        <v>85</v>
      </c>
      <c r="E3828" t="s">
        <v>153</v>
      </c>
      <c r="F3828" t="s">
        <v>154</v>
      </c>
      <c r="G3828">
        <v>5</v>
      </c>
      <c r="H3828">
        <v>23.99</v>
      </c>
      <c r="I3828">
        <v>0.2</v>
      </c>
      <c r="J3828">
        <v>95.96</v>
      </c>
      <c r="K3828" t="s">
        <v>36</v>
      </c>
      <c r="L3828" t="s">
        <v>17</v>
      </c>
      <c r="M3828" t="s">
        <v>76</v>
      </c>
    </row>
    <row r="3829" spans="1:13" x14ac:dyDescent="0.2">
      <c r="A3829">
        <v>739024</v>
      </c>
      <c r="B3829" s="1">
        <v>45171</v>
      </c>
      <c r="C3829">
        <v>55416</v>
      </c>
      <c r="D3829" t="s">
        <v>13</v>
      </c>
      <c r="E3829" t="s">
        <v>159</v>
      </c>
      <c r="F3829" t="s">
        <v>160</v>
      </c>
      <c r="G3829">
        <v>3</v>
      </c>
      <c r="H3829">
        <v>53.99</v>
      </c>
      <c r="I3829">
        <v>0.1</v>
      </c>
      <c r="J3829">
        <v>145.77000000000001</v>
      </c>
      <c r="K3829" t="s">
        <v>16</v>
      </c>
      <c r="L3829" t="s">
        <v>23</v>
      </c>
      <c r="M3829" t="s">
        <v>28</v>
      </c>
    </row>
    <row r="3830" spans="1:13" x14ac:dyDescent="0.2">
      <c r="A3830">
        <v>739077</v>
      </c>
      <c r="B3830" s="1">
        <v>45493</v>
      </c>
      <c r="C3830">
        <v>61415</v>
      </c>
      <c r="D3830" t="s">
        <v>63</v>
      </c>
      <c r="E3830" t="s">
        <v>64</v>
      </c>
      <c r="F3830" t="s">
        <v>65</v>
      </c>
      <c r="G3830">
        <v>1</v>
      </c>
      <c r="H3830">
        <v>4.99</v>
      </c>
      <c r="J3830">
        <v>4.99</v>
      </c>
      <c r="K3830" t="s">
        <v>16</v>
      </c>
      <c r="L3830" t="s">
        <v>17</v>
      </c>
      <c r="M3830" t="s">
        <v>18</v>
      </c>
    </row>
    <row r="3831" spans="1:13" x14ac:dyDescent="0.2">
      <c r="A3831">
        <v>739206</v>
      </c>
      <c r="B3831" s="1">
        <v>44821</v>
      </c>
      <c r="D3831" t="s">
        <v>85</v>
      </c>
      <c r="E3831" t="s">
        <v>157</v>
      </c>
      <c r="F3831" t="s">
        <v>158</v>
      </c>
      <c r="G3831">
        <v>1</v>
      </c>
      <c r="H3831">
        <v>10.119999999999999</v>
      </c>
      <c r="I3831">
        <v>0.25</v>
      </c>
      <c r="J3831">
        <v>7.59</v>
      </c>
      <c r="K3831" t="s">
        <v>16</v>
      </c>
      <c r="L3831" t="s">
        <v>37</v>
      </c>
      <c r="M3831" t="s">
        <v>67</v>
      </c>
    </row>
    <row r="3832" spans="1:13" x14ac:dyDescent="0.2">
      <c r="A3832">
        <v>739258</v>
      </c>
      <c r="B3832" s="1">
        <v>45146</v>
      </c>
      <c r="C3832">
        <v>38435</v>
      </c>
      <c r="D3832" t="s">
        <v>25</v>
      </c>
      <c r="E3832" t="s">
        <v>70</v>
      </c>
      <c r="F3832" t="s">
        <v>71</v>
      </c>
      <c r="G3832">
        <v>3</v>
      </c>
      <c r="H3832">
        <v>89.99</v>
      </c>
      <c r="J3832">
        <v>269.97000000000003</v>
      </c>
      <c r="K3832" t="s">
        <v>36</v>
      </c>
      <c r="L3832" t="s">
        <v>23</v>
      </c>
      <c r="M3832" t="s">
        <v>81</v>
      </c>
    </row>
    <row r="3833" spans="1:13" x14ac:dyDescent="0.2">
      <c r="A3833">
        <v>739577</v>
      </c>
      <c r="B3833" s="1">
        <v>45556</v>
      </c>
      <c r="C3833">
        <v>61443</v>
      </c>
      <c r="D3833" t="s">
        <v>85</v>
      </c>
      <c r="E3833" t="s">
        <v>86</v>
      </c>
      <c r="F3833" t="s">
        <v>87</v>
      </c>
      <c r="G3833">
        <v>2</v>
      </c>
      <c r="H3833">
        <v>11.04</v>
      </c>
      <c r="I3833">
        <v>0.15</v>
      </c>
      <c r="J3833">
        <v>18.77</v>
      </c>
      <c r="K3833" t="s">
        <v>36</v>
      </c>
      <c r="L3833" t="s">
        <v>17</v>
      </c>
      <c r="M3833" t="s">
        <v>47</v>
      </c>
    </row>
    <row r="3834" spans="1:13" x14ac:dyDescent="0.2">
      <c r="A3834">
        <v>739861</v>
      </c>
      <c r="B3834" s="1">
        <v>45398</v>
      </c>
      <c r="C3834">
        <v>92671</v>
      </c>
      <c r="D3834" t="s">
        <v>48</v>
      </c>
      <c r="E3834" t="s">
        <v>143</v>
      </c>
      <c r="F3834" t="s">
        <v>144</v>
      </c>
      <c r="G3834">
        <v>2</v>
      </c>
      <c r="H3834">
        <v>14.99</v>
      </c>
      <c r="J3834">
        <v>29.98</v>
      </c>
      <c r="K3834" t="s">
        <v>95</v>
      </c>
      <c r="L3834" t="s">
        <v>17</v>
      </c>
      <c r="M3834" t="s">
        <v>67</v>
      </c>
    </row>
    <row r="3835" spans="1:13" x14ac:dyDescent="0.2">
      <c r="A3835">
        <v>739864</v>
      </c>
      <c r="B3835" s="1">
        <v>45550</v>
      </c>
      <c r="C3835">
        <v>28825</v>
      </c>
      <c r="D3835" t="s">
        <v>44</v>
      </c>
      <c r="E3835" t="s">
        <v>107</v>
      </c>
      <c r="F3835" t="s">
        <v>108</v>
      </c>
      <c r="G3835">
        <v>5</v>
      </c>
      <c r="H3835">
        <v>2.62</v>
      </c>
      <c r="I3835">
        <v>0.25</v>
      </c>
      <c r="J3835">
        <v>9.83</v>
      </c>
      <c r="K3835" t="s">
        <v>16</v>
      </c>
      <c r="L3835" t="s">
        <v>37</v>
      </c>
      <c r="M3835" t="s">
        <v>24</v>
      </c>
    </row>
    <row r="3836" spans="1:13" x14ac:dyDescent="0.2">
      <c r="A3836">
        <v>740195</v>
      </c>
      <c r="B3836" s="1">
        <v>45405</v>
      </c>
      <c r="C3836">
        <v>90222</v>
      </c>
      <c r="D3836" t="s">
        <v>29</v>
      </c>
      <c r="E3836" t="s">
        <v>175</v>
      </c>
      <c r="F3836" t="s">
        <v>176</v>
      </c>
      <c r="G3836">
        <v>5</v>
      </c>
      <c r="H3836">
        <v>11.39</v>
      </c>
      <c r="I3836">
        <v>0.05</v>
      </c>
      <c r="J3836">
        <v>54.1</v>
      </c>
      <c r="K3836" t="s">
        <v>22</v>
      </c>
      <c r="L3836" t="s">
        <v>17</v>
      </c>
      <c r="M3836" t="s">
        <v>123</v>
      </c>
    </row>
    <row r="3837" spans="1:13" x14ac:dyDescent="0.2">
      <c r="A3837">
        <v>740318</v>
      </c>
      <c r="B3837" s="2">
        <v>45656</v>
      </c>
      <c r="C3837">
        <v>43265</v>
      </c>
      <c r="D3837" t="s">
        <v>85</v>
      </c>
      <c r="E3837" t="s">
        <v>129</v>
      </c>
      <c r="F3837" t="s">
        <v>130</v>
      </c>
      <c r="G3837">
        <v>3</v>
      </c>
      <c r="H3837">
        <v>6.29</v>
      </c>
      <c r="I3837">
        <v>0.3</v>
      </c>
      <c r="J3837">
        <v>13.21</v>
      </c>
      <c r="K3837" t="s">
        <v>22</v>
      </c>
      <c r="L3837" t="s">
        <v>17</v>
      </c>
      <c r="M3837" t="s">
        <v>57</v>
      </c>
    </row>
    <row r="3838" spans="1:13" x14ac:dyDescent="0.2">
      <c r="A3838">
        <v>740527</v>
      </c>
      <c r="B3838" s="1">
        <v>45185</v>
      </c>
      <c r="C3838">
        <v>27938</v>
      </c>
      <c r="D3838" t="s">
        <v>13</v>
      </c>
      <c r="E3838" t="s">
        <v>159</v>
      </c>
      <c r="F3838" t="s">
        <v>160</v>
      </c>
      <c r="G3838">
        <v>5</v>
      </c>
      <c r="H3838">
        <v>50.99</v>
      </c>
      <c r="I3838">
        <v>0.15</v>
      </c>
      <c r="J3838">
        <v>216.71</v>
      </c>
      <c r="K3838" t="s">
        <v>36</v>
      </c>
      <c r="L3838" t="s">
        <v>23</v>
      </c>
      <c r="M3838" t="s">
        <v>117</v>
      </c>
    </row>
    <row r="3839" spans="1:13" x14ac:dyDescent="0.2">
      <c r="A3839">
        <v>740626</v>
      </c>
      <c r="B3839" s="2">
        <v>45003</v>
      </c>
      <c r="C3839">
        <v>89466</v>
      </c>
      <c r="D3839" t="s">
        <v>25</v>
      </c>
      <c r="E3839" t="s">
        <v>113</v>
      </c>
      <c r="F3839" t="s">
        <v>114</v>
      </c>
      <c r="G3839">
        <v>2</v>
      </c>
      <c r="H3839">
        <v>89.99</v>
      </c>
      <c r="I3839">
        <v>0.25</v>
      </c>
      <c r="J3839">
        <v>134.97999999999999</v>
      </c>
      <c r="K3839" t="s">
        <v>16</v>
      </c>
      <c r="L3839" t="s">
        <v>17</v>
      </c>
      <c r="M3839" t="s">
        <v>24</v>
      </c>
    </row>
    <row r="3840" spans="1:13" x14ac:dyDescent="0.2">
      <c r="A3840">
        <v>740650</v>
      </c>
      <c r="B3840" s="1">
        <v>44720</v>
      </c>
      <c r="C3840">
        <v>91493</v>
      </c>
      <c r="D3840" t="s">
        <v>97</v>
      </c>
      <c r="E3840" t="s">
        <v>98</v>
      </c>
      <c r="F3840" t="s">
        <v>99</v>
      </c>
      <c r="G3840">
        <v>4</v>
      </c>
      <c r="H3840">
        <v>27.99</v>
      </c>
      <c r="J3840">
        <v>111.96</v>
      </c>
      <c r="K3840" t="s">
        <v>36</v>
      </c>
      <c r="L3840" t="s">
        <v>17</v>
      </c>
      <c r="M3840" t="s">
        <v>90</v>
      </c>
    </row>
    <row r="3841" spans="1:13" x14ac:dyDescent="0.2">
      <c r="A3841">
        <v>740683</v>
      </c>
      <c r="B3841" s="1">
        <v>45191</v>
      </c>
      <c r="C3841">
        <v>21797</v>
      </c>
      <c r="D3841" t="s">
        <v>97</v>
      </c>
      <c r="E3841" t="s">
        <v>151</v>
      </c>
      <c r="F3841" t="s">
        <v>152</v>
      </c>
      <c r="G3841">
        <v>1</v>
      </c>
      <c r="H3841">
        <v>34.99</v>
      </c>
      <c r="J3841">
        <v>34.99</v>
      </c>
      <c r="K3841" t="s">
        <v>36</v>
      </c>
      <c r="L3841" t="s">
        <v>17</v>
      </c>
      <c r="M3841" t="s">
        <v>103</v>
      </c>
    </row>
    <row r="3842" spans="1:13" x14ac:dyDescent="0.2">
      <c r="A3842">
        <v>740714</v>
      </c>
      <c r="B3842" s="1">
        <v>44750</v>
      </c>
      <c r="C3842">
        <v>44303</v>
      </c>
      <c r="D3842" t="s">
        <v>19</v>
      </c>
      <c r="E3842" t="s">
        <v>197</v>
      </c>
      <c r="F3842" t="s">
        <v>198</v>
      </c>
      <c r="G3842">
        <v>2</v>
      </c>
      <c r="H3842">
        <v>14.99</v>
      </c>
      <c r="J3842">
        <v>29.98</v>
      </c>
      <c r="K3842" t="s">
        <v>16</v>
      </c>
      <c r="L3842" t="s">
        <v>17</v>
      </c>
      <c r="M3842" t="s">
        <v>28</v>
      </c>
    </row>
    <row r="3843" spans="1:13" x14ac:dyDescent="0.2">
      <c r="A3843">
        <v>740734</v>
      </c>
      <c r="B3843" s="1">
        <v>45581</v>
      </c>
      <c r="C3843">
        <v>40660</v>
      </c>
      <c r="D3843" t="s">
        <v>13</v>
      </c>
      <c r="E3843" t="s">
        <v>159</v>
      </c>
      <c r="F3843" t="s">
        <v>160</v>
      </c>
      <c r="G3843">
        <v>2</v>
      </c>
      <c r="H3843">
        <v>53.99</v>
      </c>
      <c r="I3843">
        <v>0.1</v>
      </c>
      <c r="J3843">
        <v>97.18</v>
      </c>
      <c r="K3843" t="s">
        <v>16</v>
      </c>
      <c r="L3843" t="s">
        <v>17</v>
      </c>
      <c r="M3843" t="s">
        <v>123</v>
      </c>
    </row>
    <row r="3844" spans="1:13" x14ac:dyDescent="0.2">
      <c r="A3844">
        <v>740755</v>
      </c>
      <c r="B3844" s="2">
        <v>44643</v>
      </c>
      <c r="C3844">
        <v>13446</v>
      </c>
      <c r="D3844" t="s">
        <v>48</v>
      </c>
      <c r="E3844" t="s">
        <v>179</v>
      </c>
      <c r="F3844" t="s">
        <v>180</v>
      </c>
      <c r="G3844">
        <v>2</v>
      </c>
      <c r="H3844">
        <v>8.39</v>
      </c>
      <c r="I3844">
        <v>0.3</v>
      </c>
      <c r="J3844">
        <v>11.75</v>
      </c>
      <c r="K3844" t="s">
        <v>16</v>
      </c>
      <c r="L3844" t="s">
        <v>17</v>
      </c>
      <c r="M3844" t="s">
        <v>90</v>
      </c>
    </row>
    <row r="3845" spans="1:13" x14ac:dyDescent="0.2">
      <c r="A3845">
        <v>740788</v>
      </c>
      <c r="B3845" s="1">
        <v>44892</v>
      </c>
      <c r="C3845">
        <v>59275</v>
      </c>
      <c r="D3845" t="s">
        <v>63</v>
      </c>
      <c r="E3845" t="s">
        <v>64</v>
      </c>
      <c r="F3845" t="s">
        <v>65</v>
      </c>
      <c r="G3845">
        <v>1</v>
      </c>
      <c r="H3845">
        <v>4.99</v>
      </c>
      <c r="J3845">
        <v>4.99</v>
      </c>
      <c r="K3845" t="s">
        <v>36</v>
      </c>
      <c r="L3845" t="s">
        <v>17</v>
      </c>
      <c r="M3845" t="s">
        <v>62</v>
      </c>
    </row>
    <row r="3846" spans="1:13" x14ac:dyDescent="0.2">
      <c r="A3846">
        <v>741013</v>
      </c>
      <c r="B3846" s="1">
        <v>45390</v>
      </c>
      <c r="D3846" t="s">
        <v>63</v>
      </c>
      <c r="E3846" t="s">
        <v>64</v>
      </c>
      <c r="F3846" t="s">
        <v>65</v>
      </c>
      <c r="G3846">
        <v>1</v>
      </c>
      <c r="H3846">
        <v>3.99</v>
      </c>
      <c r="I3846">
        <v>0.2</v>
      </c>
      <c r="J3846">
        <v>3.19</v>
      </c>
      <c r="K3846" t="s">
        <v>95</v>
      </c>
      <c r="L3846" t="s">
        <v>37</v>
      </c>
      <c r="M3846" t="s">
        <v>76</v>
      </c>
    </row>
    <row r="3847" spans="1:13" x14ac:dyDescent="0.2">
      <c r="A3847">
        <v>741361</v>
      </c>
      <c r="B3847" s="1">
        <v>44846</v>
      </c>
      <c r="C3847">
        <v>96560</v>
      </c>
      <c r="D3847" t="s">
        <v>13</v>
      </c>
      <c r="E3847" t="s">
        <v>159</v>
      </c>
      <c r="F3847" t="s">
        <v>160</v>
      </c>
      <c r="G3847">
        <v>3</v>
      </c>
      <c r="H3847">
        <v>59.99</v>
      </c>
      <c r="J3847">
        <v>179.97</v>
      </c>
      <c r="K3847" t="s">
        <v>36</v>
      </c>
      <c r="L3847" t="s">
        <v>17</v>
      </c>
      <c r="M3847" t="s">
        <v>90</v>
      </c>
    </row>
    <row r="3848" spans="1:13" x14ac:dyDescent="0.2">
      <c r="A3848">
        <v>741458</v>
      </c>
      <c r="B3848" s="1">
        <v>44869</v>
      </c>
      <c r="C3848">
        <v>57679</v>
      </c>
      <c r="D3848" t="s">
        <v>97</v>
      </c>
      <c r="E3848" t="s">
        <v>141</v>
      </c>
      <c r="F3848" t="s">
        <v>142</v>
      </c>
      <c r="G3848">
        <v>5</v>
      </c>
      <c r="H3848">
        <v>21.84</v>
      </c>
      <c r="I3848">
        <v>0.05</v>
      </c>
      <c r="J3848">
        <v>103.74</v>
      </c>
      <c r="K3848" t="s">
        <v>36</v>
      </c>
      <c r="L3848" t="s">
        <v>37</v>
      </c>
      <c r="M3848" t="s">
        <v>96</v>
      </c>
    </row>
    <row r="3849" spans="1:13" x14ac:dyDescent="0.2">
      <c r="A3849">
        <v>741578</v>
      </c>
      <c r="B3849" s="1">
        <v>45026</v>
      </c>
      <c r="C3849">
        <v>12830</v>
      </c>
      <c r="D3849" t="s">
        <v>25</v>
      </c>
      <c r="E3849" t="s">
        <v>70</v>
      </c>
      <c r="F3849" t="s">
        <v>71</v>
      </c>
      <c r="G3849">
        <v>5</v>
      </c>
      <c r="H3849">
        <v>71.989999999999995</v>
      </c>
      <c r="I3849">
        <v>0.2</v>
      </c>
      <c r="J3849">
        <v>287.95999999999998</v>
      </c>
      <c r="K3849" t="s">
        <v>36</v>
      </c>
      <c r="L3849" t="s">
        <v>17</v>
      </c>
      <c r="M3849" t="s">
        <v>81</v>
      </c>
    </row>
    <row r="3850" spans="1:13" x14ac:dyDescent="0.2">
      <c r="A3850">
        <v>741586</v>
      </c>
      <c r="B3850" s="1">
        <v>44575</v>
      </c>
      <c r="C3850">
        <v>55610</v>
      </c>
      <c r="D3850" t="s">
        <v>13</v>
      </c>
      <c r="E3850" t="s">
        <v>55</v>
      </c>
      <c r="F3850" t="s">
        <v>56</v>
      </c>
      <c r="G3850">
        <v>1</v>
      </c>
      <c r="H3850">
        <v>329.99</v>
      </c>
      <c r="J3850">
        <v>329.99</v>
      </c>
      <c r="K3850" t="s">
        <v>22</v>
      </c>
      <c r="L3850" t="s">
        <v>23</v>
      </c>
      <c r="M3850" t="s">
        <v>76</v>
      </c>
    </row>
    <row r="3851" spans="1:13" x14ac:dyDescent="0.2">
      <c r="A3851">
        <v>741667</v>
      </c>
      <c r="B3851" s="1">
        <v>45124</v>
      </c>
      <c r="C3851">
        <v>92457</v>
      </c>
      <c r="D3851" t="s">
        <v>25</v>
      </c>
      <c r="E3851" t="s">
        <v>26</v>
      </c>
      <c r="F3851" t="s">
        <v>27</v>
      </c>
      <c r="G3851">
        <v>1</v>
      </c>
      <c r="H3851">
        <v>26.24</v>
      </c>
      <c r="I3851">
        <v>0.25</v>
      </c>
      <c r="J3851">
        <v>19.68</v>
      </c>
      <c r="K3851" t="s">
        <v>16</v>
      </c>
      <c r="L3851" t="s">
        <v>17</v>
      </c>
      <c r="M3851" t="s">
        <v>62</v>
      </c>
    </row>
    <row r="3852" spans="1:13" x14ac:dyDescent="0.2">
      <c r="A3852">
        <v>741782</v>
      </c>
      <c r="B3852" s="1">
        <v>44980</v>
      </c>
      <c r="C3852">
        <v>91858</v>
      </c>
      <c r="D3852" t="s">
        <v>82</v>
      </c>
      <c r="E3852" t="s">
        <v>168</v>
      </c>
      <c r="F3852" t="s">
        <v>169</v>
      </c>
      <c r="G3852">
        <v>5</v>
      </c>
      <c r="H3852">
        <v>8.5399999999999991</v>
      </c>
      <c r="I3852">
        <v>0.05</v>
      </c>
      <c r="J3852">
        <v>40.56</v>
      </c>
      <c r="K3852" t="s">
        <v>16</v>
      </c>
      <c r="L3852" t="s">
        <v>37</v>
      </c>
      <c r="M3852" t="s">
        <v>67</v>
      </c>
    </row>
    <row r="3853" spans="1:13" x14ac:dyDescent="0.2">
      <c r="A3853">
        <v>741800</v>
      </c>
      <c r="B3853" s="1">
        <v>45295</v>
      </c>
      <c r="C3853">
        <v>15736</v>
      </c>
      <c r="D3853" t="s">
        <v>44</v>
      </c>
      <c r="E3853" t="s">
        <v>162</v>
      </c>
      <c r="F3853" t="s">
        <v>163</v>
      </c>
      <c r="G3853">
        <v>2</v>
      </c>
      <c r="H3853">
        <v>7.19</v>
      </c>
      <c r="I3853">
        <v>0.1</v>
      </c>
      <c r="J3853">
        <v>12.94</v>
      </c>
      <c r="K3853" t="s">
        <v>16</v>
      </c>
      <c r="L3853" t="s">
        <v>37</v>
      </c>
      <c r="M3853" t="s">
        <v>102</v>
      </c>
    </row>
    <row r="3854" spans="1:13" x14ac:dyDescent="0.2">
      <c r="A3854">
        <v>741824</v>
      </c>
      <c r="B3854" s="1">
        <v>44909</v>
      </c>
      <c r="C3854">
        <v>35594</v>
      </c>
      <c r="D3854" t="s">
        <v>13</v>
      </c>
      <c r="E3854" t="s">
        <v>34</v>
      </c>
      <c r="F3854" t="s">
        <v>35</v>
      </c>
      <c r="G3854">
        <v>3</v>
      </c>
      <c r="H3854">
        <v>31.49</v>
      </c>
      <c r="I3854">
        <v>0.1</v>
      </c>
      <c r="J3854">
        <v>85.02</v>
      </c>
      <c r="K3854" t="s">
        <v>16</v>
      </c>
      <c r="L3854" t="s">
        <v>17</v>
      </c>
      <c r="M3854" t="s">
        <v>54</v>
      </c>
    </row>
    <row r="3855" spans="1:13" x14ac:dyDescent="0.2">
      <c r="A3855">
        <v>741977</v>
      </c>
      <c r="B3855" s="1">
        <v>45558</v>
      </c>
      <c r="C3855">
        <v>23215</v>
      </c>
      <c r="D3855" t="s">
        <v>29</v>
      </c>
      <c r="E3855" t="s">
        <v>175</v>
      </c>
      <c r="F3855" t="s">
        <v>176</v>
      </c>
      <c r="G3855">
        <v>2</v>
      </c>
      <c r="H3855">
        <v>10.19</v>
      </c>
      <c r="I3855">
        <v>0.15</v>
      </c>
      <c r="J3855">
        <v>17.32</v>
      </c>
      <c r="K3855" t="s">
        <v>95</v>
      </c>
      <c r="L3855" t="s">
        <v>17</v>
      </c>
      <c r="M3855" t="s">
        <v>102</v>
      </c>
    </row>
    <row r="3856" spans="1:13" x14ac:dyDescent="0.2">
      <c r="A3856">
        <v>742039</v>
      </c>
      <c r="B3856" s="1">
        <v>44738</v>
      </c>
      <c r="C3856">
        <v>33022</v>
      </c>
      <c r="D3856" t="s">
        <v>85</v>
      </c>
      <c r="E3856" t="s">
        <v>129</v>
      </c>
      <c r="F3856" t="s">
        <v>130</v>
      </c>
      <c r="G3856">
        <v>1</v>
      </c>
      <c r="H3856">
        <v>7.19</v>
      </c>
      <c r="I3856">
        <v>0.2</v>
      </c>
      <c r="J3856">
        <v>5.75</v>
      </c>
      <c r="K3856" t="s">
        <v>22</v>
      </c>
      <c r="L3856" t="s">
        <v>17</v>
      </c>
      <c r="M3856" t="s">
        <v>24</v>
      </c>
    </row>
    <row r="3857" spans="1:13" x14ac:dyDescent="0.2">
      <c r="A3857">
        <v>742168</v>
      </c>
      <c r="B3857" s="2">
        <v>45268</v>
      </c>
      <c r="C3857">
        <v>40531</v>
      </c>
      <c r="D3857" t="s">
        <v>97</v>
      </c>
      <c r="E3857" t="s">
        <v>165</v>
      </c>
      <c r="F3857" t="s">
        <v>166</v>
      </c>
      <c r="G3857">
        <v>2</v>
      </c>
      <c r="H3857">
        <v>89.99</v>
      </c>
      <c r="J3857">
        <v>179.98</v>
      </c>
      <c r="K3857" t="s">
        <v>16</v>
      </c>
      <c r="L3857" t="s">
        <v>17</v>
      </c>
      <c r="M3857" t="s">
        <v>102</v>
      </c>
    </row>
    <row r="3858" spans="1:13" x14ac:dyDescent="0.2">
      <c r="A3858">
        <v>742216</v>
      </c>
      <c r="B3858" s="1">
        <v>44809</v>
      </c>
      <c r="C3858">
        <v>89603</v>
      </c>
      <c r="D3858" t="s">
        <v>44</v>
      </c>
      <c r="E3858" t="s">
        <v>190</v>
      </c>
      <c r="F3858" t="s">
        <v>191</v>
      </c>
      <c r="G3858">
        <v>4</v>
      </c>
      <c r="H3858">
        <v>4.08</v>
      </c>
      <c r="I3858">
        <v>0.05</v>
      </c>
      <c r="J3858">
        <v>15.5</v>
      </c>
      <c r="K3858" t="s">
        <v>22</v>
      </c>
      <c r="L3858" t="s">
        <v>17</v>
      </c>
      <c r="M3858" t="s">
        <v>28</v>
      </c>
    </row>
    <row r="3859" spans="1:13" x14ac:dyDescent="0.2">
      <c r="A3859">
        <v>742247</v>
      </c>
      <c r="B3859" s="1">
        <v>44714</v>
      </c>
      <c r="C3859">
        <v>63676</v>
      </c>
      <c r="D3859" t="s">
        <v>48</v>
      </c>
      <c r="E3859" t="s">
        <v>118</v>
      </c>
      <c r="F3859" t="s">
        <v>119</v>
      </c>
      <c r="G3859">
        <v>3</v>
      </c>
      <c r="H3859">
        <v>3.49</v>
      </c>
      <c r="I3859">
        <v>0.3</v>
      </c>
      <c r="J3859">
        <v>7.33</v>
      </c>
      <c r="K3859" t="s">
        <v>16</v>
      </c>
      <c r="L3859" t="s">
        <v>17</v>
      </c>
      <c r="M3859" t="s">
        <v>76</v>
      </c>
    </row>
    <row r="3860" spans="1:13" x14ac:dyDescent="0.2">
      <c r="A3860">
        <v>742250</v>
      </c>
      <c r="B3860" s="2">
        <v>45031</v>
      </c>
      <c r="C3860">
        <v>47827</v>
      </c>
      <c r="D3860" t="s">
        <v>13</v>
      </c>
      <c r="E3860" t="s">
        <v>186</v>
      </c>
      <c r="F3860" t="s">
        <v>187</v>
      </c>
      <c r="G3860">
        <v>3</v>
      </c>
      <c r="H3860">
        <v>34.99</v>
      </c>
      <c r="I3860">
        <v>0.3</v>
      </c>
      <c r="J3860">
        <v>73.48</v>
      </c>
      <c r="K3860" t="s">
        <v>16</v>
      </c>
      <c r="L3860" t="s">
        <v>37</v>
      </c>
      <c r="M3860" t="s">
        <v>43</v>
      </c>
    </row>
    <row r="3861" spans="1:13" x14ac:dyDescent="0.2">
      <c r="A3861">
        <v>742327</v>
      </c>
      <c r="B3861" s="1">
        <v>44850</v>
      </c>
      <c r="C3861">
        <v>56372</v>
      </c>
      <c r="D3861" t="s">
        <v>85</v>
      </c>
      <c r="E3861" t="s">
        <v>157</v>
      </c>
      <c r="F3861" t="s">
        <v>158</v>
      </c>
      <c r="G3861">
        <v>3</v>
      </c>
      <c r="H3861">
        <v>11.47</v>
      </c>
      <c r="I3861">
        <v>0.15</v>
      </c>
      <c r="J3861">
        <v>29.25</v>
      </c>
      <c r="K3861" t="s">
        <v>36</v>
      </c>
      <c r="L3861" t="s">
        <v>37</v>
      </c>
      <c r="M3861" t="s">
        <v>102</v>
      </c>
    </row>
    <row r="3862" spans="1:13" x14ac:dyDescent="0.2">
      <c r="A3862">
        <v>742349</v>
      </c>
      <c r="B3862" s="1">
        <v>45040</v>
      </c>
      <c r="C3862">
        <v>72406</v>
      </c>
      <c r="D3862" t="s">
        <v>82</v>
      </c>
      <c r="E3862" t="s">
        <v>155</v>
      </c>
      <c r="F3862" t="s">
        <v>156</v>
      </c>
      <c r="G3862">
        <v>2</v>
      </c>
      <c r="H3862">
        <v>14.99</v>
      </c>
      <c r="I3862">
        <v>0.25</v>
      </c>
      <c r="J3862">
        <v>22.48</v>
      </c>
      <c r="K3862" t="s">
        <v>95</v>
      </c>
      <c r="L3862" t="s">
        <v>17</v>
      </c>
      <c r="M3862" t="s">
        <v>43</v>
      </c>
    </row>
    <row r="3863" spans="1:13" x14ac:dyDescent="0.2">
      <c r="A3863">
        <v>742382</v>
      </c>
      <c r="B3863" s="2">
        <v>45589</v>
      </c>
      <c r="C3863">
        <v>68480</v>
      </c>
      <c r="D3863" t="s">
        <v>29</v>
      </c>
      <c r="E3863" t="s">
        <v>72</v>
      </c>
      <c r="F3863" t="s">
        <v>73</v>
      </c>
      <c r="G3863">
        <v>1</v>
      </c>
      <c r="H3863">
        <v>39.99</v>
      </c>
      <c r="J3863">
        <v>39.99</v>
      </c>
      <c r="K3863" t="s">
        <v>22</v>
      </c>
      <c r="L3863" t="s">
        <v>17</v>
      </c>
      <c r="M3863" t="s">
        <v>57</v>
      </c>
    </row>
    <row r="3864" spans="1:13" x14ac:dyDescent="0.2">
      <c r="A3864">
        <v>742417</v>
      </c>
      <c r="B3864" s="1">
        <v>45342</v>
      </c>
      <c r="C3864">
        <v>97738</v>
      </c>
      <c r="D3864" t="s">
        <v>44</v>
      </c>
      <c r="E3864" t="s">
        <v>74</v>
      </c>
      <c r="F3864" t="s">
        <v>75</v>
      </c>
      <c r="G3864">
        <v>3</v>
      </c>
      <c r="H3864">
        <v>2.99</v>
      </c>
      <c r="J3864">
        <v>8.9700000000000006</v>
      </c>
      <c r="K3864" t="s">
        <v>16</v>
      </c>
      <c r="L3864" t="s">
        <v>37</v>
      </c>
      <c r="M3864" t="s">
        <v>123</v>
      </c>
    </row>
    <row r="3865" spans="1:13" x14ac:dyDescent="0.2">
      <c r="A3865">
        <v>742482</v>
      </c>
      <c r="B3865" s="1">
        <v>45394</v>
      </c>
      <c r="C3865">
        <v>36926</v>
      </c>
      <c r="D3865" t="s">
        <v>174</v>
      </c>
      <c r="E3865" t="s">
        <v>86</v>
      </c>
      <c r="F3865" t="s">
        <v>87</v>
      </c>
      <c r="G3865">
        <v>5</v>
      </c>
      <c r="H3865">
        <v>9.74</v>
      </c>
      <c r="I3865">
        <v>0.25</v>
      </c>
      <c r="J3865">
        <v>36.53</v>
      </c>
      <c r="K3865" t="s">
        <v>36</v>
      </c>
      <c r="L3865" t="s">
        <v>17</v>
      </c>
    </row>
    <row r="3866" spans="1:13" x14ac:dyDescent="0.2">
      <c r="A3866">
        <v>742513</v>
      </c>
      <c r="B3866" s="2">
        <v>44882</v>
      </c>
      <c r="C3866">
        <v>89118</v>
      </c>
      <c r="D3866" t="s">
        <v>82</v>
      </c>
      <c r="E3866" t="s">
        <v>83</v>
      </c>
      <c r="F3866" t="s">
        <v>84</v>
      </c>
      <c r="G3866">
        <v>2</v>
      </c>
      <c r="H3866">
        <v>14.44</v>
      </c>
      <c r="I3866">
        <v>0.15</v>
      </c>
      <c r="J3866">
        <v>24.55</v>
      </c>
      <c r="K3866" t="s">
        <v>16</v>
      </c>
      <c r="L3866" t="s">
        <v>17</v>
      </c>
      <c r="M3866" t="s">
        <v>123</v>
      </c>
    </row>
    <row r="3867" spans="1:13" x14ac:dyDescent="0.2">
      <c r="A3867">
        <v>742582</v>
      </c>
      <c r="B3867" s="2">
        <v>45037</v>
      </c>
      <c r="C3867">
        <v>62422</v>
      </c>
      <c r="D3867" t="s">
        <v>63</v>
      </c>
      <c r="E3867" t="s">
        <v>64</v>
      </c>
      <c r="F3867" t="s">
        <v>65</v>
      </c>
      <c r="G3867">
        <v>5</v>
      </c>
      <c r="H3867">
        <v>4.99</v>
      </c>
      <c r="J3867">
        <v>24.95</v>
      </c>
      <c r="K3867" t="s">
        <v>16</v>
      </c>
      <c r="L3867" t="s">
        <v>17</v>
      </c>
      <c r="M3867" t="s">
        <v>123</v>
      </c>
    </row>
    <row r="3868" spans="1:13" x14ac:dyDescent="0.2">
      <c r="A3868">
        <v>742605</v>
      </c>
      <c r="B3868" s="2">
        <v>45656</v>
      </c>
      <c r="C3868">
        <v>33311</v>
      </c>
      <c r="D3868" t="s">
        <v>63</v>
      </c>
      <c r="E3868" t="s">
        <v>64</v>
      </c>
      <c r="F3868" t="s">
        <v>65</v>
      </c>
      <c r="G3868">
        <v>1</v>
      </c>
      <c r="H3868">
        <v>4.99</v>
      </c>
      <c r="J3868">
        <v>4.99</v>
      </c>
      <c r="K3868" t="s">
        <v>16</v>
      </c>
      <c r="L3868" t="s">
        <v>37</v>
      </c>
      <c r="M3868" t="s">
        <v>117</v>
      </c>
    </row>
    <row r="3869" spans="1:13" x14ac:dyDescent="0.2">
      <c r="A3869">
        <v>742666</v>
      </c>
      <c r="B3869" s="1">
        <v>45115</v>
      </c>
      <c r="C3869">
        <v>97471</v>
      </c>
      <c r="D3869" t="s">
        <v>44</v>
      </c>
      <c r="E3869" t="s">
        <v>133</v>
      </c>
      <c r="F3869" t="s">
        <v>134</v>
      </c>
      <c r="G3869">
        <v>5</v>
      </c>
      <c r="H3869">
        <v>2.84</v>
      </c>
      <c r="I3869">
        <v>0.25</v>
      </c>
      <c r="J3869">
        <v>10.65</v>
      </c>
      <c r="K3869" t="s">
        <v>16</v>
      </c>
      <c r="L3869" t="s">
        <v>17</v>
      </c>
      <c r="M3869" t="s">
        <v>81</v>
      </c>
    </row>
    <row r="3870" spans="1:13" x14ac:dyDescent="0.2">
      <c r="A3870">
        <v>742992</v>
      </c>
      <c r="B3870" s="2">
        <v>44854</v>
      </c>
      <c r="C3870">
        <v>40743</v>
      </c>
      <c r="D3870" t="s">
        <v>40</v>
      </c>
      <c r="E3870" t="s">
        <v>41</v>
      </c>
      <c r="F3870" t="s">
        <v>42</v>
      </c>
      <c r="G3870">
        <v>2</v>
      </c>
      <c r="H3870">
        <v>5.69</v>
      </c>
      <c r="J3870">
        <v>11.38</v>
      </c>
      <c r="K3870" t="s">
        <v>36</v>
      </c>
      <c r="L3870" t="s">
        <v>37</v>
      </c>
      <c r="M3870" t="s">
        <v>28</v>
      </c>
    </row>
    <row r="3871" spans="1:13" x14ac:dyDescent="0.2">
      <c r="A3871">
        <v>743136</v>
      </c>
      <c r="B3871" s="1">
        <v>45342</v>
      </c>
      <c r="C3871">
        <v>96376</v>
      </c>
      <c r="D3871" t="s">
        <v>63</v>
      </c>
      <c r="E3871" t="s">
        <v>111</v>
      </c>
      <c r="F3871" t="s">
        <v>112</v>
      </c>
      <c r="G3871">
        <v>2</v>
      </c>
      <c r="H3871">
        <v>12.74</v>
      </c>
      <c r="I3871">
        <v>0.15</v>
      </c>
      <c r="J3871">
        <v>21.66</v>
      </c>
      <c r="K3871" t="s">
        <v>16</v>
      </c>
      <c r="L3871" t="s">
        <v>17</v>
      </c>
      <c r="M3871" t="s">
        <v>117</v>
      </c>
    </row>
    <row r="3872" spans="1:13" x14ac:dyDescent="0.2">
      <c r="A3872">
        <v>743153</v>
      </c>
      <c r="B3872" s="1">
        <v>45266</v>
      </c>
      <c r="C3872">
        <v>17385</v>
      </c>
      <c r="D3872" t="s">
        <v>85</v>
      </c>
      <c r="E3872" t="s">
        <v>129</v>
      </c>
      <c r="F3872" t="s">
        <v>130</v>
      </c>
      <c r="G3872">
        <v>5</v>
      </c>
      <c r="H3872">
        <v>8.5399999999999991</v>
      </c>
      <c r="I3872">
        <v>0.05</v>
      </c>
      <c r="J3872">
        <v>40.56</v>
      </c>
      <c r="K3872" t="s">
        <v>95</v>
      </c>
      <c r="L3872" t="s">
        <v>17</v>
      </c>
      <c r="M3872" t="s">
        <v>76</v>
      </c>
    </row>
    <row r="3873" spans="1:13" x14ac:dyDescent="0.2">
      <c r="A3873">
        <v>743414</v>
      </c>
      <c r="B3873" s="1">
        <v>45411</v>
      </c>
      <c r="C3873">
        <v>46481</v>
      </c>
      <c r="D3873" t="s">
        <v>82</v>
      </c>
      <c r="E3873" t="s">
        <v>100</v>
      </c>
      <c r="F3873" t="s">
        <v>101</v>
      </c>
      <c r="G3873">
        <v>3</v>
      </c>
      <c r="H3873">
        <v>22.99</v>
      </c>
      <c r="J3873">
        <v>68.97</v>
      </c>
      <c r="K3873" t="s">
        <v>95</v>
      </c>
      <c r="L3873" t="s">
        <v>17</v>
      </c>
      <c r="M3873" t="s">
        <v>123</v>
      </c>
    </row>
    <row r="3874" spans="1:13" x14ac:dyDescent="0.2">
      <c r="A3874">
        <v>743438</v>
      </c>
      <c r="B3874" s="1">
        <v>45287</v>
      </c>
      <c r="D3874" t="s">
        <v>97</v>
      </c>
      <c r="E3874" t="s">
        <v>151</v>
      </c>
      <c r="F3874" t="s">
        <v>152</v>
      </c>
      <c r="G3874">
        <v>2</v>
      </c>
      <c r="H3874">
        <v>29.74</v>
      </c>
      <c r="I3874">
        <v>0.15</v>
      </c>
      <c r="J3874">
        <v>50.56</v>
      </c>
      <c r="K3874" t="s">
        <v>95</v>
      </c>
      <c r="L3874" t="s">
        <v>17</v>
      </c>
      <c r="M3874" t="s">
        <v>67</v>
      </c>
    </row>
    <row r="3875" spans="1:13" x14ac:dyDescent="0.2">
      <c r="A3875">
        <v>743575</v>
      </c>
      <c r="B3875" s="1">
        <v>44890</v>
      </c>
      <c r="C3875">
        <v>63994</v>
      </c>
      <c r="D3875" t="s">
        <v>40</v>
      </c>
      <c r="E3875" t="s">
        <v>197</v>
      </c>
      <c r="F3875" t="s">
        <v>198</v>
      </c>
      <c r="G3875">
        <v>1</v>
      </c>
      <c r="H3875">
        <v>14.24</v>
      </c>
      <c r="I3875">
        <v>0.05</v>
      </c>
      <c r="J3875">
        <v>13.53</v>
      </c>
      <c r="K3875" t="s">
        <v>66</v>
      </c>
      <c r="L3875" t="s">
        <v>37</v>
      </c>
      <c r="M3875" t="s">
        <v>47</v>
      </c>
    </row>
    <row r="3876" spans="1:13" x14ac:dyDescent="0.2">
      <c r="A3876">
        <v>743941</v>
      </c>
      <c r="B3876" s="1">
        <v>44700</v>
      </c>
      <c r="C3876">
        <v>51809</v>
      </c>
      <c r="D3876" t="s">
        <v>82</v>
      </c>
      <c r="E3876" t="s">
        <v>188</v>
      </c>
      <c r="F3876" t="s">
        <v>189</v>
      </c>
      <c r="G3876">
        <v>2</v>
      </c>
      <c r="H3876">
        <v>44.99</v>
      </c>
      <c r="J3876">
        <v>89.98</v>
      </c>
      <c r="K3876" t="s">
        <v>36</v>
      </c>
      <c r="L3876" t="s">
        <v>17</v>
      </c>
      <c r="M3876" t="s">
        <v>24</v>
      </c>
    </row>
    <row r="3877" spans="1:13" x14ac:dyDescent="0.2">
      <c r="A3877">
        <v>743948</v>
      </c>
      <c r="B3877" s="1">
        <v>45494</v>
      </c>
      <c r="C3877">
        <v>49192</v>
      </c>
      <c r="D3877" t="s">
        <v>13</v>
      </c>
      <c r="E3877" t="s">
        <v>34</v>
      </c>
      <c r="F3877" t="s">
        <v>35</v>
      </c>
      <c r="G3877">
        <v>3</v>
      </c>
      <c r="H3877">
        <v>34.99</v>
      </c>
      <c r="J3877">
        <v>104.97</v>
      </c>
      <c r="K3877" t="s">
        <v>22</v>
      </c>
      <c r="L3877" t="s">
        <v>37</v>
      </c>
      <c r="M3877" t="s">
        <v>123</v>
      </c>
    </row>
    <row r="3878" spans="1:13" x14ac:dyDescent="0.2">
      <c r="A3878">
        <v>744016</v>
      </c>
      <c r="B3878" s="2">
        <v>44645</v>
      </c>
      <c r="D3878" t="s">
        <v>48</v>
      </c>
      <c r="E3878" t="s">
        <v>49</v>
      </c>
      <c r="F3878" t="s">
        <v>50</v>
      </c>
      <c r="G3878">
        <v>2</v>
      </c>
      <c r="H3878">
        <v>7.19</v>
      </c>
      <c r="I3878">
        <v>0.2</v>
      </c>
      <c r="J3878">
        <v>11.5</v>
      </c>
      <c r="K3878" t="s">
        <v>36</v>
      </c>
      <c r="L3878" t="s">
        <v>37</v>
      </c>
      <c r="M3878" t="s">
        <v>81</v>
      </c>
    </row>
    <row r="3879" spans="1:13" x14ac:dyDescent="0.2">
      <c r="A3879">
        <v>744055</v>
      </c>
      <c r="B3879" s="2">
        <v>45485</v>
      </c>
      <c r="C3879">
        <v>95800</v>
      </c>
      <c r="D3879" t="s">
        <v>40</v>
      </c>
      <c r="E3879" t="s">
        <v>197</v>
      </c>
      <c r="F3879" t="s">
        <v>198</v>
      </c>
      <c r="G3879">
        <v>1</v>
      </c>
      <c r="H3879">
        <v>14.24</v>
      </c>
      <c r="I3879">
        <v>0.05</v>
      </c>
      <c r="J3879">
        <v>13.53</v>
      </c>
      <c r="K3879" t="s">
        <v>95</v>
      </c>
      <c r="L3879" t="s">
        <v>37</v>
      </c>
      <c r="M3879" t="s">
        <v>120</v>
      </c>
    </row>
    <row r="3880" spans="1:13" x14ac:dyDescent="0.2">
      <c r="A3880">
        <v>744158</v>
      </c>
      <c r="B3880" s="2">
        <v>45502</v>
      </c>
      <c r="C3880">
        <v>40097</v>
      </c>
      <c r="D3880" t="s">
        <v>40</v>
      </c>
      <c r="E3880" t="s">
        <v>58</v>
      </c>
      <c r="F3880" t="s">
        <v>59</v>
      </c>
      <c r="G3880">
        <v>5</v>
      </c>
      <c r="H3880">
        <v>3.99</v>
      </c>
      <c r="J3880">
        <v>19.95</v>
      </c>
      <c r="K3880" t="s">
        <v>22</v>
      </c>
      <c r="L3880" t="s">
        <v>23</v>
      </c>
      <c r="M3880" t="s">
        <v>76</v>
      </c>
    </row>
    <row r="3881" spans="1:13" x14ac:dyDescent="0.2">
      <c r="A3881">
        <v>744206</v>
      </c>
      <c r="B3881" s="1">
        <v>44641</v>
      </c>
      <c r="C3881">
        <v>61231</v>
      </c>
      <c r="D3881" t="s">
        <v>29</v>
      </c>
      <c r="E3881" t="s">
        <v>30</v>
      </c>
      <c r="F3881" t="s">
        <v>31</v>
      </c>
      <c r="G3881">
        <v>5</v>
      </c>
      <c r="H3881">
        <v>24.99</v>
      </c>
      <c r="J3881">
        <v>124.95</v>
      </c>
      <c r="K3881" t="s">
        <v>22</v>
      </c>
      <c r="L3881" t="s">
        <v>23</v>
      </c>
      <c r="M3881" t="s">
        <v>123</v>
      </c>
    </row>
    <row r="3882" spans="1:13" x14ac:dyDescent="0.2">
      <c r="A3882">
        <v>744233</v>
      </c>
      <c r="B3882" s="1">
        <v>45426</v>
      </c>
      <c r="C3882">
        <v>79183</v>
      </c>
      <c r="D3882" t="s">
        <v>97</v>
      </c>
      <c r="E3882" t="s">
        <v>193</v>
      </c>
      <c r="F3882" t="s">
        <v>194</v>
      </c>
      <c r="G3882">
        <v>2</v>
      </c>
      <c r="H3882">
        <v>58.49</v>
      </c>
      <c r="I3882">
        <v>0.1</v>
      </c>
      <c r="J3882">
        <v>105.28</v>
      </c>
      <c r="K3882" t="s">
        <v>22</v>
      </c>
      <c r="L3882" t="s">
        <v>23</v>
      </c>
      <c r="M3882" t="s">
        <v>103</v>
      </c>
    </row>
    <row r="3883" spans="1:13" x14ac:dyDescent="0.2">
      <c r="A3883">
        <v>744640</v>
      </c>
      <c r="B3883" s="1">
        <v>45595</v>
      </c>
      <c r="C3883">
        <v>11095</v>
      </c>
      <c r="D3883" t="s">
        <v>48</v>
      </c>
      <c r="E3883" t="s">
        <v>109</v>
      </c>
      <c r="F3883" t="s">
        <v>110</v>
      </c>
      <c r="G3883">
        <v>2</v>
      </c>
      <c r="H3883">
        <v>5.24</v>
      </c>
      <c r="I3883">
        <v>0.25</v>
      </c>
      <c r="J3883">
        <v>7.86</v>
      </c>
      <c r="K3883" t="s">
        <v>53</v>
      </c>
      <c r="L3883" t="s">
        <v>17</v>
      </c>
      <c r="M3883" t="s">
        <v>24</v>
      </c>
    </row>
    <row r="3884" spans="1:13" x14ac:dyDescent="0.2">
      <c r="A3884">
        <v>744677</v>
      </c>
      <c r="B3884" s="1">
        <v>45218</v>
      </c>
      <c r="C3884">
        <v>70034</v>
      </c>
      <c r="D3884" t="s">
        <v>29</v>
      </c>
      <c r="E3884" t="s">
        <v>175</v>
      </c>
      <c r="F3884" t="s">
        <v>176</v>
      </c>
      <c r="G3884">
        <v>3</v>
      </c>
      <c r="H3884">
        <v>11.99</v>
      </c>
      <c r="J3884">
        <v>35.97</v>
      </c>
      <c r="K3884" t="s">
        <v>36</v>
      </c>
      <c r="L3884" t="s">
        <v>37</v>
      </c>
      <c r="M3884" t="s">
        <v>18</v>
      </c>
    </row>
    <row r="3885" spans="1:13" x14ac:dyDescent="0.2">
      <c r="A3885">
        <v>744913</v>
      </c>
      <c r="B3885" s="1">
        <v>44977</v>
      </c>
      <c r="C3885">
        <v>14998</v>
      </c>
      <c r="D3885" t="s">
        <v>85</v>
      </c>
      <c r="E3885" t="s">
        <v>129</v>
      </c>
      <c r="F3885" t="s">
        <v>130</v>
      </c>
      <c r="G3885">
        <v>1</v>
      </c>
      <c r="H3885">
        <v>8.09</v>
      </c>
      <c r="I3885">
        <v>0.1</v>
      </c>
      <c r="J3885">
        <v>7.28</v>
      </c>
      <c r="K3885" t="s">
        <v>16</v>
      </c>
      <c r="L3885" t="s">
        <v>23</v>
      </c>
      <c r="M3885" t="s">
        <v>43</v>
      </c>
    </row>
    <row r="3886" spans="1:13" x14ac:dyDescent="0.2">
      <c r="A3886">
        <v>745132</v>
      </c>
      <c r="B3886" s="1">
        <v>45258</v>
      </c>
      <c r="C3886">
        <v>27367</v>
      </c>
      <c r="D3886" t="s">
        <v>25</v>
      </c>
      <c r="E3886" t="s">
        <v>113</v>
      </c>
      <c r="F3886" t="s">
        <v>114</v>
      </c>
      <c r="G3886">
        <v>2</v>
      </c>
      <c r="H3886">
        <v>107.99</v>
      </c>
      <c r="I3886">
        <v>0.1</v>
      </c>
      <c r="J3886">
        <v>194.38</v>
      </c>
      <c r="K3886" t="s">
        <v>53</v>
      </c>
      <c r="L3886" t="s">
        <v>17</v>
      </c>
      <c r="M3886" t="s">
        <v>28</v>
      </c>
    </row>
    <row r="3887" spans="1:13" x14ac:dyDescent="0.2">
      <c r="A3887">
        <v>745559</v>
      </c>
      <c r="B3887" s="1">
        <v>44844</v>
      </c>
      <c r="C3887">
        <v>67216</v>
      </c>
      <c r="D3887" t="s">
        <v>48</v>
      </c>
      <c r="E3887" t="s">
        <v>179</v>
      </c>
      <c r="F3887" t="s">
        <v>180</v>
      </c>
      <c r="G3887">
        <v>2</v>
      </c>
      <c r="H3887">
        <v>11.99</v>
      </c>
      <c r="J3887">
        <v>23.98</v>
      </c>
      <c r="K3887" t="s">
        <v>16</v>
      </c>
      <c r="L3887" t="s">
        <v>17</v>
      </c>
      <c r="M3887" t="s">
        <v>102</v>
      </c>
    </row>
    <row r="3888" spans="1:13" x14ac:dyDescent="0.2">
      <c r="A3888">
        <v>745575</v>
      </c>
      <c r="B3888" s="1">
        <v>45354</v>
      </c>
      <c r="C3888">
        <v>80184</v>
      </c>
      <c r="D3888" t="s">
        <v>164</v>
      </c>
      <c r="E3888" t="s">
        <v>38</v>
      </c>
      <c r="F3888" t="s">
        <v>39</v>
      </c>
      <c r="G3888">
        <v>5</v>
      </c>
      <c r="H3888">
        <v>25.49</v>
      </c>
      <c r="I3888">
        <v>0.15</v>
      </c>
      <c r="J3888">
        <v>108.33</v>
      </c>
      <c r="K3888" t="s">
        <v>22</v>
      </c>
      <c r="L3888" t="s">
        <v>37</v>
      </c>
      <c r="M3888" t="s">
        <v>57</v>
      </c>
    </row>
    <row r="3889" spans="1:13" x14ac:dyDescent="0.2">
      <c r="A3889">
        <v>745805</v>
      </c>
      <c r="B3889" s="1">
        <v>44661</v>
      </c>
      <c r="C3889">
        <v>89309</v>
      </c>
      <c r="D3889" t="s">
        <v>25</v>
      </c>
      <c r="E3889" t="s">
        <v>60</v>
      </c>
      <c r="F3889" t="s">
        <v>61</v>
      </c>
      <c r="G3889">
        <v>2</v>
      </c>
      <c r="H3889">
        <v>38.49</v>
      </c>
      <c r="I3889">
        <v>0.3</v>
      </c>
      <c r="J3889">
        <v>53.89</v>
      </c>
      <c r="K3889" t="s">
        <v>16</v>
      </c>
      <c r="L3889" t="s">
        <v>17</v>
      </c>
      <c r="M3889" t="s">
        <v>57</v>
      </c>
    </row>
    <row r="3890" spans="1:13" x14ac:dyDescent="0.2">
      <c r="A3890">
        <v>745856</v>
      </c>
      <c r="B3890" s="2">
        <v>44590</v>
      </c>
      <c r="C3890">
        <v>46002</v>
      </c>
      <c r="D3890" t="s">
        <v>63</v>
      </c>
      <c r="E3890" t="s">
        <v>68</v>
      </c>
      <c r="F3890" t="s">
        <v>69</v>
      </c>
      <c r="G3890">
        <v>5</v>
      </c>
      <c r="H3890">
        <v>24.99</v>
      </c>
      <c r="J3890">
        <v>124.95</v>
      </c>
      <c r="K3890" t="s">
        <v>16</v>
      </c>
      <c r="L3890" t="s">
        <v>17</v>
      </c>
      <c r="M3890" t="s">
        <v>90</v>
      </c>
    </row>
    <row r="3891" spans="1:13" x14ac:dyDescent="0.2">
      <c r="A3891">
        <v>745886</v>
      </c>
      <c r="B3891" s="1">
        <v>45226</v>
      </c>
      <c r="C3891">
        <v>74558</v>
      </c>
      <c r="D3891" t="s">
        <v>29</v>
      </c>
      <c r="E3891" t="s">
        <v>170</v>
      </c>
      <c r="F3891" t="s">
        <v>171</v>
      </c>
      <c r="G3891">
        <v>2</v>
      </c>
      <c r="H3891">
        <v>14.24</v>
      </c>
      <c r="I3891">
        <v>0.05</v>
      </c>
      <c r="J3891">
        <v>27.06</v>
      </c>
      <c r="K3891" t="s">
        <v>36</v>
      </c>
      <c r="L3891" t="s">
        <v>17</v>
      </c>
      <c r="M3891" t="s">
        <v>123</v>
      </c>
    </row>
    <row r="3892" spans="1:13" x14ac:dyDescent="0.2">
      <c r="A3892">
        <v>746527</v>
      </c>
      <c r="B3892" s="1">
        <v>45581</v>
      </c>
      <c r="C3892">
        <v>31678</v>
      </c>
      <c r="D3892" t="s">
        <v>40</v>
      </c>
      <c r="E3892" t="s">
        <v>41</v>
      </c>
      <c r="F3892" t="s">
        <v>42</v>
      </c>
      <c r="G3892">
        <v>2</v>
      </c>
      <c r="H3892">
        <v>4.1900000000000004</v>
      </c>
      <c r="I3892">
        <v>0.3</v>
      </c>
      <c r="J3892">
        <v>5.87</v>
      </c>
      <c r="K3892" t="s">
        <v>36</v>
      </c>
      <c r="L3892" t="s">
        <v>17</v>
      </c>
      <c r="M3892" t="s">
        <v>120</v>
      </c>
    </row>
    <row r="3893" spans="1:13" x14ac:dyDescent="0.2">
      <c r="A3893">
        <v>746573</v>
      </c>
      <c r="B3893" s="1">
        <v>45074</v>
      </c>
      <c r="C3893">
        <v>89705</v>
      </c>
      <c r="D3893" t="s">
        <v>29</v>
      </c>
      <c r="E3893" t="s">
        <v>170</v>
      </c>
      <c r="F3893" t="s">
        <v>171</v>
      </c>
      <c r="G3893">
        <v>4</v>
      </c>
      <c r="H3893">
        <v>14.99</v>
      </c>
      <c r="J3893">
        <v>59.96</v>
      </c>
      <c r="K3893" t="s">
        <v>66</v>
      </c>
      <c r="L3893" t="s">
        <v>37</v>
      </c>
      <c r="M3893" t="s">
        <v>57</v>
      </c>
    </row>
    <row r="3894" spans="1:13" x14ac:dyDescent="0.2">
      <c r="A3894">
        <v>746774</v>
      </c>
      <c r="B3894" s="2">
        <v>44713</v>
      </c>
      <c r="C3894">
        <v>65086</v>
      </c>
      <c r="D3894" t="s">
        <v>82</v>
      </c>
      <c r="E3894" t="s">
        <v>100</v>
      </c>
      <c r="F3894" t="s">
        <v>101</v>
      </c>
      <c r="G3894">
        <v>4</v>
      </c>
      <c r="H3894">
        <v>22.99</v>
      </c>
      <c r="J3894">
        <v>91.96</v>
      </c>
      <c r="K3894" t="s">
        <v>22</v>
      </c>
      <c r="L3894" t="s">
        <v>17</v>
      </c>
      <c r="M3894" t="s">
        <v>67</v>
      </c>
    </row>
    <row r="3895" spans="1:13" x14ac:dyDescent="0.2">
      <c r="A3895">
        <v>746917</v>
      </c>
      <c r="B3895" s="2">
        <v>44595</v>
      </c>
      <c r="D3895" t="s">
        <v>40</v>
      </c>
      <c r="E3895" t="s">
        <v>20</v>
      </c>
      <c r="F3895" t="s">
        <v>21</v>
      </c>
      <c r="G3895">
        <v>2</v>
      </c>
      <c r="H3895">
        <v>8.49</v>
      </c>
      <c r="I3895">
        <v>0.15</v>
      </c>
      <c r="J3895">
        <v>14.43</v>
      </c>
      <c r="K3895" t="s">
        <v>36</v>
      </c>
      <c r="L3895" t="s">
        <v>17</v>
      </c>
      <c r="M3895" t="s">
        <v>24</v>
      </c>
    </row>
    <row r="3896" spans="1:13" x14ac:dyDescent="0.2">
      <c r="A3896">
        <v>747048</v>
      </c>
      <c r="B3896" s="1">
        <v>45161</v>
      </c>
      <c r="C3896">
        <v>72632</v>
      </c>
      <c r="D3896" t="s">
        <v>48</v>
      </c>
      <c r="E3896" t="s">
        <v>139</v>
      </c>
      <c r="F3896" t="s">
        <v>140</v>
      </c>
      <c r="G3896">
        <v>1</v>
      </c>
      <c r="H3896">
        <v>7.99</v>
      </c>
      <c r="J3896">
        <v>7.99</v>
      </c>
      <c r="K3896" t="s">
        <v>22</v>
      </c>
      <c r="L3896" t="s">
        <v>17</v>
      </c>
      <c r="M3896" t="s">
        <v>103</v>
      </c>
    </row>
    <row r="3897" spans="1:13" x14ac:dyDescent="0.2">
      <c r="A3897">
        <v>747074</v>
      </c>
      <c r="B3897" s="1">
        <v>44906</v>
      </c>
      <c r="C3897">
        <v>33906</v>
      </c>
      <c r="D3897" t="s">
        <v>40</v>
      </c>
      <c r="E3897" t="s">
        <v>58</v>
      </c>
      <c r="F3897" t="s">
        <v>59</v>
      </c>
      <c r="G3897">
        <v>4</v>
      </c>
      <c r="H3897">
        <v>3.39</v>
      </c>
      <c r="I3897">
        <v>0.15</v>
      </c>
      <c r="J3897">
        <v>11.53</v>
      </c>
      <c r="K3897" t="s">
        <v>22</v>
      </c>
      <c r="L3897" t="s">
        <v>23</v>
      </c>
      <c r="M3897" t="s">
        <v>28</v>
      </c>
    </row>
    <row r="3898" spans="1:13" x14ac:dyDescent="0.2">
      <c r="A3898">
        <v>747109</v>
      </c>
      <c r="B3898" s="1">
        <v>45280</v>
      </c>
      <c r="C3898">
        <v>75114</v>
      </c>
      <c r="D3898" t="s">
        <v>48</v>
      </c>
      <c r="E3898" t="s">
        <v>139</v>
      </c>
      <c r="F3898" t="s">
        <v>140</v>
      </c>
      <c r="G3898">
        <v>1</v>
      </c>
      <c r="H3898">
        <v>6.79</v>
      </c>
      <c r="I3898">
        <v>0.15</v>
      </c>
      <c r="J3898">
        <v>5.77</v>
      </c>
      <c r="K3898" t="s">
        <v>16</v>
      </c>
      <c r="L3898" t="s">
        <v>17</v>
      </c>
      <c r="M3898" t="s">
        <v>47</v>
      </c>
    </row>
    <row r="3899" spans="1:13" x14ac:dyDescent="0.2">
      <c r="A3899">
        <v>747288</v>
      </c>
      <c r="B3899" s="1">
        <v>45165</v>
      </c>
      <c r="C3899">
        <v>96471</v>
      </c>
      <c r="D3899" t="s">
        <v>13</v>
      </c>
      <c r="E3899" t="s">
        <v>159</v>
      </c>
      <c r="F3899" t="s">
        <v>160</v>
      </c>
      <c r="G3899">
        <v>2</v>
      </c>
      <c r="H3899">
        <v>47.99</v>
      </c>
      <c r="I3899">
        <v>0.2</v>
      </c>
      <c r="J3899">
        <v>76.78</v>
      </c>
      <c r="K3899" t="s">
        <v>36</v>
      </c>
      <c r="L3899" t="s">
        <v>17</v>
      </c>
      <c r="M3899" t="s">
        <v>81</v>
      </c>
    </row>
    <row r="3900" spans="1:13" x14ac:dyDescent="0.2">
      <c r="A3900">
        <v>747507</v>
      </c>
      <c r="B3900" s="1">
        <v>45442</v>
      </c>
      <c r="C3900">
        <v>81159</v>
      </c>
      <c r="D3900" t="s">
        <v>44</v>
      </c>
      <c r="E3900" t="s">
        <v>107</v>
      </c>
      <c r="F3900" t="s">
        <v>108</v>
      </c>
      <c r="G3900">
        <v>1</v>
      </c>
      <c r="H3900">
        <v>2.97</v>
      </c>
      <c r="I3900">
        <v>0.15</v>
      </c>
      <c r="J3900">
        <v>2.52</v>
      </c>
      <c r="K3900" t="s">
        <v>36</v>
      </c>
      <c r="L3900" t="s">
        <v>17</v>
      </c>
      <c r="M3900" t="s">
        <v>67</v>
      </c>
    </row>
    <row r="3901" spans="1:13" x14ac:dyDescent="0.2">
      <c r="A3901">
        <v>747534</v>
      </c>
      <c r="B3901" s="2">
        <v>45306</v>
      </c>
      <c r="C3901">
        <v>73600</v>
      </c>
      <c r="D3901" t="s">
        <v>63</v>
      </c>
      <c r="E3901" t="s">
        <v>125</v>
      </c>
      <c r="F3901" t="s">
        <v>126</v>
      </c>
      <c r="G3901">
        <v>1</v>
      </c>
      <c r="H3901">
        <v>23.99</v>
      </c>
      <c r="I3901">
        <v>0.2</v>
      </c>
      <c r="J3901">
        <v>19.190000000000001</v>
      </c>
      <c r="K3901" t="s">
        <v>22</v>
      </c>
      <c r="L3901" t="s">
        <v>17</v>
      </c>
      <c r="M3901" t="s">
        <v>96</v>
      </c>
    </row>
    <row r="3902" spans="1:13" x14ac:dyDescent="0.2">
      <c r="A3902">
        <v>747561</v>
      </c>
      <c r="B3902" s="1">
        <v>44692</v>
      </c>
      <c r="C3902">
        <v>54606</v>
      </c>
      <c r="D3902" t="s">
        <v>44</v>
      </c>
      <c r="E3902" t="s">
        <v>162</v>
      </c>
      <c r="F3902" t="s">
        <v>163</v>
      </c>
      <c r="G3902">
        <v>2</v>
      </c>
      <c r="H3902">
        <v>6.79</v>
      </c>
      <c r="I3902">
        <v>0.15</v>
      </c>
      <c r="J3902">
        <v>11.54</v>
      </c>
      <c r="K3902" t="s">
        <v>36</v>
      </c>
      <c r="L3902" t="s">
        <v>17</v>
      </c>
      <c r="M3902" t="s">
        <v>62</v>
      </c>
    </row>
    <row r="3903" spans="1:13" x14ac:dyDescent="0.2">
      <c r="A3903">
        <v>747782</v>
      </c>
      <c r="B3903" s="1">
        <v>44896</v>
      </c>
      <c r="C3903">
        <v>32563</v>
      </c>
      <c r="D3903" t="s">
        <v>29</v>
      </c>
      <c r="E3903" t="s">
        <v>175</v>
      </c>
      <c r="F3903" t="s">
        <v>176</v>
      </c>
      <c r="G3903">
        <v>3</v>
      </c>
      <c r="H3903">
        <v>11.39</v>
      </c>
      <c r="I3903">
        <v>0.05</v>
      </c>
      <c r="J3903">
        <v>32.46</v>
      </c>
      <c r="K3903" t="s">
        <v>66</v>
      </c>
      <c r="L3903" t="s">
        <v>17</v>
      </c>
      <c r="M3903" t="s">
        <v>90</v>
      </c>
    </row>
    <row r="3904" spans="1:13" x14ac:dyDescent="0.2">
      <c r="A3904">
        <v>747785</v>
      </c>
      <c r="B3904" s="2">
        <v>45651</v>
      </c>
      <c r="C3904">
        <v>54150</v>
      </c>
      <c r="D3904" t="s">
        <v>85</v>
      </c>
      <c r="E3904" t="s">
        <v>137</v>
      </c>
      <c r="F3904" t="s">
        <v>138</v>
      </c>
      <c r="G3904">
        <v>3</v>
      </c>
      <c r="H3904">
        <v>5.99</v>
      </c>
      <c r="I3904">
        <v>0.25</v>
      </c>
      <c r="J3904">
        <v>13.48</v>
      </c>
      <c r="K3904" t="s">
        <v>22</v>
      </c>
      <c r="L3904" t="s">
        <v>17</v>
      </c>
      <c r="M3904" t="s">
        <v>161</v>
      </c>
    </row>
    <row r="3905" spans="1:13" x14ac:dyDescent="0.2">
      <c r="A3905">
        <v>747863</v>
      </c>
      <c r="B3905" s="1">
        <v>45504</v>
      </c>
      <c r="C3905">
        <v>43104</v>
      </c>
      <c r="D3905" t="s">
        <v>29</v>
      </c>
      <c r="E3905" t="s">
        <v>175</v>
      </c>
      <c r="F3905" t="s">
        <v>176</v>
      </c>
      <c r="G3905">
        <v>2</v>
      </c>
      <c r="H3905">
        <v>11.99</v>
      </c>
      <c r="J3905">
        <v>23.98</v>
      </c>
      <c r="K3905" t="s">
        <v>22</v>
      </c>
      <c r="L3905" t="s">
        <v>17</v>
      </c>
      <c r="M3905" t="s">
        <v>24</v>
      </c>
    </row>
    <row r="3906" spans="1:13" x14ac:dyDescent="0.2">
      <c r="A3906">
        <v>747956</v>
      </c>
      <c r="B3906" s="2">
        <v>44892</v>
      </c>
      <c r="C3906">
        <v>22680</v>
      </c>
      <c r="D3906" t="s">
        <v>48</v>
      </c>
      <c r="E3906" t="s">
        <v>143</v>
      </c>
      <c r="F3906" t="s">
        <v>144</v>
      </c>
      <c r="G3906">
        <v>1</v>
      </c>
      <c r="H3906">
        <v>14.99</v>
      </c>
      <c r="J3906">
        <v>14.99</v>
      </c>
      <c r="K3906" t="s">
        <v>53</v>
      </c>
      <c r="L3906" t="s">
        <v>17</v>
      </c>
      <c r="M3906" t="s">
        <v>43</v>
      </c>
    </row>
    <row r="3907" spans="1:13" x14ac:dyDescent="0.2">
      <c r="A3907">
        <v>748157</v>
      </c>
      <c r="B3907" s="2">
        <v>45052</v>
      </c>
      <c r="C3907">
        <v>86257</v>
      </c>
      <c r="D3907" t="s">
        <v>82</v>
      </c>
      <c r="E3907" t="s">
        <v>83</v>
      </c>
      <c r="F3907" t="s">
        <v>84</v>
      </c>
      <c r="G3907">
        <v>3</v>
      </c>
      <c r="H3907">
        <v>14.44</v>
      </c>
      <c r="I3907">
        <v>0.15</v>
      </c>
      <c r="J3907">
        <v>36.82</v>
      </c>
      <c r="K3907" t="s">
        <v>36</v>
      </c>
      <c r="L3907" t="s">
        <v>17</v>
      </c>
      <c r="M3907" t="s">
        <v>18</v>
      </c>
    </row>
    <row r="3908" spans="1:13" x14ac:dyDescent="0.2">
      <c r="A3908">
        <v>748263</v>
      </c>
      <c r="B3908" s="1">
        <v>44737</v>
      </c>
      <c r="C3908">
        <v>46735</v>
      </c>
      <c r="D3908" t="s">
        <v>85</v>
      </c>
      <c r="E3908" t="s">
        <v>153</v>
      </c>
      <c r="F3908" t="s">
        <v>154</v>
      </c>
      <c r="G3908">
        <v>1</v>
      </c>
      <c r="H3908">
        <v>29.99</v>
      </c>
      <c r="J3908">
        <v>29.99</v>
      </c>
      <c r="K3908" t="s">
        <v>16</v>
      </c>
      <c r="L3908" t="s">
        <v>17</v>
      </c>
      <c r="M3908" t="s">
        <v>120</v>
      </c>
    </row>
    <row r="3909" spans="1:13" x14ac:dyDescent="0.2">
      <c r="A3909">
        <v>748725</v>
      </c>
      <c r="B3909" s="1">
        <v>44710</v>
      </c>
      <c r="C3909">
        <v>75038</v>
      </c>
      <c r="D3909" t="s">
        <v>44</v>
      </c>
      <c r="E3909" t="s">
        <v>91</v>
      </c>
      <c r="F3909" t="s">
        <v>92</v>
      </c>
      <c r="G3909">
        <v>2</v>
      </c>
      <c r="H3909">
        <v>5.98</v>
      </c>
      <c r="I3909">
        <v>0.05</v>
      </c>
      <c r="J3909">
        <v>11.36</v>
      </c>
      <c r="K3909" t="s">
        <v>16</v>
      </c>
      <c r="L3909" t="s">
        <v>17</v>
      </c>
      <c r="M3909" t="s">
        <v>117</v>
      </c>
    </row>
    <row r="3910" spans="1:13" x14ac:dyDescent="0.2">
      <c r="A3910">
        <v>748824</v>
      </c>
      <c r="B3910" s="1">
        <v>44944</v>
      </c>
      <c r="C3910">
        <v>30628</v>
      </c>
      <c r="D3910" t="s">
        <v>40</v>
      </c>
      <c r="E3910" t="s">
        <v>115</v>
      </c>
      <c r="F3910" t="s">
        <v>116</v>
      </c>
      <c r="G3910">
        <v>1</v>
      </c>
      <c r="H3910">
        <v>10.39</v>
      </c>
      <c r="I3910">
        <v>0.2</v>
      </c>
      <c r="J3910">
        <v>8.31</v>
      </c>
      <c r="K3910" t="s">
        <v>32</v>
      </c>
      <c r="L3910" t="s">
        <v>37</v>
      </c>
      <c r="M3910" t="s">
        <v>54</v>
      </c>
    </row>
    <row r="3911" spans="1:13" x14ac:dyDescent="0.2">
      <c r="A3911">
        <v>749003</v>
      </c>
      <c r="B3911" s="1">
        <v>44613</v>
      </c>
      <c r="C3911">
        <v>43309</v>
      </c>
      <c r="D3911" t="s">
        <v>44</v>
      </c>
      <c r="E3911" t="s">
        <v>190</v>
      </c>
      <c r="F3911" t="s">
        <v>191</v>
      </c>
      <c r="G3911">
        <v>1</v>
      </c>
      <c r="H3911">
        <v>4.08</v>
      </c>
      <c r="I3911">
        <v>0.05</v>
      </c>
      <c r="J3911">
        <v>3.88</v>
      </c>
      <c r="K3911" t="s">
        <v>16</v>
      </c>
      <c r="L3911" t="s">
        <v>17</v>
      </c>
      <c r="M3911" t="s">
        <v>81</v>
      </c>
    </row>
    <row r="3912" spans="1:13" x14ac:dyDescent="0.2">
      <c r="A3912">
        <v>749323</v>
      </c>
      <c r="B3912" s="1">
        <v>44833</v>
      </c>
      <c r="C3912">
        <v>59304</v>
      </c>
      <c r="D3912" t="s">
        <v>48</v>
      </c>
      <c r="E3912" t="s">
        <v>143</v>
      </c>
      <c r="F3912" t="s">
        <v>144</v>
      </c>
      <c r="G3912">
        <v>1</v>
      </c>
      <c r="H3912">
        <v>14.99</v>
      </c>
      <c r="J3912">
        <v>14.99</v>
      </c>
      <c r="K3912" t="s">
        <v>36</v>
      </c>
      <c r="L3912" t="s">
        <v>17</v>
      </c>
      <c r="M3912" t="s">
        <v>47</v>
      </c>
    </row>
    <row r="3913" spans="1:13" x14ac:dyDescent="0.2">
      <c r="A3913">
        <v>749358</v>
      </c>
      <c r="B3913" s="1">
        <v>44781</v>
      </c>
      <c r="C3913">
        <v>10001</v>
      </c>
      <c r="D3913" t="s">
        <v>85</v>
      </c>
      <c r="E3913" t="s">
        <v>129</v>
      </c>
      <c r="F3913" t="s">
        <v>130</v>
      </c>
      <c r="G3913">
        <v>4</v>
      </c>
      <c r="H3913">
        <v>8.99</v>
      </c>
      <c r="J3913">
        <v>35.96</v>
      </c>
      <c r="K3913" t="s">
        <v>16</v>
      </c>
      <c r="L3913" t="s">
        <v>17</v>
      </c>
      <c r="M3913" t="s">
        <v>96</v>
      </c>
    </row>
    <row r="3914" spans="1:13" x14ac:dyDescent="0.2">
      <c r="A3914">
        <v>749498</v>
      </c>
      <c r="B3914" s="2">
        <v>44945</v>
      </c>
      <c r="C3914">
        <v>27895</v>
      </c>
      <c r="D3914" t="s">
        <v>40</v>
      </c>
      <c r="E3914" t="s">
        <v>197</v>
      </c>
      <c r="F3914" t="s">
        <v>198</v>
      </c>
      <c r="G3914">
        <v>4</v>
      </c>
      <c r="H3914">
        <v>12.74</v>
      </c>
      <c r="I3914">
        <v>0.15</v>
      </c>
      <c r="J3914">
        <v>43.32</v>
      </c>
      <c r="K3914" t="s">
        <v>16</v>
      </c>
      <c r="L3914" t="s">
        <v>17</v>
      </c>
      <c r="M3914" t="s">
        <v>43</v>
      </c>
    </row>
    <row r="3915" spans="1:13" x14ac:dyDescent="0.2">
      <c r="A3915">
        <v>749538</v>
      </c>
      <c r="B3915" s="1">
        <v>44871</v>
      </c>
      <c r="C3915">
        <v>85553</v>
      </c>
      <c r="D3915" t="s">
        <v>48</v>
      </c>
      <c r="E3915" t="s">
        <v>143</v>
      </c>
      <c r="F3915" t="s">
        <v>144</v>
      </c>
      <c r="G3915">
        <v>1</v>
      </c>
      <c r="H3915">
        <v>14.24</v>
      </c>
      <c r="I3915">
        <v>0.05</v>
      </c>
      <c r="J3915">
        <v>13.53</v>
      </c>
      <c r="K3915" t="s">
        <v>22</v>
      </c>
      <c r="L3915" t="s">
        <v>37</v>
      </c>
      <c r="M3915" t="s">
        <v>57</v>
      </c>
    </row>
    <row r="3916" spans="1:13" x14ac:dyDescent="0.2">
      <c r="A3916">
        <v>750271</v>
      </c>
      <c r="B3916" s="1">
        <v>44872</v>
      </c>
      <c r="C3916">
        <v>60553</v>
      </c>
      <c r="D3916" t="s">
        <v>44</v>
      </c>
      <c r="E3916" t="s">
        <v>190</v>
      </c>
      <c r="F3916" t="s">
        <v>191</v>
      </c>
      <c r="G3916">
        <v>5</v>
      </c>
      <c r="H3916">
        <v>4.08</v>
      </c>
      <c r="I3916">
        <v>0.05</v>
      </c>
      <c r="J3916">
        <v>19.38</v>
      </c>
      <c r="K3916" t="s">
        <v>36</v>
      </c>
      <c r="L3916" t="s">
        <v>17</v>
      </c>
      <c r="M3916" t="s">
        <v>28</v>
      </c>
    </row>
    <row r="3917" spans="1:13" x14ac:dyDescent="0.2">
      <c r="A3917">
        <v>750335</v>
      </c>
      <c r="B3917" s="2">
        <v>45465</v>
      </c>
      <c r="C3917">
        <v>90155</v>
      </c>
      <c r="D3917" t="s">
        <v>13</v>
      </c>
      <c r="E3917" t="s">
        <v>79</v>
      </c>
      <c r="F3917" t="s">
        <v>80</v>
      </c>
      <c r="G3917">
        <v>1</v>
      </c>
      <c r="H3917">
        <v>85.49</v>
      </c>
      <c r="I3917">
        <v>0.05</v>
      </c>
      <c r="J3917">
        <v>81.22</v>
      </c>
      <c r="K3917" t="s">
        <v>16</v>
      </c>
      <c r="L3917" t="s">
        <v>17</v>
      </c>
      <c r="M3917" t="s">
        <v>103</v>
      </c>
    </row>
    <row r="3918" spans="1:13" x14ac:dyDescent="0.2">
      <c r="A3918">
        <v>750521</v>
      </c>
      <c r="B3918" s="1">
        <v>45030</v>
      </c>
      <c r="D3918" t="s">
        <v>48</v>
      </c>
      <c r="E3918" t="s">
        <v>109</v>
      </c>
      <c r="F3918" t="s">
        <v>110</v>
      </c>
      <c r="G3918">
        <v>2</v>
      </c>
      <c r="H3918">
        <v>6.64</v>
      </c>
      <c r="I3918">
        <v>0.05</v>
      </c>
      <c r="J3918">
        <v>12.62</v>
      </c>
      <c r="K3918" t="s">
        <v>95</v>
      </c>
      <c r="L3918" t="s">
        <v>17</v>
      </c>
      <c r="M3918" t="s">
        <v>47</v>
      </c>
    </row>
    <row r="3919" spans="1:13" x14ac:dyDescent="0.2">
      <c r="A3919">
        <v>750655</v>
      </c>
      <c r="B3919" s="1">
        <v>45388</v>
      </c>
      <c r="C3919">
        <v>67536</v>
      </c>
      <c r="D3919" t="s">
        <v>85</v>
      </c>
      <c r="E3919" t="s">
        <v>145</v>
      </c>
      <c r="F3919" t="s">
        <v>146</v>
      </c>
      <c r="G3919">
        <v>4</v>
      </c>
      <c r="H3919">
        <v>13.59</v>
      </c>
      <c r="I3919">
        <v>0.2</v>
      </c>
      <c r="J3919">
        <v>43.49</v>
      </c>
      <c r="K3919" t="s">
        <v>36</v>
      </c>
      <c r="L3919" t="s">
        <v>17</v>
      </c>
      <c r="M3919" t="s">
        <v>57</v>
      </c>
    </row>
    <row r="3920" spans="1:13" x14ac:dyDescent="0.2">
      <c r="A3920">
        <v>750820</v>
      </c>
      <c r="B3920" s="1">
        <v>45164</v>
      </c>
      <c r="C3920">
        <v>86643</v>
      </c>
      <c r="D3920" t="s">
        <v>63</v>
      </c>
      <c r="E3920" t="s">
        <v>68</v>
      </c>
      <c r="F3920" t="s">
        <v>69</v>
      </c>
      <c r="G3920">
        <v>5</v>
      </c>
      <c r="H3920">
        <v>22.49</v>
      </c>
      <c r="I3920">
        <v>0.1</v>
      </c>
      <c r="J3920">
        <v>101.2</v>
      </c>
      <c r="K3920" t="s">
        <v>16</v>
      </c>
      <c r="L3920" t="s">
        <v>17</v>
      </c>
      <c r="M3920" t="s">
        <v>161</v>
      </c>
    </row>
    <row r="3921" spans="1:13" x14ac:dyDescent="0.2">
      <c r="A3921">
        <v>750849</v>
      </c>
      <c r="B3921" s="2">
        <v>45462</v>
      </c>
      <c r="C3921">
        <v>39705</v>
      </c>
      <c r="D3921" t="s">
        <v>97</v>
      </c>
      <c r="E3921" t="s">
        <v>121</v>
      </c>
      <c r="F3921" t="s">
        <v>122</v>
      </c>
      <c r="G3921">
        <v>2</v>
      </c>
      <c r="H3921">
        <v>11.69</v>
      </c>
      <c r="I3921">
        <v>0.1</v>
      </c>
      <c r="J3921">
        <v>21.04</v>
      </c>
      <c r="K3921" t="s">
        <v>22</v>
      </c>
      <c r="L3921" t="s">
        <v>37</v>
      </c>
      <c r="M3921" t="s">
        <v>161</v>
      </c>
    </row>
    <row r="3922" spans="1:13" x14ac:dyDescent="0.2">
      <c r="A3922">
        <v>751051</v>
      </c>
      <c r="B3922" s="2">
        <v>45283</v>
      </c>
      <c r="C3922">
        <v>99241</v>
      </c>
      <c r="D3922" t="s">
        <v>29</v>
      </c>
      <c r="E3922" t="s">
        <v>170</v>
      </c>
      <c r="F3922" t="s">
        <v>171</v>
      </c>
      <c r="G3922">
        <v>3</v>
      </c>
      <c r="H3922">
        <v>14.24</v>
      </c>
      <c r="I3922">
        <v>0.05</v>
      </c>
      <c r="J3922">
        <v>40.58</v>
      </c>
      <c r="K3922" t="s">
        <v>22</v>
      </c>
      <c r="L3922" t="s">
        <v>37</v>
      </c>
      <c r="M3922" t="s">
        <v>103</v>
      </c>
    </row>
    <row r="3923" spans="1:13" x14ac:dyDescent="0.2">
      <c r="A3923">
        <v>751162</v>
      </c>
      <c r="B3923" s="1">
        <v>45194</v>
      </c>
      <c r="D3923" t="s">
        <v>13</v>
      </c>
      <c r="E3923" t="s">
        <v>186</v>
      </c>
      <c r="F3923" t="s">
        <v>187</v>
      </c>
      <c r="G3923">
        <v>1</v>
      </c>
      <c r="H3923">
        <v>37.49</v>
      </c>
      <c r="I3923">
        <v>0.25</v>
      </c>
      <c r="J3923">
        <v>28.12</v>
      </c>
      <c r="K3923" t="s">
        <v>53</v>
      </c>
      <c r="L3923" t="s">
        <v>37</v>
      </c>
      <c r="M3923" t="s">
        <v>57</v>
      </c>
    </row>
    <row r="3924" spans="1:13" x14ac:dyDescent="0.2">
      <c r="A3924">
        <v>751340</v>
      </c>
      <c r="B3924" s="2">
        <v>44821</v>
      </c>
      <c r="C3924">
        <v>27238</v>
      </c>
      <c r="D3924" t="s">
        <v>13</v>
      </c>
      <c r="E3924" t="s">
        <v>159</v>
      </c>
      <c r="F3924" t="s">
        <v>160</v>
      </c>
      <c r="G3924">
        <v>1</v>
      </c>
      <c r="H3924">
        <v>41.99</v>
      </c>
      <c r="I3924">
        <v>0.3</v>
      </c>
      <c r="J3924">
        <v>29.39</v>
      </c>
      <c r="K3924" t="s">
        <v>32</v>
      </c>
      <c r="L3924" t="s">
        <v>17</v>
      </c>
      <c r="M3924" t="s">
        <v>117</v>
      </c>
    </row>
    <row r="3925" spans="1:13" x14ac:dyDescent="0.2">
      <c r="A3925">
        <v>751380</v>
      </c>
      <c r="B3925" s="1">
        <v>45341</v>
      </c>
      <c r="C3925">
        <v>46809</v>
      </c>
      <c r="D3925" t="s">
        <v>97</v>
      </c>
      <c r="E3925" t="s">
        <v>165</v>
      </c>
      <c r="F3925" t="s">
        <v>166</v>
      </c>
      <c r="G3925">
        <v>1</v>
      </c>
      <c r="H3925">
        <v>89.99</v>
      </c>
      <c r="J3925">
        <v>89.99</v>
      </c>
      <c r="K3925" t="s">
        <v>36</v>
      </c>
      <c r="L3925" t="s">
        <v>17</v>
      </c>
      <c r="M3925" t="s">
        <v>43</v>
      </c>
    </row>
    <row r="3926" spans="1:13" x14ac:dyDescent="0.2">
      <c r="A3926">
        <v>751507</v>
      </c>
      <c r="B3926" s="1">
        <v>45486</v>
      </c>
      <c r="C3926">
        <v>29609</v>
      </c>
      <c r="D3926" t="s">
        <v>44</v>
      </c>
      <c r="E3926" t="s">
        <v>74</v>
      </c>
      <c r="F3926" t="s">
        <v>75</v>
      </c>
      <c r="G3926">
        <v>1</v>
      </c>
      <c r="H3926">
        <v>2.99</v>
      </c>
      <c r="J3926">
        <v>2.99</v>
      </c>
      <c r="K3926" t="s">
        <v>95</v>
      </c>
      <c r="L3926" t="s">
        <v>23</v>
      </c>
      <c r="M3926" t="s">
        <v>54</v>
      </c>
    </row>
    <row r="3927" spans="1:13" x14ac:dyDescent="0.2">
      <c r="A3927">
        <v>751515</v>
      </c>
      <c r="B3927" s="1">
        <v>44832</v>
      </c>
      <c r="C3927">
        <v>66235</v>
      </c>
      <c r="D3927" t="s">
        <v>48</v>
      </c>
      <c r="E3927" t="s">
        <v>139</v>
      </c>
      <c r="F3927" t="s">
        <v>140</v>
      </c>
      <c r="G3927">
        <v>1</v>
      </c>
      <c r="H3927">
        <v>7.99</v>
      </c>
      <c r="J3927">
        <v>7.99</v>
      </c>
      <c r="K3927" t="s">
        <v>36</v>
      </c>
      <c r="L3927" t="s">
        <v>17</v>
      </c>
      <c r="M3927" t="s">
        <v>96</v>
      </c>
    </row>
    <row r="3928" spans="1:13" x14ac:dyDescent="0.2">
      <c r="A3928">
        <v>751521</v>
      </c>
      <c r="B3928" s="1">
        <v>45292</v>
      </c>
      <c r="C3928">
        <v>18121</v>
      </c>
      <c r="D3928" t="s">
        <v>44</v>
      </c>
      <c r="E3928" t="s">
        <v>133</v>
      </c>
      <c r="F3928" t="s">
        <v>134</v>
      </c>
      <c r="G3928">
        <v>2</v>
      </c>
      <c r="H3928">
        <v>2.65</v>
      </c>
      <c r="I3928">
        <v>0.3</v>
      </c>
      <c r="J3928">
        <v>3.71</v>
      </c>
      <c r="K3928" t="s">
        <v>95</v>
      </c>
      <c r="L3928" t="s">
        <v>23</v>
      </c>
      <c r="M3928" t="s">
        <v>76</v>
      </c>
    </row>
    <row r="3929" spans="1:13" x14ac:dyDescent="0.2">
      <c r="A3929">
        <v>751782</v>
      </c>
      <c r="B3929" s="2">
        <v>44586</v>
      </c>
      <c r="C3929">
        <v>37299</v>
      </c>
      <c r="D3929" t="s">
        <v>19</v>
      </c>
      <c r="E3929" t="s">
        <v>41</v>
      </c>
      <c r="F3929" t="s">
        <v>42</v>
      </c>
      <c r="G3929">
        <v>2</v>
      </c>
      <c r="H3929">
        <v>5.39</v>
      </c>
      <c r="I3929">
        <v>0.1</v>
      </c>
      <c r="J3929">
        <v>9.6999999999999993</v>
      </c>
      <c r="K3929" t="s">
        <v>16</v>
      </c>
      <c r="L3929" t="s">
        <v>23</v>
      </c>
      <c r="M3929" t="s">
        <v>57</v>
      </c>
    </row>
    <row r="3930" spans="1:13" x14ac:dyDescent="0.2">
      <c r="A3930">
        <v>751871</v>
      </c>
      <c r="B3930" s="1">
        <v>45296</v>
      </c>
      <c r="C3930">
        <v>96684</v>
      </c>
      <c r="D3930" t="s">
        <v>25</v>
      </c>
      <c r="E3930" t="s">
        <v>60</v>
      </c>
      <c r="F3930" t="s">
        <v>61</v>
      </c>
      <c r="G3930">
        <v>1</v>
      </c>
      <c r="H3930">
        <v>41.24</v>
      </c>
      <c r="I3930">
        <v>0.25</v>
      </c>
      <c r="J3930">
        <v>30.93</v>
      </c>
      <c r="K3930" t="s">
        <v>95</v>
      </c>
      <c r="L3930" t="s">
        <v>17</v>
      </c>
      <c r="M3930" t="s">
        <v>103</v>
      </c>
    </row>
    <row r="3931" spans="1:13" x14ac:dyDescent="0.2">
      <c r="A3931">
        <v>751931</v>
      </c>
      <c r="B3931" s="1">
        <v>45366</v>
      </c>
      <c r="C3931">
        <v>66520</v>
      </c>
      <c r="D3931" t="s">
        <v>85</v>
      </c>
      <c r="E3931" t="s">
        <v>149</v>
      </c>
      <c r="F3931" t="s">
        <v>150</v>
      </c>
      <c r="G3931">
        <v>1</v>
      </c>
      <c r="H3931">
        <v>15.99</v>
      </c>
      <c r="J3931">
        <v>15.99</v>
      </c>
      <c r="K3931" t="s">
        <v>16</v>
      </c>
      <c r="L3931" t="s">
        <v>37</v>
      </c>
      <c r="M3931" t="s">
        <v>18</v>
      </c>
    </row>
    <row r="3932" spans="1:13" x14ac:dyDescent="0.2">
      <c r="A3932">
        <v>751942</v>
      </c>
      <c r="B3932" s="1">
        <v>45427</v>
      </c>
      <c r="C3932">
        <v>95966</v>
      </c>
      <c r="D3932" t="s">
        <v>85</v>
      </c>
      <c r="E3932" t="s">
        <v>157</v>
      </c>
      <c r="F3932" t="s">
        <v>158</v>
      </c>
      <c r="G3932">
        <v>1</v>
      </c>
      <c r="H3932">
        <v>13.49</v>
      </c>
      <c r="J3932">
        <v>13.49</v>
      </c>
      <c r="K3932" t="s">
        <v>36</v>
      </c>
      <c r="L3932" t="s">
        <v>23</v>
      </c>
      <c r="M3932" t="s">
        <v>103</v>
      </c>
    </row>
    <row r="3933" spans="1:13" x14ac:dyDescent="0.2">
      <c r="A3933">
        <v>752161</v>
      </c>
      <c r="B3933" s="1">
        <v>45461</v>
      </c>
      <c r="C3933">
        <v>54321</v>
      </c>
      <c r="D3933" t="s">
        <v>44</v>
      </c>
      <c r="E3933" t="s">
        <v>172</v>
      </c>
      <c r="F3933" t="s">
        <v>173</v>
      </c>
      <c r="G3933">
        <v>5</v>
      </c>
      <c r="H3933">
        <v>3.37</v>
      </c>
      <c r="I3933">
        <v>0.25</v>
      </c>
      <c r="J3933">
        <v>12.64</v>
      </c>
      <c r="K3933" t="s">
        <v>22</v>
      </c>
      <c r="L3933" t="s">
        <v>17</v>
      </c>
      <c r="M3933" t="s">
        <v>117</v>
      </c>
    </row>
    <row r="3934" spans="1:13" x14ac:dyDescent="0.2">
      <c r="A3934">
        <v>752263</v>
      </c>
      <c r="B3934" s="1">
        <v>45448</v>
      </c>
      <c r="C3934">
        <v>65954</v>
      </c>
      <c r="D3934" t="s">
        <v>40</v>
      </c>
      <c r="E3934" t="s">
        <v>115</v>
      </c>
      <c r="F3934" t="s">
        <v>116</v>
      </c>
      <c r="G3934">
        <v>5</v>
      </c>
      <c r="H3934">
        <v>12.99</v>
      </c>
      <c r="J3934">
        <v>64.95</v>
      </c>
      <c r="K3934" t="s">
        <v>36</v>
      </c>
      <c r="L3934" t="s">
        <v>17</v>
      </c>
      <c r="M3934" t="s">
        <v>76</v>
      </c>
    </row>
    <row r="3935" spans="1:13" x14ac:dyDescent="0.2">
      <c r="A3935">
        <v>752327</v>
      </c>
      <c r="B3935" s="1">
        <v>45163</v>
      </c>
      <c r="C3935">
        <v>98771</v>
      </c>
      <c r="D3935" t="s">
        <v>63</v>
      </c>
      <c r="E3935" t="s">
        <v>64</v>
      </c>
      <c r="F3935" t="s">
        <v>65</v>
      </c>
      <c r="G3935">
        <v>2</v>
      </c>
      <c r="H3935">
        <v>3.49</v>
      </c>
      <c r="I3935">
        <v>0.3</v>
      </c>
      <c r="J3935">
        <v>4.8899999999999997</v>
      </c>
      <c r="K3935" t="s">
        <v>16</v>
      </c>
      <c r="L3935" t="s">
        <v>17</v>
      </c>
      <c r="M3935" t="s">
        <v>117</v>
      </c>
    </row>
    <row r="3936" spans="1:13" x14ac:dyDescent="0.2">
      <c r="A3936">
        <v>752593</v>
      </c>
      <c r="B3936" s="1">
        <v>45302</v>
      </c>
      <c r="C3936">
        <v>45026</v>
      </c>
      <c r="D3936" t="s">
        <v>82</v>
      </c>
      <c r="E3936" t="s">
        <v>100</v>
      </c>
      <c r="F3936" t="s">
        <v>101</v>
      </c>
      <c r="G3936">
        <v>1</v>
      </c>
      <c r="H3936">
        <v>22.99</v>
      </c>
      <c r="J3936">
        <v>22.99</v>
      </c>
      <c r="K3936" t="s">
        <v>36</v>
      </c>
      <c r="L3936" t="s">
        <v>17</v>
      </c>
      <c r="M3936" t="s">
        <v>76</v>
      </c>
    </row>
    <row r="3937" spans="1:13" x14ac:dyDescent="0.2">
      <c r="A3937">
        <v>752767</v>
      </c>
      <c r="B3937" s="1">
        <v>44870</v>
      </c>
      <c r="C3937">
        <v>40532</v>
      </c>
      <c r="D3937" t="s">
        <v>48</v>
      </c>
      <c r="E3937" t="s">
        <v>143</v>
      </c>
      <c r="F3937" t="s">
        <v>144</v>
      </c>
      <c r="G3937">
        <v>4</v>
      </c>
      <c r="H3937">
        <v>11.99</v>
      </c>
      <c r="I3937">
        <v>0.2</v>
      </c>
      <c r="J3937">
        <v>38.369999999999997</v>
      </c>
      <c r="K3937" t="s">
        <v>22</v>
      </c>
      <c r="L3937" t="s">
        <v>17</v>
      </c>
      <c r="M3937" t="s">
        <v>28</v>
      </c>
    </row>
    <row r="3938" spans="1:13" x14ac:dyDescent="0.2">
      <c r="A3938">
        <v>752911</v>
      </c>
      <c r="B3938" s="2">
        <v>45324</v>
      </c>
      <c r="C3938">
        <v>23684</v>
      </c>
      <c r="D3938" t="s">
        <v>82</v>
      </c>
      <c r="E3938" t="s">
        <v>155</v>
      </c>
      <c r="F3938" t="s">
        <v>156</v>
      </c>
      <c r="G3938">
        <v>1</v>
      </c>
      <c r="H3938">
        <v>17.989999999999998</v>
      </c>
      <c r="I3938">
        <v>0.1</v>
      </c>
      <c r="J3938">
        <v>16.190000000000001</v>
      </c>
      <c r="K3938" t="s">
        <v>16</v>
      </c>
      <c r="L3938" t="s">
        <v>17</v>
      </c>
      <c r="M3938" t="s">
        <v>90</v>
      </c>
    </row>
    <row r="3939" spans="1:13" x14ac:dyDescent="0.2">
      <c r="A3939">
        <v>753323</v>
      </c>
      <c r="B3939" s="2">
        <v>45174</v>
      </c>
      <c r="C3939">
        <v>51150</v>
      </c>
      <c r="D3939" t="s">
        <v>48</v>
      </c>
      <c r="E3939" t="s">
        <v>139</v>
      </c>
      <c r="F3939" t="s">
        <v>140</v>
      </c>
      <c r="G3939">
        <v>1</v>
      </c>
      <c r="H3939">
        <v>7.99</v>
      </c>
      <c r="J3939">
        <v>7.99</v>
      </c>
      <c r="K3939" t="s">
        <v>16</v>
      </c>
      <c r="L3939" t="s">
        <v>23</v>
      </c>
      <c r="M3939" t="s">
        <v>102</v>
      </c>
    </row>
    <row r="3940" spans="1:13" x14ac:dyDescent="0.2">
      <c r="A3940">
        <v>753427</v>
      </c>
      <c r="B3940" s="1">
        <v>45015</v>
      </c>
      <c r="C3940">
        <v>45702</v>
      </c>
      <c r="D3940" t="s">
        <v>63</v>
      </c>
      <c r="E3940" t="s">
        <v>125</v>
      </c>
      <c r="F3940" t="s">
        <v>126</v>
      </c>
      <c r="G3940">
        <v>4</v>
      </c>
      <c r="H3940">
        <v>29.99</v>
      </c>
      <c r="J3940">
        <v>119.96</v>
      </c>
      <c r="K3940" t="s">
        <v>53</v>
      </c>
      <c r="L3940" t="s">
        <v>17</v>
      </c>
      <c r="M3940" t="s">
        <v>161</v>
      </c>
    </row>
    <row r="3941" spans="1:13" x14ac:dyDescent="0.2">
      <c r="A3941">
        <v>753463</v>
      </c>
      <c r="B3941" s="2">
        <v>44648</v>
      </c>
      <c r="C3941">
        <v>13558</v>
      </c>
      <c r="D3941" t="s">
        <v>97</v>
      </c>
      <c r="E3941" t="s">
        <v>165</v>
      </c>
      <c r="F3941" t="s">
        <v>166</v>
      </c>
      <c r="G3941">
        <v>2</v>
      </c>
      <c r="H3941">
        <v>62.99</v>
      </c>
      <c r="J3941">
        <v>125.98</v>
      </c>
      <c r="K3941" t="s">
        <v>16</v>
      </c>
      <c r="L3941" t="s">
        <v>37</v>
      </c>
      <c r="M3941" t="s">
        <v>47</v>
      </c>
    </row>
    <row r="3942" spans="1:13" x14ac:dyDescent="0.2">
      <c r="A3942">
        <v>753463</v>
      </c>
      <c r="B3942" s="1">
        <v>44877</v>
      </c>
      <c r="C3942">
        <v>86645</v>
      </c>
      <c r="D3942" t="s">
        <v>13</v>
      </c>
      <c r="E3942" t="s">
        <v>34</v>
      </c>
      <c r="F3942" t="s">
        <v>35</v>
      </c>
      <c r="G3942">
        <v>4</v>
      </c>
      <c r="H3942">
        <v>29.74</v>
      </c>
      <c r="I3942">
        <v>0.15</v>
      </c>
      <c r="J3942">
        <v>101.12</v>
      </c>
      <c r="K3942" t="s">
        <v>22</v>
      </c>
      <c r="L3942" t="s">
        <v>17</v>
      </c>
      <c r="M3942" t="s">
        <v>62</v>
      </c>
    </row>
    <row r="3943" spans="1:13" x14ac:dyDescent="0.2">
      <c r="A3943">
        <v>753524</v>
      </c>
      <c r="B3943" s="2">
        <v>45498</v>
      </c>
      <c r="C3943">
        <v>85216</v>
      </c>
      <c r="D3943" t="s">
        <v>44</v>
      </c>
      <c r="E3943" t="s">
        <v>184</v>
      </c>
      <c r="F3943" t="s">
        <v>185</v>
      </c>
      <c r="G3943">
        <v>1</v>
      </c>
      <c r="H3943">
        <v>3.84</v>
      </c>
      <c r="I3943">
        <v>0.3</v>
      </c>
      <c r="J3943">
        <v>2.69</v>
      </c>
      <c r="K3943" t="s">
        <v>16</v>
      </c>
      <c r="L3943" t="s">
        <v>17</v>
      </c>
      <c r="M3943" t="s">
        <v>24</v>
      </c>
    </row>
    <row r="3944" spans="1:13" x14ac:dyDescent="0.2">
      <c r="A3944">
        <v>753854</v>
      </c>
      <c r="B3944" s="1">
        <v>44889</v>
      </c>
      <c r="C3944">
        <v>31692</v>
      </c>
      <c r="D3944" t="s">
        <v>25</v>
      </c>
      <c r="E3944" t="s">
        <v>60</v>
      </c>
      <c r="F3944" t="s">
        <v>61</v>
      </c>
      <c r="G3944">
        <v>4</v>
      </c>
      <c r="H3944">
        <v>49.49</v>
      </c>
      <c r="I3944">
        <v>0.1</v>
      </c>
      <c r="J3944">
        <v>178.16</v>
      </c>
      <c r="K3944" t="s">
        <v>22</v>
      </c>
      <c r="L3944" t="s">
        <v>17</v>
      </c>
      <c r="M3944" t="s">
        <v>62</v>
      </c>
    </row>
    <row r="3945" spans="1:13" x14ac:dyDescent="0.2">
      <c r="A3945">
        <v>754195</v>
      </c>
      <c r="B3945" s="1">
        <v>45420</v>
      </c>
      <c r="C3945">
        <v>76502</v>
      </c>
      <c r="D3945" t="s">
        <v>63</v>
      </c>
      <c r="E3945" t="s">
        <v>68</v>
      </c>
      <c r="F3945" t="s">
        <v>69</v>
      </c>
      <c r="G3945">
        <v>3</v>
      </c>
      <c r="H3945">
        <v>17.489999999999998</v>
      </c>
      <c r="I3945">
        <v>0.3</v>
      </c>
      <c r="J3945">
        <v>36.729999999999997</v>
      </c>
      <c r="K3945" t="s">
        <v>36</v>
      </c>
      <c r="L3945" t="s">
        <v>17</v>
      </c>
      <c r="M3945" t="s">
        <v>103</v>
      </c>
    </row>
    <row r="3946" spans="1:13" x14ac:dyDescent="0.2">
      <c r="A3946">
        <v>754218</v>
      </c>
      <c r="B3946" s="1">
        <v>45317</v>
      </c>
      <c r="C3946">
        <v>29299</v>
      </c>
      <c r="D3946" t="s">
        <v>82</v>
      </c>
      <c r="E3946" t="s">
        <v>155</v>
      </c>
      <c r="F3946" t="s">
        <v>156</v>
      </c>
      <c r="G3946">
        <v>1</v>
      </c>
      <c r="H3946">
        <v>14.99</v>
      </c>
      <c r="I3946">
        <v>0.25</v>
      </c>
      <c r="J3946">
        <v>11.24</v>
      </c>
      <c r="K3946" t="s">
        <v>36</v>
      </c>
      <c r="L3946" t="s">
        <v>17</v>
      </c>
      <c r="M3946" t="s">
        <v>103</v>
      </c>
    </row>
    <row r="3947" spans="1:13" x14ac:dyDescent="0.2">
      <c r="A3947">
        <v>754234</v>
      </c>
      <c r="B3947" s="1">
        <v>45579</v>
      </c>
      <c r="C3947">
        <v>97867</v>
      </c>
      <c r="D3947" t="s">
        <v>85</v>
      </c>
      <c r="E3947" t="s">
        <v>157</v>
      </c>
      <c r="F3947" t="s">
        <v>158</v>
      </c>
      <c r="G3947">
        <v>1</v>
      </c>
      <c r="H3947">
        <v>11.47</v>
      </c>
      <c r="I3947">
        <v>0.15</v>
      </c>
      <c r="J3947">
        <v>9.75</v>
      </c>
      <c r="K3947" t="s">
        <v>32</v>
      </c>
      <c r="L3947" t="s">
        <v>37</v>
      </c>
      <c r="M3947" t="s">
        <v>28</v>
      </c>
    </row>
    <row r="3948" spans="1:13" x14ac:dyDescent="0.2">
      <c r="A3948">
        <v>754325</v>
      </c>
      <c r="B3948" s="2">
        <v>45303</v>
      </c>
      <c r="C3948">
        <v>69590</v>
      </c>
      <c r="D3948" t="s">
        <v>25</v>
      </c>
      <c r="E3948" t="s">
        <v>26</v>
      </c>
      <c r="F3948" t="s">
        <v>27</v>
      </c>
      <c r="G3948">
        <v>1</v>
      </c>
      <c r="H3948">
        <v>34.99</v>
      </c>
      <c r="J3948">
        <v>34.99</v>
      </c>
      <c r="K3948" t="s">
        <v>16</v>
      </c>
      <c r="L3948" t="s">
        <v>37</v>
      </c>
      <c r="M3948" t="s">
        <v>96</v>
      </c>
    </row>
    <row r="3949" spans="1:13" x14ac:dyDescent="0.2">
      <c r="A3949">
        <v>754848</v>
      </c>
      <c r="B3949" s="1">
        <v>45405</v>
      </c>
      <c r="C3949">
        <v>40191</v>
      </c>
      <c r="D3949" t="s">
        <v>85</v>
      </c>
      <c r="E3949" t="s">
        <v>145</v>
      </c>
      <c r="F3949" t="s">
        <v>146</v>
      </c>
      <c r="G3949">
        <v>3</v>
      </c>
      <c r="H3949">
        <v>16.989999999999998</v>
      </c>
      <c r="J3949">
        <v>50.97</v>
      </c>
      <c r="K3949" t="s">
        <v>32</v>
      </c>
      <c r="L3949" t="s">
        <v>17</v>
      </c>
      <c r="M3949" t="s">
        <v>81</v>
      </c>
    </row>
    <row r="3950" spans="1:13" x14ac:dyDescent="0.2">
      <c r="A3950">
        <v>755109</v>
      </c>
      <c r="B3950" s="1">
        <v>45382</v>
      </c>
      <c r="C3950">
        <v>86675</v>
      </c>
      <c r="D3950" t="s">
        <v>48</v>
      </c>
      <c r="E3950" t="s">
        <v>139</v>
      </c>
      <c r="F3950" t="s">
        <v>140</v>
      </c>
      <c r="G3950">
        <v>4</v>
      </c>
      <c r="H3950">
        <v>7.19</v>
      </c>
      <c r="I3950">
        <v>0.1</v>
      </c>
      <c r="J3950">
        <v>25.88</v>
      </c>
      <c r="K3950" t="s">
        <v>16</v>
      </c>
      <c r="L3950" t="s">
        <v>17</v>
      </c>
      <c r="M3950" t="s">
        <v>43</v>
      </c>
    </row>
    <row r="3951" spans="1:13" x14ac:dyDescent="0.2">
      <c r="A3951">
        <v>755472</v>
      </c>
      <c r="B3951" s="1">
        <v>45204</v>
      </c>
      <c r="C3951">
        <v>99139</v>
      </c>
      <c r="D3951" t="s">
        <v>63</v>
      </c>
      <c r="E3951" t="s">
        <v>111</v>
      </c>
      <c r="F3951" t="s">
        <v>112</v>
      </c>
      <c r="G3951">
        <v>1</v>
      </c>
      <c r="H3951">
        <v>11.99</v>
      </c>
      <c r="I3951">
        <v>0.2</v>
      </c>
      <c r="J3951">
        <v>9.59</v>
      </c>
      <c r="K3951" t="s">
        <v>16</v>
      </c>
      <c r="L3951" t="s">
        <v>17</v>
      </c>
    </row>
    <row r="3952" spans="1:13" x14ac:dyDescent="0.2">
      <c r="A3952">
        <v>755632</v>
      </c>
      <c r="B3952" s="2">
        <v>44675</v>
      </c>
      <c r="C3952">
        <v>53116</v>
      </c>
      <c r="D3952" t="s">
        <v>13</v>
      </c>
      <c r="E3952" t="s">
        <v>34</v>
      </c>
      <c r="F3952" t="s">
        <v>35</v>
      </c>
      <c r="G3952">
        <v>1</v>
      </c>
      <c r="H3952">
        <v>34.99</v>
      </c>
      <c r="J3952">
        <v>34.99</v>
      </c>
      <c r="K3952" t="s">
        <v>16</v>
      </c>
      <c r="L3952" t="s">
        <v>17</v>
      </c>
      <c r="M3952" t="s">
        <v>24</v>
      </c>
    </row>
    <row r="3953" spans="1:13" x14ac:dyDescent="0.2">
      <c r="A3953">
        <v>755731</v>
      </c>
      <c r="B3953" s="2">
        <v>45285</v>
      </c>
      <c r="C3953">
        <v>27452</v>
      </c>
      <c r="D3953" t="s">
        <v>48</v>
      </c>
      <c r="E3953" t="s">
        <v>118</v>
      </c>
      <c r="F3953" t="s">
        <v>119</v>
      </c>
      <c r="G3953">
        <v>4</v>
      </c>
      <c r="H3953">
        <v>4.24</v>
      </c>
      <c r="I3953">
        <v>0.15</v>
      </c>
      <c r="J3953">
        <v>14.42</v>
      </c>
      <c r="K3953" t="s">
        <v>36</v>
      </c>
      <c r="L3953" t="s">
        <v>17</v>
      </c>
      <c r="M3953" t="s">
        <v>28</v>
      </c>
    </row>
    <row r="3954" spans="1:13" x14ac:dyDescent="0.2">
      <c r="A3954">
        <v>756263</v>
      </c>
      <c r="B3954" s="2">
        <v>44946</v>
      </c>
      <c r="C3954">
        <v>49744</v>
      </c>
      <c r="D3954" t="s">
        <v>85</v>
      </c>
      <c r="E3954" t="s">
        <v>86</v>
      </c>
      <c r="F3954" t="s">
        <v>87</v>
      </c>
      <c r="G3954">
        <v>1</v>
      </c>
      <c r="H3954">
        <v>11.04</v>
      </c>
      <c r="I3954">
        <v>0.15</v>
      </c>
      <c r="J3954">
        <v>9.3800000000000008</v>
      </c>
      <c r="K3954" t="s">
        <v>16</v>
      </c>
      <c r="L3954" t="s">
        <v>37</v>
      </c>
      <c r="M3954" t="s">
        <v>18</v>
      </c>
    </row>
    <row r="3955" spans="1:13" x14ac:dyDescent="0.2">
      <c r="A3955">
        <v>756361</v>
      </c>
      <c r="B3955" s="1">
        <v>45165</v>
      </c>
      <c r="C3955">
        <v>46659</v>
      </c>
      <c r="D3955" t="s">
        <v>44</v>
      </c>
      <c r="E3955" t="s">
        <v>45</v>
      </c>
      <c r="F3955" t="s">
        <v>46</v>
      </c>
      <c r="G3955">
        <v>5</v>
      </c>
      <c r="H3955">
        <v>1.52</v>
      </c>
      <c r="I3955">
        <v>0.15</v>
      </c>
      <c r="J3955">
        <v>6.46</v>
      </c>
      <c r="K3955" t="s">
        <v>16</v>
      </c>
      <c r="L3955" t="s">
        <v>37</v>
      </c>
      <c r="M3955" t="s">
        <v>57</v>
      </c>
    </row>
    <row r="3956" spans="1:13" x14ac:dyDescent="0.2">
      <c r="A3956">
        <v>756419</v>
      </c>
      <c r="B3956" s="1">
        <v>45312</v>
      </c>
      <c r="C3956">
        <v>89346</v>
      </c>
      <c r="D3956" t="s">
        <v>44</v>
      </c>
      <c r="E3956" t="s">
        <v>93</v>
      </c>
      <c r="F3956" t="s">
        <v>94</v>
      </c>
      <c r="G3956">
        <v>1</v>
      </c>
      <c r="H3956">
        <v>1.29</v>
      </c>
      <c r="J3956">
        <v>1.29</v>
      </c>
      <c r="K3956" t="s">
        <v>66</v>
      </c>
      <c r="L3956" t="s">
        <v>17</v>
      </c>
      <c r="M3956" t="s">
        <v>54</v>
      </c>
    </row>
    <row r="3957" spans="1:13" x14ac:dyDescent="0.2">
      <c r="A3957">
        <v>756529</v>
      </c>
      <c r="B3957" s="1">
        <v>44635</v>
      </c>
      <c r="C3957">
        <v>45880</v>
      </c>
      <c r="D3957" t="s">
        <v>63</v>
      </c>
      <c r="E3957" t="s">
        <v>131</v>
      </c>
      <c r="F3957" t="s">
        <v>132</v>
      </c>
      <c r="G3957">
        <v>1</v>
      </c>
      <c r="H3957">
        <v>3.49</v>
      </c>
      <c r="J3957">
        <v>3.49</v>
      </c>
      <c r="K3957" t="s">
        <v>32</v>
      </c>
      <c r="L3957" t="s">
        <v>17</v>
      </c>
      <c r="M3957" t="s">
        <v>28</v>
      </c>
    </row>
    <row r="3958" spans="1:13" x14ac:dyDescent="0.2">
      <c r="A3958">
        <v>756876</v>
      </c>
      <c r="B3958" s="1">
        <v>44642</v>
      </c>
      <c r="C3958">
        <v>78559</v>
      </c>
      <c r="D3958" t="s">
        <v>40</v>
      </c>
      <c r="E3958" t="s">
        <v>20</v>
      </c>
      <c r="F3958" t="s">
        <v>21</v>
      </c>
      <c r="G3958">
        <v>5</v>
      </c>
      <c r="H3958">
        <v>9.99</v>
      </c>
      <c r="J3958">
        <v>49.95</v>
      </c>
      <c r="K3958" t="s">
        <v>36</v>
      </c>
      <c r="L3958" t="s">
        <v>17</v>
      </c>
      <c r="M3958" t="s">
        <v>120</v>
      </c>
    </row>
    <row r="3959" spans="1:13" x14ac:dyDescent="0.2">
      <c r="A3959">
        <v>757105</v>
      </c>
      <c r="B3959" s="1">
        <v>45238</v>
      </c>
      <c r="C3959">
        <v>30470</v>
      </c>
      <c r="D3959" t="s">
        <v>63</v>
      </c>
      <c r="E3959" t="s">
        <v>64</v>
      </c>
      <c r="F3959" t="s">
        <v>65</v>
      </c>
      <c r="G3959">
        <v>5</v>
      </c>
      <c r="H3959">
        <v>3.74</v>
      </c>
      <c r="I3959">
        <v>0.25</v>
      </c>
      <c r="J3959">
        <v>14.03</v>
      </c>
      <c r="K3959" t="s">
        <v>32</v>
      </c>
      <c r="L3959" t="s">
        <v>17</v>
      </c>
      <c r="M3959" t="s">
        <v>103</v>
      </c>
    </row>
    <row r="3960" spans="1:13" x14ac:dyDescent="0.2">
      <c r="A3960">
        <v>757155</v>
      </c>
      <c r="B3960" s="1">
        <v>45640</v>
      </c>
      <c r="C3960">
        <v>49787</v>
      </c>
      <c r="D3960" t="s">
        <v>85</v>
      </c>
      <c r="E3960" t="s">
        <v>129</v>
      </c>
      <c r="F3960" t="s">
        <v>130</v>
      </c>
      <c r="G3960">
        <v>2</v>
      </c>
      <c r="H3960">
        <v>8.99</v>
      </c>
      <c r="J3960">
        <v>17.98</v>
      </c>
      <c r="K3960" t="s">
        <v>36</v>
      </c>
      <c r="L3960" t="s">
        <v>37</v>
      </c>
      <c r="M3960" t="s">
        <v>102</v>
      </c>
    </row>
    <row r="3961" spans="1:13" x14ac:dyDescent="0.2">
      <c r="A3961">
        <v>757218</v>
      </c>
      <c r="B3961" s="2">
        <v>45435</v>
      </c>
      <c r="C3961">
        <v>86904</v>
      </c>
      <c r="D3961" t="s">
        <v>97</v>
      </c>
      <c r="E3961" t="s">
        <v>135</v>
      </c>
      <c r="F3961" t="s">
        <v>136</v>
      </c>
      <c r="G3961">
        <v>2</v>
      </c>
      <c r="H3961">
        <v>9.99</v>
      </c>
      <c r="J3961">
        <v>19.98</v>
      </c>
      <c r="K3961" t="s">
        <v>22</v>
      </c>
      <c r="L3961" t="s">
        <v>17</v>
      </c>
      <c r="M3961" t="s">
        <v>123</v>
      </c>
    </row>
    <row r="3962" spans="1:13" x14ac:dyDescent="0.2">
      <c r="A3962">
        <v>757256</v>
      </c>
      <c r="B3962" s="1">
        <v>45571</v>
      </c>
      <c r="C3962">
        <v>51764</v>
      </c>
      <c r="D3962" t="s">
        <v>82</v>
      </c>
      <c r="E3962" t="s">
        <v>83</v>
      </c>
      <c r="F3962" t="s">
        <v>84</v>
      </c>
      <c r="G3962">
        <v>1</v>
      </c>
      <c r="H3962">
        <v>14.44</v>
      </c>
      <c r="I3962">
        <v>0.15</v>
      </c>
      <c r="J3962">
        <v>12.27</v>
      </c>
      <c r="K3962" t="s">
        <v>95</v>
      </c>
      <c r="L3962" t="s">
        <v>37</v>
      </c>
      <c r="M3962" t="s">
        <v>81</v>
      </c>
    </row>
    <row r="3963" spans="1:13" x14ac:dyDescent="0.2">
      <c r="A3963">
        <v>757442</v>
      </c>
      <c r="B3963" s="2">
        <v>44708</v>
      </c>
      <c r="C3963">
        <v>26709</v>
      </c>
      <c r="D3963" t="s">
        <v>40</v>
      </c>
      <c r="E3963" t="s">
        <v>115</v>
      </c>
      <c r="F3963" t="s">
        <v>116</v>
      </c>
      <c r="G3963">
        <v>3</v>
      </c>
      <c r="H3963">
        <v>12.99</v>
      </c>
      <c r="J3963">
        <v>38.97</v>
      </c>
      <c r="K3963" t="s">
        <v>22</v>
      </c>
      <c r="L3963" t="s">
        <v>17</v>
      </c>
      <c r="M3963" t="s">
        <v>90</v>
      </c>
    </row>
    <row r="3964" spans="1:13" x14ac:dyDescent="0.2">
      <c r="A3964">
        <v>757694</v>
      </c>
      <c r="B3964" s="1">
        <v>45453</v>
      </c>
      <c r="C3964">
        <v>18783</v>
      </c>
      <c r="D3964" t="s">
        <v>48</v>
      </c>
      <c r="E3964" t="s">
        <v>109</v>
      </c>
      <c r="F3964" t="s">
        <v>110</v>
      </c>
      <c r="G3964">
        <v>5</v>
      </c>
      <c r="H3964">
        <v>6.64</v>
      </c>
      <c r="I3964">
        <v>0.05</v>
      </c>
      <c r="J3964">
        <v>31.54</v>
      </c>
      <c r="K3964" t="s">
        <v>16</v>
      </c>
      <c r="L3964" t="s">
        <v>17</v>
      </c>
      <c r="M3964" t="s">
        <v>24</v>
      </c>
    </row>
    <row r="3965" spans="1:13" x14ac:dyDescent="0.2">
      <c r="A3965">
        <v>757819</v>
      </c>
      <c r="B3965" s="2">
        <v>45038</v>
      </c>
      <c r="C3965">
        <v>88909</v>
      </c>
      <c r="D3965" t="s">
        <v>40</v>
      </c>
      <c r="E3965" t="s">
        <v>41</v>
      </c>
      <c r="F3965" t="s">
        <v>42</v>
      </c>
      <c r="G3965">
        <v>1</v>
      </c>
      <c r="H3965">
        <v>5.39</v>
      </c>
      <c r="I3965">
        <v>0.1</v>
      </c>
      <c r="J3965">
        <v>4.8499999999999996</v>
      </c>
      <c r="K3965" t="s">
        <v>95</v>
      </c>
      <c r="L3965" t="s">
        <v>37</v>
      </c>
      <c r="M3965" t="s">
        <v>117</v>
      </c>
    </row>
    <row r="3966" spans="1:13" x14ac:dyDescent="0.2">
      <c r="A3966">
        <v>758084</v>
      </c>
      <c r="B3966" s="1">
        <v>45014</v>
      </c>
      <c r="C3966">
        <v>69831</v>
      </c>
      <c r="D3966" t="s">
        <v>13</v>
      </c>
      <c r="E3966" t="s">
        <v>14</v>
      </c>
      <c r="F3966" t="s">
        <v>15</v>
      </c>
      <c r="G3966">
        <v>1</v>
      </c>
      <c r="H3966">
        <v>79.989999999999995</v>
      </c>
      <c r="J3966">
        <v>79.989999999999995</v>
      </c>
      <c r="K3966" t="s">
        <v>36</v>
      </c>
      <c r="L3966" t="s">
        <v>17</v>
      </c>
      <c r="M3966" t="s">
        <v>90</v>
      </c>
    </row>
    <row r="3967" spans="1:13" x14ac:dyDescent="0.2">
      <c r="A3967">
        <v>758169</v>
      </c>
      <c r="B3967" s="1">
        <v>44997</v>
      </c>
      <c r="C3967">
        <v>76962</v>
      </c>
      <c r="D3967" t="s">
        <v>63</v>
      </c>
      <c r="E3967" t="s">
        <v>131</v>
      </c>
      <c r="F3967" t="s">
        <v>132</v>
      </c>
      <c r="G3967">
        <v>2</v>
      </c>
      <c r="H3967">
        <v>3.49</v>
      </c>
      <c r="J3967">
        <v>6.98</v>
      </c>
      <c r="K3967" t="s">
        <v>36</v>
      </c>
      <c r="L3967" t="s">
        <v>17</v>
      </c>
      <c r="M3967" t="s">
        <v>161</v>
      </c>
    </row>
    <row r="3968" spans="1:13" x14ac:dyDescent="0.2">
      <c r="A3968">
        <v>758177</v>
      </c>
      <c r="B3968" s="1">
        <v>44739</v>
      </c>
      <c r="C3968">
        <v>30893</v>
      </c>
      <c r="D3968" t="s">
        <v>44</v>
      </c>
      <c r="E3968" t="s">
        <v>162</v>
      </c>
      <c r="F3968" t="s">
        <v>163</v>
      </c>
      <c r="G3968">
        <v>2</v>
      </c>
      <c r="H3968">
        <v>7.99</v>
      </c>
      <c r="J3968">
        <v>15.98</v>
      </c>
      <c r="K3968" t="s">
        <v>16</v>
      </c>
      <c r="L3968" t="s">
        <v>17</v>
      </c>
      <c r="M3968" t="s">
        <v>54</v>
      </c>
    </row>
    <row r="3969" spans="1:13" x14ac:dyDescent="0.2">
      <c r="A3969">
        <v>758317</v>
      </c>
      <c r="B3969" s="1">
        <v>45374</v>
      </c>
      <c r="C3969">
        <v>60555</v>
      </c>
      <c r="D3969" t="s">
        <v>63</v>
      </c>
      <c r="E3969" t="s">
        <v>125</v>
      </c>
      <c r="F3969" t="s">
        <v>126</v>
      </c>
      <c r="G3969">
        <v>1</v>
      </c>
      <c r="H3969">
        <v>22.49</v>
      </c>
      <c r="I3969">
        <v>0.25</v>
      </c>
      <c r="J3969">
        <v>16.87</v>
      </c>
      <c r="K3969" t="s">
        <v>36</v>
      </c>
      <c r="L3969" t="s">
        <v>37</v>
      </c>
      <c r="M3969" t="s">
        <v>103</v>
      </c>
    </row>
    <row r="3970" spans="1:13" x14ac:dyDescent="0.2">
      <c r="A3970">
        <v>758425</v>
      </c>
      <c r="B3970" s="1">
        <v>45549</v>
      </c>
      <c r="C3970">
        <v>88591</v>
      </c>
      <c r="D3970" t="s">
        <v>40</v>
      </c>
      <c r="E3970" t="s">
        <v>197</v>
      </c>
      <c r="F3970" t="s">
        <v>198</v>
      </c>
      <c r="G3970">
        <v>1</v>
      </c>
      <c r="H3970">
        <v>12.74</v>
      </c>
      <c r="I3970">
        <v>0.15</v>
      </c>
      <c r="J3970">
        <v>10.83</v>
      </c>
      <c r="K3970" t="s">
        <v>16</v>
      </c>
      <c r="L3970" t="s">
        <v>17</v>
      </c>
      <c r="M3970" t="s">
        <v>57</v>
      </c>
    </row>
    <row r="3971" spans="1:13" x14ac:dyDescent="0.2">
      <c r="A3971">
        <v>758733</v>
      </c>
      <c r="B3971" s="1">
        <v>45565</v>
      </c>
      <c r="C3971">
        <v>54041</v>
      </c>
      <c r="D3971" t="s">
        <v>13</v>
      </c>
      <c r="E3971" t="s">
        <v>104</v>
      </c>
      <c r="F3971" t="s">
        <v>105</v>
      </c>
      <c r="G3971">
        <v>1</v>
      </c>
      <c r="H3971">
        <v>26.99</v>
      </c>
      <c r="I3971">
        <v>0.1</v>
      </c>
      <c r="J3971">
        <v>24.29</v>
      </c>
      <c r="K3971" t="s">
        <v>95</v>
      </c>
      <c r="L3971" t="s">
        <v>17</v>
      </c>
      <c r="M3971" t="s">
        <v>103</v>
      </c>
    </row>
    <row r="3972" spans="1:13" x14ac:dyDescent="0.2">
      <c r="A3972">
        <v>758852</v>
      </c>
      <c r="B3972" s="1">
        <v>44974</v>
      </c>
      <c r="C3972">
        <v>13591</v>
      </c>
      <c r="D3972" t="s">
        <v>25</v>
      </c>
      <c r="E3972" t="s">
        <v>70</v>
      </c>
      <c r="F3972" t="s">
        <v>71</v>
      </c>
      <c r="G3972">
        <v>2</v>
      </c>
      <c r="H3972">
        <v>89.99</v>
      </c>
      <c r="J3972">
        <v>179.98</v>
      </c>
      <c r="K3972" t="s">
        <v>32</v>
      </c>
      <c r="L3972" t="s">
        <v>37</v>
      </c>
      <c r="M3972" t="s">
        <v>54</v>
      </c>
    </row>
    <row r="3973" spans="1:13" x14ac:dyDescent="0.2">
      <c r="A3973">
        <v>758854</v>
      </c>
      <c r="B3973" s="1">
        <v>45013</v>
      </c>
      <c r="C3973">
        <v>87909</v>
      </c>
      <c r="D3973" t="s">
        <v>40</v>
      </c>
      <c r="E3973" t="s">
        <v>41</v>
      </c>
      <c r="F3973" t="s">
        <v>42</v>
      </c>
      <c r="G3973">
        <v>1</v>
      </c>
      <c r="H3973">
        <v>4.79</v>
      </c>
      <c r="I3973">
        <v>0.2</v>
      </c>
      <c r="J3973">
        <v>3.83</v>
      </c>
      <c r="K3973" t="s">
        <v>32</v>
      </c>
      <c r="L3973" t="s">
        <v>17</v>
      </c>
      <c r="M3973" t="s">
        <v>43</v>
      </c>
    </row>
    <row r="3974" spans="1:13" x14ac:dyDescent="0.2">
      <c r="A3974">
        <v>758872</v>
      </c>
      <c r="B3974" s="1">
        <v>44776</v>
      </c>
      <c r="C3974">
        <v>88038</v>
      </c>
      <c r="D3974" t="s">
        <v>97</v>
      </c>
      <c r="E3974" t="s">
        <v>151</v>
      </c>
      <c r="F3974" t="s">
        <v>152</v>
      </c>
      <c r="G3974">
        <v>2</v>
      </c>
      <c r="H3974">
        <v>34.99</v>
      </c>
      <c r="J3974">
        <v>69.98</v>
      </c>
      <c r="K3974" t="s">
        <v>95</v>
      </c>
      <c r="L3974" t="s">
        <v>17</v>
      </c>
      <c r="M3974" t="s">
        <v>120</v>
      </c>
    </row>
    <row r="3975" spans="1:13" x14ac:dyDescent="0.2">
      <c r="A3975">
        <v>759168</v>
      </c>
      <c r="B3975" s="2">
        <v>45437</v>
      </c>
      <c r="C3975">
        <v>96013</v>
      </c>
      <c r="D3975" t="s">
        <v>85</v>
      </c>
      <c r="E3975" t="s">
        <v>129</v>
      </c>
      <c r="F3975" t="s">
        <v>130</v>
      </c>
      <c r="G3975">
        <v>4</v>
      </c>
      <c r="H3975">
        <v>8.99</v>
      </c>
      <c r="J3975">
        <v>35.96</v>
      </c>
      <c r="K3975" t="s">
        <v>16</v>
      </c>
      <c r="L3975" t="s">
        <v>17</v>
      </c>
      <c r="M3975" t="s">
        <v>120</v>
      </c>
    </row>
    <row r="3976" spans="1:13" x14ac:dyDescent="0.2">
      <c r="A3976">
        <v>759352</v>
      </c>
      <c r="B3976" s="1">
        <v>45088</v>
      </c>
      <c r="D3976" t="s">
        <v>85</v>
      </c>
      <c r="E3976" t="s">
        <v>149</v>
      </c>
      <c r="F3976" t="s">
        <v>150</v>
      </c>
      <c r="G3976">
        <v>2</v>
      </c>
      <c r="H3976">
        <v>15.99</v>
      </c>
      <c r="I3976">
        <v>0.2</v>
      </c>
      <c r="J3976">
        <v>25.58</v>
      </c>
      <c r="K3976" t="s">
        <v>16</v>
      </c>
      <c r="L3976" t="s">
        <v>17</v>
      </c>
      <c r="M3976" t="s">
        <v>123</v>
      </c>
    </row>
    <row r="3977" spans="1:13" x14ac:dyDescent="0.2">
      <c r="A3977">
        <v>759409</v>
      </c>
      <c r="B3977" s="1">
        <v>44632</v>
      </c>
      <c r="C3977">
        <v>68132</v>
      </c>
      <c r="D3977" t="s">
        <v>97</v>
      </c>
      <c r="E3977" t="s">
        <v>151</v>
      </c>
      <c r="F3977" t="s">
        <v>152</v>
      </c>
      <c r="G3977">
        <v>1</v>
      </c>
      <c r="H3977">
        <v>24.49</v>
      </c>
      <c r="I3977">
        <v>0.3</v>
      </c>
      <c r="J3977">
        <v>17.14</v>
      </c>
      <c r="K3977" t="s">
        <v>16</v>
      </c>
      <c r="L3977" t="s">
        <v>17</v>
      </c>
      <c r="M3977" t="s">
        <v>24</v>
      </c>
    </row>
    <row r="3978" spans="1:13" x14ac:dyDescent="0.2">
      <c r="A3978">
        <v>759462</v>
      </c>
      <c r="B3978" s="1">
        <v>44804</v>
      </c>
      <c r="C3978">
        <v>75484</v>
      </c>
      <c r="D3978" t="s">
        <v>85</v>
      </c>
      <c r="E3978" t="s">
        <v>149</v>
      </c>
      <c r="F3978" t="s">
        <v>150</v>
      </c>
      <c r="G3978">
        <v>1</v>
      </c>
      <c r="H3978">
        <v>19.989999999999998</v>
      </c>
      <c r="J3978">
        <v>19.989999999999998</v>
      </c>
      <c r="K3978" t="s">
        <v>16</v>
      </c>
      <c r="L3978" t="s">
        <v>17</v>
      </c>
      <c r="M3978" t="s">
        <v>103</v>
      </c>
    </row>
    <row r="3979" spans="1:13" x14ac:dyDescent="0.2">
      <c r="A3979">
        <v>759560</v>
      </c>
      <c r="B3979" s="1">
        <v>45371</v>
      </c>
      <c r="C3979">
        <v>58023</v>
      </c>
      <c r="D3979" t="s">
        <v>13</v>
      </c>
      <c r="E3979" t="s">
        <v>77</v>
      </c>
      <c r="F3979" t="s">
        <v>78</v>
      </c>
      <c r="G3979">
        <v>1</v>
      </c>
      <c r="H3979">
        <v>499.99</v>
      </c>
      <c r="J3979">
        <v>499.99</v>
      </c>
      <c r="K3979" t="s">
        <v>16</v>
      </c>
      <c r="L3979" t="s">
        <v>17</v>
      </c>
      <c r="M3979" t="s">
        <v>117</v>
      </c>
    </row>
    <row r="3980" spans="1:13" x14ac:dyDescent="0.2">
      <c r="A3980">
        <v>759711</v>
      </c>
      <c r="B3980" s="1">
        <v>44756</v>
      </c>
      <c r="C3980">
        <v>93205</v>
      </c>
      <c r="D3980" t="s">
        <v>40</v>
      </c>
      <c r="E3980" t="s">
        <v>41</v>
      </c>
      <c r="F3980" t="s">
        <v>42</v>
      </c>
      <c r="G3980">
        <v>2</v>
      </c>
      <c r="H3980">
        <v>5.99</v>
      </c>
      <c r="J3980">
        <v>11.98</v>
      </c>
      <c r="K3980" t="s">
        <v>16</v>
      </c>
      <c r="L3980" t="s">
        <v>37</v>
      </c>
      <c r="M3980" t="s">
        <v>62</v>
      </c>
    </row>
    <row r="3981" spans="1:13" x14ac:dyDescent="0.2">
      <c r="A3981">
        <v>759732</v>
      </c>
      <c r="B3981" s="2">
        <v>45201</v>
      </c>
      <c r="C3981">
        <v>95492</v>
      </c>
      <c r="D3981" t="s">
        <v>97</v>
      </c>
      <c r="E3981" t="s">
        <v>141</v>
      </c>
      <c r="F3981" t="s">
        <v>142</v>
      </c>
      <c r="G3981">
        <v>2</v>
      </c>
      <c r="H3981">
        <v>17.239999999999998</v>
      </c>
      <c r="I3981">
        <v>0.25</v>
      </c>
      <c r="J3981">
        <v>25.86</v>
      </c>
      <c r="K3981" t="s">
        <v>36</v>
      </c>
      <c r="L3981" t="s">
        <v>17</v>
      </c>
      <c r="M3981" t="s">
        <v>47</v>
      </c>
    </row>
    <row r="3982" spans="1:13" x14ac:dyDescent="0.2">
      <c r="A3982">
        <v>759998</v>
      </c>
      <c r="B3982" s="2">
        <v>45530</v>
      </c>
      <c r="C3982">
        <v>91591</v>
      </c>
      <c r="D3982" t="s">
        <v>44</v>
      </c>
      <c r="E3982" t="s">
        <v>74</v>
      </c>
      <c r="F3982" t="s">
        <v>75</v>
      </c>
      <c r="G3982">
        <v>5</v>
      </c>
      <c r="H3982">
        <v>2.54</v>
      </c>
      <c r="I3982">
        <v>0.15</v>
      </c>
      <c r="J3982">
        <v>10.8</v>
      </c>
      <c r="K3982" t="s">
        <v>95</v>
      </c>
      <c r="L3982" t="s">
        <v>17</v>
      </c>
      <c r="M3982" t="s">
        <v>90</v>
      </c>
    </row>
    <row r="3983" spans="1:13" x14ac:dyDescent="0.2">
      <c r="A3983">
        <v>760008</v>
      </c>
      <c r="B3983" s="2">
        <v>45613</v>
      </c>
      <c r="C3983">
        <v>88757</v>
      </c>
      <c r="D3983" t="s">
        <v>63</v>
      </c>
      <c r="E3983" t="s">
        <v>131</v>
      </c>
      <c r="F3983" t="s">
        <v>132</v>
      </c>
      <c r="G3983">
        <v>1</v>
      </c>
      <c r="H3983">
        <v>3.49</v>
      </c>
      <c r="J3983">
        <v>3.49</v>
      </c>
      <c r="K3983" t="s">
        <v>16</v>
      </c>
      <c r="L3983" t="s">
        <v>17</v>
      </c>
      <c r="M3983" t="s">
        <v>161</v>
      </c>
    </row>
    <row r="3984" spans="1:13" x14ac:dyDescent="0.2">
      <c r="A3984">
        <v>760181</v>
      </c>
      <c r="B3984" s="2">
        <v>44844</v>
      </c>
      <c r="C3984">
        <v>67908</v>
      </c>
      <c r="D3984" t="s">
        <v>13</v>
      </c>
      <c r="E3984" t="s">
        <v>104</v>
      </c>
      <c r="F3984" t="s">
        <v>105</v>
      </c>
      <c r="G3984">
        <v>2</v>
      </c>
      <c r="H3984">
        <v>26.99</v>
      </c>
      <c r="I3984">
        <v>0.1</v>
      </c>
      <c r="J3984">
        <v>48.58</v>
      </c>
      <c r="K3984" t="s">
        <v>16</v>
      </c>
      <c r="L3984" t="s">
        <v>17</v>
      </c>
      <c r="M3984" t="s">
        <v>47</v>
      </c>
    </row>
    <row r="3985" spans="1:13" x14ac:dyDescent="0.2">
      <c r="A3985">
        <v>760327</v>
      </c>
      <c r="B3985" s="1">
        <v>44615</v>
      </c>
      <c r="C3985">
        <v>60509</v>
      </c>
      <c r="D3985" t="s">
        <v>40</v>
      </c>
      <c r="E3985" t="s">
        <v>20</v>
      </c>
      <c r="F3985" t="s">
        <v>21</v>
      </c>
      <c r="G3985">
        <v>2</v>
      </c>
      <c r="H3985">
        <v>9.99</v>
      </c>
      <c r="J3985">
        <v>19.98</v>
      </c>
      <c r="K3985" t="s">
        <v>22</v>
      </c>
      <c r="L3985" t="s">
        <v>17</v>
      </c>
      <c r="M3985" t="s">
        <v>43</v>
      </c>
    </row>
    <row r="3986" spans="1:13" x14ac:dyDescent="0.2">
      <c r="A3986">
        <v>760351</v>
      </c>
      <c r="B3986" s="1">
        <v>45508</v>
      </c>
      <c r="C3986">
        <v>13826</v>
      </c>
      <c r="D3986" t="s">
        <v>82</v>
      </c>
      <c r="E3986" t="s">
        <v>168</v>
      </c>
      <c r="F3986" t="s">
        <v>169</v>
      </c>
      <c r="G3986">
        <v>4</v>
      </c>
      <c r="H3986">
        <v>8.5399999999999991</v>
      </c>
      <c r="I3986">
        <v>0.05</v>
      </c>
      <c r="J3986">
        <v>32.450000000000003</v>
      </c>
      <c r="K3986" t="s">
        <v>36</v>
      </c>
      <c r="L3986" t="s">
        <v>17</v>
      </c>
      <c r="M3986" t="s">
        <v>54</v>
      </c>
    </row>
    <row r="3987" spans="1:13" x14ac:dyDescent="0.2">
      <c r="A3987">
        <v>760458</v>
      </c>
      <c r="B3987" s="1">
        <v>45003</v>
      </c>
      <c r="C3987">
        <v>57226</v>
      </c>
      <c r="D3987" t="s">
        <v>97</v>
      </c>
      <c r="E3987" t="s">
        <v>141</v>
      </c>
      <c r="F3987" t="s">
        <v>142</v>
      </c>
      <c r="G3987">
        <v>2</v>
      </c>
      <c r="H3987">
        <v>20.69</v>
      </c>
      <c r="I3987">
        <v>0.1</v>
      </c>
      <c r="J3987">
        <v>37.24</v>
      </c>
      <c r="K3987" t="s">
        <v>16</v>
      </c>
      <c r="L3987" t="s">
        <v>37</v>
      </c>
      <c r="M3987" t="s">
        <v>76</v>
      </c>
    </row>
    <row r="3988" spans="1:13" x14ac:dyDescent="0.2">
      <c r="A3988">
        <v>760529</v>
      </c>
      <c r="B3988" s="2">
        <v>44832</v>
      </c>
      <c r="C3988">
        <v>82033</v>
      </c>
      <c r="D3988" t="s">
        <v>82</v>
      </c>
      <c r="E3988" t="s">
        <v>147</v>
      </c>
      <c r="F3988" t="s">
        <v>148</v>
      </c>
      <c r="G3988">
        <v>2</v>
      </c>
      <c r="H3988">
        <v>11.04</v>
      </c>
      <c r="I3988">
        <v>0.15</v>
      </c>
      <c r="J3988">
        <v>18.77</v>
      </c>
      <c r="K3988" t="s">
        <v>95</v>
      </c>
      <c r="L3988" t="s">
        <v>17</v>
      </c>
      <c r="M3988" t="s">
        <v>24</v>
      </c>
    </row>
    <row r="3989" spans="1:13" x14ac:dyDescent="0.2">
      <c r="A3989">
        <v>760584</v>
      </c>
      <c r="B3989" s="1">
        <v>45419</v>
      </c>
      <c r="C3989">
        <v>49391</v>
      </c>
      <c r="D3989" t="s">
        <v>25</v>
      </c>
      <c r="E3989" t="s">
        <v>51</v>
      </c>
      <c r="F3989" t="s">
        <v>52</v>
      </c>
      <c r="G3989">
        <v>3</v>
      </c>
      <c r="H3989">
        <v>27.99</v>
      </c>
      <c r="J3989">
        <v>83.97</v>
      </c>
      <c r="K3989" t="s">
        <v>16</v>
      </c>
      <c r="L3989" t="s">
        <v>17</v>
      </c>
      <c r="M3989" t="s">
        <v>102</v>
      </c>
    </row>
    <row r="3990" spans="1:13" x14ac:dyDescent="0.2">
      <c r="A3990">
        <v>760618</v>
      </c>
      <c r="B3990" s="2">
        <v>45576</v>
      </c>
      <c r="C3990">
        <v>59194</v>
      </c>
      <c r="D3990" t="s">
        <v>97</v>
      </c>
      <c r="E3990" t="s">
        <v>135</v>
      </c>
      <c r="F3990" t="s">
        <v>136</v>
      </c>
      <c r="G3990">
        <v>2</v>
      </c>
      <c r="H3990">
        <v>9.99</v>
      </c>
      <c r="J3990">
        <v>19.98</v>
      </c>
      <c r="K3990" t="s">
        <v>16</v>
      </c>
      <c r="L3990" t="s">
        <v>17</v>
      </c>
      <c r="M3990" t="s">
        <v>90</v>
      </c>
    </row>
    <row r="3991" spans="1:13" x14ac:dyDescent="0.2">
      <c r="A3991">
        <v>760621</v>
      </c>
      <c r="B3991" s="1">
        <v>44680</v>
      </c>
      <c r="C3991">
        <v>85545</v>
      </c>
      <c r="D3991" t="s">
        <v>25</v>
      </c>
      <c r="E3991" t="s">
        <v>26</v>
      </c>
      <c r="F3991" t="s">
        <v>27</v>
      </c>
      <c r="G3991">
        <v>4</v>
      </c>
      <c r="H3991">
        <v>34.99</v>
      </c>
      <c r="J3991">
        <v>139.96</v>
      </c>
      <c r="K3991" t="s">
        <v>36</v>
      </c>
      <c r="L3991" t="s">
        <v>37</v>
      </c>
      <c r="M3991" t="s">
        <v>96</v>
      </c>
    </row>
    <row r="3992" spans="1:13" x14ac:dyDescent="0.2">
      <c r="A3992">
        <v>760682</v>
      </c>
      <c r="B3992" s="1">
        <v>45028</v>
      </c>
      <c r="C3992">
        <v>66241</v>
      </c>
      <c r="D3992" t="s">
        <v>97</v>
      </c>
      <c r="E3992" t="s">
        <v>193</v>
      </c>
      <c r="F3992" t="s">
        <v>194</v>
      </c>
      <c r="G3992">
        <v>2</v>
      </c>
      <c r="H3992">
        <v>55.24</v>
      </c>
      <c r="I3992">
        <v>0.15</v>
      </c>
      <c r="J3992">
        <v>93.91</v>
      </c>
      <c r="K3992" t="s">
        <v>16</v>
      </c>
      <c r="L3992" t="s">
        <v>37</v>
      </c>
      <c r="M3992" t="s">
        <v>24</v>
      </c>
    </row>
    <row r="3993" spans="1:13" x14ac:dyDescent="0.2">
      <c r="A3993">
        <v>760914</v>
      </c>
      <c r="B3993" s="1">
        <v>44967</v>
      </c>
      <c r="D3993" t="s">
        <v>13</v>
      </c>
      <c r="E3993" t="s">
        <v>34</v>
      </c>
      <c r="F3993" t="s">
        <v>35</v>
      </c>
      <c r="G3993">
        <v>1</v>
      </c>
      <c r="H3993">
        <v>27.99</v>
      </c>
      <c r="J3993">
        <v>27.99</v>
      </c>
      <c r="K3993" t="s">
        <v>36</v>
      </c>
      <c r="L3993" t="s">
        <v>17</v>
      </c>
      <c r="M3993" t="s">
        <v>33</v>
      </c>
    </row>
    <row r="3994" spans="1:13" x14ac:dyDescent="0.2">
      <c r="A3994">
        <v>761127</v>
      </c>
      <c r="B3994" s="1">
        <v>45035</v>
      </c>
      <c r="D3994" t="s">
        <v>82</v>
      </c>
      <c r="E3994" t="s">
        <v>188</v>
      </c>
      <c r="F3994" t="s">
        <v>189</v>
      </c>
      <c r="G3994">
        <v>2</v>
      </c>
      <c r="H3994">
        <v>40.49</v>
      </c>
      <c r="I3994">
        <v>0.1</v>
      </c>
      <c r="J3994">
        <v>72.88</v>
      </c>
      <c r="K3994" t="s">
        <v>36</v>
      </c>
      <c r="L3994" t="s">
        <v>23</v>
      </c>
      <c r="M3994" t="s">
        <v>67</v>
      </c>
    </row>
    <row r="3995" spans="1:13" x14ac:dyDescent="0.2">
      <c r="A3995">
        <v>761618</v>
      </c>
      <c r="B3995" s="1">
        <v>44580</v>
      </c>
      <c r="D3995" t="s">
        <v>44</v>
      </c>
      <c r="E3995" t="s">
        <v>177</v>
      </c>
      <c r="F3995" t="s">
        <v>178</v>
      </c>
      <c r="G3995">
        <v>5</v>
      </c>
      <c r="H3995">
        <v>9.59</v>
      </c>
      <c r="I3995">
        <v>0.2</v>
      </c>
      <c r="J3995">
        <v>38.36</v>
      </c>
      <c r="K3995" t="s">
        <v>36</v>
      </c>
      <c r="L3995" t="s">
        <v>17</v>
      </c>
      <c r="M3995" t="s">
        <v>102</v>
      </c>
    </row>
    <row r="3996" spans="1:13" x14ac:dyDescent="0.2">
      <c r="A3996">
        <v>761945</v>
      </c>
      <c r="B3996" s="1">
        <v>45203</v>
      </c>
      <c r="C3996">
        <v>47746</v>
      </c>
      <c r="D3996" t="s">
        <v>63</v>
      </c>
      <c r="E3996" t="s">
        <v>68</v>
      </c>
      <c r="F3996" t="s">
        <v>69</v>
      </c>
      <c r="G3996">
        <v>5</v>
      </c>
      <c r="H3996">
        <v>18.739999999999998</v>
      </c>
      <c r="I3996">
        <v>0.25</v>
      </c>
      <c r="J3996">
        <v>70.27</v>
      </c>
      <c r="K3996" t="s">
        <v>16</v>
      </c>
      <c r="L3996" t="s">
        <v>17</v>
      </c>
      <c r="M3996" t="s">
        <v>117</v>
      </c>
    </row>
    <row r="3997" spans="1:13" x14ac:dyDescent="0.2">
      <c r="A3997">
        <v>762103</v>
      </c>
      <c r="B3997" s="2">
        <v>45310</v>
      </c>
      <c r="C3997">
        <v>57147</v>
      </c>
      <c r="D3997" t="s">
        <v>48</v>
      </c>
      <c r="E3997" t="s">
        <v>109</v>
      </c>
      <c r="F3997" t="s">
        <v>110</v>
      </c>
      <c r="G3997">
        <v>4</v>
      </c>
      <c r="H3997">
        <v>6.99</v>
      </c>
      <c r="J3997">
        <v>27.96</v>
      </c>
      <c r="K3997" t="s">
        <v>36</v>
      </c>
      <c r="L3997" t="s">
        <v>37</v>
      </c>
      <c r="M3997" t="s">
        <v>47</v>
      </c>
    </row>
    <row r="3998" spans="1:13" x14ac:dyDescent="0.2">
      <c r="A3998">
        <v>762360</v>
      </c>
      <c r="B3998" s="2">
        <v>44811</v>
      </c>
      <c r="C3998">
        <v>65445</v>
      </c>
      <c r="D3998" t="s">
        <v>13</v>
      </c>
      <c r="E3998" t="s">
        <v>186</v>
      </c>
      <c r="F3998" t="s">
        <v>187</v>
      </c>
      <c r="G3998">
        <v>3</v>
      </c>
      <c r="H3998">
        <v>34.99</v>
      </c>
      <c r="I3998">
        <v>0.3</v>
      </c>
      <c r="J3998">
        <v>73.48</v>
      </c>
      <c r="K3998" t="s">
        <v>36</v>
      </c>
      <c r="L3998" t="s">
        <v>17</v>
      </c>
      <c r="M3998" t="s">
        <v>117</v>
      </c>
    </row>
    <row r="3999" spans="1:13" x14ac:dyDescent="0.2">
      <c r="A3999">
        <v>762462</v>
      </c>
      <c r="B3999" s="1">
        <v>44649</v>
      </c>
      <c r="C3999">
        <v>38049</v>
      </c>
      <c r="D3999" t="s">
        <v>82</v>
      </c>
      <c r="E3999" t="s">
        <v>147</v>
      </c>
      <c r="F3999" t="s">
        <v>148</v>
      </c>
      <c r="G3999">
        <v>4</v>
      </c>
      <c r="H3999">
        <v>10.39</v>
      </c>
      <c r="I3999">
        <v>0.2</v>
      </c>
      <c r="J3999">
        <v>33.25</v>
      </c>
      <c r="K3999" t="s">
        <v>36</v>
      </c>
      <c r="L3999" t="s">
        <v>17</v>
      </c>
      <c r="M3999" t="s">
        <v>123</v>
      </c>
    </row>
    <row r="4000" spans="1:13" x14ac:dyDescent="0.2">
      <c r="A4000">
        <v>762846</v>
      </c>
      <c r="B4000" s="1">
        <v>45238</v>
      </c>
      <c r="C4000">
        <v>94969</v>
      </c>
      <c r="D4000" t="s">
        <v>25</v>
      </c>
      <c r="E4000" t="s">
        <v>113</v>
      </c>
      <c r="F4000" t="s">
        <v>114</v>
      </c>
      <c r="G4000">
        <v>1</v>
      </c>
      <c r="H4000">
        <v>119.99</v>
      </c>
      <c r="J4000">
        <v>119.99</v>
      </c>
      <c r="K4000" t="s">
        <v>53</v>
      </c>
      <c r="L4000" t="s">
        <v>37</v>
      </c>
      <c r="M4000" t="s">
        <v>54</v>
      </c>
    </row>
    <row r="4001" spans="1:13" x14ac:dyDescent="0.2">
      <c r="A4001">
        <v>762854</v>
      </c>
      <c r="B4001" s="1">
        <v>44757</v>
      </c>
      <c r="C4001">
        <v>17743</v>
      </c>
      <c r="D4001" t="s">
        <v>13</v>
      </c>
      <c r="E4001" t="s">
        <v>14</v>
      </c>
      <c r="F4001" t="s">
        <v>15</v>
      </c>
      <c r="G4001">
        <v>5</v>
      </c>
      <c r="H4001">
        <v>79.989999999999995</v>
      </c>
      <c r="J4001">
        <v>399.95</v>
      </c>
      <c r="K4001" t="s">
        <v>16</v>
      </c>
      <c r="L4001" t="s">
        <v>17</v>
      </c>
      <c r="M4001" t="s">
        <v>123</v>
      </c>
    </row>
    <row r="4002" spans="1:13" x14ac:dyDescent="0.2">
      <c r="A4002">
        <v>763149</v>
      </c>
      <c r="B4002" s="1">
        <v>44591</v>
      </c>
      <c r="C4002">
        <v>33596</v>
      </c>
      <c r="D4002" t="s">
        <v>63</v>
      </c>
      <c r="E4002" t="s">
        <v>125</v>
      </c>
      <c r="F4002" t="s">
        <v>126</v>
      </c>
      <c r="G4002">
        <v>1</v>
      </c>
      <c r="H4002">
        <v>29.99</v>
      </c>
      <c r="J4002">
        <v>29.99</v>
      </c>
      <c r="K4002" t="s">
        <v>53</v>
      </c>
      <c r="L4002" t="s">
        <v>23</v>
      </c>
      <c r="M4002" t="s">
        <v>67</v>
      </c>
    </row>
    <row r="4003" spans="1:13" x14ac:dyDescent="0.2">
      <c r="A4003">
        <v>763202</v>
      </c>
      <c r="B4003" s="1">
        <v>45354</v>
      </c>
      <c r="C4003">
        <v>72009</v>
      </c>
      <c r="D4003" t="s">
        <v>82</v>
      </c>
      <c r="E4003" t="s">
        <v>83</v>
      </c>
      <c r="F4003" t="s">
        <v>84</v>
      </c>
      <c r="G4003">
        <v>4</v>
      </c>
      <c r="H4003">
        <v>16.989999999999998</v>
      </c>
      <c r="J4003">
        <v>67.959999999999994</v>
      </c>
      <c r="K4003" t="s">
        <v>22</v>
      </c>
      <c r="L4003" t="s">
        <v>37</v>
      </c>
      <c r="M4003" t="s">
        <v>47</v>
      </c>
    </row>
    <row r="4004" spans="1:13" x14ac:dyDescent="0.2">
      <c r="A4004">
        <v>763490</v>
      </c>
      <c r="B4004" s="1">
        <v>44595</v>
      </c>
      <c r="C4004">
        <v>10284</v>
      </c>
      <c r="D4004" t="s">
        <v>48</v>
      </c>
      <c r="E4004" t="s">
        <v>109</v>
      </c>
      <c r="F4004" t="s">
        <v>110</v>
      </c>
      <c r="G4004">
        <v>3</v>
      </c>
      <c r="H4004">
        <v>6.29</v>
      </c>
      <c r="I4004">
        <v>0.1</v>
      </c>
      <c r="J4004">
        <v>16.98</v>
      </c>
      <c r="K4004" t="s">
        <v>16</v>
      </c>
      <c r="L4004" t="s">
        <v>37</v>
      </c>
      <c r="M4004" t="s">
        <v>67</v>
      </c>
    </row>
    <row r="4005" spans="1:13" x14ac:dyDescent="0.2">
      <c r="A4005">
        <v>763545</v>
      </c>
      <c r="B4005" s="1">
        <v>45215</v>
      </c>
      <c r="C4005">
        <v>33041</v>
      </c>
      <c r="D4005" t="s">
        <v>85</v>
      </c>
      <c r="E4005" t="s">
        <v>129</v>
      </c>
      <c r="F4005" t="s">
        <v>130</v>
      </c>
      <c r="G4005">
        <v>1</v>
      </c>
      <c r="H4005">
        <v>7.19</v>
      </c>
      <c r="I4005">
        <v>0.2</v>
      </c>
      <c r="J4005">
        <v>5.75</v>
      </c>
      <c r="K4005" t="s">
        <v>53</v>
      </c>
      <c r="L4005" t="s">
        <v>37</v>
      </c>
      <c r="M4005" t="s">
        <v>123</v>
      </c>
    </row>
    <row r="4006" spans="1:13" x14ac:dyDescent="0.2">
      <c r="A4006">
        <v>763709</v>
      </c>
      <c r="B4006" s="1">
        <v>44789</v>
      </c>
      <c r="D4006" t="s">
        <v>63</v>
      </c>
      <c r="E4006" t="s">
        <v>64</v>
      </c>
      <c r="F4006" t="s">
        <v>65</v>
      </c>
      <c r="G4006">
        <v>1</v>
      </c>
      <c r="H4006">
        <v>4.99</v>
      </c>
      <c r="J4006">
        <v>4.99</v>
      </c>
      <c r="K4006" t="s">
        <v>16</v>
      </c>
      <c r="L4006" t="s">
        <v>17</v>
      </c>
      <c r="M4006" t="s">
        <v>43</v>
      </c>
    </row>
    <row r="4007" spans="1:13" x14ac:dyDescent="0.2">
      <c r="A4007">
        <v>763843</v>
      </c>
      <c r="B4007" s="1">
        <v>45024</v>
      </c>
      <c r="C4007">
        <v>92182</v>
      </c>
      <c r="D4007" t="s">
        <v>29</v>
      </c>
      <c r="E4007" t="s">
        <v>88</v>
      </c>
      <c r="F4007" t="s">
        <v>89</v>
      </c>
      <c r="G4007">
        <v>1</v>
      </c>
      <c r="H4007">
        <v>42.49</v>
      </c>
      <c r="I4007">
        <v>0.15</v>
      </c>
      <c r="J4007">
        <v>36.119999999999997</v>
      </c>
      <c r="K4007" t="s">
        <v>16</v>
      </c>
      <c r="L4007" t="s">
        <v>17</v>
      </c>
      <c r="M4007" t="s">
        <v>67</v>
      </c>
    </row>
    <row r="4008" spans="1:13" x14ac:dyDescent="0.2">
      <c r="A4008">
        <v>763847</v>
      </c>
      <c r="B4008" s="1">
        <v>45374</v>
      </c>
      <c r="C4008">
        <v>63696</v>
      </c>
      <c r="D4008" t="s">
        <v>40</v>
      </c>
      <c r="E4008" t="s">
        <v>197</v>
      </c>
      <c r="F4008" t="s">
        <v>198</v>
      </c>
      <c r="G4008">
        <v>1</v>
      </c>
      <c r="H4008">
        <v>11.99</v>
      </c>
      <c r="I4008">
        <v>0.2</v>
      </c>
      <c r="J4008">
        <v>9.59</v>
      </c>
      <c r="K4008" t="s">
        <v>95</v>
      </c>
      <c r="L4008" t="s">
        <v>37</v>
      </c>
      <c r="M4008" t="s">
        <v>102</v>
      </c>
    </row>
    <row r="4009" spans="1:13" x14ac:dyDescent="0.2">
      <c r="A4009">
        <v>764053</v>
      </c>
      <c r="B4009" s="1">
        <v>44797</v>
      </c>
      <c r="C4009">
        <v>25476</v>
      </c>
      <c r="D4009" t="s">
        <v>25</v>
      </c>
      <c r="E4009" t="s">
        <v>60</v>
      </c>
      <c r="F4009" t="s">
        <v>61</v>
      </c>
      <c r="G4009">
        <v>2</v>
      </c>
      <c r="H4009">
        <v>54.99</v>
      </c>
      <c r="J4009">
        <v>109.98</v>
      </c>
      <c r="K4009" t="s">
        <v>16</v>
      </c>
      <c r="L4009" t="s">
        <v>17</v>
      </c>
      <c r="M4009" t="s">
        <v>47</v>
      </c>
    </row>
    <row r="4010" spans="1:13" x14ac:dyDescent="0.2">
      <c r="A4010">
        <v>764261</v>
      </c>
      <c r="B4010" s="1">
        <v>45623</v>
      </c>
      <c r="C4010">
        <v>93763</v>
      </c>
      <c r="D4010" t="s">
        <v>85</v>
      </c>
      <c r="E4010" t="s">
        <v>86</v>
      </c>
      <c r="F4010" t="s">
        <v>87</v>
      </c>
      <c r="G4010">
        <v>1</v>
      </c>
      <c r="H4010">
        <v>12.34</v>
      </c>
      <c r="I4010">
        <v>0.05</v>
      </c>
      <c r="J4010">
        <v>11.72</v>
      </c>
      <c r="K4010" t="s">
        <v>16</v>
      </c>
      <c r="L4010" t="s">
        <v>17</v>
      </c>
      <c r="M4010" t="s">
        <v>28</v>
      </c>
    </row>
    <row r="4011" spans="1:13" x14ac:dyDescent="0.2">
      <c r="A4011">
        <v>764341</v>
      </c>
      <c r="B4011" s="2">
        <v>45306</v>
      </c>
      <c r="C4011">
        <v>42997</v>
      </c>
      <c r="D4011" t="s">
        <v>13</v>
      </c>
      <c r="E4011" t="s">
        <v>104</v>
      </c>
      <c r="F4011" t="s">
        <v>105</v>
      </c>
      <c r="G4011">
        <v>2</v>
      </c>
      <c r="H4011">
        <v>25.49</v>
      </c>
      <c r="I4011">
        <v>0.15</v>
      </c>
      <c r="J4011">
        <v>43.33</v>
      </c>
      <c r="K4011" t="s">
        <v>22</v>
      </c>
      <c r="L4011" t="s">
        <v>17</v>
      </c>
      <c r="M4011" t="s">
        <v>54</v>
      </c>
    </row>
    <row r="4012" spans="1:13" x14ac:dyDescent="0.2">
      <c r="A4012">
        <v>764356</v>
      </c>
      <c r="B4012" s="1">
        <v>45499</v>
      </c>
      <c r="C4012">
        <v>95299</v>
      </c>
      <c r="D4012" t="s">
        <v>29</v>
      </c>
      <c r="E4012" t="s">
        <v>88</v>
      </c>
      <c r="F4012" t="s">
        <v>89</v>
      </c>
      <c r="G4012">
        <v>2</v>
      </c>
      <c r="H4012">
        <v>37.49</v>
      </c>
      <c r="I4012">
        <v>0.25</v>
      </c>
      <c r="J4012">
        <v>56.24</v>
      </c>
      <c r="K4012" t="s">
        <v>32</v>
      </c>
      <c r="L4012" t="s">
        <v>37</v>
      </c>
      <c r="M4012" t="s">
        <v>120</v>
      </c>
    </row>
    <row r="4013" spans="1:13" x14ac:dyDescent="0.2">
      <c r="A4013">
        <v>764417</v>
      </c>
      <c r="B4013" s="1">
        <v>44843</v>
      </c>
      <c r="C4013">
        <v>50814</v>
      </c>
      <c r="D4013" t="s">
        <v>40</v>
      </c>
      <c r="E4013" t="s">
        <v>20</v>
      </c>
      <c r="F4013" t="s">
        <v>21</v>
      </c>
      <c r="G4013">
        <v>1</v>
      </c>
      <c r="H4013">
        <v>9.99</v>
      </c>
      <c r="J4013">
        <v>9.99</v>
      </c>
      <c r="K4013" t="s">
        <v>32</v>
      </c>
      <c r="L4013" t="s">
        <v>37</v>
      </c>
      <c r="M4013" t="s">
        <v>96</v>
      </c>
    </row>
    <row r="4014" spans="1:13" x14ac:dyDescent="0.2">
      <c r="A4014">
        <v>764448</v>
      </c>
      <c r="B4014" s="1">
        <v>44873</v>
      </c>
      <c r="C4014">
        <v>23178</v>
      </c>
      <c r="D4014" t="s">
        <v>25</v>
      </c>
      <c r="E4014" t="s">
        <v>60</v>
      </c>
      <c r="F4014" t="s">
        <v>61</v>
      </c>
      <c r="G4014">
        <v>2</v>
      </c>
      <c r="H4014">
        <v>49.49</v>
      </c>
      <c r="I4014">
        <v>0.1</v>
      </c>
      <c r="J4014">
        <v>89.08</v>
      </c>
      <c r="K4014" t="s">
        <v>36</v>
      </c>
      <c r="L4014" t="s">
        <v>17</v>
      </c>
      <c r="M4014" t="s">
        <v>43</v>
      </c>
    </row>
    <row r="4015" spans="1:13" x14ac:dyDescent="0.2">
      <c r="A4015">
        <v>764524</v>
      </c>
      <c r="B4015" s="1">
        <v>44750</v>
      </c>
      <c r="C4015">
        <v>76441</v>
      </c>
      <c r="D4015" t="s">
        <v>13</v>
      </c>
      <c r="E4015" t="s">
        <v>159</v>
      </c>
      <c r="F4015" t="s">
        <v>160</v>
      </c>
      <c r="G4015">
        <v>2</v>
      </c>
      <c r="H4015">
        <v>59.99</v>
      </c>
      <c r="J4015">
        <v>119.98</v>
      </c>
      <c r="K4015" t="s">
        <v>66</v>
      </c>
      <c r="L4015" t="s">
        <v>17</v>
      </c>
      <c r="M4015" t="s">
        <v>28</v>
      </c>
    </row>
    <row r="4016" spans="1:13" x14ac:dyDescent="0.2">
      <c r="A4016">
        <v>764544</v>
      </c>
      <c r="B4016" s="1">
        <v>44994</v>
      </c>
      <c r="C4016">
        <v>24123</v>
      </c>
      <c r="D4016" t="s">
        <v>97</v>
      </c>
      <c r="E4016" t="s">
        <v>98</v>
      </c>
      <c r="F4016" t="s">
        <v>99</v>
      </c>
      <c r="G4016">
        <v>5</v>
      </c>
      <c r="H4016">
        <v>26.59</v>
      </c>
      <c r="I4016">
        <v>0.05</v>
      </c>
      <c r="J4016">
        <v>126.3</v>
      </c>
      <c r="K4016" t="s">
        <v>16</v>
      </c>
      <c r="L4016" t="s">
        <v>37</v>
      </c>
      <c r="M4016" t="s">
        <v>90</v>
      </c>
    </row>
    <row r="4017" spans="1:13" x14ac:dyDescent="0.2">
      <c r="A4017">
        <v>764576</v>
      </c>
      <c r="B4017" s="2">
        <v>44605</v>
      </c>
      <c r="C4017">
        <v>57616</v>
      </c>
      <c r="D4017" t="s">
        <v>85</v>
      </c>
      <c r="E4017" t="s">
        <v>129</v>
      </c>
      <c r="F4017" t="s">
        <v>130</v>
      </c>
      <c r="G4017">
        <v>2</v>
      </c>
      <c r="H4017">
        <v>7.19</v>
      </c>
      <c r="I4017">
        <v>0.2</v>
      </c>
      <c r="J4017">
        <v>11.5</v>
      </c>
      <c r="K4017" t="s">
        <v>36</v>
      </c>
      <c r="L4017" t="s">
        <v>17</v>
      </c>
      <c r="M4017" t="s">
        <v>90</v>
      </c>
    </row>
    <row r="4018" spans="1:13" x14ac:dyDescent="0.2">
      <c r="A4018">
        <v>764716</v>
      </c>
      <c r="B4018" s="1">
        <v>44977</v>
      </c>
      <c r="C4018">
        <v>24222</v>
      </c>
      <c r="D4018" t="s">
        <v>97</v>
      </c>
      <c r="E4018" t="s">
        <v>193</v>
      </c>
      <c r="F4018" t="s">
        <v>194</v>
      </c>
      <c r="G4018">
        <v>2</v>
      </c>
      <c r="H4018">
        <v>48.74</v>
      </c>
      <c r="I4018">
        <v>0.25</v>
      </c>
      <c r="J4018">
        <v>73.11</v>
      </c>
      <c r="K4018" t="s">
        <v>16</v>
      </c>
      <c r="L4018" t="s">
        <v>37</v>
      </c>
      <c r="M4018" t="s">
        <v>161</v>
      </c>
    </row>
    <row r="4019" spans="1:13" x14ac:dyDescent="0.2">
      <c r="A4019">
        <v>764843</v>
      </c>
      <c r="B4019" s="1">
        <v>44821</v>
      </c>
      <c r="C4019">
        <v>29564</v>
      </c>
      <c r="D4019" t="s">
        <v>85</v>
      </c>
      <c r="E4019" t="s">
        <v>149</v>
      </c>
      <c r="F4019" t="s">
        <v>150</v>
      </c>
      <c r="G4019">
        <v>1</v>
      </c>
      <c r="H4019">
        <v>19.989999999999998</v>
      </c>
      <c r="J4019">
        <v>19.989999999999998</v>
      </c>
      <c r="K4019" t="s">
        <v>95</v>
      </c>
      <c r="L4019" t="s">
        <v>17</v>
      </c>
      <c r="M4019" t="s">
        <v>57</v>
      </c>
    </row>
    <row r="4020" spans="1:13" x14ac:dyDescent="0.2">
      <c r="A4020">
        <v>764856</v>
      </c>
      <c r="B4020" s="1">
        <v>44817</v>
      </c>
      <c r="C4020">
        <v>39793</v>
      </c>
      <c r="D4020" t="s">
        <v>44</v>
      </c>
      <c r="E4020" t="s">
        <v>93</v>
      </c>
      <c r="F4020" t="s">
        <v>94</v>
      </c>
      <c r="G4020">
        <v>2</v>
      </c>
      <c r="H4020">
        <v>1.1000000000000001</v>
      </c>
      <c r="I4020">
        <v>0.15</v>
      </c>
      <c r="J4020">
        <v>1.87</v>
      </c>
      <c r="K4020" t="s">
        <v>16</v>
      </c>
      <c r="L4020" t="s">
        <v>37</v>
      </c>
      <c r="M4020" t="s">
        <v>117</v>
      </c>
    </row>
    <row r="4021" spans="1:13" x14ac:dyDescent="0.2">
      <c r="A4021">
        <v>765103</v>
      </c>
      <c r="B4021" s="2">
        <v>45550</v>
      </c>
      <c r="D4021" t="s">
        <v>97</v>
      </c>
      <c r="E4021" t="s">
        <v>151</v>
      </c>
      <c r="F4021" t="s">
        <v>152</v>
      </c>
      <c r="G4021">
        <v>1</v>
      </c>
      <c r="H4021">
        <v>31.49</v>
      </c>
      <c r="I4021">
        <v>0.1</v>
      </c>
      <c r="J4021">
        <v>28.34</v>
      </c>
      <c r="K4021" t="s">
        <v>16</v>
      </c>
      <c r="L4021" t="s">
        <v>17</v>
      </c>
      <c r="M4021" t="s">
        <v>81</v>
      </c>
    </row>
    <row r="4022" spans="1:13" x14ac:dyDescent="0.2">
      <c r="A4022">
        <v>765235</v>
      </c>
      <c r="B4022" s="1">
        <v>45007</v>
      </c>
      <c r="C4022">
        <v>98975</v>
      </c>
      <c r="D4022" t="s">
        <v>29</v>
      </c>
      <c r="E4022" t="s">
        <v>175</v>
      </c>
      <c r="F4022" t="s">
        <v>176</v>
      </c>
      <c r="G4022">
        <v>1</v>
      </c>
      <c r="H4022">
        <v>9.59</v>
      </c>
      <c r="I4022">
        <v>0.2</v>
      </c>
      <c r="J4022">
        <v>7.67</v>
      </c>
      <c r="K4022" t="s">
        <v>16</v>
      </c>
      <c r="L4022" t="s">
        <v>17</v>
      </c>
      <c r="M4022" t="s">
        <v>57</v>
      </c>
    </row>
    <row r="4023" spans="1:13" x14ac:dyDescent="0.2">
      <c r="A4023">
        <v>765277</v>
      </c>
      <c r="B4023" s="1">
        <v>45125</v>
      </c>
      <c r="C4023">
        <v>47188</v>
      </c>
      <c r="D4023" t="s">
        <v>29</v>
      </c>
      <c r="E4023" t="s">
        <v>88</v>
      </c>
      <c r="F4023" t="s">
        <v>89</v>
      </c>
      <c r="G4023">
        <v>1</v>
      </c>
      <c r="H4023">
        <v>49.99</v>
      </c>
      <c r="J4023">
        <v>49.99</v>
      </c>
      <c r="K4023" t="s">
        <v>16</v>
      </c>
      <c r="L4023" t="s">
        <v>17</v>
      </c>
      <c r="M4023" t="s">
        <v>90</v>
      </c>
    </row>
    <row r="4024" spans="1:13" x14ac:dyDescent="0.2">
      <c r="A4024">
        <v>765607</v>
      </c>
      <c r="B4024" s="1">
        <v>45579</v>
      </c>
      <c r="D4024" t="s">
        <v>44</v>
      </c>
      <c r="E4024" t="s">
        <v>93</v>
      </c>
      <c r="F4024" t="s">
        <v>94</v>
      </c>
      <c r="G4024">
        <v>1</v>
      </c>
      <c r="H4024">
        <v>1.1599999999999999</v>
      </c>
      <c r="I4024">
        <v>0.1</v>
      </c>
      <c r="J4024">
        <v>1.04</v>
      </c>
      <c r="K4024" t="s">
        <v>53</v>
      </c>
      <c r="L4024" t="s">
        <v>23</v>
      </c>
      <c r="M4024" t="s">
        <v>90</v>
      </c>
    </row>
    <row r="4025" spans="1:13" x14ac:dyDescent="0.2">
      <c r="A4025">
        <v>766216</v>
      </c>
      <c r="B4025" s="1">
        <v>45357</v>
      </c>
      <c r="C4025">
        <v>97342</v>
      </c>
      <c r="D4025" t="s">
        <v>192</v>
      </c>
      <c r="E4025" t="s">
        <v>98</v>
      </c>
      <c r="F4025" t="s">
        <v>99</v>
      </c>
      <c r="G4025">
        <v>1</v>
      </c>
      <c r="H4025">
        <v>27.99</v>
      </c>
      <c r="J4025">
        <v>27.99</v>
      </c>
      <c r="K4025" t="s">
        <v>95</v>
      </c>
      <c r="L4025" t="s">
        <v>37</v>
      </c>
      <c r="M4025" t="s">
        <v>120</v>
      </c>
    </row>
    <row r="4026" spans="1:13" x14ac:dyDescent="0.2">
      <c r="A4026">
        <v>766315</v>
      </c>
      <c r="B4026" s="1">
        <v>44914</v>
      </c>
      <c r="C4026">
        <v>14618</v>
      </c>
      <c r="D4026" t="s">
        <v>25</v>
      </c>
      <c r="E4026" t="s">
        <v>113</v>
      </c>
      <c r="F4026" t="s">
        <v>114</v>
      </c>
      <c r="G4026">
        <v>1</v>
      </c>
      <c r="H4026">
        <v>107.99</v>
      </c>
      <c r="I4026">
        <v>0.1</v>
      </c>
      <c r="J4026">
        <v>97.19</v>
      </c>
      <c r="K4026" t="s">
        <v>53</v>
      </c>
      <c r="L4026" t="s">
        <v>17</v>
      </c>
      <c r="M4026" t="s">
        <v>43</v>
      </c>
    </row>
    <row r="4027" spans="1:13" x14ac:dyDescent="0.2">
      <c r="A4027">
        <v>766738</v>
      </c>
      <c r="B4027" s="1">
        <v>44924</v>
      </c>
      <c r="C4027">
        <v>79964</v>
      </c>
      <c r="D4027" t="s">
        <v>63</v>
      </c>
      <c r="E4027" t="s">
        <v>111</v>
      </c>
      <c r="F4027" t="s">
        <v>112</v>
      </c>
      <c r="G4027">
        <v>3</v>
      </c>
      <c r="H4027">
        <v>11.24</v>
      </c>
      <c r="I4027">
        <v>0.25</v>
      </c>
      <c r="J4027">
        <v>25.29</v>
      </c>
      <c r="K4027" t="s">
        <v>36</v>
      </c>
      <c r="L4027" t="s">
        <v>17</v>
      </c>
      <c r="M4027" t="s">
        <v>54</v>
      </c>
    </row>
    <row r="4028" spans="1:13" x14ac:dyDescent="0.2">
      <c r="A4028">
        <v>766764</v>
      </c>
      <c r="B4028" s="2">
        <v>44668</v>
      </c>
      <c r="C4028">
        <v>88675</v>
      </c>
      <c r="D4028" t="s">
        <v>63</v>
      </c>
      <c r="E4028" t="s">
        <v>111</v>
      </c>
      <c r="F4028" t="s">
        <v>112</v>
      </c>
      <c r="G4028">
        <v>2</v>
      </c>
      <c r="H4028">
        <v>14.99</v>
      </c>
      <c r="J4028">
        <v>29.98</v>
      </c>
      <c r="K4028" t="s">
        <v>16</v>
      </c>
      <c r="L4028" t="s">
        <v>17</v>
      </c>
      <c r="M4028" t="s">
        <v>103</v>
      </c>
    </row>
    <row r="4029" spans="1:13" x14ac:dyDescent="0.2">
      <c r="A4029">
        <v>766868</v>
      </c>
      <c r="B4029" s="1">
        <v>45163</v>
      </c>
      <c r="C4029">
        <v>32578</v>
      </c>
      <c r="D4029" t="s">
        <v>97</v>
      </c>
      <c r="E4029" t="s">
        <v>181</v>
      </c>
      <c r="F4029" t="s">
        <v>182</v>
      </c>
      <c r="G4029">
        <v>3</v>
      </c>
      <c r="H4029">
        <v>14.99</v>
      </c>
      <c r="J4029">
        <v>44.97</v>
      </c>
      <c r="K4029" t="s">
        <v>22</v>
      </c>
      <c r="L4029" t="s">
        <v>37</v>
      </c>
      <c r="M4029" t="s">
        <v>33</v>
      </c>
    </row>
    <row r="4030" spans="1:13" x14ac:dyDescent="0.2">
      <c r="A4030">
        <v>767081</v>
      </c>
      <c r="B4030" s="2">
        <v>44862</v>
      </c>
      <c r="C4030">
        <v>55169</v>
      </c>
      <c r="D4030" t="s">
        <v>25</v>
      </c>
      <c r="E4030" t="s">
        <v>60</v>
      </c>
      <c r="F4030" t="s">
        <v>61</v>
      </c>
      <c r="G4030">
        <v>1</v>
      </c>
      <c r="H4030">
        <v>54.99</v>
      </c>
      <c r="J4030">
        <v>54.99</v>
      </c>
      <c r="K4030" t="s">
        <v>16</v>
      </c>
      <c r="L4030" t="s">
        <v>23</v>
      </c>
      <c r="M4030" t="s">
        <v>28</v>
      </c>
    </row>
    <row r="4031" spans="1:13" x14ac:dyDescent="0.2">
      <c r="A4031">
        <v>767583</v>
      </c>
      <c r="B4031" s="1">
        <v>45321</v>
      </c>
      <c r="C4031">
        <v>16000</v>
      </c>
      <c r="D4031" t="s">
        <v>82</v>
      </c>
      <c r="E4031" t="s">
        <v>168</v>
      </c>
      <c r="F4031" t="s">
        <v>169</v>
      </c>
      <c r="G4031">
        <v>1</v>
      </c>
      <c r="H4031">
        <v>7.64</v>
      </c>
      <c r="I4031">
        <v>0.15</v>
      </c>
      <c r="J4031">
        <v>6.49</v>
      </c>
      <c r="K4031" t="s">
        <v>22</v>
      </c>
      <c r="L4031" t="s">
        <v>17</v>
      </c>
      <c r="M4031" t="s">
        <v>90</v>
      </c>
    </row>
    <row r="4032" spans="1:13" x14ac:dyDescent="0.2">
      <c r="A4032">
        <v>767594</v>
      </c>
      <c r="B4032" s="1">
        <v>45097</v>
      </c>
      <c r="C4032">
        <v>79472</v>
      </c>
      <c r="D4032" t="s">
        <v>13</v>
      </c>
      <c r="E4032" t="s">
        <v>77</v>
      </c>
      <c r="F4032" t="s">
        <v>78</v>
      </c>
      <c r="G4032">
        <v>2</v>
      </c>
      <c r="H4032">
        <v>474.99</v>
      </c>
      <c r="J4032">
        <v>949.98</v>
      </c>
      <c r="K4032" t="s">
        <v>36</v>
      </c>
      <c r="L4032" t="s">
        <v>17</v>
      </c>
      <c r="M4032" t="s">
        <v>54</v>
      </c>
    </row>
    <row r="4033" spans="1:13" x14ac:dyDescent="0.2">
      <c r="A4033">
        <v>767765</v>
      </c>
      <c r="B4033" s="1">
        <v>45618</v>
      </c>
      <c r="C4033">
        <v>89425</v>
      </c>
      <c r="D4033" t="s">
        <v>25</v>
      </c>
      <c r="E4033" t="s">
        <v>113</v>
      </c>
      <c r="F4033" t="s">
        <v>114</v>
      </c>
      <c r="G4033">
        <v>5</v>
      </c>
      <c r="H4033">
        <v>101.99</v>
      </c>
      <c r="I4033">
        <v>0.15</v>
      </c>
      <c r="J4033">
        <v>433.46</v>
      </c>
      <c r="K4033" t="s">
        <v>16</v>
      </c>
      <c r="L4033" t="s">
        <v>17</v>
      </c>
      <c r="M4033" t="s">
        <v>123</v>
      </c>
    </row>
    <row r="4034" spans="1:13" x14ac:dyDescent="0.2">
      <c r="A4034">
        <v>768031</v>
      </c>
      <c r="B4034" s="1">
        <v>45617</v>
      </c>
      <c r="C4034">
        <v>29767</v>
      </c>
      <c r="D4034" t="s">
        <v>25</v>
      </c>
      <c r="E4034" t="s">
        <v>60</v>
      </c>
      <c r="F4034" t="s">
        <v>61</v>
      </c>
      <c r="G4034">
        <v>2</v>
      </c>
      <c r="H4034">
        <v>52.24</v>
      </c>
      <c r="I4034">
        <v>0.05</v>
      </c>
      <c r="J4034">
        <v>99.26</v>
      </c>
      <c r="K4034" t="s">
        <v>16</v>
      </c>
      <c r="L4034" t="s">
        <v>23</v>
      </c>
      <c r="M4034" t="s">
        <v>161</v>
      </c>
    </row>
    <row r="4035" spans="1:13" x14ac:dyDescent="0.2">
      <c r="A4035">
        <v>768060</v>
      </c>
      <c r="B4035" s="2">
        <v>44651</v>
      </c>
      <c r="C4035">
        <v>82414</v>
      </c>
      <c r="D4035" t="s">
        <v>48</v>
      </c>
      <c r="E4035" t="s">
        <v>49</v>
      </c>
      <c r="F4035" t="s">
        <v>50</v>
      </c>
      <c r="G4035">
        <v>1</v>
      </c>
      <c r="H4035">
        <v>8.99</v>
      </c>
      <c r="J4035">
        <v>8.99</v>
      </c>
      <c r="K4035" t="s">
        <v>16</v>
      </c>
      <c r="L4035" t="s">
        <v>17</v>
      </c>
      <c r="M4035" t="s">
        <v>54</v>
      </c>
    </row>
    <row r="4036" spans="1:13" x14ac:dyDescent="0.2">
      <c r="A4036">
        <v>768512</v>
      </c>
      <c r="B4036" s="1">
        <v>45007</v>
      </c>
      <c r="C4036">
        <v>20362</v>
      </c>
      <c r="D4036" t="s">
        <v>44</v>
      </c>
      <c r="E4036" t="s">
        <v>190</v>
      </c>
      <c r="F4036" t="s">
        <v>191</v>
      </c>
      <c r="G4036">
        <v>3</v>
      </c>
      <c r="H4036">
        <v>4.08</v>
      </c>
      <c r="I4036">
        <v>0.05</v>
      </c>
      <c r="J4036">
        <v>11.63</v>
      </c>
      <c r="K4036" t="s">
        <v>36</v>
      </c>
      <c r="L4036" t="s">
        <v>17</v>
      </c>
      <c r="M4036" t="s">
        <v>103</v>
      </c>
    </row>
    <row r="4037" spans="1:13" x14ac:dyDescent="0.2">
      <c r="A4037">
        <v>768551</v>
      </c>
      <c r="B4037" s="1">
        <v>44846</v>
      </c>
      <c r="C4037">
        <v>32336</v>
      </c>
      <c r="D4037" t="s">
        <v>13</v>
      </c>
      <c r="E4037" t="s">
        <v>55</v>
      </c>
      <c r="F4037" t="s">
        <v>56</v>
      </c>
      <c r="G4037">
        <v>4</v>
      </c>
      <c r="H4037">
        <v>263.99</v>
      </c>
      <c r="I4037">
        <v>0.2</v>
      </c>
      <c r="J4037">
        <v>844.77</v>
      </c>
      <c r="K4037" t="s">
        <v>22</v>
      </c>
      <c r="L4037" t="s">
        <v>23</v>
      </c>
      <c r="M4037" t="s">
        <v>90</v>
      </c>
    </row>
    <row r="4038" spans="1:13" x14ac:dyDescent="0.2">
      <c r="A4038">
        <v>768634</v>
      </c>
      <c r="B4038" s="1">
        <v>45326</v>
      </c>
      <c r="C4038">
        <v>70859</v>
      </c>
      <c r="D4038" t="s">
        <v>25</v>
      </c>
      <c r="E4038" t="s">
        <v>60</v>
      </c>
      <c r="F4038" t="s">
        <v>61</v>
      </c>
      <c r="G4038">
        <v>1</v>
      </c>
      <c r="H4038">
        <v>54.99</v>
      </c>
      <c r="J4038">
        <v>54.99</v>
      </c>
      <c r="K4038" t="s">
        <v>22</v>
      </c>
      <c r="L4038" t="s">
        <v>17</v>
      </c>
      <c r="M4038" t="s">
        <v>43</v>
      </c>
    </row>
    <row r="4039" spans="1:13" x14ac:dyDescent="0.2">
      <c r="A4039">
        <v>768700</v>
      </c>
      <c r="B4039" s="1">
        <v>45154</v>
      </c>
      <c r="C4039">
        <v>59616</v>
      </c>
      <c r="D4039" t="s">
        <v>40</v>
      </c>
      <c r="E4039" t="s">
        <v>20</v>
      </c>
      <c r="F4039" t="s">
        <v>21</v>
      </c>
      <c r="G4039">
        <v>4</v>
      </c>
      <c r="H4039">
        <v>8.99</v>
      </c>
      <c r="I4039">
        <v>0.1</v>
      </c>
      <c r="J4039">
        <v>32.36</v>
      </c>
      <c r="K4039" t="s">
        <v>16</v>
      </c>
      <c r="L4039" t="s">
        <v>17</v>
      </c>
      <c r="M4039" t="s">
        <v>18</v>
      </c>
    </row>
    <row r="4040" spans="1:13" x14ac:dyDescent="0.2">
      <c r="A4040">
        <v>770095</v>
      </c>
      <c r="B4040" s="2">
        <v>45493</v>
      </c>
      <c r="C4040">
        <v>39595</v>
      </c>
      <c r="D4040" t="s">
        <v>85</v>
      </c>
      <c r="E4040" t="s">
        <v>86</v>
      </c>
      <c r="F4040" t="s">
        <v>87</v>
      </c>
      <c r="G4040">
        <v>4</v>
      </c>
      <c r="H4040">
        <v>12.34</v>
      </c>
      <c r="I4040">
        <v>0.05</v>
      </c>
      <c r="J4040">
        <v>46.89</v>
      </c>
      <c r="K4040" t="s">
        <v>16</v>
      </c>
      <c r="L4040" t="s">
        <v>37</v>
      </c>
      <c r="M4040" t="s">
        <v>43</v>
      </c>
    </row>
    <row r="4041" spans="1:13" x14ac:dyDescent="0.2">
      <c r="A4041">
        <v>770225</v>
      </c>
      <c r="B4041" s="1">
        <v>45477</v>
      </c>
      <c r="C4041">
        <v>67233</v>
      </c>
      <c r="D4041" t="s">
        <v>63</v>
      </c>
      <c r="E4041" t="s">
        <v>111</v>
      </c>
      <c r="F4041" t="s">
        <v>112</v>
      </c>
      <c r="G4041">
        <v>5</v>
      </c>
      <c r="H4041">
        <v>14.99</v>
      </c>
      <c r="J4041">
        <v>74.95</v>
      </c>
      <c r="K4041" t="s">
        <v>16</v>
      </c>
      <c r="L4041" t="s">
        <v>23</v>
      </c>
      <c r="M4041" t="s">
        <v>47</v>
      </c>
    </row>
    <row r="4042" spans="1:13" x14ac:dyDescent="0.2">
      <c r="A4042">
        <v>770413</v>
      </c>
      <c r="B4042" s="2">
        <v>45562</v>
      </c>
      <c r="C4042">
        <v>35702</v>
      </c>
      <c r="D4042" t="s">
        <v>40</v>
      </c>
      <c r="E4042" t="s">
        <v>20</v>
      </c>
      <c r="F4042" t="s">
        <v>21</v>
      </c>
      <c r="G4042">
        <v>2</v>
      </c>
      <c r="H4042">
        <v>7.99</v>
      </c>
      <c r="I4042">
        <v>0.2</v>
      </c>
      <c r="J4042">
        <v>12.78</v>
      </c>
      <c r="K4042" t="s">
        <v>36</v>
      </c>
      <c r="L4042" t="s">
        <v>17</v>
      </c>
      <c r="M4042" t="s">
        <v>67</v>
      </c>
    </row>
    <row r="4043" spans="1:13" x14ac:dyDescent="0.2">
      <c r="A4043">
        <v>770593</v>
      </c>
      <c r="B4043" s="2">
        <v>45446</v>
      </c>
      <c r="C4043">
        <v>17917</v>
      </c>
      <c r="D4043" t="s">
        <v>44</v>
      </c>
      <c r="E4043" t="s">
        <v>107</v>
      </c>
      <c r="F4043" t="s">
        <v>108</v>
      </c>
      <c r="G4043">
        <v>1</v>
      </c>
      <c r="H4043">
        <v>2.79</v>
      </c>
      <c r="I4043">
        <v>0.2</v>
      </c>
      <c r="J4043">
        <v>2.23</v>
      </c>
      <c r="K4043" t="s">
        <v>36</v>
      </c>
      <c r="L4043" t="s">
        <v>37</v>
      </c>
      <c r="M4043" t="s">
        <v>123</v>
      </c>
    </row>
    <row r="4044" spans="1:13" x14ac:dyDescent="0.2">
      <c r="A4044">
        <v>770613</v>
      </c>
      <c r="B4044" s="2">
        <v>44916</v>
      </c>
      <c r="C4044">
        <v>19991</v>
      </c>
      <c r="D4044" t="s">
        <v>40</v>
      </c>
      <c r="E4044" t="s">
        <v>58</v>
      </c>
      <c r="F4044" t="s">
        <v>59</v>
      </c>
      <c r="G4044">
        <v>3</v>
      </c>
      <c r="H4044">
        <v>3.79</v>
      </c>
      <c r="I4044">
        <v>0.05</v>
      </c>
      <c r="J4044">
        <v>10.8</v>
      </c>
      <c r="K4044" t="s">
        <v>36</v>
      </c>
      <c r="L4044" t="s">
        <v>37</v>
      </c>
      <c r="M4044" t="s">
        <v>103</v>
      </c>
    </row>
    <row r="4045" spans="1:13" x14ac:dyDescent="0.2">
      <c r="A4045">
        <v>771090</v>
      </c>
      <c r="B4045" s="1">
        <v>44974</v>
      </c>
      <c r="C4045">
        <v>29726</v>
      </c>
      <c r="D4045" t="s">
        <v>19</v>
      </c>
      <c r="E4045" t="s">
        <v>115</v>
      </c>
      <c r="F4045" t="s">
        <v>116</v>
      </c>
      <c r="G4045">
        <v>2</v>
      </c>
      <c r="H4045">
        <v>12.34</v>
      </c>
      <c r="I4045">
        <v>0.05</v>
      </c>
      <c r="J4045">
        <v>23.45</v>
      </c>
      <c r="K4045" t="s">
        <v>53</v>
      </c>
      <c r="L4045" t="s">
        <v>23</v>
      </c>
      <c r="M4045" t="s">
        <v>33</v>
      </c>
    </row>
    <row r="4046" spans="1:13" x14ac:dyDescent="0.2">
      <c r="A4046">
        <v>771096</v>
      </c>
      <c r="B4046" s="1">
        <v>45263</v>
      </c>
      <c r="C4046">
        <v>50682</v>
      </c>
      <c r="D4046" t="s">
        <v>97</v>
      </c>
      <c r="E4046" t="s">
        <v>181</v>
      </c>
      <c r="F4046" t="s">
        <v>182</v>
      </c>
      <c r="G4046">
        <v>5</v>
      </c>
      <c r="H4046">
        <v>11.99</v>
      </c>
      <c r="I4046">
        <v>0.2</v>
      </c>
      <c r="J4046">
        <v>47.96</v>
      </c>
      <c r="K4046" t="s">
        <v>22</v>
      </c>
      <c r="L4046" t="s">
        <v>17</v>
      </c>
      <c r="M4046" t="s">
        <v>76</v>
      </c>
    </row>
    <row r="4047" spans="1:13" x14ac:dyDescent="0.2">
      <c r="A4047">
        <v>771101</v>
      </c>
      <c r="B4047" s="1">
        <v>45323</v>
      </c>
      <c r="C4047">
        <v>73153</v>
      </c>
      <c r="D4047" t="s">
        <v>63</v>
      </c>
      <c r="E4047" t="s">
        <v>111</v>
      </c>
      <c r="F4047" t="s">
        <v>112</v>
      </c>
      <c r="G4047">
        <v>3</v>
      </c>
      <c r="H4047">
        <v>14.99</v>
      </c>
      <c r="J4047">
        <v>44.97</v>
      </c>
      <c r="K4047" t="s">
        <v>36</v>
      </c>
      <c r="L4047" t="s">
        <v>23</v>
      </c>
      <c r="M4047" t="s">
        <v>120</v>
      </c>
    </row>
    <row r="4048" spans="1:13" x14ac:dyDescent="0.2">
      <c r="A4048">
        <v>771380</v>
      </c>
      <c r="B4048" s="1">
        <v>45207</v>
      </c>
      <c r="C4048">
        <v>14835</v>
      </c>
      <c r="D4048" t="s">
        <v>97</v>
      </c>
      <c r="E4048" t="s">
        <v>193</v>
      </c>
      <c r="F4048" t="s">
        <v>194</v>
      </c>
      <c r="G4048">
        <v>5</v>
      </c>
      <c r="H4048">
        <v>64.989999999999995</v>
      </c>
      <c r="J4048">
        <v>324.95</v>
      </c>
      <c r="K4048" t="s">
        <v>32</v>
      </c>
      <c r="L4048" t="s">
        <v>17</v>
      </c>
      <c r="M4048" t="s">
        <v>90</v>
      </c>
    </row>
    <row r="4049" spans="1:13" x14ac:dyDescent="0.2">
      <c r="A4049">
        <v>771384</v>
      </c>
      <c r="B4049" s="1">
        <v>45147</v>
      </c>
      <c r="C4049">
        <v>80742</v>
      </c>
      <c r="D4049" t="s">
        <v>85</v>
      </c>
      <c r="E4049" t="s">
        <v>86</v>
      </c>
      <c r="F4049" t="s">
        <v>87</v>
      </c>
      <c r="G4049">
        <v>5</v>
      </c>
      <c r="H4049">
        <v>12.99</v>
      </c>
      <c r="J4049">
        <v>64.95</v>
      </c>
      <c r="K4049" t="s">
        <v>16</v>
      </c>
      <c r="L4049" t="s">
        <v>23</v>
      </c>
      <c r="M4049" t="s">
        <v>47</v>
      </c>
    </row>
    <row r="4050" spans="1:13" x14ac:dyDescent="0.2">
      <c r="A4050">
        <v>771555</v>
      </c>
      <c r="B4050" s="1">
        <v>45547</v>
      </c>
      <c r="C4050">
        <v>73729</v>
      </c>
      <c r="D4050" t="s">
        <v>19</v>
      </c>
      <c r="E4050" t="s">
        <v>41</v>
      </c>
      <c r="F4050" t="s">
        <v>42</v>
      </c>
      <c r="G4050">
        <v>5</v>
      </c>
      <c r="H4050">
        <v>5.09</v>
      </c>
      <c r="I4050">
        <v>0.15</v>
      </c>
      <c r="J4050">
        <v>21.63</v>
      </c>
      <c r="K4050" t="s">
        <v>36</v>
      </c>
      <c r="L4050" t="s">
        <v>17</v>
      </c>
      <c r="M4050" t="s">
        <v>81</v>
      </c>
    </row>
    <row r="4051" spans="1:13" x14ac:dyDescent="0.2">
      <c r="A4051">
        <v>771670</v>
      </c>
      <c r="B4051" s="1">
        <v>45266</v>
      </c>
      <c r="C4051">
        <v>97537</v>
      </c>
      <c r="D4051" t="s">
        <v>63</v>
      </c>
      <c r="E4051" t="s">
        <v>68</v>
      </c>
      <c r="F4051" t="s">
        <v>69</v>
      </c>
      <c r="G4051">
        <v>5</v>
      </c>
      <c r="H4051">
        <v>23.74</v>
      </c>
      <c r="I4051">
        <v>0.05</v>
      </c>
      <c r="J4051">
        <v>112.76</v>
      </c>
      <c r="K4051" t="s">
        <v>16</v>
      </c>
      <c r="L4051" t="s">
        <v>37</v>
      </c>
      <c r="M4051" t="s">
        <v>76</v>
      </c>
    </row>
    <row r="4052" spans="1:13" x14ac:dyDescent="0.2">
      <c r="A4052">
        <v>771740</v>
      </c>
      <c r="B4052" s="1">
        <v>45612</v>
      </c>
      <c r="C4052">
        <v>30884</v>
      </c>
      <c r="D4052" t="s">
        <v>13</v>
      </c>
      <c r="E4052" t="s">
        <v>34</v>
      </c>
      <c r="F4052" t="s">
        <v>35</v>
      </c>
      <c r="G4052">
        <v>1</v>
      </c>
      <c r="H4052">
        <v>24.49</v>
      </c>
      <c r="I4052">
        <v>0.3</v>
      </c>
      <c r="J4052">
        <v>17.14</v>
      </c>
      <c r="K4052" t="s">
        <v>16</v>
      </c>
      <c r="L4052" t="s">
        <v>23</v>
      </c>
      <c r="M4052" t="s">
        <v>24</v>
      </c>
    </row>
    <row r="4053" spans="1:13" x14ac:dyDescent="0.2">
      <c r="A4053">
        <v>771754</v>
      </c>
      <c r="B4053" s="1">
        <v>44830</v>
      </c>
      <c r="C4053">
        <v>79059</v>
      </c>
      <c r="D4053" t="s">
        <v>48</v>
      </c>
      <c r="E4053" t="s">
        <v>139</v>
      </c>
      <c r="F4053" t="s">
        <v>140</v>
      </c>
      <c r="G4053">
        <v>1</v>
      </c>
      <c r="H4053">
        <v>7.59</v>
      </c>
      <c r="I4053">
        <v>0.05</v>
      </c>
      <c r="J4053">
        <v>7.21</v>
      </c>
      <c r="K4053" t="s">
        <v>36</v>
      </c>
      <c r="L4053" t="s">
        <v>17</v>
      </c>
      <c r="M4053" t="s">
        <v>120</v>
      </c>
    </row>
    <row r="4054" spans="1:13" x14ac:dyDescent="0.2">
      <c r="A4054">
        <v>771777</v>
      </c>
      <c r="B4054" s="1">
        <v>45291</v>
      </c>
      <c r="C4054">
        <v>59537</v>
      </c>
      <c r="D4054" t="s">
        <v>40</v>
      </c>
      <c r="E4054" t="s">
        <v>115</v>
      </c>
      <c r="F4054" t="s">
        <v>116</v>
      </c>
      <c r="G4054">
        <v>1</v>
      </c>
      <c r="H4054">
        <v>9.74</v>
      </c>
      <c r="I4054">
        <v>0.25</v>
      </c>
      <c r="J4054">
        <v>7.3</v>
      </c>
      <c r="K4054" t="s">
        <v>36</v>
      </c>
      <c r="L4054" t="s">
        <v>17</v>
      </c>
      <c r="M4054" t="s">
        <v>96</v>
      </c>
    </row>
    <row r="4055" spans="1:13" x14ac:dyDescent="0.2">
      <c r="A4055">
        <v>772073</v>
      </c>
      <c r="B4055" s="2">
        <v>45161</v>
      </c>
      <c r="C4055">
        <v>35304</v>
      </c>
      <c r="D4055" t="s">
        <v>48</v>
      </c>
      <c r="E4055" t="s">
        <v>139</v>
      </c>
      <c r="F4055" t="s">
        <v>140</v>
      </c>
      <c r="G4055">
        <v>4</v>
      </c>
      <c r="H4055">
        <v>6.79</v>
      </c>
      <c r="I4055">
        <v>0.15</v>
      </c>
      <c r="J4055">
        <v>23.09</v>
      </c>
      <c r="K4055" t="s">
        <v>16</v>
      </c>
      <c r="L4055" t="s">
        <v>37</v>
      </c>
      <c r="M4055" t="s">
        <v>67</v>
      </c>
    </row>
    <row r="4056" spans="1:13" x14ac:dyDescent="0.2">
      <c r="A4056">
        <v>772327</v>
      </c>
      <c r="B4056" s="2">
        <v>44802</v>
      </c>
      <c r="C4056">
        <v>24139</v>
      </c>
      <c r="D4056" t="s">
        <v>85</v>
      </c>
      <c r="E4056" t="s">
        <v>129</v>
      </c>
      <c r="F4056" t="s">
        <v>130</v>
      </c>
      <c r="G4056">
        <v>1</v>
      </c>
      <c r="H4056">
        <v>7.64</v>
      </c>
      <c r="I4056">
        <v>0.15</v>
      </c>
      <c r="J4056">
        <v>6.49</v>
      </c>
      <c r="K4056" t="s">
        <v>16</v>
      </c>
      <c r="L4056" t="s">
        <v>37</v>
      </c>
      <c r="M4056" t="s">
        <v>117</v>
      </c>
    </row>
    <row r="4057" spans="1:13" x14ac:dyDescent="0.2">
      <c r="A4057">
        <v>772580</v>
      </c>
      <c r="B4057" s="1">
        <v>45359</v>
      </c>
      <c r="C4057">
        <v>15965</v>
      </c>
      <c r="D4057" t="s">
        <v>48</v>
      </c>
      <c r="E4057" t="s">
        <v>49</v>
      </c>
      <c r="F4057" t="s">
        <v>50</v>
      </c>
      <c r="G4057">
        <v>2</v>
      </c>
      <c r="H4057">
        <v>8.99</v>
      </c>
      <c r="J4057">
        <v>17.98</v>
      </c>
      <c r="K4057" t="s">
        <v>22</v>
      </c>
      <c r="L4057" t="s">
        <v>17</v>
      </c>
      <c r="M4057" t="s">
        <v>62</v>
      </c>
    </row>
    <row r="4058" spans="1:13" x14ac:dyDescent="0.2">
      <c r="A4058">
        <v>772612</v>
      </c>
      <c r="B4058" s="1">
        <v>44646</v>
      </c>
      <c r="C4058">
        <v>84991</v>
      </c>
      <c r="D4058" t="s">
        <v>25</v>
      </c>
      <c r="E4058" t="s">
        <v>51</v>
      </c>
      <c r="F4058" t="s">
        <v>52</v>
      </c>
      <c r="G4058">
        <v>1</v>
      </c>
      <c r="H4058">
        <v>27.99</v>
      </c>
      <c r="J4058">
        <v>27.99</v>
      </c>
      <c r="K4058" t="s">
        <v>16</v>
      </c>
      <c r="L4058" t="s">
        <v>17</v>
      </c>
      <c r="M4058" t="s">
        <v>47</v>
      </c>
    </row>
    <row r="4059" spans="1:13" x14ac:dyDescent="0.2">
      <c r="A4059">
        <v>772675</v>
      </c>
      <c r="B4059" s="2">
        <v>45639</v>
      </c>
      <c r="C4059">
        <v>87118</v>
      </c>
      <c r="D4059" t="s">
        <v>29</v>
      </c>
      <c r="E4059" t="s">
        <v>175</v>
      </c>
      <c r="F4059" t="s">
        <v>176</v>
      </c>
      <c r="G4059">
        <v>4</v>
      </c>
      <c r="H4059">
        <v>11.39</v>
      </c>
      <c r="I4059">
        <v>0.05</v>
      </c>
      <c r="J4059">
        <v>43.28</v>
      </c>
      <c r="K4059" t="s">
        <v>16</v>
      </c>
      <c r="L4059" t="s">
        <v>37</v>
      </c>
      <c r="M4059" t="s">
        <v>123</v>
      </c>
    </row>
    <row r="4060" spans="1:13" x14ac:dyDescent="0.2">
      <c r="A4060">
        <v>772737</v>
      </c>
      <c r="B4060" s="1">
        <v>45333</v>
      </c>
      <c r="C4060">
        <v>87504</v>
      </c>
      <c r="D4060" t="s">
        <v>97</v>
      </c>
      <c r="E4060" t="s">
        <v>151</v>
      </c>
      <c r="F4060" t="s">
        <v>152</v>
      </c>
      <c r="G4060">
        <v>1</v>
      </c>
      <c r="H4060">
        <v>33.24</v>
      </c>
      <c r="I4060">
        <v>0.05</v>
      </c>
      <c r="J4060">
        <v>31.58</v>
      </c>
      <c r="K4060" t="s">
        <v>36</v>
      </c>
      <c r="L4060" t="s">
        <v>37</v>
      </c>
      <c r="M4060" t="s">
        <v>43</v>
      </c>
    </row>
    <row r="4061" spans="1:13" x14ac:dyDescent="0.2">
      <c r="A4061">
        <v>772930</v>
      </c>
      <c r="B4061" s="1">
        <v>45119</v>
      </c>
      <c r="C4061">
        <v>46497</v>
      </c>
      <c r="D4061" t="s">
        <v>48</v>
      </c>
      <c r="E4061" t="s">
        <v>118</v>
      </c>
      <c r="F4061" t="s">
        <v>119</v>
      </c>
      <c r="G4061">
        <v>3</v>
      </c>
      <c r="H4061">
        <v>4.99</v>
      </c>
      <c r="J4061">
        <v>14.97</v>
      </c>
      <c r="K4061" t="s">
        <v>95</v>
      </c>
      <c r="L4061" t="s">
        <v>17</v>
      </c>
      <c r="M4061" t="s">
        <v>18</v>
      </c>
    </row>
    <row r="4062" spans="1:13" x14ac:dyDescent="0.2">
      <c r="A4062">
        <v>773158</v>
      </c>
      <c r="B4062" s="1">
        <v>45152</v>
      </c>
      <c r="C4062">
        <v>88486</v>
      </c>
      <c r="D4062" t="s">
        <v>97</v>
      </c>
      <c r="E4062" t="s">
        <v>98</v>
      </c>
      <c r="F4062" t="s">
        <v>99</v>
      </c>
      <c r="G4062">
        <v>1</v>
      </c>
      <c r="H4062">
        <v>26.59</v>
      </c>
      <c r="I4062">
        <v>0.05</v>
      </c>
      <c r="J4062">
        <v>25.26</v>
      </c>
      <c r="K4062" t="s">
        <v>16</v>
      </c>
      <c r="L4062" t="s">
        <v>17</v>
      </c>
      <c r="M4062" t="s">
        <v>123</v>
      </c>
    </row>
    <row r="4063" spans="1:13" x14ac:dyDescent="0.2">
      <c r="A4063">
        <v>773220</v>
      </c>
      <c r="B4063" s="2">
        <v>45530</v>
      </c>
      <c r="C4063">
        <v>67710</v>
      </c>
      <c r="D4063" t="s">
        <v>13</v>
      </c>
      <c r="E4063" t="s">
        <v>127</v>
      </c>
      <c r="F4063" t="s">
        <v>128</v>
      </c>
      <c r="G4063">
        <v>1</v>
      </c>
      <c r="H4063">
        <v>16.989999999999998</v>
      </c>
      <c r="I4063">
        <v>0.15</v>
      </c>
      <c r="J4063">
        <v>14.44</v>
      </c>
      <c r="K4063" t="s">
        <v>36</v>
      </c>
      <c r="L4063" t="s">
        <v>17</v>
      </c>
      <c r="M4063" t="s">
        <v>120</v>
      </c>
    </row>
    <row r="4064" spans="1:13" x14ac:dyDescent="0.2">
      <c r="A4064">
        <v>773339</v>
      </c>
      <c r="B4064" s="1">
        <v>44604</v>
      </c>
      <c r="C4064">
        <v>24481</v>
      </c>
      <c r="D4064" t="s">
        <v>85</v>
      </c>
      <c r="E4064" t="s">
        <v>137</v>
      </c>
      <c r="F4064" t="s">
        <v>138</v>
      </c>
      <c r="G4064">
        <v>2</v>
      </c>
      <c r="H4064">
        <v>5.99</v>
      </c>
      <c r="I4064">
        <v>0.25</v>
      </c>
      <c r="J4064">
        <v>8.98</v>
      </c>
      <c r="K4064" t="s">
        <v>36</v>
      </c>
      <c r="L4064" t="s">
        <v>17</v>
      </c>
      <c r="M4064" t="s">
        <v>90</v>
      </c>
    </row>
    <row r="4065" spans="1:13" x14ac:dyDescent="0.2">
      <c r="A4065">
        <v>773462</v>
      </c>
      <c r="B4065" s="1">
        <v>45270</v>
      </c>
      <c r="C4065">
        <v>99463</v>
      </c>
      <c r="D4065" t="s">
        <v>63</v>
      </c>
      <c r="E4065" t="s">
        <v>68</v>
      </c>
      <c r="F4065" t="s">
        <v>69</v>
      </c>
      <c r="G4065">
        <v>1</v>
      </c>
      <c r="H4065">
        <v>18.739999999999998</v>
      </c>
      <c r="I4065">
        <v>0.25</v>
      </c>
      <c r="J4065">
        <v>14.06</v>
      </c>
      <c r="K4065" t="s">
        <v>95</v>
      </c>
      <c r="L4065" t="s">
        <v>17</v>
      </c>
      <c r="M4065" t="s">
        <v>161</v>
      </c>
    </row>
    <row r="4066" spans="1:13" x14ac:dyDescent="0.2">
      <c r="A4066">
        <v>773603</v>
      </c>
      <c r="B4066" s="1">
        <v>45507</v>
      </c>
      <c r="C4066">
        <v>70028</v>
      </c>
      <c r="D4066" t="s">
        <v>48</v>
      </c>
      <c r="E4066" t="s">
        <v>179</v>
      </c>
      <c r="F4066" t="s">
        <v>180</v>
      </c>
      <c r="G4066">
        <v>2</v>
      </c>
      <c r="H4066">
        <v>10.19</v>
      </c>
      <c r="I4066">
        <v>0.15</v>
      </c>
      <c r="J4066">
        <v>17.32</v>
      </c>
      <c r="K4066" t="s">
        <v>36</v>
      </c>
      <c r="L4066" t="s">
        <v>37</v>
      </c>
      <c r="M4066" t="s">
        <v>33</v>
      </c>
    </row>
    <row r="4067" spans="1:13" x14ac:dyDescent="0.2">
      <c r="A4067">
        <v>773680</v>
      </c>
      <c r="B4067" s="1">
        <v>44581</v>
      </c>
      <c r="C4067">
        <v>98954</v>
      </c>
      <c r="D4067" t="s">
        <v>44</v>
      </c>
      <c r="E4067" t="s">
        <v>162</v>
      </c>
      <c r="F4067" t="s">
        <v>163</v>
      </c>
      <c r="G4067">
        <v>4</v>
      </c>
      <c r="H4067">
        <v>7.99</v>
      </c>
      <c r="J4067">
        <v>31.96</v>
      </c>
      <c r="K4067" t="s">
        <v>32</v>
      </c>
      <c r="L4067" t="s">
        <v>17</v>
      </c>
      <c r="M4067" t="s">
        <v>96</v>
      </c>
    </row>
    <row r="4068" spans="1:13" x14ac:dyDescent="0.2">
      <c r="A4068">
        <v>773816</v>
      </c>
      <c r="B4068" s="1">
        <v>45275</v>
      </c>
      <c r="C4068">
        <v>89137</v>
      </c>
      <c r="D4068" t="s">
        <v>29</v>
      </c>
      <c r="E4068" t="s">
        <v>88</v>
      </c>
      <c r="F4068" t="s">
        <v>89</v>
      </c>
      <c r="G4068">
        <v>2</v>
      </c>
      <c r="H4068">
        <v>49.99</v>
      </c>
      <c r="J4068">
        <v>99.98</v>
      </c>
      <c r="K4068" t="s">
        <v>16</v>
      </c>
      <c r="L4068" t="s">
        <v>17</v>
      </c>
      <c r="M4068" t="s">
        <v>54</v>
      </c>
    </row>
    <row r="4069" spans="1:13" x14ac:dyDescent="0.2">
      <c r="A4069">
        <v>773852</v>
      </c>
      <c r="B4069" s="1">
        <v>45368</v>
      </c>
      <c r="C4069">
        <v>12161</v>
      </c>
      <c r="D4069" t="s">
        <v>48</v>
      </c>
      <c r="E4069" t="s">
        <v>109</v>
      </c>
      <c r="F4069" t="s">
        <v>110</v>
      </c>
      <c r="G4069">
        <v>3</v>
      </c>
      <c r="H4069">
        <v>4.8899999999999997</v>
      </c>
      <c r="I4069">
        <v>0.3</v>
      </c>
      <c r="J4069">
        <v>10.27</v>
      </c>
      <c r="K4069" t="s">
        <v>22</v>
      </c>
      <c r="L4069" t="s">
        <v>17</v>
      </c>
      <c r="M4069" t="s">
        <v>117</v>
      </c>
    </row>
    <row r="4070" spans="1:13" x14ac:dyDescent="0.2">
      <c r="A4070">
        <v>773990</v>
      </c>
      <c r="B4070" s="1">
        <v>44782</v>
      </c>
      <c r="C4070">
        <v>98585</v>
      </c>
      <c r="D4070" t="s">
        <v>13</v>
      </c>
      <c r="E4070" t="s">
        <v>159</v>
      </c>
      <c r="F4070" t="s">
        <v>160</v>
      </c>
      <c r="G4070">
        <v>4</v>
      </c>
      <c r="H4070">
        <v>56.99</v>
      </c>
      <c r="I4070">
        <v>0.05</v>
      </c>
      <c r="J4070">
        <v>216.56</v>
      </c>
      <c r="K4070" t="s">
        <v>36</v>
      </c>
      <c r="L4070" t="s">
        <v>17</v>
      </c>
      <c r="M4070" t="s">
        <v>67</v>
      </c>
    </row>
    <row r="4071" spans="1:13" x14ac:dyDescent="0.2">
      <c r="A4071">
        <v>774020</v>
      </c>
      <c r="B4071" s="1">
        <v>45283</v>
      </c>
      <c r="C4071">
        <v>72722</v>
      </c>
      <c r="D4071" t="s">
        <v>82</v>
      </c>
      <c r="E4071" t="s">
        <v>188</v>
      </c>
      <c r="F4071" t="s">
        <v>189</v>
      </c>
      <c r="G4071">
        <v>1</v>
      </c>
      <c r="H4071">
        <v>31.49</v>
      </c>
      <c r="I4071">
        <v>0.3</v>
      </c>
      <c r="J4071">
        <v>22.04</v>
      </c>
      <c r="K4071" t="s">
        <v>36</v>
      </c>
      <c r="L4071" t="s">
        <v>37</v>
      </c>
      <c r="M4071" t="s">
        <v>90</v>
      </c>
    </row>
    <row r="4072" spans="1:13" x14ac:dyDescent="0.2">
      <c r="A4072">
        <v>774044</v>
      </c>
      <c r="B4072" s="1">
        <v>45319</v>
      </c>
      <c r="C4072">
        <v>20962</v>
      </c>
      <c r="D4072" t="s">
        <v>48</v>
      </c>
      <c r="E4072" t="s">
        <v>143</v>
      </c>
      <c r="F4072" t="s">
        <v>144</v>
      </c>
      <c r="G4072">
        <v>2</v>
      </c>
      <c r="H4072">
        <v>11.24</v>
      </c>
      <c r="I4072">
        <v>0.25</v>
      </c>
      <c r="J4072">
        <v>16.86</v>
      </c>
      <c r="K4072" t="s">
        <v>36</v>
      </c>
      <c r="L4072" t="s">
        <v>17</v>
      </c>
      <c r="M4072" t="s">
        <v>120</v>
      </c>
    </row>
    <row r="4073" spans="1:13" x14ac:dyDescent="0.2">
      <c r="A4073">
        <v>774591</v>
      </c>
      <c r="B4073" s="1">
        <v>44650</v>
      </c>
      <c r="C4073">
        <v>62640</v>
      </c>
      <c r="D4073" t="s">
        <v>40</v>
      </c>
      <c r="E4073" t="s">
        <v>58</v>
      </c>
      <c r="F4073" t="s">
        <v>59</v>
      </c>
      <c r="G4073">
        <v>1</v>
      </c>
      <c r="H4073">
        <v>2.79</v>
      </c>
      <c r="I4073">
        <v>0.3</v>
      </c>
      <c r="J4073">
        <v>1.95</v>
      </c>
      <c r="K4073" t="s">
        <v>36</v>
      </c>
      <c r="L4073" t="s">
        <v>17</v>
      </c>
      <c r="M4073" t="s">
        <v>33</v>
      </c>
    </row>
    <row r="4074" spans="1:13" x14ac:dyDescent="0.2">
      <c r="A4074">
        <v>774662</v>
      </c>
      <c r="B4074" s="2">
        <v>45647</v>
      </c>
      <c r="C4074">
        <v>32933</v>
      </c>
      <c r="D4074" t="s">
        <v>48</v>
      </c>
      <c r="E4074" t="s">
        <v>118</v>
      </c>
      <c r="F4074" t="s">
        <v>119</v>
      </c>
      <c r="G4074">
        <v>1</v>
      </c>
      <c r="H4074">
        <v>3.74</v>
      </c>
      <c r="I4074">
        <v>0.25</v>
      </c>
      <c r="J4074">
        <v>2.8</v>
      </c>
      <c r="K4074" t="s">
        <v>36</v>
      </c>
      <c r="L4074" t="s">
        <v>37</v>
      </c>
      <c r="M4074" t="s">
        <v>43</v>
      </c>
    </row>
    <row r="4075" spans="1:13" x14ac:dyDescent="0.2">
      <c r="A4075">
        <v>774911</v>
      </c>
      <c r="B4075" s="2">
        <v>44991</v>
      </c>
      <c r="C4075">
        <v>16465</v>
      </c>
      <c r="D4075" t="s">
        <v>63</v>
      </c>
      <c r="E4075" t="s">
        <v>125</v>
      </c>
      <c r="F4075" t="s">
        <v>126</v>
      </c>
      <c r="G4075">
        <v>5</v>
      </c>
      <c r="H4075">
        <v>29.99</v>
      </c>
      <c r="J4075">
        <v>149.94999999999999</v>
      </c>
      <c r="K4075" t="s">
        <v>22</v>
      </c>
      <c r="L4075" t="s">
        <v>37</v>
      </c>
      <c r="M4075" t="s">
        <v>28</v>
      </c>
    </row>
    <row r="4076" spans="1:13" x14ac:dyDescent="0.2">
      <c r="A4076">
        <v>774920</v>
      </c>
      <c r="B4076" s="1">
        <v>45165</v>
      </c>
      <c r="C4076">
        <v>25543</v>
      </c>
      <c r="D4076" t="s">
        <v>97</v>
      </c>
      <c r="E4076" t="s">
        <v>98</v>
      </c>
      <c r="F4076" t="s">
        <v>99</v>
      </c>
      <c r="G4076">
        <v>2</v>
      </c>
      <c r="H4076">
        <v>19.59</v>
      </c>
      <c r="I4076">
        <v>0.3</v>
      </c>
      <c r="J4076">
        <v>27.43</v>
      </c>
      <c r="K4076" t="s">
        <v>16</v>
      </c>
      <c r="L4076" t="s">
        <v>17</v>
      </c>
      <c r="M4076" t="s">
        <v>67</v>
      </c>
    </row>
    <row r="4077" spans="1:13" x14ac:dyDescent="0.2">
      <c r="A4077">
        <v>775239</v>
      </c>
      <c r="B4077" s="1">
        <v>44627</v>
      </c>
      <c r="C4077">
        <v>71510</v>
      </c>
      <c r="D4077" t="s">
        <v>97</v>
      </c>
      <c r="E4077" t="s">
        <v>181</v>
      </c>
      <c r="F4077" t="s">
        <v>182</v>
      </c>
      <c r="G4077">
        <v>1</v>
      </c>
      <c r="H4077">
        <v>14.99</v>
      </c>
      <c r="J4077">
        <v>14.99</v>
      </c>
      <c r="K4077" t="s">
        <v>95</v>
      </c>
      <c r="L4077" t="s">
        <v>17</v>
      </c>
      <c r="M4077" t="s">
        <v>33</v>
      </c>
    </row>
    <row r="4078" spans="1:13" x14ac:dyDescent="0.2">
      <c r="A4078">
        <v>775592</v>
      </c>
      <c r="B4078" s="1">
        <v>45648</v>
      </c>
      <c r="C4078">
        <v>56967</v>
      </c>
      <c r="D4078" t="s">
        <v>44</v>
      </c>
      <c r="E4078" t="s">
        <v>45</v>
      </c>
      <c r="F4078" t="s">
        <v>46</v>
      </c>
      <c r="G4078">
        <v>1</v>
      </c>
      <c r="H4078">
        <v>1.7</v>
      </c>
      <c r="J4078">
        <v>1.7</v>
      </c>
      <c r="K4078" t="s">
        <v>16</v>
      </c>
      <c r="L4078" t="s">
        <v>17</v>
      </c>
      <c r="M4078" t="s">
        <v>67</v>
      </c>
    </row>
    <row r="4079" spans="1:13" x14ac:dyDescent="0.2">
      <c r="A4079">
        <v>775609</v>
      </c>
      <c r="B4079" s="2">
        <v>45548</v>
      </c>
      <c r="C4079">
        <v>49655</v>
      </c>
      <c r="D4079" t="s">
        <v>200</v>
      </c>
      <c r="E4079" t="s">
        <v>70</v>
      </c>
      <c r="F4079" t="s">
        <v>71</v>
      </c>
      <c r="G4079">
        <v>2</v>
      </c>
      <c r="H4079">
        <v>71.989999999999995</v>
      </c>
      <c r="I4079">
        <v>0.2</v>
      </c>
      <c r="J4079">
        <v>115.18</v>
      </c>
      <c r="K4079" t="s">
        <v>22</v>
      </c>
      <c r="L4079" t="s">
        <v>37</v>
      </c>
      <c r="M4079" t="s">
        <v>47</v>
      </c>
    </row>
    <row r="4080" spans="1:13" x14ac:dyDescent="0.2">
      <c r="A4080">
        <v>775613</v>
      </c>
      <c r="B4080" s="1">
        <v>45062</v>
      </c>
      <c r="C4080">
        <v>64271</v>
      </c>
      <c r="D4080" t="s">
        <v>29</v>
      </c>
      <c r="E4080" t="s">
        <v>175</v>
      </c>
      <c r="F4080" t="s">
        <v>176</v>
      </c>
      <c r="G4080">
        <v>3</v>
      </c>
      <c r="H4080">
        <v>9.59</v>
      </c>
      <c r="I4080">
        <v>0.2</v>
      </c>
      <c r="J4080">
        <v>23.02</v>
      </c>
      <c r="K4080" t="s">
        <v>22</v>
      </c>
      <c r="L4080" t="s">
        <v>17</v>
      </c>
      <c r="M4080" t="s">
        <v>90</v>
      </c>
    </row>
    <row r="4081" spans="1:13" x14ac:dyDescent="0.2">
      <c r="A4081">
        <v>775861</v>
      </c>
      <c r="B4081" s="1">
        <v>45581</v>
      </c>
      <c r="C4081">
        <v>44422</v>
      </c>
      <c r="D4081" t="s">
        <v>25</v>
      </c>
      <c r="E4081" t="s">
        <v>51</v>
      </c>
      <c r="F4081" t="s">
        <v>52</v>
      </c>
      <c r="G4081">
        <v>3</v>
      </c>
      <c r="H4081">
        <v>20.99</v>
      </c>
      <c r="I4081">
        <v>0.25</v>
      </c>
      <c r="J4081">
        <v>47.23</v>
      </c>
      <c r="K4081" t="s">
        <v>22</v>
      </c>
      <c r="L4081" t="s">
        <v>23</v>
      </c>
      <c r="M4081" t="s">
        <v>120</v>
      </c>
    </row>
    <row r="4082" spans="1:13" x14ac:dyDescent="0.2">
      <c r="A4082">
        <v>776083</v>
      </c>
      <c r="B4082" s="1">
        <v>45562</v>
      </c>
      <c r="C4082">
        <v>56351</v>
      </c>
      <c r="D4082" t="s">
        <v>40</v>
      </c>
      <c r="E4082" t="s">
        <v>58</v>
      </c>
      <c r="F4082" t="s">
        <v>59</v>
      </c>
      <c r="G4082">
        <v>1</v>
      </c>
      <c r="H4082">
        <v>3.39</v>
      </c>
      <c r="I4082">
        <v>0.15</v>
      </c>
      <c r="J4082">
        <v>2.88</v>
      </c>
      <c r="K4082" t="s">
        <v>22</v>
      </c>
      <c r="L4082" t="s">
        <v>17</v>
      </c>
      <c r="M4082" t="s">
        <v>123</v>
      </c>
    </row>
    <row r="4083" spans="1:13" x14ac:dyDescent="0.2">
      <c r="A4083">
        <v>776402</v>
      </c>
      <c r="B4083" s="1">
        <v>45648</v>
      </c>
      <c r="C4083">
        <v>27872</v>
      </c>
      <c r="D4083" t="s">
        <v>29</v>
      </c>
      <c r="E4083" t="s">
        <v>88</v>
      </c>
      <c r="F4083" t="s">
        <v>89</v>
      </c>
      <c r="G4083">
        <v>1</v>
      </c>
      <c r="H4083">
        <v>37.49</v>
      </c>
      <c r="I4083">
        <v>0.25</v>
      </c>
      <c r="J4083">
        <v>28.12</v>
      </c>
      <c r="K4083" t="s">
        <v>22</v>
      </c>
      <c r="L4083" t="s">
        <v>37</v>
      </c>
      <c r="M4083" t="s">
        <v>96</v>
      </c>
    </row>
    <row r="4084" spans="1:13" x14ac:dyDescent="0.2">
      <c r="A4084">
        <v>776491</v>
      </c>
      <c r="B4084" s="1">
        <v>45580</v>
      </c>
      <c r="C4084">
        <v>23380</v>
      </c>
      <c r="D4084" t="s">
        <v>25</v>
      </c>
      <c r="E4084" t="s">
        <v>113</v>
      </c>
      <c r="F4084" t="s">
        <v>114</v>
      </c>
      <c r="G4084">
        <v>1</v>
      </c>
      <c r="H4084">
        <v>119.99</v>
      </c>
      <c r="J4084">
        <v>119.99</v>
      </c>
      <c r="K4084" t="s">
        <v>22</v>
      </c>
      <c r="L4084" t="s">
        <v>17</v>
      </c>
      <c r="M4084" t="s">
        <v>54</v>
      </c>
    </row>
    <row r="4085" spans="1:13" x14ac:dyDescent="0.2">
      <c r="A4085">
        <v>776528</v>
      </c>
      <c r="B4085" s="2">
        <v>45474</v>
      </c>
      <c r="C4085">
        <v>63692</v>
      </c>
      <c r="D4085" t="s">
        <v>25</v>
      </c>
      <c r="E4085" t="s">
        <v>60</v>
      </c>
      <c r="F4085" t="s">
        <v>61</v>
      </c>
      <c r="G4085">
        <v>1</v>
      </c>
      <c r="H4085">
        <v>43.99</v>
      </c>
      <c r="I4085">
        <v>0.2</v>
      </c>
      <c r="J4085">
        <v>35.19</v>
      </c>
      <c r="K4085" t="s">
        <v>22</v>
      </c>
      <c r="L4085" t="s">
        <v>37</v>
      </c>
      <c r="M4085" t="s">
        <v>67</v>
      </c>
    </row>
    <row r="4086" spans="1:13" x14ac:dyDescent="0.2">
      <c r="A4086">
        <v>776665</v>
      </c>
      <c r="B4086" s="1">
        <v>44990</v>
      </c>
      <c r="C4086">
        <v>23919</v>
      </c>
      <c r="D4086" t="s">
        <v>29</v>
      </c>
      <c r="E4086" t="s">
        <v>38</v>
      </c>
      <c r="F4086" t="s">
        <v>39</v>
      </c>
      <c r="G4086">
        <v>4</v>
      </c>
      <c r="H4086">
        <v>20.99</v>
      </c>
      <c r="I4086">
        <v>0.3</v>
      </c>
      <c r="J4086">
        <v>58.77</v>
      </c>
      <c r="K4086" t="s">
        <v>22</v>
      </c>
      <c r="L4086" t="s">
        <v>17</v>
      </c>
      <c r="M4086" t="s">
        <v>57</v>
      </c>
    </row>
    <row r="4087" spans="1:13" x14ac:dyDescent="0.2">
      <c r="A4087">
        <v>776809</v>
      </c>
      <c r="B4087" s="2">
        <v>45469</v>
      </c>
      <c r="C4087">
        <v>11400</v>
      </c>
      <c r="D4087" t="s">
        <v>82</v>
      </c>
      <c r="E4087" t="s">
        <v>100</v>
      </c>
      <c r="F4087" t="s">
        <v>101</v>
      </c>
      <c r="G4087">
        <v>1</v>
      </c>
      <c r="H4087">
        <v>20.69</v>
      </c>
      <c r="I4087">
        <v>0.1</v>
      </c>
      <c r="J4087">
        <v>18.62</v>
      </c>
      <c r="K4087" t="s">
        <v>16</v>
      </c>
      <c r="L4087" t="s">
        <v>17</v>
      </c>
      <c r="M4087" t="s">
        <v>33</v>
      </c>
    </row>
    <row r="4088" spans="1:13" x14ac:dyDescent="0.2">
      <c r="A4088">
        <v>777274</v>
      </c>
      <c r="B4088" s="1">
        <v>45558</v>
      </c>
      <c r="C4088">
        <v>22791</v>
      </c>
      <c r="D4088" t="s">
        <v>48</v>
      </c>
      <c r="E4088" t="s">
        <v>118</v>
      </c>
      <c r="F4088" t="s">
        <v>119</v>
      </c>
      <c r="G4088">
        <v>2</v>
      </c>
      <c r="H4088">
        <v>4.49</v>
      </c>
      <c r="I4088">
        <v>0.1</v>
      </c>
      <c r="J4088">
        <v>8.08</v>
      </c>
      <c r="K4088" t="s">
        <v>22</v>
      </c>
      <c r="L4088" t="s">
        <v>37</v>
      </c>
      <c r="M4088" t="s">
        <v>102</v>
      </c>
    </row>
    <row r="4089" spans="1:13" x14ac:dyDescent="0.2">
      <c r="A4089">
        <v>777283</v>
      </c>
      <c r="B4089" s="1">
        <v>45125</v>
      </c>
      <c r="C4089">
        <v>55083</v>
      </c>
      <c r="D4089" t="s">
        <v>44</v>
      </c>
      <c r="E4089" t="s">
        <v>190</v>
      </c>
      <c r="F4089" t="s">
        <v>191</v>
      </c>
      <c r="G4089">
        <v>2</v>
      </c>
      <c r="H4089">
        <v>3.65</v>
      </c>
      <c r="I4089">
        <v>0.15</v>
      </c>
      <c r="J4089">
        <v>6.2</v>
      </c>
      <c r="K4089" t="s">
        <v>22</v>
      </c>
      <c r="L4089" t="s">
        <v>17</v>
      </c>
    </row>
    <row r="4090" spans="1:13" x14ac:dyDescent="0.2">
      <c r="A4090">
        <v>777438</v>
      </c>
      <c r="B4090" s="1">
        <v>45588</v>
      </c>
      <c r="C4090">
        <v>41187</v>
      </c>
      <c r="D4090" t="s">
        <v>85</v>
      </c>
      <c r="E4090" t="s">
        <v>145</v>
      </c>
      <c r="F4090" t="s">
        <v>146</v>
      </c>
      <c r="G4090">
        <v>5</v>
      </c>
      <c r="H4090">
        <v>12.74</v>
      </c>
      <c r="I4090">
        <v>0.25</v>
      </c>
      <c r="J4090">
        <v>47.78</v>
      </c>
      <c r="K4090" t="s">
        <v>36</v>
      </c>
      <c r="L4090" t="s">
        <v>17</v>
      </c>
      <c r="M4090" t="s">
        <v>47</v>
      </c>
    </row>
    <row r="4091" spans="1:13" x14ac:dyDescent="0.2">
      <c r="A4091">
        <v>777757</v>
      </c>
      <c r="B4091" s="2">
        <v>45064</v>
      </c>
      <c r="C4091">
        <v>66499</v>
      </c>
      <c r="D4091" t="s">
        <v>40</v>
      </c>
      <c r="E4091" t="s">
        <v>41</v>
      </c>
      <c r="F4091" t="s">
        <v>42</v>
      </c>
      <c r="G4091">
        <v>4</v>
      </c>
      <c r="H4091">
        <v>5.39</v>
      </c>
      <c r="I4091">
        <v>0.1</v>
      </c>
      <c r="J4091">
        <v>19.399999999999999</v>
      </c>
      <c r="K4091" t="s">
        <v>16</v>
      </c>
      <c r="L4091" t="s">
        <v>37</v>
      </c>
      <c r="M4091" t="s">
        <v>62</v>
      </c>
    </row>
    <row r="4092" spans="1:13" x14ac:dyDescent="0.2">
      <c r="A4092">
        <v>778302</v>
      </c>
      <c r="B4092" s="2">
        <v>44571</v>
      </c>
      <c r="C4092">
        <v>21032</v>
      </c>
      <c r="D4092" t="s">
        <v>97</v>
      </c>
      <c r="E4092" t="s">
        <v>193</v>
      </c>
      <c r="F4092" t="s">
        <v>194</v>
      </c>
      <c r="G4092">
        <v>1</v>
      </c>
      <c r="H4092">
        <v>45.49</v>
      </c>
      <c r="I4092">
        <v>0.3</v>
      </c>
      <c r="J4092">
        <v>31.84</v>
      </c>
      <c r="K4092" t="s">
        <v>16</v>
      </c>
      <c r="L4092" t="s">
        <v>17</v>
      </c>
      <c r="M4092" t="s">
        <v>90</v>
      </c>
    </row>
    <row r="4093" spans="1:13" x14ac:dyDescent="0.2">
      <c r="A4093">
        <v>778366</v>
      </c>
      <c r="B4093" s="2">
        <v>45541</v>
      </c>
      <c r="C4093">
        <v>29595</v>
      </c>
      <c r="D4093" t="s">
        <v>48</v>
      </c>
      <c r="E4093" t="s">
        <v>118</v>
      </c>
      <c r="F4093" t="s">
        <v>119</v>
      </c>
      <c r="G4093">
        <v>1</v>
      </c>
      <c r="H4093">
        <v>4.24</v>
      </c>
      <c r="I4093">
        <v>0.15</v>
      </c>
      <c r="J4093">
        <v>3.6</v>
      </c>
      <c r="K4093" t="s">
        <v>36</v>
      </c>
      <c r="L4093" t="s">
        <v>17</v>
      </c>
      <c r="M4093" t="s">
        <v>76</v>
      </c>
    </row>
    <row r="4094" spans="1:13" x14ac:dyDescent="0.2">
      <c r="A4094">
        <v>778589</v>
      </c>
      <c r="B4094" s="1">
        <v>44865</v>
      </c>
      <c r="C4094">
        <v>63344</v>
      </c>
      <c r="D4094" t="s">
        <v>48</v>
      </c>
      <c r="E4094" t="s">
        <v>179</v>
      </c>
      <c r="F4094" t="s">
        <v>180</v>
      </c>
      <c r="G4094">
        <v>1</v>
      </c>
      <c r="H4094">
        <v>11.99</v>
      </c>
      <c r="J4094">
        <v>11.99</v>
      </c>
      <c r="K4094" t="s">
        <v>36</v>
      </c>
      <c r="L4094" t="s">
        <v>17</v>
      </c>
      <c r="M4094" t="s">
        <v>123</v>
      </c>
    </row>
    <row r="4095" spans="1:13" x14ac:dyDescent="0.2">
      <c r="A4095">
        <v>778659</v>
      </c>
      <c r="B4095" s="1">
        <v>45353</v>
      </c>
      <c r="C4095">
        <v>18647</v>
      </c>
      <c r="D4095" t="s">
        <v>13</v>
      </c>
      <c r="E4095" t="s">
        <v>104</v>
      </c>
      <c r="F4095" t="s">
        <v>105</v>
      </c>
      <c r="G4095">
        <v>2</v>
      </c>
      <c r="H4095">
        <v>23.99</v>
      </c>
      <c r="I4095">
        <v>0.2</v>
      </c>
      <c r="J4095">
        <v>38.380000000000003</v>
      </c>
      <c r="K4095" t="s">
        <v>22</v>
      </c>
      <c r="L4095" t="s">
        <v>37</v>
      </c>
      <c r="M4095" t="s">
        <v>62</v>
      </c>
    </row>
    <row r="4096" spans="1:13" x14ac:dyDescent="0.2">
      <c r="A4096">
        <v>778665</v>
      </c>
      <c r="B4096" s="2">
        <v>44879</v>
      </c>
      <c r="C4096">
        <v>72601</v>
      </c>
      <c r="D4096" t="s">
        <v>40</v>
      </c>
      <c r="E4096" t="s">
        <v>115</v>
      </c>
      <c r="F4096" t="s">
        <v>116</v>
      </c>
      <c r="G4096">
        <v>2</v>
      </c>
      <c r="H4096">
        <v>9.74</v>
      </c>
      <c r="I4096">
        <v>0.25</v>
      </c>
      <c r="J4096">
        <v>14.61</v>
      </c>
      <c r="K4096" t="s">
        <v>36</v>
      </c>
      <c r="L4096" t="s">
        <v>17</v>
      </c>
      <c r="M4096" t="s">
        <v>96</v>
      </c>
    </row>
    <row r="4097" spans="1:13" x14ac:dyDescent="0.2">
      <c r="A4097">
        <v>778712</v>
      </c>
      <c r="B4097" s="1">
        <v>45610</v>
      </c>
      <c r="C4097">
        <v>76523</v>
      </c>
      <c r="D4097" t="s">
        <v>29</v>
      </c>
      <c r="E4097" t="s">
        <v>175</v>
      </c>
      <c r="F4097" t="s">
        <v>176</v>
      </c>
      <c r="G4097">
        <v>3</v>
      </c>
      <c r="H4097">
        <v>8.39</v>
      </c>
      <c r="I4097">
        <v>0.3</v>
      </c>
      <c r="J4097">
        <v>17.62</v>
      </c>
      <c r="K4097" t="s">
        <v>36</v>
      </c>
      <c r="L4097" t="s">
        <v>17</v>
      </c>
      <c r="M4097" t="s">
        <v>117</v>
      </c>
    </row>
    <row r="4098" spans="1:13" x14ac:dyDescent="0.2">
      <c r="A4098">
        <v>779089</v>
      </c>
      <c r="B4098" s="1">
        <v>44669</v>
      </c>
      <c r="C4098">
        <v>61546</v>
      </c>
      <c r="D4098" t="s">
        <v>25</v>
      </c>
      <c r="E4098" t="s">
        <v>51</v>
      </c>
      <c r="F4098" t="s">
        <v>52</v>
      </c>
      <c r="G4098">
        <v>1</v>
      </c>
      <c r="H4098">
        <v>25.19</v>
      </c>
      <c r="I4098">
        <v>0.1</v>
      </c>
      <c r="J4098">
        <v>22.67</v>
      </c>
      <c r="K4098" t="s">
        <v>95</v>
      </c>
      <c r="L4098" t="s">
        <v>37</v>
      </c>
      <c r="M4098" t="s">
        <v>18</v>
      </c>
    </row>
    <row r="4099" spans="1:13" x14ac:dyDescent="0.2">
      <c r="A4099">
        <v>779319</v>
      </c>
      <c r="B4099" s="1">
        <v>45185</v>
      </c>
      <c r="C4099">
        <v>55346</v>
      </c>
      <c r="D4099" t="s">
        <v>85</v>
      </c>
      <c r="E4099" t="s">
        <v>157</v>
      </c>
      <c r="F4099" t="s">
        <v>158</v>
      </c>
      <c r="G4099">
        <v>3</v>
      </c>
      <c r="H4099">
        <v>13.49</v>
      </c>
      <c r="J4099">
        <v>40.47</v>
      </c>
      <c r="K4099" t="s">
        <v>32</v>
      </c>
      <c r="L4099" t="s">
        <v>17</v>
      </c>
      <c r="M4099" t="s">
        <v>103</v>
      </c>
    </row>
    <row r="4100" spans="1:13" x14ac:dyDescent="0.2">
      <c r="A4100">
        <v>779342</v>
      </c>
      <c r="B4100" s="1">
        <v>45623</v>
      </c>
      <c r="C4100">
        <v>55179</v>
      </c>
      <c r="D4100" t="s">
        <v>25</v>
      </c>
      <c r="E4100" t="s">
        <v>70</v>
      </c>
      <c r="F4100" t="s">
        <v>71</v>
      </c>
      <c r="G4100">
        <v>1</v>
      </c>
      <c r="H4100">
        <v>80.989999999999995</v>
      </c>
      <c r="I4100">
        <v>0.1</v>
      </c>
      <c r="J4100">
        <v>72.89</v>
      </c>
      <c r="K4100" t="s">
        <v>36</v>
      </c>
      <c r="L4100" t="s">
        <v>17</v>
      </c>
      <c r="M4100" t="s">
        <v>24</v>
      </c>
    </row>
    <row r="4101" spans="1:13" x14ac:dyDescent="0.2">
      <c r="A4101">
        <v>779509</v>
      </c>
      <c r="B4101" s="1">
        <v>44606</v>
      </c>
      <c r="C4101">
        <v>54631</v>
      </c>
      <c r="D4101" t="s">
        <v>13</v>
      </c>
      <c r="E4101" t="s">
        <v>77</v>
      </c>
      <c r="F4101" t="s">
        <v>78</v>
      </c>
      <c r="G4101">
        <v>3</v>
      </c>
      <c r="H4101">
        <v>499.99</v>
      </c>
      <c r="J4101">
        <v>1499.97</v>
      </c>
      <c r="K4101" t="s">
        <v>16</v>
      </c>
      <c r="L4101" t="s">
        <v>17</v>
      </c>
      <c r="M4101" t="s">
        <v>81</v>
      </c>
    </row>
    <row r="4102" spans="1:13" x14ac:dyDescent="0.2">
      <c r="A4102">
        <v>779562</v>
      </c>
      <c r="B4102" s="1">
        <v>45104</v>
      </c>
      <c r="C4102">
        <v>22399</v>
      </c>
      <c r="D4102" t="s">
        <v>40</v>
      </c>
      <c r="E4102" t="s">
        <v>115</v>
      </c>
      <c r="F4102" t="s">
        <v>116</v>
      </c>
      <c r="G4102">
        <v>5</v>
      </c>
      <c r="H4102">
        <v>9.09</v>
      </c>
      <c r="I4102">
        <v>0.3</v>
      </c>
      <c r="J4102">
        <v>31.82</v>
      </c>
      <c r="K4102" t="s">
        <v>53</v>
      </c>
      <c r="L4102" t="s">
        <v>17</v>
      </c>
      <c r="M4102" t="s">
        <v>81</v>
      </c>
    </row>
    <row r="4103" spans="1:13" x14ac:dyDescent="0.2">
      <c r="A4103">
        <v>779654</v>
      </c>
      <c r="B4103" s="2">
        <v>44928</v>
      </c>
      <c r="C4103">
        <v>63409</v>
      </c>
      <c r="D4103" t="s">
        <v>192</v>
      </c>
      <c r="E4103" t="s">
        <v>141</v>
      </c>
      <c r="F4103" t="s">
        <v>142</v>
      </c>
      <c r="G4103">
        <v>2</v>
      </c>
      <c r="H4103">
        <v>16.09</v>
      </c>
      <c r="I4103">
        <v>0.3</v>
      </c>
      <c r="J4103">
        <v>22.53</v>
      </c>
      <c r="K4103" t="s">
        <v>95</v>
      </c>
      <c r="L4103" t="s">
        <v>17</v>
      </c>
      <c r="M4103" t="s">
        <v>54</v>
      </c>
    </row>
    <row r="4104" spans="1:13" x14ac:dyDescent="0.2">
      <c r="A4104">
        <v>779776</v>
      </c>
      <c r="B4104" s="2">
        <v>45239</v>
      </c>
      <c r="C4104">
        <v>48669</v>
      </c>
      <c r="D4104" t="s">
        <v>85</v>
      </c>
      <c r="E4104" t="s">
        <v>157</v>
      </c>
      <c r="F4104" t="s">
        <v>158</v>
      </c>
      <c r="G4104">
        <v>3</v>
      </c>
      <c r="H4104">
        <v>13.49</v>
      </c>
      <c r="J4104">
        <v>40.47</v>
      </c>
      <c r="K4104" t="s">
        <v>22</v>
      </c>
      <c r="L4104" t="s">
        <v>17</v>
      </c>
      <c r="M4104" t="s">
        <v>47</v>
      </c>
    </row>
    <row r="4105" spans="1:13" x14ac:dyDescent="0.2">
      <c r="A4105">
        <v>779939</v>
      </c>
      <c r="B4105" s="1">
        <v>44724</v>
      </c>
      <c r="C4105">
        <v>92057</v>
      </c>
      <c r="D4105" t="s">
        <v>85</v>
      </c>
      <c r="E4105" t="s">
        <v>129</v>
      </c>
      <c r="F4105" t="s">
        <v>130</v>
      </c>
      <c r="G4105">
        <v>1</v>
      </c>
      <c r="H4105">
        <v>6.29</v>
      </c>
      <c r="I4105">
        <v>0.3</v>
      </c>
      <c r="J4105">
        <v>4.4000000000000004</v>
      </c>
      <c r="K4105" t="s">
        <v>36</v>
      </c>
      <c r="L4105" t="s">
        <v>37</v>
      </c>
      <c r="M4105" t="s">
        <v>18</v>
      </c>
    </row>
    <row r="4106" spans="1:13" x14ac:dyDescent="0.2">
      <c r="A4106">
        <v>780111</v>
      </c>
      <c r="B4106" s="1">
        <v>45039</v>
      </c>
      <c r="C4106">
        <v>86415</v>
      </c>
      <c r="D4106" t="s">
        <v>82</v>
      </c>
      <c r="E4106" t="s">
        <v>155</v>
      </c>
      <c r="F4106" t="s">
        <v>156</v>
      </c>
      <c r="G4106">
        <v>3</v>
      </c>
      <c r="H4106">
        <v>17.989999999999998</v>
      </c>
      <c r="I4106">
        <v>0.1</v>
      </c>
      <c r="J4106">
        <v>48.57</v>
      </c>
      <c r="K4106" t="s">
        <v>16</v>
      </c>
      <c r="L4106" t="s">
        <v>17</v>
      </c>
      <c r="M4106" t="s">
        <v>103</v>
      </c>
    </row>
    <row r="4107" spans="1:13" x14ac:dyDescent="0.2">
      <c r="A4107">
        <v>780212</v>
      </c>
      <c r="B4107" s="1">
        <v>45367</v>
      </c>
      <c r="C4107">
        <v>29876</v>
      </c>
      <c r="D4107" t="s">
        <v>40</v>
      </c>
      <c r="E4107" t="s">
        <v>197</v>
      </c>
      <c r="F4107" t="s">
        <v>198</v>
      </c>
      <c r="G4107">
        <v>1</v>
      </c>
      <c r="H4107">
        <v>10.49</v>
      </c>
      <c r="I4107">
        <v>0.3</v>
      </c>
      <c r="J4107">
        <v>7.34</v>
      </c>
      <c r="K4107" t="s">
        <v>22</v>
      </c>
      <c r="L4107" t="s">
        <v>17</v>
      </c>
      <c r="M4107" t="s">
        <v>33</v>
      </c>
    </row>
    <row r="4108" spans="1:13" x14ac:dyDescent="0.2">
      <c r="A4108">
        <v>780394</v>
      </c>
      <c r="B4108" s="1">
        <v>44948</v>
      </c>
      <c r="C4108">
        <v>71919</v>
      </c>
      <c r="D4108" t="s">
        <v>97</v>
      </c>
      <c r="E4108" t="s">
        <v>193</v>
      </c>
      <c r="F4108" t="s">
        <v>194</v>
      </c>
      <c r="G4108">
        <v>3</v>
      </c>
      <c r="H4108">
        <v>58.49</v>
      </c>
      <c r="I4108">
        <v>0.1</v>
      </c>
      <c r="J4108">
        <v>157.91999999999999</v>
      </c>
      <c r="K4108" t="s">
        <v>36</v>
      </c>
      <c r="L4108" t="s">
        <v>37</v>
      </c>
      <c r="M4108" t="s">
        <v>67</v>
      </c>
    </row>
    <row r="4109" spans="1:13" x14ac:dyDescent="0.2">
      <c r="A4109">
        <v>780450</v>
      </c>
      <c r="B4109" s="1">
        <v>44872</v>
      </c>
      <c r="C4109">
        <v>19646</v>
      </c>
      <c r="D4109" t="s">
        <v>44</v>
      </c>
      <c r="E4109" t="s">
        <v>172</v>
      </c>
      <c r="F4109" t="s">
        <v>173</v>
      </c>
      <c r="G4109">
        <v>2</v>
      </c>
      <c r="H4109">
        <v>4.49</v>
      </c>
      <c r="J4109">
        <v>8.98</v>
      </c>
      <c r="K4109" t="s">
        <v>22</v>
      </c>
      <c r="L4109" t="s">
        <v>17</v>
      </c>
      <c r="M4109" t="s">
        <v>96</v>
      </c>
    </row>
    <row r="4110" spans="1:13" x14ac:dyDescent="0.2">
      <c r="A4110">
        <v>780482</v>
      </c>
      <c r="B4110" s="2">
        <v>45562</v>
      </c>
      <c r="C4110">
        <v>43118</v>
      </c>
      <c r="D4110" t="s">
        <v>13</v>
      </c>
      <c r="E4110" t="s">
        <v>34</v>
      </c>
      <c r="F4110" t="s">
        <v>35</v>
      </c>
      <c r="G4110">
        <v>2</v>
      </c>
      <c r="H4110">
        <v>34.99</v>
      </c>
      <c r="J4110">
        <v>69.98</v>
      </c>
      <c r="K4110" t="s">
        <v>32</v>
      </c>
      <c r="L4110" t="s">
        <v>17</v>
      </c>
      <c r="M4110" t="s">
        <v>67</v>
      </c>
    </row>
    <row r="4111" spans="1:13" x14ac:dyDescent="0.2">
      <c r="A4111">
        <v>780541</v>
      </c>
      <c r="B4111" s="2">
        <v>44737</v>
      </c>
      <c r="C4111">
        <v>44328</v>
      </c>
      <c r="D4111" t="s">
        <v>82</v>
      </c>
      <c r="E4111" t="s">
        <v>83</v>
      </c>
      <c r="F4111" t="s">
        <v>84</v>
      </c>
      <c r="G4111">
        <v>4</v>
      </c>
      <c r="H4111">
        <v>14.44</v>
      </c>
      <c r="I4111">
        <v>0.15</v>
      </c>
      <c r="J4111">
        <v>49.1</v>
      </c>
      <c r="K4111" t="s">
        <v>16</v>
      </c>
      <c r="L4111" t="s">
        <v>17</v>
      </c>
      <c r="M4111" t="s">
        <v>102</v>
      </c>
    </row>
    <row r="4112" spans="1:13" x14ac:dyDescent="0.2">
      <c r="A4112">
        <v>780862</v>
      </c>
      <c r="B4112" s="1">
        <v>45363</v>
      </c>
      <c r="C4112">
        <v>44988</v>
      </c>
      <c r="D4112" t="s">
        <v>82</v>
      </c>
      <c r="E4112" t="s">
        <v>83</v>
      </c>
      <c r="F4112" t="s">
        <v>84</v>
      </c>
      <c r="G4112">
        <v>1</v>
      </c>
      <c r="H4112">
        <v>12.74</v>
      </c>
      <c r="I4112">
        <v>0.25</v>
      </c>
      <c r="J4112">
        <v>9.56</v>
      </c>
      <c r="K4112" t="s">
        <v>22</v>
      </c>
      <c r="L4112" t="s">
        <v>17</v>
      </c>
      <c r="M4112" t="s">
        <v>33</v>
      </c>
    </row>
    <row r="4113" spans="1:13" x14ac:dyDescent="0.2">
      <c r="A4113">
        <v>780956</v>
      </c>
      <c r="B4113" s="2">
        <v>45299</v>
      </c>
      <c r="C4113">
        <v>23055</v>
      </c>
      <c r="D4113" t="s">
        <v>164</v>
      </c>
      <c r="E4113" t="s">
        <v>72</v>
      </c>
      <c r="F4113" t="s">
        <v>73</v>
      </c>
      <c r="G4113">
        <v>1</v>
      </c>
      <c r="H4113">
        <v>39.99</v>
      </c>
      <c r="J4113">
        <v>39.99</v>
      </c>
      <c r="K4113" t="s">
        <v>36</v>
      </c>
      <c r="L4113" t="s">
        <v>23</v>
      </c>
      <c r="M4113" t="s">
        <v>90</v>
      </c>
    </row>
    <row r="4114" spans="1:13" x14ac:dyDescent="0.2">
      <c r="A4114">
        <v>781290</v>
      </c>
      <c r="B4114" s="1">
        <v>44700</v>
      </c>
      <c r="C4114">
        <v>77558</v>
      </c>
      <c r="D4114" t="s">
        <v>13</v>
      </c>
      <c r="E4114" t="s">
        <v>79</v>
      </c>
      <c r="F4114" t="s">
        <v>80</v>
      </c>
      <c r="G4114">
        <v>1</v>
      </c>
      <c r="H4114">
        <v>71.989999999999995</v>
      </c>
      <c r="I4114">
        <v>0.2</v>
      </c>
      <c r="J4114">
        <v>57.59</v>
      </c>
      <c r="K4114" t="s">
        <v>95</v>
      </c>
      <c r="L4114" t="s">
        <v>17</v>
      </c>
      <c r="M4114" t="s">
        <v>90</v>
      </c>
    </row>
    <row r="4115" spans="1:13" x14ac:dyDescent="0.2">
      <c r="A4115">
        <v>781371</v>
      </c>
      <c r="B4115" s="1">
        <v>45271</v>
      </c>
      <c r="C4115">
        <v>59744</v>
      </c>
      <c r="D4115" t="s">
        <v>44</v>
      </c>
      <c r="E4115" t="s">
        <v>162</v>
      </c>
      <c r="F4115" t="s">
        <v>163</v>
      </c>
      <c r="G4115">
        <v>2</v>
      </c>
      <c r="H4115">
        <v>7.99</v>
      </c>
      <c r="J4115">
        <v>15.98</v>
      </c>
      <c r="K4115" t="s">
        <v>36</v>
      </c>
      <c r="L4115" t="s">
        <v>23</v>
      </c>
      <c r="M4115" t="s">
        <v>67</v>
      </c>
    </row>
    <row r="4116" spans="1:13" x14ac:dyDescent="0.2">
      <c r="A4116">
        <v>781603</v>
      </c>
      <c r="B4116" s="2">
        <v>44662</v>
      </c>
      <c r="C4116">
        <v>79105</v>
      </c>
      <c r="D4116" t="s">
        <v>97</v>
      </c>
      <c r="E4116" t="s">
        <v>98</v>
      </c>
      <c r="F4116" t="s">
        <v>99</v>
      </c>
      <c r="G4116">
        <v>2</v>
      </c>
      <c r="H4116">
        <v>22.39</v>
      </c>
      <c r="I4116">
        <v>0.2</v>
      </c>
      <c r="J4116">
        <v>35.82</v>
      </c>
      <c r="K4116" t="s">
        <v>16</v>
      </c>
      <c r="L4116" t="s">
        <v>17</v>
      </c>
      <c r="M4116" t="s">
        <v>90</v>
      </c>
    </row>
    <row r="4117" spans="1:13" x14ac:dyDescent="0.2">
      <c r="A4117">
        <v>781944</v>
      </c>
      <c r="B4117" s="1">
        <v>45113</v>
      </c>
      <c r="C4117">
        <v>36723</v>
      </c>
      <c r="D4117" t="s">
        <v>25</v>
      </c>
      <c r="E4117" t="s">
        <v>51</v>
      </c>
      <c r="F4117" t="s">
        <v>52</v>
      </c>
      <c r="G4117">
        <v>1</v>
      </c>
      <c r="H4117">
        <v>25.19</v>
      </c>
      <c r="I4117">
        <v>0.1</v>
      </c>
      <c r="J4117">
        <v>22.67</v>
      </c>
      <c r="K4117" t="s">
        <v>32</v>
      </c>
      <c r="L4117" t="s">
        <v>17</v>
      </c>
      <c r="M4117" t="s">
        <v>117</v>
      </c>
    </row>
    <row r="4118" spans="1:13" x14ac:dyDescent="0.2">
      <c r="A4118">
        <v>782030</v>
      </c>
      <c r="B4118" s="1">
        <v>45238</v>
      </c>
      <c r="C4118">
        <v>38064</v>
      </c>
      <c r="D4118" t="s">
        <v>44</v>
      </c>
      <c r="E4118" t="s">
        <v>195</v>
      </c>
      <c r="F4118" t="s">
        <v>196</v>
      </c>
      <c r="G4118">
        <v>1</v>
      </c>
      <c r="H4118">
        <v>3.99</v>
      </c>
      <c r="I4118">
        <v>0.2</v>
      </c>
      <c r="J4118">
        <v>3.19</v>
      </c>
      <c r="K4118" t="s">
        <v>36</v>
      </c>
      <c r="L4118" t="s">
        <v>23</v>
      </c>
      <c r="M4118" t="s">
        <v>90</v>
      </c>
    </row>
    <row r="4119" spans="1:13" x14ac:dyDescent="0.2">
      <c r="A4119">
        <v>782305</v>
      </c>
      <c r="B4119" s="2">
        <v>45627</v>
      </c>
      <c r="C4119">
        <v>31143</v>
      </c>
      <c r="D4119" t="s">
        <v>29</v>
      </c>
      <c r="E4119" t="s">
        <v>175</v>
      </c>
      <c r="F4119" t="s">
        <v>176</v>
      </c>
      <c r="G4119">
        <v>4</v>
      </c>
      <c r="H4119">
        <v>8.39</v>
      </c>
      <c r="I4119">
        <v>0.3</v>
      </c>
      <c r="J4119">
        <v>23.49</v>
      </c>
      <c r="K4119" t="s">
        <v>16</v>
      </c>
      <c r="L4119" t="s">
        <v>23</v>
      </c>
      <c r="M4119" t="s">
        <v>47</v>
      </c>
    </row>
    <row r="4120" spans="1:13" x14ac:dyDescent="0.2">
      <c r="A4120">
        <v>782316</v>
      </c>
      <c r="B4120" s="2">
        <v>44648</v>
      </c>
      <c r="C4120">
        <v>35219</v>
      </c>
      <c r="D4120" t="s">
        <v>40</v>
      </c>
      <c r="E4120" t="s">
        <v>41</v>
      </c>
      <c r="F4120" t="s">
        <v>42</v>
      </c>
      <c r="G4120">
        <v>1</v>
      </c>
      <c r="H4120">
        <v>5.99</v>
      </c>
      <c r="J4120">
        <v>5.99</v>
      </c>
      <c r="K4120" t="s">
        <v>36</v>
      </c>
      <c r="L4120" t="s">
        <v>17</v>
      </c>
      <c r="M4120" t="s">
        <v>96</v>
      </c>
    </row>
    <row r="4121" spans="1:13" x14ac:dyDescent="0.2">
      <c r="A4121">
        <v>782355</v>
      </c>
      <c r="B4121" s="1">
        <v>45317</v>
      </c>
      <c r="C4121">
        <v>70613</v>
      </c>
      <c r="D4121" t="s">
        <v>44</v>
      </c>
      <c r="E4121" t="s">
        <v>107</v>
      </c>
      <c r="F4121" t="s">
        <v>108</v>
      </c>
      <c r="G4121">
        <v>1</v>
      </c>
      <c r="H4121">
        <v>2.97</v>
      </c>
      <c r="I4121">
        <v>0.15</v>
      </c>
      <c r="J4121">
        <v>2.52</v>
      </c>
      <c r="K4121" t="s">
        <v>22</v>
      </c>
      <c r="L4121" t="s">
        <v>17</v>
      </c>
      <c r="M4121" t="s">
        <v>24</v>
      </c>
    </row>
    <row r="4122" spans="1:13" x14ac:dyDescent="0.2">
      <c r="A4122">
        <v>782995</v>
      </c>
      <c r="B4122" s="2">
        <v>45027</v>
      </c>
      <c r="C4122">
        <v>90581</v>
      </c>
      <c r="D4122" t="s">
        <v>85</v>
      </c>
      <c r="E4122" t="s">
        <v>137</v>
      </c>
      <c r="F4122" t="s">
        <v>138</v>
      </c>
      <c r="G4122">
        <v>4</v>
      </c>
      <c r="H4122">
        <v>7.99</v>
      </c>
      <c r="J4122">
        <v>31.96</v>
      </c>
      <c r="K4122" t="s">
        <v>95</v>
      </c>
      <c r="L4122" t="s">
        <v>17</v>
      </c>
      <c r="M4122" t="s">
        <v>102</v>
      </c>
    </row>
    <row r="4123" spans="1:13" x14ac:dyDescent="0.2">
      <c r="A4123">
        <v>783052</v>
      </c>
      <c r="B4123" s="1">
        <v>44644</v>
      </c>
      <c r="C4123">
        <v>65508</v>
      </c>
      <c r="D4123" t="s">
        <v>97</v>
      </c>
      <c r="E4123" t="s">
        <v>141</v>
      </c>
      <c r="F4123" t="s">
        <v>142</v>
      </c>
      <c r="G4123">
        <v>1</v>
      </c>
      <c r="H4123">
        <v>22.99</v>
      </c>
      <c r="J4123">
        <v>22.99</v>
      </c>
      <c r="K4123" t="s">
        <v>36</v>
      </c>
      <c r="L4123" t="s">
        <v>17</v>
      </c>
      <c r="M4123" t="s">
        <v>117</v>
      </c>
    </row>
    <row r="4124" spans="1:13" x14ac:dyDescent="0.2">
      <c r="A4124">
        <v>783157</v>
      </c>
      <c r="B4124" s="1">
        <v>44644</v>
      </c>
      <c r="C4124">
        <v>67132</v>
      </c>
      <c r="D4124" t="s">
        <v>13</v>
      </c>
      <c r="E4124" t="s">
        <v>186</v>
      </c>
      <c r="F4124" t="s">
        <v>187</v>
      </c>
      <c r="G4124">
        <v>2</v>
      </c>
      <c r="H4124">
        <v>49.99</v>
      </c>
      <c r="J4124">
        <v>99.98</v>
      </c>
      <c r="K4124" t="s">
        <v>66</v>
      </c>
      <c r="L4124" t="s">
        <v>17</v>
      </c>
      <c r="M4124" t="s">
        <v>47</v>
      </c>
    </row>
    <row r="4125" spans="1:13" x14ac:dyDescent="0.2">
      <c r="A4125">
        <v>783521</v>
      </c>
      <c r="B4125" s="1">
        <v>44930</v>
      </c>
      <c r="C4125">
        <v>10768</v>
      </c>
      <c r="D4125" t="s">
        <v>48</v>
      </c>
      <c r="E4125" t="s">
        <v>109</v>
      </c>
      <c r="F4125" t="s">
        <v>110</v>
      </c>
      <c r="G4125">
        <v>1</v>
      </c>
      <c r="H4125">
        <v>5.24</v>
      </c>
      <c r="I4125">
        <v>0.25</v>
      </c>
      <c r="J4125">
        <v>3.93</v>
      </c>
      <c r="K4125" t="s">
        <v>22</v>
      </c>
      <c r="L4125" t="s">
        <v>17</v>
      </c>
      <c r="M4125" t="s">
        <v>161</v>
      </c>
    </row>
    <row r="4126" spans="1:13" x14ac:dyDescent="0.2">
      <c r="A4126">
        <v>783782</v>
      </c>
      <c r="B4126" s="1">
        <v>44587</v>
      </c>
      <c r="C4126">
        <v>94723</v>
      </c>
      <c r="D4126" t="s">
        <v>40</v>
      </c>
      <c r="E4126" t="s">
        <v>115</v>
      </c>
      <c r="F4126" t="s">
        <v>116</v>
      </c>
      <c r="G4126">
        <v>5</v>
      </c>
      <c r="H4126">
        <v>12.99</v>
      </c>
      <c r="J4126">
        <v>64.95</v>
      </c>
      <c r="K4126" t="s">
        <v>16</v>
      </c>
      <c r="L4126" t="s">
        <v>37</v>
      </c>
      <c r="M4126" t="s">
        <v>117</v>
      </c>
    </row>
    <row r="4127" spans="1:13" x14ac:dyDescent="0.2">
      <c r="A4127">
        <v>783889</v>
      </c>
      <c r="B4127" s="1">
        <v>44737</v>
      </c>
      <c r="C4127">
        <v>26548</v>
      </c>
      <c r="D4127" t="s">
        <v>85</v>
      </c>
      <c r="E4127" t="s">
        <v>157</v>
      </c>
      <c r="F4127" t="s">
        <v>158</v>
      </c>
      <c r="G4127">
        <v>2</v>
      </c>
      <c r="H4127">
        <v>11.47</v>
      </c>
      <c r="I4127">
        <v>0.15</v>
      </c>
      <c r="J4127">
        <v>19.5</v>
      </c>
      <c r="K4127" t="s">
        <v>16</v>
      </c>
      <c r="L4127" t="s">
        <v>17</v>
      </c>
      <c r="M4127" t="s">
        <v>123</v>
      </c>
    </row>
    <row r="4128" spans="1:13" x14ac:dyDescent="0.2">
      <c r="A4128">
        <v>784031</v>
      </c>
      <c r="B4128" s="1">
        <v>44909</v>
      </c>
      <c r="C4128">
        <v>14192</v>
      </c>
      <c r="D4128" t="s">
        <v>97</v>
      </c>
      <c r="E4128" t="s">
        <v>193</v>
      </c>
      <c r="F4128" t="s">
        <v>194</v>
      </c>
      <c r="G4128">
        <v>1</v>
      </c>
      <c r="H4128">
        <v>64.989999999999995</v>
      </c>
      <c r="J4128">
        <v>64.989999999999995</v>
      </c>
      <c r="K4128" t="s">
        <v>36</v>
      </c>
      <c r="L4128" t="s">
        <v>17</v>
      </c>
      <c r="M4128" t="s">
        <v>90</v>
      </c>
    </row>
    <row r="4129" spans="1:13" x14ac:dyDescent="0.2">
      <c r="A4129">
        <v>784246</v>
      </c>
      <c r="B4129" s="1">
        <v>45351</v>
      </c>
      <c r="C4129">
        <v>56732</v>
      </c>
      <c r="D4129" t="s">
        <v>97</v>
      </c>
      <c r="E4129" t="s">
        <v>181</v>
      </c>
      <c r="F4129" t="s">
        <v>182</v>
      </c>
      <c r="G4129">
        <v>1</v>
      </c>
      <c r="H4129">
        <v>10.49</v>
      </c>
      <c r="I4129">
        <v>0.3</v>
      </c>
      <c r="J4129">
        <v>7.34</v>
      </c>
      <c r="K4129" t="s">
        <v>32</v>
      </c>
      <c r="L4129" t="s">
        <v>17</v>
      </c>
      <c r="M4129" t="s">
        <v>33</v>
      </c>
    </row>
    <row r="4130" spans="1:13" x14ac:dyDescent="0.2">
      <c r="A4130">
        <v>784899</v>
      </c>
      <c r="B4130" s="1">
        <v>45618</v>
      </c>
      <c r="C4130">
        <v>74033</v>
      </c>
      <c r="D4130" t="s">
        <v>25</v>
      </c>
      <c r="E4130" t="s">
        <v>70</v>
      </c>
      <c r="F4130" t="s">
        <v>71</v>
      </c>
      <c r="G4130">
        <v>1</v>
      </c>
      <c r="H4130">
        <v>85.49</v>
      </c>
      <c r="I4130">
        <v>0.05</v>
      </c>
      <c r="J4130">
        <v>81.22</v>
      </c>
      <c r="K4130" t="s">
        <v>36</v>
      </c>
      <c r="L4130" t="s">
        <v>23</v>
      </c>
      <c r="M4130" t="s">
        <v>57</v>
      </c>
    </row>
    <row r="4131" spans="1:13" x14ac:dyDescent="0.2">
      <c r="A4131">
        <v>785108</v>
      </c>
      <c r="B4131" s="1">
        <v>44828</v>
      </c>
      <c r="C4131">
        <v>20406</v>
      </c>
      <c r="D4131" t="s">
        <v>13</v>
      </c>
      <c r="E4131" t="s">
        <v>77</v>
      </c>
      <c r="F4131" t="s">
        <v>78</v>
      </c>
      <c r="G4131">
        <v>5</v>
      </c>
      <c r="H4131">
        <v>424.99</v>
      </c>
      <c r="I4131">
        <v>0.15</v>
      </c>
      <c r="J4131">
        <v>1806.21</v>
      </c>
      <c r="K4131" t="s">
        <v>16</v>
      </c>
      <c r="L4131" t="s">
        <v>17</v>
      </c>
      <c r="M4131" t="s">
        <v>81</v>
      </c>
    </row>
    <row r="4132" spans="1:13" x14ac:dyDescent="0.2">
      <c r="A4132">
        <v>785119</v>
      </c>
      <c r="B4132" s="2">
        <v>45344</v>
      </c>
      <c r="C4132">
        <v>44691</v>
      </c>
      <c r="D4132" t="s">
        <v>44</v>
      </c>
      <c r="E4132" t="s">
        <v>184</v>
      </c>
      <c r="F4132" t="s">
        <v>185</v>
      </c>
      <c r="G4132">
        <v>1</v>
      </c>
      <c r="H4132">
        <v>3.84</v>
      </c>
      <c r="I4132">
        <v>0.3</v>
      </c>
      <c r="J4132">
        <v>2.69</v>
      </c>
      <c r="K4132" t="s">
        <v>16</v>
      </c>
      <c r="L4132" t="s">
        <v>17</v>
      </c>
      <c r="M4132" t="s">
        <v>117</v>
      </c>
    </row>
    <row r="4133" spans="1:13" x14ac:dyDescent="0.2">
      <c r="A4133">
        <v>785140</v>
      </c>
      <c r="B4133" s="1">
        <v>45217</v>
      </c>
      <c r="C4133">
        <v>82937</v>
      </c>
      <c r="D4133" t="s">
        <v>63</v>
      </c>
      <c r="E4133" t="s">
        <v>125</v>
      </c>
      <c r="F4133" t="s">
        <v>126</v>
      </c>
      <c r="G4133">
        <v>2</v>
      </c>
      <c r="H4133">
        <v>20.99</v>
      </c>
      <c r="I4133">
        <v>0.3</v>
      </c>
      <c r="J4133">
        <v>29.39</v>
      </c>
      <c r="K4133" t="s">
        <v>16</v>
      </c>
      <c r="L4133" t="s">
        <v>17</v>
      </c>
      <c r="M4133" t="s">
        <v>123</v>
      </c>
    </row>
    <row r="4134" spans="1:13" x14ac:dyDescent="0.2">
      <c r="A4134">
        <v>785267</v>
      </c>
      <c r="B4134" s="2">
        <v>45375</v>
      </c>
      <c r="C4134">
        <v>67594</v>
      </c>
      <c r="D4134" t="s">
        <v>82</v>
      </c>
      <c r="E4134" t="s">
        <v>83</v>
      </c>
      <c r="F4134" t="s">
        <v>84</v>
      </c>
      <c r="G4134">
        <v>1</v>
      </c>
      <c r="H4134">
        <v>11.89</v>
      </c>
      <c r="I4134">
        <v>0.3</v>
      </c>
      <c r="J4134">
        <v>8.32</v>
      </c>
      <c r="K4134" t="s">
        <v>22</v>
      </c>
      <c r="L4134" t="s">
        <v>17</v>
      </c>
      <c r="M4134" t="s">
        <v>102</v>
      </c>
    </row>
    <row r="4135" spans="1:13" x14ac:dyDescent="0.2">
      <c r="A4135">
        <v>785312</v>
      </c>
      <c r="B4135" s="1">
        <v>45651</v>
      </c>
      <c r="C4135">
        <v>71502</v>
      </c>
      <c r="D4135" t="s">
        <v>82</v>
      </c>
      <c r="E4135" t="s">
        <v>147</v>
      </c>
      <c r="F4135" t="s">
        <v>148</v>
      </c>
      <c r="G4135">
        <v>2</v>
      </c>
      <c r="H4135">
        <v>12.99</v>
      </c>
      <c r="J4135">
        <v>25.98</v>
      </c>
      <c r="K4135" t="s">
        <v>16</v>
      </c>
      <c r="L4135" t="s">
        <v>17</v>
      </c>
      <c r="M4135" t="s">
        <v>28</v>
      </c>
    </row>
    <row r="4136" spans="1:13" x14ac:dyDescent="0.2">
      <c r="A4136">
        <v>785386</v>
      </c>
      <c r="B4136" s="1">
        <v>45550</v>
      </c>
      <c r="C4136">
        <v>23272</v>
      </c>
      <c r="D4136" t="s">
        <v>97</v>
      </c>
      <c r="E4136" t="s">
        <v>98</v>
      </c>
      <c r="F4136" t="s">
        <v>99</v>
      </c>
      <c r="G4136">
        <v>2</v>
      </c>
      <c r="H4136">
        <v>27.99</v>
      </c>
      <c r="J4136">
        <v>55.98</v>
      </c>
      <c r="K4136" t="s">
        <v>16</v>
      </c>
      <c r="L4136" t="s">
        <v>37</v>
      </c>
      <c r="M4136" t="s">
        <v>76</v>
      </c>
    </row>
    <row r="4137" spans="1:13" x14ac:dyDescent="0.2">
      <c r="A4137">
        <v>785836</v>
      </c>
      <c r="B4137" s="1">
        <v>45386</v>
      </c>
      <c r="C4137">
        <v>50645</v>
      </c>
      <c r="D4137" t="s">
        <v>85</v>
      </c>
      <c r="E4137" t="s">
        <v>153</v>
      </c>
      <c r="F4137" t="s">
        <v>154</v>
      </c>
      <c r="G4137">
        <v>3</v>
      </c>
      <c r="H4137">
        <v>26.99</v>
      </c>
      <c r="I4137">
        <v>0.1</v>
      </c>
      <c r="J4137">
        <v>72.87</v>
      </c>
      <c r="K4137" t="s">
        <v>32</v>
      </c>
      <c r="L4137" t="s">
        <v>17</v>
      </c>
      <c r="M4137" t="s">
        <v>123</v>
      </c>
    </row>
    <row r="4138" spans="1:13" x14ac:dyDescent="0.2">
      <c r="A4138">
        <v>786126</v>
      </c>
      <c r="B4138" s="1">
        <v>44893</v>
      </c>
      <c r="C4138">
        <v>71245</v>
      </c>
      <c r="D4138" t="s">
        <v>85</v>
      </c>
      <c r="E4138" t="s">
        <v>129</v>
      </c>
      <c r="F4138" t="s">
        <v>130</v>
      </c>
      <c r="G4138">
        <v>4</v>
      </c>
      <c r="H4138">
        <v>7.19</v>
      </c>
      <c r="J4138">
        <v>28.76</v>
      </c>
      <c r="K4138" t="s">
        <v>36</v>
      </c>
      <c r="L4138" t="s">
        <v>17</v>
      </c>
      <c r="M4138" t="s">
        <v>90</v>
      </c>
    </row>
    <row r="4139" spans="1:13" x14ac:dyDescent="0.2">
      <c r="A4139">
        <v>786152</v>
      </c>
      <c r="B4139" s="1">
        <v>44566</v>
      </c>
      <c r="C4139">
        <v>61352</v>
      </c>
      <c r="D4139" t="s">
        <v>164</v>
      </c>
      <c r="E4139" t="s">
        <v>72</v>
      </c>
      <c r="F4139" t="s">
        <v>73</v>
      </c>
      <c r="G4139">
        <v>2</v>
      </c>
      <c r="H4139">
        <v>31.99</v>
      </c>
      <c r="I4139">
        <v>0.2</v>
      </c>
      <c r="J4139">
        <v>51.18</v>
      </c>
      <c r="K4139" t="s">
        <v>36</v>
      </c>
      <c r="L4139" t="s">
        <v>17</v>
      </c>
      <c r="M4139" t="s">
        <v>47</v>
      </c>
    </row>
    <row r="4140" spans="1:13" x14ac:dyDescent="0.2">
      <c r="A4140">
        <v>786179</v>
      </c>
      <c r="B4140" s="1">
        <v>45109</v>
      </c>
      <c r="C4140">
        <v>66625</v>
      </c>
      <c r="D4140" t="s">
        <v>40</v>
      </c>
      <c r="E4140" t="s">
        <v>115</v>
      </c>
      <c r="F4140" t="s">
        <v>116</v>
      </c>
      <c r="G4140">
        <v>1</v>
      </c>
      <c r="H4140">
        <v>12.34</v>
      </c>
      <c r="J4140">
        <v>12.34</v>
      </c>
      <c r="K4140" t="s">
        <v>36</v>
      </c>
      <c r="L4140" t="s">
        <v>37</v>
      </c>
      <c r="M4140" t="s">
        <v>24</v>
      </c>
    </row>
    <row r="4141" spans="1:13" x14ac:dyDescent="0.2">
      <c r="A4141">
        <v>786258</v>
      </c>
      <c r="B4141" s="1">
        <v>45552</v>
      </c>
      <c r="C4141">
        <v>77306</v>
      </c>
      <c r="D4141" t="s">
        <v>29</v>
      </c>
      <c r="E4141" t="s">
        <v>72</v>
      </c>
      <c r="F4141" t="s">
        <v>73</v>
      </c>
      <c r="G4141">
        <v>1</v>
      </c>
      <c r="H4141">
        <v>35.99</v>
      </c>
      <c r="I4141">
        <v>0.1</v>
      </c>
      <c r="J4141">
        <v>32.39</v>
      </c>
      <c r="K4141" t="s">
        <v>36</v>
      </c>
      <c r="L4141" t="s">
        <v>17</v>
      </c>
      <c r="M4141" t="s">
        <v>102</v>
      </c>
    </row>
    <row r="4142" spans="1:13" x14ac:dyDescent="0.2">
      <c r="A4142">
        <v>786371</v>
      </c>
      <c r="B4142" s="1">
        <v>45211</v>
      </c>
      <c r="C4142">
        <v>53776</v>
      </c>
      <c r="D4142" t="s">
        <v>13</v>
      </c>
      <c r="E4142" t="s">
        <v>159</v>
      </c>
      <c r="F4142" t="s">
        <v>160</v>
      </c>
      <c r="G4142">
        <v>2</v>
      </c>
      <c r="H4142">
        <v>41.99</v>
      </c>
      <c r="I4142">
        <v>0.3</v>
      </c>
      <c r="J4142">
        <v>58.79</v>
      </c>
      <c r="K4142" t="s">
        <v>16</v>
      </c>
      <c r="L4142" t="s">
        <v>17</v>
      </c>
      <c r="M4142" t="s">
        <v>24</v>
      </c>
    </row>
    <row r="4143" spans="1:13" x14ac:dyDescent="0.2">
      <c r="A4143">
        <v>786433</v>
      </c>
      <c r="B4143" s="2">
        <v>44860</v>
      </c>
      <c r="C4143">
        <v>42254</v>
      </c>
      <c r="D4143" t="s">
        <v>40</v>
      </c>
      <c r="E4143" t="s">
        <v>58</v>
      </c>
      <c r="F4143" t="s">
        <v>59</v>
      </c>
      <c r="G4143">
        <v>4</v>
      </c>
      <c r="H4143">
        <v>3.59</v>
      </c>
      <c r="I4143">
        <v>0.1</v>
      </c>
      <c r="J4143">
        <v>12.92</v>
      </c>
      <c r="K4143" t="s">
        <v>22</v>
      </c>
      <c r="L4143" t="s">
        <v>37</v>
      </c>
      <c r="M4143" t="s">
        <v>43</v>
      </c>
    </row>
    <row r="4144" spans="1:13" x14ac:dyDescent="0.2">
      <c r="A4144">
        <v>786462</v>
      </c>
      <c r="B4144" s="1">
        <v>45579</v>
      </c>
      <c r="C4144">
        <v>63679</v>
      </c>
      <c r="D4144" t="s">
        <v>48</v>
      </c>
      <c r="E4144" t="s">
        <v>143</v>
      </c>
      <c r="F4144" t="s">
        <v>144</v>
      </c>
      <c r="G4144">
        <v>4</v>
      </c>
      <c r="H4144">
        <v>14.99</v>
      </c>
      <c r="J4144">
        <v>59.96</v>
      </c>
      <c r="K4144" t="s">
        <v>16</v>
      </c>
      <c r="L4144" t="s">
        <v>17</v>
      </c>
      <c r="M4144" t="s">
        <v>18</v>
      </c>
    </row>
    <row r="4145" spans="1:13" x14ac:dyDescent="0.2">
      <c r="A4145">
        <v>786581</v>
      </c>
      <c r="B4145" s="1">
        <v>44976</v>
      </c>
      <c r="C4145">
        <v>42690</v>
      </c>
      <c r="D4145" t="s">
        <v>48</v>
      </c>
      <c r="E4145" t="s">
        <v>179</v>
      </c>
      <c r="F4145" t="s">
        <v>180</v>
      </c>
      <c r="G4145">
        <v>5</v>
      </c>
      <c r="H4145">
        <v>10.19</v>
      </c>
      <c r="I4145">
        <v>0.15</v>
      </c>
      <c r="J4145">
        <v>43.31</v>
      </c>
      <c r="K4145" t="s">
        <v>36</v>
      </c>
      <c r="L4145" t="s">
        <v>37</v>
      </c>
      <c r="M4145" t="s">
        <v>28</v>
      </c>
    </row>
    <row r="4146" spans="1:13" x14ac:dyDescent="0.2">
      <c r="A4146">
        <v>786661</v>
      </c>
      <c r="B4146" s="1">
        <v>45407</v>
      </c>
      <c r="C4146">
        <v>74008</v>
      </c>
      <c r="D4146" t="s">
        <v>40</v>
      </c>
      <c r="E4146" t="s">
        <v>41</v>
      </c>
      <c r="F4146" t="s">
        <v>42</v>
      </c>
      <c r="G4146">
        <v>3</v>
      </c>
      <c r="H4146">
        <v>4.79</v>
      </c>
      <c r="I4146">
        <v>0.2</v>
      </c>
      <c r="J4146">
        <v>11.5</v>
      </c>
      <c r="K4146" t="s">
        <v>16</v>
      </c>
      <c r="L4146" t="s">
        <v>17</v>
      </c>
      <c r="M4146" t="s">
        <v>102</v>
      </c>
    </row>
    <row r="4147" spans="1:13" x14ac:dyDescent="0.2">
      <c r="A4147">
        <v>786663</v>
      </c>
      <c r="B4147" s="1">
        <v>45524</v>
      </c>
      <c r="C4147">
        <v>65764</v>
      </c>
      <c r="D4147" t="s">
        <v>85</v>
      </c>
      <c r="E4147" t="s">
        <v>129</v>
      </c>
      <c r="F4147" t="s">
        <v>130</v>
      </c>
      <c r="G4147">
        <v>1</v>
      </c>
      <c r="H4147">
        <v>8.99</v>
      </c>
      <c r="J4147">
        <v>8.99</v>
      </c>
      <c r="K4147" t="s">
        <v>32</v>
      </c>
      <c r="L4147" t="s">
        <v>17</v>
      </c>
      <c r="M4147" t="s">
        <v>62</v>
      </c>
    </row>
    <row r="4148" spans="1:13" x14ac:dyDescent="0.2">
      <c r="A4148">
        <v>786668</v>
      </c>
      <c r="B4148" s="2">
        <v>45586</v>
      </c>
      <c r="C4148">
        <v>21688</v>
      </c>
      <c r="D4148" t="s">
        <v>40</v>
      </c>
      <c r="E4148" t="s">
        <v>115</v>
      </c>
      <c r="F4148" t="s">
        <v>116</v>
      </c>
      <c r="G4148">
        <v>4</v>
      </c>
      <c r="H4148">
        <v>11.69</v>
      </c>
      <c r="I4148">
        <v>0.1</v>
      </c>
      <c r="J4148">
        <v>42.08</v>
      </c>
      <c r="K4148" t="s">
        <v>36</v>
      </c>
      <c r="L4148" t="s">
        <v>37</v>
      </c>
      <c r="M4148" t="s">
        <v>90</v>
      </c>
    </row>
    <row r="4149" spans="1:13" x14ac:dyDescent="0.2">
      <c r="A4149">
        <v>786808</v>
      </c>
      <c r="B4149" s="1">
        <v>44731</v>
      </c>
      <c r="C4149">
        <v>59539</v>
      </c>
      <c r="D4149" t="s">
        <v>200</v>
      </c>
      <c r="E4149" t="s">
        <v>113</v>
      </c>
      <c r="F4149" t="s">
        <v>114</v>
      </c>
      <c r="G4149">
        <v>3</v>
      </c>
      <c r="H4149">
        <v>113.99</v>
      </c>
      <c r="I4149">
        <v>0.05</v>
      </c>
      <c r="J4149">
        <v>324.87</v>
      </c>
      <c r="K4149" t="s">
        <v>36</v>
      </c>
      <c r="L4149" t="s">
        <v>23</v>
      </c>
      <c r="M4149" t="s">
        <v>120</v>
      </c>
    </row>
    <row r="4150" spans="1:13" x14ac:dyDescent="0.2">
      <c r="A4150">
        <v>786961</v>
      </c>
      <c r="B4150" s="2">
        <v>44852</v>
      </c>
      <c r="C4150">
        <v>51884</v>
      </c>
      <c r="D4150" t="s">
        <v>44</v>
      </c>
      <c r="E4150" t="s">
        <v>45</v>
      </c>
      <c r="F4150" t="s">
        <v>46</v>
      </c>
      <c r="G4150">
        <v>1</v>
      </c>
      <c r="H4150">
        <v>1.7</v>
      </c>
      <c r="I4150">
        <v>0.05</v>
      </c>
      <c r="J4150">
        <v>1.62</v>
      </c>
      <c r="K4150" t="s">
        <v>16</v>
      </c>
      <c r="L4150" t="s">
        <v>37</v>
      </c>
      <c r="M4150" t="s">
        <v>28</v>
      </c>
    </row>
    <row r="4151" spans="1:13" x14ac:dyDescent="0.2">
      <c r="A4151">
        <v>787097</v>
      </c>
      <c r="B4151" s="1">
        <v>45277</v>
      </c>
      <c r="C4151">
        <v>38941</v>
      </c>
      <c r="D4151" t="s">
        <v>106</v>
      </c>
      <c r="E4151" t="s">
        <v>74</v>
      </c>
      <c r="F4151" t="s">
        <v>75</v>
      </c>
      <c r="G4151">
        <v>1</v>
      </c>
      <c r="H4151">
        <v>2.09</v>
      </c>
      <c r="I4151">
        <v>0.3</v>
      </c>
      <c r="J4151">
        <v>1.46</v>
      </c>
      <c r="K4151" t="s">
        <v>16</v>
      </c>
      <c r="L4151" t="s">
        <v>17</v>
      </c>
    </row>
    <row r="4152" spans="1:13" x14ac:dyDescent="0.2">
      <c r="A4152">
        <v>787186</v>
      </c>
      <c r="B4152" s="2">
        <v>44671</v>
      </c>
      <c r="C4152">
        <v>49284</v>
      </c>
      <c r="D4152" t="s">
        <v>82</v>
      </c>
      <c r="E4152" t="s">
        <v>188</v>
      </c>
      <c r="F4152" t="s">
        <v>189</v>
      </c>
      <c r="G4152">
        <v>1</v>
      </c>
      <c r="H4152">
        <v>40.49</v>
      </c>
      <c r="I4152">
        <v>0.1</v>
      </c>
      <c r="J4152">
        <v>36.44</v>
      </c>
      <c r="K4152" t="s">
        <v>16</v>
      </c>
      <c r="L4152" t="s">
        <v>17</v>
      </c>
      <c r="M4152" t="s">
        <v>120</v>
      </c>
    </row>
    <row r="4153" spans="1:13" x14ac:dyDescent="0.2">
      <c r="A4153">
        <v>787351</v>
      </c>
      <c r="B4153" s="1">
        <v>44899</v>
      </c>
      <c r="C4153">
        <v>84930</v>
      </c>
      <c r="D4153" t="s">
        <v>29</v>
      </c>
      <c r="E4153" t="s">
        <v>170</v>
      </c>
      <c r="F4153" t="s">
        <v>171</v>
      </c>
      <c r="G4153">
        <v>5</v>
      </c>
      <c r="H4153">
        <v>14.99</v>
      </c>
      <c r="J4153">
        <v>74.95</v>
      </c>
      <c r="K4153" t="s">
        <v>36</v>
      </c>
      <c r="L4153" t="s">
        <v>23</v>
      </c>
      <c r="M4153" t="s">
        <v>96</v>
      </c>
    </row>
    <row r="4154" spans="1:13" x14ac:dyDescent="0.2">
      <c r="A4154">
        <v>787614</v>
      </c>
      <c r="B4154" s="1">
        <v>45249</v>
      </c>
      <c r="C4154">
        <v>79489</v>
      </c>
      <c r="D4154" t="s">
        <v>85</v>
      </c>
      <c r="E4154" t="s">
        <v>157</v>
      </c>
      <c r="F4154" t="s">
        <v>158</v>
      </c>
      <c r="G4154">
        <v>2</v>
      </c>
      <c r="H4154">
        <v>10.79</v>
      </c>
      <c r="I4154">
        <v>0.2</v>
      </c>
      <c r="J4154">
        <v>17.260000000000002</v>
      </c>
      <c r="K4154" t="s">
        <v>36</v>
      </c>
      <c r="L4154" t="s">
        <v>17</v>
      </c>
      <c r="M4154" t="s">
        <v>62</v>
      </c>
    </row>
    <row r="4155" spans="1:13" x14ac:dyDescent="0.2">
      <c r="A4155">
        <v>787768</v>
      </c>
      <c r="B4155" s="2">
        <v>44992</v>
      </c>
      <c r="C4155">
        <v>58738</v>
      </c>
      <c r="D4155" t="s">
        <v>97</v>
      </c>
      <c r="E4155" t="s">
        <v>151</v>
      </c>
      <c r="F4155" t="s">
        <v>152</v>
      </c>
      <c r="G4155">
        <v>2</v>
      </c>
      <c r="H4155">
        <v>34.99</v>
      </c>
      <c r="J4155">
        <v>69.98</v>
      </c>
      <c r="K4155" t="s">
        <v>16</v>
      </c>
      <c r="L4155" t="s">
        <v>17</v>
      </c>
      <c r="M4155" t="s">
        <v>62</v>
      </c>
    </row>
    <row r="4156" spans="1:13" x14ac:dyDescent="0.2">
      <c r="A4156">
        <v>788320</v>
      </c>
      <c r="B4156" s="1">
        <v>45316</v>
      </c>
      <c r="C4156">
        <v>38576</v>
      </c>
      <c r="D4156" t="s">
        <v>44</v>
      </c>
      <c r="E4156" t="s">
        <v>172</v>
      </c>
      <c r="F4156" t="s">
        <v>173</v>
      </c>
      <c r="G4156">
        <v>2</v>
      </c>
      <c r="H4156">
        <v>3.59</v>
      </c>
      <c r="I4156">
        <v>0.2</v>
      </c>
      <c r="J4156">
        <v>5.74</v>
      </c>
      <c r="K4156" t="s">
        <v>22</v>
      </c>
      <c r="L4156" t="s">
        <v>37</v>
      </c>
      <c r="M4156" t="s">
        <v>117</v>
      </c>
    </row>
    <row r="4157" spans="1:13" x14ac:dyDescent="0.2">
      <c r="A4157">
        <v>788639</v>
      </c>
      <c r="B4157" s="1">
        <v>45281</v>
      </c>
      <c r="C4157">
        <v>82596</v>
      </c>
      <c r="D4157" t="s">
        <v>82</v>
      </c>
      <c r="E4157" t="s">
        <v>188</v>
      </c>
      <c r="F4157" t="s">
        <v>189</v>
      </c>
      <c r="G4157">
        <v>2</v>
      </c>
      <c r="H4157">
        <v>42.74</v>
      </c>
      <c r="I4157">
        <v>0.05</v>
      </c>
      <c r="J4157">
        <v>81.209999999999994</v>
      </c>
      <c r="K4157" t="s">
        <v>16</v>
      </c>
      <c r="L4157" t="s">
        <v>37</v>
      </c>
      <c r="M4157" t="s">
        <v>76</v>
      </c>
    </row>
    <row r="4158" spans="1:13" x14ac:dyDescent="0.2">
      <c r="A4158">
        <v>788733</v>
      </c>
      <c r="B4158" s="2">
        <v>45550</v>
      </c>
      <c r="C4158">
        <v>71592</v>
      </c>
      <c r="D4158" t="s">
        <v>82</v>
      </c>
      <c r="E4158" t="s">
        <v>83</v>
      </c>
      <c r="F4158" t="s">
        <v>84</v>
      </c>
      <c r="G4158">
        <v>1</v>
      </c>
      <c r="H4158">
        <v>16.989999999999998</v>
      </c>
      <c r="J4158">
        <v>16.989999999999998</v>
      </c>
      <c r="K4158" t="s">
        <v>16</v>
      </c>
      <c r="L4158" t="s">
        <v>23</v>
      </c>
      <c r="M4158" t="s">
        <v>57</v>
      </c>
    </row>
    <row r="4159" spans="1:13" x14ac:dyDescent="0.2">
      <c r="A4159">
        <v>788765</v>
      </c>
      <c r="B4159" s="1">
        <v>44936</v>
      </c>
      <c r="C4159">
        <v>23745</v>
      </c>
      <c r="D4159" t="s">
        <v>97</v>
      </c>
      <c r="E4159" t="s">
        <v>98</v>
      </c>
      <c r="F4159" t="s">
        <v>99</v>
      </c>
      <c r="G4159">
        <v>1</v>
      </c>
      <c r="H4159">
        <v>20.99</v>
      </c>
      <c r="I4159">
        <v>0.25</v>
      </c>
      <c r="J4159">
        <v>15.74</v>
      </c>
      <c r="K4159" t="s">
        <v>22</v>
      </c>
      <c r="L4159" t="s">
        <v>17</v>
      </c>
      <c r="M4159" t="s">
        <v>117</v>
      </c>
    </row>
    <row r="4160" spans="1:13" x14ac:dyDescent="0.2">
      <c r="A4160">
        <v>789087</v>
      </c>
      <c r="B4160" s="1">
        <v>44714</v>
      </c>
      <c r="C4160">
        <v>84315</v>
      </c>
      <c r="D4160" t="s">
        <v>48</v>
      </c>
      <c r="E4160" t="s">
        <v>179</v>
      </c>
      <c r="F4160" t="s">
        <v>180</v>
      </c>
      <c r="G4160">
        <v>1</v>
      </c>
      <c r="H4160">
        <v>10.19</v>
      </c>
      <c r="I4160">
        <v>0.15</v>
      </c>
      <c r="J4160">
        <v>8.66</v>
      </c>
      <c r="K4160" t="s">
        <v>22</v>
      </c>
      <c r="L4160" t="s">
        <v>37</v>
      </c>
      <c r="M4160" t="s">
        <v>123</v>
      </c>
    </row>
    <row r="4161" spans="1:13" x14ac:dyDescent="0.2">
      <c r="A4161">
        <v>789575</v>
      </c>
      <c r="B4161" s="1">
        <v>45372</v>
      </c>
      <c r="C4161">
        <v>32981</v>
      </c>
      <c r="D4161" t="s">
        <v>40</v>
      </c>
      <c r="E4161" t="s">
        <v>197</v>
      </c>
      <c r="F4161" t="s">
        <v>198</v>
      </c>
      <c r="G4161">
        <v>1</v>
      </c>
      <c r="H4161">
        <v>13.49</v>
      </c>
      <c r="I4161">
        <v>0.1</v>
      </c>
      <c r="J4161">
        <v>12.14</v>
      </c>
      <c r="K4161" t="s">
        <v>36</v>
      </c>
      <c r="L4161" t="s">
        <v>17</v>
      </c>
      <c r="M4161" t="s">
        <v>62</v>
      </c>
    </row>
    <row r="4162" spans="1:13" x14ac:dyDescent="0.2">
      <c r="A4162">
        <v>789589</v>
      </c>
      <c r="B4162" s="2">
        <v>44726</v>
      </c>
      <c r="C4162">
        <v>23080</v>
      </c>
      <c r="D4162" t="s">
        <v>29</v>
      </c>
      <c r="E4162" t="s">
        <v>175</v>
      </c>
      <c r="F4162" t="s">
        <v>176</v>
      </c>
      <c r="G4162">
        <v>2</v>
      </c>
      <c r="H4162">
        <v>11.39</v>
      </c>
      <c r="I4162">
        <v>0.05</v>
      </c>
      <c r="J4162">
        <v>21.64</v>
      </c>
      <c r="K4162" t="s">
        <v>95</v>
      </c>
      <c r="L4162" t="s">
        <v>17</v>
      </c>
      <c r="M4162" t="s">
        <v>161</v>
      </c>
    </row>
    <row r="4163" spans="1:13" x14ac:dyDescent="0.2">
      <c r="A4163">
        <v>789661</v>
      </c>
      <c r="B4163" s="1">
        <v>44596</v>
      </c>
      <c r="C4163">
        <v>44412</v>
      </c>
      <c r="D4163" t="s">
        <v>82</v>
      </c>
      <c r="E4163" t="s">
        <v>155</v>
      </c>
      <c r="F4163" t="s">
        <v>156</v>
      </c>
      <c r="G4163">
        <v>1</v>
      </c>
      <c r="H4163">
        <v>19.989999999999998</v>
      </c>
      <c r="J4163">
        <v>19.989999999999998</v>
      </c>
      <c r="K4163" t="s">
        <v>32</v>
      </c>
      <c r="L4163" t="s">
        <v>37</v>
      </c>
      <c r="M4163" t="s">
        <v>96</v>
      </c>
    </row>
    <row r="4164" spans="1:13" x14ac:dyDescent="0.2">
      <c r="A4164">
        <v>789966</v>
      </c>
      <c r="B4164" s="1">
        <v>44781</v>
      </c>
      <c r="C4164">
        <v>61868</v>
      </c>
      <c r="D4164" t="s">
        <v>13</v>
      </c>
      <c r="E4164" t="s">
        <v>159</v>
      </c>
      <c r="F4164" t="s">
        <v>160</v>
      </c>
      <c r="G4164">
        <v>3</v>
      </c>
      <c r="H4164">
        <v>44.99</v>
      </c>
      <c r="I4164">
        <v>0.25</v>
      </c>
      <c r="J4164">
        <v>101.23</v>
      </c>
      <c r="K4164" t="s">
        <v>95</v>
      </c>
      <c r="L4164" t="s">
        <v>37</v>
      </c>
      <c r="M4164" t="s">
        <v>54</v>
      </c>
    </row>
    <row r="4165" spans="1:13" x14ac:dyDescent="0.2">
      <c r="A4165">
        <v>789976</v>
      </c>
      <c r="B4165" s="1">
        <v>44832</v>
      </c>
      <c r="C4165">
        <v>81562</v>
      </c>
      <c r="D4165" t="s">
        <v>44</v>
      </c>
      <c r="E4165" t="s">
        <v>133</v>
      </c>
      <c r="F4165" t="s">
        <v>134</v>
      </c>
      <c r="G4165">
        <v>3</v>
      </c>
      <c r="H4165">
        <v>3.22</v>
      </c>
      <c r="I4165">
        <v>0.15</v>
      </c>
      <c r="J4165">
        <v>8.2100000000000009</v>
      </c>
      <c r="K4165" t="s">
        <v>22</v>
      </c>
      <c r="L4165" t="s">
        <v>17</v>
      </c>
      <c r="M4165" t="s">
        <v>76</v>
      </c>
    </row>
    <row r="4166" spans="1:13" x14ac:dyDescent="0.2">
      <c r="A4166">
        <v>789991</v>
      </c>
      <c r="B4166" s="1">
        <v>45001</v>
      </c>
      <c r="C4166">
        <v>64363</v>
      </c>
      <c r="D4166" t="s">
        <v>48</v>
      </c>
      <c r="E4166" t="s">
        <v>139</v>
      </c>
      <c r="F4166" t="s">
        <v>140</v>
      </c>
      <c r="G4166">
        <v>1</v>
      </c>
      <c r="H4166">
        <v>7.59</v>
      </c>
      <c r="I4166">
        <v>0.05</v>
      </c>
      <c r="J4166">
        <v>7.21</v>
      </c>
      <c r="K4166" t="s">
        <v>22</v>
      </c>
      <c r="L4166" t="s">
        <v>23</v>
      </c>
      <c r="M4166" t="s">
        <v>117</v>
      </c>
    </row>
    <row r="4167" spans="1:13" x14ac:dyDescent="0.2">
      <c r="A4167">
        <v>790309</v>
      </c>
      <c r="B4167" s="1">
        <v>45458</v>
      </c>
      <c r="D4167" t="s">
        <v>97</v>
      </c>
      <c r="E4167" t="s">
        <v>165</v>
      </c>
      <c r="F4167" t="s">
        <v>166</v>
      </c>
      <c r="G4167">
        <v>1</v>
      </c>
      <c r="H4167">
        <v>85.49</v>
      </c>
      <c r="I4167">
        <v>0.05</v>
      </c>
      <c r="J4167">
        <v>81.22</v>
      </c>
      <c r="K4167" t="s">
        <v>32</v>
      </c>
      <c r="L4167" t="s">
        <v>37</v>
      </c>
      <c r="M4167" t="s">
        <v>120</v>
      </c>
    </row>
    <row r="4168" spans="1:13" x14ac:dyDescent="0.2">
      <c r="A4168">
        <v>790391</v>
      </c>
      <c r="B4168" s="1">
        <v>44898</v>
      </c>
      <c r="C4168">
        <v>14900</v>
      </c>
      <c r="D4168" t="s">
        <v>44</v>
      </c>
      <c r="E4168" t="s">
        <v>184</v>
      </c>
      <c r="F4168" t="s">
        <v>185</v>
      </c>
      <c r="G4168">
        <v>3</v>
      </c>
      <c r="H4168">
        <v>4.3899999999999997</v>
      </c>
      <c r="I4168">
        <v>0.2</v>
      </c>
      <c r="J4168">
        <v>10.54</v>
      </c>
      <c r="K4168" t="s">
        <v>16</v>
      </c>
      <c r="L4168" t="s">
        <v>17</v>
      </c>
      <c r="M4168" t="s">
        <v>47</v>
      </c>
    </row>
    <row r="4169" spans="1:13" x14ac:dyDescent="0.2">
      <c r="A4169">
        <v>790727</v>
      </c>
      <c r="B4169" s="1">
        <v>45016</v>
      </c>
      <c r="D4169" t="s">
        <v>63</v>
      </c>
      <c r="E4169" t="s">
        <v>64</v>
      </c>
      <c r="F4169" t="s">
        <v>65</v>
      </c>
      <c r="G4169">
        <v>1</v>
      </c>
      <c r="H4169">
        <v>3.49</v>
      </c>
      <c r="I4169">
        <v>0.3</v>
      </c>
      <c r="J4169">
        <v>2.44</v>
      </c>
      <c r="K4169" t="s">
        <v>16</v>
      </c>
      <c r="L4169" t="s">
        <v>17</v>
      </c>
      <c r="M4169" t="s">
        <v>161</v>
      </c>
    </row>
    <row r="4170" spans="1:13" x14ac:dyDescent="0.2">
      <c r="A4170">
        <v>790746</v>
      </c>
      <c r="B4170" s="1">
        <v>45571</v>
      </c>
      <c r="C4170">
        <v>39960</v>
      </c>
      <c r="D4170" t="s">
        <v>85</v>
      </c>
      <c r="E4170" t="s">
        <v>149</v>
      </c>
      <c r="F4170" t="s">
        <v>150</v>
      </c>
      <c r="G4170">
        <v>3</v>
      </c>
      <c r="H4170">
        <v>17.989999999999998</v>
      </c>
      <c r="I4170">
        <v>0.1</v>
      </c>
      <c r="J4170">
        <v>48.57</v>
      </c>
      <c r="K4170" t="s">
        <v>16</v>
      </c>
      <c r="L4170" t="s">
        <v>17</v>
      </c>
      <c r="M4170" t="s">
        <v>96</v>
      </c>
    </row>
    <row r="4171" spans="1:13" x14ac:dyDescent="0.2">
      <c r="A4171">
        <v>790792</v>
      </c>
      <c r="B4171" s="2">
        <v>44847</v>
      </c>
      <c r="C4171">
        <v>34013</v>
      </c>
      <c r="D4171" t="s">
        <v>44</v>
      </c>
      <c r="E4171" t="s">
        <v>93</v>
      </c>
      <c r="F4171" t="s">
        <v>94</v>
      </c>
      <c r="G4171">
        <v>1</v>
      </c>
      <c r="H4171">
        <v>1.29</v>
      </c>
      <c r="J4171">
        <v>1.29</v>
      </c>
      <c r="K4171" t="s">
        <v>16</v>
      </c>
      <c r="L4171" t="s">
        <v>17</v>
      </c>
      <c r="M4171" t="s">
        <v>18</v>
      </c>
    </row>
    <row r="4172" spans="1:13" x14ac:dyDescent="0.2">
      <c r="A4172">
        <v>790878</v>
      </c>
      <c r="B4172" s="1">
        <v>44699</v>
      </c>
      <c r="C4172">
        <v>17990</v>
      </c>
      <c r="D4172" t="s">
        <v>25</v>
      </c>
      <c r="E4172" t="s">
        <v>26</v>
      </c>
      <c r="F4172" t="s">
        <v>27</v>
      </c>
      <c r="G4172">
        <v>5</v>
      </c>
      <c r="H4172">
        <v>27.99</v>
      </c>
      <c r="I4172">
        <v>0.2</v>
      </c>
      <c r="J4172">
        <v>111.96</v>
      </c>
      <c r="K4172" t="s">
        <v>16</v>
      </c>
      <c r="L4172" t="s">
        <v>17</v>
      </c>
    </row>
    <row r="4173" spans="1:13" x14ac:dyDescent="0.2">
      <c r="A4173">
        <v>790964</v>
      </c>
      <c r="B4173" s="1">
        <v>45591</v>
      </c>
      <c r="C4173">
        <v>74644</v>
      </c>
      <c r="D4173" t="s">
        <v>85</v>
      </c>
      <c r="E4173" t="s">
        <v>129</v>
      </c>
      <c r="F4173" t="s">
        <v>130</v>
      </c>
      <c r="G4173">
        <v>5</v>
      </c>
      <c r="H4173">
        <v>8.99</v>
      </c>
      <c r="J4173">
        <v>44.95</v>
      </c>
      <c r="K4173" t="s">
        <v>16</v>
      </c>
      <c r="L4173" t="s">
        <v>17</v>
      </c>
      <c r="M4173" t="s">
        <v>161</v>
      </c>
    </row>
    <row r="4174" spans="1:13" x14ac:dyDescent="0.2">
      <c r="A4174">
        <v>791011</v>
      </c>
      <c r="B4174" s="1">
        <v>45295</v>
      </c>
      <c r="C4174">
        <v>87866</v>
      </c>
      <c r="D4174" t="s">
        <v>63</v>
      </c>
      <c r="E4174" t="s">
        <v>125</v>
      </c>
      <c r="F4174" t="s">
        <v>126</v>
      </c>
      <c r="G4174">
        <v>5</v>
      </c>
      <c r="H4174">
        <v>22.49</v>
      </c>
      <c r="I4174">
        <v>0.25</v>
      </c>
      <c r="J4174">
        <v>84.34</v>
      </c>
      <c r="K4174" t="s">
        <v>16</v>
      </c>
      <c r="L4174" t="s">
        <v>17</v>
      </c>
      <c r="M4174" t="s">
        <v>102</v>
      </c>
    </row>
    <row r="4175" spans="1:13" x14ac:dyDescent="0.2">
      <c r="A4175">
        <v>791033</v>
      </c>
      <c r="B4175" s="2">
        <v>44971</v>
      </c>
      <c r="C4175">
        <v>46165</v>
      </c>
      <c r="D4175" t="s">
        <v>44</v>
      </c>
      <c r="E4175" t="s">
        <v>93</v>
      </c>
      <c r="F4175" t="s">
        <v>94</v>
      </c>
      <c r="G4175">
        <v>3</v>
      </c>
      <c r="H4175">
        <v>1.03</v>
      </c>
      <c r="I4175">
        <v>0.2</v>
      </c>
      <c r="J4175">
        <v>2.4700000000000002</v>
      </c>
      <c r="K4175" t="s">
        <v>22</v>
      </c>
      <c r="L4175" t="s">
        <v>23</v>
      </c>
    </row>
    <row r="4176" spans="1:13" x14ac:dyDescent="0.2">
      <c r="A4176">
        <v>791163</v>
      </c>
      <c r="B4176" s="1">
        <v>44769</v>
      </c>
      <c r="C4176">
        <v>17477</v>
      </c>
      <c r="D4176" t="s">
        <v>63</v>
      </c>
      <c r="E4176" t="s">
        <v>64</v>
      </c>
      <c r="F4176" t="s">
        <v>65</v>
      </c>
      <c r="G4176">
        <v>2</v>
      </c>
      <c r="H4176">
        <v>3.49</v>
      </c>
      <c r="I4176">
        <v>0.3</v>
      </c>
      <c r="J4176">
        <v>4.8899999999999997</v>
      </c>
      <c r="K4176" t="s">
        <v>16</v>
      </c>
      <c r="L4176" t="s">
        <v>37</v>
      </c>
      <c r="M4176" t="s">
        <v>120</v>
      </c>
    </row>
    <row r="4177" spans="1:13" x14ac:dyDescent="0.2">
      <c r="A4177">
        <v>791238</v>
      </c>
      <c r="B4177" s="2">
        <v>45238</v>
      </c>
      <c r="C4177">
        <v>86640</v>
      </c>
      <c r="D4177" t="s">
        <v>29</v>
      </c>
      <c r="E4177" t="s">
        <v>170</v>
      </c>
      <c r="F4177" t="s">
        <v>171</v>
      </c>
      <c r="G4177">
        <v>3</v>
      </c>
      <c r="H4177">
        <v>14.99</v>
      </c>
      <c r="J4177">
        <v>44.97</v>
      </c>
      <c r="K4177" t="s">
        <v>22</v>
      </c>
      <c r="L4177" t="s">
        <v>37</v>
      </c>
      <c r="M4177" t="s">
        <v>57</v>
      </c>
    </row>
    <row r="4178" spans="1:13" x14ac:dyDescent="0.2">
      <c r="A4178">
        <v>791278</v>
      </c>
      <c r="B4178" s="1">
        <v>44598</v>
      </c>
      <c r="C4178">
        <v>12813</v>
      </c>
      <c r="D4178" t="s">
        <v>29</v>
      </c>
      <c r="E4178" t="s">
        <v>175</v>
      </c>
      <c r="F4178" t="s">
        <v>176</v>
      </c>
      <c r="G4178">
        <v>5</v>
      </c>
      <c r="H4178">
        <v>11.99</v>
      </c>
      <c r="J4178">
        <v>59.95</v>
      </c>
      <c r="K4178" t="s">
        <v>53</v>
      </c>
      <c r="L4178" t="s">
        <v>17</v>
      </c>
      <c r="M4178" t="s">
        <v>123</v>
      </c>
    </row>
    <row r="4179" spans="1:13" x14ac:dyDescent="0.2">
      <c r="A4179">
        <v>791346</v>
      </c>
      <c r="B4179" s="2">
        <v>45545</v>
      </c>
      <c r="C4179">
        <v>28495</v>
      </c>
      <c r="D4179" t="s">
        <v>48</v>
      </c>
      <c r="E4179" t="s">
        <v>143</v>
      </c>
      <c r="F4179" t="s">
        <v>144</v>
      </c>
      <c r="G4179">
        <v>2</v>
      </c>
      <c r="H4179">
        <v>11.24</v>
      </c>
      <c r="I4179">
        <v>0.25</v>
      </c>
      <c r="J4179">
        <v>16.86</v>
      </c>
      <c r="K4179" t="s">
        <v>16</v>
      </c>
      <c r="L4179" t="s">
        <v>37</v>
      </c>
      <c r="M4179" t="s">
        <v>24</v>
      </c>
    </row>
    <row r="4180" spans="1:13" x14ac:dyDescent="0.2">
      <c r="A4180">
        <v>791381</v>
      </c>
      <c r="B4180" s="2">
        <v>44768</v>
      </c>
      <c r="C4180">
        <v>35400</v>
      </c>
      <c r="D4180" t="s">
        <v>40</v>
      </c>
      <c r="E4180" t="s">
        <v>20</v>
      </c>
      <c r="F4180" t="s">
        <v>21</v>
      </c>
      <c r="G4180">
        <v>1</v>
      </c>
      <c r="H4180">
        <v>9.99</v>
      </c>
      <c r="J4180">
        <v>9.99</v>
      </c>
      <c r="K4180" t="s">
        <v>16</v>
      </c>
      <c r="L4180" t="s">
        <v>17</v>
      </c>
      <c r="M4180" t="s">
        <v>62</v>
      </c>
    </row>
    <row r="4181" spans="1:13" x14ac:dyDescent="0.2">
      <c r="A4181">
        <v>791463</v>
      </c>
      <c r="B4181" s="1">
        <v>45144</v>
      </c>
      <c r="C4181">
        <v>70459</v>
      </c>
      <c r="D4181" t="s">
        <v>97</v>
      </c>
      <c r="E4181" t="s">
        <v>165</v>
      </c>
      <c r="F4181" t="s">
        <v>166</v>
      </c>
      <c r="G4181">
        <v>3</v>
      </c>
      <c r="H4181">
        <v>85.49</v>
      </c>
      <c r="I4181">
        <v>0.05</v>
      </c>
      <c r="J4181">
        <v>243.65</v>
      </c>
      <c r="K4181" t="s">
        <v>16</v>
      </c>
      <c r="L4181" t="s">
        <v>37</v>
      </c>
      <c r="M4181" t="s">
        <v>47</v>
      </c>
    </row>
    <row r="4182" spans="1:13" x14ac:dyDescent="0.2">
      <c r="A4182">
        <v>792510</v>
      </c>
      <c r="B4182" s="1">
        <v>45568</v>
      </c>
      <c r="C4182">
        <v>39741</v>
      </c>
      <c r="D4182" t="s">
        <v>25</v>
      </c>
      <c r="E4182" t="s">
        <v>51</v>
      </c>
      <c r="F4182" t="s">
        <v>52</v>
      </c>
      <c r="G4182">
        <v>3</v>
      </c>
      <c r="H4182">
        <v>27.99</v>
      </c>
      <c r="J4182">
        <v>83.97</v>
      </c>
      <c r="K4182" t="s">
        <v>36</v>
      </c>
      <c r="L4182" t="s">
        <v>17</v>
      </c>
      <c r="M4182" t="s">
        <v>103</v>
      </c>
    </row>
    <row r="4183" spans="1:13" x14ac:dyDescent="0.2">
      <c r="A4183">
        <v>792561</v>
      </c>
      <c r="B4183" s="1">
        <v>44939</v>
      </c>
      <c r="C4183">
        <v>46226</v>
      </c>
      <c r="D4183" t="s">
        <v>25</v>
      </c>
      <c r="E4183" t="s">
        <v>70</v>
      </c>
      <c r="F4183" t="s">
        <v>71</v>
      </c>
      <c r="G4183">
        <v>1</v>
      </c>
      <c r="H4183">
        <v>80.989999999999995</v>
      </c>
      <c r="I4183">
        <v>0.1</v>
      </c>
      <c r="J4183">
        <v>72.89</v>
      </c>
      <c r="K4183" t="s">
        <v>95</v>
      </c>
      <c r="L4183" t="s">
        <v>17</v>
      </c>
      <c r="M4183" t="s">
        <v>54</v>
      </c>
    </row>
    <row r="4184" spans="1:13" x14ac:dyDescent="0.2">
      <c r="A4184">
        <v>792722</v>
      </c>
      <c r="B4184" s="1">
        <v>44696</v>
      </c>
      <c r="C4184">
        <v>78890</v>
      </c>
      <c r="D4184" t="s">
        <v>97</v>
      </c>
      <c r="E4184" t="s">
        <v>141</v>
      </c>
      <c r="F4184" t="s">
        <v>142</v>
      </c>
      <c r="G4184">
        <v>1</v>
      </c>
      <c r="H4184">
        <v>20.69</v>
      </c>
      <c r="I4184">
        <v>0.1</v>
      </c>
      <c r="J4184">
        <v>18.62</v>
      </c>
      <c r="K4184" t="s">
        <v>53</v>
      </c>
      <c r="L4184" t="s">
        <v>37</v>
      </c>
      <c r="M4184" t="s">
        <v>102</v>
      </c>
    </row>
    <row r="4185" spans="1:13" x14ac:dyDescent="0.2">
      <c r="A4185">
        <v>792912</v>
      </c>
      <c r="B4185" s="2">
        <v>45085</v>
      </c>
      <c r="C4185">
        <v>83184</v>
      </c>
      <c r="D4185" t="s">
        <v>85</v>
      </c>
      <c r="E4185" t="s">
        <v>153</v>
      </c>
      <c r="F4185" t="s">
        <v>154</v>
      </c>
      <c r="G4185">
        <v>1</v>
      </c>
      <c r="H4185">
        <v>26.99</v>
      </c>
      <c r="I4185">
        <v>0.1</v>
      </c>
      <c r="J4185">
        <v>24.29</v>
      </c>
      <c r="K4185" t="s">
        <v>95</v>
      </c>
      <c r="L4185" t="s">
        <v>37</v>
      </c>
      <c r="M4185" t="s">
        <v>120</v>
      </c>
    </row>
    <row r="4186" spans="1:13" x14ac:dyDescent="0.2">
      <c r="A4186">
        <v>792939</v>
      </c>
      <c r="B4186" s="2">
        <v>44655</v>
      </c>
      <c r="C4186">
        <v>82981</v>
      </c>
      <c r="D4186" t="s">
        <v>82</v>
      </c>
      <c r="E4186" t="s">
        <v>147</v>
      </c>
      <c r="F4186" t="s">
        <v>148</v>
      </c>
      <c r="G4186">
        <v>3</v>
      </c>
      <c r="H4186">
        <v>11.04</v>
      </c>
      <c r="I4186">
        <v>0.15</v>
      </c>
      <c r="J4186">
        <v>28.15</v>
      </c>
      <c r="K4186" t="s">
        <v>36</v>
      </c>
      <c r="L4186" t="s">
        <v>17</v>
      </c>
      <c r="M4186" t="s">
        <v>81</v>
      </c>
    </row>
    <row r="4187" spans="1:13" x14ac:dyDescent="0.2">
      <c r="A4187">
        <v>792949</v>
      </c>
      <c r="B4187" s="1">
        <v>45049</v>
      </c>
      <c r="D4187" t="s">
        <v>85</v>
      </c>
      <c r="E4187" t="s">
        <v>86</v>
      </c>
      <c r="F4187" t="s">
        <v>87</v>
      </c>
      <c r="G4187">
        <v>1</v>
      </c>
      <c r="H4187">
        <v>11.69</v>
      </c>
      <c r="I4187">
        <v>0.1</v>
      </c>
      <c r="J4187">
        <v>10.52</v>
      </c>
      <c r="K4187" t="s">
        <v>16</v>
      </c>
      <c r="L4187" t="s">
        <v>17</v>
      </c>
      <c r="M4187" t="s">
        <v>28</v>
      </c>
    </row>
    <row r="4188" spans="1:13" x14ac:dyDescent="0.2">
      <c r="A4188">
        <v>793127</v>
      </c>
      <c r="B4188" s="1">
        <v>44714</v>
      </c>
      <c r="C4188">
        <v>24354</v>
      </c>
      <c r="D4188" t="s">
        <v>48</v>
      </c>
      <c r="E4188" t="s">
        <v>143</v>
      </c>
      <c r="F4188" t="s">
        <v>144</v>
      </c>
      <c r="G4188">
        <v>1</v>
      </c>
      <c r="H4188">
        <v>11.99</v>
      </c>
      <c r="I4188">
        <v>0.2</v>
      </c>
      <c r="J4188">
        <v>9.59</v>
      </c>
      <c r="K4188" t="s">
        <v>95</v>
      </c>
      <c r="L4188" t="s">
        <v>17</v>
      </c>
      <c r="M4188" t="s">
        <v>62</v>
      </c>
    </row>
    <row r="4189" spans="1:13" x14ac:dyDescent="0.2">
      <c r="A4189">
        <v>793176</v>
      </c>
      <c r="B4189" s="2">
        <v>45375</v>
      </c>
      <c r="C4189">
        <v>35116</v>
      </c>
      <c r="D4189" t="s">
        <v>85</v>
      </c>
      <c r="E4189" t="s">
        <v>157</v>
      </c>
      <c r="F4189" t="s">
        <v>158</v>
      </c>
      <c r="G4189">
        <v>2</v>
      </c>
      <c r="H4189">
        <v>10.119999999999999</v>
      </c>
      <c r="I4189">
        <v>0.25</v>
      </c>
      <c r="J4189">
        <v>15.18</v>
      </c>
      <c r="K4189" t="s">
        <v>53</v>
      </c>
      <c r="L4189" t="s">
        <v>17</v>
      </c>
      <c r="M4189" t="s">
        <v>103</v>
      </c>
    </row>
    <row r="4190" spans="1:13" x14ac:dyDescent="0.2">
      <c r="A4190">
        <v>793285</v>
      </c>
      <c r="B4190" s="1">
        <v>44938</v>
      </c>
      <c r="C4190">
        <v>24916</v>
      </c>
      <c r="D4190" t="s">
        <v>85</v>
      </c>
      <c r="E4190" t="s">
        <v>145</v>
      </c>
      <c r="F4190" t="s">
        <v>146</v>
      </c>
      <c r="G4190">
        <v>1</v>
      </c>
      <c r="H4190">
        <v>16.989999999999998</v>
      </c>
      <c r="J4190">
        <v>16.989999999999998</v>
      </c>
      <c r="K4190" t="s">
        <v>36</v>
      </c>
      <c r="L4190" t="s">
        <v>37</v>
      </c>
      <c r="M4190" t="s">
        <v>81</v>
      </c>
    </row>
    <row r="4191" spans="1:13" x14ac:dyDescent="0.2">
      <c r="A4191">
        <v>793342</v>
      </c>
      <c r="B4191" s="1">
        <v>45329</v>
      </c>
      <c r="C4191">
        <v>13988</v>
      </c>
      <c r="D4191" t="s">
        <v>44</v>
      </c>
      <c r="E4191" t="s">
        <v>107</v>
      </c>
      <c r="F4191" t="s">
        <v>108</v>
      </c>
      <c r="G4191">
        <v>1</v>
      </c>
      <c r="H4191">
        <v>3.49</v>
      </c>
      <c r="J4191">
        <v>3.49</v>
      </c>
      <c r="K4191" t="s">
        <v>36</v>
      </c>
      <c r="L4191" t="s">
        <v>23</v>
      </c>
      <c r="M4191" t="s">
        <v>62</v>
      </c>
    </row>
    <row r="4192" spans="1:13" x14ac:dyDescent="0.2">
      <c r="A4192">
        <v>793422</v>
      </c>
      <c r="B4192" s="1">
        <v>45231</v>
      </c>
      <c r="C4192">
        <v>51466</v>
      </c>
      <c r="D4192" t="s">
        <v>25</v>
      </c>
      <c r="E4192" t="s">
        <v>70</v>
      </c>
      <c r="F4192" t="s">
        <v>71</v>
      </c>
      <c r="G4192">
        <v>2</v>
      </c>
      <c r="H4192">
        <v>89.99</v>
      </c>
      <c r="J4192">
        <v>179.98</v>
      </c>
      <c r="K4192" t="s">
        <v>36</v>
      </c>
      <c r="L4192" t="s">
        <v>17</v>
      </c>
    </row>
    <row r="4193" spans="1:13" x14ac:dyDescent="0.2">
      <c r="A4193">
        <v>793771</v>
      </c>
      <c r="B4193" s="2">
        <v>45578</v>
      </c>
      <c r="C4193">
        <v>84917</v>
      </c>
      <c r="D4193" t="s">
        <v>13</v>
      </c>
      <c r="E4193" t="s">
        <v>14</v>
      </c>
      <c r="F4193" t="s">
        <v>15</v>
      </c>
      <c r="G4193">
        <v>1</v>
      </c>
      <c r="H4193">
        <v>79.989999999999995</v>
      </c>
      <c r="J4193">
        <v>79.989999999999995</v>
      </c>
      <c r="K4193" t="s">
        <v>95</v>
      </c>
      <c r="L4193" t="s">
        <v>17</v>
      </c>
      <c r="M4193" t="s">
        <v>120</v>
      </c>
    </row>
    <row r="4194" spans="1:13" x14ac:dyDescent="0.2">
      <c r="A4194">
        <v>793780</v>
      </c>
      <c r="B4194" s="2">
        <v>44979</v>
      </c>
      <c r="C4194">
        <v>80103</v>
      </c>
      <c r="D4194" t="s">
        <v>97</v>
      </c>
      <c r="E4194" t="s">
        <v>135</v>
      </c>
      <c r="F4194" t="s">
        <v>136</v>
      </c>
      <c r="G4194">
        <v>3</v>
      </c>
      <c r="H4194">
        <v>9.99</v>
      </c>
      <c r="J4194">
        <v>29.97</v>
      </c>
      <c r="K4194" t="s">
        <v>16</v>
      </c>
      <c r="L4194" t="s">
        <v>17</v>
      </c>
      <c r="M4194" t="s">
        <v>81</v>
      </c>
    </row>
    <row r="4195" spans="1:13" x14ac:dyDescent="0.2">
      <c r="A4195">
        <v>793916</v>
      </c>
      <c r="B4195" s="1">
        <v>44797</v>
      </c>
      <c r="C4195">
        <v>69778</v>
      </c>
      <c r="D4195" t="s">
        <v>85</v>
      </c>
      <c r="E4195" t="s">
        <v>129</v>
      </c>
      <c r="F4195" t="s">
        <v>130</v>
      </c>
      <c r="G4195">
        <v>4</v>
      </c>
      <c r="H4195">
        <v>6.29</v>
      </c>
      <c r="I4195">
        <v>0.3</v>
      </c>
      <c r="J4195">
        <v>17.61</v>
      </c>
      <c r="K4195" t="s">
        <v>22</v>
      </c>
      <c r="L4195" t="s">
        <v>23</v>
      </c>
      <c r="M4195" t="s">
        <v>103</v>
      </c>
    </row>
    <row r="4196" spans="1:13" x14ac:dyDescent="0.2">
      <c r="A4196">
        <v>794709</v>
      </c>
      <c r="B4196" s="2">
        <v>45245</v>
      </c>
      <c r="C4196">
        <v>77354</v>
      </c>
      <c r="D4196" t="s">
        <v>13</v>
      </c>
      <c r="E4196" t="s">
        <v>104</v>
      </c>
      <c r="F4196" t="s">
        <v>105</v>
      </c>
      <c r="G4196">
        <v>1</v>
      </c>
      <c r="H4196">
        <v>25.49</v>
      </c>
      <c r="I4196">
        <v>0.15</v>
      </c>
      <c r="J4196">
        <v>21.67</v>
      </c>
      <c r="K4196" t="s">
        <v>95</v>
      </c>
      <c r="L4196" t="s">
        <v>17</v>
      </c>
      <c r="M4196" t="s">
        <v>102</v>
      </c>
    </row>
    <row r="4197" spans="1:13" x14ac:dyDescent="0.2">
      <c r="A4197">
        <v>794759</v>
      </c>
      <c r="B4197" s="1">
        <v>44676</v>
      </c>
      <c r="C4197">
        <v>33464</v>
      </c>
      <c r="D4197" t="s">
        <v>48</v>
      </c>
      <c r="E4197" t="s">
        <v>109</v>
      </c>
      <c r="F4197" t="s">
        <v>110</v>
      </c>
      <c r="G4197">
        <v>5</v>
      </c>
      <c r="H4197">
        <v>6.29</v>
      </c>
      <c r="I4197">
        <v>0.1</v>
      </c>
      <c r="J4197">
        <v>28.3</v>
      </c>
      <c r="K4197" t="s">
        <v>36</v>
      </c>
      <c r="L4197" t="s">
        <v>17</v>
      </c>
      <c r="M4197" t="s">
        <v>81</v>
      </c>
    </row>
    <row r="4198" spans="1:13" x14ac:dyDescent="0.2">
      <c r="A4198">
        <v>794821</v>
      </c>
      <c r="B4198" s="1">
        <v>44659</v>
      </c>
      <c r="C4198">
        <v>81513</v>
      </c>
      <c r="D4198" t="s">
        <v>85</v>
      </c>
      <c r="E4198" t="s">
        <v>137</v>
      </c>
      <c r="F4198" t="s">
        <v>138</v>
      </c>
      <c r="G4198">
        <v>1</v>
      </c>
      <c r="H4198">
        <v>6.39</v>
      </c>
      <c r="I4198">
        <v>0.2</v>
      </c>
      <c r="J4198">
        <v>5.1100000000000003</v>
      </c>
      <c r="K4198" t="s">
        <v>36</v>
      </c>
      <c r="L4198" t="s">
        <v>37</v>
      </c>
      <c r="M4198" t="s">
        <v>102</v>
      </c>
    </row>
    <row r="4199" spans="1:13" x14ac:dyDescent="0.2">
      <c r="A4199">
        <v>794988</v>
      </c>
      <c r="B4199" s="2">
        <v>45534</v>
      </c>
      <c r="C4199">
        <v>67157</v>
      </c>
      <c r="D4199" t="s">
        <v>48</v>
      </c>
      <c r="E4199" t="s">
        <v>49</v>
      </c>
      <c r="F4199" t="s">
        <v>50</v>
      </c>
      <c r="G4199">
        <v>5</v>
      </c>
      <c r="H4199">
        <v>8.5399999999999991</v>
      </c>
      <c r="I4199">
        <v>0.05</v>
      </c>
      <c r="J4199">
        <v>40.56</v>
      </c>
      <c r="K4199" t="s">
        <v>16</v>
      </c>
      <c r="L4199" t="s">
        <v>17</v>
      </c>
      <c r="M4199" t="s">
        <v>57</v>
      </c>
    </row>
    <row r="4200" spans="1:13" x14ac:dyDescent="0.2">
      <c r="A4200">
        <v>795020</v>
      </c>
      <c r="B4200" s="1">
        <v>44904</v>
      </c>
      <c r="C4200">
        <v>20078</v>
      </c>
      <c r="D4200" t="s">
        <v>40</v>
      </c>
      <c r="E4200" t="s">
        <v>197</v>
      </c>
      <c r="F4200" t="s">
        <v>198</v>
      </c>
      <c r="G4200">
        <v>4</v>
      </c>
      <c r="H4200">
        <v>11.24</v>
      </c>
      <c r="I4200">
        <v>0.25</v>
      </c>
      <c r="J4200">
        <v>33.72</v>
      </c>
      <c r="K4200" t="s">
        <v>16</v>
      </c>
      <c r="L4200" t="s">
        <v>17</v>
      </c>
      <c r="M4200" t="s">
        <v>18</v>
      </c>
    </row>
    <row r="4201" spans="1:13" x14ac:dyDescent="0.2">
      <c r="A4201">
        <v>795059</v>
      </c>
      <c r="B4201" s="1">
        <v>44873</v>
      </c>
      <c r="C4201">
        <v>78349</v>
      </c>
      <c r="D4201" t="s">
        <v>97</v>
      </c>
      <c r="E4201" t="s">
        <v>165</v>
      </c>
      <c r="F4201" t="s">
        <v>166</v>
      </c>
      <c r="G4201">
        <v>5</v>
      </c>
      <c r="H4201">
        <v>62.99</v>
      </c>
      <c r="I4201">
        <v>0.3</v>
      </c>
      <c r="J4201">
        <v>220.46</v>
      </c>
      <c r="K4201" t="s">
        <v>36</v>
      </c>
      <c r="L4201" t="s">
        <v>17</v>
      </c>
      <c r="M4201" t="s">
        <v>120</v>
      </c>
    </row>
    <row r="4202" spans="1:13" x14ac:dyDescent="0.2">
      <c r="A4202">
        <v>795185</v>
      </c>
      <c r="B4202" s="1">
        <v>44823</v>
      </c>
      <c r="C4202">
        <v>91235</v>
      </c>
      <c r="D4202" t="s">
        <v>97</v>
      </c>
      <c r="E4202" t="s">
        <v>165</v>
      </c>
      <c r="F4202" t="s">
        <v>166</v>
      </c>
      <c r="G4202">
        <v>2</v>
      </c>
      <c r="H4202">
        <v>76.489999999999995</v>
      </c>
      <c r="I4202">
        <v>0.15</v>
      </c>
      <c r="J4202">
        <v>130.03</v>
      </c>
      <c r="K4202" t="s">
        <v>36</v>
      </c>
      <c r="L4202" t="s">
        <v>23</v>
      </c>
      <c r="M4202" t="s">
        <v>33</v>
      </c>
    </row>
    <row r="4203" spans="1:13" x14ac:dyDescent="0.2">
      <c r="A4203">
        <v>795200</v>
      </c>
      <c r="B4203" s="2">
        <v>44800</v>
      </c>
      <c r="C4203">
        <v>96122</v>
      </c>
      <c r="D4203" t="s">
        <v>63</v>
      </c>
      <c r="E4203" t="s">
        <v>68</v>
      </c>
      <c r="F4203" t="s">
        <v>69</v>
      </c>
      <c r="G4203">
        <v>1</v>
      </c>
      <c r="H4203">
        <v>17.489999999999998</v>
      </c>
      <c r="I4203">
        <v>0.3</v>
      </c>
      <c r="J4203">
        <v>12.24</v>
      </c>
      <c r="K4203" t="s">
        <v>36</v>
      </c>
      <c r="L4203" t="s">
        <v>37</v>
      </c>
    </row>
    <row r="4204" spans="1:13" x14ac:dyDescent="0.2">
      <c r="A4204">
        <v>795237</v>
      </c>
      <c r="B4204" s="1">
        <v>45040</v>
      </c>
      <c r="C4204">
        <v>42015</v>
      </c>
      <c r="D4204" t="s">
        <v>97</v>
      </c>
      <c r="E4204" t="s">
        <v>151</v>
      </c>
      <c r="F4204" t="s">
        <v>152</v>
      </c>
      <c r="G4204">
        <v>1</v>
      </c>
      <c r="H4204">
        <v>34.99</v>
      </c>
      <c r="J4204">
        <v>34.99</v>
      </c>
      <c r="K4204" t="s">
        <v>22</v>
      </c>
      <c r="L4204" t="s">
        <v>37</v>
      </c>
      <c r="M4204" t="s">
        <v>117</v>
      </c>
    </row>
    <row r="4205" spans="1:13" x14ac:dyDescent="0.2">
      <c r="A4205">
        <v>795651</v>
      </c>
      <c r="B4205" s="1">
        <v>45228</v>
      </c>
      <c r="C4205">
        <v>68980</v>
      </c>
      <c r="D4205" t="s">
        <v>40</v>
      </c>
      <c r="E4205" t="s">
        <v>20</v>
      </c>
      <c r="F4205" t="s">
        <v>21</v>
      </c>
      <c r="G4205">
        <v>1</v>
      </c>
      <c r="H4205">
        <v>7.99</v>
      </c>
      <c r="I4205">
        <v>0.2</v>
      </c>
      <c r="J4205">
        <v>6.39</v>
      </c>
      <c r="K4205" t="s">
        <v>16</v>
      </c>
      <c r="L4205" t="s">
        <v>23</v>
      </c>
      <c r="M4205" t="s">
        <v>43</v>
      </c>
    </row>
    <row r="4206" spans="1:13" x14ac:dyDescent="0.2">
      <c r="A4206">
        <v>795772</v>
      </c>
      <c r="B4206" s="2">
        <v>45585</v>
      </c>
      <c r="C4206">
        <v>53711</v>
      </c>
      <c r="D4206" t="s">
        <v>85</v>
      </c>
      <c r="E4206" t="s">
        <v>129</v>
      </c>
      <c r="F4206" t="s">
        <v>130</v>
      </c>
      <c r="G4206">
        <v>5</v>
      </c>
      <c r="H4206">
        <v>8.99</v>
      </c>
      <c r="J4206">
        <v>44.95</v>
      </c>
      <c r="K4206" t="s">
        <v>22</v>
      </c>
      <c r="L4206" t="s">
        <v>17</v>
      </c>
      <c r="M4206" t="s">
        <v>33</v>
      </c>
    </row>
    <row r="4207" spans="1:13" x14ac:dyDescent="0.2">
      <c r="A4207">
        <v>796023</v>
      </c>
      <c r="B4207" s="1">
        <v>45221</v>
      </c>
      <c r="C4207">
        <v>90724</v>
      </c>
      <c r="D4207" t="s">
        <v>40</v>
      </c>
      <c r="E4207" t="s">
        <v>41</v>
      </c>
      <c r="F4207" t="s">
        <v>42</v>
      </c>
      <c r="G4207">
        <v>1</v>
      </c>
      <c r="H4207">
        <v>5.99</v>
      </c>
      <c r="J4207">
        <v>5.99</v>
      </c>
      <c r="K4207" t="s">
        <v>95</v>
      </c>
      <c r="L4207" t="s">
        <v>17</v>
      </c>
      <c r="M4207" t="s">
        <v>57</v>
      </c>
    </row>
    <row r="4208" spans="1:13" x14ac:dyDescent="0.2">
      <c r="A4208">
        <v>796233</v>
      </c>
      <c r="B4208" s="1">
        <v>45127</v>
      </c>
      <c r="C4208">
        <v>55054</v>
      </c>
      <c r="D4208" t="s">
        <v>44</v>
      </c>
      <c r="E4208" t="s">
        <v>74</v>
      </c>
      <c r="F4208" t="s">
        <v>75</v>
      </c>
      <c r="G4208">
        <v>2</v>
      </c>
      <c r="H4208">
        <v>2.39</v>
      </c>
      <c r="I4208">
        <v>0.2</v>
      </c>
      <c r="J4208">
        <v>3.82</v>
      </c>
      <c r="K4208" t="s">
        <v>16</v>
      </c>
      <c r="L4208" t="s">
        <v>17</v>
      </c>
      <c r="M4208" t="s">
        <v>96</v>
      </c>
    </row>
    <row r="4209" spans="1:13" x14ac:dyDescent="0.2">
      <c r="A4209">
        <v>796244</v>
      </c>
      <c r="B4209" s="1">
        <v>45517</v>
      </c>
      <c r="C4209">
        <v>43064</v>
      </c>
      <c r="D4209" t="s">
        <v>82</v>
      </c>
      <c r="E4209" t="s">
        <v>168</v>
      </c>
      <c r="F4209" t="s">
        <v>169</v>
      </c>
      <c r="G4209">
        <v>5</v>
      </c>
      <c r="H4209">
        <v>8.99</v>
      </c>
      <c r="J4209">
        <v>44.95</v>
      </c>
      <c r="K4209" t="s">
        <v>16</v>
      </c>
      <c r="L4209" t="s">
        <v>17</v>
      </c>
      <c r="M4209" t="s">
        <v>47</v>
      </c>
    </row>
    <row r="4210" spans="1:13" x14ac:dyDescent="0.2">
      <c r="A4210">
        <v>796404</v>
      </c>
      <c r="B4210" s="2">
        <v>44653</v>
      </c>
      <c r="C4210">
        <v>73715</v>
      </c>
      <c r="D4210" t="s">
        <v>25</v>
      </c>
      <c r="E4210" t="s">
        <v>113</v>
      </c>
      <c r="F4210" t="s">
        <v>114</v>
      </c>
      <c r="G4210">
        <v>2</v>
      </c>
      <c r="H4210">
        <v>83.99</v>
      </c>
      <c r="I4210">
        <v>0.3</v>
      </c>
      <c r="J4210">
        <v>117.59</v>
      </c>
      <c r="K4210" t="s">
        <v>36</v>
      </c>
      <c r="L4210" t="s">
        <v>17</v>
      </c>
      <c r="M4210" t="s">
        <v>47</v>
      </c>
    </row>
    <row r="4211" spans="1:13" x14ac:dyDescent="0.2">
      <c r="A4211">
        <v>796586</v>
      </c>
      <c r="B4211" s="2">
        <v>45593</v>
      </c>
      <c r="C4211">
        <v>56000</v>
      </c>
      <c r="D4211" t="s">
        <v>13</v>
      </c>
      <c r="E4211" t="s">
        <v>79</v>
      </c>
      <c r="F4211" t="s">
        <v>80</v>
      </c>
      <c r="G4211">
        <v>1</v>
      </c>
      <c r="H4211">
        <v>71.989999999999995</v>
      </c>
      <c r="I4211">
        <v>0.2</v>
      </c>
      <c r="J4211">
        <v>57.59</v>
      </c>
      <c r="K4211" t="s">
        <v>22</v>
      </c>
      <c r="L4211" t="s">
        <v>17</v>
      </c>
      <c r="M4211" t="s">
        <v>57</v>
      </c>
    </row>
    <row r="4212" spans="1:13" x14ac:dyDescent="0.2">
      <c r="A4212">
        <v>796657</v>
      </c>
      <c r="B4212" s="1">
        <v>44747</v>
      </c>
      <c r="D4212" t="s">
        <v>40</v>
      </c>
      <c r="E4212" t="s">
        <v>115</v>
      </c>
      <c r="F4212" t="s">
        <v>116</v>
      </c>
      <c r="G4212">
        <v>1</v>
      </c>
      <c r="H4212">
        <v>10.39</v>
      </c>
      <c r="I4212">
        <v>0.2</v>
      </c>
      <c r="J4212">
        <v>8.31</v>
      </c>
      <c r="K4212" t="s">
        <v>95</v>
      </c>
      <c r="L4212" t="s">
        <v>23</v>
      </c>
      <c r="M4212" t="s">
        <v>120</v>
      </c>
    </row>
    <row r="4213" spans="1:13" x14ac:dyDescent="0.2">
      <c r="A4213">
        <v>796920</v>
      </c>
      <c r="B4213" s="2">
        <v>44730</v>
      </c>
      <c r="C4213">
        <v>88513</v>
      </c>
      <c r="D4213" t="s">
        <v>63</v>
      </c>
      <c r="E4213" t="s">
        <v>64</v>
      </c>
      <c r="F4213" t="s">
        <v>65</v>
      </c>
      <c r="G4213">
        <v>5</v>
      </c>
      <c r="H4213">
        <v>4.99</v>
      </c>
      <c r="J4213">
        <v>24.95</v>
      </c>
      <c r="K4213" t="s">
        <v>16</v>
      </c>
      <c r="L4213" t="s">
        <v>37</v>
      </c>
      <c r="M4213" t="s">
        <v>123</v>
      </c>
    </row>
    <row r="4214" spans="1:13" x14ac:dyDescent="0.2">
      <c r="A4214">
        <v>797194</v>
      </c>
      <c r="B4214" s="2">
        <v>44970</v>
      </c>
      <c r="D4214" t="s">
        <v>44</v>
      </c>
      <c r="E4214" t="s">
        <v>172</v>
      </c>
      <c r="F4214" t="s">
        <v>173</v>
      </c>
      <c r="G4214">
        <v>2</v>
      </c>
      <c r="H4214">
        <v>3.82</v>
      </c>
      <c r="I4214">
        <v>0.15</v>
      </c>
      <c r="J4214">
        <v>6.49</v>
      </c>
      <c r="K4214" t="s">
        <v>16</v>
      </c>
      <c r="L4214" t="s">
        <v>37</v>
      </c>
      <c r="M4214" t="s">
        <v>76</v>
      </c>
    </row>
    <row r="4215" spans="1:13" x14ac:dyDescent="0.2">
      <c r="A4215">
        <v>797287</v>
      </c>
      <c r="B4215" s="1">
        <v>45244</v>
      </c>
      <c r="C4215">
        <v>49940</v>
      </c>
      <c r="D4215" t="s">
        <v>40</v>
      </c>
      <c r="E4215" t="s">
        <v>58</v>
      </c>
      <c r="F4215" t="s">
        <v>59</v>
      </c>
      <c r="G4215">
        <v>5</v>
      </c>
      <c r="H4215">
        <v>2.79</v>
      </c>
      <c r="I4215">
        <v>0.3</v>
      </c>
      <c r="J4215">
        <v>9.76</v>
      </c>
      <c r="K4215" t="s">
        <v>36</v>
      </c>
      <c r="L4215" t="s">
        <v>23</v>
      </c>
      <c r="M4215" t="s">
        <v>103</v>
      </c>
    </row>
    <row r="4216" spans="1:13" x14ac:dyDescent="0.2">
      <c r="A4216">
        <v>797461</v>
      </c>
      <c r="B4216" s="1">
        <v>45346</v>
      </c>
      <c r="C4216">
        <v>79217</v>
      </c>
      <c r="D4216" t="s">
        <v>97</v>
      </c>
      <c r="E4216" t="s">
        <v>141</v>
      </c>
      <c r="F4216" t="s">
        <v>142</v>
      </c>
      <c r="G4216">
        <v>5</v>
      </c>
      <c r="H4216">
        <v>22.99</v>
      </c>
      <c r="J4216">
        <v>114.95</v>
      </c>
      <c r="K4216" t="s">
        <v>16</v>
      </c>
      <c r="L4216" t="s">
        <v>17</v>
      </c>
      <c r="M4216" t="s">
        <v>24</v>
      </c>
    </row>
    <row r="4217" spans="1:13" x14ac:dyDescent="0.2">
      <c r="A4217">
        <v>797547</v>
      </c>
      <c r="B4217" s="2">
        <v>44684</v>
      </c>
      <c r="C4217">
        <v>92476</v>
      </c>
      <c r="D4217" t="s">
        <v>29</v>
      </c>
      <c r="E4217" t="s">
        <v>88</v>
      </c>
      <c r="F4217" t="s">
        <v>89</v>
      </c>
      <c r="G4217">
        <v>1</v>
      </c>
      <c r="H4217">
        <v>34.99</v>
      </c>
      <c r="I4217">
        <v>0.3</v>
      </c>
      <c r="J4217">
        <v>24.49</v>
      </c>
      <c r="K4217" t="s">
        <v>16</v>
      </c>
      <c r="L4217" t="s">
        <v>17</v>
      </c>
      <c r="M4217" t="s">
        <v>90</v>
      </c>
    </row>
    <row r="4218" spans="1:13" x14ac:dyDescent="0.2">
      <c r="A4218">
        <v>797576</v>
      </c>
      <c r="B4218" s="2">
        <v>44622</v>
      </c>
      <c r="C4218">
        <v>40347</v>
      </c>
      <c r="D4218" t="s">
        <v>48</v>
      </c>
      <c r="E4218" t="s">
        <v>109</v>
      </c>
      <c r="F4218" t="s">
        <v>110</v>
      </c>
      <c r="G4218">
        <v>1</v>
      </c>
      <c r="H4218">
        <v>6.99</v>
      </c>
      <c r="J4218">
        <v>6.99</v>
      </c>
      <c r="K4218" t="s">
        <v>36</v>
      </c>
      <c r="L4218" t="s">
        <v>23</v>
      </c>
      <c r="M4218" t="s">
        <v>28</v>
      </c>
    </row>
    <row r="4219" spans="1:13" x14ac:dyDescent="0.2">
      <c r="A4219">
        <v>797726</v>
      </c>
      <c r="B4219" s="1">
        <v>45261</v>
      </c>
      <c r="C4219">
        <v>20807</v>
      </c>
      <c r="D4219" t="s">
        <v>13</v>
      </c>
      <c r="E4219" t="s">
        <v>77</v>
      </c>
      <c r="F4219" t="s">
        <v>78</v>
      </c>
      <c r="G4219">
        <v>1</v>
      </c>
      <c r="H4219">
        <v>349.99</v>
      </c>
      <c r="I4219">
        <v>0.3</v>
      </c>
      <c r="J4219">
        <v>244.99</v>
      </c>
      <c r="K4219" t="s">
        <v>36</v>
      </c>
      <c r="L4219" t="s">
        <v>37</v>
      </c>
      <c r="M4219" t="s">
        <v>54</v>
      </c>
    </row>
    <row r="4220" spans="1:13" x14ac:dyDescent="0.2">
      <c r="A4220">
        <v>797734</v>
      </c>
      <c r="B4220" s="1">
        <v>44696</v>
      </c>
      <c r="C4220">
        <v>62271</v>
      </c>
      <c r="D4220" t="s">
        <v>97</v>
      </c>
      <c r="E4220" t="s">
        <v>141</v>
      </c>
      <c r="F4220" t="s">
        <v>142</v>
      </c>
      <c r="G4220">
        <v>3</v>
      </c>
      <c r="H4220">
        <v>17.239999999999998</v>
      </c>
      <c r="I4220">
        <v>0.25</v>
      </c>
      <c r="J4220">
        <v>38.79</v>
      </c>
      <c r="K4220" t="s">
        <v>32</v>
      </c>
      <c r="L4220" t="s">
        <v>37</v>
      </c>
    </row>
    <row r="4221" spans="1:13" x14ac:dyDescent="0.2">
      <c r="A4221">
        <v>797839</v>
      </c>
      <c r="B4221" s="2">
        <v>44842</v>
      </c>
      <c r="C4221">
        <v>63163</v>
      </c>
      <c r="D4221" t="s">
        <v>25</v>
      </c>
      <c r="E4221" t="s">
        <v>51</v>
      </c>
      <c r="F4221" t="s">
        <v>52</v>
      </c>
      <c r="G4221">
        <v>5</v>
      </c>
      <c r="H4221">
        <v>25.19</v>
      </c>
      <c r="I4221">
        <v>0.1</v>
      </c>
      <c r="J4221">
        <v>113.36</v>
      </c>
      <c r="K4221" t="s">
        <v>22</v>
      </c>
      <c r="L4221" t="s">
        <v>17</v>
      </c>
      <c r="M4221" t="s">
        <v>76</v>
      </c>
    </row>
    <row r="4222" spans="1:13" x14ac:dyDescent="0.2">
      <c r="A4222">
        <v>798123</v>
      </c>
      <c r="B4222" s="1">
        <v>45025</v>
      </c>
      <c r="C4222">
        <v>42078</v>
      </c>
      <c r="D4222" t="s">
        <v>63</v>
      </c>
      <c r="E4222" t="s">
        <v>68</v>
      </c>
      <c r="F4222" t="s">
        <v>69</v>
      </c>
      <c r="G4222">
        <v>1</v>
      </c>
      <c r="H4222">
        <v>18.739999999999998</v>
      </c>
      <c r="I4222">
        <v>0.25</v>
      </c>
      <c r="J4222">
        <v>14.06</v>
      </c>
      <c r="K4222" t="s">
        <v>16</v>
      </c>
      <c r="L4222" t="s">
        <v>17</v>
      </c>
      <c r="M4222" t="s">
        <v>117</v>
      </c>
    </row>
    <row r="4223" spans="1:13" x14ac:dyDescent="0.2">
      <c r="A4223">
        <v>798361</v>
      </c>
      <c r="B4223" s="1">
        <v>44957</v>
      </c>
      <c r="C4223">
        <v>99181</v>
      </c>
      <c r="D4223" t="s">
        <v>63</v>
      </c>
      <c r="E4223" t="s">
        <v>125</v>
      </c>
      <c r="F4223" t="s">
        <v>126</v>
      </c>
      <c r="G4223">
        <v>4</v>
      </c>
      <c r="H4223">
        <v>20.99</v>
      </c>
      <c r="I4223">
        <v>0.3</v>
      </c>
      <c r="J4223">
        <v>58.77</v>
      </c>
      <c r="K4223" t="s">
        <v>36</v>
      </c>
      <c r="L4223" t="s">
        <v>37</v>
      </c>
      <c r="M4223" t="s">
        <v>18</v>
      </c>
    </row>
    <row r="4224" spans="1:13" x14ac:dyDescent="0.2">
      <c r="A4224">
        <v>798497</v>
      </c>
      <c r="B4224" s="1">
        <v>44595</v>
      </c>
      <c r="C4224">
        <v>17963</v>
      </c>
      <c r="D4224" t="s">
        <v>25</v>
      </c>
      <c r="E4224" t="s">
        <v>60</v>
      </c>
      <c r="F4224" t="s">
        <v>61</v>
      </c>
      <c r="G4224">
        <v>2</v>
      </c>
      <c r="H4224">
        <v>52.24</v>
      </c>
      <c r="I4224">
        <v>0.05</v>
      </c>
      <c r="J4224">
        <v>99.26</v>
      </c>
      <c r="K4224" t="s">
        <v>36</v>
      </c>
      <c r="L4224" t="s">
        <v>37</v>
      </c>
      <c r="M4224" t="s">
        <v>76</v>
      </c>
    </row>
    <row r="4225" spans="1:13" x14ac:dyDescent="0.2">
      <c r="A4225">
        <v>798621</v>
      </c>
      <c r="B4225" s="2">
        <v>45147</v>
      </c>
      <c r="C4225">
        <v>63732</v>
      </c>
      <c r="D4225" t="s">
        <v>63</v>
      </c>
      <c r="E4225" t="s">
        <v>68</v>
      </c>
      <c r="F4225" t="s">
        <v>69</v>
      </c>
      <c r="G4225">
        <v>1</v>
      </c>
      <c r="H4225">
        <v>19.989999999999998</v>
      </c>
      <c r="I4225">
        <v>0.2</v>
      </c>
      <c r="J4225">
        <v>15.99</v>
      </c>
      <c r="K4225" t="s">
        <v>16</v>
      </c>
      <c r="L4225" t="s">
        <v>17</v>
      </c>
      <c r="M4225" t="s">
        <v>120</v>
      </c>
    </row>
    <row r="4226" spans="1:13" x14ac:dyDescent="0.2">
      <c r="A4226">
        <v>798966</v>
      </c>
      <c r="B4226" s="1">
        <v>45111</v>
      </c>
      <c r="C4226">
        <v>99722</v>
      </c>
      <c r="D4226" t="s">
        <v>44</v>
      </c>
      <c r="E4226" t="s">
        <v>162</v>
      </c>
      <c r="F4226" t="s">
        <v>163</v>
      </c>
      <c r="G4226">
        <v>1</v>
      </c>
      <c r="H4226">
        <v>6.39</v>
      </c>
      <c r="I4226">
        <v>0.2</v>
      </c>
      <c r="J4226">
        <v>5.1100000000000003</v>
      </c>
      <c r="K4226" t="s">
        <v>22</v>
      </c>
      <c r="L4226" t="s">
        <v>17</v>
      </c>
      <c r="M4226" t="s">
        <v>54</v>
      </c>
    </row>
    <row r="4227" spans="1:13" x14ac:dyDescent="0.2">
      <c r="A4227">
        <v>799081</v>
      </c>
      <c r="B4227" s="1">
        <v>45540</v>
      </c>
      <c r="C4227">
        <v>57346</v>
      </c>
      <c r="D4227" t="s">
        <v>48</v>
      </c>
      <c r="E4227" t="s">
        <v>139</v>
      </c>
      <c r="F4227" t="s">
        <v>140</v>
      </c>
      <c r="G4227">
        <v>1</v>
      </c>
      <c r="H4227">
        <v>7.99</v>
      </c>
      <c r="J4227">
        <v>7.99</v>
      </c>
      <c r="K4227" t="s">
        <v>22</v>
      </c>
      <c r="L4227" t="s">
        <v>17</v>
      </c>
      <c r="M4227" t="s">
        <v>18</v>
      </c>
    </row>
    <row r="4228" spans="1:13" x14ac:dyDescent="0.2">
      <c r="A4228">
        <v>799107</v>
      </c>
      <c r="B4228" s="1">
        <v>44893</v>
      </c>
      <c r="C4228">
        <v>75234</v>
      </c>
      <c r="D4228" t="s">
        <v>44</v>
      </c>
      <c r="E4228" t="s">
        <v>93</v>
      </c>
      <c r="F4228" t="s">
        <v>94</v>
      </c>
      <c r="G4228">
        <v>1</v>
      </c>
      <c r="H4228">
        <v>1.29</v>
      </c>
      <c r="J4228">
        <v>1.29</v>
      </c>
      <c r="K4228" t="s">
        <v>36</v>
      </c>
      <c r="L4228" t="s">
        <v>17</v>
      </c>
      <c r="M4228" t="s">
        <v>123</v>
      </c>
    </row>
    <row r="4229" spans="1:13" x14ac:dyDescent="0.2">
      <c r="A4229">
        <v>799479</v>
      </c>
      <c r="B4229" s="1">
        <v>45590</v>
      </c>
      <c r="C4229">
        <v>87270</v>
      </c>
      <c r="D4229" t="s">
        <v>25</v>
      </c>
      <c r="E4229" t="s">
        <v>51</v>
      </c>
      <c r="F4229" t="s">
        <v>52</v>
      </c>
      <c r="G4229">
        <v>3</v>
      </c>
      <c r="H4229">
        <v>27.99</v>
      </c>
      <c r="J4229">
        <v>83.97</v>
      </c>
      <c r="K4229" t="s">
        <v>36</v>
      </c>
      <c r="L4229" t="s">
        <v>17</v>
      </c>
      <c r="M4229" t="s">
        <v>120</v>
      </c>
    </row>
    <row r="4230" spans="1:13" x14ac:dyDescent="0.2">
      <c r="A4230">
        <v>799485</v>
      </c>
      <c r="B4230" s="2">
        <v>45237</v>
      </c>
      <c r="C4230">
        <v>88435</v>
      </c>
      <c r="D4230" t="s">
        <v>82</v>
      </c>
      <c r="E4230" t="s">
        <v>155</v>
      </c>
      <c r="F4230" t="s">
        <v>156</v>
      </c>
      <c r="G4230">
        <v>3</v>
      </c>
      <c r="H4230">
        <v>15.99</v>
      </c>
      <c r="I4230">
        <v>0.2</v>
      </c>
      <c r="J4230">
        <v>38.380000000000003</v>
      </c>
      <c r="K4230" t="s">
        <v>16</v>
      </c>
      <c r="L4230" t="s">
        <v>37</v>
      </c>
      <c r="M4230" t="s">
        <v>24</v>
      </c>
    </row>
    <row r="4231" spans="1:13" x14ac:dyDescent="0.2">
      <c r="A4231">
        <v>799535</v>
      </c>
      <c r="B4231" s="1">
        <v>45170</v>
      </c>
      <c r="C4231">
        <v>53189</v>
      </c>
      <c r="D4231" t="s">
        <v>82</v>
      </c>
      <c r="E4231" t="s">
        <v>155</v>
      </c>
      <c r="F4231" t="s">
        <v>156</v>
      </c>
      <c r="G4231">
        <v>3</v>
      </c>
      <c r="H4231">
        <v>19.989999999999998</v>
      </c>
      <c r="J4231">
        <v>59.97</v>
      </c>
      <c r="K4231" t="s">
        <v>95</v>
      </c>
      <c r="L4231" t="s">
        <v>17</v>
      </c>
      <c r="M4231" t="s">
        <v>24</v>
      </c>
    </row>
    <row r="4232" spans="1:13" x14ac:dyDescent="0.2">
      <c r="A4232">
        <v>800058</v>
      </c>
      <c r="B4232" s="1">
        <v>45262</v>
      </c>
      <c r="C4232">
        <v>58474</v>
      </c>
      <c r="D4232" t="s">
        <v>82</v>
      </c>
      <c r="E4232" t="s">
        <v>155</v>
      </c>
      <c r="F4232" t="s">
        <v>156</v>
      </c>
      <c r="G4232">
        <v>2</v>
      </c>
      <c r="H4232">
        <v>19.989999999999998</v>
      </c>
      <c r="J4232">
        <v>39.979999999999997</v>
      </c>
      <c r="K4232" t="s">
        <v>16</v>
      </c>
      <c r="L4232" t="s">
        <v>17</v>
      </c>
      <c r="M4232" t="s">
        <v>28</v>
      </c>
    </row>
    <row r="4233" spans="1:13" x14ac:dyDescent="0.2">
      <c r="A4233">
        <v>800079</v>
      </c>
      <c r="B4233" s="1">
        <v>45123</v>
      </c>
      <c r="C4233">
        <v>46314</v>
      </c>
      <c r="D4233" t="s">
        <v>25</v>
      </c>
      <c r="E4233" t="s">
        <v>113</v>
      </c>
      <c r="F4233" t="s">
        <v>114</v>
      </c>
      <c r="G4233">
        <v>1</v>
      </c>
      <c r="H4233">
        <v>107.99</v>
      </c>
      <c r="I4233">
        <v>0.1</v>
      </c>
      <c r="J4233">
        <v>97.19</v>
      </c>
      <c r="K4233" t="s">
        <v>22</v>
      </c>
      <c r="L4233" t="s">
        <v>17</v>
      </c>
      <c r="M4233" t="s">
        <v>76</v>
      </c>
    </row>
    <row r="4234" spans="1:13" x14ac:dyDescent="0.2">
      <c r="A4234">
        <v>800104</v>
      </c>
      <c r="B4234" s="1">
        <v>45111</v>
      </c>
      <c r="C4234">
        <v>25956</v>
      </c>
      <c r="D4234" t="s">
        <v>63</v>
      </c>
      <c r="E4234" t="s">
        <v>125</v>
      </c>
      <c r="F4234" t="s">
        <v>126</v>
      </c>
      <c r="G4234">
        <v>2</v>
      </c>
      <c r="H4234">
        <v>23.99</v>
      </c>
      <c r="I4234">
        <v>0.2</v>
      </c>
      <c r="J4234">
        <v>38.380000000000003</v>
      </c>
      <c r="K4234" t="s">
        <v>95</v>
      </c>
      <c r="L4234" t="s">
        <v>17</v>
      </c>
      <c r="M4234" t="s">
        <v>102</v>
      </c>
    </row>
    <row r="4235" spans="1:13" x14ac:dyDescent="0.2">
      <c r="A4235">
        <v>800131</v>
      </c>
      <c r="B4235" s="1">
        <v>44812</v>
      </c>
      <c r="C4235">
        <v>42481</v>
      </c>
      <c r="D4235" t="s">
        <v>29</v>
      </c>
      <c r="E4235" t="s">
        <v>170</v>
      </c>
      <c r="F4235" t="s">
        <v>171</v>
      </c>
      <c r="G4235">
        <v>1</v>
      </c>
      <c r="H4235">
        <v>13.49</v>
      </c>
      <c r="I4235">
        <v>0.1</v>
      </c>
      <c r="J4235">
        <v>12.14</v>
      </c>
      <c r="K4235" t="s">
        <v>36</v>
      </c>
      <c r="L4235" t="s">
        <v>37</v>
      </c>
      <c r="M4235" t="s">
        <v>67</v>
      </c>
    </row>
    <row r="4236" spans="1:13" x14ac:dyDescent="0.2">
      <c r="A4236">
        <v>800697</v>
      </c>
      <c r="B4236" s="1">
        <v>45551</v>
      </c>
      <c r="C4236">
        <v>43100</v>
      </c>
      <c r="D4236" t="s">
        <v>44</v>
      </c>
      <c r="E4236" t="s">
        <v>195</v>
      </c>
      <c r="F4236" t="s">
        <v>196</v>
      </c>
      <c r="G4236">
        <v>3</v>
      </c>
      <c r="H4236">
        <v>4.74</v>
      </c>
      <c r="I4236">
        <v>0.05</v>
      </c>
      <c r="J4236">
        <v>13.51</v>
      </c>
      <c r="K4236" t="s">
        <v>36</v>
      </c>
      <c r="L4236" t="s">
        <v>17</v>
      </c>
      <c r="M4236" t="s">
        <v>120</v>
      </c>
    </row>
    <row r="4237" spans="1:13" x14ac:dyDescent="0.2">
      <c r="A4237">
        <v>800942</v>
      </c>
      <c r="B4237" s="1">
        <v>45399</v>
      </c>
      <c r="C4237">
        <v>67798</v>
      </c>
      <c r="D4237" t="s">
        <v>63</v>
      </c>
      <c r="E4237" t="s">
        <v>68</v>
      </c>
      <c r="F4237" t="s">
        <v>69</v>
      </c>
      <c r="G4237">
        <v>2</v>
      </c>
      <c r="H4237">
        <v>24.99</v>
      </c>
      <c r="J4237">
        <v>49.98</v>
      </c>
      <c r="K4237" t="s">
        <v>53</v>
      </c>
      <c r="L4237" t="s">
        <v>17</v>
      </c>
      <c r="M4237" t="s">
        <v>76</v>
      </c>
    </row>
    <row r="4238" spans="1:13" x14ac:dyDescent="0.2">
      <c r="A4238">
        <v>801435</v>
      </c>
      <c r="B4238" s="2">
        <v>44647</v>
      </c>
      <c r="C4238">
        <v>93084</v>
      </c>
      <c r="D4238" t="s">
        <v>63</v>
      </c>
      <c r="E4238" t="s">
        <v>111</v>
      </c>
      <c r="F4238" t="s">
        <v>112</v>
      </c>
      <c r="G4238">
        <v>1</v>
      </c>
      <c r="H4238">
        <v>11.24</v>
      </c>
      <c r="I4238">
        <v>0.25</v>
      </c>
      <c r="J4238">
        <v>8.43</v>
      </c>
      <c r="K4238" t="s">
        <v>95</v>
      </c>
      <c r="L4238" t="s">
        <v>23</v>
      </c>
      <c r="M4238" t="s">
        <v>57</v>
      </c>
    </row>
    <row r="4239" spans="1:13" x14ac:dyDescent="0.2">
      <c r="A4239">
        <v>801499</v>
      </c>
      <c r="B4239" s="1">
        <v>44627</v>
      </c>
      <c r="C4239">
        <v>93372</v>
      </c>
      <c r="D4239" t="s">
        <v>82</v>
      </c>
      <c r="E4239" t="s">
        <v>188</v>
      </c>
      <c r="F4239" t="s">
        <v>189</v>
      </c>
      <c r="G4239">
        <v>1</v>
      </c>
      <c r="H4239">
        <v>31.49</v>
      </c>
      <c r="I4239">
        <v>0.3</v>
      </c>
      <c r="J4239">
        <v>22.04</v>
      </c>
      <c r="K4239" t="s">
        <v>16</v>
      </c>
      <c r="L4239" t="s">
        <v>37</v>
      </c>
      <c r="M4239" t="s">
        <v>57</v>
      </c>
    </row>
    <row r="4240" spans="1:13" x14ac:dyDescent="0.2">
      <c r="A4240">
        <v>801624</v>
      </c>
      <c r="B4240" s="2">
        <v>45655</v>
      </c>
      <c r="C4240">
        <v>76916</v>
      </c>
      <c r="D4240" t="s">
        <v>40</v>
      </c>
      <c r="E4240" t="s">
        <v>58</v>
      </c>
      <c r="F4240" t="s">
        <v>59</v>
      </c>
      <c r="G4240">
        <v>1</v>
      </c>
      <c r="H4240">
        <v>2.99</v>
      </c>
      <c r="I4240">
        <v>0.25</v>
      </c>
      <c r="J4240">
        <v>2.2400000000000002</v>
      </c>
      <c r="K4240" t="s">
        <v>36</v>
      </c>
      <c r="L4240" t="s">
        <v>17</v>
      </c>
      <c r="M4240" t="s">
        <v>161</v>
      </c>
    </row>
    <row r="4241" spans="1:13" x14ac:dyDescent="0.2">
      <c r="A4241">
        <v>801635</v>
      </c>
      <c r="B4241" s="1">
        <v>45349</v>
      </c>
      <c r="C4241">
        <v>28495</v>
      </c>
      <c r="D4241" t="s">
        <v>29</v>
      </c>
      <c r="E4241" t="s">
        <v>30</v>
      </c>
      <c r="F4241" t="s">
        <v>31</v>
      </c>
      <c r="G4241">
        <v>3</v>
      </c>
      <c r="H4241">
        <v>24.99</v>
      </c>
      <c r="J4241">
        <v>74.97</v>
      </c>
      <c r="K4241" t="s">
        <v>95</v>
      </c>
      <c r="L4241" t="s">
        <v>17</v>
      </c>
      <c r="M4241" t="s">
        <v>67</v>
      </c>
    </row>
    <row r="4242" spans="1:13" x14ac:dyDescent="0.2">
      <c r="A4242">
        <v>801961</v>
      </c>
      <c r="B4242" s="1">
        <v>45439</v>
      </c>
      <c r="C4242">
        <v>25170</v>
      </c>
      <c r="D4242" t="s">
        <v>40</v>
      </c>
      <c r="E4242" t="s">
        <v>115</v>
      </c>
      <c r="F4242" t="s">
        <v>116</v>
      </c>
      <c r="G4242">
        <v>3</v>
      </c>
      <c r="H4242">
        <v>11.69</v>
      </c>
      <c r="J4242">
        <v>35.07</v>
      </c>
      <c r="K4242" t="s">
        <v>36</v>
      </c>
      <c r="L4242" t="s">
        <v>37</v>
      </c>
      <c r="M4242" t="s">
        <v>62</v>
      </c>
    </row>
    <row r="4243" spans="1:13" x14ac:dyDescent="0.2">
      <c r="A4243">
        <v>802264</v>
      </c>
      <c r="B4243" s="1">
        <v>45576</v>
      </c>
      <c r="C4243">
        <v>78253</v>
      </c>
      <c r="D4243" t="s">
        <v>25</v>
      </c>
      <c r="E4243" t="s">
        <v>70</v>
      </c>
      <c r="F4243" t="s">
        <v>71</v>
      </c>
      <c r="G4243">
        <v>5</v>
      </c>
      <c r="H4243">
        <v>71.989999999999995</v>
      </c>
      <c r="I4243">
        <v>0.2</v>
      </c>
      <c r="J4243">
        <v>287.95999999999998</v>
      </c>
      <c r="K4243" t="s">
        <v>16</v>
      </c>
      <c r="L4243" t="s">
        <v>17</v>
      </c>
      <c r="M4243" t="s">
        <v>28</v>
      </c>
    </row>
    <row r="4244" spans="1:13" x14ac:dyDescent="0.2">
      <c r="A4244">
        <v>802309</v>
      </c>
      <c r="B4244" s="1">
        <v>45310</v>
      </c>
      <c r="C4244">
        <v>63655</v>
      </c>
      <c r="D4244" t="s">
        <v>40</v>
      </c>
      <c r="E4244" t="s">
        <v>115</v>
      </c>
      <c r="F4244" t="s">
        <v>116</v>
      </c>
      <c r="G4244">
        <v>2</v>
      </c>
      <c r="H4244">
        <v>12.34</v>
      </c>
      <c r="I4244">
        <v>0.05</v>
      </c>
      <c r="J4244">
        <v>23.45</v>
      </c>
      <c r="K4244" t="s">
        <v>16</v>
      </c>
      <c r="L4244" t="s">
        <v>37</v>
      </c>
      <c r="M4244" t="s">
        <v>62</v>
      </c>
    </row>
    <row r="4245" spans="1:13" x14ac:dyDescent="0.2">
      <c r="A4245">
        <v>802353</v>
      </c>
      <c r="B4245" s="1">
        <v>44562</v>
      </c>
      <c r="C4245">
        <v>81380</v>
      </c>
      <c r="D4245" t="s">
        <v>13</v>
      </c>
      <c r="E4245" t="s">
        <v>186</v>
      </c>
      <c r="F4245" t="s">
        <v>187</v>
      </c>
      <c r="G4245">
        <v>1</v>
      </c>
      <c r="H4245">
        <v>49.99</v>
      </c>
      <c r="J4245">
        <v>49.99</v>
      </c>
      <c r="K4245" t="s">
        <v>36</v>
      </c>
      <c r="L4245" t="s">
        <v>17</v>
      </c>
      <c r="M4245" t="s">
        <v>33</v>
      </c>
    </row>
    <row r="4246" spans="1:13" x14ac:dyDescent="0.2">
      <c r="A4246">
        <v>802387</v>
      </c>
      <c r="B4246" s="1">
        <v>45385</v>
      </c>
      <c r="C4246">
        <v>21495</v>
      </c>
      <c r="D4246" t="s">
        <v>25</v>
      </c>
      <c r="E4246" t="s">
        <v>70</v>
      </c>
      <c r="F4246" t="s">
        <v>71</v>
      </c>
      <c r="G4246">
        <v>1</v>
      </c>
      <c r="H4246">
        <v>71.989999999999995</v>
      </c>
      <c r="I4246">
        <v>0.2</v>
      </c>
      <c r="J4246">
        <v>57.59</v>
      </c>
      <c r="K4246" t="s">
        <v>16</v>
      </c>
      <c r="L4246" t="s">
        <v>17</v>
      </c>
      <c r="M4246" t="s">
        <v>161</v>
      </c>
    </row>
    <row r="4247" spans="1:13" x14ac:dyDescent="0.2">
      <c r="A4247">
        <v>802664</v>
      </c>
      <c r="B4247" s="1">
        <v>45538</v>
      </c>
      <c r="C4247">
        <v>23770</v>
      </c>
      <c r="D4247" t="s">
        <v>44</v>
      </c>
      <c r="E4247" t="s">
        <v>184</v>
      </c>
      <c r="F4247" t="s">
        <v>185</v>
      </c>
      <c r="G4247">
        <v>4</v>
      </c>
      <c r="H4247">
        <v>5.49</v>
      </c>
      <c r="J4247">
        <v>21.96</v>
      </c>
      <c r="K4247" t="s">
        <v>36</v>
      </c>
      <c r="L4247" t="s">
        <v>17</v>
      </c>
      <c r="M4247" t="s">
        <v>81</v>
      </c>
    </row>
    <row r="4248" spans="1:13" x14ac:dyDescent="0.2">
      <c r="A4248">
        <v>802957</v>
      </c>
      <c r="B4248" s="1">
        <v>45496</v>
      </c>
      <c r="C4248">
        <v>67509</v>
      </c>
      <c r="D4248" t="s">
        <v>97</v>
      </c>
      <c r="E4248" t="s">
        <v>181</v>
      </c>
      <c r="F4248" t="s">
        <v>182</v>
      </c>
      <c r="G4248">
        <v>2</v>
      </c>
      <c r="H4248">
        <v>13.49</v>
      </c>
      <c r="J4248">
        <v>26.98</v>
      </c>
      <c r="K4248" t="s">
        <v>36</v>
      </c>
      <c r="L4248" t="s">
        <v>17</v>
      </c>
      <c r="M4248" t="s">
        <v>117</v>
      </c>
    </row>
    <row r="4249" spans="1:13" x14ac:dyDescent="0.2">
      <c r="A4249">
        <v>803098</v>
      </c>
      <c r="B4249" s="2">
        <v>44635</v>
      </c>
      <c r="C4249">
        <v>54450</v>
      </c>
      <c r="D4249" t="s">
        <v>40</v>
      </c>
      <c r="E4249" t="s">
        <v>41</v>
      </c>
      <c r="F4249" t="s">
        <v>42</v>
      </c>
      <c r="G4249">
        <v>2</v>
      </c>
      <c r="H4249">
        <v>4.79</v>
      </c>
      <c r="I4249">
        <v>0.2</v>
      </c>
      <c r="J4249">
        <v>7.66</v>
      </c>
      <c r="K4249" t="s">
        <v>16</v>
      </c>
      <c r="L4249" t="s">
        <v>37</v>
      </c>
      <c r="M4249" t="s">
        <v>57</v>
      </c>
    </row>
    <row r="4250" spans="1:13" x14ac:dyDescent="0.2">
      <c r="A4250">
        <v>803215</v>
      </c>
      <c r="B4250" s="1">
        <v>44586</v>
      </c>
      <c r="C4250">
        <v>19342</v>
      </c>
      <c r="D4250" t="s">
        <v>63</v>
      </c>
      <c r="E4250" t="s">
        <v>125</v>
      </c>
      <c r="F4250" t="s">
        <v>126</v>
      </c>
      <c r="G4250">
        <v>2</v>
      </c>
      <c r="H4250">
        <v>26.99</v>
      </c>
      <c r="I4250">
        <v>0.1</v>
      </c>
      <c r="J4250">
        <v>48.58</v>
      </c>
      <c r="K4250" t="s">
        <v>36</v>
      </c>
      <c r="L4250" t="s">
        <v>23</v>
      </c>
      <c r="M4250" t="s">
        <v>62</v>
      </c>
    </row>
    <row r="4251" spans="1:13" x14ac:dyDescent="0.2">
      <c r="A4251">
        <v>803492</v>
      </c>
      <c r="B4251" s="1">
        <v>44965</v>
      </c>
      <c r="C4251">
        <v>78186</v>
      </c>
      <c r="D4251" t="s">
        <v>40</v>
      </c>
      <c r="E4251" t="s">
        <v>20</v>
      </c>
      <c r="F4251" t="s">
        <v>21</v>
      </c>
      <c r="G4251">
        <v>3</v>
      </c>
      <c r="H4251">
        <v>7.99</v>
      </c>
      <c r="I4251">
        <v>0.2</v>
      </c>
      <c r="J4251">
        <v>19.18</v>
      </c>
      <c r="K4251" t="s">
        <v>95</v>
      </c>
      <c r="L4251" t="s">
        <v>37</v>
      </c>
      <c r="M4251" t="s">
        <v>62</v>
      </c>
    </row>
    <row r="4252" spans="1:13" x14ac:dyDescent="0.2">
      <c r="A4252">
        <v>803612</v>
      </c>
      <c r="B4252" s="1">
        <v>44836</v>
      </c>
      <c r="C4252">
        <v>40448</v>
      </c>
      <c r="D4252" t="s">
        <v>29</v>
      </c>
      <c r="E4252" t="s">
        <v>30</v>
      </c>
      <c r="F4252" t="s">
        <v>31</v>
      </c>
      <c r="G4252">
        <v>2</v>
      </c>
      <c r="H4252">
        <v>18.739999999999998</v>
      </c>
      <c r="I4252">
        <v>0.25</v>
      </c>
      <c r="J4252">
        <v>28.11</v>
      </c>
      <c r="K4252" t="s">
        <v>36</v>
      </c>
      <c r="L4252" t="s">
        <v>17</v>
      </c>
      <c r="M4252" t="s">
        <v>76</v>
      </c>
    </row>
    <row r="4253" spans="1:13" x14ac:dyDescent="0.2">
      <c r="A4253">
        <v>803851</v>
      </c>
      <c r="B4253" s="2">
        <v>44712</v>
      </c>
      <c r="C4253">
        <v>13830</v>
      </c>
      <c r="D4253" t="s">
        <v>29</v>
      </c>
      <c r="E4253" t="s">
        <v>88</v>
      </c>
      <c r="F4253" t="s">
        <v>89</v>
      </c>
      <c r="G4253">
        <v>2</v>
      </c>
      <c r="H4253">
        <v>49.99</v>
      </c>
      <c r="J4253">
        <v>99.98</v>
      </c>
      <c r="K4253" t="s">
        <v>16</v>
      </c>
      <c r="L4253" t="s">
        <v>37</v>
      </c>
      <c r="M4253" t="s">
        <v>117</v>
      </c>
    </row>
    <row r="4254" spans="1:13" x14ac:dyDescent="0.2">
      <c r="A4254">
        <v>803908</v>
      </c>
      <c r="B4254" s="1">
        <v>44687</v>
      </c>
      <c r="C4254">
        <v>23066</v>
      </c>
      <c r="D4254" t="s">
        <v>85</v>
      </c>
      <c r="E4254" t="s">
        <v>129</v>
      </c>
      <c r="F4254" t="s">
        <v>130</v>
      </c>
      <c r="G4254">
        <v>2</v>
      </c>
      <c r="H4254">
        <v>6.74</v>
      </c>
      <c r="I4254">
        <v>0.25</v>
      </c>
      <c r="J4254">
        <v>10.11</v>
      </c>
      <c r="K4254" t="s">
        <v>95</v>
      </c>
      <c r="L4254" t="s">
        <v>37</v>
      </c>
      <c r="M4254" t="s">
        <v>120</v>
      </c>
    </row>
    <row r="4255" spans="1:13" x14ac:dyDescent="0.2">
      <c r="A4255">
        <v>804055</v>
      </c>
      <c r="B4255" s="1">
        <v>45124</v>
      </c>
      <c r="C4255">
        <v>47344</v>
      </c>
      <c r="D4255" t="s">
        <v>85</v>
      </c>
      <c r="E4255" t="s">
        <v>157</v>
      </c>
      <c r="F4255" t="s">
        <v>158</v>
      </c>
      <c r="G4255">
        <v>1</v>
      </c>
      <c r="H4255">
        <v>13.49</v>
      </c>
      <c r="J4255">
        <v>13.49</v>
      </c>
      <c r="K4255" t="s">
        <v>16</v>
      </c>
      <c r="L4255" t="s">
        <v>17</v>
      </c>
      <c r="M4255" t="s">
        <v>43</v>
      </c>
    </row>
    <row r="4256" spans="1:13" x14ac:dyDescent="0.2">
      <c r="A4256">
        <v>804468</v>
      </c>
      <c r="B4256" s="1">
        <v>44927</v>
      </c>
      <c r="C4256">
        <v>60774</v>
      </c>
      <c r="D4256" t="s">
        <v>97</v>
      </c>
      <c r="E4256" t="s">
        <v>98</v>
      </c>
      <c r="F4256" t="s">
        <v>99</v>
      </c>
      <c r="G4256">
        <v>2</v>
      </c>
      <c r="H4256">
        <v>27.99</v>
      </c>
      <c r="J4256">
        <v>55.98</v>
      </c>
      <c r="K4256" t="s">
        <v>16</v>
      </c>
      <c r="L4256" t="s">
        <v>17</v>
      </c>
      <c r="M4256" t="s">
        <v>161</v>
      </c>
    </row>
    <row r="4257" spans="1:13" x14ac:dyDescent="0.2">
      <c r="A4257">
        <v>804863</v>
      </c>
      <c r="B4257" s="1">
        <v>45285</v>
      </c>
      <c r="C4257">
        <v>31240</v>
      </c>
      <c r="D4257" t="s">
        <v>48</v>
      </c>
      <c r="E4257" t="s">
        <v>118</v>
      </c>
      <c r="F4257" t="s">
        <v>119</v>
      </c>
      <c r="G4257">
        <v>1</v>
      </c>
      <c r="H4257">
        <v>3.99</v>
      </c>
      <c r="I4257">
        <v>0.2</v>
      </c>
      <c r="J4257">
        <v>3.19</v>
      </c>
      <c r="K4257" t="s">
        <v>22</v>
      </c>
      <c r="L4257" t="s">
        <v>17</v>
      </c>
      <c r="M4257" t="s">
        <v>33</v>
      </c>
    </row>
    <row r="4258" spans="1:13" x14ac:dyDescent="0.2">
      <c r="A4258">
        <v>804896</v>
      </c>
      <c r="B4258" s="1">
        <v>44832</v>
      </c>
      <c r="C4258">
        <v>83229</v>
      </c>
      <c r="D4258" t="s">
        <v>85</v>
      </c>
      <c r="E4258" t="s">
        <v>157</v>
      </c>
      <c r="F4258" t="s">
        <v>158</v>
      </c>
      <c r="G4258">
        <v>5</v>
      </c>
      <c r="H4258">
        <v>10.79</v>
      </c>
      <c r="I4258">
        <v>0.2</v>
      </c>
      <c r="J4258">
        <v>43.16</v>
      </c>
      <c r="K4258" t="s">
        <v>32</v>
      </c>
      <c r="L4258" t="s">
        <v>23</v>
      </c>
      <c r="M4258" t="s">
        <v>62</v>
      </c>
    </row>
    <row r="4259" spans="1:13" x14ac:dyDescent="0.2">
      <c r="A4259">
        <v>804903</v>
      </c>
      <c r="B4259" s="1">
        <v>44797</v>
      </c>
      <c r="C4259">
        <v>90865</v>
      </c>
      <c r="D4259" t="s">
        <v>29</v>
      </c>
      <c r="E4259" t="s">
        <v>30</v>
      </c>
      <c r="F4259" t="s">
        <v>31</v>
      </c>
      <c r="G4259">
        <v>4</v>
      </c>
      <c r="H4259">
        <v>24.99</v>
      </c>
      <c r="J4259">
        <v>99.96</v>
      </c>
      <c r="K4259" t="s">
        <v>16</v>
      </c>
      <c r="L4259" t="s">
        <v>17</v>
      </c>
      <c r="M4259" t="s">
        <v>90</v>
      </c>
    </row>
    <row r="4260" spans="1:13" x14ac:dyDescent="0.2">
      <c r="A4260">
        <v>804952</v>
      </c>
      <c r="B4260" s="2">
        <v>45417</v>
      </c>
      <c r="C4260">
        <v>35058</v>
      </c>
      <c r="D4260" t="s">
        <v>63</v>
      </c>
      <c r="E4260" t="s">
        <v>68</v>
      </c>
      <c r="F4260" t="s">
        <v>69</v>
      </c>
      <c r="G4260">
        <v>2</v>
      </c>
      <c r="H4260">
        <v>24.99</v>
      </c>
      <c r="J4260">
        <v>49.98</v>
      </c>
      <c r="K4260" t="s">
        <v>36</v>
      </c>
      <c r="L4260" t="s">
        <v>37</v>
      </c>
      <c r="M4260" t="s">
        <v>67</v>
      </c>
    </row>
    <row r="4261" spans="1:13" x14ac:dyDescent="0.2">
      <c r="A4261">
        <v>805239</v>
      </c>
      <c r="B4261" s="1">
        <v>45001</v>
      </c>
      <c r="C4261">
        <v>82263</v>
      </c>
      <c r="D4261" t="s">
        <v>29</v>
      </c>
      <c r="E4261" t="s">
        <v>38</v>
      </c>
      <c r="F4261" t="s">
        <v>39</v>
      </c>
      <c r="G4261">
        <v>1</v>
      </c>
      <c r="H4261">
        <v>22.49</v>
      </c>
      <c r="I4261">
        <v>0.25</v>
      </c>
      <c r="J4261">
        <v>16.87</v>
      </c>
      <c r="K4261" t="s">
        <v>53</v>
      </c>
      <c r="L4261" t="s">
        <v>17</v>
      </c>
      <c r="M4261" t="s">
        <v>67</v>
      </c>
    </row>
    <row r="4262" spans="1:13" x14ac:dyDescent="0.2">
      <c r="A4262">
        <v>805483</v>
      </c>
      <c r="B4262" s="1">
        <v>44930</v>
      </c>
      <c r="C4262">
        <v>78847</v>
      </c>
      <c r="D4262" t="s">
        <v>63</v>
      </c>
      <c r="E4262" t="s">
        <v>64</v>
      </c>
      <c r="F4262" t="s">
        <v>65</v>
      </c>
      <c r="G4262">
        <v>2</v>
      </c>
      <c r="H4262">
        <v>4.24</v>
      </c>
      <c r="I4262">
        <v>0.15</v>
      </c>
      <c r="J4262">
        <v>7.21</v>
      </c>
      <c r="K4262" t="s">
        <v>36</v>
      </c>
      <c r="L4262" t="s">
        <v>17</v>
      </c>
      <c r="M4262" t="s">
        <v>120</v>
      </c>
    </row>
    <row r="4263" spans="1:13" x14ac:dyDescent="0.2">
      <c r="A4263">
        <v>805804</v>
      </c>
      <c r="B4263" s="1">
        <v>45361</v>
      </c>
      <c r="C4263">
        <v>31237</v>
      </c>
      <c r="D4263" t="s">
        <v>29</v>
      </c>
      <c r="E4263" t="s">
        <v>72</v>
      </c>
      <c r="F4263" t="s">
        <v>73</v>
      </c>
      <c r="G4263">
        <v>4</v>
      </c>
      <c r="H4263">
        <v>31.99</v>
      </c>
      <c r="I4263">
        <v>0.2</v>
      </c>
      <c r="J4263">
        <v>102.37</v>
      </c>
      <c r="K4263" t="s">
        <v>36</v>
      </c>
      <c r="L4263" t="s">
        <v>17</v>
      </c>
      <c r="M4263" t="s">
        <v>18</v>
      </c>
    </row>
    <row r="4264" spans="1:13" x14ac:dyDescent="0.2">
      <c r="A4264">
        <v>806262</v>
      </c>
      <c r="B4264" s="1">
        <v>44584</v>
      </c>
      <c r="C4264">
        <v>67272</v>
      </c>
      <c r="D4264" t="s">
        <v>13</v>
      </c>
      <c r="E4264" t="s">
        <v>34</v>
      </c>
      <c r="F4264" t="s">
        <v>35</v>
      </c>
      <c r="G4264">
        <v>5</v>
      </c>
      <c r="H4264">
        <v>34.99</v>
      </c>
      <c r="J4264">
        <v>174.95</v>
      </c>
      <c r="K4264" t="s">
        <v>22</v>
      </c>
      <c r="L4264" t="s">
        <v>37</v>
      </c>
      <c r="M4264" t="s">
        <v>103</v>
      </c>
    </row>
    <row r="4265" spans="1:13" x14ac:dyDescent="0.2">
      <c r="A4265">
        <v>806275</v>
      </c>
      <c r="B4265" s="1">
        <v>45254</v>
      </c>
      <c r="C4265">
        <v>75362</v>
      </c>
      <c r="D4265" t="s">
        <v>29</v>
      </c>
      <c r="E4265" t="s">
        <v>72</v>
      </c>
      <c r="F4265" t="s">
        <v>73</v>
      </c>
      <c r="G4265">
        <v>3</v>
      </c>
      <c r="H4265">
        <v>39.99</v>
      </c>
      <c r="J4265">
        <v>119.97</v>
      </c>
      <c r="K4265" t="s">
        <v>36</v>
      </c>
      <c r="L4265" t="s">
        <v>37</v>
      </c>
      <c r="M4265" t="s">
        <v>57</v>
      </c>
    </row>
    <row r="4266" spans="1:13" x14ac:dyDescent="0.2">
      <c r="A4266">
        <v>806292</v>
      </c>
      <c r="B4266" s="1">
        <v>45541</v>
      </c>
      <c r="C4266">
        <v>84995</v>
      </c>
      <c r="D4266" t="s">
        <v>13</v>
      </c>
      <c r="E4266" t="s">
        <v>55</v>
      </c>
      <c r="F4266" t="s">
        <v>56</v>
      </c>
      <c r="G4266">
        <v>3</v>
      </c>
      <c r="H4266">
        <v>263.99</v>
      </c>
      <c r="I4266">
        <v>0.2</v>
      </c>
      <c r="J4266">
        <v>633.58000000000004</v>
      </c>
      <c r="K4266" t="s">
        <v>16</v>
      </c>
      <c r="L4266" t="s">
        <v>17</v>
      </c>
      <c r="M4266" t="s">
        <v>33</v>
      </c>
    </row>
    <row r="4267" spans="1:13" x14ac:dyDescent="0.2">
      <c r="A4267">
        <v>806551</v>
      </c>
      <c r="B4267" s="1">
        <v>45014</v>
      </c>
      <c r="C4267">
        <v>35533</v>
      </c>
      <c r="D4267" t="s">
        <v>85</v>
      </c>
      <c r="E4267" t="s">
        <v>153</v>
      </c>
      <c r="F4267" t="s">
        <v>154</v>
      </c>
      <c r="G4267">
        <v>1</v>
      </c>
      <c r="H4267">
        <v>28.49</v>
      </c>
      <c r="I4267">
        <v>0.05</v>
      </c>
      <c r="J4267">
        <v>27.07</v>
      </c>
      <c r="K4267" t="s">
        <v>16</v>
      </c>
      <c r="L4267" t="s">
        <v>23</v>
      </c>
      <c r="M4267" t="s">
        <v>54</v>
      </c>
    </row>
    <row r="4268" spans="1:13" x14ac:dyDescent="0.2">
      <c r="A4268">
        <v>806667</v>
      </c>
      <c r="B4268" s="2">
        <v>45037</v>
      </c>
      <c r="C4268">
        <v>59030</v>
      </c>
      <c r="D4268" t="s">
        <v>13</v>
      </c>
      <c r="E4268" t="s">
        <v>159</v>
      </c>
      <c r="F4268" t="s">
        <v>160</v>
      </c>
      <c r="G4268">
        <v>1</v>
      </c>
      <c r="H4268">
        <v>44.99</v>
      </c>
      <c r="I4268">
        <v>0.25</v>
      </c>
      <c r="J4268">
        <v>33.74</v>
      </c>
      <c r="K4268" t="s">
        <v>16</v>
      </c>
      <c r="L4268" t="s">
        <v>17</v>
      </c>
      <c r="M4268" t="s">
        <v>33</v>
      </c>
    </row>
    <row r="4269" spans="1:13" x14ac:dyDescent="0.2">
      <c r="A4269">
        <v>806981</v>
      </c>
      <c r="B4269" s="2">
        <v>45477</v>
      </c>
      <c r="C4269">
        <v>95267</v>
      </c>
      <c r="D4269" t="s">
        <v>40</v>
      </c>
      <c r="E4269" t="s">
        <v>20</v>
      </c>
      <c r="F4269" t="s">
        <v>21</v>
      </c>
      <c r="G4269">
        <v>2</v>
      </c>
      <c r="H4269">
        <v>9.99</v>
      </c>
      <c r="J4269">
        <v>19.98</v>
      </c>
      <c r="K4269" t="s">
        <v>16</v>
      </c>
      <c r="L4269" t="s">
        <v>17</v>
      </c>
      <c r="M4269" t="s">
        <v>24</v>
      </c>
    </row>
    <row r="4270" spans="1:13" x14ac:dyDescent="0.2">
      <c r="A4270">
        <v>807267</v>
      </c>
      <c r="B4270" s="1">
        <v>44975</v>
      </c>
      <c r="C4270">
        <v>63134</v>
      </c>
      <c r="D4270" t="s">
        <v>82</v>
      </c>
      <c r="E4270" t="s">
        <v>188</v>
      </c>
      <c r="F4270" t="s">
        <v>189</v>
      </c>
      <c r="G4270">
        <v>2</v>
      </c>
      <c r="H4270">
        <v>42.74</v>
      </c>
      <c r="I4270">
        <v>0.05</v>
      </c>
      <c r="J4270">
        <v>81.209999999999994</v>
      </c>
      <c r="K4270" t="s">
        <v>36</v>
      </c>
      <c r="L4270" t="s">
        <v>17</v>
      </c>
      <c r="M4270" t="s">
        <v>103</v>
      </c>
    </row>
    <row r="4271" spans="1:13" x14ac:dyDescent="0.2">
      <c r="A4271">
        <v>807331</v>
      </c>
      <c r="B4271" s="1">
        <v>44902</v>
      </c>
      <c r="C4271">
        <v>69425</v>
      </c>
      <c r="D4271" t="s">
        <v>85</v>
      </c>
      <c r="E4271" t="s">
        <v>153</v>
      </c>
      <c r="F4271" t="s">
        <v>154</v>
      </c>
      <c r="G4271">
        <v>1</v>
      </c>
      <c r="H4271">
        <v>25.49</v>
      </c>
      <c r="I4271">
        <v>0.15</v>
      </c>
      <c r="J4271">
        <v>21.67</v>
      </c>
      <c r="K4271" t="s">
        <v>16</v>
      </c>
      <c r="L4271" t="s">
        <v>17</v>
      </c>
      <c r="M4271" t="s">
        <v>102</v>
      </c>
    </row>
    <row r="4272" spans="1:13" x14ac:dyDescent="0.2">
      <c r="A4272">
        <v>807384</v>
      </c>
      <c r="B4272" s="1">
        <v>45439</v>
      </c>
      <c r="C4272">
        <v>64684</v>
      </c>
      <c r="D4272" t="s">
        <v>40</v>
      </c>
      <c r="E4272" t="s">
        <v>58</v>
      </c>
      <c r="F4272" t="s">
        <v>59</v>
      </c>
      <c r="G4272">
        <v>4</v>
      </c>
      <c r="H4272">
        <v>2.79</v>
      </c>
      <c r="I4272">
        <v>0.3</v>
      </c>
      <c r="J4272">
        <v>7.81</v>
      </c>
      <c r="K4272" t="s">
        <v>16</v>
      </c>
      <c r="L4272" t="s">
        <v>17</v>
      </c>
      <c r="M4272" t="s">
        <v>47</v>
      </c>
    </row>
    <row r="4273" spans="1:13" x14ac:dyDescent="0.2">
      <c r="A4273">
        <v>807907</v>
      </c>
      <c r="B4273" s="1">
        <v>45237</v>
      </c>
      <c r="C4273">
        <v>19838</v>
      </c>
      <c r="D4273" t="s">
        <v>29</v>
      </c>
      <c r="E4273" t="s">
        <v>72</v>
      </c>
      <c r="F4273" t="s">
        <v>73</v>
      </c>
      <c r="G4273">
        <v>3</v>
      </c>
      <c r="H4273">
        <v>39.99</v>
      </c>
      <c r="J4273">
        <v>119.97</v>
      </c>
      <c r="K4273" t="s">
        <v>16</v>
      </c>
      <c r="L4273" t="s">
        <v>17</v>
      </c>
      <c r="M4273" t="s">
        <v>123</v>
      </c>
    </row>
    <row r="4274" spans="1:13" x14ac:dyDescent="0.2">
      <c r="A4274">
        <v>808142</v>
      </c>
      <c r="B4274" s="1">
        <v>45144</v>
      </c>
      <c r="C4274">
        <v>59964</v>
      </c>
      <c r="D4274" t="s">
        <v>63</v>
      </c>
      <c r="E4274" t="s">
        <v>111</v>
      </c>
      <c r="F4274" t="s">
        <v>112</v>
      </c>
      <c r="G4274">
        <v>4</v>
      </c>
      <c r="H4274">
        <v>14.99</v>
      </c>
      <c r="J4274">
        <v>59.96</v>
      </c>
      <c r="K4274" t="s">
        <v>36</v>
      </c>
      <c r="L4274" t="s">
        <v>23</v>
      </c>
      <c r="M4274" t="s">
        <v>76</v>
      </c>
    </row>
    <row r="4275" spans="1:13" x14ac:dyDescent="0.2">
      <c r="A4275">
        <v>808527</v>
      </c>
      <c r="B4275" s="1">
        <v>44931</v>
      </c>
      <c r="D4275" t="s">
        <v>85</v>
      </c>
      <c r="E4275" t="s">
        <v>153</v>
      </c>
      <c r="F4275" t="s">
        <v>154</v>
      </c>
      <c r="G4275">
        <v>1</v>
      </c>
      <c r="H4275">
        <v>25.49</v>
      </c>
      <c r="I4275">
        <v>0.15</v>
      </c>
      <c r="J4275">
        <v>21.67</v>
      </c>
      <c r="K4275" t="s">
        <v>32</v>
      </c>
      <c r="L4275" t="s">
        <v>17</v>
      </c>
      <c r="M4275" t="s">
        <v>62</v>
      </c>
    </row>
    <row r="4276" spans="1:13" x14ac:dyDescent="0.2">
      <c r="A4276">
        <v>808633</v>
      </c>
      <c r="B4276" s="1">
        <v>44996</v>
      </c>
      <c r="C4276">
        <v>82875</v>
      </c>
      <c r="D4276" t="s">
        <v>63</v>
      </c>
      <c r="E4276" t="s">
        <v>111</v>
      </c>
      <c r="F4276" t="s">
        <v>112</v>
      </c>
      <c r="G4276">
        <v>1</v>
      </c>
      <c r="H4276">
        <v>10.49</v>
      </c>
      <c r="I4276">
        <v>0.3</v>
      </c>
      <c r="J4276">
        <v>7.34</v>
      </c>
      <c r="K4276" t="s">
        <v>95</v>
      </c>
      <c r="L4276" t="s">
        <v>17</v>
      </c>
    </row>
    <row r="4277" spans="1:13" x14ac:dyDescent="0.2">
      <c r="A4277">
        <v>808819</v>
      </c>
      <c r="B4277" s="1">
        <v>44918</v>
      </c>
      <c r="C4277">
        <v>87011</v>
      </c>
      <c r="D4277" t="s">
        <v>25</v>
      </c>
      <c r="E4277" t="s">
        <v>26</v>
      </c>
      <c r="F4277" t="s">
        <v>27</v>
      </c>
      <c r="G4277">
        <v>2</v>
      </c>
      <c r="H4277">
        <v>24.49</v>
      </c>
      <c r="I4277">
        <v>0.3</v>
      </c>
      <c r="J4277">
        <v>34.29</v>
      </c>
      <c r="K4277" t="s">
        <v>36</v>
      </c>
      <c r="L4277" t="s">
        <v>37</v>
      </c>
      <c r="M4277" t="s">
        <v>62</v>
      </c>
    </row>
    <row r="4278" spans="1:13" x14ac:dyDescent="0.2">
      <c r="A4278">
        <v>809030</v>
      </c>
      <c r="B4278" s="1">
        <v>44781</v>
      </c>
      <c r="C4278">
        <v>11468</v>
      </c>
      <c r="D4278" t="s">
        <v>82</v>
      </c>
      <c r="E4278" t="s">
        <v>155</v>
      </c>
      <c r="F4278" t="s">
        <v>156</v>
      </c>
      <c r="G4278">
        <v>1</v>
      </c>
      <c r="H4278">
        <v>17.989999999999998</v>
      </c>
      <c r="I4278">
        <v>0.1</v>
      </c>
      <c r="J4278">
        <v>16.190000000000001</v>
      </c>
      <c r="K4278" t="s">
        <v>16</v>
      </c>
      <c r="L4278" t="s">
        <v>17</v>
      </c>
      <c r="M4278" t="s">
        <v>47</v>
      </c>
    </row>
    <row r="4279" spans="1:13" x14ac:dyDescent="0.2">
      <c r="A4279">
        <v>809083</v>
      </c>
      <c r="B4279" s="2">
        <v>45497</v>
      </c>
      <c r="C4279">
        <v>62461</v>
      </c>
      <c r="D4279" t="s">
        <v>82</v>
      </c>
      <c r="E4279" t="s">
        <v>147</v>
      </c>
      <c r="F4279" t="s">
        <v>148</v>
      </c>
      <c r="G4279">
        <v>5</v>
      </c>
      <c r="H4279">
        <v>12.34</v>
      </c>
      <c r="I4279">
        <v>0.05</v>
      </c>
      <c r="J4279">
        <v>58.62</v>
      </c>
      <c r="K4279" t="s">
        <v>36</v>
      </c>
      <c r="L4279" t="s">
        <v>17</v>
      </c>
      <c r="M4279" t="s">
        <v>28</v>
      </c>
    </row>
    <row r="4280" spans="1:13" x14ac:dyDescent="0.2">
      <c r="A4280">
        <v>809147</v>
      </c>
      <c r="B4280" s="1">
        <v>45071</v>
      </c>
      <c r="D4280" t="s">
        <v>25</v>
      </c>
      <c r="E4280" t="s">
        <v>26</v>
      </c>
      <c r="F4280" t="s">
        <v>27</v>
      </c>
      <c r="G4280">
        <v>1</v>
      </c>
      <c r="H4280">
        <v>26.24</v>
      </c>
      <c r="I4280">
        <v>0.25</v>
      </c>
      <c r="J4280">
        <v>19.68</v>
      </c>
      <c r="K4280" t="s">
        <v>32</v>
      </c>
      <c r="L4280" t="s">
        <v>17</v>
      </c>
      <c r="M4280" t="s">
        <v>24</v>
      </c>
    </row>
    <row r="4281" spans="1:13" x14ac:dyDescent="0.2">
      <c r="A4281">
        <v>809217</v>
      </c>
      <c r="B4281" s="1">
        <v>45458</v>
      </c>
      <c r="C4281">
        <v>68841</v>
      </c>
      <c r="D4281" t="s">
        <v>25</v>
      </c>
      <c r="E4281" t="s">
        <v>70</v>
      </c>
      <c r="F4281" t="s">
        <v>71</v>
      </c>
      <c r="G4281">
        <v>2</v>
      </c>
      <c r="H4281">
        <v>89.99</v>
      </c>
      <c r="J4281">
        <v>179.98</v>
      </c>
      <c r="K4281" t="s">
        <v>36</v>
      </c>
      <c r="L4281" t="s">
        <v>23</v>
      </c>
      <c r="M4281" t="s">
        <v>120</v>
      </c>
    </row>
    <row r="4282" spans="1:13" x14ac:dyDescent="0.2">
      <c r="A4282">
        <v>809253</v>
      </c>
      <c r="B4282" s="1">
        <v>44946</v>
      </c>
      <c r="C4282">
        <v>85598</v>
      </c>
      <c r="D4282" t="s">
        <v>13</v>
      </c>
      <c r="E4282" t="s">
        <v>55</v>
      </c>
      <c r="F4282" t="s">
        <v>56</v>
      </c>
      <c r="G4282">
        <v>5</v>
      </c>
      <c r="H4282">
        <v>280.49</v>
      </c>
      <c r="I4282">
        <v>0.15</v>
      </c>
      <c r="J4282">
        <v>1192.08</v>
      </c>
      <c r="K4282" t="s">
        <v>36</v>
      </c>
      <c r="L4282" t="s">
        <v>37</v>
      </c>
      <c r="M4282" t="s">
        <v>54</v>
      </c>
    </row>
    <row r="4283" spans="1:13" x14ac:dyDescent="0.2">
      <c r="A4283">
        <v>809527</v>
      </c>
      <c r="B4283" s="1">
        <v>44968</v>
      </c>
      <c r="C4283">
        <v>54297</v>
      </c>
      <c r="D4283" t="s">
        <v>97</v>
      </c>
      <c r="E4283" t="s">
        <v>165</v>
      </c>
      <c r="F4283" t="s">
        <v>166</v>
      </c>
      <c r="G4283">
        <v>5</v>
      </c>
      <c r="H4283">
        <v>80.989999999999995</v>
      </c>
      <c r="I4283">
        <v>0.1</v>
      </c>
      <c r="J4283">
        <v>364.46</v>
      </c>
      <c r="K4283" t="s">
        <v>16</v>
      </c>
      <c r="L4283" t="s">
        <v>37</v>
      </c>
      <c r="M4283" t="s">
        <v>24</v>
      </c>
    </row>
    <row r="4284" spans="1:13" x14ac:dyDescent="0.2">
      <c r="A4284">
        <v>809633</v>
      </c>
      <c r="B4284" s="2">
        <v>44661</v>
      </c>
      <c r="C4284">
        <v>56237</v>
      </c>
      <c r="D4284" t="s">
        <v>82</v>
      </c>
      <c r="E4284" t="s">
        <v>155</v>
      </c>
      <c r="F4284" t="s">
        <v>156</v>
      </c>
      <c r="G4284">
        <v>1</v>
      </c>
      <c r="H4284">
        <v>18.989999999999998</v>
      </c>
      <c r="I4284">
        <v>0.05</v>
      </c>
      <c r="J4284">
        <v>18.04</v>
      </c>
      <c r="K4284" t="s">
        <v>36</v>
      </c>
      <c r="L4284" t="s">
        <v>17</v>
      </c>
      <c r="M4284" t="s">
        <v>67</v>
      </c>
    </row>
    <row r="4285" spans="1:13" x14ac:dyDescent="0.2">
      <c r="A4285">
        <v>809729</v>
      </c>
      <c r="B4285" s="2">
        <v>44897</v>
      </c>
      <c r="C4285">
        <v>60616</v>
      </c>
      <c r="D4285" t="s">
        <v>48</v>
      </c>
      <c r="E4285" t="s">
        <v>179</v>
      </c>
      <c r="F4285" t="s">
        <v>180</v>
      </c>
      <c r="G4285">
        <v>1</v>
      </c>
      <c r="H4285">
        <v>10.19</v>
      </c>
      <c r="I4285">
        <v>0.15</v>
      </c>
      <c r="J4285">
        <v>8.66</v>
      </c>
      <c r="K4285" t="s">
        <v>95</v>
      </c>
      <c r="L4285" t="s">
        <v>17</v>
      </c>
      <c r="M4285" t="s">
        <v>161</v>
      </c>
    </row>
    <row r="4286" spans="1:13" x14ac:dyDescent="0.2">
      <c r="A4286">
        <v>809952</v>
      </c>
      <c r="B4286" s="1">
        <v>44733</v>
      </c>
      <c r="C4286">
        <v>35486</v>
      </c>
      <c r="D4286" t="s">
        <v>29</v>
      </c>
      <c r="E4286" t="s">
        <v>170</v>
      </c>
      <c r="F4286" t="s">
        <v>171</v>
      </c>
      <c r="G4286">
        <v>4</v>
      </c>
      <c r="H4286">
        <v>10.49</v>
      </c>
      <c r="I4286">
        <v>0.3</v>
      </c>
      <c r="J4286">
        <v>29.37</v>
      </c>
      <c r="K4286" t="s">
        <v>36</v>
      </c>
      <c r="L4286" t="s">
        <v>17</v>
      </c>
      <c r="M4286" t="s">
        <v>33</v>
      </c>
    </row>
    <row r="4287" spans="1:13" x14ac:dyDescent="0.2">
      <c r="A4287">
        <v>810265</v>
      </c>
      <c r="B4287" s="1">
        <v>45496</v>
      </c>
      <c r="C4287">
        <v>98418</v>
      </c>
      <c r="D4287" t="s">
        <v>29</v>
      </c>
      <c r="E4287" t="s">
        <v>175</v>
      </c>
      <c r="F4287" t="s">
        <v>176</v>
      </c>
      <c r="G4287">
        <v>4</v>
      </c>
      <c r="H4287">
        <v>11.99</v>
      </c>
      <c r="J4287">
        <v>47.96</v>
      </c>
      <c r="K4287" t="s">
        <v>16</v>
      </c>
      <c r="L4287" t="s">
        <v>37</v>
      </c>
      <c r="M4287" t="s">
        <v>67</v>
      </c>
    </row>
    <row r="4288" spans="1:13" x14ac:dyDescent="0.2">
      <c r="A4288">
        <v>810332</v>
      </c>
      <c r="B4288" s="2">
        <v>45485</v>
      </c>
      <c r="D4288" t="s">
        <v>13</v>
      </c>
      <c r="E4288" t="s">
        <v>79</v>
      </c>
      <c r="F4288" t="s">
        <v>80</v>
      </c>
      <c r="G4288">
        <v>2</v>
      </c>
      <c r="H4288">
        <v>89.99</v>
      </c>
      <c r="J4288">
        <v>179.98</v>
      </c>
      <c r="K4288" t="s">
        <v>36</v>
      </c>
      <c r="L4288" t="s">
        <v>23</v>
      </c>
      <c r="M4288" t="s">
        <v>67</v>
      </c>
    </row>
    <row r="4289" spans="1:13" x14ac:dyDescent="0.2">
      <c r="A4289">
        <v>810500</v>
      </c>
      <c r="B4289" s="1">
        <v>45320</v>
      </c>
      <c r="C4289">
        <v>89169</v>
      </c>
      <c r="D4289" t="s">
        <v>40</v>
      </c>
      <c r="E4289" t="s">
        <v>41</v>
      </c>
      <c r="F4289" t="s">
        <v>42</v>
      </c>
      <c r="G4289">
        <v>1</v>
      </c>
      <c r="H4289">
        <v>5.99</v>
      </c>
      <c r="J4289">
        <v>5.99</v>
      </c>
      <c r="K4289" t="s">
        <v>22</v>
      </c>
      <c r="L4289" t="s">
        <v>17</v>
      </c>
      <c r="M4289" t="s">
        <v>24</v>
      </c>
    </row>
    <row r="4290" spans="1:13" x14ac:dyDescent="0.2">
      <c r="A4290">
        <v>810725</v>
      </c>
      <c r="B4290" s="1">
        <v>45333</v>
      </c>
      <c r="C4290">
        <v>16790</v>
      </c>
      <c r="D4290" t="s">
        <v>13</v>
      </c>
      <c r="E4290" t="s">
        <v>79</v>
      </c>
      <c r="F4290" t="s">
        <v>80</v>
      </c>
      <c r="G4290">
        <v>3</v>
      </c>
      <c r="H4290">
        <v>80.989999999999995</v>
      </c>
      <c r="I4290">
        <v>0.1</v>
      </c>
      <c r="J4290">
        <v>218.67</v>
      </c>
      <c r="K4290" t="s">
        <v>36</v>
      </c>
      <c r="L4290" t="s">
        <v>37</v>
      </c>
      <c r="M4290" t="s">
        <v>123</v>
      </c>
    </row>
    <row r="4291" spans="1:13" x14ac:dyDescent="0.2">
      <c r="A4291">
        <v>810783</v>
      </c>
      <c r="B4291" s="2">
        <v>44754</v>
      </c>
      <c r="C4291">
        <v>57810</v>
      </c>
      <c r="D4291" t="s">
        <v>40</v>
      </c>
      <c r="E4291" t="s">
        <v>41</v>
      </c>
      <c r="F4291" t="s">
        <v>42</v>
      </c>
      <c r="G4291">
        <v>5</v>
      </c>
      <c r="H4291">
        <v>4.79</v>
      </c>
      <c r="I4291">
        <v>0.2</v>
      </c>
      <c r="J4291">
        <v>19.16</v>
      </c>
      <c r="K4291" t="s">
        <v>16</v>
      </c>
      <c r="L4291" t="s">
        <v>17</v>
      </c>
      <c r="M4291" t="s">
        <v>28</v>
      </c>
    </row>
    <row r="4292" spans="1:13" x14ac:dyDescent="0.2">
      <c r="A4292">
        <v>810992</v>
      </c>
      <c r="B4292" s="1">
        <v>45032</v>
      </c>
      <c r="C4292">
        <v>10375</v>
      </c>
      <c r="D4292" t="s">
        <v>174</v>
      </c>
      <c r="E4292" t="s">
        <v>149</v>
      </c>
      <c r="F4292" t="s">
        <v>150</v>
      </c>
      <c r="G4292">
        <v>2</v>
      </c>
      <c r="H4292">
        <v>16.989999999999998</v>
      </c>
      <c r="I4292">
        <v>0.15</v>
      </c>
      <c r="J4292">
        <v>28.88</v>
      </c>
      <c r="K4292" t="s">
        <v>36</v>
      </c>
      <c r="L4292" t="s">
        <v>17</v>
      </c>
      <c r="M4292" t="s">
        <v>76</v>
      </c>
    </row>
    <row r="4293" spans="1:13" x14ac:dyDescent="0.2">
      <c r="A4293">
        <v>811267</v>
      </c>
      <c r="B4293" s="1">
        <v>44711</v>
      </c>
      <c r="C4293">
        <v>39303</v>
      </c>
      <c r="D4293" t="s">
        <v>44</v>
      </c>
      <c r="E4293" t="s">
        <v>45</v>
      </c>
      <c r="F4293" t="s">
        <v>46</v>
      </c>
      <c r="G4293">
        <v>1</v>
      </c>
      <c r="H4293">
        <v>1.79</v>
      </c>
      <c r="J4293">
        <v>1.79</v>
      </c>
      <c r="K4293" t="s">
        <v>16</v>
      </c>
      <c r="L4293" t="s">
        <v>17</v>
      </c>
      <c r="M4293" t="s">
        <v>102</v>
      </c>
    </row>
    <row r="4294" spans="1:13" x14ac:dyDescent="0.2">
      <c r="A4294">
        <v>811346</v>
      </c>
      <c r="B4294" s="2">
        <v>45414</v>
      </c>
      <c r="D4294" t="s">
        <v>13</v>
      </c>
      <c r="E4294" t="s">
        <v>127</v>
      </c>
      <c r="F4294" t="s">
        <v>128</v>
      </c>
      <c r="G4294">
        <v>4</v>
      </c>
      <c r="H4294">
        <v>14.99</v>
      </c>
      <c r="I4294">
        <v>0.25</v>
      </c>
      <c r="J4294">
        <v>44.97</v>
      </c>
      <c r="K4294" t="s">
        <v>22</v>
      </c>
      <c r="L4294" t="s">
        <v>17</v>
      </c>
      <c r="M4294" t="s">
        <v>47</v>
      </c>
    </row>
    <row r="4295" spans="1:13" x14ac:dyDescent="0.2">
      <c r="A4295">
        <v>811902</v>
      </c>
      <c r="B4295" s="2">
        <v>45198</v>
      </c>
      <c r="C4295">
        <v>36149</v>
      </c>
      <c r="D4295" t="s">
        <v>97</v>
      </c>
      <c r="E4295" t="s">
        <v>165</v>
      </c>
      <c r="F4295" t="s">
        <v>166</v>
      </c>
      <c r="G4295">
        <v>2</v>
      </c>
      <c r="H4295">
        <v>89.99</v>
      </c>
      <c r="J4295">
        <v>179.98</v>
      </c>
      <c r="K4295" t="s">
        <v>16</v>
      </c>
      <c r="L4295" t="s">
        <v>37</v>
      </c>
      <c r="M4295" t="s">
        <v>33</v>
      </c>
    </row>
    <row r="4296" spans="1:13" x14ac:dyDescent="0.2">
      <c r="A4296">
        <v>812014</v>
      </c>
      <c r="B4296" s="1">
        <v>45031</v>
      </c>
      <c r="C4296">
        <v>40977</v>
      </c>
      <c r="D4296" t="s">
        <v>82</v>
      </c>
      <c r="E4296" t="s">
        <v>100</v>
      </c>
      <c r="F4296" t="s">
        <v>101</v>
      </c>
      <c r="G4296">
        <v>1</v>
      </c>
      <c r="H4296">
        <v>17.239999999999998</v>
      </c>
      <c r="I4296">
        <v>0.25</v>
      </c>
      <c r="J4296">
        <v>12.93</v>
      </c>
      <c r="K4296" t="s">
        <v>53</v>
      </c>
      <c r="L4296" t="s">
        <v>17</v>
      </c>
      <c r="M4296" t="s">
        <v>90</v>
      </c>
    </row>
    <row r="4297" spans="1:13" x14ac:dyDescent="0.2">
      <c r="A4297">
        <v>812237</v>
      </c>
      <c r="B4297" s="1">
        <v>44702</v>
      </c>
      <c r="C4297">
        <v>49593</v>
      </c>
      <c r="D4297" t="s">
        <v>44</v>
      </c>
      <c r="E4297" t="s">
        <v>74</v>
      </c>
      <c r="F4297" t="s">
        <v>75</v>
      </c>
      <c r="G4297">
        <v>1</v>
      </c>
      <c r="H4297">
        <v>2.2400000000000002</v>
      </c>
      <c r="I4297">
        <v>0.25</v>
      </c>
      <c r="J4297">
        <v>1.68</v>
      </c>
      <c r="K4297" t="s">
        <v>36</v>
      </c>
      <c r="L4297" t="s">
        <v>17</v>
      </c>
      <c r="M4297" t="s">
        <v>81</v>
      </c>
    </row>
    <row r="4298" spans="1:13" x14ac:dyDescent="0.2">
      <c r="A4298">
        <v>812543</v>
      </c>
      <c r="B4298" s="1">
        <v>45628</v>
      </c>
      <c r="C4298">
        <v>25592</v>
      </c>
      <c r="D4298" t="s">
        <v>63</v>
      </c>
      <c r="E4298" t="s">
        <v>64</v>
      </c>
      <c r="F4298" t="s">
        <v>65</v>
      </c>
      <c r="G4298">
        <v>1</v>
      </c>
      <c r="H4298">
        <v>4.99</v>
      </c>
      <c r="J4298">
        <v>4.99</v>
      </c>
      <c r="K4298" t="s">
        <v>95</v>
      </c>
      <c r="L4298" t="s">
        <v>17</v>
      </c>
      <c r="M4298" t="s">
        <v>28</v>
      </c>
    </row>
    <row r="4299" spans="1:13" x14ac:dyDescent="0.2">
      <c r="A4299">
        <v>812605</v>
      </c>
      <c r="B4299" s="1">
        <v>45285</v>
      </c>
      <c r="C4299">
        <v>27459</v>
      </c>
      <c r="D4299" t="s">
        <v>48</v>
      </c>
      <c r="E4299" t="s">
        <v>179</v>
      </c>
      <c r="F4299" t="s">
        <v>180</v>
      </c>
      <c r="G4299">
        <v>3</v>
      </c>
      <c r="H4299">
        <v>11.39</v>
      </c>
      <c r="I4299">
        <v>0.05</v>
      </c>
      <c r="J4299">
        <v>32.46</v>
      </c>
      <c r="K4299" t="s">
        <v>22</v>
      </c>
      <c r="L4299" t="s">
        <v>23</v>
      </c>
      <c r="M4299" t="s">
        <v>57</v>
      </c>
    </row>
    <row r="4300" spans="1:13" x14ac:dyDescent="0.2">
      <c r="A4300">
        <v>812621</v>
      </c>
      <c r="B4300" s="1">
        <v>45169</v>
      </c>
      <c r="C4300">
        <v>75880</v>
      </c>
      <c r="D4300" t="s">
        <v>44</v>
      </c>
      <c r="E4300" t="s">
        <v>195</v>
      </c>
      <c r="F4300" t="s">
        <v>196</v>
      </c>
      <c r="G4300">
        <v>1</v>
      </c>
      <c r="H4300">
        <v>4.24</v>
      </c>
      <c r="J4300">
        <v>4.24</v>
      </c>
      <c r="K4300" t="s">
        <v>16</v>
      </c>
      <c r="L4300" t="s">
        <v>17</v>
      </c>
      <c r="M4300" t="s">
        <v>54</v>
      </c>
    </row>
    <row r="4301" spans="1:13" x14ac:dyDescent="0.2">
      <c r="A4301">
        <v>812756</v>
      </c>
      <c r="B4301" s="1">
        <v>44982</v>
      </c>
      <c r="C4301">
        <v>76022</v>
      </c>
      <c r="D4301" t="s">
        <v>13</v>
      </c>
      <c r="E4301" t="s">
        <v>79</v>
      </c>
      <c r="F4301" t="s">
        <v>80</v>
      </c>
      <c r="G4301">
        <v>1</v>
      </c>
      <c r="H4301">
        <v>71.989999999999995</v>
      </c>
      <c r="I4301">
        <v>0.2</v>
      </c>
      <c r="J4301">
        <v>57.59</v>
      </c>
      <c r="K4301" t="s">
        <v>22</v>
      </c>
      <c r="L4301" t="s">
        <v>37</v>
      </c>
      <c r="M4301" t="s">
        <v>117</v>
      </c>
    </row>
    <row r="4302" spans="1:13" x14ac:dyDescent="0.2">
      <c r="A4302">
        <v>812898</v>
      </c>
      <c r="B4302" s="1">
        <v>45087</v>
      </c>
      <c r="C4302">
        <v>25963</v>
      </c>
      <c r="D4302" t="s">
        <v>40</v>
      </c>
      <c r="E4302" t="s">
        <v>197</v>
      </c>
      <c r="F4302" t="s">
        <v>198</v>
      </c>
      <c r="G4302">
        <v>2</v>
      </c>
      <c r="H4302">
        <v>12.74</v>
      </c>
      <c r="I4302">
        <v>0.15</v>
      </c>
      <c r="J4302">
        <v>21.66</v>
      </c>
      <c r="K4302" t="s">
        <v>16</v>
      </c>
      <c r="L4302" t="s">
        <v>17</v>
      </c>
      <c r="M4302" t="s">
        <v>103</v>
      </c>
    </row>
    <row r="4303" spans="1:13" x14ac:dyDescent="0.2">
      <c r="A4303">
        <v>813126</v>
      </c>
      <c r="B4303" s="1">
        <v>45264</v>
      </c>
      <c r="C4303">
        <v>85300</v>
      </c>
      <c r="D4303" t="s">
        <v>63</v>
      </c>
      <c r="E4303" t="s">
        <v>125</v>
      </c>
      <c r="F4303" t="s">
        <v>126</v>
      </c>
      <c r="G4303">
        <v>2</v>
      </c>
      <c r="H4303">
        <v>25.49</v>
      </c>
      <c r="I4303">
        <v>0.15</v>
      </c>
      <c r="J4303">
        <v>43.33</v>
      </c>
      <c r="K4303" t="s">
        <v>22</v>
      </c>
      <c r="L4303" t="s">
        <v>17</v>
      </c>
      <c r="M4303" t="s">
        <v>161</v>
      </c>
    </row>
    <row r="4304" spans="1:13" x14ac:dyDescent="0.2">
      <c r="A4304">
        <v>813158</v>
      </c>
      <c r="B4304" s="1">
        <v>45412</v>
      </c>
      <c r="C4304">
        <v>27553</v>
      </c>
      <c r="D4304" t="s">
        <v>25</v>
      </c>
      <c r="E4304" t="s">
        <v>26</v>
      </c>
      <c r="F4304" t="s">
        <v>27</v>
      </c>
      <c r="G4304">
        <v>5</v>
      </c>
      <c r="H4304">
        <v>34.99</v>
      </c>
      <c r="J4304">
        <v>174.95</v>
      </c>
      <c r="K4304" t="s">
        <v>22</v>
      </c>
      <c r="L4304" t="s">
        <v>17</v>
      </c>
      <c r="M4304" t="s">
        <v>28</v>
      </c>
    </row>
    <row r="4305" spans="1:13" x14ac:dyDescent="0.2">
      <c r="A4305">
        <v>813260</v>
      </c>
      <c r="B4305" s="1">
        <v>45246</v>
      </c>
      <c r="C4305">
        <v>90398</v>
      </c>
      <c r="D4305" t="s">
        <v>25</v>
      </c>
      <c r="E4305" t="s">
        <v>51</v>
      </c>
      <c r="F4305" t="s">
        <v>52</v>
      </c>
      <c r="G4305">
        <v>1</v>
      </c>
      <c r="H4305">
        <v>19.59</v>
      </c>
      <c r="I4305">
        <v>0.3</v>
      </c>
      <c r="J4305">
        <v>13.71</v>
      </c>
      <c r="K4305" t="s">
        <v>16</v>
      </c>
      <c r="L4305" t="s">
        <v>17</v>
      </c>
      <c r="M4305" t="s">
        <v>18</v>
      </c>
    </row>
    <row r="4306" spans="1:13" x14ac:dyDescent="0.2">
      <c r="A4306">
        <v>813492</v>
      </c>
      <c r="B4306" s="1">
        <v>45242</v>
      </c>
      <c r="C4306">
        <v>78850</v>
      </c>
      <c r="D4306" t="s">
        <v>85</v>
      </c>
      <c r="E4306" t="s">
        <v>153</v>
      </c>
      <c r="F4306" t="s">
        <v>154</v>
      </c>
      <c r="G4306">
        <v>4</v>
      </c>
      <c r="H4306">
        <v>20.99</v>
      </c>
      <c r="J4306">
        <v>83.96</v>
      </c>
      <c r="K4306" t="s">
        <v>36</v>
      </c>
      <c r="L4306" t="s">
        <v>17</v>
      </c>
      <c r="M4306" t="s">
        <v>76</v>
      </c>
    </row>
    <row r="4307" spans="1:13" x14ac:dyDescent="0.2">
      <c r="A4307">
        <v>813542</v>
      </c>
      <c r="B4307" s="1">
        <v>45519</v>
      </c>
      <c r="C4307">
        <v>31373</v>
      </c>
      <c r="D4307" t="s">
        <v>13</v>
      </c>
      <c r="E4307" t="s">
        <v>159</v>
      </c>
      <c r="F4307" t="s">
        <v>160</v>
      </c>
      <c r="G4307">
        <v>1</v>
      </c>
      <c r="H4307">
        <v>59.99</v>
      </c>
      <c r="J4307">
        <v>59.99</v>
      </c>
      <c r="K4307" t="s">
        <v>16</v>
      </c>
      <c r="L4307" t="s">
        <v>17</v>
      </c>
      <c r="M4307" t="s">
        <v>62</v>
      </c>
    </row>
    <row r="4308" spans="1:13" x14ac:dyDescent="0.2">
      <c r="A4308">
        <v>813766</v>
      </c>
      <c r="B4308" s="2">
        <v>44613</v>
      </c>
      <c r="C4308">
        <v>10103</v>
      </c>
      <c r="D4308" t="s">
        <v>82</v>
      </c>
      <c r="E4308" t="s">
        <v>168</v>
      </c>
      <c r="F4308" t="s">
        <v>169</v>
      </c>
      <c r="G4308">
        <v>2</v>
      </c>
      <c r="H4308">
        <v>6.74</v>
      </c>
      <c r="I4308">
        <v>0.25</v>
      </c>
      <c r="J4308">
        <v>10.11</v>
      </c>
      <c r="K4308" t="s">
        <v>53</v>
      </c>
      <c r="L4308" t="s">
        <v>37</v>
      </c>
      <c r="M4308" t="s">
        <v>96</v>
      </c>
    </row>
    <row r="4309" spans="1:13" x14ac:dyDescent="0.2">
      <c r="A4309">
        <v>813782</v>
      </c>
      <c r="B4309" s="1">
        <v>44605</v>
      </c>
      <c r="C4309">
        <v>41692</v>
      </c>
      <c r="D4309" t="s">
        <v>44</v>
      </c>
      <c r="E4309" t="s">
        <v>91</v>
      </c>
      <c r="F4309" t="s">
        <v>92</v>
      </c>
      <c r="G4309">
        <v>3</v>
      </c>
      <c r="H4309">
        <v>5.66</v>
      </c>
      <c r="I4309">
        <v>0.1</v>
      </c>
      <c r="J4309">
        <v>15.28</v>
      </c>
      <c r="K4309" t="s">
        <v>36</v>
      </c>
      <c r="L4309" t="s">
        <v>17</v>
      </c>
      <c r="M4309" t="s">
        <v>18</v>
      </c>
    </row>
    <row r="4310" spans="1:13" x14ac:dyDescent="0.2">
      <c r="A4310">
        <v>814132</v>
      </c>
      <c r="B4310" s="1">
        <v>45041</v>
      </c>
      <c r="C4310">
        <v>35283</v>
      </c>
      <c r="D4310" t="s">
        <v>97</v>
      </c>
      <c r="E4310" t="s">
        <v>193</v>
      </c>
      <c r="F4310" t="s">
        <v>194</v>
      </c>
      <c r="G4310">
        <v>1</v>
      </c>
      <c r="H4310">
        <v>64.989999999999995</v>
      </c>
      <c r="J4310">
        <v>64.989999999999995</v>
      </c>
      <c r="K4310" t="s">
        <v>95</v>
      </c>
      <c r="L4310" t="s">
        <v>17</v>
      </c>
      <c r="M4310" t="s">
        <v>33</v>
      </c>
    </row>
    <row r="4311" spans="1:13" x14ac:dyDescent="0.2">
      <c r="A4311">
        <v>814170</v>
      </c>
      <c r="B4311" s="2">
        <v>44941</v>
      </c>
      <c r="C4311">
        <v>33582</v>
      </c>
      <c r="D4311" t="s">
        <v>40</v>
      </c>
      <c r="E4311" t="s">
        <v>41</v>
      </c>
      <c r="F4311" t="s">
        <v>42</v>
      </c>
      <c r="G4311">
        <v>3</v>
      </c>
      <c r="H4311">
        <v>4.79</v>
      </c>
      <c r="I4311">
        <v>0.2</v>
      </c>
      <c r="J4311">
        <v>11.5</v>
      </c>
      <c r="K4311" t="s">
        <v>22</v>
      </c>
      <c r="L4311" t="s">
        <v>17</v>
      </c>
      <c r="M4311" t="s">
        <v>123</v>
      </c>
    </row>
    <row r="4312" spans="1:13" x14ac:dyDescent="0.2">
      <c r="A4312">
        <v>814200</v>
      </c>
      <c r="B4312" s="1">
        <v>45510</v>
      </c>
      <c r="C4312">
        <v>98130</v>
      </c>
      <c r="D4312" t="s">
        <v>44</v>
      </c>
      <c r="E4312" t="s">
        <v>93</v>
      </c>
      <c r="F4312" t="s">
        <v>94</v>
      </c>
      <c r="G4312">
        <v>1</v>
      </c>
      <c r="H4312">
        <v>1.1000000000000001</v>
      </c>
      <c r="I4312">
        <v>0.15</v>
      </c>
      <c r="J4312">
        <v>0.94</v>
      </c>
      <c r="K4312" t="s">
        <v>22</v>
      </c>
      <c r="L4312" t="s">
        <v>23</v>
      </c>
      <c r="M4312" t="s">
        <v>43</v>
      </c>
    </row>
    <row r="4313" spans="1:13" x14ac:dyDescent="0.2">
      <c r="A4313">
        <v>814313</v>
      </c>
      <c r="B4313" s="1">
        <v>44788</v>
      </c>
      <c r="C4313">
        <v>91975</v>
      </c>
      <c r="D4313" t="s">
        <v>13</v>
      </c>
      <c r="E4313" t="s">
        <v>77</v>
      </c>
      <c r="F4313" t="s">
        <v>78</v>
      </c>
      <c r="G4313">
        <v>2</v>
      </c>
      <c r="H4313">
        <v>374.99</v>
      </c>
      <c r="I4313">
        <v>0.25</v>
      </c>
      <c r="J4313">
        <v>562.48</v>
      </c>
      <c r="K4313" t="s">
        <v>22</v>
      </c>
      <c r="L4313" t="s">
        <v>17</v>
      </c>
      <c r="M4313" t="s">
        <v>96</v>
      </c>
    </row>
    <row r="4314" spans="1:13" x14ac:dyDescent="0.2">
      <c r="A4314">
        <v>814365</v>
      </c>
      <c r="B4314" s="1">
        <v>45620</v>
      </c>
      <c r="C4314">
        <v>28645</v>
      </c>
      <c r="D4314" t="s">
        <v>63</v>
      </c>
      <c r="E4314" t="s">
        <v>125</v>
      </c>
      <c r="F4314" t="s">
        <v>126</v>
      </c>
      <c r="G4314">
        <v>1</v>
      </c>
      <c r="H4314">
        <v>22.49</v>
      </c>
      <c r="I4314">
        <v>0.25</v>
      </c>
      <c r="J4314">
        <v>16.87</v>
      </c>
      <c r="K4314" t="s">
        <v>16</v>
      </c>
      <c r="L4314" t="s">
        <v>17</v>
      </c>
      <c r="M4314" t="s">
        <v>117</v>
      </c>
    </row>
    <row r="4315" spans="1:13" x14ac:dyDescent="0.2">
      <c r="A4315">
        <v>814435</v>
      </c>
      <c r="B4315" s="1">
        <v>44726</v>
      </c>
      <c r="C4315">
        <v>11511</v>
      </c>
      <c r="D4315" t="s">
        <v>40</v>
      </c>
      <c r="E4315" t="s">
        <v>20</v>
      </c>
      <c r="F4315" t="s">
        <v>21</v>
      </c>
      <c r="G4315">
        <v>2</v>
      </c>
      <c r="H4315">
        <v>8.49</v>
      </c>
      <c r="I4315">
        <v>0.15</v>
      </c>
      <c r="J4315">
        <v>14.43</v>
      </c>
      <c r="K4315" t="s">
        <v>16</v>
      </c>
      <c r="L4315" t="s">
        <v>37</v>
      </c>
    </row>
    <row r="4316" spans="1:13" x14ac:dyDescent="0.2">
      <c r="A4316">
        <v>814578</v>
      </c>
      <c r="B4316" s="1">
        <v>45207</v>
      </c>
      <c r="C4316">
        <v>56030</v>
      </c>
      <c r="D4316" t="s">
        <v>25</v>
      </c>
      <c r="E4316" t="s">
        <v>26</v>
      </c>
      <c r="F4316" t="s">
        <v>27</v>
      </c>
      <c r="G4316">
        <v>1</v>
      </c>
      <c r="H4316">
        <v>31.49</v>
      </c>
      <c r="I4316">
        <v>0.1</v>
      </c>
      <c r="J4316">
        <v>28.34</v>
      </c>
      <c r="K4316" t="s">
        <v>95</v>
      </c>
      <c r="L4316" t="s">
        <v>17</v>
      </c>
      <c r="M4316" t="s">
        <v>102</v>
      </c>
    </row>
    <row r="4317" spans="1:13" x14ac:dyDescent="0.2">
      <c r="A4317">
        <v>814744</v>
      </c>
      <c r="B4317" s="1">
        <v>44619</v>
      </c>
      <c r="C4317">
        <v>15553</v>
      </c>
      <c r="D4317" t="s">
        <v>85</v>
      </c>
      <c r="E4317" t="s">
        <v>86</v>
      </c>
      <c r="F4317" t="s">
        <v>87</v>
      </c>
      <c r="G4317">
        <v>1</v>
      </c>
      <c r="H4317">
        <v>10.39</v>
      </c>
      <c r="I4317">
        <v>0.2</v>
      </c>
      <c r="J4317">
        <v>8.31</v>
      </c>
      <c r="K4317" t="s">
        <v>22</v>
      </c>
      <c r="L4317" t="s">
        <v>17</v>
      </c>
      <c r="M4317" t="s">
        <v>102</v>
      </c>
    </row>
    <row r="4318" spans="1:13" x14ac:dyDescent="0.2">
      <c r="A4318">
        <v>814990</v>
      </c>
      <c r="B4318" s="1">
        <v>44960</v>
      </c>
      <c r="C4318">
        <v>35084</v>
      </c>
      <c r="D4318" t="s">
        <v>40</v>
      </c>
      <c r="E4318" t="s">
        <v>197</v>
      </c>
      <c r="F4318" t="s">
        <v>198</v>
      </c>
      <c r="G4318">
        <v>4</v>
      </c>
      <c r="H4318">
        <v>14.99</v>
      </c>
      <c r="J4318">
        <v>59.96</v>
      </c>
      <c r="K4318" t="s">
        <v>95</v>
      </c>
      <c r="L4318" t="s">
        <v>17</v>
      </c>
      <c r="M4318" t="s">
        <v>57</v>
      </c>
    </row>
    <row r="4319" spans="1:13" x14ac:dyDescent="0.2">
      <c r="A4319">
        <v>814993</v>
      </c>
      <c r="B4319" s="2">
        <v>44988</v>
      </c>
      <c r="C4319">
        <v>43227</v>
      </c>
      <c r="D4319" t="s">
        <v>82</v>
      </c>
      <c r="E4319" t="s">
        <v>168</v>
      </c>
      <c r="F4319" t="s">
        <v>169</v>
      </c>
      <c r="G4319">
        <v>3</v>
      </c>
      <c r="H4319">
        <v>6.29</v>
      </c>
      <c r="I4319">
        <v>0.3</v>
      </c>
      <c r="J4319">
        <v>13.21</v>
      </c>
      <c r="K4319" t="s">
        <v>16</v>
      </c>
      <c r="L4319" t="s">
        <v>23</v>
      </c>
      <c r="M4319" t="s">
        <v>24</v>
      </c>
    </row>
    <row r="4320" spans="1:13" x14ac:dyDescent="0.2">
      <c r="A4320">
        <v>815152</v>
      </c>
      <c r="B4320" s="1">
        <v>44964</v>
      </c>
      <c r="C4320">
        <v>14694</v>
      </c>
      <c r="D4320" t="s">
        <v>40</v>
      </c>
      <c r="E4320" t="s">
        <v>115</v>
      </c>
      <c r="F4320" t="s">
        <v>116</v>
      </c>
      <c r="G4320">
        <v>4</v>
      </c>
      <c r="H4320">
        <v>9.74</v>
      </c>
      <c r="I4320">
        <v>0.25</v>
      </c>
      <c r="J4320">
        <v>29.22</v>
      </c>
      <c r="K4320" t="s">
        <v>95</v>
      </c>
      <c r="L4320" t="s">
        <v>17</v>
      </c>
      <c r="M4320" t="s">
        <v>90</v>
      </c>
    </row>
    <row r="4321" spans="1:13" x14ac:dyDescent="0.2">
      <c r="A4321">
        <v>815282</v>
      </c>
      <c r="B4321" s="1">
        <v>45319</v>
      </c>
      <c r="C4321">
        <v>23923</v>
      </c>
      <c r="D4321" t="s">
        <v>25</v>
      </c>
      <c r="E4321" t="s">
        <v>60</v>
      </c>
      <c r="F4321" t="s">
        <v>61</v>
      </c>
      <c r="G4321">
        <v>1</v>
      </c>
      <c r="H4321">
        <v>54.99</v>
      </c>
      <c r="J4321">
        <v>54.99</v>
      </c>
      <c r="K4321" t="s">
        <v>16</v>
      </c>
      <c r="L4321" t="s">
        <v>23</v>
      </c>
      <c r="M4321" t="s">
        <v>18</v>
      </c>
    </row>
    <row r="4322" spans="1:13" x14ac:dyDescent="0.2">
      <c r="A4322">
        <v>815368</v>
      </c>
      <c r="B4322" s="2">
        <v>45148</v>
      </c>
      <c r="C4322">
        <v>66830</v>
      </c>
      <c r="D4322" t="s">
        <v>82</v>
      </c>
      <c r="E4322" t="s">
        <v>168</v>
      </c>
      <c r="F4322" t="s">
        <v>169</v>
      </c>
      <c r="G4322">
        <v>3</v>
      </c>
      <c r="H4322">
        <v>8.99</v>
      </c>
      <c r="J4322">
        <v>26.97</v>
      </c>
      <c r="K4322" t="s">
        <v>16</v>
      </c>
      <c r="L4322" t="s">
        <v>23</v>
      </c>
      <c r="M4322" t="s">
        <v>62</v>
      </c>
    </row>
    <row r="4323" spans="1:13" x14ac:dyDescent="0.2">
      <c r="A4323">
        <v>815567</v>
      </c>
      <c r="B4323" s="1">
        <v>44613</v>
      </c>
      <c r="C4323">
        <v>51915</v>
      </c>
      <c r="D4323" t="s">
        <v>63</v>
      </c>
      <c r="E4323" t="s">
        <v>68</v>
      </c>
      <c r="F4323" t="s">
        <v>69</v>
      </c>
      <c r="G4323">
        <v>2</v>
      </c>
      <c r="H4323">
        <v>24.99</v>
      </c>
      <c r="J4323">
        <v>49.98</v>
      </c>
      <c r="K4323" t="s">
        <v>16</v>
      </c>
      <c r="L4323" t="s">
        <v>17</v>
      </c>
      <c r="M4323" t="s">
        <v>18</v>
      </c>
    </row>
    <row r="4324" spans="1:13" x14ac:dyDescent="0.2">
      <c r="A4324">
        <v>815698</v>
      </c>
      <c r="B4324" s="2">
        <v>44970</v>
      </c>
      <c r="C4324">
        <v>29357</v>
      </c>
      <c r="D4324" t="s">
        <v>40</v>
      </c>
      <c r="E4324" t="s">
        <v>58</v>
      </c>
      <c r="F4324" t="s">
        <v>59</v>
      </c>
      <c r="G4324">
        <v>1</v>
      </c>
      <c r="H4324">
        <v>3.19</v>
      </c>
      <c r="I4324">
        <v>0.2</v>
      </c>
      <c r="J4324">
        <v>2.5499999999999998</v>
      </c>
      <c r="K4324" t="s">
        <v>36</v>
      </c>
      <c r="L4324" t="s">
        <v>37</v>
      </c>
      <c r="M4324" t="s">
        <v>90</v>
      </c>
    </row>
    <row r="4325" spans="1:13" x14ac:dyDescent="0.2">
      <c r="A4325">
        <v>815997</v>
      </c>
      <c r="B4325" s="1">
        <v>45467</v>
      </c>
      <c r="C4325">
        <v>84709</v>
      </c>
      <c r="D4325" t="s">
        <v>40</v>
      </c>
      <c r="E4325" t="s">
        <v>41</v>
      </c>
      <c r="F4325" t="s">
        <v>42</v>
      </c>
      <c r="G4325">
        <v>1</v>
      </c>
      <c r="H4325">
        <v>5.39</v>
      </c>
      <c r="I4325">
        <v>0.1</v>
      </c>
      <c r="J4325">
        <v>4.8499999999999996</v>
      </c>
      <c r="K4325" t="s">
        <v>16</v>
      </c>
      <c r="L4325" t="s">
        <v>23</v>
      </c>
    </row>
    <row r="4326" spans="1:13" x14ac:dyDescent="0.2">
      <c r="A4326">
        <v>816042</v>
      </c>
      <c r="B4326" s="1">
        <v>45579</v>
      </c>
      <c r="C4326">
        <v>44210</v>
      </c>
      <c r="D4326" t="s">
        <v>13</v>
      </c>
      <c r="E4326" t="s">
        <v>77</v>
      </c>
      <c r="F4326" t="s">
        <v>78</v>
      </c>
      <c r="G4326">
        <v>2</v>
      </c>
      <c r="H4326">
        <v>349.99</v>
      </c>
      <c r="I4326">
        <v>0.3</v>
      </c>
      <c r="J4326">
        <v>489.99</v>
      </c>
      <c r="K4326" t="s">
        <v>95</v>
      </c>
      <c r="L4326" t="s">
        <v>17</v>
      </c>
      <c r="M4326" t="s">
        <v>67</v>
      </c>
    </row>
    <row r="4327" spans="1:13" x14ac:dyDescent="0.2">
      <c r="A4327">
        <v>816178</v>
      </c>
      <c r="B4327" s="1">
        <v>45621</v>
      </c>
      <c r="C4327">
        <v>71943</v>
      </c>
      <c r="D4327" t="s">
        <v>63</v>
      </c>
      <c r="E4327" t="s">
        <v>131</v>
      </c>
      <c r="F4327" t="s">
        <v>132</v>
      </c>
      <c r="G4327">
        <v>1</v>
      </c>
      <c r="H4327">
        <v>3.49</v>
      </c>
      <c r="J4327">
        <v>3.49</v>
      </c>
      <c r="K4327" t="s">
        <v>16</v>
      </c>
      <c r="L4327" t="s">
        <v>37</v>
      </c>
      <c r="M4327" t="s">
        <v>81</v>
      </c>
    </row>
    <row r="4328" spans="1:13" x14ac:dyDescent="0.2">
      <c r="A4328">
        <v>816306</v>
      </c>
      <c r="B4328" s="2">
        <v>45495</v>
      </c>
      <c r="D4328" t="s">
        <v>44</v>
      </c>
      <c r="E4328" t="s">
        <v>162</v>
      </c>
      <c r="F4328" t="s">
        <v>163</v>
      </c>
      <c r="G4328">
        <v>1</v>
      </c>
      <c r="H4328">
        <v>7.99</v>
      </c>
      <c r="J4328">
        <v>7.99</v>
      </c>
      <c r="K4328" t="s">
        <v>16</v>
      </c>
      <c r="L4328" t="s">
        <v>17</v>
      </c>
      <c r="M4328" t="s">
        <v>33</v>
      </c>
    </row>
    <row r="4329" spans="1:13" x14ac:dyDescent="0.2">
      <c r="A4329">
        <v>816454</v>
      </c>
      <c r="B4329" s="1">
        <v>44812</v>
      </c>
      <c r="C4329">
        <v>58428</v>
      </c>
      <c r="D4329" t="s">
        <v>97</v>
      </c>
      <c r="E4329" t="s">
        <v>135</v>
      </c>
      <c r="F4329" t="s">
        <v>136</v>
      </c>
      <c r="G4329">
        <v>1</v>
      </c>
      <c r="H4329">
        <v>8.99</v>
      </c>
      <c r="I4329">
        <v>0.1</v>
      </c>
      <c r="J4329">
        <v>8.09</v>
      </c>
      <c r="K4329" t="s">
        <v>22</v>
      </c>
      <c r="L4329" t="s">
        <v>17</v>
      </c>
      <c r="M4329" t="s">
        <v>47</v>
      </c>
    </row>
    <row r="4330" spans="1:13" x14ac:dyDescent="0.2">
      <c r="A4330">
        <v>816574</v>
      </c>
      <c r="B4330" s="2">
        <v>45367</v>
      </c>
      <c r="C4330">
        <v>12268</v>
      </c>
      <c r="D4330" t="s">
        <v>63</v>
      </c>
      <c r="E4330" t="s">
        <v>64</v>
      </c>
      <c r="F4330" t="s">
        <v>65</v>
      </c>
      <c r="G4330">
        <v>5</v>
      </c>
      <c r="H4330">
        <v>4.99</v>
      </c>
      <c r="J4330">
        <v>24.95</v>
      </c>
      <c r="K4330" t="s">
        <v>95</v>
      </c>
      <c r="L4330" t="s">
        <v>37</v>
      </c>
      <c r="M4330" t="s">
        <v>81</v>
      </c>
    </row>
    <row r="4331" spans="1:13" x14ac:dyDescent="0.2">
      <c r="A4331">
        <v>816584</v>
      </c>
      <c r="B4331" s="1">
        <v>45271</v>
      </c>
      <c r="C4331">
        <v>17169</v>
      </c>
      <c r="D4331" t="s">
        <v>29</v>
      </c>
      <c r="E4331" t="s">
        <v>170</v>
      </c>
      <c r="F4331" t="s">
        <v>171</v>
      </c>
      <c r="G4331">
        <v>5</v>
      </c>
      <c r="H4331">
        <v>14.24</v>
      </c>
      <c r="I4331">
        <v>0.05</v>
      </c>
      <c r="J4331">
        <v>67.64</v>
      </c>
      <c r="K4331" t="s">
        <v>22</v>
      </c>
      <c r="L4331" t="s">
        <v>17</v>
      </c>
      <c r="M4331" t="s">
        <v>102</v>
      </c>
    </row>
    <row r="4332" spans="1:13" x14ac:dyDescent="0.2">
      <c r="A4332">
        <v>816661</v>
      </c>
      <c r="B4332" s="1">
        <v>44787</v>
      </c>
      <c r="C4332">
        <v>61876</v>
      </c>
      <c r="D4332" t="s">
        <v>97</v>
      </c>
      <c r="E4332" t="s">
        <v>181</v>
      </c>
      <c r="F4332" t="s">
        <v>182</v>
      </c>
      <c r="G4332">
        <v>5</v>
      </c>
      <c r="H4332">
        <v>11.99</v>
      </c>
      <c r="I4332">
        <v>0.2</v>
      </c>
      <c r="J4332">
        <v>47.96</v>
      </c>
      <c r="K4332" t="s">
        <v>16</v>
      </c>
      <c r="L4332" t="s">
        <v>17</v>
      </c>
      <c r="M4332" t="s">
        <v>90</v>
      </c>
    </row>
    <row r="4333" spans="1:13" x14ac:dyDescent="0.2">
      <c r="A4333">
        <v>816739</v>
      </c>
      <c r="B4333" s="1">
        <v>44904</v>
      </c>
      <c r="D4333" t="s">
        <v>97</v>
      </c>
      <c r="E4333" t="s">
        <v>165</v>
      </c>
      <c r="F4333" t="s">
        <v>166</v>
      </c>
      <c r="G4333">
        <v>2</v>
      </c>
      <c r="H4333">
        <v>76.489999999999995</v>
      </c>
      <c r="I4333">
        <v>0.15</v>
      </c>
      <c r="J4333">
        <v>130.03</v>
      </c>
      <c r="K4333" t="s">
        <v>16</v>
      </c>
      <c r="L4333" t="s">
        <v>17</v>
      </c>
      <c r="M4333" t="s">
        <v>24</v>
      </c>
    </row>
    <row r="4334" spans="1:13" x14ac:dyDescent="0.2">
      <c r="A4334">
        <v>816881</v>
      </c>
      <c r="B4334" s="2">
        <v>44995</v>
      </c>
      <c r="C4334">
        <v>28577</v>
      </c>
      <c r="D4334" t="s">
        <v>40</v>
      </c>
      <c r="E4334" t="s">
        <v>115</v>
      </c>
      <c r="F4334" t="s">
        <v>116</v>
      </c>
      <c r="G4334">
        <v>5</v>
      </c>
      <c r="H4334">
        <v>12.99</v>
      </c>
      <c r="J4334">
        <v>64.95</v>
      </c>
      <c r="K4334" t="s">
        <v>16</v>
      </c>
      <c r="L4334" t="s">
        <v>17</v>
      </c>
      <c r="M4334" t="s">
        <v>33</v>
      </c>
    </row>
    <row r="4335" spans="1:13" x14ac:dyDescent="0.2">
      <c r="A4335">
        <v>817040</v>
      </c>
      <c r="B4335" s="2">
        <v>45412</v>
      </c>
      <c r="C4335">
        <v>31455</v>
      </c>
      <c r="D4335" t="s">
        <v>97</v>
      </c>
      <c r="E4335" t="s">
        <v>135</v>
      </c>
      <c r="F4335" t="s">
        <v>136</v>
      </c>
      <c r="G4335">
        <v>2</v>
      </c>
      <c r="H4335">
        <v>8.49</v>
      </c>
      <c r="I4335">
        <v>0.15</v>
      </c>
      <c r="J4335">
        <v>14.43</v>
      </c>
      <c r="K4335" t="s">
        <v>22</v>
      </c>
      <c r="L4335" t="s">
        <v>17</v>
      </c>
      <c r="M4335" t="s">
        <v>24</v>
      </c>
    </row>
    <row r="4336" spans="1:13" x14ac:dyDescent="0.2">
      <c r="A4336">
        <v>817274</v>
      </c>
      <c r="B4336" s="1">
        <v>45247</v>
      </c>
      <c r="C4336">
        <v>63514</v>
      </c>
      <c r="D4336" t="s">
        <v>97</v>
      </c>
      <c r="E4336" t="s">
        <v>98</v>
      </c>
      <c r="F4336" t="s">
        <v>99</v>
      </c>
      <c r="G4336">
        <v>5</v>
      </c>
      <c r="H4336">
        <v>25.19</v>
      </c>
      <c r="I4336">
        <v>0.1</v>
      </c>
      <c r="J4336">
        <v>113.36</v>
      </c>
      <c r="K4336" t="s">
        <v>36</v>
      </c>
      <c r="L4336" t="s">
        <v>17</v>
      </c>
      <c r="M4336" t="s">
        <v>54</v>
      </c>
    </row>
    <row r="4337" spans="1:13" x14ac:dyDescent="0.2">
      <c r="A4337">
        <v>817506</v>
      </c>
      <c r="B4337" s="1">
        <v>45485</v>
      </c>
      <c r="C4337">
        <v>52368</v>
      </c>
      <c r="D4337" t="s">
        <v>29</v>
      </c>
      <c r="E4337" t="s">
        <v>170</v>
      </c>
      <c r="F4337" t="s">
        <v>171</v>
      </c>
      <c r="G4337">
        <v>1</v>
      </c>
      <c r="H4337">
        <v>14.24</v>
      </c>
      <c r="I4337">
        <v>0.05</v>
      </c>
      <c r="J4337">
        <v>13.53</v>
      </c>
      <c r="K4337" t="s">
        <v>36</v>
      </c>
      <c r="L4337" t="s">
        <v>17</v>
      </c>
    </row>
    <row r="4338" spans="1:13" x14ac:dyDescent="0.2">
      <c r="A4338">
        <v>818162</v>
      </c>
      <c r="B4338" s="2">
        <v>44746</v>
      </c>
      <c r="C4338">
        <v>82165</v>
      </c>
      <c r="D4338" t="s">
        <v>63</v>
      </c>
      <c r="E4338" t="s">
        <v>68</v>
      </c>
      <c r="F4338" t="s">
        <v>69</v>
      </c>
      <c r="G4338">
        <v>2</v>
      </c>
      <c r="H4338">
        <v>19.989999999999998</v>
      </c>
      <c r="I4338">
        <v>0.2</v>
      </c>
      <c r="J4338">
        <v>31.98</v>
      </c>
      <c r="K4338" t="s">
        <v>36</v>
      </c>
      <c r="L4338" t="s">
        <v>37</v>
      </c>
      <c r="M4338" t="s">
        <v>81</v>
      </c>
    </row>
    <row r="4339" spans="1:13" x14ac:dyDescent="0.2">
      <c r="A4339">
        <v>818319</v>
      </c>
      <c r="B4339" s="1">
        <v>45031</v>
      </c>
      <c r="C4339">
        <v>15207</v>
      </c>
      <c r="D4339" t="s">
        <v>63</v>
      </c>
      <c r="E4339" t="s">
        <v>131</v>
      </c>
      <c r="F4339" t="s">
        <v>132</v>
      </c>
      <c r="G4339">
        <v>1</v>
      </c>
      <c r="H4339">
        <v>3.49</v>
      </c>
      <c r="J4339">
        <v>3.49</v>
      </c>
      <c r="K4339" t="s">
        <v>32</v>
      </c>
      <c r="L4339" t="s">
        <v>37</v>
      </c>
      <c r="M4339" t="s">
        <v>123</v>
      </c>
    </row>
    <row r="4340" spans="1:13" x14ac:dyDescent="0.2">
      <c r="A4340">
        <v>818326</v>
      </c>
      <c r="B4340" s="1">
        <v>45588</v>
      </c>
      <c r="C4340">
        <v>74371</v>
      </c>
      <c r="D4340" t="s">
        <v>48</v>
      </c>
      <c r="E4340" t="s">
        <v>139</v>
      </c>
      <c r="F4340" t="s">
        <v>140</v>
      </c>
      <c r="G4340">
        <v>1</v>
      </c>
      <c r="H4340">
        <v>5.99</v>
      </c>
      <c r="I4340">
        <v>0.25</v>
      </c>
      <c r="J4340">
        <v>4.49</v>
      </c>
      <c r="K4340" t="s">
        <v>95</v>
      </c>
      <c r="L4340" t="s">
        <v>17</v>
      </c>
      <c r="M4340" t="s">
        <v>43</v>
      </c>
    </row>
    <row r="4341" spans="1:13" x14ac:dyDescent="0.2">
      <c r="A4341">
        <v>818537</v>
      </c>
      <c r="B4341" s="1">
        <v>45474</v>
      </c>
      <c r="C4341">
        <v>37351</v>
      </c>
      <c r="D4341" t="s">
        <v>97</v>
      </c>
      <c r="E4341" t="s">
        <v>135</v>
      </c>
      <c r="F4341" t="s">
        <v>136</v>
      </c>
      <c r="G4341">
        <v>5</v>
      </c>
      <c r="H4341">
        <v>9.99</v>
      </c>
      <c r="J4341">
        <v>49.95</v>
      </c>
      <c r="K4341" t="s">
        <v>36</v>
      </c>
      <c r="L4341" t="s">
        <v>17</v>
      </c>
      <c r="M4341" t="s">
        <v>123</v>
      </c>
    </row>
    <row r="4342" spans="1:13" x14ac:dyDescent="0.2">
      <c r="A4342">
        <v>818874</v>
      </c>
      <c r="B4342" s="1">
        <v>44801</v>
      </c>
      <c r="C4342">
        <v>49175</v>
      </c>
      <c r="D4342" t="s">
        <v>85</v>
      </c>
      <c r="E4342" t="s">
        <v>86</v>
      </c>
      <c r="F4342" t="s">
        <v>87</v>
      </c>
      <c r="G4342">
        <v>1</v>
      </c>
      <c r="H4342">
        <v>12.99</v>
      </c>
      <c r="J4342">
        <v>12.99</v>
      </c>
      <c r="K4342" t="s">
        <v>36</v>
      </c>
      <c r="L4342" t="s">
        <v>17</v>
      </c>
      <c r="M4342" t="s">
        <v>161</v>
      </c>
    </row>
    <row r="4343" spans="1:13" x14ac:dyDescent="0.2">
      <c r="A4343">
        <v>818894</v>
      </c>
      <c r="B4343" s="2">
        <v>45608</v>
      </c>
      <c r="C4343">
        <v>40122</v>
      </c>
      <c r="D4343" t="s">
        <v>44</v>
      </c>
      <c r="E4343" t="s">
        <v>107</v>
      </c>
      <c r="F4343" t="s">
        <v>108</v>
      </c>
      <c r="G4343">
        <v>1</v>
      </c>
      <c r="H4343">
        <v>3.14</v>
      </c>
      <c r="I4343">
        <v>0.1</v>
      </c>
      <c r="J4343">
        <v>2.83</v>
      </c>
      <c r="K4343" t="s">
        <v>36</v>
      </c>
      <c r="L4343" t="s">
        <v>17</v>
      </c>
      <c r="M4343" t="s">
        <v>76</v>
      </c>
    </row>
    <row r="4344" spans="1:13" x14ac:dyDescent="0.2">
      <c r="A4344">
        <v>818971</v>
      </c>
      <c r="B4344" s="1">
        <v>45503</v>
      </c>
      <c r="C4344">
        <v>55486</v>
      </c>
      <c r="D4344" t="s">
        <v>40</v>
      </c>
      <c r="E4344" t="s">
        <v>20</v>
      </c>
      <c r="F4344" t="s">
        <v>21</v>
      </c>
      <c r="G4344">
        <v>3</v>
      </c>
      <c r="H4344">
        <v>9.99</v>
      </c>
      <c r="J4344">
        <v>29.97</v>
      </c>
      <c r="K4344" t="s">
        <v>16</v>
      </c>
      <c r="L4344" t="s">
        <v>37</v>
      </c>
      <c r="M4344" t="s">
        <v>33</v>
      </c>
    </row>
    <row r="4345" spans="1:13" x14ac:dyDescent="0.2">
      <c r="A4345">
        <v>819183</v>
      </c>
      <c r="B4345" s="1">
        <v>44713</v>
      </c>
      <c r="C4345">
        <v>93256</v>
      </c>
      <c r="D4345" t="s">
        <v>48</v>
      </c>
      <c r="E4345" t="s">
        <v>143</v>
      </c>
      <c r="F4345" t="s">
        <v>144</v>
      </c>
      <c r="G4345">
        <v>3</v>
      </c>
      <c r="H4345">
        <v>10.49</v>
      </c>
      <c r="I4345">
        <v>0.3</v>
      </c>
      <c r="J4345">
        <v>22.03</v>
      </c>
      <c r="K4345" t="s">
        <v>16</v>
      </c>
      <c r="L4345" t="s">
        <v>37</v>
      </c>
      <c r="M4345" t="s">
        <v>103</v>
      </c>
    </row>
    <row r="4346" spans="1:13" x14ac:dyDescent="0.2">
      <c r="A4346">
        <v>819194</v>
      </c>
      <c r="B4346" s="1">
        <v>45382</v>
      </c>
      <c r="C4346">
        <v>99906</v>
      </c>
      <c r="D4346" t="s">
        <v>63</v>
      </c>
      <c r="E4346" t="s">
        <v>111</v>
      </c>
      <c r="F4346" t="s">
        <v>112</v>
      </c>
      <c r="G4346">
        <v>5</v>
      </c>
      <c r="H4346">
        <v>11.99</v>
      </c>
      <c r="I4346">
        <v>0.2</v>
      </c>
      <c r="J4346">
        <v>47.96</v>
      </c>
      <c r="K4346" t="s">
        <v>16</v>
      </c>
      <c r="L4346" t="s">
        <v>17</v>
      </c>
      <c r="M4346" t="s">
        <v>67</v>
      </c>
    </row>
    <row r="4347" spans="1:13" x14ac:dyDescent="0.2">
      <c r="A4347">
        <v>819335</v>
      </c>
      <c r="B4347" s="2">
        <v>44930</v>
      </c>
      <c r="C4347">
        <v>40907</v>
      </c>
      <c r="D4347" t="s">
        <v>48</v>
      </c>
      <c r="E4347" t="s">
        <v>49</v>
      </c>
      <c r="F4347" t="s">
        <v>50</v>
      </c>
      <c r="G4347">
        <v>5</v>
      </c>
      <c r="H4347">
        <v>8.99</v>
      </c>
      <c r="J4347">
        <v>44.95</v>
      </c>
      <c r="K4347" t="s">
        <v>16</v>
      </c>
      <c r="L4347" t="s">
        <v>17</v>
      </c>
      <c r="M4347" t="s">
        <v>24</v>
      </c>
    </row>
    <row r="4348" spans="1:13" x14ac:dyDescent="0.2">
      <c r="A4348">
        <v>819454</v>
      </c>
      <c r="B4348" s="2">
        <v>45580</v>
      </c>
      <c r="C4348">
        <v>37763</v>
      </c>
      <c r="D4348" t="s">
        <v>40</v>
      </c>
      <c r="E4348" t="s">
        <v>197</v>
      </c>
      <c r="F4348" t="s">
        <v>198</v>
      </c>
      <c r="G4348">
        <v>1</v>
      </c>
      <c r="H4348">
        <v>10.49</v>
      </c>
      <c r="I4348">
        <v>0.3</v>
      </c>
      <c r="J4348">
        <v>7.34</v>
      </c>
      <c r="K4348" t="s">
        <v>36</v>
      </c>
      <c r="L4348" t="s">
        <v>17</v>
      </c>
      <c r="M4348" t="s">
        <v>123</v>
      </c>
    </row>
    <row r="4349" spans="1:13" x14ac:dyDescent="0.2">
      <c r="A4349">
        <v>819487</v>
      </c>
      <c r="B4349" s="1">
        <v>45500</v>
      </c>
      <c r="C4349">
        <v>43672</v>
      </c>
      <c r="D4349" t="s">
        <v>97</v>
      </c>
      <c r="E4349" t="s">
        <v>165</v>
      </c>
      <c r="F4349" t="s">
        <v>166</v>
      </c>
      <c r="G4349">
        <v>4</v>
      </c>
      <c r="H4349">
        <v>89.99</v>
      </c>
      <c r="J4349">
        <v>359.96</v>
      </c>
      <c r="K4349" t="s">
        <v>16</v>
      </c>
      <c r="L4349" t="s">
        <v>37</v>
      </c>
      <c r="M4349" t="s">
        <v>18</v>
      </c>
    </row>
    <row r="4350" spans="1:13" x14ac:dyDescent="0.2">
      <c r="A4350">
        <v>819678</v>
      </c>
      <c r="B4350" s="1">
        <v>44628</v>
      </c>
      <c r="C4350">
        <v>77922</v>
      </c>
      <c r="D4350" t="s">
        <v>48</v>
      </c>
      <c r="E4350" t="s">
        <v>118</v>
      </c>
      <c r="F4350" t="s">
        <v>119</v>
      </c>
      <c r="G4350">
        <v>1</v>
      </c>
      <c r="H4350">
        <v>3.49</v>
      </c>
      <c r="I4350">
        <v>0.3</v>
      </c>
      <c r="J4350">
        <v>2.44</v>
      </c>
      <c r="K4350" t="s">
        <v>16</v>
      </c>
      <c r="L4350" t="s">
        <v>17</v>
      </c>
      <c r="M4350" t="s">
        <v>18</v>
      </c>
    </row>
    <row r="4351" spans="1:13" x14ac:dyDescent="0.2">
      <c r="A4351">
        <v>820141</v>
      </c>
      <c r="B4351" s="1">
        <v>45627</v>
      </c>
      <c r="C4351">
        <v>57087</v>
      </c>
      <c r="D4351" t="s">
        <v>29</v>
      </c>
      <c r="E4351" t="s">
        <v>38</v>
      </c>
      <c r="F4351" t="s">
        <v>39</v>
      </c>
      <c r="G4351">
        <v>1</v>
      </c>
      <c r="H4351">
        <v>20.99</v>
      </c>
      <c r="I4351">
        <v>0.3</v>
      </c>
      <c r="J4351">
        <v>14.69</v>
      </c>
      <c r="K4351" t="s">
        <v>95</v>
      </c>
      <c r="L4351" t="s">
        <v>17</v>
      </c>
      <c r="M4351" t="s">
        <v>62</v>
      </c>
    </row>
    <row r="4352" spans="1:13" x14ac:dyDescent="0.2">
      <c r="A4352">
        <v>820208</v>
      </c>
      <c r="B4352" s="2">
        <v>45305</v>
      </c>
      <c r="C4352">
        <v>80205</v>
      </c>
      <c r="D4352" t="s">
        <v>25</v>
      </c>
      <c r="E4352" t="s">
        <v>51</v>
      </c>
      <c r="F4352" t="s">
        <v>52</v>
      </c>
      <c r="G4352">
        <v>3</v>
      </c>
      <c r="H4352">
        <v>27.99</v>
      </c>
      <c r="J4352">
        <v>83.97</v>
      </c>
      <c r="K4352" t="s">
        <v>16</v>
      </c>
      <c r="L4352" t="s">
        <v>37</v>
      </c>
      <c r="M4352" t="s">
        <v>33</v>
      </c>
    </row>
    <row r="4353" spans="1:13" x14ac:dyDescent="0.2">
      <c r="A4353">
        <v>820480</v>
      </c>
      <c r="B4353" s="1">
        <v>45350</v>
      </c>
      <c r="C4353">
        <v>95790</v>
      </c>
      <c r="D4353" t="s">
        <v>97</v>
      </c>
      <c r="E4353" t="s">
        <v>98</v>
      </c>
      <c r="F4353" t="s">
        <v>99</v>
      </c>
      <c r="G4353">
        <v>1</v>
      </c>
      <c r="H4353">
        <v>19.59</v>
      </c>
      <c r="I4353">
        <v>0.3</v>
      </c>
      <c r="J4353">
        <v>13.71</v>
      </c>
      <c r="K4353" t="s">
        <v>36</v>
      </c>
      <c r="L4353" t="s">
        <v>17</v>
      </c>
      <c r="M4353" t="s">
        <v>43</v>
      </c>
    </row>
    <row r="4354" spans="1:13" x14ac:dyDescent="0.2">
      <c r="A4354">
        <v>820579</v>
      </c>
      <c r="B4354" s="1">
        <v>45233</v>
      </c>
      <c r="C4354">
        <v>71700</v>
      </c>
      <c r="D4354" t="s">
        <v>25</v>
      </c>
      <c r="E4354" t="s">
        <v>26</v>
      </c>
      <c r="F4354" t="s">
        <v>27</v>
      </c>
      <c r="G4354">
        <v>2</v>
      </c>
      <c r="H4354">
        <v>34.99</v>
      </c>
      <c r="J4354">
        <v>69.98</v>
      </c>
      <c r="K4354" t="s">
        <v>16</v>
      </c>
      <c r="L4354" t="s">
        <v>17</v>
      </c>
      <c r="M4354" t="s">
        <v>33</v>
      </c>
    </row>
    <row r="4355" spans="1:13" x14ac:dyDescent="0.2">
      <c r="A4355">
        <v>820801</v>
      </c>
      <c r="B4355" s="1">
        <v>45153</v>
      </c>
      <c r="C4355">
        <v>12130</v>
      </c>
      <c r="D4355" t="s">
        <v>29</v>
      </c>
      <c r="E4355" t="s">
        <v>38</v>
      </c>
      <c r="F4355" t="s">
        <v>39</v>
      </c>
      <c r="G4355">
        <v>1</v>
      </c>
      <c r="H4355">
        <v>28.49</v>
      </c>
      <c r="I4355">
        <v>0.05</v>
      </c>
      <c r="J4355">
        <v>27.07</v>
      </c>
      <c r="K4355" t="s">
        <v>16</v>
      </c>
      <c r="L4355" t="s">
        <v>37</v>
      </c>
      <c r="M4355" t="s">
        <v>161</v>
      </c>
    </row>
    <row r="4356" spans="1:13" x14ac:dyDescent="0.2">
      <c r="A4356">
        <v>820861</v>
      </c>
      <c r="B4356" s="1">
        <v>45541</v>
      </c>
      <c r="C4356">
        <v>21062</v>
      </c>
      <c r="D4356" t="s">
        <v>48</v>
      </c>
      <c r="E4356" t="s">
        <v>49</v>
      </c>
      <c r="F4356" t="s">
        <v>50</v>
      </c>
      <c r="G4356">
        <v>1</v>
      </c>
      <c r="H4356">
        <v>8.99</v>
      </c>
      <c r="J4356">
        <v>8.99</v>
      </c>
      <c r="K4356" t="s">
        <v>16</v>
      </c>
      <c r="L4356" t="s">
        <v>17</v>
      </c>
      <c r="M4356" t="s">
        <v>76</v>
      </c>
    </row>
    <row r="4357" spans="1:13" x14ac:dyDescent="0.2">
      <c r="A4357">
        <v>821161</v>
      </c>
      <c r="B4357" s="2">
        <v>45367</v>
      </c>
      <c r="C4357">
        <v>10767</v>
      </c>
      <c r="D4357" t="s">
        <v>48</v>
      </c>
      <c r="E4357" t="s">
        <v>139</v>
      </c>
      <c r="F4357" t="s">
        <v>140</v>
      </c>
      <c r="G4357">
        <v>1</v>
      </c>
      <c r="H4357">
        <v>7.59</v>
      </c>
      <c r="I4357">
        <v>0.05</v>
      </c>
      <c r="J4357">
        <v>7.21</v>
      </c>
      <c r="K4357" t="s">
        <v>95</v>
      </c>
      <c r="L4357" t="s">
        <v>17</v>
      </c>
      <c r="M4357" t="s">
        <v>33</v>
      </c>
    </row>
    <row r="4358" spans="1:13" x14ac:dyDescent="0.2">
      <c r="A4358">
        <v>821313</v>
      </c>
      <c r="B4358" s="1">
        <v>45250</v>
      </c>
      <c r="C4358">
        <v>43808</v>
      </c>
      <c r="D4358" t="s">
        <v>44</v>
      </c>
      <c r="E4358" t="s">
        <v>133</v>
      </c>
      <c r="F4358" t="s">
        <v>134</v>
      </c>
      <c r="G4358">
        <v>3</v>
      </c>
      <c r="H4358">
        <v>3.79</v>
      </c>
      <c r="J4358">
        <v>11.37</v>
      </c>
      <c r="K4358" t="s">
        <v>36</v>
      </c>
      <c r="L4358" t="s">
        <v>17</v>
      </c>
      <c r="M4358" t="s">
        <v>117</v>
      </c>
    </row>
    <row r="4359" spans="1:13" x14ac:dyDescent="0.2">
      <c r="A4359">
        <v>821383</v>
      </c>
      <c r="B4359" s="1">
        <v>45217</v>
      </c>
      <c r="C4359">
        <v>19630</v>
      </c>
      <c r="D4359" t="s">
        <v>13</v>
      </c>
      <c r="E4359" t="s">
        <v>79</v>
      </c>
      <c r="F4359" t="s">
        <v>80</v>
      </c>
      <c r="G4359">
        <v>5</v>
      </c>
      <c r="H4359">
        <v>62.99</v>
      </c>
      <c r="I4359">
        <v>0.3</v>
      </c>
      <c r="J4359">
        <v>220.46</v>
      </c>
      <c r="K4359" t="s">
        <v>36</v>
      </c>
      <c r="L4359" t="s">
        <v>23</v>
      </c>
      <c r="M4359" t="s">
        <v>18</v>
      </c>
    </row>
    <row r="4360" spans="1:13" x14ac:dyDescent="0.2">
      <c r="A4360">
        <v>821497</v>
      </c>
      <c r="B4360" s="1">
        <v>45577</v>
      </c>
      <c r="C4360">
        <v>30992</v>
      </c>
      <c r="D4360" t="s">
        <v>25</v>
      </c>
      <c r="E4360" t="s">
        <v>51</v>
      </c>
      <c r="F4360" t="s">
        <v>52</v>
      </c>
      <c r="G4360">
        <v>2</v>
      </c>
      <c r="H4360">
        <v>19.59</v>
      </c>
      <c r="I4360">
        <v>0.3</v>
      </c>
      <c r="J4360">
        <v>27.43</v>
      </c>
      <c r="K4360" t="s">
        <v>32</v>
      </c>
      <c r="L4360" t="s">
        <v>23</v>
      </c>
      <c r="M4360" t="s">
        <v>57</v>
      </c>
    </row>
    <row r="4361" spans="1:13" x14ac:dyDescent="0.2">
      <c r="A4361">
        <v>821518</v>
      </c>
      <c r="B4361" s="1">
        <v>45330</v>
      </c>
      <c r="C4361">
        <v>62288</v>
      </c>
      <c r="D4361" t="s">
        <v>85</v>
      </c>
      <c r="E4361" t="s">
        <v>129</v>
      </c>
      <c r="F4361" t="s">
        <v>130</v>
      </c>
      <c r="G4361">
        <v>1</v>
      </c>
      <c r="H4361">
        <v>8.99</v>
      </c>
      <c r="J4361">
        <v>8.99</v>
      </c>
      <c r="K4361" t="s">
        <v>36</v>
      </c>
      <c r="L4361" t="s">
        <v>17</v>
      </c>
      <c r="M4361" t="s">
        <v>117</v>
      </c>
    </row>
    <row r="4362" spans="1:13" x14ac:dyDescent="0.2">
      <c r="A4362">
        <v>821563</v>
      </c>
      <c r="B4362" s="1">
        <v>44917</v>
      </c>
      <c r="C4362">
        <v>37317</v>
      </c>
      <c r="D4362" t="s">
        <v>199</v>
      </c>
      <c r="E4362" t="s">
        <v>79</v>
      </c>
      <c r="F4362" t="s">
        <v>80</v>
      </c>
      <c r="G4362">
        <v>1</v>
      </c>
      <c r="H4362">
        <v>89.99</v>
      </c>
      <c r="J4362">
        <v>89.99</v>
      </c>
      <c r="K4362" t="s">
        <v>36</v>
      </c>
      <c r="L4362" t="s">
        <v>17</v>
      </c>
      <c r="M4362" t="s">
        <v>33</v>
      </c>
    </row>
    <row r="4363" spans="1:13" x14ac:dyDescent="0.2">
      <c r="A4363">
        <v>821608</v>
      </c>
      <c r="B4363" s="1">
        <v>45153</v>
      </c>
      <c r="C4363">
        <v>98056</v>
      </c>
      <c r="D4363" t="s">
        <v>63</v>
      </c>
      <c r="E4363" t="s">
        <v>125</v>
      </c>
      <c r="F4363" t="s">
        <v>126</v>
      </c>
      <c r="G4363">
        <v>2</v>
      </c>
      <c r="H4363">
        <v>25.49</v>
      </c>
      <c r="I4363">
        <v>0.15</v>
      </c>
      <c r="J4363">
        <v>43.33</v>
      </c>
      <c r="K4363" t="s">
        <v>16</v>
      </c>
      <c r="L4363" t="s">
        <v>17</v>
      </c>
      <c r="M4363" t="s">
        <v>120</v>
      </c>
    </row>
    <row r="4364" spans="1:13" x14ac:dyDescent="0.2">
      <c r="A4364">
        <v>821722</v>
      </c>
      <c r="B4364" s="2">
        <v>45466</v>
      </c>
      <c r="C4364">
        <v>79471</v>
      </c>
      <c r="D4364" t="s">
        <v>29</v>
      </c>
      <c r="E4364" t="s">
        <v>72</v>
      </c>
      <c r="F4364" t="s">
        <v>73</v>
      </c>
      <c r="G4364">
        <v>4</v>
      </c>
      <c r="H4364">
        <v>33.99</v>
      </c>
      <c r="J4364">
        <v>135.96</v>
      </c>
      <c r="K4364" t="s">
        <v>16</v>
      </c>
      <c r="L4364" t="s">
        <v>37</v>
      </c>
      <c r="M4364" t="s">
        <v>102</v>
      </c>
    </row>
    <row r="4365" spans="1:13" x14ac:dyDescent="0.2">
      <c r="A4365">
        <v>822052</v>
      </c>
      <c r="B4365" s="1">
        <v>45167</v>
      </c>
      <c r="C4365">
        <v>45865</v>
      </c>
      <c r="D4365" t="s">
        <v>63</v>
      </c>
      <c r="E4365" t="s">
        <v>111</v>
      </c>
      <c r="F4365" t="s">
        <v>112</v>
      </c>
      <c r="G4365">
        <v>4</v>
      </c>
      <c r="H4365">
        <v>13.49</v>
      </c>
      <c r="I4365">
        <v>0.1</v>
      </c>
      <c r="J4365">
        <v>48.56</v>
      </c>
      <c r="K4365" t="s">
        <v>53</v>
      </c>
      <c r="L4365" t="s">
        <v>37</v>
      </c>
      <c r="M4365" t="s">
        <v>54</v>
      </c>
    </row>
    <row r="4366" spans="1:13" x14ac:dyDescent="0.2">
      <c r="A4366">
        <v>822412</v>
      </c>
      <c r="B4366" s="1">
        <v>45284</v>
      </c>
      <c r="D4366" t="s">
        <v>85</v>
      </c>
      <c r="E4366" t="s">
        <v>86</v>
      </c>
      <c r="F4366" t="s">
        <v>87</v>
      </c>
      <c r="G4366">
        <v>1</v>
      </c>
      <c r="H4366">
        <v>9.09</v>
      </c>
      <c r="I4366">
        <v>0.3</v>
      </c>
      <c r="J4366">
        <v>6.36</v>
      </c>
      <c r="K4366" t="s">
        <v>22</v>
      </c>
      <c r="L4366" t="s">
        <v>17</v>
      </c>
      <c r="M4366" t="s">
        <v>123</v>
      </c>
    </row>
    <row r="4367" spans="1:13" x14ac:dyDescent="0.2">
      <c r="A4367">
        <v>822931</v>
      </c>
      <c r="B4367" s="1">
        <v>45217</v>
      </c>
      <c r="C4367">
        <v>80894</v>
      </c>
      <c r="D4367" t="s">
        <v>29</v>
      </c>
      <c r="E4367" t="s">
        <v>175</v>
      </c>
      <c r="F4367" t="s">
        <v>176</v>
      </c>
      <c r="G4367">
        <v>2</v>
      </c>
      <c r="H4367">
        <v>9.59</v>
      </c>
      <c r="I4367">
        <v>0.2</v>
      </c>
      <c r="J4367">
        <v>15.34</v>
      </c>
      <c r="K4367" t="s">
        <v>36</v>
      </c>
      <c r="L4367" t="s">
        <v>17</v>
      </c>
      <c r="M4367" t="s">
        <v>90</v>
      </c>
    </row>
    <row r="4368" spans="1:13" x14ac:dyDescent="0.2">
      <c r="A4368">
        <v>822935</v>
      </c>
      <c r="B4368" s="2">
        <v>44866</v>
      </c>
      <c r="C4368">
        <v>74912</v>
      </c>
      <c r="D4368" t="s">
        <v>97</v>
      </c>
      <c r="E4368" t="s">
        <v>98</v>
      </c>
      <c r="F4368" t="s">
        <v>99</v>
      </c>
      <c r="G4368">
        <v>1</v>
      </c>
      <c r="H4368">
        <v>26.59</v>
      </c>
      <c r="I4368">
        <v>0.05</v>
      </c>
      <c r="J4368">
        <v>25.26</v>
      </c>
      <c r="K4368" t="s">
        <v>16</v>
      </c>
      <c r="L4368" t="s">
        <v>17</v>
      </c>
      <c r="M4368" t="s">
        <v>161</v>
      </c>
    </row>
    <row r="4369" spans="1:13" x14ac:dyDescent="0.2">
      <c r="A4369">
        <v>822963</v>
      </c>
      <c r="B4369" s="1">
        <v>45238</v>
      </c>
      <c r="C4369">
        <v>31191</v>
      </c>
      <c r="D4369" t="s">
        <v>192</v>
      </c>
      <c r="E4369" t="s">
        <v>141</v>
      </c>
      <c r="F4369" t="s">
        <v>142</v>
      </c>
      <c r="G4369">
        <v>2</v>
      </c>
      <c r="H4369">
        <v>19.54</v>
      </c>
      <c r="I4369">
        <v>0.15</v>
      </c>
      <c r="J4369">
        <v>33.22</v>
      </c>
      <c r="K4369" t="s">
        <v>32</v>
      </c>
      <c r="L4369" t="s">
        <v>17</v>
      </c>
      <c r="M4369" t="s">
        <v>102</v>
      </c>
    </row>
    <row r="4370" spans="1:13" x14ac:dyDescent="0.2">
      <c r="A4370">
        <v>823138</v>
      </c>
      <c r="B4370" s="2">
        <v>45323</v>
      </c>
      <c r="C4370">
        <v>81972</v>
      </c>
      <c r="D4370" t="s">
        <v>82</v>
      </c>
      <c r="E4370" t="s">
        <v>147</v>
      </c>
      <c r="F4370" t="s">
        <v>148</v>
      </c>
      <c r="G4370">
        <v>4</v>
      </c>
      <c r="H4370">
        <v>10.39</v>
      </c>
      <c r="I4370">
        <v>0.2</v>
      </c>
      <c r="J4370">
        <v>33.25</v>
      </c>
      <c r="K4370" t="s">
        <v>16</v>
      </c>
      <c r="L4370" t="s">
        <v>17</v>
      </c>
      <c r="M4370" t="s">
        <v>67</v>
      </c>
    </row>
    <row r="4371" spans="1:13" x14ac:dyDescent="0.2">
      <c r="A4371">
        <v>823180</v>
      </c>
      <c r="B4371" s="1">
        <v>45021</v>
      </c>
      <c r="C4371">
        <v>58099</v>
      </c>
      <c r="D4371" t="s">
        <v>29</v>
      </c>
      <c r="E4371" t="s">
        <v>88</v>
      </c>
      <c r="F4371" t="s">
        <v>89</v>
      </c>
      <c r="G4371">
        <v>5</v>
      </c>
      <c r="H4371">
        <v>42.49</v>
      </c>
      <c r="I4371">
        <v>0.15</v>
      </c>
      <c r="J4371">
        <v>180.58</v>
      </c>
      <c r="K4371" t="s">
        <v>22</v>
      </c>
      <c r="L4371" t="s">
        <v>37</v>
      </c>
      <c r="M4371" t="s">
        <v>90</v>
      </c>
    </row>
    <row r="4372" spans="1:13" x14ac:dyDescent="0.2">
      <c r="A4372">
        <v>823318</v>
      </c>
      <c r="B4372" s="1">
        <v>44854</v>
      </c>
      <c r="C4372">
        <v>53819</v>
      </c>
      <c r="D4372" t="s">
        <v>40</v>
      </c>
      <c r="E4372" t="s">
        <v>58</v>
      </c>
      <c r="F4372" t="s">
        <v>59</v>
      </c>
      <c r="G4372">
        <v>1</v>
      </c>
      <c r="H4372">
        <v>3.19</v>
      </c>
      <c r="I4372">
        <v>0.2</v>
      </c>
      <c r="J4372">
        <v>2.5499999999999998</v>
      </c>
      <c r="K4372" t="s">
        <v>22</v>
      </c>
      <c r="L4372" t="s">
        <v>17</v>
      </c>
      <c r="M4372" t="s">
        <v>24</v>
      </c>
    </row>
    <row r="4373" spans="1:13" x14ac:dyDescent="0.2">
      <c r="A4373">
        <v>823386</v>
      </c>
      <c r="B4373" s="2">
        <v>45461</v>
      </c>
      <c r="C4373">
        <v>62286</v>
      </c>
      <c r="D4373" t="s">
        <v>40</v>
      </c>
      <c r="E4373" t="s">
        <v>197</v>
      </c>
      <c r="F4373" t="s">
        <v>198</v>
      </c>
      <c r="G4373">
        <v>4</v>
      </c>
      <c r="H4373">
        <v>14.24</v>
      </c>
      <c r="I4373">
        <v>0.05</v>
      </c>
      <c r="J4373">
        <v>54.11</v>
      </c>
      <c r="K4373" t="s">
        <v>16</v>
      </c>
      <c r="L4373" t="s">
        <v>37</v>
      </c>
      <c r="M4373" t="s">
        <v>76</v>
      </c>
    </row>
    <row r="4374" spans="1:13" x14ac:dyDescent="0.2">
      <c r="A4374">
        <v>823732</v>
      </c>
      <c r="B4374" s="2">
        <v>44878</v>
      </c>
      <c r="C4374">
        <v>40815</v>
      </c>
      <c r="D4374" t="s">
        <v>85</v>
      </c>
      <c r="E4374" t="s">
        <v>153</v>
      </c>
      <c r="F4374" t="s">
        <v>154</v>
      </c>
      <c r="G4374">
        <v>2</v>
      </c>
      <c r="H4374">
        <v>29.99</v>
      </c>
      <c r="J4374">
        <v>59.98</v>
      </c>
      <c r="K4374" t="s">
        <v>16</v>
      </c>
      <c r="L4374" t="s">
        <v>37</v>
      </c>
      <c r="M4374" t="s">
        <v>90</v>
      </c>
    </row>
    <row r="4375" spans="1:13" x14ac:dyDescent="0.2">
      <c r="A4375">
        <v>823892</v>
      </c>
      <c r="B4375" s="1">
        <v>44967</v>
      </c>
      <c r="C4375">
        <v>29073</v>
      </c>
      <c r="D4375" t="s">
        <v>85</v>
      </c>
      <c r="E4375" t="s">
        <v>129</v>
      </c>
      <c r="F4375" t="s">
        <v>130</v>
      </c>
      <c r="G4375">
        <v>1</v>
      </c>
      <c r="H4375">
        <v>8.99</v>
      </c>
      <c r="J4375">
        <v>8.99</v>
      </c>
      <c r="K4375" t="s">
        <v>16</v>
      </c>
      <c r="L4375" t="s">
        <v>37</v>
      </c>
      <c r="M4375" t="s">
        <v>76</v>
      </c>
    </row>
    <row r="4376" spans="1:13" x14ac:dyDescent="0.2">
      <c r="A4376">
        <v>824080</v>
      </c>
      <c r="B4376" s="1">
        <v>45507</v>
      </c>
      <c r="C4376">
        <v>34190</v>
      </c>
      <c r="D4376" t="s">
        <v>44</v>
      </c>
      <c r="E4376" t="s">
        <v>172</v>
      </c>
      <c r="F4376" t="s">
        <v>173</v>
      </c>
      <c r="G4376">
        <v>4</v>
      </c>
      <c r="H4376">
        <v>4.49</v>
      </c>
      <c r="J4376">
        <v>17.96</v>
      </c>
      <c r="K4376" t="s">
        <v>16</v>
      </c>
      <c r="L4376" t="s">
        <v>17</v>
      </c>
      <c r="M4376" t="s">
        <v>81</v>
      </c>
    </row>
    <row r="4377" spans="1:13" x14ac:dyDescent="0.2">
      <c r="A4377">
        <v>824549</v>
      </c>
      <c r="B4377" s="1">
        <v>44770</v>
      </c>
      <c r="C4377">
        <v>91565</v>
      </c>
      <c r="D4377" t="s">
        <v>63</v>
      </c>
      <c r="E4377" t="s">
        <v>111</v>
      </c>
      <c r="F4377" t="s">
        <v>112</v>
      </c>
      <c r="G4377">
        <v>3</v>
      </c>
      <c r="H4377">
        <v>11.24</v>
      </c>
      <c r="I4377">
        <v>0.25</v>
      </c>
      <c r="J4377">
        <v>25.29</v>
      </c>
      <c r="K4377" t="s">
        <v>36</v>
      </c>
      <c r="L4377" t="s">
        <v>37</v>
      </c>
      <c r="M4377" t="s">
        <v>24</v>
      </c>
    </row>
    <row r="4378" spans="1:13" x14ac:dyDescent="0.2">
      <c r="A4378">
        <v>824619</v>
      </c>
      <c r="B4378" s="1">
        <v>44597</v>
      </c>
      <c r="C4378">
        <v>88335</v>
      </c>
      <c r="D4378" t="s">
        <v>97</v>
      </c>
      <c r="E4378" t="s">
        <v>121</v>
      </c>
      <c r="F4378" t="s">
        <v>122</v>
      </c>
      <c r="G4378">
        <v>1</v>
      </c>
      <c r="H4378">
        <v>9.74</v>
      </c>
      <c r="I4378">
        <v>0.25</v>
      </c>
      <c r="J4378">
        <v>7.3</v>
      </c>
      <c r="K4378" t="s">
        <v>53</v>
      </c>
      <c r="L4378" t="s">
        <v>37</v>
      </c>
      <c r="M4378" t="s">
        <v>54</v>
      </c>
    </row>
    <row r="4379" spans="1:13" x14ac:dyDescent="0.2">
      <c r="A4379">
        <v>824632</v>
      </c>
      <c r="B4379" s="1">
        <v>44832</v>
      </c>
      <c r="C4379">
        <v>95847</v>
      </c>
      <c r="D4379" t="s">
        <v>44</v>
      </c>
      <c r="E4379" t="s">
        <v>45</v>
      </c>
      <c r="F4379" t="s">
        <v>46</v>
      </c>
      <c r="G4379">
        <v>1</v>
      </c>
      <c r="H4379">
        <v>1.79</v>
      </c>
      <c r="J4379">
        <v>1.79</v>
      </c>
      <c r="K4379" t="s">
        <v>36</v>
      </c>
      <c r="L4379" t="s">
        <v>37</v>
      </c>
    </row>
    <row r="4380" spans="1:13" x14ac:dyDescent="0.2">
      <c r="A4380">
        <v>824893</v>
      </c>
      <c r="B4380" s="1">
        <v>45619</v>
      </c>
      <c r="C4380">
        <v>11423</v>
      </c>
      <c r="D4380" t="s">
        <v>40</v>
      </c>
      <c r="E4380" t="s">
        <v>58</v>
      </c>
      <c r="F4380" t="s">
        <v>59</v>
      </c>
      <c r="G4380">
        <v>4</v>
      </c>
      <c r="H4380">
        <v>3.99</v>
      </c>
      <c r="J4380">
        <v>15.96</v>
      </c>
      <c r="K4380" t="s">
        <v>36</v>
      </c>
      <c r="L4380" t="s">
        <v>37</v>
      </c>
      <c r="M4380" t="s">
        <v>90</v>
      </c>
    </row>
    <row r="4381" spans="1:13" x14ac:dyDescent="0.2">
      <c r="A4381">
        <v>824904</v>
      </c>
      <c r="B4381" s="2">
        <v>45233</v>
      </c>
      <c r="C4381">
        <v>86619</v>
      </c>
      <c r="D4381" t="s">
        <v>13</v>
      </c>
      <c r="E4381" t="s">
        <v>79</v>
      </c>
      <c r="F4381" t="s">
        <v>80</v>
      </c>
      <c r="G4381">
        <v>3</v>
      </c>
      <c r="H4381">
        <v>89.99</v>
      </c>
      <c r="J4381">
        <v>269.97000000000003</v>
      </c>
      <c r="K4381" t="s">
        <v>95</v>
      </c>
      <c r="L4381" t="s">
        <v>37</v>
      </c>
    </row>
    <row r="4382" spans="1:13" x14ac:dyDescent="0.2">
      <c r="A4382">
        <v>825078</v>
      </c>
      <c r="B4382" s="2">
        <v>44947</v>
      </c>
      <c r="C4382">
        <v>59467</v>
      </c>
      <c r="D4382" t="s">
        <v>13</v>
      </c>
      <c r="E4382" t="s">
        <v>77</v>
      </c>
      <c r="F4382" t="s">
        <v>78</v>
      </c>
      <c r="G4382">
        <v>4</v>
      </c>
      <c r="H4382">
        <v>374.99</v>
      </c>
      <c r="J4382">
        <v>1499.96</v>
      </c>
      <c r="K4382" t="s">
        <v>16</v>
      </c>
      <c r="L4382" t="s">
        <v>23</v>
      </c>
      <c r="M4382" t="s">
        <v>123</v>
      </c>
    </row>
    <row r="4383" spans="1:13" x14ac:dyDescent="0.2">
      <c r="A4383">
        <v>825208</v>
      </c>
      <c r="B4383" s="1">
        <v>44818</v>
      </c>
      <c r="C4383">
        <v>93963</v>
      </c>
      <c r="D4383" t="s">
        <v>63</v>
      </c>
      <c r="E4383" t="s">
        <v>64</v>
      </c>
      <c r="F4383" t="s">
        <v>65</v>
      </c>
      <c r="G4383">
        <v>5</v>
      </c>
      <c r="H4383">
        <v>3.74</v>
      </c>
      <c r="J4383">
        <v>18.7</v>
      </c>
      <c r="K4383" t="s">
        <v>36</v>
      </c>
      <c r="L4383" t="s">
        <v>17</v>
      </c>
      <c r="M4383" t="s">
        <v>43</v>
      </c>
    </row>
    <row r="4384" spans="1:13" x14ac:dyDescent="0.2">
      <c r="A4384">
        <v>825303</v>
      </c>
      <c r="B4384" s="1">
        <v>45160</v>
      </c>
      <c r="C4384">
        <v>51733</v>
      </c>
      <c r="D4384" t="s">
        <v>97</v>
      </c>
      <c r="E4384" t="s">
        <v>121</v>
      </c>
      <c r="F4384" t="s">
        <v>122</v>
      </c>
      <c r="G4384">
        <v>5</v>
      </c>
      <c r="H4384">
        <v>11.69</v>
      </c>
      <c r="I4384">
        <v>0.1</v>
      </c>
      <c r="J4384">
        <v>52.6</v>
      </c>
      <c r="K4384" t="s">
        <v>36</v>
      </c>
      <c r="L4384" t="s">
        <v>17</v>
      </c>
      <c r="M4384" t="s">
        <v>103</v>
      </c>
    </row>
    <row r="4385" spans="1:13" x14ac:dyDescent="0.2">
      <c r="A4385">
        <v>825908</v>
      </c>
      <c r="B4385" s="1">
        <v>44648</v>
      </c>
      <c r="C4385">
        <v>18783</v>
      </c>
      <c r="D4385" t="s">
        <v>25</v>
      </c>
      <c r="E4385" t="s">
        <v>113</v>
      </c>
      <c r="F4385" t="s">
        <v>114</v>
      </c>
      <c r="G4385">
        <v>2</v>
      </c>
      <c r="H4385">
        <v>107.99</v>
      </c>
      <c r="I4385">
        <v>0.1</v>
      </c>
      <c r="J4385">
        <v>194.38</v>
      </c>
      <c r="K4385" t="s">
        <v>36</v>
      </c>
      <c r="L4385" t="s">
        <v>17</v>
      </c>
      <c r="M4385" t="s">
        <v>103</v>
      </c>
    </row>
    <row r="4386" spans="1:13" x14ac:dyDescent="0.2">
      <c r="A4386">
        <v>826045</v>
      </c>
      <c r="B4386" s="1">
        <v>45440</v>
      </c>
      <c r="C4386">
        <v>48500</v>
      </c>
      <c r="D4386" t="s">
        <v>25</v>
      </c>
      <c r="E4386" t="s">
        <v>60</v>
      </c>
      <c r="F4386" t="s">
        <v>61</v>
      </c>
      <c r="G4386">
        <v>1</v>
      </c>
      <c r="H4386">
        <v>41.24</v>
      </c>
      <c r="I4386">
        <v>0.25</v>
      </c>
      <c r="J4386">
        <v>30.93</v>
      </c>
      <c r="K4386" t="s">
        <v>16</v>
      </c>
      <c r="L4386" t="s">
        <v>17</v>
      </c>
      <c r="M4386" t="s">
        <v>47</v>
      </c>
    </row>
    <row r="4387" spans="1:13" x14ac:dyDescent="0.2">
      <c r="A4387">
        <v>826171</v>
      </c>
      <c r="B4387" s="1">
        <v>44923</v>
      </c>
      <c r="C4387">
        <v>83373</v>
      </c>
      <c r="D4387" t="s">
        <v>44</v>
      </c>
      <c r="E4387" t="s">
        <v>74</v>
      </c>
      <c r="F4387" t="s">
        <v>75</v>
      </c>
      <c r="G4387">
        <v>1</v>
      </c>
      <c r="H4387">
        <v>2.54</v>
      </c>
      <c r="I4387">
        <v>0.15</v>
      </c>
      <c r="J4387">
        <v>2.16</v>
      </c>
      <c r="K4387" t="s">
        <v>36</v>
      </c>
      <c r="L4387" t="s">
        <v>17</v>
      </c>
      <c r="M4387" t="s">
        <v>54</v>
      </c>
    </row>
    <row r="4388" spans="1:13" x14ac:dyDescent="0.2">
      <c r="A4388">
        <v>826267</v>
      </c>
      <c r="B4388" s="2">
        <v>45375</v>
      </c>
      <c r="C4388">
        <v>34056</v>
      </c>
      <c r="D4388" t="s">
        <v>63</v>
      </c>
      <c r="E4388" t="s">
        <v>68</v>
      </c>
      <c r="F4388" t="s">
        <v>69</v>
      </c>
      <c r="G4388">
        <v>4</v>
      </c>
      <c r="H4388">
        <v>19.989999999999998</v>
      </c>
      <c r="I4388">
        <v>0.2</v>
      </c>
      <c r="J4388">
        <v>63.97</v>
      </c>
      <c r="K4388" t="s">
        <v>36</v>
      </c>
      <c r="L4388" t="s">
        <v>17</v>
      </c>
    </row>
    <row r="4389" spans="1:13" x14ac:dyDescent="0.2">
      <c r="A4389">
        <v>826406</v>
      </c>
      <c r="B4389" s="2">
        <v>44620</v>
      </c>
      <c r="C4389">
        <v>43779</v>
      </c>
      <c r="D4389" t="s">
        <v>25</v>
      </c>
      <c r="E4389" t="s">
        <v>113</v>
      </c>
      <c r="F4389" t="s">
        <v>114</v>
      </c>
      <c r="G4389">
        <v>1</v>
      </c>
      <c r="H4389">
        <v>95.99</v>
      </c>
      <c r="I4389">
        <v>0.2</v>
      </c>
      <c r="J4389">
        <v>76.790000000000006</v>
      </c>
      <c r="K4389" t="s">
        <v>22</v>
      </c>
      <c r="L4389" t="s">
        <v>37</v>
      </c>
      <c r="M4389" t="s">
        <v>102</v>
      </c>
    </row>
    <row r="4390" spans="1:13" x14ac:dyDescent="0.2">
      <c r="A4390">
        <v>826720</v>
      </c>
      <c r="B4390" s="1">
        <v>44656</v>
      </c>
      <c r="C4390">
        <v>69114</v>
      </c>
      <c r="D4390" t="s">
        <v>40</v>
      </c>
      <c r="E4390" t="s">
        <v>20</v>
      </c>
      <c r="F4390" t="s">
        <v>21</v>
      </c>
      <c r="G4390">
        <v>5</v>
      </c>
      <c r="H4390">
        <v>9.99</v>
      </c>
      <c r="J4390">
        <v>49.95</v>
      </c>
      <c r="K4390" t="s">
        <v>16</v>
      </c>
      <c r="L4390" t="s">
        <v>17</v>
      </c>
      <c r="M4390" t="s">
        <v>67</v>
      </c>
    </row>
    <row r="4391" spans="1:13" x14ac:dyDescent="0.2">
      <c r="A4391">
        <v>826768</v>
      </c>
      <c r="B4391" s="1">
        <v>45243</v>
      </c>
      <c r="C4391">
        <v>74711</v>
      </c>
      <c r="D4391" t="s">
        <v>40</v>
      </c>
      <c r="E4391" t="s">
        <v>41</v>
      </c>
      <c r="F4391" t="s">
        <v>42</v>
      </c>
      <c r="G4391">
        <v>1</v>
      </c>
      <c r="H4391">
        <v>5.09</v>
      </c>
      <c r="I4391">
        <v>0.15</v>
      </c>
      <c r="J4391">
        <v>4.33</v>
      </c>
      <c r="K4391" t="s">
        <v>16</v>
      </c>
      <c r="L4391" t="s">
        <v>37</v>
      </c>
      <c r="M4391" t="s">
        <v>24</v>
      </c>
    </row>
    <row r="4392" spans="1:13" x14ac:dyDescent="0.2">
      <c r="A4392">
        <v>826846</v>
      </c>
      <c r="B4392" s="1">
        <v>45554</v>
      </c>
      <c r="C4392">
        <v>27886</v>
      </c>
      <c r="D4392" t="s">
        <v>183</v>
      </c>
      <c r="E4392" t="s">
        <v>168</v>
      </c>
      <c r="F4392" t="s">
        <v>169</v>
      </c>
      <c r="G4392">
        <v>3</v>
      </c>
      <c r="H4392">
        <v>6.74</v>
      </c>
      <c r="I4392">
        <v>0.25</v>
      </c>
      <c r="J4392">
        <v>15.16</v>
      </c>
      <c r="K4392" t="s">
        <v>16</v>
      </c>
      <c r="L4392" t="s">
        <v>17</v>
      </c>
    </row>
    <row r="4393" spans="1:13" x14ac:dyDescent="0.2">
      <c r="A4393">
        <v>826883</v>
      </c>
      <c r="B4393" s="1">
        <v>45251</v>
      </c>
      <c r="C4393">
        <v>62234</v>
      </c>
      <c r="D4393" t="s">
        <v>13</v>
      </c>
      <c r="E4393" t="s">
        <v>159</v>
      </c>
      <c r="F4393" t="s">
        <v>160</v>
      </c>
      <c r="G4393">
        <v>2</v>
      </c>
      <c r="H4393">
        <v>59.99</v>
      </c>
      <c r="J4393">
        <v>119.98</v>
      </c>
      <c r="K4393" t="s">
        <v>22</v>
      </c>
      <c r="L4393" t="s">
        <v>37</v>
      </c>
      <c r="M4393" t="s">
        <v>57</v>
      </c>
    </row>
    <row r="4394" spans="1:13" x14ac:dyDescent="0.2">
      <c r="A4394">
        <v>827007</v>
      </c>
      <c r="B4394" s="1">
        <v>44680</v>
      </c>
      <c r="C4394">
        <v>29985</v>
      </c>
      <c r="D4394" t="s">
        <v>25</v>
      </c>
      <c r="E4394" t="s">
        <v>51</v>
      </c>
      <c r="F4394" t="s">
        <v>52</v>
      </c>
      <c r="G4394">
        <v>4</v>
      </c>
      <c r="H4394">
        <v>23.79</v>
      </c>
      <c r="I4394">
        <v>0.15</v>
      </c>
      <c r="J4394">
        <v>80.89</v>
      </c>
      <c r="K4394" t="s">
        <v>16</v>
      </c>
      <c r="L4394" t="s">
        <v>17</v>
      </c>
    </row>
    <row r="4395" spans="1:13" x14ac:dyDescent="0.2">
      <c r="A4395">
        <v>827045</v>
      </c>
      <c r="B4395" s="1">
        <v>45294</v>
      </c>
      <c r="C4395">
        <v>57962</v>
      </c>
      <c r="D4395" t="s">
        <v>85</v>
      </c>
      <c r="E4395" t="s">
        <v>137</v>
      </c>
      <c r="F4395" t="s">
        <v>138</v>
      </c>
      <c r="G4395">
        <v>5</v>
      </c>
      <c r="H4395">
        <v>5.99</v>
      </c>
      <c r="I4395">
        <v>0.25</v>
      </c>
      <c r="J4395">
        <v>22.46</v>
      </c>
      <c r="K4395" t="s">
        <v>95</v>
      </c>
      <c r="L4395" t="s">
        <v>17</v>
      </c>
      <c r="M4395" t="s">
        <v>28</v>
      </c>
    </row>
    <row r="4396" spans="1:13" x14ac:dyDescent="0.2">
      <c r="A4396">
        <v>827307</v>
      </c>
      <c r="B4396" s="1">
        <v>45657</v>
      </c>
      <c r="C4396">
        <v>61993</v>
      </c>
      <c r="D4396" t="s">
        <v>13</v>
      </c>
      <c r="E4396" t="s">
        <v>104</v>
      </c>
      <c r="F4396" t="s">
        <v>105</v>
      </c>
      <c r="G4396">
        <v>5</v>
      </c>
      <c r="H4396">
        <v>29.99</v>
      </c>
      <c r="J4396">
        <v>149.94999999999999</v>
      </c>
      <c r="K4396" t="s">
        <v>32</v>
      </c>
      <c r="L4396" t="s">
        <v>37</v>
      </c>
      <c r="M4396" t="s">
        <v>62</v>
      </c>
    </row>
    <row r="4397" spans="1:13" x14ac:dyDescent="0.2">
      <c r="A4397">
        <v>827923</v>
      </c>
      <c r="B4397" s="2">
        <v>45309</v>
      </c>
      <c r="C4397">
        <v>73042</v>
      </c>
      <c r="D4397" t="s">
        <v>63</v>
      </c>
      <c r="E4397" t="s">
        <v>111</v>
      </c>
      <c r="F4397" t="s">
        <v>112</v>
      </c>
      <c r="G4397">
        <v>1</v>
      </c>
      <c r="H4397">
        <v>11.24</v>
      </c>
      <c r="I4397">
        <v>0.25</v>
      </c>
      <c r="J4397">
        <v>8.43</v>
      </c>
      <c r="K4397" t="s">
        <v>53</v>
      </c>
      <c r="L4397" t="s">
        <v>17</v>
      </c>
      <c r="M4397" t="s">
        <v>102</v>
      </c>
    </row>
    <row r="4398" spans="1:13" x14ac:dyDescent="0.2">
      <c r="A4398">
        <v>828082</v>
      </c>
      <c r="B4398" s="1">
        <v>45422</v>
      </c>
      <c r="C4398">
        <v>59377</v>
      </c>
      <c r="D4398" t="s">
        <v>63</v>
      </c>
      <c r="E4398" t="s">
        <v>125</v>
      </c>
      <c r="F4398" t="s">
        <v>126</v>
      </c>
      <c r="G4398">
        <v>2</v>
      </c>
      <c r="H4398">
        <v>23.99</v>
      </c>
      <c r="I4398">
        <v>0.2</v>
      </c>
      <c r="J4398">
        <v>38.380000000000003</v>
      </c>
      <c r="K4398" t="s">
        <v>16</v>
      </c>
      <c r="L4398" t="s">
        <v>23</v>
      </c>
      <c r="M4398" t="s">
        <v>47</v>
      </c>
    </row>
    <row r="4399" spans="1:13" x14ac:dyDescent="0.2">
      <c r="A4399">
        <v>828199</v>
      </c>
      <c r="B4399" s="2">
        <v>45534</v>
      </c>
      <c r="C4399">
        <v>63455</v>
      </c>
      <c r="D4399" t="s">
        <v>40</v>
      </c>
      <c r="E4399" t="s">
        <v>58</v>
      </c>
      <c r="F4399" t="s">
        <v>59</v>
      </c>
      <c r="G4399">
        <v>3</v>
      </c>
      <c r="H4399">
        <v>3.19</v>
      </c>
      <c r="I4399">
        <v>0.2</v>
      </c>
      <c r="J4399">
        <v>7.66</v>
      </c>
      <c r="K4399" t="s">
        <v>22</v>
      </c>
      <c r="L4399" t="s">
        <v>17</v>
      </c>
      <c r="M4399" t="s">
        <v>123</v>
      </c>
    </row>
    <row r="4400" spans="1:13" x14ac:dyDescent="0.2">
      <c r="A4400">
        <v>828368</v>
      </c>
      <c r="B4400" s="2">
        <v>45238</v>
      </c>
      <c r="C4400">
        <v>85314</v>
      </c>
      <c r="D4400" t="s">
        <v>25</v>
      </c>
      <c r="E4400" t="s">
        <v>70</v>
      </c>
      <c r="F4400" t="s">
        <v>71</v>
      </c>
      <c r="G4400">
        <v>1</v>
      </c>
      <c r="H4400">
        <v>62.99</v>
      </c>
      <c r="I4400">
        <v>0.3</v>
      </c>
      <c r="J4400">
        <v>44.09</v>
      </c>
      <c r="K4400" t="s">
        <v>36</v>
      </c>
      <c r="L4400" t="s">
        <v>37</v>
      </c>
      <c r="M4400" t="s">
        <v>123</v>
      </c>
    </row>
    <row r="4401" spans="1:13" x14ac:dyDescent="0.2">
      <c r="A4401">
        <v>828575</v>
      </c>
      <c r="B4401" s="1">
        <v>45521</v>
      </c>
      <c r="C4401">
        <v>46741</v>
      </c>
      <c r="D4401" t="s">
        <v>13</v>
      </c>
      <c r="E4401" t="s">
        <v>127</v>
      </c>
      <c r="F4401" t="s">
        <v>128</v>
      </c>
      <c r="G4401">
        <v>1</v>
      </c>
      <c r="H4401">
        <v>19.989999999999998</v>
      </c>
      <c r="J4401">
        <v>19.989999999999998</v>
      </c>
      <c r="K4401" t="s">
        <v>16</v>
      </c>
      <c r="L4401" t="s">
        <v>37</v>
      </c>
      <c r="M4401" t="s">
        <v>103</v>
      </c>
    </row>
    <row r="4402" spans="1:13" x14ac:dyDescent="0.2">
      <c r="A4402">
        <v>828597</v>
      </c>
      <c r="B4402" s="1">
        <v>45243</v>
      </c>
      <c r="C4402">
        <v>99139</v>
      </c>
      <c r="D4402" t="s">
        <v>29</v>
      </c>
      <c r="E4402" t="s">
        <v>30</v>
      </c>
      <c r="F4402" t="s">
        <v>31</v>
      </c>
      <c r="G4402">
        <v>1</v>
      </c>
      <c r="H4402">
        <v>17.489999999999998</v>
      </c>
      <c r="I4402">
        <v>0.3</v>
      </c>
      <c r="J4402">
        <v>12.24</v>
      </c>
      <c r="K4402" t="s">
        <v>53</v>
      </c>
      <c r="L4402" t="s">
        <v>23</v>
      </c>
      <c r="M4402" t="s">
        <v>28</v>
      </c>
    </row>
    <row r="4403" spans="1:13" x14ac:dyDescent="0.2">
      <c r="A4403">
        <v>828614</v>
      </c>
      <c r="B4403" s="1">
        <v>45293</v>
      </c>
      <c r="D4403" t="s">
        <v>13</v>
      </c>
      <c r="E4403" t="s">
        <v>34</v>
      </c>
      <c r="F4403" t="s">
        <v>35</v>
      </c>
      <c r="G4403">
        <v>1</v>
      </c>
      <c r="H4403">
        <v>29.74</v>
      </c>
      <c r="I4403">
        <v>0.15</v>
      </c>
      <c r="J4403">
        <v>25.28</v>
      </c>
      <c r="K4403" t="s">
        <v>95</v>
      </c>
      <c r="L4403" t="s">
        <v>23</v>
      </c>
      <c r="M4403" t="s">
        <v>76</v>
      </c>
    </row>
    <row r="4404" spans="1:13" x14ac:dyDescent="0.2">
      <c r="A4404">
        <v>829066</v>
      </c>
      <c r="B4404" s="1">
        <v>45534</v>
      </c>
      <c r="C4404">
        <v>89467</v>
      </c>
      <c r="D4404" t="s">
        <v>82</v>
      </c>
      <c r="E4404" t="s">
        <v>147</v>
      </c>
      <c r="F4404" t="s">
        <v>148</v>
      </c>
      <c r="G4404">
        <v>4</v>
      </c>
      <c r="H4404">
        <v>12.99</v>
      </c>
      <c r="J4404">
        <v>51.96</v>
      </c>
      <c r="K4404" t="s">
        <v>16</v>
      </c>
      <c r="L4404" t="s">
        <v>17</v>
      </c>
      <c r="M4404" t="s">
        <v>43</v>
      </c>
    </row>
    <row r="4405" spans="1:13" x14ac:dyDescent="0.2">
      <c r="A4405">
        <v>829169</v>
      </c>
      <c r="B4405" s="1">
        <v>45413</v>
      </c>
      <c r="C4405">
        <v>76770</v>
      </c>
      <c r="D4405" t="s">
        <v>44</v>
      </c>
      <c r="E4405" t="s">
        <v>74</v>
      </c>
      <c r="F4405" t="s">
        <v>75</v>
      </c>
      <c r="G4405">
        <v>5</v>
      </c>
      <c r="H4405">
        <v>2.2400000000000002</v>
      </c>
      <c r="I4405">
        <v>0.25</v>
      </c>
      <c r="J4405">
        <v>8.4</v>
      </c>
      <c r="K4405" t="s">
        <v>16</v>
      </c>
      <c r="L4405" t="s">
        <v>17</v>
      </c>
      <c r="M4405" t="s">
        <v>161</v>
      </c>
    </row>
    <row r="4406" spans="1:13" x14ac:dyDescent="0.2">
      <c r="A4406">
        <v>829472</v>
      </c>
      <c r="B4406" s="1">
        <v>45480</v>
      </c>
      <c r="C4406">
        <v>66332</v>
      </c>
      <c r="D4406" t="s">
        <v>85</v>
      </c>
      <c r="E4406" t="s">
        <v>86</v>
      </c>
      <c r="F4406" t="s">
        <v>87</v>
      </c>
      <c r="G4406">
        <v>2</v>
      </c>
      <c r="H4406">
        <v>11.69</v>
      </c>
      <c r="J4406">
        <v>23.38</v>
      </c>
      <c r="K4406" t="s">
        <v>16</v>
      </c>
      <c r="L4406" t="s">
        <v>17</v>
      </c>
      <c r="M4406" t="s">
        <v>102</v>
      </c>
    </row>
    <row r="4407" spans="1:13" x14ac:dyDescent="0.2">
      <c r="A4407">
        <v>829748</v>
      </c>
      <c r="B4407" s="1">
        <v>45458</v>
      </c>
      <c r="C4407">
        <v>84780</v>
      </c>
      <c r="D4407" t="s">
        <v>44</v>
      </c>
      <c r="E4407" t="s">
        <v>195</v>
      </c>
      <c r="F4407" t="s">
        <v>196</v>
      </c>
      <c r="G4407">
        <v>5</v>
      </c>
      <c r="H4407">
        <v>4.74</v>
      </c>
      <c r="I4407">
        <v>0.05</v>
      </c>
      <c r="J4407">
        <v>22.52</v>
      </c>
      <c r="K4407" t="s">
        <v>36</v>
      </c>
      <c r="L4407" t="s">
        <v>37</v>
      </c>
      <c r="M4407" t="s">
        <v>43</v>
      </c>
    </row>
    <row r="4408" spans="1:13" x14ac:dyDescent="0.2">
      <c r="A4408">
        <v>829834</v>
      </c>
      <c r="B4408" s="1">
        <v>45081</v>
      </c>
      <c r="C4408">
        <v>84695</v>
      </c>
      <c r="D4408" t="s">
        <v>48</v>
      </c>
      <c r="E4408" t="s">
        <v>143</v>
      </c>
      <c r="F4408" t="s">
        <v>144</v>
      </c>
      <c r="G4408">
        <v>1</v>
      </c>
      <c r="H4408">
        <v>10.49</v>
      </c>
      <c r="I4408">
        <v>0.3</v>
      </c>
      <c r="J4408">
        <v>7.34</v>
      </c>
      <c r="K4408" t="s">
        <v>95</v>
      </c>
      <c r="L4408" t="s">
        <v>37</v>
      </c>
      <c r="M4408" t="s">
        <v>57</v>
      </c>
    </row>
    <row r="4409" spans="1:13" x14ac:dyDescent="0.2">
      <c r="A4409">
        <v>829973</v>
      </c>
      <c r="B4409" s="1">
        <v>44892</v>
      </c>
      <c r="C4409">
        <v>77163</v>
      </c>
      <c r="D4409" t="s">
        <v>25</v>
      </c>
      <c r="E4409" t="s">
        <v>60</v>
      </c>
      <c r="F4409" t="s">
        <v>61</v>
      </c>
      <c r="G4409">
        <v>1</v>
      </c>
      <c r="H4409">
        <v>52.24</v>
      </c>
      <c r="I4409">
        <v>0.05</v>
      </c>
      <c r="J4409">
        <v>49.63</v>
      </c>
      <c r="K4409" t="s">
        <v>22</v>
      </c>
      <c r="L4409" t="s">
        <v>17</v>
      </c>
      <c r="M4409" t="s">
        <v>33</v>
      </c>
    </row>
    <row r="4410" spans="1:13" x14ac:dyDescent="0.2">
      <c r="A4410">
        <v>830006</v>
      </c>
      <c r="B4410" s="1">
        <v>44849</v>
      </c>
      <c r="C4410">
        <v>23595</v>
      </c>
      <c r="D4410" t="s">
        <v>13</v>
      </c>
      <c r="E4410" t="s">
        <v>55</v>
      </c>
      <c r="F4410" t="s">
        <v>56</v>
      </c>
      <c r="G4410">
        <v>2</v>
      </c>
      <c r="H4410">
        <v>313.49</v>
      </c>
      <c r="I4410">
        <v>0.05</v>
      </c>
      <c r="J4410">
        <v>595.63</v>
      </c>
      <c r="K4410" t="s">
        <v>36</v>
      </c>
      <c r="L4410" t="s">
        <v>37</v>
      </c>
      <c r="M4410" t="s">
        <v>33</v>
      </c>
    </row>
    <row r="4411" spans="1:13" x14ac:dyDescent="0.2">
      <c r="A4411">
        <v>830072</v>
      </c>
      <c r="B4411" s="1">
        <v>45457</v>
      </c>
      <c r="D4411" t="s">
        <v>82</v>
      </c>
      <c r="E4411" t="s">
        <v>188</v>
      </c>
      <c r="F4411" t="s">
        <v>189</v>
      </c>
      <c r="G4411">
        <v>2</v>
      </c>
      <c r="H4411">
        <v>35.99</v>
      </c>
      <c r="I4411">
        <v>0.2</v>
      </c>
      <c r="J4411">
        <v>57.58</v>
      </c>
      <c r="K4411" t="s">
        <v>95</v>
      </c>
      <c r="L4411" t="s">
        <v>37</v>
      </c>
      <c r="M4411" t="s">
        <v>123</v>
      </c>
    </row>
    <row r="4412" spans="1:13" x14ac:dyDescent="0.2">
      <c r="A4412">
        <v>830115</v>
      </c>
      <c r="B4412" s="1">
        <v>45261</v>
      </c>
      <c r="C4412">
        <v>21870</v>
      </c>
      <c r="D4412" t="s">
        <v>63</v>
      </c>
      <c r="E4412" t="s">
        <v>64</v>
      </c>
      <c r="F4412" t="s">
        <v>65</v>
      </c>
      <c r="G4412">
        <v>2</v>
      </c>
      <c r="H4412">
        <v>3.74</v>
      </c>
      <c r="I4412">
        <v>0.25</v>
      </c>
      <c r="J4412">
        <v>5.61</v>
      </c>
      <c r="K4412" t="s">
        <v>16</v>
      </c>
      <c r="L4412" t="s">
        <v>23</v>
      </c>
      <c r="M4412" t="s">
        <v>120</v>
      </c>
    </row>
    <row r="4413" spans="1:13" x14ac:dyDescent="0.2">
      <c r="A4413">
        <v>830248</v>
      </c>
      <c r="B4413" s="1">
        <v>45445</v>
      </c>
      <c r="C4413">
        <v>67567</v>
      </c>
      <c r="D4413" t="s">
        <v>13</v>
      </c>
      <c r="E4413" t="s">
        <v>34</v>
      </c>
      <c r="F4413" t="s">
        <v>35</v>
      </c>
      <c r="G4413">
        <v>3</v>
      </c>
      <c r="H4413">
        <v>31.49</v>
      </c>
      <c r="I4413">
        <v>0.1</v>
      </c>
      <c r="J4413">
        <v>85.02</v>
      </c>
      <c r="K4413" t="s">
        <v>36</v>
      </c>
      <c r="L4413" t="s">
        <v>37</v>
      </c>
      <c r="M4413" t="s">
        <v>47</v>
      </c>
    </row>
    <row r="4414" spans="1:13" x14ac:dyDescent="0.2">
      <c r="A4414">
        <v>830398</v>
      </c>
      <c r="B4414" s="1">
        <v>44716</v>
      </c>
      <c r="C4414">
        <v>59280</v>
      </c>
      <c r="D4414" t="s">
        <v>25</v>
      </c>
      <c r="E4414" t="s">
        <v>60</v>
      </c>
      <c r="F4414" t="s">
        <v>61</v>
      </c>
      <c r="G4414">
        <v>2</v>
      </c>
      <c r="H4414">
        <v>41.24</v>
      </c>
      <c r="I4414">
        <v>0.25</v>
      </c>
      <c r="J4414">
        <v>61.86</v>
      </c>
      <c r="K4414" t="s">
        <v>16</v>
      </c>
      <c r="L4414" t="s">
        <v>17</v>
      </c>
      <c r="M4414" t="s">
        <v>90</v>
      </c>
    </row>
    <row r="4415" spans="1:13" x14ac:dyDescent="0.2">
      <c r="A4415">
        <v>831217</v>
      </c>
      <c r="B4415" s="1">
        <v>44710</v>
      </c>
      <c r="C4415">
        <v>67275</v>
      </c>
      <c r="D4415" t="s">
        <v>97</v>
      </c>
      <c r="E4415" t="s">
        <v>181</v>
      </c>
      <c r="F4415" t="s">
        <v>182</v>
      </c>
      <c r="G4415">
        <v>1</v>
      </c>
      <c r="H4415">
        <v>13.49</v>
      </c>
      <c r="I4415">
        <v>0.1</v>
      </c>
      <c r="J4415">
        <v>12.14</v>
      </c>
      <c r="K4415" t="s">
        <v>53</v>
      </c>
      <c r="L4415" t="s">
        <v>17</v>
      </c>
      <c r="M4415" t="s">
        <v>47</v>
      </c>
    </row>
    <row r="4416" spans="1:13" x14ac:dyDescent="0.2">
      <c r="A4416">
        <v>831266</v>
      </c>
      <c r="B4416" s="1">
        <v>44627</v>
      </c>
      <c r="D4416" t="s">
        <v>85</v>
      </c>
      <c r="E4416" t="s">
        <v>129</v>
      </c>
      <c r="F4416" t="s">
        <v>130</v>
      </c>
      <c r="G4416">
        <v>2</v>
      </c>
      <c r="H4416">
        <v>8.5399999999999991</v>
      </c>
      <c r="I4416">
        <v>0.05</v>
      </c>
      <c r="J4416">
        <v>16.23</v>
      </c>
      <c r="K4416" t="s">
        <v>16</v>
      </c>
      <c r="L4416" t="s">
        <v>23</v>
      </c>
      <c r="M4416" t="s">
        <v>24</v>
      </c>
    </row>
    <row r="4417" spans="1:13" x14ac:dyDescent="0.2">
      <c r="A4417">
        <v>831283</v>
      </c>
      <c r="B4417" s="1">
        <v>44785</v>
      </c>
      <c r="C4417">
        <v>53457</v>
      </c>
      <c r="D4417" t="s">
        <v>13</v>
      </c>
      <c r="E4417" t="s">
        <v>34</v>
      </c>
      <c r="F4417" t="s">
        <v>35</v>
      </c>
      <c r="G4417">
        <v>1</v>
      </c>
      <c r="H4417">
        <v>29.74</v>
      </c>
      <c r="I4417">
        <v>0.15</v>
      </c>
      <c r="J4417">
        <v>25.28</v>
      </c>
      <c r="K4417" t="s">
        <v>66</v>
      </c>
      <c r="L4417" t="s">
        <v>17</v>
      </c>
      <c r="M4417" t="s">
        <v>96</v>
      </c>
    </row>
    <row r="4418" spans="1:13" x14ac:dyDescent="0.2">
      <c r="A4418">
        <v>831388</v>
      </c>
      <c r="B4418" s="2">
        <v>44684</v>
      </c>
      <c r="C4418">
        <v>41990</v>
      </c>
      <c r="D4418" t="s">
        <v>25</v>
      </c>
      <c r="E4418" t="s">
        <v>113</v>
      </c>
      <c r="F4418" t="s">
        <v>114</v>
      </c>
      <c r="G4418">
        <v>2</v>
      </c>
      <c r="H4418">
        <v>89.99</v>
      </c>
      <c r="I4418">
        <v>0.25</v>
      </c>
      <c r="J4418">
        <v>134.97999999999999</v>
      </c>
      <c r="K4418" t="s">
        <v>22</v>
      </c>
      <c r="L4418" t="s">
        <v>37</v>
      </c>
      <c r="M4418" t="s">
        <v>57</v>
      </c>
    </row>
    <row r="4419" spans="1:13" x14ac:dyDescent="0.2">
      <c r="A4419">
        <v>831405</v>
      </c>
      <c r="B4419" s="1">
        <v>44763</v>
      </c>
      <c r="C4419">
        <v>78202</v>
      </c>
      <c r="D4419" t="s">
        <v>48</v>
      </c>
      <c r="E4419" t="s">
        <v>49</v>
      </c>
      <c r="F4419" t="s">
        <v>50</v>
      </c>
      <c r="G4419">
        <v>4</v>
      </c>
      <c r="H4419">
        <v>7.64</v>
      </c>
      <c r="I4419">
        <v>0.15</v>
      </c>
      <c r="J4419">
        <v>25.98</v>
      </c>
      <c r="K4419" t="s">
        <v>16</v>
      </c>
      <c r="L4419" t="s">
        <v>17</v>
      </c>
      <c r="M4419" t="s">
        <v>76</v>
      </c>
    </row>
    <row r="4420" spans="1:13" x14ac:dyDescent="0.2">
      <c r="A4420">
        <v>831531</v>
      </c>
      <c r="B4420" s="1">
        <v>45423</v>
      </c>
      <c r="C4420">
        <v>59969</v>
      </c>
      <c r="D4420" t="s">
        <v>13</v>
      </c>
      <c r="E4420" t="s">
        <v>79</v>
      </c>
      <c r="F4420" t="s">
        <v>80</v>
      </c>
      <c r="G4420">
        <v>4</v>
      </c>
      <c r="H4420">
        <v>76.489999999999995</v>
      </c>
      <c r="I4420">
        <v>0.15</v>
      </c>
      <c r="J4420">
        <v>260.07</v>
      </c>
      <c r="K4420" t="s">
        <v>32</v>
      </c>
      <c r="L4420" t="s">
        <v>17</v>
      </c>
      <c r="M4420" t="s">
        <v>47</v>
      </c>
    </row>
    <row r="4421" spans="1:13" x14ac:dyDescent="0.2">
      <c r="A4421">
        <v>832275</v>
      </c>
      <c r="B4421" s="1">
        <v>45115</v>
      </c>
      <c r="C4421">
        <v>65131</v>
      </c>
      <c r="D4421" t="s">
        <v>63</v>
      </c>
      <c r="E4421" t="s">
        <v>64</v>
      </c>
      <c r="F4421" t="s">
        <v>65</v>
      </c>
      <c r="G4421">
        <v>4</v>
      </c>
      <c r="H4421">
        <v>4.24</v>
      </c>
      <c r="I4421">
        <v>0.15</v>
      </c>
      <c r="J4421">
        <v>14.42</v>
      </c>
      <c r="K4421" t="s">
        <v>16</v>
      </c>
      <c r="L4421" t="s">
        <v>17</v>
      </c>
      <c r="M4421" t="s">
        <v>102</v>
      </c>
    </row>
    <row r="4422" spans="1:13" x14ac:dyDescent="0.2">
      <c r="A4422">
        <v>832411</v>
      </c>
      <c r="B4422" s="1">
        <v>45427</v>
      </c>
      <c r="C4422">
        <v>81791</v>
      </c>
      <c r="D4422" t="s">
        <v>48</v>
      </c>
      <c r="E4422" t="s">
        <v>49</v>
      </c>
      <c r="F4422" t="s">
        <v>50</v>
      </c>
      <c r="G4422">
        <v>4</v>
      </c>
      <c r="H4422">
        <v>8.99</v>
      </c>
      <c r="J4422">
        <v>35.96</v>
      </c>
      <c r="K4422" t="s">
        <v>36</v>
      </c>
      <c r="L4422" t="s">
        <v>17</v>
      </c>
      <c r="M4422" t="s">
        <v>120</v>
      </c>
    </row>
    <row r="4423" spans="1:13" x14ac:dyDescent="0.2">
      <c r="A4423">
        <v>832517</v>
      </c>
      <c r="B4423" s="1">
        <v>44900</v>
      </c>
      <c r="C4423">
        <v>78218</v>
      </c>
      <c r="D4423" t="s">
        <v>25</v>
      </c>
      <c r="E4423" t="s">
        <v>26</v>
      </c>
      <c r="F4423" t="s">
        <v>27</v>
      </c>
      <c r="G4423">
        <v>1</v>
      </c>
      <c r="H4423">
        <v>34.99</v>
      </c>
      <c r="J4423">
        <v>34.99</v>
      </c>
      <c r="K4423" t="s">
        <v>16</v>
      </c>
      <c r="L4423" t="s">
        <v>17</v>
      </c>
      <c r="M4423" t="s">
        <v>90</v>
      </c>
    </row>
    <row r="4424" spans="1:13" x14ac:dyDescent="0.2">
      <c r="A4424">
        <v>832814</v>
      </c>
      <c r="B4424" s="2">
        <v>45353</v>
      </c>
      <c r="D4424" t="s">
        <v>29</v>
      </c>
      <c r="E4424" t="s">
        <v>175</v>
      </c>
      <c r="F4424" t="s">
        <v>176</v>
      </c>
      <c r="G4424">
        <v>2</v>
      </c>
      <c r="H4424">
        <v>10.19</v>
      </c>
      <c r="I4424">
        <v>0.15</v>
      </c>
      <c r="J4424">
        <v>17.32</v>
      </c>
      <c r="K4424" t="s">
        <v>22</v>
      </c>
      <c r="L4424" t="s">
        <v>17</v>
      </c>
      <c r="M4424" t="s">
        <v>103</v>
      </c>
    </row>
    <row r="4425" spans="1:13" x14ac:dyDescent="0.2">
      <c r="A4425">
        <v>833170</v>
      </c>
      <c r="B4425" s="2">
        <v>45510</v>
      </c>
      <c r="C4425">
        <v>17056</v>
      </c>
      <c r="D4425" t="s">
        <v>48</v>
      </c>
      <c r="E4425" t="s">
        <v>49</v>
      </c>
      <c r="F4425" t="s">
        <v>50</v>
      </c>
      <c r="G4425">
        <v>1</v>
      </c>
      <c r="H4425">
        <v>8.99</v>
      </c>
      <c r="J4425">
        <v>8.99</v>
      </c>
      <c r="K4425" t="s">
        <v>95</v>
      </c>
      <c r="L4425" t="s">
        <v>37</v>
      </c>
      <c r="M4425" t="s">
        <v>43</v>
      </c>
    </row>
    <row r="4426" spans="1:13" x14ac:dyDescent="0.2">
      <c r="A4426">
        <v>834063</v>
      </c>
      <c r="B4426" s="1">
        <v>44838</v>
      </c>
      <c r="C4426">
        <v>69624</v>
      </c>
      <c r="D4426" t="s">
        <v>25</v>
      </c>
      <c r="E4426" t="s">
        <v>70</v>
      </c>
      <c r="F4426" t="s">
        <v>71</v>
      </c>
      <c r="G4426">
        <v>2</v>
      </c>
      <c r="H4426">
        <v>67.489999999999995</v>
      </c>
      <c r="I4426">
        <v>0.25</v>
      </c>
      <c r="J4426">
        <v>101.23</v>
      </c>
      <c r="K4426" t="s">
        <v>16</v>
      </c>
      <c r="L4426" t="s">
        <v>37</v>
      </c>
      <c r="M4426" t="s">
        <v>28</v>
      </c>
    </row>
    <row r="4427" spans="1:13" x14ac:dyDescent="0.2">
      <c r="A4427">
        <v>834122</v>
      </c>
      <c r="B4427" s="2">
        <v>45454</v>
      </c>
      <c r="C4427">
        <v>76764</v>
      </c>
      <c r="D4427" t="s">
        <v>48</v>
      </c>
      <c r="E4427" t="s">
        <v>179</v>
      </c>
      <c r="F4427" t="s">
        <v>180</v>
      </c>
      <c r="G4427">
        <v>4</v>
      </c>
      <c r="H4427">
        <v>10.79</v>
      </c>
      <c r="I4427">
        <v>0.1</v>
      </c>
      <c r="J4427">
        <v>38.840000000000003</v>
      </c>
      <c r="K4427" t="s">
        <v>22</v>
      </c>
      <c r="L4427" t="s">
        <v>17</v>
      </c>
      <c r="M4427" t="s">
        <v>103</v>
      </c>
    </row>
    <row r="4428" spans="1:13" x14ac:dyDescent="0.2">
      <c r="A4428">
        <v>834248</v>
      </c>
      <c r="B4428" s="1">
        <v>45500</v>
      </c>
      <c r="C4428">
        <v>63203</v>
      </c>
      <c r="D4428" t="s">
        <v>174</v>
      </c>
      <c r="E4428" t="s">
        <v>153</v>
      </c>
      <c r="F4428" t="s">
        <v>154</v>
      </c>
      <c r="G4428">
        <v>2</v>
      </c>
      <c r="H4428">
        <v>22.49</v>
      </c>
      <c r="I4428">
        <v>0.25</v>
      </c>
      <c r="J4428">
        <v>33.74</v>
      </c>
      <c r="K4428" t="s">
        <v>16</v>
      </c>
      <c r="L4428" t="s">
        <v>17</v>
      </c>
      <c r="M4428" t="s">
        <v>57</v>
      </c>
    </row>
    <row r="4429" spans="1:13" x14ac:dyDescent="0.2">
      <c r="A4429">
        <v>834413</v>
      </c>
      <c r="B4429" s="1">
        <v>45245</v>
      </c>
      <c r="C4429">
        <v>96089</v>
      </c>
      <c r="D4429" t="s">
        <v>48</v>
      </c>
      <c r="E4429" t="s">
        <v>179</v>
      </c>
      <c r="F4429" t="s">
        <v>180</v>
      </c>
      <c r="G4429">
        <v>3</v>
      </c>
      <c r="H4429">
        <v>11.99</v>
      </c>
      <c r="J4429">
        <v>35.97</v>
      </c>
      <c r="K4429" t="s">
        <v>32</v>
      </c>
      <c r="L4429" t="s">
        <v>17</v>
      </c>
      <c r="M4429" t="s">
        <v>96</v>
      </c>
    </row>
    <row r="4430" spans="1:13" x14ac:dyDescent="0.2">
      <c r="A4430">
        <v>834447</v>
      </c>
      <c r="B4430" s="2">
        <v>44574</v>
      </c>
      <c r="C4430">
        <v>96540</v>
      </c>
      <c r="D4430" t="s">
        <v>82</v>
      </c>
      <c r="E4430" t="s">
        <v>188</v>
      </c>
      <c r="F4430" t="s">
        <v>189</v>
      </c>
      <c r="G4430">
        <v>1</v>
      </c>
      <c r="H4430">
        <v>44.99</v>
      </c>
      <c r="J4430">
        <v>44.99</v>
      </c>
      <c r="K4430" t="s">
        <v>22</v>
      </c>
      <c r="L4430" t="s">
        <v>17</v>
      </c>
      <c r="M4430" t="s">
        <v>24</v>
      </c>
    </row>
    <row r="4431" spans="1:13" x14ac:dyDescent="0.2">
      <c r="A4431">
        <v>834552</v>
      </c>
      <c r="B4431" s="1">
        <v>44982</v>
      </c>
      <c r="C4431">
        <v>46975</v>
      </c>
      <c r="D4431" t="s">
        <v>13</v>
      </c>
      <c r="E4431" t="s">
        <v>159</v>
      </c>
      <c r="F4431" t="s">
        <v>160</v>
      </c>
      <c r="G4431">
        <v>3</v>
      </c>
      <c r="H4431">
        <v>59.99</v>
      </c>
      <c r="J4431">
        <v>179.97</v>
      </c>
      <c r="K4431" t="s">
        <v>36</v>
      </c>
      <c r="L4431" t="s">
        <v>17</v>
      </c>
      <c r="M4431" t="s">
        <v>117</v>
      </c>
    </row>
    <row r="4432" spans="1:13" x14ac:dyDescent="0.2">
      <c r="A4432">
        <v>834565</v>
      </c>
      <c r="B4432" s="1">
        <v>45628</v>
      </c>
      <c r="D4432" t="s">
        <v>44</v>
      </c>
      <c r="E4432" t="s">
        <v>190</v>
      </c>
      <c r="F4432" t="s">
        <v>191</v>
      </c>
      <c r="G4432">
        <v>1</v>
      </c>
      <c r="H4432">
        <v>4.08</v>
      </c>
      <c r="I4432">
        <v>0.05</v>
      </c>
      <c r="J4432">
        <v>3.88</v>
      </c>
      <c r="K4432" t="s">
        <v>16</v>
      </c>
      <c r="L4432" t="s">
        <v>17</v>
      </c>
      <c r="M4432" t="s">
        <v>33</v>
      </c>
    </row>
    <row r="4433" spans="1:13" x14ac:dyDescent="0.2">
      <c r="A4433">
        <v>834692</v>
      </c>
      <c r="B4433" s="1">
        <v>44967</v>
      </c>
      <c r="C4433">
        <v>94666</v>
      </c>
      <c r="D4433" t="s">
        <v>48</v>
      </c>
      <c r="E4433" t="s">
        <v>118</v>
      </c>
      <c r="F4433" t="s">
        <v>119</v>
      </c>
      <c r="G4433">
        <v>3</v>
      </c>
      <c r="H4433">
        <v>3.74</v>
      </c>
      <c r="I4433">
        <v>0.25</v>
      </c>
      <c r="J4433">
        <v>8.42</v>
      </c>
      <c r="K4433" t="s">
        <v>36</v>
      </c>
      <c r="L4433" t="s">
        <v>17</v>
      </c>
      <c r="M4433" t="s">
        <v>24</v>
      </c>
    </row>
    <row r="4434" spans="1:13" x14ac:dyDescent="0.2">
      <c r="A4434">
        <v>834932</v>
      </c>
      <c r="B4434" s="1">
        <v>44958</v>
      </c>
      <c r="C4434">
        <v>57127</v>
      </c>
      <c r="D4434" t="s">
        <v>97</v>
      </c>
      <c r="E4434" t="s">
        <v>165</v>
      </c>
      <c r="F4434" t="s">
        <v>166</v>
      </c>
      <c r="G4434">
        <v>1</v>
      </c>
      <c r="H4434">
        <v>80.989999999999995</v>
      </c>
      <c r="I4434">
        <v>0.1</v>
      </c>
      <c r="J4434">
        <v>72.89</v>
      </c>
      <c r="K4434" t="s">
        <v>36</v>
      </c>
      <c r="L4434" t="s">
        <v>17</v>
      </c>
      <c r="M4434" t="s">
        <v>33</v>
      </c>
    </row>
    <row r="4435" spans="1:13" x14ac:dyDescent="0.2">
      <c r="A4435">
        <v>835559</v>
      </c>
      <c r="B4435" s="1">
        <v>45406</v>
      </c>
      <c r="C4435">
        <v>59976</v>
      </c>
      <c r="D4435" t="s">
        <v>13</v>
      </c>
      <c r="E4435" t="s">
        <v>55</v>
      </c>
      <c r="F4435" t="s">
        <v>56</v>
      </c>
      <c r="G4435">
        <v>2</v>
      </c>
      <c r="H4435">
        <v>247.49</v>
      </c>
      <c r="I4435">
        <v>0.25</v>
      </c>
      <c r="J4435">
        <v>371.24</v>
      </c>
      <c r="K4435" t="s">
        <v>36</v>
      </c>
      <c r="L4435" t="s">
        <v>17</v>
      </c>
      <c r="M4435" t="s">
        <v>102</v>
      </c>
    </row>
    <row r="4436" spans="1:13" x14ac:dyDescent="0.2">
      <c r="A4436">
        <v>835644</v>
      </c>
      <c r="B4436" s="2">
        <v>45222</v>
      </c>
      <c r="C4436">
        <v>95939</v>
      </c>
      <c r="D4436" t="s">
        <v>48</v>
      </c>
      <c r="E4436" t="s">
        <v>143</v>
      </c>
      <c r="F4436" t="s">
        <v>144</v>
      </c>
      <c r="G4436">
        <v>1</v>
      </c>
      <c r="H4436">
        <v>14.99</v>
      </c>
      <c r="J4436">
        <v>14.99</v>
      </c>
      <c r="K4436" t="s">
        <v>66</v>
      </c>
      <c r="L4436" t="s">
        <v>23</v>
      </c>
      <c r="M4436" t="s">
        <v>123</v>
      </c>
    </row>
    <row r="4437" spans="1:13" x14ac:dyDescent="0.2">
      <c r="A4437">
        <v>835747</v>
      </c>
      <c r="B4437" s="1">
        <v>45320</v>
      </c>
      <c r="C4437">
        <v>62814</v>
      </c>
      <c r="D4437" t="s">
        <v>48</v>
      </c>
      <c r="E4437" t="s">
        <v>179</v>
      </c>
      <c r="F4437" t="s">
        <v>180</v>
      </c>
      <c r="G4437">
        <v>5</v>
      </c>
      <c r="H4437">
        <v>9.59</v>
      </c>
      <c r="I4437">
        <v>0.2</v>
      </c>
      <c r="J4437">
        <v>38.36</v>
      </c>
      <c r="K4437" t="s">
        <v>36</v>
      </c>
      <c r="L4437" t="s">
        <v>17</v>
      </c>
      <c r="M4437" t="s">
        <v>120</v>
      </c>
    </row>
    <row r="4438" spans="1:13" x14ac:dyDescent="0.2">
      <c r="A4438">
        <v>835806</v>
      </c>
      <c r="B4438" s="1">
        <v>44563</v>
      </c>
      <c r="C4438">
        <v>61092</v>
      </c>
      <c r="D4438" t="s">
        <v>29</v>
      </c>
      <c r="E4438" t="s">
        <v>88</v>
      </c>
      <c r="F4438" t="s">
        <v>89</v>
      </c>
      <c r="G4438">
        <v>1</v>
      </c>
      <c r="H4438">
        <v>44.99</v>
      </c>
      <c r="I4438">
        <v>0.1</v>
      </c>
      <c r="J4438">
        <v>40.49</v>
      </c>
      <c r="K4438" t="s">
        <v>22</v>
      </c>
      <c r="L4438" t="s">
        <v>17</v>
      </c>
      <c r="M4438" t="s">
        <v>103</v>
      </c>
    </row>
    <row r="4439" spans="1:13" x14ac:dyDescent="0.2">
      <c r="A4439">
        <v>836529</v>
      </c>
      <c r="B4439" s="1">
        <v>45026</v>
      </c>
      <c r="D4439" t="s">
        <v>40</v>
      </c>
      <c r="E4439" t="s">
        <v>20</v>
      </c>
      <c r="F4439" t="s">
        <v>21</v>
      </c>
      <c r="G4439">
        <v>3</v>
      </c>
      <c r="H4439">
        <v>7.49</v>
      </c>
      <c r="I4439">
        <v>0.25</v>
      </c>
      <c r="J4439">
        <v>16.850000000000001</v>
      </c>
      <c r="K4439" t="s">
        <v>22</v>
      </c>
      <c r="L4439" t="s">
        <v>23</v>
      </c>
      <c r="M4439" t="s">
        <v>62</v>
      </c>
    </row>
    <row r="4440" spans="1:13" x14ac:dyDescent="0.2">
      <c r="A4440">
        <v>836538</v>
      </c>
      <c r="B4440" s="1">
        <v>44579</v>
      </c>
      <c r="C4440">
        <v>34452</v>
      </c>
      <c r="D4440" t="s">
        <v>82</v>
      </c>
      <c r="E4440" t="s">
        <v>155</v>
      </c>
      <c r="F4440" t="s">
        <v>156</v>
      </c>
      <c r="G4440">
        <v>3</v>
      </c>
      <c r="H4440">
        <v>18.989999999999998</v>
      </c>
      <c r="I4440">
        <v>0.05</v>
      </c>
      <c r="J4440">
        <v>54.12</v>
      </c>
      <c r="K4440" t="s">
        <v>36</v>
      </c>
      <c r="L4440" t="s">
        <v>17</v>
      </c>
      <c r="M4440" t="s">
        <v>96</v>
      </c>
    </row>
    <row r="4441" spans="1:13" x14ac:dyDescent="0.2">
      <c r="A4441">
        <v>836622</v>
      </c>
      <c r="B4441" s="2">
        <v>45159</v>
      </c>
      <c r="C4441">
        <v>85771</v>
      </c>
      <c r="D4441" t="s">
        <v>164</v>
      </c>
      <c r="E4441" t="s">
        <v>38</v>
      </c>
      <c r="F4441" t="s">
        <v>39</v>
      </c>
      <c r="G4441">
        <v>2</v>
      </c>
      <c r="H4441">
        <v>28.49</v>
      </c>
      <c r="I4441">
        <v>0.05</v>
      </c>
      <c r="J4441">
        <v>54.13</v>
      </c>
      <c r="K4441" t="s">
        <v>16</v>
      </c>
      <c r="L4441" t="s">
        <v>37</v>
      </c>
      <c r="M4441" t="s">
        <v>47</v>
      </c>
    </row>
    <row r="4442" spans="1:13" x14ac:dyDescent="0.2">
      <c r="A4442">
        <v>836833</v>
      </c>
      <c r="B4442" s="2">
        <v>45110</v>
      </c>
      <c r="C4442">
        <v>67899</v>
      </c>
      <c r="D4442" t="s">
        <v>25</v>
      </c>
      <c r="E4442" t="s">
        <v>26</v>
      </c>
      <c r="F4442" t="s">
        <v>27</v>
      </c>
      <c r="G4442">
        <v>1</v>
      </c>
      <c r="H4442">
        <v>27.99</v>
      </c>
      <c r="I4442">
        <v>0.2</v>
      </c>
      <c r="J4442">
        <v>22.39</v>
      </c>
      <c r="K4442" t="s">
        <v>36</v>
      </c>
      <c r="L4442" t="s">
        <v>17</v>
      </c>
      <c r="M4442" t="s">
        <v>117</v>
      </c>
    </row>
    <row r="4443" spans="1:13" x14ac:dyDescent="0.2">
      <c r="A4443">
        <v>836925</v>
      </c>
      <c r="B4443" s="1">
        <v>45096</v>
      </c>
      <c r="C4443">
        <v>51818</v>
      </c>
      <c r="D4443" t="s">
        <v>97</v>
      </c>
      <c r="E4443" t="s">
        <v>141</v>
      </c>
      <c r="F4443" t="s">
        <v>142</v>
      </c>
      <c r="G4443">
        <v>5</v>
      </c>
      <c r="H4443">
        <v>20.69</v>
      </c>
      <c r="J4443">
        <v>103.45</v>
      </c>
      <c r="K4443" t="s">
        <v>22</v>
      </c>
      <c r="L4443" t="s">
        <v>17</v>
      </c>
      <c r="M4443" t="s">
        <v>81</v>
      </c>
    </row>
    <row r="4444" spans="1:13" x14ac:dyDescent="0.2">
      <c r="A4444">
        <v>837092</v>
      </c>
      <c r="B4444" s="1">
        <v>44579</v>
      </c>
      <c r="C4444">
        <v>83860</v>
      </c>
      <c r="D4444" t="s">
        <v>44</v>
      </c>
      <c r="E4444" t="s">
        <v>93</v>
      </c>
      <c r="F4444" t="s">
        <v>94</v>
      </c>
      <c r="G4444">
        <v>1</v>
      </c>
      <c r="H4444">
        <v>1.29</v>
      </c>
      <c r="J4444">
        <v>1.29</v>
      </c>
      <c r="K4444" t="s">
        <v>36</v>
      </c>
      <c r="L4444" t="s">
        <v>17</v>
      </c>
      <c r="M4444" t="s">
        <v>24</v>
      </c>
    </row>
    <row r="4445" spans="1:13" x14ac:dyDescent="0.2">
      <c r="A4445">
        <v>837679</v>
      </c>
      <c r="B4445" s="1">
        <v>45000</v>
      </c>
      <c r="C4445">
        <v>36222</v>
      </c>
      <c r="D4445" t="s">
        <v>82</v>
      </c>
      <c r="E4445" t="s">
        <v>147</v>
      </c>
      <c r="F4445" t="s">
        <v>148</v>
      </c>
      <c r="G4445">
        <v>4</v>
      </c>
      <c r="H4445">
        <v>12.34</v>
      </c>
      <c r="I4445">
        <v>0.05</v>
      </c>
      <c r="J4445">
        <v>46.89</v>
      </c>
      <c r="K4445" t="s">
        <v>16</v>
      </c>
      <c r="L4445" t="s">
        <v>37</v>
      </c>
      <c r="M4445" t="s">
        <v>90</v>
      </c>
    </row>
    <row r="4446" spans="1:13" x14ac:dyDescent="0.2">
      <c r="A4446">
        <v>837880</v>
      </c>
      <c r="B4446" s="2">
        <v>45041</v>
      </c>
      <c r="C4446">
        <v>87814</v>
      </c>
      <c r="D4446" t="s">
        <v>29</v>
      </c>
      <c r="E4446" t="s">
        <v>72</v>
      </c>
      <c r="F4446" t="s">
        <v>73</v>
      </c>
      <c r="G4446">
        <v>3</v>
      </c>
      <c r="H4446">
        <v>31.99</v>
      </c>
      <c r="I4446">
        <v>0.2</v>
      </c>
      <c r="J4446">
        <v>76.78</v>
      </c>
      <c r="K4446" t="s">
        <v>16</v>
      </c>
      <c r="L4446" t="s">
        <v>17</v>
      </c>
      <c r="M4446" t="s">
        <v>120</v>
      </c>
    </row>
    <row r="4447" spans="1:13" x14ac:dyDescent="0.2">
      <c r="A4447">
        <v>838141</v>
      </c>
      <c r="B4447" s="1">
        <v>45194</v>
      </c>
      <c r="C4447">
        <v>69843</v>
      </c>
      <c r="D4447" t="s">
        <v>29</v>
      </c>
      <c r="E4447" t="s">
        <v>38</v>
      </c>
      <c r="F4447" t="s">
        <v>39</v>
      </c>
      <c r="G4447">
        <v>4</v>
      </c>
      <c r="H4447">
        <v>23.99</v>
      </c>
      <c r="J4447">
        <v>95.96</v>
      </c>
      <c r="K4447" t="s">
        <v>32</v>
      </c>
      <c r="L4447" t="s">
        <v>37</v>
      </c>
      <c r="M4447" t="s">
        <v>81</v>
      </c>
    </row>
    <row r="4448" spans="1:13" x14ac:dyDescent="0.2">
      <c r="A4448">
        <v>838156</v>
      </c>
      <c r="B4448" s="1">
        <v>45583</v>
      </c>
      <c r="C4448">
        <v>21854</v>
      </c>
      <c r="D4448" t="s">
        <v>106</v>
      </c>
      <c r="E4448" t="s">
        <v>45</v>
      </c>
      <c r="F4448" t="s">
        <v>46</v>
      </c>
      <c r="G4448">
        <v>4</v>
      </c>
      <c r="H4448">
        <v>1.43</v>
      </c>
      <c r="I4448">
        <v>0.2</v>
      </c>
      <c r="J4448">
        <v>4.58</v>
      </c>
      <c r="K4448" t="s">
        <v>36</v>
      </c>
      <c r="L4448" t="s">
        <v>37</v>
      </c>
      <c r="M4448" t="s">
        <v>28</v>
      </c>
    </row>
    <row r="4449" spans="1:13" x14ac:dyDescent="0.2">
      <c r="A4449">
        <v>838186</v>
      </c>
      <c r="B4449" s="2">
        <v>45111</v>
      </c>
      <c r="C4449">
        <v>39195</v>
      </c>
      <c r="D4449" t="s">
        <v>40</v>
      </c>
      <c r="E4449" t="s">
        <v>58</v>
      </c>
      <c r="F4449" t="s">
        <v>59</v>
      </c>
      <c r="G4449">
        <v>4</v>
      </c>
      <c r="H4449">
        <v>2.79</v>
      </c>
      <c r="I4449">
        <v>0.3</v>
      </c>
      <c r="J4449">
        <v>7.81</v>
      </c>
      <c r="K4449" t="s">
        <v>32</v>
      </c>
      <c r="L4449" t="s">
        <v>37</v>
      </c>
      <c r="M4449" t="s">
        <v>18</v>
      </c>
    </row>
    <row r="4450" spans="1:13" x14ac:dyDescent="0.2">
      <c r="A4450">
        <v>838197</v>
      </c>
      <c r="B4450" s="1">
        <v>45053</v>
      </c>
      <c r="C4450">
        <v>50667</v>
      </c>
      <c r="D4450" t="s">
        <v>13</v>
      </c>
      <c r="E4450" t="s">
        <v>186</v>
      </c>
      <c r="F4450" t="s">
        <v>187</v>
      </c>
      <c r="G4450">
        <v>4</v>
      </c>
      <c r="H4450">
        <v>37.49</v>
      </c>
      <c r="I4450">
        <v>0.25</v>
      </c>
      <c r="J4450">
        <v>112.47</v>
      </c>
      <c r="K4450" t="s">
        <v>16</v>
      </c>
      <c r="L4450" t="s">
        <v>23</v>
      </c>
      <c r="M4450" t="s">
        <v>117</v>
      </c>
    </row>
    <row r="4451" spans="1:13" x14ac:dyDescent="0.2">
      <c r="A4451">
        <v>838327</v>
      </c>
      <c r="B4451" s="1">
        <v>45453</v>
      </c>
      <c r="C4451">
        <v>38973</v>
      </c>
      <c r="D4451" t="s">
        <v>82</v>
      </c>
      <c r="E4451" t="s">
        <v>168</v>
      </c>
      <c r="F4451" t="s">
        <v>169</v>
      </c>
      <c r="G4451">
        <v>2</v>
      </c>
      <c r="H4451">
        <v>8.99</v>
      </c>
      <c r="J4451">
        <v>17.98</v>
      </c>
      <c r="K4451" t="s">
        <v>36</v>
      </c>
      <c r="L4451" t="s">
        <v>17</v>
      </c>
      <c r="M4451" t="s">
        <v>90</v>
      </c>
    </row>
    <row r="4452" spans="1:13" x14ac:dyDescent="0.2">
      <c r="A4452">
        <v>838331</v>
      </c>
      <c r="B4452" s="2">
        <v>45066</v>
      </c>
      <c r="C4452">
        <v>19431</v>
      </c>
      <c r="D4452" t="s">
        <v>13</v>
      </c>
      <c r="E4452" t="s">
        <v>79</v>
      </c>
      <c r="F4452" t="s">
        <v>80</v>
      </c>
      <c r="G4452">
        <v>2</v>
      </c>
      <c r="H4452">
        <v>67.489999999999995</v>
      </c>
      <c r="I4452">
        <v>0.25</v>
      </c>
      <c r="J4452">
        <v>101.23</v>
      </c>
      <c r="K4452" t="s">
        <v>36</v>
      </c>
      <c r="L4452" t="s">
        <v>17</v>
      </c>
      <c r="M4452" t="s">
        <v>161</v>
      </c>
    </row>
    <row r="4453" spans="1:13" x14ac:dyDescent="0.2">
      <c r="A4453">
        <v>838344</v>
      </c>
      <c r="B4453" s="1">
        <v>45541</v>
      </c>
      <c r="C4453">
        <v>30014</v>
      </c>
      <c r="D4453" t="s">
        <v>97</v>
      </c>
      <c r="E4453" t="s">
        <v>165</v>
      </c>
      <c r="F4453" t="s">
        <v>166</v>
      </c>
      <c r="G4453">
        <v>2</v>
      </c>
      <c r="H4453">
        <v>85.49</v>
      </c>
      <c r="I4453">
        <v>0.05</v>
      </c>
      <c r="J4453">
        <v>162.43</v>
      </c>
      <c r="K4453" t="s">
        <v>32</v>
      </c>
      <c r="L4453" t="s">
        <v>17</v>
      </c>
      <c r="M4453" t="s">
        <v>33</v>
      </c>
    </row>
    <row r="4454" spans="1:13" x14ac:dyDescent="0.2">
      <c r="A4454">
        <v>838390</v>
      </c>
      <c r="B4454" s="1">
        <v>45570</v>
      </c>
      <c r="C4454">
        <v>16490</v>
      </c>
      <c r="D4454" t="s">
        <v>40</v>
      </c>
      <c r="E4454" t="s">
        <v>197</v>
      </c>
      <c r="F4454" t="s">
        <v>198</v>
      </c>
      <c r="G4454">
        <v>4</v>
      </c>
      <c r="H4454">
        <v>14.99</v>
      </c>
      <c r="J4454">
        <v>59.96</v>
      </c>
      <c r="K4454" t="s">
        <v>36</v>
      </c>
      <c r="L4454" t="s">
        <v>17</v>
      </c>
      <c r="M4454" t="s">
        <v>96</v>
      </c>
    </row>
    <row r="4455" spans="1:13" x14ac:dyDescent="0.2">
      <c r="A4455">
        <v>838447</v>
      </c>
      <c r="B4455" s="1">
        <v>45277</v>
      </c>
      <c r="C4455">
        <v>19211</v>
      </c>
      <c r="D4455" t="s">
        <v>29</v>
      </c>
      <c r="E4455" t="s">
        <v>30</v>
      </c>
      <c r="F4455" t="s">
        <v>31</v>
      </c>
      <c r="G4455">
        <v>1</v>
      </c>
      <c r="H4455">
        <v>17.489999999999998</v>
      </c>
      <c r="I4455">
        <v>0.3</v>
      </c>
      <c r="J4455">
        <v>12.24</v>
      </c>
      <c r="K4455" t="s">
        <v>16</v>
      </c>
      <c r="L4455" t="s">
        <v>37</v>
      </c>
      <c r="M4455" t="s">
        <v>117</v>
      </c>
    </row>
    <row r="4456" spans="1:13" x14ac:dyDescent="0.2">
      <c r="A4456">
        <v>838717</v>
      </c>
      <c r="B4456" s="2">
        <v>44655</v>
      </c>
      <c r="C4456">
        <v>55679</v>
      </c>
      <c r="D4456" t="s">
        <v>63</v>
      </c>
      <c r="E4456" t="s">
        <v>68</v>
      </c>
      <c r="F4456" t="s">
        <v>69</v>
      </c>
      <c r="G4456">
        <v>4</v>
      </c>
      <c r="H4456">
        <v>17.489999999999998</v>
      </c>
      <c r="I4456">
        <v>0.3</v>
      </c>
      <c r="J4456">
        <v>48.97</v>
      </c>
      <c r="K4456" t="s">
        <v>16</v>
      </c>
      <c r="L4456" t="s">
        <v>17</v>
      </c>
      <c r="M4456" t="s">
        <v>18</v>
      </c>
    </row>
    <row r="4457" spans="1:13" x14ac:dyDescent="0.2">
      <c r="A4457">
        <v>838818</v>
      </c>
      <c r="B4457" s="1">
        <v>44679</v>
      </c>
      <c r="C4457">
        <v>61219</v>
      </c>
      <c r="D4457" t="s">
        <v>25</v>
      </c>
      <c r="E4457" t="s">
        <v>70</v>
      </c>
      <c r="F4457" t="s">
        <v>71</v>
      </c>
      <c r="G4457">
        <v>4</v>
      </c>
      <c r="H4457">
        <v>62.99</v>
      </c>
      <c r="J4457">
        <v>251.96</v>
      </c>
      <c r="K4457" t="s">
        <v>16</v>
      </c>
      <c r="L4457" t="s">
        <v>17</v>
      </c>
      <c r="M4457" t="s">
        <v>57</v>
      </c>
    </row>
    <row r="4458" spans="1:13" x14ac:dyDescent="0.2">
      <c r="A4458">
        <v>838824</v>
      </c>
      <c r="B4458" s="2">
        <v>45556</v>
      </c>
      <c r="C4458">
        <v>79048</v>
      </c>
      <c r="D4458" t="s">
        <v>97</v>
      </c>
      <c r="E4458" t="s">
        <v>193</v>
      </c>
      <c r="F4458" t="s">
        <v>194</v>
      </c>
      <c r="G4458">
        <v>3</v>
      </c>
      <c r="H4458">
        <v>64.989999999999995</v>
      </c>
      <c r="J4458">
        <v>194.97</v>
      </c>
      <c r="K4458" t="s">
        <v>16</v>
      </c>
      <c r="L4458" t="s">
        <v>23</v>
      </c>
      <c r="M4458" t="s">
        <v>161</v>
      </c>
    </row>
    <row r="4459" spans="1:13" x14ac:dyDescent="0.2">
      <c r="A4459">
        <v>839044</v>
      </c>
      <c r="B4459" s="1">
        <v>45159</v>
      </c>
      <c r="C4459">
        <v>29997</v>
      </c>
      <c r="D4459" t="s">
        <v>29</v>
      </c>
      <c r="E4459" t="s">
        <v>88</v>
      </c>
      <c r="F4459" t="s">
        <v>89</v>
      </c>
      <c r="G4459">
        <v>5</v>
      </c>
      <c r="H4459">
        <v>42.49</v>
      </c>
      <c r="I4459">
        <v>0.15</v>
      </c>
      <c r="J4459">
        <v>180.58</v>
      </c>
      <c r="K4459" t="s">
        <v>36</v>
      </c>
      <c r="L4459" t="s">
        <v>17</v>
      </c>
      <c r="M4459" t="s">
        <v>28</v>
      </c>
    </row>
    <row r="4460" spans="1:13" x14ac:dyDescent="0.2">
      <c r="A4460">
        <v>839142</v>
      </c>
      <c r="B4460" s="2">
        <v>45022</v>
      </c>
      <c r="C4460">
        <v>55718</v>
      </c>
      <c r="D4460" t="s">
        <v>29</v>
      </c>
      <c r="E4460" t="s">
        <v>175</v>
      </c>
      <c r="F4460" t="s">
        <v>176</v>
      </c>
      <c r="G4460">
        <v>4</v>
      </c>
      <c r="H4460">
        <v>10.79</v>
      </c>
      <c r="I4460">
        <v>0.1</v>
      </c>
      <c r="J4460">
        <v>38.840000000000003</v>
      </c>
      <c r="K4460" t="s">
        <v>16</v>
      </c>
      <c r="L4460" t="s">
        <v>37</v>
      </c>
      <c r="M4460" t="s">
        <v>81</v>
      </c>
    </row>
    <row r="4461" spans="1:13" x14ac:dyDescent="0.2">
      <c r="A4461">
        <v>839416</v>
      </c>
      <c r="B4461" s="1">
        <v>44979</v>
      </c>
      <c r="C4461">
        <v>46607</v>
      </c>
      <c r="D4461" t="s">
        <v>63</v>
      </c>
      <c r="E4461" t="s">
        <v>111</v>
      </c>
      <c r="F4461" t="s">
        <v>112</v>
      </c>
      <c r="G4461">
        <v>3</v>
      </c>
      <c r="H4461">
        <v>14.99</v>
      </c>
      <c r="J4461">
        <v>44.97</v>
      </c>
      <c r="K4461" t="s">
        <v>16</v>
      </c>
      <c r="L4461" t="s">
        <v>37</v>
      </c>
      <c r="M4461" t="s">
        <v>90</v>
      </c>
    </row>
    <row r="4462" spans="1:13" x14ac:dyDescent="0.2">
      <c r="A4462">
        <v>839520</v>
      </c>
      <c r="B4462" s="1">
        <v>45395</v>
      </c>
      <c r="C4462">
        <v>38371</v>
      </c>
      <c r="D4462" t="s">
        <v>13</v>
      </c>
      <c r="E4462" t="s">
        <v>127</v>
      </c>
      <c r="F4462" t="s">
        <v>128</v>
      </c>
      <c r="G4462">
        <v>1</v>
      </c>
      <c r="H4462">
        <v>16.989999999999998</v>
      </c>
      <c r="I4462">
        <v>0.15</v>
      </c>
      <c r="J4462">
        <v>14.44</v>
      </c>
      <c r="K4462" t="s">
        <v>16</v>
      </c>
      <c r="L4462" t="s">
        <v>37</v>
      </c>
      <c r="M4462" t="s">
        <v>62</v>
      </c>
    </row>
    <row r="4463" spans="1:13" x14ac:dyDescent="0.2">
      <c r="A4463">
        <v>839792</v>
      </c>
      <c r="B4463" s="1">
        <v>45612</v>
      </c>
      <c r="C4463">
        <v>13159</v>
      </c>
      <c r="D4463" t="s">
        <v>82</v>
      </c>
      <c r="E4463" t="s">
        <v>147</v>
      </c>
      <c r="F4463" t="s">
        <v>148</v>
      </c>
      <c r="G4463">
        <v>2</v>
      </c>
      <c r="H4463">
        <v>11.69</v>
      </c>
      <c r="I4463">
        <v>0.1</v>
      </c>
      <c r="J4463">
        <v>21.04</v>
      </c>
      <c r="K4463" t="s">
        <v>16</v>
      </c>
      <c r="L4463" t="s">
        <v>17</v>
      </c>
      <c r="M4463" t="s">
        <v>96</v>
      </c>
    </row>
    <row r="4464" spans="1:13" x14ac:dyDescent="0.2">
      <c r="A4464">
        <v>839857</v>
      </c>
      <c r="B4464" s="1">
        <v>45012</v>
      </c>
      <c r="C4464">
        <v>81235</v>
      </c>
      <c r="D4464" t="s">
        <v>97</v>
      </c>
      <c r="E4464" t="s">
        <v>181</v>
      </c>
      <c r="F4464" t="s">
        <v>182</v>
      </c>
      <c r="G4464">
        <v>4</v>
      </c>
      <c r="H4464">
        <v>14.99</v>
      </c>
      <c r="J4464">
        <v>59.96</v>
      </c>
      <c r="K4464" t="s">
        <v>36</v>
      </c>
      <c r="L4464" t="s">
        <v>37</v>
      </c>
      <c r="M4464" t="s">
        <v>57</v>
      </c>
    </row>
    <row r="4465" spans="1:13" x14ac:dyDescent="0.2">
      <c r="A4465">
        <v>840067</v>
      </c>
      <c r="B4465" s="1">
        <v>45080</v>
      </c>
      <c r="C4465">
        <v>83493</v>
      </c>
      <c r="D4465" t="s">
        <v>25</v>
      </c>
      <c r="E4465" t="s">
        <v>60</v>
      </c>
      <c r="F4465" t="s">
        <v>61</v>
      </c>
      <c r="G4465">
        <v>1</v>
      </c>
      <c r="H4465">
        <v>49.49</v>
      </c>
      <c r="I4465">
        <v>0.1</v>
      </c>
      <c r="J4465">
        <v>44.54</v>
      </c>
      <c r="K4465" t="s">
        <v>53</v>
      </c>
      <c r="L4465" t="s">
        <v>37</v>
      </c>
      <c r="M4465" t="s">
        <v>28</v>
      </c>
    </row>
    <row r="4466" spans="1:13" x14ac:dyDescent="0.2">
      <c r="A4466">
        <v>840285</v>
      </c>
      <c r="B4466" s="1">
        <v>45473</v>
      </c>
      <c r="C4466">
        <v>32591</v>
      </c>
      <c r="D4466" t="s">
        <v>82</v>
      </c>
      <c r="E4466" t="s">
        <v>147</v>
      </c>
      <c r="F4466" t="s">
        <v>148</v>
      </c>
      <c r="G4466">
        <v>2</v>
      </c>
      <c r="H4466">
        <v>12.99</v>
      </c>
      <c r="J4466">
        <v>25.98</v>
      </c>
      <c r="K4466" t="s">
        <v>66</v>
      </c>
      <c r="L4466" t="s">
        <v>17</v>
      </c>
      <c r="M4466" t="s">
        <v>96</v>
      </c>
    </row>
    <row r="4467" spans="1:13" x14ac:dyDescent="0.2">
      <c r="A4467">
        <v>840297</v>
      </c>
      <c r="B4467" s="1">
        <v>44772</v>
      </c>
      <c r="D4467" t="s">
        <v>13</v>
      </c>
      <c r="E4467" t="s">
        <v>186</v>
      </c>
      <c r="F4467" t="s">
        <v>187</v>
      </c>
      <c r="G4467">
        <v>1</v>
      </c>
      <c r="H4467">
        <v>39.99</v>
      </c>
      <c r="I4467">
        <v>0.2</v>
      </c>
      <c r="J4467">
        <v>31.99</v>
      </c>
      <c r="K4467" t="s">
        <v>95</v>
      </c>
      <c r="L4467" t="s">
        <v>37</v>
      </c>
      <c r="M4467" t="s">
        <v>33</v>
      </c>
    </row>
    <row r="4468" spans="1:13" x14ac:dyDescent="0.2">
      <c r="A4468">
        <v>840434</v>
      </c>
      <c r="B4468" s="1">
        <v>45568</v>
      </c>
      <c r="C4468">
        <v>33872</v>
      </c>
      <c r="D4468" t="s">
        <v>13</v>
      </c>
      <c r="E4468" t="s">
        <v>104</v>
      </c>
      <c r="F4468" t="s">
        <v>105</v>
      </c>
      <c r="G4468">
        <v>2</v>
      </c>
      <c r="H4468">
        <v>22.49</v>
      </c>
      <c r="I4468">
        <v>0.25</v>
      </c>
      <c r="J4468">
        <v>33.74</v>
      </c>
      <c r="K4468" t="s">
        <v>22</v>
      </c>
      <c r="L4468" t="s">
        <v>17</v>
      </c>
      <c r="M4468" t="s">
        <v>81</v>
      </c>
    </row>
    <row r="4469" spans="1:13" x14ac:dyDescent="0.2">
      <c r="A4469">
        <v>840445</v>
      </c>
      <c r="B4469" s="1">
        <v>45451</v>
      </c>
      <c r="C4469">
        <v>22071</v>
      </c>
      <c r="D4469" t="s">
        <v>44</v>
      </c>
      <c r="E4469" t="s">
        <v>184</v>
      </c>
      <c r="F4469" t="s">
        <v>185</v>
      </c>
      <c r="G4469">
        <v>2</v>
      </c>
      <c r="H4469">
        <v>3.84</v>
      </c>
      <c r="I4469">
        <v>0.3</v>
      </c>
      <c r="J4469">
        <v>5.38</v>
      </c>
      <c r="K4469" t="s">
        <v>36</v>
      </c>
      <c r="L4469" t="s">
        <v>37</v>
      </c>
      <c r="M4469" t="s">
        <v>90</v>
      </c>
    </row>
    <row r="4470" spans="1:13" x14ac:dyDescent="0.2">
      <c r="A4470">
        <v>840469</v>
      </c>
      <c r="B4470" s="2">
        <v>45494</v>
      </c>
      <c r="C4470">
        <v>23538</v>
      </c>
      <c r="D4470" t="s">
        <v>48</v>
      </c>
      <c r="E4470" t="s">
        <v>179</v>
      </c>
      <c r="F4470" t="s">
        <v>180</v>
      </c>
      <c r="G4470">
        <v>1</v>
      </c>
      <c r="H4470">
        <v>11.39</v>
      </c>
      <c r="I4470">
        <v>0.05</v>
      </c>
      <c r="J4470">
        <v>10.82</v>
      </c>
      <c r="K4470" t="s">
        <v>16</v>
      </c>
      <c r="L4470" t="s">
        <v>23</v>
      </c>
      <c r="M4470" t="s">
        <v>62</v>
      </c>
    </row>
    <row r="4471" spans="1:13" x14ac:dyDescent="0.2">
      <c r="A4471">
        <v>840540</v>
      </c>
      <c r="B4471" s="1">
        <v>44834</v>
      </c>
      <c r="C4471">
        <v>35133</v>
      </c>
      <c r="D4471" t="s">
        <v>82</v>
      </c>
      <c r="E4471" t="s">
        <v>168</v>
      </c>
      <c r="F4471" t="s">
        <v>169</v>
      </c>
      <c r="G4471">
        <v>1</v>
      </c>
      <c r="H4471">
        <v>6.29</v>
      </c>
      <c r="I4471">
        <v>0.3</v>
      </c>
      <c r="J4471">
        <v>4.4000000000000004</v>
      </c>
      <c r="K4471" t="s">
        <v>16</v>
      </c>
      <c r="L4471" t="s">
        <v>37</v>
      </c>
      <c r="M4471" t="s">
        <v>54</v>
      </c>
    </row>
    <row r="4472" spans="1:13" x14ac:dyDescent="0.2">
      <c r="A4472">
        <v>840585</v>
      </c>
      <c r="B4472" s="1">
        <v>45033</v>
      </c>
      <c r="C4472">
        <v>41777</v>
      </c>
      <c r="D4472" t="s">
        <v>25</v>
      </c>
      <c r="E4472" t="s">
        <v>26</v>
      </c>
      <c r="F4472" t="s">
        <v>27</v>
      </c>
      <c r="G4472">
        <v>5</v>
      </c>
      <c r="H4472">
        <v>34.99</v>
      </c>
      <c r="J4472">
        <v>174.95</v>
      </c>
      <c r="K4472" t="s">
        <v>36</v>
      </c>
      <c r="L4472" t="s">
        <v>17</v>
      </c>
      <c r="M4472" t="s">
        <v>96</v>
      </c>
    </row>
    <row r="4473" spans="1:13" x14ac:dyDescent="0.2">
      <c r="A4473">
        <v>840734</v>
      </c>
      <c r="B4473" s="1">
        <v>45035</v>
      </c>
      <c r="C4473">
        <v>71069</v>
      </c>
      <c r="D4473" t="s">
        <v>97</v>
      </c>
      <c r="E4473" t="s">
        <v>141</v>
      </c>
      <c r="F4473" t="s">
        <v>142</v>
      </c>
      <c r="G4473">
        <v>3</v>
      </c>
      <c r="H4473">
        <v>18.39</v>
      </c>
      <c r="I4473">
        <v>0.2</v>
      </c>
      <c r="J4473">
        <v>44.14</v>
      </c>
      <c r="K4473" t="s">
        <v>16</v>
      </c>
      <c r="L4473" t="s">
        <v>17</v>
      </c>
      <c r="M4473" t="s">
        <v>76</v>
      </c>
    </row>
    <row r="4474" spans="1:13" x14ac:dyDescent="0.2">
      <c r="A4474">
        <v>840756</v>
      </c>
      <c r="B4474" s="2">
        <v>45035</v>
      </c>
      <c r="C4474">
        <v>49818</v>
      </c>
      <c r="D4474" t="s">
        <v>48</v>
      </c>
      <c r="E4474" t="s">
        <v>139</v>
      </c>
      <c r="F4474" t="s">
        <v>140</v>
      </c>
      <c r="G4474">
        <v>1</v>
      </c>
      <c r="H4474">
        <v>7.59</v>
      </c>
      <c r="I4474">
        <v>0.05</v>
      </c>
      <c r="J4474">
        <v>7.21</v>
      </c>
      <c r="K4474" t="s">
        <v>36</v>
      </c>
      <c r="L4474" t="s">
        <v>23</v>
      </c>
      <c r="M4474" t="s">
        <v>54</v>
      </c>
    </row>
    <row r="4475" spans="1:13" x14ac:dyDescent="0.2">
      <c r="A4475">
        <v>840796</v>
      </c>
      <c r="B4475" s="1">
        <v>45582</v>
      </c>
      <c r="C4475">
        <v>23599</v>
      </c>
      <c r="D4475" t="s">
        <v>25</v>
      </c>
      <c r="E4475" t="s">
        <v>70</v>
      </c>
      <c r="F4475" t="s">
        <v>71</v>
      </c>
      <c r="G4475">
        <v>3</v>
      </c>
      <c r="H4475">
        <v>62.99</v>
      </c>
      <c r="I4475">
        <v>0.3</v>
      </c>
      <c r="J4475">
        <v>132.28</v>
      </c>
      <c r="K4475" t="s">
        <v>16</v>
      </c>
      <c r="L4475" t="s">
        <v>17</v>
      </c>
      <c r="M4475" t="s">
        <v>161</v>
      </c>
    </row>
    <row r="4476" spans="1:13" x14ac:dyDescent="0.2">
      <c r="A4476">
        <v>841245</v>
      </c>
      <c r="B4476" s="1">
        <v>45517</v>
      </c>
      <c r="C4476">
        <v>60135</v>
      </c>
      <c r="D4476" t="s">
        <v>40</v>
      </c>
      <c r="E4476" t="s">
        <v>41</v>
      </c>
      <c r="F4476" t="s">
        <v>42</v>
      </c>
      <c r="G4476">
        <v>3</v>
      </c>
      <c r="H4476">
        <v>5.09</v>
      </c>
      <c r="I4476">
        <v>0.15</v>
      </c>
      <c r="J4476">
        <v>12.98</v>
      </c>
      <c r="K4476" t="s">
        <v>53</v>
      </c>
      <c r="L4476" t="s">
        <v>17</v>
      </c>
      <c r="M4476" t="s">
        <v>102</v>
      </c>
    </row>
    <row r="4477" spans="1:13" x14ac:dyDescent="0.2">
      <c r="A4477">
        <v>841482</v>
      </c>
      <c r="B4477" s="1">
        <v>44714</v>
      </c>
      <c r="C4477">
        <v>58030</v>
      </c>
      <c r="D4477" t="s">
        <v>82</v>
      </c>
      <c r="E4477" t="s">
        <v>168</v>
      </c>
      <c r="F4477" t="s">
        <v>169</v>
      </c>
      <c r="G4477">
        <v>1</v>
      </c>
      <c r="H4477">
        <v>6.74</v>
      </c>
      <c r="I4477">
        <v>0.25</v>
      </c>
      <c r="J4477">
        <v>5.0599999999999996</v>
      </c>
      <c r="K4477" t="s">
        <v>16</v>
      </c>
      <c r="L4477" t="s">
        <v>23</v>
      </c>
    </row>
    <row r="4478" spans="1:13" x14ac:dyDescent="0.2">
      <c r="A4478">
        <v>841635</v>
      </c>
      <c r="B4478" s="1">
        <v>45482</v>
      </c>
      <c r="C4478">
        <v>30958</v>
      </c>
      <c r="D4478" t="s">
        <v>97</v>
      </c>
      <c r="E4478" t="s">
        <v>121</v>
      </c>
      <c r="F4478" t="s">
        <v>122</v>
      </c>
      <c r="G4478">
        <v>1</v>
      </c>
      <c r="H4478">
        <v>11.04</v>
      </c>
      <c r="I4478">
        <v>0.15</v>
      </c>
      <c r="J4478">
        <v>9.3800000000000008</v>
      </c>
      <c r="K4478" t="s">
        <v>36</v>
      </c>
      <c r="L4478" t="s">
        <v>37</v>
      </c>
    </row>
    <row r="4479" spans="1:13" x14ac:dyDescent="0.2">
      <c r="A4479">
        <v>841856</v>
      </c>
      <c r="B4479" s="2">
        <v>44887</v>
      </c>
      <c r="C4479">
        <v>12410</v>
      </c>
      <c r="D4479" t="s">
        <v>85</v>
      </c>
      <c r="E4479" t="s">
        <v>149</v>
      </c>
      <c r="F4479" t="s">
        <v>150</v>
      </c>
      <c r="G4479">
        <v>1</v>
      </c>
      <c r="H4479">
        <v>13.99</v>
      </c>
      <c r="I4479">
        <v>0.3</v>
      </c>
      <c r="J4479">
        <v>9.7899999999999991</v>
      </c>
      <c r="K4479" t="s">
        <v>22</v>
      </c>
      <c r="L4479" t="s">
        <v>17</v>
      </c>
      <c r="M4479" t="s">
        <v>47</v>
      </c>
    </row>
    <row r="4480" spans="1:13" x14ac:dyDescent="0.2">
      <c r="A4480">
        <v>842070</v>
      </c>
      <c r="B4480" s="1">
        <v>45219</v>
      </c>
      <c r="C4480">
        <v>33895</v>
      </c>
      <c r="D4480" t="s">
        <v>25</v>
      </c>
      <c r="E4480" t="s">
        <v>70</v>
      </c>
      <c r="F4480" t="s">
        <v>71</v>
      </c>
      <c r="G4480">
        <v>2</v>
      </c>
      <c r="H4480">
        <v>62.99</v>
      </c>
      <c r="I4480">
        <v>0.3</v>
      </c>
      <c r="J4480">
        <v>88.19</v>
      </c>
      <c r="K4480" t="s">
        <v>36</v>
      </c>
      <c r="L4480" t="s">
        <v>17</v>
      </c>
      <c r="M4480" t="s">
        <v>28</v>
      </c>
    </row>
    <row r="4481" spans="1:13" x14ac:dyDescent="0.2">
      <c r="A4481">
        <v>842391</v>
      </c>
      <c r="B4481" s="1">
        <v>45572</v>
      </c>
      <c r="D4481" t="s">
        <v>82</v>
      </c>
      <c r="E4481" t="s">
        <v>83</v>
      </c>
      <c r="F4481" t="s">
        <v>84</v>
      </c>
      <c r="G4481">
        <v>2</v>
      </c>
      <c r="H4481">
        <v>12.74</v>
      </c>
      <c r="I4481">
        <v>0.25</v>
      </c>
      <c r="J4481">
        <v>19.11</v>
      </c>
      <c r="K4481" t="s">
        <v>16</v>
      </c>
      <c r="L4481" t="s">
        <v>17</v>
      </c>
      <c r="M4481" t="s">
        <v>123</v>
      </c>
    </row>
    <row r="4482" spans="1:13" x14ac:dyDescent="0.2">
      <c r="A4482">
        <v>842561</v>
      </c>
      <c r="B4482" s="1">
        <v>44596</v>
      </c>
      <c r="C4482">
        <v>99449</v>
      </c>
      <c r="D4482" t="s">
        <v>25</v>
      </c>
      <c r="E4482" t="s">
        <v>26</v>
      </c>
      <c r="F4482" t="s">
        <v>27</v>
      </c>
      <c r="G4482">
        <v>1</v>
      </c>
      <c r="H4482">
        <v>26.24</v>
      </c>
      <c r="I4482">
        <v>0.25</v>
      </c>
      <c r="J4482">
        <v>19.68</v>
      </c>
      <c r="K4482" t="s">
        <v>32</v>
      </c>
      <c r="L4482" t="s">
        <v>37</v>
      </c>
      <c r="M4482" t="s">
        <v>24</v>
      </c>
    </row>
    <row r="4483" spans="1:13" x14ac:dyDescent="0.2">
      <c r="A4483">
        <v>842575</v>
      </c>
      <c r="B4483" s="2">
        <v>45461</v>
      </c>
      <c r="C4483">
        <v>31125</v>
      </c>
      <c r="D4483" t="s">
        <v>48</v>
      </c>
      <c r="E4483" t="s">
        <v>49</v>
      </c>
      <c r="F4483" t="s">
        <v>50</v>
      </c>
      <c r="G4483">
        <v>3</v>
      </c>
      <c r="H4483">
        <v>8.99</v>
      </c>
      <c r="J4483">
        <v>26.97</v>
      </c>
      <c r="K4483" t="s">
        <v>32</v>
      </c>
      <c r="L4483" t="s">
        <v>23</v>
      </c>
      <c r="M4483" t="s">
        <v>117</v>
      </c>
    </row>
    <row r="4484" spans="1:13" x14ac:dyDescent="0.2">
      <c r="A4484">
        <v>842826</v>
      </c>
      <c r="B4484" s="1">
        <v>45632</v>
      </c>
      <c r="C4484">
        <v>32185</v>
      </c>
      <c r="D4484" t="s">
        <v>40</v>
      </c>
      <c r="E4484" t="s">
        <v>197</v>
      </c>
      <c r="F4484" t="s">
        <v>198</v>
      </c>
      <c r="G4484">
        <v>1</v>
      </c>
      <c r="H4484">
        <v>11.24</v>
      </c>
      <c r="I4484">
        <v>0.25</v>
      </c>
      <c r="J4484">
        <v>8.43</v>
      </c>
      <c r="K4484" t="s">
        <v>32</v>
      </c>
      <c r="L4484" t="s">
        <v>37</v>
      </c>
    </row>
    <row r="4485" spans="1:13" x14ac:dyDescent="0.2">
      <c r="A4485">
        <v>843787</v>
      </c>
      <c r="B4485" s="2">
        <v>45368</v>
      </c>
      <c r="C4485">
        <v>36137</v>
      </c>
      <c r="D4485" t="s">
        <v>48</v>
      </c>
      <c r="E4485" t="s">
        <v>139</v>
      </c>
      <c r="F4485" t="s">
        <v>140</v>
      </c>
      <c r="G4485">
        <v>3</v>
      </c>
      <c r="H4485">
        <v>6.39</v>
      </c>
      <c r="I4485">
        <v>0.2</v>
      </c>
      <c r="J4485">
        <v>15.34</v>
      </c>
      <c r="K4485" t="s">
        <v>22</v>
      </c>
      <c r="L4485" t="s">
        <v>17</v>
      </c>
      <c r="M4485" t="s">
        <v>28</v>
      </c>
    </row>
    <row r="4486" spans="1:13" x14ac:dyDescent="0.2">
      <c r="A4486">
        <v>843872</v>
      </c>
      <c r="B4486" s="1">
        <v>45093</v>
      </c>
      <c r="C4486">
        <v>27604</v>
      </c>
      <c r="D4486" t="s">
        <v>48</v>
      </c>
      <c r="E4486" t="s">
        <v>109</v>
      </c>
      <c r="F4486" t="s">
        <v>110</v>
      </c>
      <c r="G4486">
        <v>1</v>
      </c>
      <c r="H4486">
        <v>6.64</v>
      </c>
      <c r="I4486">
        <v>0.05</v>
      </c>
      <c r="J4486">
        <v>6.31</v>
      </c>
      <c r="K4486" t="s">
        <v>36</v>
      </c>
      <c r="L4486" t="s">
        <v>17</v>
      </c>
      <c r="M4486" t="s">
        <v>90</v>
      </c>
    </row>
    <row r="4487" spans="1:13" x14ac:dyDescent="0.2">
      <c r="A4487">
        <v>844281</v>
      </c>
      <c r="B4487" s="1">
        <v>45163</v>
      </c>
      <c r="C4487">
        <v>82195</v>
      </c>
      <c r="D4487" t="s">
        <v>48</v>
      </c>
      <c r="E4487" t="s">
        <v>179</v>
      </c>
      <c r="F4487" t="s">
        <v>180</v>
      </c>
      <c r="G4487">
        <v>1</v>
      </c>
      <c r="H4487">
        <v>8.99</v>
      </c>
      <c r="I4487">
        <v>0.25</v>
      </c>
      <c r="J4487">
        <v>6.74</v>
      </c>
      <c r="K4487" t="s">
        <v>66</v>
      </c>
      <c r="L4487" t="s">
        <v>17</v>
      </c>
      <c r="M4487" t="s">
        <v>161</v>
      </c>
    </row>
    <row r="4488" spans="1:13" x14ac:dyDescent="0.2">
      <c r="A4488">
        <v>844341</v>
      </c>
      <c r="B4488" s="1">
        <v>45480</v>
      </c>
      <c r="C4488">
        <v>46612</v>
      </c>
      <c r="D4488" t="s">
        <v>48</v>
      </c>
      <c r="E4488" t="s">
        <v>49</v>
      </c>
      <c r="F4488" t="s">
        <v>50</v>
      </c>
      <c r="G4488">
        <v>1</v>
      </c>
      <c r="H4488">
        <v>8.5399999999999991</v>
      </c>
      <c r="I4488">
        <v>0.05</v>
      </c>
      <c r="J4488">
        <v>8.11</v>
      </c>
      <c r="K4488" t="s">
        <v>22</v>
      </c>
      <c r="L4488" t="s">
        <v>17</v>
      </c>
      <c r="M4488" t="s">
        <v>76</v>
      </c>
    </row>
    <row r="4489" spans="1:13" x14ac:dyDescent="0.2">
      <c r="A4489">
        <v>844615</v>
      </c>
      <c r="B4489" s="2">
        <v>44704</v>
      </c>
      <c r="C4489">
        <v>58577</v>
      </c>
      <c r="D4489" t="s">
        <v>174</v>
      </c>
      <c r="E4489" t="s">
        <v>86</v>
      </c>
      <c r="F4489" t="s">
        <v>87</v>
      </c>
      <c r="G4489">
        <v>4</v>
      </c>
      <c r="H4489">
        <v>11.04</v>
      </c>
      <c r="I4489">
        <v>0.15</v>
      </c>
      <c r="J4489">
        <v>37.54</v>
      </c>
      <c r="K4489" t="s">
        <v>53</v>
      </c>
      <c r="L4489" t="s">
        <v>17</v>
      </c>
      <c r="M4489" t="s">
        <v>62</v>
      </c>
    </row>
    <row r="4490" spans="1:13" x14ac:dyDescent="0.2">
      <c r="A4490">
        <v>844669</v>
      </c>
      <c r="B4490" s="2">
        <v>45090</v>
      </c>
      <c r="C4490">
        <v>95634</v>
      </c>
      <c r="D4490" t="s">
        <v>25</v>
      </c>
      <c r="E4490" t="s">
        <v>70</v>
      </c>
      <c r="F4490" t="s">
        <v>71</v>
      </c>
      <c r="G4490">
        <v>3</v>
      </c>
      <c r="H4490">
        <v>71.989999999999995</v>
      </c>
      <c r="I4490">
        <v>0.2</v>
      </c>
      <c r="J4490">
        <v>172.78</v>
      </c>
      <c r="K4490" t="s">
        <v>16</v>
      </c>
      <c r="L4490" t="s">
        <v>17</v>
      </c>
      <c r="M4490" t="s">
        <v>102</v>
      </c>
    </row>
    <row r="4491" spans="1:13" x14ac:dyDescent="0.2">
      <c r="A4491">
        <v>844978</v>
      </c>
      <c r="B4491" s="1">
        <v>45250</v>
      </c>
      <c r="C4491">
        <v>82401</v>
      </c>
      <c r="D4491" t="s">
        <v>13</v>
      </c>
      <c r="E4491" t="s">
        <v>186</v>
      </c>
      <c r="F4491" t="s">
        <v>187</v>
      </c>
      <c r="G4491">
        <v>4</v>
      </c>
      <c r="H4491">
        <v>49.99</v>
      </c>
      <c r="J4491">
        <v>199.96</v>
      </c>
      <c r="K4491" t="s">
        <v>16</v>
      </c>
      <c r="L4491" t="s">
        <v>37</v>
      </c>
      <c r="M4491" t="s">
        <v>18</v>
      </c>
    </row>
    <row r="4492" spans="1:13" x14ac:dyDescent="0.2">
      <c r="A4492">
        <v>845459</v>
      </c>
      <c r="B4492" s="1">
        <v>45606</v>
      </c>
      <c r="C4492">
        <v>51175</v>
      </c>
      <c r="D4492" t="s">
        <v>25</v>
      </c>
      <c r="E4492" t="s">
        <v>113</v>
      </c>
      <c r="F4492" t="s">
        <v>114</v>
      </c>
      <c r="G4492">
        <v>1</v>
      </c>
      <c r="H4492">
        <v>113.99</v>
      </c>
      <c r="I4492">
        <v>0.05</v>
      </c>
      <c r="J4492">
        <v>108.29</v>
      </c>
      <c r="K4492" t="s">
        <v>22</v>
      </c>
      <c r="L4492" t="s">
        <v>17</v>
      </c>
      <c r="M4492" t="s">
        <v>103</v>
      </c>
    </row>
    <row r="4493" spans="1:13" x14ac:dyDescent="0.2">
      <c r="A4493">
        <v>845681</v>
      </c>
      <c r="B4493" s="2">
        <v>44982</v>
      </c>
      <c r="C4493">
        <v>21355</v>
      </c>
      <c r="D4493" t="s">
        <v>25</v>
      </c>
      <c r="E4493" t="s">
        <v>51</v>
      </c>
      <c r="F4493" t="s">
        <v>52</v>
      </c>
      <c r="G4493">
        <v>4</v>
      </c>
      <c r="H4493">
        <v>25.19</v>
      </c>
      <c r="I4493">
        <v>0.1</v>
      </c>
      <c r="J4493">
        <v>90.68</v>
      </c>
      <c r="K4493" t="s">
        <v>16</v>
      </c>
      <c r="L4493" t="s">
        <v>17</v>
      </c>
      <c r="M4493" t="s">
        <v>96</v>
      </c>
    </row>
    <row r="4494" spans="1:13" x14ac:dyDescent="0.2">
      <c r="A4494">
        <v>845793</v>
      </c>
      <c r="B4494" s="1">
        <v>44875</v>
      </c>
      <c r="C4494">
        <v>84773</v>
      </c>
      <c r="D4494" t="s">
        <v>25</v>
      </c>
      <c r="E4494" t="s">
        <v>26</v>
      </c>
      <c r="F4494" t="s">
        <v>27</v>
      </c>
      <c r="G4494">
        <v>2</v>
      </c>
      <c r="H4494">
        <v>29.74</v>
      </c>
      <c r="I4494">
        <v>0.15</v>
      </c>
      <c r="J4494">
        <v>50.56</v>
      </c>
      <c r="K4494" t="s">
        <v>36</v>
      </c>
      <c r="L4494" t="s">
        <v>17</v>
      </c>
      <c r="M4494" t="s">
        <v>90</v>
      </c>
    </row>
    <row r="4495" spans="1:13" x14ac:dyDescent="0.2">
      <c r="A4495">
        <v>846003</v>
      </c>
      <c r="B4495" s="1">
        <v>44755</v>
      </c>
      <c r="C4495">
        <v>39022</v>
      </c>
      <c r="D4495" t="s">
        <v>44</v>
      </c>
      <c r="E4495" t="s">
        <v>133</v>
      </c>
      <c r="F4495" t="s">
        <v>134</v>
      </c>
      <c r="G4495">
        <v>1</v>
      </c>
      <c r="H4495">
        <v>3.22</v>
      </c>
      <c r="I4495">
        <v>0.15</v>
      </c>
      <c r="J4495">
        <v>2.74</v>
      </c>
      <c r="K4495" t="s">
        <v>22</v>
      </c>
      <c r="L4495" t="s">
        <v>37</v>
      </c>
      <c r="M4495" t="s">
        <v>90</v>
      </c>
    </row>
    <row r="4496" spans="1:13" x14ac:dyDescent="0.2">
      <c r="A4496">
        <v>846068</v>
      </c>
      <c r="B4496" s="1">
        <v>44772</v>
      </c>
      <c r="C4496">
        <v>46978</v>
      </c>
      <c r="D4496" t="s">
        <v>13</v>
      </c>
      <c r="E4496" t="s">
        <v>34</v>
      </c>
      <c r="F4496" t="s">
        <v>35</v>
      </c>
      <c r="G4496">
        <v>1</v>
      </c>
      <c r="H4496">
        <v>34.99</v>
      </c>
      <c r="J4496">
        <v>34.99</v>
      </c>
      <c r="K4496" t="s">
        <v>16</v>
      </c>
      <c r="L4496" t="s">
        <v>17</v>
      </c>
      <c r="M4496" t="s">
        <v>103</v>
      </c>
    </row>
    <row r="4497" spans="1:13" x14ac:dyDescent="0.2">
      <c r="A4497">
        <v>846154</v>
      </c>
      <c r="B4497" s="1">
        <v>45443</v>
      </c>
      <c r="C4497">
        <v>76644</v>
      </c>
      <c r="D4497" t="s">
        <v>48</v>
      </c>
      <c r="E4497" t="s">
        <v>143</v>
      </c>
      <c r="F4497" t="s">
        <v>144</v>
      </c>
      <c r="G4497">
        <v>5</v>
      </c>
      <c r="H4497">
        <v>14.24</v>
      </c>
      <c r="I4497">
        <v>0.05</v>
      </c>
      <c r="J4497">
        <v>67.64</v>
      </c>
      <c r="K4497" t="s">
        <v>53</v>
      </c>
      <c r="L4497" t="s">
        <v>17</v>
      </c>
      <c r="M4497" t="s">
        <v>123</v>
      </c>
    </row>
    <row r="4498" spans="1:13" x14ac:dyDescent="0.2">
      <c r="A4498">
        <v>846216</v>
      </c>
      <c r="B4498" s="1">
        <v>45496</v>
      </c>
      <c r="C4498">
        <v>32954</v>
      </c>
      <c r="D4498" t="s">
        <v>13</v>
      </c>
      <c r="E4498" t="s">
        <v>14</v>
      </c>
      <c r="F4498" t="s">
        <v>15</v>
      </c>
      <c r="G4498">
        <v>3</v>
      </c>
      <c r="H4498">
        <v>67.989999999999995</v>
      </c>
      <c r="I4498">
        <v>0.15</v>
      </c>
      <c r="J4498">
        <v>173.37</v>
      </c>
      <c r="K4498" t="s">
        <v>32</v>
      </c>
      <c r="L4498" t="s">
        <v>17</v>
      </c>
      <c r="M4498" t="s">
        <v>81</v>
      </c>
    </row>
    <row r="4499" spans="1:13" x14ac:dyDescent="0.2">
      <c r="A4499">
        <v>846503</v>
      </c>
      <c r="B4499" s="1">
        <v>45618</v>
      </c>
      <c r="C4499">
        <v>62473</v>
      </c>
      <c r="D4499" t="s">
        <v>29</v>
      </c>
      <c r="E4499" t="s">
        <v>88</v>
      </c>
      <c r="F4499" t="s">
        <v>89</v>
      </c>
      <c r="G4499">
        <v>3</v>
      </c>
      <c r="H4499">
        <v>47.49</v>
      </c>
      <c r="J4499">
        <v>142.47</v>
      </c>
      <c r="K4499" t="s">
        <v>16</v>
      </c>
      <c r="L4499" t="s">
        <v>23</v>
      </c>
      <c r="M4499" t="s">
        <v>33</v>
      </c>
    </row>
    <row r="4500" spans="1:13" x14ac:dyDescent="0.2">
      <c r="A4500">
        <v>846515</v>
      </c>
      <c r="B4500" s="1">
        <v>45198</v>
      </c>
      <c r="C4500">
        <v>83530</v>
      </c>
      <c r="D4500" t="s">
        <v>85</v>
      </c>
      <c r="E4500" t="s">
        <v>137</v>
      </c>
      <c r="F4500" t="s">
        <v>138</v>
      </c>
      <c r="G4500">
        <v>1</v>
      </c>
      <c r="H4500">
        <v>7.99</v>
      </c>
      <c r="J4500">
        <v>7.99</v>
      </c>
      <c r="K4500" t="s">
        <v>16</v>
      </c>
      <c r="L4500" t="s">
        <v>17</v>
      </c>
      <c r="M4500" t="s">
        <v>54</v>
      </c>
    </row>
    <row r="4501" spans="1:13" x14ac:dyDescent="0.2">
      <c r="A4501">
        <v>846569</v>
      </c>
      <c r="B4501" s="1">
        <v>45257</v>
      </c>
      <c r="C4501">
        <v>36745</v>
      </c>
      <c r="D4501" t="s">
        <v>85</v>
      </c>
      <c r="E4501" t="s">
        <v>149</v>
      </c>
      <c r="F4501" t="s">
        <v>150</v>
      </c>
      <c r="G4501">
        <v>4</v>
      </c>
      <c r="H4501">
        <v>19.989999999999998</v>
      </c>
      <c r="J4501">
        <v>79.959999999999994</v>
      </c>
      <c r="K4501" t="s">
        <v>36</v>
      </c>
      <c r="L4501" t="s">
        <v>17</v>
      </c>
      <c r="M4501" t="s">
        <v>102</v>
      </c>
    </row>
    <row r="4502" spans="1:13" x14ac:dyDescent="0.2">
      <c r="A4502">
        <v>846587</v>
      </c>
      <c r="B4502" s="1">
        <v>44921</v>
      </c>
      <c r="C4502">
        <v>43807</v>
      </c>
      <c r="D4502" t="s">
        <v>97</v>
      </c>
      <c r="E4502" t="s">
        <v>135</v>
      </c>
      <c r="F4502" t="s">
        <v>136</v>
      </c>
      <c r="G4502">
        <v>2</v>
      </c>
      <c r="H4502">
        <v>9.49</v>
      </c>
      <c r="I4502">
        <v>0.05</v>
      </c>
      <c r="J4502">
        <v>18.03</v>
      </c>
      <c r="K4502" t="s">
        <v>95</v>
      </c>
      <c r="L4502" t="s">
        <v>17</v>
      </c>
      <c r="M4502" t="s">
        <v>90</v>
      </c>
    </row>
    <row r="4503" spans="1:13" x14ac:dyDescent="0.2">
      <c r="A4503">
        <v>846638</v>
      </c>
      <c r="B4503" s="1">
        <v>45174</v>
      </c>
      <c r="D4503" t="s">
        <v>13</v>
      </c>
      <c r="E4503" t="s">
        <v>55</v>
      </c>
      <c r="F4503" t="s">
        <v>56</v>
      </c>
      <c r="G4503">
        <v>2</v>
      </c>
      <c r="H4503">
        <v>313.49</v>
      </c>
      <c r="I4503">
        <v>0.05</v>
      </c>
      <c r="J4503">
        <v>595.63</v>
      </c>
      <c r="K4503" t="s">
        <v>53</v>
      </c>
      <c r="L4503" t="s">
        <v>17</v>
      </c>
      <c r="M4503" t="s">
        <v>43</v>
      </c>
    </row>
    <row r="4504" spans="1:13" x14ac:dyDescent="0.2">
      <c r="A4504">
        <v>847101</v>
      </c>
      <c r="B4504" s="1">
        <v>45288</v>
      </c>
      <c r="C4504">
        <v>55184</v>
      </c>
      <c r="D4504" t="s">
        <v>164</v>
      </c>
      <c r="E4504" t="s">
        <v>30</v>
      </c>
      <c r="F4504" t="s">
        <v>31</v>
      </c>
      <c r="G4504">
        <v>2</v>
      </c>
      <c r="H4504">
        <v>24.99</v>
      </c>
      <c r="J4504">
        <v>49.98</v>
      </c>
      <c r="K4504" t="s">
        <v>16</v>
      </c>
      <c r="L4504" t="s">
        <v>37</v>
      </c>
      <c r="M4504" t="s">
        <v>57</v>
      </c>
    </row>
    <row r="4505" spans="1:13" x14ac:dyDescent="0.2">
      <c r="A4505">
        <v>847421</v>
      </c>
      <c r="B4505" s="1">
        <v>45118</v>
      </c>
      <c r="C4505">
        <v>57752</v>
      </c>
      <c r="D4505" t="s">
        <v>40</v>
      </c>
      <c r="E4505" t="s">
        <v>197</v>
      </c>
      <c r="F4505" t="s">
        <v>198</v>
      </c>
      <c r="G4505">
        <v>3</v>
      </c>
      <c r="H4505">
        <v>12.74</v>
      </c>
      <c r="I4505">
        <v>0.15</v>
      </c>
      <c r="J4505">
        <v>32.49</v>
      </c>
      <c r="K4505" t="s">
        <v>16</v>
      </c>
      <c r="L4505" t="s">
        <v>17</v>
      </c>
      <c r="M4505" t="s">
        <v>62</v>
      </c>
    </row>
    <row r="4506" spans="1:13" x14ac:dyDescent="0.2">
      <c r="A4506">
        <v>847455</v>
      </c>
      <c r="B4506" s="2">
        <v>44819</v>
      </c>
      <c r="C4506">
        <v>39029</v>
      </c>
      <c r="D4506" t="s">
        <v>63</v>
      </c>
      <c r="E4506" t="s">
        <v>111</v>
      </c>
      <c r="F4506" t="s">
        <v>112</v>
      </c>
      <c r="G4506">
        <v>2</v>
      </c>
      <c r="H4506">
        <v>10.49</v>
      </c>
      <c r="I4506">
        <v>0.3</v>
      </c>
      <c r="J4506">
        <v>14.69</v>
      </c>
      <c r="K4506" t="s">
        <v>22</v>
      </c>
      <c r="L4506" t="s">
        <v>17</v>
      </c>
      <c r="M4506" t="s">
        <v>33</v>
      </c>
    </row>
    <row r="4507" spans="1:13" x14ac:dyDescent="0.2">
      <c r="A4507">
        <v>847663</v>
      </c>
      <c r="B4507" s="1">
        <v>44658</v>
      </c>
      <c r="C4507">
        <v>43147</v>
      </c>
      <c r="D4507" t="s">
        <v>85</v>
      </c>
      <c r="E4507" t="s">
        <v>145</v>
      </c>
      <c r="F4507" t="s">
        <v>146</v>
      </c>
      <c r="G4507">
        <v>1</v>
      </c>
      <c r="H4507">
        <v>16.14</v>
      </c>
      <c r="I4507">
        <v>0.05</v>
      </c>
      <c r="J4507">
        <v>15.33</v>
      </c>
      <c r="K4507" t="s">
        <v>16</v>
      </c>
      <c r="L4507" t="s">
        <v>17</v>
      </c>
      <c r="M4507" t="s">
        <v>76</v>
      </c>
    </row>
    <row r="4508" spans="1:13" x14ac:dyDescent="0.2">
      <c r="A4508">
        <v>847815</v>
      </c>
      <c r="B4508" s="1">
        <v>44590</v>
      </c>
      <c r="C4508">
        <v>73405</v>
      </c>
      <c r="D4508" t="s">
        <v>48</v>
      </c>
      <c r="E4508" t="s">
        <v>118</v>
      </c>
      <c r="F4508" t="s">
        <v>119</v>
      </c>
      <c r="G4508">
        <v>1</v>
      </c>
      <c r="H4508">
        <v>3.49</v>
      </c>
      <c r="I4508">
        <v>0.3</v>
      </c>
      <c r="J4508">
        <v>2.44</v>
      </c>
      <c r="K4508" t="s">
        <v>36</v>
      </c>
      <c r="L4508" t="s">
        <v>23</v>
      </c>
      <c r="M4508" t="s">
        <v>18</v>
      </c>
    </row>
    <row r="4509" spans="1:13" x14ac:dyDescent="0.2">
      <c r="A4509">
        <v>847951</v>
      </c>
      <c r="B4509" s="1">
        <v>44682</v>
      </c>
      <c r="C4509">
        <v>63291</v>
      </c>
      <c r="D4509" t="s">
        <v>44</v>
      </c>
      <c r="E4509" t="s">
        <v>91</v>
      </c>
      <c r="F4509" t="s">
        <v>92</v>
      </c>
      <c r="G4509">
        <v>3</v>
      </c>
      <c r="H4509">
        <v>5.98</v>
      </c>
      <c r="I4509">
        <v>0.05</v>
      </c>
      <c r="J4509">
        <v>17.04</v>
      </c>
      <c r="K4509" t="s">
        <v>16</v>
      </c>
      <c r="L4509" t="s">
        <v>17</v>
      </c>
      <c r="M4509" t="s">
        <v>120</v>
      </c>
    </row>
    <row r="4510" spans="1:13" x14ac:dyDescent="0.2">
      <c r="A4510">
        <v>847959</v>
      </c>
      <c r="B4510" s="1">
        <v>45370</v>
      </c>
      <c r="C4510">
        <v>32921</v>
      </c>
      <c r="D4510" t="s">
        <v>29</v>
      </c>
      <c r="E4510" t="s">
        <v>38</v>
      </c>
      <c r="F4510" t="s">
        <v>39</v>
      </c>
      <c r="G4510">
        <v>5</v>
      </c>
      <c r="H4510">
        <v>29.99</v>
      </c>
      <c r="J4510">
        <v>149.94999999999999</v>
      </c>
      <c r="K4510" t="s">
        <v>16</v>
      </c>
      <c r="L4510" t="s">
        <v>17</v>
      </c>
      <c r="M4510" t="s">
        <v>117</v>
      </c>
    </row>
    <row r="4511" spans="1:13" x14ac:dyDescent="0.2">
      <c r="A4511">
        <v>848094</v>
      </c>
      <c r="B4511" s="1">
        <v>45505</v>
      </c>
      <c r="D4511" t="s">
        <v>40</v>
      </c>
      <c r="E4511" t="s">
        <v>20</v>
      </c>
      <c r="F4511" t="s">
        <v>21</v>
      </c>
      <c r="G4511">
        <v>2</v>
      </c>
      <c r="H4511">
        <v>9.99</v>
      </c>
      <c r="J4511">
        <v>19.98</v>
      </c>
      <c r="K4511" t="s">
        <v>95</v>
      </c>
      <c r="L4511" t="s">
        <v>17</v>
      </c>
      <c r="M4511" t="s">
        <v>102</v>
      </c>
    </row>
    <row r="4512" spans="1:13" x14ac:dyDescent="0.2">
      <c r="A4512">
        <v>848116</v>
      </c>
      <c r="B4512" s="1">
        <v>45044</v>
      </c>
      <c r="C4512">
        <v>99245</v>
      </c>
      <c r="D4512" t="s">
        <v>85</v>
      </c>
      <c r="E4512" t="s">
        <v>153</v>
      </c>
      <c r="F4512" t="s">
        <v>154</v>
      </c>
      <c r="G4512">
        <v>1</v>
      </c>
      <c r="H4512">
        <v>20.99</v>
      </c>
      <c r="I4512">
        <v>0.3</v>
      </c>
      <c r="J4512">
        <v>14.69</v>
      </c>
      <c r="K4512" t="s">
        <v>16</v>
      </c>
      <c r="L4512" t="s">
        <v>23</v>
      </c>
      <c r="M4512" t="s">
        <v>33</v>
      </c>
    </row>
    <row r="4513" spans="1:13" x14ac:dyDescent="0.2">
      <c r="A4513">
        <v>848535</v>
      </c>
      <c r="B4513" s="1">
        <v>45221</v>
      </c>
      <c r="C4513">
        <v>53754</v>
      </c>
      <c r="D4513" t="s">
        <v>82</v>
      </c>
      <c r="E4513" t="s">
        <v>155</v>
      </c>
      <c r="F4513" t="s">
        <v>156</v>
      </c>
      <c r="G4513">
        <v>5</v>
      </c>
      <c r="H4513">
        <v>19.989999999999998</v>
      </c>
      <c r="J4513">
        <v>99.95</v>
      </c>
      <c r="K4513" t="s">
        <v>16</v>
      </c>
      <c r="L4513" t="s">
        <v>37</v>
      </c>
      <c r="M4513" t="s">
        <v>117</v>
      </c>
    </row>
    <row r="4514" spans="1:13" x14ac:dyDescent="0.2">
      <c r="A4514">
        <v>848802</v>
      </c>
      <c r="B4514" s="2">
        <v>45135</v>
      </c>
      <c r="C4514">
        <v>58372</v>
      </c>
      <c r="D4514" t="s">
        <v>82</v>
      </c>
      <c r="E4514" t="s">
        <v>188</v>
      </c>
      <c r="F4514" t="s">
        <v>189</v>
      </c>
      <c r="G4514">
        <v>5</v>
      </c>
      <c r="H4514">
        <v>44.99</v>
      </c>
      <c r="J4514">
        <v>224.95</v>
      </c>
      <c r="K4514" t="s">
        <v>22</v>
      </c>
      <c r="L4514" t="s">
        <v>37</v>
      </c>
      <c r="M4514" t="s">
        <v>103</v>
      </c>
    </row>
    <row r="4515" spans="1:13" x14ac:dyDescent="0.2">
      <c r="A4515">
        <v>848981</v>
      </c>
      <c r="B4515" s="1">
        <v>44856</v>
      </c>
      <c r="C4515">
        <v>39683</v>
      </c>
      <c r="D4515" t="s">
        <v>40</v>
      </c>
      <c r="E4515" t="s">
        <v>20</v>
      </c>
      <c r="F4515" t="s">
        <v>21</v>
      </c>
      <c r="G4515">
        <v>3</v>
      </c>
      <c r="H4515">
        <v>7.99</v>
      </c>
      <c r="I4515">
        <v>0.2</v>
      </c>
      <c r="J4515">
        <v>19.18</v>
      </c>
      <c r="K4515" t="s">
        <v>16</v>
      </c>
      <c r="L4515" t="s">
        <v>17</v>
      </c>
      <c r="M4515" t="s">
        <v>18</v>
      </c>
    </row>
    <row r="4516" spans="1:13" x14ac:dyDescent="0.2">
      <c r="A4516">
        <v>849471</v>
      </c>
      <c r="B4516" s="1">
        <v>45120</v>
      </c>
      <c r="C4516">
        <v>75732</v>
      </c>
      <c r="D4516" t="s">
        <v>25</v>
      </c>
      <c r="E4516" t="s">
        <v>26</v>
      </c>
      <c r="F4516" t="s">
        <v>27</v>
      </c>
      <c r="G4516">
        <v>2</v>
      </c>
      <c r="H4516">
        <v>27.99</v>
      </c>
      <c r="I4516">
        <v>0.2</v>
      </c>
      <c r="J4516">
        <v>44.78</v>
      </c>
      <c r="K4516" t="s">
        <v>16</v>
      </c>
      <c r="L4516" t="s">
        <v>37</v>
      </c>
      <c r="M4516" t="s">
        <v>28</v>
      </c>
    </row>
    <row r="4517" spans="1:13" x14ac:dyDescent="0.2">
      <c r="A4517">
        <v>849593</v>
      </c>
      <c r="B4517" s="2">
        <v>44958</v>
      </c>
      <c r="C4517">
        <v>38330</v>
      </c>
      <c r="D4517" t="s">
        <v>40</v>
      </c>
      <c r="E4517" t="s">
        <v>41</v>
      </c>
      <c r="F4517" t="s">
        <v>42</v>
      </c>
      <c r="G4517">
        <v>1</v>
      </c>
      <c r="H4517">
        <v>5.99</v>
      </c>
      <c r="J4517">
        <v>5.99</v>
      </c>
      <c r="K4517" t="s">
        <v>16</v>
      </c>
      <c r="L4517" t="s">
        <v>17</v>
      </c>
      <c r="M4517" t="s">
        <v>117</v>
      </c>
    </row>
    <row r="4518" spans="1:13" x14ac:dyDescent="0.2">
      <c r="A4518">
        <v>850046</v>
      </c>
      <c r="B4518" s="1">
        <v>45483</v>
      </c>
      <c r="C4518">
        <v>21191</v>
      </c>
      <c r="D4518" t="s">
        <v>25</v>
      </c>
      <c r="E4518" t="s">
        <v>26</v>
      </c>
      <c r="F4518" t="s">
        <v>27</v>
      </c>
      <c r="G4518">
        <v>1</v>
      </c>
      <c r="H4518">
        <v>27.99</v>
      </c>
      <c r="I4518">
        <v>0.2</v>
      </c>
      <c r="J4518">
        <v>22.39</v>
      </c>
      <c r="K4518" t="s">
        <v>36</v>
      </c>
      <c r="L4518" t="s">
        <v>17</v>
      </c>
      <c r="M4518" t="s">
        <v>62</v>
      </c>
    </row>
    <row r="4519" spans="1:13" x14ac:dyDescent="0.2">
      <c r="A4519">
        <v>850322</v>
      </c>
      <c r="B4519" s="2">
        <v>44722</v>
      </c>
      <c r="C4519">
        <v>80015</v>
      </c>
      <c r="D4519" t="s">
        <v>40</v>
      </c>
      <c r="E4519" t="s">
        <v>58</v>
      </c>
      <c r="F4519" t="s">
        <v>59</v>
      </c>
      <c r="G4519">
        <v>1</v>
      </c>
      <c r="H4519">
        <v>2.99</v>
      </c>
      <c r="I4519">
        <v>0.25</v>
      </c>
      <c r="J4519">
        <v>2.2400000000000002</v>
      </c>
      <c r="K4519" t="s">
        <v>16</v>
      </c>
      <c r="L4519" t="s">
        <v>37</v>
      </c>
      <c r="M4519" t="s">
        <v>28</v>
      </c>
    </row>
    <row r="4520" spans="1:13" x14ac:dyDescent="0.2">
      <c r="A4520">
        <v>850870</v>
      </c>
      <c r="B4520" s="1">
        <v>45120</v>
      </c>
      <c r="C4520">
        <v>48588</v>
      </c>
      <c r="D4520" t="s">
        <v>29</v>
      </c>
      <c r="E4520" t="s">
        <v>30</v>
      </c>
      <c r="F4520" t="s">
        <v>31</v>
      </c>
      <c r="G4520">
        <v>1</v>
      </c>
      <c r="H4520">
        <v>24.99</v>
      </c>
      <c r="J4520">
        <v>24.99</v>
      </c>
      <c r="K4520" t="s">
        <v>36</v>
      </c>
      <c r="L4520" t="s">
        <v>17</v>
      </c>
      <c r="M4520" t="s">
        <v>123</v>
      </c>
    </row>
    <row r="4521" spans="1:13" x14ac:dyDescent="0.2">
      <c r="A4521">
        <v>851023</v>
      </c>
      <c r="B4521" s="1">
        <v>45551</v>
      </c>
      <c r="C4521">
        <v>15633</v>
      </c>
      <c r="D4521" t="s">
        <v>13</v>
      </c>
      <c r="E4521" t="s">
        <v>34</v>
      </c>
      <c r="F4521" t="s">
        <v>35</v>
      </c>
      <c r="G4521">
        <v>1</v>
      </c>
      <c r="H4521">
        <v>24.49</v>
      </c>
      <c r="I4521">
        <v>0.3</v>
      </c>
      <c r="J4521">
        <v>17.14</v>
      </c>
      <c r="K4521" t="s">
        <v>16</v>
      </c>
      <c r="L4521" t="s">
        <v>17</v>
      </c>
      <c r="M4521" t="s">
        <v>96</v>
      </c>
    </row>
    <row r="4522" spans="1:13" x14ac:dyDescent="0.2">
      <c r="A4522">
        <v>851064</v>
      </c>
      <c r="B4522" s="1">
        <v>45611</v>
      </c>
      <c r="C4522">
        <v>28703</v>
      </c>
      <c r="D4522" t="s">
        <v>44</v>
      </c>
      <c r="E4522" t="s">
        <v>91</v>
      </c>
      <c r="F4522" t="s">
        <v>92</v>
      </c>
      <c r="G4522">
        <v>4</v>
      </c>
      <c r="H4522">
        <v>5.66</v>
      </c>
      <c r="I4522">
        <v>0.1</v>
      </c>
      <c r="J4522">
        <v>20.38</v>
      </c>
      <c r="K4522" t="s">
        <v>32</v>
      </c>
      <c r="L4522" t="s">
        <v>17</v>
      </c>
      <c r="M4522" t="s">
        <v>103</v>
      </c>
    </row>
    <row r="4523" spans="1:13" x14ac:dyDescent="0.2">
      <c r="A4523">
        <v>851094</v>
      </c>
      <c r="B4523" s="1">
        <v>44902</v>
      </c>
      <c r="C4523">
        <v>84418</v>
      </c>
      <c r="D4523" t="s">
        <v>85</v>
      </c>
      <c r="E4523" t="s">
        <v>145</v>
      </c>
      <c r="F4523" t="s">
        <v>146</v>
      </c>
      <c r="G4523">
        <v>1</v>
      </c>
      <c r="H4523">
        <v>14.44</v>
      </c>
      <c r="I4523">
        <v>0.15</v>
      </c>
      <c r="J4523">
        <v>12.27</v>
      </c>
      <c r="K4523" t="s">
        <v>95</v>
      </c>
      <c r="L4523" t="s">
        <v>37</v>
      </c>
      <c r="M4523" t="s">
        <v>123</v>
      </c>
    </row>
    <row r="4524" spans="1:13" x14ac:dyDescent="0.2">
      <c r="A4524">
        <v>851553</v>
      </c>
      <c r="B4524" s="1">
        <v>45346</v>
      </c>
      <c r="C4524">
        <v>39109</v>
      </c>
      <c r="D4524" t="s">
        <v>63</v>
      </c>
      <c r="E4524" t="s">
        <v>125</v>
      </c>
      <c r="F4524" t="s">
        <v>126</v>
      </c>
      <c r="G4524">
        <v>2</v>
      </c>
      <c r="H4524">
        <v>23.99</v>
      </c>
      <c r="I4524">
        <v>0.2</v>
      </c>
      <c r="J4524">
        <v>38.380000000000003</v>
      </c>
      <c r="K4524" t="s">
        <v>53</v>
      </c>
      <c r="L4524" t="s">
        <v>17</v>
      </c>
      <c r="M4524" t="s">
        <v>62</v>
      </c>
    </row>
    <row r="4525" spans="1:13" x14ac:dyDescent="0.2">
      <c r="A4525">
        <v>851793</v>
      </c>
      <c r="B4525" s="1">
        <v>45395</v>
      </c>
      <c r="C4525">
        <v>93005</v>
      </c>
      <c r="D4525" t="s">
        <v>29</v>
      </c>
      <c r="E4525" t="s">
        <v>72</v>
      </c>
      <c r="F4525" t="s">
        <v>73</v>
      </c>
      <c r="G4525">
        <v>2</v>
      </c>
      <c r="H4525">
        <v>33.99</v>
      </c>
      <c r="I4525">
        <v>0.15</v>
      </c>
      <c r="J4525">
        <v>57.78</v>
      </c>
      <c r="K4525" t="s">
        <v>32</v>
      </c>
      <c r="L4525" t="s">
        <v>17</v>
      </c>
      <c r="M4525" t="s">
        <v>47</v>
      </c>
    </row>
    <row r="4526" spans="1:13" x14ac:dyDescent="0.2">
      <c r="A4526">
        <v>851916</v>
      </c>
      <c r="B4526" s="1">
        <v>44996</v>
      </c>
      <c r="C4526">
        <v>51604</v>
      </c>
      <c r="D4526" t="s">
        <v>85</v>
      </c>
      <c r="E4526" t="s">
        <v>137</v>
      </c>
      <c r="F4526" t="s">
        <v>138</v>
      </c>
      <c r="G4526">
        <v>1</v>
      </c>
      <c r="H4526">
        <v>7.99</v>
      </c>
      <c r="J4526">
        <v>7.99</v>
      </c>
      <c r="K4526" t="s">
        <v>95</v>
      </c>
      <c r="L4526" t="s">
        <v>23</v>
      </c>
      <c r="M4526" t="s">
        <v>76</v>
      </c>
    </row>
    <row r="4527" spans="1:13" x14ac:dyDescent="0.2">
      <c r="A4527">
        <v>852050</v>
      </c>
      <c r="B4527" s="2">
        <v>45647</v>
      </c>
      <c r="C4527">
        <v>38995</v>
      </c>
      <c r="D4527" t="s">
        <v>25</v>
      </c>
      <c r="E4527" t="s">
        <v>113</v>
      </c>
      <c r="F4527" t="s">
        <v>114</v>
      </c>
      <c r="G4527">
        <v>4</v>
      </c>
      <c r="H4527">
        <v>113.99</v>
      </c>
      <c r="I4527">
        <v>0.05</v>
      </c>
      <c r="J4527">
        <v>433.16</v>
      </c>
      <c r="K4527" t="s">
        <v>36</v>
      </c>
      <c r="L4527" t="s">
        <v>17</v>
      </c>
      <c r="M4527" t="s">
        <v>161</v>
      </c>
    </row>
    <row r="4528" spans="1:13" x14ac:dyDescent="0.2">
      <c r="A4528">
        <v>852099</v>
      </c>
      <c r="B4528" s="1">
        <v>44773</v>
      </c>
      <c r="C4528">
        <v>88720</v>
      </c>
      <c r="D4528" t="s">
        <v>44</v>
      </c>
      <c r="E4528" t="s">
        <v>172</v>
      </c>
      <c r="F4528" t="s">
        <v>173</v>
      </c>
      <c r="G4528">
        <v>1</v>
      </c>
      <c r="H4528">
        <v>4.2699999999999996</v>
      </c>
      <c r="I4528">
        <v>0.05</v>
      </c>
      <c r="J4528">
        <v>4.0599999999999996</v>
      </c>
      <c r="K4528" t="s">
        <v>53</v>
      </c>
      <c r="L4528" t="s">
        <v>17</v>
      </c>
      <c r="M4528" t="s">
        <v>96</v>
      </c>
    </row>
    <row r="4529" spans="1:13" x14ac:dyDescent="0.2">
      <c r="A4529">
        <v>852197</v>
      </c>
      <c r="B4529" s="1">
        <v>44911</v>
      </c>
      <c r="D4529" t="s">
        <v>25</v>
      </c>
      <c r="E4529" t="s">
        <v>60</v>
      </c>
      <c r="F4529" t="s">
        <v>61</v>
      </c>
      <c r="G4529">
        <v>5</v>
      </c>
      <c r="H4529">
        <v>46.74</v>
      </c>
      <c r="I4529">
        <v>0.15</v>
      </c>
      <c r="J4529">
        <v>198.64</v>
      </c>
      <c r="K4529" t="s">
        <v>95</v>
      </c>
      <c r="L4529" t="s">
        <v>17</v>
      </c>
      <c r="M4529" t="s">
        <v>57</v>
      </c>
    </row>
    <row r="4530" spans="1:13" x14ac:dyDescent="0.2">
      <c r="A4530">
        <v>852417</v>
      </c>
      <c r="B4530" s="1">
        <v>45150</v>
      </c>
      <c r="C4530">
        <v>99011</v>
      </c>
      <c r="D4530" t="s">
        <v>40</v>
      </c>
      <c r="E4530" t="s">
        <v>197</v>
      </c>
      <c r="F4530" t="s">
        <v>198</v>
      </c>
      <c r="G4530">
        <v>1</v>
      </c>
      <c r="H4530">
        <v>14.24</v>
      </c>
      <c r="I4530">
        <v>0.05</v>
      </c>
      <c r="J4530">
        <v>13.53</v>
      </c>
      <c r="K4530" t="s">
        <v>16</v>
      </c>
      <c r="L4530" t="s">
        <v>17</v>
      </c>
      <c r="M4530" t="s">
        <v>54</v>
      </c>
    </row>
    <row r="4531" spans="1:13" x14ac:dyDescent="0.2">
      <c r="A4531">
        <v>852747</v>
      </c>
      <c r="B4531" s="2">
        <v>45194</v>
      </c>
      <c r="C4531">
        <v>24541</v>
      </c>
      <c r="D4531" t="s">
        <v>82</v>
      </c>
      <c r="E4531" t="s">
        <v>100</v>
      </c>
      <c r="F4531" t="s">
        <v>101</v>
      </c>
      <c r="G4531">
        <v>2</v>
      </c>
      <c r="H4531">
        <v>22.99</v>
      </c>
      <c r="J4531">
        <v>45.98</v>
      </c>
      <c r="K4531" t="s">
        <v>16</v>
      </c>
      <c r="L4531" t="s">
        <v>17</v>
      </c>
      <c r="M4531" t="s">
        <v>33</v>
      </c>
    </row>
    <row r="4532" spans="1:13" x14ac:dyDescent="0.2">
      <c r="A4532">
        <v>853033</v>
      </c>
      <c r="B4532" s="1">
        <v>45554</v>
      </c>
      <c r="C4532">
        <v>29372</v>
      </c>
      <c r="D4532" t="s">
        <v>82</v>
      </c>
      <c r="E4532" t="s">
        <v>155</v>
      </c>
      <c r="F4532" t="s">
        <v>156</v>
      </c>
      <c r="G4532">
        <v>1</v>
      </c>
      <c r="H4532">
        <v>16.989999999999998</v>
      </c>
      <c r="I4532">
        <v>0.15</v>
      </c>
      <c r="J4532">
        <v>14.44</v>
      </c>
      <c r="K4532" t="s">
        <v>16</v>
      </c>
      <c r="L4532" t="s">
        <v>37</v>
      </c>
      <c r="M4532" t="s">
        <v>81</v>
      </c>
    </row>
    <row r="4533" spans="1:13" x14ac:dyDescent="0.2">
      <c r="A4533">
        <v>853367</v>
      </c>
      <c r="B4533" s="1">
        <v>45126</v>
      </c>
      <c r="C4533">
        <v>21395</v>
      </c>
      <c r="D4533" t="s">
        <v>40</v>
      </c>
      <c r="E4533" t="s">
        <v>58</v>
      </c>
      <c r="F4533" t="s">
        <v>59</v>
      </c>
      <c r="G4533">
        <v>2</v>
      </c>
      <c r="H4533">
        <v>3.19</v>
      </c>
      <c r="I4533">
        <v>0.2</v>
      </c>
      <c r="J4533">
        <v>5.0999999999999996</v>
      </c>
      <c r="K4533" t="s">
        <v>16</v>
      </c>
      <c r="L4533" t="s">
        <v>37</v>
      </c>
      <c r="M4533" t="s">
        <v>103</v>
      </c>
    </row>
    <row r="4534" spans="1:13" x14ac:dyDescent="0.2">
      <c r="A4534">
        <v>853387</v>
      </c>
      <c r="B4534" s="1">
        <v>44759</v>
      </c>
      <c r="C4534">
        <v>16698</v>
      </c>
      <c r="D4534" t="s">
        <v>13</v>
      </c>
      <c r="E4534" t="s">
        <v>77</v>
      </c>
      <c r="F4534" t="s">
        <v>78</v>
      </c>
      <c r="G4534">
        <v>5</v>
      </c>
      <c r="H4534">
        <v>499.99</v>
      </c>
      <c r="J4534">
        <v>2499.9499999999998</v>
      </c>
      <c r="K4534" t="s">
        <v>53</v>
      </c>
      <c r="L4534" t="s">
        <v>17</v>
      </c>
      <c r="M4534" t="s">
        <v>57</v>
      </c>
    </row>
    <row r="4535" spans="1:13" x14ac:dyDescent="0.2">
      <c r="A4535">
        <v>853445</v>
      </c>
      <c r="B4535" s="1">
        <v>44771</v>
      </c>
      <c r="C4535">
        <v>70103</v>
      </c>
      <c r="D4535" t="s">
        <v>97</v>
      </c>
      <c r="E4535" t="s">
        <v>193</v>
      </c>
      <c r="F4535" t="s">
        <v>194</v>
      </c>
      <c r="G4535">
        <v>1</v>
      </c>
      <c r="H4535">
        <v>58.49</v>
      </c>
      <c r="I4535">
        <v>0.1</v>
      </c>
      <c r="J4535">
        <v>52.64</v>
      </c>
      <c r="K4535" t="s">
        <v>16</v>
      </c>
      <c r="L4535" t="s">
        <v>17</v>
      </c>
      <c r="M4535" t="s">
        <v>117</v>
      </c>
    </row>
    <row r="4536" spans="1:13" x14ac:dyDescent="0.2">
      <c r="A4536">
        <v>853657</v>
      </c>
      <c r="B4536" s="1">
        <v>45287</v>
      </c>
      <c r="C4536">
        <v>43251</v>
      </c>
      <c r="D4536" t="s">
        <v>44</v>
      </c>
      <c r="E4536" t="s">
        <v>190</v>
      </c>
      <c r="F4536" t="s">
        <v>191</v>
      </c>
      <c r="G4536">
        <v>4</v>
      </c>
      <c r="H4536">
        <v>4.29</v>
      </c>
      <c r="J4536">
        <v>17.16</v>
      </c>
      <c r="K4536" t="s">
        <v>16</v>
      </c>
      <c r="L4536" t="s">
        <v>23</v>
      </c>
      <c r="M4536" t="s">
        <v>120</v>
      </c>
    </row>
    <row r="4537" spans="1:13" x14ac:dyDescent="0.2">
      <c r="A4537">
        <v>854046</v>
      </c>
      <c r="B4537" s="1">
        <v>45143</v>
      </c>
      <c r="D4537" t="s">
        <v>13</v>
      </c>
      <c r="E4537" t="s">
        <v>79</v>
      </c>
      <c r="F4537" t="s">
        <v>80</v>
      </c>
      <c r="G4537">
        <v>2</v>
      </c>
      <c r="H4537">
        <v>62.99</v>
      </c>
      <c r="I4537">
        <v>0.3</v>
      </c>
      <c r="J4537">
        <v>88.19</v>
      </c>
      <c r="K4537" t="s">
        <v>32</v>
      </c>
      <c r="L4537" t="s">
        <v>23</v>
      </c>
      <c r="M4537" t="s">
        <v>81</v>
      </c>
    </row>
    <row r="4538" spans="1:13" x14ac:dyDescent="0.2">
      <c r="A4538">
        <v>854094</v>
      </c>
      <c r="B4538" s="1">
        <v>44666</v>
      </c>
      <c r="C4538">
        <v>27004</v>
      </c>
      <c r="D4538" t="s">
        <v>63</v>
      </c>
      <c r="E4538" t="s">
        <v>68</v>
      </c>
      <c r="F4538" t="s">
        <v>69</v>
      </c>
      <c r="G4538">
        <v>1</v>
      </c>
      <c r="H4538">
        <v>17.489999999999998</v>
      </c>
      <c r="I4538">
        <v>0.3</v>
      </c>
      <c r="J4538">
        <v>12.24</v>
      </c>
      <c r="K4538" t="s">
        <v>36</v>
      </c>
      <c r="L4538" t="s">
        <v>17</v>
      </c>
      <c r="M4538" t="s">
        <v>18</v>
      </c>
    </row>
    <row r="4539" spans="1:13" x14ac:dyDescent="0.2">
      <c r="A4539">
        <v>854242</v>
      </c>
      <c r="B4539" s="1">
        <v>44566</v>
      </c>
      <c r="C4539">
        <v>58807</v>
      </c>
      <c r="D4539" t="s">
        <v>48</v>
      </c>
      <c r="E4539" t="s">
        <v>139</v>
      </c>
      <c r="F4539" t="s">
        <v>140</v>
      </c>
      <c r="G4539">
        <v>3</v>
      </c>
      <c r="H4539">
        <v>5.59</v>
      </c>
      <c r="I4539">
        <v>0.3</v>
      </c>
      <c r="J4539">
        <v>11.74</v>
      </c>
      <c r="K4539" t="s">
        <v>16</v>
      </c>
      <c r="L4539" t="s">
        <v>17</v>
      </c>
      <c r="M4539" t="s">
        <v>62</v>
      </c>
    </row>
    <row r="4540" spans="1:13" x14ac:dyDescent="0.2">
      <c r="A4540">
        <v>854363</v>
      </c>
      <c r="B4540" s="1">
        <v>44696</v>
      </c>
      <c r="C4540">
        <v>80295</v>
      </c>
      <c r="D4540" t="s">
        <v>85</v>
      </c>
      <c r="E4540" t="s">
        <v>153</v>
      </c>
      <c r="F4540" t="s">
        <v>154</v>
      </c>
      <c r="G4540">
        <v>4</v>
      </c>
      <c r="H4540">
        <v>22.49</v>
      </c>
      <c r="I4540">
        <v>0.25</v>
      </c>
      <c r="J4540">
        <v>67.47</v>
      </c>
      <c r="K4540" t="s">
        <v>95</v>
      </c>
      <c r="L4540" t="s">
        <v>17</v>
      </c>
      <c r="M4540" t="s">
        <v>90</v>
      </c>
    </row>
    <row r="4541" spans="1:13" x14ac:dyDescent="0.2">
      <c r="A4541">
        <v>854824</v>
      </c>
      <c r="B4541" s="1">
        <v>44756</v>
      </c>
      <c r="C4541">
        <v>38664</v>
      </c>
      <c r="D4541" t="s">
        <v>44</v>
      </c>
      <c r="E4541" t="s">
        <v>190</v>
      </c>
      <c r="F4541" t="s">
        <v>191</v>
      </c>
      <c r="G4541">
        <v>1</v>
      </c>
      <c r="H4541">
        <v>4.29</v>
      </c>
      <c r="J4541">
        <v>4.29</v>
      </c>
      <c r="K4541" t="s">
        <v>53</v>
      </c>
      <c r="L4541" t="s">
        <v>17</v>
      </c>
      <c r="M4541" t="s">
        <v>96</v>
      </c>
    </row>
    <row r="4542" spans="1:13" x14ac:dyDescent="0.2">
      <c r="A4542">
        <v>854830</v>
      </c>
      <c r="B4542" s="1">
        <v>44588</v>
      </c>
      <c r="C4542">
        <v>94854</v>
      </c>
      <c r="D4542" t="s">
        <v>29</v>
      </c>
      <c r="E4542" t="s">
        <v>72</v>
      </c>
      <c r="F4542" t="s">
        <v>73</v>
      </c>
      <c r="G4542">
        <v>3</v>
      </c>
      <c r="H4542">
        <v>39.99</v>
      </c>
      <c r="J4542">
        <v>119.97</v>
      </c>
      <c r="K4542" t="s">
        <v>22</v>
      </c>
      <c r="L4542" t="s">
        <v>17</v>
      </c>
      <c r="M4542" t="s">
        <v>120</v>
      </c>
    </row>
    <row r="4543" spans="1:13" x14ac:dyDescent="0.2">
      <c r="A4543">
        <v>854902</v>
      </c>
      <c r="B4543" s="2">
        <v>44876</v>
      </c>
      <c r="C4543">
        <v>95001</v>
      </c>
      <c r="D4543" t="s">
        <v>40</v>
      </c>
      <c r="E4543" t="s">
        <v>41</v>
      </c>
      <c r="F4543" t="s">
        <v>42</v>
      </c>
      <c r="G4543">
        <v>3</v>
      </c>
      <c r="H4543">
        <v>5.69</v>
      </c>
      <c r="I4543">
        <v>0.05</v>
      </c>
      <c r="J4543">
        <v>16.22</v>
      </c>
      <c r="K4543" t="s">
        <v>16</v>
      </c>
      <c r="L4543" t="s">
        <v>17</v>
      </c>
      <c r="M4543" t="s">
        <v>102</v>
      </c>
    </row>
    <row r="4544" spans="1:13" x14ac:dyDescent="0.2">
      <c r="A4544">
        <v>855053</v>
      </c>
      <c r="B4544" s="1">
        <v>45620</v>
      </c>
      <c r="C4544">
        <v>72402</v>
      </c>
      <c r="D4544" t="s">
        <v>29</v>
      </c>
      <c r="E4544" t="s">
        <v>175</v>
      </c>
      <c r="F4544" t="s">
        <v>176</v>
      </c>
      <c r="G4544">
        <v>1</v>
      </c>
      <c r="H4544">
        <v>11.39</v>
      </c>
      <c r="I4544">
        <v>0.05</v>
      </c>
      <c r="J4544">
        <v>10.82</v>
      </c>
      <c r="K4544" t="s">
        <v>16</v>
      </c>
      <c r="L4544" t="s">
        <v>17</v>
      </c>
      <c r="M4544" t="s">
        <v>96</v>
      </c>
    </row>
    <row r="4545" spans="1:13" x14ac:dyDescent="0.2">
      <c r="A4545">
        <v>855059</v>
      </c>
      <c r="B4545" s="1">
        <v>44678</v>
      </c>
      <c r="C4545">
        <v>12746</v>
      </c>
      <c r="D4545" t="s">
        <v>97</v>
      </c>
      <c r="E4545" t="s">
        <v>181</v>
      </c>
      <c r="F4545" t="s">
        <v>182</v>
      </c>
      <c r="G4545">
        <v>1</v>
      </c>
      <c r="H4545">
        <v>14.99</v>
      </c>
      <c r="J4545">
        <v>14.99</v>
      </c>
      <c r="K4545" t="s">
        <v>16</v>
      </c>
      <c r="L4545" t="s">
        <v>37</v>
      </c>
      <c r="M4545" t="s">
        <v>120</v>
      </c>
    </row>
    <row r="4546" spans="1:13" x14ac:dyDescent="0.2">
      <c r="A4546">
        <v>855065</v>
      </c>
      <c r="B4546" s="1">
        <v>45235</v>
      </c>
      <c r="D4546" t="s">
        <v>85</v>
      </c>
      <c r="E4546" t="s">
        <v>149</v>
      </c>
      <c r="F4546" t="s">
        <v>150</v>
      </c>
      <c r="G4546">
        <v>1</v>
      </c>
      <c r="H4546">
        <v>19.989999999999998</v>
      </c>
      <c r="J4546">
        <v>19.989999999999998</v>
      </c>
      <c r="K4546" t="s">
        <v>16</v>
      </c>
      <c r="L4546" t="s">
        <v>37</v>
      </c>
      <c r="M4546" t="s">
        <v>102</v>
      </c>
    </row>
    <row r="4547" spans="1:13" x14ac:dyDescent="0.2">
      <c r="A4547">
        <v>855187</v>
      </c>
      <c r="B4547" s="2">
        <v>44716</v>
      </c>
      <c r="C4547">
        <v>63120</v>
      </c>
      <c r="D4547" t="s">
        <v>63</v>
      </c>
      <c r="E4547" t="s">
        <v>68</v>
      </c>
      <c r="F4547" t="s">
        <v>69</v>
      </c>
      <c r="G4547">
        <v>4</v>
      </c>
      <c r="H4547">
        <v>24.99</v>
      </c>
      <c r="J4547">
        <v>99.96</v>
      </c>
      <c r="K4547" t="s">
        <v>36</v>
      </c>
      <c r="L4547" t="s">
        <v>17</v>
      </c>
      <c r="M4547" t="s">
        <v>76</v>
      </c>
    </row>
    <row r="4548" spans="1:13" x14ac:dyDescent="0.2">
      <c r="A4548">
        <v>855250</v>
      </c>
      <c r="B4548" s="2">
        <v>44747</v>
      </c>
      <c r="C4548">
        <v>37300</v>
      </c>
      <c r="D4548" t="s">
        <v>13</v>
      </c>
      <c r="E4548" t="s">
        <v>77</v>
      </c>
      <c r="F4548" t="s">
        <v>78</v>
      </c>
      <c r="G4548">
        <v>2</v>
      </c>
      <c r="H4548">
        <v>424.99</v>
      </c>
      <c r="I4548">
        <v>0.15</v>
      </c>
      <c r="J4548">
        <v>722.48</v>
      </c>
      <c r="K4548" t="s">
        <v>16</v>
      </c>
      <c r="L4548" t="s">
        <v>17</v>
      </c>
      <c r="M4548" t="s">
        <v>33</v>
      </c>
    </row>
    <row r="4549" spans="1:13" x14ac:dyDescent="0.2">
      <c r="A4549">
        <v>855303</v>
      </c>
      <c r="B4549" s="1">
        <v>44906</v>
      </c>
      <c r="C4549">
        <v>94123</v>
      </c>
      <c r="D4549" t="s">
        <v>40</v>
      </c>
      <c r="E4549" t="s">
        <v>41</v>
      </c>
      <c r="F4549" t="s">
        <v>42</v>
      </c>
      <c r="G4549">
        <v>1</v>
      </c>
      <c r="H4549">
        <v>5.09</v>
      </c>
      <c r="I4549">
        <v>0.15</v>
      </c>
      <c r="J4549">
        <v>4.33</v>
      </c>
      <c r="K4549" t="s">
        <v>53</v>
      </c>
      <c r="L4549" t="s">
        <v>17</v>
      </c>
      <c r="M4549" t="s">
        <v>76</v>
      </c>
    </row>
    <row r="4550" spans="1:13" x14ac:dyDescent="0.2">
      <c r="A4550">
        <v>855373</v>
      </c>
      <c r="B4550" s="2">
        <v>44699</v>
      </c>
      <c r="C4550">
        <v>98241</v>
      </c>
      <c r="D4550" t="s">
        <v>25</v>
      </c>
      <c r="E4550" t="s">
        <v>26</v>
      </c>
      <c r="F4550" t="s">
        <v>27</v>
      </c>
      <c r="G4550">
        <v>1</v>
      </c>
      <c r="H4550">
        <v>29.74</v>
      </c>
      <c r="I4550">
        <v>0.15</v>
      </c>
      <c r="J4550">
        <v>25.28</v>
      </c>
      <c r="K4550" t="s">
        <v>22</v>
      </c>
      <c r="L4550" t="s">
        <v>17</v>
      </c>
      <c r="M4550" t="s">
        <v>33</v>
      </c>
    </row>
    <row r="4551" spans="1:13" x14ac:dyDescent="0.2">
      <c r="A4551">
        <v>855575</v>
      </c>
      <c r="B4551" s="1">
        <v>44581</v>
      </c>
      <c r="C4551">
        <v>64667</v>
      </c>
      <c r="D4551" t="s">
        <v>29</v>
      </c>
      <c r="E4551" t="s">
        <v>38</v>
      </c>
      <c r="F4551" t="s">
        <v>39</v>
      </c>
      <c r="G4551">
        <v>3</v>
      </c>
      <c r="H4551">
        <v>29.99</v>
      </c>
      <c r="J4551">
        <v>89.97</v>
      </c>
      <c r="K4551" t="s">
        <v>36</v>
      </c>
      <c r="L4551" t="s">
        <v>17</v>
      </c>
      <c r="M4551" t="s">
        <v>81</v>
      </c>
    </row>
    <row r="4552" spans="1:13" x14ac:dyDescent="0.2">
      <c r="A4552">
        <v>855824</v>
      </c>
      <c r="B4552" s="2">
        <v>45240</v>
      </c>
      <c r="C4552">
        <v>66049</v>
      </c>
      <c r="D4552" t="s">
        <v>167</v>
      </c>
      <c r="E4552" t="s">
        <v>49</v>
      </c>
      <c r="F4552" t="s">
        <v>50</v>
      </c>
      <c r="G4552">
        <v>1</v>
      </c>
      <c r="H4552">
        <v>6.29</v>
      </c>
      <c r="I4552">
        <v>0.3</v>
      </c>
      <c r="J4552">
        <v>4.4000000000000004</v>
      </c>
      <c r="K4552" t="s">
        <v>16</v>
      </c>
      <c r="L4552" t="s">
        <v>17</v>
      </c>
      <c r="M4552" t="s">
        <v>24</v>
      </c>
    </row>
    <row r="4553" spans="1:13" x14ac:dyDescent="0.2">
      <c r="A4553">
        <v>855878</v>
      </c>
      <c r="B4553" s="2">
        <v>44684</v>
      </c>
      <c r="C4553">
        <v>83858</v>
      </c>
      <c r="D4553" t="s">
        <v>25</v>
      </c>
      <c r="E4553" t="s">
        <v>26</v>
      </c>
      <c r="F4553" t="s">
        <v>27</v>
      </c>
      <c r="G4553">
        <v>2</v>
      </c>
      <c r="H4553">
        <v>31.49</v>
      </c>
      <c r="I4553">
        <v>0.1</v>
      </c>
      <c r="J4553">
        <v>56.68</v>
      </c>
      <c r="K4553" t="s">
        <v>22</v>
      </c>
      <c r="L4553" t="s">
        <v>37</v>
      </c>
      <c r="M4553" t="s">
        <v>81</v>
      </c>
    </row>
    <row r="4554" spans="1:13" x14ac:dyDescent="0.2">
      <c r="A4554">
        <v>856137</v>
      </c>
      <c r="B4554" s="1">
        <v>44703</v>
      </c>
      <c r="C4554">
        <v>59600</v>
      </c>
      <c r="D4554" t="s">
        <v>25</v>
      </c>
      <c r="E4554" t="s">
        <v>70</v>
      </c>
      <c r="F4554" t="s">
        <v>71</v>
      </c>
      <c r="G4554">
        <v>3</v>
      </c>
      <c r="H4554">
        <v>89.99</v>
      </c>
      <c r="J4554">
        <v>269.97000000000003</v>
      </c>
      <c r="K4554" t="s">
        <v>16</v>
      </c>
      <c r="L4554" t="s">
        <v>37</v>
      </c>
      <c r="M4554" t="s">
        <v>90</v>
      </c>
    </row>
    <row r="4555" spans="1:13" x14ac:dyDescent="0.2">
      <c r="A4555">
        <v>856183</v>
      </c>
      <c r="B4555" s="2">
        <v>45074</v>
      </c>
      <c r="C4555">
        <v>28460</v>
      </c>
      <c r="D4555" t="s">
        <v>25</v>
      </c>
      <c r="E4555" t="s">
        <v>26</v>
      </c>
      <c r="F4555" t="s">
        <v>27</v>
      </c>
      <c r="G4555">
        <v>2</v>
      </c>
      <c r="H4555">
        <v>34.99</v>
      </c>
      <c r="J4555">
        <v>69.98</v>
      </c>
      <c r="K4555" t="s">
        <v>36</v>
      </c>
      <c r="L4555" t="s">
        <v>17</v>
      </c>
      <c r="M4555" t="s">
        <v>54</v>
      </c>
    </row>
    <row r="4556" spans="1:13" x14ac:dyDescent="0.2">
      <c r="A4556">
        <v>856277</v>
      </c>
      <c r="B4556" s="1">
        <v>45605</v>
      </c>
      <c r="C4556">
        <v>96283</v>
      </c>
      <c r="D4556" t="s">
        <v>40</v>
      </c>
      <c r="E4556" t="s">
        <v>41</v>
      </c>
      <c r="F4556" t="s">
        <v>42</v>
      </c>
      <c r="G4556">
        <v>1</v>
      </c>
      <c r="H4556">
        <v>5.99</v>
      </c>
      <c r="J4556">
        <v>5.99</v>
      </c>
      <c r="K4556" t="s">
        <v>16</v>
      </c>
      <c r="L4556" t="s">
        <v>17</v>
      </c>
      <c r="M4556" t="s">
        <v>54</v>
      </c>
    </row>
    <row r="4557" spans="1:13" x14ac:dyDescent="0.2">
      <c r="A4557">
        <v>856582</v>
      </c>
      <c r="B4557" s="2">
        <v>45630</v>
      </c>
      <c r="C4557">
        <v>25203</v>
      </c>
      <c r="D4557" t="s">
        <v>40</v>
      </c>
      <c r="E4557" t="s">
        <v>20</v>
      </c>
      <c r="F4557" t="s">
        <v>21</v>
      </c>
      <c r="G4557">
        <v>1</v>
      </c>
      <c r="H4557">
        <v>8.99</v>
      </c>
      <c r="I4557">
        <v>0.1</v>
      </c>
      <c r="J4557">
        <v>8.09</v>
      </c>
      <c r="K4557" t="s">
        <v>36</v>
      </c>
      <c r="L4557" t="s">
        <v>17</v>
      </c>
      <c r="M4557" t="s">
        <v>90</v>
      </c>
    </row>
    <row r="4558" spans="1:13" x14ac:dyDescent="0.2">
      <c r="A4558">
        <v>856792</v>
      </c>
      <c r="B4558" s="1">
        <v>45500</v>
      </c>
      <c r="C4558">
        <v>91509</v>
      </c>
      <c r="D4558" t="s">
        <v>85</v>
      </c>
      <c r="E4558" t="s">
        <v>149</v>
      </c>
      <c r="F4558" t="s">
        <v>150</v>
      </c>
      <c r="G4558">
        <v>1</v>
      </c>
      <c r="H4558">
        <v>19.989999999999998</v>
      </c>
      <c r="J4558">
        <v>19.989999999999998</v>
      </c>
      <c r="K4558" t="s">
        <v>22</v>
      </c>
      <c r="L4558" t="s">
        <v>23</v>
      </c>
      <c r="M4558" t="s">
        <v>123</v>
      </c>
    </row>
    <row r="4559" spans="1:13" x14ac:dyDescent="0.2">
      <c r="A4559">
        <v>856853</v>
      </c>
      <c r="B4559" s="1">
        <v>44581</v>
      </c>
      <c r="C4559">
        <v>85996</v>
      </c>
      <c r="D4559" t="s">
        <v>63</v>
      </c>
      <c r="E4559" t="s">
        <v>125</v>
      </c>
      <c r="F4559" t="s">
        <v>126</v>
      </c>
      <c r="G4559">
        <v>3</v>
      </c>
      <c r="H4559">
        <v>22.49</v>
      </c>
      <c r="I4559">
        <v>0.25</v>
      </c>
      <c r="J4559">
        <v>50.6</v>
      </c>
      <c r="K4559" t="s">
        <v>22</v>
      </c>
      <c r="L4559" t="s">
        <v>17</v>
      </c>
      <c r="M4559" t="s">
        <v>120</v>
      </c>
    </row>
    <row r="4560" spans="1:13" x14ac:dyDescent="0.2">
      <c r="A4560">
        <v>856891</v>
      </c>
      <c r="B4560" s="1">
        <v>45016</v>
      </c>
      <c r="C4560">
        <v>39292</v>
      </c>
      <c r="D4560" t="s">
        <v>63</v>
      </c>
      <c r="E4560" t="s">
        <v>131</v>
      </c>
      <c r="F4560" t="s">
        <v>132</v>
      </c>
      <c r="G4560">
        <v>4</v>
      </c>
      <c r="H4560">
        <v>3.49</v>
      </c>
      <c r="J4560">
        <v>13.96</v>
      </c>
      <c r="K4560" t="s">
        <v>22</v>
      </c>
      <c r="L4560" t="s">
        <v>17</v>
      </c>
      <c r="M4560" t="s">
        <v>67</v>
      </c>
    </row>
    <row r="4561" spans="1:13" x14ac:dyDescent="0.2">
      <c r="A4561">
        <v>856939</v>
      </c>
      <c r="B4561" s="1">
        <v>45550</v>
      </c>
      <c r="C4561">
        <v>92222</v>
      </c>
      <c r="D4561" t="s">
        <v>13</v>
      </c>
      <c r="E4561" t="s">
        <v>127</v>
      </c>
      <c r="F4561" t="s">
        <v>128</v>
      </c>
      <c r="G4561">
        <v>3</v>
      </c>
      <c r="H4561">
        <v>18.989999999999998</v>
      </c>
      <c r="I4561">
        <v>0.05</v>
      </c>
      <c r="J4561">
        <v>54.12</v>
      </c>
      <c r="K4561" t="s">
        <v>16</v>
      </c>
      <c r="L4561" t="s">
        <v>17</v>
      </c>
      <c r="M4561" t="s">
        <v>54</v>
      </c>
    </row>
    <row r="4562" spans="1:13" x14ac:dyDescent="0.2">
      <c r="A4562">
        <v>856972</v>
      </c>
      <c r="B4562" s="1">
        <v>45357</v>
      </c>
      <c r="C4562">
        <v>55899</v>
      </c>
      <c r="D4562" t="s">
        <v>85</v>
      </c>
      <c r="E4562" t="s">
        <v>157</v>
      </c>
      <c r="F4562" t="s">
        <v>158</v>
      </c>
      <c r="G4562">
        <v>5</v>
      </c>
      <c r="H4562">
        <v>12.82</v>
      </c>
      <c r="I4562">
        <v>0.05</v>
      </c>
      <c r="J4562">
        <v>60.89</v>
      </c>
      <c r="K4562" t="s">
        <v>36</v>
      </c>
      <c r="L4562" t="s">
        <v>17</v>
      </c>
      <c r="M4562" t="s">
        <v>96</v>
      </c>
    </row>
    <row r="4563" spans="1:13" x14ac:dyDescent="0.2">
      <c r="A4563">
        <v>856990</v>
      </c>
      <c r="B4563" s="1">
        <v>44966</v>
      </c>
      <c r="C4563">
        <v>66477</v>
      </c>
      <c r="D4563" t="s">
        <v>85</v>
      </c>
      <c r="E4563" t="s">
        <v>145</v>
      </c>
      <c r="F4563" t="s">
        <v>146</v>
      </c>
      <c r="G4563">
        <v>5</v>
      </c>
      <c r="H4563">
        <v>16.989999999999998</v>
      </c>
      <c r="J4563">
        <v>84.95</v>
      </c>
      <c r="K4563" t="s">
        <v>66</v>
      </c>
      <c r="L4563" t="s">
        <v>17</v>
      </c>
      <c r="M4563" t="s">
        <v>24</v>
      </c>
    </row>
    <row r="4564" spans="1:13" x14ac:dyDescent="0.2">
      <c r="A4564">
        <v>857133</v>
      </c>
      <c r="B4564" s="1">
        <v>44764</v>
      </c>
      <c r="C4564">
        <v>84081</v>
      </c>
      <c r="D4564" t="s">
        <v>29</v>
      </c>
      <c r="E4564" t="s">
        <v>88</v>
      </c>
      <c r="F4564" t="s">
        <v>89</v>
      </c>
      <c r="G4564">
        <v>4</v>
      </c>
      <c r="H4564">
        <v>39.99</v>
      </c>
      <c r="I4564">
        <v>0.2</v>
      </c>
      <c r="J4564">
        <v>127.97</v>
      </c>
      <c r="K4564" t="s">
        <v>22</v>
      </c>
      <c r="L4564" t="s">
        <v>17</v>
      </c>
      <c r="M4564" t="s">
        <v>123</v>
      </c>
    </row>
    <row r="4565" spans="1:13" x14ac:dyDescent="0.2">
      <c r="A4565">
        <v>857168</v>
      </c>
      <c r="B4565" s="1">
        <v>45134</v>
      </c>
      <c r="C4565">
        <v>58873</v>
      </c>
      <c r="D4565" t="s">
        <v>25</v>
      </c>
      <c r="E4565" t="s">
        <v>113</v>
      </c>
      <c r="F4565" t="s">
        <v>114</v>
      </c>
      <c r="G4565">
        <v>4</v>
      </c>
      <c r="H4565">
        <v>119.99</v>
      </c>
      <c r="J4565">
        <v>479.96</v>
      </c>
      <c r="K4565" t="s">
        <v>16</v>
      </c>
      <c r="L4565" t="s">
        <v>17</v>
      </c>
      <c r="M4565" t="s">
        <v>103</v>
      </c>
    </row>
    <row r="4566" spans="1:13" x14ac:dyDescent="0.2">
      <c r="A4566">
        <v>857168</v>
      </c>
      <c r="B4566" s="1">
        <v>45452</v>
      </c>
      <c r="C4566">
        <v>33416</v>
      </c>
      <c r="D4566" t="s">
        <v>82</v>
      </c>
      <c r="E4566" t="s">
        <v>100</v>
      </c>
      <c r="F4566" t="s">
        <v>101</v>
      </c>
      <c r="G4566">
        <v>2</v>
      </c>
      <c r="H4566">
        <v>22.99</v>
      </c>
      <c r="J4566">
        <v>45.98</v>
      </c>
      <c r="K4566" t="s">
        <v>36</v>
      </c>
      <c r="L4566" t="s">
        <v>17</v>
      </c>
      <c r="M4566" t="s">
        <v>90</v>
      </c>
    </row>
    <row r="4567" spans="1:13" x14ac:dyDescent="0.2">
      <c r="A4567">
        <v>857312</v>
      </c>
      <c r="B4567" s="2">
        <v>44778</v>
      </c>
      <c r="C4567">
        <v>40397</v>
      </c>
      <c r="D4567" t="s">
        <v>63</v>
      </c>
      <c r="E4567" t="s">
        <v>111</v>
      </c>
      <c r="F4567" t="s">
        <v>112</v>
      </c>
      <c r="G4567">
        <v>5</v>
      </c>
      <c r="H4567">
        <v>11.24</v>
      </c>
      <c r="I4567">
        <v>0.25</v>
      </c>
      <c r="J4567">
        <v>42.15</v>
      </c>
      <c r="K4567" t="s">
        <v>22</v>
      </c>
      <c r="L4567" t="s">
        <v>17</v>
      </c>
      <c r="M4567" t="s">
        <v>67</v>
      </c>
    </row>
    <row r="4568" spans="1:13" x14ac:dyDescent="0.2">
      <c r="A4568">
        <v>857353</v>
      </c>
      <c r="B4568" s="1">
        <v>45404</v>
      </c>
      <c r="C4568">
        <v>18732</v>
      </c>
      <c r="D4568" t="s">
        <v>40</v>
      </c>
      <c r="E4568" t="s">
        <v>197</v>
      </c>
      <c r="F4568" t="s">
        <v>198</v>
      </c>
      <c r="G4568">
        <v>5</v>
      </c>
      <c r="H4568">
        <v>10.49</v>
      </c>
      <c r="I4568">
        <v>0.3</v>
      </c>
      <c r="J4568">
        <v>36.71</v>
      </c>
      <c r="K4568" t="s">
        <v>36</v>
      </c>
      <c r="L4568" t="s">
        <v>17</v>
      </c>
      <c r="M4568" t="s">
        <v>120</v>
      </c>
    </row>
    <row r="4569" spans="1:13" x14ac:dyDescent="0.2">
      <c r="A4569">
        <v>857471</v>
      </c>
      <c r="B4569" s="1">
        <v>44718</v>
      </c>
      <c r="C4569">
        <v>37508</v>
      </c>
      <c r="D4569" t="s">
        <v>29</v>
      </c>
      <c r="E4569" t="s">
        <v>30</v>
      </c>
      <c r="F4569" t="s">
        <v>31</v>
      </c>
      <c r="G4569">
        <v>1</v>
      </c>
      <c r="H4569">
        <v>23.74</v>
      </c>
      <c r="I4569">
        <v>0.05</v>
      </c>
      <c r="J4569">
        <v>22.55</v>
      </c>
      <c r="K4569" t="s">
        <v>36</v>
      </c>
      <c r="L4569" t="s">
        <v>17</v>
      </c>
      <c r="M4569" t="s">
        <v>123</v>
      </c>
    </row>
    <row r="4570" spans="1:13" x14ac:dyDescent="0.2">
      <c r="A4570">
        <v>857524</v>
      </c>
      <c r="B4570" s="2">
        <v>44579</v>
      </c>
      <c r="C4570">
        <v>90750</v>
      </c>
      <c r="D4570" t="s">
        <v>44</v>
      </c>
      <c r="E4570" t="s">
        <v>74</v>
      </c>
      <c r="F4570" t="s">
        <v>75</v>
      </c>
      <c r="G4570">
        <v>2</v>
      </c>
      <c r="H4570">
        <v>2.99</v>
      </c>
      <c r="J4570">
        <v>5.98</v>
      </c>
      <c r="K4570" t="s">
        <v>95</v>
      </c>
      <c r="L4570" t="s">
        <v>37</v>
      </c>
      <c r="M4570" t="s">
        <v>67</v>
      </c>
    </row>
    <row r="4571" spans="1:13" x14ac:dyDescent="0.2">
      <c r="A4571">
        <v>858230</v>
      </c>
      <c r="B4571" s="1">
        <v>44859</v>
      </c>
      <c r="C4571">
        <v>29261</v>
      </c>
      <c r="D4571" t="s">
        <v>44</v>
      </c>
      <c r="E4571" t="s">
        <v>93</v>
      </c>
      <c r="F4571" t="s">
        <v>94</v>
      </c>
      <c r="G4571">
        <v>2</v>
      </c>
      <c r="H4571">
        <v>0.9</v>
      </c>
      <c r="I4571">
        <v>0.3</v>
      </c>
      <c r="J4571">
        <v>1.26</v>
      </c>
      <c r="K4571" t="s">
        <v>16</v>
      </c>
      <c r="L4571" t="s">
        <v>37</v>
      </c>
      <c r="M4571" t="s">
        <v>120</v>
      </c>
    </row>
    <row r="4572" spans="1:13" x14ac:dyDescent="0.2">
      <c r="A4572">
        <v>858332</v>
      </c>
      <c r="B4572" s="1">
        <v>45054</v>
      </c>
      <c r="C4572">
        <v>70788</v>
      </c>
      <c r="D4572" t="s">
        <v>97</v>
      </c>
      <c r="E4572" t="s">
        <v>151</v>
      </c>
      <c r="F4572" t="s">
        <v>152</v>
      </c>
      <c r="G4572">
        <v>2</v>
      </c>
      <c r="H4572">
        <v>27.99</v>
      </c>
      <c r="I4572">
        <v>0.2</v>
      </c>
      <c r="J4572">
        <v>44.78</v>
      </c>
      <c r="K4572" t="s">
        <v>36</v>
      </c>
      <c r="L4572" t="s">
        <v>17</v>
      </c>
      <c r="M4572" t="s">
        <v>161</v>
      </c>
    </row>
    <row r="4573" spans="1:13" x14ac:dyDescent="0.2">
      <c r="A4573">
        <v>858536</v>
      </c>
      <c r="B4573" s="2">
        <v>45341</v>
      </c>
      <c r="C4573">
        <v>45193</v>
      </c>
      <c r="D4573" t="s">
        <v>63</v>
      </c>
      <c r="E4573" t="s">
        <v>131</v>
      </c>
      <c r="F4573" t="s">
        <v>132</v>
      </c>
      <c r="G4573">
        <v>4</v>
      </c>
      <c r="H4573">
        <v>3.14</v>
      </c>
      <c r="I4573">
        <v>0.1</v>
      </c>
      <c r="J4573">
        <v>11.3</v>
      </c>
      <c r="K4573" t="s">
        <v>16</v>
      </c>
      <c r="L4573" t="s">
        <v>17</v>
      </c>
      <c r="M4573" t="s">
        <v>102</v>
      </c>
    </row>
    <row r="4574" spans="1:13" x14ac:dyDescent="0.2">
      <c r="A4574">
        <v>858545</v>
      </c>
      <c r="B4574" s="2">
        <v>45144</v>
      </c>
      <c r="D4574" t="s">
        <v>25</v>
      </c>
      <c r="E4574" t="s">
        <v>70</v>
      </c>
      <c r="F4574" t="s">
        <v>71</v>
      </c>
      <c r="G4574">
        <v>4</v>
      </c>
      <c r="H4574">
        <v>71.989999999999995</v>
      </c>
      <c r="J4574">
        <v>287.95999999999998</v>
      </c>
      <c r="K4574" t="s">
        <v>16</v>
      </c>
      <c r="L4574" t="s">
        <v>23</v>
      </c>
      <c r="M4574" t="s">
        <v>120</v>
      </c>
    </row>
    <row r="4575" spans="1:13" x14ac:dyDescent="0.2">
      <c r="A4575">
        <v>858593</v>
      </c>
      <c r="B4575" s="1">
        <v>44794</v>
      </c>
      <c r="C4575">
        <v>98060</v>
      </c>
      <c r="D4575" t="s">
        <v>85</v>
      </c>
      <c r="E4575" t="s">
        <v>129</v>
      </c>
      <c r="F4575" t="s">
        <v>130</v>
      </c>
      <c r="G4575">
        <v>4</v>
      </c>
      <c r="H4575">
        <v>7.64</v>
      </c>
      <c r="I4575">
        <v>0.15</v>
      </c>
      <c r="J4575">
        <v>25.98</v>
      </c>
      <c r="K4575" t="s">
        <v>16</v>
      </c>
      <c r="L4575" t="s">
        <v>37</v>
      </c>
      <c r="M4575" t="s">
        <v>62</v>
      </c>
    </row>
    <row r="4576" spans="1:13" x14ac:dyDescent="0.2">
      <c r="A4576">
        <v>858699</v>
      </c>
      <c r="B4576" s="1">
        <v>45599</v>
      </c>
      <c r="C4576">
        <v>73119</v>
      </c>
      <c r="D4576" t="s">
        <v>63</v>
      </c>
      <c r="E4576" t="s">
        <v>111</v>
      </c>
      <c r="F4576" t="s">
        <v>112</v>
      </c>
      <c r="G4576">
        <v>2</v>
      </c>
      <c r="H4576">
        <v>14.99</v>
      </c>
      <c r="J4576">
        <v>29.98</v>
      </c>
      <c r="K4576" t="s">
        <v>95</v>
      </c>
      <c r="L4576" t="s">
        <v>17</v>
      </c>
      <c r="M4576" t="s">
        <v>54</v>
      </c>
    </row>
    <row r="4577" spans="1:13" x14ac:dyDescent="0.2">
      <c r="A4577">
        <v>858805</v>
      </c>
      <c r="B4577" s="1">
        <v>45401</v>
      </c>
      <c r="C4577">
        <v>47799</v>
      </c>
      <c r="D4577" t="s">
        <v>25</v>
      </c>
      <c r="E4577" t="s">
        <v>51</v>
      </c>
      <c r="F4577" t="s">
        <v>52</v>
      </c>
      <c r="G4577">
        <v>5</v>
      </c>
      <c r="H4577">
        <v>26.59</v>
      </c>
      <c r="I4577">
        <v>0.05</v>
      </c>
      <c r="J4577">
        <v>126.3</v>
      </c>
      <c r="K4577" t="s">
        <v>53</v>
      </c>
      <c r="L4577" t="s">
        <v>17</v>
      </c>
      <c r="M4577" t="s">
        <v>90</v>
      </c>
    </row>
    <row r="4578" spans="1:13" x14ac:dyDescent="0.2">
      <c r="A4578">
        <v>858950</v>
      </c>
      <c r="B4578" s="1">
        <v>44921</v>
      </c>
      <c r="C4578">
        <v>52956</v>
      </c>
      <c r="D4578" t="s">
        <v>40</v>
      </c>
      <c r="E4578" t="s">
        <v>58</v>
      </c>
      <c r="F4578" t="s">
        <v>59</v>
      </c>
      <c r="G4578">
        <v>3</v>
      </c>
      <c r="H4578">
        <v>3.99</v>
      </c>
      <c r="J4578">
        <v>11.97</v>
      </c>
      <c r="K4578" t="s">
        <v>53</v>
      </c>
      <c r="L4578" t="s">
        <v>17</v>
      </c>
      <c r="M4578" t="s">
        <v>103</v>
      </c>
    </row>
    <row r="4579" spans="1:13" x14ac:dyDescent="0.2">
      <c r="A4579">
        <v>859212</v>
      </c>
      <c r="B4579" s="1">
        <v>45630</v>
      </c>
      <c r="C4579">
        <v>36054</v>
      </c>
      <c r="D4579" t="s">
        <v>29</v>
      </c>
      <c r="E4579" t="s">
        <v>72</v>
      </c>
      <c r="F4579" t="s">
        <v>73</v>
      </c>
      <c r="G4579">
        <v>2</v>
      </c>
      <c r="H4579">
        <v>39.99</v>
      </c>
      <c r="J4579">
        <v>79.98</v>
      </c>
      <c r="K4579" t="s">
        <v>32</v>
      </c>
      <c r="L4579" t="s">
        <v>17</v>
      </c>
      <c r="M4579" t="s">
        <v>67</v>
      </c>
    </row>
    <row r="4580" spans="1:13" x14ac:dyDescent="0.2">
      <c r="A4580">
        <v>859260</v>
      </c>
      <c r="B4580" s="1">
        <v>44797</v>
      </c>
      <c r="C4580">
        <v>61975</v>
      </c>
      <c r="D4580" t="s">
        <v>29</v>
      </c>
      <c r="E4580" t="s">
        <v>170</v>
      </c>
      <c r="F4580" t="s">
        <v>171</v>
      </c>
      <c r="G4580">
        <v>3</v>
      </c>
      <c r="H4580">
        <v>14.99</v>
      </c>
      <c r="J4580">
        <v>44.97</v>
      </c>
      <c r="K4580" t="s">
        <v>53</v>
      </c>
      <c r="L4580" t="s">
        <v>17</v>
      </c>
      <c r="M4580" t="s">
        <v>96</v>
      </c>
    </row>
    <row r="4581" spans="1:13" x14ac:dyDescent="0.2">
      <c r="A4581">
        <v>859378</v>
      </c>
      <c r="B4581" s="2">
        <v>44896</v>
      </c>
      <c r="C4581">
        <v>34682</v>
      </c>
      <c r="D4581" t="s">
        <v>40</v>
      </c>
      <c r="E4581" t="s">
        <v>115</v>
      </c>
      <c r="F4581" t="s">
        <v>116</v>
      </c>
      <c r="G4581">
        <v>1</v>
      </c>
      <c r="H4581">
        <v>12.99</v>
      </c>
      <c r="J4581">
        <v>12.99</v>
      </c>
      <c r="K4581" t="s">
        <v>16</v>
      </c>
      <c r="L4581" t="s">
        <v>17</v>
      </c>
      <c r="M4581" t="s">
        <v>57</v>
      </c>
    </row>
    <row r="4582" spans="1:13" x14ac:dyDescent="0.2">
      <c r="A4582">
        <v>859397</v>
      </c>
      <c r="B4582" s="2">
        <v>45362</v>
      </c>
      <c r="C4582">
        <v>80934</v>
      </c>
      <c r="D4582" t="s">
        <v>13</v>
      </c>
      <c r="E4582" t="s">
        <v>34</v>
      </c>
      <c r="F4582" t="s">
        <v>35</v>
      </c>
      <c r="G4582">
        <v>5</v>
      </c>
      <c r="H4582">
        <v>24.49</v>
      </c>
      <c r="I4582">
        <v>0.3</v>
      </c>
      <c r="J4582">
        <v>85.71</v>
      </c>
      <c r="K4582" t="s">
        <v>16</v>
      </c>
      <c r="L4582" t="s">
        <v>17</v>
      </c>
      <c r="M4582" t="s">
        <v>67</v>
      </c>
    </row>
    <row r="4583" spans="1:13" x14ac:dyDescent="0.2">
      <c r="A4583">
        <v>859414</v>
      </c>
      <c r="B4583" s="1">
        <v>44746</v>
      </c>
      <c r="C4583">
        <v>75568</v>
      </c>
      <c r="D4583" t="s">
        <v>97</v>
      </c>
      <c r="E4583" t="s">
        <v>135</v>
      </c>
      <c r="F4583" t="s">
        <v>136</v>
      </c>
      <c r="G4583">
        <v>5</v>
      </c>
      <c r="H4583">
        <v>7.99</v>
      </c>
      <c r="I4583">
        <v>0.2</v>
      </c>
      <c r="J4583">
        <v>31.96</v>
      </c>
      <c r="K4583" t="s">
        <v>36</v>
      </c>
      <c r="L4583" t="s">
        <v>17</v>
      </c>
      <c r="M4583" t="s">
        <v>81</v>
      </c>
    </row>
    <row r="4584" spans="1:13" x14ac:dyDescent="0.2">
      <c r="A4584">
        <v>859822</v>
      </c>
      <c r="B4584" s="1">
        <v>45086</v>
      </c>
      <c r="C4584">
        <v>15776</v>
      </c>
      <c r="D4584" t="s">
        <v>44</v>
      </c>
      <c r="E4584" t="s">
        <v>195</v>
      </c>
      <c r="F4584" t="s">
        <v>196</v>
      </c>
      <c r="G4584">
        <v>2</v>
      </c>
      <c r="H4584">
        <v>4.24</v>
      </c>
      <c r="I4584">
        <v>0.15</v>
      </c>
      <c r="J4584">
        <v>7.21</v>
      </c>
      <c r="K4584" t="s">
        <v>16</v>
      </c>
      <c r="L4584" t="s">
        <v>17</v>
      </c>
      <c r="M4584" t="s">
        <v>123</v>
      </c>
    </row>
    <row r="4585" spans="1:13" x14ac:dyDescent="0.2">
      <c r="A4585">
        <v>860095</v>
      </c>
      <c r="B4585" s="2">
        <v>44947</v>
      </c>
      <c r="C4585">
        <v>56215</v>
      </c>
      <c r="D4585" t="s">
        <v>40</v>
      </c>
      <c r="E4585" t="s">
        <v>58</v>
      </c>
      <c r="F4585" t="s">
        <v>59</v>
      </c>
      <c r="G4585">
        <v>4</v>
      </c>
      <c r="H4585">
        <v>3.99</v>
      </c>
      <c r="J4585">
        <v>15.96</v>
      </c>
      <c r="K4585" t="s">
        <v>16</v>
      </c>
      <c r="L4585" t="s">
        <v>17</v>
      </c>
      <c r="M4585" t="s">
        <v>103</v>
      </c>
    </row>
    <row r="4586" spans="1:13" x14ac:dyDescent="0.2">
      <c r="A4586">
        <v>860305</v>
      </c>
      <c r="B4586" s="1">
        <v>45492</v>
      </c>
      <c r="C4586">
        <v>81715</v>
      </c>
      <c r="D4586" t="s">
        <v>44</v>
      </c>
      <c r="E4586" t="s">
        <v>93</v>
      </c>
      <c r="F4586" t="s">
        <v>94</v>
      </c>
      <c r="G4586">
        <v>1</v>
      </c>
      <c r="H4586">
        <v>0.97</v>
      </c>
      <c r="I4586">
        <v>0.25</v>
      </c>
      <c r="J4586">
        <v>0.73</v>
      </c>
      <c r="K4586" t="s">
        <v>16</v>
      </c>
      <c r="L4586" t="s">
        <v>17</v>
      </c>
      <c r="M4586" t="s">
        <v>123</v>
      </c>
    </row>
    <row r="4587" spans="1:13" x14ac:dyDescent="0.2">
      <c r="A4587">
        <v>860441</v>
      </c>
      <c r="B4587" s="2">
        <v>44697</v>
      </c>
      <c r="C4587">
        <v>62743</v>
      </c>
      <c r="D4587" t="s">
        <v>13</v>
      </c>
      <c r="E4587" t="s">
        <v>186</v>
      </c>
      <c r="F4587" t="s">
        <v>187</v>
      </c>
      <c r="G4587">
        <v>2</v>
      </c>
      <c r="H4587">
        <v>49.99</v>
      </c>
      <c r="J4587">
        <v>99.98</v>
      </c>
      <c r="K4587" t="s">
        <v>16</v>
      </c>
      <c r="L4587" t="s">
        <v>23</v>
      </c>
      <c r="M4587" t="s">
        <v>161</v>
      </c>
    </row>
    <row r="4588" spans="1:13" x14ac:dyDescent="0.2">
      <c r="A4588">
        <v>860558</v>
      </c>
      <c r="B4588" s="1">
        <v>45278</v>
      </c>
      <c r="C4588">
        <v>86149</v>
      </c>
      <c r="D4588" t="s">
        <v>63</v>
      </c>
      <c r="E4588" t="s">
        <v>125</v>
      </c>
      <c r="F4588" t="s">
        <v>126</v>
      </c>
      <c r="G4588">
        <v>3</v>
      </c>
      <c r="H4588">
        <v>20.99</v>
      </c>
      <c r="I4588">
        <v>0.3</v>
      </c>
      <c r="J4588">
        <v>44.08</v>
      </c>
      <c r="K4588" t="s">
        <v>36</v>
      </c>
      <c r="L4588" t="s">
        <v>37</v>
      </c>
    </row>
    <row r="4589" spans="1:13" x14ac:dyDescent="0.2">
      <c r="A4589">
        <v>860633</v>
      </c>
      <c r="B4589" s="1">
        <v>45630</v>
      </c>
      <c r="C4589">
        <v>65397</v>
      </c>
      <c r="D4589" t="s">
        <v>97</v>
      </c>
      <c r="E4589" t="s">
        <v>121</v>
      </c>
      <c r="F4589" t="s">
        <v>122</v>
      </c>
      <c r="G4589">
        <v>4</v>
      </c>
      <c r="H4589">
        <v>12.99</v>
      </c>
      <c r="J4589">
        <v>51.96</v>
      </c>
      <c r="K4589" t="s">
        <v>22</v>
      </c>
      <c r="L4589" t="s">
        <v>17</v>
      </c>
      <c r="M4589" t="s">
        <v>120</v>
      </c>
    </row>
    <row r="4590" spans="1:13" x14ac:dyDescent="0.2">
      <c r="A4590">
        <v>860636</v>
      </c>
      <c r="B4590" s="1">
        <v>44862</v>
      </c>
      <c r="C4590">
        <v>65381</v>
      </c>
      <c r="D4590" t="s">
        <v>82</v>
      </c>
      <c r="E4590" t="s">
        <v>83</v>
      </c>
      <c r="F4590" t="s">
        <v>84</v>
      </c>
      <c r="G4590">
        <v>2</v>
      </c>
      <c r="H4590">
        <v>16.989999999999998</v>
      </c>
      <c r="J4590">
        <v>33.979999999999997</v>
      </c>
      <c r="K4590" t="s">
        <v>22</v>
      </c>
      <c r="L4590" t="s">
        <v>23</v>
      </c>
      <c r="M4590" t="s">
        <v>18</v>
      </c>
    </row>
    <row r="4591" spans="1:13" x14ac:dyDescent="0.2">
      <c r="A4591">
        <v>861165</v>
      </c>
      <c r="B4591" s="1">
        <v>45574</v>
      </c>
      <c r="C4591">
        <v>93634</v>
      </c>
      <c r="D4591" t="s">
        <v>25</v>
      </c>
      <c r="E4591" t="s">
        <v>70</v>
      </c>
      <c r="F4591" t="s">
        <v>71</v>
      </c>
      <c r="G4591">
        <v>5</v>
      </c>
      <c r="H4591">
        <v>62.99</v>
      </c>
      <c r="I4591">
        <v>0.3</v>
      </c>
      <c r="J4591">
        <v>220.46</v>
      </c>
      <c r="K4591" t="s">
        <v>32</v>
      </c>
      <c r="L4591" t="s">
        <v>17</v>
      </c>
      <c r="M4591" t="s">
        <v>103</v>
      </c>
    </row>
    <row r="4592" spans="1:13" x14ac:dyDescent="0.2">
      <c r="A4592">
        <v>861310</v>
      </c>
      <c r="B4592" s="1">
        <v>45461</v>
      </c>
      <c r="C4592">
        <v>25455</v>
      </c>
      <c r="D4592" t="s">
        <v>48</v>
      </c>
      <c r="E4592" t="s">
        <v>139</v>
      </c>
      <c r="F4592" t="s">
        <v>140</v>
      </c>
      <c r="G4592">
        <v>1</v>
      </c>
      <c r="H4592">
        <v>7.59</v>
      </c>
      <c r="I4592">
        <v>0.05</v>
      </c>
      <c r="J4592">
        <v>7.21</v>
      </c>
      <c r="K4592" t="s">
        <v>36</v>
      </c>
      <c r="L4592" t="s">
        <v>17</v>
      </c>
      <c r="M4592" t="s">
        <v>161</v>
      </c>
    </row>
    <row r="4593" spans="1:13" x14ac:dyDescent="0.2">
      <c r="A4593">
        <v>861420</v>
      </c>
      <c r="B4593" s="1">
        <v>44860</v>
      </c>
      <c r="C4593">
        <v>59336</v>
      </c>
      <c r="D4593" t="s">
        <v>97</v>
      </c>
      <c r="E4593" t="s">
        <v>181</v>
      </c>
      <c r="F4593" t="s">
        <v>182</v>
      </c>
      <c r="G4593">
        <v>2</v>
      </c>
      <c r="H4593">
        <v>11.99</v>
      </c>
      <c r="I4593">
        <v>0.2</v>
      </c>
      <c r="J4593">
        <v>19.18</v>
      </c>
      <c r="K4593" t="s">
        <v>22</v>
      </c>
      <c r="L4593" t="s">
        <v>23</v>
      </c>
      <c r="M4593" t="s">
        <v>43</v>
      </c>
    </row>
    <row r="4594" spans="1:13" x14ac:dyDescent="0.2">
      <c r="A4594">
        <v>861439</v>
      </c>
      <c r="B4594" s="1">
        <v>45120</v>
      </c>
      <c r="C4594">
        <v>83046</v>
      </c>
      <c r="D4594" t="s">
        <v>13</v>
      </c>
      <c r="E4594" t="s">
        <v>79</v>
      </c>
      <c r="F4594" t="s">
        <v>80</v>
      </c>
      <c r="G4594">
        <v>1</v>
      </c>
      <c r="H4594">
        <v>85.49</v>
      </c>
      <c r="I4594">
        <v>0.05</v>
      </c>
      <c r="J4594">
        <v>81.22</v>
      </c>
      <c r="K4594" t="s">
        <v>36</v>
      </c>
      <c r="L4594" t="s">
        <v>17</v>
      </c>
      <c r="M4594" t="s">
        <v>76</v>
      </c>
    </row>
    <row r="4595" spans="1:13" x14ac:dyDescent="0.2">
      <c r="A4595">
        <v>861467</v>
      </c>
      <c r="B4595" s="1">
        <v>44629</v>
      </c>
      <c r="C4595">
        <v>13852</v>
      </c>
      <c r="D4595" t="s">
        <v>44</v>
      </c>
      <c r="E4595" t="s">
        <v>162</v>
      </c>
      <c r="F4595" t="s">
        <v>163</v>
      </c>
      <c r="G4595">
        <v>5</v>
      </c>
      <c r="H4595">
        <v>7.59</v>
      </c>
      <c r="I4595">
        <v>0.05</v>
      </c>
      <c r="J4595">
        <v>36.049999999999997</v>
      </c>
      <c r="K4595" t="s">
        <v>36</v>
      </c>
      <c r="L4595" t="s">
        <v>37</v>
      </c>
      <c r="M4595" t="s">
        <v>57</v>
      </c>
    </row>
    <row r="4596" spans="1:13" x14ac:dyDescent="0.2">
      <c r="A4596">
        <v>861861</v>
      </c>
      <c r="B4596" s="1">
        <v>45122</v>
      </c>
      <c r="C4596">
        <v>91568</v>
      </c>
      <c r="D4596" t="s">
        <v>97</v>
      </c>
      <c r="E4596" t="s">
        <v>193</v>
      </c>
      <c r="F4596" t="s">
        <v>194</v>
      </c>
      <c r="G4596">
        <v>3</v>
      </c>
      <c r="H4596">
        <v>64.989999999999995</v>
      </c>
      <c r="J4596">
        <v>194.97</v>
      </c>
      <c r="K4596" t="s">
        <v>32</v>
      </c>
      <c r="L4596" t="s">
        <v>17</v>
      </c>
      <c r="M4596" t="s">
        <v>81</v>
      </c>
    </row>
    <row r="4597" spans="1:13" x14ac:dyDescent="0.2">
      <c r="A4597">
        <v>862080</v>
      </c>
      <c r="B4597" s="1">
        <v>45020</v>
      </c>
      <c r="C4597">
        <v>28165</v>
      </c>
      <c r="D4597" t="s">
        <v>29</v>
      </c>
      <c r="E4597" t="s">
        <v>170</v>
      </c>
      <c r="F4597" t="s">
        <v>171</v>
      </c>
      <c r="G4597">
        <v>2</v>
      </c>
      <c r="H4597">
        <v>11.24</v>
      </c>
      <c r="I4597">
        <v>0.25</v>
      </c>
      <c r="J4597">
        <v>16.86</v>
      </c>
      <c r="K4597" t="s">
        <v>36</v>
      </c>
      <c r="L4597" t="s">
        <v>17</v>
      </c>
      <c r="M4597" t="s">
        <v>81</v>
      </c>
    </row>
    <row r="4598" spans="1:13" x14ac:dyDescent="0.2">
      <c r="A4598">
        <v>862237</v>
      </c>
      <c r="B4598" s="1">
        <v>44794</v>
      </c>
      <c r="C4598">
        <v>13824</v>
      </c>
      <c r="D4598" t="s">
        <v>97</v>
      </c>
      <c r="E4598" t="s">
        <v>181</v>
      </c>
      <c r="F4598" t="s">
        <v>182</v>
      </c>
      <c r="G4598">
        <v>2</v>
      </c>
      <c r="H4598">
        <v>14.24</v>
      </c>
      <c r="I4598">
        <v>0.05</v>
      </c>
      <c r="J4598">
        <v>27.06</v>
      </c>
      <c r="K4598" t="s">
        <v>16</v>
      </c>
      <c r="L4598" t="s">
        <v>17</v>
      </c>
      <c r="M4598" t="s">
        <v>33</v>
      </c>
    </row>
    <row r="4599" spans="1:13" x14ac:dyDescent="0.2">
      <c r="A4599">
        <v>862446</v>
      </c>
      <c r="B4599" s="1">
        <v>44690</v>
      </c>
      <c r="D4599" t="s">
        <v>85</v>
      </c>
      <c r="E4599" t="s">
        <v>129</v>
      </c>
      <c r="F4599" t="s">
        <v>130</v>
      </c>
      <c r="G4599">
        <v>1</v>
      </c>
      <c r="H4599">
        <v>7.64</v>
      </c>
      <c r="I4599">
        <v>0.15</v>
      </c>
      <c r="J4599">
        <v>6.49</v>
      </c>
      <c r="K4599" t="s">
        <v>32</v>
      </c>
      <c r="L4599" t="s">
        <v>17</v>
      </c>
      <c r="M4599" t="s">
        <v>24</v>
      </c>
    </row>
    <row r="4600" spans="1:13" x14ac:dyDescent="0.2">
      <c r="A4600">
        <v>862470</v>
      </c>
      <c r="B4600" s="1">
        <v>45302</v>
      </c>
      <c r="C4600">
        <v>72973</v>
      </c>
      <c r="D4600" t="s">
        <v>97</v>
      </c>
      <c r="E4600" t="s">
        <v>98</v>
      </c>
      <c r="F4600" t="s">
        <v>99</v>
      </c>
      <c r="G4600">
        <v>2</v>
      </c>
      <c r="H4600">
        <v>27.99</v>
      </c>
      <c r="J4600">
        <v>55.98</v>
      </c>
      <c r="K4600" t="s">
        <v>22</v>
      </c>
      <c r="L4600" t="s">
        <v>17</v>
      </c>
      <c r="M4600" t="s">
        <v>43</v>
      </c>
    </row>
    <row r="4601" spans="1:13" x14ac:dyDescent="0.2">
      <c r="A4601">
        <v>862477</v>
      </c>
      <c r="B4601" s="1">
        <v>45526</v>
      </c>
      <c r="C4601">
        <v>81404</v>
      </c>
      <c r="D4601" t="s">
        <v>29</v>
      </c>
      <c r="E4601" t="s">
        <v>30</v>
      </c>
      <c r="F4601" t="s">
        <v>31</v>
      </c>
      <c r="G4601">
        <v>2</v>
      </c>
      <c r="H4601">
        <v>22.49</v>
      </c>
      <c r="I4601">
        <v>0.1</v>
      </c>
      <c r="J4601">
        <v>40.479999999999997</v>
      </c>
      <c r="K4601" t="s">
        <v>36</v>
      </c>
      <c r="L4601" t="s">
        <v>37</v>
      </c>
      <c r="M4601" t="s">
        <v>90</v>
      </c>
    </row>
    <row r="4602" spans="1:13" x14ac:dyDescent="0.2">
      <c r="A4602">
        <v>862526</v>
      </c>
      <c r="B4602" s="1">
        <v>44913</v>
      </c>
      <c r="C4602">
        <v>94452</v>
      </c>
      <c r="D4602" t="s">
        <v>40</v>
      </c>
      <c r="E4602" t="s">
        <v>41</v>
      </c>
      <c r="F4602" t="s">
        <v>42</v>
      </c>
      <c r="G4602">
        <v>1</v>
      </c>
      <c r="H4602">
        <v>5.99</v>
      </c>
      <c r="J4602">
        <v>5.99</v>
      </c>
      <c r="K4602" t="s">
        <v>36</v>
      </c>
      <c r="L4602" t="s">
        <v>17</v>
      </c>
      <c r="M4602" t="s">
        <v>117</v>
      </c>
    </row>
    <row r="4603" spans="1:13" x14ac:dyDescent="0.2">
      <c r="A4603">
        <v>862593</v>
      </c>
      <c r="B4603" s="1">
        <v>44876</v>
      </c>
      <c r="C4603">
        <v>63071</v>
      </c>
      <c r="D4603" t="s">
        <v>85</v>
      </c>
      <c r="E4603" t="s">
        <v>129</v>
      </c>
      <c r="F4603" t="s">
        <v>130</v>
      </c>
      <c r="G4603">
        <v>1</v>
      </c>
      <c r="H4603">
        <v>7.64</v>
      </c>
      <c r="I4603">
        <v>0.15</v>
      </c>
      <c r="J4603">
        <v>6.49</v>
      </c>
      <c r="K4603" t="s">
        <v>36</v>
      </c>
      <c r="L4603" t="s">
        <v>17</v>
      </c>
      <c r="M4603" t="s">
        <v>57</v>
      </c>
    </row>
    <row r="4604" spans="1:13" x14ac:dyDescent="0.2">
      <c r="A4604">
        <v>862706</v>
      </c>
      <c r="B4604" s="1">
        <v>45197</v>
      </c>
      <c r="C4604">
        <v>51619</v>
      </c>
      <c r="D4604" t="s">
        <v>82</v>
      </c>
      <c r="E4604" t="s">
        <v>100</v>
      </c>
      <c r="F4604" t="s">
        <v>101</v>
      </c>
      <c r="G4604">
        <v>4</v>
      </c>
      <c r="H4604">
        <v>16.09</v>
      </c>
      <c r="I4604">
        <v>0.3</v>
      </c>
      <c r="J4604">
        <v>45.05</v>
      </c>
      <c r="K4604" t="s">
        <v>95</v>
      </c>
      <c r="L4604" t="s">
        <v>37</v>
      </c>
      <c r="M4604" t="s">
        <v>62</v>
      </c>
    </row>
    <row r="4605" spans="1:13" x14ac:dyDescent="0.2">
      <c r="A4605">
        <v>862789</v>
      </c>
      <c r="B4605" s="1">
        <v>45183</v>
      </c>
      <c r="C4605">
        <v>16829</v>
      </c>
      <c r="D4605" t="s">
        <v>40</v>
      </c>
      <c r="E4605" t="s">
        <v>115</v>
      </c>
      <c r="F4605" t="s">
        <v>116</v>
      </c>
      <c r="G4605">
        <v>1</v>
      </c>
      <c r="H4605">
        <v>11.04</v>
      </c>
      <c r="I4605">
        <v>0.15</v>
      </c>
      <c r="J4605">
        <v>9.3800000000000008</v>
      </c>
      <c r="K4605" t="s">
        <v>36</v>
      </c>
      <c r="L4605" t="s">
        <v>17</v>
      </c>
      <c r="M4605" t="s">
        <v>120</v>
      </c>
    </row>
    <row r="4606" spans="1:13" x14ac:dyDescent="0.2">
      <c r="A4606">
        <v>862835</v>
      </c>
      <c r="B4606" s="1">
        <v>45043</v>
      </c>
      <c r="C4606">
        <v>44068</v>
      </c>
      <c r="D4606" t="s">
        <v>97</v>
      </c>
      <c r="E4606" t="s">
        <v>98</v>
      </c>
      <c r="F4606" t="s">
        <v>99</v>
      </c>
      <c r="G4606">
        <v>3</v>
      </c>
      <c r="H4606">
        <v>26.59</v>
      </c>
      <c r="I4606">
        <v>0.05</v>
      </c>
      <c r="J4606">
        <v>75.78</v>
      </c>
      <c r="K4606" t="s">
        <v>36</v>
      </c>
      <c r="L4606" t="s">
        <v>17</v>
      </c>
      <c r="M4606" t="s">
        <v>76</v>
      </c>
    </row>
    <row r="4607" spans="1:13" x14ac:dyDescent="0.2">
      <c r="A4607">
        <v>862992</v>
      </c>
      <c r="B4607" s="1">
        <v>45382</v>
      </c>
      <c r="C4607">
        <v>13485</v>
      </c>
      <c r="D4607" t="s">
        <v>48</v>
      </c>
      <c r="E4607" t="s">
        <v>49</v>
      </c>
      <c r="F4607" t="s">
        <v>50</v>
      </c>
      <c r="G4607">
        <v>3</v>
      </c>
      <c r="H4607">
        <v>6.74</v>
      </c>
      <c r="I4607">
        <v>0.25</v>
      </c>
      <c r="J4607">
        <v>15.16</v>
      </c>
      <c r="K4607" t="s">
        <v>95</v>
      </c>
      <c r="L4607" t="s">
        <v>17</v>
      </c>
      <c r="M4607" t="s">
        <v>120</v>
      </c>
    </row>
    <row r="4608" spans="1:13" x14ac:dyDescent="0.2">
      <c r="A4608">
        <v>863092</v>
      </c>
      <c r="B4608" s="2">
        <v>44996</v>
      </c>
      <c r="C4608">
        <v>95436</v>
      </c>
      <c r="D4608" t="s">
        <v>63</v>
      </c>
      <c r="E4608" t="s">
        <v>64</v>
      </c>
      <c r="F4608" t="s">
        <v>65</v>
      </c>
      <c r="G4608">
        <v>1</v>
      </c>
      <c r="H4608">
        <v>3.74</v>
      </c>
      <c r="I4608">
        <v>0.25</v>
      </c>
      <c r="J4608">
        <v>2.8</v>
      </c>
      <c r="K4608" t="s">
        <v>36</v>
      </c>
      <c r="L4608" t="s">
        <v>17</v>
      </c>
      <c r="M4608" t="s">
        <v>103</v>
      </c>
    </row>
    <row r="4609" spans="1:13" x14ac:dyDescent="0.2">
      <c r="A4609">
        <v>863188</v>
      </c>
      <c r="B4609" s="1">
        <v>44873</v>
      </c>
      <c r="C4609">
        <v>65664</v>
      </c>
      <c r="D4609" t="s">
        <v>13</v>
      </c>
      <c r="E4609" t="s">
        <v>14</v>
      </c>
      <c r="F4609" t="s">
        <v>15</v>
      </c>
      <c r="G4609">
        <v>1</v>
      </c>
      <c r="H4609">
        <v>59.99</v>
      </c>
      <c r="I4609">
        <v>0.25</v>
      </c>
      <c r="J4609">
        <v>44.99</v>
      </c>
      <c r="K4609" t="s">
        <v>95</v>
      </c>
      <c r="L4609" t="s">
        <v>23</v>
      </c>
      <c r="M4609" t="s">
        <v>102</v>
      </c>
    </row>
    <row r="4610" spans="1:13" x14ac:dyDescent="0.2">
      <c r="A4610">
        <v>863245</v>
      </c>
      <c r="B4610" s="1">
        <v>45440</v>
      </c>
      <c r="C4610">
        <v>40609</v>
      </c>
      <c r="D4610" t="s">
        <v>44</v>
      </c>
      <c r="E4610" t="s">
        <v>162</v>
      </c>
      <c r="F4610" t="s">
        <v>163</v>
      </c>
      <c r="G4610">
        <v>2</v>
      </c>
      <c r="H4610">
        <v>7.99</v>
      </c>
      <c r="J4610">
        <v>15.98</v>
      </c>
      <c r="K4610" t="s">
        <v>36</v>
      </c>
      <c r="L4610" t="s">
        <v>17</v>
      </c>
      <c r="M4610" t="s">
        <v>103</v>
      </c>
    </row>
    <row r="4611" spans="1:13" x14ac:dyDescent="0.2">
      <c r="A4611">
        <v>863420</v>
      </c>
      <c r="B4611" s="1">
        <v>44819</v>
      </c>
      <c r="C4611">
        <v>83523</v>
      </c>
      <c r="D4611" t="s">
        <v>48</v>
      </c>
      <c r="E4611" t="s">
        <v>49</v>
      </c>
      <c r="F4611" t="s">
        <v>50</v>
      </c>
      <c r="G4611">
        <v>1</v>
      </c>
      <c r="H4611">
        <v>8.09</v>
      </c>
      <c r="I4611">
        <v>0.1</v>
      </c>
      <c r="J4611">
        <v>7.28</v>
      </c>
      <c r="K4611" t="s">
        <v>22</v>
      </c>
      <c r="L4611" t="s">
        <v>37</v>
      </c>
      <c r="M4611" t="s">
        <v>96</v>
      </c>
    </row>
    <row r="4612" spans="1:13" x14ac:dyDescent="0.2">
      <c r="A4612">
        <v>863685</v>
      </c>
      <c r="B4612" s="1">
        <v>44880</v>
      </c>
      <c r="C4612">
        <v>22267</v>
      </c>
      <c r="D4612" t="s">
        <v>44</v>
      </c>
      <c r="E4612" t="s">
        <v>45</v>
      </c>
      <c r="F4612" t="s">
        <v>46</v>
      </c>
      <c r="G4612">
        <v>1</v>
      </c>
      <c r="H4612">
        <v>1.79</v>
      </c>
      <c r="J4612">
        <v>1.79</v>
      </c>
      <c r="K4612" t="s">
        <v>32</v>
      </c>
      <c r="L4612" t="s">
        <v>37</v>
      </c>
      <c r="M4612" t="s">
        <v>57</v>
      </c>
    </row>
    <row r="4613" spans="1:13" x14ac:dyDescent="0.2">
      <c r="A4613">
        <v>863723</v>
      </c>
      <c r="B4613" s="1">
        <v>45632</v>
      </c>
      <c r="C4613">
        <v>59244</v>
      </c>
      <c r="D4613" t="s">
        <v>40</v>
      </c>
      <c r="E4613" t="s">
        <v>20</v>
      </c>
      <c r="F4613" t="s">
        <v>21</v>
      </c>
      <c r="G4613">
        <v>2</v>
      </c>
      <c r="H4613">
        <v>9.49</v>
      </c>
      <c r="I4613">
        <v>0.05</v>
      </c>
      <c r="J4613">
        <v>18.03</v>
      </c>
      <c r="K4613" t="s">
        <v>16</v>
      </c>
      <c r="L4613" t="s">
        <v>17</v>
      </c>
    </row>
    <row r="4614" spans="1:13" x14ac:dyDescent="0.2">
      <c r="A4614">
        <v>863775</v>
      </c>
      <c r="B4614" s="2">
        <v>45248</v>
      </c>
      <c r="C4614">
        <v>18741</v>
      </c>
      <c r="D4614" t="s">
        <v>82</v>
      </c>
      <c r="E4614" t="s">
        <v>188</v>
      </c>
      <c r="F4614" t="s">
        <v>189</v>
      </c>
      <c r="G4614">
        <v>1</v>
      </c>
      <c r="H4614">
        <v>42.74</v>
      </c>
      <c r="I4614">
        <v>0.05</v>
      </c>
      <c r="J4614">
        <v>40.6</v>
      </c>
      <c r="K4614" t="s">
        <v>32</v>
      </c>
      <c r="L4614" t="s">
        <v>17</v>
      </c>
      <c r="M4614" t="s">
        <v>102</v>
      </c>
    </row>
    <row r="4615" spans="1:13" x14ac:dyDescent="0.2">
      <c r="A4615">
        <v>864161</v>
      </c>
      <c r="B4615" s="1">
        <v>44893</v>
      </c>
      <c r="C4615">
        <v>19800</v>
      </c>
      <c r="D4615" t="s">
        <v>97</v>
      </c>
      <c r="E4615" t="s">
        <v>141</v>
      </c>
      <c r="F4615" t="s">
        <v>142</v>
      </c>
      <c r="G4615">
        <v>2</v>
      </c>
      <c r="H4615">
        <v>20.69</v>
      </c>
      <c r="I4615">
        <v>0.1</v>
      </c>
      <c r="J4615">
        <v>37.24</v>
      </c>
      <c r="K4615" t="s">
        <v>53</v>
      </c>
      <c r="L4615" t="s">
        <v>17</v>
      </c>
      <c r="M4615" t="s">
        <v>123</v>
      </c>
    </row>
    <row r="4616" spans="1:13" x14ac:dyDescent="0.2">
      <c r="A4616">
        <v>864295</v>
      </c>
      <c r="B4616" s="1">
        <v>45361</v>
      </c>
      <c r="C4616">
        <v>16379</v>
      </c>
      <c r="D4616" t="s">
        <v>25</v>
      </c>
      <c r="E4616" t="s">
        <v>60</v>
      </c>
      <c r="F4616" t="s">
        <v>61</v>
      </c>
      <c r="G4616">
        <v>1</v>
      </c>
      <c r="H4616">
        <v>52.24</v>
      </c>
      <c r="I4616">
        <v>0.05</v>
      </c>
      <c r="J4616">
        <v>49.63</v>
      </c>
      <c r="K4616" t="s">
        <v>22</v>
      </c>
      <c r="L4616" t="s">
        <v>17</v>
      </c>
      <c r="M4616" t="s">
        <v>43</v>
      </c>
    </row>
    <row r="4617" spans="1:13" x14ac:dyDescent="0.2">
      <c r="A4617">
        <v>864333</v>
      </c>
      <c r="B4617" s="1">
        <v>44936</v>
      </c>
      <c r="C4617">
        <v>41891</v>
      </c>
      <c r="D4617" t="s">
        <v>63</v>
      </c>
      <c r="E4617" t="s">
        <v>125</v>
      </c>
      <c r="F4617" t="s">
        <v>126</v>
      </c>
      <c r="G4617">
        <v>2</v>
      </c>
      <c r="H4617">
        <v>29.99</v>
      </c>
      <c r="J4617">
        <v>59.98</v>
      </c>
      <c r="K4617" t="s">
        <v>95</v>
      </c>
      <c r="L4617" t="s">
        <v>23</v>
      </c>
      <c r="M4617" t="s">
        <v>96</v>
      </c>
    </row>
    <row r="4618" spans="1:13" x14ac:dyDescent="0.2">
      <c r="A4618">
        <v>864591</v>
      </c>
      <c r="B4618" s="1">
        <v>45531</v>
      </c>
      <c r="C4618">
        <v>45995</v>
      </c>
      <c r="D4618" t="s">
        <v>40</v>
      </c>
      <c r="E4618" t="s">
        <v>41</v>
      </c>
      <c r="F4618" t="s">
        <v>42</v>
      </c>
      <c r="G4618">
        <v>1</v>
      </c>
      <c r="H4618">
        <v>5.09</v>
      </c>
      <c r="I4618">
        <v>0.15</v>
      </c>
      <c r="J4618">
        <v>4.33</v>
      </c>
      <c r="K4618" t="s">
        <v>95</v>
      </c>
      <c r="L4618" t="s">
        <v>37</v>
      </c>
      <c r="M4618" t="s">
        <v>67</v>
      </c>
    </row>
    <row r="4619" spans="1:13" x14ac:dyDescent="0.2">
      <c r="A4619">
        <v>864704</v>
      </c>
      <c r="B4619" s="1">
        <v>45261</v>
      </c>
      <c r="C4619">
        <v>84957</v>
      </c>
      <c r="D4619" t="s">
        <v>97</v>
      </c>
      <c r="E4619" t="s">
        <v>141</v>
      </c>
      <c r="F4619" t="s">
        <v>142</v>
      </c>
      <c r="G4619">
        <v>3</v>
      </c>
      <c r="H4619">
        <v>19.54</v>
      </c>
      <c r="I4619">
        <v>0.15</v>
      </c>
      <c r="J4619">
        <v>49.83</v>
      </c>
      <c r="K4619" t="s">
        <v>22</v>
      </c>
      <c r="L4619" t="s">
        <v>17</v>
      </c>
      <c r="M4619" t="s">
        <v>120</v>
      </c>
    </row>
    <row r="4620" spans="1:13" x14ac:dyDescent="0.2">
      <c r="A4620">
        <v>864760</v>
      </c>
      <c r="B4620" s="2">
        <v>45316</v>
      </c>
      <c r="C4620">
        <v>47002</v>
      </c>
      <c r="D4620" t="s">
        <v>82</v>
      </c>
      <c r="E4620" t="s">
        <v>100</v>
      </c>
      <c r="F4620" t="s">
        <v>101</v>
      </c>
      <c r="G4620">
        <v>1</v>
      </c>
      <c r="H4620">
        <v>18.39</v>
      </c>
      <c r="I4620">
        <v>0.2</v>
      </c>
      <c r="J4620">
        <v>14.71</v>
      </c>
      <c r="K4620" t="s">
        <v>22</v>
      </c>
      <c r="L4620" t="s">
        <v>23</v>
      </c>
      <c r="M4620" t="s">
        <v>54</v>
      </c>
    </row>
    <row r="4621" spans="1:13" x14ac:dyDescent="0.2">
      <c r="A4621">
        <v>864838</v>
      </c>
      <c r="B4621" s="1">
        <v>45314</v>
      </c>
      <c r="C4621">
        <v>67146</v>
      </c>
      <c r="D4621" t="s">
        <v>13</v>
      </c>
      <c r="E4621" t="s">
        <v>104</v>
      </c>
      <c r="F4621" t="s">
        <v>105</v>
      </c>
      <c r="G4621">
        <v>2</v>
      </c>
      <c r="H4621">
        <v>29.99</v>
      </c>
      <c r="J4621">
        <v>59.98</v>
      </c>
      <c r="K4621" t="s">
        <v>36</v>
      </c>
      <c r="L4621" t="s">
        <v>17</v>
      </c>
      <c r="M4621" t="s">
        <v>18</v>
      </c>
    </row>
    <row r="4622" spans="1:13" x14ac:dyDescent="0.2">
      <c r="A4622">
        <v>864903</v>
      </c>
      <c r="B4622" s="2">
        <v>44615</v>
      </c>
      <c r="C4622">
        <v>12586</v>
      </c>
      <c r="D4622" t="s">
        <v>40</v>
      </c>
      <c r="E4622" t="s">
        <v>58</v>
      </c>
      <c r="F4622" t="s">
        <v>59</v>
      </c>
      <c r="G4622">
        <v>1</v>
      </c>
      <c r="H4622">
        <v>2.79</v>
      </c>
      <c r="I4622">
        <v>0.3</v>
      </c>
      <c r="J4622">
        <v>1.95</v>
      </c>
      <c r="K4622" t="s">
        <v>36</v>
      </c>
      <c r="L4622" t="s">
        <v>17</v>
      </c>
      <c r="M4622" t="s">
        <v>120</v>
      </c>
    </row>
    <row r="4623" spans="1:13" x14ac:dyDescent="0.2">
      <c r="A4623">
        <v>865030</v>
      </c>
      <c r="B4623" s="2">
        <v>44705</v>
      </c>
      <c r="C4623">
        <v>45532</v>
      </c>
      <c r="D4623" t="s">
        <v>192</v>
      </c>
      <c r="E4623" t="s">
        <v>151</v>
      </c>
      <c r="F4623" t="s">
        <v>152</v>
      </c>
      <c r="G4623">
        <v>2</v>
      </c>
      <c r="H4623">
        <v>34.99</v>
      </c>
      <c r="J4623">
        <v>69.98</v>
      </c>
      <c r="K4623" t="s">
        <v>16</v>
      </c>
      <c r="L4623" t="s">
        <v>37</v>
      </c>
      <c r="M4623" t="s">
        <v>102</v>
      </c>
    </row>
    <row r="4624" spans="1:13" x14ac:dyDescent="0.2">
      <c r="A4624">
        <v>865260</v>
      </c>
      <c r="B4624" s="1">
        <v>45656</v>
      </c>
      <c r="C4624">
        <v>22485</v>
      </c>
      <c r="D4624" t="s">
        <v>48</v>
      </c>
      <c r="E4624" t="s">
        <v>118</v>
      </c>
      <c r="F4624" t="s">
        <v>119</v>
      </c>
      <c r="G4624">
        <v>1</v>
      </c>
      <c r="H4624">
        <v>4.49</v>
      </c>
      <c r="I4624">
        <v>0.1</v>
      </c>
      <c r="J4624">
        <v>4.04</v>
      </c>
      <c r="K4624" t="s">
        <v>36</v>
      </c>
      <c r="L4624" t="s">
        <v>17</v>
      </c>
      <c r="M4624" t="s">
        <v>28</v>
      </c>
    </row>
    <row r="4625" spans="1:13" x14ac:dyDescent="0.2">
      <c r="A4625">
        <v>865314</v>
      </c>
      <c r="B4625" s="1">
        <v>44979</v>
      </c>
      <c r="C4625">
        <v>58088</v>
      </c>
      <c r="D4625" t="s">
        <v>25</v>
      </c>
      <c r="E4625" t="s">
        <v>26</v>
      </c>
      <c r="F4625" t="s">
        <v>27</v>
      </c>
      <c r="G4625">
        <v>3</v>
      </c>
      <c r="H4625">
        <v>31.49</v>
      </c>
      <c r="I4625">
        <v>0.1</v>
      </c>
      <c r="J4625">
        <v>85.02</v>
      </c>
      <c r="K4625" t="s">
        <v>36</v>
      </c>
      <c r="L4625" t="s">
        <v>17</v>
      </c>
      <c r="M4625" t="s">
        <v>117</v>
      </c>
    </row>
    <row r="4626" spans="1:13" x14ac:dyDescent="0.2">
      <c r="A4626">
        <v>866194</v>
      </c>
      <c r="B4626" s="1">
        <v>44666</v>
      </c>
      <c r="C4626">
        <v>74582</v>
      </c>
      <c r="D4626" t="s">
        <v>63</v>
      </c>
      <c r="E4626" t="s">
        <v>64</v>
      </c>
      <c r="F4626" t="s">
        <v>65</v>
      </c>
      <c r="G4626">
        <v>5</v>
      </c>
      <c r="H4626">
        <v>4.99</v>
      </c>
      <c r="J4626">
        <v>24.95</v>
      </c>
      <c r="K4626" t="s">
        <v>16</v>
      </c>
      <c r="L4626" t="s">
        <v>17</v>
      </c>
      <c r="M4626" t="s">
        <v>102</v>
      </c>
    </row>
    <row r="4627" spans="1:13" x14ac:dyDescent="0.2">
      <c r="A4627">
        <v>866472</v>
      </c>
      <c r="B4627" s="1">
        <v>45231</v>
      </c>
      <c r="C4627">
        <v>80022</v>
      </c>
      <c r="D4627" t="s">
        <v>82</v>
      </c>
      <c r="E4627" t="s">
        <v>100</v>
      </c>
      <c r="F4627" t="s">
        <v>101</v>
      </c>
      <c r="G4627">
        <v>5</v>
      </c>
      <c r="H4627">
        <v>22.99</v>
      </c>
      <c r="J4627">
        <v>114.95</v>
      </c>
      <c r="K4627" t="s">
        <v>22</v>
      </c>
      <c r="L4627" t="s">
        <v>17</v>
      </c>
      <c r="M4627" t="s">
        <v>90</v>
      </c>
    </row>
    <row r="4628" spans="1:13" x14ac:dyDescent="0.2">
      <c r="A4628">
        <v>866599</v>
      </c>
      <c r="B4628" s="1">
        <v>44963</v>
      </c>
      <c r="C4628">
        <v>94377</v>
      </c>
      <c r="D4628" t="s">
        <v>13</v>
      </c>
      <c r="E4628" t="s">
        <v>127</v>
      </c>
      <c r="F4628" t="s">
        <v>128</v>
      </c>
      <c r="G4628">
        <v>1</v>
      </c>
      <c r="H4628">
        <v>19.989999999999998</v>
      </c>
      <c r="J4628">
        <v>19.989999999999998</v>
      </c>
      <c r="K4628" t="s">
        <v>16</v>
      </c>
      <c r="L4628" t="s">
        <v>17</v>
      </c>
      <c r="M4628" t="s">
        <v>57</v>
      </c>
    </row>
    <row r="4629" spans="1:13" x14ac:dyDescent="0.2">
      <c r="A4629">
        <v>866867</v>
      </c>
      <c r="B4629" s="1">
        <v>44993</v>
      </c>
      <c r="C4629">
        <v>35044</v>
      </c>
      <c r="D4629" t="s">
        <v>48</v>
      </c>
      <c r="E4629" t="s">
        <v>49</v>
      </c>
      <c r="F4629" t="s">
        <v>50</v>
      </c>
      <c r="G4629">
        <v>1</v>
      </c>
      <c r="H4629">
        <v>8.09</v>
      </c>
      <c r="I4629">
        <v>0.1</v>
      </c>
      <c r="J4629">
        <v>7.28</v>
      </c>
      <c r="K4629" t="s">
        <v>36</v>
      </c>
      <c r="L4629" t="s">
        <v>17</v>
      </c>
      <c r="M4629" t="s">
        <v>103</v>
      </c>
    </row>
    <row r="4630" spans="1:13" x14ac:dyDescent="0.2">
      <c r="A4630">
        <v>866926</v>
      </c>
      <c r="B4630" s="2">
        <v>44745</v>
      </c>
      <c r="C4630">
        <v>25155</v>
      </c>
      <c r="D4630" t="s">
        <v>25</v>
      </c>
      <c r="E4630" t="s">
        <v>60</v>
      </c>
      <c r="F4630" t="s">
        <v>61</v>
      </c>
      <c r="G4630">
        <v>1</v>
      </c>
      <c r="H4630">
        <v>54.99</v>
      </c>
      <c r="J4630">
        <v>54.99</v>
      </c>
      <c r="K4630" t="s">
        <v>36</v>
      </c>
      <c r="L4630" t="s">
        <v>37</v>
      </c>
      <c r="M4630" t="s">
        <v>117</v>
      </c>
    </row>
    <row r="4631" spans="1:13" x14ac:dyDescent="0.2">
      <c r="A4631">
        <v>867084</v>
      </c>
      <c r="B4631" s="2">
        <v>45518</v>
      </c>
      <c r="C4631">
        <v>31889</v>
      </c>
      <c r="D4631" t="s">
        <v>40</v>
      </c>
      <c r="E4631" t="s">
        <v>58</v>
      </c>
      <c r="F4631" t="s">
        <v>59</v>
      </c>
      <c r="G4631">
        <v>1</v>
      </c>
      <c r="H4631">
        <v>3.19</v>
      </c>
      <c r="I4631">
        <v>0.2</v>
      </c>
      <c r="J4631">
        <v>2.5499999999999998</v>
      </c>
      <c r="K4631" t="s">
        <v>16</v>
      </c>
      <c r="L4631" t="s">
        <v>37</v>
      </c>
      <c r="M4631" t="s">
        <v>96</v>
      </c>
    </row>
    <row r="4632" spans="1:13" x14ac:dyDescent="0.2">
      <c r="A4632">
        <v>867204</v>
      </c>
      <c r="B4632" s="1">
        <v>45478</v>
      </c>
      <c r="C4632">
        <v>33369</v>
      </c>
      <c r="D4632" t="s">
        <v>40</v>
      </c>
      <c r="E4632" t="s">
        <v>197</v>
      </c>
      <c r="F4632" t="s">
        <v>198</v>
      </c>
      <c r="G4632">
        <v>1</v>
      </c>
      <c r="H4632">
        <v>10.49</v>
      </c>
      <c r="I4632">
        <v>0.3</v>
      </c>
      <c r="J4632">
        <v>7.34</v>
      </c>
      <c r="K4632" t="s">
        <v>16</v>
      </c>
      <c r="L4632" t="s">
        <v>37</v>
      </c>
      <c r="M4632" t="s">
        <v>96</v>
      </c>
    </row>
    <row r="4633" spans="1:13" x14ac:dyDescent="0.2">
      <c r="A4633">
        <v>867628</v>
      </c>
      <c r="B4633" s="2">
        <v>44988</v>
      </c>
      <c r="C4633">
        <v>22974</v>
      </c>
      <c r="D4633" t="s">
        <v>48</v>
      </c>
      <c r="E4633" t="s">
        <v>109</v>
      </c>
      <c r="F4633" t="s">
        <v>110</v>
      </c>
      <c r="G4633">
        <v>1</v>
      </c>
      <c r="H4633">
        <v>5.94</v>
      </c>
      <c r="I4633">
        <v>0.15</v>
      </c>
      <c r="J4633">
        <v>5.05</v>
      </c>
      <c r="K4633" t="s">
        <v>32</v>
      </c>
      <c r="L4633" t="s">
        <v>37</v>
      </c>
      <c r="M4633" t="s">
        <v>96</v>
      </c>
    </row>
    <row r="4634" spans="1:13" x14ac:dyDescent="0.2">
      <c r="A4634">
        <v>867652</v>
      </c>
      <c r="B4634" s="1">
        <v>45516</v>
      </c>
      <c r="C4634">
        <v>98941</v>
      </c>
      <c r="D4634" t="s">
        <v>44</v>
      </c>
      <c r="E4634" t="s">
        <v>177</v>
      </c>
      <c r="F4634" t="s">
        <v>178</v>
      </c>
      <c r="G4634">
        <v>4</v>
      </c>
      <c r="H4634">
        <v>8.99</v>
      </c>
      <c r="I4634">
        <v>0.25</v>
      </c>
      <c r="J4634">
        <v>26.97</v>
      </c>
      <c r="K4634" t="s">
        <v>16</v>
      </c>
      <c r="L4634" t="s">
        <v>17</v>
      </c>
      <c r="M4634" t="s">
        <v>62</v>
      </c>
    </row>
    <row r="4635" spans="1:13" x14ac:dyDescent="0.2">
      <c r="A4635">
        <v>867712</v>
      </c>
      <c r="B4635" s="2">
        <v>45592</v>
      </c>
      <c r="C4635">
        <v>31818</v>
      </c>
      <c r="D4635" t="s">
        <v>13</v>
      </c>
      <c r="E4635" t="s">
        <v>34</v>
      </c>
      <c r="F4635" t="s">
        <v>35</v>
      </c>
      <c r="G4635">
        <v>2</v>
      </c>
      <c r="H4635">
        <v>34.99</v>
      </c>
      <c r="J4635">
        <v>69.98</v>
      </c>
      <c r="K4635" t="s">
        <v>36</v>
      </c>
      <c r="L4635" t="s">
        <v>17</v>
      </c>
      <c r="M4635" t="s">
        <v>90</v>
      </c>
    </row>
    <row r="4636" spans="1:13" x14ac:dyDescent="0.2">
      <c r="A4636">
        <v>868010</v>
      </c>
      <c r="B4636" s="1">
        <v>45469</v>
      </c>
      <c r="C4636">
        <v>33318</v>
      </c>
      <c r="D4636" t="s">
        <v>85</v>
      </c>
      <c r="E4636" t="s">
        <v>153</v>
      </c>
      <c r="F4636" t="s">
        <v>154</v>
      </c>
      <c r="G4636">
        <v>2</v>
      </c>
      <c r="H4636">
        <v>28.49</v>
      </c>
      <c r="I4636">
        <v>0.05</v>
      </c>
      <c r="J4636">
        <v>54.13</v>
      </c>
      <c r="K4636" t="s">
        <v>36</v>
      </c>
      <c r="L4636" t="s">
        <v>37</v>
      </c>
      <c r="M4636" t="s">
        <v>62</v>
      </c>
    </row>
    <row r="4637" spans="1:13" x14ac:dyDescent="0.2">
      <c r="A4637">
        <v>868163</v>
      </c>
      <c r="B4637" s="2">
        <v>45534</v>
      </c>
      <c r="C4637">
        <v>41606</v>
      </c>
      <c r="D4637" t="s">
        <v>63</v>
      </c>
      <c r="E4637" t="s">
        <v>68</v>
      </c>
      <c r="F4637" t="s">
        <v>69</v>
      </c>
      <c r="G4637">
        <v>1</v>
      </c>
      <c r="H4637">
        <v>22.49</v>
      </c>
      <c r="I4637">
        <v>0.1</v>
      </c>
      <c r="J4637">
        <v>20.239999999999998</v>
      </c>
      <c r="K4637" t="s">
        <v>36</v>
      </c>
      <c r="L4637" t="s">
        <v>17</v>
      </c>
      <c r="M4637" t="s">
        <v>54</v>
      </c>
    </row>
    <row r="4638" spans="1:13" x14ac:dyDescent="0.2">
      <c r="A4638">
        <v>868492</v>
      </c>
      <c r="B4638" s="1">
        <v>45134</v>
      </c>
      <c r="C4638">
        <v>19555</v>
      </c>
      <c r="D4638" t="s">
        <v>85</v>
      </c>
      <c r="E4638" t="s">
        <v>157</v>
      </c>
      <c r="F4638" t="s">
        <v>158</v>
      </c>
      <c r="G4638">
        <v>2</v>
      </c>
      <c r="H4638">
        <v>11.47</v>
      </c>
      <c r="I4638">
        <v>0.15</v>
      </c>
      <c r="J4638">
        <v>19.5</v>
      </c>
      <c r="K4638" t="s">
        <v>22</v>
      </c>
      <c r="L4638" t="s">
        <v>17</v>
      </c>
      <c r="M4638" t="s">
        <v>123</v>
      </c>
    </row>
    <row r="4639" spans="1:13" x14ac:dyDescent="0.2">
      <c r="A4639">
        <v>868664</v>
      </c>
      <c r="B4639" s="2">
        <v>44621</v>
      </c>
      <c r="C4639">
        <v>45261</v>
      </c>
      <c r="D4639" t="s">
        <v>97</v>
      </c>
      <c r="E4639" t="s">
        <v>121</v>
      </c>
      <c r="F4639" t="s">
        <v>122</v>
      </c>
      <c r="G4639">
        <v>5</v>
      </c>
      <c r="H4639">
        <v>12.99</v>
      </c>
      <c r="J4639">
        <v>64.95</v>
      </c>
      <c r="K4639" t="s">
        <v>36</v>
      </c>
      <c r="L4639" t="s">
        <v>37</v>
      </c>
      <c r="M4639" t="s">
        <v>62</v>
      </c>
    </row>
    <row r="4640" spans="1:13" x14ac:dyDescent="0.2">
      <c r="A4640">
        <v>868709</v>
      </c>
      <c r="B4640" s="1">
        <v>45311</v>
      </c>
      <c r="C4640">
        <v>80885</v>
      </c>
      <c r="D4640" t="s">
        <v>29</v>
      </c>
      <c r="E4640" t="s">
        <v>88</v>
      </c>
      <c r="F4640" t="s">
        <v>89</v>
      </c>
      <c r="G4640">
        <v>2</v>
      </c>
      <c r="H4640">
        <v>34.99</v>
      </c>
      <c r="I4640">
        <v>0.3</v>
      </c>
      <c r="J4640">
        <v>48.99</v>
      </c>
      <c r="K4640" t="s">
        <v>36</v>
      </c>
      <c r="L4640" t="s">
        <v>37</v>
      </c>
      <c r="M4640" t="s">
        <v>90</v>
      </c>
    </row>
    <row r="4641" spans="1:13" x14ac:dyDescent="0.2">
      <c r="A4641">
        <v>868808</v>
      </c>
      <c r="B4641" s="1">
        <v>45412</v>
      </c>
      <c r="C4641">
        <v>33447</v>
      </c>
      <c r="D4641" t="s">
        <v>13</v>
      </c>
      <c r="E4641" t="s">
        <v>159</v>
      </c>
      <c r="F4641" t="s">
        <v>160</v>
      </c>
      <c r="G4641">
        <v>2</v>
      </c>
      <c r="H4641">
        <v>50.99</v>
      </c>
      <c r="I4641">
        <v>0.15</v>
      </c>
      <c r="J4641">
        <v>86.68</v>
      </c>
      <c r="K4641" t="s">
        <v>53</v>
      </c>
      <c r="L4641" t="s">
        <v>37</v>
      </c>
      <c r="M4641" t="s">
        <v>33</v>
      </c>
    </row>
    <row r="4642" spans="1:13" x14ac:dyDescent="0.2">
      <c r="A4642">
        <v>869007</v>
      </c>
      <c r="B4642" s="1">
        <v>45549</v>
      </c>
      <c r="C4642">
        <v>30531</v>
      </c>
      <c r="D4642" t="s">
        <v>85</v>
      </c>
      <c r="E4642" t="s">
        <v>149</v>
      </c>
      <c r="F4642" t="s">
        <v>150</v>
      </c>
      <c r="G4642">
        <v>1</v>
      </c>
      <c r="H4642">
        <v>19.989999999999998</v>
      </c>
      <c r="J4642">
        <v>19.989999999999998</v>
      </c>
      <c r="K4642" t="s">
        <v>22</v>
      </c>
      <c r="L4642" t="s">
        <v>17</v>
      </c>
      <c r="M4642" t="s">
        <v>47</v>
      </c>
    </row>
    <row r="4643" spans="1:13" x14ac:dyDescent="0.2">
      <c r="A4643">
        <v>869095</v>
      </c>
      <c r="B4643" s="1">
        <v>45180</v>
      </c>
      <c r="C4643">
        <v>96362</v>
      </c>
      <c r="D4643" t="s">
        <v>40</v>
      </c>
      <c r="E4643" t="s">
        <v>115</v>
      </c>
      <c r="F4643" t="s">
        <v>116</v>
      </c>
      <c r="G4643">
        <v>2</v>
      </c>
      <c r="H4643">
        <v>10.39</v>
      </c>
      <c r="I4643">
        <v>0.2</v>
      </c>
      <c r="J4643">
        <v>16.62</v>
      </c>
      <c r="K4643" t="s">
        <v>22</v>
      </c>
      <c r="L4643" t="s">
        <v>37</v>
      </c>
      <c r="M4643" t="s">
        <v>33</v>
      </c>
    </row>
    <row r="4644" spans="1:13" x14ac:dyDescent="0.2">
      <c r="A4644">
        <v>869139</v>
      </c>
      <c r="B4644" s="1">
        <v>44641</v>
      </c>
      <c r="C4644">
        <v>26651</v>
      </c>
      <c r="D4644" t="s">
        <v>164</v>
      </c>
      <c r="E4644" t="s">
        <v>38</v>
      </c>
      <c r="F4644" t="s">
        <v>39</v>
      </c>
      <c r="G4644">
        <v>1</v>
      </c>
      <c r="H4644">
        <v>20.99</v>
      </c>
      <c r="I4644">
        <v>0.3</v>
      </c>
      <c r="J4644">
        <v>14.69</v>
      </c>
      <c r="K4644" t="s">
        <v>16</v>
      </c>
      <c r="L4644" t="s">
        <v>17</v>
      </c>
      <c r="M4644" t="s">
        <v>102</v>
      </c>
    </row>
    <row r="4645" spans="1:13" x14ac:dyDescent="0.2">
      <c r="A4645">
        <v>869372</v>
      </c>
      <c r="B4645" s="1">
        <v>45482</v>
      </c>
      <c r="C4645">
        <v>28731</v>
      </c>
      <c r="D4645" t="s">
        <v>85</v>
      </c>
      <c r="E4645" t="s">
        <v>157</v>
      </c>
      <c r="F4645" t="s">
        <v>158</v>
      </c>
      <c r="G4645">
        <v>2</v>
      </c>
      <c r="H4645">
        <v>13.49</v>
      </c>
      <c r="J4645">
        <v>26.98</v>
      </c>
      <c r="K4645" t="s">
        <v>22</v>
      </c>
      <c r="L4645" t="s">
        <v>17</v>
      </c>
      <c r="M4645" t="s">
        <v>28</v>
      </c>
    </row>
    <row r="4646" spans="1:13" x14ac:dyDescent="0.2">
      <c r="A4646">
        <v>869641</v>
      </c>
      <c r="B4646" s="1">
        <v>44618</v>
      </c>
      <c r="C4646">
        <v>11027</v>
      </c>
      <c r="D4646" t="s">
        <v>63</v>
      </c>
      <c r="E4646" t="s">
        <v>125</v>
      </c>
      <c r="F4646" t="s">
        <v>126</v>
      </c>
      <c r="G4646">
        <v>2</v>
      </c>
      <c r="H4646">
        <v>29.99</v>
      </c>
      <c r="J4646">
        <v>59.98</v>
      </c>
      <c r="K4646" t="s">
        <v>36</v>
      </c>
      <c r="L4646" t="s">
        <v>37</v>
      </c>
      <c r="M4646" t="s">
        <v>54</v>
      </c>
    </row>
    <row r="4647" spans="1:13" x14ac:dyDescent="0.2">
      <c r="A4647">
        <v>870061</v>
      </c>
      <c r="B4647" s="1">
        <v>45636</v>
      </c>
      <c r="C4647">
        <v>85760</v>
      </c>
      <c r="D4647" t="s">
        <v>19</v>
      </c>
      <c r="E4647" t="s">
        <v>115</v>
      </c>
      <c r="F4647" t="s">
        <v>116</v>
      </c>
      <c r="G4647">
        <v>2</v>
      </c>
      <c r="H4647">
        <v>12.99</v>
      </c>
      <c r="J4647">
        <v>25.98</v>
      </c>
      <c r="K4647" t="s">
        <v>36</v>
      </c>
      <c r="L4647" t="s">
        <v>17</v>
      </c>
      <c r="M4647" t="s">
        <v>123</v>
      </c>
    </row>
    <row r="4648" spans="1:13" x14ac:dyDescent="0.2">
      <c r="A4648">
        <v>870384</v>
      </c>
      <c r="B4648" s="2">
        <v>45563</v>
      </c>
      <c r="D4648" t="s">
        <v>44</v>
      </c>
      <c r="E4648" t="s">
        <v>190</v>
      </c>
      <c r="F4648" t="s">
        <v>191</v>
      </c>
      <c r="G4648">
        <v>3</v>
      </c>
      <c r="H4648">
        <v>3.65</v>
      </c>
      <c r="I4648">
        <v>0.15</v>
      </c>
      <c r="J4648">
        <v>9.31</v>
      </c>
      <c r="K4648" t="s">
        <v>36</v>
      </c>
      <c r="L4648" t="s">
        <v>17</v>
      </c>
      <c r="M4648" t="s">
        <v>62</v>
      </c>
    </row>
    <row r="4649" spans="1:13" x14ac:dyDescent="0.2">
      <c r="A4649">
        <v>870452</v>
      </c>
      <c r="B4649" s="1">
        <v>45284</v>
      </c>
      <c r="C4649">
        <v>95414</v>
      </c>
      <c r="D4649" t="s">
        <v>63</v>
      </c>
      <c r="E4649" t="s">
        <v>68</v>
      </c>
      <c r="F4649" t="s">
        <v>69</v>
      </c>
      <c r="G4649">
        <v>1</v>
      </c>
      <c r="H4649">
        <v>21.24</v>
      </c>
      <c r="I4649">
        <v>0.15</v>
      </c>
      <c r="J4649">
        <v>18.05</v>
      </c>
      <c r="K4649" t="s">
        <v>22</v>
      </c>
      <c r="L4649" t="s">
        <v>17</v>
      </c>
      <c r="M4649" t="s">
        <v>117</v>
      </c>
    </row>
    <row r="4650" spans="1:13" x14ac:dyDescent="0.2">
      <c r="A4650">
        <v>870497</v>
      </c>
      <c r="B4650" s="1">
        <v>45635</v>
      </c>
      <c r="C4650">
        <v>96574</v>
      </c>
      <c r="D4650" t="s">
        <v>63</v>
      </c>
      <c r="E4650" t="s">
        <v>68</v>
      </c>
      <c r="F4650" t="s">
        <v>69</v>
      </c>
      <c r="G4650">
        <v>2</v>
      </c>
      <c r="H4650">
        <v>23.74</v>
      </c>
      <c r="I4650">
        <v>0.05</v>
      </c>
      <c r="J4650">
        <v>45.11</v>
      </c>
      <c r="K4650" t="s">
        <v>22</v>
      </c>
      <c r="L4650" t="s">
        <v>23</v>
      </c>
      <c r="M4650" t="s">
        <v>28</v>
      </c>
    </row>
    <row r="4651" spans="1:13" x14ac:dyDescent="0.2">
      <c r="A4651">
        <v>870500</v>
      </c>
      <c r="B4651" s="1">
        <v>45546</v>
      </c>
      <c r="C4651">
        <v>36952</v>
      </c>
      <c r="D4651" t="s">
        <v>82</v>
      </c>
      <c r="E4651" t="s">
        <v>188</v>
      </c>
      <c r="F4651" t="s">
        <v>189</v>
      </c>
      <c r="G4651">
        <v>2</v>
      </c>
      <c r="H4651">
        <v>31.49</v>
      </c>
      <c r="I4651">
        <v>0.3</v>
      </c>
      <c r="J4651">
        <v>44.09</v>
      </c>
      <c r="K4651" t="s">
        <v>16</v>
      </c>
      <c r="L4651" t="s">
        <v>17</v>
      </c>
      <c r="M4651" t="s">
        <v>90</v>
      </c>
    </row>
    <row r="4652" spans="1:13" x14ac:dyDescent="0.2">
      <c r="A4652">
        <v>870721</v>
      </c>
      <c r="B4652" s="1">
        <v>45297</v>
      </c>
      <c r="C4652">
        <v>80795</v>
      </c>
      <c r="D4652" t="s">
        <v>44</v>
      </c>
      <c r="E4652" t="s">
        <v>177</v>
      </c>
      <c r="F4652" t="s">
        <v>178</v>
      </c>
      <c r="G4652">
        <v>3</v>
      </c>
      <c r="H4652">
        <v>11.99</v>
      </c>
      <c r="J4652">
        <v>35.97</v>
      </c>
      <c r="K4652" t="s">
        <v>95</v>
      </c>
      <c r="L4652" t="s">
        <v>17</v>
      </c>
      <c r="M4652" t="s">
        <v>33</v>
      </c>
    </row>
    <row r="4653" spans="1:13" x14ac:dyDescent="0.2">
      <c r="A4653">
        <v>870786</v>
      </c>
      <c r="B4653" s="1">
        <v>44926</v>
      </c>
      <c r="C4653">
        <v>71087</v>
      </c>
      <c r="D4653" t="s">
        <v>48</v>
      </c>
      <c r="E4653" t="s">
        <v>179</v>
      </c>
      <c r="F4653" t="s">
        <v>180</v>
      </c>
      <c r="G4653">
        <v>5</v>
      </c>
      <c r="H4653">
        <v>11.99</v>
      </c>
      <c r="J4653">
        <v>59.95</v>
      </c>
      <c r="K4653" t="s">
        <v>36</v>
      </c>
      <c r="L4653" t="s">
        <v>17</v>
      </c>
      <c r="M4653" t="s">
        <v>102</v>
      </c>
    </row>
    <row r="4654" spans="1:13" x14ac:dyDescent="0.2">
      <c r="A4654">
        <v>871142</v>
      </c>
      <c r="B4654" s="1">
        <v>44593</v>
      </c>
      <c r="D4654" t="s">
        <v>97</v>
      </c>
      <c r="E4654" t="s">
        <v>181</v>
      </c>
      <c r="F4654" t="s">
        <v>182</v>
      </c>
      <c r="G4654">
        <v>5</v>
      </c>
      <c r="H4654">
        <v>12.74</v>
      </c>
      <c r="I4654">
        <v>0.15</v>
      </c>
      <c r="J4654">
        <v>54.14</v>
      </c>
      <c r="K4654" t="s">
        <v>36</v>
      </c>
      <c r="L4654" t="s">
        <v>23</v>
      </c>
      <c r="M4654" t="s">
        <v>161</v>
      </c>
    </row>
    <row r="4655" spans="1:13" x14ac:dyDescent="0.2">
      <c r="A4655">
        <v>871203</v>
      </c>
      <c r="B4655" s="1">
        <v>45332</v>
      </c>
      <c r="D4655" t="s">
        <v>167</v>
      </c>
      <c r="E4655" t="s">
        <v>49</v>
      </c>
      <c r="F4655" t="s">
        <v>50</v>
      </c>
      <c r="G4655">
        <v>3</v>
      </c>
      <c r="H4655">
        <v>8.5399999999999991</v>
      </c>
      <c r="I4655">
        <v>0.05</v>
      </c>
      <c r="J4655">
        <v>24.34</v>
      </c>
      <c r="K4655" t="s">
        <v>16</v>
      </c>
      <c r="L4655" t="s">
        <v>17</v>
      </c>
      <c r="M4655" t="s">
        <v>18</v>
      </c>
    </row>
    <row r="4656" spans="1:13" x14ac:dyDescent="0.2">
      <c r="A4656">
        <v>871798</v>
      </c>
      <c r="B4656" s="1">
        <v>44826</v>
      </c>
      <c r="C4656">
        <v>75112</v>
      </c>
      <c r="D4656" t="s">
        <v>25</v>
      </c>
      <c r="E4656" t="s">
        <v>51</v>
      </c>
      <c r="F4656" t="s">
        <v>52</v>
      </c>
      <c r="G4656">
        <v>3</v>
      </c>
      <c r="H4656">
        <v>22.39</v>
      </c>
      <c r="I4656">
        <v>0.2</v>
      </c>
      <c r="J4656">
        <v>53.74</v>
      </c>
      <c r="K4656" t="s">
        <v>16</v>
      </c>
      <c r="L4656" t="s">
        <v>17</v>
      </c>
      <c r="M4656" t="s">
        <v>90</v>
      </c>
    </row>
    <row r="4657" spans="1:13" x14ac:dyDescent="0.2">
      <c r="A4657">
        <v>871819</v>
      </c>
      <c r="B4657" s="2">
        <v>44857</v>
      </c>
      <c r="C4657">
        <v>27641</v>
      </c>
      <c r="D4657" t="s">
        <v>13</v>
      </c>
      <c r="E4657" t="s">
        <v>55</v>
      </c>
      <c r="F4657" t="s">
        <v>56</v>
      </c>
      <c r="G4657">
        <v>2</v>
      </c>
      <c r="H4657">
        <v>313.49</v>
      </c>
      <c r="I4657">
        <v>0.05</v>
      </c>
      <c r="J4657">
        <v>595.63</v>
      </c>
      <c r="K4657" t="s">
        <v>36</v>
      </c>
      <c r="L4657" t="s">
        <v>17</v>
      </c>
      <c r="M4657" t="s">
        <v>102</v>
      </c>
    </row>
    <row r="4658" spans="1:13" x14ac:dyDescent="0.2">
      <c r="A4658">
        <v>871904</v>
      </c>
      <c r="B4658" s="1">
        <v>44963</v>
      </c>
      <c r="C4658">
        <v>14936</v>
      </c>
      <c r="D4658" t="s">
        <v>85</v>
      </c>
      <c r="E4658" t="s">
        <v>145</v>
      </c>
      <c r="F4658" t="s">
        <v>146</v>
      </c>
      <c r="G4658">
        <v>1</v>
      </c>
      <c r="H4658">
        <v>12.74</v>
      </c>
      <c r="I4658">
        <v>0.25</v>
      </c>
      <c r="J4658">
        <v>9.56</v>
      </c>
      <c r="K4658" t="s">
        <v>16</v>
      </c>
      <c r="L4658" t="s">
        <v>37</v>
      </c>
      <c r="M4658" t="s">
        <v>103</v>
      </c>
    </row>
    <row r="4659" spans="1:13" x14ac:dyDescent="0.2">
      <c r="A4659">
        <v>871910</v>
      </c>
      <c r="B4659" s="1">
        <v>44587</v>
      </c>
      <c r="C4659">
        <v>15686</v>
      </c>
      <c r="D4659" t="s">
        <v>85</v>
      </c>
      <c r="E4659" t="s">
        <v>137</v>
      </c>
      <c r="F4659" t="s">
        <v>138</v>
      </c>
      <c r="G4659">
        <v>5</v>
      </c>
      <c r="H4659">
        <v>7.99</v>
      </c>
      <c r="J4659">
        <v>39.950000000000003</v>
      </c>
      <c r="K4659" t="s">
        <v>36</v>
      </c>
      <c r="L4659" t="s">
        <v>17</v>
      </c>
      <c r="M4659" t="s">
        <v>33</v>
      </c>
    </row>
    <row r="4660" spans="1:13" x14ac:dyDescent="0.2">
      <c r="A4660">
        <v>871981</v>
      </c>
      <c r="B4660" s="1">
        <v>45365</v>
      </c>
      <c r="C4660">
        <v>57849</v>
      </c>
      <c r="D4660" t="s">
        <v>85</v>
      </c>
      <c r="E4660" t="s">
        <v>145</v>
      </c>
      <c r="F4660" t="s">
        <v>146</v>
      </c>
      <c r="G4660">
        <v>1</v>
      </c>
      <c r="H4660">
        <v>13.59</v>
      </c>
      <c r="I4660">
        <v>0.2</v>
      </c>
      <c r="J4660">
        <v>10.87</v>
      </c>
      <c r="K4660" t="s">
        <v>22</v>
      </c>
      <c r="L4660" t="s">
        <v>17</v>
      </c>
      <c r="M4660" t="s">
        <v>120</v>
      </c>
    </row>
    <row r="4661" spans="1:13" x14ac:dyDescent="0.2">
      <c r="A4661">
        <v>871984</v>
      </c>
      <c r="B4661" s="1">
        <v>44572</v>
      </c>
      <c r="C4661">
        <v>60686</v>
      </c>
      <c r="D4661" t="s">
        <v>29</v>
      </c>
      <c r="E4661" t="s">
        <v>170</v>
      </c>
      <c r="F4661" t="s">
        <v>171</v>
      </c>
      <c r="G4661">
        <v>5</v>
      </c>
      <c r="H4661">
        <v>14.99</v>
      </c>
      <c r="J4661">
        <v>74.95</v>
      </c>
      <c r="K4661" t="s">
        <v>36</v>
      </c>
      <c r="L4661" t="s">
        <v>37</v>
      </c>
      <c r="M4661" t="s">
        <v>161</v>
      </c>
    </row>
    <row r="4662" spans="1:13" x14ac:dyDescent="0.2">
      <c r="A4662">
        <v>872151</v>
      </c>
      <c r="B4662" s="1">
        <v>45413</v>
      </c>
      <c r="C4662">
        <v>59495</v>
      </c>
      <c r="D4662" t="s">
        <v>97</v>
      </c>
      <c r="E4662" t="s">
        <v>165</v>
      </c>
      <c r="F4662" t="s">
        <v>166</v>
      </c>
      <c r="G4662">
        <v>2</v>
      </c>
      <c r="H4662">
        <v>89.99</v>
      </c>
      <c r="J4662">
        <v>179.98</v>
      </c>
      <c r="K4662" t="s">
        <v>22</v>
      </c>
      <c r="L4662" t="s">
        <v>17</v>
      </c>
      <c r="M4662" t="s">
        <v>96</v>
      </c>
    </row>
    <row r="4663" spans="1:13" x14ac:dyDescent="0.2">
      <c r="A4663">
        <v>872212</v>
      </c>
      <c r="B4663" s="2">
        <v>45052</v>
      </c>
      <c r="C4663">
        <v>22649</v>
      </c>
      <c r="D4663" t="s">
        <v>82</v>
      </c>
      <c r="E4663" t="s">
        <v>83</v>
      </c>
      <c r="F4663" t="s">
        <v>84</v>
      </c>
      <c r="G4663">
        <v>5</v>
      </c>
      <c r="H4663">
        <v>12.74</v>
      </c>
      <c r="I4663">
        <v>0.25</v>
      </c>
      <c r="J4663">
        <v>47.78</v>
      </c>
      <c r="K4663" t="s">
        <v>16</v>
      </c>
      <c r="L4663" t="s">
        <v>23</v>
      </c>
      <c r="M4663" t="s">
        <v>123</v>
      </c>
    </row>
    <row r="4664" spans="1:13" x14ac:dyDescent="0.2">
      <c r="A4664">
        <v>872214</v>
      </c>
      <c r="B4664" s="1">
        <v>44585</v>
      </c>
      <c r="C4664">
        <v>14826</v>
      </c>
      <c r="D4664" t="s">
        <v>13</v>
      </c>
      <c r="E4664" t="s">
        <v>127</v>
      </c>
      <c r="F4664" t="s">
        <v>128</v>
      </c>
      <c r="G4664">
        <v>2</v>
      </c>
      <c r="H4664">
        <v>15.99</v>
      </c>
      <c r="J4664">
        <v>31.98</v>
      </c>
      <c r="K4664" t="s">
        <v>22</v>
      </c>
      <c r="L4664" t="s">
        <v>17</v>
      </c>
      <c r="M4664" t="s">
        <v>103</v>
      </c>
    </row>
    <row r="4665" spans="1:13" x14ac:dyDescent="0.2">
      <c r="A4665">
        <v>872246</v>
      </c>
      <c r="B4665" s="1">
        <v>45125</v>
      </c>
      <c r="C4665">
        <v>87397</v>
      </c>
      <c r="D4665" t="s">
        <v>97</v>
      </c>
      <c r="E4665" t="s">
        <v>151</v>
      </c>
      <c r="F4665" t="s">
        <v>152</v>
      </c>
      <c r="G4665">
        <v>1</v>
      </c>
      <c r="H4665">
        <v>33.24</v>
      </c>
      <c r="I4665">
        <v>0.05</v>
      </c>
      <c r="J4665">
        <v>31.58</v>
      </c>
      <c r="K4665" t="s">
        <v>36</v>
      </c>
      <c r="L4665" t="s">
        <v>37</v>
      </c>
      <c r="M4665" t="s">
        <v>81</v>
      </c>
    </row>
    <row r="4666" spans="1:13" x14ac:dyDescent="0.2">
      <c r="A4666">
        <v>872355</v>
      </c>
      <c r="B4666" s="1">
        <v>45118</v>
      </c>
      <c r="C4666">
        <v>50419</v>
      </c>
      <c r="D4666" t="s">
        <v>44</v>
      </c>
      <c r="E4666" t="s">
        <v>172</v>
      </c>
      <c r="F4666" t="s">
        <v>173</v>
      </c>
      <c r="G4666">
        <v>5</v>
      </c>
      <c r="H4666">
        <v>4.49</v>
      </c>
      <c r="J4666">
        <v>22.45</v>
      </c>
      <c r="K4666" t="s">
        <v>36</v>
      </c>
      <c r="L4666" t="s">
        <v>17</v>
      </c>
      <c r="M4666" t="s">
        <v>90</v>
      </c>
    </row>
    <row r="4667" spans="1:13" x14ac:dyDescent="0.2">
      <c r="A4667">
        <v>872483</v>
      </c>
      <c r="B4667" s="1">
        <v>44960</v>
      </c>
      <c r="C4667">
        <v>77670</v>
      </c>
      <c r="D4667" t="s">
        <v>48</v>
      </c>
      <c r="E4667" t="s">
        <v>139</v>
      </c>
      <c r="F4667" t="s">
        <v>140</v>
      </c>
      <c r="G4667">
        <v>2</v>
      </c>
      <c r="H4667">
        <v>6.39</v>
      </c>
      <c r="J4667">
        <v>12.78</v>
      </c>
      <c r="K4667" t="s">
        <v>36</v>
      </c>
      <c r="L4667" t="s">
        <v>17</v>
      </c>
      <c r="M4667" t="s">
        <v>81</v>
      </c>
    </row>
    <row r="4668" spans="1:13" x14ac:dyDescent="0.2">
      <c r="A4668">
        <v>872744</v>
      </c>
      <c r="B4668" s="1">
        <v>44943</v>
      </c>
      <c r="C4668">
        <v>16085</v>
      </c>
      <c r="D4668" t="s">
        <v>63</v>
      </c>
      <c r="E4668" t="s">
        <v>111</v>
      </c>
      <c r="F4668" t="s">
        <v>112</v>
      </c>
      <c r="G4668">
        <v>1</v>
      </c>
      <c r="H4668">
        <v>14.99</v>
      </c>
      <c r="J4668">
        <v>14.99</v>
      </c>
      <c r="K4668" t="s">
        <v>16</v>
      </c>
      <c r="L4668" t="s">
        <v>17</v>
      </c>
      <c r="M4668" t="s">
        <v>43</v>
      </c>
    </row>
    <row r="4669" spans="1:13" x14ac:dyDescent="0.2">
      <c r="A4669">
        <v>872823</v>
      </c>
      <c r="B4669" s="1">
        <v>45387</v>
      </c>
      <c r="C4669">
        <v>21397</v>
      </c>
      <c r="D4669" t="s">
        <v>13</v>
      </c>
      <c r="E4669" t="s">
        <v>104</v>
      </c>
      <c r="F4669" t="s">
        <v>105</v>
      </c>
      <c r="G4669">
        <v>1</v>
      </c>
      <c r="H4669">
        <v>29.99</v>
      </c>
      <c r="J4669">
        <v>29.99</v>
      </c>
      <c r="K4669" t="s">
        <v>36</v>
      </c>
      <c r="L4669" t="s">
        <v>17</v>
      </c>
      <c r="M4669" t="s">
        <v>24</v>
      </c>
    </row>
    <row r="4670" spans="1:13" x14ac:dyDescent="0.2">
      <c r="A4670">
        <v>872860</v>
      </c>
      <c r="B4670" s="1">
        <v>45456</v>
      </c>
      <c r="C4670">
        <v>80540</v>
      </c>
      <c r="D4670" t="s">
        <v>13</v>
      </c>
      <c r="E4670" t="s">
        <v>34</v>
      </c>
      <c r="F4670" t="s">
        <v>35</v>
      </c>
      <c r="G4670">
        <v>3</v>
      </c>
      <c r="H4670">
        <v>31.49</v>
      </c>
      <c r="I4670">
        <v>0.1</v>
      </c>
      <c r="J4670">
        <v>85.02</v>
      </c>
      <c r="K4670" t="s">
        <v>16</v>
      </c>
      <c r="L4670" t="s">
        <v>17</v>
      </c>
      <c r="M4670" t="s">
        <v>18</v>
      </c>
    </row>
    <row r="4671" spans="1:13" x14ac:dyDescent="0.2">
      <c r="A4671">
        <v>873112</v>
      </c>
      <c r="B4671" s="2">
        <v>45529</v>
      </c>
      <c r="C4671">
        <v>72877</v>
      </c>
      <c r="D4671" t="s">
        <v>85</v>
      </c>
      <c r="E4671" t="s">
        <v>86</v>
      </c>
      <c r="F4671" t="s">
        <v>87</v>
      </c>
      <c r="G4671">
        <v>5</v>
      </c>
      <c r="H4671">
        <v>9.09</v>
      </c>
      <c r="I4671">
        <v>0.3</v>
      </c>
      <c r="J4671">
        <v>31.82</v>
      </c>
      <c r="K4671" t="s">
        <v>16</v>
      </c>
      <c r="L4671" t="s">
        <v>17</v>
      </c>
      <c r="M4671" t="s">
        <v>120</v>
      </c>
    </row>
    <row r="4672" spans="1:13" x14ac:dyDescent="0.2">
      <c r="A4672">
        <v>873151</v>
      </c>
      <c r="B4672" s="1">
        <v>44817</v>
      </c>
      <c r="D4672" t="s">
        <v>85</v>
      </c>
      <c r="E4672" t="s">
        <v>153</v>
      </c>
      <c r="F4672" t="s">
        <v>154</v>
      </c>
      <c r="G4672">
        <v>5</v>
      </c>
      <c r="H4672">
        <v>29.99</v>
      </c>
      <c r="J4672">
        <v>149.94999999999999</v>
      </c>
      <c r="K4672" t="s">
        <v>16</v>
      </c>
      <c r="L4672" t="s">
        <v>37</v>
      </c>
      <c r="M4672" t="s">
        <v>117</v>
      </c>
    </row>
    <row r="4673" spans="1:13" x14ac:dyDescent="0.2">
      <c r="A4673">
        <v>873212</v>
      </c>
      <c r="B4673" s="1">
        <v>44670</v>
      </c>
      <c r="C4673">
        <v>62049</v>
      </c>
      <c r="D4673" t="s">
        <v>97</v>
      </c>
      <c r="E4673" t="s">
        <v>181</v>
      </c>
      <c r="F4673" t="s">
        <v>182</v>
      </c>
      <c r="G4673">
        <v>2</v>
      </c>
      <c r="H4673">
        <v>14.99</v>
      </c>
      <c r="J4673">
        <v>29.98</v>
      </c>
      <c r="K4673" t="s">
        <v>16</v>
      </c>
      <c r="L4673" t="s">
        <v>17</v>
      </c>
      <c r="M4673" t="s">
        <v>67</v>
      </c>
    </row>
    <row r="4674" spans="1:13" x14ac:dyDescent="0.2">
      <c r="A4674">
        <v>873253</v>
      </c>
      <c r="B4674" s="1">
        <v>45262</v>
      </c>
      <c r="C4674">
        <v>20828</v>
      </c>
      <c r="D4674" t="s">
        <v>13</v>
      </c>
      <c r="E4674" t="s">
        <v>34</v>
      </c>
      <c r="F4674" t="s">
        <v>35</v>
      </c>
      <c r="G4674">
        <v>5</v>
      </c>
      <c r="H4674">
        <v>27.99</v>
      </c>
      <c r="I4674">
        <v>0.2</v>
      </c>
      <c r="J4674">
        <v>111.96</v>
      </c>
      <c r="K4674" t="s">
        <v>16</v>
      </c>
      <c r="L4674" t="s">
        <v>17</v>
      </c>
      <c r="M4674" t="s">
        <v>28</v>
      </c>
    </row>
    <row r="4675" spans="1:13" x14ac:dyDescent="0.2">
      <c r="A4675">
        <v>873376</v>
      </c>
      <c r="B4675" s="1">
        <v>45595</v>
      </c>
      <c r="C4675">
        <v>52840</v>
      </c>
      <c r="D4675" t="s">
        <v>44</v>
      </c>
      <c r="E4675" t="s">
        <v>91</v>
      </c>
      <c r="F4675" t="s">
        <v>92</v>
      </c>
      <c r="G4675">
        <v>1</v>
      </c>
      <c r="H4675">
        <v>6.29</v>
      </c>
      <c r="J4675">
        <v>6.29</v>
      </c>
      <c r="K4675" t="s">
        <v>22</v>
      </c>
      <c r="L4675" t="s">
        <v>17</v>
      </c>
      <c r="M4675" t="s">
        <v>117</v>
      </c>
    </row>
    <row r="4676" spans="1:13" x14ac:dyDescent="0.2">
      <c r="A4676">
        <v>873450</v>
      </c>
      <c r="B4676" s="1">
        <v>45148</v>
      </c>
      <c r="C4676">
        <v>87258</v>
      </c>
      <c r="D4676" t="s">
        <v>82</v>
      </c>
      <c r="E4676" t="s">
        <v>100</v>
      </c>
      <c r="F4676" t="s">
        <v>101</v>
      </c>
      <c r="G4676">
        <v>4</v>
      </c>
      <c r="H4676">
        <v>21.84</v>
      </c>
      <c r="I4676">
        <v>0.05</v>
      </c>
      <c r="J4676">
        <v>82.99</v>
      </c>
      <c r="K4676" t="s">
        <v>95</v>
      </c>
      <c r="L4676" t="s">
        <v>17</v>
      </c>
      <c r="M4676" t="s">
        <v>96</v>
      </c>
    </row>
    <row r="4677" spans="1:13" x14ac:dyDescent="0.2">
      <c r="A4677">
        <v>873794</v>
      </c>
      <c r="B4677" s="1">
        <v>45099</v>
      </c>
      <c r="C4677">
        <v>68631</v>
      </c>
      <c r="D4677" t="s">
        <v>82</v>
      </c>
      <c r="E4677" t="s">
        <v>100</v>
      </c>
      <c r="F4677" t="s">
        <v>101</v>
      </c>
      <c r="G4677">
        <v>1</v>
      </c>
      <c r="H4677">
        <v>21.84</v>
      </c>
      <c r="I4677">
        <v>0.05</v>
      </c>
      <c r="J4677">
        <v>20.75</v>
      </c>
      <c r="K4677" t="s">
        <v>22</v>
      </c>
      <c r="L4677" t="s">
        <v>37</v>
      </c>
      <c r="M4677" t="s">
        <v>117</v>
      </c>
    </row>
    <row r="4678" spans="1:13" x14ac:dyDescent="0.2">
      <c r="A4678">
        <v>874118</v>
      </c>
      <c r="B4678" s="1">
        <v>45090</v>
      </c>
      <c r="C4678">
        <v>23357</v>
      </c>
      <c r="D4678" t="s">
        <v>40</v>
      </c>
      <c r="E4678" t="s">
        <v>115</v>
      </c>
      <c r="F4678" t="s">
        <v>116</v>
      </c>
      <c r="G4678">
        <v>2</v>
      </c>
      <c r="H4678">
        <v>12.99</v>
      </c>
      <c r="J4678">
        <v>25.98</v>
      </c>
      <c r="K4678" t="s">
        <v>36</v>
      </c>
      <c r="L4678" t="s">
        <v>17</v>
      </c>
      <c r="M4678" t="s">
        <v>120</v>
      </c>
    </row>
    <row r="4679" spans="1:13" x14ac:dyDescent="0.2">
      <c r="A4679">
        <v>874120</v>
      </c>
      <c r="B4679" s="1">
        <v>44831</v>
      </c>
      <c r="C4679">
        <v>42024</v>
      </c>
      <c r="D4679" t="s">
        <v>44</v>
      </c>
      <c r="E4679" t="s">
        <v>93</v>
      </c>
      <c r="F4679" t="s">
        <v>94</v>
      </c>
      <c r="G4679">
        <v>1</v>
      </c>
      <c r="H4679">
        <v>1.29</v>
      </c>
      <c r="J4679">
        <v>1.29</v>
      </c>
      <c r="K4679" t="s">
        <v>53</v>
      </c>
      <c r="L4679" t="s">
        <v>17</v>
      </c>
      <c r="M4679" t="s">
        <v>123</v>
      </c>
    </row>
    <row r="4680" spans="1:13" x14ac:dyDescent="0.2">
      <c r="A4680">
        <v>874266</v>
      </c>
      <c r="B4680" s="2">
        <v>45411</v>
      </c>
      <c r="C4680">
        <v>23958</v>
      </c>
      <c r="D4680" t="s">
        <v>63</v>
      </c>
      <c r="E4680" t="s">
        <v>131</v>
      </c>
      <c r="F4680" t="s">
        <v>132</v>
      </c>
      <c r="G4680">
        <v>5</v>
      </c>
      <c r="H4680">
        <v>3.49</v>
      </c>
      <c r="J4680">
        <v>17.45</v>
      </c>
      <c r="K4680" t="s">
        <v>16</v>
      </c>
      <c r="L4680" t="s">
        <v>17</v>
      </c>
      <c r="M4680" t="s">
        <v>57</v>
      </c>
    </row>
    <row r="4681" spans="1:13" x14ac:dyDescent="0.2">
      <c r="A4681">
        <v>874546</v>
      </c>
      <c r="B4681" s="1">
        <v>45524</v>
      </c>
      <c r="C4681">
        <v>64491</v>
      </c>
      <c r="D4681" t="s">
        <v>85</v>
      </c>
      <c r="E4681" t="s">
        <v>157</v>
      </c>
      <c r="F4681" t="s">
        <v>158</v>
      </c>
      <c r="G4681">
        <v>3</v>
      </c>
      <c r="H4681">
        <v>10.119999999999999</v>
      </c>
      <c r="I4681">
        <v>0.25</v>
      </c>
      <c r="J4681">
        <v>22.77</v>
      </c>
      <c r="K4681" t="s">
        <v>16</v>
      </c>
      <c r="L4681" t="s">
        <v>17</v>
      </c>
      <c r="M4681" t="s">
        <v>102</v>
      </c>
    </row>
    <row r="4682" spans="1:13" x14ac:dyDescent="0.2">
      <c r="A4682">
        <v>874662</v>
      </c>
      <c r="B4682" s="1">
        <v>45572</v>
      </c>
      <c r="C4682">
        <v>55123</v>
      </c>
      <c r="D4682" t="s">
        <v>40</v>
      </c>
      <c r="E4682" t="s">
        <v>197</v>
      </c>
      <c r="F4682" t="s">
        <v>198</v>
      </c>
      <c r="G4682">
        <v>2</v>
      </c>
      <c r="H4682">
        <v>12.74</v>
      </c>
      <c r="I4682">
        <v>0.15</v>
      </c>
      <c r="J4682">
        <v>21.66</v>
      </c>
      <c r="K4682" t="s">
        <v>16</v>
      </c>
      <c r="L4682" t="s">
        <v>17</v>
      </c>
      <c r="M4682" t="s">
        <v>76</v>
      </c>
    </row>
    <row r="4683" spans="1:13" x14ac:dyDescent="0.2">
      <c r="A4683">
        <v>874695</v>
      </c>
      <c r="B4683" s="1">
        <v>45236</v>
      </c>
      <c r="C4683">
        <v>59280</v>
      </c>
      <c r="D4683" t="s">
        <v>44</v>
      </c>
      <c r="E4683" t="s">
        <v>177</v>
      </c>
      <c r="F4683" t="s">
        <v>178</v>
      </c>
      <c r="G4683">
        <v>3</v>
      </c>
      <c r="H4683">
        <v>11.99</v>
      </c>
      <c r="J4683">
        <v>35.97</v>
      </c>
      <c r="K4683" t="s">
        <v>36</v>
      </c>
      <c r="L4683" t="s">
        <v>23</v>
      </c>
      <c r="M4683" t="s">
        <v>103</v>
      </c>
    </row>
    <row r="4684" spans="1:13" x14ac:dyDescent="0.2">
      <c r="A4684">
        <v>874734</v>
      </c>
      <c r="B4684" s="1">
        <v>45403</v>
      </c>
      <c r="C4684">
        <v>44937</v>
      </c>
      <c r="D4684" t="s">
        <v>44</v>
      </c>
      <c r="E4684" t="s">
        <v>172</v>
      </c>
      <c r="F4684" t="s">
        <v>173</v>
      </c>
      <c r="G4684">
        <v>5</v>
      </c>
      <c r="H4684">
        <v>4.49</v>
      </c>
      <c r="J4684">
        <v>22.45</v>
      </c>
      <c r="K4684" t="s">
        <v>22</v>
      </c>
      <c r="L4684" t="s">
        <v>37</v>
      </c>
      <c r="M4684" t="s">
        <v>117</v>
      </c>
    </row>
    <row r="4685" spans="1:13" x14ac:dyDescent="0.2">
      <c r="A4685">
        <v>874783</v>
      </c>
      <c r="B4685" s="1">
        <v>45170</v>
      </c>
      <c r="D4685" t="s">
        <v>13</v>
      </c>
      <c r="E4685" t="s">
        <v>104</v>
      </c>
      <c r="F4685" t="s">
        <v>105</v>
      </c>
      <c r="G4685">
        <v>1</v>
      </c>
      <c r="H4685">
        <v>29.99</v>
      </c>
      <c r="J4685">
        <v>29.99</v>
      </c>
      <c r="K4685" t="s">
        <v>36</v>
      </c>
      <c r="L4685" t="s">
        <v>17</v>
      </c>
      <c r="M4685" t="s">
        <v>33</v>
      </c>
    </row>
    <row r="4686" spans="1:13" x14ac:dyDescent="0.2">
      <c r="A4686">
        <v>874987</v>
      </c>
      <c r="B4686" s="1">
        <v>44688</v>
      </c>
      <c r="C4686">
        <v>72431</v>
      </c>
      <c r="D4686" t="s">
        <v>29</v>
      </c>
      <c r="E4686" t="s">
        <v>72</v>
      </c>
      <c r="F4686" t="s">
        <v>73</v>
      </c>
      <c r="G4686">
        <v>2</v>
      </c>
      <c r="H4686">
        <v>27.99</v>
      </c>
      <c r="I4686">
        <v>0.3</v>
      </c>
      <c r="J4686">
        <v>39.19</v>
      </c>
      <c r="K4686" t="s">
        <v>36</v>
      </c>
      <c r="L4686" t="s">
        <v>17</v>
      </c>
      <c r="M4686" t="s">
        <v>57</v>
      </c>
    </row>
    <row r="4687" spans="1:13" x14ac:dyDescent="0.2">
      <c r="A4687">
        <v>875152</v>
      </c>
      <c r="B4687" s="1">
        <v>45620</v>
      </c>
      <c r="C4687">
        <v>77058</v>
      </c>
      <c r="D4687" t="s">
        <v>82</v>
      </c>
      <c r="E4687" t="s">
        <v>147</v>
      </c>
      <c r="F4687" t="s">
        <v>148</v>
      </c>
      <c r="G4687">
        <v>4</v>
      </c>
      <c r="H4687">
        <v>12.99</v>
      </c>
      <c r="J4687">
        <v>51.96</v>
      </c>
      <c r="K4687" t="s">
        <v>22</v>
      </c>
      <c r="L4687" t="s">
        <v>17</v>
      </c>
      <c r="M4687" t="s">
        <v>102</v>
      </c>
    </row>
    <row r="4688" spans="1:13" x14ac:dyDescent="0.2">
      <c r="A4688">
        <v>875255</v>
      </c>
      <c r="B4688" s="1">
        <v>45129</v>
      </c>
      <c r="C4688">
        <v>55450</v>
      </c>
      <c r="D4688" t="s">
        <v>48</v>
      </c>
      <c r="E4688" t="s">
        <v>139</v>
      </c>
      <c r="F4688" t="s">
        <v>140</v>
      </c>
      <c r="G4688">
        <v>4</v>
      </c>
      <c r="H4688">
        <v>6.79</v>
      </c>
      <c r="I4688">
        <v>0.15</v>
      </c>
      <c r="J4688">
        <v>23.09</v>
      </c>
      <c r="K4688" t="s">
        <v>16</v>
      </c>
      <c r="L4688" t="s">
        <v>17</v>
      </c>
      <c r="M4688" t="s">
        <v>123</v>
      </c>
    </row>
    <row r="4689" spans="1:13" x14ac:dyDescent="0.2">
      <c r="A4689">
        <v>875479</v>
      </c>
      <c r="B4689" s="1">
        <v>44620</v>
      </c>
      <c r="C4689">
        <v>79615</v>
      </c>
      <c r="D4689" t="s">
        <v>25</v>
      </c>
      <c r="E4689" t="s">
        <v>60</v>
      </c>
      <c r="F4689" t="s">
        <v>61</v>
      </c>
      <c r="G4689">
        <v>3</v>
      </c>
      <c r="H4689">
        <v>54.99</v>
      </c>
      <c r="J4689">
        <v>164.97</v>
      </c>
      <c r="K4689" t="s">
        <v>16</v>
      </c>
      <c r="L4689" t="s">
        <v>17</v>
      </c>
      <c r="M4689" t="s">
        <v>33</v>
      </c>
    </row>
    <row r="4690" spans="1:13" x14ac:dyDescent="0.2">
      <c r="A4690">
        <v>875756</v>
      </c>
      <c r="B4690" s="1">
        <v>45345</v>
      </c>
      <c r="C4690">
        <v>56873</v>
      </c>
      <c r="D4690" t="s">
        <v>40</v>
      </c>
      <c r="E4690" t="s">
        <v>58</v>
      </c>
      <c r="F4690" t="s">
        <v>59</v>
      </c>
      <c r="G4690">
        <v>2</v>
      </c>
      <c r="H4690">
        <v>3.19</v>
      </c>
      <c r="I4690">
        <v>0.2</v>
      </c>
      <c r="J4690">
        <v>5.0999999999999996</v>
      </c>
      <c r="K4690" t="s">
        <v>36</v>
      </c>
      <c r="L4690" t="s">
        <v>17</v>
      </c>
      <c r="M4690" t="s">
        <v>54</v>
      </c>
    </row>
    <row r="4691" spans="1:13" x14ac:dyDescent="0.2">
      <c r="A4691">
        <v>875886</v>
      </c>
      <c r="B4691" s="1">
        <v>45602</v>
      </c>
      <c r="C4691">
        <v>92504</v>
      </c>
      <c r="D4691" t="s">
        <v>82</v>
      </c>
      <c r="E4691" t="s">
        <v>168</v>
      </c>
      <c r="F4691" t="s">
        <v>169</v>
      </c>
      <c r="G4691">
        <v>1</v>
      </c>
      <c r="H4691">
        <v>6.74</v>
      </c>
      <c r="I4691">
        <v>0.25</v>
      </c>
      <c r="J4691">
        <v>5.0599999999999996</v>
      </c>
      <c r="K4691" t="s">
        <v>36</v>
      </c>
      <c r="L4691" t="s">
        <v>17</v>
      </c>
      <c r="M4691" t="s">
        <v>120</v>
      </c>
    </row>
    <row r="4692" spans="1:13" x14ac:dyDescent="0.2">
      <c r="A4692">
        <v>875975</v>
      </c>
      <c r="B4692" s="2">
        <v>44877</v>
      </c>
      <c r="C4692">
        <v>92189</v>
      </c>
      <c r="D4692" t="s">
        <v>40</v>
      </c>
      <c r="E4692" t="s">
        <v>41</v>
      </c>
      <c r="F4692" t="s">
        <v>42</v>
      </c>
      <c r="G4692">
        <v>1</v>
      </c>
      <c r="H4692">
        <v>5.39</v>
      </c>
      <c r="I4692">
        <v>0.1</v>
      </c>
      <c r="J4692">
        <v>4.8499999999999996</v>
      </c>
      <c r="K4692" t="s">
        <v>95</v>
      </c>
      <c r="L4692" t="s">
        <v>17</v>
      </c>
      <c r="M4692" t="s">
        <v>90</v>
      </c>
    </row>
    <row r="4693" spans="1:13" x14ac:dyDescent="0.2">
      <c r="A4693">
        <v>876056</v>
      </c>
      <c r="B4693" s="1">
        <v>44893</v>
      </c>
      <c r="C4693">
        <v>29037</v>
      </c>
      <c r="D4693" t="s">
        <v>40</v>
      </c>
      <c r="E4693" t="s">
        <v>115</v>
      </c>
      <c r="F4693" t="s">
        <v>116</v>
      </c>
      <c r="G4693">
        <v>4</v>
      </c>
      <c r="H4693">
        <v>12.99</v>
      </c>
      <c r="J4693">
        <v>51.96</v>
      </c>
      <c r="K4693" t="s">
        <v>36</v>
      </c>
      <c r="L4693" t="s">
        <v>17</v>
      </c>
      <c r="M4693" t="s">
        <v>90</v>
      </c>
    </row>
    <row r="4694" spans="1:13" x14ac:dyDescent="0.2">
      <c r="A4694">
        <v>876338</v>
      </c>
      <c r="B4694" s="1">
        <v>44947</v>
      </c>
      <c r="C4694">
        <v>39171</v>
      </c>
      <c r="D4694" t="s">
        <v>82</v>
      </c>
      <c r="E4694" t="s">
        <v>83</v>
      </c>
      <c r="F4694" t="s">
        <v>84</v>
      </c>
      <c r="G4694">
        <v>4</v>
      </c>
      <c r="H4694">
        <v>13.59</v>
      </c>
      <c r="I4694">
        <v>0.2</v>
      </c>
      <c r="J4694">
        <v>43.49</v>
      </c>
      <c r="K4694" t="s">
        <v>36</v>
      </c>
      <c r="L4694" t="s">
        <v>17</v>
      </c>
      <c r="M4694" t="s">
        <v>57</v>
      </c>
    </row>
    <row r="4695" spans="1:13" x14ac:dyDescent="0.2">
      <c r="A4695">
        <v>876350</v>
      </c>
      <c r="B4695" s="1">
        <v>44898</v>
      </c>
      <c r="C4695">
        <v>48951</v>
      </c>
      <c r="D4695" t="s">
        <v>63</v>
      </c>
      <c r="E4695" t="s">
        <v>68</v>
      </c>
      <c r="F4695" t="s">
        <v>69</v>
      </c>
      <c r="G4695">
        <v>1</v>
      </c>
      <c r="H4695">
        <v>17.489999999999998</v>
      </c>
      <c r="I4695">
        <v>0.3</v>
      </c>
      <c r="J4695">
        <v>12.24</v>
      </c>
      <c r="K4695" t="s">
        <v>16</v>
      </c>
      <c r="L4695" t="s">
        <v>17</v>
      </c>
      <c r="M4695" t="s">
        <v>117</v>
      </c>
    </row>
    <row r="4696" spans="1:13" x14ac:dyDescent="0.2">
      <c r="A4696">
        <v>876622</v>
      </c>
      <c r="B4696" s="1">
        <v>44658</v>
      </c>
      <c r="C4696">
        <v>58364</v>
      </c>
      <c r="D4696" t="s">
        <v>29</v>
      </c>
      <c r="E4696" t="s">
        <v>30</v>
      </c>
      <c r="F4696" t="s">
        <v>31</v>
      </c>
      <c r="G4696">
        <v>2</v>
      </c>
      <c r="H4696">
        <v>21.24</v>
      </c>
      <c r="I4696">
        <v>0.15</v>
      </c>
      <c r="J4696">
        <v>36.11</v>
      </c>
      <c r="K4696" t="s">
        <v>16</v>
      </c>
      <c r="L4696" t="s">
        <v>17</v>
      </c>
      <c r="M4696" t="s">
        <v>120</v>
      </c>
    </row>
    <row r="4697" spans="1:13" x14ac:dyDescent="0.2">
      <c r="A4697">
        <v>876770</v>
      </c>
      <c r="B4697" s="1">
        <v>45379</v>
      </c>
      <c r="C4697">
        <v>62427</v>
      </c>
      <c r="D4697" t="s">
        <v>40</v>
      </c>
      <c r="E4697" t="s">
        <v>58</v>
      </c>
      <c r="F4697" t="s">
        <v>59</v>
      </c>
      <c r="G4697">
        <v>1</v>
      </c>
      <c r="H4697">
        <v>2.99</v>
      </c>
      <c r="I4697">
        <v>0.25</v>
      </c>
      <c r="J4697">
        <v>2.2400000000000002</v>
      </c>
      <c r="K4697" t="s">
        <v>22</v>
      </c>
      <c r="L4697" t="s">
        <v>37</v>
      </c>
      <c r="M4697" t="s">
        <v>90</v>
      </c>
    </row>
    <row r="4698" spans="1:13" x14ac:dyDescent="0.2">
      <c r="A4698">
        <v>876880</v>
      </c>
      <c r="B4698" s="1">
        <v>45118</v>
      </c>
      <c r="C4698">
        <v>79604</v>
      </c>
      <c r="D4698" t="s">
        <v>29</v>
      </c>
      <c r="E4698" t="s">
        <v>175</v>
      </c>
      <c r="F4698" t="s">
        <v>176</v>
      </c>
      <c r="G4698">
        <v>1</v>
      </c>
      <c r="H4698">
        <v>11.99</v>
      </c>
      <c r="J4698">
        <v>11.99</v>
      </c>
      <c r="K4698" t="s">
        <v>22</v>
      </c>
      <c r="L4698" t="s">
        <v>17</v>
      </c>
      <c r="M4698" t="s">
        <v>90</v>
      </c>
    </row>
    <row r="4699" spans="1:13" x14ac:dyDescent="0.2">
      <c r="A4699">
        <v>876962</v>
      </c>
      <c r="B4699" s="1">
        <v>44855</v>
      </c>
      <c r="C4699">
        <v>38197</v>
      </c>
      <c r="D4699" t="s">
        <v>82</v>
      </c>
      <c r="E4699" t="s">
        <v>100</v>
      </c>
      <c r="F4699" t="s">
        <v>101</v>
      </c>
      <c r="G4699">
        <v>1</v>
      </c>
      <c r="H4699">
        <v>18.39</v>
      </c>
      <c r="I4699">
        <v>0.2</v>
      </c>
      <c r="J4699">
        <v>14.71</v>
      </c>
      <c r="K4699" t="s">
        <v>22</v>
      </c>
      <c r="L4699" t="s">
        <v>17</v>
      </c>
      <c r="M4699" t="s">
        <v>103</v>
      </c>
    </row>
    <row r="4700" spans="1:13" x14ac:dyDescent="0.2">
      <c r="A4700">
        <v>877180</v>
      </c>
      <c r="B4700" s="1">
        <v>45414</v>
      </c>
      <c r="C4700">
        <v>40150</v>
      </c>
      <c r="D4700" t="s">
        <v>40</v>
      </c>
      <c r="E4700" t="s">
        <v>58</v>
      </c>
      <c r="F4700" t="s">
        <v>59</v>
      </c>
      <c r="G4700">
        <v>4</v>
      </c>
      <c r="H4700">
        <v>3.59</v>
      </c>
      <c r="I4700">
        <v>0.1</v>
      </c>
      <c r="J4700">
        <v>12.92</v>
      </c>
      <c r="K4700" t="s">
        <v>36</v>
      </c>
      <c r="L4700" t="s">
        <v>17</v>
      </c>
      <c r="M4700" t="s">
        <v>33</v>
      </c>
    </row>
    <row r="4701" spans="1:13" x14ac:dyDescent="0.2">
      <c r="A4701">
        <v>877255</v>
      </c>
      <c r="B4701" s="1">
        <v>45516</v>
      </c>
      <c r="C4701">
        <v>75761</v>
      </c>
      <c r="D4701" t="s">
        <v>40</v>
      </c>
      <c r="E4701" t="s">
        <v>115</v>
      </c>
      <c r="F4701" t="s">
        <v>116</v>
      </c>
      <c r="G4701">
        <v>1</v>
      </c>
      <c r="H4701">
        <v>12.99</v>
      </c>
      <c r="J4701">
        <v>12.99</v>
      </c>
      <c r="K4701" t="s">
        <v>95</v>
      </c>
      <c r="L4701" t="s">
        <v>17</v>
      </c>
      <c r="M4701" t="s">
        <v>81</v>
      </c>
    </row>
    <row r="4702" spans="1:13" x14ac:dyDescent="0.2">
      <c r="A4702">
        <v>877306</v>
      </c>
      <c r="B4702" s="1">
        <v>45359</v>
      </c>
      <c r="C4702">
        <v>62776</v>
      </c>
      <c r="D4702" t="s">
        <v>13</v>
      </c>
      <c r="E4702" t="s">
        <v>127</v>
      </c>
      <c r="F4702" t="s">
        <v>128</v>
      </c>
      <c r="G4702">
        <v>1</v>
      </c>
      <c r="H4702">
        <v>19.989999999999998</v>
      </c>
      <c r="J4702">
        <v>19.989999999999998</v>
      </c>
      <c r="K4702" t="s">
        <v>36</v>
      </c>
      <c r="L4702" t="s">
        <v>37</v>
      </c>
      <c r="M4702" t="s">
        <v>43</v>
      </c>
    </row>
    <row r="4703" spans="1:13" x14ac:dyDescent="0.2">
      <c r="A4703">
        <v>877613</v>
      </c>
      <c r="B4703" s="1">
        <v>45283</v>
      </c>
      <c r="C4703">
        <v>75357</v>
      </c>
      <c r="D4703" t="s">
        <v>29</v>
      </c>
      <c r="E4703" t="s">
        <v>72</v>
      </c>
      <c r="F4703" t="s">
        <v>73</v>
      </c>
      <c r="G4703">
        <v>2</v>
      </c>
      <c r="H4703">
        <v>29.99</v>
      </c>
      <c r="I4703">
        <v>0.25</v>
      </c>
      <c r="J4703">
        <v>44.98</v>
      </c>
      <c r="K4703" t="s">
        <v>95</v>
      </c>
      <c r="L4703" t="s">
        <v>17</v>
      </c>
      <c r="M4703" t="s">
        <v>76</v>
      </c>
    </row>
    <row r="4704" spans="1:13" x14ac:dyDescent="0.2">
      <c r="A4704">
        <v>877655</v>
      </c>
      <c r="B4704" s="2">
        <v>44632</v>
      </c>
      <c r="C4704">
        <v>46058</v>
      </c>
      <c r="D4704" t="s">
        <v>29</v>
      </c>
      <c r="E4704" t="s">
        <v>30</v>
      </c>
      <c r="F4704" t="s">
        <v>31</v>
      </c>
      <c r="G4704">
        <v>3</v>
      </c>
      <c r="H4704">
        <v>24.99</v>
      </c>
      <c r="J4704">
        <v>74.97</v>
      </c>
      <c r="K4704" t="s">
        <v>16</v>
      </c>
      <c r="L4704" t="s">
        <v>37</v>
      </c>
      <c r="M4704" t="s">
        <v>57</v>
      </c>
    </row>
    <row r="4705" spans="1:13" x14ac:dyDescent="0.2">
      <c r="A4705">
        <v>877787</v>
      </c>
      <c r="B4705" s="2">
        <v>44621</v>
      </c>
      <c r="C4705">
        <v>60255</v>
      </c>
      <c r="D4705" t="s">
        <v>63</v>
      </c>
      <c r="E4705" t="s">
        <v>125</v>
      </c>
      <c r="F4705" t="s">
        <v>126</v>
      </c>
      <c r="G4705">
        <v>4</v>
      </c>
      <c r="H4705">
        <v>22.49</v>
      </c>
      <c r="I4705">
        <v>0.25</v>
      </c>
      <c r="J4705">
        <v>67.47</v>
      </c>
      <c r="K4705" t="s">
        <v>95</v>
      </c>
      <c r="L4705" t="s">
        <v>17</v>
      </c>
    </row>
    <row r="4706" spans="1:13" x14ac:dyDescent="0.2">
      <c r="A4706">
        <v>877952</v>
      </c>
      <c r="B4706" s="1">
        <v>45537</v>
      </c>
      <c r="C4706">
        <v>42733</v>
      </c>
      <c r="D4706" t="s">
        <v>25</v>
      </c>
      <c r="E4706" t="s">
        <v>26</v>
      </c>
      <c r="F4706" t="s">
        <v>27</v>
      </c>
      <c r="G4706">
        <v>5</v>
      </c>
      <c r="H4706">
        <v>33.24</v>
      </c>
      <c r="I4706">
        <v>0.05</v>
      </c>
      <c r="J4706">
        <v>157.88999999999999</v>
      </c>
      <c r="K4706" t="s">
        <v>16</v>
      </c>
      <c r="L4706" t="s">
        <v>37</v>
      </c>
      <c r="M4706" t="s">
        <v>54</v>
      </c>
    </row>
    <row r="4707" spans="1:13" x14ac:dyDescent="0.2">
      <c r="A4707">
        <v>878019</v>
      </c>
      <c r="B4707" s="1">
        <v>44764</v>
      </c>
      <c r="C4707">
        <v>15124</v>
      </c>
      <c r="D4707" t="s">
        <v>29</v>
      </c>
      <c r="E4707" t="s">
        <v>175</v>
      </c>
      <c r="F4707" t="s">
        <v>176</v>
      </c>
      <c r="G4707">
        <v>2</v>
      </c>
      <c r="H4707">
        <v>8.39</v>
      </c>
      <c r="I4707">
        <v>0.3</v>
      </c>
      <c r="J4707">
        <v>11.75</v>
      </c>
      <c r="K4707" t="s">
        <v>16</v>
      </c>
      <c r="L4707" t="s">
        <v>37</v>
      </c>
      <c r="M4707" t="s">
        <v>54</v>
      </c>
    </row>
    <row r="4708" spans="1:13" x14ac:dyDescent="0.2">
      <c r="A4708">
        <v>878123</v>
      </c>
      <c r="B4708" s="1">
        <v>44956</v>
      </c>
      <c r="C4708">
        <v>30959</v>
      </c>
      <c r="D4708" t="s">
        <v>44</v>
      </c>
      <c r="E4708" t="s">
        <v>107</v>
      </c>
      <c r="F4708" t="s">
        <v>108</v>
      </c>
      <c r="G4708">
        <v>5</v>
      </c>
      <c r="H4708">
        <v>3.14</v>
      </c>
      <c r="I4708">
        <v>0.1</v>
      </c>
      <c r="J4708">
        <v>14.13</v>
      </c>
      <c r="K4708" t="s">
        <v>53</v>
      </c>
      <c r="L4708" t="s">
        <v>17</v>
      </c>
      <c r="M4708" t="s">
        <v>161</v>
      </c>
    </row>
    <row r="4709" spans="1:13" x14ac:dyDescent="0.2">
      <c r="A4709">
        <v>878227</v>
      </c>
      <c r="B4709" s="1">
        <v>44895</v>
      </c>
      <c r="C4709">
        <v>34531</v>
      </c>
      <c r="D4709" t="s">
        <v>40</v>
      </c>
      <c r="E4709" t="s">
        <v>41</v>
      </c>
      <c r="F4709" t="s">
        <v>42</v>
      </c>
      <c r="G4709">
        <v>1</v>
      </c>
      <c r="H4709">
        <v>4.49</v>
      </c>
      <c r="I4709">
        <v>0.25</v>
      </c>
      <c r="J4709">
        <v>3.37</v>
      </c>
      <c r="K4709" t="s">
        <v>36</v>
      </c>
      <c r="L4709" t="s">
        <v>17</v>
      </c>
      <c r="M4709" t="s">
        <v>62</v>
      </c>
    </row>
    <row r="4710" spans="1:13" x14ac:dyDescent="0.2">
      <c r="A4710">
        <v>878341</v>
      </c>
      <c r="B4710" s="2">
        <v>44565</v>
      </c>
      <c r="C4710">
        <v>72591</v>
      </c>
      <c r="D4710" t="s">
        <v>13</v>
      </c>
      <c r="E4710" t="s">
        <v>159</v>
      </c>
      <c r="F4710" t="s">
        <v>160</v>
      </c>
      <c r="G4710">
        <v>2</v>
      </c>
      <c r="H4710">
        <v>56.99</v>
      </c>
      <c r="I4710">
        <v>0.05</v>
      </c>
      <c r="J4710">
        <v>108.28</v>
      </c>
      <c r="K4710" t="s">
        <v>22</v>
      </c>
      <c r="L4710" t="s">
        <v>37</v>
      </c>
      <c r="M4710" t="s">
        <v>67</v>
      </c>
    </row>
    <row r="4711" spans="1:13" x14ac:dyDescent="0.2">
      <c r="A4711">
        <v>878543</v>
      </c>
      <c r="B4711" s="2">
        <v>45197</v>
      </c>
      <c r="C4711">
        <v>29836</v>
      </c>
      <c r="D4711" t="s">
        <v>13</v>
      </c>
      <c r="E4711" t="s">
        <v>79</v>
      </c>
      <c r="F4711" t="s">
        <v>80</v>
      </c>
      <c r="G4711">
        <v>2</v>
      </c>
      <c r="H4711">
        <v>62.99</v>
      </c>
      <c r="I4711">
        <v>0.3</v>
      </c>
      <c r="J4711">
        <v>88.19</v>
      </c>
      <c r="K4711" t="s">
        <v>22</v>
      </c>
      <c r="L4711" t="s">
        <v>37</v>
      </c>
      <c r="M4711" t="s">
        <v>28</v>
      </c>
    </row>
    <row r="4712" spans="1:13" x14ac:dyDescent="0.2">
      <c r="A4712">
        <v>878690</v>
      </c>
      <c r="B4712" s="1">
        <v>45296</v>
      </c>
      <c r="C4712">
        <v>92624</v>
      </c>
      <c r="D4712" t="s">
        <v>63</v>
      </c>
      <c r="E4712" t="s">
        <v>125</v>
      </c>
      <c r="F4712" t="s">
        <v>126</v>
      </c>
      <c r="G4712">
        <v>1</v>
      </c>
      <c r="H4712">
        <v>22.49</v>
      </c>
      <c r="I4712">
        <v>0.25</v>
      </c>
      <c r="J4712">
        <v>16.87</v>
      </c>
      <c r="K4712" t="s">
        <v>95</v>
      </c>
      <c r="L4712" t="s">
        <v>17</v>
      </c>
      <c r="M4712" t="s">
        <v>102</v>
      </c>
    </row>
    <row r="4713" spans="1:13" x14ac:dyDescent="0.2">
      <c r="A4713">
        <v>878779</v>
      </c>
      <c r="B4713" s="2">
        <v>44700</v>
      </c>
      <c r="C4713">
        <v>77767</v>
      </c>
      <c r="D4713" t="s">
        <v>85</v>
      </c>
      <c r="E4713" t="s">
        <v>86</v>
      </c>
      <c r="F4713" t="s">
        <v>87</v>
      </c>
      <c r="G4713">
        <v>2</v>
      </c>
      <c r="H4713">
        <v>11.69</v>
      </c>
      <c r="I4713">
        <v>0.1</v>
      </c>
      <c r="J4713">
        <v>21.04</v>
      </c>
      <c r="K4713" t="s">
        <v>36</v>
      </c>
      <c r="L4713" t="s">
        <v>17</v>
      </c>
      <c r="M4713" t="s">
        <v>96</v>
      </c>
    </row>
    <row r="4714" spans="1:13" x14ac:dyDescent="0.2">
      <c r="A4714">
        <v>878889</v>
      </c>
      <c r="B4714" s="1">
        <v>44961</v>
      </c>
      <c r="C4714">
        <v>90960</v>
      </c>
      <c r="D4714" t="s">
        <v>82</v>
      </c>
      <c r="E4714" t="s">
        <v>188</v>
      </c>
      <c r="F4714" t="s">
        <v>189</v>
      </c>
      <c r="G4714">
        <v>3</v>
      </c>
      <c r="H4714">
        <v>33.74</v>
      </c>
      <c r="I4714">
        <v>0.25</v>
      </c>
      <c r="J4714">
        <v>75.91</v>
      </c>
      <c r="K4714" t="s">
        <v>22</v>
      </c>
      <c r="L4714" t="s">
        <v>17</v>
      </c>
      <c r="M4714" t="s">
        <v>76</v>
      </c>
    </row>
    <row r="4715" spans="1:13" x14ac:dyDescent="0.2">
      <c r="A4715">
        <v>878972</v>
      </c>
      <c r="B4715" s="1">
        <v>45281</v>
      </c>
      <c r="C4715">
        <v>54460</v>
      </c>
      <c r="D4715" t="s">
        <v>63</v>
      </c>
      <c r="E4715" t="s">
        <v>131</v>
      </c>
      <c r="F4715" t="s">
        <v>132</v>
      </c>
      <c r="G4715">
        <v>4</v>
      </c>
      <c r="H4715">
        <v>2.97</v>
      </c>
      <c r="I4715">
        <v>0.15</v>
      </c>
      <c r="J4715">
        <v>10.1</v>
      </c>
      <c r="K4715" t="s">
        <v>36</v>
      </c>
      <c r="L4715" t="s">
        <v>37</v>
      </c>
      <c r="M4715" t="s">
        <v>96</v>
      </c>
    </row>
    <row r="4716" spans="1:13" x14ac:dyDescent="0.2">
      <c r="A4716">
        <v>878977</v>
      </c>
      <c r="B4716" s="1">
        <v>44638</v>
      </c>
      <c r="D4716" t="s">
        <v>25</v>
      </c>
      <c r="E4716" t="s">
        <v>51</v>
      </c>
      <c r="F4716" t="s">
        <v>52</v>
      </c>
      <c r="G4716">
        <v>5</v>
      </c>
      <c r="H4716">
        <v>26.59</v>
      </c>
      <c r="I4716">
        <v>0.05</v>
      </c>
      <c r="J4716">
        <v>126.3</v>
      </c>
      <c r="K4716" t="s">
        <v>66</v>
      </c>
      <c r="L4716" t="s">
        <v>17</v>
      </c>
      <c r="M4716" t="s">
        <v>57</v>
      </c>
    </row>
    <row r="4717" spans="1:13" x14ac:dyDescent="0.2">
      <c r="A4717">
        <v>879058</v>
      </c>
      <c r="B4717" s="1">
        <v>45264</v>
      </c>
      <c r="C4717">
        <v>83649</v>
      </c>
      <c r="D4717" t="s">
        <v>25</v>
      </c>
      <c r="E4717" t="s">
        <v>26</v>
      </c>
      <c r="F4717" t="s">
        <v>27</v>
      </c>
      <c r="G4717">
        <v>5</v>
      </c>
      <c r="H4717">
        <v>27.99</v>
      </c>
      <c r="I4717">
        <v>0.2</v>
      </c>
      <c r="J4717">
        <v>111.96</v>
      </c>
      <c r="K4717" t="s">
        <v>36</v>
      </c>
      <c r="L4717" t="s">
        <v>17</v>
      </c>
      <c r="M4717" t="s">
        <v>90</v>
      </c>
    </row>
    <row r="4718" spans="1:13" x14ac:dyDescent="0.2">
      <c r="A4718">
        <v>879061</v>
      </c>
      <c r="B4718" s="1">
        <v>44758</v>
      </c>
      <c r="C4718">
        <v>50411</v>
      </c>
      <c r="D4718" t="s">
        <v>13</v>
      </c>
      <c r="E4718" t="s">
        <v>127</v>
      </c>
      <c r="F4718" t="s">
        <v>128</v>
      </c>
      <c r="G4718">
        <v>2</v>
      </c>
      <c r="H4718">
        <v>19.989999999999998</v>
      </c>
      <c r="J4718">
        <v>39.979999999999997</v>
      </c>
      <c r="K4718" t="s">
        <v>53</v>
      </c>
      <c r="L4718" t="s">
        <v>17</v>
      </c>
      <c r="M4718" t="s">
        <v>54</v>
      </c>
    </row>
    <row r="4719" spans="1:13" x14ac:dyDescent="0.2">
      <c r="A4719">
        <v>879387</v>
      </c>
      <c r="B4719" s="1">
        <v>44760</v>
      </c>
      <c r="C4719">
        <v>69604</v>
      </c>
      <c r="D4719" t="s">
        <v>82</v>
      </c>
      <c r="E4719" t="s">
        <v>168</v>
      </c>
      <c r="F4719" t="s">
        <v>169</v>
      </c>
      <c r="G4719">
        <v>3</v>
      </c>
      <c r="H4719">
        <v>8.99</v>
      </c>
      <c r="J4719">
        <v>26.97</v>
      </c>
      <c r="K4719" t="s">
        <v>36</v>
      </c>
      <c r="L4719" t="s">
        <v>23</v>
      </c>
      <c r="M4719" t="s">
        <v>103</v>
      </c>
    </row>
    <row r="4720" spans="1:13" x14ac:dyDescent="0.2">
      <c r="A4720">
        <v>879601</v>
      </c>
      <c r="B4720" s="2">
        <v>44694</v>
      </c>
      <c r="C4720">
        <v>30583</v>
      </c>
      <c r="D4720" t="s">
        <v>40</v>
      </c>
      <c r="E4720" t="s">
        <v>41</v>
      </c>
      <c r="F4720" t="s">
        <v>42</v>
      </c>
      <c r="G4720">
        <v>1</v>
      </c>
      <c r="H4720">
        <v>4.49</v>
      </c>
      <c r="J4720">
        <v>4.49</v>
      </c>
      <c r="K4720" t="s">
        <v>22</v>
      </c>
      <c r="L4720" t="s">
        <v>37</v>
      </c>
      <c r="M4720" t="s">
        <v>123</v>
      </c>
    </row>
    <row r="4721" spans="1:13" x14ac:dyDescent="0.2">
      <c r="A4721">
        <v>879835</v>
      </c>
      <c r="B4721" s="1">
        <v>44973</v>
      </c>
      <c r="C4721">
        <v>78955</v>
      </c>
      <c r="D4721" t="s">
        <v>25</v>
      </c>
      <c r="E4721" t="s">
        <v>51</v>
      </c>
      <c r="F4721" t="s">
        <v>52</v>
      </c>
      <c r="G4721">
        <v>5</v>
      </c>
      <c r="H4721">
        <v>23.79</v>
      </c>
      <c r="I4721">
        <v>0.15</v>
      </c>
      <c r="J4721">
        <v>101.11</v>
      </c>
      <c r="K4721" t="s">
        <v>16</v>
      </c>
      <c r="L4721" t="s">
        <v>17</v>
      </c>
      <c r="M4721" t="s">
        <v>120</v>
      </c>
    </row>
    <row r="4722" spans="1:13" x14ac:dyDescent="0.2">
      <c r="A4722">
        <v>880091</v>
      </c>
      <c r="B4722" s="1">
        <v>44667</v>
      </c>
      <c r="C4722">
        <v>23504</v>
      </c>
      <c r="D4722" t="s">
        <v>48</v>
      </c>
      <c r="E4722" t="s">
        <v>49</v>
      </c>
      <c r="F4722" t="s">
        <v>50</v>
      </c>
      <c r="G4722">
        <v>2</v>
      </c>
      <c r="H4722">
        <v>7.64</v>
      </c>
      <c r="I4722">
        <v>0.15</v>
      </c>
      <c r="J4722">
        <v>12.99</v>
      </c>
      <c r="K4722" t="s">
        <v>16</v>
      </c>
      <c r="L4722" t="s">
        <v>17</v>
      </c>
      <c r="M4722" t="s">
        <v>76</v>
      </c>
    </row>
    <row r="4723" spans="1:13" x14ac:dyDescent="0.2">
      <c r="A4723">
        <v>880179</v>
      </c>
      <c r="B4723" s="1">
        <v>44623</v>
      </c>
      <c r="D4723" t="s">
        <v>40</v>
      </c>
      <c r="E4723" t="s">
        <v>20</v>
      </c>
      <c r="F4723" t="s">
        <v>21</v>
      </c>
      <c r="G4723">
        <v>3</v>
      </c>
      <c r="H4723">
        <v>8.49</v>
      </c>
      <c r="I4723">
        <v>0.15</v>
      </c>
      <c r="J4723">
        <v>21.65</v>
      </c>
      <c r="K4723" t="s">
        <v>16</v>
      </c>
      <c r="L4723" t="s">
        <v>17</v>
      </c>
      <c r="M4723" t="s">
        <v>18</v>
      </c>
    </row>
    <row r="4724" spans="1:13" x14ac:dyDescent="0.2">
      <c r="A4724">
        <v>880371</v>
      </c>
      <c r="B4724" s="1">
        <v>44647</v>
      </c>
      <c r="C4724">
        <v>11871</v>
      </c>
      <c r="D4724" t="s">
        <v>63</v>
      </c>
      <c r="E4724" t="s">
        <v>64</v>
      </c>
      <c r="F4724" t="s">
        <v>65</v>
      </c>
      <c r="G4724">
        <v>2</v>
      </c>
      <c r="H4724">
        <v>4.99</v>
      </c>
      <c r="J4724">
        <v>9.98</v>
      </c>
      <c r="K4724" t="s">
        <v>36</v>
      </c>
      <c r="L4724" t="s">
        <v>37</v>
      </c>
      <c r="M4724" t="s">
        <v>123</v>
      </c>
    </row>
    <row r="4725" spans="1:13" x14ac:dyDescent="0.2">
      <c r="A4725">
        <v>880383</v>
      </c>
      <c r="B4725" s="2">
        <v>45564</v>
      </c>
      <c r="C4725">
        <v>59233</v>
      </c>
      <c r="D4725" t="s">
        <v>97</v>
      </c>
      <c r="E4725" t="s">
        <v>135</v>
      </c>
      <c r="F4725" t="s">
        <v>136</v>
      </c>
      <c r="G4725">
        <v>1</v>
      </c>
      <c r="H4725">
        <v>7.99</v>
      </c>
      <c r="I4725">
        <v>0.2</v>
      </c>
      <c r="J4725">
        <v>6.39</v>
      </c>
      <c r="K4725" t="s">
        <v>22</v>
      </c>
      <c r="L4725" t="s">
        <v>23</v>
      </c>
      <c r="M4725" t="s">
        <v>33</v>
      </c>
    </row>
    <row r="4726" spans="1:13" x14ac:dyDescent="0.2">
      <c r="A4726">
        <v>880418</v>
      </c>
      <c r="B4726" s="1">
        <v>45203</v>
      </c>
      <c r="C4726">
        <v>32681</v>
      </c>
      <c r="D4726" t="s">
        <v>29</v>
      </c>
      <c r="E4726" t="s">
        <v>38</v>
      </c>
      <c r="F4726" t="s">
        <v>39</v>
      </c>
      <c r="G4726">
        <v>1</v>
      </c>
      <c r="H4726">
        <v>20.99</v>
      </c>
      <c r="I4726">
        <v>0.3</v>
      </c>
      <c r="J4726">
        <v>14.69</v>
      </c>
      <c r="K4726" t="s">
        <v>53</v>
      </c>
      <c r="L4726" t="s">
        <v>17</v>
      </c>
      <c r="M4726" t="s">
        <v>81</v>
      </c>
    </row>
    <row r="4727" spans="1:13" x14ac:dyDescent="0.2">
      <c r="A4727">
        <v>880534</v>
      </c>
      <c r="B4727" s="2">
        <v>45167</v>
      </c>
      <c r="C4727">
        <v>82163</v>
      </c>
      <c r="D4727" t="s">
        <v>13</v>
      </c>
      <c r="E4727" t="s">
        <v>77</v>
      </c>
      <c r="F4727" t="s">
        <v>78</v>
      </c>
      <c r="G4727">
        <v>2</v>
      </c>
      <c r="H4727">
        <v>499.99</v>
      </c>
      <c r="J4727">
        <v>999.98</v>
      </c>
      <c r="K4727" t="s">
        <v>36</v>
      </c>
      <c r="L4727" t="s">
        <v>37</v>
      </c>
      <c r="M4727" t="s">
        <v>24</v>
      </c>
    </row>
    <row r="4728" spans="1:13" x14ac:dyDescent="0.2">
      <c r="A4728">
        <v>880674</v>
      </c>
      <c r="B4728" s="2">
        <v>45047</v>
      </c>
      <c r="C4728">
        <v>55362</v>
      </c>
      <c r="D4728" t="s">
        <v>13</v>
      </c>
      <c r="E4728" t="s">
        <v>55</v>
      </c>
      <c r="F4728" t="s">
        <v>56</v>
      </c>
      <c r="G4728">
        <v>1</v>
      </c>
      <c r="H4728">
        <v>313.49</v>
      </c>
      <c r="I4728">
        <v>0.05</v>
      </c>
      <c r="J4728">
        <v>297.82</v>
      </c>
      <c r="K4728" t="s">
        <v>95</v>
      </c>
      <c r="L4728" t="s">
        <v>17</v>
      </c>
    </row>
    <row r="4729" spans="1:13" x14ac:dyDescent="0.2">
      <c r="A4729">
        <v>881032</v>
      </c>
      <c r="B4729" s="1">
        <v>44595</v>
      </c>
      <c r="C4729">
        <v>60918</v>
      </c>
      <c r="D4729" t="s">
        <v>63</v>
      </c>
      <c r="E4729" t="s">
        <v>111</v>
      </c>
      <c r="F4729" t="s">
        <v>112</v>
      </c>
      <c r="G4729">
        <v>2</v>
      </c>
      <c r="H4729">
        <v>14.99</v>
      </c>
      <c r="J4729">
        <v>29.98</v>
      </c>
      <c r="K4729" t="s">
        <v>16</v>
      </c>
      <c r="L4729" t="s">
        <v>17</v>
      </c>
      <c r="M4729" t="s">
        <v>54</v>
      </c>
    </row>
    <row r="4730" spans="1:13" x14ac:dyDescent="0.2">
      <c r="A4730">
        <v>881512</v>
      </c>
      <c r="B4730" s="2">
        <v>45548</v>
      </c>
      <c r="C4730">
        <v>50880</v>
      </c>
      <c r="D4730" t="s">
        <v>40</v>
      </c>
      <c r="E4730" t="s">
        <v>41</v>
      </c>
      <c r="F4730" t="s">
        <v>42</v>
      </c>
      <c r="G4730">
        <v>1</v>
      </c>
      <c r="H4730">
        <v>5.99</v>
      </c>
      <c r="J4730">
        <v>5.99</v>
      </c>
      <c r="K4730" t="s">
        <v>36</v>
      </c>
      <c r="L4730" t="s">
        <v>17</v>
      </c>
      <c r="M4730" t="s">
        <v>62</v>
      </c>
    </row>
    <row r="4731" spans="1:13" x14ac:dyDescent="0.2">
      <c r="A4731">
        <v>881849</v>
      </c>
      <c r="B4731" s="1">
        <v>45135</v>
      </c>
      <c r="C4731">
        <v>34129</v>
      </c>
      <c r="D4731" t="s">
        <v>183</v>
      </c>
      <c r="E4731" t="s">
        <v>100</v>
      </c>
      <c r="F4731" t="s">
        <v>101</v>
      </c>
      <c r="G4731">
        <v>1</v>
      </c>
      <c r="H4731">
        <v>19.54</v>
      </c>
      <c r="I4731">
        <v>0.15</v>
      </c>
      <c r="J4731">
        <v>16.61</v>
      </c>
      <c r="K4731" t="s">
        <v>16</v>
      </c>
      <c r="L4731" t="s">
        <v>37</v>
      </c>
      <c r="M4731" t="s">
        <v>54</v>
      </c>
    </row>
    <row r="4732" spans="1:13" x14ac:dyDescent="0.2">
      <c r="A4732">
        <v>881923</v>
      </c>
      <c r="B4732" s="1">
        <v>44711</v>
      </c>
      <c r="C4732">
        <v>51020</v>
      </c>
      <c r="D4732" t="s">
        <v>63</v>
      </c>
      <c r="E4732" t="s">
        <v>125</v>
      </c>
      <c r="F4732" t="s">
        <v>126</v>
      </c>
      <c r="G4732">
        <v>1</v>
      </c>
      <c r="H4732">
        <v>29.99</v>
      </c>
      <c r="J4732">
        <v>29.99</v>
      </c>
      <c r="K4732" t="s">
        <v>36</v>
      </c>
      <c r="L4732" t="s">
        <v>17</v>
      </c>
      <c r="M4732" t="s">
        <v>76</v>
      </c>
    </row>
    <row r="4733" spans="1:13" x14ac:dyDescent="0.2">
      <c r="A4733">
        <v>882058</v>
      </c>
      <c r="B4733" s="1">
        <v>45656</v>
      </c>
      <c r="C4733">
        <v>59988</v>
      </c>
      <c r="D4733" t="s">
        <v>85</v>
      </c>
      <c r="E4733" t="s">
        <v>129</v>
      </c>
      <c r="F4733" t="s">
        <v>130</v>
      </c>
      <c r="G4733">
        <v>1</v>
      </c>
      <c r="H4733">
        <v>7.64</v>
      </c>
      <c r="I4733">
        <v>0.15</v>
      </c>
      <c r="J4733">
        <v>6.49</v>
      </c>
      <c r="K4733" t="s">
        <v>36</v>
      </c>
      <c r="L4733" t="s">
        <v>17</v>
      </c>
      <c r="M4733" t="s">
        <v>81</v>
      </c>
    </row>
    <row r="4734" spans="1:13" x14ac:dyDescent="0.2">
      <c r="A4734">
        <v>882184</v>
      </c>
      <c r="B4734" s="1">
        <v>45462</v>
      </c>
      <c r="D4734" t="s">
        <v>85</v>
      </c>
      <c r="E4734" t="s">
        <v>86</v>
      </c>
      <c r="F4734" t="s">
        <v>87</v>
      </c>
      <c r="G4734">
        <v>1</v>
      </c>
      <c r="H4734">
        <v>11.04</v>
      </c>
      <c r="I4734">
        <v>0.15</v>
      </c>
      <c r="J4734">
        <v>9.3800000000000008</v>
      </c>
      <c r="K4734" t="s">
        <v>16</v>
      </c>
      <c r="L4734" t="s">
        <v>17</v>
      </c>
      <c r="M4734" t="s">
        <v>161</v>
      </c>
    </row>
    <row r="4735" spans="1:13" x14ac:dyDescent="0.2">
      <c r="A4735">
        <v>882346</v>
      </c>
      <c r="B4735" s="2">
        <v>44959</v>
      </c>
      <c r="D4735" t="s">
        <v>40</v>
      </c>
      <c r="E4735" t="s">
        <v>58</v>
      </c>
      <c r="F4735" t="s">
        <v>59</v>
      </c>
      <c r="G4735">
        <v>3</v>
      </c>
      <c r="H4735">
        <v>3.99</v>
      </c>
      <c r="J4735">
        <v>11.97</v>
      </c>
      <c r="K4735" t="s">
        <v>95</v>
      </c>
      <c r="L4735" t="s">
        <v>17</v>
      </c>
      <c r="M4735" t="s">
        <v>54</v>
      </c>
    </row>
    <row r="4736" spans="1:13" x14ac:dyDescent="0.2">
      <c r="A4736">
        <v>882438</v>
      </c>
      <c r="B4736" s="2">
        <v>45369</v>
      </c>
      <c r="C4736">
        <v>97926</v>
      </c>
      <c r="D4736" t="s">
        <v>25</v>
      </c>
      <c r="E4736" t="s">
        <v>113</v>
      </c>
      <c r="F4736" t="s">
        <v>114</v>
      </c>
      <c r="G4736">
        <v>3</v>
      </c>
      <c r="H4736">
        <v>95.99</v>
      </c>
      <c r="I4736">
        <v>0.2</v>
      </c>
      <c r="J4736">
        <v>230.38</v>
      </c>
      <c r="K4736" t="s">
        <v>36</v>
      </c>
      <c r="L4736" t="s">
        <v>17</v>
      </c>
      <c r="M4736" t="s">
        <v>76</v>
      </c>
    </row>
    <row r="4737" spans="1:13" x14ac:dyDescent="0.2">
      <c r="A4737">
        <v>882550</v>
      </c>
      <c r="B4737" s="1">
        <v>45427</v>
      </c>
      <c r="C4737">
        <v>54658</v>
      </c>
      <c r="D4737" t="s">
        <v>63</v>
      </c>
      <c r="E4737" t="s">
        <v>131</v>
      </c>
      <c r="F4737" t="s">
        <v>132</v>
      </c>
      <c r="G4737">
        <v>1</v>
      </c>
      <c r="H4737">
        <v>3.49</v>
      </c>
      <c r="J4737">
        <v>3.49</v>
      </c>
      <c r="K4737" t="s">
        <v>95</v>
      </c>
      <c r="L4737" t="s">
        <v>37</v>
      </c>
      <c r="M4737" t="s">
        <v>96</v>
      </c>
    </row>
    <row r="4738" spans="1:13" x14ac:dyDescent="0.2">
      <c r="A4738">
        <v>883321</v>
      </c>
      <c r="B4738" s="2">
        <v>45515</v>
      </c>
      <c r="C4738">
        <v>64103</v>
      </c>
      <c r="D4738" t="s">
        <v>25</v>
      </c>
      <c r="E4738" t="s">
        <v>70</v>
      </c>
      <c r="F4738" t="s">
        <v>71</v>
      </c>
      <c r="G4738">
        <v>3</v>
      </c>
      <c r="H4738">
        <v>89.99</v>
      </c>
      <c r="J4738">
        <v>269.97000000000003</v>
      </c>
      <c r="K4738" t="s">
        <v>22</v>
      </c>
      <c r="L4738" t="s">
        <v>23</v>
      </c>
      <c r="M4738" t="s">
        <v>62</v>
      </c>
    </row>
    <row r="4739" spans="1:13" x14ac:dyDescent="0.2">
      <c r="A4739">
        <v>883439</v>
      </c>
      <c r="B4739" s="1">
        <v>45196</v>
      </c>
      <c r="D4739" t="s">
        <v>85</v>
      </c>
      <c r="E4739" t="s">
        <v>86</v>
      </c>
      <c r="F4739" t="s">
        <v>87</v>
      </c>
      <c r="G4739">
        <v>2</v>
      </c>
      <c r="H4739">
        <v>12.34</v>
      </c>
      <c r="I4739">
        <v>0.05</v>
      </c>
      <c r="J4739">
        <v>23.45</v>
      </c>
      <c r="K4739" t="s">
        <v>95</v>
      </c>
      <c r="L4739" t="s">
        <v>37</v>
      </c>
      <c r="M4739" t="s">
        <v>102</v>
      </c>
    </row>
    <row r="4740" spans="1:13" x14ac:dyDescent="0.2">
      <c r="A4740">
        <v>883718</v>
      </c>
      <c r="B4740" s="1">
        <v>45577</v>
      </c>
      <c r="C4740">
        <v>16658</v>
      </c>
      <c r="D4740" t="s">
        <v>25</v>
      </c>
      <c r="E4740" t="s">
        <v>60</v>
      </c>
      <c r="F4740" t="s">
        <v>61</v>
      </c>
      <c r="G4740">
        <v>2</v>
      </c>
      <c r="H4740">
        <v>43.99</v>
      </c>
      <c r="I4740">
        <v>0.2</v>
      </c>
      <c r="J4740">
        <v>70.38</v>
      </c>
      <c r="K4740" t="s">
        <v>36</v>
      </c>
      <c r="L4740" t="s">
        <v>17</v>
      </c>
      <c r="M4740" t="s">
        <v>18</v>
      </c>
    </row>
    <row r="4741" spans="1:13" x14ac:dyDescent="0.2">
      <c r="A4741">
        <v>883808</v>
      </c>
      <c r="B4741" s="1">
        <v>44665</v>
      </c>
      <c r="C4741">
        <v>33524</v>
      </c>
      <c r="D4741" t="s">
        <v>44</v>
      </c>
      <c r="E4741" t="s">
        <v>190</v>
      </c>
      <c r="F4741" t="s">
        <v>191</v>
      </c>
      <c r="G4741">
        <v>5</v>
      </c>
      <c r="H4741">
        <v>4.08</v>
      </c>
      <c r="I4741">
        <v>0.05</v>
      </c>
      <c r="J4741">
        <v>19.38</v>
      </c>
      <c r="K4741" t="s">
        <v>16</v>
      </c>
      <c r="L4741" t="s">
        <v>23</v>
      </c>
      <c r="M4741" t="s">
        <v>96</v>
      </c>
    </row>
    <row r="4742" spans="1:13" x14ac:dyDescent="0.2">
      <c r="A4742">
        <v>883816</v>
      </c>
      <c r="B4742" s="1">
        <v>44602</v>
      </c>
      <c r="D4742" t="s">
        <v>97</v>
      </c>
      <c r="E4742" t="s">
        <v>151</v>
      </c>
      <c r="F4742" t="s">
        <v>152</v>
      </c>
      <c r="G4742">
        <v>5</v>
      </c>
      <c r="H4742">
        <v>33.24</v>
      </c>
      <c r="I4742">
        <v>0.05</v>
      </c>
      <c r="J4742">
        <v>157.88999999999999</v>
      </c>
      <c r="K4742" t="s">
        <v>16</v>
      </c>
      <c r="L4742" t="s">
        <v>17</v>
      </c>
      <c r="M4742" t="s">
        <v>28</v>
      </c>
    </row>
    <row r="4743" spans="1:13" x14ac:dyDescent="0.2">
      <c r="A4743">
        <v>884064</v>
      </c>
      <c r="B4743" s="1">
        <v>44923</v>
      </c>
      <c r="C4743">
        <v>49619</v>
      </c>
      <c r="D4743" t="s">
        <v>44</v>
      </c>
      <c r="E4743" t="s">
        <v>184</v>
      </c>
      <c r="F4743" t="s">
        <v>185</v>
      </c>
      <c r="G4743">
        <v>1</v>
      </c>
      <c r="H4743">
        <v>5.49</v>
      </c>
      <c r="J4743">
        <v>5.49</v>
      </c>
      <c r="K4743" t="s">
        <v>36</v>
      </c>
      <c r="L4743" t="s">
        <v>17</v>
      </c>
      <c r="M4743" t="s">
        <v>123</v>
      </c>
    </row>
    <row r="4744" spans="1:13" x14ac:dyDescent="0.2">
      <c r="A4744">
        <v>884164</v>
      </c>
      <c r="B4744" s="2">
        <v>45201</v>
      </c>
      <c r="D4744" t="s">
        <v>29</v>
      </c>
      <c r="E4744" t="s">
        <v>38</v>
      </c>
      <c r="F4744" t="s">
        <v>39</v>
      </c>
      <c r="G4744">
        <v>3</v>
      </c>
      <c r="H4744">
        <v>29.99</v>
      </c>
      <c r="J4744">
        <v>89.97</v>
      </c>
      <c r="K4744" t="s">
        <v>36</v>
      </c>
      <c r="L4744" t="s">
        <v>17</v>
      </c>
      <c r="M4744" t="s">
        <v>123</v>
      </c>
    </row>
    <row r="4745" spans="1:13" x14ac:dyDescent="0.2">
      <c r="A4745">
        <v>884250</v>
      </c>
      <c r="B4745" s="2">
        <v>45156</v>
      </c>
      <c r="C4745">
        <v>94016</v>
      </c>
      <c r="D4745" t="s">
        <v>97</v>
      </c>
      <c r="E4745" t="s">
        <v>98</v>
      </c>
      <c r="F4745" t="s">
        <v>99</v>
      </c>
      <c r="G4745">
        <v>5</v>
      </c>
      <c r="H4745">
        <v>23.79</v>
      </c>
      <c r="I4745">
        <v>0.15</v>
      </c>
      <c r="J4745">
        <v>101.11</v>
      </c>
      <c r="K4745" t="s">
        <v>22</v>
      </c>
      <c r="L4745" t="s">
        <v>17</v>
      </c>
      <c r="M4745" t="s">
        <v>54</v>
      </c>
    </row>
    <row r="4746" spans="1:13" x14ac:dyDescent="0.2">
      <c r="A4746">
        <v>884543</v>
      </c>
      <c r="B4746" s="1">
        <v>45022</v>
      </c>
      <c r="D4746" t="s">
        <v>97</v>
      </c>
      <c r="E4746" t="s">
        <v>98</v>
      </c>
      <c r="F4746" t="s">
        <v>99</v>
      </c>
      <c r="G4746">
        <v>1</v>
      </c>
      <c r="H4746">
        <v>25.19</v>
      </c>
      <c r="I4746">
        <v>0.1</v>
      </c>
      <c r="J4746">
        <v>22.67</v>
      </c>
      <c r="K4746" t="s">
        <v>22</v>
      </c>
      <c r="L4746" t="s">
        <v>17</v>
      </c>
      <c r="M4746" t="s">
        <v>24</v>
      </c>
    </row>
    <row r="4747" spans="1:13" x14ac:dyDescent="0.2">
      <c r="A4747">
        <v>884562</v>
      </c>
      <c r="B4747" s="1">
        <v>44591</v>
      </c>
      <c r="C4747">
        <v>13753</v>
      </c>
      <c r="D4747" t="s">
        <v>44</v>
      </c>
      <c r="E4747" t="s">
        <v>177</v>
      </c>
      <c r="F4747" t="s">
        <v>178</v>
      </c>
      <c r="G4747">
        <v>1</v>
      </c>
      <c r="H4747">
        <v>10.79</v>
      </c>
      <c r="I4747">
        <v>0.1</v>
      </c>
      <c r="J4747">
        <v>9.7100000000000009</v>
      </c>
      <c r="K4747" t="s">
        <v>36</v>
      </c>
      <c r="L4747" t="s">
        <v>17</v>
      </c>
      <c r="M4747" t="s">
        <v>57</v>
      </c>
    </row>
    <row r="4748" spans="1:13" x14ac:dyDescent="0.2">
      <c r="A4748">
        <v>884733</v>
      </c>
      <c r="B4748" s="1">
        <v>44862</v>
      </c>
      <c r="C4748">
        <v>65653</v>
      </c>
      <c r="D4748" t="s">
        <v>85</v>
      </c>
      <c r="E4748" t="s">
        <v>153</v>
      </c>
      <c r="F4748" t="s">
        <v>154</v>
      </c>
      <c r="G4748">
        <v>1</v>
      </c>
      <c r="H4748">
        <v>29.99</v>
      </c>
      <c r="J4748">
        <v>29.99</v>
      </c>
      <c r="K4748" t="s">
        <v>36</v>
      </c>
      <c r="L4748" t="s">
        <v>17</v>
      </c>
      <c r="M4748" t="s">
        <v>62</v>
      </c>
    </row>
    <row r="4749" spans="1:13" x14ac:dyDescent="0.2">
      <c r="A4749">
        <v>884838</v>
      </c>
      <c r="B4749" s="1">
        <v>44835</v>
      </c>
      <c r="C4749">
        <v>70409</v>
      </c>
      <c r="D4749" t="s">
        <v>97</v>
      </c>
      <c r="E4749" t="s">
        <v>141</v>
      </c>
      <c r="F4749" t="s">
        <v>142</v>
      </c>
      <c r="G4749">
        <v>1</v>
      </c>
      <c r="H4749">
        <v>16.09</v>
      </c>
      <c r="I4749">
        <v>0.3</v>
      </c>
      <c r="J4749">
        <v>11.26</v>
      </c>
      <c r="K4749" t="s">
        <v>16</v>
      </c>
      <c r="L4749" t="s">
        <v>17</v>
      </c>
      <c r="M4749" t="s">
        <v>18</v>
      </c>
    </row>
    <row r="4750" spans="1:13" x14ac:dyDescent="0.2">
      <c r="A4750">
        <v>884897</v>
      </c>
      <c r="B4750" s="1">
        <v>45511</v>
      </c>
      <c r="C4750">
        <v>85596</v>
      </c>
      <c r="D4750" t="s">
        <v>85</v>
      </c>
      <c r="E4750" t="s">
        <v>149</v>
      </c>
      <c r="F4750" t="s">
        <v>150</v>
      </c>
      <c r="G4750">
        <v>5</v>
      </c>
      <c r="H4750">
        <v>19.989999999999998</v>
      </c>
      <c r="J4750">
        <v>99.95</v>
      </c>
      <c r="K4750" t="s">
        <v>36</v>
      </c>
      <c r="L4750" t="s">
        <v>37</v>
      </c>
      <c r="M4750" t="s">
        <v>33</v>
      </c>
    </row>
    <row r="4751" spans="1:13" x14ac:dyDescent="0.2">
      <c r="A4751">
        <v>885079</v>
      </c>
      <c r="B4751" s="1">
        <v>44933</v>
      </c>
      <c r="D4751" t="s">
        <v>63</v>
      </c>
      <c r="E4751" t="s">
        <v>68</v>
      </c>
      <c r="F4751" t="s">
        <v>69</v>
      </c>
      <c r="G4751">
        <v>2</v>
      </c>
      <c r="H4751">
        <v>19.989999999999998</v>
      </c>
      <c r="I4751">
        <v>0.2</v>
      </c>
      <c r="J4751">
        <v>31.98</v>
      </c>
      <c r="K4751" t="s">
        <v>16</v>
      </c>
      <c r="L4751" t="s">
        <v>37</v>
      </c>
      <c r="M4751" t="s">
        <v>43</v>
      </c>
    </row>
    <row r="4752" spans="1:13" x14ac:dyDescent="0.2">
      <c r="A4752">
        <v>885234</v>
      </c>
      <c r="B4752" s="1">
        <v>44979</v>
      </c>
      <c r="C4752">
        <v>31517</v>
      </c>
      <c r="D4752" t="s">
        <v>29</v>
      </c>
      <c r="E4752" t="s">
        <v>88</v>
      </c>
      <c r="F4752" t="s">
        <v>89</v>
      </c>
      <c r="G4752">
        <v>5</v>
      </c>
      <c r="H4752">
        <v>37.49</v>
      </c>
      <c r="I4752">
        <v>0.25</v>
      </c>
      <c r="J4752">
        <v>140.59</v>
      </c>
      <c r="K4752" t="s">
        <v>36</v>
      </c>
      <c r="L4752" t="s">
        <v>17</v>
      </c>
      <c r="M4752" t="s">
        <v>161</v>
      </c>
    </row>
    <row r="4753" spans="1:13" x14ac:dyDescent="0.2">
      <c r="A4753">
        <v>885830</v>
      </c>
      <c r="B4753" s="1">
        <v>44927</v>
      </c>
      <c r="C4753">
        <v>79589</v>
      </c>
      <c r="D4753" t="s">
        <v>13</v>
      </c>
      <c r="E4753" t="s">
        <v>55</v>
      </c>
      <c r="F4753" t="s">
        <v>56</v>
      </c>
      <c r="G4753">
        <v>2</v>
      </c>
      <c r="H4753">
        <v>230.99</v>
      </c>
      <c r="I4753">
        <v>0.3</v>
      </c>
      <c r="J4753">
        <v>323.39</v>
      </c>
      <c r="K4753" t="s">
        <v>16</v>
      </c>
      <c r="L4753" t="s">
        <v>23</v>
      </c>
    </row>
    <row r="4754" spans="1:13" x14ac:dyDescent="0.2">
      <c r="A4754">
        <v>885886</v>
      </c>
      <c r="B4754" s="1">
        <v>45400</v>
      </c>
      <c r="C4754">
        <v>91679</v>
      </c>
      <c r="D4754" t="s">
        <v>63</v>
      </c>
      <c r="E4754" t="s">
        <v>125</v>
      </c>
      <c r="F4754" t="s">
        <v>126</v>
      </c>
      <c r="G4754">
        <v>5</v>
      </c>
      <c r="H4754">
        <v>22.49</v>
      </c>
      <c r="I4754">
        <v>0.25</v>
      </c>
      <c r="J4754">
        <v>84.34</v>
      </c>
      <c r="K4754" t="s">
        <v>16</v>
      </c>
      <c r="L4754" t="s">
        <v>17</v>
      </c>
      <c r="M4754" t="s">
        <v>90</v>
      </c>
    </row>
    <row r="4755" spans="1:13" x14ac:dyDescent="0.2">
      <c r="A4755">
        <v>885931</v>
      </c>
      <c r="B4755" s="1">
        <v>44971</v>
      </c>
      <c r="C4755">
        <v>35137</v>
      </c>
      <c r="D4755" t="s">
        <v>48</v>
      </c>
      <c r="E4755" t="s">
        <v>118</v>
      </c>
      <c r="F4755" t="s">
        <v>119</v>
      </c>
      <c r="G4755">
        <v>1</v>
      </c>
      <c r="H4755">
        <v>3.74</v>
      </c>
      <c r="I4755">
        <v>0.25</v>
      </c>
      <c r="J4755">
        <v>2.8</v>
      </c>
      <c r="K4755" t="s">
        <v>22</v>
      </c>
      <c r="L4755" t="s">
        <v>17</v>
      </c>
      <c r="M4755" t="s">
        <v>62</v>
      </c>
    </row>
    <row r="4756" spans="1:13" x14ac:dyDescent="0.2">
      <c r="A4756">
        <v>886074</v>
      </c>
      <c r="B4756" s="1">
        <v>45343</v>
      </c>
      <c r="C4756">
        <v>74398</v>
      </c>
      <c r="D4756" t="s">
        <v>29</v>
      </c>
      <c r="E4756" t="s">
        <v>88</v>
      </c>
      <c r="F4756" t="s">
        <v>89</v>
      </c>
      <c r="G4756">
        <v>5</v>
      </c>
      <c r="H4756">
        <v>42.49</v>
      </c>
      <c r="I4756">
        <v>0.15</v>
      </c>
      <c r="J4756">
        <v>180.58</v>
      </c>
      <c r="K4756" t="s">
        <v>32</v>
      </c>
      <c r="L4756" t="s">
        <v>17</v>
      </c>
      <c r="M4756" t="s">
        <v>47</v>
      </c>
    </row>
    <row r="4757" spans="1:13" x14ac:dyDescent="0.2">
      <c r="A4757">
        <v>886349</v>
      </c>
      <c r="B4757" s="2">
        <v>44713</v>
      </c>
      <c r="C4757">
        <v>51677</v>
      </c>
      <c r="D4757" t="s">
        <v>82</v>
      </c>
      <c r="E4757" t="s">
        <v>188</v>
      </c>
      <c r="F4757" t="s">
        <v>189</v>
      </c>
      <c r="G4757">
        <v>1</v>
      </c>
      <c r="H4757">
        <v>44.99</v>
      </c>
      <c r="J4757">
        <v>44.99</v>
      </c>
      <c r="K4757" t="s">
        <v>16</v>
      </c>
      <c r="L4757" t="s">
        <v>17</v>
      </c>
      <c r="M4757" t="s">
        <v>76</v>
      </c>
    </row>
    <row r="4758" spans="1:13" x14ac:dyDescent="0.2">
      <c r="A4758">
        <v>886739</v>
      </c>
      <c r="B4758" s="1">
        <v>45360</v>
      </c>
      <c r="C4758">
        <v>34456</v>
      </c>
      <c r="D4758" t="s">
        <v>13</v>
      </c>
      <c r="E4758" t="s">
        <v>79</v>
      </c>
      <c r="F4758" t="s">
        <v>80</v>
      </c>
      <c r="G4758">
        <v>1</v>
      </c>
      <c r="H4758">
        <v>89.99</v>
      </c>
      <c r="J4758">
        <v>89.99</v>
      </c>
      <c r="K4758" t="s">
        <v>53</v>
      </c>
      <c r="L4758" t="s">
        <v>17</v>
      </c>
      <c r="M4758" t="s">
        <v>103</v>
      </c>
    </row>
    <row r="4759" spans="1:13" x14ac:dyDescent="0.2">
      <c r="A4759">
        <v>887005</v>
      </c>
      <c r="B4759" s="1">
        <v>44736</v>
      </c>
      <c r="C4759">
        <v>41870</v>
      </c>
      <c r="D4759" t="s">
        <v>25</v>
      </c>
      <c r="E4759" t="s">
        <v>60</v>
      </c>
      <c r="F4759" t="s">
        <v>61</v>
      </c>
      <c r="G4759">
        <v>1</v>
      </c>
      <c r="H4759">
        <v>38.49</v>
      </c>
      <c r="I4759">
        <v>0.3</v>
      </c>
      <c r="J4759">
        <v>26.94</v>
      </c>
      <c r="K4759" t="s">
        <v>36</v>
      </c>
      <c r="L4759" t="s">
        <v>17</v>
      </c>
      <c r="M4759" t="s">
        <v>54</v>
      </c>
    </row>
    <row r="4760" spans="1:13" x14ac:dyDescent="0.2">
      <c r="A4760">
        <v>887382</v>
      </c>
      <c r="B4760" s="1">
        <v>45316</v>
      </c>
      <c r="C4760">
        <v>89759</v>
      </c>
      <c r="D4760" t="s">
        <v>40</v>
      </c>
      <c r="E4760" t="s">
        <v>20</v>
      </c>
      <c r="F4760" t="s">
        <v>21</v>
      </c>
      <c r="G4760">
        <v>3</v>
      </c>
      <c r="H4760">
        <v>9.99</v>
      </c>
      <c r="J4760">
        <v>29.97</v>
      </c>
      <c r="K4760" t="s">
        <v>16</v>
      </c>
      <c r="L4760" t="s">
        <v>23</v>
      </c>
      <c r="M4760" t="s">
        <v>18</v>
      </c>
    </row>
    <row r="4761" spans="1:13" x14ac:dyDescent="0.2">
      <c r="A4761">
        <v>887501</v>
      </c>
      <c r="B4761" s="2">
        <v>45229</v>
      </c>
      <c r="C4761">
        <v>63552</v>
      </c>
      <c r="D4761" t="s">
        <v>48</v>
      </c>
      <c r="E4761" t="s">
        <v>143</v>
      </c>
      <c r="F4761" t="s">
        <v>144</v>
      </c>
      <c r="G4761">
        <v>1</v>
      </c>
      <c r="H4761">
        <v>10.49</v>
      </c>
      <c r="I4761">
        <v>0.3</v>
      </c>
      <c r="J4761">
        <v>7.34</v>
      </c>
      <c r="K4761" t="s">
        <v>95</v>
      </c>
      <c r="L4761" t="s">
        <v>37</v>
      </c>
      <c r="M4761" t="s">
        <v>47</v>
      </c>
    </row>
    <row r="4762" spans="1:13" x14ac:dyDescent="0.2">
      <c r="A4762">
        <v>887800</v>
      </c>
      <c r="B4762" s="1">
        <v>44689</v>
      </c>
      <c r="C4762">
        <v>99198</v>
      </c>
      <c r="D4762" t="s">
        <v>25</v>
      </c>
      <c r="E4762" t="s">
        <v>70</v>
      </c>
      <c r="F4762" t="s">
        <v>71</v>
      </c>
      <c r="G4762">
        <v>1</v>
      </c>
      <c r="H4762">
        <v>62.99</v>
      </c>
      <c r="I4762">
        <v>0.3</v>
      </c>
      <c r="J4762">
        <v>44.09</v>
      </c>
      <c r="K4762" t="s">
        <v>36</v>
      </c>
      <c r="L4762" t="s">
        <v>17</v>
      </c>
      <c r="M4762" t="s">
        <v>47</v>
      </c>
    </row>
    <row r="4763" spans="1:13" x14ac:dyDescent="0.2">
      <c r="A4763">
        <v>887862</v>
      </c>
      <c r="B4763" s="1">
        <v>44658</v>
      </c>
      <c r="C4763">
        <v>39625</v>
      </c>
      <c r="D4763" t="s">
        <v>13</v>
      </c>
      <c r="E4763" t="s">
        <v>34</v>
      </c>
      <c r="F4763" t="s">
        <v>35</v>
      </c>
      <c r="G4763">
        <v>2</v>
      </c>
      <c r="H4763">
        <v>26.24</v>
      </c>
      <c r="I4763">
        <v>0.25</v>
      </c>
      <c r="J4763">
        <v>39.36</v>
      </c>
      <c r="K4763" t="s">
        <v>22</v>
      </c>
      <c r="L4763" t="s">
        <v>17</v>
      </c>
    </row>
    <row r="4764" spans="1:13" x14ac:dyDescent="0.2">
      <c r="A4764">
        <v>888019</v>
      </c>
      <c r="B4764" s="1">
        <v>45426</v>
      </c>
      <c r="C4764">
        <v>31519</v>
      </c>
      <c r="D4764" t="s">
        <v>82</v>
      </c>
      <c r="E4764" t="s">
        <v>155</v>
      </c>
      <c r="F4764" t="s">
        <v>156</v>
      </c>
      <c r="G4764">
        <v>5</v>
      </c>
      <c r="H4764">
        <v>16.989999999999998</v>
      </c>
      <c r="I4764">
        <v>0.15</v>
      </c>
      <c r="J4764">
        <v>72.209999999999994</v>
      </c>
      <c r="K4764" t="s">
        <v>16</v>
      </c>
      <c r="L4764" t="s">
        <v>37</v>
      </c>
      <c r="M4764" t="s">
        <v>76</v>
      </c>
    </row>
    <row r="4765" spans="1:13" x14ac:dyDescent="0.2">
      <c r="A4765">
        <v>888030</v>
      </c>
      <c r="B4765" s="1">
        <v>45015</v>
      </c>
      <c r="C4765">
        <v>86856</v>
      </c>
      <c r="D4765" t="s">
        <v>40</v>
      </c>
      <c r="E4765" t="s">
        <v>20</v>
      </c>
      <c r="F4765" t="s">
        <v>21</v>
      </c>
      <c r="G4765">
        <v>4</v>
      </c>
      <c r="H4765">
        <v>9.99</v>
      </c>
      <c r="J4765">
        <v>39.96</v>
      </c>
      <c r="K4765" t="s">
        <v>32</v>
      </c>
      <c r="L4765" t="s">
        <v>17</v>
      </c>
      <c r="M4765" t="s">
        <v>117</v>
      </c>
    </row>
    <row r="4766" spans="1:13" x14ac:dyDescent="0.2">
      <c r="A4766">
        <v>888318</v>
      </c>
      <c r="B4766" s="1">
        <v>44768</v>
      </c>
      <c r="C4766">
        <v>15486</v>
      </c>
      <c r="D4766" t="s">
        <v>85</v>
      </c>
      <c r="E4766" t="s">
        <v>137</v>
      </c>
      <c r="F4766" t="s">
        <v>138</v>
      </c>
      <c r="G4766">
        <v>1</v>
      </c>
      <c r="H4766">
        <v>7.99</v>
      </c>
      <c r="J4766">
        <v>7.99</v>
      </c>
      <c r="K4766" t="s">
        <v>22</v>
      </c>
      <c r="L4766" t="s">
        <v>37</v>
      </c>
      <c r="M4766" t="s">
        <v>57</v>
      </c>
    </row>
    <row r="4767" spans="1:13" x14ac:dyDescent="0.2">
      <c r="A4767">
        <v>888843</v>
      </c>
      <c r="B4767" s="1">
        <v>44710</v>
      </c>
      <c r="D4767" t="s">
        <v>85</v>
      </c>
      <c r="E4767" t="s">
        <v>129</v>
      </c>
      <c r="F4767" t="s">
        <v>130</v>
      </c>
      <c r="G4767">
        <v>1</v>
      </c>
      <c r="H4767">
        <v>7.64</v>
      </c>
      <c r="I4767">
        <v>0.15</v>
      </c>
      <c r="J4767">
        <v>6.49</v>
      </c>
      <c r="K4767" t="s">
        <v>16</v>
      </c>
      <c r="L4767" t="s">
        <v>17</v>
      </c>
      <c r="M4767" t="s">
        <v>123</v>
      </c>
    </row>
    <row r="4768" spans="1:13" x14ac:dyDescent="0.2">
      <c r="A4768">
        <v>888876</v>
      </c>
      <c r="B4768" s="1">
        <v>44653</v>
      </c>
      <c r="C4768">
        <v>91903</v>
      </c>
      <c r="D4768" t="s">
        <v>25</v>
      </c>
      <c r="E4768" t="s">
        <v>113</v>
      </c>
      <c r="F4768" t="s">
        <v>114</v>
      </c>
      <c r="G4768">
        <v>1</v>
      </c>
      <c r="H4768">
        <v>89.99</v>
      </c>
      <c r="I4768">
        <v>0.25</v>
      </c>
      <c r="J4768">
        <v>67.489999999999995</v>
      </c>
      <c r="K4768" t="s">
        <v>95</v>
      </c>
      <c r="L4768" t="s">
        <v>37</v>
      </c>
      <c r="M4768" t="s">
        <v>161</v>
      </c>
    </row>
    <row r="4769" spans="1:13" x14ac:dyDescent="0.2">
      <c r="A4769">
        <v>889016</v>
      </c>
      <c r="B4769" s="1">
        <v>44897</v>
      </c>
      <c r="C4769">
        <v>10396</v>
      </c>
      <c r="D4769" t="s">
        <v>29</v>
      </c>
      <c r="E4769" t="s">
        <v>88</v>
      </c>
      <c r="F4769" t="s">
        <v>89</v>
      </c>
      <c r="G4769">
        <v>2</v>
      </c>
      <c r="H4769">
        <v>39.99</v>
      </c>
      <c r="I4769">
        <v>0.2</v>
      </c>
      <c r="J4769">
        <v>63.98</v>
      </c>
      <c r="K4769" t="s">
        <v>22</v>
      </c>
      <c r="L4769" t="s">
        <v>37</v>
      </c>
      <c r="M4769" t="s">
        <v>62</v>
      </c>
    </row>
    <row r="4770" spans="1:13" x14ac:dyDescent="0.2">
      <c r="A4770">
        <v>889068</v>
      </c>
      <c r="B4770" s="1">
        <v>44772</v>
      </c>
      <c r="C4770">
        <v>11914</v>
      </c>
      <c r="D4770" t="s">
        <v>82</v>
      </c>
      <c r="E4770" t="s">
        <v>155</v>
      </c>
      <c r="F4770" t="s">
        <v>156</v>
      </c>
      <c r="G4770">
        <v>1</v>
      </c>
      <c r="H4770">
        <v>14.99</v>
      </c>
      <c r="I4770">
        <v>0.25</v>
      </c>
      <c r="J4770">
        <v>11.24</v>
      </c>
      <c r="K4770" t="s">
        <v>36</v>
      </c>
      <c r="L4770" t="s">
        <v>17</v>
      </c>
      <c r="M4770" t="s">
        <v>96</v>
      </c>
    </row>
    <row r="4771" spans="1:13" x14ac:dyDescent="0.2">
      <c r="A4771">
        <v>889551</v>
      </c>
      <c r="B4771" s="1">
        <v>45292</v>
      </c>
      <c r="C4771">
        <v>18532</v>
      </c>
      <c r="D4771" t="s">
        <v>29</v>
      </c>
      <c r="E4771" t="s">
        <v>38</v>
      </c>
      <c r="F4771" t="s">
        <v>39</v>
      </c>
      <c r="G4771">
        <v>2</v>
      </c>
      <c r="H4771">
        <v>28.49</v>
      </c>
      <c r="J4771">
        <v>56.98</v>
      </c>
      <c r="K4771" t="s">
        <v>53</v>
      </c>
      <c r="L4771" t="s">
        <v>17</v>
      </c>
      <c r="M4771" t="s">
        <v>62</v>
      </c>
    </row>
    <row r="4772" spans="1:13" x14ac:dyDescent="0.2">
      <c r="A4772">
        <v>889842</v>
      </c>
      <c r="B4772" s="1">
        <v>45055</v>
      </c>
      <c r="C4772">
        <v>13830</v>
      </c>
      <c r="D4772" t="s">
        <v>40</v>
      </c>
      <c r="E4772" t="s">
        <v>20</v>
      </c>
      <c r="F4772" t="s">
        <v>21</v>
      </c>
      <c r="G4772">
        <v>1</v>
      </c>
      <c r="H4772">
        <v>9.49</v>
      </c>
      <c r="I4772">
        <v>0.05</v>
      </c>
      <c r="J4772">
        <v>9.02</v>
      </c>
      <c r="K4772" t="s">
        <v>16</v>
      </c>
      <c r="L4772" t="s">
        <v>37</v>
      </c>
      <c r="M4772" t="s">
        <v>24</v>
      </c>
    </row>
    <row r="4773" spans="1:13" x14ac:dyDescent="0.2">
      <c r="A4773">
        <v>889872</v>
      </c>
      <c r="B4773" s="1">
        <v>45034</v>
      </c>
      <c r="C4773">
        <v>16177</v>
      </c>
      <c r="D4773" t="s">
        <v>29</v>
      </c>
      <c r="E4773" t="s">
        <v>88</v>
      </c>
      <c r="F4773" t="s">
        <v>89</v>
      </c>
      <c r="G4773">
        <v>4</v>
      </c>
      <c r="H4773">
        <v>42.49</v>
      </c>
      <c r="I4773">
        <v>0.15</v>
      </c>
      <c r="J4773">
        <v>144.47</v>
      </c>
      <c r="K4773" t="s">
        <v>16</v>
      </c>
      <c r="L4773" t="s">
        <v>17</v>
      </c>
      <c r="M4773" t="s">
        <v>96</v>
      </c>
    </row>
    <row r="4774" spans="1:13" x14ac:dyDescent="0.2">
      <c r="A4774">
        <v>890035</v>
      </c>
      <c r="B4774" s="1">
        <v>45627</v>
      </c>
      <c r="C4774">
        <v>44789</v>
      </c>
      <c r="D4774" t="s">
        <v>97</v>
      </c>
      <c r="E4774" t="s">
        <v>193</v>
      </c>
      <c r="F4774" t="s">
        <v>194</v>
      </c>
      <c r="G4774">
        <v>2</v>
      </c>
      <c r="H4774">
        <v>48.74</v>
      </c>
      <c r="I4774">
        <v>0.25</v>
      </c>
      <c r="J4774">
        <v>73.11</v>
      </c>
      <c r="K4774" t="s">
        <v>66</v>
      </c>
      <c r="L4774" t="s">
        <v>23</v>
      </c>
      <c r="M4774" t="s">
        <v>81</v>
      </c>
    </row>
    <row r="4775" spans="1:13" x14ac:dyDescent="0.2">
      <c r="A4775">
        <v>890228</v>
      </c>
      <c r="B4775" s="1">
        <v>44591</v>
      </c>
      <c r="C4775">
        <v>43128</v>
      </c>
      <c r="D4775" t="s">
        <v>48</v>
      </c>
      <c r="E4775" t="s">
        <v>109</v>
      </c>
      <c r="F4775" t="s">
        <v>110</v>
      </c>
      <c r="G4775">
        <v>1</v>
      </c>
      <c r="H4775">
        <v>6.29</v>
      </c>
      <c r="I4775">
        <v>0.1</v>
      </c>
      <c r="J4775">
        <v>5.66</v>
      </c>
      <c r="K4775" t="s">
        <v>36</v>
      </c>
      <c r="L4775" t="s">
        <v>23</v>
      </c>
    </row>
    <row r="4776" spans="1:13" x14ac:dyDescent="0.2">
      <c r="A4776">
        <v>890278</v>
      </c>
      <c r="B4776" s="1">
        <v>44921</v>
      </c>
      <c r="C4776">
        <v>61348</v>
      </c>
      <c r="D4776" t="s">
        <v>25</v>
      </c>
      <c r="E4776" t="s">
        <v>51</v>
      </c>
      <c r="F4776" t="s">
        <v>52</v>
      </c>
      <c r="G4776">
        <v>1</v>
      </c>
      <c r="H4776">
        <v>26.59</v>
      </c>
      <c r="I4776">
        <v>0.05</v>
      </c>
      <c r="J4776">
        <v>25.26</v>
      </c>
      <c r="K4776" t="s">
        <v>22</v>
      </c>
      <c r="L4776" t="s">
        <v>37</v>
      </c>
      <c r="M4776" t="s">
        <v>67</v>
      </c>
    </row>
    <row r="4777" spans="1:13" x14ac:dyDescent="0.2">
      <c r="A4777">
        <v>890369</v>
      </c>
      <c r="B4777" s="1">
        <v>45341</v>
      </c>
      <c r="C4777">
        <v>93420</v>
      </c>
      <c r="D4777" t="s">
        <v>97</v>
      </c>
      <c r="E4777" t="s">
        <v>135</v>
      </c>
      <c r="F4777" t="s">
        <v>136</v>
      </c>
      <c r="G4777">
        <v>1</v>
      </c>
      <c r="H4777">
        <v>9.99</v>
      </c>
      <c r="J4777">
        <v>9.99</v>
      </c>
      <c r="K4777" t="s">
        <v>22</v>
      </c>
      <c r="L4777" t="s">
        <v>37</v>
      </c>
      <c r="M4777" t="s">
        <v>76</v>
      </c>
    </row>
    <row r="4778" spans="1:13" x14ac:dyDescent="0.2">
      <c r="A4778">
        <v>890719</v>
      </c>
      <c r="B4778" s="1">
        <v>44910</v>
      </c>
      <c r="C4778">
        <v>81123</v>
      </c>
      <c r="D4778" t="s">
        <v>25</v>
      </c>
      <c r="E4778" t="s">
        <v>26</v>
      </c>
      <c r="F4778" t="s">
        <v>27</v>
      </c>
      <c r="G4778">
        <v>1</v>
      </c>
      <c r="H4778">
        <v>34.99</v>
      </c>
      <c r="J4778">
        <v>34.99</v>
      </c>
      <c r="K4778" t="s">
        <v>36</v>
      </c>
      <c r="L4778" t="s">
        <v>17</v>
      </c>
      <c r="M4778" t="s">
        <v>96</v>
      </c>
    </row>
    <row r="4779" spans="1:13" x14ac:dyDescent="0.2">
      <c r="A4779">
        <v>890795</v>
      </c>
      <c r="B4779" s="1">
        <v>45167</v>
      </c>
      <c r="C4779">
        <v>84086</v>
      </c>
      <c r="D4779" t="s">
        <v>82</v>
      </c>
      <c r="E4779" t="s">
        <v>155</v>
      </c>
      <c r="F4779" t="s">
        <v>156</v>
      </c>
      <c r="G4779">
        <v>5</v>
      </c>
      <c r="H4779">
        <v>14.99</v>
      </c>
      <c r="I4779">
        <v>0.25</v>
      </c>
      <c r="J4779">
        <v>56.21</v>
      </c>
      <c r="K4779" t="s">
        <v>16</v>
      </c>
      <c r="L4779" t="s">
        <v>17</v>
      </c>
      <c r="M4779" t="s">
        <v>102</v>
      </c>
    </row>
    <row r="4780" spans="1:13" x14ac:dyDescent="0.2">
      <c r="A4780">
        <v>891044</v>
      </c>
      <c r="B4780" s="1">
        <v>45492</v>
      </c>
      <c r="C4780">
        <v>53076</v>
      </c>
      <c r="D4780" t="s">
        <v>29</v>
      </c>
      <c r="E4780" t="s">
        <v>175</v>
      </c>
      <c r="F4780" t="s">
        <v>176</v>
      </c>
      <c r="G4780">
        <v>4</v>
      </c>
      <c r="H4780">
        <v>10.79</v>
      </c>
      <c r="I4780">
        <v>0.1</v>
      </c>
      <c r="J4780">
        <v>38.840000000000003</v>
      </c>
      <c r="K4780" t="s">
        <v>22</v>
      </c>
      <c r="L4780" t="s">
        <v>17</v>
      </c>
      <c r="M4780" t="s">
        <v>123</v>
      </c>
    </row>
    <row r="4781" spans="1:13" x14ac:dyDescent="0.2">
      <c r="A4781">
        <v>891246</v>
      </c>
      <c r="B4781" s="1">
        <v>44815</v>
      </c>
      <c r="C4781">
        <v>92755</v>
      </c>
      <c r="D4781" t="s">
        <v>40</v>
      </c>
      <c r="E4781" t="s">
        <v>197</v>
      </c>
      <c r="F4781" t="s">
        <v>198</v>
      </c>
      <c r="G4781">
        <v>2</v>
      </c>
      <c r="H4781">
        <v>11.24</v>
      </c>
      <c r="I4781">
        <v>0.25</v>
      </c>
      <c r="J4781">
        <v>16.86</v>
      </c>
      <c r="K4781" t="s">
        <v>16</v>
      </c>
      <c r="L4781" t="s">
        <v>17</v>
      </c>
      <c r="M4781" t="s">
        <v>90</v>
      </c>
    </row>
    <row r="4782" spans="1:13" x14ac:dyDescent="0.2">
      <c r="A4782">
        <v>891600</v>
      </c>
      <c r="B4782" s="2">
        <v>44907</v>
      </c>
      <c r="C4782">
        <v>92622</v>
      </c>
      <c r="D4782" t="s">
        <v>85</v>
      </c>
      <c r="E4782" t="s">
        <v>137</v>
      </c>
      <c r="F4782" t="s">
        <v>138</v>
      </c>
      <c r="G4782">
        <v>1</v>
      </c>
      <c r="H4782">
        <v>6.79</v>
      </c>
      <c r="I4782">
        <v>0.15</v>
      </c>
      <c r="J4782">
        <v>5.77</v>
      </c>
      <c r="K4782" t="s">
        <v>16</v>
      </c>
      <c r="L4782" t="s">
        <v>37</v>
      </c>
      <c r="M4782" t="s">
        <v>33</v>
      </c>
    </row>
    <row r="4783" spans="1:13" x14ac:dyDescent="0.2">
      <c r="A4783">
        <v>891714</v>
      </c>
      <c r="B4783" s="1">
        <v>44573</v>
      </c>
      <c r="C4783">
        <v>95460</v>
      </c>
      <c r="D4783" t="s">
        <v>25</v>
      </c>
      <c r="E4783" t="s">
        <v>113</v>
      </c>
      <c r="F4783" t="s">
        <v>114</v>
      </c>
      <c r="G4783">
        <v>3</v>
      </c>
      <c r="H4783">
        <v>107.99</v>
      </c>
      <c r="I4783">
        <v>0.1</v>
      </c>
      <c r="J4783">
        <v>291.57</v>
      </c>
      <c r="K4783" t="s">
        <v>36</v>
      </c>
      <c r="L4783" t="s">
        <v>17</v>
      </c>
      <c r="M4783" t="s">
        <v>33</v>
      </c>
    </row>
    <row r="4784" spans="1:13" x14ac:dyDescent="0.2">
      <c r="A4784">
        <v>891843</v>
      </c>
      <c r="B4784" s="1">
        <v>45223</v>
      </c>
      <c r="C4784">
        <v>60074</v>
      </c>
      <c r="D4784" t="s">
        <v>97</v>
      </c>
      <c r="E4784" t="s">
        <v>98</v>
      </c>
      <c r="F4784" t="s">
        <v>99</v>
      </c>
      <c r="G4784">
        <v>1</v>
      </c>
      <c r="H4784">
        <v>25.19</v>
      </c>
      <c r="I4784">
        <v>0.1</v>
      </c>
      <c r="J4784">
        <v>22.67</v>
      </c>
      <c r="K4784" t="s">
        <v>16</v>
      </c>
      <c r="L4784" t="s">
        <v>17</v>
      </c>
      <c r="M4784" t="s">
        <v>24</v>
      </c>
    </row>
    <row r="4785" spans="1:13" x14ac:dyDescent="0.2">
      <c r="A4785">
        <v>891916</v>
      </c>
      <c r="B4785" s="1">
        <v>44632</v>
      </c>
      <c r="D4785" t="s">
        <v>48</v>
      </c>
      <c r="E4785" t="s">
        <v>109</v>
      </c>
      <c r="F4785" t="s">
        <v>110</v>
      </c>
      <c r="G4785">
        <v>4</v>
      </c>
      <c r="H4785">
        <v>6.64</v>
      </c>
      <c r="I4785">
        <v>0.05</v>
      </c>
      <c r="J4785">
        <v>25.23</v>
      </c>
      <c r="K4785" t="s">
        <v>16</v>
      </c>
      <c r="L4785" t="s">
        <v>17</v>
      </c>
      <c r="M4785" t="s">
        <v>76</v>
      </c>
    </row>
    <row r="4786" spans="1:13" x14ac:dyDescent="0.2">
      <c r="A4786">
        <v>891958</v>
      </c>
      <c r="B4786" s="1">
        <v>45216</v>
      </c>
      <c r="C4786">
        <v>58169</v>
      </c>
      <c r="D4786" t="s">
        <v>13</v>
      </c>
      <c r="E4786" t="s">
        <v>104</v>
      </c>
      <c r="F4786" t="s">
        <v>105</v>
      </c>
      <c r="G4786">
        <v>5</v>
      </c>
      <c r="H4786">
        <v>29.99</v>
      </c>
      <c r="J4786">
        <v>149.94999999999999</v>
      </c>
      <c r="K4786" t="s">
        <v>36</v>
      </c>
      <c r="L4786" t="s">
        <v>17</v>
      </c>
      <c r="M4786" t="s">
        <v>120</v>
      </c>
    </row>
    <row r="4787" spans="1:13" x14ac:dyDescent="0.2">
      <c r="A4787">
        <v>891986</v>
      </c>
      <c r="B4787" s="1">
        <v>44634</v>
      </c>
      <c r="C4787">
        <v>73652</v>
      </c>
      <c r="D4787" t="s">
        <v>85</v>
      </c>
      <c r="E4787" t="s">
        <v>149</v>
      </c>
      <c r="F4787" t="s">
        <v>150</v>
      </c>
      <c r="G4787">
        <v>1</v>
      </c>
      <c r="H4787">
        <v>18.989999999999998</v>
      </c>
      <c r="I4787">
        <v>0.05</v>
      </c>
      <c r="J4787">
        <v>18.04</v>
      </c>
      <c r="K4787" t="s">
        <v>22</v>
      </c>
      <c r="L4787" t="s">
        <v>17</v>
      </c>
      <c r="M4787" t="s">
        <v>76</v>
      </c>
    </row>
    <row r="4788" spans="1:13" x14ac:dyDescent="0.2">
      <c r="A4788">
        <v>892104</v>
      </c>
      <c r="B4788" s="1">
        <v>45114</v>
      </c>
      <c r="C4788">
        <v>56315</v>
      </c>
      <c r="D4788" t="s">
        <v>48</v>
      </c>
      <c r="E4788" t="s">
        <v>109</v>
      </c>
      <c r="F4788" t="s">
        <v>110</v>
      </c>
      <c r="G4788">
        <v>2</v>
      </c>
      <c r="H4788">
        <v>6.99</v>
      </c>
      <c r="J4788">
        <v>13.98</v>
      </c>
      <c r="K4788" t="s">
        <v>95</v>
      </c>
      <c r="L4788" t="s">
        <v>17</v>
      </c>
      <c r="M4788" t="s">
        <v>67</v>
      </c>
    </row>
    <row r="4789" spans="1:13" x14ac:dyDescent="0.2">
      <c r="A4789">
        <v>892173</v>
      </c>
      <c r="B4789" s="1">
        <v>45440</v>
      </c>
      <c r="C4789">
        <v>28025</v>
      </c>
      <c r="D4789" t="s">
        <v>82</v>
      </c>
      <c r="E4789" t="s">
        <v>147</v>
      </c>
      <c r="F4789" t="s">
        <v>148</v>
      </c>
      <c r="G4789">
        <v>3</v>
      </c>
      <c r="H4789">
        <v>12.99</v>
      </c>
      <c r="J4789">
        <v>38.97</v>
      </c>
      <c r="K4789" t="s">
        <v>16</v>
      </c>
      <c r="L4789" t="s">
        <v>23</v>
      </c>
      <c r="M4789" t="s">
        <v>62</v>
      </c>
    </row>
    <row r="4790" spans="1:13" x14ac:dyDescent="0.2">
      <c r="A4790">
        <v>892445</v>
      </c>
      <c r="B4790" s="1">
        <v>45238</v>
      </c>
      <c r="C4790">
        <v>29473</v>
      </c>
      <c r="D4790" t="s">
        <v>13</v>
      </c>
      <c r="E4790" t="s">
        <v>34</v>
      </c>
      <c r="F4790" t="s">
        <v>35</v>
      </c>
      <c r="G4790">
        <v>1</v>
      </c>
      <c r="H4790">
        <v>29.74</v>
      </c>
      <c r="I4790">
        <v>0.15</v>
      </c>
      <c r="J4790">
        <v>25.28</v>
      </c>
      <c r="K4790" t="s">
        <v>95</v>
      </c>
      <c r="L4790" t="s">
        <v>17</v>
      </c>
      <c r="M4790" t="s">
        <v>18</v>
      </c>
    </row>
    <row r="4791" spans="1:13" x14ac:dyDescent="0.2">
      <c r="A4791">
        <v>892453</v>
      </c>
      <c r="B4791" s="1">
        <v>45654</v>
      </c>
      <c r="C4791">
        <v>71377</v>
      </c>
      <c r="D4791" t="s">
        <v>29</v>
      </c>
      <c r="E4791" t="s">
        <v>30</v>
      </c>
      <c r="F4791" t="s">
        <v>31</v>
      </c>
      <c r="G4791">
        <v>5</v>
      </c>
      <c r="H4791">
        <v>24.99</v>
      </c>
      <c r="J4791">
        <v>124.95</v>
      </c>
      <c r="K4791" t="s">
        <v>16</v>
      </c>
      <c r="L4791" t="s">
        <v>17</v>
      </c>
      <c r="M4791" t="s">
        <v>54</v>
      </c>
    </row>
    <row r="4792" spans="1:13" x14ac:dyDescent="0.2">
      <c r="A4792">
        <v>892545</v>
      </c>
      <c r="B4792" s="2">
        <v>44636</v>
      </c>
      <c r="C4792">
        <v>63412</v>
      </c>
      <c r="D4792" t="s">
        <v>44</v>
      </c>
      <c r="E4792" t="s">
        <v>45</v>
      </c>
      <c r="F4792" t="s">
        <v>46</v>
      </c>
      <c r="G4792">
        <v>1</v>
      </c>
      <c r="H4792">
        <v>1.25</v>
      </c>
      <c r="I4792">
        <v>0.3</v>
      </c>
      <c r="J4792">
        <v>0.88</v>
      </c>
      <c r="K4792" t="s">
        <v>95</v>
      </c>
      <c r="L4792" t="s">
        <v>17</v>
      </c>
      <c r="M4792" t="s">
        <v>120</v>
      </c>
    </row>
    <row r="4793" spans="1:13" x14ac:dyDescent="0.2">
      <c r="A4793">
        <v>892911</v>
      </c>
      <c r="B4793" s="1">
        <v>44822</v>
      </c>
      <c r="C4793">
        <v>81361</v>
      </c>
      <c r="D4793" t="s">
        <v>63</v>
      </c>
      <c r="E4793" t="s">
        <v>111</v>
      </c>
      <c r="F4793" t="s">
        <v>112</v>
      </c>
      <c r="G4793">
        <v>4</v>
      </c>
      <c r="H4793">
        <v>14.24</v>
      </c>
      <c r="I4793">
        <v>0.05</v>
      </c>
      <c r="J4793">
        <v>54.11</v>
      </c>
      <c r="K4793" t="s">
        <v>22</v>
      </c>
      <c r="L4793" t="s">
        <v>17</v>
      </c>
      <c r="M4793" t="s">
        <v>76</v>
      </c>
    </row>
    <row r="4794" spans="1:13" x14ac:dyDescent="0.2">
      <c r="A4794">
        <v>893016</v>
      </c>
      <c r="B4794" s="1">
        <v>45058</v>
      </c>
      <c r="C4794">
        <v>62148</v>
      </c>
      <c r="D4794" t="s">
        <v>25</v>
      </c>
      <c r="E4794" t="s">
        <v>26</v>
      </c>
      <c r="F4794" t="s">
        <v>27</v>
      </c>
      <c r="G4794">
        <v>3</v>
      </c>
      <c r="H4794">
        <v>33.24</v>
      </c>
      <c r="I4794">
        <v>0.05</v>
      </c>
      <c r="J4794">
        <v>94.73</v>
      </c>
      <c r="K4794" t="s">
        <v>36</v>
      </c>
      <c r="L4794" t="s">
        <v>23</v>
      </c>
      <c r="M4794" t="s">
        <v>67</v>
      </c>
    </row>
    <row r="4795" spans="1:13" x14ac:dyDescent="0.2">
      <c r="A4795">
        <v>893033</v>
      </c>
      <c r="B4795" s="1">
        <v>44625</v>
      </c>
      <c r="C4795">
        <v>55594</v>
      </c>
      <c r="D4795" t="s">
        <v>19</v>
      </c>
      <c r="E4795" t="s">
        <v>115</v>
      </c>
      <c r="F4795" t="s">
        <v>116</v>
      </c>
      <c r="G4795">
        <v>4</v>
      </c>
      <c r="H4795">
        <v>9.09</v>
      </c>
      <c r="I4795">
        <v>0.3</v>
      </c>
      <c r="J4795">
        <v>25.45</v>
      </c>
      <c r="K4795" t="s">
        <v>16</v>
      </c>
      <c r="L4795" t="s">
        <v>17</v>
      </c>
      <c r="M4795" t="s">
        <v>102</v>
      </c>
    </row>
    <row r="4796" spans="1:13" x14ac:dyDescent="0.2">
      <c r="A4796">
        <v>893072</v>
      </c>
      <c r="B4796" s="1">
        <v>45344</v>
      </c>
      <c r="C4796">
        <v>85573</v>
      </c>
      <c r="D4796" t="s">
        <v>48</v>
      </c>
      <c r="E4796" t="s">
        <v>139</v>
      </c>
      <c r="F4796" t="s">
        <v>140</v>
      </c>
      <c r="G4796">
        <v>1</v>
      </c>
      <c r="H4796">
        <v>7.19</v>
      </c>
      <c r="I4796">
        <v>0.1</v>
      </c>
      <c r="J4796">
        <v>6.47</v>
      </c>
      <c r="K4796" t="s">
        <v>22</v>
      </c>
      <c r="L4796" t="s">
        <v>17</v>
      </c>
      <c r="M4796" t="s">
        <v>18</v>
      </c>
    </row>
    <row r="4797" spans="1:13" x14ac:dyDescent="0.2">
      <c r="A4797">
        <v>893234</v>
      </c>
      <c r="B4797" s="1">
        <v>45007</v>
      </c>
      <c r="C4797">
        <v>86927</v>
      </c>
      <c r="D4797" t="s">
        <v>29</v>
      </c>
      <c r="E4797" t="s">
        <v>72</v>
      </c>
      <c r="F4797" t="s">
        <v>73</v>
      </c>
      <c r="G4797">
        <v>1</v>
      </c>
      <c r="H4797">
        <v>27.99</v>
      </c>
      <c r="I4797">
        <v>0.3</v>
      </c>
      <c r="J4797">
        <v>19.59</v>
      </c>
      <c r="K4797" t="s">
        <v>53</v>
      </c>
      <c r="L4797" t="s">
        <v>17</v>
      </c>
      <c r="M4797" t="s">
        <v>96</v>
      </c>
    </row>
    <row r="4798" spans="1:13" x14ac:dyDescent="0.2">
      <c r="A4798">
        <v>893351</v>
      </c>
      <c r="B4798" s="1">
        <v>45262</v>
      </c>
      <c r="C4798">
        <v>92026</v>
      </c>
      <c r="D4798" t="s">
        <v>82</v>
      </c>
      <c r="E4798" t="s">
        <v>83</v>
      </c>
      <c r="F4798" t="s">
        <v>84</v>
      </c>
      <c r="G4798">
        <v>1</v>
      </c>
      <c r="H4798">
        <v>16.989999999999998</v>
      </c>
      <c r="J4798">
        <v>16.989999999999998</v>
      </c>
      <c r="K4798" t="s">
        <v>36</v>
      </c>
      <c r="L4798" t="s">
        <v>17</v>
      </c>
      <c r="M4798" t="s">
        <v>33</v>
      </c>
    </row>
    <row r="4799" spans="1:13" x14ac:dyDescent="0.2">
      <c r="A4799">
        <v>893366</v>
      </c>
      <c r="B4799" s="2">
        <v>45109</v>
      </c>
      <c r="C4799">
        <v>11775</v>
      </c>
      <c r="D4799" t="s">
        <v>48</v>
      </c>
      <c r="E4799" t="s">
        <v>179</v>
      </c>
      <c r="F4799" t="s">
        <v>180</v>
      </c>
      <c r="G4799">
        <v>3</v>
      </c>
      <c r="H4799">
        <v>11.99</v>
      </c>
      <c r="J4799">
        <v>35.97</v>
      </c>
      <c r="K4799" t="s">
        <v>36</v>
      </c>
      <c r="L4799" t="s">
        <v>37</v>
      </c>
      <c r="M4799" t="s">
        <v>120</v>
      </c>
    </row>
    <row r="4800" spans="1:13" x14ac:dyDescent="0.2">
      <c r="A4800">
        <v>893371</v>
      </c>
      <c r="B4800" s="1">
        <v>44663</v>
      </c>
      <c r="C4800">
        <v>35619</v>
      </c>
      <c r="D4800" t="s">
        <v>124</v>
      </c>
      <c r="E4800" t="s">
        <v>64</v>
      </c>
      <c r="F4800" t="s">
        <v>65</v>
      </c>
      <c r="G4800">
        <v>2</v>
      </c>
      <c r="H4800">
        <v>4.49</v>
      </c>
      <c r="I4800">
        <v>0.1</v>
      </c>
      <c r="J4800">
        <v>8.08</v>
      </c>
      <c r="K4800" t="s">
        <v>16</v>
      </c>
      <c r="L4800" t="s">
        <v>17</v>
      </c>
      <c r="M4800" t="s">
        <v>123</v>
      </c>
    </row>
    <row r="4801" spans="1:13" x14ac:dyDescent="0.2">
      <c r="A4801">
        <v>893394</v>
      </c>
      <c r="B4801" s="1">
        <v>44754</v>
      </c>
      <c r="C4801">
        <v>84044</v>
      </c>
      <c r="D4801" t="s">
        <v>200</v>
      </c>
      <c r="E4801" t="s">
        <v>113</v>
      </c>
      <c r="F4801" t="s">
        <v>114</v>
      </c>
      <c r="G4801">
        <v>3</v>
      </c>
      <c r="H4801">
        <v>95.99</v>
      </c>
      <c r="I4801">
        <v>0.2</v>
      </c>
      <c r="J4801">
        <v>230.38</v>
      </c>
      <c r="K4801" t="s">
        <v>36</v>
      </c>
      <c r="L4801" t="s">
        <v>37</v>
      </c>
      <c r="M4801" t="s">
        <v>62</v>
      </c>
    </row>
    <row r="4802" spans="1:13" x14ac:dyDescent="0.2">
      <c r="A4802">
        <v>893566</v>
      </c>
      <c r="B4802" s="1">
        <v>45457</v>
      </c>
      <c r="D4802" t="s">
        <v>97</v>
      </c>
      <c r="E4802" t="s">
        <v>121</v>
      </c>
      <c r="F4802" t="s">
        <v>122</v>
      </c>
      <c r="G4802">
        <v>1</v>
      </c>
      <c r="H4802">
        <v>12.99</v>
      </c>
      <c r="J4802">
        <v>12.99</v>
      </c>
      <c r="K4802" t="s">
        <v>36</v>
      </c>
      <c r="L4802" t="s">
        <v>23</v>
      </c>
      <c r="M4802" t="s">
        <v>123</v>
      </c>
    </row>
    <row r="4803" spans="1:13" x14ac:dyDescent="0.2">
      <c r="A4803">
        <v>893869</v>
      </c>
      <c r="B4803" s="1">
        <v>44886</v>
      </c>
      <c r="C4803">
        <v>67770</v>
      </c>
      <c r="D4803" t="s">
        <v>48</v>
      </c>
      <c r="E4803" t="s">
        <v>118</v>
      </c>
      <c r="F4803" t="s">
        <v>119</v>
      </c>
      <c r="G4803">
        <v>2</v>
      </c>
      <c r="H4803">
        <v>3.99</v>
      </c>
      <c r="I4803">
        <v>0.2</v>
      </c>
      <c r="J4803">
        <v>6.38</v>
      </c>
      <c r="K4803" t="s">
        <v>16</v>
      </c>
      <c r="L4803" t="s">
        <v>17</v>
      </c>
      <c r="M4803" t="s">
        <v>62</v>
      </c>
    </row>
    <row r="4804" spans="1:13" x14ac:dyDescent="0.2">
      <c r="A4804">
        <v>893889</v>
      </c>
      <c r="B4804" s="1">
        <v>45059</v>
      </c>
      <c r="C4804">
        <v>76006</v>
      </c>
      <c r="D4804" t="s">
        <v>29</v>
      </c>
      <c r="E4804" t="s">
        <v>38</v>
      </c>
      <c r="F4804" t="s">
        <v>39</v>
      </c>
      <c r="G4804">
        <v>4</v>
      </c>
      <c r="H4804">
        <v>28.49</v>
      </c>
      <c r="I4804">
        <v>0.05</v>
      </c>
      <c r="J4804">
        <v>108.26</v>
      </c>
      <c r="K4804" t="s">
        <v>22</v>
      </c>
      <c r="L4804" t="s">
        <v>17</v>
      </c>
      <c r="M4804" t="s">
        <v>123</v>
      </c>
    </row>
    <row r="4805" spans="1:13" x14ac:dyDescent="0.2">
      <c r="A4805">
        <v>894053</v>
      </c>
      <c r="B4805" s="1">
        <v>45061</v>
      </c>
      <c r="D4805" t="s">
        <v>82</v>
      </c>
      <c r="E4805" t="s">
        <v>188</v>
      </c>
      <c r="F4805" t="s">
        <v>189</v>
      </c>
      <c r="G4805">
        <v>1</v>
      </c>
      <c r="H4805">
        <v>38.24</v>
      </c>
      <c r="I4805">
        <v>0.15</v>
      </c>
      <c r="J4805">
        <v>32.5</v>
      </c>
      <c r="K4805" t="s">
        <v>36</v>
      </c>
      <c r="L4805" t="s">
        <v>17</v>
      </c>
      <c r="M4805" t="s">
        <v>81</v>
      </c>
    </row>
    <row r="4806" spans="1:13" x14ac:dyDescent="0.2">
      <c r="A4806">
        <v>894141</v>
      </c>
      <c r="B4806" s="1">
        <v>44969</v>
      </c>
      <c r="C4806">
        <v>85435</v>
      </c>
      <c r="D4806" t="s">
        <v>40</v>
      </c>
      <c r="E4806" t="s">
        <v>115</v>
      </c>
      <c r="F4806" t="s">
        <v>116</v>
      </c>
      <c r="G4806">
        <v>4</v>
      </c>
      <c r="H4806">
        <v>9.74</v>
      </c>
      <c r="I4806">
        <v>0.25</v>
      </c>
      <c r="J4806">
        <v>29.22</v>
      </c>
      <c r="K4806" t="s">
        <v>66</v>
      </c>
      <c r="L4806" t="s">
        <v>17</v>
      </c>
      <c r="M4806" t="s">
        <v>81</v>
      </c>
    </row>
    <row r="4807" spans="1:13" x14ac:dyDescent="0.2">
      <c r="A4807">
        <v>894188</v>
      </c>
      <c r="B4807" s="2">
        <v>45342</v>
      </c>
      <c r="C4807">
        <v>54603</v>
      </c>
      <c r="D4807" t="s">
        <v>97</v>
      </c>
      <c r="E4807" t="s">
        <v>98</v>
      </c>
      <c r="F4807" t="s">
        <v>99</v>
      </c>
      <c r="G4807">
        <v>3</v>
      </c>
      <c r="H4807">
        <v>26.59</v>
      </c>
      <c r="I4807">
        <v>0.05</v>
      </c>
      <c r="J4807">
        <v>75.78</v>
      </c>
      <c r="K4807" t="s">
        <v>22</v>
      </c>
      <c r="L4807" t="s">
        <v>17</v>
      </c>
      <c r="M4807" t="s">
        <v>18</v>
      </c>
    </row>
    <row r="4808" spans="1:13" x14ac:dyDescent="0.2">
      <c r="A4808">
        <v>894323</v>
      </c>
      <c r="B4808" s="1">
        <v>45649</v>
      </c>
      <c r="C4808">
        <v>55702</v>
      </c>
      <c r="D4808" t="s">
        <v>97</v>
      </c>
      <c r="E4808" t="s">
        <v>98</v>
      </c>
      <c r="F4808" t="s">
        <v>99</v>
      </c>
      <c r="G4808">
        <v>1</v>
      </c>
      <c r="H4808">
        <v>20.99</v>
      </c>
      <c r="I4808">
        <v>0.25</v>
      </c>
      <c r="J4808">
        <v>15.74</v>
      </c>
      <c r="K4808" t="s">
        <v>16</v>
      </c>
      <c r="L4808" t="s">
        <v>23</v>
      </c>
      <c r="M4808" t="s">
        <v>102</v>
      </c>
    </row>
    <row r="4809" spans="1:13" x14ac:dyDescent="0.2">
      <c r="A4809">
        <v>894325</v>
      </c>
      <c r="B4809" s="2">
        <v>45545</v>
      </c>
      <c r="C4809">
        <v>31422</v>
      </c>
      <c r="D4809" t="s">
        <v>25</v>
      </c>
      <c r="E4809" t="s">
        <v>113</v>
      </c>
      <c r="F4809" t="s">
        <v>114</v>
      </c>
      <c r="G4809">
        <v>2</v>
      </c>
      <c r="H4809">
        <v>119.99</v>
      </c>
      <c r="J4809">
        <v>239.98</v>
      </c>
      <c r="K4809" t="s">
        <v>16</v>
      </c>
      <c r="L4809" t="s">
        <v>17</v>
      </c>
      <c r="M4809" t="s">
        <v>117</v>
      </c>
    </row>
    <row r="4810" spans="1:13" x14ac:dyDescent="0.2">
      <c r="A4810">
        <v>894372</v>
      </c>
      <c r="B4810" s="1">
        <v>45203</v>
      </c>
      <c r="C4810">
        <v>67804</v>
      </c>
      <c r="D4810" t="s">
        <v>44</v>
      </c>
      <c r="E4810" t="s">
        <v>184</v>
      </c>
      <c r="F4810" t="s">
        <v>185</v>
      </c>
      <c r="G4810">
        <v>5</v>
      </c>
      <c r="H4810">
        <v>5.22</v>
      </c>
      <c r="I4810">
        <v>0.05</v>
      </c>
      <c r="J4810">
        <v>24.8</v>
      </c>
      <c r="K4810" t="s">
        <v>36</v>
      </c>
      <c r="L4810" t="s">
        <v>17</v>
      </c>
      <c r="M4810" t="s">
        <v>123</v>
      </c>
    </row>
    <row r="4811" spans="1:13" x14ac:dyDescent="0.2">
      <c r="A4811">
        <v>894721</v>
      </c>
      <c r="B4811" s="1">
        <v>45304</v>
      </c>
      <c r="C4811">
        <v>21140</v>
      </c>
      <c r="D4811" t="s">
        <v>85</v>
      </c>
      <c r="E4811" t="s">
        <v>157</v>
      </c>
      <c r="F4811" t="s">
        <v>158</v>
      </c>
      <c r="G4811">
        <v>2</v>
      </c>
      <c r="H4811">
        <v>11.47</v>
      </c>
      <c r="I4811">
        <v>0.15</v>
      </c>
      <c r="J4811">
        <v>19.5</v>
      </c>
      <c r="K4811" t="s">
        <v>36</v>
      </c>
      <c r="L4811" t="s">
        <v>37</v>
      </c>
      <c r="M4811" t="s">
        <v>67</v>
      </c>
    </row>
    <row r="4812" spans="1:13" x14ac:dyDescent="0.2">
      <c r="A4812">
        <v>894811</v>
      </c>
      <c r="B4812" s="2">
        <v>44643</v>
      </c>
      <c r="C4812">
        <v>33765</v>
      </c>
      <c r="D4812" t="s">
        <v>13</v>
      </c>
      <c r="E4812" t="s">
        <v>14</v>
      </c>
      <c r="F4812" t="s">
        <v>15</v>
      </c>
      <c r="G4812">
        <v>5</v>
      </c>
      <c r="H4812">
        <v>79.989999999999995</v>
      </c>
      <c r="J4812">
        <v>399.95</v>
      </c>
      <c r="K4812" t="s">
        <v>36</v>
      </c>
      <c r="L4812" t="s">
        <v>23</v>
      </c>
      <c r="M4812" t="s">
        <v>161</v>
      </c>
    </row>
    <row r="4813" spans="1:13" x14ac:dyDescent="0.2">
      <c r="A4813">
        <v>894981</v>
      </c>
      <c r="B4813" s="1">
        <v>44769</v>
      </c>
      <c r="C4813">
        <v>80612</v>
      </c>
      <c r="D4813" t="s">
        <v>85</v>
      </c>
      <c r="E4813" t="s">
        <v>137</v>
      </c>
      <c r="F4813" t="s">
        <v>138</v>
      </c>
      <c r="G4813">
        <v>1</v>
      </c>
      <c r="H4813">
        <v>7.99</v>
      </c>
      <c r="J4813">
        <v>7.99</v>
      </c>
      <c r="K4813" t="s">
        <v>36</v>
      </c>
      <c r="L4813" t="s">
        <v>17</v>
      </c>
      <c r="M4813" t="s">
        <v>54</v>
      </c>
    </row>
    <row r="4814" spans="1:13" x14ac:dyDescent="0.2">
      <c r="A4814">
        <v>895178</v>
      </c>
      <c r="B4814" s="1">
        <v>44651</v>
      </c>
      <c r="C4814">
        <v>71643</v>
      </c>
      <c r="D4814" t="s">
        <v>40</v>
      </c>
      <c r="E4814" t="s">
        <v>115</v>
      </c>
      <c r="F4814" t="s">
        <v>116</v>
      </c>
      <c r="G4814">
        <v>1</v>
      </c>
      <c r="H4814">
        <v>10.39</v>
      </c>
      <c r="I4814">
        <v>0.2</v>
      </c>
      <c r="J4814">
        <v>8.31</v>
      </c>
      <c r="K4814" t="s">
        <v>95</v>
      </c>
      <c r="L4814" t="s">
        <v>17</v>
      </c>
      <c r="M4814" t="s">
        <v>24</v>
      </c>
    </row>
    <row r="4815" spans="1:13" x14ac:dyDescent="0.2">
      <c r="A4815">
        <v>895379</v>
      </c>
      <c r="B4815" s="1">
        <v>45265</v>
      </c>
      <c r="C4815">
        <v>67880</v>
      </c>
      <c r="D4815" t="s">
        <v>40</v>
      </c>
      <c r="E4815" t="s">
        <v>197</v>
      </c>
      <c r="F4815" t="s">
        <v>198</v>
      </c>
      <c r="G4815">
        <v>5</v>
      </c>
      <c r="H4815">
        <v>13.49</v>
      </c>
      <c r="I4815">
        <v>0.1</v>
      </c>
      <c r="J4815">
        <v>60.71</v>
      </c>
      <c r="K4815" t="s">
        <v>66</v>
      </c>
      <c r="L4815" t="s">
        <v>37</v>
      </c>
      <c r="M4815" t="s">
        <v>18</v>
      </c>
    </row>
    <row r="4816" spans="1:13" x14ac:dyDescent="0.2">
      <c r="A4816">
        <v>895430</v>
      </c>
      <c r="B4816" s="2">
        <v>45356</v>
      </c>
      <c r="C4816">
        <v>67540</v>
      </c>
      <c r="D4816" t="s">
        <v>40</v>
      </c>
      <c r="E4816" t="s">
        <v>20</v>
      </c>
      <c r="F4816" t="s">
        <v>21</v>
      </c>
      <c r="G4816">
        <v>1</v>
      </c>
      <c r="H4816">
        <v>7.49</v>
      </c>
      <c r="I4816">
        <v>0.25</v>
      </c>
      <c r="J4816">
        <v>5.62</v>
      </c>
      <c r="K4816" t="s">
        <v>66</v>
      </c>
      <c r="L4816" t="s">
        <v>17</v>
      </c>
      <c r="M4816" t="s">
        <v>103</v>
      </c>
    </row>
    <row r="4817" spans="1:13" x14ac:dyDescent="0.2">
      <c r="A4817">
        <v>895465</v>
      </c>
      <c r="B4817" s="1">
        <v>45339</v>
      </c>
      <c r="C4817">
        <v>52978</v>
      </c>
      <c r="D4817" t="s">
        <v>63</v>
      </c>
      <c r="E4817" t="s">
        <v>125</v>
      </c>
      <c r="F4817" t="s">
        <v>126</v>
      </c>
      <c r="G4817">
        <v>3</v>
      </c>
      <c r="H4817">
        <v>26.99</v>
      </c>
      <c r="I4817">
        <v>0.1</v>
      </c>
      <c r="J4817">
        <v>72.87</v>
      </c>
      <c r="K4817" t="s">
        <v>36</v>
      </c>
      <c r="L4817" t="s">
        <v>37</v>
      </c>
      <c r="M4817" t="s">
        <v>120</v>
      </c>
    </row>
    <row r="4818" spans="1:13" x14ac:dyDescent="0.2">
      <c r="A4818">
        <v>896029</v>
      </c>
      <c r="B4818" s="2">
        <v>45219</v>
      </c>
      <c r="C4818">
        <v>71082</v>
      </c>
      <c r="D4818" t="s">
        <v>82</v>
      </c>
      <c r="E4818" t="s">
        <v>83</v>
      </c>
      <c r="F4818" t="s">
        <v>84</v>
      </c>
      <c r="G4818">
        <v>5</v>
      </c>
      <c r="H4818">
        <v>16.989999999999998</v>
      </c>
      <c r="J4818">
        <v>84.95</v>
      </c>
      <c r="K4818" t="s">
        <v>36</v>
      </c>
      <c r="L4818" t="s">
        <v>17</v>
      </c>
      <c r="M4818" t="s">
        <v>81</v>
      </c>
    </row>
    <row r="4819" spans="1:13" x14ac:dyDescent="0.2">
      <c r="A4819">
        <v>896086</v>
      </c>
      <c r="B4819" s="1">
        <v>45595</v>
      </c>
      <c r="C4819">
        <v>65613</v>
      </c>
      <c r="D4819" t="s">
        <v>13</v>
      </c>
      <c r="E4819" t="s">
        <v>14</v>
      </c>
      <c r="F4819" t="s">
        <v>15</v>
      </c>
      <c r="G4819">
        <v>1</v>
      </c>
      <c r="H4819">
        <v>59.99</v>
      </c>
      <c r="J4819">
        <v>59.99</v>
      </c>
      <c r="K4819" t="s">
        <v>16</v>
      </c>
      <c r="L4819" t="s">
        <v>17</v>
      </c>
      <c r="M4819" t="s">
        <v>43</v>
      </c>
    </row>
    <row r="4820" spans="1:13" x14ac:dyDescent="0.2">
      <c r="A4820">
        <v>896150</v>
      </c>
      <c r="B4820" s="1">
        <v>44831</v>
      </c>
      <c r="C4820">
        <v>79685</v>
      </c>
      <c r="D4820" t="s">
        <v>29</v>
      </c>
      <c r="E4820" t="s">
        <v>38</v>
      </c>
      <c r="F4820" t="s">
        <v>39</v>
      </c>
      <c r="G4820">
        <v>1</v>
      </c>
      <c r="H4820">
        <v>29.99</v>
      </c>
      <c r="J4820">
        <v>29.99</v>
      </c>
      <c r="K4820" t="s">
        <v>16</v>
      </c>
      <c r="L4820" t="s">
        <v>37</v>
      </c>
      <c r="M4820" t="s">
        <v>33</v>
      </c>
    </row>
    <row r="4821" spans="1:13" x14ac:dyDescent="0.2">
      <c r="A4821">
        <v>896447</v>
      </c>
      <c r="B4821" s="1">
        <v>45486</v>
      </c>
      <c r="C4821">
        <v>79554</v>
      </c>
      <c r="D4821" t="s">
        <v>13</v>
      </c>
      <c r="E4821" t="s">
        <v>79</v>
      </c>
      <c r="F4821" t="s">
        <v>80</v>
      </c>
      <c r="G4821">
        <v>1</v>
      </c>
      <c r="H4821">
        <v>89.99</v>
      </c>
      <c r="J4821">
        <v>89.99</v>
      </c>
      <c r="K4821" t="s">
        <v>22</v>
      </c>
      <c r="L4821" t="s">
        <v>37</v>
      </c>
      <c r="M4821" t="s">
        <v>117</v>
      </c>
    </row>
    <row r="4822" spans="1:13" x14ac:dyDescent="0.2">
      <c r="A4822">
        <v>896602</v>
      </c>
      <c r="B4822" s="2">
        <v>44980</v>
      </c>
      <c r="D4822" t="s">
        <v>63</v>
      </c>
      <c r="E4822" t="s">
        <v>64</v>
      </c>
      <c r="F4822" t="s">
        <v>65</v>
      </c>
      <c r="G4822">
        <v>1</v>
      </c>
      <c r="H4822">
        <v>4.99</v>
      </c>
      <c r="J4822">
        <v>4.99</v>
      </c>
      <c r="K4822" t="s">
        <v>36</v>
      </c>
      <c r="L4822" t="s">
        <v>17</v>
      </c>
      <c r="M4822" t="s">
        <v>96</v>
      </c>
    </row>
    <row r="4823" spans="1:13" x14ac:dyDescent="0.2">
      <c r="A4823">
        <v>897050</v>
      </c>
      <c r="B4823" s="1">
        <v>44922</v>
      </c>
      <c r="C4823">
        <v>58814</v>
      </c>
      <c r="D4823" t="s">
        <v>48</v>
      </c>
      <c r="E4823" t="s">
        <v>49</v>
      </c>
      <c r="F4823" t="s">
        <v>50</v>
      </c>
      <c r="G4823">
        <v>2</v>
      </c>
      <c r="H4823">
        <v>8.99</v>
      </c>
      <c r="J4823">
        <v>17.98</v>
      </c>
      <c r="K4823" t="s">
        <v>16</v>
      </c>
      <c r="L4823" t="s">
        <v>37</v>
      </c>
      <c r="M4823" t="s">
        <v>47</v>
      </c>
    </row>
    <row r="4824" spans="1:13" x14ac:dyDescent="0.2">
      <c r="A4824">
        <v>897250</v>
      </c>
      <c r="B4824" s="1">
        <v>44655</v>
      </c>
      <c r="C4824">
        <v>90403</v>
      </c>
      <c r="D4824" t="s">
        <v>13</v>
      </c>
      <c r="E4824" t="s">
        <v>34</v>
      </c>
      <c r="F4824" t="s">
        <v>35</v>
      </c>
      <c r="G4824">
        <v>2</v>
      </c>
      <c r="H4824">
        <v>24.49</v>
      </c>
      <c r="I4824">
        <v>0.3</v>
      </c>
      <c r="J4824">
        <v>34.29</v>
      </c>
      <c r="K4824" t="s">
        <v>16</v>
      </c>
      <c r="L4824" t="s">
        <v>17</v>
      </c>
      <c r="M4824" t="s">
        <v>54</v>
      </c>
    </row>
    <row r="4825" spans="1:13" x14ac:dyDescent="0.2">
      <c r="A4825">
        <v>897493</v>
      </c>
      <c r="B4825" s="1">
        <v>45106</v>
      </c>
      <c r="C4825">
        <v>78599</v>
      </c>
      <c r="D4825" t="s">
        <v>29</v>
      </c>
      <c r="E4825" t="s">
        <v>30</v>
      </c>
      <c r="F4825" t="s">
        <v>31</v>
      </c>
      <c r="G4825">
        <v>2</v>
      </c>
      <c r="H4825">
        <v>23.74</v>
      </c>
      <c r="I4825">
        <v>0.05</v>
      </c>
      <c r="J4825">
        <v>45.11</v>
      </c>
      <c r="K4825" t="s">
        <v>36</v>
      </c>
      <c r="L4825" t="s">
        <v>17</v>
      </c>
    </row>
    <row r="4826" spans="1:13" x14ac:dyDescent="0.2">
      <c r="A4826">
        <v>897537</v>
      </c>
      <c r="B4826" s="1">
        <v>45615</v>
      </c>
      <c r="C4826">
        <v>42046</v>
      </c>
      <c r="D4826" t="s">
        <v>106</v>
      </c>
      <c r="E4826" t="s">
        <v>45</v>
      </c>
      <c r="F4826" t="s">
        <v>46</v>
      </c>
      <c r="G4826">
        <v>3</v>
      </c>
      <c r="H4826">
        <v>1.79</v>
      </c>
      <c r="J4826">
        <v>5.37</v>
      </c>
      <c r="K4826" t="s">
        <v>16</v>
      </c>
      <c r="L4826" t="s">
        <v>17</v>
      </c>
      <c r="M4826" t="s">
        <v>117</v>
      </c>
    </row>
    <row r="4827" spans="1:13" x14ac:dyDescent="0.2">
      <c r="A4827">
        <v>897549</v>
      </c>
      <c r="B4827" s="1">
        <v>44737</v>
      </c>
      <c r="C4827">
        <v>82063</v>
      </c>
      <c r="D4827" t="s">
        <v>85</v>
      </c>
      <c r="E4827" t="s">
        <v>145</v>
      </c>
      <c r="F4827" t="s">
        <v>146</v>
      </c>
      <c r="G4827">
        <v>4</v>
      </c>
      <c r="H4827">
        <v>12.74</v>
      </c>
      <c r="I4827">
        <v>0.25</v>
      </c>
      <c r="J4827">
        <v>38.22</v>
      </c>
      <c r="K4827" t="s">
        <v>22</v>
      </c>
      <c r="L4827" t="s">
        <v>17</v>
      </c>
      <c r="M4827" t="s">
        <v>24</v>
      </c>
    </row>
    <row r="4828" spans="1:13" x14ac:dyDescent="0.2">
      <c r="A4828">
        <v>897858</v>
      </c>
      <c r="B4828" s="1">
        <v>45611</v>
      </c>
      <c r="C4828">
        <v>37113</v>
      </c>
      <c r="D4828" t="s">
        <v>44</v>
      </c>
      <c r="E4828" t="s">
        <v>162</v>
      </c>
      <c r="F4828" t="s">
        <v>163</v>
      </c>
      <c r="G4828">
        <v>3</v>
      </c>
      <c r="H4828">
        <v>7.99</v>
      </c>
      <c r="J4828">
        <v>23.97</v>
      </c>
      <c r="K4828" t="s">
        <v>16</v>
      </c>
      <c r="L4828" t="s">
        <v>17</v>
      </c>
      <c r="M4828" t="s">
        <v>62</v>
      </c>
    </row>
    <row r="4829" spans="1:13" x14ac:dyDescent="0.2">
      <c r="A4829">
        <v>898050</v>
      </c>
      <c r="B4829" s="1">
        <v>45339</v>
      </c>
      <c r="C4829">
        <v>33594</v>
      </c>
      <c r="D4829" t="s">
        <v>29</v>
      </c>
      <c r="E4829" t="s">
        <v>30</v>
      </c>
      <c r="F4829" t="s">
        <v>31</v>
      </c>
      <c r="G4829">
        <v>1</v>
      </c>
      <c r="H4829">
        <v>19.989999999999998</v>
      </c>
      <c r="I4829">
        <v>0.2</v>
      </c>
      <c r="J4829">
        <v>15.99</v>
      </c>
      <c r="K4829" t="s">
        <v>95</v>
      </c>
      <c r="L4829" t="s">
        <v>17</v>
      </c>
      <c r="M4829" t="s">
        <v>76</v>
      </c>
    </row>
    <row r="4830" spans="1:13" x14ac:dyDescent="0.2">
      <c r="A4830">
        <v>898404</v>
      </c>
      <c r="B4830" s="2">
        <v>45529</v>
      </c>
      <c r="C4830">
        <v>26275</v>
      </c>
      <c r="D4830" t="s">
        <v>40</v>
      </c>
      <c r="E4830" t="s">
        <v>41</v>
      </c>
      <c r="F4830" t="s">
        <v>42</v>
      </c>
      <c r="G4830">
        <v>5</v>
      </c>
      <c r="H4830">
        <v>4.79</v>
      </c>
      <c r="I4830">
        <v>0.2</v>
      </c>
      <c r="J4830">
        <v>19.16</v>
      </c>
      <c r="K4830" t="s">
        <v>53</v>
      </c>
      <c r="L4830" t="s">
        <v>37</v>
      </c>
      <c r="M4830" t="s">
        <v>54</v>
      </c>
    </row>
    <row r="4831" spans="1:13" x14ac:dyDescent="0.2">
      <c r="A4831">
        <v>898678</v>
      </c>
      <c r="B4831" s="1">
        <v>44845</v>
      </c>
      <c r="C4831">
        <v>52626</v>
      </c>
      <c r="D4831" t="s">
        <v>40</v>
      </c>
      <c r="E4831" t="s">
        <v>58</v>
      </c>
      <c r="F4831" t="s">
        <v>59</v>
      </c>
      <c r="G4831">
        <v>3</v>
      </c>
      <c r="H4831">
        <v>2.79</v>
      </c>
      <c r="I4831">
        <v>0.3</v>
      </c>
      <c r="J4831">
        <v>5.86</v>
      </c>
      <c r="K4831" t="s">
        <v>53</v>
      </c>
      <c r="L4831" t="s">
        <v>17</v>
      </c>
      <c r="M4831" t="s">
        <v>161</v>
      </c>
    </row>
    <row r="4832" spans="1:13" x14ac:dyDescent="0.2">
      <c r="A4832">
        <v>898687</v>
      </c>
      <c r="B4832" s="2">
        <v>45322</v>
      </c>
      <c r="C4832">
        <v>63724</v>
      </c>
      <c r="D4832" t="s">
        <v>97</v>
      </c>
      <c r="E4832" t="s">
        <v>135</v>
      </c>
      <c r="F4832" t="s">
        <v>136</v>
      </c>
      <c r="G4832">
        <v>1</v>
      </c>
      <c r="H4832">
        <v>9.99</v>
      </c>
      <c r="J4832">
        <v>9.99</v>
      </c>
      <c r="K4832" t="s">
        <v>53</v>
      </c>
      <c r="L4832" t="s">
        <v>37</v>
      </c>
      <c r="M4832" t="s">
        <v>57</v>
      </c>
    </row>
    <row r="4833" spans="1:13" x14ac:dyDescent="0.2">
      <c r="A4833">
        <v>898696</v>
      </c>
      <c r="B4833" s="1">
        <v>44642</v>
      </c>
      <c r="C4833">
        <v>37379</v>
      </c>
      <c r="D4833" t="s">
        <v>48</v>
      </c>
      <c r="E4833" t="s">
        <v>179</v>
      </c>
      <c r="F4833" t="s">
        <v>180</v>
      </c>
      <c r="G4833">
        <v>1</v>
      </c>
      <c r="H4833">
        <v>11.99</v>
      </c>
      <c r="J4833">
        <v>11.99</v>
      </c>
      <c r="K4833" t="s">
        <v>16</v>
      </c>
      <c r="L4833" t="s">
        <v>37</v>
      </c>
      <c r="M4833" t="s">
        <v>57</v>
      </c>
    </row>
    <row r="4834" spans="1:13" x14ac:dyDescent="0.2">
      <c r="A4834">
        <v>898754</v>
      </c>
      <c r="B4834" s="2">
        <v>45024</v>
      </c>
      <c r="C4834">
        <v>82983</v>
      </c>
      <c r="D4834" t="s">
        <v>48</v>
      </c>
      <c r="E4834" t="s">
        <v>49</v>
      </c>
      <c r="F4834" t="s">
        <v>50</v>
      </c>
      <c r="G4834">
        <v>1</v>
      </c>
      <c r="H4834">
        <v>6.74</v>
      </c>
      <c r="I4834">
        <v>0.25</v>
      </c>
      <c r="J4834">
        <v>5.0599999999999996</v>
      </c>
      <c r="K4834" t="s">
        <v>16</v>
      </c>
      <c r="L4834" t="s">
        <v>17</v>
      </c>
      <c r="M4834" t="s">
        <v>18</v>
      </c>
    </row>
    <row r="4835" spans="1:13" x14ac:dyDescent="0.2">
      <c r="A4835">
        <v>898759</v>
      </c>
      <c r="B4835" s="2">
        <v>44808</v>
      </c>
      <c r="C4835">
        <v>39498</v>
      </c>
      <c r="D4835" t="s">
        <v>97</v>
      </c>
      <c r="E4835" t="s">
        <v>193</v>
      </c>
      <c r="F4835" t="s">
        <v>194</v>
      </c>
      <c r="G4835">
        <v>1</v>
      </c>
      <c r="H4835">
        <v>48.74</v>
      </c>
      <c r="I4835">
        <v>0.25</v>
      </c>
      <c r="J4835">
        <v>36.56</v>
      </c>
      <c r="K4835" t="s">
        <v>36</v>
      </c>
      <c r="L4835" t="s">
        <v>17</v>
      </c>
      <c r="M4835" t="s">
        <v>161</v>
      </c>
    </row>
    <row r="4836" spans="1:13" x14ac:dyDescent="0.2">
      <c r="A4836">
        <v>899053</v>
      </c>
      <c r="B4836" s="1">
        <v>44873</v>
      </c>
      <c r="C4836">
        <v>96067</v>
      </c>
      <c r="D4836" t="s">
        <v>44</v>
      </c>
      <c r="E4836" t="s">
        <v>74</v>
      </c>
      <c r="F4836" t="s">
        <v>75</v>
      </c>
      <c r="G4836">
        <v>1</v>
      </c>
      <c r="H4836">
        <v>2.69</v>
      </c>
      <c r="I4836">
        <v>0.1</v>
      </c>
      <c r="J4836">
        <v>2.42</v>
      </c>
      <c r="K4836" t="s">
        <v>53</v>
      </c>
      <c r="L4836" t="s">
        <v>17</v>
      </c>
      <c r="M4836" t="s">
        <v>57</v>
      </c>
    </row>
    <row r="4837" spans="1:13" x14ac:dyDescent="0.2">
      <c r="A4837">
        <v>899271</v>
      </c>
      <c r="B4837" s="1">
        <v>44935</v>
      </c>
      <c r="C4837">
        <v>61768</v>
      </c>
      <c r="D4837" t="s">
        <v>44</v>
      </c>
      <c r="E4837" t="s">
        <v>177</v>
      </c>
      <c r="F4837" t="s">
        <v>178</v>
      </c>
      <c r="G4837">
        <v>1</v>
      </c>
      <c r="H4837">
        <v>11.99</v>
      </c>
      <c r="J4837">
        <v>11.99</v>
      </c>
      <c r="K4837" t="s">
        <v>16</v>
      </c>
      <c r="L4837" t="s">
        <v>17</v>
      </c>
      <c r="M4837" t="s">
        <v>90</v>
      </c>
    </row>
    <row r="4838" spans="1:13" x14ac:dyDescent="0.2">
      <c r="A4838">
        <v>899277</v>
      </c>
      <c r="B4838" s="1">
        <v>45616</v>
      </c>
      <c r="C4838">
        <v>39609</v>
      </c>
      <c r="D4838" t="s">
        <v>40</v>
      </c>
      <c r="E4838" t="s">
        <v>115</v>
      </c>
      <c r="F4838" t="s">
        <v>116</v>
      </c>
      <c r="G4838">
        <v>1</v>
      </c>
      <c r="H4838">
        <v>11.04</v>
      </c>
      <c r="I4838">
        <v>0.15</v>
      </c>
      <c r="J4838">
        <v>9.3800000000000008</v>
      </c>
      <c r="K4838" t="s">
        <v>36</v>
      </c>
      <c r="L4838" t="s">
        <v>17</v>
      </c>
      <c r="M4838" t="s">
        <v>123</v>
      </c>
    </row>
    <row r="4839" spans="1:13" x14ac:dyDescent="0.2">
      <c r="A4839">
        <v>899281</v>
      </c>
      <c r="B4839" s="2">
        <v>45555</v>
      </c>
      <c r="D4839" t="s">
        <v>25</v>
      </c>
      <c r="E4839" t="s">
        <v>70</v>
      </c>
      <c r="F4839" t="s">
        <v>71</v>
      </c>
      <c r="G4839">
        <v>5</v>
      </c>
      <c r="H4839">
        <v>76.489999999999995</v>
      </c>
      <c r="I4839">
        <v>0.15</v>
      </c>
      <c r="J4839">
        <v>325.08</v>
      </c>
      <c r="K4839" t="s">
        <v>22</v>
      </c>
      <c r="L4839" t="s">
        <v>17</v>
      </c>
      <c r="M4839" t="s">
        <v>28</v>
      </c>
    </row>
    <row r="4840" spans="1:13" x14ac:dyDescent="0.2">
      <c r="A4840">
        <v>899366</v>
      </c>
      <c r="B4840" s="1">
        <v>45492</v>
      </c>
      <c r="C4840">
        <v>95092</v>
      </c>
      <c r="D4840" t="s">
        <v>63</v>
      </c>
      <c r="E4840" t="s">
        <v>125</v>
      </c>
      <c r="F4840" t="s">
        <v>126</v>
      </c>
      <c r="G4840">
        <v>1</v>
      </c>
      <c r="H4840">
        <v>29.99</v>
      </c>
      <c r="J4840">
        <v>29.99</v>
      </c>
      <c r="K4840" t="s">
        <v>36</v>
      </c>
      <c r="L4840" t="s">
        <v>17</v>
      </c>
      <c r="M4840" t="s">
        <v>43</v>
      </c>
    </row>
    <row r="4841" spans="1:13" x14ac:dyDescent="0.2">
      <c r="A4841">
        <v>899595</v>
      </c>
      <c r="B4841" s="1">
        <v>45549</v>
      </c>
      <c r="C4841">
        <v>68370</v>
      </c>
      <c r="D4841" t="s">
        <v>48</v>
      </c>
      <c r="E4841" t="s">
        <v>139</v>
      </c>
      <c r="F4841" t="s">
        <v>140</v>
      </c>
      <c r="G4841">
        <v>1</v>
      </c>
      <c r="H4841">
        <v>6.79</v>
      </c>
      <c r="I4841">
        <v>0.15</v>
      </c>
      <c r="J4841">
        <v>5.77</v>
      </c>
      <c r="K4841" t="s">
        <v>36</v>
      </c>
      <c r="L4841" t="s">
        <v>23</v>
      </c>
      <c r="M4841" t="s">
        <v>102</v>
      </c>
    </row>
    <row r="4842" spans="1:13" x14ac:dyDescent="0.2">
      <c r="A4842">
        <v>899759</v>
      </c>
      <c r="B4842" s="2">
        <v>45364</v>
      </c>
      <c r="C4842">
        <v>80039</v>
      </c>
      <c r="D4842" t="s">
        <v>97</v>
      </c>
      <c r="E4842" t="s">
        <v>165</v>
      </c>
      <c r="F4842" t="s">
        <v>166</v>
      </c>
      <c r="G4842">
        <v>5</v>
      </c>
      <c r="H4842">
        <v>80.989999999999995</v>
      </c>
      <c r="I4842">
        <v>0.1</v>
      </c>
      <c r="J4842">
        <v>364.46</v>
      </c>
      <c r="K4842" t="s">
        <v>16</v>
      </c>
      <c r="L4842" t="s">
        <v>17</v>
      </c>
      <c r="M4842" t="s">
        <v>62</v>
      </c>
    </row>
    <row r="4843" spans="1:13" x14ac:dyDescent="0.2">
      <c r="A4843">
        <v>899829</v>
      </c>
      <c r="B4843" s="1">
        <v>44682</v>
      </c>
      <c r="D4843" t="s">
        <v>29</v>
      </c>
      <c r="E4843" t="s">
        <v>72</v>
      </c>
      <c r="F4843" t="s">
        <v>73</v>
      </c>
      <c r="G4843">
        <v>2</v>
      </c>
      <c r="H4843">
        <v>39.99</v>
      </c>
      <c r="J4843">
        <v>79.98</v>
      </c>
      <c r="K4843" t="s">
        <v>16</v>
      </c>
      <c r="L4843" t="s">
        <v>17</v>
      </c>
      <c r="M4843" t="s">
        <v>28</v>
      </c>
    </row>
    <row r="4844" spans="1:13" x14ac:dyDescent="0.2">
      <c r="A4844">
        <v>899911</v>
      </c>
      <c r="B4844" s="2">
        <v>44702</v>
      </c>
      <c r="C4844">
        <v>83353</v>
      </c>
      <c r="D4844" t="s">
        <v>85</v>
      </c>
      <c r="E4844" t="s">
        <v>149</v>
      </c>
      <c r="F4844" t="s">
        <v>150</v>
      </c>
      <c r="G4844">
        <v>3</v>
      </c>
      <c r="H4844">
        <v>19.989999999999998</v>
      </c>
      <c r="J4844">
        <v>59.97</v>
      </c>
      <c r="K4844" t="s">
        <v>95</v>
      </c>
      <c r="L4844" t="s">
        <v>17</v>
      </c>
      <c r="M4844" t="s">
        <v>28</v>
      </c>
    </row>
    <row r="4845" spans="1:13" x14ac:dyDescent="0.2">
      <c r="A4845">
        <v>900356</v>
      </c>
      <c r="B4845" s="1">
        <v>45224</v>
      </c>
      <c r="C4845">
        <v>78061</v>
      </c>
      <c r="D4845" t="s">
        <v>48</v>
      </c>
      <c r="E4845" t="s">
        <v>109</v>
      </c>
      <c r="F4845" t="s">
        <v>110</v>
      </c>
      <c r="G4845">
        <v>1</v>
      </c>
      <c r="H4845">
        <v>5.24</v>
      </c>
      <c r="I4845">
        <v>0.25</v>
      </c>
      <c r="J4845">
        <v>3.93</v>
      </c>
      <c r="K4845" t="s">
        <v>36</v>
      </c>
      <c r="L4845" t="s">
        <v>37</v>
      </c>
      <c r="M4845" t="s">
        <v>47</v>
      </c>
    </row>
    <row r="4846" spans="1:13" x14ac:dyDescent="0.2">
      <c r="A4846">
        <v>900575</v>
      </c>
      <c r="B4846" s="1">
        <v>44808</v>
      </c>
      <c r="C4846">
        <v>91855</v>
      </c>
      <c r="D4846" t="s">
        <v>48</v>
      </c>
      <c r="E4846" t="s">
        <v>179</v>
      </c>
      <c r="F4846" t="s">
        <v>180</v>
      </c>
      <c r="G4846">
        <v>5</v>
      </c>
      <c r="H4846">
        <v>11.39</v>
      </c>
      <c r="I4846">
        <v>0.05</v>
      </c>
      <c r="J4846">
        <v>54.1</v>
      </c>
      <c r="K4846" t="s">
        <v>36</v>
      </c>
      <c r="L4846" t="s">
        <v>37</v>
      </c>
      <c r="M4846" t="s">
        <v>120</v>
      </c>
    </row>
    <row r="4847" spans="1:13" x14ac:dyDescent="0.2">
      <c r="A4847">
        <v>900581</v>
      </c>
      <c r="B4847" s="1">
        <v>44617</v>
      </c>
      <c r="D4847" t="s">
        <v>82</v>
      </c>
      <c r="E4847" t="s">
        <v>100</v>
      </c>
      <c r="F4847" t="s">
        <v>101</v>
      </c>
      <c r="G4847">
        <v>1</v>
      </c>
      <c r="H4847">
        <v>21.84</v>
      </c>
      <c r="I4847">
        <v>0.05</v>
      </c>
      <c r="J4847">
        <v>20.75</v>
      </c>
      <c r="K4847" t="s">
        <v>95</v>
      </c>
      <c r="L4847" t="s">
        <v>37</v>
      </c>
      <c r="M4847" t="s">
        <v>28</v>
      </c>
    </row>
    <row r="4848" spans="1:13" x14ac:dyDescent="0.2">
      <c r="A4848">
        <v>900981</v>
      </c>
      <c r="B4848" s="1">
        <v>45339</v>
      </c>
      <c r="D4848" t="s">
        <v>44</v>
      </c>
      <c r="E4848" t="s">
        <v>184</v>
      </c>
      <c r="F4848" t="s">
        <v>185</v>
      </c>
      <c r="G4848">
        <v>5</v>
      </c>
      <c r="H4848">
        <v>5.22</v>
      </c>
      <c r="I4848">
        <v>0.05</v>
      </c>
      <c r="J4848">
        <v>24.8</v>
      </c>
      <c r="K4848" t="s">
        <v>36</v>
      </c>
      <c r="L4848" t="s">
        <v>17</v>
      </c>
      <c r="M4848" t="s">
        <v>81</v>
      </c>
    </row>
    <row r="4849" spans="1:13" x14ac:dyDescent="0.2">
      <c r="A4849">
        <v>901014</v>
      </c>
      <c r="B4849" s="1">
        <v>45637</v>
      </c>
      <c r="C4849">
        <v>82355</v>
      </c>
      <c r="D4849" t="s">
        <v>97</v>
      </c>
      <c r="E4849" t="s">
        <v>135</v>
      </c>
      <c r="F4849" t="s">
        <v>136</v>
      </c>
      <c r="G4849">
        <v>2</v>
      </c>
      <c r="H4849">
        <v>7.49</v>
      </c>
      <c r="I4849">
        <v>0.25</v>
      </c>
      <c r="J4849">
        <v>11.24</v>
      </c>
      <c r="K4849" t="s">
        <v>36</v>
      </c>
      <c r="L4849" t="s">
        <v>17</v>
      </c>
      <c r="M4849" t="s">
        <v>24</v>
      </c>
    </row>
    <row r="4850" spans="1:13" x14ac:dyDescent="0.2">
      <c r="A4850">
        <v>901087</v>
      </c>
      <c r="B4850" s="2">
        <v>45306</v>
      </c>
      <c r="C4850">
        <v>61488</v>
      </c>
      <c r="D4850" t="s">
        <v>25</v>
      </c>
      <c r="E4850" t="s">
        <v>70</v>
      </c>
      <c r="F4850" t="s">
        <v>71</v>
      </c>
      <c r="G4850">
        <v>2</v>
      </c>
      <c r="H4850">
        <v>67.489999999999995</v>
      </c>
      <c r="I4850">
        <v>0.25</v>
      </c>
      <c r="J4850">
        <v>101.23</v>
      </c>
      <c r="K4850" t="s">
        <v>16</v>
      </c>
      <c r="L4850" t="s">
        <v>17</v>
      </c>
      <c r="M4850" t="s">
        <v>28</v>
      </c>
    </row>
    <row r="4851" spans="1:13" x14ac:dyDescent="0.2">
      <c r="A4851">
        <v>901130</v>
      </c>
      <c r="B4851" s="2">
        <v>44846</v>
      </c>
      <c r="C4851">
        <v>89593</v>
      </c>
      <c r="D4851" t="s">
        <v>63</v>
      </c>
      <c r="E4851" t="s">
        <v>68</v>
      </c>
      <c r="F4851" t="s">
        <v>69</v>
      </c>
      <c r="G4851">
        <v>2</v>
      </c>
      <c r="H4851">
        <v>24.99</v>
      </c>
      <c r="J4851">
        <v>49.98</v>
      </c>
      <c r="K4851" t="s">
        <v>16</v>
      </c>
      <c r="L4851" t="s">
        <v>17</v>
      </c>
      <c r="M4851" t="s">
        <v>120</v>
      </c>
    </row>
    <row r="4852" spans="1:13" x14ac:dyDescent="0.2">
      <c r="A4852">
        <v>901133</v>
      </c>
      <c r="B4852" s="1">
        <v>45387</v>
      </c>
      <c r="C4852">
        <v>92573</v>
      </c>
      <c r="D4852" t="s">
        <v>106</v>
      </c>
      <c r="E4852" t="s">
        <v>177</v>
      </c>
      <c r="F4852" t="s">
        <v>178</v>
      </c>
      <c r="G4852">
        <v>1</v>
      </c>
      <c r="H4852">
        <v>10.19</v>
      </c>
      <c r="I4852">
        <v>0.15</v>
      </c>
      <c r="J4852">
        <v>8.66</v>
      </c>
      <c r="K4852" t="s">
        <v>22</v>
      </c>
      <c r="L4852" t="s">
        <v>37</v>
      </c>
    </row>
    <row r="4853" spans="1:13" x14ac:dyDescent="0.2">
      <c r="A4853">
        <v>901375</v>
      </c>
      <c r="B4853" s="1">
        <v>44653</v>
      </c>
      <c r="C4853">
        <v>33392</v>
      </c>
      <c r="D4853" t="s">
        <v>40</v>
      </c>
      <c r="E4853" t="s">
        <v>20</v>
      </c>
      <c r="F4853" t="s">
        <v>21</v>
      </c>
      <c r="G4853">
        <v>3</v>
      </c>
      <c r="H4853">
        <v>9.99</v>
      </c>
      <c r="J4853">
        <v>29.97</v>
      </c>
      <c r="K4853" t="s">
        <v>16</v>
      </c>
      <c r="L4853" t="s">
        <v>37</v>
      </c>
      <c r="M4853" t="s">
        <v>96</v>
      </c>
    </row>
    <row r="4854" spans="1:13" x14ac:dyDescent="0.2">
      <c r="A4854">
        <v>901451</v>
      </c>
      <c r="B4854" s="1">
        <v>45017</v>
      </c>
      <c r="C4854">
        <v>44027</v>
      </c>
      <c r="D4854" t="s">
        <v>48</v>
      </c>
      <c r="E4854" t="s">
        <v>143</v>
      </c>
      <c r="F4854" t="s">
        <v>144</v>
      </c>
      <c r="G4854">
        <v>3</v>
      </c>
      <c r="H4854">
        <v>12.74</v>
      </c>
      <c r="I4854">
        <v>0.15</v>
      </c>
      <c r="J4854">
        <v>32.49</v>
      </c>
      <c r="K4854" t="s">
        <v>22</v>
      </c>
      <c r="L4854" t="s">
        <v>37</v>
      </c>
      <c r="M4854" t="s">
        <v>54</v>
      </c>
    </row>
    <row r="4855" spans="1:13" x14ac:dyDescent="0.2">
      <c r="A4855">
        <v>901515</v>
      </c>
      <c r="B4855" s="1">
        <v>45303</v>
      </c>
      <c r="C4855">
        <v>49184</v>
      </c>
      <c r="D4855" t="s">
        <v>63</v>
      </c>
      <c r="E4855" t="s">
        <v>125</v>
      </c>
      <c r="F4855" t="s">
        <v>126</v>
      </c>
      <c r="G4855">
        <v>3</v>
      </c>
      <c r="H4855">
        <v>22.49</v>
      </c>
      <c r="I4855">
        <v>0.25</v>
      </c>
      <c r="J4855">
        <v>50.6</v>
      </c>
      <c r="K4855" t="s">
        <v>16</v>
      </c>
      <c r="L4855" t="s">
        <v>17</v>
      </c>
      <c r="M4855" t="s">
        <v>81</v>
      </c>
    </row>
    <row r="4856" spans="1:13" x14ac:dyDescent="0.2">
      <c r="A4856">
        <v>901881</v>
      </c>
      <c r="B4856" s="1">
        <v>44653</v>
      </c>
      <c r="C4856">
        <v>97506</v>
      </c>
      <c r="D4856" t="s">
        <v>25</v>
      </c>
      <c r="E4856" t="s">
        <v>113</v>
      </c>
      <c r="F4856" t="s">
        <v>114</v>
      </c>
      <c r="G4856">
        <v>1</v>
      </c>
      <c r="H4856">
        <v>119.99</v>
      </c>
      <c r="J4856">
        <v>119.99</v>
      </c>
      <c r="K4856" t="s">
        <v>16</v>
      </c>
      <c r="L4856" t="s">
        <v>37</v>
      </c>
      <c r="M4856" t="s">
        <v>76</v>
      </c>
    </row>
    <row r="4857" spans="1:13" x14ac:dyDescent="0.2">
      <c r="A4857">
        <v>902190</v>
      </c>
      <c r="B4857" s="1">
        <v>45039</v>
      </c>
      <c r="C4857">
        <v>45712</v>
      </c>
      <c r="D4857" t="s">
        <v>44</v>
      </c>
      <c r="E4857" t="s">
        <v>177</v>
      </c>
      <c r="F4857" t="s">
        <v>178</v>
      </c>
      <c r="G4857">
        <v>1</v>
      </c>
      <c r="H4857">
        <v>9.59</v>
      </c>
      <c r="I4857">
        <v>0.2</v>
      </c>
      <c r="J4857">
        <v>7.67</v>
      </c>
      <c r="K4857" t="s">
        <v>16</v>
      </c>
      <c r="L4857" t="s">
        <v>17</v>
      </c>
      <c r="M4857" t="s">
        <v>76</v>
      </c>
    </row>
    <row r="4858" spans="1:13" x14ac:dyDescent="0.2">
      <c r="A4858">
        <v>902194</v>
      </c>
      <c r="B4858" s="1">
        <v>45018</v>
      </c>
      <c r="C4858">
        <v>43766</v>
      </c>
      <c r="D4858" t="s">
        <v>63</v>
      </c>
      <c r="E4858" t="s">
        <v>68</v>
      </c>
      <c r="F4858" t="s">
        <v>69</v>
      </c>
      <c r="G4858">
        <v>1</v>
      </c>
      <c r="H4858">
        <v>18.739999999999998</v>
      </c>
      <c r="I4858">
        <v>0.25</v>
      </c>
      <c r="J4858">
        <v>14.06</v>
      </c>
      <c r="K4858" t="s">
        <v>32</v>
      </c>
      <c r="L4858" t="s">
        <v>37</v>
      </c>
      <c r="M4858" t="s">
        <v>120</v>
      </c>
    </row>
    <row r="4859" spans="1:13" x14ac:dyDescent="0.2">
      <c r="A4859">
        <v>902196</v>
      </c>
      <c r="B4859" s="1">
        <v>44839</v>
      </c>
      <c r="C4859">
        <v>77225</v>
      </c>
      <c r="D4859" t="s">
        <v>13</v>
      </c>
      <c r="E4859" t="s">
        <v>34</v>
      </c>
      <c r="F4859" t="s">
        <v>35</v>
      </c>
      <c r="G4859">
        <v>3</v>
      </c>
      <c r="H4859">
        <v>26.24</v>
      </c>
      <c r="I4859">
        <v>0.25</v>
      </c>
      <c r="J4859">
        <v>59.04</v>
      </c>
      <c r="K4859" t="s">
        <v>16</v>
      </c>
      <c r="L4859" t="s">
        <v>17</v>
      </c>
      <c r="M4859" t="s">
        <v>81</v>
      </c>
    </row>
    <row r="4860" spans="1:13" x14ac:dyDescent="0.2">
      <c r="A4860">
        <v>902366</v>
      </c>
      <c r="B4860" s="1">
        <v>44786</v>
      </c>
      <c r="C4860">
        <v>84914</v>
      </c>
      <c r="D4860" t="s">
        <v>82</v>
      </c>
      <c r="E4860" t="s">
        <v>168</v>
      </c>
      <c r="F4860" t="s">
        <v>169</v>
      </c>
      <c r="G4860">
        <v>4</v>
      </c>
      <c r="H4860">
        <v>8.09</v>
      </c>
      <c r="I4860">
        <v>0.1</v>
      </c>
      <c r="J4860">
        <v>29.12</v>
      </c>
      <c r="K4860" t="s">
        <v>16</v>
      </c>
      <c r="L4860" t="s">
        <v>37</v>
      </c>
      <c r="M4860" t="s">
        <v>123</v>
      </c>
    </row>
    <row r="4861" spans="1:13" x14ac:dyDescent="0.2">
      <c r="A4861">
        <v>902465</v>
      </c>
      <c r="B4861" s="1">
        <v>44652</v>
      </c>
      <c r="C4861">
        <v>38383</v>
      </c>
      <c r="D4861" t="s">
        <v>25</v>
      </c>
      <c r="E4861" t="s">
        <v>26</v>
      </c>
      <c r="F4861" t="s">
        <v>27</v>
      </c>
      <c r="G4861">
        <v>5</v>
      </c>
      <c r="H4861">
        <v>34.99</v>
      </c>
      <c r="J4861">
        <v>174.95</v>
      </c>
      <c r="K4861" t="s">
        <v>32</v>
      </c>
      <c r="L4861" t="s">
        <v>37</v>
      </c>
      <c r="M4861" t="s">
        <v>18</v>
      </c>
    </row>
    <row r="4862" spans="1:13" x14ac:dyDescent="0.2">
      <c r="A4862">
        <v>902636</v>
      </c>
      <c r="B4862" s="1">
        <v>44747</v>
      </c>
      <c r="C4862">
        <v>31425</v>
      </c>
      <c r="D4862" t="s">
        <v>25</v>
      </c>
      <c r="E4862" t="s">
        <v>113</v>
      </c>
      <c r="F4862" t="s">
        <v>114</v>
      </c>
      <c r="G4862">
        <v>2</v>
      </c>
      <c r="H4862">
        <v>95.99</v>
      </c>
      <c r="I4862">
        <v>0.2</v>
      </c>
      <c r="J4862">
        <v>153.58000000000001</v>
      </c>
      <c r="K4862" t="s">
        <v>16</v>
      </c>
      <c r="L4862" t="s">
        <v>37</v>
      </c>
      <c r="M4862" t="s">
        <v>161</v>
      </c>
    </row>
    <row r="4863" spans="1:13" x14ac:dyDescent="0.2">
      <c r="A4863">
        <v>903058</v>
      </c>
      <c r="B4863" s="1">
        <v>44646</v>
      </c>
      <c r="C4863">
        <v>96290</v>
      </c>
      <c r="D4863" t="s">
        <v>40</v>
      </c>
      <c r="E4863" t="s">
        <v>58</v>
      </c>
      <c r="F4863" t="s">
        <v>59</v>
      </c>
      <c r="G4863">
        <v>1</v>
      </c>
      <c r="H4863">
        <v>3.99</v>
      </c>
      <c r="J4863">
        <v>3.99</v>
      </c>
      <c r="K4863" t="s">
        <v>32</v>
      </c>
      <c r="L4863" t="s">
        <v>17</v>
      </c>
      <c r="M4863" t="s">
        <v>96</v>
      </c>
    </row>
    <row r="4864" spans="1:13" x14ac:dyDescent="0.2">
      <c r="A4864">
        <v>903075</v>
      </c>
      <c r="B4864" s="1">
        <v>45397</v>
      </c>
      <c r="C4864">
        <v>30197</v>
      </c>
      <c r="D4864" t="s">
        <v>82</v>
      </c>
      <c r="E4864" t="s">
        <v>188</v>
      </c>
      <c r="F4864" t="s">
        <v>189</v>
      </c>
      <c r="G4864">
        <v>4</v>
      </c>
      <c r="H4864">
        <v>44.99</v>
      </c>
      <c r="J4864">
        <v>179.96</v>
      </c>
      <c r="K4864" t="s">
        <v>22</v>
      </c>
      <c r="L4864" t="s">
        <v>37</v>
      </c>
      <c r="M4864" t="s">
        <v>90</v>
      </c>
    </row>
    <row r="4865" spans="1:13" x14ac:dyDescent="0.2">
      <c r="A4865">
        <v>903183</v>
      </c>
      <c r="B4865" s="2">
        <v>44786</v>
      </c>
      <c r="C4865">
        <v>56607</v>
      </c>
      <c r="D4865" t="s">
        <v>29</v>
      </c>
      <c r="E4865" t="s">
        <v>72</v>
      </c>
      <c r="F4865" t="s">
        <v>73</v>
      </c>
      <c r="G4865">
        <v>4</v>
      </c>
      <c r="H4865">
        <v>39.99</v>
      </c>
      <c r="J4865">
        <v>159.96</v>
      </c>
      <c r="K4865" t="s">
        <v>16</v>
      </c>
      <c r="L4865" t="s">
        <v>17</v>
      </c>
      <c r="M4865" t="s">
        <v>102</v>
      </c>
    </row>
    <row r="4866" spans="1:13" x14ac:dyDescent="0.2">
      <c r="A4866">
        <v>903199</v>
      </c>
      <c r="B4866" s="1">
        <v>45088</v>
      </c>
      <c r="C4866">
        <v>91842</v>
      </c>
      <c r="D4866" t="s">
        <v>48</v>
      </c>
      <c r="E4866" t="s">
        <v>49</v>
      </c>
      <c r="F4866" t="s">
        <v>50</v>
      </c>
      <c r="G4866">
        <v>5</v>
      </c>
      <c r="H4866">
        <v>8.09</v>
      </c>
      <c r="I4866">
        <v>0.1</v>
      </c>
      <c r="J4866">
        <v>36.4</v>
      </c>
      <c r="K4866" t="s">
        <v>16</v>
      </c>
      <c r="L4866" t="s">
        <v>37</v>
      </c>
      <c r="M4866" t="s">
        <v>102</v>
      </c>
    </row>
    <row r="4867" spans="1:13" x14ac:dyDescent="0.2">
      <c r="A4867">
        <v>903511</v>
      </c>
      <c r="B4867" s="1">
        <v>45241</v>
      </c>
      <c r="C4867">
        <v>87369</v>
      </c>
      <c r="D4867" t="s">
        <v>13</v>
      </c>
      <c r="E4867" t="s">
        <v>186</v>
      </c>
      <c r="F4867" t="s">
        <v>187</v>
      </c>
      <c r="G4867">
        <v>4</v>
      </c>
      <c r="H4867">
        <v>49.99</v>
      </c>
      <c r="J4867">
        <v>199.96</v>
      </c>
      <c r="K4867" t="s">
        <v>36</v>
      </c>
      <c r="L4867" t="s">
        <v>37</v>
      </c>
      <c r="M4867" t="s">
        <v>24</v>
      </c>
    </row>
    <row r="4868" spans="1:13" x14ac:dyDescent="0.2">
      <c r="A4868">
        <v>903530</v>
      </c>
      <c r="B4868" s="1">
        <v>44975</v>
      </c>
      <c r="C4868">
        <v>20182</v>
      </c>
      <c r="D4868" t="s">
        <v>48</v>
      </c>
      <c r="E4868" t="s">
        <v>49</v>
      </c>
      <c r="F4868" t="s">
        <v>50</v>
      </c>
      <c r="G4868">
        <v>1</v>
      </c>
      <c r="H4868">
        <v>6.74</v>
      </c>
      <c r="I4868">
        <v>0.25</v>
      </c>
      <c r="J4868">
        <v>5.0599999999999996</v>
      </c>
      <c r="K4868" t="s">
        <v>16</v>
      </c>
      <c r="L4868" t="s">
        <v>17</v>
      </c>
      <c r="M4868" t="s">
        <v>43</v>
      </c>
    </row>
    <row r="4869" spans="1:13" x14ac:dyDescent="0.2">
      <c r="A4869">
        <v>903589</v>
      </c>
      <c r="B4869" s="2">
        <v>44698</v>
      </c>
      <c r="D4869" t="s">
        <v>82</v>
      </c>
      <c r="E4869" t="s">
        <v>100</v>
      </c>
      <c r="F4869" t="s">
        <v>101</v>
      </c>
      <c r="G4869">
        <v>1</v>
      </c>
      <c r="H4869">
        <v>22.99</v>
      </c>
      <c r="J4869">
        <v>22.99</v>
      </c>
      <c r="K4869" t="s">
        <v>95</v>
      </c>
      <c r="L4869" t="s">
        <v>37</v>
      </c>
      <c r="M4869" t="s">
        <v>123</v>
      </c>
    </row>
    <row r="4870" spans="1:13" x14ac:dyDescent="0.2">
      <c r="A4870">
        <v>904234</v>
      </c>
      <c r="B4870" s="2">
        <v>45104</v>
      </c>
      <c r="C4870">
        <v>22986</v>
      </c>
      <c r="D4870" t="s">
        <v>13</v>
      </c>
      <c r="E4870" t="s">
        <v>104</v>
      </c>
      <c r="F4870" t="s">
        <v>105</v>
      </c>
      <c r="G4870">
        <v>3</v>
      </c>
      <c r="H4870">
        <v>29.99</v>
      </c>
      <c r="J4870">
        <v>89.97</v>
      </c>
      <c r="K4870" t="s">
        <v>36</v>
      </c>
      <c r="L4870" t="s">
        <v>37</v>
      </c>
      <c r="M4870" t="s">
        <v>43</v>
      </c>
    </row>
    <row r="4871" spans="1:13" x14ac:dyDescent="0.2">
      <c r="A4871">
        <v>904377</v>
      </c>
      <c r="B4871" s="1">
        <v>44571</v>
      </c>
      <c r="C4871">
        <v>36212</v>
      </c>
      <c r="D4871" t="s">
        <v>29</v>
      </c>
      <c r="E4871" t="s">
        <v>38</v>
      </c>
      <c r="F4871" t="s">
        <v>39</v>
      </c>
      <c r="G4871">
        <v>4</v>
      </c>
      <c r="H4871">
        <v>29.99</v>
      </c>
      <c r="J4871">
        <v>119.96</v>
      </c>
      <c r="K4871" t="s">
        <v>95</v>
      </c>
      <c r="L4871" t="s">
        <v>17</v>
      </c>
      <c r="M4871" t="s">
        <v>47</v>
      </c>
    </row>
    <row r="4872" spans="1:13" x14ac:dyDescent="0.2">
      <c r="A4872">
        <v>904446</v>
      </c>
      <c r="B4872" s="1">
        <v>45345</v>
      </c>
      <c r="C4872">
        <v>58725</v>
      </c>
      <c r="D4872" t="s">
        <v>199</v>
      </c>
      <c r="E4872" t="s">
        <v>34</v>
      </c>
      <c r="F4872" t="s">
        <v>35</v>
      </c>
      <c r="G4872">
        <v>4</v>
      </c>
      <c r="H4872">
        <v>27.99</v>
      </c>
      <c r="I4872">
        <v>0.2</v>
      </c>
      <c r="J4872">
        <v>89.57</v>
      </c>
      <c r="K4872" t="s">
        <v>16</v>
      </c>
      <c r="L4872" t="s">
        <v>37</v>
      </c>
      <c r="M4872" t="s">
        <v>76</v>
      </c>
    </row>
    <row r="4873" spans="1:13" x14ac:dyDescent="0.2">
      <c r="A4873">
        <v>904595</v>
      </c>
      <c r="B4873" s="2">
        <v>45549</v>
      </c>
      <c r="C4873">
        <v>20000</v>
      </c>
      <c r="D4873" t="s">
        <v>40</v>
      </c>
      <c r="E4873" t="s">
        <v>20</v>
      </c>
      <c r="F4873" t="s">
        <v>21</v>
      </c>
      <c r="G4873">
        <v>3</v>
      </c>
      <c r="H4873">
        <v>9.49</v>
      </c>
      <c r="I4873">
        <v>0.05</v>
      </c>
      <c r="J4873">
        <v>27.05</v>
      </c>
      <c r="K4873" t="s">
        <v>22</v>
      </c>
      <c r="L4873" t="s">
        <v>37</v>
      </c>
      <c r="M4873" t="s">
        <v>57</v>
      </c>
    </row>
    <row r="4874" spans="1:13" x14ac:dyDescent="0.2">
      <c r="A4874">
        <v>904612</v>
      </c>
      <c r="B4874" s="1">
        <v>45480</v>
      </c>
      <c r="C4874">
        <v>92353</v>
      </c>
      <c r="D4874" t="s">
        <v>63</v>
      </c>
      <c r="E4874" t="s">
        <v>131</v>
      </c>
      <c r="F4874" t="s">
        <v>132</v>
      </c>
      <c r="G4874">
        <v>1</v>
      </c>
      <c r="H4874">
        <v>3.32</v>
      </c>
      <c r="I4874">
        <v>0.05</v>
      </c>
      <c r="J4874">
        <v>3.15</v>
      </c>
      <c r="K4874" t="s">
        <v>36</v>
      </c>
      <c r="L4874" t="s">
        <v>37</v>
      </c>
      <c r="M4874" t="s">
        <v>81</v>
      </c>
    </row>
    <row r="4875" spans="1:13" x14ac:dyDescent="0.2">
      <c r="A4875">
        <v>904918</v>
      </c>
      <c r="B4875" s="1">
        <v>45405</v>
      </c>
      <c r="C4875">
        <v>71256</v>
      </c>
      <c r="D4875" t="s">
        <v>63</v>
      </c>
      <c r="E4875" t="s">
        <v>64</v>
      </c>
      <c r="F4875" t="s">
        <v>65</v>
      </c>
      <c r="G4875">
        <v>5</v>
      </c>
      <c r="H4875">
        <v>3.49</v>
      </c>
      <c r="I4875">
        <v>0.3</v>
      </c>
      <c r="J4875">
        <v>12.22</v>
      </c>
      <c r="K4875" t="s">
        <v>16</v>
      </c>
      <c r="L4875" t="s">
        <v>17</v>
      </c>
      <c r="M4875" t="s">
        <v>103</v>
      </c>
    </row>
    <row r="4876" spans="1:13" x14ac:dyDescent="0.2">
      <c r="A4876">
        <v>904922</v>
      </c>
      <c r="B4876" s="2">
        <v>44719</v>
      </c>
      <c r="C4876">
        <v>97481</v>
      </c>
      <c r="D4876" t="s">
        <v>13</v>
      </c>
      <c r="E4876" t="s">
        <v>55</v>
      </c>
      <c r="F4876" t="s">
        <v>56</v>
      </c>
      <c r="G4876">
        <v>3</v>
      </c>
      <c r="H4876">
        <v>280.49</v>
      </c>
      <c r="I4876">
        <v>0.15</v>
      </c>
      <c r="J4876">
        <v>715.25</v>
      </c>
      <c r="K4876" t="s">
        <v>36</v>
      </c>
      <c r="L4876" t="s">
        <v>17</v>
      </c>
      <c r="M4876" t="s">
        <v>102</v>
      </c>
    </row>
    <row r="4877" spans="1:13" x14ac:dyDescent="0.2">
      <c r="A4877">
        <v>905186</v>
      </c>
      <c r="B4877" s="1">
        <v>45244</v>
      </c>
      <c r="C4877">
        <v>82975</v>
      </c>
      <c r="D4877" t="s">
        <v>29</v>
      </c>
      <c r="E4877" t="s">
        <v>72</v>
      </c>
      <c r="F4877" t="s">
        <v>73</v>
      </c>
      <c r="G4877">
        <v>4</v>
      </c>
      <c r="H4877">
        <v>29.99</v>
      </c>
      <c r="I4877">
        <v>0.25</v>
      </c>
      <c r="J4877">
        <v>89.97</v>
      </c>
      <c r="K4877" t="s">
        <v>16</v>
      </c>
      <c r="L4877" t="s">
        <v>23</v>
      </c>
      <c r="M4877" t="s">
        <v>47</v>
      </c>
    </row>
    <row r="4878" spans="1:13" x14ac:dyDescent="0.2">
      <c r="A4878">
        <v>905336</v>
      </c>
      <c r="B4878" s="1">
        <v>44598</v>
      </c>
      <c r="C4878">
        <v>74295</v>
      </c>
      <c r="D4878" t="s">
        <v>13</v>
      </c>
      <c r="E4878" t="s">
        <v>14</v>
      </c>
      <c r="F4878" t="s">
        <v>15</v>
      </c>
      <c r="G4878">
        <v>3</v>
      </c>
      <c r="H4878">
        <v>67.989999999999995</v>
      </c>
      <c r="I4878">
        <v>0.15</v>
      </c>
      <c r="J4878">
        <v>173.37</v>
      </c>
      <c r="K4878" t="s">
        <v>36</v>
      </c>
      <c r="L4878" t="s">
        <v>37</v>
      </c>
      <c r="M4878" t="s">
        <v>103</v>
      </c>
    </row>
    <row r="4879" spans="1:13" x14ac:dyDescent="0.2">
      <c r="A4879">
        <v>905419</v>
      </c>
      <c r="B4879" s="2">
        <v>45339</v>
      </c>
      <c r="C4879">
        <v>41378</v>
      </c>
      <c r="D4879" t="s">
        <v>85</v>
      </c>
      <c r="E4879" t="s">
        <v>153</v>
      </c>
      <c r="F4879" t="s">
        <v>154</v>
      </c>
      <c r="G4879">
        <v>1</v>
      </c>
      <c r="H4879">
        <v>28.49</v>
      </c>
      <c r="I4879">
        <v>0.05</v>
      </c>
      <c r="J4879">
        <v>27.07</v>
      </c>
      <c r="K4879" t="s">
        <v>36</v>
      </c>
      <c r="L4879" t="s">
        <v>37</v>
      </c>
    </row>
    <row r="4880" spans="1:13" x14ac:dyDescent="0.2">
      <c r="A4880">
        <v>905573</v>
      </c>
      <c r="B4880" s="1">
        <v>44793</v>
      </c>
      <c r="C4880">
        <v>55460</v>
      </c>
      <c r="D4880" t="s">
        <v>85</v>
      </c>
      <c r="E4880" t="s">
        <v>149</v>
      </c>
      <c r="F4880" t="s">
        <v>150</v>
      </c>
      <c r="G4880">
        <v>1</v>
      </c>
      <c r="H4880">
        <v>17.989999999999998</v>
      </c>
      <c r="I4880">
        <v>0.1</v>
      </c>
      <c r="J4880">
        <v>16.190000000000001</v>
      </c>
      <c r="K4880" t="s">
        <v>36</v>
      </c>
      <c r="L4880" t="s">
        <v>17</v>
      </c>
      <c r="M4880" t="s">
        <v>81</v>
      </c>
    </row>
    <row r="4881" spans="1:13" x14ac:dyDescent="0.2">
      <c r="A4881">
        <v>905642</v>
      </c>
      <c r="B4881" s="1">
        <v>44905</v>
      </c>
      <c r="C4881">
        <v>88948</v>
      </c>
      <c r="D4881" t="s">
        <v>40</v>
      </c>
      <c r="E4881" t="s">
        <v>197</v>
      </c>
      <c r="F4881" t="s">
        <v>198</v>
      </c>
      <c r="G4881">
        <v>3</v>
      </c>
      <c r="H4881">
        <v>14.99</v>
      </c>
      <c r="J4881">
        <v>44.97</v>
      </c>
      <c r="K4881" t="s">
        <v>16</v>
      </c>
      <c r="L4881" t="s">
        <v>23</v>
      </c>
      <c r="M4881" t="s">
        <v>47</v>
      </c>
    </row>
    <row r="4882" spans="1:13" x14ac:dyDescent="0.2">
      <c r="A4882">
        <v>905679</v>
      </c>
      <c r="B4882" s="1">
        <v>45354</v>
      </c>
      <c r="C4882">
        <v>22195</v>
      </c>
      <c r="D4882" t="s">
        <v>97</v>
      </c>
      <c r="E4882" t="s">
        <v>181</v>
      </c>
      <c r="F4882" t="s">
        <v>182</v>
      </c>
      <c r="G4882">
        <v>1</v>
      </c>
      <c r="H4882">
        <v>13.49</v>
      </c>
      <c r="I4882">
        <v>0.1</v>
      </c>
      <c r="J4882">
        <v>12.14</v>
      </c>
      <c r="K4882" t="s">
        <v>16</v>
      </c>
      <c r="L4882" t="s">
        <v>17</v>
      </c>
      <c r="M4882" t="s">
        <v>90</v>
      </c>
    </row>
    <row r="4883" spans="1:13" x14ac:dyDescent="0.2">
      <c r="A4883">
        <v>905939</v>
      </c>
      <c r="B4883" s="1">
        <v>44762</v>
      </c>
      <c r="C4883">
        <v>28832</v>
      </c>
      <c r="D4883" t="s">
        <v>97</v>
      </c>
      <c r="E4883" t="s">
        <v>151</v>
      </c>
      <c r="F4883" t="s">
        <v>152</v>
      </c>
      <c r="G4883">
        <v>2</v>
      </c>
      <c r="H4883">
        <v>27.99</v>
      </c>
      <c r="I4883">
        <v>0.2</v>
      </c>
      <c r="J4883">
        <v>44.78</v>
      </c>
      <c r="K4883" t="s">
        <v>22</v>
      </c>
      <c r="L4883" t="s">
        <v>17</v>
      </c>
      <c r="M4883" t="s">
        <v>67</v>
      </c>
    </row>
    <row r="4884" spans="1:13" x14ac:dyDescent="0.2">
      <c r="A4884">
        <v>906054</v>
      </c>
      <c r="B4884" s="1">
        <v>45287</v>
      </c>
      <c r="C4884">
        <v>41545</v>
      </c>
      <c r="D4884" t="s">
        <v>63</v>
      </c>
      <c r="E4884" t="s">
        <v>64</v>
      </c>
      <c r="F4884" t="s">
        <v>65</v>
      </c>
      <c r="G4884">
        <v>4</v>
      </c>
      <c r="H4884">
        <v>3.74</v>
      </c>
      <c r="I4884">
        <v>0.25</v>
      </c>
      <c r="J4884">
        <v>11.22</v>
      </c>
      <c r="K4884" t="s">
        <v>16</v>
      </c>
      <c r="L4884" t="s">
        <v>17</v>
      </c>
      <c r="M4884" t="s">
        <v>47</v>
      </c>
    </row>
    <row r="4885" spans="1:13" x14ac:dyDescent="0.2">
      <c r="A4885">
        <v>906113</v>
      </c>
      <c r="B4885" s="2">
        <v>45028</v>
      </c>
      <c r="C4885">
        <v>53065</v>
      </c>
      <c r="D4885" t="s">
        <v>174</v>
      </c>
      <c r="E4885" t="s">
        <v>157</v>
      </c>
      <c r="F4885" t="s">
        <v>158</v>
      </c>
      <c r="G4885">
        <v>2</v>
      </c>
      <c r="H4885">
        <v>12.14</v>
      </c>
      <c r="I4885">
        <v>0.1</v>
      </c>
      <c r="J4885">
        <v>21.85</v>
      </c>
      <c r="K4885" t="s">
        <v>95</v>
      </c>
      <c r="L4885" t="s">
        <v>17</v>
      </c>
      <c r="M4885" t="s">
        <v>96</v>
      </c>
    </row>
    <row r="4886" spans="1:13" x14ac:dyDescent="0.2">
      <c r="A4886">
        <v>906272</v>
      </c>
      <c r="B4886" s="1">
        <v>45491</v>
      </c>
      <c r="C4886">
        <v>79260</v>
      </c>
      <c r="D4886" t="s">
        <v>48</v>
      </c>
      <c r="E4886" t="s">
        <v>139</v>
      </c>
      <c r="F4886" t="s">
        <v>140</v>
      </c>
      <c r="G4886">
        <v>4</v>
      </c>
      <c r="H4886">
        <v>5.59</v>
      </c>
      <c r="I4886">
        <v>0.3</v>
      </c>
      <c r="J4886">
        <v>15.65</v>
      </c>
      <c r="K4886" t="s">
        <v>16</v>
      </c>
      <c r="L4886" t="s">
        <v>23</v>
      </c>
      <c r="M4886" t="s">
        <v>76</v>
      </c>
    </row>
    <row r="4887" spans="1:13" x14ac:dyDescent="0.2">
      <c r="A4887">
        <v>906301</v>
      </c>
      <c r="B4887" s="1">
        <v>44844</v>
      </c>
      <c r="C4887">
        <v>45533</v>
      </c>
      <c r="D4887" t="s">
        <v>44</v>
      </c>
      <c r="E4887" t="s">
        <v>195</v>
      </c>
      <c r="F4887" t="s">
        <v>196</v>
      </c>
      <c r="G4887">
        <v>2</v>
      </c>
      <c r="H4887">
        <v>4.49</v>
      </c>
      <c r="I4887">
        <v>0.1</v>
      </c>
      <c r="J4887">
        <v>8.08</v>
      </c>
      <c r="K4887" t="s">
        <v>16</v>
      </c>
      <c r="L4887" t="s">
        <v>37</v>
      </c>
      <c r="M4887" t="s">
        <v>161</v>
      </c>
    </row>
    <row r="4888" spans="1:13" x14ac:dyDescent="0.2">
      <c r="A4888">
        <v>906326</v>
      </c>
      <c r="B4888" s="1">
        <v>44613</v>
      </c>
      <c r="C4888">
        <v>60144</v>
      </c>
      <c r="D4888" t="s">
        <v>44</v>
      </c>
      <c r="E4888" t="s">
        <v>45</v>
      </c>
      <c r="F4888" t="s">
        <v>46</v>
      </c>
      <c r="G4888">
        <v>3</v>
      </c>
      <c r="H4888">
        <v>1.52</v>
      </c>
      <c r="J4888">
        <v>4.5599999999999996</v>
      </c>
      <c r="K4888" t="s">
        <v>95</v>
      </c>
      <c r="L4888" t="s">
        <v>37</v>
      </c>
      <c r="M4888" t="s">
        <v>18</v>
      </c>
    </row>
    <row r="4889" spans="1:13" x14ac:dyDescent="0.2">
      <c r="A4889">
        <v>906494</v>
      </c>
      <c r="B4889" s="1">
        <v>45477</v>
      </c>
      <c r="C4889">
        <v>68798</v>
      </c>
      <c r="D4889" t="s">
        <v>29</v>
      </c>
      <c r="E4889" t="s">
        <v>38</v>
      </c>
      <c r="F4889" t="s">
        <v>39</v>
      </c>
      <c r="G4889">
        <v>1</v>
      </c>
      <c r="H4889">
        <v>28.49</v>
      </c>
      <c r="I4889">
        <v>0.05</v>
      </c>
      <c r="J4889">
        <v>27.07</v>
      </c>
      <c r="K4889" t="s">
        <v>53</v>
      </c>
      <c r="L4889" t="s">
        <v>17</v>
      </c>
      <c r="M4889" t="s">
        <v>81</v>
      </c>
    </row>
    <row r="4890" spans="1:13" x14ac:dyDescent="0.2">
      <c r="A4890">
        <v>906502</v>
      </c>
      <c r="B4890" s="1">
        <v>44766</v>
      </c>
      <c r="C4890">
        <v>81855</v>
      </c>
      <c r="D4890" t="s">
        <v>29</v>
      </c>
      <c r="E4890" t="s">
        <v>170</v>
      </c>
      <c r="F4890" t="s">
        <v>171</v>
      </c>
      <c r="G4890">
        <v>2</v>
      </c>
      <c r="H4890">
        <v>13.49</v>
      </c>
      <c r="I4890">
        <v>0.1</v>
      </c>
      <c r="J4890">
        <v>24.28</v>
      </c>
      <c r="K4890" t="s">
        <v>16</v>
      </c>
      <c r="L4890" t="s">
        <v>37</v>
      </c>
      <c r="M4890" t="s">
        <v>90</v>
      </c>
    </row>
    <row r="4891" spans="1:13" x14ac:dyDescent="0.2">
      <c r="A4891">
        <v>906687</v>
      </c>
      <c r="B4891" s="1">
        <v>45168</v>
      </c>
      <c r="C4891">
        <v>20462</v>
      </c>
      <c r="D4891" t="s">
        <v>85</v>
      </c>
      <c r="E4891" t="s">
        <v>137</v>
      </c>
      <c r="F4891" t="s">
        <v>138</v>
      </c>
      <c r="G4891">
        <v>5</v>
      </c>
      <c r="H4891">
        <v>6.39</v>
      </c>
      <c r="I4891">
        <v>0.2</v>
      </c>
      <c r="J4891">
        <v>25.56</v>
      </c>
      <c r="K4891" t="s">
        <v>22</v>
      </c>
      <c r="L4891" t="s">
        <v>37</v>
      </c>
      <c r="M4891" t="s">
        <v>28</v>
      </c>
    </row>
    <row r="4892" spans="1:13" x14ac:dyDescent="0.2">
      <c r="A4892">
        <v>907033</v>
      </c>
      <c r="B4892" s="2">
        <v>45328</v>
      </c>
      <c r="C4892">
        <v>98356</v>
      </c>
      <c r="D4892" t="s">
        <v>44</v>
      </c>
      <c r="E4892" t="s">
        <v>190</v>
      </c>
      <c r="F4892" t="s">
        <v>191</v>
      </c>
      <c r="G4892">
        <v>2</v>
      </c>
      <c r="H4892">
        <v>4.29</v>
      </c>
      <c r="J4892">
        <v>8.58</v>
      </c>
      <c r="K4892" t="s">
        <v>95</v>
      </c>
      <c r="L4892" t="s">
        <v>37</v>
      </c>
      <c r="M4892" t="s">
        <v>33</v>
      </c>
    </row>
    <row r="4893" spans="1:13" x14ac:dyDescent="0.2">
      <c r="A4893">
        <v>907455</v>
      </c>
      <c r="B4893" s="1">
        <v>45634</v>
      </c>
      <c r="C4893">
        <v>51614</v>
      </c>
      <c r="D4893" t="s">
        <v>29</v>
      </c>
      <c r="E4893" t="s">
        <v>72</v>
      </c>
      <c r="F4893" t="s">
        <v>73</v>
      </c>
      <c r="G4893">
        <v>2</v>
      </c>
      <c r="H4893">
        <v>39.99</v>
      </c>
      <c r="J4893">
        <v>79.98</v>
      </c>
      <c r="K4893" t="s">
        <v>95</v>
      </c>
      <c r="L4893" t="s">
        <v>23</v>
      </c>
      <c r="M4893" t="s">
        <v>81</v>
      </c>
    </row>
    <row r="4894" spans="1:13" x14ac:dyDescent="0.2">
      <c r="A4894">
        <v>907690</v>
      </c>
      <c r="B4894" s="1">
        <v>45103</v>
      </c>
      <c r="C4894">
        <v>35761</v>
      </c>
      <c r="D4894" t="s">
        <v>48</v>
      </c>
      <c r="E4894" t="s">
        <v>179</v>
      </c>
      <c r="F4894" t="s">
        <v>180</v>
      </c>
      <c r="G4894">
        <v>1</v>
      </c>
      <c r="H4894">
        <v>8.39</v>
      </c>
      <c r="I4894">
        <v>0.3</v>
      </c>
      <c r="J4894">
        <v>5.87</v>
      </c>
      <c r="K4894" t="s">
        <v>66</v>
      </c>
      <c r="L4894" t="s">
        <v>37</v>
      </c>
      <c r="M4894" t="s">
        <v>117</v>
      </c>
    </row>
    <row r="4895" spans="1:13" x14ac:dyDescent="0.2">
      <c r="A4895">
        <v>907748</v>
      </c>
      <c r="B4895" s="1">
        <v>45604</v>
      </c>
      <c r="C4895">
        <v>40331</v>
      </c>
      <c r="D4895" t="s">
        <v>82</v>
      </c>
      <c r="E4895" t="s">
        <v>83</v>
      </c>
      <c r="F4895" t="s">
        <v>84</v>
      </c>
      <c r="G4895">
        <v>2</v>
      </c>
      <c r="H4895">
        <v>15.29</v>
      </c>
      <c r="I4895">
        <v>0.1</v>
      </c>
      <c r="J4895">
        <v>27.52</v>
      </c>
      <c r="K4895" t="s">
        <v>36</v>
      </c>
      <c r="L4895" t="s">
        <v>17</v>
      </c>
      <c r="M4895" t="s">
        <v>47</v>
      </c>
    </row>
    <row r="4896" spans="1:13" x14ac:dyDescent="0.2">
      <c r="A4896">
        <v>907869</v>
      </c>
      <c r="B4896" s="1">
        <v>45585</v>
      </c>
      <c r="C4896">
        <v>54926</v>
      </c>
      <c r="D4896" t="s">
        <v>63</v>
      </c>
      <c r="E4896" t="s">
        <v>64</v>
      </c>
      <c r="F4896" t="s">
        <v>65</v>
      </c>
      <c r="G4896">
        <v>4</v>
      </c>
      <c r="H4896">
        <v>4.49</v>
      </c>
      <c r="I4896">
        <v>0.1</v>
      </c>
      <c r="J4896">
        <v>16.16</v>
      </c>
      <c r="K4896" t="s">
        <v>22</v>
      </c>
      <c r="L4896" t="s">
        <v>23</v>
      </c>
      <c r="M4896" t="s">
        <v>62</v>
      </c>
    </row>
    <row r="4897" spans="1:13" x14ac:dyDescent="0.2">
      <c r="A4897">
        <v>907988</v>
      </c>
      <c r="B4897" s="1">
        <v>44835</v>
      </c>
      <c r="C4897">
        <v>33064</v>
      </c>
      <c r="D4897" t="s">
        <v>29</v>
      </c>
      <c r="E4897" t="s">
        <v>88</v>
      </c>
      <c r="F4897" t="s">
        <v>89</v>
      </c>
      <c r="G4897">
        <v>2</v>
      </c>
      <c r="H4897">
        <v>47.49</v>
      </c>
      <c r="I4897">
        <v>0.05</v>
      </c>
      <c r="J4897">
        <v>90.23</v>
      </c>
      <c r="K4897" t="s">
        <v>16</v>
      </c>
      <c r="L4897" t="s">
        <v>17</v>
      </c>
      <c r="M4897" t="s">
        <v>103</v>
      </c>
    </row>
    <row r="4898" spans="1:13" x14ac:dyDescent="0.2">
      <c r="A4898">
        <v>908244</v>
      </c>
      <c r="B4898" s="1">
        <v>44753</v>
      </c>
      <c r="C4898">
        <v>60315</v>
      </c>
      <c r="D4898" t="s">
        <v>13</v>
      </c>
      <c r="E4898" t="s">
        <v>55</v>
      </c>
      <c r="F4898" t="s">
        <v>56</v>
      </c>
      <c r="G4898">
        <v>1</v>
      </c>
      <c r="H4898">
        <v>329.99</v>
      </c>
      <c r="J4898">
        <v>329.99</v>
      </c>
      <c r="K4898" t="s">
        <v>22</v>
      </c>
      <c r="L4898" t="s">
        <v>37</v>
      </c>
      <c r="M4898" t="s">
        <v>103</v>
      </c>
    </row>
    <row r="4899" spans="1:13" x14ac:dyDescent="0.2">
      <c r="A4899">
        <v>908251</v>
      </c>
      <c r="B4899" s="1">
        <v>45100</v>
      </c>
      <c r="C4899">
        <v>55683</v>
      </c>
      <c r="D4899" t="s">
        <v>13</v>
      </c>
      <c r="E4899" t="s">
        <v>104</v>
      </c>
      <c r="F4899" t="s">
        <v>105</v>
      </c>
      <c r="G4899">
        <v>1</v>
      </c>
      <c r="H4899">
        <v>29.99</v>
      </c>
      <c r="J4899">
        <v>29.99</v>
      </c>
      <c r="K4899" t="s">
        <v>22</v>
      </c>
      <c r="L4899" t="s">
        <v>17</v>
      </c>
      <c r="M4899" t="s">
        <v>54</v>
      </c>
    </row>
    <row r="4900" spans="1:13" x14ac:dyDescent="0.2">
      <c r="A4900">
        <v>908274</v>
      </c>
      <c r="B4900" s="1">
        <v>44565</v>
      </c>
      <c r="C4900">
        <v>90134</v>
      </c>
      <c r="D4900" t="s">
        <v>29</v>
      </c>
      <c r="E4900" t="s">
        <v>170</v>
      </c>
      <c r="F4900" t="s">
        <v>171</v>
      </c>
      <c r="G4900">
        <v>4</v>
      </c>
      <c r="H4900">
        <v>11.99</v>
      </c>
      <c r="I4900">
        <v>0.2</v>
      </c>
      <c r="J4900">
        <v>38.369999999999997</v>
      </c>
      <c r="K4900" t="s">
        <v>36</v>
      </c>
      <c r="L4900" t="s">
        <v>17</v>
      </c>
      <c r="M4900" t="s">
        <v>117</v>
      </c>
    </row>
    <row r="4901" spans="1:13" x14ac:dyDescent="0.2">
      <c r="A4901">
        <v>908414</v>
      </c>
      <c r="B4901" s="2">
        <v>44936</v>
      </c>
      <c r="C4901">
        <v>44983</v>
      </c>
      <c r="D4901" t="s">
        <v>40</v>
      </c>
      <c r="E4901" t="s">
        <v>197</v>
      </c>
      <c r="F4901" t="s">
        <v>198</v>
      </c>
      <c r="G4901">
        <v>5</v>
      </c>
      <c r="H4901">
        <v>14.99</v>
      </c>
      <c r="J4901">
        <v>74.95</v>
      </c>
      <c r="K4901" t="s">
        <v>16</v>
      </c>
      <c r="L4901" t="s">
        <v>17</v>
      </c>
      <c r="M4901" t="s">
        <v>67</v>
      </c>
    </row>
    <row r="4902" spans="1:13" x14ac:dyDescent="0.2">
      <c r="A4902">
        <v>908422</v>
      </c>
      <c r="B4902" s="1">
        <v>45434</v>
      </c>
      <c r="C4902">
        <v>23848</v>
      </c>
      <c r="D4902" t="s">
        <v>48</v>
      </c>
      <c r="E4902" t="s">
        <v>143</v>
      </c>
      <c r="F4902" t="s">
        <v>144</v>
      </c>
      <c r="G4902">
        <v>1</v>
      </c>
      <c r="H4902">
        <v>11.99</v>
      </c>
      <c r="I4902">
        <v>0.2</v>
      </c>
      <c r="J4902">
        <v>9.59</v>
      </c>
      <c r="K4902" t="s">
        <v>95</v>
      </c>
      <c r="L4902" t="s">
        <v>17</v>
      </c>
      <c r="M4902" t="s">
        <v>54</v>
      </c>
    </row>
    <row r="4903" spans="1:13" x14ac:dyDescent="0.2">
      <c r="A4903">
        <v>908791</v>
      </c>
      <c r="B4903" s="1">
        <v>45561</v>
      </c>
      <c r="C4903">
        <v>82990</v>
      </c>
      <c r="D4903" t="s">
        <v>85</v>
      </c>
      <c r="E4903" t="s">
        <v>145</v>
      </c>
      <c r="F4903" t="s">
        <v>146</v>
      </c>
      <c r="G4903">
        <v>2</v>
      </c>
      <c r="H4903">
        <v>11.89</v>
      </c>
      <c r="I4903">
        <v>0.3</v>
      </c>
      <c r="J4903">
        <v>16.649999999999999</v>
      </c>
      <c r="K4903" t="s">
        <v>16</v>
      </c>
      <c r="L4903" t="s">
        <v>17</v>
      </c>
      <c r="M4903" t="s">
        <v>62</v>
      </c>
    </row>
    <row r="4904" spans="1:13" x14ac:dyDescent="0.2">
      <c r="A4904">
        <v>908856</v>
      </c>
      <c r="B4904" s="1">
        <v>44964</v>
      </c>
      <c r="C4904">
        <v>82975</v>
      </c>
      <c r="D4904" t="s">
        <v>82</v>
      </c>
      <c r="E4904" t="s">
        <v>83</v>
      </c>
      <c r="F4904" t="s">
        <v>84</v>
      </c>
      <c r="G4904">
        <v>2</v>
      </c>
      <c r="H4904">
        <v>11.89</v>
      </c>
      <c r="I4904">
        <v>0.3</v>
      </c>
      <c r="J4904">
        <v>16.649999999999999</v>
      </c>
      <c r="K4904" t="s">
        <v>32</v>
      </c>
      <c r="L4904" t="s">
        <v>23</v>
      </c>
      <c r="M4904" t="s">
        <v>47</v>
      </c>
    </row>
    <row r="4905" spans="1:13" x14ac:dyDescent="0.2">
      <c r="A4905">
        <v>909605</v>
      </c>
      <c r="B4905" s="1">
        <v>44845</v>
      </c>
      <c r="C4905">
        <v>12751</v>
      </c>
      <c r="D4905" t="s">
        <v>48</v>
      </c>
      <c r="E4905" t="s">
        <v>109</v>
      </c>
      <c r="F4905" t="s">
        <v>110</v>
      </c>
      <c r="G4905">
        <v>5</v>
      </c>
      <c r="H4905">
        <v>6.99</v>
      </c>
      <c r="J4905">
        <v>34.950000000000003</v>
      </c>
      <c r="K4905" t="s">
        <v>53</v>
      </c>
      <c r="L4905" t="s">
        <v>17</v>
      </c>
      <c r="M4905" t="s">
        <v>76</v>
      </c>
    </row>
    <row r="4906" spans="1:13" x14ac:dyDescent="0.2">
      <c r="A4906">
        <v>909642</v>
      </c>
      <c r="B4906" s="1">
        <v>45229</v>
      </c>
      <c r="C4906">
        <v>74174</v>
      </c>
      <c r="D4906" t="s">
        <v>29</v>
      </c>
      <c r="E4906" t="s">
        <v>30</v>
      </c>
      <c r="F4906" t="s">
        <v>31</v>
      </c>
      <c r="G4906">
        <v>1</v>
      </c>
      <c r="H4906">
        <v>21.24</v>
      </c>
      <c r="I4906">
        <v>0.15</v>
      </c>
      <c r="J4906">
        <v>18.05</v>
      </c>
      <c r="K4906" t="s">
        <v>16</v>
      </c>
      <c r="L4906" t="s">
        <v>17</v>
      </c>
      <c r="M4906" t="s">
        <v>96</v>
      </c>
    </row>
    <row r="4907" spans="1:13" x14ac:dyDescent="0.2">
      <c r="A4907">
        <v>909652</v>
      </c>
      <c r="B4907" s="1">
        <v>44866</v>
      </c>
      <c r="C4907">
        <v>75683</v>
      </c>
      <c r="D4907" t="s">
        <v>63</v>
      </c>
      <c r="E4907" t="s">
        <v>125</v>
      </c>
      <c r="F4907" t="s">
        <v>126</v>
      </c>
      <c r="G4907">
        <v>2</v>
      </c>
      <c r="H4907">
        <v>25.49</v>
      </c>
      <c r="I4907">
        <v>0.15</v>
      </c>
      <c r="J4907">
        <v>43.33</v>
      </c>
      <c r="K4907" t="s">
        <v>16</v>
      </c>
      <c r="L4907" t="s">
        <v>37</v>
      </c>
      <c r="M4907" t="s">
        <v>54</v>
      </c>
    </row>
    <row r="4908" spans="1:13" x14ac:dyDescent="0.2">
      <c r="A4908">
        <v>909789</v>
      </c>
      <c r="B4908" s="1">
        <v>44627</v>
      </c>
      <c r="C4908">
        <v>36900</v>
      </c>
      <c r="D4908" t="s">
        <v>82</v>
      </c>
      <c r="E4908" t="s">
        <v>168</v>
      </c>
      <c r="F4908" t="s">
        <v>169</v>
      </c>
      <c r="G4908">
        <v>1</v>
      </c>
      <c r="H4908">
        <v>8.09</v>
      </c>
      <c r="I4908">
        <v>0.1</v>
      </c>
      <c r="J4908">
        <v>7.28</v>
      </c>
      <c r="K4908" t="s">
        <v>53</v>
      </c>
      <c r="L4908" t="s">
        <v>37</v>
      </c>
      <c r="M4908" t="s">
        <v>103</v>
      </c>
    </row>
    <row r="4909" spans="1:13" x14ac:dyDescent="0.2">
      <c r="A4909">
        <v>909932</v>
      </c>
      <c r="B4909" s="1">
        <v>45179</v>
      </c>
      <c r="C4909">
        <v>59526</v>
      </c>
      <c r="D4909" t="s">
        <v>13</v>
      </c>
      <c r="E4909" t="s">
        <v>127</v>
      </c>
      <c r="F4909" t="s">
        <v>128</v>
      </c>
      <c r="G4909">
        <v>1</v>
      </c>
      <c r="H4909">
        <v>19.989999999999998</v>
      </c>
      <c r="J4909">
        <v>19.989999999999998</v>
      </c>
      <c r="K4909" t="s">
        <v>22</v>
      </c>
      <c r="L4909" t="s">
        <v>17</v>
      </c>
      <c r="M4909" t="s">
        <v>81</v>
      </c>
    </row>
    <row r="4910" spans="1:13" x14ac:dyDescent="0.2">
      <c r="A4910">
        <v>909947</v>
      </c>
      <c r="B4910" s="1">
        <v>45064</v>
      </c>
      <c r="C4910">
        <v>52972</v>
      </c>
      <c r="D4910" t="s">
        <v>29</v>
      </c>
      <c r="E4910" t="s">
        <v>30</v>
      </c>
      <c r="F4910" t="s">
        <v>31</v>
      </c>
      <c r="G4910">
        <v>2</v>
      </c>
      <c r="H4910">
        <v>21.24</v>
      </c>
      <c r="I4910">
        <v>0.15</v>
      </c>
      <c r="J4910">
        <v>36.11</v>
      </c>
      <c r="K4910" t="s">
        <v>16</v>
      </c>
      <c r="L4910" t="s">
        <v>17</v>
      </c>
      <c r="M4910" t="s">
        <v>90</v>
      </c>
    </row>
    <row r="4911" spans="1:13" x14ac:dyDescent="0.2">
      <c r="A4911">
        <v>910099</v>
      </c>
      <c r="B4911" s="1">
        <v>44642</v>
      </c>
      <c r="C4911">
        <v>81022</v>
      </c>
      <c r="D4911" t="s">
        <v>48</v>
      </c>
      <c r="E4911" t="s">
        <v>118</v>
      </c>
      <c r="F4911" t="s">
        <v>119</v>
      </c>
      <c r="G4911">
        <v>2</v>
      </c>
      <c r="H4911">
        <v>3.49</v>
      </c>
      <c r="I4911">
        <v>0.3</v>
      </c>
      <c r="J4911">
        <v>4.8899999999999997</v>
      </c>
      <c r="K4911" t="s">
        <v>36</v>
      </c>
      <c r="L4911" t="s">
        <v>17</v>
      </c>
      <c r="M4911" t="s">
        <v>90</v>
      </c>
    </row>
    <row r="4912" spans="1:13" x14ac:dyDescent="0.2">
      <c r="A4912">
        <v>910247</v>
      </c>
      <c r="B4912" s="2">
        <v>45253</v>
      </c>
      <c r="C4912">
        <v>31759</v>
      </c>
      <c r="D4912" t="s">
        <v>48</v>
      </c>
      <c r="E4912" t="s">
        <v>143</v>
      </c>
      <c r="F4912" t="s">
        <v>144</v>
      </c>
      <c r="G4912">
        <v>3</v>
      </c>
      <c r="H4912">
        <v>14.24</v>
      </c>
      <c r="I4912">
        <v>0.05</v>
      </c>
      <c r="J4912">
        <v>40.58</v>
      </c>
      <c r="K4912" t="s">
        <v>53</v>
      </c>
      <c r="L4912" t="s">
        <v>17</v>
      </c>
      <c r="M4912" t="s">
        <v>120</v>
      </c>
    </row>
    <row r="4913" spans="1:13" x14ac:dyDescent="0.2">
      <c r="A4913">
        <v>910331</v>
      </c>
      <c r="B4913" s="1">
        <v>45277</v>
      </c>
      <c r="C4913">
        <v>45670</v>
      </c>
      <c r="D4913" t="s">
        <v>63</v>
      </c>
      <c r="E4913" t="s">
        <v>131</v>
      </c>
      <c r="F4913" t="s">
        <v>132</v>
      </c>
      <c r="G4913">
        <v>4</v>
      </c>
      <c r="H4913">
        <v>3.49</v>
      </c>
      <c r="J4913">
        <v>13.96</v>
      </c>
      <c r="K4913" t="s">
        <v>16</v>
      </c>
      <c r="L4913" t="s">
        <v>17</v>
      </c>
      <c r="M4913" t="s">
        <v>62</v>
      </c>
    </row>
    <row r="4914" spans="1:13" x14ac:dyDescent="0.2">
      <c r="A4914">
        <v>910344</v>
      </c>
      <c r="B4914" s="1">
        <v>45559</v>
      </c>
      <c r="C4914">
        <v>72336</v>
      </c>
      <c r="D4914" t="s">
        <v>44</v>
      </c>
      <c r="E4914" t="s">
        <v>91</v>
      </c>
      <c r="F4914" t="s">
        <v>92</v>
      </c>
      <c r="G4914">
        <v>1</v>
      </c>
      <c r="H4914">
        <v>6.29</v>
      </c>
      <c r="J4914">
        <v>6.29</v>
      </c>
      <c r="K4914" t="s">
        <v>16</v>
      </c>
      <c r="L4914" t="s">
        <v>37</v>
      </c>
      <c r="M4914" t="s">
        <v>123</v>
      </c>
    </row>
    <row r="4915" spans="1:13" x14ac:dyDescent="0.2">
      <c r="A4915">
        <v>910491</v>
      </c>
      <c r="B4915" s="1">
        <v>44589</v>
      </c>
      <c r="C4915">
        <v>64466</v>
      </c>
      <c r="D4915" t="s">
        <v>97</v>
      </c>
      <c r="E4915" t="s">
        <v>181</v>
      </c>
      <c r="F4915" t="s">
        <v>182</v>
      </c>
      <c r="G4915">
        <v>1</v>
      </c>
      <c r="H4915">
        <v>11.24</v>
      </c>
      <c r="I4915">
        <v>0.25</v>
      </c>
      <c r="J4915">
        <v>8.43</v>
      </c>
      <c r="K4915" t="s">
        <v>16</v>
      </c>
      <c r="L4915" t="s">
        <v>17</v>
      </c>
      <c r="M4915" t="s">
        <v>96</v>
      </c>
    </row>
    <row r="4916" spans="1:13" x14ac:dyDescent="0.2">
      <c r="A4916">
        <v>910694</v>
      </c>
      <c r="B4916" s="1">
        <v>45158</v>
      </c>
      <c r="C4916">
        <v>93793</v>
      </c>
      <c r="D4916" t="s">
        <v>25</v>
      </c>
      <c r="E4916" t="s">
        <v>51</v>
      </c>
      <c r="F4916" t="s">
        <v>52</v>
      </c>
      <c r="G4916">
        <v>1</v>
      </c>
      <c r="H4916">
        <v>27.99</v>
      </c>
      <c r="J4916">
        <v>27.99</v>
      </c>
      <c r="K4916" t="s">
        <v>16</v>
      </c>
      <c r="L4916" t="s">
        <v>17</v>
      </c>
      <c r="M4916" t="s">
        <v>81</v>
      </c>
    </row>
    <row r="4917" spans="1:13" x14ac:dyDescent="0.2">
      <c r="A4917">
        <v>910885</v>
      </c>
      <c r="B4917" s="2">
        <v>45647</v>
      </c>
      <c r="C4917">
        <v>59391</v>
      </c>
      <c r="D4917" t="s">
        <v>25</v>
      </c>
      <c r="E4917" t="s">
        <v>113</v>
      </c>
      <c r="F4917" t="s">
        <v>114</v>
      </c>
      <c r="G4917">
        <v>1</v>
      </c>
      <c r="H4917">
        <v>101.99</v>
      </c>
      <c r="I4917">
        <v>0.15</v>
      </c>
      <c r="J4917">
        <v>86.69</v>
      </c>
      <c r="K4917" t="s">
        <v>36</v>
      </c>
      <c r="L4917" t="s">
        <v>17</v>
      </c>
      <c r="M4917" t="s">
        <v>90</v>
      </c>
    </row>
    <row r="4918" spans="1:13" x14ac:dyDescent="0.2">
      <c r="A4918">
        <v>911159</v>
      </c>
      <c r="B4918" s="1">
        <v>44696</v>
      </c>
      <c r="C4918">
        <v>36945</v>
      </c>
      <c r="D4918" t="s">
        <v>124</v>
      </c>
      <c r="E4918" t="s">
        <v>125</v>
      </c>
      <c r="F4918" t="s">
        <v>126</v>
      </c>
      <c r="G4918">
        <v>3</v>
      </c>
      <c r="H4918">
        <v>28.49</v>
      </c>
      <c r="I4918">
        <v>0.05</v>
      </c>
      <c r="J4918">
        <v>81.2</v>
      </c>
      <c r="K4918" t="s">
        <v>32</v>
      </c>
      <c r="L4918" t="s">
        <v>37</v>
      </c>
      <c r="M4918" t="s">
        <v>43</v>
      </c>
    </row>
    <row r="4919" spans="1:13" x14ac:dyDescent="0.2">
      <c r="A4919">
        <v>911279</v>
      </c>
      <c r="B4919" s="2">
        <v>44716</v>
      </c>
      <c r="C4919">
        <v>50983</v>
      </c>
      <c r="D4919" t="s">
        <v>48</v>
      </c>
      <c r="E4919" t="s">
        <v>179</v>
      </c>
      <c r="F4919" t="s">
        <v>180</v>
      </c>
      <c r="G4919">
        <v>5</v>
      </c>
      <c r="H4919">
        <v>10.19</v>
      </c>
      <c r="I4919">
        <v>0.15</v>
      </c>
      <c r="J4919">
        <v>43.31</v>
      </c>
      <c r="K4919" t="s">
        <v>16</v>
      </c>
      <c r="L4919" t="s">
        <v>17</v>
      </c>
      <c r="M4919" t="s">
        <v>103</v>
      </c>
    </row>
    <row r="4920" spans="1:13" x14ac:dyDescent="0.2">
      <c r="A4920">
        <v>911298</v>
      </c>
      <c r="B4920" s="2">
        <v>45188</v>
      </c>
      <c r="C4920">
        <v>89652</v>
      </c>
      <c r="D4920" t="s">
        <v>25</v>
      </c>
      <c r="E4920" t="s">
        <v>51</v>
      </c>
      <c r="F4920" t="s">
        <v>52</v>
      </c>
      <c r="G4920">
        <v>2</v>
      </c>
      <c r="H4920">
        <v>26.59</v>
      </c>
      <c r="I4920">
        <v>0.05</v>
      </c>
      <c r="J4920">
        <v>50.52</v>
      </c>
      <c r="K4920" t="s">
        <v>16</v>
      </c>
      <c r="L4920" t="s">
        <v>17</v>
      </c>
      <c r="M4920" t="s">
        <v>96</v>
      </c>
    </row>
    <row r="4921" spans="1:13" x14ac:dyDescent="0.2">
      <c r="A4921">
        <v>911455</v>
      </c>
      <c r="B4921" s="1">
        <v>44567</v>
      </c>
      <c r="C4921">
        <v>38167</v>
      </c>
      <c r="D4921" t="s">
        <v>200</v>
      </c>
      <c r="E4921" t="s">
        <v>113</v>
      </c>
      <c r="F4921" t="s">
        <v>114</v>
      </c>
      <c r="G4921">
        <v>2</v>
      </c>
      <c r="H4921">
        <v>119.99</v>
      </c>
      <c r="J4921">
        <v>239.98</v>
      </c>
      <c r="K4921" t="s">
        <v>16</v>
      </c>
      <c r="L4921" t="s">
        <v>37</v>
      </c>
      <c r="M4921" t="s">
        <v>18</v>
      </c>
    </row>
    <row r="4922" spans="1:13" x14ac:dyDescent="0.2">
      <c r="A4922">
        <v>911486</v>
      </c>
      <c r="B4922" s="1">
        <v>45653</v>
      </c>
      <c r="C4922">
        <v>78297</v>
      </c>
      <c r="D4922" t="s">
        <v>25</v>
      </c>
      <c r="E4922" t="s">
        <v>70</v>
      </c>
      <c r="F4922" t="s">
        <v>71</v>
      </c>
      <c r="G4922">
        <v>4</v>
      </c>
      <c r="H4922">
        <v>76.489999999999995</v>
      </c>
      <c r="I4922">
        <v>0.15</v>
      </c>
      <c r="J4922">
        <v>260.07</v>
      </c>
      <c r="K4922" t="s">
        <v>22</v>
      </c>
      <c r="L4922" t="s">
        <v>23</v>
      </c>
      <c r="M4922" t="s">
        <v>120</v>
      </c>
    </row>
    <row r="4923" spans="1:13" x14ac:dyDescent="0.2">
      <c r="A4923">
        <v>911524</v>
      </c>
      <c r="B4923" s="1">
        <v>44936</v>
      </c>
      <c r="C4923">
        <v>46735</v>
      </c>
      <c r="D4923" t="s">
        <v>85</v>
      </c>
      <c r="E4923" t="s">
        <v>137</v>
      </c>
      <c r="F4923" t="s">
        <v>138</v>
      </c>
      <c r="G4923">
        <v>3</v>
      </c>
      <c r="H4923">
        <v>6.79</v>
      </c>
      <c r="I4923">
        <v>0.15</v>
      </c>
      <c r="J4923">
        <v>17.309999999999999</v>
      </c>
      <c r="K4923" t="s">
        <v>36</v>
      </c>
      <c r="L4923" t="s">
        <v>37</v>
      </c>
      <c r="M4923" t="s">
        <v>90</v>
      </c>
    </row>
    <row r="4924" spans="1:13" x14ac:dyDescent="0.2">
      <c r="A4924">
        <v>911741</v>
      </c>
      <c r="B4924" s="1">
        <v>44636</v>
      </c>
      <c r="C4924">
        <v>17881</v>
      </c>
      <c r="D4924" t="s">
        <v>63</v>
      </c>
      <c r="E4924" t="s">
        <v>111</v>
      </c>
      <c r="F4924" t="s">
        <v>112</v>
      </c>
      <c r="G4924">
        <v>3</v>
      </c>
      <c r="H4924">
        <v>11.99</v>
      </c>
      <c r="I4924">
        <v>0.2</v>
      </c>
      <c r="J4924">
        <v>28.78</v>
      </c>
      <c r="K4924" t="s">
        <v>22</v>
      </c>
      <c r="L4924" t="s">
        <v>17</v>
      </c>
      <c r="M4924" t="s">
        <v>96</v>
      </c>
    </row>
    <row r="4925" spans="1:13" x14ac:dyDescent="0.2">
      <c r="A4925">
        <v>911828</v>
      </c>
      <c r="B4925" s="1">
        <v>45297</v>
      </c>
      <c r="C4925">
        <v>95976</v>
      </c>
      <c r="D4925" t="s">
        <v>44</v>
      </c>
      <c r="E4925" t="s">
        <v>195</v>
      </c>
      <c r="F4925" t="s">
        <v>196</v>
      </c>
      <c r="G4925">
        <v>1</v>
      </c>
      <c r="H4925">
        <v>3.49</v>
      </c>
      <c r="I4925">
        <v>0.3</v>
      </c>
      <c r="J4925">
        <v>2.44</v>
      </c>
      <c r="K4925" t="s">
        <v>36</v>
      </c>
      <c r="L4925" t="s">
        <v>37</v>
      </c>
      <c r="M4925" t="s">
        <v>57</v>
      </c>
    </row>
    <row r="4926" spans="1:13" x14ac:dyDescent="0.2">
      <c r="A4926">
        <v>911895</v>
      </c>
      <c r="B4926" s="1">
        <v>45384</v>
      </c>
      <c r="C4926">
        <v>40304</v>
      </c>
      <c r="D4926" t="s">
        <v>63</v>
      </c>
      <c r="E4926" t="s">
        <v>68</v>
      </c>
      <c r="F4926" t="s">
        <v>69</v>
      </c>
      <c r="G4926">
        <v>1</v>
      </c>
      <c r="H4926">
        <v>19.989999999999998</v>
      </c>
      <c r="I4926">
        <v>0.2</v>
      </c>
      <c r="J4926">
        <v>15.99</v>
      </c>
      <c r="K4926" t="s">
        <v>16</v>
      </c>
      <c r="L4926" t="s">
        <v>37</v>
      </c>
      <c r="M4926" t="s">
        <v>123</v>
      </c>
    </row>
    <row r="4927" spans="1:13" x14ac:dyDescent="0.2">
      <c r="A4927">
        <v>912219</v>
      </c>
      <c r="B4927" s="2">
        <v>44829</v>
      </c>
      <c r="C4927">
        <v>87586</v>
      </c>
      <c r="D4927" t="s">
        <v>29</v>
      </c>
      <c r="E4927" t="s">
        <v>72</v>
      </c>
      <c r="F4927" t="s">
        <v>73</v>
      </c>
      <c r="G4927">
        <v>5</v>
      </c>
      <c r="H4927">
        <v>37.99</v>
      </c>
      <c r="I4927">
        <v>0.05</v>
      </c>
      <c r="J4927">
        <v>180.45</v>
      </c>
      <c r="K4927" t="s">
        <v>16</v>
      </c>
      <c r="L4927" t="s">
        <v>17</v>
      </c>
      <c r="M4927" t="s">
        <v>103</v>
      </c>
    </row>
    <row r="4928" spans="1:13" x14ac:dyDescent="0.2">
      <c r="A4928">
        <v>912270</v>
      </c>
      <c r="B4928" s="2">
        <v>44824</v>
      </c>
      <c r="C4928">
        <v>16754</v>
      </c>
      <c r="D4928" t="s">
        <v>13</v>
      </c>
      <c r="E4928" t="s">
        <v>14</v>
      </c>
      <c r="F4928" t="s">
        <v>15</v>
      </c>
      <c r="G4928">
        <v>1</v>
      </c>
      <c r="H4928">
        <v>75.989999999999995</v>
      </c>
      <c r="I4928">
        <v>0.05</v>
      </c>
      <c r="J4928">
        <v>72.19</v>
      </c>
      <c r="K4928" t="s">
        <v>95</v>
      </c>
      <c r="L4928" t="s">
        <v>17</v>
      </c>
      <c r="M4928" t="s">
        <v>57</v>
      </c>
    </row>
    <row r="4929" spans="1:13" x14ac:dyDescent="0.2">
      <c r="A4929">
        <v>912361</v>
      </c>
      <c r="B4929" s="1">
        <v>45326</v>
      </c>
      <c r="C4929">
        <v>30650</v>
      </c>
      <c r="D4929" t="s">
        <v>40</v>
      </c>
      <c r="E4929" t="s">
        <v>20</v>
      </c>
      <c r="F4929" t="s">
        <v>21</v>
      </c>
      <c r="G4929">
        <v>1</v>
      </c>
      <c r="H4929">
        <v>9.99</v>
      </c>
      <c r="J4929">
        <v>9.99</v>
      </c>
      <c r="K4929" t="s">
        <v>95</v>
      </c>
      <c r="L4929" t="s">
        <v>17</v>
      </c>
      <c r="M4929" t="s">
        <v>102</v>
      </c>
    </row>
    <row r="4930" spans="1:13" x14ac:dyDescent="0.2">
      <c r="A4930">
        <v>912612</v>
      </c>
      <c r="B4930" s="2">
        <v>45351</v>
      </c>
      <c r="C4930">
        <v>48837</v>
      </c>
      <c r="D4930" t="s">
        <v>97</v>
      </c>
      <c r="E4930" t="s">
        <v>181</v>
      </c>
      <c r="F4930" t="s">
        <v>182</v>
      </c>
      <c r="G4930">
        <v>4</v>
      </c>
      <c r="H4930">
        <v>14.24</v>
      </c>
      <c r="I4930">
        <v>0.05</v>
      </c>
      <c r="J4930">
        <v>54.11</v>
      </c>
      <c r="K4930" t="s">
        <v>16</v>
      </c>
      <c r="L4930" t="s">
        <v>17</v>
      </c>
      <c r="M4930" t="s">
        <v>28</v>
      </c>
    </row>
    <row r="4931" spans="1:13" x14ac:dyDescent="0.2">
      <c r="A4931">
        <v>912727</v>
      </c>
      <c r="B4931" s="1">
        <v>44987</v>
      </c>
      <c r="C4931">
        <v>39154</v>
      </c>
      <c r="D4931" t="s">
        <v>82</v>
      </c>
      <c r="E4931" t="s">
        <v>100</v>
      </c>
      <c r="F4931" t="s">
        <v>101</v>
      </c>
      <c r="G4931">
        <v>4</v>
      </c>
      <c r="H4931">
        <v>22.99</v>
      </c>
      <c r="J4931">
        <v>91.96</v>
      </c>
      <c r="K4931" t="s">
        <v>16</v>
      </c>
      <c r="L4931" t="s">
        <v>17</v>
      </c>
      <c r="M4931" t="s">
        <v>28</v>
      </c>
    </row>
    <row r="4932" spans="1:13" x14ac:dyDescent="0.2">
      <c r="A4932">
        <v>912834</v>
      </c>
      <c r="B4932" s="1">
        <v>45531</v>
      </c>
      <c r="C4932">
        <v>66948</v>
      </c>
      <c r="D4932" t="s">
        <v>85</v>
      </c>
      <c r="E4932" t="s">
        <v>153</v>
      </c>
      <c r="F4932" t="s">
        <v>154</v>
      </c>
      <c r="G4932">
        <v>1</v>
      </c>
      <c r="H4932">
        <v>29.99</v>
      </c>
      <c r="J4932">
        <v>29.99</v>
      </c>
      <c r="K4932" t="s">
        <v>36</v>
      </c>
      <c r="L4932" t="s">
        <v>17</v>
      </c>
      <c r="M4932" t="s">
        <v>43</v>
      </c>
    </row>
    <row r="4933" spans="1:13" x14ac:dyDescent="0.2">
      <c r="A4933">
        <v>912939</v>
      </c>
      <c r="B4933" s="2">
        <v>45237</v>
      </c>
      <c r="C4933">
        <v>97086</v>
      </c>
      <c r="D4933" t="s">
        <v>97</v>
      </c>
      <c r="E4933" t="s">
        <v>165</v>
      </c>
      <c r="F4933" t="s">
        <v>166</v>
      </c>
      <c r="G4933">
        <v>4</v>
      </c>
      <c r="H4933">
        <v>76.489999999999995</v>
      </c>
      <c r="I4933">
        <v>0.15</v>
      </c>
      <c r="J4933">
        <v>260.07</v>
      </c>
      <c r="K4933" t="s">
        <v>36</v>
      </c>
      <c r="L4933" t="s">
        <v>17</v>
      </c>
      <c r="M4933" t="s">
        <v>33</v>
      </c>
    </row>
    <row r="4934" spans="1:13" x14ac:dyDescent="0.2">
      <c r="A4934">
        <v>913308</v>
      </c>
      <c r="B4934" s="2">
        <v>44738</v>
      </c>
      <c r="C4934">
        <v>95137</v>
      </c>
      <c r="D4934" t="s">
        <v>29</v>
      </c>
      <c r="E4934" t="s">
        <v>72</v>
      </c>
      <c r="F4934" t="s">
        <v>73</v>
      </c>
      <c r="G4934">
        <v>5</v>
      </c>
      <c r="H4934">
        <v>35.99</v>
      </c>
      <c r="I4934">
        <v>0.1</v>
      </c>
      <c r="J4934">
        <v>161.96</v>
      </c>
      <c r="K4934" t="s">
        <v>36</v>
      </c>
      <c r="L4934" t="s">
        <v>17</v>
      </c>
    </row>
    <row r="4935" spans="1:13" x14ac:dyDescent="0.2">
      <c r="A4935">
        <v>913657</v>
      </c>
      <c r="B4935" s="1">
        <v>44836</v>
      </c>
      <c r="C4935">
        <v>92258</v>
      </c>
      <c r="D4935" t="s">
        <v>13</v>
      </c>
      <c r="E4935" t="s">
        <v>159</v>
      </c>
      <c r="F4935" t="s">
        <v>160</v>
      </c>
      <c r="G4935">
        <v>2</v>
      </c>
      <c r="H4935">
        <v>59.99</v>
      </c>
      <c r="J4935">
        <v>119.98</v>
      </c>
      <c r="K4935" t="s">
        <v>32</v>
      </c>
      <c r="L4935" t="s">
        <v>17</v>
      </c>
      <c r="M4935" t="s">
        <v>67</v>
      </c>
    </row>
    <row r="4936" spans="1:13" x14ac:dyDescent="0.2">
      <c r="A4936">
        <v>913670</v>
      </c>
      <c r="B4936" s="1">
        <v>45189</v>
      </c>
      <c r="C4936">
        <v>25731</v>
      </c>
      <c r="D4936" t="s">
        <v>40</v>
      </c>
      <c r="E4936" t="s">
        <v>41</v>
      </c>
      <c r="F4936" t="s">
        <v>42</v>
      </c>
      <c r="G4936">
        <v>3</v>
      </c>
      <c r="H4936">
        <v>4.79</v>
      </c>
      <c r="I4936">
        <v>0.2</v>
      </c>
      <c r="J4936">
        <v>11.5</v>
      </c>
      <c r="K4936" t="s">
        <v>36</v>
      </c>
      <c r="L4936" t="s">
        <v>17</v>
      </c>
      <c r="M4936" t="s">
        <v>120</v>
      </c>
    </row>
    <row r="4937" spans="1:13" x14ac:dyDescent="0.2">
      <c r="A4937">
        <v>914231</v>
      </c>
      <c r="B4937" s="2">
        <v>45482</v>
      </c>
      <c r="C4937">
        <v>52161</v>
      </c>
      <c r="D4937" t="s">
        <v>97</v>
      </c>
      <c r="E4937" t="s">
        <v>98</v>
      </c>
      <c r="F4937" t="s">
        <v>99</v>
      </c>
      <c r="G4937">
        <v>5</v>
      </c>
      <c r="H4937">
        <v>22.39</v>
      </c>
      <c r="I4937">
        <v>0.2</v>
      </c>
      <c r="J4937">
        <v>89.56</v>
      </c>
      <c r="K4937" t="s">
        <v>22</v>
      </c>
      <c r="L4937" t="s">
        <v>17</v>
      </c>
      <c r="M4937" t="s">
        <v>54</v>
      </c>
    </row>
    <row r="4938" spans="1:13" x14ac:dyDescent="0.2">
      <c r="A4938">
        <v>914427</v>
      </c>
      <c r="B4938" s="1">
        <v>44808</v>
      </c>
      <c r="C4938">
        <v>10403</v>
      </c>
      <c r="D4938" t="s">
        <v>48</v>
      </c>
      <c r="E4938" t="s">
        <v>49</v>
      </c>
      <c r="F4938" t="s">
        <v>50</v>
      </c>
      <c r="G4938">
        <v>2</v>
      </c>
      <c r="H4938">
        <v>8.99</v>
      </c>
      <c r="J4938">
        <v>17.98</v>
      </c>
      <c r="K4938" t="s">
        <v>36</v>
      </c>
      <c r="L4938" t="s">
        <v>17</v>
      </c>
      <c r="M4938" t="s">
        <v>43</v>
      </c>
    </row>
    <row r="4939" spans="1:13" x14ac:dyDescent="0.2">
      <c r="A4939">
        <v>914713</v>
      </c>
      <c r="B4939" s="1">
        <v>45450</v>
      </c>
      <c r="C4939">
        <v>97008</v>
      </c>
      <c r="D4939" t="s">
        <v>40</v>
      </c>
      <c r="E4939" t="s">
        <v>20</v>
      </c>
      <c r="F4939" t="s">
        <v>21</v>
      </c>
      <c r="G4939">
        <v>1</v>
      </c>
      <c r="H4939">
        <v>6.99</v>
      </c>
      <c r="I4939">
        <v>0.3</v>
      </c>
      <c r="J4939">
        <v>4.8899999999999997</v>
      </c>
      <c r="K4939" t="s">
        <v>16</v>
      </c>
      <c r="L4939" t="s">
        <v>23</v>
      </c>
      <c r="M4939" t="s">
        <v>67</v>
      </c>
    </row>
    <row r="4940" spans="1:13" x14ac:dyDescent="0.2">
      <c r="A4940">
        <v>915090</v>
      </c>
      <c r="B4940" s="1">
        <v>45504</v>
      </c>
      <c r="C4940">
        <v>84182</v>
      </c>
      <c r="D4940" t="s">
        <v>44</v>
      </c>
      <c r="E4940" t="s">
        <v>162</v>
      </c>
      <c r="F4940" t="s">
        <v>163</v>
      </c>
      <c r="G4940">
        <v>1</v>
      </c>
      <c r="H4940">
        <v>5.99</v>
      </c>
      <c r="I4940">
        <v>0.25</v>
      </c>
      <c r="J4940">
        <v>4.49</v>
      </c>
      <c r="K4940" t="s">
        <v>16</v>
      </c>
      <c r="L4940" t="s">
        <v>17</v>
      </c>
      <c r="M4940" t="s">
        <v>28</v>
      </c>
    </row>
    <row r="4941" spans="1:13" x14ac:dyDescent="0.2">
      <c r="A4941">
        <v>915455</v>
      </c>
      <c r="B4941" s="1">
        <v>44840</v>
      </c>
      <c r="C4941">
        <v>18383</v>
      </c>
      <c r="D4941" t="s">
        <v>63</v>
      </c>
      <c r="E4941" t="s">
        <v>131</v>
      </c>
      <c r="F4941" t="s">
        <v>132</v>
      </c>
      <c r="G4941">
        <v>4</v>
      </c>
      <c r="H4941">
        <v>2.79</v>
      </c>
      <c r="I4941">
        <v>0.2</v>
      </c>
      <c r="J4941">
        <v>8.93</v>
      </c>
      <c r="K4941" t="s">
        <v>16</v>
      </c>
      <c r="L4941" t="s">
        <v>37</v>
      </c>
      <c r="M4941" t="s">
        <v>96</v>
      </c>
    </row>
    <row r="4942" spans="1:13" x14ac:dyDescent="0.2">
      <c r="A4942">
        <v>915466</v>
      </c>
      <c r="B4942" s="2">
        <v>45375</v>
      </c>
      <c r="C4942">
        <v>67759</v>
      </c>
      <c r="D4942" t="s">
        <v>82</v>
      </c>
      <c r="E4942" t="s">
        <v>83</v>
      </c>
      <c r="F4942" t="s">
        <v>84</v>
      </c>
      <c r="G4942">
        <v>1</v>
      </c>
      <c r="H4942">
        <v>16.989999999999998</v>
      </c>
      <c r="J4942">
        <v>16.989999999999998</v>
      </c>
      <c r="K4942" t="s">
        <v>16</v>
      </c>
      <c r="L4942" t="s">
        <v>23</v>
      </c>
      <c r="M4942" t="s">
        <v>81</v>
      </c>
    </row>
    <row r="4943" spans="1:13" x14ac:dyDescent="0.2">
      <c r="A4943">
        <v>915754</v>
      </c>
      <c r="B4943" s="1">
        <v>44604</v>
      </c>
      <c r="C4943">
        <v>19932</v>
      </c>
      <c r="D4943" t="s">
        <v>63</v>
      </c>
      <c r="E4943" t="s">
        <v>125</v>
      </c>
      <c r="F4943" t="s">
        <v>126</v>
      </c>
      <c r="G4943">
        <v>1</v>
      </c>
      <c r="H4943">
        <v>29.99</v>
      </c>
      <c r="J4943">
        <v>29.99</v>
      </c>
      <c r="K4943" t="s">
        <v>53</v>
      </c>
      <c r="L4943" t="s">
        <v>17</v>
      </c>
      <c r="M4943" t="s">
        <v>123</v>
      </c>
    </row>
    <row r="4944" spans="1:13" x14ac:dyDescent="0.2">
      <c r="A4944">
        <v>915852</v>
      </c>
      <c r="B4944" s="2">
        <v>44677</v>
      </c>
      <c r="C4944">
        <v>20597</v>
      </c>
      <c r="D4944" t="s">
        <v>44</v>
      </c>
      <c r="E4944" t="s">
        <v>45</v>
      </c>
      <c r="F4944" t="s">
        <v>46</v>
      </c>
      <c r="G4944">
        <v>3</v>
      </c>
      <c r="H4944">
        <v>1.43</v>
      </c>
      <c r="I4944">
        <v>0.2</v>
      </c>
      <c r="J4944">
        <v>3.43</v>
      </c>
      <c r="K4944" t="s">
        <v>22</v>
      </c>
      <c r="L4944" t="s">
        <v>17</v>
      </c>
      <c r="M4944" t="s">
        <v>123</v>
      </c>
    </row>
    <row r="4945" spans="1:13" x14ac:dyDescent="0.2">
      <c r="A4945">
        <v>915856</v>
      </c>
      <c r="B4945" s="1">
        <v>44861</v>
      </c>
      <c r="C4945">
        <v>73942</v>
      </c>
      <c r="D4945" t="s">
        <v>48</v>
      </c>
      <c r="E4945" t="s">
        <v>118</v>
      </c>
      <c r="F4945" t="s">
        <v>119</v>
      </c>
      <c r="G4945">
        <v>4</v>
      </c>
      <c r="H4945">
        <v>4.74</v>
      </c>
      <c r="I4945">
        <v>0.05</v>
      </c>
      <c r="J4945">
        <v>18.010000000000002</v>
      </c>
      <c r="K4945" t="s">
        <v>32</v>
      </c>
      <c r="L4945" t="s">
        <v>17</v>
      </c>
      <c r="M4945" t="s">
        <v>33</v>
      </c>
    </row>
    <row r="4946" spans="1:13" x14ac:dyDescent="0.2">
      <c r="A4946">
        <v>916142</v>
      </c>
      <c r="B4946" s="2">
        <v>45216</v>
      </c>
      <c r="C4946">
        <v>78619</v>
      </c>
      <c r="D4946" t="s">
        <v>85</v>
      </c>
      <c r="E4946" t="s">
        <v>86</v>
      </c>
      <c r="F4946" t="s">
        <v>87</v>
      </c>
      <c r="G4946">
        <v>4</v>
      </c>
      <c r="H4946">
        <v>11.04</v>
      </c>
      <c r="I4946">
        <v>0.15</v>
      </c>
      <c r="J4946">
        <v>37.54</v>
      </c>
      <c r="K4946" t="s">
        <v>22</v>
      </c>
      <c r="L4946" t="s">
        <v>17</v>
      </c>
      <c r="M4946" t="s">
        <v>161</v>
      </c>
    </row>
    <row r="4947" spans="1:13" x14ac:dyDescent="0.2">
      <c r="A4947">
        <v>916352</v>
      </c>
      <c r="B4947" s="1">
        <v>45041</v>
      </c>
      <c r="D4947" t="s">
        <v>48</v>
      </c>
      <c r="E4947" t="s">
        <v>143</v>
      </c>
      <c r="F4947" t="s">
        <v>144</v>
      </c>
      <c r="G4947">
        <v>2</v>
      </c>
      <c r="H4947">
        <v>11.24</v>
      </c>
      <c r="I4947">
        <v>0.25</v>
      </c>
      <c r="J4947">
        <v>16.86</v>
      </c>
      <c r="K4947" t="s">
        <v>36</v>
      </c>
      <c r="L4947" t="s">
        <v>17</v>
      </c>
      <c r="M4947" t="s">
        <v>54</v>
      </c>
    </row>
    <row r="4948" spans="1:13" x14ac:dyDescent="0.2">
      <c r="A4948">
        <v>916567</v>
      </c>
      <c r="B4948" s="1">
        <v>44740</v>
      </c>
      <c r="C4948">
        <v>74415</v>
      </c>
      <c r="D4948" t="s">
        <v>29</v>
      </c>
      <c r="E4948" t="s">
        <v>30</v>
      </c>
      <c r="F4948" t="s">
        <v>31</v>
      </c>
      <c r="G4948">
        <v>1</v>
      </c>
      <c r="H4948">
        <v>17.489999999999998</v>
      </c>
      <c r="I4948">
        <v>0.3</v>
      </c>
      <c r="J4948">
        <v>12.24</v>
      </c>
      <c r="K4948" t="s">
        <v>16</v>
      </c>
      <c r="L4948" t="s">
        <v>17</v>
      </c>
      <c r="M4948" t="s">
        <v>43</v>
      </c>
    </row>
    <row r="4949" spans="1:13" x14ac:dyDescent="0.2">
      <c r="A4949">
        <v>916634</v>
      </c>
      <c r="B4949" s="1">
        <v>44685</v>
      </c>
      <c r="C4949">
        <v>67799</v>
      </c>
      <c r="D4949" t="s">
        <v>48</v>
      </c>
      <c r="E4949" t="s">
        <v>49</v>
      </c>
      <c r="F4949" t="s">
        <v>50</v>
      </c>
      <c r="G4949">
        <v>2</v>
      </c>
      <c r="H4949">
        <v>8.09</v>
      </c>
      <c r="I4949">
        <v>0.1</v>
      </c>
      <c r="J4949">
        <v>14.56</v>
      </c>
      <c r="K4949" t="s">
        <v>22</v>
      </c>
      <c r="L4949" t="s">
        <v>17</v>
      </c>
      <c r="M4949" t="s">
        <v>161</v>
      </c>
    </row>
    <row r="4950" spans="1:13" x14ac:dyDescent="0.2">
      <c r="A4950">
        <v>916749</v>
      </c>
      <c r="B4950" s="1">
        <v>45507</v>
      </c>
      <c r="C4950">
        <v>11398</v>
      </c>
      <c r="D4950" t="s">
        <v>82</v>
      </c>
      <c r="E4950" t="s">
        <v>147</v>
      </c>
      <c r="F4950" t="s">
        <v>148</v>
      </c>
      <c r="G4950">
        <v>4</v>
      </c>
      <c r="H4950">
        <v>9.09</v>
      </c>
      <c r="I4950">
        <v>0.3</v>
      </c>
      <c r="J4950">
        <v>25.45</v>
      </c>
      <c r="K4950" t="s">
        <v>53</v>
      </c>
      <c r="L4950" t="s">
        <v>37</v>
      </c>
      <c r="M4950" t="s">
        <v>90</v>
      </c>
    </row>
    <row r="4951" spans="1:13" x14ac:dyDescent="0.2">
      <c r="A4951">
        <v>916853</v>
      </c>
      <c r="B4951" s="1">
        <v>44666</v>
      </c>
      <c r="C4951">
        <v>30831</v>
      </c>
      <c r="D4951" t="s">
        <v>82</v>
      </c>
      <c r="E4951" t="s">
        <v>168</v>
      </c>
      <c r="F4951" t="s">
        <v>169</v>
      </c>
      <c r="G4951">
        <v>2</v>
      </c>
      <c r="H4951">
        <v>8.09</v>
      </c>
      <c r="I4951">
        <v>0.1</v>
      </c>
      <c r="J4951">
        <v>14.56</v>
      </c>
      <c r="K4951" t="s">
        <v>36</v>
      </c>
      <c r="L4951" t="s">
        <v>17</v>
      </c>
      <c r="M4951" t="s">
        <v>123</v>
      </c>
    </row>
    <row r="4952" spans="1:13" x14ac:dyDescent="0.2">
      <c r="A4952">
        <v>916888</v>
      </c>
      <c r="B4952" s="2">
        <v>45056</v>
      </c>
      <c r="C4952">
        <v>82642</v>
      </c>
      <c r="D4952" t="s">
        <v>200</v>
      </c>
      <c r="E4952" t="s">
        <v>70</v>
      </c>
      <c r="F4952" t="s">
        <v>71</v>
      </c>
      <c r="G4952">
        <v>2</v>
      </c>
      <c r="H4952">
        <v>89.99</v>
      </c>
      <c r="J4952">
        <v>179.98</v>
      </c>
      <c r="K4952" t="s">
        <v>32</v>
      </c>
      <c r="L4952" t="s">
        <v>17</v>
      </c>
      <c r="M4952" t="s">
        <v>33</v>
      </c>
    </row>
    <row r="4953" spans="1:13" x14ac:dyDescent="0.2">
      <c r="A4953">
        <v>917111</v>
      </c>
      <c r="B4953" s="1">
        <v>45295</v>
      </c>
      <c r="C4953">
        <v>35411</v>
      </c>
      <c r="D4953" t="s">
        <v>40</v>
      </c>
      <c r="E4953" t="s">
        <v>115</v>
      </c>
      <c r="F4953" t="s">
        <v>116</v>
      </c>
      <c r="G4953">
        <v>2</v>
      </c>
      <c r="H4953">
        <v>12.99</v>
      </c>
      <c r="J4953">
        <v>25.98</v>
      </c>
      <c r="K4953" t="s">
        <v>16</v>
      </c>
      <c r="L4953" t="s">
        <v>17</v>
      </c>
      <c r="M4953" t="s">
        <v>161</v>
      </c>
    </row>
    <row r="4954" spans="1:13" x14ac:dyDescent="0.2">
      <c r="A4954">
        <v>917555</v>
      </c>
      <c r="B4954" s="1">
        <v>44975</v>
      </c>
      <c r="C4954">
        <v>25123</v>
      </c>
      <c r="D4954" t="s">
        <v>13</v>
      </c>
      <c r="E4954" t="s">
        <v>77</v>
      </c>
      <c r="F4954" t="s">
        <v>78</v>
      </c>
      <c r="G4954">
        <v>3</v>
      </c>
      <c r="H4954">
        <v>424.99</v>
      </c>
      <c r="I4954">
        <v>0.15</v>
      </c>
      <c r="J4954">
        <v>1083.72</v>
      </c>
      <c r="K4954" t="s">
        <v>16</v>
      </c>
      <c r="L4954" t="s">
        <v>17</v>
      </c>
      <c r="M4954" t="s">
        <v>117</v>
      </c>
    </row>
    <row r="4955" spans="1:13" x14ac:dyDescent="0.2">
      <c r="A4955">
        <v>917823</v>
      </c>
      <c r="B4955" s="1">
        <v>44968</v>
      </c>
      <c r="C4955">
        <v>79881</v>
      </c>
      <c r="D4955" t="s">
        <v>85</v>
      </c>
      <c r="E4955" t="s">
        <v>157</v>
      </c>
      <c r="F4955" t="s">
        <v>158</v>
      </c>
      <c r="G4955">
        <v>2</v>
      </c>
      <c r="H4955">
        <v>11.47</v>
      </c>
      <c r="I4955">
        <v>0.15</v>
      </c>
      <c r="J4955">
        <v>19.5</v>
      </c>
      <c r="K4955" t="s">
        <v>36</v>
      </c>
      <c r="L4955" t="s">
        <v>37</v>
      </c>
      <c r="M4955" t="s">
        <v>96</v>
      </c>
    </row>
    <row r="4956" spans="1:13" x14ac:dyDescent="0.2">
      <c r="A4956">
        <v>917824</v>
      </c>
      <c r="B4956" s="1">
        <v>44820</v>
      </c>
      <c r="C4956">
        <v>29100</v>
      </c>
      <c r="D4956" t="s">
        <v>44</v>
      </c>
      <c r="E4956" t="s">
        <v>195</v>
      </c>
      <c r="F4956" t="s">
        <v>196</v>
      </c>
      <c r="G4956">
        <v>2</v>
      </c>
      <c r="H4956">
        <v>3.74</v>
      </c>
      <c r="I4956">
        <v>0.25</v>
      </c>
      <c r="J4956">
        <v>5.61</v>
      </c>
      <c r="K4956" t="s">
        <v>16</v>
      </c>
      <c r="L4956" t="s">
        <v>17</v>
      </c>
      <c r="M4956" t="s">
        <v>33</v>
      </c>
    </row>
    <row r="4957" spans="1:13" x14ac:dyDescent="0.2">
      <c r="A4957">
        <v>917867</v>
      </c>
      <c r="B4957" s="1">
        <v>44580</v>
      </c>
      <c r="C4957">
        <v>30236</v>
      </c>
      <c r="D4957" t="s">
        <v>40</v>
      </c>
      <c r="E4957" t="s">
        <v>20</v>
      </c>
      <c r="F4957" t="s">
        <v>21</v>
      </c>
      <c r="G4957">
        <v>5</v>
      </c>
      <c r="H4957">
        <v>9.99</v>
      </c>
      <c r="J4957">
        <v>49.95</v>
      </c>
      <c r="K4957" t="s">
        <v>16</v>
      </c>
      <c r="L4957" t="s">
        <v>17</v>
      </c>
      <c r="M4957" t="s">
        <v>120</v>
      </c>
    </row>
    <row r="4958" spans="1:13" x14ac:dyDescent="0.2">
      <c r="A4958">
        <v>917971</v>
      </c>
      <c r="B4958" s="1">
        <v>44908</v>
      </c>
      <c r="C4958">
        <v>91482</v>
      </c>
      <c r="D4958" t="s">
        <v>48</v>
      </c>
      <c r="E4958" t="s">
        <v>143</v>
      </c>
      <c r="F4958" t="s">
        <v>144</v>
      </c>
      <c r="G4958">
        <v>1</v>
      </c>
      <c r="H4958">
        <v>13.49</v>
      </c>
      <c r="I4958">
        <v>0.1</v>
      </c>
      <c r="J4958">
        <v>12.14</v>
      </c>
      <c r="K4958" t="s">
        <v>36</v>
      </c>
      <c r="L4958" t="s">
        <v>17</v>
      </c>
      <c r="M4958" t="s">
        <v>54</v>
      </c>
    </row>
    <row r="4959" spans="1:13" x14ac:dyDescent="0.2">
      <c r="A4959">
        <v>918046</v>
      </c>
      <c r="B4959" s="2">
        <v>44791</v>
      </c>
      <c r="C4959">
        <v>74584</v>
      </c>
      <c r="D4959" t="s">
        <v>85</v>
      </c>
      <c r="E4959" t="s">
        <v>86</v>
      </c>
      <c r="F4959" t="s">
        <v>87</v>
      </c>
      <c r="G4959">
        <v>2</v>
      </c>
      <c r="H4959">
        <v>9.09</v>
      </c>
      <c r="I4959">
        <v>0.3</v>
      </c>
      <c r="J4959">
        <v>12.73</v>
      </c>
      <c r="K4959" t="s">
        <v>22</v>
      </c>
      <c r="L4959" t="s">
        <v>17</v>
      </c>
      <c r="M4959" t="s">
        <v>96</v>
      </c>
    </row>
    <row r="4960" spans="1:13" x14ac:dyDescent="0.2">
      <c r="A4960">
        <v>918196</v>
      </c>
      <c r="B4960" s="2">
        <v>45138</v>
      </c>
      <c r="C4960">
        <v>50473</v>
      </c>
      <c r="D4960" t="s">
        <v>82</v>
      </c>
      <c r="E4960" t="s">
        <v>147</v>
      </c>
      <c r="F4960" t="s">
        <v>148</v>
      </c>
      <c r="G4960">
        <v>4</v>
      </c>
      <c r="H4960">
        <v>12.99</v>
      </c>
      <c r="J4960">
        <v>51.96</v>
      </c>
      <c r="K4960" t="s">
        <v>22</v>
      </c>
      <c r="L4960" t="s">
        <v>17</v>
      </c>
      <c r="M4960" t="s">
        <v>62</v>
      </c>
    </row>
    <row r="4961" spans="1:13" x14ac:dyDescent="0.2">
      <c r="A4961">
        <v>918212</v>
      </c>
      <c r="B4961" s="2">
        <v>45317</v>
      </c>
      <c r="C4961">
        <v>49068</v>
      </c>
      <c r="D4961" t="s">
        <v>200</v>
      </c>
      <c r="E4961" t="s">
        <v>26</v>
      </c>
      <c r="F4961" t="s">
        <v>27</v>
      </c>
      <c r="G4961">
        <v>4</v>
      </c>
      <c r="H4961">
        <v>34.99</v>
      </c>
      <c r="J4961">
        <v>139.96</v>
      </c>
      <c r="K4961" t="s">
        <v>16</v>
      </c>
      <c r="L4961" t="s">
        <v>17</v>
      </c>
    </row>
    <row r="4962" spans="1:13" x14ac:dyDescent="0.2">
      <c r="A4962">
        <v>918213</v>
      </c>
      <c r="B4962" s="1">
        <v>44878</v>
      </c>
      <c r="C4962">
        <v>72001</v>
      </c>
      <c r="D4962" t="s">
        <v>97</v>
      </c>
      <c r="E4962" t="s">
        <v>135</v>
      </c>
      <c r="F4962" t="s">
        <v>136</v>
      </c>
      <c r="G4962">
        <v>1</v>
      </c>
      <c r="H4962">
        <v>9.99</v>
      </c>
      <c r="J4962">
        <v>9.99</v>
      </c>
      <c r="K4962" t="s">
        <v>32</v>
      </c>
      <c r="L4962" t="s">
        <v>17</v>
      </c>
      <c r="M4962" t="s">
        <v>62</v>
      </c>
    </row>
    <row r="4963" spans="1:13" x14ac:dyDescent="0.2">
      <c r="A4963">
        <v>918333</v>
      </c>
      <c r="B4963" s="1">
        <v>45107</v>
      </c>
      <c r="C4963">
        <v>60871</v>
      </c>
      <c r="D4963" t="s">
        <v>85</v>
      </c>
      <c r="E4963" t="s">
        <v>145</v>
      </c>
      <c r="F4963" t="s">
        <v>146</v>
      </c>
      <c r="G4963">
        <v>2</v>
      </c>
      <c r="H4963">
        <v>13.59</v>
      </c>
      <c r="I4963">
        <v>0.2</v>
      </c>
      <c r="J4963">
        <v>21.74</v>
      </c>
      <c r="K4963" t="s">
        <v>22</v>
      </c>
      <c r="L4963" t="s">
        <v>17</v>
      </c>
      <c r="M4963" t="s">
        <v>54</v>
      </c>
    </row>
    <row r="4964" spans="1:13" x14ac:dyDescent="0.2">
      <c r="A4964">
        <v>918387</v>
      </c>
      <c r="B4964" s="1">
        <v>44717</v>
      </c>
      <c r="C4964">
        <v>40251</v>
      </c>
      <c r="D4964" t="s">
        <v>85</v>
      </c>
      <c r="E4964" t="s">
        <v>157</v>
      </c>
      <c r="F4964" t="s">
        <v>158</v>
      </c>
      <c r="G4964">
        <v>1</v>
      </c>
      <c r="H4964">
        <v>13.49</v>
      </c>
      <c r="J4964">
        <v>13.49</v>
      </c>
      <c r="K4964" t="s">
        <v>16</v>
      </c>
      <c r="L4964" t="s">
        <v>37</v>
      </c>
    </row>
    <row r="4965" spans="1:13" x14ac:dyDescent="0.2">
      <c r="A4965">
        <v>918551</v>
      </c>
      <c r="B4965" s="2">
        <v>45446</v>
      </c>
      <c r="C4965">
        <v>58979</v>
      </c>
      <c r="D4965" t="s">
        <v>29</v>
      </c>
      <c r="E4965" t="s">
        <v>38</v>
      </c>
      <c r="F4965" t="s">
        <v>39</v>
      </c>
      <c r="G4965">
        <v>4</v>
      </c>
      <c r="H4965">
        <v>29.99</v>
      </c>
      <c r="J4965">
        <v>119.96</v>
      </c>
      <c r="K4965" t="s">
        <v>22</v>
      </c>
      <c r="L4965" t="s">
        <v>17</v>
      </c>
      <c r="M4965" t="s">
        <v>120</v>
      </c>
    </row>
    <row r="4966" spans="1:13" x14ac:dyDescent="0.2">
      <c r="A4966">
        <v>918587</v>
      </c>
      <c r="B4966" s="1">
        <v>44857</v>
      </c>
      <c r="C4966">
        <v>36613</v>
      </c>
      <c r="D4966" t="s">
        <v>44</v>
      </c>
      <c r="E4966" t="s">
        <v>190</v>
      </c>
      <c r="F4966" t="s">
        <v>191</v>
      </c>
      <c r="G4966">
        <v>1</v>
      </c>
      <c r="H4966">
        <v>4.29</v>
      </c>
      <c r="J4966">
        <v>4.29</v>
      </c>
      <c r="K4966" t="s">
        <v>22</v>
      </c>
      <c r="L4966" t="s">
        <v>37</v>
      </c>
      <c r="M4966" t="s">
        <v>67</v>
      </c>
    </row>
    <row r="4967" spans="1:13" x14ac:dyDescent="0.2">
      <c r="A4967">
        <v>918657</v>
      </c>
      <c r="B4967" s="2">
        <v>45558</v>
      </c>
      <c r="C4967">
        <v>10643</v>
      </c>
      <c r="D4967" t="s">
        <v>63</v>
      </c>
      <c r="E4967" t="s">
        <v>111</v>
      </c>
      <c r="F4967" t="s">
        <v>112</v>
      </c>
      <c r="G4967">
        <v>2</v>
      </c>
      <c r="H4967">
        <v>14.24</v>
      </c>
      <c r="I4967">
        <v>0.05</v>
      </c>
      <c r="J4967">
        <v>27.06</v>
      </c>
      <c r="K4967" t="s">
        <v>36</v>
      </c>
      <c r="L4967" t="s">
        <v>17</v>
      </c>
      <c r="M4967" t="s">
        <v>62</v>
      </c>
    </row>
    <row r="4968" spans="1:13" x14ac:dyDescent="0.2">
      <c r="A4968">
        <v>918691</v>
      </c>
      <c r="B4968" s="1">
        <v>44699</v>
      </c>
      <c r="C4968">
        <v>94217</v>
      </c>
      <c r="D4968" t="s">
        <v>40</v>
      </c>
      <c r="E4968" t="s">
        <v>58</v>
      </c>
      <c r="F4968" t="s">
        <v>59</v>
      </c>
      <c r="G4968">
        <v>4</v>
      </c>
      <c r="H4968">
        <v>3.79</v>
      </c>
      <c r="I4968">
        <v>0.05</v>
      </c>
      <c r="J4968">
        <v>14.4</v>
      </c>
      <c r="K4968" t="s">
        <v>36</v>
      </c>
      <c r="L4968" t="s">
        <v>37</v>
      </c>
      <c r="M4968" t="s">
        <v>62</v>
      </c>
    </row>
    <row r="4969" spans="1:13" x14ac:dyDescent="0.2">
      <c r="A4969">
        <v>918755</v>
      </c>
      <c r="B4969" s="1">
        <v>45566</v>
      </c>
      <c r="C4969">
        <v>86853</v>
      </c>
      <c r="D4969" t="s">
        <v>63</v>
      </c>
      <c r="E4969" t="s">
        <v>64</v>
      </c>
      <c r="F4969" t="s">
        <v>65</v>
      </c>
      <c r="G4969">
        <v>3</v>
      </c>
      <c r="H4969">
        <v>3.49</v>
      </c>
      <c r="I4969">
        <v>0.3</v>
      </c>
      <c r="J4969">
        <v>7.33</v>
      </c>
      <c r="K4969" t="s">
        <v>32</v>
      </c>
      <c r="L4969" t="s">
        <v>37</v>
      </c>
      <c r="M4969" t="s">
        <v>54</v>
      </c>
    </row>
    <row r="4970" spans="1:13" x14ac:dyDescent="0.2">
      <c r="A4970">
        <v>918911</v>
      </c>
      <c r="B4970" s="1">
        <v>45549</v>
      </c>
      <c r="C4970">
        <v>19720</v>
      </c>
      <c r="D4970" t="s">
        <v>13</v>
      </c>
      <c r="E4970" t="s">
        <v>104</v>
      </c>
      <c r="F4970" t="s">
        <v>105</v>
      </c>
      <c r="G4970">
        <v>3</v>
      </c>
      <c r="H4970">
        <v>22.49</v>
      </c>
      <c r="I4970">
        <v>0.25</v>
      </c>
      <c r="J4970">
        <v>50.6</v>
      </c>
      <c r="K4970" t="s">
        <v>16</v>
      </c>
      <c r="L4970" t="s">
        <v>17</v>
      </c>
      <c r="M4970" t="s">
        <v>103</v>
      </c>
    </row>
    <row r="4971" spans="1:13" x14ac:dyDescent="0.2">
      <c r="A4971">
        <v>919059</v>
      </c>
      <c r="B4971" s="1">
        <v>45347</v>
      </c>
      <c r="C4971">
        <v>35516</v>
      </c>
      <c r="D4971" t="s">
        <v>25</v>
      </c>
      <c r="E4971" t="s">
        <v>51</v>
      </c>
      <c r="F4971" t="s">
        <v>52</v>
      </c>
      <c r="G4971">
        <v>1</v>
      </c>
      <c r="H4971">
        <v>27.99</v>
      </c>
      <c r="J4971">
        <v>27.99</v>
      </c>
      <c r="K4971" t="s">
        <v>36</v>
      </c>
      <c r="L4971" t="s">
        <v>37</v>
      </c>
      <c r="M4971" t="s">
        <v>117</v>
      </c>
    </row>
    <row r="4972" spans="1:13" x14ac:dyDescent="0.2">
      <c r="A4972">
        <v>919286</v>
      </c>
      <c r="B4972" s="2">
        <v>44668</v>
      </c>
      <c r="C4972">
        <v>36595</v>
      </c>
      <c r="D4972" t="s">
        <v>13</v>
      </c>
      <c r="E4972" t="s">
        <v>34</v>
      </c>
      <c r="F4972" t="s">
        <v>35</v>
      </c>
      <c r="G4972">
        <v>2</v>
      </c>
      <c r="H4972">
        <v>34.99</v>
      </c>
      <c r="J4972">
        <v>69.98</v>
      </c>
      <c r="K4972" t="s">
        <v>53</v>
      </c>
      <c r="L4972" t="s">
        <v>17</v>
      </c>
      <c r="M4972" t="s">
        <v>62</v>
      </c>
    </row>
    <row r="4973" spans="1:13" x14ac:dyDescent="0.2">
      <c r="A4973">
        <v>919502</v>
      </c>
      <c r="B4973" s="2">
        <v>44692</v>
      </c>
      <c r="D4973" t="s">
        <v>63</v>
      </c>
      <c r="E4973" t="s">
        <v>131</v>
      </c>
      <c r="F4973" t="s">
        <v>132</v>
      </c>
      <c r="G4973">
        <v>2</v>
      </c>
      <c r="H4973">
        <v>2.79</v>
      </c>
      <c r="I4973">
        <v>0.2</v>
      </c>
      <c r="J4973">
        <v>4.46</v>
      </c>
      <c r="K4973" t="s">
        <v>36</v>
      </c>
      <c r="L4973" t="s">
        <v>37</v>
      </c>
      <c r="M4973" t="s">
        <v>54</v>
      </c>
    </row>
    <row r="4974" spans="1:13" x14ac:dyDescent="0.2">
      <c r="A4974">
        <v>919637</v>
      </c>
      <c r="B4974" s="1">
        <v>44752</v>
      </c>
      <c r="C4974">
        <v>51525</v>
      </c>
      <c r="D4974" t="s">
        <v>85</v>
      </c>
      <c r="E4974" t="s">
        <v>153</v>
      </c>
      <c r="F4974" t="s">
        <v>154</v>
      </c>
      <c r="G4974">
        <v>1</v>
      </c>
      <c r="H4974">
        <v>29.99</v>
      </c>
      <c r="J4974">
        <v>29.99</v>
      </c>
      <c r="K4974" t="s">
        <v>36</v>
      </c>
      <c r="L4974" t="s">
        <v>17</v>
      </c>
      <c r="M4974" t="s">
        <v>161</v>
      </c>
    </row>
    <row r="4975" spans="1:13" x14ac:dyDescent="0.2">
      <c r="A4975">
        <v>919787</v>
      </c>
      <c r="B4975" s="2">
        <v>45160</v>
      </c>
      <c r="C4975">
        <v>20815</v>
      </c>
      <c r="D4975" t="s">
        <v>25</v>
      </c>
      <c r="E4975" t="s">
        <v>51</v>
      </c>
      <c r="F4975" t="s">
        <v>52</v>
      </c>
      <c r="G4975">
        <v>2</v>
      </c>
      <c r="H4975">
        <v>27.99</v>
      </c>
      <c r="J4975">
        <v>55.98</v>
      </c>
      <c r="K4975" t="s">
        <v>32</v>
      </c>
      <c r="L4975" t="s">
        <v>37</v>
      </c>
      <c r="M4975" t="s">
        <v>24</v>
      </c>
    </row>
    <row r="4976" spans="1:13" x14ac:dyDescent="0.2">
      <c r="A4976">
        <v>919857</v>
      </c>
      <c r="B4976" s="1">
        <v>45354</v>
      </c>
      <c r="C4976">
        <v>48132</v>
      </c>
      <c r="D4976" t="s">
        <v>48</v>
      </c>
      <c r="E4976" t="s">
        <v>109</v>
      </c>
      <c r="F4976" t="s">
        <v>110</v>
      </c>
      <c r="G4976">
        <v>2</v>
      </c>
      <c r="H4976">
        <v>5.59</v>
      </c>
      <c r="I4976">
        <v>0.2</v>
      </c>
      <c r="J4976">
        <v>8.94</v>
      </c>
      <c r="K4976" t="s">
        <v>16</v>
      </c>
      <c r="L4976" t="s">
        <v>17</v>
      </c>
      <c r="M4976" t="s">
        <v>123</v>
      </c>
    </row>
    <row r="4977" spans="1:13" x14ac:dyDescent="0.2">
      <c r="A4977">
        <v>919867</v>
      </c>
      <c r="B4977" s="1">
        <v>45151</v>
      </c>
      <c r="C4977">
        <v>47024</v>
      </c>
      <c r="D4977" t="s">
        <v>82</v>
      </c>
      <c r="E4977" t="s">
        <v>155</v>
      </c>
      <c r="F4977" t="s">
        <v>156</v>
      </c>
      <c r="G4977">
        <v>2</v>
      </c>
      <c r="H4977">
        <v>19.989999999999998</v>
      </c>
      <c r="J4977">
        <v>39.979999999999997</v>
      </c>
      <c r="K4977" t="s">
        <v>36</v>
      </c>
      <c r="L4977" t="s">
        <v>17</v>
      </c>
      <c r="M4977" t="s">
        <v>76</v>
      </c>
    </row>
    <row r="4978" spans="1:13" x14ac:dyDescent="0.2">
      <c r="A4978">
        <v>920133</v>
      </c>
      <c r="B4978" s="1">
        <v>45353</v>
      </c>
      <c r="C4978">
        <v>16814</v>
      </c>
      <c r="D4978" t="s">
        <v>85</v>
      </c>
      <c r="E4978" t="s">
        <v>157</v>
      </c>
      <c r="F4978" t="s">
        <v>158</v>
      </c>
      <c r="G4978">
        <v>4</v>
      </c>
      <c r="H4978">
        <v>12.82</v>
      </c>
      <c r="I4978">
        <v>0.05</v>
      </c>
      <c r="J4978">
        <v>48.72</v>
      </c>
      <c r="K4978" t="s">
        <v>16</v>
      </c>
      <c r="L4978" t="s">
        <v>37</v>
      </c>
      <c r="M4978" t="s">
        <v>103</v>
      </c>
    </row>
    <row r="4979" spans="1:13" x14ac:dyDescent="0.2">
      <c r="A4979">
        <v>920175</v>
      </c>
      <c r="B4979" s="1">
        <v>45188</v>
      </c>
      <c r="C4979">
        <v>22204</v>
      </c>
      <c r="D4979" t="s">
        <v>40</v>
      </c>
      <c r="E4979" t="s">
        <v>115</v>
      </c>
      <c r="F4979" t="s">
        <v>116</v>
      </c>
      <c r="G4979">
        <v>2</v>
      </c>
      <c r="H4979">
        <v>12.99</v>
      </c>
      <c r="J4979">
        <v>25.98</v>
      </c>
      <c r="K4979" t="s">
        <v>22</v>
      </c>
      <c r="L4979" t="s">
        <v>37</v>
      </c>
      <c r="M4979" t="s">
        <v>161</v>
      </c>
    </row>
    <row r="4980" spans="1:13" x14ac:dyDescent="0.2">
      <c r="A4980">
        <v>920229</v>
      </c>
      <c r="B4980" s="1">
        <v>45124</v>
      </c>
      <c r="C4980">
        <v>22281</v>
      </c>
      <c r="D4980" t="s">
        <v>25</v>
      </c>
      <c r="E4980" t="s">
        <v>26</v>
      </c>
      <c r="F4980" t="s">
        <v>27</v>
      </c>
      <c r="G4980">
        <v>2</v>
      </c>
      <c r="H4980">
        <v>34.99</v>
      </c>
      <c r="J4980">
        <v>69.98</v>
      </c>
      <c r="K4980" t="s">
        <v>16</v>
      </c>
      <c r="L4980" t="s">
        <v>23</v>
      </c>
      <c r="M4980" t="s">
        <v>117</v>
      </c>
    </row>
    <row r="4981" spans="1:13" x14ac:dyDescent="0.2">
      <c r="A4981">
        <v>920385</v>
      </c>
      <c r="B4981" s="2">
        <v>45228</v>
      </c>
      <c r="C4981">
        <v>56739</v>
      </c>
      <c r="D4981" t="s">
        <v>97</v>
      </c>
      <c r="E4981" t="s">
        <v>151</v>
      </c>
      <c r="F4981" t="s">
        <v>152</v>
      </c>
      <c r="G4981">
        <v>1</v>
      </c>
      <c r="H4981">
        <v>27.99</v>
      </c>
      <c r="I4981">
        <v>0.2</v>
      </c>
      <c r="J4981">
        <v>22.39</v>
      </c>
      <c r="K4981" t="s">
        <v>16</v>
      </c>
      <c r="L4981" t="s">
        <v>17</v>
      </c>
      <c r="M4981" t="s">
        <v>62</v>
      </c>
    </row>
    <row r="4982" spans="1:13" x14ac:dyDescent="0.2">
      <c r="A4982">
        <v>920849</v>
      </c>
      <c r="B4982" s="1">
        <v>45022</v>
      </c>
      <c r="D4982" t="s">
        <v>44</v>
      </c>
      <c r="E4982" t="s">
        <v>91</v>
      </c>
      <c r="F4982" t="s">
        <v>92</v>
      </c>
      <c r="G4982">
        <v>4</v>
      </c>
      <c r="H4982">
        <v>5.66</v>
      </c>
      <c r="I4982">
        <v>0.1</v>
      </c>
      <c r="J4982">
        <v>20.38</v>
      </c>
      <c r="K4982" t="s">
        <v>36</v>
      </c>
      <c r="L4982" t="s">
        <v>17</v>
      </c>
      <c r="M4982" t="s">
        <v>57</v>
      </c>
    </row>
    <row r="4983" spans="1:13" x14ac:dyDescent="0.2">
      <c r="A4983">
        <v>920964</v>
      </c>
      <c r="B4983" s="1">
        <v>45191</v>
      </c>
      <c r="C4983">
        <v>77054</v>
      </c>
      <c r="D4983" t="s">
        <v>97</v>
      </c>
      <c r="E4983" t="s">
        <v>135</v>
      </c>
      <c r="F4983" t="s">
        <v>136</v>
      </c>
      <c r="G4983">
        <v>1</v>
      </c>
      <c r="H4983">
        <v>7.99</v>
      </c>
      <c r="I4983">
        <v>0.2</v>
      </c>
      <c r="J4983">
        <v>6.39</v>
      </c>
      <c r="K4983" t="s">
        <v>16</v>
      </c>
      <c r="L4983" t="s">
        <v>17</v>
      </c>
      <c r="M4983" t="s">
        <v>120</v>
      </c>
    </row>
    <row r="4984" spans="1:13" x14ac:dyDescent="0.2">
      <c r="A4984">
        <v>920986</v>
      </c>
      <c r="B4984" s="1">
        <v>45248</v>
      </c>
      <c r="D4984" t="s">
        <v>82</v>
      </c>
      <c r="E4984" t="s">
        <v>155</v>
      </c>
      <c r="F4984" t="s">
        <v>156</v>
      </c>
      <c r="G4984">
        <v>3</v>
      </c>
      <c r="H4984">
        <v>19.989999999999998</v>
      </c>
      <c r="J4984">
        <v>59.97</v>
      </c>
      <c r="K4984" t="s">
        <v>16</v>
      </c>
      <c r="L4984" t="s">
        <v>37</v>
      </c>
      <c r="M4984" t="s">
        <v>67</v>
      </c>
    </row>
    <row r="4985" spans="1:13" x14ac:dyDescent="0.2">
      <c r="A4985">
        <v>920996</v>
      </c>
      <c r="B4985" s="1">
        <v>44776</v>
      </c>
      <c r="C4985">
        <v>89156</v>
      </c>
      <c r="D4985" t="s">
        <v>25</v>
      </c>
      <c r="E4985" t="s">
        <v>70</v>
      </c>
      <c r="F4985" t="s">
        <v>71</v>
      </c>
      <c r="G4985">
        <v>1</v>
      </c>
      <c r="H4985">
        <v>80.989999999999995</v>
      </c>
      <c r="I4985">
        <v>0.1</v>
      </c>
      <c r="J4985">
        <v>72.89</v>
      </c>
      <c r="K4985" t="s">
        <v>16</v>
      </c>
      <c r="L4985" t="s">
        <v>17</v>
      </c>
      <c r="M4985" t="s">
        <v>81</v>
      </c>
    </row>
    <row r="4986" spans="1:13" x14ac:dyDescent="0.2">
      <c r="A4986">
        <v>921204</v>
      </c>
      <c r="B4986" s="2">
        <v>45348</v>
      </c>
      <c r="C4986">
        <v>91852</v>
      </c>
      <c r="D4986" t="s">
        <v>85</v>
      </c>
      <c r="E4986" t="s">
        <v>129</v>
      </c>
      <c r="F4986" t="s">
        <v>130</v>
      </c>
      <c r="G4986">
        <v>5</v>
      </c>
      <c r="H4986">
        <v>8.99</v>
      </c>
      <c r="J4986">
        <v>44.95</v>
      </c>
      <c r="K4986" t="s">
        <v>32</v>
      </c>
      <c r="L4986" t="s">
        <v>17</v>
      </c>
      <c r="M4986" t="s">
        <v>62</v>
      </c>
    </row>
    <row r="4987" spans="1:13" x14ac:dyDescent="0.2">
      <c r="A4987">
        <v>921373</v>
      </c>
      <c r="B4987" s="1">
        <v>45222</v>
      </c>
      <c r="C4987">
        <v>81193</v>
      </c>
      <c r="D4987" t="s">
        <v>13</v>
      </c>
      <c r="E4987" t="s">
        <v>159</v>
      </c>
      <c r="F4987" t="s">
        <v>160</v>
      </c>
      <c r="G4987">
        <v>2</v>
      </c>
      <c r="H4987">
        <v>56.99</v>
      </c>
      <c r="I4987">
        <v>0.05</v>
      </c>
      <c r="J4987">
        <v>108.28</v>
      </c>
      <c r="K4987" t="s">
        <v>16</v>
      </c>
      <c r="L4987" t="s">
        <v>17</v>
      </c>
      <c r="M4987" t="s">
        <v>54</v>
      </c>
    </row>
    <row r="4988" spans="1:13" x14ac:dyDescent="0.2">
      <c r="A4988">
        <v>921825</v>
      </c>
      <c r="B4988" s="1">
        <v>45418</v>
      </c>
      <c r="C4988">
        <v>94935</v>
      </c>
      <c r="D4988" t="s">
        <v>44</v>
      </c>
      <c r="E4988" t="s">
        <v>195</v>
      </c>
      <c r="F4988" t="s">
        <v>196</v>
      </c>
      <c r="G4988">
        <v>1</v>
      </c>
      <c r="H4988">
        <v>4.99</v>
      </c>
      <c r="J4988">
        <v>4.99</v>
      </c>
      <c r="K4988" t="s">
        <v>32</v>
      </c>
      <c r="L4988" t="s">
        <v>17</v>
      </c>
      <c r="M4988" t="s">
        <v>81</v>
      </c>
    </row>
    <row r="4989" spans="1:13" x14ac:dyDescent="0.2">
      <c r="A4989">
        <v>921939</v>
      </c>
      <c r="B4989" s="1">
        <v>45654</v>
      </c>
      <c r="C4989">
        <v>51227</v>
      </c>
      <c r="D4989" t="s">
        <v>85</v>
      </c>
      <c r="E4989" t="s">
        <v>145</v>
      </c>
      <c r="F4989" t="s">
        <v>146</v>
      </c>
      <c r="G4989">
        <v>5</v>
      </c>
      <c r="H4989">
        <v>11.89</v>
      </c>
      <c r="I4989">
        <v>0.3</v>
      </c>
      <c r="J4989">
        <v>41.62</v>
      </c>
      <c r="K4989" t="s">
        <v>36</v>
      </c>
      <c r="L4989" t="s">
        <v>17</v>
      </c>
      <c r="M4989" t="s">
        <v>103</v>
      </c>
    </row>
    <row r="4990" spans="1:13" x14ac:dyDescent="0.2">
      <c r="A4990">
        <v>921978</v>
      </c>
      <c r="B4990" s="1">
        <v>45414</v>
      </c>
      <c r="C4990">
        <v>41258</v>
      </c>
      <c r="D4990" t="s">
        <v>82</v>
      </c>
      <c r="E4990" t="s">
        <v>155</v>
      </c>
      <c r="F4990" t="s">
        <v>156</v>
      </c>
      <c r="G4990">
        <v>1</v>
      </c>
      <c r="H4990">
        <v>19.989999999999998</v>
      </c>
      <c r="J4990">
        <v>19.989999999999998</v>
      </c>
      <c r="K4990" t="s">
        <v>36</v>
      </c>
      <c r="L4990" t="s">
        <v>17</v>
      </c>
      <c r="M4990" t="s">
        <v>102</v>
      </c>
    </row>
    <row r="4991" spans="1:13" x14ac:dyDescent="0.2">
      <c r="A4991">
        <v>922103</v>
      </c>
      <c r="B4991" s="1">
        <v>44675</v>
      </c>
      <c r="C4991">
        <v>94899</v>
      </c>
      <c r="D4991" t="s">
        <v>97</v>
      </c>
      <c r="E4991" t="s">
        <v>193</v>
      </c>
      <c r="F4991" t="s">
        <v>194</v>
      </c>
      <c r="G4991">
        <v>1</v>
      </c>
      <c r="H4991">
        <v>45.49</v>
      </c>
      <c r="I4991">
        <v>0.3</v>
      </c>
      <c r="J4991">
        <v>31.84</v>
      </c>
      <c r="K4991" t="s">
        <v>16</v>
      </c>
      <c r="L4991" t="s">
        <v>37</v>
      </c>
      <c r="M4991" t="s">
        <v>47</v>
      </c>
    </row>
    <row r="4992" spans="1:13" x14ac:dyDescent="0.2">
      <c r="A4992">
        <v>922460</v>
      </c>
      <c r="B4992" s="1">
        <v>45565</v>
      </c>
      <c r="C4992">
        <v>11555</v>
      </c>
      <c r="D4992" t="s">
        <v>40</v>
      </c>
      <c r="E4992" t="s">
        <v>115</v>
      </c>
      <c r="F4992" t="s">
        <v>116</v>
      </c>
      <c r="G4992">
        <v>1</v>
      </c>
      <c r="H4992">
        <v>11.69</v>
      </c>
      <c r="I4992">
        <v>0.1</v>
      </c>
      <c r="J4992">
        <v>10.52</v>
      </c>
      <c r="K4992" t="s">
        <v>22</v>
      </c>
      <c r="L4992" t="s">
        <v>37</v>
      </c>
      <c r="M4992" t="s">
        <v>47</v>
      </c>
    </row>
    <row r="4993" spans="1:13" x14ac:dyDescent="0.2">
      <c r="A4993">
        <v>922492</v>
      </c>
      <c r="B4993" s="1">
        <v>45329</v>
      </c>
      <c r="C4993">
        <v>17850</v>
      </c>
      <c r="D4993" t="s">
        <v>29</v>
      </c>
      <c r="E4993" t="s">
        <v>30</v>
      </c>
      <c r="F4993" t="s">
        <v>31</v>
      </c>
      <c r="G4993">
        <v>4</v>
      </c>
      <c r="H4993">
        <v>17.489999999999998</v>
      </c>
      <c r="I4993">
        <v>0.3</v>
      </c>
      <c r="J4993">
        <v>48.97</v>
      </c>
      <c r="K4993" t="s">
        <v>16</v>
      </c>
      <c r="L4993" t="s">
        <v>17</v>
      </c>
      <c r="M4993" t="s">
        <v>90</v>
      </c>
    </row>
    <row r="4994" spans="1:13" x14ac:dyDescent="0.2">
      <c r="A4994">
        <v>922674</v>
      </c>
      <c r="B4994" s="1">
        <v>45450</v>
      </c>
      <c r="D4994" t="s">
        <v>63</v>
      </c>
      <c r="E4994" t="s">
        <v>111</v>
      </c>
      <c r="F4994" t="s">
        <v>112</v>
      </c>
      <c r="G4994">
        <v>2</v>
      </c>
      <c r="H4994">
        <v>14.99</v>
      </c>
      <c r="J4994">
        <v>29.98</v>
      </c>
      <c r="K4994" t="s">
        <v>36</v>
      </c>
      <c r="L4994" t="s">
        <v>37</v>
      </c>
      <c r="M4994" t="s">
        <v>103</v>
      </c>
    </row>
    <row r="4995" spans="1:13" x14ac:dyDescent="0.2">
      <c r="A4995">
        <v>923023</v>
      </c>
      <c r="B4995" s="1">
        <v>44565</v>
      </c>
      <c r="C4995">
        <v>34490</v>
      </c>
      <c r="D4995" t="s">
        <v>25</v>
      </c>
      <c r="E4995" t="s">
        <v>60</v>
      </c>
      <c r="F4995" t="s">
        <v>61</v>
      </c>
      <c r="G4995">
        <v>1</v>
      </c>
      <c r="H4995">
        <v>41.24</v>
      </c>
      <c r="I4995">
        <v>0.25</v>
      </c>
      <c r="J4995">
        <v>30.93</v>
      </c>
      <c r="K4995" t="s">
        <v>22</v>
      </c>
      <c r="L4995" t="s">
        <v>17</v>
      </c>
      <c r="M4995" t="s">
        <v>24</v>
      </c>
    </row>
    <row r="4996" spans="1:13" x14ac:dyDescent="0.2">
      <c r="A4996">
        <v>923295</v>
      </c>
      <c r="B4996" s="2">
        <v>45319</v>
      </c>
      <c r="C4996">
        <v>82219</v>
      </c>
      <c r="D4996" t="s">
        <v>25</v>
      </c>
      <c r="E4996" t="s">
        <v>113</v>
      </c>
      <c r="F4996" t="s">
        <v>114</v>
      </c>
      <c r="G4996">
        <v>1</v>
      </c>
      <c r="H4996">
        <v>101.99</v>
      </c>
      <c r="I4996">
        <v>0.15</v>
      </c>
      <c r="J4996">
        <v>86.69</v>
      </c>
      <c r="K4996" t="s">
        <v>95</v>
      </c>
      <c r="L4996" t="s">
        <v>17</v>
      </c>
      <c r="M4996" t="s">
        <v>96</v>
      </c>
    </row>
    <row r="4997" spans="1:13" x14ac:dyDescent="0.2">
      <c r="A4997">
        <v>923632</v>
      </c>
      <c r="B4997" s="1">
        <v>44571</v>
      </c>
      <c r="C4997">
        <v>96090</v>
      </c>
      <c r="D4997" t="s">
        <v>25</v>
      </c>
      <c r="E4997" t="s">
        <v>113</v>
      </c>
      <c r="F4997" t="s">
        <v>114</v>
      </c>
      <c r="G4997">
        <v>1</v>
      </c>
      <c r="H4997">
        <v>119.99</v>
      </c>
      <c r="J4997">
        <v>119.99</v>
      </c>
      <c r="K4997" t="s">
        <v>95</v>
      </c>
      <c r="L4997" t="s">
        <v>23</v>
      </c>
      <c r="M4997" t="s">
        <v>102</v>
      </c>
    </row>
    <row r="4998" spans="1:13" x14ac:dyDescent="0.2">
      <c r="A4998">
        <v>924149</v>
      </c>
      <c r="B4998" s="1">
        <v>45249</v>
      </c>
      <c r="C4998">
        <v>78806</v>
      </c>
      <c r="D4998" t="s">
        <v>82</v>
      </c>
      <c r="E4998" t="s">
        <v>100</v>
      </c>
      <c r="F4998" t="s">
        <v>101</v>
      </c>
      <c r="G4998">
        <v>4</v>
      </c>
      <c r="H4998">
        <v>18.39</v>
      </c>
      <c r="J4998">
        <v>73.56</v>
      </c>
      <c r="K4998" t="s">
        <v>36</v>
      </c>
      <c r="L4998" t="s">
        <v>17</v>
      </c>
      <c r="M4998" t="s">
        <v>120</v>
      </c>
    </row>
    <row r="4999" spans="1:13" x14ac:dyDescent="0.2">
      <c r="A4999">
        <v>924558</v>
      </c>
      <c r="B4999" s="1">
        <v>45358</v>
      </c>
      <c r="C4999">
        <v>79147</v>
      </c>
      <c r="D4999" t="s">
        <v>63</v>
      </c>
      <c r="E4999" t="s">
        <v>111</v>
      </c>
      <c r="F4999" t="s">
        <v>112</v>
      </c>
      <c r="G4999">
        <v>2</v>
      </c>
      <c r="H4999">
        <v>13.49</v>
      </c>
      <c r="I4999">
        <v>0.1</v>
      </c>
      <c r="J4999">
        <v>24.28</v>
      </c>
      <c r="K4999" t="s">
        <v>22</v>
      </c>
      <c r="L4999" t="s">
        <v>37</v>
      </c>
      <c r="M4999" t="s">
        <v>103</v>
      </c>
    </row>
    <row r="5000" spans="1:13" x14ac:dyDescent="0.2">
      <c r="A5000">
        <v>924682</v>
      </c>
      <c r="B5000" s="1">
        <v>44950</v>
      </c>
      <c r="C5000">
        <v>30103</v>
      </c>
      <c r="D5000" t="s">
        <v>63</v>
      </c>
      <c r="E5000" t="s">
        <v>68</v>
      </c>
      <c r="F5000" t="s">
        <v>69</v>
      </c>
      <c r="G5000">
        <v>2</v>
      </c>
      <c r="H5000">
        <v>21.24</v>
      </c>
      <c r="I5000">
        <v>0.15</v>
      </c>
      <c r="J5000">
        <v>36.11</v>
      </c>
      <c r="K5000" t="s">
        <v>22</v>
      </c>
      <c r="L5000" t="s">
        <v>17</v>
      </c>
      <c r="M5000" t="s">
        <v>117</v>
      </c>
    </row>
    <row r="5001" spans="1:13" x14ac:dyDescent="0.2">
      <c r="A5001">
        <v>924932</v>
      </c>
      <c r="B5001" s="2">
        <v>45631</v>
      </c>
      <c r="C5001">
        <v>42332</v>
      </c>
      <c r="D5001" t="s">
        <v>97</v>
      </c>
      <c r="E5001" t="s">
        <v>141</v>
      </c>
      <c r="F5001" t="s">
        <v>142</v>
      </c>
      <c r="G5001">
        <v>5</v>
      </c>
      <c r="H5001">
        <v>16.09</v>
      </c>
      <c r="I5001">
        <v>0.3</v>
      </c>
      <c r="J5001">
        <v>56.32</v>
      </c>
      <c r="K5001" t="s">
        <v>16</v>
      </c>
      <c r="L5001" t="s">
        <v>17</v>
      </c>
      <c r="M5001" t="s">
        <v>18</v>
      </c>
    </row>
    <row r="5002" spans="1:13" x14ac:dyDescent="0.2">
      <c r="A5002">
        <v>925318</v>
      </c>
      <c r="B5002" s="1">
        <v>44592</v>
      </c>
      <c r="C5002">
        <v>68229</v>
      </c>
      <c r="D5002" t="s">
        <v>29</v>
      </c>
      <c r="E5002" t="s">
        <v>170</v>
      </c>
      <c r="F5002" t="s">
        <v>171</v>
      </c>
      <c r="G5002">
        <v>3</v>
      </c>
      <c r="H5002">
        <v>10.49</v>
      </c>
      <c r="I5002">
        <v>0.3</v>
      </c>
      <c r="J5002">
        <v>22.03</v>
      </c>
      <c r="K5002" t="s">
        <v>22</v>
      </c>
      <c r="L5002" t="s">
        <v>17</v>
      </c>
      <c r="M5002" t="s">
        <v>81</v>
      </c>
    </row>
    <row r="5003" spans="1:13" x14ac:dyDescent="0.2">
      <c r="A5003">
        <v>925352</v>
      </c>
      <c r="B5003" s="1">
        <v>45542</v>
      </c>
      <c r="C5003">
        <v>22115</v>
      </c>
      <c r="D5003" t="s">
        <v>85</v>
      </c>
      <c r="E5003" t="s">
        <v>137</v>
      </c>
      <c r="F5003" t="s">
        <v>138</v>
      </c>
      <c r="G5003">
        <v>1</v>
      </c>
      <c r="H5003">
        <v>6.39</v>
      </c>
      <c r="I5003">
        <v>0.2</v>
      </c>
      <c r="J5003">
        <v>5.1100000000000003</v>
      </c>
      <c r="K5003" t="s">
        <v>36</v>
      </c>
      <c r="L5003" t="s">
        <v>17</v>
      </c>
      <c r="M5003" t="s">
        <v>123</v>
      </c>
    </row>
    <row r="5004" spans="1:13" x14ac:dyDescent="0.2">
      <c r="A5004">
        <v>925537</v>
      </c>
      <c r="B5004" s="1">
        <v>44793</v>
      </c>
      <c r="C5004">
        <v>11967</v>
      </c>
      <c r="D5004" t="s">
        <v>97</v>
      </c>
      <c r="E5004" t="s">
        <v>121</v>
      </c>
      <c r="F5004" t="s">
        <v>122</v>
      </c>
      <c r="G5004">
        <v>5</v>
      </c>
      <c r="H5004">
        <v>11.04</v>
      </c>
      <c r="I5004">
        <v>0.15</v>
      </c>
      <c r="J5004">
        <v>46.92</v>
      </c>
      <c r="K5004" t="s">
        <v>22</v>
      </c>
      <c r="L5004" t="s">
        <v>17</v>
      </c>
      <c r="M5004" t="s">
        <v>57</v>
      </c>
    </row>
    <row r="5005" spans="1:13" x14ac:dyDescent="0.2">
      <c r="A5005">
        <v>925814</v>
      </c>
      <c r="B5005" s="2">
        <v>44975</v>
      </c>
      <c r="C5005">
        <v>42848</v>
      </c>
      <c r="D5005" t="s">
        <v>48</v>
      </c>
      <c r="E5005" t="s">
        <v>143</v>
      </c>
      <c r="F5005" t="s">
        <v>144</v>
      </c>
      <c r="G5005">
        <v>1</v>
      </c>
      <c r="H5005">
        <v>11.99</v>
      </c>
      <c r="I5005">
        <v>0.2</v>
      </c>
      <c r="J5005">
        <v>9.59</v>
      </c>
      <c r="K5005" t="s">
        <v>95</v>
      </c>
      <c r="L5005" t="s">
        <v>37</v>
      </c>
      <c r="M5005" t="s">
        <v>57</v>
      </c>
    </row>
    <row r="5006" spans="1:13" x14ac:dyDescent="0.2">
      <c r="A5006">
        <v>925881</v>
      </c>
      <c r="B5006" s="2">
        <v>45507</v>
      </c>
      <c r="D5006" t="s">
        <v>85</v>
      </c>
      <c r="E5006" t="s">
        <v>86</v>
      </c>
      <c r="F5006" t="s">
        <v>87</v>
      </c>
      <c r="G5006">
        <v>2</v>
      </c>
      <c r="H5006">
        <v>9.74</v>
      </c>
      <c r="I5006">
        <v>0.25</v>
      </c>
      <c r="J5006">
        <v>14.61</v>
      </c>
      <c r="K5006" t="s">
        <v>22</v>
      </c>
      <c r="L5006" t="s">
        <v>37</v>
      </c>
      <c r="M5006" t="s">
        <v>76</v>
      </c>
    </row>
    <row r="5007" spans="1:13" x14ac:dyDescent="0.2">
      <c r="A5007">
        <v>925924</v>
      </c>
      <c r="B5007" s="1">
        <v>44997</v>
      </c>
      <c r="C5007">
        <v>61080</v>
      </c>
      <c r="D5007" t="s">
        <v>40</v>
      </c>
      <c r="E5007" t="s">
        <v>115</v>
      </c>
      <c r="F5007" t="s">
        <v>116</v>
      </c>
      <c r="G5007">
        <v>1</v>
      </c>
      <c r="H5007">
        <v>12.99</v>
      </c>
      <c r="J5007">
        <v>12.99</v>
      </c>
      <c r="K5007" t="s">
        <v>95</v>
      </c>
      <c r="L5007" t="s">
        <v>17</v>
      </c>
      <c r="M5007" t="s">
        <v>24</v>
      </c>
    </row>
    <row r="5008" spans="1:13" x14ac:dyDescent="0.2">
      <c r="A5008">
        <v>926343</v>
      </c>
      <c r="B5008" s="2">
        <v>45000</v>
      </c>
      <c r="C5008">
        <v>32728</v>
      </c>
      <c r="D5008" t="s">
        <v>29</v>
      </c>
      <c r="E5008" t="s">
        <v>30</v>
      </c>
      <c r="F5008" t="s">
        <v>31</v>
      </c>
      <c r="G5008">
        <v>2</v>
      </c>
      <c r="H5008">
        <v>24.99</v>
      </c>
      <c r="J5008">
        <v>49.98</v>
      </c>
      <c r="K5008" t="s">
        <v>16</v>
      </c>
      <c r="L5008" t="s">
        <v>23</v>
      </c>
      <c r="M5008" t="s">
        <v>102</v>
      </c>
    </row>
    <row r="5009" spans="1:13" x14ac:dyDescent="0.2">
      <c r="A5009">
        <v>926471</v>
      </c>
      <c r="B5009" s="1">
        <v>44826</v>
      </c>
      <c r="C5009">
        <v>28978</v>
      </c>
      <c r="D5009" t="s">
        <v>85</v>
      </c>
      <c r="E5009" t="s">
        <v>86</v>
      </c>
      <c r="F5009" t="s">
        <v>87</v>
      </c>
      <c r="G5009">
        <v>1</v>
      </c>
      <c r="H5009">
        <v>12.34</v>
      </c>
      <c r="I5009">
        <v>0.05</v>
      </c>
      <c r="J5009">
        <v>11.72</v>
      </c>
      <c r="K5009" t="s">
        <v>36</v>
      </c>
      <c r="L5009" t="s">
        <v>37</v>
      </c>
      <c r="M5009" t="s">
        <v>90</v>
      </c>
    </row>
    <row r="5010" spans="1:13" x14ac:dyDescent="0.2">
      <c r="A5010">
        <v>926502</v>
      </c>
      <c r="B5010" s="1">
        <v>44938</v>
      </c>
      <c r="C5010">
        <v>53500</v>
      </c>
      <c r="D5010" t="s">
        <v>40</v>
      </c>
      <c r="E5010" t="s">
        <v>115</v>
      </c>
      <c r="F5010" t="s">
        <v>116</v>
      </c>
      <c r="G5010">
        <v>2</v>
      </c>
      <c r="H5010">
        <v>9.09</v>
      </c>
      <c r="I5010">
        <v>0.3</v>
      </c>
      <c r="J5010">
        <v>12.73</v>
      </c>
      <c r="K5010" t="s">
        <v>53</v>
      </c>
      <c r="L5010" t="s">
        <v>17</v>
      </c>
      <c r="M5010" t="s">
        <v>103</v>
      </c>
    </row>
    <row r="5011" spans="1:13" x14ac:dyDescent="0.2">
      <c r="A5011">
        <v>926556</v>
      </c>
      <c r="B5011" s="1">
        <v>45421</v>
      </c>
      <c r="C5011">
        <v>62352</v>
      </c>
      <c r="D5011" t="s">
        <v>44</v>
      </c>
      <c r="E5011" t="s">
        <v>190</v>
      </c>
      <c r="F5011" t="s">
        <v>191</v>
      </c>
      <c r="G5011">
        <v>4</v>
      </c>
      <c r="H5011">
        <v>4.29</v>
      </c>
      <c r="J5011">
        <v>17.16</v>
      </c>
      <c r="K5011" t="s">
        <v>36</v>
      </c>
      <c r="L5011" t="s">
        <v>23</v>
      </c>
      <c r="M5011" t="s">
        <v>81</v>
      </c>
    </row>
    <row r="5012" spans="1:13" x14ac:dyDescent="0.2">
      <c r="A5012">
        <v>926901</v>
      </c>
      <c r="B5012" s="1">
        <v>45248</v>
      </c>
      <c r="C5012">
        <v>30992</v>
      </c>
      <c r="D5012" t="s">
        <v>40</v>
      </c>
      <c r="E5012" t="s">
        <v>41</v>
      </c>
      <c r="F5012" t="s">
        <v>42</v>
      </c>
      <c r="G5012">
        <v>1</v>
      </c>
      <c r="H5012">
        <v>5.99</v>
      </c>
      <c r="J5012">
        <v>5.99</v>
      </c>
      <c r="K5012" t="s">
        <v>36</v>
      </c>
      <c r="L5012" t="s">
        <v>37</v>
      </c>
      <c r="M5012" t="s">
        <v>81</v>
      </c>
    </row>
    <row r="5013" spans="1:13" x14ac:dyDescent="0.2">
      <c r="A5013">
        <v>927311</v>
      </c>
      <c r="B5013" s="2">
        <v>45341</v>
      </c>
      <c r="C5013">
        <v>58847</v>
      </c>
      <c r="D5013" t="s">
        <v>40</v>
      </c>
      <c r="E5013" t="s">
        <v>197</v>
      </c>
      <c r="F5013" t="s">
        <v>198</v>
      </c>
      <c r="G5013">
        <v>5</v>
      </c>
      <c r="H5013">
        <v>10.49</v>
      </c>
      <c r="I5013">
        <v>0.3</v>
      </c>
      <c r="J5013">
        <v>36.71</v>
      </c>
      <c r="K5013" t="s">
        <v>16</v>
      </c>
      <c r="L5013" t="s">
        <v>17</v>
      </c>
      <c r="M5013" t="s">
        <v>18</v>
      </c>
    </row>
    <row r="5014" spans="1:13" x14ac:dyDescent="0.2">
      <c r="A5014">
        <v>927683</v>
      </c>
      <c r="B5014" s="2">
        <v>45541</v>
      </c>
      <c r="C5014">
        <v>53053</v>
      </c>
      <c r="D5014" t="s">
        <v>167</v>
      </c>
      <c r="E5014" t="s">
        <v>139</v>
      </c>
      <c r="F5014" t="s">
        <v>140</v>
      </c>
      <c r="G5014">
        <v>1</v>
      </c>
      <c r="H5014">
        <v>7.59</v>
      </c>
      <c r="I5014">
        <v>0.05</v>
      </c>
      <c r="J5014">
        <v>7.21</v>
      </c>
      <c r="K5014" t="s">
        <v>36</v>
      </c>
      <c r="L5014" t="s">
        <v>17</v>
      </c>
    </row>
    <row r="5015" spans="1:13" x14ac:dyDescent="0.2">
      <c r="A5015">
        <v>927695</v>
      </c>
      <c r="B5015" s="1">
        <v>45118</v>
      </c>
      <c r="C5015">
        <v>15139</v>
      </c>
      <c r="D5015" t="s">
        <v>44</v>
      </c>
      <c r="E5015" t="s">
        <v>184</v>
      </c>
      <c r="F5015" t="s">
        <v>185</v>
      </c>
      <c r="G5015">
        <v>1</v>
      </c>
      <c r="H5015">
        <v>4.3899999999999997</v>
      </c>
      <c r="I5015">
        <v>0.2</v>
      </c>
      <c r="J5015">
        <v>3.51</v>
      </c>
      <c r="K5015" t="s">
        <v>36</v>
      </c>
      <c r="L5015" t="s">
        <v>17</v>
      </c>
      <c r="M5015" t="s">
        <v>28</v>
      </c>
    </row>
    <row r="5016" spans="1:13" x14ac:dyDescent="0.2">
      <c r="A5016">
        <v>928023</v>
      </c>
      <c r="B5016" s="1">
        <v>45301</v>
      </c>
      <c r="C5016">
        <v>53641</v>
      </c>
      <c r="D5016" t="s">
        <v>25</v>
      </c>
      <c r="E5016" t="s">
        <v>113</v>
      </c>
      <c r="F5016" t="s">
        <v>114</v>
      </c>
      <c r="G5016">
        <v>2</v>
      </c>
      <c r="H5016">
        <v>89.99</v>
      </c>
      <c r="I5016">
        <v>0.25</v>
      </c>
      <c r="J5016">
        <v>134.97999999999999</v>
      </c>
      <c r="K5016" t="s">
        <v>36</v>
      </c>
      <c r="L5016" t="s">
        <v>17</v>
      </c>
      <c r="M5016" t="s">
        <v>18</v>
      </c>
    </row>
    <row r="5017" spans="1:13" x14ac:dyDescent="0.2">
      <c r="A5017">
        <v>928419</v>
      </c>
      <c r="B5017" s="1">
        <v>45553</v>
      </c>
      <c r="C5017">
        <v>16518</v>
      </c>
      <c r="D5017" t="s">
        <v>40</v>
      </c>
      <c r="E5017" t="s">
        <v>58</v>
      </c>
      <c r="F5017" t="s">
        <v>59</v>
      </c>
      <c r="G5017">
        <v>5</v>
      </c>
      <c r="H5017">
        <v>3.19</v>
      </c>
      <c r="I5017">
        <v>0.2</v>
      </c>
      <c r="J5017">
        <v>12.76</v>
      </c>
      <c r="K5017" t="s">
        <v>22</v>
      </c>
      <c r="L5017" t="s">
        <v>37</v>
      </c>
      <c r="M5017" t="s">
        <v>43</v>
      </c>
    </row>
    <row r="5018" spans="1:13" x14ac:dyDescent="0.2">
      <c r="A5018">
        <v>928630</v>
      </c>
      <c r="B5018" s="1">
        <v>45090</v>
      </c>
      <c r="C5018">
        <v>30222</v>
      </c>
      <c r="D5018" t="s">
        <v>85</v>
      </c>
      <c r="E5018" t="s">
        <v>137</v>
      </c>
      <c r="F5018" t="s">
        <v>138</v>
      </c>
      <c r="G5018">
        <v>5</v>
      </c>
      <c r="H5018">
        <v>7.59</v>
      </c>
      <c r="I5018">
        <v>0.05</v>
      </c>
      <c r="J5018">
        <v>36.049999999999997</v>
      </c>
      <c r="K5018" t="s">
        <v>32</v>
      </c>
      <c r="L5018" t="s">
        <v>17</v>
      </c>
      <c r="M5018" t="s">
        <v>18</v>
      </c>
    </row>
    <row r="5019" spans="1:13" x14ac:dyDescent="0.2">
      <c r="A5019">
        <v>928699</v>
      </c>
      <c r="B5019" s="1">
        <v>44638</v>
      </c>
      <c r="C5019">
        <v>79090</v>
      </c>
      <c r="D5019" t="s">
        <v>13</v>
      </c>
      <c r="E5019" t="s">
        <v>14</v>
      </c>
      <c r="F5019" t="s">
        <v>15</v>
      </c>
      <c r="G5019">
        <v>5</v>
      </c>
      <c r="H5019">
        <v>79.989999999999995</v>
      </c>
      <c r="J5019">
        <v>399.95</v>
      </c>
      <c r="K5019" t="s">
        <v>53</v>
      </c>
      <c r="L5019" t="s">
        <v>17</v>
      </c>
      <c r="M5019" t="s">
        <v>103</v>
      </c>
    </row>
    <row r="5020" spans="1:13" x14ac:dyDescent="0.2">
      <c r="A5020">
        <v>928727</v>
      </c>
      <c r="B5020" s="1">
        <v>45481</v>
      </c>
      <c r="C5020">
        <v>11500</v>
      </c>
      <c r="D5020" t="s">
        <v>48</v>
      </c>
      <c r="E5020" t="s">
        <v>143</v>
      </c>
      <c r="F5020" t="s">
        <v>144</v>
      </c>
      <c r="G5020">
        <v>2</v>
      </c>
      <c r="H5020">
        <v>11.99</v>
      </c>
      <c r="I5020">
        <v>0.2</v>
      </c>
      <c r="J5020">
        <v>19.18</v>
      </c>
      <c r="K5020" t="s">
        <v>36</v>
      </c>
      <c r="L5020" t="s">
        <v>23</v>
      </c>
      <c r="M5020" t="s">
        <v>33</v>
      </c>
    </row>
    <row r="5021" spans="1:13" x14ac:dyDescent="0.2">
      <c r="A5021">
        <v>928842</v>
      </c>
      <c r="B5021" s="1">
        <v>45291</v>
      </c>
      <c r="C5021">
        <v>14178</v>
      </c>
      <c r="D5021" t="s">
        <v>82</v>
      </c>
      <c r="E5021" t="s">
        <v>168</v>
      </c>
      <c r="F5021" t="s">
        <v>169</v>
      </c>
      <c r="G5021">
        <v>4</v>
      </c>
      <c r="H5021">
        <v>8.99</v>
      </c>
      <c r="J5021">
        <v>35.96</v>
      </c>
      <c r="K5021" t="s">
        <v>36</v>
      </c>
      <c r="L5021" t="s">
        <v>37</v>
      </c>
      <c r="M5021" t="s">
        <v>120</v>
      </c>
    </row>
    <row r="5022" spans="1:13" x14ac:dyDescent="0.2">
      <c r="A5022">
        <v>928930</v>
      </c>
      <c r="B5022" s="1">
        <v>44581</v>
      </c>
      <c r="C5022">
        <v>50827</v>
      </c>
      <c r="D5022" t="s">
        <v>106</v>
      </c>
      <c r="E5022" t="s">
        <v>177</v>
      </c>
      <c r="F5022" t="s">
        <v>178</v>
      </c>
      <c r="G5022">
        <v>3</v>
      </c>
      <c r="H5022">
        <v>8.99</v>
      </c>
      <c r="I5022">
        <v>0.25</v>
      </c>
      <c r="J5022">
        <v>20.23</v>
      </c>
      <c r="K5022" t="s">
        <v>36</v>
      </c>
      <c r="L5022" t="s">
        <v>17</v>
      </c>
      <c r="M5022" t="s">
        <v>102</v>
      </c>
    </row>
    <row r="5023" spans="1:13" x14ac:dyDescent="0.2">
      <c r="A5023">
        <v>928992</v>
      </c>
      <c r="B5023" s="2">
        <v>44842</v>
      </c>
      <c r="C5023">
        <v>80300</v>
      </c>
      <c r="D5023" t="s">
        <v>85</v>
      </c>
      <c r="E5023" t="s">
        <v>129</v>
      </c>
      <c r="F5023" t="s">
        <v>130</v>
      </c>
      <c r="G5023">
        <v>2</v>
      </c>
      <c r="H5023">
        <v>6.29</v>
      </c>
      <c r="I5023">
        <v>0.3</v>
      </c>
      <c r="J5023">
        <v>8.81</v>
      </c>
      <c r="K5023" t="s">
        <v>16</v>
      </c>
      <c r="L5023" t="s">
        <v>23</v>
      </c>
      <c r="M5023" t="s">
        <v>96</v>
      </c>
    </row>
    <row r="5024" spans="1:13" x14ac:dyDescent="0.2">
      <c r="A5024">
        <v>929259</v>
      </c>
      <c r="B5024" s="1">
        <v>45111</v>
      </c>
      <c r="C5024">
        <v>13662</v>
      </c>
      <c r="D5024" t="s">
        <v>13</v>
      </c>
      <c r="E5024" t="s">
        <v>34</v>
      </c>
      <c r="F5024" t="s">
        <v>35</v>
      </c>
      <c r="G5024">
        <v>1</v>
      </c>
      <c r="H5024">
        <v>33.24</v>
      </c>
      <c r="I5024">
        <v>0.05</v>
      </c>
      <c r="J5024">
        <v>31.58</v>
      </c>
      <c r="K5024" t="s">
        <v>16</v>
      </c>
      <c r="L5024" t="s">
        <v>17</v>
      </c>
      <c r="M5024" t="s">
        <v>161</v>
      </c>
    </row>
    <row r="5025" spans="1:13" x14ac:dyDescent="0.2">
      <c r="A5025">
        <v>929384</v>
      </c>
      <c r="B5025" s="1">
        <v>44929</v>
      </c>
      <c r="C5025">
        <v>98874</v>
      </c>
      <c r="D5025" t="s">
        <v>40</v>
      </c>
      <c r="E5025" t="s">
        <v>58</v>
      </c>
      <c r="F5025" t="s">
        <v>59</v>
      </c>
      <c r="G5025">
        <v>5</v>
      </c>
      <c r="H5025">
        <v>3.39</v>
      </c>
      <c r="I5025">
        <v>0.15</v>
      </c>
      <c r="J5025">
        <v>14.41</v>
      </c>
      <c r="K5025" t="s">
        <v>16</v>
      </c>
      <c r="L5025" t="s">
        <v>17</v>
      </c>
      <c r="M5025" t="s">
        <v>90</v>
      </c>
    </row>
    <row r="5026" spans="1:13" x14ac:dyDescent="0.2">
      <c r="A5026">
        <v>929484</v>
      </c>
      <c r="B5026" s="1">
        <v>45535</v>
      </c>
      <c r="D5026" t="s">
        <v>85</v>
      </c>
      <c r="E5026" t="s">
        <v>129</v>
      </c>
      <c r="F5026" t="s">
        <v>130</v>
      </c>
      <c r="G5026">
        <v>1</v>
      </c>
      <c r="H5026">
        <v>7.19</v>
      </c>
      <c r="I5026">
        <v>0.2</v>
      </c>
      <c r="J5026">
        <v>5.75</v>
      </c>
      <c r="K5026" t="s">
        <v>16</v>
      </c>
      <c r="L5026" t="s">
        <v>17</v>
      </c>
      <c r="M5026" t="s">
        <v>47</v>
      </c>
    </row>
    <row r="5027" spans="1:13" x14ac:dyDescent="0.2">
      <c r="A5027">
        <v>929616</v>
      </c>
      <c r="B5027" s="1">
        <v>44655</v>
      </c>
      <c r="C5027">
        <v>89199</v>
      </c>
      <c r="D5027" t="s">
        <v>29</v>
      </c>
      <c r="E5027" t="s">
        <v>175</v>
      </c>
      <c r="F5027" t="s">
        <v>176</v>
      </c>
      <c r="G5027">
        <v>3</v>
      </c>
      <c r="H5027">
        <v>11.99</v>
      </c>
      <c r="J5027">
        <v>35.97</v>
      </c>
      <c r="K5027" t="s">
        <v>16</v>
      </c>
      <c r="L5027" t="s">
        <v>37</v>
      </c>
    </row>
    <row r="5028" spans="1:13" x14ac:dyDescent="0.2">
      <c r="A5028">
        <v>929689</v>
      </c>
      <c r="B5028" s="2">
        <v>45431</v>
      </c>
      <c r="C5028">
        <v>88268</v>
      </c>
      <c r="D5028" t="s">
        <v>13</v>
      </c>
      <c r="E5028" t="s">
        <v>159</v>
      </c>
      <c r="F5028" t="s">
        <v>160</v>
      </c>
      <c r="G5028">
        <v>1</v>
      </c>
      <c r="H5028">
        <v>47.99</v>
      </c>
      <c r="I5028">
        <v>0.2</v>
      </c>
      <c r="J5028">
        <v>38.39</v>
      </c>
      <c r="K5028" t="s">
        <v>36</v>
      </c>
      <c r="L5028" t="s">
        <v>17</v>
      </c>
      <c r="M5028" t="s">
        <v>102</v>
      </c>
    </row>
    <row r="5029" spans="1:13" x14ac:dyDescent="0.2">
      <c r="A5029">
        <v>929786</v>
      </c>
      <c r="B5029" s="1">
        <v>45601</v>
      </c>
      <c r="C5029">
        <v>40361</v>
      </c>
      <c r="D5029" t="s">
        <v>82</v>
      </c>
      <c r="E5029" t="s">
        <v>155</v>
      </c>
      <c r="F5029" t="s">
        <v>156</v>
      </c>
      <c r="G5029">
        <v>1</v>
      </c>
      <c r="H5029">
        <v>18.989999999999998</v>
      </c>
      <c r="I5029">
        <v>0.05</v>
      </c>
      <c r="J5029">
        <v>18.04</v>
      </c>
      <c r="K5029" t="s">
        <v>22</v>
      </c>
      <c r="L5029" t="s">
        <v>17</v>
      </c>
      <c r="M5029" t="s">
        <v>57</v>
      </c>
    </row>
    <row r="5030" spans="1:13" x14ac:dyDescent="0.2">
      <c r="A5030">
        <v>929867</v>
      </c>
      <c r="B5030" s="2">
        <v>45337</v>
      </c>
      <c r="C5030">
        <v>57009</v>
      </c>
      <c r="D5030" t="s">
        <v>82</v>
      </c>
      <c r="E5030" t="s">
        <v>155</v>
      </c>
      <c r="F5030" t="s">
        <v>156</v>
      </c>
      <c r="G5030">
        <v>2</v>
      </c>
      <c r="H5030">
        <v>15.99</v>
      </c>
      <c r="I5030">
        <v>0.2</v>
      </c>
      <c r="J5030">
        <v>25.58</v>
      </c>
      <c r="K5030" t="s">
        <v>22</v>
      </c>
      <c r="L5030" t="s">
        <v>37</v>
      </c>
      <c r="M5030" t="s">
        <v>24</v>
      </c>
    </row>
    <row r="5031" spans="1:13" x14ac:dyDescent="0.2">
      <c r="A5031">
        <v>930265</v>
      </c>
      <c r="B5031" s="1">
        <v>45115</v>
      </c>
      <c r="C5031">
        <v>90845</v>
      </c>
      <c r="D5031" t="s">
        <v>82</v>
      </c>
      <c r="E5031" t="s">
        <v>188</v>
      </c>
      <c r="F5031" t="s">
        <v>189</v>
      </c>
      <c r="G5031">
        <v>4</v>
      </c>
      <c r="H5031">
        <v>44.99</v>
      </c>
      <c r="J5031">
        <v>179.96</v>
      </c>
      <c r="K5031" t="s">
        <v>16</v>
      </c>
      <c r="L5031" t="s">
        <v>17</v>
      </c>
      <c r="M5031" t="s">
        <v>123</v>
      </c>
    </row>
    <row r="5032" spans="1:13" x14ac:dyDescent="0.2">
      <c r="A5032">
        <v>930569</v>
      </c>
      <c r="B5032" s="1">
        <v>45622</v>
      </c>
      <c r="C5032">
        <v>66721</v>
      </c>
      <c r="D5032" t="s">
        <v>29</v>
      </c>
      <c r="E5032" t="s">
        <v>38</v>
      </c>
      <c r="F5032" t="s">
        <v>39</v>
      </c>
      <c r="G5032">
        <v>1</v>
      </c>
      <c r="H5032">
        <v>28.49</v>
      </c>
      <c r="I5032">
        <v>0.05</v>
      </c>
      <c r="J5032">
        <v>27.07</v>
      </c>
      <c r="K5032" t="s">
        <v>36</v>
      </c>
      <c r="L5032" t="s">
        <v>17</v>
      </c>
      <c r="M5032" t="s">
        <v>54</v>
      </c>
    </row>
    <row r="5033" spans="1:13" x14ac:dyDescent="0.2">
      <c r="A5033">
        <v>931063</v>
      </c>
      <c r="B5033" s="1">
        <v>44796</v>
      </c>
      <c r="C5033">
        <v>67052</v>
      </c>
      <c r="D5033" t="s">
        <v>85</v>
      </c>
      <c r="E5033" t="s">
        <v>157</v>
      </c>
      <c r="F5033" t="s">
        <v>158</v>
      </c>
      <c r="G5033">
        <v>3</v>
      </c>
      <c r="H5033">
        <v>13.49</v>
      </c>
      <c r="J5033">
        <v>40.47</v>
      </c>
      <c r="K5033" t="s">
        <v>16</v>
      </c>
      <c r="L5033" t="s">
        <v>17</v>
      </c>
      <c r="M5033" t="s">
        <v>33</v>
      </c>
    </row>
    <row r="5034" spans="1:13" x14ac:dyDescent="0.2">
      <c r="A5034">
        <v>931149</v>
      </c>
      <c r="B5034" s="2">
        <v>45080</v>
      </c>
      <c r="C5034">
        <v>67034</v>
      </c>
      <c r="D5034" t="s">
        <v>85</v>
      </c>
      <c r="E5034" t="s">
        <v>129</v>
      </c>
      <c r="F5034" t="s">
        <v>130</v>
      </c>
      <c r="G5034">
        <v>1</v>
      </c>
      <c r="H5034">
        <v>8.09</v>
      </c>
      <c r="I5034">
        <v>0.1</v>
      </c>
      <c r="J5034">
        <v>7.28</v>
      </c>
      <c r="K5034" t="s">
        <v>16</v>
      </c>
      <c r="L5034" t="s">
        <v>23</v>
      </c>
      <c r="M5034" t="s">
        <v>76</v>
      </c>
    </row>
    <row r="5035" spans="1:13" x14ac:dyDescent="0.2">
      <c r="A5035">
        <v>931240</v>
      </c>
      <c r="B5035" s="2">
        <v>44779</v>
      </c>
      <c r="C5035">
        <v>88696</v>
      </c>
      <c r="D5035" t="s">
        <v>25</v>
      </c>
      <c r="E5035" t="s">
        <v>60</v>
      </c>
      <c r="F5035" t="s">
        <v>61</v>
      </c>
      <c r="G5035">
        <v>1</v>
      </c>
      <c r="H5035">
        <v>49.49</v>
      </c>
      <c r="I5035">
        <v>0.1</v>
      </c>
      <c r="J5035">
        <v>44.54</v>
      </c>
      <c r="K5035" t="s">
        <v>16</v>
      </c>
      <c r="L5035" t="s">
        <v>23</v>
      </c>
      <c r="M5035" t="s">
        <v>117</v>
      </c>
    </row>
    <row r="5036" spans="1:13" x14ac:dyDescent="0.2">
      <c r="A5036">
        <v>931323</v>
      </c>
      <c r="B5036" s="1">
        <v>44758</v>
      </c>
      <c r="C5036">
        <v>26284</v>
      </c>
      <c r="D5036" t="s">
        <v>44</v>
      </c>
      <c r="E5036" t="s">
        <v>45</v>
      </c>
      <c r="F5036" t="s">
        <v>46</v>
      </c>
      <c r="G5036">
        <v>1</v>
      </c>
      <c r="H5036">
        <v>1.25</v>
      </c>
      <c r="I5036">
        <v>0.3</v>
      </c>
      <c r="J5036">
        <v>0.88</v>
      </c>
      <c r="K5036" t="s">
        <v>16</v>
      </c>
      <c r="L5036" t="s">
        <v>37</v>
      </c>
      <c r="M5036" t="s">
        <v>47</v>
      </c>
    </row>
    <row r="5037" spans="1:13" x14ac:dyDescent="0.2">
      <c r="A5037">
        <v>931360</v>
      </c>
      <c r="B5037" s="1">
        <v>44818</v>
      </c>
      <c r="C5037">
        <v>45246</v>
      </c>
      <c r="D5037" t="s">
        <v>29</v>
      </c>
      <c r="E5037" t="s">
        <v>175</v>
      </c>
      <c r="F5037" t="s">
        <v>176</v>
      </c>
      <c r="G5037">
        <v>1</v>
      </c>
      <c r="H5037">
        <v>8.39</v>
      </c>
      <c r="I5037">
        <v>0.3</v>
      </c>
      <c r="J5037">
        <v>5.87</v>
      </c>
      <c r="K5037" t="s">
        <v>36</v>
      </c>
      <c r="L5037" t="s">
        <v>17</v>
      </c>
      <c r="M5037" t="s">
        <v>67</v>
      </c>
    </row>
    <row r="5038" spans="1:13" x14ac:dyDescent="0.2">
      <c r="A5038">
        <v>931819</v>
      </c>
      <c r="B5038" s="1">
        <v>44602</v>
      </c>
      <c r="C5038">
        <v>26653</v>
      </c>
      <c r="D5038" t="s">
        <v>85</v>
      </c>
      <c r="E5038" t="s">
        <v>137</v>
      </c>
      <c r="F5038" t="s">
        <v>138</v>
      </c>
      <c r="G5038">
        <v>4</v>
      </c>
      <c r="H5038">
        <v>5.99</v>
      </c>
      <c r="I5038">
        <v>0.25</v>
      </c>
      <c r="J5038">
        <v>17.97</v>
      </c>
      <c r="K5038" t="s">
        <v>36</v>
      </c>
      <c r="L5038" t="s">
        <v>17</v>
      </c>
      <c r="M5038" t="s">
        <v>43</v>
      </c>
    </row>
    <row r="5039" spans="1:13" x14ac:dyDescent="0.2">
      <c r="A5039">
        <v>932136</v>
      </c>
      <c r="B5039" s="2">
        <v>45472</v>
      </c>
      <c r="C5039">
        <v>93098</v>
      </c>
      <c r="D5039" t="s">
        <v>85</v>
      </c>
      <c r="E5039" t="s">
        <v>157</v>
      </c>
      <c r="F5039" t="s">
        <v>158</v>
      </c>
      <c r="G5039">
        <v>1</v>
      </c>
      <c r="H5039">
        <v>11.47</v>
      </c>
      <c r="I5039">
        <v>0.15</v>
      </c>
      <c r="J5039">
        <v>9.75</v>
      </c>
      <c r="K5039" t="s">
        <v>95</v>
      </c>
      <c r="L5039" t="s">
        <v>23</v>
      </c>
      <c r="M5039" t="s">
        <v>18</v>
      </c>
    </row>
    <row r="5040" spans="1:13" x14ac:dyDescent="0.2">
      <c r="A5040">
        <v>932199</v>
      </c>
      <c r="B5040" s="1">
        <v>44641</v>
      </c>
      <c r="C5040">
        <v>48198</v>
      </c>
      <c r="D5040" t="s">
        <v>40</v>
      </c>
      <c r="E5040" t="s">
        <v>20</v>
      </c>
      <c r="F5040" t="s">
        <v>21</v>
      </c>
      <c r="G5040">
        <v>5</v>
      </c>
      <c r="H5040">
        <v>6.99</v>
      </c>
      <c r="I5040">
        <v>0.3</v>
      </c>
      <c r="J5040">
        <v>24.46</v>
      </c>
      <c r="K5040" t="s">
        <v>16</v>
      </c>
      <c r="L5040" t="s">
        <v>37</v>
      </c>
      <c r="M5040" t="s">
        <v>47</v>
      </c>
    </row>
    <row r="5041" spans="1:13" x14ac:dyDescent="0.2">
      <c r="A5041">
        <v>932589</v>
      </c>
      <c r="B5041" s="1">
        <v>45366</v>
      </c>
      <c r="C5041">
        <v>25146</v>
      </c>
      <c r="D5041" t="s">
        <v>29</v>
      </c>
      <c r="E5041" t="s">
        <v>88</v>
      </c>
      <c r="F5041" t="s">
        <v>89</v>
      </c>
      <c r="G5041">
        <v>2</v>
      </c>
      <c r="H5041">
        <v>49.99</v>
      </c>
      <c r="J5041">
        <v>99.98</v>
      </c>
      <c r="K5041" t="s">
        <v>36</v>
      </c>
      <c r="L5041" t="s">
        <v>23</v>
      </c>
      <c r="M5041" t="s">
        <v>57</v>
      </c>
    </row>
    <row r="5042" spans="1:13" x14ac:dyDescent="0.2">
      <c r="A5042">
        <v>932903</v>
      </c>
      <c r="B5042" s="1">
        <v>44795</v>
      </c>
      <c r="C5042">
        <v>93752</v>
      </c>
      <c r="D5042" t="s">
        <v>44</v>
      </c>
      <c r="E5042" t="s">
        <v>162</v>
      </c>
      <c r="F5042" t="s">
        <v>163</v>
      </c>
      <c r="G5042">
        <v>3</v>
      </c>
      <c r="H5042">
        <v>7.99</v>
      </c>
      <c r="J5042">
        <v>23.97</v>
      </c>
      <c r="K5042" t="s">
        <v>16</v>
      </c>
      <c r="L5042" t="s">
        <v>37</v>
      </c>
      <c r="M5042" t="s">
        <v>54</v>
      </c>
    </row>
    <row r="5043" spans="1:13" x14ac:dyDescent="0.2">
      <c r="A5043">
        <v>932938</v>
      </c>
      <c r="B5043" s="1">
        <v>45454</v>
      </c>
      <c r="C5043">
        <v>88134</v>
      </c>
      <c r="D5043" t="s">
        <v>48</v>
      </c>
      <c r="E5043" t="s">
        <v>139</v>
      </c>
      <c r="F5043" t="s">
        <v>140</v>
      </c>
      <c r="G5043">
        <v>2</v>
      </c>
      <c r="H5043">
        <v>6.79</v>
      </c>
      <c r="I5043">
        <v>0.15</v>
      </c>
      <c r="J5043">
        <v>11.54</v>
      </c>
      <c r="K5043" t="s">
        <v>36</v>
      </c>
      <c r="L5043" t="s">
        <v>17</v>
      </c>
      <c r="M5043" t="s">
        <v>43</v>
      </c>
    </row>
    <row r="5044" spans="1:13" x14ac:dyDescent="0.2">
      <c r="A5044">
        <v>933128</v>
      </c>
      <c r="B5044" s="1">
        <v>44863</v>
      </c>
      <c r="C5044">
        <v>77878</v>
      </c>
      <c r="D5044" t="s">
        <v>63</v>
      </c>
      <c r="E5044" t="s">
        <v>125</v>
      </c>
      <c r="F5044" t="s">
        <v>126</v>
      </c>
      <c r="G5044">
        <v>1</v>
      </c>
      <c r="H5044">
        <v>29.99</v>
      </c>
      <c r="J5044">
        <v>29.99</v>
      </c>
      <c r="K5044" t="s">
        <v>36</v>
      </c>
      <c r="L5044" t="s">
        <v>37</v>
      </c>
      <c r="M5044" t="s">
        <v>90</v>
      </c>
    </row>
    <row r="5045" spans="1:13" x14ac:dyDescent="0.2">
      <c r="A5045">
        <v>933253</v>
      </c>
      <c r="B5045" s="1">
        <v>45462</v>
      </c>
      <c r="C5045">
        <v>44899</v>
      </c>
      <c r="D5045" t="s">
        <v>97</v>
      </c>
      <c r="E5045" t="s">
        <v>98</v>
      </c>
      <c r="F5045" t="s">
        <v>99</v>
      </c>
      <c r="G5045">
        <v>1</v>
      </c>
      <c r="H5045">
        <v>20.99</v>
      </c>
      <c r="I5045">
        <v>0.25</v>
      </c>
      <c r="J5045">
        <v>15.74</v>
      </c>
      <c r="K5045" t="s">
        <v>22</v>
      </c>
      <c r="L5045" t="s">
        <v>17</v>
      </c>
      <c r="M5045" t="s">
        <v>62</v>
      </c>
    </row>
    <row r="5046" spans="1:13" x14ac:dyDescent="0.2">
      <c r="A5046">
        <v>933312</v>
      </c>
      <c r="B5046" s="1">
        <v>44635</v>
      </c>
      <c r="C5046">
        <v>53839</v>
      </c>
      <c r="D5046" t="s">
        <v>13</v>
      </c>
      <c r="E5046" t="s">
        <v>159</v>
      </c>
      <c r="F5046" t="s">
        <v>160</v>
      </c>
      <c r="G5046">
        <v>2</v>
      </c>
      <c r="H5046">
        <v>50.99</v>
      </c>
      <c r="I5046">
        <v>0.15</v>
      </c>
      <c r="J5046">
        <v>86.68</v>
      </c>
      <c r="K5046" t="s">
        <v>16</v>
      </c>
      <c r="L5046" t="s">
        <v>23</v>
      </c>
      <c r="M5046" t="s">
        <v>18</v>
      </c>
    </row>
    <row r="5047" spans="1:13" x14ac:dyDescent="0.2">
      <c r="A5047">
        <v>933441</v>
      </c>
      <c r="B5047" s="1">
        <v>44974</v>
      </c>
      <c r="C5047">
        <v>32417</v>
      </c>
      <c r="D5047" t="s">
        <v>13</v>
      </c>
      <c r="E5047" t="s">
        <v>104</v>
      </c>
      <c r="F5047" t="s">
        <v>105</v>
      </c>
      <c r="G5047">
        <v>5</v>
      </c>
      <c r="H5047">
        <v>23.99</v>
      </c>
      <c r="I5047">
        <v>0.2</v>
      </c>
      <c r="J5047">
        <v>95.96</v>
      </c>
      <c r="K5047" t="s">
        <v>53</v>
      </c>
      <c r="L5047" t="s">
        <v>17</v>
      </c>
      <c r="M5047" t="s">
        <v>33</v>
      </c>
    </row>
    <row r="5048" spans="1:13" x14ac:dyDescent="0.2">
      <c r="A5048">
        <v>933454</v>
      </c>
      <c r="B5048" s="1">
        <v>44730</v>
      </c>
      <c r="C5048">
        <v>50022</v>
      </c>
      <c r="D5048" t="s">
        <v>44</v>
      </c>
      <c r="E5048" t="s">
        <v>190</v>
      </c>
      <c r="F5048" t="s">
        <v>191</v>
      </c>
      <c r="G5048">
        <v>1</v>
      </c>
      <c r="H5048">
        <v>3.86</v>
      </c>
      <c r="I5048">
        <v>0.1</v>
      </c>
      <c r="J5048">
        <v>3.47</v>
      </c>
      <c r="K5048" t="s">
        <v>36</v>
      </c>
      <c r="L5048" t="s">
        <v>17</v>
      </c>
      <c r="M5048" t="s">
        <v>18</v>
      </c>
    </row>
    <row r="5049" spans="1:13" x14ac:dyDescent="0.2">
      <c r="A5049">
        <v>933510</v>
      </c>
      <c r="B5049" s="1">
        <v>44825</v>
      </c>
      <c r="C5049">
        <v>28909</v>
      </c>
      <c r="D5049" t="s">
        <v>25</v>
      </c>
      <c r="E5049" t="s">
        <v>113</v>
      </c>
      <c r="F5049" t="s">
        <v>114</v>
      </c>
      <c r="G5049">
        <v>2</v>
      </c>
      <c r="H5049">
        <v>119.99</v>
      </c>
      <c r="J5049">
        <v>239.98</v>
      </c>
      <c r="K5049" t="s">
        <v>36</v>
      </c>
      <c r="L5049" t="s">
        <v>17</v>
      </c>
      <c r="M5049" t="s">
        <v>24</v>
      </c>
    </row>
    <row r="5050" spans="1:13" x14ac:dyDescent="0.2">
      <c r="A5050">
        <v>933558</v>
      </c>
      <c r="B5050" s="1">
        <v>44957</v>
      </c>
      <c r="C5050">
        <v>25910</v>
      </c>
      <c r="D5050" t="s">
        <v>44</v>
      </c>
      <c r="E5050" t="s">
        <v>177</v>
      </c>
      <c r="F5050" t="s">
        <v>178</v>
      </c>
      <c r="G5050">
        <v>4</v>
      </c>
      <c r="H5050">
        <v>11.99</v>
      </c>
      <c r="J5050">
        <v>47.96</v>
      </c>
      <c r="K5050" t="s">
        <v>16</v>
      </c>
      <c r="L5050" t="s">
        <v>37</v>
      </c>
      <c r="M5050" t="s">
        <v>33</v>
      </c>
    </row>
    <row r="5051" spans="1:13" x14ac:dyDescent="0.2">
      <c r="A5051">
        <v>934735</v>
      </c>
      <c r="B5051" s="1">
        <v>45361</v>
      </c>
      <c r="C5051">
        <v>45160</v>
      </c>
      <c r="D5051" t="s">
        <v>29</v>
      </c>
      <c r="E5051" t="s">
        <v>30</v>
      </c>
      <c r="F5051" t="s">
        <v>31</v>
      </c>
      <c r="G5051">
        <v>2</v>
      </c>
      <c r="H5051">
        <v>22.49</v>
      </c>
      <c r="I5051">
        <v>0.1</v>
      </c>
      <c r="J5051">
        <v>40.479999999999997</v>
      </c>
      <c r="K5051" t="s">
        <v>53</v>
      </c>
      <c r="L5051" t="s">
        <v>17</v>
      </c>
      <c r="M5051" t="s">
        <v>120</v>
      </c>
    </row>
    <row r="5052" spans="1:13" x14ac:dyDescent="0.2">
      <c r="A5052">
        <v>934775</v>
      </c>
      <c r="B5052" s="1">
        <v>45465</v>
      </c>
      <c r="C5052">
        <v>21889</v>
      </c>
      <c r="D5052" t="s">
        <v>44</v>
      </c>
      <c r="E5052" t="s">
        <v>93</v>
      </c>
      <c r="F5052" t="s">
        <v>94</v>
      </c>
      <c r="G5052">
        <v>4</v>
      </c>
      <c r="H5052">
        <v>0.9</v>
      </c>
      <c r="I5052">
        <v>0.3</v>
      </c>
      <c r="J5052">
        <v>2.52</v>
      </c>
      <c r="K5052" t="s">
        <v>36</v>
      </c>
      <c r="L5052" t="s">
        <v>17</v>
      </c>
      <c r="M5052" t="s">
        <v>24</v>
      </c>
    </row>
    <row r="5053" spans="1:13" x14ac:dyDescent="0.2">
      <c r="A5053">
        <v>935416</v>
      </c>
      <c r="B5053" s="2">
        <v>44793</v>
      </c>
      <c r="C5053">
        <v>65931</v>
      </c>
      <c r="D5053" t="s">
        <v>63</v>
      </c>
      <c r="E5053" t="s">
        <v>111</v>
      </c>
      <c r="F5053" t="s">
        <v>112</v>
      </c>
      <c r="G5053">
        <v>3</v>
      </c>
      <c r="H5053">
        <v>14.99</v>
      </c>
      <c r="J5053">
        <v>44.97</v>
      </c>
      <c r="K5053" t="s">
        <v>16</v>
      </c>
      <c r="L5053" t="s">
        <v>17</v>
      </c>
      <c r="M5053" t="s">
        <v>62</v>
      </c>
    </row>
    <row r="5054" spans="1:13" x14ac:dyDescent="0.2">
      <c r="A5054">
        <v>935460</v>
      </c>
      <c r="B5054" s="1">
        <v>45229</v>
      </c>
      <c r="C5054">
        <v>30615</v>
      </c>
      <c r="D5054" t="s">
        <v>48</v>
      </c>
      <c r="E5054" t="s">
        <v>143</v>
      </c>
      <c r="F5054" t="s">
        <v>144</v>
      </c>
      <c r="G5054">
        <v>2</v>
      </c>
      <c r="H5054">
        <v>14.99</v>
      </c>
      <c r="J5054">
        <v>29.98</v>
      </c>
      <c r="K5054" t="s">
        <v>22</v>
      </c>
      <c r="L5054" t="s">
        <v>17</v>
      </c>
      <c r="M5054" t="s">
        <v>117</v>
      </c>
    </row>
    <row r="5055" spans="1:13" x14ac:dyDescent="0.2">
      <c r="A5055">
        <v>935467</v>
      </c>
      <c r="B5055" s="2">
        <v>44820</v>
      </c>
      <c r="C5055">
        <v>31809</v>
      </c>
      <c r="D5055" t="s">
        <v>25</v>
      </c>
      <c r="E5055" t="s">
        <v>26</v>
      </c>
      <c r="F5055" t="s">
        <v>27</v>
      </c>
      <c r="G5055">
        <v>5</v>
      </c>
      <c r="H5055">
        <v>34.99</v>
      </c>
      <c r="J5055">
        <v>174.95</v>
      </c>
      <c r="K5055" t="s">
        <v>36</v>
      </c>
      <c r="L5055" t="s">
        <v>17</v>
      </c>
      <c r="M5055" t="s">
        <v>96</v>
      </c>
    </row>
    <row r="5056" spans="1:13" x14ac:dyDescent="0.2">
      <c r="A5056">
        <v>935536</v>
      </c>
      <c r="B5056" s="2">
        <v>44978</v>
      </c>
      <c r="C5056">
        <v>19963</v>
      </c>
      <c r="D5056" t="s">
        <v>29</v>
      </c>
      <c r="E5056" t="s">
        <v>72</v>
      </c>
      <c r="F5056" t="s">
        <v>73</v>
      </c>
      <c r="G5056">
        <v>1</v>
      </c>
      <c r="H5056">
        <v>29.99</v>
      </c>
      <c r="I5056">
        <v>0.25</v>
      </c>
      <c r="J5056">
        <v>22.49</v>
      </c>
      <c r="K5056" t="s">
        <v>36</v>
      </c>
      <c r="L5056" t="s">
        <v>17</v>
      </c>
      <c r="M5056" t="s">
        <v>76</v>
      </c>
    </row>
    <row r="5057" spans="1:13" x14ac:dyDescent="0.2">
      <c r="A5057">
        <v>935780</v>
      </c>
      <c r="B5057" s="1">
        <v>45574</v>
      </c>
      <c r="C5057">
        <v>19938</v>
      </c>
      <c r="D5057" t="s">
        <v>44</v>
      </c>
      <c r="E5057" t="s">
        <v>93</v>
      </c>
      <c r="F5057" t="s">
        <v>94</v>
      </c>
      <c r="G5057">
        <v>1</v>
      </c>
      <c r="H5057">
        <v>1.29</v>
      </c>
      <c r="J5057">
        <v>1.29</v>
      </c>
      <c r="K5057" t="s">
        <v>22</v>
      </c>
      <c r="L5057" t="s">
        <v>37</v>
      </c>
      <c r="M5057" t="s">
        <v>62</v>
      </c>
    </row>
    <row r="5058" spans="1:13" x14ac:dyDescent="0.2">
      <c r="A5058">
        <v>935942</v>
      </c>
      <c r="B5058" s="1">
        <v>44607</v>
      </c>
      <c r="C5058">
        <v>57408</v>
      </c>
      <c r="D5058" t="s">
        <v>48</v>
      </c>
      <c r="E5058" t="s">
        <v>143</v>
      </c>
      <c r="F5058" t="s">
        <v>144</v>
      </c>
      <c r="G5058">
        <v>1</v>
      </c>
      <c r="H5058">
        <v>13.49</v>
      </c>
      <c r="I5058">
        <v>0.1</v>
      </c>
      <c r="J5058">
        <v>12.14</v>
      </c>
      <c r="K5058" t="s">
        <v>95</v>
      </c>
      <c r="L5058" t="s">
        <v>37</v>
      </c>
      <c r="M5058" t="s">
        <v>67</v>
      </c>
    </row>
    <row r="5059" spans="1:13" x14ac:dyDescent="0.2">
      <c r="A5059">
        <v>936000</v>
      </c>
      <c r="B5059" s="1">
        <v>44575</v>
      </c>
      <c r="C5059">
        <v>72422</v>
      </c>
      <c r="D5059" t="s">
        <v>63</v>
      </c>
      <c r="E5059" t="s">
        <v>64</v>
      </c>
      <c r="F5059" t="s">
        <v>65</v>
      </c>
      <c r="G5059">
        <v>2</v>
      </c>
      <c r="H5059">
        <v>4.24</v>
      </c>
      <c r="I5059">
        <v>0.15</v>
      </c>
      <c r="J5059">
        <v>7.21</v>
      </c>
      <c r="K5059" t="s">
        <v>22</v>
      </c>
      <c r="L5059" t="s">
        <v>17</v>
      </c>
      <c r="M5059" t="s">
        <v>102</v>
      </c>
    </row>
    <row r="5060" spans="1:13" x14ac:dyDescent="0.2">
      <c r="A5060">
        <v>936116</v>
      </c>
      <c r="B5060" s="1">
        <v>44854</v>
      </c>
      <c r="C5060">
        <v>51119</v>
      </c>
      <c r="D5060" t="s">
        <v>40</v>
      </c>
      <c r="E5060" t="s">
        <v>20</v>
      </c>
      <c r="F5060" t="s">
        <v>21</v>
      </c>
      <c r="G5060">
        <v>2</v>
      </c>
      <c r="H5060">
        <v>8.99</v>
      </c>
      <c r="I5060">
        <v>0.1</v>
      </c>
      <c r="J5060">
        <v>16.18</v>
      </c>
      <c r="K5060" t="s">
        <v>16</v>
      </c>
      <c r="L5060" t="s">
        <v>17</v>
      </c>
      <c r="M5060" t="s">
        <v>54</v>
      </c>
    </row>
    <row r="5061" spans="1:13" x14ac:dyDescent="0.2">
      <c r="A5061">
        <v>936258</v>
      </c>
      <c r="B5061" s="1">
        <v>45429</v>
      </c>
      <c r="C5061">
        <v>88855</v>
      </c>
      <c r="D5061" t="s">
        <v>63</v>
      </c>
      <c r="E5061" t="s">
        <v>131</v>
      </c>
      <c r="F5061" t="s">
        <v>132</v>
      </c>
      <c r="G5061">
        <v>4</v>
      </c>
      <c r="H5061">
        <v>2.97</v>
      </c>
      <c r="J5061">
        <v>11.88</v>
      </c>
      <c r="K5061" t="s">
        <v>36</v>
      </c>
      <c r="L5061" t="s">
        <v>37</v>
      </c>
      <c r="M5061" t="s">
        <v>47</v>
      </c>
    </row>
    <row r="5062" spans="1:13" x14ac:dyDescent="0.2">
      <c r="A5062">
        <v>936286</v>
      </c>
      <c r="B5062" s="1">
        <v>45032</v>
      </c>
      <c r="C5062">
        <v>13678</v>
      </c>
      <c r="D5062" t="s">
        <v>63</v>
      </c>
      <c r="E5062" t="s">
        <v>64</v>
      </c>
      <c r="F5062" t="s">
        <v>65</v>
      </c>
      <c r="G5062">
        <v>3</v>
      </c>
      <c r="H5062">
        <v>3.74</v>
      </c>
      <c r="I5062">
        <v>0.25</v>
      </c>
      <c r="J5062">
        <v>8.42</v>
      </c>
      <c r="K5062" t="s">
        <v>36</v>
      </c>
      <c r="L5062" t="s">
        <v>37</v>
      </c>
      <c r="M5062" t="s">
        <v>33</v>
      </c>
    </row>
    <row r="5063" spans="1:13" x14ac:dyDescent="0.2">
      <c r="A5063">
        <v>936659</v>
      </c>
      <c r="B5063" s="2">
        <v>44966</v>
      </c>
      <c r="C5063">
        <v>90662</v>
      </c>
      <c r="D5063" t="s">
        <v>25</v>
      </c>
      <c r="E5063" t="s">
        <v>60</v>
      </c>
      <c r="F5063" t="s">
        <v>61</v>
      </c>
      <c r="G5063">
        <v>1</v>
      </c>
      <c r="H5063">
        <v>54.99</v>
      </c>
      <c r="J5063">
        <v>54.99</v>
      </c>
      <c r="K5063" t="s">
        <v>95</v>
      </c>
      <c r="L5063" t="s">
        <v>17</v>
      </c>
      <c r="M5063" t="s">
        <v>90</v>
      </c>
    </row>
    <row r="5064" spans="1:13" x14ac:dyDescent="0.2">
      <c r="A5064">
        <v>936698</v>
      </c>
      <c r="B5064" s="1">
        <v>45554</v>
      </c>
      <c r="C5064">
        <v>23574</v>
      </c>
      <c r="D5064" t="s">
        <v>97</v>
      </c>
      <c r="E5064" t="s">
        <v>181</v>
      </c>
      <c r="F5064" t="s">
        <v>182</v>
      </c>
      <c r="G5064">
        <v>3</v>
      </c>
      <c r="H5064">
        <v>13.49</v>
      </c>
      <c r="I5064">
        <v>0.1</v>
      </c>
      <c r="J5064">
        <v>36.42</v>
      </c>
      <c r="K5064" t="s">
        <v>16</v>
      </c>
      <c r="L5064" t="s">
        <v>17</v>
      </c>
      <c r="M5064" t="s">
        <v>90</v>
      </c>
    </row>
    <row r="5065" spans="1:13" x14ac:dyDescent="0.2">
      <c r="A5065">
        <v>936782</v>
      </c>
      <c r="B5065" s="1">
        <v>45649</v>
      </c>
      <c r="C5065">
        <v>20890</v>
      </c>
      <c r="D5065" t="s">
        <v>63</v>
      </c>
      <c r="E5065" t="s">
        <v>68</v>
      </c>
      <c r="F5065" t="s">
        <v>69</v>
      </c>
      <c r="G5065">
        <v>2</v>
      </c>
      <c r="H5065">
        <v>19.989999999999998</v>
      </c>
      <c r="I5065">
        <v>0.2</v>
      </c>
      <c r="J5065">
        <v>31.98</v>
      </c>
      <c r="K5065" t="s">
        <v>36</v>
      </c>
      <c r="L5065" t="s">
        <v>17</v>
      </c>
      <c r="M5065" t="s">
        <v>120</v>
      </c>
    </row>
    <row r="5066" spans="1:13" x14ac:dyDescent="0.2">
      <c r="A5066">
        <v>936784</v>
      </c>
      <c r="B5066" s="1">
        <v>45323</v>
      </c>
      <c r="C5066">
        <v>65744</v>
      </c>
      <c r="D5066" t="s">
        <v>85</v>
      </c>
      <c r="E5066" t="s">
        <v>149</v>
      </c>
      <c r="F5066" t="s">
        <v>150</v>
      </c>
      <c r="G5066">
        <v>3</v>
      </c>
      <c r="H5066">
        <v>19.989999999999998</v>
      </c>
      <c r="J5066">
        <v>59.97</v>
      </c>
      <c r="K5066" t="s">
        <v>16</v>
      </c>
      <c r="L5066" t="s">
        <v>23</v>
      </c>
      <c r="M5066" t="s">
        <v>43</v>
      </c>
    </row>
    <row r="5067" spans="1:13" x14ac:dyDescent="0.2">
      <c r="A5067">
        <v>937047</v>
      </c>
      <c r="B5067" s="1">
        <v>44564</v>
      </c>
      <c r="C5067">
        <v>25238</v>
      </c>
      <c r="D5067" t="s">
        <v>85</v>
      </c>
      <c r="E5067" t="s">
        <v>149</v>
      </c>
      <c r="F5067" t="s">
        <v>150</v>
      </c>
      <c r="G5067">
        <v>3</v>
      </c>
      <c r="H5067">
        <v>19.989999999999998</v>
      </c>
      <c r="J5067">
        <v>59.97</v>
      </c>
      <c r="K5067" t="s">
        <v>16</v>
      </c>
      <c r="L5067" t="s">
        <v>17</v>
      </c>
      <c r="M5067" t="s">
        <v>161</v>
      </c>
    </row>
    <row r="5068" spans="1:13" x14ac:dyDescent="0.2">
      <c r="A5068">
        <v>937117</v>
      </c>
      <c r="B5068" s="2">
        <v>45628</v>
      </c>
      <c r="C5068">
        <v>33765</v>
      </c>
      <c r="D5068" t="s">
        <v>63</v>
      </c>
      <c r="E5068" t="s">
        <v>68</v>
      </c>
      <c r="F5068" t="s">
        <v>69</v>
      </c>
      <c r="G5068">
        <v>5</v>
      </c>
      <c r="H5068">
        <v>22.49</v>
      </c>
      <c r="I5068">
        <v>0.1</v>
      </c>
      <c r="J5068">
        <v>101.2</v>
      </c>
      <c r="K5068" t="s">
        <v>95</v>
      </c>
      <c r="L5068" t="s">
        <v>17</v>
      </c>
      <c r="M5068" t="s">
        <v>47</v>
      </c>
    </row>
    <row r="5069" spans="1:13" x14ac:dyDescent="0.2">
      <c r="A5069">
        <v>937200</v>
      </c>
      <c r="B5069" s="1">
        <v>45185</v>
      </c>
      <c r="C5069">
        <v>80728</v>
      </c>
      <c r="D5069" t="s">
        <v>40</v>
      </c>
      <c r="E5069" t="s">
        <v>197</v>
      </c>
      <c r="F5069" t="s">
        <v>198</v>
      </c>
      <c r="G5069">
        <v>1</v>
      </c>
      <c r="H5069">
        <v>12.74</v>
      </c>
      <c r="I5069">
        <v>0.15</v>
      </c>
      <c r="J5069">
        <v>10.83</v>
      </c>
      <c r="K5069" t="s">
        <v>16</v>
      </c>
      <c r="L5069" t="s">
        <v>23</v>
      </c>
    </row>
    <row r="5070" spans="1:13" x14ac:dyDescent="0.2">
      <c r="A5070">
        <v>937480</v>
      </c>
      <c r="B5070" s="2">
        <v>45566</v>
      </c>
      <c r="C5070">
        <v>82784</v>
      </c>
      <c r="D5070" t="s">
        <v>82</v>
      </c>
      <c r="E5070" t="s">
        <v>100</v>
      </c>
      <c r="F5070" t="s">
        <v>101</v>
      </c>
      <c r="G5070">
        <v>1</v>
      </c>
      <c r="H5070">
        <v>22.99</v>
      </c>
      <c r="J5070">
        <v>22.99</v>
      </c>
      <c r="K5070" t="s">
        <v>53</v>
      </c>
      <c r="L5070" t="s">
        <v>17</v>
      </c>
      <c r="M5070" t="s">
        <v>57</v>
      </c>
    </row>
    <row r="5071" spans="1:13" x14ac:dyDescent="0.2">
      <c r="A5071">
        <v>937498</v>
      </c>
      <c r="B5071" s="1">
        <v>45289</v>
      </c>
      <c r="C5071">
        <v>24427</v>
      </c>
      <c r="D5071" t="s">
        <v>29</v>
      </c>
      <c r="E5071" t="s">
        <v>30</v>
      </c>
      <c r="F5071" t="s">
        <v>31</v>
      </c>
      <c r="G5071">
        <v>1</v>
      </c>
      <c r="H5071">
        <v>17.489999999999998</v>
      </c>
      <c r="I5071">
        <v>0.3</v>
      </c>
      <c r="J5071">
        <v>12.24</v>
      </c>
      <c r="K5071" t="s">
        <v>36</v>
      </c>
      <c r="L5071" t="s">
        <v>17</v>
      </c>
      <c r="M5071" t="s">
        <v>67</v>
      </c>
    </row>
    <row r="5072" spans="1:13" x14ac:dyDescent="0.2">
      <c r="A5072">
        <v>937513</v>
      </c>
      <c r="B5072" s="1">
        <v>44840</v>
      </c>
      <c r="C5072">
        <v>53225</v>
      </c>
      <c r="D5072" t="s">
        <v>48</v>
      </c>
      <c r="E5072" t="s">
        <v>139</v>
      </c>
      <c r="F5072" t="s">
        <v>140</v>
      </c>
      <c r="G5072">
        <v>1</v>
      </c>
      <c r="H5072">
        <v>7.99</v>
      </c>
      <c r="J5072">
        <v>7.99</v>
      </c>
      <c r="K5072" t="s">
        <v>36</v>
      </c>
      <c r="L5072" t="s">
        <v>17</v>
      </c>
      <c r="M5072" t="s">
        <v>24</v>
      </c>
    </row>
    <row r="5073" spans="1:13" x14ac:dyDescent="0.2">
      <c r="A5073">
        <v>937555</v>
      </c>
      <c r="B5073" s="1">
        <v>45618</v>
      </c>
      <c r="C5073">
        <v>12706</v>
      </c>
      <c r="D5073" t="s">
        <v>85</v>
      </c>
      <c r="E5073" t="s">
        <v>86</v>
      </c>
      <c r="F5073" t="s">
        <v>87</v>
      </c>
      <c r="G5073">
        <v>2</v>
      </c>
      <c r="H5073">
        <v>12.34</v>
      </c>
      <c r="I5073">
        <v>0.05</v>
      </c>
      <c r="J5073">
        <v>23.45</v>
      </c>
      <c r="K5073" t="s">
        <v>36</v>
      </c>
      <c r="L5073" t="s">
        <v>37</v>
      </c>
      <c r="M5073" t="s">
        <v>102</v>
      </c>
    </row>
    <row r="5074" spans="1:13" x14ac:dyDescent="0.2">
      <c r="A5074">
        <v>937578</v>
      </c>
      <c r="B5074" s="1">
        <v>45100</v>
      </c>
      <c r="C5074">
        <v>93359</v>
      </c>
      <c r="D5074" t="s">
        <v>63</v>
      </c>
      <c r="E5074" t="s">
        <v>68</v>
      </c>
      <c r="F5074" t="s">
        <v>69</v>
      </c>
      <c r="G5074">
        <v>2</v>
      </c>
      <c r="H5074">
        <v>22.49</v>
      </c>
      <c r="J5074">
        <v>44.98</v>
      </c>
      <c r="K5074" t="s">
        <v>53</v>
      </c>
      <c r="L5074" t="s">
        <v>17</v>
      </c>
      <c r="M5074" t="s">
        <v>47</v>
      </c>
    </row>
    <row r="5075" spans="1:13" x14ac:dyDescent="0.2">
      <c r="A5075">
        <v>937706</v>
      </c>
      <c r="B5075" s="1">
        <v>45409</v>
      </c>
      <c r="C5075">
        <v>30878</v>
      </c>
      <c r="D5075" t="s">
        <v>29</v>
      </c>
      <c r="E5075" t="s">
        <v>175</v>
      </c>
      <c r="F5075" t="s">
        <v>176</v>
      </c>
      <c r="G5075">
        <v>1</v>
      </c>
      <c r="H5075">
        <v>11.99</v>
      </c>
      <c r="J5075">
        <v>11.99</v>
      </c>
      <c r="K5075" t="s">
        <v>16</v>
      </c>
      <c r="L5075" t="s">
        <v>17</v>
      </c>
      <c r="M5075" t="s">
        <v>96</v>
      </c>
    </row>
    <row r="5076" spans="1:13" x14ac:dyDescent="0.2">
      <c r="A5076">
        <v>937752</v>
      </c>
      <c r="B5076" s="1">
        <v>44930</v>
      </c>
      <c r="C5076">
        <v>89547</v>
      </c>
      <c r="D5076" t="s">
        <v>44</v>
      </c>
      <c r="E5076" t="s">
        <v>184</v>
      </c>
      <c r="F5076" t="s">
        <v>185</v>
      </c>
      <c r="G5076">
        <v>5</v>
      </c>
      <c r="H5076">
        <v>3.84</v>
      </c>
      <c r="I5076">
        <v>0.3</v>
      </c>
      <c r="J5076">
        <v>13.44</v>
      </c>
      <c r="K5076" t="s">
        <v>36</v>
      </c>
      <c r="L5076" t="s">
        <v>23</v>
      </c>
      <c r="M5076" t="s">
        <v>103</v>
      </c>
    </row>
    <row r="5077" spans="1:13" x14ac:dyDescent="0.2">
      <c r="A5077">
        <v>937897</v>
      </c>
      <c r="B5077" s="1">
        <v>45614</v>
      </c>
      <c r="C5077">
        <v>18499</v>
      </c>
      <c r="D5077" t="s">
        <v>85</v>
      </c>
      <c r="E5077" t="s">
        <v>149</v>
      </c>
      <c r="F5077" t="s">
        <v>150</v>
      </c>
      <c r="G5077">
        <v>4</v>
      </c>
      <c r="H5077">
        <v>13.99</v>
      </c>
      <c r="I5077">
        <v>0.3</v>
      </c>
      <c r="J5077">
        <v>39.17</v>
      </c>
      <c r="K5077" t="s">
        <v>16</v>
      </c>
      <c r="L5077" t="s">
        <v>17</v>
      </c>
      <c r="M5077" t="s">
        <v>90</v>
      </c>
    </row>
    <row r="5078" spans="1:13" x14ac:dyDescent="0.2">
      <c r="A5078">
        <v>938088</v>
      </c>
      <c r="B5078" s="2">
        <v>45449</v>
      </c>
      <c r="C5078">
        <v>56264</v>
      </c>
      <c r="D5078" t="s">
        <v>19</v>
      </c>
      <c r="E5078" t="s">
        <v>115</v>
      </c>
      <c r="F5078" t="s">
        <v>116</v>
      </c>
      <c r="G5078">
        <v>1</v>
      </c>
      <c r="H5078">
        <v>11.04</v>
      </c>
      <c r="I5078">
        <v>0.15</v>
      </c>
      <c r="J5078">
        <v>9.3800000000000008</v>
      </c>
      <c r="K5078" t="s">
        <v>36</v>
      </c>
      <c r="L5078" t="s">
        <v>17</v>
      </c>
      <c r="M5078" t="s">
        <v>33</v>
      </c>
    </row>
    <row r="5079" spans="1:13" x14ac:dyDescent="0.2">
      <c r="A5079">
        <v>938150</v>
      </c>
      <c r="B5079" s="2">
        <v>44709</v>
      </c>
      <c r="C5079">
        <v>75901</v>
      </c>
      <c r="D5079" t="s">
        <v>29</v>
      </c>
      <c r="E5079" t="s">
        <v>175</v>
      </c>
      <c r="F5079" t="s">
        <v>176</v>
      </c>
      <c r="G5079">
        <v>1</v>
      </c>
      <c r="H5079">
        <v>8.39</v>
      </c>
      <c r="I5079">
        <v>0.3</v>
      </c>
      <c r="J5079">
        <v>5.87</v>
      </c>
      <c r="K5079" t="s">
        <v>16</v>
      </c>
      <c r="L5079" t="s">
        <v>23</v>
      </c>
      <c r="M5079" t="s">
        <v>28</v>
      </c>
    </row>
    <row r="5080" spans="1:13" x14ac:dyDescent="0.2">
      <c r="A5080">
        <v>938337</v>
      </c>
      <c r="B5080" s="1">
        <v>44743</v>
      </c>
      <c r="C5080">
        <v>53218</v>
      </c>
      <c r="D5080" t="s">
        <v>29</v>
      </c>
      <c r="E5080" t="s">
        <v>38</v>
      </c>
      <c r="F5080" t="s">
        <v>39</v>
      </c>
      <c r="G5080">
        <v>5</v>
      </c>
      <c r="H5080">
        <v>29.99</v>
      </c>
      <c r="J5080">
        <v>149.94999999999999</v>
      </c>
      <c r="K5080" t="s">
        <v>36</v>
      </c>
      <c r="L5080" t="s">
        <v>17</v>
      </c>
      <c r="M5080" t="s">
        <v>18</v>
      </c>
    </row>
    <row r="5081" spans="1:13" x14ac:dyDescent="0.2">
      <c r="A5081">
        <v>938397</v>
      </c>
      <c r="B5081" s="1">
        <v>45656</v>
      </c>
      <c r="C5081">
        <v>76866</v>
      </c>
      <c r="D5081" t="s">
        <v>40</v>
      </c>
      <c r="E5081" t="s">
        <v>197</v>
      </c>
      <c r="F5081" t="s">
        <v>198</v>
      </c>
      <c r="G5081">
        <v>4</v>
      </c>
      <c r="H5081">
        <v>14.99</v>
      </c>
      <c r="J5081">
        <v>59.96</v>
      </c>
      <c r="K5081" t="s">
        <v>95</v>
      </c>
      <c r="L5081" t="s">
        <v>23</v>
      </c>
      <c r="M5081" t="s">
        <v>24</v>
      </c>
    </row>
    <row r="5082" spans="1:13" x14ac:dyDescent="0.2">
      <c r="A5082">
        <v>938423</v>
      </c>
      <c r="B5082" s="2">
        <v>45390</v>
      </c>
      <c r="C5082">
        <v>27369</v>
      </c>
      <c r="D5082" t="s">
        <v>48</v>
      </c>
      <c r="E5082" t="s">
        <v>179</v>
      </c>
      <c r="F5082" t="s">
        <v>180</v>
      </c>
      <c r="G5082">
        <v>3</v>
      </c>
      <c r="H5082">
        <v>10.19</v>
      </c>
      <c r="I5082">
        <v>0.15</v>
      </c>
      <c r="J5082">
        <v>25.98</v>
      </c>
      <c r="K5082" t="s">
        <v>95</v>
      </c>
      <c r="L5082" t="s">
        <v>17</v>
      </c>
      <c r="M5082" t="s">
        <v>54</v>
      </c>
    </row>
    <row r="5083" spans="1:13" x14ac:dyDescent="0.2">
      <c r="A5083">
        <v>938465</v>
      </c>
      <c r="B5083" s="1">
        <v>44585</v>
      </c>
      <c r="C5083">
        <v>28964</v>
      </c>
      <c r="D5083" t="s">
        <v>97</v>
      </c>
      <c r="E5083" t="s">
        <v>181</v>
      </c>
      <c r="F5083" t="s">
        <v>182</v>
      </c>
      <c r="G5083">
        <v>5</v>
      </c>
      <c r="H5083">
        <v>13.49</v>
      </c>
      <c r="I5083">
        <v>0.1</v>
      </c>
      <c r="J5083">
        <v>60.71</v>
      </c>
      <c r="K5083" t="s">
        <v>53</v>
      </c>
      <c r="L5083" t="s">
        <v>37</v>
      </c>
      <c r="M5083" t="s">
        <v>102</v>
      </c>
    </row>
    <row r="5084" spans="1:13" x14ac:dyDescent="0.2">
      <c r="A5084">
        <v>938595</v>
      </c>
      <c r="B5084" s="1">
        <v>45455</v>
      </c>
      <c r="C5084">
        <v>97371</v>
      </c>
      <c r="D5084" t="s">
        <v>63</v>
      </c>
      <c r="E5084" t="s">
        <v>64</v>
      </c>
      <c r="F5084" t="s">
        <v>65</v>
      </c>
      <c r="G5084">
        <v>2</v>
      </c>
      <c r="H5084">
        <v>4.99</v>
      </c>
      <c r="J5084">
        <v>9.98</v>
      </c>
      <c r="K5084" t="s">
        <v>22</v>
      </c>
      <c r="L5084" t="s">
        <v>17</v>
      </c>
      <c r="M5084" t="s">
        <v>67</v>
      </c>
    </row>
    <row r="5085" spans="1:13" x14ac:dyDescent="0.2">
      <c r="A5085">
        <v>938649</v>
      </c>
      <c r="B5085" s="1">
        <v>44748</v>
      </c>
      <c r="C5085">
        <v>58111</v>
      </c>
      <c r="D5085" t="s">
        <v>25</v>
      </c>
      <c r="E5085" t="s">
        <v>113</v>
      </c>
      <c r="F5085" t="s">
        <v>114</v>
      </c>
      <c r="G5085">
        <v>1</v>
      </c>
      <c r="H5085">
        <v>119.99</v>
      </c>
      <c r="J5085">
        <v>119.99</v>
      </c>
      <c r="K5085" t="s">
        <v>16</v>
      </c>
      <c r="L5085" t="s">
        <v>17</v>
      </c>
      <c r="M5085" t="s">
        <v>117</v>
      </c>
    </row>
    <row r="5086" spans="1:13" x14ac:dyDescent="0.2">
      <c r="A5086">
        <v>938718</v>
      </c>
      <c r="B5086" s="1">
        <v>44670</v>
      </c>
      <c r="C5086">
        <v>64366</v>
      </c>
      <c r="D5086" t="s">
        <v>29</v>
      </c>
      <c r="E5086" t="s">
        <v>38</v>
      </c>
      <c r="F5086" t="s">
        <v>39</v>
      </c>
      <c r="G5086">
        <v>2</v>
      </c>
      <c r="H5086">
        <v>29.99</v>
      </c>
      <c r="J5086">
        <v>59.98</v>
      </c>
      <c r="K5086" t="s">
        <v>16</v>
      </c>
      <c r="L5086" t="s">
        <v>17</v>
      </c>
      <c r="M5086" t="s">
        <v>54</v>
      </c>
    </row>
    <row r="5087" spans="1:13" x14ac:dyDescent="0.2">
      <c r="A5087">
        <v>939349</v>
      </c>
      <c r="B5087" s="1">
        <v>45431</v>
      </c>
      <c r="C5087">
        <v>86190</v>
      </c>
      <c r="D5087" t="s">
        <v>25</v>
      </c>
      <c r="E5087" t="s">
        <v>70</v>
      </c>
      <c r="F5087" t="s">
        <v>71</v>
      </c>
      <c r="G5087">
        <v>2</v>
      </c>
      <c r="H5087">
        <v>71.989999999999995</v>
      </c>
      <c r="I5087">
        <v>0.2</v>
      </c>
      <c r="J5087">
        <v>115.18</v>
      </c>
      <c r="K5087" t="s">
        <v>53</v>
      </c>
      <c r="L5087" t="s">
        <v>17</v>
      </c>
      <c r="M5087" t="s">
        <v>67</v>
      </c>
    </row>
    <row r="5088" spans="1:13" x14ac:dyDescent="0.2">
      <c r="A5088">
        <v>939465</v>
      </c>
      <c r="B5088" s="2">
        <v>45422</v>
      </c>
      <c r="C5088">
        <v>30653</v>
      </c>
      <c r="D5088" t="s">
        <v>44</v>
      </c>
      <c r="E5088" t="s">
        <v>195</v>
      </c>
      <c r="F5088" t="s">
        <v>196</v>
      </c>
      <c r="G5088">
        <v>5</v>
      </c>
      <c r="H5088">
        <v>3.99</v>
      </c>
      <c r="I5088">
        <v>0.2</v>
      </c>
      <c r="J5088">
        <v>15.96</v>
      </c>
      <c r="K5088" t="s">
        <v>16</v>
      </c>
      <c r="L5088" t="s">
        <v>37</v>
      </c>
      <c r="M5088" t="s">
        <v>57</v>
      </c>
    </row>
    <row r="5089" spans="1:13" x14ac:dyDescent="0.2">
      <c r="A5089">
        <v>940145</v>
      </c>
      <c r="B5089" s="1">
        <v>45216</v>
      </c>
      <c r="C5089">
        <v>38065</v>
      </c>
      <c r="D5089" t="s">
        <v>13</v>
      </c>
      <c r="E5089" t="s">
        <v>186</v>
      </c>
      <c r="F5089" t="s">
        <v>187</v>
      </c>
      <c r="G5089">
        <v>4</v>
      </c>
      <c r="H5089">
        <v>47.49</v>
      </c>
      <c r="I5089">
        <v>0.05</v>
      </c>
      <c r="J5089">
        <v>180.46</v>
      </c>
      <c r="K5089" t="s">
        <v>36</v>
      </c>
      <c r="L5089" t="s">
        <v>37</v>
      </c>
      <c r="M5089" t="s">
        <v>18</v>
      </c>
    </row>
    <row r="5090" spans="1:13" x14ac:dyDescent="0.2">
      <c r="A5090">
        <v>940211</v>
      </c>
      <c r="B5090" s="2">
        <v>44654</v>
      </c>
      <c r="C5090">
        <v>80625</v>
      </c>
      <c r="D5090" t="s">
        <v>29</v>
      </c>
      <c r="E5090" t="s">
        <v>170</v>
      </c>
      <c r="F5090" t="s">
        <v>171</v>
      </c>
      <c r="G5090">
        <v>1</v>
      </c>
      <c r="H5090">
        <v>14.24</v>
      </c>
      <c r="I5090">
        <v>0.05</v>
      </c>
      <c r="J5090">
        <v>13.53</v>
      </c>
      <c r="K5090" t="s">
        <v>36</v>
      </c>
      <c r="L5090" t="s">
        <v>17</v>
      </c>
      <c r="M5090" t="s">
        <v>102</v>
      </c>
    </row>
    <row r="5091" spans="1:13" x14ac:dyDescent="0.2">
      <c r="A5091">
        <v>940578</v>
      </c>
      <c r="B5091" s="1">
        <v>45363</v>
      </c>
      <c r="C5091">
        <v>21306</v>
      </c>
      <c r="D5091" t="s">
        <v>40</v>
      </c>
      <c r="E5091" t="s">
        <v>20</v>
      </c>
      <c r="F5091" t="s">
        <v>21</v>
      </c>
      <c r="G5091">
        <v>1</v>
      </c>
      <c r="H5091">
        <v>8.49</v>
      </c>
      <c r="I5091">
        <v>0.15</v>
      </c>
      <c r="J5091">
        <v>7.22</v>
      </c>
      <c r="K5091" t="s">
        <v>16</v>
      </c>
      <c r="L5091" t="s">
        <v>37</v>
      </c>
      <c r="M5091" t="s">
        <v>117</v>
      </c>
    </row>
    <row r="5092" spans="1:13" x14ac:dyDescent="0.2">
      <c r="A5092">
        <v>940678</v>
      </c>
      <c r="B5092" s="2">
        <v>44942</v>
      </c>
      <c r="C5092">
        <v>95600</v>
      </c>
      <c r="D5092" t="s">
        <v>25</v>
      </c>
      <c r="E5092" t="s">
        <v>51</v>
      </c>
      <c r="F5092" t="s">
        <v>52</v>
      </c>
      <c r="G5092">
        <v>2</v>
      </c>
      <c r="H5092">
        <v>27.99</v>
      </c>
      <c r="J5092">
        <v>55.98</v>
      </c>
      <c r="K5092" t="s">
        <v>16</v>
      </c>
      <c r="L5092" t="s">
        <v>23</v>
      </c>
      <c r="M5092" t="s">
        <v>161</v>
      </c>
    </row>
    <row r="5093" spans="1:13" x14ac:dyDescent="0.2">
      <c r="A5093">
        <v>941088</v>
      </c>
      <c r="B5093" s="2">
        <v>44733</v>
      </c>
      <c r="C5093">
        <v>11620</v>
      </c>
      <c r="D5093" t="s">
        <v>29</v>
      </c>
      <c r="E5093" t="s">
        <v>38</v>
      </c>
      <c r="F5093" t="s">
        <v>39</v>
      </c>
      <c r="G5093">
        <v>1</v>
      </c>
      <c r="H5093">
        <v>29.99</v>
      </c>
      <c r="J5093">
        <v>29.99</v>
      </c>
      <c r="K5093" t="s">
        <v>16</v>
      </c>
      <c r="L5093" t="s">
        <v>17</v>
      </c>
      <c r="M5093" t="s">
        <v>67</v>
      </c>
    </row>
    <row r="5094" spans="1:13" x14ac:dyDescent="0.2">
      <c r="A5094">
        <v>941096</v>
      </c>
      <c r="B5094" s="2">
        <v>45460</v>
      </c>
      <c r="C5094">
        <v>13233</v>
      </c>
      <c r="D5094" t="s">
        <v>63</v>
      </c>
      <c r="E5094" t="s">
        <v>68</v>
      </c>
      <c r="F5094" t="s">
        <v>69</v>
      </c>
      <c r="G5094">
        <v>3</v>
      </c>
      <c r="H5094">
        <v>18.739999999999998</v>
      </c>
      <c r="I5094">
        <v>0.25</v>
      </c>
      <c r="J5094">
        <v>42.16</v>
      </c>
      <c r="K5094" t="s">
        <v>22</v>
      </c>
      <c r="L5094" t="s">
        <v>17</v>
      </c>
      <c r="M5094" t="s">
        <v>96</v>
      </c>
    </row>
    <row r="5095" spans="1:13" x14ac:dyDescent="0.2">
      <c r="A5095">
        <v>941735</v>
      </c>
      <c r="B5095" s="2">
        <v>45226</v>
      </c>
      <c r="C5095">
        <v>20625</v>
      </c>
      <c r="D5095" t="s">
        <v>44</v>
      </c>
      <c r="E5095" t="s">
        <v>74</v>
      </c>
      <c r="F5095" t="s">
        <v>75</v>
      </c>
      <c r="G5095">
        <v>1</v>
      </c>
      <c r="H5095">
        <v>2.69</v>
      </c>
      <c r="I5095">
        <v>0.1</v>
      </c>
      <c r="J5095">
        <v>2.42</v>
      </c>
      <c r="K5095" t="s">
        <v>36</v>
      </c>
      <c r="L5095" t="s">
        <v>37</v>
      </c>
      <c r="M5095" t="s">
        <v>43</v>
      </c>
    </row>
    <row r="5096" spans="1:13" x14ac:dyDescent="0.2">
      <c r="A5096">
        <v>941924</v>
      </c>
      <c r="B5096" s="2">
        <v>44764</v>
      </c>
      <c r="C5096">
        <v>58188</v>
      </c>
      <c r="D5096" t="s">
        <v>29</v>
      </c>
      <c r="E5096" t="s">
        <v>72</v>
      </c>
      <c r="F5096" t="s">
        <v>73</v>
      </c>
      <c r="G5096">
        <v>3</v>
      </c>
      <c r="H5096">
        <v>29.99</v>
      </c>
      <c r="I5096">
        <v>0.25</v>
      </c>
      <c r="J5096">
        <v>67.48</v>
      </c>
      <c r="K5096" t="s">
        <v>16</v>
      </c>
      <c r="L5096" t="s">
        <v>37</v>
      </c>
      <c r="M5096" t="s">
        <v>117</v>
      </c>
    </row>
    <row r="5097" spans="1:13" x14ac:dyDescent="0.2">
      <c r="A5097">
        <v>941934</v>
      </c>
      <c r="B5097" s="1">
        <v>45501</v>
      </c>
      <c r="C5097">
        <v>60636</v>
      </c>
      <c r="D5097" t="s">
        <v>13</v>
      </c>
      <c r="E5097" t="s">
        <v>55</v>
      </c>
      <c r="F5097" t="s">
        <v>56</v>
      </c>
      <c r="G5097">
        <v>1</v>
      </c>
      <c r="H5097">
        <v>313.49</v>
      </c>
      <c r="I5097">
        <v>0.05</v>
      </c>
      <c r="J5097">
        <v>297.82</v>
      </c>
      <c r="K5097" t="s">
        <v>16</v>
      </c>
      <c r="L5097" t="s">
        <v>17</v>
      </c>
      <c r="M5097" t="s">
        <v>96</v>
      </c>
    </row>
    <row r="5098" spans="1:13" x14ac:dyDescent="0.2">
      <c r="A5098">
        <v>942080</v>
      </c>
      <c r="B5098" s="1">
        <v>44928</v>
      </c>
      <c r="C5098">
        <v>81843</v>
      </c>
      <c r="D5098" t="s">
        <v>13</v>
      </c>
      <c r="E5098" t="s">
        <v>186</v>
      </c>
      <c r="F5098" t="s">
        <v>187</v>
      </c>
      <c r="G5098">
        <v>3</v>
      </c>
      <c r="H5098">
        <v>42.49</v>
      </c>
      <c r="J5098">
        <v>127.47</v>
      </c>
      <c r="K5098" t="s">
        <v>22</v>
      </c>
      <c r="L5098" t="s">
        <v>37</v>
      </c>
      <c r="M5098" t="s">
        <v>90</v>
      </c>
    </row>
    <row r="5099" spans="1:13" x14ac:dyDescent="0.2">
      <c r="A5099">
        <v>942104</v>
      </c>
      <c r="B5099" s="1">
        <v>45614</v>
      </c>
      <c r="C5099">
        <v>86680</v>
      </c>
      <c r="D5099" t="s">
        <v>63</v>
      </c>
      <c r="E5099" t="s">
        <v>64</v>
      </c>
      <c r="F5099" t="s">
        <v>65</v>
      </c>
      <c r="G5099">
        <v>2</v>
      </c>
      <c r="H5099">
        <v>4.74</v>
      </c>
      <c r="I5099">
        <v>0.05</v>
      </c>
      <c r="J5099">
        <v>9.01</v>
      </c>
      <c r="K5099" t="s">
        <v>16</v>
      </c>
      <c r="L5099" t="s">
        <v>17</v>
      </c>
      <c r="M5099" t="s">
        <v>117</v>
      </c>
    </row>
    <row r="5100" spans="1:13" x14ac:dyDescent="0.2">
      <c r="A5100">
        <v>942355</v>
      </c>
      <c r="B5100" s="2">
        <v>44578</v>
      </c>
      <c r="C5100">
        <v>18216</v>
      </c>
      <c r="D5100" t="s">
        <v>44</v>
      </c>
      <c r="E5100" t="s">
        <v>184</v>
      </c>
      <c r="F5100" t="s">
        <v>185</v>
      </c>
      <c r="G5100">
        <v>2</v>
      </c>
      <c r="H5100">
        <v>3.84</v>
      </c>
      <c r="I5100">
        <v>0.3</v>
      </c>
      <c r="J5100">
        <v>5.38</v>
      </c>
      <c r="K5100" t="s">
        <v>16</v>
      </c>
      <c r="L5100" t="s">
        <v>17</v>
      </c>
      <c r="M5100" t="s">
        <v>54</v>
      </c>
    </row>
    <row r="5101" spans="1:13" x14ac:dyDescent="0.2">
      <c r="A5101">
        <v>942554</v>
      </c>
      <c r="B5101" s="1">
        <v>45526</v>
      </c>
      <c r="C5101">
        <v>40837</v>
      </c>
      <c r="D5101" t="s">
        <v>85</v>
      </c>
      <c r="E5101" t="s">
        <v>157</v>
      </c>
      <c r="F5101" t="s">
        <v>158</v>
      </c>
      <c r="G5101">
        <v>2</v>
      </c>
      <c r="H5101">
        <v>9.44</v>
      </c>
      <c r="I5101">
        <v>0.3</v>
      </c>
      <c r="J5101">
        <v>13.22</v>
      </c>
      <c r="K5101" t="s">
        <v>36</v>
      </c>
      <c r="L5101" t="s">
        <v>17</v>
      </c>
      <c r="M5101" t="s">
        <v>67</v>
      </c>
    </row>
    <row r="5102" spans="1:13" x14ac:dyDescent="0.2">
      <c r="A5102">
        <v>942606</v>
      </c>
      <c r="B5102" s="2">
        <v>44935</v>
      </c>
      <c r="C5102">
        <v>26796</v>
      </c>
      <c r="D5102" t="s">
        <v>13</v>
      </c>
      <c r="E5102" t="s">
        <v>14</v>
      </c>
      <c r="F5102" t="s">
        <v>15</v>
      </c>
      <c r="G5102">
        <v>2</v>
      </c>
      <c r="H5102">
        <v>63.99</v>
      </c>
      <c r="I5102">
        <v>0.2</v>
      </c>
      <c r="J5102">
        <v>102.38</v>
      </c>
      <c r="K5102" t="s">
        <v>16</v>
      </c>
      <c r="L5102" t="s">
        <v>17</v>
      </c>
      <c r="M5102" t="s">
        <v>81</v>
      </c>
    </row>
    <row r="5103" spans="1:13" x14ac:dyDescent="0.2">
      <c r="A5103">
        <v>942906</v>
      </c>
      <c r="B5103" s="2">
        <v>45291</v>
      </c>
      <c r="C5103">
        <v>92502</v>
      </c>
      <c r="D5103" t="s">
        <v>48</v>
      </c>
      <c r="E5103" t="s">
        <v>49</v>
      </c>
      <c r="F5103" t="s">
        <v>50</v>
      </c>
      <c r="G5103">
        <v>1</v>
      </c>
      <c r="H5103">
        <v>6.29</v>
      </c>
      <c r="I5103">
        <v>0.3</v>
      </c>
      <c r="J5103">
        <v>4.4000000000000004</v>
      </c>
      <c r="K5103" t="s">
        <v>95</v>
      </c>
      <c r="L5103" t="s">
        <v>17</v>
      </c>
      <c r="M5103" t="s">
        <v>90</v>
      </c>
    </row>
    <row r="5104" spans="1:13" x14ac:dyDescent="0.2">
      <c r="A5104">
        <v>943492</v>
      </c>
      <c r="B5104" s="1">
        <v>45489</v>
      </c>
      <c r="C5104">
        <v>84676</v>
      </c>
      <c r="D5104" t="s">
        <v>85</v>
      </c>
      <c r="E5104" t="s">
        <v>149</v>
      </c>
      <c r="F5104" t="s">
        <v>150</v>
      </c>
      <c r="G5104">
        <v>5</v>
      </c>
      <c r="H5104">
        <v>15.99</v>
      </c>
      <c r="I5104">
        <v>0.2</v>
      </c>
      <c r="J5104">
        <v>63.96</v>
      </c>
      <c r="K5104" t="s">
        <v>36</v>
      </c>
      <c r="L5104" t="s">
        <v>17</v>
      </c>
      <c r="M5104" t="s">
        <v>102</v>
      </c>
    </row>
    <row r="5105" spans="1:13" x14ac:dyDescent="0.2">
      <c r="A5105">
        <v>943510</v>
      </c>
      <c r="B5105" s="1">
        <v>45144</v>
      </c>
      <c r="C5105">
        <v>30573</v>
      </c>
      <c r="D5105" t="s">
        <v>97</v>
      </c>
      <c r="E5105" t="s">
        <v>121</v>
      </c>
      <c r="F5105" t="s">
        <v>122</v>
      </c>
      <c r="G5105">
        <v>3</v>
      </c>
      <c r="H5105">
        <v>12.99</v>
      </c>
      <c r="J5105">
        <v>38.97</v>
      </c>
      <c r="K5105" t="s">
        <v>22</v>
      </c>
      <c r="L5105" t="s">
        <v>17</v>
      </c>
      <c r="M5105" t="s">
        <v>62</v>
      </c>
    </row>
    <row r="5106" spans="1:13" x14ac:dyDescent="0.2">
      <c r="A5106">
        <v>943663</v>
      </c>
      <c r="B5106" s="1">
        <v>45481</v>
      </c>
      <c r="C5106">
        <v>81170</v>
      </c>
      <c r="D5106" t="s">
        <v>29</v>
      </c>
      <c r="E5106" t="s">
        <v>175</v>
      </c>
      <c r="F5106" t="s">
        <v>176</v>
      </c>
      <c r="G5106">
        <v>5</v>
      </c>
      <c r="H5106">
        <v>11.99</v>
      </c>
      <c r="J5106">
        <v>59.95</v>
      </c>
      <c r="K5106" t="s">
        <v>36</v>
      </c>
      <c r="L5106" t="s">
        <v>17</v>
      </c>
      <c r="M5106" t="s">
        <v>43</v>
      </c>
    </row>
    <row r="5107" spans="1:13" x14ac:dyDescent="0.2">
      <c r="A5107">
        <v>943678</v>
      </c>
      <c r="B5107" s="2">
        <v>45397</v>
      </c>
      <c r="C5107">
        <v>54379</v>
      </c>
      <c r="D5107" t="s">
        <v>29</v>
      </c>
      <c r="E5107" t="s">
        <v>88</v>
      </c>
      <c r="F5107" t="s">
        <v>89</v>
      </c>
      <c r="G5107">
        <v>1</v>
      </c>
      <c r="H5107">
        <v>47.49</v>
      </c>
      <c r="I5107">
        <v>0.05</v>
      </c>
      <c r="J5107">
        <v>45.12</v>
      </c>
      <c r="K5107" t="s">
        <v>16</v>
      </c>
      <c r="L5107" t="s">
        <v>17</v>
      </c>
      <c r="M5107" t="s">
        <v>161</v>
      </c>
    </row>
    <row r="5108" spans="1:13" x14ac:dyDescent="0.2">
      <c r="A5108">
        <v>944073</v>
      </c>
      <c r="B5108" s="1">
        <v>44903</v>
      </c>
      <c r="C5108">
        <v>45963</v>
      </c>
      <c r="D5108" t="s">
        <v>97</v>
      </c>
      <c r="E5108" t="s">
        <v>181</v>
      </c>
      <c r="F5108" t="s">
        <v>182</v>
      </c>
      <c r="G5108">
        <v>4</v>
      </c>
      <c r="H5108">
        <v>11.99</v>
      </c>
      <c r="I5108">
        <v>0.2</v>
      </c>
      <c r="J5108">
        <v>38.369999999999997</v>
      </c>
      <c r="K5108" t="s">
        <v>16</v>
      </c>
      <c r="L5108" t="s">
        <v>37</v>
      </c>
      <c r="M5108" t="s">
        <v>28</v>
      </c>
    </row>
    <row r="5109" spans="1:13" x14ac:dyDescent="0.2">
      <c r="A5109">
        <v>944101</v>
      </c>
      <c r="B5109" s="1">
        <v>45013</v>
      </c>
      <c r="C5109">
        <v>46927</v>
      </c>
      <c r="D5109" t="s">
        <v>25</v>
      </c>
      <c r="E5109" t="s">
        <v>60</v>
      </c>
      <c r="F5109" t="s">
        <v>61</v>
      </c>
      <c r="G5109">
        <v>2</v>
      </c>
      <c r="H5109">
        <v>52.24</v>
      </c>
      <c r="I5109">
        <v>0.05</v>
      </c>
      <c r="J5109">
        <v>99.26</v>
      </c>
      <c r="K5109" t="s">
        <v>95</v>
      </c>
      <c r="L5109" t="s">
        <v>17</v>
      </c>
    </row>
    <row r="5110" spans="1:13" x14ac:dyDescent="0.2">
      <c r="A5110">
        <v>944260</v>
      </c>
      <c r="B5110" s="1">
        <v>44627</v>
      </c>
      <c r="C5110">
        <v>98325</v>
      </c>
      <c r="D5110" t="s">
        <v>82</v>
      </c>
      <c r="E5110" t="s">
        <v>83</v>
      </c>
      <c r="F5110" t="s">
        <v>84</v>
      </c>
      <c r="G5110">
        <v>2</v>
      </c>
      <c r="H5110">
        <v>11.89</v>
      </c>
      <c r="I5110">
        <v>0.3</v>
      </c>
      <c r="J5110">
        <v>16.649999999999999</v>
      </c>
      <c r="K5110" t="s">
        <v>16</v>
      </c>
      <c r="L5110" t="s">
        <v>37</v>
      </c>
      <c r="M5110" t="s">
        <v>24</v>
      </c>
    </row>
    <row r="5111" spans="1:13" x14ac:dyDescent="0.2">
      <c r="A5111">
        <v>944445</v>
      </c>
      <c r="B5111" s="1">
        <v>45437</v>
      </c>
      <c r="C5111">
        <v>65500</v>
      </c>
      <c r="D5111" t="s">
        <v>97</v>
      </c>
      <c r="E5111" t="s">
        <v>193</v>
      </c>
      <c r="F5111" t="s">
        <v>194</v>
      </c>
      <c r="G5111">
        <v>2</v>
      </c>
      <c r="H5111">
        <v>58.49</v>
      </c>
      <c r="I5111">
        <v>0.1</v>
      </c>
      <c r="J5111">
        <v>105.28</v>
      </c>
      <c r="K5111" t="s">
        <v>36</v>
      </c>
      <c r="L5111" t="s">
        <v>37</v>
      </c>
      <c r="M5111" t="s">
        <v>102</v>
      </c>
    </row>
    <row r="5112" spans="1:13" x14ac:dyDescent="0.2">
      <c r="A5112">
        <v>944565</v>
      </c>
      <c r="B5112" s="1">
        <v>44847</v>
      </c>
      <c r="C5112">
        <v>80617</v>
      </c>
      <c r="D5112" t="s">
        <v>25</v>
      </c>
      <c r="E5112" t="s">
        <v>60</v>
      </c>
      <c r="F5112" t="s">
        <v>61</v>
      </c>
      <c r="G5112">
        <v>4</v>
      </c>
      <c r="H5112">
        <v>52.24</v>
      </c>
      <c r="I5112">
        <v>0.05</v>
      </c>
      <c r="J5112">
        <v>198.51</v>
      </c>
      <c r="K5112" t="s">
        <v>16</v>
      </c>
      <c r="L5112" t="s">
        <v>17</v>
      </c>
      <c r="M5112" t="s">
        <v>102</v>
      </c>
    </row>
    <row r="5113" spans="1:13" x14ac:dyDescent="0.2">
      <c r="A5113">
        <v>944652</v>
      </c>
      <c r="B5113" s="1">
        <v>44712</v>
      </c>
      <c r="C5113">
        <v>65171</v>
      </c>
      <c r="D5113" t="s">
        <v>29</v>
      </c>
      <c r="E5113" t="s">
        <v>38</v>
      </c>
      <c r="F5113" t="s">
        <v>39</v>
      </c>
      <c r="G5113">
        <v>3</v>
      </c>
      <c r="H5113">
        <v>28.49</v>
      </c>
      <c r="I5113">
        <v>0.05</v>
      </c>
      <c r="J5113">
        <v>81.2</v>
      </c>
      <c r="K5113" t="s">
        <v>95</v>
      </c>
      <c r="L5113" t="s">
        <v>37</v>
      </c>
      <c r="M5113" t="s">
        <v>28</v>
      </c>
    </row>
    <row r="5114" spans="1:13" x14ac:dyDescent="0.2">
      <c r="A5114">
        <v>944659</v>
      </c>
      <c r="B5114" s="2">
        <v>45261</v>
      </c>
      <c r="D5114" t="s">
        <v>44</v>
      </c>
      <c r="E5114" t="s">
        <v>74</v>
      </c>
      <c r="F5114" t="s">
        <v>75</v>
      </c>
      <c r="G5114">
        <v>1</v>
      </c>
      <c r="H5114">
        <v>2.54</v>
      </c>
      <c r="I5114">
        <v>0.15</v>
      </c>
      <c r="J5114">
        <v>2.16</v>
      </c>
      <c r="K5114" t="s">
        <v>53</v>
      </c>
      <c r="L5114" t="s">
        <v>37</v>
      </c>
      <c r="M5114" t="s">
        <v>24</v>
      </c>
    </row>
    <row r="5115" spans="1:13" x14ac:dyDescent="0.2">
      <c r="A5115">
        <v>944722</v>
      </c>
      <c r="B5115" s="2">
        <v>45605</v>
      </c>
      <c r="C5115">
        <v>70992</v>
      </c>
      <c r="D5115" t="s">
        <v>40</v>
      </c>
      <c r="E5115" t="s">
        <v>115</v>
      </c>
      <c r="F5115" t="s">
        <v>116</v>
      </c>
      <c r="G5115">
        <v>1</v>
      </c>
      <c r="H5115">
        <v>11.04</v>
      </c>
      <c r="I5115">
        <v>0.15</v>
      </c>
      <c r="J5115">
        <v>9.3800000000000008</v>
      </c>
      <c r="K5115" t="s">
        <v>36</v>
      </c>
      <c r="L5115" t="s">
        <v>37</v>
      </c>
      <c r="M5115" t="s">
        <v>67</v>
      </c>
    </row>
    <row r="5116" spans="1:13" x14ac:dyDescent="0.2">
      <c r="A5116">
        <v>945366</v>
      </c>
      <c r="B5116" s="2">
        <v>45429</v>
      </c>
      <c r="C5116">
        <v>62583</v>
      </c>
      <c r="D5116" t="s">
        <v>85</v>
      </c>
      <c r="E5116" t="s">
        <v>86</v>
      </c>
      <c r="F5116" t="s">
        <v>87</v>
      </c>
      <c r="G5116">
        <v>1</v>
      </c>
      <c r="H5116">
        <v>12.99</v>
      </c>
      <c r="J5116">
        <v>12.99</v>
      </c>
      <c r="K5116" t="s">
        <v>36</v>
      </c>
      <c r="L5116" t="s">
        <v>17</v>
      </c>
      <c r="M5116" t="s">
        <v>28</v>
      </c>
    </row>
    <row r="5117" spans="1:13" x14ac:dyDescent="0.2">
      <c r="A5117">
        <v>945541</v>
      </c>
      <c r="B5117" s="1">
        <v>45259</v>
      </c>
      <c r="D5117" t="s">
        <v>25</v>
      </c>
      <c r="E5117" t="s">
        <v>113</v>
      </c>
      <c r="F5117" t="s">
        <v>114</v>
      </c>
      <c r="G5117">
        <v>4</v>
      </c>
      <c r="H5117">
        <v>119.99</v>
      </c>
      <c r="J5117">
        <v>479.96</v>
      </c>
      <c r="K5117" t="s">
        <v>16</v>
      </c>
      <c r="L5117" t="s">
        <v>17</v>
      </c>
      <c r="M5117" t="s">
        <v>96</v>
      </c>
    </row>
    <row r="5118" spans="1:13" x14ac:dyDescent="0.2">
      <c r="A5118">
        <v>945883</v>
      </c>
      <c r="B5118" s="1">
        <v>45174</v>
      </c>
      <c r="C5118">
        <v>62598</v>
      </c>
      <c r="D5118" t="s">
        <v>174</v>
      </c>
      <c r="E5118" t="s">
        <v>149</v>
      </c>
      <c r="F5118" t="s">
        <v>150</v>
      </c>
      <c r="G5118">
        <v>4</v>
      </c>
      <c r="H5118">
        <v>13.99</v>
      </c>
      <c r="I5118">
        <v>0.3</v>
      </c>
      <c r="J5118">
        <v>39.17</v>
      </c>
      <c r="K5118" t="s">
        <v>95</v>
      </c>
      <c r="L5118" t="s">
        <v>17</v>
      </c>
      <c r="M5118" t="s">
        <v>103</v>
      </c>
    </row>
    <row r="5119" spans="1:13" x14ac:dyDescent="0.2">
      <c r="A5119">
        <v>946003</v>
      </c>
      <c r="B5119" s="1">
        <v>45367</v>
      </c>
      <c r="C5119">
        <v>89337</v>
      </c>
      <c r="D5119" t="s">
        <v>13</v>
      </c>
      <c r="E5119" t="s">
        <v>104</v>
      </c>
      <c r="F5119" t="s">
        <v>105</v>
      </c>
      <c r="G5119">
        <v>2</v>
      </c>
      <c r="H5119">
        <v>26.99</v>
      </c>
      <c r="I5119">
        <v>0.1</v>
      </c>
      <c r="J5119">
        <v>48.58</v>
      </c>
      <c r="K5119" t="s">
        <v>32</v>
      </c>
      <c r="L5119" t="s">
        <v>17</v>
      </c>
      <c r="M5119" t="s">
        <v>103</v>
      </c>
    </row>
    <row r="5120" spans="1:13" x14ac:dyDescent="0.2">
      <c r="A5120">
        <v>946402</v>
      </c>
      <c r="B5120" s="1">
        <v>44803</v>
      </c>
      <c r="C5120">
        <v>19669</v>
      </c>
      <c r="D5120" t="s">
        <v>25</v>
      </c>
      <c r="E5120" t="s">
        <v>113</v>
      </c>
      <c r="F5120" t="s">
        <v>114</v>
      </c>
      <c r="G5120">
        <v>5</v>
      </c>
      <c r="H5120">
        <v>89.99</v>
      </c>
      <c r="I5120">
        <v>0.25</v>
      </c>
      <c r="J5120">
        <v>337.46</v>
      </c>
      <c r="K5120" t="s">
        <v>22</v>
      </c>
      <c r="L5120" t="s">
        <v>17</v>
      </c>
      <c r="M5120" t="s">
        <v>117</v>
      </c>
    </row>
    <row r="5121" spans="1:13" x14ac:dyDescent="0.2">
      <c r="A5121">
        <v>946414</v>
      </c>
      <c r="B5121" s="1">
        <v>45386</v>
      </c>
      <c r="C5121">
        <v>12144</v>
      </c>
      <c r="D5121" t="s">
        <v>63</v>
      </c>
      <c r="E5121" t="s">
        <v>111</v>
      </c>
      <c r="F5121" t="s">
        <v>112</v>
      </c>
      <c r="G5121">
        <v>2</v>
      </c>
      <c r="H5121">
        <v>10.49</v>
      </c>
      <c r="I5121">
        <v>0.3</v>
      </c>
      <c r="J5121">
        <v>14.69</v>
      </c>
      <c r="K5121" t="s">
        <v>16</v>
      </c>
      <c r="L5121" t="s">
        <v>37</v>
      </c>
      <c r="M5121" t="s">
        <v>24</v>
      </c>
    </row>
    <row r="5122" spans="1:13" x14ac:dyDescent="0.2">
      <c r="A5122">
        <v>946428</v>
      </c>
      <c r="B5122" s="1">
        <v>45089</v>
      </c>
      <c r="C5122">
        <v>41983</v>
      </c>
      <c r="D5122" t="s">
        <v>85</v>
      </c>
      <c r="E5122" t="s">
        <v>153</v>
      </c>
      <c r="F5122" t="s">
        <v>154</v>
      </c>
      <c r="G5122">
        <v>2</v>
      </c>
      <c r="H5122">
        <v>29.99</v>
      </c>
      <c r="J5122">
        <v>59.98</v>
      </c>
      <c r="K5122" t="s">
        <v>95</v>
      </c>
      <c r="L5122" t="s">
        <v>23</v>
      </c>
    </row>
    <row r="5123" spans="1:13" x14ac:dyDescent="0.2">
      <c r="A5123">
        <v>946546</v>
      </c>
      <c r="B5123" s="1">
        <v>44766</v>
      </c>
      <c r="C5123">
        <v>80797</v>
      </c>
      <c r="D5123" t="s">
        <v>82</v>
      </c>
      <c r="E5123" t="s">
        <v>168</v>
      </c>
      <c r="F5123" t="s">
        <v>169</v>
      </c>
      <c r="G5123">
        <v>3</v>
      </c>
      <c r="H5123">
        <v>7.19</v>
      </c>
      <c r="I5123">
        <v>0.2</v>
      </c>
      <c r="J5123">
        <v>17.260000000000002</v>
      </c>
      <c r="K5123" t="s">
        <v>16</v>
      </c>
      <c r="L5123" t="s">
        <v>17</v>
      </c>
      <c r="M5123" t="s">
        <v>67</v>
      </c>
    </row>
    <row r="5124" spans="1:13" x14ac:dyDescent="0.2">
      <c r="A5124">
        <v>946699</v>
      </c>
      <c r="B5124" s="1">
        <v>44753</v>
      </c>
      <c r="C5124">
        <v>75748</v>
      </c>
      <c r="D5124" t="s">
        <v>40</v>
      </c>
      <c r="E5124" t="s">
        <v>20</v>
      </c>
      <c r="F5124" t="s">
        <v>21</v>
      </c>
      <c r="G5124">
        <v>5</v>
      </c>
      <c r="H5124">
        <v>9.49</v>
      </c>
      <c r="I5124">
        <v>0.05</v>
      </c>
      <c r="J5124">
        <v>45.08</v>
      </c>
      <c r="K5124" t="s">
        <v>22</v>
      </c>
      <c r="L5124" t="s">
        <v>17</v>
      </c>
      <c r="M5124" t="s">
        <v>24</v>
      </c>
    </row>
    <row r="5125" spans="1:13" x14ac:dyDescent="0.2">
      <c r="A5125">
        <v>947047</v>
      </c>
      <c r="B5125" s="2">
        <v>44895</v>
      </c>
      <c r="C5125">
        <v>34824</v>
      </c>
      <c r="D5125" t="s">
        <v>82</v>
      </c>
      <c r="E5125" t="s">
        <v>100</v>
      </c>
      <c r="F5125" t="s">
        <v>101</v>
      </c>
      <c r="G5125">
        <v>1</v>
      </c>
      <c r="H5125">
        <v>22.99</v>
      </c>
      <c r="J5125">
        <v>22.99</v>
      </c>
      <c r="K5125" t="s">
        <v>36</v>
      </c>
      <c r="L5125" t="s">
        <v>17</v>
      </c>
      <c r="M5125" t="s">
        <v>81</v>
      </c>
    </row>
    <row r="5126" spans="1:13" x14ac:dyDescent="0.2">
      <c r="A5126">
        <v>947055</v>
      </c>
      <c r="B5126" s="2">
        <v>44640</v>
      </c>
      <c r="C5126">
        <v>74805</v>
      </c>
      <c r="D5126" t="s">
        <v>13</v>
      </c>
      <c r="E5126" t="s">
        <v>159</v>
      </c>
      <c r="F5126" t="s">
        <v>160</v>
      </c>
      <c r="G5126">
        <v>2</v>
      </c>
      <c r="H5126">
        <v>41.99</v>
      </c>
      <c r="I5126">
        <v>0.3</v>
      </c>
      <c r="J5126">
        <v>58.79</v>
      </c>
      <c r="K5126" t="s">
        <v>16</v>
      </c>
      <c r="L5126" t="s">
        <v>23</v>
      </c>
      <c r="M5126" t="s">
        <v>18</v>
      </c>
    </row>
    <row r="5127" spans="1:13" x14ac:dyDescent="0.2">
      <c r="A5127">
        <v>947277</v>
      </c>
      <c r="B5127" s="1">
        <v>44644</v>
      </c>
      <c r="C5127">
        <v>63982</v>
      </c>
      <c r="D5127" t="s">
        <v>167</v>
      </c>
      <c r="E5127" t="s">
        <v>143</v>
      </c>
      <c r="F5127" t="s">
        <v>144</v>
      </c>
      <c r="G5127">
        <v>2</v>
      </c>
      <c r="H5127">
        <v>10.49</v>
      </c>
      <c r="I5127">
        <v>0.3</v>
      </c>
      <c r="J5127">
        <v>14.69</v>
      </c>
      <c r="K5127" t="s">
        <v>95</v>
      </c>
      <c r="L5127" t="s">
        <v>17</v>
      </c>
      <c r="M5127" t="s">
        <v>120</v>
      </c>
    </row>
    <row r="5128" spans="1:13" x14ac:dyDescent="0.2">
      <c r="A5128">
        <v>947379</v>
      </c>
      <c r="B5128" s="1">
        <v>45304</v>
      </c>
      <c r="C5128">
        <v>88399</v>
      </c>
      <c r="D5128" t="s">
        <v>40</v>
      </c>
      <c r="E5128" t="s">
        <v>115</v>
      </c>
      <c r="F5128" t="s">
        <v>116</v>
      </c>
      <c r="G5128">
        <v>2</v>
      </c>
      <c r="H5128">
        <v>10.39</v>
      </c>
      <c r="J5128">
        <v>20.78</v>
      </c>
      <c r="K5128" t="s">
        <v>16</v>
      </c>
      <c r="L5128" t="s">
        <v>23</v>
      </c>
      <c r="M5128" t="s">
        <v>123</v>
      </c>
    </row>
    <row r="5129" spans="1:13" x14ac:dyDescent="0.2">
      <c r="A5129">
        <v>947688</v>
      </c>
      <c r="B5129" s="1">
        <v>45572</v>
      </c>
      <c r="C5129">
        <v>28245</v>
      </c>
      <c r="D5129" t="s">
        <v>85</v>
      </c>
      <c r="E5129" t="s">
        <v>86</v>
      </c>
      <c r="F5129" t="s">
        <v>87</v>
      </c>
      <c r="G5129">
        <v>3</v>
      </c>
      <c r="H5129">
        <v>12.34</v>
      </c>
      <c r="I5129">
        <v>0.05</v>
      </c>
      <c r="J5129">
        <v>35.17</v>
      </c>
      <c r="K5129" t="s">
        <v>16</v>
      </c>
      <c r="L5129" t="s">
        <v>23</v>
      </c>
      <c r="M5129" t="s">
        <v>18</v>
      </c>
    </row>
    <row r="5130" spans="1:13" x14ac:dyDescent="0.2">
      <c r="A5130">
        <v>947720</v>
      </c>
      <c r="B5130" s="1">
        <v>45584</v>
      </c>
      <c r="C5130">
        <v>56754</v>
      </c>
      <c r="D5130" t="s">
        <v>13</v>
      </c>
      <c r="E5130" t="s">
        <v>77</v>
      </c>
      <c r="F5130" t="s">
        <v>78</v>
      </c>
      <c r="G5130">
        <v>2</v>
      </c>
      <c r="H5130">
        <v>499.99</v>
      </c>
      <c r="J5130">
        <v>999.98</v>
      </c>
      <c r="K5130" t="s">
        <v>16</v>
      </c>
      <c r="L5130" t="s">
        <v>17</v>
      </c>
      <c r="M5130" t="s">
        <v>102</v>
      </c>
    </row>
    <row r="5131" spans="1:13" x14ac:dyDescent="0.2">
      <c r="A5131">
        <v>947740</v>
      </c>
      <c r="B5131" s="1">
        <v>44850</v>
      </c>
      <c r="C5131">
        <v>47797</v>
      </c>
      <c r="D5131" t="s">
        <v>48</v>
      </c>
      <c r="E5131" t="s">
        <v>118</v>
      </c>
      <c r="F5131" t="s">
        <v>119</v>
      </c>
      <c r="G5131">
        <v>3</v>
      </c>
      <c r="H5131">
        <v>4.24</v>
      </c>
      <c r="I5131">
        <v>0.15</v>
      </c>
      <c r="J5131">
        <v>10.81</v>
      </c>
      <c r="K5131" t="s">
        <v>66</v>
      </c>
      <c r="L5131" t="s">
        <v>17</v>
      </c>
      <c r="M5131" t="s">
        <v>33</v>
      </c>
    </row>
    <row r="5132" spans="1:13" x14ac:dyDescent="0.2">
      <c r="A5132">
        <v>947760</v>
      </c>
      <c r="B5132" s="1">
        <v>44621</v>
      </c>
      <c r="C5132">
        <v>92314</v>
      </c>
      <c r="D5132" t="s">
        <v>13</v>
      </c>
      <c r="E5132" t="s">
        <v>14</v>
      </c>
      <c r="F5132" t="s">
        <v>15</v>
      </c>
      <c r="G5132">
        <v>2</v>
      </c>
      <c r="H5132">
        <v>75.989999999999995</v>
      </c>
      <c r="I5132">
        <v>0.05</v>
      </c>
      <c r="J5132">
        <v>144.38</v>
      </c>
      <c r="K5132" t="s">
        <v>22</v>
      </c>
      <c r="L5132" t="s">
        <v>37</v>
      </c>
      <c r="M5132" t="s">
        <v>96</v>
      </c>
    </row>
    <row r="5133" spans="1:13" x14ac:dyDescent="0.2">
      <c r="A5133">
        <v>947760</v>
      </c>
      <c r="B5133" s="2">
        <v>45588</v>
      </c>
      <c r="C5133">
        <v>39274</v>
      </c>
      <c r="D5133" t="s">
        <v>29</v>
      </c>
      <c r="E5133" t="s">
        <v>30</v>
      </c>
      <c r="F5133" t="s">
        <v>31</v>
      </c>
      <c r="G5133">
        <v>5</v>
      </c>
      <c r="H5133">
        <v>19.989999999999998</v>
      </c>
      <c r="I5133">
        <v>0.2</v>
      </c>
      <c r="J5133">
        <v>79.959999999999994</v>
      </c>
      <c r="K5133" t="s">
        <v>22</v>
      </c>
      <c r="L5133" t="s">
        <v>17</v>
      </c>
      <c r="M5133" t="s">
        <v>24</v>
      </c>
    </row>
    <row r="5134" spans="1:13" x14ac:dyDescent="0.2">
      <c r="A5134">
        <v>947915</v>
      </c>
      <c r="B5134" s="2">
        <v>45438</v>
      </c>
      <c r="D5134" t="s">
        <v>63</v>
      </c>
      <c r="E5134" t="s">
        <v>68</v>
      </c>
      <c r="F5134" t="s">
        <v>69</v>
      </c>
      <c r="G5134">
        <v>1</v>
      </c>
      <c r="H5134">
        <v>23.74</v>
      </c>
      <c r="I5134">
        <v>0.05</v>
      </c>
      <c r="J5134">
        <v>22.55</v>
      </c>
      <c r="K5134" t="s">
        <v>16</v>
      </c>
      <c r="L5134" t="s">
        <v>17</v>
      </c>
      <c r="M5134" t="s">
        <v>90</v>
      </c>
    </row>
    <row r="5135" spans="1:13" x14ac:dyDescent="0.2">
      <c r="A5135">
        <v>948191</v>
      </c>
      <c r="B5135" s="1">
        <v>45174</v>
      </c>
      <c r="C5135">
        <v>77576</v>
      </c>
      <c r="D5135" t="s">
        <v>48</v>
      </c>
      <c r="E5135" t="s">
        <v>179</v>
      </c>
      <c r="F5135" t="s">
        <v>180</v>
      </c>
      <c r="G5135">
        <v>1</v>
      </c>
      <c r="H5135">
        <v>8.99</v>
      </c>
      <c r="I5135">
        <v>0.25</v>
      </c>
      <c r="J5135">
        <v>6.74</v>
      </c>
      <c r="K5135" t="s">
        <v>16</v>
      </c>
      <c r="L5135" t="s">
        <v>17</v>
      </c>
      <c r="M5135" t="s">
        <v>47</v>
      </c>
    </row>
    <row r="5136" spans="1:13" x14ac:dyDescent="0.2">
      <c r="A5136">
        <v>948747</v>
      </c>
      <c r="B5136" s="1">
        <v>45350</v>
      </c>
      <c r="C5136">
        <v>13721</v>
      </c>
      <c r="D5136" t="s">
        <v>25</v>
      </c>
      <c r="E5136" t="s">
        <v>60</v>
      </c>
      <c r="F5136" t="s">
        <v>61</v>
      </c>
      <c r="G5136">
        <v>2</v>
      </c>
      <c r="H5136">
        <v>54.99</v>
      </c>
      <c r="J5136">
        <v>109.98</v>
      </c>
      <c r="K5136" t="s">
        <v>16</v>
      </c>
      <c r="L5136" t="s">
        <v>17</v>
      </c>
      <c r="M5136" t="s">
        <v>96</v>
      </c>
    </row>
    <row r="5137" spans="1:13" x14ac:dyDescent="0.2">
      <c r="A5137">
        <v>948844</v>
      </c>
      <c r="B5137" s="2">
        <v>45277</v>
      </c>
      <c r="C5137">
        <v>30665</v>
      </c>
      <c r="D5137" t="s">
        <v>48</v>
      </c>
      <c r="E5137" t="s">
        <v>109</v>
      </c>
      <c r="F5137" t="s">
        <v>110</v>
      </c>
      <c r="G5137">
        <v>1</v>
      </c>
      <c r="H5137">
        <v>4.8899999999999997</v>
      </c>
      <c r="I5137">
        <v>0.3</v>
      </c>
      <c r="J5137">
        <v>3.42</v>
      </c>
      <c r="K5137" t="s">
        <v>36</v>
      </c>
      <c r="L5137" t="s">
        <v>17</v>
      </c>
      <c r="M5137" t="s">
        <v>33</v>
      </c>
    </row>
    <row r="5138" spans="1:13" x14ac:dyDescent="0.2">
      <c r="A5138">
        <v>948934</v>
      </c>
      <c r="B5138" s="2">
        <v>45037</v>
      </c>
      <c r="C5138">
        <v>38830</v>
      </c>
      <c r="D5138" t="s">
        <v>29</v>
      </c>
      <c r="E5138" t="s">
        <v>175</v>
      </c>
      <c r="F5138" t="s">
        <v>176</v>
      </c>
      <c r="G5138">
        <v>1</v>
      </c>
      <c r="H5138">
        <v>11.99</v>
      </c>
      <c r="J5138">
        <v>11.99</v>
      </c>
      <c r="K5138" t="s">
        <v>16</v>
      </c>
      <c r="L5138" t="s">
        <v>37</v>
      </c>
      <c r="M5138" t="s">
        <v>33</v>
      </c>
    </row>
    <row r="5139" spans="1:13" x14ac:dyDescent="0.2">
      <c r="A5139">
        <v>948998</v>
      </c>
      <c r="B5139" s="1">
        <v>45612</v>
      </c>
      <c r="C5139">
        <v>65604</v>
      </c>
      <c r="D5139" t="s">
        <v>13</v>
      </c>
      <c r="E5139" t="s">
        <v>55</v>
      </c>
      <c r="F5139" t="s">
        <v>56</v>
      </c>
      <c r="G5139">
        <v>1</v>
      </c>
      <c r="H5139">
        <v>280.49</v>
      </c>
      <c r="I5139">
        <v>0.15</v>
      </c>
      <c r="J5139">
        <v>238.42</v>
      </c>
      <c r="K5139" t="s">
        <v>16</v>
      </c>
      <c r="L5139" t="s">
        <v>17</v>
      </c>
      <c r="M5139" t="s">
        <v>117</v>
      </c>
    </row>
    <row r="5140" spans="1:13" x14ac:dyDescent="0.2">
      <c r="A5140">
        <v>949011</v>
      </c>
      <c r="B5140" s="2">
        <v>44752</v>
      </c>
      <c r="C5140">
        <v>53128</v>
      </c>
      <c r="D5140" t="s">
        <v>29</v>
      </c>
      <c r="E5140" t="s">
        <v>72</v>
      </c>
      <c r="F5140" t="s">
        <v>73</v>
      </c>
      <c r="G5140">
        <v>1</v>
      </c>
      <c r="H5140">
        <v>39.99</v>
      </c>
      <c r="J5140">
        <v>39.99</v>
      </c>
      <c r="K5140" t="s">
        <v>16</v>
      </c>
      <c r="L5140" t="s">
        <v>37</v>
      </c>
      <c r="M5140" t="s">
        <v>47</v>
      </c>
    </row>
    <row r="5141" spans="1:13" x14ac:dyDescent="0.2">
      <c r="A5141">
        <v>949214</v>
      </c>
      <c r="B5141" s="2">
        <v>44592</v>
      </c>
      <c r="C5141">
        <v>87454</v>
      </c>
      <c r="D5141" t="s">
        <v>85</v>
      </c>
      <c r="E5141" t="s">
        <v>129</v>
      </c>
      <c r="F5141" t="s">
        <v>130</v>
      </c>
      <c r="G5141">
        <v>5</v>
      </c>
      <c r="H5141">
        <v>7.64</v>
      </c>
      <c r="I5141">
        <v>0.15</v>
      </c>
      <c r="J5141">
        <v>32.47</v>
      </c>
      <c r="K5141" t="s">
        <v>16</v>
      </c>
      <c r="L5141" t="s">
        <v>37</v>
      </c>
      <c r="M5141" t="s">
        <v>96</v>
      </c>
    </row>
    <row r="5142" spans="1:13" x14ac:dyDescent="0.2">
      <c r="A5142">
        <v>949455</v>
      </c>
      <c r="B5142" s="1">
        <v>45430</v>
      </c>
      <c r="C5142">
        <v>39853</v>
      </c>
      <c r="D5142" t="s">
        <v>29</v>
      </c>
      <c r="E5142" t="s">
        <v>170</v>
      </c>
      <c r="F5142" t="s">
        <v>171</v>
      </c>
      <c r="G5142">
        <v>2</v>
      </c>
      <c r="H5142">
        <v>10.49</v>
      </c>
      <c r="I5142">
        <v>0.3</v>
      </c>
      <c r="J5142">
        <v>14.69</v>
      </c>
      <c r="K5142" t="s">
        <v>16</v>
      </c>
      <c r="L5142" t="s">
        <v>17</v>
      </c>
      <c r="M5142" t="s">
        <v>18</v>
      </c>
    </row>
    <row r="5143" spans="1:13" x14ac:dyDescent="0.2">
      <c r="A5143">
        <v>949500</v>
      </c>
      <c r="B5143" s="1">
        <v>44995</v>
      </c>
      <c r="C5143">
        <v>42225</v>
      </c>
      <c r="D5143" t="s">
        <v>40</v>
      </c>
      <c r="E5143" t="s">
        <v>115</v>
      </c>
      <c r="F5143" t="s">
        <v>116</v>
      </c>
      <c r="G5143">
        <v>1</v>
      </c>
      <c r="H5143">
        <v>12.99</v>
      </c>
      <c r="J5143">
        <v>12.99</v>
      </c>
      <c r="K5143" t="s">
        <v>22</v>
      </c>
      <c r="L5143" t="s">
        <v>17</v>
      </c>
      <c r="M5143" t="s">
        <v>123</v>
      </c>
    </row>
    <row r="5144" spans="1:13" x14ac:dyDescent="0.2">
      <c r="A5144">
        <v>949952</v>
      </c>
      <c r="B5144" s="1">
        <v>45456</v>
      </c>
      <c r="C5144">
        <v>78847</v>
      </c>
      <c r="D5144" t="s">
        <v>63</v>
      </c>
      <c r="E5144" t="s">
        <v>68</v>
      </c>
      <c r="F5144" t="s">
        <v>69</v>
      </c>
      <c r="G5144">
        <v>2</v>
      </c>
      <c r="H5144">
        <v>21.24</v>
      </c>
      <c r="I5144">
        <v>0.15</v>
      </c>
      <c r="J5144">
        <v>36.11</v>
      </c>
      <c r="K5144" t="s">
        <v>16</v>
      </c>
      <c r="L5144" t="s">
        <v>17</v>
      </c>
      <c r="M5144" t="s">
        <v>103</v>
      </c>
    </row>
    <row r="5145" spans="1:13" x14ac:dyDescent="0.2">
      <c r="A5145">
        <v>950263</v>
      </c>
      <c r="B5145" s="1">
        <v>45550</v>
      </c>
      <c r="C5145">
        <v>17477</v>
      </c>
      <c r="D5145" t="s">
        <v>63</v>
      </c>
      <c r="E5145" t="s">
        <v>125</v>
      </c>
      <c r="F5145" t="s">
        <v>126</v>
      </c>
      <c r="G5145">
        <v>2</v>
      </c>
      <c r="H5145">
        <v>26.99</v>
      </c>
      <c r="I5145">
        <v>0.1</v>
      </c>
      <c r="J5145">
        <v>48.58</v>
      </c>
      <c r="K5145" t="s">
        <v>36</v>
      </c>
      <c r="L5145" t="s">
        <v>37</v>
      </c>
      <c r="M5145" t="s">
        <v>33</v>
      </c>
    </row>
    <row r="5146" spans="1:13" x14ac:dyDescent="0.2">
      <c r="A5146">
        <v>950473</v>
      </c>
      <c r="B5146" s="1">
        <v>45426</v>
      </c>
      <c r="C5146">
        <v>13946</v>
      </c>
      <c r="D5146" t="s">
        <v>48</v>
      </c>
      <c r="E5146" t="s">
        <v>143</v>
      </c>
      <c r="F5146" t="s">
        <v>144</v>
      </c>
      <c r="G5146">
        <v>1</v>
      </c>
      <c r="H5146">
        <v>11.99</v>
      </c>
      <c r="I5146">
        <v>0.2</v>
      </c>
      <c r="J5146">
        <v>9.59</v>
      </c>
      <c r="K5146" t="s">
        <v>22</v>
      </c>
      <c r="L5146" t="s">
        <v>37</v>
      </c>
      <c r="M5146" t="s">
        <v>18</v>
      </c>
    </row>
    <row r="5147" spans="1:13" x14ac:dyDescent="0.2">
      <c r="A5147">
        <v>950642</v>
      </c>
      <c r="B5147" s="1">
        <v>45636</v>
      </c>
      <c r="C5147">
        <v>46714</v>
      </c>
      <c r="D5147" t="s">
        <v>29</v>
      </c>
      <c r="E5147" t="s">
        <v>175</v>
      </c>
      <c r="F5147" t="s">
        <v>176</v>
      </c>
      <c r="G5147">
        <v>1</v>
      </c>
      <c r="H5147">
        <v>11.99</v>
      </c>
      <c r="J5147">
        <v>11.99</v>
      </c>
      <c r="K5147" t="s">
        <v>36</v>
      </c>
      <c r="L5147" t="s">
        <v>17</v>
      </c>
      <c r="M5147" t="s">
        <v>123</v>
      </c>
    </row>
    <row r="5148" spans="1:13" x14ac:dyDescent="0.2">
      <c r="A5148">
        <v>950946</v>
      </c>
      <c r="B5148" s="1">
        <v>45335</v>
      </c>
      <c r="C5148">
        <v>36426</v>
      </c>
      <c r="D5148" t="s">
        <v>40</v>
      </c>
      <c r="E5148" t="s">
        <v>115</v>
      </c>
      <c r="F5148" t="s">
        <v>116</v>
      </c>
      <c r="G5148">
        <v>5</v>
      </c>
      <c r="H5148">
        <v>12.99</v>
      </c>
      <c r="J5148">
        <v>64.95</v>
      </c>
      <c r="K5148" t="s">
        <v>32</v>
      </c>
      <c r="L5148" t="s">
        <v>17</v>
      </c>
      <c r="M5148" t="s">
        <v>102</v>
      </c>
    </row>
    <row r="5149" spans="1:13" x14ac:dyDescent="0.2">
      <c r="A5149">
        <v>951694</v>
      </c>
      <c r="B5149" s="2">
        <v>44858</v>
      </c>
      <c r="C5149">
        <v>19260</v>
      </c>
      <c r="D5149" t="s">
        <v>40</v>
      </c>
      <c r="E5149" t="s">
        <v>41</v>
      </c>
      <c r="F5149" t="s">
        <v>42</v>
      </c>
      <c r="G5149">
        <v>2</v>
      </c>
      <c r="H5149">
        <v>4.79</v>
      </c>
      <c r="I5149">
        <v>0.2</v>
      </c>
      <c r="J5149">
        <v>7.66</v>
      </c>
      <c r="K5149" t="s">
        <v>95</v>
      </c>
      <c r="L5149" t="s">
        <v>17</v>
      </c>
      <c r="M5149" t="s">
        <v>120</v>
      </c>
    </row>
    <row r="5150" spans="1:13" x14ac:dyDescent="0.2">
      <c r="A5150">
        <v>951699</v>
      </c>
      <c r="B5150" s="1">
        <v>45489</v>
      </c>
      <c r="C5150">
        <v>22596</v>
      </c>
      <c r="D5150" t="s">
        <v>82</v>
      </c>
      <c r="E5150" t="s">
        <v>188</v>
      </c>
      <c r="F5150" t="s">
        <v>189</v>
      </c>
      <c r="G5150">
        <v>2</v>
      </c>
      <c r="H5150">
        <v>44.99</v>
      </c>
      <c r="J5150">
        <v>89.98</v>
      </c>
      <c r="K5150" t="s">
        <v>36</v>
      </c>
      <c r="L5150" t="s">
        <v>17</v>
      </c>
      <c r="M5150" t="s">
        <v>67</v>
      </c>
    </row>
    <row r="5151" spans="1:13" x14ac:dyDescent="0.2">
      <c r="A5151">
        <v>951848</v>
      </c>
      <c r="B5151" s="1">
        <v>44962</v>
      </c>
      <c r="C5151">
        <v>65505</v>
      </c>
      <c r="D5151" t="s">
        <v>13</v>
      </c>
      <c r="E5151" t="s">
        <v>77</v>
      </c>
      <c r="F5151" t="s">
        <v>78</v>
      </c>
      <c r="G5151">
        <v>5</v>
      </c>
      <c r="H5151">
        <v>499.99</v>
      </c>
      <c r="J5151">
        <v>2499.9499999999998</v>
      </c>
      <c r="K5151" t="s">
        <v>36</v>
      </c>
      <c r="L5151" t="s">
        <v>17</v>
      </c>
      <c r="M5151" t="s">
        <v>18</v>
      </c>
    </row>
    <row r="5152" spans="1:13" x14ac:dyDescent="0.2">
      <c r="A5152">
        <v>952268</v>
      </c>
      <c r="B5152" s="1">
        <v>45235</v>
      </c>
      <c r="C5152">
        <v>11705</v>
      </c>
      <c r="D5152" t="s">
        <v>25</v>
      </c>
      <c r="E5152" t="s">
        <v>70</v>
      </c>
      <c r="F5152" t="s">
        <v>71</v>
      </c>
      <c r="G5152">
        <v>2</v>
      </c>
      <c r="H5152">
        <v>85.49</v>
      </c>
      <c r="I5152">
        <v>0.05</v>
      </c>
      <c r="J5152">
        <v>162.43</v>
      </c>
      <c r="K5152" t="s">
        <v>36</v>
      </c>
      <c r="L5152" t="s">
        <v>17</v>
      </c>
      <c r="M5152" t="s">
        <v>103</v>
      </c>
    </row>
    <row r="5153" spans="1:13" x14ac:dyDescent="0.2">
      <c r="A5153">
        <v>952405</v>
      </c>
      <c r="B5153" s="1">
        <v>44715</v>
      </c>
      <c r="C5153">
        <v>19674</v>
      </c>
      <c r="D5153" t="s">
        <v>44</v>
      </c>
      <c r="E5153" t="s">
        <v>195</v>
      </c>
      <c r="F5153" t="s">
        <v>196</v>
      </c>
      <c r="G5153">
        <v>3</v>
      </c>
      <c r="H5153">
        <v>4.49</v>
      </c>
      <c r="I5153">
        <v>0.1</v>
      </c>
      <c r="J5153">
        <v>12.12</v>
      </c>
      <c r="K5153" t="s">
        <v>36</v>
      </c>
      <c r="L5153" t="s">
        <v>17</v>
      </c>
      <c r="M5153" t="s">
        <v>81</v>
      </c>
    </row>
    <row r="5154" spans="1:13" x14ac:dyDescent="0.2">
      <c r="A5154">
        <v>952583</v>
      </c>
      <c r="B5154" s="1">
        <v>44808</v>
      </c>
      <c r="C5154">
        <v>99369</v>
      </c>
      <c r="D5154" t="s">
        <v>44</v>
      </c>
      <c r="E5154" t="s">
        <v>91</v>
      </c>
      <c r="F5154" t="s">
        <v>92</v>
      </c>
      <c r="G5154">
        <v>3</v>
      </c>
      <c r="H5154">
        <v>6.29</v>
      </c>
      <c r="J5154">
        <v>18.87</v>
      </c>
      <c r="K5154" t="s">
        <v>22</v>
      </c>
      <c r="L5154" t="s">
        <v>37</v>
      </c>
      <c r="M5154" t="s">
        <v>120</v>
      </c>
    </row>
    <row r="5155" spans="1:13" x14ac:dyDescent="0.2">
      <c r="A5155">
        <v>952624</v>
      </c>
      <c r="B5155" s="1">
        <v>45058</v>
      </c>
      <c r="C5155">
        <v>97251</v>
      </c>
      <c r="D5155" t="s">
        <v>48</v>
      </c>
      <c r="E5155" t="s">
        <v>179</v>
      </c>
      <c r="F5155" t="s">
        <v>180</v>
      </c>
      <c r="G5155">
        <v>1</v>
      </c>
      <c r="H5155">
        <v>8.99</v>
      </c>
      <c r="I5155">
        <v>0.25</v>
      </c>
      <c r="J5155">
        <v>6.74</v>
      </c>
      <c r="K5155" t="s">
        <v>16</v>
      </c>
      <c r="L5155" t="s">
        <v>37</v>
      </c>
      <c r="M5155" t="s">
        <v>103</v>
      </c>
    </row>
    <row r="5156" spans="1:13" x14ac:dyDescent="0.2">
      <c r="A5156">
        <v>952631</v>
      </c>
      <c r="B5156" s="1">
        <v>45391</v>
      </c>
      <c r="C5156">
        <v>98487</v>
      </c>
      <c r="D5156" t="s">
        <v>19</v>
      </c>
      <c r="E5156" t="s">
        <v>41</v>
      </c>
      <c r="F5156" t="s">
        <v>42</v>
      </c>
      <c r="G5156">
        <v>1</v>
      </c>
      <c r="H5156">
        <v>4.49</v>
      </c>
      <c r="I5156">
        <v>0.25</v>
      </c>
      <c r="J5156">
        <v>3.37</v>
      </c>
      <c r="K5156" t="s">
        <v>22</v>
      </c>
      <c r="L5156" t="s">
        <v>17</v>
      </c>
      <c r="M5156" t="s">
        <v>43</v>
      </c>
    </row>
    <row r="5157" spans="1:13" x14ac:dyDescent="0.2">
      <c r="A5157">
        <v>952826</v>
      </c>
      <c r="B5157" s="1">
        <v>45065</v>
      </c>
      <c r="C5157">
        <v>60614</v>
      </c>
      <c r="D5157" t="s">
        <v>25</v>
      </c>
      <c r="E5157" t="s">
        <v>51</v>
      </c>
      <c r="F5157" t="s">
        <v>52</v>
      </c>
      <c r="G5157">
        <v>2</v>
      </c>
      <c r="H5157">
        <v>27.99</v>
      </c>
      <c r="J5157">
        <v>55.98</v>
      </c>
      <c r="K5157" t="s">
        <v>22</v>
      </c>
      <c r="L5157" t="s">
        <v>17</v>
      </c>
      <c r="M5157" t="s">
        <v>54</v>
      </c>
    </row>
    <row r="5158" spans="1:13" x14ac:dyDescent="0.2">
      <c r="A5158">
        <v>953349</v>
      </c>
      <c r="B5158" s="1">
        <v>44766</v>
      </c>
      <c r="C5158">
        <v>26436</v>
      </c>
      <c r="D5158" t="s">
        <v>85</v>
      </c>
      <c r="E5158" t="s">
        <v>137</v>
      </c>
      <c r="F5158" t="s">
        <v>138</v>
      </c>
      <c r="G5158">
        <v>2</v>
      </c>
      <c r="H5158">
        <v>6.39</v>
      </c>
      <c r="I5158">
        <v>0.2</v>
      </c>
      <c r="J5158">
        <v>10.220000000000001</v>
      </c>
      <c r="K5158" t="s">
        <v>22</v>
      </c>
      <c r="L5158" t="s">
        <v>17</v>
      </c>
      <c r="M5158" t="s">
        <v>54</v>
      </c>
    </row>
    <row r="5159" spans="1:13" x14ac:dyDescent="0.2">
      <c r="A5159">
        <v>953564</v>
      </c>
      <c r="B5159" s="1">
        <v>45007</v>
      </c>
      <c r="C5159">
        <v>85929</v>
      </c>
      <c r="D5159" t="s">
        <v>48</v>
      </c>
      <c r="E5159" t="s">
        <v>118</v>
      </c>
      <c r="F5159" t="s">
        <v>119</v>
      </c>
      <c r="G5159">
        <v>1</v>
      </c>
      <c r="H5159">
        <v>4.99</v>
      </c>
      <c r="J5159">
        <v>4.99</v>
      </c>
      <c r="K5159" t="s">
        <v>36</v>
      </c>
      <c r="L5159" t="s">
        <v>17</v>
      </c>
      <c r="M5159" t="s">
        <v>43</v>
      </c>
    </row>
    <row r="5160" spans="1:13" x14ac:dyDescent="0.2">
      <c r="A5160">
        <v>953693</v>
      </c>
      <c r="B5160" s="1">
        <v>45434</v>
      </c>
      <c r="D5160" t="s">
        <v>40</v>
      </c>
      <c r="E5160" t="s">
        <v>58</v>
      </c>
      <c r="F5160" t="s">
        <v>59</v>
      </c>
      <c r="G5160">
        <v>1</v>
      </c>
      <c r="H5160">
        <v>3.99</v>
      </c>
      <c r="J5160">
        <v>3.99</v>
      </c>
      <c r="K5160" t="s">
        <v>36</v>
      </c>
      <c r="L5160" t="s">
        <v>17</v>
      </c>
      <c r="M5160" t="s">
        <v>33</v>
      </c>
    </row>
    <row r="5161" spans="1:13" x14ac:dyDescent="0.2">
      <c r="A5161">
        <v>953879</v>
      </c>
      <c r="B5161" s="1">
        <v>45612</v>
      </c>
      <c r="C5161">
        <v>91850</v>
      </c>
      <c r="D5161" t="s">
        <v>97</v>
      </c>
      <c r="E5161" t="s">
        <v>151</v>
      </c>
      <c r="F5161" t="s">
        <v>152</v>
      </c>
      <c r="G5161">
        <v>3</v>
      </c>
      <c r="H5161">
        <v>34.99</v>
      </c>
      <c r="J5161">
        <v>104.97</v>
      </c>
      <c r="K5161" t="s">
        <v>22</v>
      </c>
      <c r="L5161" t="s">
        <v>17</v>
      </c>
      <c r="M5161" t="s">
        <v>103</v>
      </c>
    </row>
    <row r="5162" spans="1:13" x14ac:dyDescent="0.2">
      <c r="A5162">
        <v>953930</v>
      </c>
      <c r="B5162" s="2">
        <v>45246</v>
      </c>
      <c r="C5162">
        <v>73103</v>
      </c>
      <c r="D5162" t="s">
        <v>40</v>
      </c>
      <c r="E5162" t="s">
        <v>58</v>
      </c>
      <c r="F5162" t="s">
        <v>59</v>
      </c>
      <c r="G5162">
        <v>5</v>
      </c>
      <c r="H5162">
        <v>2.99</v>
      </c>
      <c r="I5162">
        <v>0.25</v>
      </c>
      <c r="J5162">
        <v>11.21</v>
      </c>
      <c r="K5162" t="s">
        <v>36</v>
      </c>
      <c r="L5162" t="s">
        <v>37</v>
      </c>
      <c r="M5162" t="s">
        <v>81</v>
      </c>
    </row>
    <row r="5163" spans="1:13" x14ac:dyDescent="0.2">
      <c r="A5163">
        <v>954226</v>
      </c>
      <c r="B5163" s="2">
        <v>45507</v>
      </c>
      <c r="D5163" t="s">
        <v>40</v>
      </c>
      <c r="E5163" t="s">
        <v>41</v>
      </c>
      <c r="F5163" t="s">
        <v>42</v>
      </c>
      <c r="G5163">
        <v>5</v>
      </c>
      <c r="H5163">
        <v>4.1900000000000004</v>
      </c>
      <c r="I5163">
        <v>0.3</v>
      </c>
      <c r="J5163">
        <v>14.66</v>
      </c>
      <c r="K5163" t="s">
        <v>22</v>
      </c>
      <c r="L5163" t="s">
        <v>17</v>
      </c>
      <c r="M5163" t="s">
        <v>123</v>
      </c>
    </row>
    <row r="5164" spans="1:13" x14ac:dyDescent="0.2">
      <c r="A5164">
        <v>954246</v>
      </c>
      <c r="B5164" s="1">
        <v>44659</v>
      </c>
      <c r="C5164">
        <v>73761</v>
      </c>
      <c r="D5164" t="s">
        <v>63</v>
      </c>
      <c r="E5164" t="s">
        <v>111</v>
      </c>
      <c r="F5164" t="s">
        <v>112</v>
      </c>
      <c r="G5164">
        <v>1</v>
      </c>
      <c r="H5164">
        <v>14.99</v>
      </c>
      <c r="J5164">
        <v>14.99</v>
      </c>
      <c r="K5164" t="s">
        <v>53</v>
      </c>
      <c r="L5164" t="s">
        <v>17</v>
      </c>
      <c r="M5164" t="s">
        <v>117</v>
      </c>
    </row>
    <row r="5165" spans="1:13" x14ac:dyDescent="0.2">
      <c r="A5165">
        <v>954441</v>
      </c>
      <c r="B5165" s="1">
        <v>45089</v>
      </c>
      <c r="C5165">
        <v>39567</v>
      </c>
      <c r="D5165" t="s">
        <v>63</v>
      </c>
      <c r="E5165" t="s">
        <v>64</v>
      </c>
      <c r="F5165" t="s">
        <v>65</v>
      </c>
      <c r="G5165">
        <v>5</v>
      </c>
      <c r="H5165">
        <v>3.99</v>
      </c>
      <c r="I5165">
        <v>0.2</v>
      </c>
      <c r="J5165">
        <v>15.96</v>
      </c>
      <c r="K5165" t="s">
        <v>95</v>
      </c>
      <c r="L5165" t="s">
        <v>23</v>
      </c>
      <c r="M5165" t="s">
        <v>81</v>
      </c>
    </row>
    <row r="5166" spans="1:13" x14ac:dyDescent="0.2">
      <c r="A5166">
        <v>954520</v>
      </c>
      <c r="B5166" s="2">
        <v>45623</v>
      </c>
      <c r="C5166">
        <v>56276</v>
      </c>
      <c r="D5166" t="s">
        <v>29</v>
      </c>
      <c r="E5166" t="s">
        <v>88</v>
      </c>
      <c r="F5166" t="s">
        <v>89</v>
      </c>
      <c r="G5166">
        <v>1</v>
      </c>
      <c r="H5166">
        <v>37.49</v>
      </c>
      <c r="I5166">
        <v>0.25</v>
      </c>
      <c r="J5166">
        <v>28.12</v>
      </c>
      <c r="K5166" t="s">
        <v>16</v>
      </c>
      <c r="L5166" t="s">
        <v>37</v>
      </c>
      <c r="M5166" t="s">
        <v>33</v>
      </c>
    </row>
    <row r="5167" spans="1:13" x14ac:dyDescent="0.2">
      <c r="A5167">
        <v>954590</v>
      </c>
      <c r="B5167" s="2">
        <v>45522</v>
      </c>
      <c r="C5167">
        <v>93545</v>
      </c>
      <c r="D5167" t="s">
        <v>44</v>
      </c>
      <c r="E5167" t="s">
        <v>107</v>
      </c>
      <c r="F5167" t="s">
        <v>108</v>
      </c>
      <c r="G5167">
        <v>1</v>
      </c>
      <c r="H5167">
        <v>3.49</v>
      </c>
      <c r="J5167">
        <v>3.49</v>
      </c>
      <c r="K5167" t="s">
        <v>22</v>
      </c>
      <c r="L5167" t="s">
        <v>37</v>
      </c>
      <c r="M5167" t="s">
        <v>33</v>
      </c>
    </row>
    <row r="5168" spans="1:13" x14ac:dyDescent="0.2">
      <c r="A5168">
        <v>954673</v>
      </c>
      <c r="B5168" s="1">
        <v>44960</v>
      </c>
      <c r="C5168">
        <v>34069</v>
      </c>
      <c r="D5168" t="s">
        <v>40</v>
      </c>
      <c r="E5168" t="s">
        <v>20</v>
      </c>
      <c r="F5168" t="s">
        <v>21</v>
      </c>
      <c r="G5168">
        <v>3</v>
      </c>
      <c r="H5168">
        <v>9.49</v>
      </c>
      <c r="I5168">
        <v>0.05</v>
      </c>
      <c r="J5168">
        <v>27.05</v>
      </c>
      <c r="K5168" t="s">
        <v>16</v>
      </c>
      <c r="L5168" t="s">
        <v>37</v>
      </c>
      <c r="M5168" t="s">
        <v>123</v>
      </c>
    </row>
    <row r="5169" spans="1:13" x14ac:dyDescent="0.2">
      <c r="A5169">
        <v>955081</v>
      </c>
      <c r="B5169" s="1">
        <v>44727</v>
      </c>
      <c r="C5169">
        <v>25816</v>
      </c>
      <c r="D5169" t="s">
        <v>85</v>
      </c>
      <c r="E5169" t="s">
        <v>153</v>
      </c>
      <c r="F5169" t="s">
        <v>154</v>
      </c>
      <c r="G5169">
        <v>1</v>
      </c>
      <c r="H5169">
        <v>22.49</v>
      </c>
      <c r="I5169">
        <v>0.25</v>
      </c>
      <c r="J5169">
        <v>16.87</v>
      </c>
      <c r="K5169" t="s">
        <v>22</v>
      </c>
      <c r="L5169" t="s">
        <v>17</v>
      </c>
      <c r="M5169" t="s">
        <v>161</v>
      </c>
    </row>
    <row r="5170" spans="1:13" x14ac:dyDescent="0.2">
      <c r="A5170">
        <v>955123</v>
      </c>
      <c r="B5170" s="2">
        <v>45235</v>
      </c>
      <c r="C5170">
        <v>67044</v>
      </c>
      <c r="D5170" t="s">
        <v>29</v>
      </c>
      <c r="E5170" t="s">
        <v>38</v>
      </c>
      <c r="F5170" t="s">
        <v>39</v>
      </c>
      <c r="G5170">
        <v>1</v>
      </c>
      <c r="H5170">
        <v>29.99</v>
      </c>
      <c r="J5170">
        <v>29.99</v>
      </c>
      <c r="K5170" t="s">
        <v>16</v>
      </c>
      <c r="L5170" t="s">
        <v>17</v>
      </c>
      <c r="M5170" t="s">
        <v>117</v>
      </c>
    </row>
    <row r="5171" spans="1:13" x14ac:dyDescent="0.2">
      <c r="A5171">
        <v>955138</v>
      </c>
      <c r="B5171" s="1">
        <v>44917</v>
      </c>
      <c r="C5171">
        <v>55176</v>
      </c>
      <c r="D5171" t="s">
        <v>40</v>
      </c>
      <c r="E5171" t="s">
        <v>115</v>
      </c>
      <c r="F5171" t="s">
        <v>116</v>
      </c>
      <c r="G5171">
        <v>4</v>
      </c>
      <c r="H5171">
        <v>9.74</v>
      </c>
      <c r="I5171">
        <v>0.25</v>
      </c>
      <c r="J5171">
        <v>29.22</v>
      </c>
      <c r="K5171" t="s">
        <v>36</v>
      </c>
      <c r="L5171" t="s">
        <v>37</v>
      </c>
      <c r="M5171" t="s">
        <v>24</v>
      </c>
    </row>
    <row r="5172" spans="1:13" x14ac:dyDescent="0.2">
      <c r="A5172">
        <v>955443</v>
      </c>
      <c r="B5172" s="1">
        <v>44821</v>
      </c>
      <c r="C5172">
        <v>50917</v>
      </c>
      <c r="D5172" t="s">
        <v>44</v>
      </c>
      <c r="E5172" t="s">
        <v>93</v>
      </c>
      <c r="F5172" t="s">
        <v>94</v>
      </c>
      <c r="G5172">
        <v>2</v>
      </c>
      <c r="H5172">
        <v>1.29</v>
      </c>
      <c r="J5172">
        <v>2.58</v>
      </c>
      <c r="K5172" t="s">
        <v>95</v>
      </c>
      <c r="L5172" t="s">
        <v>17</v>
      </c>
      <c r="M5172" t="s">
        <v>123</v>
      </c>
    </row>
    <row r="5173" spans="1:13" x14ac:dyDescent="0.2">
      <c r="A5173">
        <v>955737</v>
      </c>
      <c r="B5173" s="1">
        <v>44671</v>
      </c>
      <c r="C5173">
        <v>56207</v>
      </c>
      <c r="D5173" t="s">
        <v>85</v>
      </c>
      <c r="E5173" t="s">
        <v>145</v>
      </c>
      <c r="F5173" t="s">
        <v>146</v>
      </c>
      <c r="G5173">
        <v>2</v>
      </c>
      <c r="H5173">
        <v>16.989999999999998</v>
      </c>
      <c r="J5173">
        <v>33.979999999999997</v>
      </c>
      <c r="K5173" t="s">
        <v>36</v>
      </c>
      <c r="L5173" t="s">
        <v>17</v>
      </c>
      <c r="M5173" t="s">
        <v>24</v>
      </c>
    </row>
    <row r="5174" spans="1:13" x14ac:dyDescent="0.2">
      <c r="A5174">
        <v>955830</v>
      </c>
      <c r="B5174" s="1">
        <v>44983</v>
      </c>
      <c r="C5174">
        <v>83837</v>
      </c>
      <c r="D5174" t="s">
        <v>82</v>
      </c>
      <c r="E5174" t="s">
        <v>83</v>
      </c>
      <c r="F5174" t="s">
        <v>84</v>
      </c>
      <c r="G5174">
        <v>5</v>
      </c>
      <c r="H5174">
        <v>16.989999999999998</v>
      </c>
      <c r="J5174">
        <v>84.95</v>
      </c>
      <c r="K5174" t="s">
        <v>95</v>
      </c>
      <c r="L5174" t="s">
        <v>37</v>
      </c>
      <c r="M5174" t="s">
        <v>43</v>
      </c>
    </row>
    <row r="5175" spans="1:13" x14ac:dyDescent="0.2">
      <c r="A5175">
        <v>956197</v>
      </c>
      <c r="B5175" s="1">
        <v>44924</v>
      </c>
      <c r="C5175">
        <v>55504</v>
      </c>
      <c r="D5175" t="s">
        <v>48</v>
      </c>
      <c r="E5175" t="s">
        <v>179</v>
      </c>
      <c r="F5175" t="s">
        <v>180</v>
      </c>
      <c r="G5175">
        <v>1</v>
      </c>
      <c r="H5175">
        <v>11.99</v>
      </c>
      <c r="J5175">
        <v>11.99</v>
      </c>
      <c r="K5175" t="s">
        <v>36</v>
      </c>
      <c r="L5175" t="s">
        <v>17</v>
      </c>
      <c r="M5175" t="s">
        <v>62</v>
      </c>
    </row>
    <row r="5176" spans="1:13" x14ac:dyDescent="0.2">
      <c r="A5176">
        <v>956406</v>
      </c>
      <c r="B5176" s="1">
        <v>44689</v>
      </c>
      <c r="C5176">
        <v>39116</v>
      </c>
      <c r="D5176" t="s">
        <v>82</v>
      </c>
      <c r="E5176" t="s">
        <v>168</v>
      </c>
      <c r="F5176" t="s">
        <v>169</v>
      </c>
      <c r="G5176">
        <v>1</v>
      </c>
      <c r="H5176">
        <v>8.99</v>
      </c>
      <c r="J5176">
        <v>8.99</v>
      </c>
      <c r="K5176" t="s">
        <v>16</v>
      </c>
      <c r="L5176" t="s">
        <v>17</v>
      </c>
      <c r="M5176" t="s">
        <v>28</v>
      </c>
    </row>
    <row r="5177" spans="1:13" x14ac:dyDescent="0.2">
      <c r="A5177">
        <v>956675</v>
      </c>
      <c r="B5177" s="2">
        <v>45287</v>
      </c>
      <c r="C5177">
        <v>46379</v>
      </c>
      <c r="D5177" t="s">
        <v>85</v>
      </c>
      <c r="E5177" t="s">
        <v>149</v>
      </c>
      <c r="F5177" t="s">
        <v>150</v>
      </c>
      <c r="G5177">
        <v>1</v>
      </c>
      <c r="H5177">
        <v>16.989999999999998</v>
      </c>
      <c r="I5177">
        <v>0.15</v>
      </c>
      <c r="J5177">
        <v>14.44</v>
      </c>
      <c r="K5177" t="s">
        <v>16</v>
      </c>
      <c r="L5177" t="s">
        <v>17</v>
      </c>
      <c r="M5177" t="s">
        <v>47</v>
      </c>
    </row>
    <row r="5178" spans="1:13" x14ac:dyDescent="0.2">
      <c r="A5178">
        <v>956731</v>
      </c>
      <c r="B5178" s="1">
        <v>45115</v>
      </c>
      <c r="C5178">
        <v>57985</v>
      </c>
      <c r="D5178" t="s">
        <v>40</v>
      </c>
      <c r="E5178" t="s">
        <v>115</v>
      </c>
      <c r="F5178" t="s">
        <v>116</v>
      </c>
      <c r="G5178">
        <v>5</v>
      </c>
      <c r="H5178">
        <v>9.74</v>
      </c>
      <c r="I5178">
        <v>0.25</v>
      </c>
      <c r="J5178">
        <v>36.53</v>
      </c>
      <c r="K5178" t="s">
        <v>36</v>
      </c>
      <c r="L5178" t="s">
        <v>37</v>
      </c>
      <c r="M5178" t="s">
        <v>103</v>
      </c>
    </row>
    <row r="5179" spans="1:13" x14ac:dyDescent="0.2">
      <c r="A5179">
        <v>956764</v>
      </c>
      <c r="B5179" s="1">
        <v>44681</v>
      </c>
      <c r="C5179">
        <v>73040</v>
      </c>
      <c r="D5179" t="s">
        <v>44</v>
      </c>
      <c r="E5179" t="s">
        <v>162</v>
      </c>
      <c r="F5179" t="s">
        <v>163</v>
      </c>
      <c r="G5179">
        <v>5</v>
      </c>
      <c r="H5179">
        <v>6.39</v>
      </c>
      <c r="I5179">
        <v>0.2</v>
      </c>
      <c r="J5179">
        <v>25.56</v>
      </c>
      <c r="K5179" t="s">
        <v>16</v>
      </c>
      <c r="L5179" t="s">
        <v>17</v>
      </c>
    </row>
    <row r="5180" spans="1:13" x14ac:dyDescent="0.2">
      <c r="A5180">
        <v>956954</v>
      </c>
      <c r="B5180" s="1">
        <v>45653</v>
      </c>
      <c r="C5180">
        <v>37171</v>
      </c>
      <c r="D5180" t="s">
        <v>13</v>
      </c>
      <c r="E5180" t="s">
        <v>159</v>
      </c>
      <c r="F5180" t="s">
        <v>160</v>
      </c>
      <c r="G5180">
        <v>1</v>
      </c>
      <c r="H5180">
        <v>44.99</v>
      </c>
      <c r="J5180">
        <v>44.99</v>
      </c>
      <c r="K5180" t="s">
        <v>22</v>
      </c>
      <c r="L5180" t="s">
        <v>37</v>
      </c>
      <c r="M5180" t="s">
        <v>120</v>
      </c>
    </row>
    <row r="5181" spans="1:13" x14ac:dyDescent="0.2">
      <c r="A5181">
        <v>956982</v>
      </c>
      <c r="B5181" s="1">
        <v>44707</v>
      </c>
      <c r="C5181">
        <v>90774</v>
      </c>
      <c r="D5181" t="s">
        <v>19</v>
      </c>
      <c r="E5181" t="s">
        <v>58</v>
      </c>
      <c r="F5181" t="s">
        <v>59</v>
      </c>
      <c r="G5181">
        <v>3</v>
      </c>
      <c r="H5181">
        <v>3.79</v>
      </c>
      <c r="I5181">
        <v>0.05</v>
      </c>
      <c r="J5181">
        <v>10.8</v>
      </c>
      <c r="K5181" t="s">
        <v>53</v>
      </c>
      <c r="L5181" t="s">
        <v>37</v>
      </c>
      <c r="M5181" t="s">
        <v>103</v>
      </c>
    </row>
    <row r="5182" spans="1:13" x14ac:dyDescent="0.2">
      <c r="A5182">
        <v>957053</v>
      </c>
      <c r="B5182" s="1">
        <v>44801</v>
      </c>
      <c r="C5182">
        <v>41415</v>
      </c>
      <c r="D5182" t="s">
        <v>25</v>
      </c>
      <c r="E5182" t="s">
        <v>26</v>
      </c>
      <c r="F5182" t="s">
        <v>27</v>
      </c>
      <c r="G5182">
        <v>3</v>
      </c>
      <c r="H5182">
        <v>27.99</v>
      </c>
      <c r="I5182">
        <v>0.2</v>
      </c>
      <c r="J5182">
        <v>67.180000000000007</v>
      </c>
      <c r="K5182" t="s">
        <v>66</v>
      </c>
      <c r="L5182" t="s">
        <v>37</v>
      </c>
      <c r="M5182" t="s">
        <v>123</v>
      </c>
    </row>
    <row r="5183" spans="1:13" x14ac:dyDescent="0.2">
      <c r="A5183">
        <v>957079</v>
      </c>
      <c r="B5183" s="1">
        <v>45558</v>
      </c>
      <c r="C5183">
        <v>81550</v>
      </c>
      <c r="D5183" t="s">
        <v>97</v>
      </c>
      <c r="E5183" t="s">
        <v>165</v>
      </c>
      <c r="F5183" t="s">
        <v>166</v>
      </c>
      <c r="G5183">
        <v>5</v>
      </c>
      <c r="H5183">
        <v>85.49</v>
      </c>
      <c r="I5183">
        <v>0.05</v>
      </c>
      <c r="J5183">
        <v>406.08</v>
      </c>
      <c r="K5183" t="s">
        <v>95</v>
      </c>
      <c r="L5183" t="s">
        <v>17</v>
      </c>
      <c r="M5183" t="s">
        <v>47</v>
      </c>
    </row>
    <row r="5184" spans="1:13" x14ac:dyDescent="0.2">
      <c r="A5184">
        <v>957180</v>
      </c>
      <c r="B5184" s="1">
        <v>44946</v>
      </c>
      <c r="C5184">
        <v>52330</v>
      </c>
      <c r="D5184" t="s">
        <v>48</v>
      </c>
      <c r="E5184" t="s">
        <v>118</v>
      </c>
      <c r="F5184" t="s">
        <v>119</v>
      </c>
      <c r="G5184">
        <v>1</v>
      </c>
      <c r="H5184">
        <v>4.74</v>
      </c>
      <c r="I5184">
        <v>0.05</v>
      </c>
      <c r="J5184">
        <v>4.5</v>
      </c>
      <c r="K5184" t="s">
        <v>16</v>
      </c>
      <c r="L5184" t="s">
        <v>17</v>
      </c>
      <c r="M5184" t="s">
        <v>117</v>
      </c>
    </row>
    <row r="5185" spans="1:13" x14ac:dyDescent="0.2">
      <c r="A5185">
        <v>957233</v>
      </c>
      <c r="B5185" s="1">
        <v>44906</v>
      </c>
      <c r="C5185">
        <v>45195</v>
      </c>
      <c r="D5185" t="s">
        <v>85</v>
      </c>
      <c r="E5185" t="s">
        <v>86</v>
      </c>
      <c r="F5185" t="s">
        <v>87</v>
      </c>
      <c r="G5185">
        <v>5</v>
      </c>
      <c r="H5185">
        <v>12.34</v>
      </c>
      <c r="I5185">
        <v>0.05</v>
      </c>
      <c r="J5185">
        <v>58.62</v>
      </c>
      <c r="K5185" t="s">
        <v>36</v>
      </c>
      <c r="L5185" t="s">
        <v>37</v>
      </c>
      <c r="M5185" t="s">
        <v>117</v>
      </c>
    </row>
    <row r="5186" spans="1:13" x14ac:dyDescent="0.2">
      <c r="A5186">
        <v>957279</v>
      </c>
      <c r="B5186" s="1">
        <v>44580</v>
      </c>
      <c r="C5186">
        <v>21884</v>
      </c>
      <c r="D5186" t="s">
        <v>97</v>
      </c>
      <c r="E5186" t="s">
        <v>135</v>
      </c>
      <c r="F5186" t="s">
        <v>136</v>
      </c>
      <c r="G5186">
        <v>2</v>
      </c>
      <c r="H5186">
        <v>7.49</v>
      </c>
      <c r="I5186">
        <v>0.25</v>
      </c>
      <c r="J5186">
        <v>11.24</v>
      </c>
      <c r="K5186" t="s">
        <v>22</v>
      </c>
      <c r="L5186" t="s">
        <v>17</v>
      </c>
      <c r="M5186" t="s">
        <v>28</v>
      </c>
    </row>
    <row r="5187" spans="1:13" x14ac:dyDescent="0.2">
      <c r="A5187">
        <v>957588</v>
      </c>
      <c r="B5187" s="1">
        <v>45173</v>
      </c>
      <c r="C5187">
        <v>40121</v>
      </c>
      <c r="D5187" t="s">
        <v>85</v>
      </c>
      <c r="E5187" t="s">
        <v>153</v>
      </c>
      <c r="F5187" t="s">
        <v>154</v>
      </c>
      <c r="G5187">
        <v>5</v>
      </c>
      <c r="H5187">
        <v>28.49</v>
      </c>
      <c r="I5187">
        <v>0.05</v>
      </c>
      <c r="J5187">
        <v>135.33000000000001</v>
      </c>
      <c r="K5187" t="s">
        <v>36</v>
      </c>
      <c r="L5187" t="s">
        <v>17</v>
      </c>
      <c r="M5187" t="s">
        <v>90</v>
      </c>
    </row>
    <row r="5188" spans="1:13" x14ac:dyDescent="0.2">
      <c r="A5188">
        <v>957631</v>
      </c>
      <c r="B5188" s="2">
        <v>44879</v>
      </c>
      <c r="C5188">
        <v>52388</v>
      </c>
      <c r="D5188" t="s">
        <v>44</v>
      </c>
      <c r="E5188" t="s">
        <v>91</v>
      </c>
      <c r="F5188" t="s">
        <v>92</v>
      </c>
      <c r="G5188">
        <v>1</v>
      </c>
      <c r="H5188">
        <v>5.66</v>
      </c>
      <c r="I5188">
        <v>0.1</v>
      </c>
      <c r="J5188">
        <v>5.09</v>
      </c>
      <c r="K5188" t="s">
        <v>36</v>
      </c>
      <c r="L5188" t="s">
        <v>37</v>
      </c>
      <c r="M5188" t="s">
        <v>120</v>
      </c>
    </row>
    <row r="5189" spans="1:13" x14ac:dyDescent="0.2">
      <c r="A5189">
        <v>957868</v>
      </c>
      <c r="B5189" s="1">
        <v>45555</v>
      </c>
      <c r="C5189">
        <v>21617</v>
      </c>
      <c r="D5189" t="s">
        <v>25</v>
      </c>
      <c r="E5189" t="s">
        <v>70</v>
      </c>
      <c r="F5189" t="s">
        <v>71</v>
      </c>
      <c r="G5189">
        <v>1</v>
      </c>
      <c r="H5189">
        <v>85.49</v>
      </c>
      <c r="I5189">
        <v>0.05</v>
      </c>
      <c r="J5189">
        <v>81.22</v>
      </c>
      <c r="K5189" t="s">
        <v>16</v>
      </c>
      <c r="L5189" t="s">
        <v>37</v>
      </c>
      <c r="M5189" t="s">
        <v>33</v>
      </c>
    </row>
    <row r="5190" spans="1:13" x14ac:dyDescent="0.2">
      <c r="A5190">
        <v>957948</v>
      </c>
      <c r="B5190" s="1">
        <v>45610</v>
      </c>
      <c r="C5190">
        <v>10518</v>
      </c>
      <c r="D5190" t="s">
        <v>82</v>
      </c>
      <c r="E5190" t="s">
        <v>188</v>
      </c>
      <c r="F5190" t="s">
        <v>189</v>
      </c>
      <c r="G5190">
        <v>5</v>
      </c>
      <c r="H5190">
        <v>38.24</v>
      </c>
      <c r="I5190">
        <v>0.15</v>
      </c>
      <c r="J5190">
        <v>162.52000000000001</v>
      </c>
      <c r="K5190" t="s">
        <v>16</v>
      </c>
      <c r="L5190" t="s">
        <v>23</v>
      </c>
      <c r="M5190" t="s">
        <v>67</v>
      </c>
    </row>
    <row r="5191" spans="1:13" x14ac:dyDescent="0.2">
      <c r="A5191">
        <v>958119</v>
      </c>
      <c r="B5191" s="2">
        <v>45573</v>
      </c>
      <c r="C5191">
        <v>28023</v>
      </c>
      <c r="D5191" t="s">
        <v>29</v>
      </c>
      <c r="E5191" t="s">
        <v>170</v>
      </c>
      <c r="F5191" t="s">
        <v>171</v>
      </c>
      <c r="G5191">
        <v>1</v>
      </c>
      <c r="H5191">
        <v>13.49</v>
      </c>
      <c r="I5191">
        <v>0.1</v>
      </c>
      <c r="J5191">
        <v>12.14</v>
      </c>
      <c r="K5191" t="s">
        <v>36</v>
      </c>
      <c r="L5191" t="s">
        <v>37</v>
      </c>
      <c r="M5191" t="s">
        <v>96</v>
      </c>
    </row>
    <row r="5192" spans="1:13" x14ac:dyDescent="0.2">
      <c r="A5192">
        <v>958416</v>
      </c>
      <c r="B5192" s="1">
        <v>45348</v>
      </c>
      <c r="C5192">
        <v>67786</v>
      </c>
      <c r="D5192" t="s">
        <v>13</v>
      </c>
      <c r="E5192" t="s">
        <v>127</v>
      </c>
      <c r="F5192" t="s">
        <v>128</v>
      </c>
      <c r="G5192">
        <v>1</v>
      </c>
      <c r="H5192">
        <v>19.989999999999998</v>
      </c>
      <c r="J5192">
        <v>19.989999999999998</v>
      </c>
      <c r="K5192" t="s">
        <v>36</v>
      </c>
      <c r="L5192" t="s">
        <v>17</v>
      </c>
    </row>
    <row r="5193" spans="1:13" x14ac:dyDescent="0.2">
      <c r="A5193">
        <v>958694</v>
      </c>
      <c r="B5193" s="2">
        <v>45114</v>
      </c>
      <c r="C5193">
        <v>32232</v>
      </c>
      <c r="D5193" t="s">
        <v>40</v>
      </c>
      <c r="E5193" t="s">
        <v>20</v>
      </c>
      <c r="F5193" t="s">
        <v>21</v>
      </c>
      <c r="G5193">
        <v>1</v>
      </c>
      <c r="H5193">
        <v>7.49</v>
      </c>
      <c r="I5193">
        <v>0.25</v>
      </c>
      <c r="J5193">
        <v>5.62</v>
      </c>
      <c r="K5193" t="s">
        <v>53</v>
      </c>
      <c r="L5193" t="s">
        <v>37</v>
      </c>
      <c r="M5193" t="s">
        <v>102</v>
      </c>
    </row>
    <row r="5194" spans="1:13" x14ac:dyDescent="0.2">
      <c r="A5194">
        <v>958754</v>
      </c>
      <c r="B5194" s="1">
        <v>45001</v>
      </c>
      <c r="C5194">
        <v>78258</v>
      </c>
      <c r="D5194" t="s">
        <v>29</v>
      </c>
      <c r="E5194" t="s">
        <v>38</v>
      </c>
      <c r="F5194" t="s">
        <v>39</v>
      </c>
      <c r="G5194">
        <v>1</v>
      </c>
      <c r="H5194">
        <v>29.99</v>
      </c>
      <c r="J5194">
        <v>29.99</v>
      </c>
      <c r="K5194" t="s">
        <v>16</v>
      </c>
      <c r="L5194" t="s">
        <v>17</v>
      </c>
      <c r="M5194" t="s">
        <v>24</v>
      </c>
    </row>
    <row r="5195" spans="1:13" x14ac:dyDescent="0.2">
      <c r="A5195">
        <v>958762</v>
      </c>
      <c r="B5195" s="1">
        <v>44788</v>
      </c>
      <c r="C5195">
        <v>93501</v>
      </c>
      <c r="D5195" t="s">
        <v>85</v>
      </c>
      <c r="E5195" t="s">
        <v>145</v>
      </c>
      <c r="F5195" t="s">
        <v>146</v>
      </c>
      <c r="G5195">
        <v>3</v>
      </c>
      <c r="H5195">
        <v>12.74</v>
      </c>
      <c r="I5195">
        <v>0.25</v>
      </c>
      <c r="J5195">
        <v>28.66</v>
      </c>
      <c r="K5195" t="s">
        <v>36</v>
      </c>
      <c r="L5195" t="s">
        <v>37</v>
      </c>
      <c r="M5195" t="s">
        <v>123</v>
      </c>
    </row>
    <row r="5196" spans="1:13" x14ac:dyDescent="0.2">
      <c r="A5196">
        <v>959061</v>
      </c>
      <c r="B5196" s="1">
        <v>45355</v>
      </c>
      <c r="C5196">
        <v>20263</v>
      </c>
      <c r="D5196" t="s">
        <v>63</v>
      </c>
      <c r="E5196" t="s">
        <v>111</v>
      </c>
      <c r="F5196" t="s">
        <v>112</v>
      </c>
      <c r="G5196">
        <v>2</v>
      </c>
      <c r="H5196">
        <v>11.99</v>
      </c>
      <c r="I5196">
        <v>0.2</v>
      </c>
      <c r="J5196">
        <v>19.18</v>
      </c>
      <c r="K5196" t="s">
        <v>36</v>
      </c>
      <c r="L5196" t="s">
        <v>17</v>
      </c>
      <c r="M5196" t="s">
        <v>103</v>
      </c>
    </row>
    <row r="5197" spans="1:13" x14ac:dyDescent="0.2">
      <c r="A5197">
        <v>959335</v>
      </c>
      <c r="B5197" s="1">
        <v>44929</v>
      </c>
      <c r="C5197">
        <v>89594</v>
      </c>
      <c r="D5197" t="s">
        <v>40</v>
      </c>
      <c r="E5197" t="s">
        <v>20</v>
      </c>
      <c r="F5197" t="s">
        <v>21</v>
      </c>
      <c r="G5197">
        <v>2</v>
      </c>
      <c r="H5197">
        <v>9.99</v>
      </c>
      <c r="J5197">
        <v>19.98</v>
      </c>
      <c r="K5197" t="s">
        <v>36</v>
      </c>
      <c r="L5197" t="s">
        <v>17</v>
      </c>
      <c r="M5197" t="s">
        <v>103</v>
      </c>
    </row>
    <row r="5198" spans="1:13" x14ac:dyDescent="0.2">
      <c r="A5198">
        <v>959586</v>
      </c>
      <c r="B5198" s="1">
        <v>44783</v>
      </c>
      <c r="D5198" t="s">
        <v>82</v>
      </c>
      <c r="E5198" t="s">
        <v>100</v>
      </c>
      <c r="F5198" t="s">
        <v>101</v>
      </c>
      <c r="G5198">
        <v>1</v>
      </c>
      <c r="H5198">
        <v>22.99</v>
      </c>
      <c r="J5198">
        <v>22.99</v>
      </c>
      <c r="K5198" t="s">
        <v>22</v>
      </c>
      <c r="L5198" t="s">
        <v>17</v>
      </c>
      <c r="M5198" t="s">
        <v>123</v>
      </c>
    </row>
    <row r="5199" spans="1:13" x14ac:dyDescent="0.2">
      <c r="A5199">
        <v>959662</v>
      </c>
      <c r="B5199" s="1">
        <v>45324</v>
      </c>
      <c r="C5199">
        <v>57293</v>
      </c>
      <c r="D5199" t="s">
        <v>82</v>
      </c>
      <c r="E5199" t="s">
        <v>100</v>
      </c>
      <c r="F5199" t="s">
        <v>101</v>
      </c>
      <c r="G5199">
        <v>2</v>
      </c>
      <c r="H5199">
        <v>22.99</v>
      </c>
      <c r="J5199">
        <v>45.98</v>
      </c>
      <c r="K5199" t="s">
        <v>22</v>
      </c>
      <c r="L5199" t="s">
        <v>37</v>
      </c>
      <c r="M5199" t="s">
        <v>120</v>
      </c>
    </row>
    <row r="5200" spans="1:13" x14ac:dyDescent="0.2">
      <c r="A5200">
        <v>959755</v>
      </c>
      <c r="B5200" s="1">
        <v>45126</v>
      </c>
      <c r="C5200">
        <v>72752</v>
      </c>
      <c r="D5200" t="s">
        <v>97</v>
      </c>
      <c r="E5200" t="s">
        <v>141</v>
      </c>
      <c r="F5200" t="s">
        <v>142</v>
      </c>
      <c r="G5200">
        <v>2</v>
      </c>
      <c r="H5200">
        <v>22.99</v>
      </c>
      <c r="J5200">
        <v>45.98</v>
      </c>
      <c r="K5200" t="s">
        <v>16</v>
      </c>
      <c r="L5200" t="s">
        <v>17</v>
      </c>
      <c r="M5200" t="s">
        <v>81</v>
      </c>
    </row>
    <row r="5201" spans="1:13" x14ac:dyDescent="0.2">
      <c r="A5201">
        <v>960099</v>
      </c>
      <c r="B5201" s="1">
        <v>44833</v>
      </c>
      <c r="C5201">
        <v>53437</v>
      </c>
      <c r="D5201" t="s">
        <v>44</v>
      </c>
      <c r="E5201" t="s">
        <v>45</v>
      </c>
      <c r="F5201" t="s">
        <v>46</v>
      </c>
      <c r="G5201">
        <v>2</v>
      </c>
      <c r="H5201">
        <v>1.34</v>
      </c>
      <c r="I5201">
        <v>0.25</v>
      </c>
      <c r="J5201">
        <v>2.0099999999999998</v>
      </c>
      <c r="K5201" t="s">
        <v>53</v>
      </c>
      <c r="L5201" t="s">
        <v>17</v>
      </c>
      <c r="M5201" t="s">
        <v>81</v>
      </c>
    </row>
    <row r="5202" spans="1:13" x14ac:dyDescent="0.2">
      <c r="A5202">
        <v>960176</v>
      </c>
      <c r="B5202" s="1">
        <v>44630</v>
      </c>
      <c r="C5202">
        <v>15410</v>
      </c>
      <c r="D5202" t="s">
        <v>85</v>
      </c>
      <c r="E5202" t="s">
        <v>149</v>
      </c>
      <c r="F5202" t="s">
        <v>150</v>
      </c>
      <c r="G5202">
        <v>1</v>
      </c>
      <c r="H5202">
        <v>17.989999999999998</v>
      </c>
      <c r="I5202">
        <v>0.1</v>
      </c>
      <c r="J5202">
        <v>16.190000000000001</v>
      </c>
      <c r="K5202" t="s">
        <v>22</v>
      </c>
      <c r="L5202" t="s">
        <v>17</v>
      </c>
      <c r="M5202" t="s">
        <v>54</v>
      </c>
    </row>
    <row r="5203" spans="1:13" x14ac:dyDescent="0.2">
      <c r="A5203">
        <v>960197</v>
      </c>
      <c r="B5203" s="1">
        <v>45155</v>
      </c>
      <c r="C5203">
        <v>44083</v>
      </c>
      <c r="D5203" t="s">
        <v>63</v>
      </c>
      <c r="E5203" t="s">
        <v>125</v>
      </c>
      <c r="F5203" t="s">
        <v>126</v>
      </c>
      <c r="G5203">
        <v>1</v>
      </c>
      <c r="H5203">
        <v>20.99</v>
      </c>
      <c r="J5203">
        <v>20.99</v>
      </c>
      <c r="K5203" t="s">
        <v>95</v>
      </c>
      <c r="L5203" t="s">
        <v>23</v>
      </c>
      <c r="M5203" t="s">
        <v>62</v>
      </c>
    </row>
    <row r="5204" spans="1:13" x14ac:dyDescent="0.2">
      <c r="A5204">
        <v>960301</v>
      </c>
      <c r="B5204" s="1">
        <v>45481</v>
      </c>
      <c r="C5204">
        <v>56456</v>
      </c>
      <c r="D5204" t="s">
        <v>13</v>
      </c>
      <c r="E5204" t="s">
        <v>104</v>
      </c>
      <c r="F5204" t="s">
        <v>105</v>
      </c>
      <c r="G5204">
        <v>4</v>
      </c>
      <c r="H5204">
        <v>26.99</v>
      </c>
      <c r="I5204">
        <v>0.1</v>
      </c>
      <c r="J5204">
        <v>97.16</v>
      </c>
      <c r="K5204" t="s">
        <v>95</v>
      </c>
      <c r="L5204" t="s">
        <v>37</v>
      </c>
      <c r="M5204" t="s">
        <v>81</v>
      </c>
    </row>
    <row r="5205" spans="1:13" x14ac:dyDescent="0.2">
      <c r="A5205">
        <v>960376</v>
      </c>
      <c r="B5205" s="1">
        <v>45099</v>
      </c>
      <c r="C5205">
        <v>57523</v>
      </c>
      <c r="D5205" t="s">
        <v>63</v>
      </c>
      <c r="E5205" t="s">
        <v>64</v>
      </c>
      <c r="F5205" t="s">
        <v>65</v>
      </c>
      <c r="G5205">
        <v>1</v>
      </c>
      <c r="H5205">
        <v>4.99</v>
      </c>
      <c r="J5205">
        <v>4.99</v>
      </c>
      <c r="K5205" t="s">
        <v>22</v>
      </c>
      <c r="L5205" t="s">
        <v>17</v>
      </c>
      <c r="M5205" t="s">
        <v>28</v>
      </c>
    </row>
    <row r="5206" spans="1:13" x14ac:dyDescent="0.2">
      <c r="A5206">
        <v>960467</v>
      </c>
      <c r="B5206" s="1">
        <v>45569</v>
      </c>
      <c r="C5206">
        <v>12586</v>
      </c>
      <c r="D5206" t="s">
        <v>44</v>
      </c>
      <c r="E5206" t="s">
        <v>74</v>
      </c>
      <c r="F5206" t="s">
        <v>75</v>
      </c>
      <c r="G5206">
        <v>3</v>
      </c>
      <c r="H5206">
        <v>2.39</v>
      </c>
      <c r="I5206">
        <v>0.2</v>
      </c>
      <c r="J5206">
        <v>5.74</v>
      </c>
      <c r="K5206" t="s">
        <v>16</v>
      </c>
      <c r="L5206" t="s">
        <v>17</v>
      </c>
      <c r="M5206" t="s">
        <v>123</v>
      </c>
    </row>
    <row r="5207" spans="1:13" x14ac:dyDescent="0.2">
      <c r="A5207">
        <v>960646</v>
      </c>
      <c r="B5207" s="1">
        <v>45371</v>
      </c>
      <c r="C5207">
        <v>11424</v>
      </c>
      <c r="D5207" t="s">
        <v>13</v>
      </c>
      <c r="E5207" t="s">
        <v>127</v>
      </c>
      <c r="F5207" t="s">
        <v>128</v>
      </c>
      <c r="G5207">
        <v>1</v>
      </c>
      <c r="H5207">
        <v>14.99</v>
      </c>
      <c r="I5207">
        <v>0.25</v>
      </c>
      <c r="J5207">
        <v>11.24</v>
      </c>
      <c r="K5207" t="s">
        <v>16</v>
      </c>
      <c r="L5207" t="s">
        <v>17</v>
      </c>
      <c r="M5207" t="s">
        <v>43</v>
      </c>
    </row>
    <row r="5208" spans="1:13" x14ac:dyDescent="0.2">
      <c r="A5208">
        <v>960811</v>
      </c>
      <c r="B5208" s="1">
        <v>45393</v>
      </c>
      <c r="C5208">
        <v>86703</v>
      </c>
      <c r="D5208" t="s">
        <v>124</v>
      </c>
      <c r="E5208" t="s">
        <v>125</v>
      </c>
      <c r="F5208" t="s">
        <v>126</v>
      </c>
      <c r="G5208">
        <v>3</v>
      </c>
      <c r="H5208">
        <v>22.49</v>
      </c>
      <c r="I5208">
        <v>0.25</v>
      </c>
      <c r="J5208">
        <v>50.6</v>
      </c>
      <c r="K5208" t="s">
        <v>22</v>
      </c>
      <c r="L5208" t="s">
        <v>37</v>
      </c>
      <c r="M5208" t="s">
        <v>28</v>
      </c>
    </row>
    <row r="5209" spans="1:13" x14ac:dyDescent="0.2">
      <c r="A5209">
        <v>960848</v>
      </c>
      <c r="B5209" s="2">
        <v>45512</v>
      </c>
      <c r="C5209">
        <v>30862</v>
      </c>
      <c r="D5209" t="s">
        <v>40</v>
      </c>
      <c r="E5209" t="s">
        <v>197</v>
      </c>
      <c r="F5209" t="s">
        <v>198</v>
      </c>
      <c r="G5209">
        <v>2</v>
      </c>
      <c r="H5209">
        <v>14.99</v>
      </c>
      <c r="J5209">
        <v>29.98</v>
      </c>
      <c r="K5209" t="s">
        <v>16</v>
      </c>
      <c r="L5209" t="s">
        <v>37</v>
      </c>
      <c r="M5209" t="s">
        <v>43</v>
      </c>
    </row>
    <row r="5210" spans="1:13" x14ac:dyDescent="0.2">
      <c r="A5210">
        <v>960899</v>
      </c>
      <c r="B5210" s="1">
        <v>45353</v>
      </c>
      <c r="C5210">
        <v>51842</v>
      </c>
      <c r="D5210" t="s">
        <v>82</v>
      </c>
      <c r="E5210" t="s">
        <v>147</v>
      </c>
      <c r="F5210" t="s">
        <v>148</v>
      </c>
      <c r="G5210">
        <v>4</v>
      </c>
      <c r="H5210">
        <v>11.04</v>
      </c>
      <c r="J5210">
        <v>44.16</v>
      </c>
      <c r="K5210" t="s">
        <v>36</v>
      </c>
      <c r="L5210" t="s">
        <v>17</v>
      </c>
      <c r="M5210" t="s">
        <v>76</v>
      </c>
    </row>
    <row r="5211" spans="1:13" x14ac:dyDescent="0.2">
      <c r="A5211">
        <v>961055</v>
      </c>
      <c r="B5211" s="1">
        <v>45149</v>
      </c>
      <c r="C5211">
        <v>52774</v>
      </c>
      <c r="D5211" t="s">
        <v>85</v>
      </c>
      <c r="E5211" t="s">
        <v>145</v>
      </c>
      <c r="F5211" t="s">
        <v>146</v>
      </c>
      <c r="G5211">
        <v>1</v>
      </c>
      <c r="H5211">
        <v>16.989999999999998</v>
      </c>
      <c r="J5211">
        <v>16.989999999999998</v>
      </c>
      <c r="K5211" t="s">
        <v>16</v>
      </c>
      <c r="L5211" t="s">
        <v>17</v>
      </c>
      <c r="M5211" t="s">
        <v>43</v>
      </c>
    </row>
    <row r="5212" spans="1:13" x14ac:dyDescent="0.2">
      <c r="A5212">
        <v>961227</v>
      </c>
      <c r="B5212" s="2">
        <v>45035</v>
      </c>
      <c r="D5212" t="s">
        <v>40</v>
      </c>
      <c r="E5212" t="s">
        <v>58</v>
      </c>
      <c r="F5212" t="s">
        <v>59</v>
      </c>
      <c r="G5212">
        <v>3</v>
      </c>
      <c r="H5212">
        <v>3.19</v>
      </c>
      <c r="I5212">
        <v>0.2</v>
      </c>
      <c r="J5212">
        <v>7.66</v>
      </c>
      <c r="K5212" t="s">
        <v>36</v>
      </c>
      <c r="L5212" t="s">
        <v>17</v>
      </c>
      <c r="M5212" t="s">
        <v>120</v>
      </c>
    </row>
    <row r="5213" spans="1:13" x14ac:dyDescent="0.2">
      <c r="A5213">
        <v>961308</v>
      </c>
      <c r="B5213" s="1">
        <v>44591</v>
      </c>
      <c r="C5213">
        <v>74588</v>
      </c>
      <c r="D5213" t="s">
        <v>63</v>
      </c>
      <c r="E5213" t="s">
        <v>111</v>
      </c>
      <c r="F5213" t="s">
        <v>112</v>
      </c>
      <c r="G5213">
        <v>2</v>
      </c>
      <c r="H5213">
        <v>14.99</v>
      </c>
      <c r="J5213">
        <v>29.98</v>
      </c>
      <c r="K5213" t="s">
        <v>16</v>
      </c>
      <c r="L5213" t="s">
        <v>37</v>
      </c>
      <c r="M5213" t="s">
        <v>161</v>
      </c>
    </row>
    <row r="5214" spans="1:13" x14ac:dyDescent="0.2">
      <c r="A5214">
        <v>961375</v>
      </c>
      <c r="B5214" s="2">
        <v>45060</v>
      </c>
      <c r="C5214">
        <v>62064</v>
      </c>
      <c r="D5214" t="s">
        <v>40</v>
      </c>
      <c r="E5214" t="s">
        <v>197</v>
      </c>
      <c r="F5214" t="s">
        <v>198</v>
      </c>
      <c r="G5214">
        <v>3</v>
      </c>
      <c r="H5214">
        <v>10.49</v>
      </c>
      <c r="I5214">
        <v>0.3</v>
      </c>
      <c r="J5214">
        <v>22.03</v>
      </c>
      <c r="K5214" t="s">
        <v>36</v>
      </c>
      <c r="L5214" t="s">
        <v>17</v>
      </c>
      <c r="M5214" t="s">
        <v>43</v>
      </c>
    </row>
    <row r="5215" spans="1:13" x14ac:dyDescent="0.2">
      <c r="A5215">
        <v>961529</v>
      </c>
      <c r="B5215" s="1">
        <v>44879</v>
      </c>
      <c r="C5215">
        <v>87577</v>
      </c>
      <c r="D5215" t="s">
        <v>44</v>
      </c>
      <c r="E5215" t="s">
        <v>91</v>
      </c>
      <c r="F5215" t="s">
        <v>92</v>
      </c>
      <c r="G5215">
        <v>1</v>
      </c>
      <c r="H5215">
        <v>5.98</v>
      </c>
      <c r="I5215">
        <v>0.05</v>
      </c>
      <c r="J5215">
        <v>5.68</v>
      </c>
      <c r="K5215" t="s">
        <v>16</v>
      </c>
      <c r="L5215" t="s">
        <v>17</v>
      </c>
      <c r="M5215" t="s">
        <v>33</v>
      </c>
    </row>
    <row r="5216" spans="1:13" x14ac:dyDescent="0.2">
      <c r="A5216">
        <v>961561</v>
      </c>
      <c r="B5216" s="1">
        <v>44601</v>
      </c>
      <c r="C5216">
        <v>75150</v>
      </c>
      <c r="D5216" t="s">
        <v>40</v>
      </c>
      <c r="E5216" t="s">
        <v>58</v>
      </c>
      <c r="F5216" t="s">
        <v>59</v>
      </c>
      <c r="G5216">
        <v>5</v>
      </c>
      <c r="H5216">
        <v>2.79</v>
      </c>
      <c r="I5216">
        <v>0.3</v>
      </c>
      <c r="J5216">
        <v>9.76</v>
      </c>
      <c r="K5216" t="s">
        <v>16</v>
      </c>
      <c r="L5216" t="s">
        <v>37</v>
      </c>
      <c r="M5216" t="s">
        <v>102</v>
      </c>
    </row>
    <row r="5217" spans="1:13" x14ac:dyDescent="0.2">
      <c r="A5217">
        <v>961727</v>
      </c>
      <c r="B5217" s="1">
        <v>45631</v>
      </c>
      <c r="C5217">
        <v>79198</v>
      </c>
      <c r="D5217" t="s">
        <v>29</v>
      </c>
      <c r="E5217" t="s">
        <v>72</v>
      </c>
      <c r="F5217" t="s">
        <v>73</v>
      </c>
      <c r="G5217">
        <v>1</v>
      </c>
      <c r="H5217">
        <v>33.99</v>
      </c>
      <c r="I5217">
        <v>0.15</v>
      </c>
      <c r="J5217">
        <v>28.89</v>
      </c>
      <c r="K5217" t="s">
        <v>95</v>
      </c>
      <c r="L5217" t="s">
        <v>17</v>
      </c>
      <c r="M5217" t="s">
        <v>76</v>
      </c>
    </row>
    <row r="5218" spans="1:13" x14ac:dyDescent="0.2">
      <c r="A5218">
        <v>961889</v>
      </c>
      <c r="B5218" s="1">
        <v>44863</v>
      </c>
      <c r="C5218">
        <v>80206</v>
      </c>
      <c r="D5218" t="s">
        <v>13</v>
      </c>
      <c r="E5218" t="s">
        <v>127</v>
      </c>
      <c r="F5218" t="s">
        <v>128</v>
      </c>
      <c r="G5218">
        <v>2</v>
      </c>
      <c r="H5218">
        <v>19.989999999999998</v>
      </c>
      <c r="J5218">
        <v>39.979999999999997</v>
      </c>
      <c r="K5218" t="s">
        <v>16</v>
      </c>
      <c r="L5218" t="s">
        <v>17</v>
      </c>
      <c r="M5218" t="s">
        <v>28</v>
      </c>
    </row>
    <row r="5219" spans="1:13" x14ac:dyDescent="0.2">
      <c r="A5219">
        <v>962007</v>
      </c>
      <c r="B5219" s="1">
        <v>45022</v>
      </c>
      <c r="C5219">
        <v>18776</v>
      </c>
      <c r="D5219" t="s">
        <v>48</v>
      </c>
      <c r="E5219" t="s">
        <v>139</v>
      </c>
      <c r="F5219" t="s">
        <v>140</v>
      </c>
      <c r="G5219">
        <v>1</v>
      </c>
      <c r="H5219">
        <v>7.99</v>
      </c>
      <c r="J5219">
        <v>7.99</v>
      </c>
      <c r="K5219" t="s">
        <v>36</v>
      </c>
      <c r="L5219" t="s">
        <v>37</v>
      </c>
      <c r="M5219" t="s">
        <v>57</v>
      </c>
    </row>
    <row r="5220" spans="1:13" x14ac:dyDescent="0.2">
      <c r="A5220">
        <v>962236</v>
      </c>
      <c r="B5220" s="1">
        <v>45617</v>
      </c>
      <c r="C5220">
        <v>18107</v>
      </c>
      <c r="D5220" t="s">
        <v>63</v>
      </c>
      <c r="E5220" t="s">
        <v>131</v>
      </c>
      <c r="F5220" t="s">
        <v>132</v>
      </c>
      <c r="G5220">
        <v>2</v>
      </c>
      <c r="H5220">
        <v>3.49</v>
      </c>
      <c r="J5220">
        <v>6.98</v>
      </c>
      <c r="K5220" t="s">
        <v>95</v>
      </c>
      <c r="L5220" t="s">
        <v>23</v>
      </c>
      <c r="M5220" t="s">
        <v>117</v>
      </c>
    </row>
    <row r="5221" spans="1:13" x14ac:dyDescent="0.2">
      <c r="A5221">
        <v>962305</v>
      </c>
      <c r="B5221" s="1">
        <v>45499</v>
      </c>
      <c r="C5221">
        <v>86980</v>
      </c>
      <c r="D5221" t="s">
        <v>85</v>
      </c>
      <c r="E5221" t="s">
        <v>137</v>
      </c>
      <c r="F5221" t="s">
        <v>138</v>
      </c>
      <c r="G5221">
        <v>2</v>
      </c>
      <c r="H5221">
        <v>7.99</v>
      </c>
      <c r="J5221">
        <v>15.98</v>
      </c>
      <c r="K5221" t="s">
        <v>16</v>
      </c>
      <c r="L5221" t="s">
        <v>17</v>
      </c>
      <c r="M5221" t="s">
        <v>76</v>
      </c>
    </row>
    <row r="5222" spans="1:13" x14ac:dyDescent="0.2">
      <c r="A5222">
        <v>962341</v>
      </c>
      <c r="B5222" s="1">
        <v>45494</v>
      </c>
      <c r="C5222">
        <v>96864</v>
      </c>
      <c r="D5222" t="s">
        <v>85</v>
      </c>
      <c r="E5222" t="s">
        <v>129</v>
      </c>
      <c r="F5222" t="s">
        <v>130</v>
      </c>
      <c r="G5222">
        <v>4</v>
      </c>
      <c r="H5222">
        <v>6.74</v>
      </c>
      <c r="I5222">
        <v>0.25</v>
      </c>
      <c r="J5222">
        <v>20.22</v>
      </c>
      <c r="K5222" t="s">
        <v>16</v>
      </c>
      <c r="L5222" t="s">
        <v>17</v>
      </c>
      <c r="M5222" t="s">
        <v>96</v>
      </c>
    </row>
    <row r="5223" spans="1:13" x14ac:dyDescent="0.2">
      <c r="A5223">
        <v>962696</v>
      </c>
      <c r="B5223" s="1">
        <v>44994</v>
      </c>
      <c r="C5223">
        <v>32628</v>
      </c>
      <c r="D5223" t="s">
        <v>85</v>
      </c>
      <c r="E5223" t="s">
        <v>157</v>
      </c>
      <c r="F5223" t="s">
        <v>158</v>
      </c>
      <c r="G5223">
        <v>3</v>
      </c>
      <c r="H5223">
        <v>10.79</v>
      </c>
      <c r="I5223">
        <v>0.2</v>
      </c>
      <c r="J5223">
        <v>25.9</v>
      </c>
      <c r="K5223" t="s">
        <v>36</v>
      </c>
      <c r="L5223" t="s">
        <v>17</v>
      </c>
      <c r="M5223" t="s">
        <v>54</v>
      </c>
    </row>
    <row r="5224" spans="1:13" x14ac:dyDescent="0.2">
      <c r="A5224">
        <v>963034</v>
      </c>
      <c r="B5224" s="1">
        <v>45073</v>
      </c>
      <c r="C5224">
        <v>43808</v>
      </c>
      <c r="D5224" t="s">
        <v>97</v>
      </c>
      <c r="E5224" t="s">
        <v>135</v>
      </c>
      <c r="F5224" t="s">
        <v>136</v>
      </c>
      <c r="G5224">
        <v>5</v>
      </c>
      <c r="H5224">
        <v>8.49</v>
      </c>
      <c r="I5224">
        <v>0.15</v>
      </c>
      <c r="J5224">
        <v>36.08</v>
      </c>
      <c r="K5224" t="s">
        <v>22</v>
      </c>
      <c r="L5224" t="s">
        <v>17</v>
      </c>
      <c r="M5224" t="s">
        <v>47</v>
      </c>
    </row>
    <row r="5225" spans="1:13" x14ac:dyDescent="0.2">
      <c r="A5225">
        <v>963056</v>
      </c>
      <c r="B5225" s="1">
        <v>44724</v>
      </c>
      <c r="C5225">
        <v>78380</v>
      </c>
      <c r="D5225" t="s">
        <v>25</v>
      </c>
      <c r="E5225" t="s">
        <v>70</v>
      </c>
      <c r="F5225" t="s">
        <v>71</v>
      </c>
      <c r="G5225">
        <v>1</v>
      </c>
      <c r="H5225">
        <v>89.99</v>
      </c>
      <c r="J5225">
        <v>89.99</v>
      </c>
      <c r="K5225" t="s">
        <v>16</v>
      </c>
      <c r="L5225" t="s">
        <v>17</v>
      </c>
      <c r="M5225" t="s">
        <v>103</v>
      </c>
    </row>
    <row r="5226" spans="1:13" x14ac:dyDescent="0.2">
      <c r="A5226">
        <v>963149</v>
      </c>
      <c r="B5226" s="2">
        <v>44817</v>
      </c>
      <c r="C5226">
        <v>24407</v>
      </c>
      <c r="D5226" t="s">
        <v>82</v>
      </c>
      <c r="E5226" t="s">
        <v>83</v>
      </c>
      <c r="F5226" t="s">
        <v>84</v>
      </c>
      <c r="G5226">
        <v>1</v>
      </c>
      <c r="H5226">
        <v>16.989999999999998</v>
      </c>
      <c r="J5226">
        <v>16.989999999999998</v>
      </c>
      <c r="K5226" t="s">
        <v>16</v>
      </c>
      <c r="L5226" t="s">
        <v>17</v>
      </c>
      <c r="M5226" t="s">
        <v>28</v>
      </c>
    </row>
    <row r="5227" spans="1:13" x14ac:dyDescent="0.2">
      <c r="A5227">
        <v>963157</v>
      </c>
      <c r="B5227" s="1">
        <v>45579</v>
      </c>
      <c r="C5227">
        <v>58636</v>
      </c>
      <c r="D5227" t="s">
        <v>25</v>
      </c>
      <c r="E5227" t="s">
        <v>113</v>
      </c>
      <c r="F5227" t="s">
        <v>114</v>
      </c>
      <c r="G5227">
        <v>5</v>
      </c>
      <c r="H5227">
        <v>83.99</v>
      </c>
      <c r="J5227">
        <v>419.95</v>
      </c>
      <c r="K5227" t="s">
        <v>22</v>
      </c>
      <c r="L5227" t="s">
        <v>17</v>
      </c>
      <c r="M5227" t="s">
        <v>18</v>
      </c>
    </row>
    <row r="5228" spans="1:13" x14ac:dyDescent="0.2">
      <c r="A5228">
        <v>963318</v>
      </c>
      <c r="B5228" s="1">
        <v>44957</v>
      </c>
      <c r="D5228" t="s">
        <v>97</v>
      </c>
      <c r="E5228" t="s">
        <v>121</v>
      </c>
      <c r="F5228" t="s">
        <v>122</v>
      </c>
      <c r="G5228">
        <v>4</v>
      </c>
      <c r="H5228">
        <v>11.04</v>
      </c>
      <c r="I5228">
        <v>0.15</v>
      </c>
      <c r="J5228">
        <v>37.54</v>
      </c>
      <c r="K5228" t="s">
        <v>16</v>
      </c>
      <c r="L5228" t="s">
        <v>17</v>
      </c>
      <c r="M5228" t="s">
        <v>102</v>
      </c>
    </row>
    <row r="5229" spans="1:13" x14ac:dyDescent="0.2">
      <c r="A5229">
        <v>963451</v>
      </c>
      <c r="B5229" s="1">
        <v>45069</v>
      </c>
      <c r="C5229">
        <v>68400</v>
      </c>
      <c r="D5229" t="s">
        <v>82</v>
      </c>
      <c r="E5229" t="s">
        <v>155</v>
      </c>
      <c r="F5229" t="s">
        <v>156</v>
      </c>
      <c r="G5229">
        <v>2</v>
      </c>
      <c r="H5229">
        <v>14.99</v>
      </c>
      <c r="I5229">
        <v>0.25</v>
      </c>
      <c r="J5229">
        <v>22.48</v>
      </c>
      <c r="K5229" t="s">
        <v>95</v>
      </c>
      <c r="L5229" t="s">
        <v>37</v>
      </c>
      <c r="M5229" t="s">
        <v>102</v>
      </c>
    </row>
    <row r="5230" spans="1:13" x14ac:dyDescent="0.2">
      <c r="A5230">
        <v>963947</v>
      </c>
      <c r="B5230" s="1">
        <v>44696</v>
      </c>
      <c r="C5230">
        <v>20014</v>
      </c>
      <c r="D5230" t="s">
        <v>40</v>
      </c>
      <c r="E5230" t="s">
        <v>115</v>
      </c>
      <c r="F5230" t="s">
        <v>116</v>
      </c>
      <c r="G5230">
        <v>2</v>
      </c>
      <c r="H5230">
        <v>12.99</v>
      </c>
      <c r="J5230">
        <v>25.98</v>
      </c>
      <c r="K5230" t="s">
        <v>95</v>
      </c>
      <c r="L5230" t="s">
        <v>17</v>
      </c>
      <c r="M5230" t="s">
        <v>54</v>
      </c>
    </row>
    <row r="5231" spans="1:13" x14ac:dyDescent="0.2">
      <c r="A5231">
        <v>964007</v>
      </c>
      <c r="B5231" s="1">
        <v>44913</v>
      </c>
      <c r="C5231">
        <v>34380</v>
      </c>
      <c r="D5231" t="s">
        <v>25</v>
      </c>
      <c r="E5231" t="s">
        <v>51</v>
      </c>
      <c r="F5231" t="s">
        <v>52</v>
      </c>
      <c r="G5231">
        <v>1</v>
      </c>
      <c r="H5231">
        <v>26.59</v>
      </c>
      <c r="I5231">
        <v>0.05</v>
      </c>
      <c r="J5231">
        <v>25.26</v>
      </c>
      <c r="K5231" t="s">
        <v>16</v>
      </c>
      <c r="L5231" t="s">
        <v>37</v>
      </c>
      <c r="M5231" t="s">
        <v>43</v>
      </c>
    </row>
    <row r="5232" spans="1:13" x14ac:dyDescent="0.2">
      <c r="A5232">
        <v>964092</v>
      </c>
      <c r="B5232" s="1">
        <v>45488</v>
      </c>
      <c r="C5232">
        <v>49809</v>
      </c>
      <c r="D5232" t="s">
        <v>48</v>
      </c>
      <c r="E5232" t="s">
        <v>179</v>
      </c>
      <c r="F5232" t="s">
        <v>180</v>
      </c>
      <c r="G5232">
        <v>3</v>
      </c>
      <c r="H5232">
        <v>9.59</v>
      </c>
      <c r="I5232">
        <v>0.2</v>
      </c>
      <c r="J5232">
        <v>23.02</v>
      </c>
      <c r="K5232" t="s">
        <v>36</v>
      </c>
      <c r="L5232" t="s">
        <v>37</v>
      </c>
      <c r="M5232" t="s">
        <v>67</v>
      </c>
    </row>
    <row r="5233" spans="1:13" x14ac:dyDescent="0.2">
      <c r="A5233">
        <v>964143</v>
      </c>
      <c r="B5233" s="1">
        <v>45202</v>
      </c>
      <c r="C5233">
        <v>33888</v>
      </c>
      <c r="D5233" t="s">
        <v>48</v>
      </c>
      <c r="E5233" t="s">
        <v>139</v>
      </c>
      <c r="F5233" t="s">
        <v>140</v>
      </c>
      <c r="G5233">
        <v>1</v>
      </c>
      <c r="H5233">
        <v>7.99</v>
      </c>
      <c r="J5233">
        <v>7.99</v>
      </c>
      <c r="K5233" t="s">
        <v>66</v>
      </c>
      <c r="L5233" t="s">
        <v>17</v>
      </c>
    </row>
    <row r="5234" spans="1:13" x14ac:dyDescent="0.2">
      <c r="A5234">
        <v>964190</v>
      </c>
      <c r="B5234" s="1">
        <v>45496</v>
      </c>
      <c r="C5234">
        <v>90219</v>
      </c>
      <c r="D5234" t="s">
        <v>97</v>
      </c>
      <c r="E5234" t="s">
        <v>181</v>
      </c>
      <c r="F5234" t="s">
        <v>182</v>
      </c>
      <c r="G5234">
        <v>1</v>
      </c>
      <c r="H5234">
        <v>12.74</v>
      </c>
      <c r="I5234">
        <v>0.15</v>
      </c>
      <c r="J5234">
        <v>10.83</v>
      </c>
      <c r="K5234" t="s">
        <v>16</v>
      </c>
      <c r="L5234" t="s">
        <v>17</v>
      </c>
      <c r="M5234" t="s">
        <v>24</v>
      </c>
    </row>
    <row r="5235" spans="1:13" x14ac:dyDescent="0.2">
      <c r="A5235">
        <v>964286</v>
      </c>
      <c r="B5235" s="1">
        <v>44601</v>
      </c>
      <c r="C5235">
        <v>67571</v>
      </c>
      <c r="D5235" t="s">
        <v>25</v>
      </c>
      <c r="E5235" t="s">
        <v>26</v>
      </c>
      <c r="F5235" t="s">
        <v>27</v>
      </c>
      <c r="G5235">
        <v>2</v>
      </c>
      <c r="H5235">
        <v>27.99</v>
      </c>
      <c r="I5235">
        <v>0.2</v>
      </c>
      <c r="J5235">
        <v>44.78</v>
      </c>
      <c r="K5235" t="s">
        <v>36</v>
      </c>
      <c r="L5235" t="s">
        <v>17</v>
      </c>
    </row>
    <row r="5236" spans="1:13" x14ac:dyDescent="0.2">
      <c r="A5236">
        <v>964337</v>
      </c>
      <c r="B5236" s="1">
        <v>45118</v>
      </c>
      <c r="C5236">
        <v>10101</v>
      </c>
      <c r="D5236" t="s">
        <v>40</v>
      </c>
      <c r="E5236" t="s">
        <v>20</v>
      </c>
      <c r="F5236" t="s">
        <v>21</v>
      </c>
      <c r="G5236">
        <v>1</v>
      </c>
      <c r="H5236">
        <v>7.99</v>
      </c>
      <c r="I5236">
        <v>0.2</v>
      </c>
      <c r="J5236">
        <v>6.39</v>
      </c>
      <c r="K5236" t="s">
        <v>32</v>
      </c>
      <c r="L5236" t="s">
        <v>17</v>
      </c>
      <c r="M5236" t="s">
        <v>161</v>
      </c>
    </row>
    <row r="5237" spans="1:13" x14ac:dyDescent="0.2">
      <c r="A5237">
        <v>964441</v>
      </c>
      <c r="B5237" s="1">
        <v>44586</v>
      </c>
      <c r="C5237">
        <v>93024</v>
      </c>
      <c r="D5237" t="s">
        <v>97</v>
      </c>
      <c r="E5237" t="s">
        <v>141</v>
      </c>
      <c r="F5237" t="s">
        <v>142</v>
      </c>
      <c r="G5237">
        <v>1</v>
      </c>
      <c r="H5237">
        <v>17.239999999999998</v>
      </c>
      <c r="I5237">
        <v>0.25</v>
      </c>
      <c r="J5237">
        <v>12.93</v>
      </c>
      <c r="K5237" t="s">
        <v>22</v>
      </c>
      <c r="L5237" t="s">
        <v>37</v>
      </c>
      <c r="M5237" t="s">
        <v>67</v>
      </c>
    </row>
    <row r="5238" spans="1:13" x14ac:dyDescent="0.2">
      <c r="A5238">
        <v>964866</v>
      </c>
      <c r="B5238" s="2">
        <v>44997</v>
      </c>
      <c r="C5238">
        <v>20021</v>
      </c>
      <c r="D5238" t="s">
        <v>85</v>
      </c>
      <c r="E5238" t="s">
        <v>129</v>
      </c>
      <c r="F5238" t="s">
        <v>130</v>
      </c>
      <c r="G5238">
        <v>2</v>
      </c>
      <c r="H5238">
        <v>6.29</v>
      </c>
      <c r="I5238">
        <v>0.3</v>
      </c>
      <c r="J5238">
        <v>8.81</v>
      </c>
      <c r="K5238" t="s">
        <v>95</v>
      </c>
      <c r="L5238" t="s">
        <v>37</v>
      </c>
      <c r="M5238" t="s">
        <v>123</v>
      </c>
    </row>
    <row r="5239" spans="1:13" x14ac:dyDescent="0.2">
      <c r="A5239">
        <v>964996</v>
      </c>
      <c r="B5239" s="1">
        <v>45109</v>
      </c>
      <c r="C5239">
        <v>64432</v>
      </c>
      <c r="D5239" t="s">
        <v>85</v>
      </c>
      <c r="E5239" t="s">
        <v>129</v>
      </c>
      <c r="F5239" t="s">
        <v>130</v>
      </c>
      <c r="G5239">
        <v>1</v>
      </c>
      <c r="H5239">
        <v>6.29</v>
      </c>
      <c r="I5239">
        <v>0.3</v>
      </c>
      <c r="J5239">
        <v>4.4000000000000004</v>
      </c>
      <c r="K5239" t="s">
        <v>16</v>
      </c>
      <c r="L5239" t="s">
        <v>17</v>
      </c>
      <c r="M5239" t="s">
        <v>18</v>
      </c>
    </row>
    <row r="5240" spans="1:13" x14ac:dyDescent="0.2">
      <c r="A5240">
        <v>965220</v>
      </c>
      <c r="B5240" s="1">
        <v>44925</v>
      </c>
      <c r="D5240" t="s">
        <v>48</v>
      </c>
      <c r="E5240" t="s">
        <v>139</v>
      </c>
      <c r="F5240" t="s">
        <v>140</v>
      </c>
      <c r="G5240">
        <v>2</v>
      </c>
      <c r="H5240">
        <v>7.59</v>
      </c>
      <c r="I5240">
        <v>0.05</v>
      </c>
      <c r="J5240">
        <v>14.42</v>
      </c>
      <c r="K5240" t="s">
        <v>16</v>
      </c>
      <c r="L5240" t="s">
        <v>37</v>
      </c>
      <c r="M5240" t="s">
        <v>161</v>
      </c>
    </row>
    <row r="5241" spans="1:13" x14ac:dyDescent="0.2">
      <c r="A5241">
        <v>965304</v>
      </c>
      <c r="B5241" s="2">
        <v>45489</v>
      </c>
      <c r="C5241">
        <v>73868</v>
      </c>
      <c r="D5241" t="s">
        <v>85</v>
      </c>
      <c r="E5241" t="s">
        <v>153</v>
      </c>
      <c r="F5241" t="s">
        <v>154</v>
      </c>
      <c r="G5241">
        <v>5</v>
      </c>
      <c r="H5241">
        <v>28.49</v>
      </c>
      <c r="I5241">
        <v>0.05</v>
      </c>
      <c r="J5241">
        <v>135.33000000000001</v>
      </c>
      <c r="K5241" t="s">
        <v>36</v>
      </c>
      <c r="L5241" t="s">
        <v>37</v>
      </c>
      <c r="M5241" t="s">
        <v>67</v>
      </c>
    </row>
    <row r="5242" spans="1:13" x14ac:dyDescent="0.2">
      <c r="A5242">
        <v>965388</v>
      </c>
      <c r="B5242" s="2">
        <v>45436</v>
      </c>
      <c r="C5242">
        <v>38405</v>
      </c>
      <c r="D5242" t="s">
        <v>82</v>
      </c>
      <c r="E5242" t="s">
        <v>100</v>
      </c>
      <c r="F5242" t="s">
        <v>101</v>
      </c>
      <c r="G5242">
        <v>3</v>
      </c>
      <c r="H5242">
        <v>22.99</v>
      </c>
      <c r="J5242">
        <v>68.97</v>
      </c>
      <c r="K5242" t="s">
        <v>22</v>
      </c>
      <c r="L5242" t="s">
        <v>17</v>
      </c>
      <c r="M5242" t="s">
        <v>90</v>
      </c>
    </row>
    <row r="5243" spans="1:13" x14ac:dyDescent="0.2">
      <c r="A5243">
        <v>965706</v>
      </c>
      <c r="B5243" s="2">
        <v>44912</v>
      </c>
      <c r="C5243">
        <v>41363</v>
      </c>
      <c r="D5243" t="s">
        <v>25</v>
      </c>
      <c r="E5243" t="s">
        <v>70</v>
      </c>
      <c r="F5243" t="s">
        <v>71</v>
      </c>
      <c r="G5243">
        <v>1</v>
      </c>
      <c r="H5243">
        <v>80.989999999999995</v>
      </c>
      <c r="I5243">
        <v>0.1</v>
      </c>
      <c r="J5243">
        <v>72.89</v>
      </c>
      <c r="K5243" t="s">
        <v>32</v>
      </c>
      <c r="L5243" t="s">
        <v>17</v>
      </c>
      <c r="M5243" t="s">
        <v>161</v>
      </c>
    </row>
    <row r="5244" spans="1:13" x14ac:dyDescent="0.2">
      <c r="A5244">
        <v>966109</v>
      </c>
      <c r="B5244" s="2">
        <v>45080</v>
      </c>
      <c r="C5244">
        <v>41234</v>
      </c>
      <c r="D5244" t="s">
        <v>13</v>
      </c>
      <c r="E5244" t="s">
        <v>186</v>
      </c>
      <c r="F5244" t="s">
        <v>187</v>
      </c>
      <c r="G5244">
        <v>1</v>
      </c>
      <c r="H5244">
        <v>44.99</v>
      </c>
      <c r="I5244">
        <v>0.1</v>
      </c>
      <c r="J5244">
        <v>40.49</v>
      </c>
      <c r="K5244" t="s">
        <v>53</v>
      </c>
      <c r="L5244" t="s">
        <v>17</v>
      </c>
      <c r="M5244" t="s">
        <v>96</v>
      </c>
    </row>
    <row r="5245" spans="1:13" x14ac:dyDescent="0.2">
      <c r="A5245">
        <v>966113</v>
      </c>
      <c r="B5245" s="1">
        <v>44802</v>
      </c>
      <c r="C5245">
        <v>34247</v>
      </c>
      <c r="D5245" t="s">
        <v>44</v>
      </c>
      <c r="E5245" t="s">
        <v>133</v>
      </c>
      <c r="F5245" t="s">
        <v>134</v>
      </c>
      <c r="G5245">
        <v>5</v>
      </c>
      <c r="H5245">
        <v>3.03</v>
      </c>
      <c r="I5245">
        <v>0.2</v>
      </c>
      <c r="J5245">
        <v>12.12</v>
      </c>
      <c r="K5245" t="s">
        <v>36</v>
      </c>
      <c r="L5245" t="s">
        <v>17</v>
      </c>
      <c r="M5245" t="s">
        <v>33</v>
      </c>
    </row>
    <row r="5246" spans="1:13" x14ac:dyDescent="0.2">
      <c r="A5246">
        <v>966212</v>
      </c>
      <c r="B5246" s="1">
        <v>45331</v>
      </c>
      <c r="C5246">
        <v>13934</v>
      </c>
      <c r="D5246" t="s">
        <v>40</v>
      </c>
      <c r="E5246" t="s">
        <v>197</v>
      </c>
      <c r="F5246" t="s">
        <v>198</v>
      </c>
      <c r="G5246">
        <v>2</v>
      </c>
      <c r="H5246">
        <v>14.24</v>
      </c>
      <c r="J5246">
        <v>28.48</v>
      </c>
      <c r="K5246" t="s">
        <v>16</v>
      </c>
      <c r="L5246" t="s">
        <v>17</v>
      </c>
      <c r="M5246" t="s">
        <v>96</v>
      </c>
    </row>
    <row r="5247" spans="1:13" x14ac:dyDescent="0.2">
      <c r="A5247">
        <v>966358</v>
      </c>
      <c r="B5247" s="2">
        <v>45270</v>
      </c>
      <c r="C5247">
        <v>40533</v>
      </c>
      <c r="D5247" t="s">
        <v>85</v>
      </c>
      <c r="E5247" t="s">
        <v>137</v>
      </c>
      <c r="F5247" t="s">
        <v>138</v>
      </c>
      <c r="G5247">
        <v>4</v>
      </c>
      <c r="H5247">
        <v>7.19</v>
      </c>
      <c r="I5247">
        <v>0.1</v>
      </c>
      <c r="J5247">
        <v>25.88</v>
      </c>
      <c r="K5247" t="s">
        <v>36</v>
      </c>
      <c r="L5247" t="s">
        <v>17</v>
      </c>
      <c r="M5247" t="s">
        <v>76</v>
      </c>
    </row>
    <row r="5248" spans="1:13" x14ac:dyDescent="0.2">
      <c r="A5248">
        <v>966810</v>
      </c>
      <c r="B5248" s="1">
        <v>44757</v>
      </c>
      <c r="C5248">
        <v>84383</v>
      </c>
      <c r="D5248" t="s">
        <v>29</v>
      </c>
      <c r="E5248" t="s">
        <v>175</v>
      </c>
      <c r="F5248" t="s">
        <v>176</v>
      </c>
      <c r="G5248">
        <v>1</v>
      </c>
      <c r="H5248">
        <v>11.39</v>
      </c>
      <c r="I5248">
        <v>0.05</v>
      </c>
      <c r="J5248">
        <v>10.82</v>
      </c>
      <c r="K5248" t="s">
        <v>22</v>
      </c>
      <c r="L5248" t="s">
        <v>37</v>
      </c>
      <c r="M5248" t="s">
        <v>123</v>
      </c>
    </row>
    <row r="5249" spans="1:13" x14ac:dyDescent="0.2">
      <c r="A5249">
        <v>966885</v>
      </c>
      <c r="B5249" s="1">
        <v>44723</v>
      </c>
      <c r="C5249">
        <v>52889</v>
      </c>
      <c r="D5249" t="s">
        <v>44</v>
      </c>
      <c r="E5249" t="s">
        <v>91</v>
      </c>
      <c r="F5249" t="s">
        <v>92</v>
      </c>
      <c r="G5249">
        <v>2</v>
      </c>
      <c r="H5249">
        <v>6.29</v>
      </c>
      <c r="J5249">
        <v>12.58</v>
      </c>
      <c r="K5249" t="s">
        <v>32</v>
      </c>
      <c r="L5249" t="s">
        <v>17</v>
      </c>
      <c r="M5249" t="s">
        <v>18</v>
      </c>
    </row>
    <row r="5250" spans="1:13" x14ac:dyDescent="0.2">
      <c r="A5250">
        <v>967530</v>
      </c>
      <c r="B5250" s="1">
        <v>45562</v>
      </c>
      <c r="C5250">
        <v>24016</v>
      </c>
      <c r="D5250" t="s">
        <v>48</v>
      </c>
      <c r="E5250" t="s">
        <v>143</v>
      </c>
      <c r="F5250" t="s">
        <v>144</v>
      </c>
      <c r="G5250">
        <v>5</v>
      </c>
      <c r="H5250">
        <v>11.24</v>
      </c>
      <c r="I5250">
        <v>0.25</v>
      </c>
      <c r="J5250">
        <v>42.15</v>
      </c>
      <c r="K5250" t="s">
        <v>36</v>
      </c>
      <c r="L5250" t="s">
        <v>23</v>
      </c>
      <c r="M5250" t="s">
        <v>62</v>
      </c>
    </row>
    <row r="5251" spans="1:13" x14ac:dyDescent="0.2">
      <c r="A5251">
        <v>967611</v>
      </c>
      <c r="B5251" s="1">
        <v>45486</v>
      </c>
      <c r="C5251">
        <v>65936</v>
      </c>
      <c r="D5251" t="s">
        <v>97</v>
      </c>
      <c r="E5251" t="s">
        <v>193</v>
      </c>
      <c r="F5251" t="s">
        <v>194</v>
      </c>
      <c r="G5251">
        <v>2</v>
      </c>
      <c r="H5251">
        <v>61.74</v>
      </c>
      <c r="I5251">
        <v>0.05</v>
      </c>
      <c r="J5251">
        <v>117.31</v>
      </c>
      <c r="K5251" t="s">
        <v>16</v>
      </c>
      <c r="L5251" t="s">
        <v>17</v>
      </c>
      <c r="M5251" t="s">
        <v>33</v>
      </c>
    </row>
    <row r="5252" spans="1:13" x14ac:dyDescent="0.2">
      <c r="A5252">
        <v>967934</v>
      </c>
      <c r="B5252" s="1">
        <v>44705</v>
      </c>
      <c r="D5252" t="s">
        <v>85</v>
      </c>
      <c r="E5252" t="s">
        <v>137</v>
      </c>
      <c r="F5252" t="s">
        <v>138</v>
      </c>
      <c r="G5252">
        <v>1</v>
      </c>
      <c r="H5252">
        <v>7.59</v>
      </c>
      <c r="I5252">
        <v>0.05</v>
      </c>
      <c r="J5252">
        <v>7.21</v>
      </c>
      <c r="K5252" t="s">
        <v>66</v>
      </c>
      <c r="L5252" t="s">
        <v>37</v>
      </c>
      <c r="M5252" t="s">
        <v>57</v>
      </c>
    </row>
    <row r="5253" spans="1:13" x14ac:dyDescent="0.2">
      <c r="A5253">
        <v>967962</v>
      </c>
      <c r="B5253" s="1">
        <v>45655</v>
      </c>
      <c r="C5253">
        <v>15230</v>
      </c>
      <c r="D5253" t="s">
        <v>63</v>
      </c>
      <c r="E5253" t="s">
        <v>68</v>
      </c>
      <c r="F5253" t="s">
        <v>69</v>
      </c>
      <c r="G5253">
        <v>2</v>
      </c>
      <c r="H5253">
        <v>24.99</v>
      </c>
      <c r="J5253">
        <v>49.98</v>
      </c>
      <c r="K5253" t="s">
        <v>36</v>
      </c>
      <c r="L5253" t="s">
        <v>17</v>
      </c>
      <c r="M5253" t="s">
        <v>81</v>
      </c>
    </row>
    <row r="5254" spans="1:13" x14ac:dyDescent="0.2">
      <c r="A5254">
        <v>968357</v>
      </c>
      <c r="B5254" s="2">
        <v>45253</v>
      </c>
      <c r="D5254" t="s">
        <v>48</v>
      </c>
      <c r="E5254" t="s">
        <v>118</v>
      </c>
      <c r="F5254" t="s">
        <v>119</v>
      </c>
      <c r="G5254">
        <v>2</v>
      </c>
      <c r="H5254">
        <v>4.74</v>
      </c>
      <c r="I5254">
        <v>0.05</v>
      </c>
      <c r="J5254">
        <v>9.01</v>
      </c>
      <c r="K5254" t="s">
        <v>22</v>
      </c>
      <c r="L5254" t="s">
        <v>17</v>
      </c>
      <c r="M5254" t="s">
        <v>24</v>
      </c>
    </row>
    <row r="5255" spans="1:13" x14ac:dyDescent="0.2">
      <c r="A5255">
        <v>968367</v>
      </c>
      <c r="B5255" s="1">
        <v>45025</v>
      </c>
      <c r="C5255">
        <v>90902</v>
      </c>
      <c r="D5255" t="s">
        <v>44</v>
      </c>
      <c r="E5255" t="s">
        <v>162</v>
      </c>
      <c r="F5255" t="s">
        <v>163</v>
      </c>
      <c r="G5255">
        <v>1</v>
      </c>
      <c r="H5255">
        <v>7.99</v>
      </c>
      <c r="J5255">
        <v>7.99</v>
      </c>
      <c r="K5255" t="s">
        <v>16</v>
      </c>
      <c r="L5255" t="s">
        <v>17</v>
      </c>
      <c r="M5255" t="s">
        <v>57</v>
      </c>
    </row>
    <row r="5256" spans="1:13" x14ac:dyDescent="0.2">
      <c r="A5256">
        <v>968468</v>
      </c>
      <c r="B5256" s="1">
        <v>44857</v>
      </c>
      <c r="C5256">
        <v>15164</v>
      </c>
      <c r="D5256" t="s">
        <v>85</v>
      </c>
      <c r="E5256" t="s">
        <v>137</v>
      </c>
      <c r="F5256" t="s">
        <v>138</v>
      </c>
      <c r="G5256">
        <v>2</v>
      </c>
      <c r="H5256">
        <v>7.99</v>
      </c>
      <c r="J5256">
        <v>15.98</v>
      </c>
      <c r="K5256" t="s">
        <v>16</v>
      </c>
      <c r="L5256" t="s">
        <v>17</v>
      </c>
      <c r="M5256" t="s">
        <v>54</v>
      </c>
    </row>
    <row r="5257" spans="1:13" x14ac:dyDescent="0.2">
      <c r="A5257">
        <v>969404</v>
      </c>
      <c r="B5257" s="1">
        <v>44905</v>
      </c>
      <c r="C5257">
        <v>52416</v>
      </c>
      <c r="D5257" t="s">
        <v>82</v>
      </c>
      <c r="E5257" t="s">
        <v>168</v>
      </c>
      <c r="F5257" t="s">
        <v>169</v>
      </c>
      <c r="G5257">
        <v>1</v>
      </c>
      <c r="H5257">
        <v>8.99</v>
      </c>
      <c r="J5257">
        <v>8.99</v>
      </c>
      <c r="K5257" t="s">
        <v>22</v>
      </c>
      <c r="L5257" t="s">
        <v>37</v>
      </c>
      <c r="M5257" t="s">
        <v>57</v>
      </c>
    </row>
    <row r="5258" spans="1:13" x14ac:dyDescent="0.2">
      <c r="A5258">
        <v>969651</v>
      </c>
      <c r="B5258" s="2">
        <v>44627</v>
      </c>
      <c r="C5258">
        <v>17543</v>
      </c>
      <c r="D5258" t="s">
        <v>40</v>
      </c>
      <c r="E5258" t="s">
        <v>58</v>
      </c>
      <c r="F5258" t="s">
        <v>59</v>
      </c>
      <c r="G5258">
        <v>1</v>
      </c>
      <c r="H5258">
        <v>2.99</v>
      </c>
      <c r="I5258">
        <v>0.25</v>
      </c>
      <c r="J5258">
        <v>2.2400000000000002</v>
      </c>
      <c r="K5258" t="s">
        <v>36</v>
      </c>
      <c r="L5258" t="s">
        <v>17</v>
      </c>
      <c r="M5258" t="s">
        <v>96</v>
      </c>
    </row>
    <row r="5259" spans="1:13" x14ac:dyDescent="0.2">
      <c r="A5259">
        <v>969801</v>
      </c>
      <c r="B5259" s="1">
        <v>44849</v>
      </c>
      <c r="C5259">
        <v>94187</v>
      </c>
      <c r="D5259" t="s">
        <v>25</v>
      </c>
      <c r="E5259" t="s">
        <v>51</v>
      </c>
      <c r="F5259" t="s">
        <v>52</v>
      </c>
      <c r="G5259">
        <v>1</v>
      </c>
      <c r="H5259">
        <v>27.99</v>
      </c>
      <c r="J5259">
        <v>27.99</v>
      </c>
      <c r="K5259" t="s">
        <v>95</v>
      </c>
      <c r="L5259" t="s">
        <v>17</v>
      </c>
      <c r="M5259" t="s">
        <v>103</v>
      </c>
    </row>
    <row r="5260" spans="1:13" x14ac:dyDescent="0.2">
      <c r="A5260">
        <v>969818</v>
      </c>
      <c r="B5260" s="1">
        <v>44678</v>
      </c>
      <c r="C5260">
        <v>92254</v>
      </c>
      <c r="D5260" t="s">
        <v>25</v>
      </c>
      <c r="E5260" t="s">
        <v>26</v>
      </c>
      <c r="F5260" t="s">
        <v>27</v>
      </c>
      <c r="G5260">
        <v>3</v>
      </c>
      <c r="H5260">
        <v>34.99</v>
      </c>
      <c r="J5260">
        <v>104.97</v>
      </c>
      <c r="K5260" t="s">
        <v>36</v>
      </c>
      <c r="L5260" t="s">
        <v>17</v>
      </c>
      <c r="M5260" t="s">
        <v>62</v>
      </c>
    </row>
    <row r="5261" spans="1:13" x14ac:dyDescent="0.2">
      <c r="A5261">
        <v>970018</v>
      </c>
      <c r="B5261" s="1">
        <v>45236</v>
      </c>
      <c r="C5261">
        <v>17910</v>
      </c>
      <c r="D5261" t="s">
        <v>63</v>
      </c>
      <c r="E5261" t="s">
        <v>68</v>
      </c>
      <c r="F5261" t="s">
        <v>69</v>
      </c>
      <c r="G5261">
        <v>4</v>
      </c>
      <c r="H5261">
        <v>22.49</v>
      </c>
      <c r="I5261">
        <v>0.1</v>
      </c>
      <c r="J5261">
        <v>80.959999999999994</v>
      </c>
      <c r="K5261" t="s">
        <v>36</v>
      </c>
      <c r="L5261" t="s">
        <v>17</v>
      </c>
      <c r="M5261" t="s">
        <v>28</v>
      </c>
    </row>
    <row r="5262" spans="1:13" x14ac:dyDescent="0.2">
      <c r="A5262">
        <v>970272</v>
      </c>
      <c r="B5262" s="1">
        <v>45135</v>
      </c>
      <c r="C5262">
        <v>25321</v>
      </c>
      <c r="D5262" t="s">
        <v>82</v>
      </c>
      <c r="E5262" t="s">
        <v>147</v>
      </c>
      <c r="F5262" t="s">
        <v>148</v>
      </c>
      <c r="G5262">
        <v>4</v>
      </c>
      <c r="H5262">
        <v>12.99</v>
      </c>
      <c r="J5262">
        <v>51.96</v>
      </c>
      <c r="K5262" t="s">
        <v>36</v>
      </c>
      <c r="L5262" t="s">
        <v>17</v>
      </c>
      <c r="M5262" t="s">
        <v>76</v>
      </c>
    </row>
    <row r="5263" spans="1:13" x14ac:dyDescent="0.2">
      <c r="A5263">
        <v>970279</v>
      </c>
      <c r="B5263" s="1">
        <v>45592</v>
      </c>
      <c r="C5263">
        <v>51373</v>
      </c>
      <c r="D5263" t="s">
        <v>48</v>
      </c>
      <c r="E5263" t="s">
        <v>109</v>
      </c>
      <c r="F5263" t="s">
        <v>110</v>
      </c>
      <c r="G5263">
        <v>4</v>
      </c>
      <c r="H5263">
        <v>4.8899999999999997</v>
      </c>
      <c r="I5263">
        <v>0.3</v>
      </c>
      <c r="J5263">
        <v>13.69</v>
      </c>
      <c r="K5263" t="s">
        <v>16</v>
      </c>
      <c r="L5263" t="s">
        <v>37</v>
      </c>
      <c r="M5263" t="s">
        <v>62</v>
      </c>
    </row>
    <row r="5264" spans="1:13" x14ac:dyDescent="0.2">
      <c r="A5264">
        <v>970979</v>
      </c>
      <c r="B5264" s="1">
        <v>45244</v>
      </c>
      <c r="C5264">
        <v>21447</v>
      </c>
      <c r="D5264" t="s">
        <v>40</v>
      </c>
      <c r="E5264" t="s">
        <v>20</v>
      </c>
      <c r="F5264" t="s">
        <v>21</v>
      </c>
      <c r="G5264">
        <v>3</v>
      </c>
      <c r="H5264">
        <v>8.99</v>
      </c>
      <c r="I5264">
        <v>0.1</v>
      </c>
      <c r="J5264">
        <v>24.27</v>
      </c>
      <c r="K5264" t="s">
        <v>16</v>
      </c>
      <c r="L5264" t="s">
        <v>37</v>
      </c>
      <c r="M5264" t="s">
        <v>117</v>
      </c>
    </row>
    <row r="5265" spans="1:13" x14ac:dyDescent="0.2">
      <c r="A5265">
        <v>971128</v>
      </c>
      <c r="B5265" s="1">
        <v>44696</v>
      </c>
      <c r="C5265">
        <v>95996</v>
      </c>
      <c r="D5265" t="s">
        <v>82</v>
      </c>
      <c r="E5265" t="s">
        <v>83</v>
      </c>
      <c r="F5265" t="s">
        <v>84</v>
      </c>
      <c r="G5265">
        <v>2</v>
      </c>
      <c r="H5265">
        <v>15.29</v>
      </c>
      <c r="I5265">
        <v>0.1</v>
      </c>
      <c r="J5265">
        <v>27.52</v>
      </c>
      <c r="K5265" t="s">
        <v>16</v>
      </c>
      <c r="L5265" t="s">
        <v>37</v>
      </c>
      <c r="M5265" t="s">
        <v>117</v>
      </c>
    </row>
    <row r="5266" spans="1:13" x14ac:dyDescent="0.2">
      <c r="A5266">
        <v>971150</v>
      </c>
      <c r="B5266" s="1">
        <v>44641</v>
      </c>
      <c r="C5266">
        <v>62979</v>
      </c>
      <c r="D5266" t="s">
        <v>29</v>
      </c>
      <c r="E5266" t="s">
        <v>72</v>
      </c>
      <c r="F5266" t="s">
        <v>73</v>
      </c>
      <c r="G5266">
        <v>2</v>
      </c>
      <c r="H5266">
        <v>39.99</v>
      </c>
      <c r="J5266">
        <v>79.98</v>
      </c>
      <c r="K5266" t="s">
        <v>95</v>
      </c>
      <c r="L5266" t="s">
        <v>37</v>
      </c>
      <c r="M5266" t="s">
        <v>123</v>
      </c>
    </row>
    <row r="5267" spans="1:13" x14ac:dyDescent="0.2">
      <c r="A5267">
        <v>971159</v>
      </c>
      <c r="B5267" s="1">
        <v>45447</v>
      </c>
      <c r="C5267">
        <v>35521</v>
      </c>
      <c r="D5267" t="s">
        <v>44</v>
      </c>
      <c r="E5267" t="s">
        <v>177</v>
      </c>
      <c r="F5267" t="s">
        <v>178</v>
      </c>
      <c r="G5267">
        <v>2</v>
      </c>
      <c r="H5267">
        <v>9.59</v>
      </c>
      <c r="I5267">
        <v>0.2</v>
      </c>
      <c r="J5267">
        <v>15.34</v>
      </c>
      <c r="K5267" t="s">
        <v>22</v>
      </c>
      <c r="L5267" t="s">
        <v>17</v>
      </c>
      <c r="M5267" t="s">
        <v>62</v>
      </c>
    </row>
    <row r="5268" spans="1:13" x14ac:dyDescent="0.2">
      <c r="A5268">
        <v>971697</v>
      </c>
      <c r="B5268" s="1">
        <v>45351</v>
      </c>
      <c r="C5268">
        <v>56723</v>
      </c>
      <c r="D5268" t="s">
        <v>164</v>
      </c>
      <c r="E5268" t="s">
        <v>72</v>
      </c>
      <c r="F5268" t="s">
        <v>73</v>
      </c>
      <c r="G5268">
        <v>5</v>
      </c>
      <c r="H5268">
        <v>31.99</v>
      </c>
      <c r="I5268">
        <v>0.2</v>
      </c>
      <c r="J5268">
        <v>127.96</v>
      </c>
      <c r="K5268" t="s">
        <v>16</v>
      </c>
      <c r="L5268" t="s">
        <v>37</v>
      </c>
      <c r="M5268" t="s">
        <v>102</v>
      </c>
    </row>
    <row r="5269" spans="1:13" x14ac:dyDescent="0.2">
      <c r="A5269">
        <v>971761</v>
      </c>
      <c r="B5269" s="1">
        <v>44947</v>
      </c>
      <c r="C5269">
        <v>50668</v>
      </c>
      <c r="D5269" t="s">
        <v>44</v>
      </c>
      <c r="E5269" t="s">
        <v>195</v>
      </c>
      <c r="F5269" t="s">
        <v>196</v>
      </c>
      <c r="G5269">
        <v>1</v>
      </c>
      <c r="H5269">
        <v>3.99</v>
      </c>
      <c r="I5269">
        <v>0.2</v>
      </c>
      <c r="J5269">
        <v>3.19</v>
      </c>
      <c r="K5269" t="s">
        <v>95</v>
      </c>
      <c r="L5269" t="s">
        <v>17</v>
      </c>
      <c r="M5269" t="s">
        <v>62</v>
      </c>
    </row>
    <row r="5270" spans="1:13" x14ac:dyDescent="0.2">
      <c r="A5270">
        <v>971826</v>
      </c>
      <c r="B5270" s="1">
        <v>45198</v>
      </c>
      <c r="C5270">
        <v>59177</v>
      </c>
      <c r="D5270" t="s">
        <v>82</v>
      </c>
      <c r="E5270" t="s">
        <v>188</v>
      </c>
      <c r="F5270" t="s">
        <v>189</v>
      </c>
      <c r="G5270">
        <v>1</v>
      </c>
      <c r="H5270">
        <v>33.74</v>
      </c>
      <c r="I5270">
        <v>0.25</v>
      </c>
      <c r="J5270">
        <v>25.3</v>
      </c>
      <c r="K5270" t="s">
        <v>22</v>
      </c>
      <c r="L5270" t="s">
        <v>17</v>
      </c>
      <c r="M5270" t="s">
        <v>54</v>
      </c>
    </row>
    <row r="5271" spans="1:13" x14ac:dyDescent="0.2">
      <c r="A5271">
        <v>971851</v>
      </c>
      <c r="B5271" s="1">
        <v>44803</v>
      </c>
      <c r="C5271">
        <v>97454</v>
      </c>
      <c r="D5271" t="s">
        <v>97</v>
      </c>
      <c r="E5271" t="s">
        <v>141</v>
      </c>
      <c r="F5271" t="s">
        <v>142</v>
      </c>
      <c r="G5271">
        <v>2</v>
      </c>
      <c r="H5271">
        <v>16.09</v>
      </c>
      <c r="I5271">
        <v>0.3</v>
      </c>
      <c r="J5271">
        <v>22.53</v>
      </c>
      <c r="K5271" t="s">
        <v>53</v>
      </c>
      <c r="L5271" t="s">
        <v>17</v>
      </c>
      <c r="M5271" t="s">
        <v>161</v>
      </c>
    </row>
    <row r="5272" spans="1:13" x14ac:dyDescent="0.2">
      <c r="A5272">
        <v>972013</v>
      </c>
      <c r="B5272" s="2">
        <v>45032</v>
      </c>
      <c r="C5272">
        <v>63794</v>
      </c>
      <c r="D5272" t="s">
        <v>63</v>
      </c>
      <c r="E5272" t="s">
        <v>111</v>
      </c>
      <c r="F5272" t="s">
        <v>112</v>
      </c>
      <c r="G5272">
        <v>5</v>
      </c>
      <c r="H5272">
        <v>11.99</v>
      </c>
      <c r="I5272">
        <v>0.2</v>
      </c>
      <c r="J5272">
        <v>47.96</v>
      </c>
      <c r="K5272" t="s">
        <v>16</v>
      </c>
      <c r="L5272" t="s">
        <v>17</v>
      </c>
      <c r="M5272" t="s">
        <v>57</v>
      </c>
    </row>
    <row r="5273" spans="1:13" x14ac:dyDescent="0.2">
      <c r="A5273">
        <v>972065</v>
      </c>
      <c r="B5273" s="1">
        <v>45397</v>
      </c>
      <c r="C5273">
        <v>88525</v>
      </c>
      <c r="D5273" t="s">
        <v>97</v>
      </c>
      <c r="E5273" t="s">
        <v>121</v>
      </c>
      <c r="F5273" t="s">
        <v>122</v>
      </c>
      <c r="G5273">
        <v>5</v>
      </c>
      <c r="H5273">
        <v>9.74</v>
      </c>
      <c r="I5273">
        <v>0.25</v>
      </c>
      <c r="J5273">
        <v>36.53</v>
      </c>
      <c r="K5273" t="s">
        <v>16</v>
      </c>
      <c r="L5273" t="s">
        <v>37</v>
      </c>
      <c r="M5273" t="s">
        <v>96</v>
      </c>
    </row>
    <row r="5274" spans="1:13" x14ac:dyDescent="0.2">
      <c r="A5274">
        <v>972086</v>
      </c>
      <c r="B5274" s="2">
        <v>45331</v>
      </c>
      <c r="C5274">
        <v>35712</v>
      </c>
      <c r="D5274" t="s">
        <v>44</v>
      </c>
      <c r="E5274" t="s">
        <v>162</v>
      </c>
      <c r="F5274" t="s">
        <v>163</v>
      </c>
      <c r="G5274">
        <v>1</v>
      </c>
      <c r="H5274">
        <v>5.99</v>
      </c>
      <c r="I5274">
        <v>0.25</v>
      </c>
      <c r="J5274">
        <v>4.49</v>
      </c>
      <c r="K5274" t="s">
        <v>66</v>
      </c>
      <c r="L5274" t="s">
        <v>17</v>
      </c>
      <c r="M5274" t="s">
        <v>96</v>
      </c>
    </row>
    <row r="5275" spans="1:13" x14ac:dyDescent="0.2">
      <c r="A5275">
        <v>972132</v>
      </c>
      <c r="B5275" s="1">
        <v>44783</v>
      </c>
      <c r="D5275" t="s">
        <v>124</v>
      </c>
      <c r="E5275" t="s">
        <v>68</v>
      </c>
      <c r="F5275" t="s">
        <v>69</v>
      </c>
      <c r="G5275">
        <v>5</v>
      </c>
      <c r="H5275">
        <v>24.99</v>
      </c>
      <c r="J5275">
        <v>124.95</v>
      </c>
      <c r="K5275" t="s">
        <v>95</v>
      </c>
      <c r="L5275" t="s">
        <v>37</v>
      </c>
      <c r="M5275" t="s">
        <v>67</v>
      </c>
    </row>
    <row r="5276" spans="1:13" x14ac:dyDescent="0.2">
      <c r="A5276">
        <v>972521</v>
      </c>
      <c r="B5276" s="1">
        <v>44920</v>
      </c>
      <c r="C5276">
        <v>72658</v>
      </c>
      <c r="D5276" t="s">
        <v>13</v>
      </c>
      <c r="E5276" t="s">
        <v>14</v>
      </c>
      <c r="F5276" t="s">
        <v>15</v>
      </c>
      <c r="G5276">
        <v>4</v>
      </c>
      <c r="H5276">
        <v>79.989999999999995</v>
      </c>
      <c r="J5276">
        <v>319.95999999999998</v>
      </c>
      <c r="K5276" t="s">
        <v>36</v>
      </c>
      <c r="L5276" t="s">
        <v>17</v>
      </c>
      <c r="M5276" t="s">
        <v>24</v>
      </c>
    </row>
    <row r="5277" spans="1:13" x14ac:dyDescent="0.2">
      <c r="A5277">
        <v>973107</v>
      </c>
      <c r="B5277" s="1">
        <v>44596</v>
      </c>
      <c r="C5277">
        <v>21139</v>
      </c>
      <c r="D5277" t="s">
        <v>82</v>
      </c>
      <c r="E5277" t="s">
        <v>147</v>
      </c>
      <c r="F5277" t="s">
        <v>148</v>
      </c>
      <c r="G5277">
        <v>5</v>
      </c>
      <c r="H5277">
        <v>9.09</v>
      </c>
      <c r="I5277">
        <v>0.3</v>
      </c>
      <c r="J5277">
        <v>31.82</v>
      </c>
      <c r="K5277" t="s">
        <v>16</v>
      </c>
      <c r="L5277" t="s">
        <v>37</v>
      </c>
      <c r="M5277" t="s">
        <v>28</v>
      </c>
    </row>
    <row r="5278" spans="1:13" x14ac:dyDescent="0.2">
      <c r="A5278">
        <v>973278</v>
      </c>
      <c r="B5278" s="1">
        <v>45493</v>
      </c>
      <c r="C5278">
        <v>33296</v>
      </c>
      <c r="D5278" t="s">
        <v>48</v>
      </c>
      <c r="E5278" t="s">
        <v>118</v>
      </c>
      <c r="F5278" t="s">
        <v>119</v>
      </c>
      <c r="G5278">
        <v>3</v>
      </c>
      <c r="H5278">
        <v>3.49</v>
      </c>
      <c r="I5278">
        <v>0.3</v>
      </c>
      <c r="J5278">
        <v>7.33</v>
      </c>
      <c r="K5278" t="s">
        <v>32</v>
      </c>
      <c r="L5278" t="s">
        <v>17</v>
      </c>
      <c r="M5278" t="s">
        <v>43</v>
      </c>
    </row>
    <row r="5279" spans="1:13" x14ac:dyDescent="0.2">
      <c r="A5279">
        <v>973458</v>
      </c>
      <c r="B5279" s="2">
        <v>45551</v>
      </c>
      <c r="C5279">
        <v>17132</v>
      </c>
      <c r="D5279" t="s">
        <v>40</v>
      </c>
      <c r="E5279" t="s">
        <v>115</v>
      </c>
      <c r="F5279" t="s">
        <v>116</v>
      </c>
      <c r="G5279">
        <v>1</v>
      </c>
      <c r="H5279">
        <v>12.99</v>
      </c>
      <c r="J5279">
        <v>12.99</v>
      </c>
      <c r="K5279" t="s">
        <v>16</v>
      </c>
      <c r="L5279" t="s">
        <v>23</v>
      </c>
      <c r="M5279" t="s">
        <v>43</v>
      </c>
    </row>
    <row r="5280" spans="1:13" x14ac:dyDescent="0.2">
      <c r="A5280">
        <v>974332</v>
      </c>
      <c r="B5280" s="2">
        <v>45626</v>
      </c>
      <c r="C5280">
        <v>61723</v>
      </c>
      <c r="D5280" t="s">
        <v>82</v>
      </c>
      <c r="E5280" t="s">
        <v>83</v>
      </c>
      <c r="F5280" t="s">
        <v>84</v>
      </c>
      <c r="G5280">
        <v>3</v>
      </c>
      <c r="H5280">
        <v>16.989999999999998</v>
      </c>
      <c r="J5280">
        <v>50.97</v>
      </c>
      <c r="K5280" t="s">
        <v>36</v>
      </c>
      <c r="L5280" t="s">
        <v>17</v>
      </c>
      <c r="M5280" t="s">
        <v>24</v>
      </c>
    </row>
    <row r="5281" spans="1:13" x14ac:dyDescent="0.2">
      <c r="A5281">
        <v>974334</v>
      </c>
      <c r="B5281" s="1">
        <v>45623</v>
      </c>
      <c r="C5281">
        <v>71158</v>
      </c>
      <c r="D5281" t="s">
        <v>44</v>
      </c>
      <c r="E5281" t="s">
        <v>190</v>
      </c>
      <c r="F5281" t="s">
        <v>191</v>
      </c>
      <c r="G5281">
        <v>5</v>
      </c>
      <c r="H5281">
        <v>4.29</v>
      </c>
      <c r="J5281">
        <v>21.45</v>
      </c>
      <c r="K5281" t="s">
        <v>16</v>
      </c>
      <c r="L5281" t="s">
        <v>17</v>
      </c>
      <c r="M5281" t="s">
        <v>161</v>
      </c>
    </row>
    <row r="5282" spans="1:13" x14ac:dyDescent="0.2">
      <c r="A5282">
        <v>974336</v>
      </c>
      <c r="B5282" s="1">
        <v>44599</v>
      </c>
      <c r="C5282">
        <v>72031</v>
      </c>
      <c r="D5282" t="s">
        <v>13</v>
      </c>
      <c r="E5282" t="s">
        <v>186</v>
      </c>
      <c r="F5282" t="s">
        <v>187</v>
      </c>
      <c r="G5282">
        <v>1</v>
      </c>
      <c r="H5282">
        <v>42.49</v>
      </c>
      <c r="J5282">
        <v>42.49</v>
      </c>
      <c r="K5282" t="s">
        <v>16</v>
      </c>
      <c r="L5282" t="s">
        <v>17</v>
      </c>
      <c r="M5282" t="s">
        <v>103</v>
      </c>
    </row>
    <row r="5283" spans="1:13" x14ac:dyDescent="0.2">
      <c r="A5283">
        <v>974371</v>
      </c>
      <c r="B5283" s="1">
        <v>44639</v>
      </c>
      <c r="C5283">
        <v>58961</v>
      </c>
      <c r="D5283" t="s">
        <v>25</v>
      </c>
      <c r="E5283" t="s">
        <v>113</v>
      </c>
      <c r="F5283" t="s">
        <v>114</v>
      </c>
      <c r="G5283">
        <v>2</v>
      </c>
      <c r="H5283">
        <v>113.99</v>
      </c>
      <c r="I5283">
        <v>0.05</v>
      </c>
      <c r="J5283">
        <v>216.58</v>
      </c>
      <c r="K5283" t="s">
        <v>22</v>
      </c>
      <c r="L5283" t="s">
        <v>37</v>
      </c>
      <c r="M5283" t="s">
        <v>24</v>
      </c>
    </row>
    <row r="5284" spans="1:13" x14ac:dyDescent="0.2">
      <c r="A5284">
        <v>974657</v>
      </c>
      <c r="B5284" s="2">
        <v>45493</v>
      </c>
      <c r="C5284">
        <v>71987</v>
      </c>
      <c r="D5284" t="s">
        <v>40</v>
      </c>
      <c r="E5284" t="s">
        <v>197</v>
      </c>
      <c r="F5284" t="s">
        <v>198</v>
      </c>
      <c r="G5284">
        <v>1</v>
      </c>
      <c r="H5284">
        <v>10.49</v>
      </c>
      <c r="I5284">
        <v>0.3</v>
      </c>
      <c r="J5284">
        <v>7.34</v>
      </c>
      <c r="K5284" t="s">
        <v>36</v>
      </c>
      <c r="L5284" t="s">
        <v>17</v>
      </c>
      <c r="M5284" t="s">
        <v>76</v>
      </c>
    </row>
    <row r="5285" spans="1:13" x14ac:dyDescent="0.2">
      <c r="A5285">
        <v>974735</v>
      </c>
      <c r="B5285" s="1">
        <v>45407</v>
      </c>
      <c r="C5285">
        <v>31621</v>
      </c>
      <c r="D5285" t="s">
        <v>44</v>
      </c>
      <c r="E5285" t="s">
        <v>93</v>
      </c>
      <c r="F5285" t="s">
        <v>94</v>
      </c>
      <c r="G5285">
        <v>2</v>
      </c>
      <c r="H5285">
        <v>1.23</v>
      </c>
      <c r="I5285">
        <v>0.05</v>
      </c>
      <c r="J5285">
        <v>2.34</v>
      </c>
      <c r="K5285" t="s">
        <v>53</v>
      </c>
      <c r="L5285" t="s">
        <v>17</v>
      </c>
      <c r="M5285" t="s">
        <v>96</v>
      </c>
    </row>
    <row r="5286" spans="1:13" x14ac:dyDescent="0.2">
      <c r="A5286">
        <v>974825</v>
      </c>
      <c r="B5286" s="1">
        <v>44581</v>
      </c>
      <c r="C5286">
        <v>62870</v>
      </c>
      <c r="D5286" t="s">
        <v>44</v>
      </c>
      <c r="E5286" t="s">
        <v>172</v>
      </c>
      <c r="F5286" t="s">
        <v>173</v>
      </c>
      <c r="G5286">
        <v>4</v>
      </c>
      <c r="H5286">
        <v>3.37</v>
      </c>
      <c r="I5286">
        <v>0.25</v>
      </c>
      <c r="J5286">
        <v>10.11</v>
      </c>
      <c r="K5286" t="s">
        <v>36</v>
      </c>
      <c r="L5286" t="s">
        <v>17</v>
      </c>
      <c r="M5286" t="s">
        <v>57</v>
      </c>
    </row>
    <row r="5287" spans="1:13" x14ac:dyDescent="0.2">
      <c r="A5287">
        <v>975140</v>
      </c>
      <c r="B5287" s="1">
        <v>44700</v>
      </c>
      <c r="C5287">
        <v>94150</v>
      </c>
      <c r="D5287" t="s">
        <v>63</v>
      </c>
      <c r="E5287" t="s">
        <v>111</v>
      </c>
      <c r="F5287" t="s">
        <v>112</v>
      </c>
      <c r="G5287">
        <v>1</v>
      </c>
      <c r="H5287">
        <v>11.24</v>
      </c>
      <c r="I5287">
        <v>0.25</v>
      </c>
      <c r="J5287">
        <v>8.43</v>
      </c>
      <c r="K5287" t="s">
        <v>66</v>
      </c>
      <c r="L5287" t="s">
        <v>17</v>
      </c>
    </row>
    <row r="5288" spans="1:13" x14ac:dyDescent="0.2">
      <c r="A5288">
        <v>975217</v>
      </c>
      <c r="B5288" s="1">
        <v>45294</v>
      </c>
      <c r="C5288">
        <v>75726</v>
      </c>
      <c r="D5288" t="s">
        <v>29</v>
      </c>
      <c r="E5288" t="s">
        <v>88</v>
      </c>
      <c r="F5288" t="s">
        <v>89</v>
      </c>
      <c r="G5288">
        <v>5</v>
      </c>
      <c r="H5288">
        <v>49.99</v>
      </c>
      <c r="J5288">
        <v>249.95</v>
      </c>
      <c r="K5288" t="s">
        <v>53</v>
      </c>
      <c r="L5288" t="s">
        <v>37</v>
      </c>
      <c r="M5288" t="s">
        <v>57</v>
      </c>
    </row>
    <row r="5289" spans="1:13" x14ac:dyDescent="0.2">
      <c r="A5289">
        <v>975353</v>
      </c>
      <c r="B5289" s="1">
        <v>45511</v>
      </c>
      <c r="C5289">
        <v>95466</v>
      </c>
      <c r="D5289" t="s">
        <v>97</v>
      </c>
      <c r="E5289" t="s">
        <v>181</v>
      </c>
      <c r="F5289" t="s">
        <v>182</v>
      </c>
      <c r="G5289">
        <v>5</v>
      </c>
      <c r="H5289">
        <v>14.24</v>
      </c>
      <c r="I5289">
        <v>0.05</v>
      </c>
      <c r="J5289">
        <v>67.64</v>
      </c>
      <c r="K5289" t="s">
        <v>16</v>
      </c>
      <c r="L5289" t="s">
        <v>17</v>
      </c>
      <c r="M5289" t="s">
        <v>62</v>
      </c>
    </row>
    <row r="5290" spans="1:13" x14ac:dyDescent="0.2">
      <c r="A5290">
        <v>975664</v>
      </c>
      <c r="B5290" s="2">
        <v>44751</v>
      </c>
      <c r="D5290" t="s">
        <v>13</v>
      </c>
      <c r="E5290" t="s">
        <v>55</v>
      </c>
      <c r="F5290" t="s">
        <v>56</v>
      </c>
      <c r="G5290">
        <v>2</v>
      </c>
      <c r="H5290">
        <v>280.49</v>
      </c>
      <c r="I5290">
        <v>0.15</v>
      </c>
      <c r="J5290">
        <v>476.83</v>
      </c>
      <c r="K5290" t="s">
        <v>22</v>
      </c>
      <c r="L5290" t="s">
        <v>17</v>
      </c>
      <c r="M5290" t="s">
        <v>28</v>
      </c>
    </row>
    <row r="5291" spans="1:13" x14ac:dyDescent="0.2">
      <c r="A5291">
        <v>975996</v>
      </c>
      <c r="B5291" s="2">
        <v>45087</v>
      </c>
      <c r="C5291">
        <v>34024</v>
      </c>
      <c r="D5291" t="s">
        <v>29</v>
      </c>
      <c r="E5291" t="s">
        <v>88</v>
      </c>
      <c r="F5291" t="s">
        <v>89</v>
      </c>
      <c r="G5291">
        <v>1</v>
      </c>
      <c r="H5291">
        <v>49.99</v>
      </c>
      <c r="J5291">
        <v>49.99</v>
      </c>
      <c r="K5291" t="s">
        <v>16</v>
      </c>
      <c r="L5291" t="s">
        <v>17</v>
      </c>
      <c r="M5291" t="s">
        <v>90</v>
      </c>
    </row>
    <row r="5292" spans="1:13" x14ac:dyDescent="0.2">
      <c r="A5292">
        <v>976029</v>
      </c>
      <c r="B5292" s="1">
        <v>44746</v>
      </c>
      <c r="C5292">
        <v>28417</v>
      </c>
      <c r="D5292" t="s">
        <v>13</v>
      </c>
      <c r="E5292" t="s">
        <v>55</v>
      </c>
      <c r="F5292" t="s">
        <v>56</v>
      </c>
      <c r="G5292">
        <v>1</v>
      </c>
      <c r="H5292">
        <v>230.99</v>
      </c>
      <c r="I5292">
        <v>0.3</v>
      </c>
      <c r="J5292">
        <v>161.69</v>
      </c>
      <c r="K5292" t="s">
        <v>36</v>
      </c>
      <c r="L5292" t="s">
        <v>23</v>
      </c>
      <c r="M5292" t="s">
        <v>123</v>
      </c>
    </row>
    <row r="5293" spans="1:13" x14ac:dyDescent="0.2">
      <c r="A5293">
        <v>976133</v>
      </c>
      <c r="B5293" s="1">
        <v>45329</v>
      </c>
      <c r="C5293">
        <v>33484</v>
      </c>
      <c r="D5293" t="s">
        <v>63</v>
      </c>
      <c r="E5293" t="s">
        <v>131</v>
      </c>
      <c r="F5293" t="s">
        <v>132</v>
      </c>
      <c r="G5293">
        <v>5</v>
      </c>
      <c r="H5293">
        <v>3.49</v>
      </c>
      <c r="J5293">
        <v>17.45</v>
      </c>
      <c r="K5293" t="s">
        <v>16</v>
      </c>
      <c r="L5293" t="s">
        <v>17</v>
      </c>
      <c r="M5293" t="s">
        <v>67</v>
      </c>
    </row>
    <row r="5294" spans="1:13" x14ac:dyDescent="0.2">
      <c r="A5294">
        <v>976970</v>
      </c>
      <c r="B5294" s="2">
        <v>45560</v>
      </c>
      <c r="C5294">
        <v>60030</v>
      </c>
      <c r="D5294" t="s">
        <v>82</v>
      </c>
      <c r="E5294" t="s">
        <v>155</v>
      </c>
      <c r="F5294" t="s">
        <v>156</v>
      </c>
      <c r="G5294">
        <v>1</v>
      </c>
      <c r="H5294">
        <v>16.989999999999998</v>
      </c>
      <c r="I5294">
        <v>0.15</v>
      </c>
      <c r="J5294">
        <v>14.44</v>
      </c>
      <c r="K5294" t="s">
        <v>16</v>
      </c>
      <c r="L5294" t="s">
        <v>37</v>
      </c>
    </row>
    <row r="5295" spans="1:13" x14ac:dyDescent="0.2">
      <c r="A5295">
        <v>976981</v>
      </c>
      <c r="B5295" s="2">
        <v>45439</v>
      </c>
      <c r="C5295">
        <v>33059</v>
      </c>
      <c r="D5295" t="s">
        <v>48</v>
      </c>
      <c r="E5295" t="s">
        <v>143</v>
      </c>
      <c r="F5295" t="s">
        <v>144</v>
      </c>
      <c r="G5295">
        <v>1</v>
      </c>
      <c r="H5295">
        <v>12.74</v>
      </c>
      <c r="I5295">
        <v>0.15</v>
      </c>
      <c r="J5295">
        <v>10.83</v>
      </c>
      <c r="K5295" t="s">
        <v>16</v>
      </c>
      <c r="L5295" t="s">
        <v>37</v>
      </c>
    </row>
    <row r="5296" spans="1:13" x14ac:dyDescent="0.2">
      <c r="A5296">
        <v>977168</v>
      </c>
      <c r="B5296" s="1">
        <v>45073</v>
      </c>
      <c r="C5296">
        <v>48679</v>
      </c>
      <c r="D5296" t="s">
        <v>25</v>
      </c>
      <c r="E5296" t="s">
        <v>70</v>
      </c>
      <c r="F5296" t="s">
        <v>71</v>
      </c>
      <c r="G5296">
        <v>1</v>
      </c>
      <c r="H5296">
        <v>80.989999999999995</v>
      </c>
      <c r="I5296">
        <v>0.1</v>
      </c>
      <c r="J5296">
        <v>72.89</v>
      </c>
      <c r="K5296" t="s">
        <v>16</v>
      </c>
      <c r="L5296" t="s">
        <v>37</v>
      </c>
      <c r="M5296" t="s">
        <v>123</v>
      </c>
    </row>
    <row r="5297" spans="1:13" x14ac:dyDescent="0.2">
      <c r="A5297">
        <v>978031</v>
      </c>
      <c r="B5297" s="1">
        <v>44840</v>
      </c>
      <c r="C5297">
        <v>74868</v>
      </c>
      <c r="D5297" t="s">
        <v>97</v>
      </c>
      <c r="E5297" t="s">
        <v>193</v>
      </c>
      <c r="F5297" t="s">
        <v>194</v>
      </c>
      <c r="G5297">
        <v>1</v>
      </c>
      <c r="H5297">
        <v>45.49</v>
      </c>
      <c r="I5297">
        <v>0.3</v>
      </c>
      <c r="J5297">
        <v>31.84</v>
      </c>
      <c r="K5297" t="s">
        <v>66</v>
      </c>
      <c r="L5297" t="s">
        <v>17</v>
      </c>
      <c r="M5297" t="s">
        <v>54</v>
      </c>
    </row>
    <row r="5298" spans="1:13" x14ac:dyDescent="0.2">
      <c r="A5298">
        <v>978542</v>
      </c>
      <c r="B5298" s="2">
        <v>45211</v>
      </c>
      <c r="C5298">
        <v>73718</v>
      </c>
      <c r="D5298" t="s">
        <v>29</v>
      </c>
      <c r="E5298" t="s">
        <v>30</v>
      </c>
      <c r="F5298" t="s">
        <v>31</v>
      </c>
      <c r="G5298">
        <v>5</v>
      </c>
      <c r="H5298">
        <v>24.99</v>
      </c>
      <c r="J5298">
        <v>124.95</v>
      </c>
      <c r="K5298" t="s">
        <v>36</v>
      </c>
      <c r="L5298" t="s">
        <v>37</v>
      </c>
      <c r="M5298" t="s">
        <v>76</v>
      </c>
    </row>
    <row r="5299" spans="1:13" x14ac:dyDescent="0.2">
      <c r="A5299">
        <v>978556</v>
      </c>
      <c r="B5299" s="1">
        <v>45555</v>
      </c>
      <c r="C5299">
        <v>38875</v>
      </c>
      <c r="D5299" t="s">
        <v>44</v>
      </c>
      <c r="E5299" t="s">
        <v>74</v>
      </c>
      <c r="F5299" t="s">
        <v>75</v>
      </c>
      <c r="G5299">
        <v>4</v>
      </c>
      <c r="H5299">
        <v>2.99</v>
      </c>
      <c r="J5299">
        <v>11.96</v>
      </c>
      <c r="K5299" t="s">
        <v>32</v>
      </c>
      <c r="L5299" t="s">
        <v>17</v>
      </c>
      <c r="M5299" t="s">
        <v>123</v>
      </c>
    </row>
    <row r="5300" spans="1:13" x14ac:dyDescent="0.2">
      <c r="A5300">
        <v>978629</v>
      </c>
      <c r="B5300" s="2">
        <v>45251</v>
      </c>
      <c r="C5300">
        <v>28090</v>
      </c>
      <c r="D5300" t="s">
        <v>82</v>
      </c>
      <c r="E5300" t="s">
        <v>147</v>
      </c>
      <c r="F5300" t="s">
        <v>148</v>
      </c>
      <c r="G5300">
        <v>5</v>
      </c>
      <c r="H5300">
        <v>12.34</v>
      </c>
      <c r="I5300">
        <v>0.05</v>
      </c>
      <c r="J5300">
        <v>58.62</v>
      </c>
      <c r="K5300" t="s">
        <v>22</v>
      </c>
      <c r="L5300" t="s">
        <v>37</v>
      </c>
      <c r="M5300" t="s">
        <v>102</v>
      </c>
    </row>
    <row r="5301" spans="1:13" x14ac:dyDescent="0.2">
      <c r="A5301">
        <v>979294</v>
      </c>
      <c r="B5301" s="1">
        <v>44847</v>
      </c>
      <c r="C5301">
        <v>71827</v>
      </c>
      <c r="D5301" t="s">
        <v>29</v>
      </c>
      <c r="E5301" t="s">
        <v>72</v>
      </c>
      <c r="F5301" t="s">
        <v>73</v>
      </c>
      <c r="G5301">
        <v>2</v>
      </c>
      <c r="H5301">
        <v>27.99</v>
      </c>
      <c r="I5301">
        <v>0.3</v>
      </c>
      <c r="J5301">
        <v>39.19</v>
      </c>
      <c r="K5301" t="s">
        <v>16</v>
      </c>
      <c r="L5301" t="s">
        <v>37</v>
      </c>
      <c r="M5301" t="s">
        <v>62</v>
      </c>
    </row>
    <row r="5302" spans="1:13" x14ac:dyDescent="0.2">
      <c r="A5302">
        <v>979721</v>
      </c>
      <c r="B5302" s="2">
        <v>45279</v>
      </c>
      <c r="C5302">
        <v>63234</v>
      </c>
      <c r="D5302" t="s">
        <v>25</v>
      </c>
      <c r="E5302" t="s">
        <v>60</v>
      </c>
      <c r="F5302" t="s">
        <v>61</v>
      </c>
      <c r="G5302">
        <v>1</v>
      </c>
      <c r="H5302">
        <v>38.49</v>
      </c>
      <c r="I5302">
        <v>0.3</v>
      </c>
      <c r="J5302">
        <v>26.94</v>
      </c>
      <c r="K5302" t="s">
        <v>36</v>
      </c>
      <c r="L5302" t="s">
        <v>37</v>
      </c>
      <c r="M5302" t="s">
        <v>67</v>
      </c>
    </row>
    <row r="5303" spans="1:13" x14ac:dyDescent="0.2">
      <c r="A5303">
        <v>979734</v>
      </c>
      <c r="B5303" s="1">
        <v>45423</v>
      </c>
      <c r="C5303">
        <v>53647</v>
      </c>
      <c r="D5303" t="s">
        <v>44</v>
      </c>
      <c r="E5303" t="s">
        <v>184</v>
      </c>
      <c r="F5303" t="s">
        <v>185</v>
      </c>
      <c r="G5303">
        <v>1</v>
      </c>
      <c r="H5303">
        <v>5.49</v>
      </c>
      <c r="J5303">
        <v>5.49</v>
      </c>
      <c r="K5303" t="s">
        <v>22</v>
      </c>
      <c r="L5303" t="s">
        <v>23</v>
      </c>
      <c r="M5303" t="s">
        <v>57</v>
      </c>
    </row>
    <row r="5304" spans="1:13" x14ac:dyDescent="0.2">
      <c r="A5304">
        <v>979811</v>
      </c>
      <c r="B5304" s="1">
        <v>44606</v>
      </c>
      <c r="D5304" t="s">
        <v>85</v>
      </c>
      <c r="E5304" t="s">
        <v>137</v>
      </c>
      <c r="F5304" t="s">
        <v>138</v>
      </c>
      <c r="G5304">
        <v>5</v>
      </c>
      <c r="H5304">
        <v>6.79</v>
      </c>
      <c r="I5304">
        <v>0.15</v>
      </c>
      <c r="J5304">
        <v>28.86</v>
      </c>
      <c r="K5304" t="s">
        <v>95</v>
      </c>
      <c r="L5304" t="s">
        <v>17</v>
      </c>
      <c r="M5304" t="s">
        <v>123</v>
      </c>
    </row>
    <row r="5305" spans="1:13" x14ac:dyDescent="0.2">
      <c r="A5305">
        <v>979943</v>
      </c>
      <c r="B5305" s="2">
        <v>45515</v>
      </c>
      <c r="C5305">
        <v>95784</v>
      </c>
      <c r="D5305" t="s">
        <v>82</v>
      </c>
      <c r="E5305" t="s">
        <v>188</v>
      </c>
      <c r="F5305" t="s">
        <v>189</v>
      </c>
      <c r="G5305">
        <v>4</v>
      </c>
      <c r="H5305">
        <v>42.74</v>
      </c>
      <c r="I5305">
        <v>0.05</v>
      </c>
      <c r="J5305">
        <v>162.41</v>
      </c>
      <c r="K5305" t="s">
        <v>16</v>
      </c>
      <c r="L5305" t="s">
        <v>23</v>
      </c>
      <c r="M5305" t="s">
        <v>24</v>
      </c>
    </row>
    <row r="5306" spans="1:13" x14ac:dyDescent="0.2">
      <c r="A5306">
        <v>980303</v>
      </c>
      <c r="B5306" s="1">
        <v>44565</v>
      </c>
      <c r="C5306">
        <v>92226</v>
      </c>
      <c r="D5306" t="s">
        <v>82</v>
      </c>
      <c r="E5306" t="s">
        <v>155</v>
      </c>
      <c r="F5306" t="s">
        <v>156</v>
      </c>
      <c r="G5306">
        <v>2</v>
      </c>
      <c r="H5306">
        <v>19.989999999999998</v>
      </c>
      <c r="J5306">
        <v>39.979999999999997</v>
      </c>
      <c r="K5306" t="s">
        <v>22</v>
      </c>
      <c r="L5306" t="s">
        <v>37</v>
      </c>
      <c r="M5306" t="s">
        <v>120</v>
      </c>
    </row>
    <row r="5307" spans="1:13" x14ac:dyDescent="0.2">
      <c r="A5307">
        <v>980486</v>
      </c>
      <c r="B5307" s="1">
        <v>44663</v>
      </c>
      <c r="C5307">
        <v>81176</v>
      </c>
      <c r="D5307" t="s">
        <v>13</v>
      </c>
      <c r="E5307" t="s">
        <v>186</v>
      </c>
      <c r="F5307" t="s">
        <v>187</v>
      </c>
      <c r="G5307">
        <v>2</v>
      </c>
      <c r="H5307">
        <v>44.99</v>
      </c>
      <c r="I5307">
        <v>0.1</v>
      </c>
      <c r="J5307">
        <v>80.98</v>
      </c>
      <c r="K5307" t="s">
        <v>36</v>
      </c>
      <c r="L5307" t="s">
        <v>17</v>
      </c>
    </row>
    <row r="5308" spans="1:13" x14ac:dyDescent="0.2">
      <c r="A5308">
        <v>980794</v>
      </c>
      <c r="B5308" s="1">
        <v>45149</v>
      </c>
      <c r="C5308">
        <v>55871</v>
      </c>
      <c r="D5308" t="s">
        <v>44</v>
      </c>
      <c r="E5308" t="s">
        <v>177</v>
      </c>
      <c r="F5308" t="s">
        <v>178</v>
      </c>
      <c r="G5308">
        <v>1</v>
      </c>
      <c r="H5308">
        <v>9.59</v>
      </c>
      <c r="I5308">
        <v>0.2</v>
      </c>
      <c r="J5308">
        <v>7.67</v>
      </c>
      <c r="K5308" t="s">
        <v>32</v>
      </c>
      <c r="L5308" t="s">
        <v>17</v>
      </c>
      <c r="M5308" t="s">
        <v>81</v>
      </c>
    </row>
    <row r="5309" spans="1:13" x14ac:dyDescent="0.2">
      <c r="A5309">
        <v>981049</v>
      </c>
      <c r="B5309" s="1">
        <v>45373</v>
      </c>
      <c r="C5309">
        <v>83158</v>
      </c>
      <c r="D5309" t="s">
        <v>25</v>
      </c>
      <c r="E5309" t="s">
        <v>26</v>
      </c>
      <c r="F5309" t="s">
        <v>27</v>
      </c>
      <c r="G5309">
        <v>1</v>
      </c>
      <c r="H5309">
        <v>33.24</v>
      </c>
      <c r="I5309">
        <v>0.05</v>
      </c>
      <c r="J5309">
        <v>31.58</v>
      </c>
      <c r="K5309" t="s">
        <v>36</v>
      </c>
      <c r="L5309" t="s">
        <v>17</v>
      </c>
      <c r="M5309" t="s">
        <v>47</v>
      </c>
    </row>
    <row r="5310" spans="1:13" x14ac:dyDescent="0.2">
      <c r="A5310">
        <v>981166</v>
      </c>
      <c r="B5310" s="1">
        <v>44663</v>
      </c>
      <c r="C5310">
        <v>69169</v>
      </c>
      <c r="D5310" t="s">
        <v>199</v>
      </c>
      <c r="E5310" t="s">
        <v>186</v>
      </c>
      <c r="F5310" t="s">
        <v>187</v>
      </c>
      <c r="G5310">
        <v>5</v>
      </c>
      <c r="H5310">
        <v>39.99</v>
      </c>
      <c r="I5310">
        <v>0.2</v>
      </c>
      <c r="J5310">
        <v>159.96</v>
      </c>
      <c r="K5310" t="s">
        <v>16</v>
      </c>
      <c r="L5310" t="s">
        <v>17</v>
      </c>
      <c r="M5310" t="s">
        <v>54</v>
      </c>
    </row>
    <row r="5311" spans="1:13" x14ac:dyDescent="0.2">
      <c r="A5311">
        <v>981353</v>
      </c>
      <c r="B5311" s="1">
        <v>44876</v>
      </c>
      <c r="C5311">
        <v>18336</v>
      </c>
      <c r="D5311" t="s">
        <v>44</v>
      </c>
      <c r="E5311" t="s">
        <v>107</v>
      </c>
      <c r="F5311" t="s">
        <v>108</v>
      </c>
      <c r="G5311">
        <v>3</v>
      </c>
      <c r="H5311">
        <v>3.49</v>
      </c>
      <c r="J5311">
        <v>10.47</v>
      </c>
      <c r="K5311" t="s">
        <v>36</v>
      </c>
      <c r="L5311" t="s">
        <v>23</v>
      </c>
      <c r="M5311" t="s">
        <v>96</v>
      </c>
    </row>
    <row r="5312" spans="1:13" x14ac:dyDescent="0.2">
      <c r="A5312">
        <v>981576</v>
      </c>
      <c r="B5312" s="1">
        <v>45455</v>
      </c>
      <c r="C5312">
        <v>65121</v>
      </c>
      <c r="D5312" t="s">
        <v>85</v>
      </c>
      <c r="E5312" t="s">
        <v>153</v>
      </c>
      <c r="F5312" t="s">
        <v>154</v>
      </c>
      <c r="G5312">
        <v>2</v>
      </c>
      <c r="H5312">
        <v>22.49</v>
      </c>
      <c r="I5312">
        <v>0.25</v>
      </c>
      <c r="J5312">
        <v>33.74</v>
      </c>
      <c r="K5312" t="s">
        <v>36</v>
      </c>
      <c r="L5312" t="s">
        <v>23</v>
      </c>
      <c r="M5312" t="s">
        <v>96</v>
      </c>
    </row>
    <row r="5313" spans="1:13" x14ac:dyDescent="0.2">
      <c r="A5313">
        <v>981869</v>
      </c>
      <c r="B5313" s="1">
        <v>44698</v>
      </c>
      <c r="C5313">
        <v>74296</v>
      </c>
      <c r="D5313" t="s">
        <v>40</v>
      </c>
      <c r="E5313" t="s">
        <v>115</v>
      </c>
      <c r="F5313" t="s">
        <v>116</v>
      </c>
      <c r="G5313">
        <v>5</v>
      </c>
      <c r="H5313">
        <v>9.09</v>
      </c>
      <c r="I5313">
        <v>0.3</v>
      </c>
      <c r="J5313">
        <v>31.82</v>
      </c>
      <c r="K5313" t="s">
        <v>16</v>
      </c>
      <c r="L5313" t="s">
        <v>37</v>
      </c>
      <c r="M5313" t="s">
        <v>102</v>
      </c>
    </row>
    <row r="5314" spans="1:13" x14ac:dyDescent="0.2">
      <c r="A5314">
        <v>981996</v>
      </c>
      <c r="B5314" s="1">
        <v>45020</v>
      </c>
      <c r="C5314">
        <v>98923</v>
      </c>
      <c r="D5314" t="s">
        <v>40</v>
      </c>
      <c r="E5314" t="s">
        <v>115</v>
      </c>
      <c r="F5314" t="s">
        <v>116</v>
      </c>
      <c r="G5314">
        <v>4</v>
      </c>
      <c r="H5314">
        <v>11.69</v>
      </c>
      <c r="I5314">
        <v>0.1</v>
      </c>
      <c r="J5314">
        <v>42.08</v>
      </c>
      <c r="K5314" t="s">
        <v>36</v>
      </c>
      <c r="L5314" t="s">
        <v>23</v>
      </c>
      <c r="M5314" t="s">
        <v>24</v>
      </c>
    </row>
    <row r="5315" spans="1:13" x14ac:dyDescent="0.2">
      <c r="A5315">
        <v>982161</v>
      </c>
      <c r="B5315" s="2">
        <v>45407</v>
      </c>
      <c r="C5315">
        <v>15782</v>
      </c>
      <c r="D5315" t="s">
        <v>25</v>
      </c>
      <c r="E5315" t="s">
        <v>51</v>
      </c>
      <c r="F5315" t="s">
        <v>52</v>
      </c>
      <c r="G5315">
        <v>2</v>
      </c>
      <c r="H5315">
        <v>27.99</v>
      </c>
      <c r="J5315">
        <v>55.98</v>
      </c>
      <c r="K5315" t="s">
        <v>32</v>
      </c>
      <c r="L5315" t="s">
        <v>17</v>
      </c>
      <c r="M5315" t="s">
        <v>43</v>
      </c>
    </row>
    <row r="5316" spans="1:13" x14ac:dyDescent="0.2">
      <c r="A5316">
        <v>982407</v>
      </c>
      <c r="B5316" s="1">
        <v>45064</v>
      </c>
      <c r="C5316">
        <v>94106</v>
      </c>
      <c r="D5316" t="s">
        <v>63</v>
      </c>
      <c r="E5316" t="s">
        <v>64</v>
      </c>
      <c r="F5316" t="s">
        <v>65</v>
      </c>
      <c r="G5316">
        <v>2</v>
      </c>
      <c r="H5316">
        <v>4.24</v>
      </c>
      <c r="I5316">
        <v>0.15</v>
      </c>
      <c r="J5316">
        <v>7.21</v>
      </c>
      <c r="K5316" t="s">
        <v>36</v>
      </c>
      <c r="L5316" t="s">
        <v>17</v>
      </c>
      <c r="M5316" t="s">
        <v>120</v>
      </c>
    </row>
    <row r="5317" spans="1:13" x14ac:dyDescent="0.2">
      <c r="A5317">
        <v>982417</v>
      </c>
      <c r="B5317" s="1">
        <v>45524</v>
      </c>
      <c r="C5317">
        <v>42631</v>
      </c>
      <c r="D5317" t="s">
        <v>48</v>
      </c>
      <c r="E5317" t="s">
        <v>109</v>
      </c>
      <c r="F5317" t="s">
        <v>110</v>
      </c>
      <c r="G5317">
        <v>1</v>
      </c>
      <c r="H5317">
        <v>6.99</v>
      </c>
      <c r="J5317">
        <v>6.99</v>
      </c>
      <c r="K5317" t="s">
        <v>16</v>
      </c>
      <c r="L5317" t="s">
        <v>17</v>
      </c>
      <c r="M5317" t="s">
        <v>96</v>
      </c>
    </row>
    <row r="5318" spans="1:13" x14ac:dyDescent="0.2">
      <c r="A5318">
        <v>982442</v>
      </c>
      <c r="B5318" s="1">
        <v>44849</v>
      </c>
      <c r="C5318">
        <v>33230</v>
      </c>
      <c r="D5318" t="s">
        <v>85</v>
      </c>
      <c r="E5318" t="s">
        <v>149</v>
      </c>
      <c r="F5318" t="s">
        <v>150</v>
      </c>
      <c r="G5318">
        <v>4</v>
      </c>
      <c r="H5318">
        <v>14.99</v>
      </c>
      <c r="I5318">
        <v>0.25</v>
      </c>
      <c r="J5318">
        <v>44.97</v>
      </c>
      <c r="K5318" t="s">
        <v>36</v>
      </c>
      <c r="L5318" t="s">
        <v>37</v>
      </c>
      <c r="M5318" t="s">
        <v>161</v>
      </c>
    </row>
    <row r="5319" spans="1:13" x14ac:dyDescent="0.2">
      <c r="A5319">
        <v>982562</v>
      </c>
      <c r="B5319" s="2">
        <v>44922</v>
      </c>
      <c r="C5319">
        <v>43608</v>
      </c>
      <c r="D5319" t="s">
        <v>29</v>
      </c>
      <c r="E5319" t="s">
        <v>170</v>
      </c>
      <c r="F5319" t="s">
        <v>171</v>
      </c>
      <c r="G5319">
        <v>1</v>
      </c>
      <c r="H5319">
        <v>14.99</v>
      </c>
      <c r="J5319">
        <v>14.99</v>
      </c>
      <c r="K5319" t="s">
        <v>16</v>
      </c>
      <c r="L5319" t="s">
        <v>23</v>
      </c>
      <c r="M5319" t="s">
        <v>161</v>
      </c>
    </row>
    <row r="5320" spans="1:13" x14ac:dyDescent="0.2">
      <c r="A5320">
        <v>982937</v>
      </c>
      <c r="B5320" s="2">
        <v>45486</v>
      </c>
      <c r="C5320">
        <v>16880</v>
      </c>
      <c r="D5320" t="s">
        <v>29</v>
      </c>
      <c r="E5320" t="s">
        <v>30</v>
      </c>
      <c r="F5320" t="s">
        <v>31</v>
      </c>
      <c r="G5320">
        <v>2</v>
      </c>
      <c r="H5320">
        <v>17.489999999999998</v>
      </c>
      <c r="I5320">
        <v>0.3</v>
      </c>
      <c r="J5320">
        <v>24.49</v>
      </c>
      <c r="K5320" t="s">
        <v>16</v>
      </c>
      <c r="L5320" t="s">
        <v>17</v>
      </c>
      <c r="M5320" t="s">
        <v>102</v>
      </c>
    </row>
    <row r="5321" spans="1:13" x14ac:dyDescent="0.2">
      <c r="A5321">
        <v>983140</v>
      </c>
      <c r="B5321" s="1">
        <v>44677</v>
      </c>
      <c r="C5321">
        <v>17154</v>
      </c>
      <c r="D5321" t="s">
        <v>48</v>
      </c>
      <c r="E5321" t="s">
        <v>109</v>
      </c>
      <c r="F5321" t="s">
        <v>110</v>
      </c>
      <c r="G5321">
        <v>1</v>
      </c>
      <c r="H5321">
        <v>5.24</v>
      </c>
      <c r="I5321">
        <v>0.25</v>
      </c>
      <c r="J5321">
        <v>3.93</v>
      </c>
      <c r="K5321" t="s">
        <v>36</v>
      </c>
      <c r="L5321" t="s">
        <v>17</v>
      </c>
      <c r="M5321" t="s">
        <v>123</v>
      </c>
    </row>
    <row r="5322" spans="1:13" x14ac:dyDescent="0.2">
      <c r="A5322">
        <v>983528</v>
      </c>
      <c r="B5322" s="1">
        <v>45244</v>
      </c>
      <c r="C5322">
        <v>44065</v>
      </c>
      <c r="D5322" t="s">
        <v>85</v>
      </c>
      <c r="E5322" t="s">
        <v>157</v>
      </c>
      <c r="F5322" t="s">
        <v>158</v>
      </c>
      <c r="G5322">
        <v>1</v>
      </c>
      <c r="H5322">
        <v>12.14</v>
      </c>
      <c r="I5322">
        <v>0.1</v>
      </c>
      <c r="J5322">
        <v>10.93</v>
      </c>
      <c r="K5322" t="s">
        <v>36</v>
      </c>
      <c r="L5322" t="s">
        <v>17</v>
      </c>
      <c r="M5322" t="s">
        <v>18</v>
      </c>
    </row>
    <row r="5323" spans="1:13" x14ac:dyDescent="0.2">
      <c r="A5323">
        <v>983855</v>
      </c>
      <c r="B5323" s="1">
        <v>45509</v>
      </c>
      <c r="C5323">
        <v>49013</v>
      </c>
      <c r="D5323" t="s">
        <v>63</v>
      </c>
      <c r="E5323" t="s">
        <v>68</v>
      </c>
      <c r="F5323" t="s">
        <v>69</v>
      </c>
      <c r="G5323">
        <v>4</v>
      </c>
      <c r="H5323">
        <v>24.99</v>
      </c>
      <c r="J5323">
        <v>99.96</v>
      </c>
      <c r="K5323" t="s">
        <v>53</v>
      </c>
      <c r="L5323" t="s">
        <v>17</v>
      </c>
    </row>
    <row r="5324" spans="1:13" x14ac:dyDescent="0.2">
      <c r="A5324">
        <v>984009</v>
      </c>
      <c r="B5324" s="2">
        <v>45316</v>
      </c>
      <c r="C5324">
        <v>45816</v>
      </c>
      <c r="D5324" t="s">
        <v>97</v>
      </c>
      <c r="E5324" t="s">
        <v>98</v>
      </c>
      <c r="F5324" t="s">
        <v>99</v>
      </c>
      <c r="G5324">
        <v>2</v>
      </c>
      <c r="H5324">
        <v>27.99</v>
      </c>
      <c r="J5324">
        <v>55.98</v>
      </c>
      <c r="K5324" t="s">
        <v>53</v>
      </c>
      <c r="L5324" t="s">
        <v>17</v>
      </c>
      <c r="M5324" t="s">
        <v>81</v>
      </c>
    </row>
    <row r="5325" spans="1:13" x14ac:dyDescent="0.2">
      <c r="A5325">
        <v>984432</v>
      </c>
      <c r="B5325" s="1">
        <v>45513</v>
      </c>
      <c r="C5325">
        <v>35406</v>
      </c>
      <c r="D5325" t="s">
        <v>200</v>
      </c>
      <c r="E5325" t="s">
        <v>51</v>
      </c>
      <c r="F5325" t="s">
        <v>52</v>
      </c>
      <c r="G5325">
        <v>1</v>
      </c>
      <c r="H5325">
        <v>19.59</v>
      </c>
      <c r="I5325">
        <v>0.3</v>
      </c>
      <c r="J5325">
        <v>13.71</v>
      </c>
      <c r="K5325" t="s">
        <v>16</v>
      </c>
      <c r="L5325" t="s">
        <v>17</v>
      </c>
    </row>
    <row r="5326" spans="1:13" x14ac:dyDescent="0.2">
      <c r="A5326">
        <v>984552</v>
      </c>
      <c r="B5326" s="1">
        <v>45266</v>
      </c>
      <c r="C5326">
        <v>97579</v>
      </c>
      <c r="D5326" t="s">
        <v>48</v>
      </c>
      <c r="E5326" t="s">
        <v>49</v>
      </c>
      <c r="F5326" t="s">
        <v>50</v>
      </c>
      <c r="G5326">
        <v>1</v>
      </c>
      <c r="H5326">
        <v>7.19</v>
      </c>
      <c r="I5326">
        <v>0.2</v>
      </c>
      <c r="J5326">
        <v>5.75</v>
      </c>
      <c r="K5326" t="s">
        <v>22</v>
      </c>
      <c r="L5326" t="s">
        <v>17</v>
      </c>
      <c r="M5326" t="s">
        <v>47</v>
      </c>
    </row>
    <row r="5327" spans="1:13" x14ac:dyDescent="0.2">
      <c r="A5327">
        <v>984824</v>
      </c>
      <c r="B5327" s="1">
        <v>45311</v>
      </c>
      <c r="D5327" t="s">
        <v>85</v>
      </c>
      <c r="E5327" t="s">
        <v>153</v>
      </c>
      <c r="F5327" t="s">
        <v>154</v>
      </c>
      <c r="G5327">
        <v>2</v>
      </c>
      <c r="H5327">
        <v>28.49</v>
      </c>
      <c r="I5327">
        <v>0.05</v>
      </c>
      <c r="J5327">
        <v>54.13</v>
      </c>
      <c r="K5327" t="s">
        <v>16</v>
      </c>
      <c r="L5327" t="s">
        <v>37</v>
      </c>
      <c r="M5327" t="s">
        <v>117</v>
      </c>
    </row>
    <row r="5328" spans="1:13" x14ac:dyDescent="0.2">
      <c r="A5328">
        <v>984859</v>
      </c>
      <c r="B5328" s="1">
        <v>45353</v>
      </c>
      <c r="C5328">
        <v>97037</v>
      </c>
      <c r="D5328" t="s">
        <v>29</v>
      </c>
      <c r="E5328" t="s">
        <v>72</v>
      </c>
      <c r="F5328" t="s">
        <v>73</v>
      </c>
      <c r="G5328">
        <v>2</v>
      </c>
      <c r="H5328">
        <v>35.99</v>
      </c>
      <c r="I5328">
        <v>0.1</v>
      </c>
      <c r="J5328">
        <v>64.78</v>
      </c>
      <c r="K5328" t="s">
        <v>36</v>
      </c>
      <c r="L5328" t="s">
        <v>37</v>
      </c>
      <c r="M5328" t="s">
        <v>43</v>
      </c>
    </row>
    <row r="5329" spans="1:13" x14ac:dyDescent="0.2">
      <c r="A5329">
        <v>985095</v>
      </c>
      <c r="B5329" s="2">
        <v>44633</v>
      </c>
      <c r="C5329">
        <v>89010</v>
      </c>
      <c r="D5329" t="s">
        <v>97</v>
      </c>
      <c r="E5329" t="s">
        <v>98</v>
      </c>
      <c r="F5329" t="s">
        <v>99</v>
      </c>
      <c r="G5329">
        <v>5</v>
      </c>
      <c r="H5329">
        <v>25.19</v>
      </c>
      <c r="I5329">
        <v>0.1</v>
      </c>
      <c r="J5329">
        <v>113.36</v>
      </c>
      <c r="K5329" t="s">
        <v>36</v>
      </c>
      <c r="L5329" t="s">
        <v>17</v>
      </c>
      <c r="M5329" t="s">
        <v>76</v>
      </c>
    </row>
    <row r="5330" spans="1:13" x14ac:dyDescent="0.2">
      <c r="A5330">
        <v>985795</v>
      </c>
      <c r="B5330" s="1">
        <v>45108</v>
      </c>
      <c r="C5330">
        <v>79793</v>
      </c>
      <c r="D5330" t="s">
        <v>85</v>
      </c>
      <c r="E5330" t="s">
        <v>137</v>
      </c>
      <c r="F5330" t="s">
        <v>138</v>
      </c>
      <c r="G5330">
        <v>2</v>
      </c>
      <c r="H5330">
        <v>7.19</v>
      </c>
      <c r="I5330">
        <v>0.1</v>
      </c>
      <c r="J5330">
        <v>12.94</v>
      </c>
      <c r="K5330" t="s">
        <v>22</v>
      </c>
      <c r="L5330" t="s">
        <v>17</v>
      </c>
      <c r="M5330" t="s">
        <v>120</v>
      </c>
    </row>
    <row r="5331" spans="1:13" x14ac:dyDescent="0.2">
      <c r="A5331">
        <v>985874</v>
      </c>
      <c r="B5331" s="1">
        <v>44826</v>
      </c>
      <c r="C5331">
        <v>64158</v>
      </c>
      <c r="D5331" t="s">
        <v>29</v>
      </c>
      <c r="E5331" t="s">
        <v>38</v>
      </c>
      <c r="F5331" t="s">
        <v>39</v>
      </c>
      <c r="G5331">
        <v>1</v>
      </c>
      <c r="H5331">
        <v>22.49</v>
      </c>
      <c r="I5331">
        <v>0.25</v>
      </c>
      <c r="J5331">
        <v>16.87</v>
      </c>
      <c r="K5331" t="s">
        <v>16</v>
      </c>
      <c r="L5331" t="s">
        <v>17</v>
      </c>
      <c r="M5331" t="s">
        <v>117</v>
      </c>
    </row>
    <row r="5332" spans="1:13" x14ac:dyDescent="0.2">
      <c r="A5332">
        <v>986012</v>
      </c>
      <c r="B5332" s="2">
        <v>45542</v>
      </c>
      <c r="C5332">
        <v>29921</v>
      </c>
      <c r="D5332" t="s">
        <v>82</v>
      </c>
      <c r="E5332" t="s">
        <v>100</v>
      </c>
      <c r="F5332" t="s">
        <v>101</v>
      </c>
      <c r="G5332">
        <v>2</v>
      </c>
      <c r="H5332">
        <v>18.39</v>
      </c>
      <c r="I5332">
        <v>0.2</v>
      </c>
      <c r="J5332">
        <v>29.42</v>
      </c>
      <c r="K5332" t="s">
        <v>16</v>
      </c>
      <c r="L5332" t="s">
        <v>37</v>
      </c>
      <c r="M5332" t="s">
        <v>117</v>
      </c>
    </row>
    <row r="5333" spans="1:13" x14ac:dyDescent="0.2">
      <c r="A5333">
        <v>986043</v>
      </c>
      <c r="B5333" s="1">
        <v>45309</v>
      </c>
      <c r="C5333">
        <v>15305</v>
      </c>
      <c r="D5333" t="s">
        <v>29</v>
      </c>
      <c r="E5333" t="s">
        <v>72</v>
      </c>
      <c r="F5333" t="s">
        <v>73</v>
      </c>
      <c r="G5333">
        <v>1</v>
      </c>
      <c r="H5333">
        <v>37.99</v>
      </c>
      <c r="I5333">
        <v>0.05</v>
      </c>
      <c r="J5333">
        <v>36.090000000000003</v>
      </c>
      <c r="K5333" t="s">
        <v>36</v>
      </c>
      <c r="L5333" t="s">
        <v>17</v>
      </c>
      <c r="M5333" t="s">
        <v>76</v>
      </c>
    </row>
    <row r="5334" spans="1:13" x14ac:dyDescent="0.2">
      <c r="A5334">
        <v>986086</v>
      </c>
      <c r="B5334" s="1">
        <v>45030</v>
      </c>
      <c r="C5334">
        <v>17812</v>
      </c>
      <c r="D5334" t="s">
        <v>44</v>
      </c>
      <c r="E5334" t="s">
        <v>107</v>
      </c>
      <c r="F5334" t="s">
        <v>108</v>
      </c>
      <c r="G5334">
        <v>2</v>
      </c>
      <c r="H5334">
        <v>3.49</v>
      </c>
      <c r="J5334">
        <v>6.98</v>
      </c>
      <c r="K5334" t="s">
        <v>16</v>
      </c>
      <c r="L5334" t="s">
        <v>37</v>
      </c>
      <c r="M5334" t="s">
        <v>67</v>
      </c>
    </row>
    <row r="5335" spans="1:13" x14ac:dyDescent="0.2">
      <c r="A5335">
        <v>986368</v>
      </c>
      <c r="B5335" s="1">
        <v>45138</v>
      </c>
      <c r="C5335">
        <v>95774</v>
      </c>
      <c r="D5335" t="s">
        <v>29</v>
      </c>
      <c r="E5335" t="s">
        <v>175</v>
      </c>
      <c r="F5335" t="s">
        <v>176</v>
      </c>
      <c r="G5335">
        <v>5</v>
      </c>
      <c r="H5335">
        <v>11.99</v>
      </c>
      <c r="J5335">
        <v>59.95</v>
      </c>
      <c r="K5335" t="s">
        <v>36</v>
      </c>
      <c r="L5335" t="s">
        <v>17</v>
      </c>
      <c r="M5335" t="s">
        <v>103</v>
      </c>
    </row>
    <row r="5336" spans="1:13" x14ac:dyDescent="0.2">
      <c r="A5336">
        <v>986475</v>
      </c>
      <c r="B5336" s="1">
        <v>45268</v>
      </c>
      <c r="C5336">
        <v>20534</v>
      </c>
      <c r="D5336" t="s">
        <v>167</v>
      </c>
      <c r="E5336" t="s">
        <v>139</v>
      </c>
      <c r="F5336" t="s">
        <v>140</v>
      </c>
      <c r="G5336">
        <v>2</v>
      </c>
      <c r="H5336">
        <v>7.99</v>
      </c>
      <c r="J5336">
        <v>15.98</v>
      </c>
      <c r="K5336" t="s">
        <v>16</v>
      </c>
      <c r="L5336" t="s">
        <v>37</v>
      </c>
      <c r="M5336" t="s">
        <v>28</v>
      </c>
    </row>
    <row r="5337" spans="1:13" x14ac:dyDescent="0.2">
      <c r="A5337">
        <v>986589</v>
      </c>
      <c r="B5337" s="1">
        <v>45365</v>
      </c>
      <c r="C5337">
        <v>48986</v>
      </c>
      <c r="D5337" t="s">
        <v>82</v>
      </c>
      <c r="E5337" t="s">
        <v>168</v>
      </c>
      <c r="F5337" t="s">
        <v>169</v>
      </c>
      <c r="G5337">
        <v>1</v>
      </c>
      <c r="H5337">
        <v>8.99</v>
      </c>
      <c r="J5337">
        <v>8.99</v>
      </c>
      <c r="K5337" t="s">
        <v>22</v>
      </c>
      <c r="L5337" t="s">
        <v>17</v>
      </c>
      <c r="M5337" t="s">
        <v>28</v>
      </c>
    </row>
    <row r="5338" spans="1:13" x14ac:dyDescent="0.2">
      <c r="A5338">
        <v>986631</v>
      </c>
      <c r="B5338" s="1">
        <v>44894</v>
      </c>
      <c r="C5338">
        <v>39419</v>
      </c>
      <c r="D5338" t="s">
        <v>44</v>
      </c>
      <c r="E5338" t="s">
        <v>45</v>
      </c>
      <c r="F5338" t="s">
        <v>46</v>
      </c>
      <c r="G5338">
        <v>2</v>
      </c>
      <c r="H5338">
        <v>1.79</v>
      </c>
      <c r="J5338">
        <v>3.58</v>
      </c>
      <c r="K5338" t="s">
        <v>32</v>
      </c>
      <c r="L5338" t="s">
        <v>17</v>
      </c>
      <c r="M5338" t="s">
        <v>43</v>
      </c>
    </row>
    <row r="5339" spans="1:13" x14ac:dyDescent="0.2">
      <c r="A5339">
        <v>986747</v>
      </c>
      <c r="B5339" s="2">
        <v>45063</v>
      </c>
      <c r="C5339">
        <v>23095</v>
      </c>
      <c r="D5339" t="s">
        <v>48</v>
      </c>
      <c r="E5339" t="s">
        <v>109</v>
      </c>
      <c r="F5339" t="s">
        <v>110</v>
      </c>
      <c r="G5339">
        <v>3</v>
      </c>
      <c r="H5339">
        <v>6.99</v>
      </c>
      <c r="J5339">
        <v>20.97</v>
      </c>
      <c r="K5339" t="s">
        <v>16</v>
      </c>
      <c r="L5339" t="s">
        <v>17</v>
      </c>
      <c r="M5339" t="s">
        <v>33</v>
      </c>
    </row>
    <row r="5340" spans="1:13" x14ac:dyDescent="0.2">
      <c r="A5340">
        <v>986993</v>
      </c>
      <c r="B5340" s="1">
        <v>45621</v>
      </c>
      <c r="C5340">
        <v>39960</v>
      </c>
      <c r="D5340" t="s">
        <v>44</v>
      </c>
      <c r="E5340" t="s">
        <v>133</v>
      </c>
      <c r="F5340" t="s">
        <v>134</v>
      </c>
      <c r="G5340">
        <v>4</v>
      </c>
      <c r="H5340">
        <v>2.65</v>
      </c>
      <c r="I5340">
        <v>0.3</v>
      </c>
      <c r="J5340">
        <v>7.42</v>
      </c>
      <c r="K5340" t="s">
        <v>16</v>
      </c>
      <c r="L5340" t="s">
        <v>17</v>
      </c>
      <c r="M5340" t="s">
        <v>117</v>
      </c>
    </row>
    <row r="5341" spans="1:13" x14ac:dyDescent="0.2">
      <c r="A5341">
        <v>987044</v>
      </c>
      <c r="B5341" s="1">
        <v>44965</v>
      </c>
      <c r="C5341">
        <v>44519</v>
      </c>
      <c r="D5341" t="s">
        <v>40</v>
      </c>
      <c r="E5341" t="s">
        <v>115</v>
      </c>
      <c r="F5341" t="s">
        <v>116</v>
      </c>
      <c r="G5341">
        <v>2</v>
      </c>
      <c r="H5341">
        <v>12.99</v>
      </c>
      <c r="J5341">
        <v>25.98</v>
      </c>
      <c r="K5341" t="s">
        <v>16</v>
      </c>
      <c r="L5341" t="s">
        <v>17</v>
      </c>
      <c r="M5341" t="s">
        <v>67</v>
      </c>
    </row>
    <row r="5342" spans="1:13" x14ac:dyDescent="0.2">
      <c r="A5342">
        <v>987208</v>
      </c>
      <c r="B5342" s="1">
        <v>45251</v>
      </c>
      <c r="C5342">
        <v>90259</v>
      </c>
      <c r="D5342" t="s">
        <v>82</v>
      </c>
      <c r="E5342" t="s">
        <v>168</v>
      </c>
      <c r="F5342" t="s">
        <v>169</v>
      </c>
      <c r="G5342">
        <v>1</v>
      </c>
      <c r="H5342">
        <v>8.99</v>
      </c>
      <c r="J5342">
        <v>8.99</v>
      </c>
      <c r="K5342" t="s">
        <v>22</v>
      </c>
      <c r="L5342" t="s">
        <v>37</v>
      </c>
      <c r="M5342" t="s">
        <v>33</v>
      </c>
    </row>
    <row r="5343" spans="1:13" x14ac:dyDescent="0.2">
      <c r="A5343">
        <v>987599</v>
      </c>
      <c r="B5343" s="2">
        <v>44864</v>
      </c>
      <c r="C5343">
        <v>96787</v>
      </c>
      <c r="D5343" t="s">
        <v>82</v>
      </c>
      <c r="E5343" t="s">
        <v>100</v>
      </c>
      <c r="F5343" t="s">
        <v>101</v>
      </c>
      <c r="G5343">
        <v>4</v>
      </c>
      <c r="H5343">
        <v>22.99</v>
      </c>
      <c r="J5343">
        <v>91.96</v>
      </c>
      <c r="K5343" t="s">
        <v>16</v>
      </c>
      <c r="L5343" t="s">
        <v>17</v>
      </c>
      <c r="M5343" t="s">
        <v>28</v>
      </c>
    </row>
    <row r="5344" spans="1:13" x14ac:dyDescent="0.2">
      <c r="A5344">
        <v>987658</v>
      </c>
      <c r="B5344" s="1">
        <v>44904</v>
      </c>
      <c r="C5344">
        <v>85217</v>
      </c>
      <c r="D5344" t="s">
        <v>13</v>
      </c>
      <c r="E5344" t="s">
        <v>79</v>
      </c>
      <c r="F5344" t="s">
        <v>80</v>
      </c>
      <c r="G5344">
        <v>2</v>
      </c>
      <c r="H5344">
        <v>89.99</v>
      </c>
      <c r="J5344">
        <v>179.98</v>
      </c>
      <c r="K5344" t="s">
        <v>32</v>
      </c>
      <c r="L5344" t="s">
        <v>37</v>
      </c>
      <c r="M5344" t="s">
        <v>57</v>
      </c>
    </row>
    <row r="5345" spans="1:13" x14ac:dyDescent="0.2">
      <c r="A5345">
        <v>987722</v>
      </c>
      <c r="B5345" s="2">
        <v>45575</v>
      </c>
      <c r="C5345">
        <v>25774</v>
      </c>
      <c r="D5345" t="s">
        <v>48</v>
      </c>
      <c r="E5345" t="s">
        <v>143</v>
      </c>
      <c r="F5345" t="s">
        <v>144</v>
      </c>
      <c r="G5345">
        <v>5</v>
      </c>
      <c r="H5345">
        <v>14.99</v>
      </c>
      <c r="J5345">
        <v>74.95</v>
      </c>
      <c r="K5345" t="s">
        <v>36</v>
      </c>
      <c r="L5345" t="s">
        <v>37</v>
      </c>
      <c r="M5345" t="s">
        <v>161</v>
      </c>
    </row>
    <row r="5346" spans="1:13" x14ac:dyDescent="0.2">
      <c r="A5346">
        <v>987730</v>
      </c>
      <c r="B5346" s="2">
        <v>45283</v>
      </c>
      <c r="C5346">
        <v>47649</v>
      </c>
      <c r="D5346" t="s">
        <v>48</v>
      </c>
      <c r="E5346" t="s">
        <v>109</v>
      </c>
      <c r="F5346" t="s">
        <v>110</v>
      </c>
      <c r="G5346">
        <v>1</v>
      </c>
      <c r="H5346">
        <v>6.99</v>
      </c>
      <c r="J5346">
        <v>6.99</v>
      </c>
      <c r="K5346" t="s">
        <v>32</v>
      </c>
      <c r="L5346" t="s">
        <v>17</v>
      </c>
      <c r="M5346" t="s">
        <v>90</v>
      </c>
    </row>
    <row r="5347" spans="1:13" x14ac:dyDescent="0.2">
      <c r="A5347">
        <v>988568</v>
      </c>
      <c r="B5347" s="1">
        <v>45502</v>
      </c>
      <c r="C5347">
        <v>74006</v>
      </c>
      <c r="D5347" t="s">
        <v>25</v>
      </c>
      <c r="E5347" t="s">
        <v>51</v>
      </c>
      <c r="F5347" t="s">
        <v>52</v>
      </c>
      <c r="G5347">
        <v>1</v>
      </c>
      <c r="H5347">
        <v>26.59</v>
      </c>
      <c r="I5347">
        <v>0.05</v>
      </c>
      <c r="J5347">
        <v>25.26</v>
      </c>
      <c r="K5347" t="s">
        <v>16</v>
      </c>
      <c r="L5347" t="s">
        <v>17</v>
      </c>
      <c r="M5347" t="s">
        <v>28</v>
      </c>
    </row>
    <row r="5348" spans="1:13" x14ac:dyDescent="0.2">
      <c r="A5348">
        <v>988722</v>
      </c>
      <c r="B5348" s="2">
        <v>45295</v>
      </c>
      <c r="C5348">
        <v>47287</v>
      </c>
      <c r="D5348" t="s">
        <v>25</v>
      </c>
      <c r="E5348" t="s">
        <v>26</v>
      </c>
      <c r="F5348" t="s">
        <v>27</v>
      </c>
      <c r="G5348">
        <v>1</v>
      </c>
      <c r="H5348">
        <v>34.99</v>
      </c>
      <c r="J5348">
        <v>34.99</v>
      </c>
      <c r="K5348" t="s">
        <v>95</v>
      </c>
      <c r="L5348" t="s">
        <v>17</v>
      </c>
      <c r="M5348" t="s">
        <v>117</v>
      </c>
    </row>
    <row r="5349" spans="1:13" x14ac:dyDescent="0.2">
      <c r="A5349">
        <v>988728</v>
      </c>
      <c r="B5349" s="1">
        <v>45488</v>
      </c>
      <c r="C5349">
        <v>33069</v>
      </c>
      <c r="D5349" t="s">
        <v>48</v>
      </c>
      <c r="E5349" t="s">
        <v>179</v>
      </c>
      <c r="F5349" t="s">
        <v>180</v>
      </c>
      <c r="G5349">
        <v>4</v>
      </c>
      <c r="H5349">
        <v>8.99</v>
      </c>
      <c r="I5349">
        <v>0.25</v>
      </c>
      <c r="J5349">
        <v>26.97</v>
      </c>
      <c r="K5349" t="s">
        <v>32</v>
      </c>
      <c r="L5349" t="s">
        <v>17</v>
      </c>
      <c r="M5349" t="s">
        <v>81</v>
      </c>
    </row>
    <row r="5350" spans="1:13" x14ac:dyDescent="0.2">
      <c r="A5350">
        <v>988767</v>
      </c>
      <c r="B5350" s="1">
        <v>45418</v>
      </c>
      <c r="C5350">
        <v>96402</v>
      </c>
      <c r="D5350" t="s">
        <v>25</v>
      </c>
      <c r="E5350" t="s">
        <v>113</v>
      </c>
      <c r="F5350" t="s">
        <v>114</v>
      </c>
      <c r="G5350">
        <v>3</v>
      </c>
      <c r="H5350">
        <v>83.99</v>
      </c>
      <c r="I5350">
        <v>0.3</v>
      </c>
      <c r="J5350">
        <v>176.38</v>
      </c>
      <c r="K5350" t="s">
        <v>36</v>
      </c>
      <c r="L5350" t="s">
        <v>37</v>
      </c>
      <c r="M5350" t="s">
        <v>117</v>
      </c>
    </row>
    <row r="5351" spans="1:13" x14ac:dyDescent="0.2">
      <c r="A5351">
        <v>988889</v>
      </c>
      <c r="B5351" s="1">
        <v>45497</v>
      </c>
      <c r="C5351">
        <v>82035</v>
      </c>
      <c r="D5351" t="s">
        <v>44</v>
      </c>
      <c r="E5351" t="s">
        <v>172</v>
      </c>
      <c r="F5351" t="s">
        <v>173</v>
      </c>
      <c r="G5351">
        <v>1</v>
      </c>
      <c r="H5351">
        <v>3.82</v>
      </c>
      <c r="I5351">
        <v>0.15</v>
      </c>
      <c r="J5351">
        <v>3.25</v>
      </c>
      <c r="K5351" t="s">
        <v>22</v>
      </c>
      <c r="L5351" t="s">
        <v>17</v>
      </c>
      <c r="M5351" t="s">
        <v>43</v>
      </c>
    </row>
    <row r="5352" spans="1:13" x14ac:dyDescent="0.2">
      <c r="A5352">
        <v>989432</v>
      </c>
      <c r="B5352" s="2">
        <v>44629</v>
      </c>
      <c r="C5352">
        <v>21992</v>
      </c>
      <c r="D5352" t="s">
        <v>63</v>
      </c>
      <c r="E5352" t="s">
        <v>68</v>
      </c>
      <c r="F5352" t="s">
        <v>69</v>
      </c>
      <c r="G5352">
        <v>4</v>
      </c>
      <c r="H5352">
        <v>24.99</v>
      </c>
      <c r="J5352">
        <v>99.96</v>
      </c>
      <c r="K5352" t="s">
        <v>16</v>
      </c>
      <c r="L5352" t="s">
        <v>17</v>
      </c>
      <c r="M5352" t="s">
        <v>102</v>
      </c>
    </row>
    <row r="5353" spans="1:13" x14ac:dyDescent="0.2">
      <c r="A5353">
        <v>989433</v>
      </c>
      <c r="B5353" s="1">
        <v>44596</v>
      </c>
      <c r="C5353">
        <v>86919</v>
      </c>
      <c r="D5353" t="s">
        <v>63</v>
      </c>
      <c r="E5353" t="s">
        <v>64</v>
      </c>
      <c r="F5353" t="s">
        <v>65</v>
      </c>
      <c r="G5353">
        <v>4</v>
      </c>
      <c r="H5353">
        <v>4.24</v>
      </c>
      <c r="I5353">
        <v>0.15</v>
      </c>
      <c r="J5353">
        <v>14.42</v>
      </c>
      <c r="K5353" t="s">
        <v>16</v>
      </c>
      <c r="L5353" t="s">
        <v>37</v>
      </c>
      <c r="M5353" t="s">
        <v>67</v>
      </c>
    </row>
    <row r="5354" spans="1:13" x14ac:dyDescent="0.2">
      <c r="A5354">
        <v>989783</v>
      </c>
      <c r="B5354" s="1">
        <v>44935</v>
      </c>
      <c r="C5354">
        <v>27945</v>
      </c>
      <c r="D5354" t="s">
        <v>40</v>
      </c>
      <c r="E5354" t="s">
        <v>115</v>
      </c>
      <c r="F5354" t="s">
        <v>116</v>
      </c>
      <c r="G5354">
        <v>2</v>
      </c>
      <c r="H5354">
        <v>10.39</v>
      </c>
      <c r="I5354">
        <v>0.2</v>
      </c>
      <c r="J5354">
        <v>16.62</v>
      </c>
      <c r="K5354" t="s">
        <v>22</v>
      </c>
      <c r="L5354" t="s">
        <v>17</v>
      </c>
      <c r="M5354" t="s">
        <v>54</v>
      </c>
    </row>
    <row r="5355" spans="1:13" x14ac:dyDescent="0.2">
      <c r="A5355">
        <v>989882</v>
      </c>
      <c r="B5355" s="1">
        <v>45622</v>
      </c>
      <c r="C5355">
        <v>74933</v>
      </c>
      <c r="D5355" t="s">
        <v>13</v>
      </c>
      <c r="E5355" t="s">
        <v>127</v>
      </c>
      <c r="F5355" t="s">
        <v>128</v>
      </c>
      <c r="G5355">
        <v>2</v>
      </c>
      <c r="H5355">
        <v>13.99</v>
      </c>
      <c r="I5355">
        <v>0.3</v>
      </c>
      <c r="J5355">
        <v>19.59</v>
      </c>
      <c r="K5355" t="s">
        <v>16</v>
      </c>
      <c r="L5355" t="s">
        <v>17</v>
      </c>
      <c r="M5355" t="s">
        <v>18</v>
      </c>
    </row>
    <row r="5356" spans="1:13" x14ac:dyDescent="0.2">
      <c r="A5356">
        <v>989966</v>
      </c>
      <c r="B5356" s="2">
        <v>44996</v>
      </c>
      <c r="C5356">
        <v>53115</v>
      </c>
      <c r="D5356" t="s">
        <v>13</v>
      </c>
      <c r="E5356" t="s">
        <v>14</v>
      </c>
      <c r="F5356" t="s">
        <v>15</v>
      </c>
      <c r="G5356">
        <v>3</v>
      </c>
      <c r="H5356">
        <v>75.989999999999995</v>
      </c>
      <c r="I5356">
        <v>0.05</v>
      </c>
      <c r="J5356">
        <v>216.57</v>
      </c>
      <c r="K5356" t="s">
        <v>16</v>
      </c>
      <c r="L5356" t="s">
        <v>17</v>
      </c>
      <c r="M5356" t="s">
        <v>24</v>
      </c>
    </row>
    <row r="5357" spans="1:13" x14ac:dyDescent="0.2">
      <c r="A5357">
        <v>990084</v>
      </c>
      <c r="B5357" s="1">
        <v>44703</v>
      </c>
      <c r="D5357" t="s">
        <v>85</v>
      </c>
      <c r="E5357" t="s">
        <v>157</v>
      </c>
      <c r="F5357" t="s">
        <v>158</v>
      </c>
      <c r="G5357">
        <v>1</v>
      </c>
      <c r="H5357">
        <v>13.49</v>
      </c>
      <c r="J5357">
        <v>13.49</v>
      </c>
      <c r="K5357" t="s">
        <v>22</v>
      </c>
      <c r="L5357" t="s">
        <v>17</v>
      </c>
      <c r="M5357" t="s">
        <v>47</v>
      </c>
    </row>
    <row r="5358" spans="1:13" x14ac:dyDescent="0.2">
      <c r="A5358">
        <v>990906</v>
      </c>
      <c r="B5358" s="2">
        <v>44891</v>
      </c>
      <c r="C5358">
        <v>54943</v>
      </c>
      <c r="D5358" t="s">
        <v>85</v>
      </c>
      <c r="E5358" t="s">
        <v>149</v>
      </c>
      <c r="F5358" t="s">
        <v>150</v>
      </c>
      <c r="G5358">
        <v>2</v>
      </c>
      <c r="H5358">
        <v>16.989999999999998</v>
      </c>
      <c r="I5358">
        <v>0.15</v>
      </c>
      <c r="J5358">
        <v>28.88</v>
      </c>
      <c r="K5358" t="s">
        <v>36</v>
      </c>
      <c r="L5358" t="s">
        <v>17</v>
      </c>
      <c r="M5358" t="s">
        <v>43</v>
      </c>
    </row>
    <row r="5359" spans="1:13" x14ac:dyDescent="0.2">
      <c r="A5359">
        <v>991079</v>
      </c>
      <c r="B5359" s="1">
        <v>45450</v>
      </c>
      <c r="C5359">
        <v>42803</v>
      </c>
      <c r="D5359" t="s">
        <v>97</v>
      </c>
      <c r="E5359" t="s">
        <v>165</v>
      </c>
      <c r="F5359" t="s">
        <v>166</v>
      </c>
      <c r="G5359">
        <v>2</v>
      </c>
      <c r="H5359">
        <v>89.99</v>
      </c>
      <c r="J5359">
        <v>179.98</v>
      </c>
      <c r="K5359" t="s">
        <v>22</v>
      </c>
      <c r="L5359" t="s">
        <v>37</v>
      </c>
      <c r="M5359" t="s">
        <v>81</v>
      </c>
    </row>
    <row r="5360" spans="1:13" x14ac:dyDescent="0.2">
      <c r="A5360">
        <v>991141</v>
      </c>
      <c r="B5360" s="1">
        <v>44864</v>
      </c>
      <c r="C5360">
        <v>52651</v>
      </c>
      <c r="D5360" t="s">
        <v>40</v>
      </c>
      <c r="E5360" t="s">
        <v>197</v>
      </c>
      <c r="F5360" t="s">
        <v>198</v>
      </c>
      <c r="G5360">
        <v>2</v>
      </c>
      <c r="H5360">
        <v>14.99</v>
      </c>
      <c r="J5360">
        <v>29.98</v>
      </c>
      <c r="K5360" t="s">
        <v>22</v>
      </c>
      <c r="L5360" t="s">
        <v>17</v>
      </c>
      <c r="M5360" t="s">
        <v>62</v>
      </c>
    </row>
    <row r="5361" spans="1:13" x14ac:dyDescent="0.2">
      <c r="A5361">
        <v>991275</v>
      </c>
      <c r="B5361" s="1">
        <v>44876</v>
      </c>
      <c r="C5361">
        <v>80002</v>
      </c>
      <c r="D5361" t="s">
        <v>85</v>
      </c>
      <c r="E5361" t="s">
        <v>86</v>
      </c>
      <c r="F5361" t="s">
        <v>87</v>
      </c>
      <c r="G5361">
        <v>1</v>
      </c>
      <c r="H5361">
        <v>10.39</v>
      </c>
      <c r="I5361">
        <v>0.2</v>
      </c>
      <c r="J5361">
        <v>8.31</v>
      </c>
      <c r="K5361" t="s">
        <v>36</v>
      </c>
      <c r="L5361" t="s">
        <v>17</v>
      </c>
      <c r="M5361" t="s">
        <v>123</v>
      </c>
    </row>
    <row r="5362" spans="1:13" x14ac:dyDescent="0.2">
      <c r="A5362">
        <v>991506</v>
      </c>
      <c r="B5362" s="1">
        <v>45104</v>
      </c>
      <c r="C5362">
        <v>88361</v>
      </c>
      <c r="D5362" t="s">
        <v>44</v>
      </c>
      <c r="E5362" t="s">
        <v>177</v>
      </c>
      <c r="F5362" t="s">
        <v>178</v>
      </c>
      <c r="G5362">
        <v>1</v>
      </c>
      <c r="H5362">
        <v>8.39</v>
      </c>
      <c r="I5362">
        <v>0.3</v>
      </c>
      <c r="J5362">
        <v>5.87</v>
      </c>
      <c r="K5362" t="s">
        <v>36</v>
      </c>
      <c r="L5362" t="s">
        <v>37</v>
      </c>
      <c r="M5362" t="s">
        <v>102</v>
      </c>
    </row>
    <row r="5363" spans="1:13" x14ac:dyDescent="0.2">
      <c r="A5363">
        <v>991638</v>
      </c>
      <c r="B5363" s="1">
        <v>45037</v>
      </c>
      <c r="C5363">
        <v>33040</v>
      </c>
      <c r="D5363" t="s">
        <v>13</v>
      </c>
      <c r="E5363" t="s">
        <v>14</v>
      </c>
      <c r="F5363" t="s">
        <v>15</v>
      </c>
      <c r="G5363">
        <v>3</v>
      </c>
      <c r="H5363">
        <v>55.99</v>
      </c>
      <c r="I5363">
        <v>0.3</v>
      </c>
      <c r="J5363">
        <v>117.58</v>
      </c>
      <c r="K5363" t="s">
        <v>16</v>
      </c>
      <c r="L5363" t="s">
        <v>23</v>
      </c>
      <c r="M5363" t="s">
        <v>103</v>
      </c>
    </row>
    <row r="5364" spans="1:13" x14ac:dyDescent="0.2">
      <c r="A5364">
        <v>991639</v>
      </c>
      <c r="B5364" s="1">
        <v>45650</v>
      </c>
      <c r="C5364">
        <v>90871</v>
      </c>
      <c r="D5364" t="s">
        <v>40</v>
      </c>
      <c r="E5364" t="s">
        <v>41</v>
      </c>
      <c r="F5364" t="s">
        <v>42</v>
      </c>
      <c r="G5364">
        <v>2</v>
      </c>
      <c r="H5364">
        <v>5.09</v>
      </c>
      <c r="I5364">
        <v>0.15</v>
      </c>
      <c r="J5364">
        <v>8.65</v>
      </c>
      <c r="K5364" t="s">
        <v>16</v>
      </c>
      <c r="L5364" t="s">
        <v>17</v>
      </c>
      <c r="M5364" t="s">
        <v>18</v>
      </c>
    </row>
    <row r="5365" spans="1:13" x14ac:dyDescent="0.2">
      <c r="A5365">
        <v>991779</v>
      </c>
      <c r="B5365" s="1">
        <v>45166</v>
      </c>
      <c r="C5365">
        <v>89234</v>
      </c>
      <c r="D5365" t="s">
        <v>29</v>
      </c>
      <c r="E5365" t="s">
        <v>72</v>
      </c>
      <c r="F5365" t="s">
        <v>73</v>
      </c>
      <c r="G5365">
        <v>1</v>
      </c>
      <c r="H5365">
        <v>39.99</v>
      </c>
      <c r="J5365">
        <v>39.99</v>
      </c>
      <c r="K5365" t="s">
        <v>36</v>
      </c>
      <c r="L5365" t="s">
        <v>17</v>
      </c>
      <c r="M5365" t="s">
        <v>62</v>
      </c>
    </row>
    <row r="5366" spans="1:13" x14ac:dyDescent="0.2">
      <c r="A5366">
        <v>991913</v>
      </c>
      <c r="B5366" s="1">
        <v>45043</v>
      </c>
      <c r="D5366" t="s">
        <v>85</v>
      </c>
      <c r="E5366" t="s">
        <v>149</v>
      </c>
      <c r="F5366" t="s">
        <v>150</v>
      </c>
      <c r="G5366">
        <v>1</v>
      </c>
      <c r="H5366">
        <v>16.989999999999998</v>
      </c>
      <c r="I5366">
        <v>0.15</v>
      </c>
      <c r="J5366">
        <v>14.44</v>
      </c>
      <c r="K5366" t="s">
        <v>95</v>
      </c>
      <c r="L5366" t="s">
        <v>17</v>
      </c>
      <c r="M5366" t="s">
        <v>120</v>
      </c>
    </row>
    <row r="5367" spans="1:13" x14ac:dyDescent="0.2">
      <c r="A5367">
        <v>992104</v>
      </c>
      <c r="B5367" s="1">
        <v>45254</v>
      </c>
      <c r="C5367">
        <v>48475</v>
      </c>
      <c r="D5367" t="s">
        <v>44</v>
      </c>
      <c r="E5367" t="s">
        <v>91</v>
      </c>
      <c r="F5367" t="s">
        <v>92</v>
      </c>
      <c r="G5367">
        <v>4</v>
      </c>
      <c r="H5367">
        <v>5.98</v>
      </c>
      <c r="I5367">
        <v>0.05</v>
      </c>
      <c r="J5367">
        <v>22.72</v>
      </c>
      <c r="K5367" t="s">
        <v>16</v>
      </c>
      <c r="L5367" t="s">
        <v>17</v>
      </c>
      <c r="M5367" t="s">
        <v>90</v>
      </c>
    </row>
    <row r="5368" spans="1:13" x14ac:dyDescent="0.2">
      <c r="A5368">
        <v>992263</v>
      </c>
      <c r="B5368" s="2">
        <v>45059</v>
      </c>
      <c r="C5368">
        <v>31439</v>
      </c>
      <c r="D5368" t="s">
        <v>29</v>
      </c>
      <c r="E5368" t="s">
        <v>72</v>
      </c>
      <c r="F5368" t="s">
        <v>73</v>
      </c>
      <c r="G5368">
        <v>2</v>
      </c>
      <c r="H5368">
        <v>31.99</v>
      </c>
      <c r="I5368">
        <v>0.2</v>
      </c>
      <c r="J5368">
        <v>51.18</v>
      </c>
      <c r="K5368" t="s">
        <v>36</v>
      </c>
      <c r="L5368" t="s">
        <v>37</v>
      </c>
    </row>
    <row r="5369" spans="1:13" x14ac:dyDescent="0.2">
      <c r="A5369">
        <v>992430</v>
      </c>
      <c r="B5369" s="1">
        <v>44871</v>
      </c>
      <c r="C5369">
        <v>24724</v>
      </c>
      <c r="D5369" t="s">
        <v>40</v>
      </c>
      <c r="E5369" t="s">
        <v>115</v>
      </c>
      <c r="F5369" t="s">
        <v>116</v>
      </c>
      <c r="G5369">
        <v>1</v>
      </c>
      <c r="H5369">
        <v>12.99</v>
      </c>
      <c r="J5369">
        <v>12.99</v>
      </c>
      <c r="K5369" t="s">
        <v>16</v>
      </c>
      <c r="L5369" t="s">
        <v>37</v>
      </c>
      <c r="M5369" t="s">
        <v>123</v>
      </c>
    </row>
    <row r="5370" spans="1:13" x14ac:dyDescent="0.2">
      <c r="A5370">
        <v>992765</v>
      </c>
      <c r="B5370" s="1">
        <v>44715</v>
      </c>
      <c r="C5370">
        <v>84763</v>
      </c>
      <c r="D5370" t="s">
        <v>13</v>
      </c>
      <c r="E5370" t="s">
        <v>79</v>
      </c>
      <c r="F5370" t="s">
        <v>80</v>
      </c>
      <c r="G5370">
        <v>1</v>
      </c>
      <c r="H5370">
        <v>67.489999999999995</v>
      </c>
      <c r="I5370">
        <v>0.25</v>
      </c>
      <c r="J5370">
        <v>50.62</v>
      </c>
      <c r="K5370" t="s">
        <v>32</v>
      </c>
      <c r="L5370" t="s">
        <v>17</v>
      </c>
      <c r="M5370" t="s">
        <v>102</v>
      </c>
    </row>
    <row r="5371" spans="1:13" x14ac:dyDescent="0.2">
      <c r="A5371">
        <v>992827</v>
      </c>
      <c r="B5371" s="2">
        <v>44812</v>
      </c>
      <c r="C5371">
        <v>82436</v>
      </c>
      <c r="D5371" t="s">
        <v>40</v>
      </c>
      <c r="E5371" t="s">
        <v>58</v>
      </c>
      <c r="F5371" t="s">
        <v>59</v>
      </c>
      <c r="G5371">
        <v>2</v>
      </c>
      <c r="H5371">
        <v>2.99</v>
      </c>
      <c r="I5371">
        <v>0.25</v>
      </c>
      <c r="J5371">
        <v>4.49</v>
      </c>
      <c r="K5371" t="s">
        <v>53</v>
      </c>
      <c r="L5371" t="s">
        <v>23</v>
      </c>
      <c r="M5371" t="s">
        <v>62</v>
      </c>
    </row>
    <row r="5372" spans="1:13" x14ac:dyDescent="0.2">
      <c r="A5372">
        <v>992865</v>
      </c>
      <c r="B5372" s="1">
        <v>44671</v>
      </c>
      <c r="C5372">
        <v>20670</v>
      </c>
      <c r="D5372" t="s">
        <v>44</v>
      </c>
      <c r="E5372" t="s">
        <v>91</v>
      </c>
      <c r="F5372" t="s">
        <v>92</v>
      </c>
      <c r="G5372">
        <v>4</v>
      </c>
      <c r="H5372">
        <v>5.66</v>
      </c>
      <c r="I5372">
        <v>0.1</v>
      </c>
      <c r="J5372">
        <v>20.38</v>
      </c>
      <c r="K5372" t="s">
        <v>36</v>
      </c>
      <c r="L5372" t="s">
        <v>17</v>
      </c>
      <c r="M5372" t="s">
        <v>24</v>
      </c>
    </row>
    <row r="5373" spans="1:13" x14ac:dyDescent="0.2">
      <c r="A5373">
        <v>992993</v>
      </c>
      <c r="B5373" s="1">
        <v>45009</v>
      </c>
      <c r="C5373">
        <v>99002</v>
      </c>
      <c r="D5373" t="s">
        <v>40</v>
      </c>
      <c r="E5373" t="s">
        <v>20</v>
      </c>
      <c r="F5373" t="s">
        <v>21</v>
      </c>
      <c r="G5373">
        <v>2</v>
      </c>
      <c r="H5373">
        <v>9.99</v>
      </c>
      <c r="J5373">
        <v>19.98</v>
      </c>
      <c r="K5373" t="s">
        <v>16</v>
      </c>
      <c r="L5373" t="s">
        <v>17</v>
      </c>
      <c r="M5373" t="s">
        <v>96</v>
      </c>
    </row>
    <row r="5374" spans="1:13" x14ac:dyDescent="0.2">
      <c r="A5374">
        <v>993053</v>
      </c>
      <c r="B5374" s="1">
        <v>45587</v>
      </c>
      <c r="C5374">
        <v>83722</v>
      </c>
      <c r="D5374" t="s">
        <v>25</v>
      </c>
      <c r="E5374" t="s">
        <v>113</v>
      </c>
      <c r="F5374" t="s">
        <v>114</v>
      </c>
      <c r="G5374">
        <v>1</v>
      </c>
      <c r="H5374">
        <v>83.99</v>
      </c>
      <c r="I5374">
        <v>0.3</v>
      </c>
      <c r="J5374">
        <v>58.79</v>
      </c>
      <c r="K5374" t="s">
        <v>22</v>
      </c>
      <c r="L5374" t="s">
        <v>17</v>
      </c>
      <c r="M5374" t="s">
        <v>96</v>
      </c>
    </row>
    <row r="5375" spans="1:13" x14ac:dyDescent="0.2">
      <c r="A5375">
        <v>993210</v>
      </c>
      <c r="B5375" s="2">
        <v>45073</v>
      </c>
      <c r="C5375">
        <v>80069</v>
      </c>
      <c r="D5375" t="s">
        <v>63</v>
      </c>
      <c r="E5375" t="s">
        <v>111</v>
      </c>
      <c r="F5375" t="s">
        <v>112</v>
      </c>
      <c r="G5375">
        <v>3</v>
      </c>
      <c r="H5375">
        <v>10.49</v>
      </c>
      <c r="I5375">
        <v>0.3</v>
      </c>
      <c r="J5375">
        <v>22.03</v>
      </c>
      <c r="K5375" t="s">
        <v>16</v>
      </c>
      <c r="L5375" t="s">
        <v>17</v>
      </c>
      <c r="M5375" t="s">
        <v>120</v>
      </c>
    </row>
    <row r="5376" spans="1:13" x14ac:dyDescent="0.2">
      <c r="A5376">
        <v>993521</v>
      </c>
      <c r="B5376" s="1">
        <v>44906</v>
      </c>
      <c r="C5376">
        <v>75770</v>
      </c>
      <c r="D5376" t="s">
        <v>25</v>
      </c>
      <c r="E5376" t="s">
        <v>26</v>
      </c>
      <c r="F5376" t="s">
        <v>27</v>
      </c>
      <c r="G5376">
        <v>4</v>
      </c>
      <c r="H5376">
        <v>27.99</v>
      </c>
      <c r="I5376">
        <v>0.2</v>
      </c>
      <c r="J5376">
        <v>89.57</v>
      </c>
      <c r="K5376" t="s">
        <v>36</v>
      </c>
      <c r="L5376" t="s">
        <v>23</v>
      </c>
      <c r="M5376" t="s">
        <v>33</v>
      </c>
    </row>
    <row r="5377" spans="1:13" x14ac:dyDescent="0.2">
      <c r="A5377">
        <v>993574</v>
      </c>
      <c r="B5377" s="1">
        <v>44604</v>
      </c>
      <c r="C5377">
        <v>86266</v>
      </c>
      <c r="D5377" t="s">
        <v>63</v>
      </c>
      <c r="E5377" t="s">
        <v>125</v>
      </c>
      <c r="F5377" t="s">
        <v>126</v>
      </c>
      <c r="G5377">
        <v>1</v>
      </c>
      <c r="H5377">
        <v>29.99</v>
      </c>
      <c r="J5377">
        <v>29.99</v>
      </c>
      <c r="K5377" t="s">
        <v>36</v>
      </c>
      <c r="L5377" t="s">
        <v>17</v>
      </c>
      <c r="M5377" t="s">
        <v>120</v>
      </c>
    </row>
    <row r="5378" spans="1:13" x14ac:dyDescent="0.2">
      <c r="A5378">
        <v>993634</v>
      </c>
      <c r="B5378" s="1">
        <v>45620</v>
      </c>
      <c r="C5378">
        <v>30603</v>
      </c>
      <c r="D5378" t="s">
        <v>164</v>
      </c>
      <c r="E5378" t="s">
        <v>88</v>
      </c>
      <c r="F5378" t="s">
        <v>89</v>
      </c>
      <c r="G5378">
        <v>3</v>
      </c>
      <c r="H5378">
        <v>44.99</v>
      </c>
      <c r="I5378">
        <v>0.1</v>
      </c>
      <c r="J5378">
        <v>121.47</v>
      </c>
      <c r="K5378" t="s">
        <v>22</v>
      </c>
      <c r="L5378" t="s">
        <v>37</v>
      </c>
      <c r="M5378" t="s">
        <v>96</v>
      </c>
    </row>
    <row r="5379" spans="1:13" x14ac:dyDescent="0.2">
      <c r="A5379">
        <v>993661</v>
      </c>
      <c r="B5379" s="2">
        <v>44868</v>
      </c>
      <c r="C5379">
        <v>79834</v>
      </c>
      <c r="D5379" t="s">
        <v>13</v>
      </c>
      <c r="E5379" t="s">
        <v>79</v>
      </c>
      <c r="F5379" t="s">
        <v>80</v>
      </c>
      <c r="G5379">
        <v>1</v>
      </c>
      <c r="H5379">
        <v>62.99</v>
      </c>
      <c r="I5379">
        <v>0.3</v>
      </c>
      <c r="J5379">
        <v>44.09</v>
      </c>
      <c r="K5379" t="s">
        <v>16</v>
      </c>
      <c r="L5379" t="s">
        <v>37</v>
      </c>
      <c r="M5379" t="s">
        <v>81</v>
      </c>
    </row>
    <row r="5380" spans="1:13" x14ac:dyDescent="0.2">
      <c r="A5380">
        <v>993867</v>
      </c>
      <c r="B5380" s="1">
        <v>45091</v>
      </c>
      <c r="C5380">
        <v>90599</v>
      </c>
      <c r="D5380" t="s">
        <v>13</v>
      </c>
      <c r="E5380" t="s">
        <v>104</v>
      </c>
      <c r="F5380" t="s">
        <v>105</v>
      </c>
      <c r="G5380">
        <v>1</v>
      </c>
      <c r="H5380">
        <v>28.49</v>
      </c>
      <c r="I5380">
        <v>0.05</v>
      </c>
      <c r="J5380">
        <v>27.07</v>
      </c>
      <c r="K5380" t="s">
        <v>16</v>
      </c>
      <c r="L5380" t="s">
        <v>17</v>
      </c>
      <c r="M5380" t="s">
        <v>103</v>
      </c>
    </row>
    <row r="5381" spans="1:13" x14ac:dyDescent="0.2">
      <c r="A5381">
        <v>993930</v>
      </c>
      <c r="B5381" s="1">
        <v>45274</v>
      </c>
      <c r="C5381">
        <v>63572</v>
      </c>
      <c r="D5381" t="s">
        <v>63</v>
      </c>
      <c r="E5381" t="s">
        <v>125</v>
      </c>
      <c r="F5381" t="s">
        <v>126</v>
      </c>
      <c r="G5381">
        <v>1</v>
      </c>
      <c r="H5381">
        <v>29.99</v>
      </c>
      <c r="J5381">
        <v>29.99</v>
      </c>
      <c r="K5381" t="s">
        <v>53</v>
      </c>
      <c r="L5381" t="s">
        <v>17</v>
      </c>
      <c r="M5381" t="s">
        <v>120</v>
      </c>
    </row>
    <row r="5382" spans="1:13" x14ac:dyDescent="0.2">
      <c r="A5382">
        <v>993978</v>
      </c>
      <c r="B5382" s="2">
        <v>44699</v>
      </c>
      <c r="C5382">
        <v>75182</v>
      </c>
      <c r="D5382" t="s">
        <v>97</v>
      </c>
      <c r="E5382" t="s">
        <v>151</v>
      </c>
      <c r="F5382" t="s">
        <v>152</v>
      </c>
      <c r="G5382">
        <v>2</v>
      </c>
      <c r="H5382">
        <v>24.49</v>
      </c>
      <c r="I5382">
        <v>0.3</v>
      </c>
      <c r="J5382">
        <v>34.29</v>
      </c>
      <c r="K5382" t="s">
        <v>32</v>
      </c>
      <c r="L5382" t="s">
        <v>23</v>
      </c>
      <c r="M5382" t="s">
        <v>90</v>
      </c>
    </row>
    <row r="5383" spans="1:13" x14ac:dyDescent="0.2">
      <c r="A5383">
        <v>993980</v>
      </c>
      <c r="B5383" s="1">
        <v>44984</v>
      </c>
      <c r="C5383">
        <v>88551</v>
      </c>
      <c r="D5383" t="s">
        <v>13</v>
      </c>
      <c r="E5383" t="s">
        <v>104</v>
      </c>
      <c r="F5383" t="s">
        <v>105</v>
      </c>
      <c r="G5383">
        <v>5</v>
      </c>
      <c r="H5383">
        <v>23.99</v>
      </c>
      <c r="I5383">
        <v>0.2</v>
      </c>
      <c r="J5383">
        <v>95.96</v>
      </c>
      <c r="K5383" t="s">
        <v>16</v>
      </c>
      <c r="L5383" t="s">
        <v>17</v>
      </c>
      <c r="M5383" t="s">
        <v>81</v>
      </c>
    </row>
    <row r="5384" spans="1:13" x14ac:dyDescent="0.2">
      <c r="A5384">
        <v>994386</v>
      </c>
      <c r="B5384" s="1">
        <v>44945</v>
      </c>
      <c r="C5384">
        <v>28191</v>
      </c>
      <c r="D5384" t="s">
        <v>25</v>
      </c>
      <c r="E5384" t="s">
        <v>70</v>
      </c>
      <c r="F5384" t="s">
        <v>71</v>
      </c>
      <c r="G5384">
        <v>1</v>
      </c>
      <c r="H5384">
        <v>80.989999999999995</v>
      </c>
      <c r="I5384">
        <v>0.1</v>
      </c>
      <c r="J5384">
        <v>72.89</v>
      </c>
      <c r="K5384" t="s">
        <v>53</v>
      </c>
      <c r="L5384" t="s">
        <v>17</v>
      </c>
      <c r="M5384" t="s">
        <v>81</v>
      </c>
    </row>
    <row r="5385" spans="1:13" x14ac:dyDescent="0.2">
      <c r="A5385">
        <v>994637</v>
      </c>
      <c r="B5385" s="1">
        <v>45369</v>
      </c>
      <c r="C5385">
        <v>25389</v>
      </c>
      <c r="D5385" t="s">
        <v>82</v>
      </c>
      <c r="E5385" t="s">
        <v>100</v>
      </c>
      <c r="F5385" t="s">
        <v>101</v>
      </c>
      <c r="G5385">
        <v>2</v>
      </c>
      <c r="H5385">
        <v>22.99</v>
      </c>
      <c r="J5385">
        <v>45.98</v>
      </c>
      <c r="K5385" t="s">
        <v>53</v>
      </c>
      <c r="L5385" t="s">
        <v>17</v>
      </c>
      <c r="M5385" t="s">
        <v>57</v>
      </c>
    </row>
    <row r="5386" spans="1:13" x14ac:dyDescent="0.2">
      <c r="A5386">
        <v>994643</v>
      </c>
      <c r="B5386" s="1">
        <v>44888</v>
      </c>
      <c r="C5386">
        <v>11112</v>
      </c>
      <c r="D5386" t="s">
        <v>25</v>
      </c>
      <c r="E5386" t="s">
        <v>70</v>
      </c>
      <c r="F5386" t="s">
        <v>71</v>
      </c>
      <c r="G5386">
        <v>2</v>
      </c>
      <c r="H5386">
        <v>76.489999999999995</v>
      </c>
      <c r="I5386">
        <v>0.15</v>
      </c>
      <c r="J5386">
        <v>130.03</v>
      </c>
      <c r="K5386" t="s">
        <v>22</v>
      </c>
      <c r="L5386" t="s">
        <v>17</v>
      </c>
      <c r="M5386" t="s">
        <v>123</v>
      </c>
    </row>
    <row r="5387" spans="1:13" x14ac:dyDescent="0.2">
      <c r="A5387">
        <v>994663</v>
      </c>
      <c r="B5387" s="2">
        <v>45631</v>
      </c>
      <c r="C5387">
        <v>26592</v>
      </c>
      <c r="D5387" t="s">
        <v>82</v>
      </c>
      <c r="E5387" t="s">
        <v>188</v>
      </c>
      <c r="F5387" t="s">
        <v>189</v>
      </c>
      <c r="G5387">
        <v>4</v>
      </c>
      <c r="H5387">
        <v>44.99</v>
      </c>
      <c r="J5387">
        <v>179.96</v>
      </c>
      <c r="K5387" t="s">
        <v>16</v>
      </c>
      <c r="L5387" t="s">
        <v>17</v>
      </c>
      <c r="M5387" t="s">
        <v>24</v>
      </c>
    </row>
    <row r="5388" spans="1:13" x14ac:dyDescent="0.2">
      <c r="A5388">
        <v>994846</v>
      </c>
      <c r="B5388" s="1">
        <v>45070</v>
      </c>
      <c r="C5388">
        <v>42410</v>
      </c>
      <c r="D5388" t="s">
        <v>44</v>
      </c>
      <c r="E5388" t="s">
        <v>184</v>
      </c>
      <c r="F5388" t="s">
        <v>185</v>
      </c>
      <c r="G5388">
        <v>2</v>
      </c>
      <c r="H5388">
        <v>5.49</v>
      </c>
      <c r="J5388">
        <v>10.98</v>
      </c>
      <c r="K5388" t="s">
        <v>32</v>
      </c>
      <c r="L5388" t="s">
        <v>37</v>
      </c>
      <c r="M5388" t="s">
        <v>96</v>
      </c>
    </row>
    <row r="5389" spans="1:13" x14ac:dyDescent="0.2">
      <c r="A5389">
        <v>994862</v>
      </c>
      <c r="B5389" s="2">
        <v>44619</v>
      </c>
      <c r="C5389">
        <v>16068</v>
      </c>
      <c r="D5389" t="s">
        <v>44</v>
      </c>
      <c r="E5389" t="s">
        <v>195</v>
      </c>
      <c r="F5389" t="s">
        <v>196</v>
      </c>
      <c r="G5389">
        <v>5</v>
      </c>
      <c r="H5389">
        <v>4.99</v>
      </c>
      <c r="J5389">
        <v>24.95</v>
      </c>
      <c r="K5389" t="s">
        <v>36</v>
      </c>
      <c r="L5389" t="s">
        <v>37</v>
      </c>
      <c r="M5389" t="s">
        <v>103</v>
      </c>
    </row>
    <row r="5390" spans="1:13" x14ac:dyDescent="0.2">
      <c r="A5390">
        <v>994880</v>
      </c>
      <c r="B5390" s="1">
        <v>45186</v>
      </c>
      <c r="D5390" t="s">
        <v>97</v>
      </c>
      <c r="E5390" t="s">
        <v>193</v>
      </c>
      <c r="F5390" t="s">
        <v>194</v>
      </c>
      <c r="G5390">
        <v>2</v>
      </c>
      <c r="H5390">
        <v>48.74</v>
      </c>
      <c r="I5390">
        <v>0.25</v>
      </c>
      <c r="J5390">
        <v>73.11</v>
      </c>
      <c r="K5390" t="s">
        <v>16</v>
      </c>
      <c r="L5390" t="s">
        <v>23</v>
      </c>
      <c r="M5390" t="s">
        <v>43</v>
      </c>
    </row>
    <row r="5391" spans="1:13" x14ac:dyDescent="0.2">
      <c r="A5391">
        <v>995773</v>
      </c>
      <c r="B5391" s="1">
        <v>45253</v>
      </c>
      <c r="C5391">
        <v>72310</v>
      </c>
      <c r="D5391" t="s">
        <v>63</v>
      </c>
      <c r="E5391" t="s">
        <v>111</v>
      </c>
      <c r="F5391" t="s">
        <v>112</v>
      </c>
      <c r="G5391">
        <v>1</v>
      </c>
      <c r="H5391">
        <v>10.49</v>
      </c>
      <c r="I5391">
        <v>0.3</v>
      </c>
      <c r="J5391">
        <v>7.34</v>
      </c>
      <c r="K5391" t="s">
        <v>36</v>
      </c>
      <c r="L5391" t="s">
        <v>17</v>
      </c>
      <c r="M5391" t="s">
        <v>102</v>
      </c>
    </row>
    <row r="5392" spans="1:13" x14ac:dyDescent="0.2">
      <c r="A5392">
        <v>995871</v>
      </c>
      <c r="B5392" s="1">
        <v>45067</v>
      </c>
      <c r="C5392">
        <v>18807</v>
      </c>
      <c r="D5392" t="s">
        <v>13</v>
      </c>
      <c r="E5392" t="s">
        <v>104</v>
      </c>
      <c r="F5392" t="s">
        <v>105</v>
      </c>
      <c r="G5392">
        <v>4</v>
      </c>
      <c r="H5392">
        <v>25.49</v>
      </c>
      <c r="I5392">
        <v>0.15</v>
      </c>
      <c r="J5392">
        <v>86.67</v>
      </c>
      <c r="K5392" t="s">
        <v>16</v>
      </c>
      <c r="L5392" t="s">
        <v>17</v>
      </c>
      <c r="M5392" t="s">
        <v>120</v>
      </c>
    </row>
    <row r="5393" spans="1:13" x14ac:dyDescent="0.2">
      <c r="A5393">
        <v>996385</v>
      </c>
      <c r="B5393" s="1">
        <v>45516</v>
      </c>
      <c r="C5393">
        <v>96162</v>
      </c>
      <c r="D5393" t="s">
        <v>40</v>
      </c>
      <c r="E5393" t="s">
        <v>197</v>
      </c>
      <c r="F5393" t="s">
        <v>198</v>
      </c>
      <c r="G5393">
        <v>5</v>
      </c>
      <c r="H5393">
        <v>14.99</v>
      </c>
      <c r="J5393">
        <v>74.95</v>
      </c>
      <c r="K5393" t="s">
        <v>66</v>
      </c>
      <c r="L5393" t="s">
        <v>37</v>
      </c>
      <c r="M5393" t="s">
        <v>18</v>
      </c>
    </row>
    <row r="5394" spans="1:13" x14ac:dyDescent="0.2">
      <c r="A5394">
        <v>996653</v>
      </c>
      <c r="B5394" s="1">
        <v>45499</v>
      </c>
      <c r="C5394">
        <v>91425</v>
      </c>
      <c r="D5394" t="s">
        <v>48</v>
      </c>
      <c r="E5394" t="s">
        <v>179</v>
      </c>
      <c r="F5394" t="s">
        <v>180</v>
      </c>
      <c r="G5394">
        <v>4</v>
      </c>
      <c r="H5394">
        <v>11.99</v>
      </c>
      <c r="J5394">
        <v>47.96</v>
      </c>
      <c r="K5394" t="s">
        <v>32</v>
      </c>
      <c r="L5394" t="s">
        <v>17</v>
      </c>
      <c r="M5394" t="s">
        <v>117</v>
      </c>
    </row>
    <row r="5395" spans="1:13" x14ac:dyDescent="0.2">
      <c r="A5395">
        <v>997589</v>
      </c>
      <c r="B5395" s="1">
        <v>45634</v>
      </c>
      <c r="C5395">
        <v>46244</v>
      </c>
      <c r="D5395" t="s">
        <v>48</v>
      </c>
      <c r="E5395" t="s">
        <v>139</v>
      </c>
      <c r="F5395" t="s">
        <v>140</v>
      </c>
      <c r="G5395">
        <v>2</v>
      </c>
      <c r="H5395">
        <v>7.99</v>
      </c>
      <c r="J5395">
        <v>15.98</v>
      </c>
      <c r="K5395" t="s">
        <v>16</v>
      </c>
      <c r="L5395" t="s">
        <v>37</v>
      </c>
      <c r="M5395" t="s">
        <v>90</v>
      </c>
    </row>
    <row r="5396" spans="1:13" x14ac:dyDescent="0.2">
      <c r="A5396">
        <v>997619</v>
      </c>
      <c r="B5396" s="1">
        <v>44610</v>
      </c>
      <c r="D5396" t="s">
        <v>40</v>
      </c>
      <c r="E5396" t="s">
        <v>115</v>
      </c>
      <c r="F5396" t="s">
        <v>116</v>
      </c>
      <c r="G5396">
        <v>1</v>
      </c>
      <c r="H5396">
        <v>12.99</v>
      </c>
      <c r="J5396">
        <v>12.99</v>
      </c>
      <c r="K5396" t="s">
        <v>36</v>
      </c>
      <c r="L5396" t="s">
        <v>17</v>
      </c>
      <c r="M5396" t="s">
        <v>120</v>
      </c>
    </row>
    <row r="5397" spans="1:13" x14ac:dyDescent="0.2">
      <c r="A5397">
        <v>997651</v>
      </c>
      <c r="B5397" s="1">
        <v>45504</v>
      </c>
      <c r="C5397">
        <v>90150</v>
      </c>
      <c r="D5397" t="s">
        <v>40</v>
      </c>
      <c r="E5397" t="s">
        <v>20</v>
      </c>
      <c r="F5397" t="s">
        <v>21</v>
      </c>
      <c r="G5397">
        <v>3</v>
      </c>
      <c r="H5397">
        <v>8.49</v>
      </c>
      <c r="I5397">
        <v>0.15</v>
      </c>
      <c r="J5397">
        <v>21.65</v>
      </c>
      <c r="K5397" t="s">
        <v>32</v>
      </c>
      <c r="L5397" t="s">
        <v>37</v>
      </c>
      <c r="M5397" t="s">
        <v>120</v>
      </c>
    </row>
    <row r="5398" spans="1:13" x14ac:dyDescent="0.2">
      <c r="A5398">
        <v>997902</v>
      </c>
      <c r="B5398" s="1">
        <v>45168</v>
      </c>
      <c r="C5398">
        <v>49360</v>
      </c>
      <c r="D5398" t="s">
        <v>82</v>
      </c>
      <c r="E5398" t="s">
        <v>155</v>
      </c>
      <c r="F5398" t="s">
        <v>156</v>
      </c>
      <c r="G5398">
        <v>5</v>
      </c>
      <c r="H5398">
        <v>15.99</v>
      </c>
      <c r="I5398">
        <v>0.2</v>
      </c>
      <c r="J5398">
        <v>63.96</v>
      </c>
      <c r="K5398" t="s">
        <v>16</v>
      </c>
      <c r="L5398" t="s">
        <v>17</v>
      </c>
      <c r="M5398" t="s">
        <v>62</v>
      </c>
    </row>
    <row r="5399" spans="1:13" x14ac:dyDescent="0.2">
      <c r="A5399">
        <v>998048</v>
      </c>
      <c r="B5399" s="2">
        <v>44751</v>
      </c>
      <c r="C5399">
        <v>69639</v>
      </c>
      <c r="D5399" t="s">
        <v>85</v>
      </c>
      <c r="E5399" t="s">
        <v>157</v>
      </c>
      <c r="F5399" t="s">
        <v>158</v>
      </c>
      <c r="G5399">
        <v>2</v>
      </c>
      <c r="H5399">
        <v>11.47</v>
      </c>
      <c r="I5399">
        <v>0.15</v>
      </c>
      <c r="J5399">
        <v>19.5</v>
      </c>
      <c r="K5399" t="s">
        <v>36</v>
      </c>
      <c r="L5399" t="s">
        <v>17</v>
      </c>
      <c r="M5399" t="s">
        <v>33</v>
      </c>
    </row>
    <row r="5400" spans="1:13" x14ac:dyDescent="0.2">
      <c r="A5400">
        <v>998085</v>
      </c>
      <c r="B5400" s="1">
        <v>45561</v>
      </c>
      <c r="C5400">
        <v>19988</v>
      </c>
      <c r="D5400" t="s">
        <v>25</v>
      </c>
      <c r="E5400" t="s">
        <v>26</v>
      </c>
      <c r="F5400" t="s">
        <v>27</v>
      </c>
      <c r="G5400">
        <v>3</v>
      </c>
      <c r="H5400">
        <v>34.99</v>
      </c>
      <c r="J5400">
        <v>104.97</v>
      </c>
      <c r="K5400" t="s">
        <v>36</v>
      </c>
      <c r="L5400" t="s">
        <v>17</v>
      </c>
      <c r="M5400" t="s">
        <v>28</v>
      </c>
    </row>
    <row r="5401" spans="1:13" x14ac:dyDescent="0.2">
      <c r="A5401">
        <v>998183</v>
      </c>
      <c r="B5401" s="2">
        <v>44649</v>
      </c>
      <c r="C5401">
        <v>98873</v>
      </c>
      <c r="D5401" t="s">
        <v>82</v>
      </c>
      <c r="E5401" t="s">
        <v>188</v>
      </c>
      <c r="F5401" t="s">
        <v>189</v>
      </c>
      <c r="G5401">
        <v>2</v>
      </c>
      <c r="H5401">
        <v>31.49</v>
      </c>
      <c r="I5401">
        <v>0.3</v>
      </c>
      <c r="J5401">
        <v>44.09</v>
      </c>
      <c r="K5401" t="s">
        <v>16</v>
      </c>
      <c r="L5401" t="s">
        <v>17</v>
      </c>
      <c r="M5401" t="s">
        <v>117</v>
      </c>
    </row>
    <row r="5402" spans="1:13" x14ac:dyDescent="0.2">
      <c r="A5402">
        <v>998255</v>
      </c>
      <c r="B5402" s="1">
        <v>45620</v>
      </c>
      <c r="C5402">
        <v>84881</v>
      </c>
      <c r="D5402" t="s">
        <v>85</v>
      </c>
      <c r="E5402" t="s">
        <v>153</v>
      </c>
      <c r="F5402" t="s">
        <v>154</v>
      </c>
      <c r="G5402">
        <v>2</v>
      </c>
      <c r="H5402">
        <v>23.99</v>
      </c>
      <c r="I5402">
        <v>0.2</v>
      </c>
      <c r="J5402">
        <v>38.380000000000003</v>
      </c>
      <c r="K5402" t="s">
        <v>66</v>
      </c>
      <c r="L5402" t="s">
        <v>23</v>
      </c>
      <c r="M5402" t="s">
        <v>18</v>
      </c>
    </row>
    <row r="5403" spans="1:13" x14ac:dyDescent="0.2">
      <c r="A5403">
        <v>998485</v>
      </c>
      <c r="B5403" s="1">
        <v>44980</v>
      </c>
      <c r="C5403">
        <v>68824</v>
      </c>
      <c r="D5403" t="s">
        <v>13</v>
      </c>
      <c r="E5403" t="s">
        <v>55</v>
      </c>
      <c r="F5403" t="s">
        <v>56</v>
      </c>
      <c r="G5403">
        <v>3</v>
      </c>
      <c r="H5403">
        <v>263.99</v>
      </c>
      <c r="I5403">
        <v>0.2</v>
      </c>
      <c r="J5403">
        <v>633.58000000000004</v>
      </c>
      <c r="K5403" t="s">
        <v>36</v>
      </c>
      <c r="L5403" t="s">
        <v>17</v>
      </c>
      <c r="M5403" t="s">
        <v>123</v>
      </c>
    </row>
    <row r="5404" spans="1:13" x14ac:dyDescent="0.2">
      <c r="A5404">
        <v>998592</v>
      </c>
      <c r="B5404" s="1">
        <v>44707</v>
      </c>
      <c r="C5404">
        <v>83343</v>
      </c>
      <c r="D5404" t="s">
        <v>97</v>
      </c>
      <c r="E5404" t="s">
        <v>165</v>
      </c>
      <c r="F5404" t="s">
        <v>166</v>
      </c>
      <c r="G5404">
        <v>2</v>
      </c>
      <c r="H5404">
        <v>67.489999999999995</v>
      </c>
      <c r="I5404">
        <v>0.25</v>
      </c>
      <c r="J5404">
        <v>101.23</v>
      </c>
      <c r="K5404" t="s">
        <v>36</v>
      </c>
      <c r="L5404" t="s">
        <v>17</v>
      </c>
      <c r="M5404" t="s">
        <v>43</v>
      </c>
    </row>
    <row r="5405" spans="1:13" x14ac:dyDescent="0.2">
      <c r="A5405">
        <v>998746</v>
      </c>
      <c r="B5405" s="1">
        <v>44638</v>
      </c>
      <c r="C5405">
        <v>84760</v>
      </c>
      <c r="D5405" t="s">
        <v>48</v>
      </c>
      <c r="E5405" t="s">
        <v>118</v>
      </c>
      <c r="F5405" t="s">
        <v>119</v>
      </c>
      <c r="G5405">
        <v>1</v>
      </c>
      <c r="H5405">
        <v>4.74</v>
      </c>
      <c r="I5405">
        <v>0.05</v>
      </c>
      <c r="J5405">
        <v>4.5</v>
      </c>
      <c r="K5405" t="s">
        <v>16</v>
      </c>
      <c r="L5405" t="s">
        <v>23</v>
      </c>
      <c r="M5405" t="s">
        <v>161</v>
      </c>
    </row>
    <row r="5406" spans="1:13" x14ac:dyDescent="0.2">
      <c r="A5406">
        <v>998756</v>
      </c>
      <c r="B5406" s="2">
        <v>44695</v>
      </c>
      <c r="C5406">
        <v>36568</v>
      </c>
      <c r="D5406" t="s">
        <v>199</v>
      </c>
      <c r="E5406" t="s">
        <v>79</v>
      </c>
      <c r="F5406" t="s">
        <v>80</v>
      </c>
      <c r="G5406">
        <v>3</v>
      </c>
      <c r="H5406">
        <v>76.489999999999995</v>
      </c>
      <c r="I5406">
        <v>0.15</v>
      </c>
      <c r="J5406">
        <v>195.05</v>
      </c>
      <c r="K5406" t="s">
        <v>36</v>
      </c>
      <c r="L5406" t="s">
        <v>17</v>
      </c>
      <c r="M5406" t="s">
        <v>81</v>
      </c>
    </row>
    <row r="5407" spans="1:13" x14ac:dyDescent="0.2">
      <c r="A5407">
        <v>998816</v>
      </c>
      <c r="B5407" s="1">
        <v>45191</v>
      </c>
      <c r="C5407">
        <v>31228</v>
      </c>
      <c r="D5407" t="s">
        <v>29</v>
      </c>
      <c r="E5407" t="s">
        <v>175</v>
      </c>
      <c r="F5407" t="s">
        <v>176</v>
      </c>
      <c r="G5407">
        <v>2</v>
      </c>
      <c r="H5407">
        <v>8.39</v>
      </c>
      <c r="I5407">
        <v>0.3</v>
      </c>
      <c r="J5407">
        <v>11.75</v>
      </c>
      <c r="K5407" t="s">
        <v>95</v>
      </c>
      <c r="L5407" t="s">
        <v>17</v>
      </c>
      <c r="M5407" t="s">
        <v>90</v>
      </c>
    </row>
    <row r="5408" spans="1:13" x14ac:dyDescent="0.2">
      <c r="A5408">
        <v>999146</v>
      </c>
      <c r="B5408" s="2">
        <v>45340</v>
      </c>
      <c r="C5408">
        <v>18559</v>
      </c>
      <c r="D5408" t="s">
        <v>40</v>
      </c>
      <c r="E5408" t="s">
        <v>20</v>
      </c>
      <c r="F5408" t="s">
        <v>21</v>
      </c>
      <c r="G5408">
        <v>2</v>
      </c>
      <c r="H5408">
        <v>7.99</v>
      </c>
      <c r="I5408">
        <v>0.2</v>
      </c>
      <c r="J5408">
        <v>12.78</v>
      </c>
      <c r="K5408" t="s">
        <v>16</v>
      </c>
      <c r="L5408" t="s">
        <v>17</v>
      </c>
      <c r="M5408" t="s">
        <v>120</v>
      </c>
    </row>
    <row r="5409" spans="1:13" x14ac:dyDescent="0.2">
      <c r="A5409">
        <v>999270</v>
      </c>
      <c r="B5409" s="2">
        <v>45568</v>
      </c>
      <c r="C5409">
        <v>80041</v>
      </c>
      <c r="D5409" t="s">
        <v>63</v>
      </c>
      <c r="E5409" t="s">
        <v>125</v>
      </c>
      <c r="F5409" t="s">
        <v>126</v>
      </c>
      <c r="G5409">
        <v>1</v>
      </c>
      <c r="H5409">
        <v>22.49</v>
      </c>
      <c r="I5409">
        <v>0.25</v>
      </c>
      <c r="J5409">
        <v>16.87</v>
      </c>
      <c r="K5409" t="s">
        <v>16</v>
      </c>
      <c r="L5409" t="s">
        <v>17</v>
      </c>
      <c r="M5409" t="s">
        <v>28</v>
      </c>
    </row>
    <row r="5410" spans="1:13" x14ac:dyDescent="0.2">
      <c r="A5410">
        <v>999310</v>
      </c>
      <c r="B5410" s="1">
        <v>44725</v>
      </c>
      <c r="C5410">
        <v>50288</v>
      </c>
      <c r="D5410" t="s">
        <v>85</v>
      </c>
      <c r="E5410" t="s">
        <v>157</v>
      </c>
      <c r="F5410" t="s">
        <v>158</v>
      </c>
      <c r="G5410">
        <v>1</v>
      </c>
      <c r="H5410">
        <v>13.49</v>
      </c>
      <c r="J5410">
        <v>13.49</v>
      </c>
      <c r="K5410" t="s">
        <v>66</v>
      </c>
      <c r="L5410" t="s">
        <v>37</v>
      </c>
      <c r="M5410" t="s">
        <v>43</v>
      </c>
    </row>
    <row r="5411" spans="1:13" x14ac:dyDescent="0.2">
      <c r="A5411">
        <v>999723</v>
      </c>
      <c r="B5411" s="2">
        <v>45200</v>
      </c>
      <c r="C5411">
        <v>99025</v>
      </c>
      <c r="D5411" t="s">
        <v>63</v>
      </c>
      <c r="E5411" t="s">
        <v>111</v>
      </c>
      <c r="F5411" t="s">
        <v>112</v>
      </c>
      <c r="G5411">
        <v>2</v>
      </c>
      <c r="H5411">
        <v>14.99</v>
      </c>
      <c r="J5411">
        <v>29.98</v>
      </c>
      <c r="K5411" t="s">
        <v>22</v>
      </c>
      <c r="L5411" t="s">
        <v>23</v>
      </c>
      <c r="M5411" t="s">
        <v>43</v>
      </c>
    </row>
    <row r="5412" spans="1:13" x14ac:dyDescent="0.2">
      <c r="A5412">
        <v>999968</v>
      </c>
      <c r="B5412" s="1">
        <v>45469</v>
      </c>
      <c r="C5412">
        <v>25433</v>
      </c>
      <c r="D5412" t="s">
        <v>85</v>
      </c>
      <c r="E5412" t="s">
        <v>129</v>
      </c>
      <c r="F5412" t="s">
        <v>130</v>
      </c>
      <c r="G5412">
        <v>1</v>
      </c>
      <c r="H5412">
        <v>7.64</v>
      </c>
      <c r="I5412">
        <v>0.15</v>
      </c>
      <c r="J5412">
        <v>6.49</v>
      </c>
      <c r="K5412" t="s">
        <v>16</v>
      </c>
      <c r="L5412" t="s">
        <v>17</v>
      </c>
      <c r="M5412" t="s">
        <v>120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8FC8C-4664-464A-9ACA-B5B6AE74B840}">
  <dimension ref="A1:M5412"/>
  <sheetViews>
    <sheetView tabSelected="1" workbookViewId="0">
      <selection activeCell="H8" sqref="H8"/>
    </sheetView>
  </sheetViews>
  <sheetFormatPr baseColWidth="10" defaultRowHeight="16" x14ac:dyDescent="0.2"/>
  <cols>
    <col min="1" max="1" width="13" bestFit="1" customWidth="1"/>
    <col min="2" max="2" width="15.1640625" style="5" bestFit="1" customWidth="1"/>
    <col min="3" max="3" width="11.5" bestFit="1" customWidth="1"/>
    <col min="4" max="4" width="13.83203125" bestFit="1" customWidth="1"/>
    <col min="5" max="5" width="11.33203125" bestFit="1" customWidth="1"/>
    <col min="6" max="6" width="21.1640625" bestFit="1" customWidth="1"/>
    <col min="7" max="7" width="7.83203125" bestFit="1" customWidth="1"/>
    <col min="8" max="8" width="9.33203125" bestFit="1" customWidth="1"/>
    <col min="9" max="9" width="13.1640625" style="7" bestFit="1" customWidth="1"/>
    <col min="10" max="10" width="10.83203125" style="9" bestFit="1" customWidth="1"/>
    <col min="11" max="11" width="15.5" bestFit="1" customWidth="1"/>
    <col min="12" max="12" width="14.1640625" bestFit="1" customWidth="1"/>
  </cols>
  <sheetData>
    <row r="1" spans="1:13" s="3" customFormat="1" x14ac:dyDescent="0.2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6" t="s">
        <v>8</v>
      </c>
      <c r="J1" s="8" t="s">
        <v>9</v>
      </c>
      <c r="K1" s="3" t="s">
        <v>10</v>
      </c>
      <c r="L1" s="3" t="s">
        <v>11</v>
      </c>
      <c r="M1" s="3" t="s">
        <v>12</v>
      </c>
    </row>
    <row r="2" spans="1:13" x14ac:dyDescent="0.2">
      <c r="A2">
        <v>101047</v>
      </c>
      <c r="B2" s="5">
        <v>45290</v>
      </c>
      <c r="C2">
        <v>47786</v>
      </c>
      <c r="D2" t="str">
        <f>PROPER(Transactions!D2)</f>
        <v>Electronics</v>
      </c>
      <c r="E2" t="s">
        <v>14</v>
      </c>
      <c r="F2" t="s">
        <v>15</v>
      </c>
      <c r="G2">
        <v>2</v>
      </c>
      <c r="H2">
        <v>79.989999999999995</v>
      </c>
      <c r="I2" s="7">
        <f>IF(Transactions!I2="",0,Transactions!I2)</f>
        <v>0</v>
      </c>
      <c r="J2" s="9">
        <f>(H2*G2)*(1-I2)</f>
        <v>159.97999999999999</v>
      </c>
      <c r="K2" t="s">
        <v>16</v>
      </c>
      <c r="L2" t="s">
        <v>17</v>
      </c>
      <c r="M2" t="str">
        <f>REPLACE(Transactions!M2,1,4,"")</f>
        <v>12</v>
      </c>
    </row>
    <row r="3" spans="1:13" x14ac:dyDescent="0.2">
      <c r="A3">
        <v>101291</v>
      </c>
      <c r="B3" s="5">
        <v>45160</v>
      </c>
      <c r="C3">
        <v>83378</v>
      </c>
      <c r="D3" t="str">
        <f>PROPER(Transactions!D3)</f>
        <v>Pharmacy</v>
      </c>
      <c r="E3" t="s">
        <v>20</v>
      </c>
      <c r="F3" t="s">
        <v>21</v>
      </c>
      <c r="G3">
        <v>5</v>
      </c>
      <c r="H3">
        <v>9.99</v>
      </c>
      <c r="I3" s="7">
        <f>IF(Transactions!I3="",0,Transactions!I3)</f>
        <v>0</v>
      </c>
      <c r="J3" s="9">
        <f t="shared" ref="J3:J66" si="0">(H3*G3)*(1-I3)</f>
        <v>49.95</v>
      </c>
      <c r="K3" t="s">
        <v>22</v>
      </c>
      <c r="L3" t="s">
        <v>23</v>
      </c>
      <c r="M3" t="str">
        <f>REPLACE(Transactions!M3,1,4,"")</f>
        <v>19</v>
      </c>
    </row>
    <row r="4" spans="1:13" x14ac:dyDescent="0.2">
      <c r="A4">
        <v>101812</v>
      </c>
      <c r="B4" s="5">
        <v>44683</v>
      </c>
      <c r="C4">
        <v>60430</v>
      </c>
      <c r="D4" t="str">
        <f>PROPER(Transactions!D4)</f>
        <v>Furniture</v>
      </c>
      <c r="E4" t="s">
        <v>26</v>
      </c>
      <c r="F4" t="s">
        <v>27</v>
      </c>
      <c r="G4">
        <v>1</v>
      </c>
      <c r="H4">
        <v>29.74</v>
      </c>
      <c r="I4" s="7">
        <f>IF(Transactions!I4="",0,Transactions!I4)</f>
        <v>0.15</v>
      </c>
      <c r="J4" s="9">
        <f t="shared" si="0"/>
        <v>25.278999999999996</v>
      </c>
      <c r="K4" t="s">
        <v>16</v>
      </c>
      <c r="L4" t="s">
        <v>17</v>
      </c>
      <c r="M4" t="str">
        <f>REPLACE(Transactions!M4,1,4,"")</f>
        <v>6</v>
      </c>
    </row>
    <row r="5" spans="1:13" x14ac:dyDescent="0.2">
      <c r="A5">
        <v>102088</v>
      </c>
      <c r="B5" s="5">
        <v>45078</v>
      </c>
      <c r="C5">
        <v>80498</v>
      </c>
      <c r="D5" t="str">
        <f>PROPER(Transactions!D5)</f>
        <v>Toys</v>
      </c>
      <c r="E5" t="s">
        <v>30</v>
      </c>
      <c r="F5" t="s">
        <v>31</v>
      </c>
      <c r="G5">
        <v>5</v>
      </c>
      <c r="H5">
        <v>24.99</v>
      </c>
      <c r="I5" s="7">
        <f>IF(Transactions!I5="",0,Transactions!I5)</f>
        <v>0</v>
      </c>
      <c r="J5" s="9">
        <f t="shared" si="0"/>
        <v>124.94999999999999</v>
      </c>
      <c r="K5" t="s">
        <v>32</v>
      </c>
      <c r="L5" t="s">
        <v>17</v>
      </c>
      <c r="M5" t="str">
        <f>REPLACE(Transactions!M5,1,4,"")</f>
        <v>14</v>
      </c>
    </row>
    <row r="6" spans="1:13" x14ac:dyDescent="0.2">
      <c r="A6">
        <v>102306</v>
      </c>
      <c r="B6" s="5">
        <v>44998</v>
      </c>
      <c r="C6">
        <v>62555</v>
      </c>
      <c r="D6" t="str">
        <f>PROPER(Transactions!D6)</f>
        <v>Electronics</v>
      </c>
      <c r="E6" t="s">
        <v>34</v>
      </c>
      <c r="F6" t="s">
        <v>35</v>
      </c>
      <c r="G6">
        <v>3</v>
      </c>
      <c r="H6">
        <v>34.99</v>
      </c>
      <c r="I6" s="7">
        <f>IF(Transactions!I6="",0,Transactions!I6)</f>
        <v>0</v>
      </c>
      <c r="J6" s="9">
        <f t="shared" si="0"/>
        <v>104.97</v>
      </c>
      <c r="K6" t="s">
        <v>36</v>
      </c>
      <c r="L6" t="s">
        <v>37</v>
      </c>
      <c r="M6" t="str">
        <f>REPLACE(Transactions!M6,1,4,"")</f>
        <v>12</v>
      </c>
    </row>
    <row r="7" spans="1:13" x14ac:dyDescent="0.2">
      <c r="A7">
        <v>102465</v>
      </c>
      <c r="B7" s="5">
        <v>44900</v>
      </c>
      <c r="C7">
        <v>78782</v>
      </c>
      <c r="D7" t="str">
        <f>PROPER(Transactions!D7)</f>
        <v>Toys</v>
      </c>
      <c r="E7" t="s">
        <v>38</v>
      </c>
      <c r="F7" t="s">
        <v>39</v>
      </c>
      <c r="G7">
        <v>5</v>
      </c>
      <c r="H7">
        <v>20.99</v>
      </c>
      <c r="I7" s="7">
        <f>IF(Transactions!I7="",0,Transactions!I7)</f>
        <v>0.3</v>
      </c>
      <c r="J7" s="9">
        <f t="shared" si="0"/>
        <v>73.464999999999989</v>
      </c>
      <c r="K7" t="s">
        <v>32</v>
      </c>
      <c r="L7" t="s">
        <v>17</v>
      </c>
      <c r="M7" t="str">
        <f>REPLACE(Transactions!M7,1,4,"")</f>
        <v>14</v>
      </c>
    </row>
    <row r="8" spans="1:13" x14ac:dyDescent="0.2">
      <c r="A8">
        <v>102502</v>
      </c>
      <c r="B8" s="5">
        <v>44868</v>
      </c>
      <c r="D8" t="str">
        <f>PROPER(Transactions!D8)</f>
        <v>Pharmacy</v>
      </c>
      <c r="E8" t="s">
        <v>41</v>
      </c>
      <c r="F8" t="s">
        <v>42</v>
      </c>
      <c r="G8">
        <v>2</v>
      </c>
      <c r="H8">
        <v>4.49</v>
      </c>
      <c r="I8" s="7">
        <f>IF(Transactions!I8="",0,Transactions!I8)</f>
        <v>0.25</v>
      </c>
      <c r="J8" s="9">
        <f t="shared" si="0"/>
        <v>6.7350000000000003</v>
      </c>
      <c r="K8" t="s">
        <v>22</v>
      </c>
      <c r="L8" t="s">
        <v>17</v>
      </c>
      <c r="M8" t="str">
        <f>REPLACE(Transactions!M8,1,4,"")</f>
        <v>15</v>
      </c>
    </row>
    <row r="9" spans="1:13" x14ac:dyDescent="0.2">
      <c r="A9">
        <v>102533</v>
      </c>
      <c r="B9" s="5">
        <v>45555</v>
      </c>
      <c r="D9" t="str">
        <f>PROPER(Transactions!D9)</f>
        <v>Grocery</v>
      </c>
      <c r="E9" t="s">
        <v>45</v>
      </c>
      <c r="F9" t="s">
        <v>46</v>
      </c>
      <c r="G9">
        <v>1</v>
      </c>
      <c r="H9">
        <v>1.34</v>
      </c>
      <c r="I9" s="7">
        <f>IF(Transactions!I9="",0,Transactions!I9)</f>
        <v>0.25</v>
      </c>
      <c r="J9" s="9">
        <f t="shared" si="0"/>
        <v>1.0050000000000001</v>
      </c>
      <c r="K9" t="s">
        <v>16</v>
      </c>
      <c r="L9" t="s">
        <v>17</v>
      </c>
      <c r="M9" t="str">
        <f>REPLACE(Transactions!M9,1,4,"")</f>
        <v>11</v>
      </c>
    </row>
    <row r="10" spans="1:13" x14ac:dyDescent="0.2">
      <c r="A10">
        <v>103055</v>
      </c>
      <c r="B10" s="5">
        <v>45048</v>
      </c>
      <c r="C10">
        <v>95915</v>
      </c>
      <c r="D10" t="str">
        <f>PROPER(Transactions!D10)</f>
        <v>Beauty</v>
      </c>
      <c r="E10" t="s">
        <v>49</v>
      </c>
      <c r="F10" t="s">
        <v>50</v>
      </c>
      <c r="G10">
        <v>2</v>
      </c>
      <c r="H10">
        <v>8.99</v>
      </c>
      <c r="I10" s="7">
        <f>IF(Transactions!I10="",0,Transactions!I10)</f>
        <v>0</v>
      </c>
      <c r="J10" s="9">
        <f t="shared" si="0"/>
        <v>17.98</v>
      </c>
      <c r="K10" t="s">
        <v>36</v>
      </c>
      <c r="L10" t="s">
        <v>37</v>
      </c>
      <c r="M10" t="str">
        <f>REPLACE(Transactions!M10,1,4,"")</f>
        <v>11</v>
      </c>
    </row>
    <row r="11" spans="1:13" x14ac:dyDescent="0.2">
      <c r="A11">
        <v>103292</v>
      </c>
      <c r="B11" s="5">
        <v>45196</v>
      </c>
      <c r="C11">
        <v>46193</v>
      </c>
      <c r="D11" t="str">
        <f>PROPER(Transactions!D11)</f>
        <v>Furniture</v>
      </c>
      <c r="E11" t="s">
        <v>51</v>
      </c>
      <c r="F11" t="s">
        <v>52</v>
      </c>
      <c r="G11">
        <v>1</v>
      </c>
      <c r="H11">
        <v>19.59</v>
      </c>
      <c r="I11" s="7">
        <f>IF(Transactions!I11="",0,Transactions!I11)</f>
        <v>0.3</v>
      </c>
      <c r="J11" s="9">
        <f t="shared" si="0"/>
        <v>13.712999999999999</v>
      </c>
      <c r="K11" t="s">
        <v>53</v>
      </c>
      <c r="L11" t="s">
        <v>37</v>
      </c>
      <c r="M11" t="str">
        <f>REPLACE(Transactions!M11,1,4,"")</f>
        <v>16</v>
      </c>
    </row>
    <row r="12" spans="1:13" x14ac:dyDescent="0.2">
      <c r="A12">
        <v>103300</v>
      </c>
      <c r="B12" s="5">
        <v>45486</v>
      </c>
      <c r="C12">
        <v>19709</v>
      </c>
      <c r="D12" t="str">
        <f>PROPER(Transactions!D12)</f>
        <v>Electronics</v>
      </c>
      <c r="E12" t="s">
        <v>55</v>
      </c>
      <c r="F12" t="s">
        <v>56</v>
      </c>
      <c r="G12">
        <v>3</v>
      </c>
      <c r="H12">
        <v>230.99</v>
      </c>
      <c r="I12" s="7">
        <f>IF(Transactions!I12="",0,Transactions!I12)</f>
        <v>0.3</v>
      </c>
      <c r="J12" s="9">
        <f t="shared" si="0"/>
        <v>485.07900000000001</v>
      </c>
      <c r="K12" t="s">
        <v>36</v>
      </c>
      <c r="L12" t="s">
        <v>37</v>
      </c>
      <c r="M12" t="str">
        <f>REPLACE(Transactions!M12,1,4,"")</f>
        <v>13</v>
      </c>
    </row>
    <row r="13" spans="1:13" x14ac:dyDescent="0.2">
      <c r="A13">
        <v>103496</v>
      </c>
      <c r="B13" s="5">
        <v>45395</v>
      </c>
      <c r="C13">
        <v>42392</v>
      </c>
      <c r="D13" t="str">
        <f>PROPER(Transactions!D13)</f>
        <v>Pharmacy</v>
      </c>
      <c r="E13" t="s">
        <v>58</v>
      </c>
      <c r="F13" t="s">
        <v>59</v>
      </c>
      <c r="G13">
        <v>1</v>
      </c>
      <c r="H13">
        <v>3.39</v>
      </c>
      <c r="I13" s="7">
        <f>IF(Transactions!I13="",0,Transactions!I13)</f>
        <v>0.15</v>
      </c>
      <c r="J13" s="9">
        <f t="shared" si="0"/>
        <v>2.8815</v>
      </c>
      <c r="K13" t="s">
        <v>36</v>
      </c>
      <c r="L13" t="s">
        <v>17</v>
      </c>
      <c r="M13" t="str">
        <f>REPLACE(Transactions!M13,1,4,"")</f>
        <v>6</v>
      </c>
    </row>
    <row r="14" spans="1:13" x14ac:dyDescent="0.2">
      <c r="A14">
        <v>103506</v>
      </c>
      <c r="B14" s="5">
        <v>45367</v>
      </c>
      <c r="C14">
        <v>91356</v>
      </c>
      <c r="D14" t="str">
        <f>PROPER(Transactions!D14)</f>
        <v>Furniture</v>
      </c>
      <c r="E14" t="s">
        <v>60</v>
      </c>
      <c r="F14" t="s">
        <v>61</v>
      </c>
      <c r="G14">
        <v>5</v>
      </c>
      <c r="H14">
        <v>52.24</v>
      </c>
      <c r="I14" s="7">
        <f>IF(Transactions!I14="",0,Transactions!I14)</f>
        <v>0.05</v>
      </c>
      <c r="J14" s="9">
        <f t="shared" si="0"/>
        <v>248.14</v>
      </c>
      <c r="K14" t="s">
        <v>16</v>
      </c>
      <c r="L14" t="s">
        <v>17</v>
      </c>
      <c r="M14" t="str">
        <f>REPLACE(Transactions!M14,1,4,"")</f>
        <v>18</v>
      </c>
    </row>
    <row r="15" spans="1:13" x14ac:dyDescent="0.2">
      <c r="A15">
        <v>103735</v>
      </c>
      <c r="B15" s="5">
        <v>44600</v>
      </c>
      <c r="D15" t="str">
        <f>PROPER(Transactions!D15)</f>
        <v>Grocery</v>
      </c>
      <c r="E15" t="s">
        <v>45</v>
      </c>
      <c r="F15" t="s">
        <v>46</v>
      </c>
      <c r="G15">
        <v>2</v>
      </c>
      <c r="H15">
        <v>1.79</v>
      </c>
      <c r="I15" s="7">
        <f>IF(Transactions!I15="",0,Transactions!I15)</f>
        <v>0</v>
      </c>
      <c r="J15" s="9">
        <f t="shared" si="0"/>
        <v>3.58</v>
      </c>
      <c r="K15" t="s">
        <v>16</v>
      </c>
      <c r="L15" t="s">
        <v>17</v>
      </c>
      <c r="M15" t="str">
        <f>REPLACE(Transactions!M15,1,4,"")</f>
        <v>12</v>
      </c>
    </row>
    <row r="16" spans="1:13" x14ac:dyDescent="0.2">
      <c r="A16">
        <v>104478</v>
      </c>
      <c r="B16" s="5">
        <v>45165</v>
      </c>
      <c r="C16">
        <v>86184</v>
      </c>
      <c r="D16" t="str">
        <f>PROPER(Transactions!D16)</f>
        <v>Automotive</v>
      </c>
      <c r="E16" t="s">
        <v>64</v>
      </c>
      <c r="F16" t="s">
        <v>65</v>
      </c>
      <c r="G16">
        <v>1</v>
      </c>
      <c r="H16">
        <v>4.99</v>
      </c>
      <c r="I16" s="7">
        <f>IF(Transactions!I16="",0,Transactions!I16)</f>
        <v>0</v>
      </c>
      <c r="J16" s="9">
        <f t="shared" si="0"/>
        <v>4.99</v>
      </c>
      <c r="K16" t="s">
        <v>66</v>
      </c>
      <c r="L16" t="s">
        <v>17</v>
      </c>
      <c r="M16" t="str">
        <f>REPLACE(Transactions!M16,1,4,"")</f>
        <v>1</v>
      </c>
    </row>
    <row r="17" spans="1:13" x14ac:dyDescent="0.2">
      <c r="A17">
        <v>104488</v>
      </c>
      <c r="B17" s="5">
        <v>44889</v>
      </c>
      <c r="C17">
        <v>47751</v>
      </c>
      <c r="D17" t="str">
        <f>PROPER(Transactions!D17)</f>
        <v>Automotive</v>
      </c>
      <c r="E17" t="s">
        <v>64</v>
      </c>
      <c r="F17" t="s">
        <v>65</v>
      </c>
      <c r="G17">
        <v>3</v>
      </c>
      <c r="H17">
        <v>4.74</v>
      </c>
      <c r="I17" s="7">
        <f>IF(Transactions!I17="",0,Transactions!I17)</f>
        <v>0.05</v>
      </c>
      <c r="J17" s="9">
        <f t="shared" si="0"/>
        <v>13.509</v>
      </c>
      <c r="K17" t="s">
        <v>36</v>
      </c>
      <c r="L17" t="s">
        <v>37</v>
      </c>
      <c r="M17" t="str">
        <f>REPLACE(Transactions!M17,1,4,"")</f>
        <v>12</v>
      </c>
    </row>
    <row r="18" spans="1:13" x14ac:dyDescent="0.2">
      <c r="A18">
        <v>104523</v>
      </c>
      <c r="B18" s="5">
        <v>45319</v>
      </c>
      <c r="C18">
        <v>10364</v>
      </c>
      <c r="D18" t="str">
        <f>PROPER(Transactions!D18)</f>
        <v>Automotive</v>
      </c>
      <c r="E18" t="s">
        <v>68</v>
      </c>
      <c r="F18" t="s">
        <v>69</v>
      </c>
      <c r="G18">
        <v>2</v>
      </c>
      <c r="H18">
        <v>19.989999999999998</v>
      </c>
      <c r="I18" s="7">
        <f>IF(Transactions!I18="",0,Transactions!I18)</f>
        <v>0.2</v>
      </c>
      <c r="J18" s="9">
        <f t="shared" si="0"/>
        <v>31.983999999999998</v>
      </c>
      <c r="K18" t="s">
        <v>16</v>
      </c>
      <c r="L18" t="s">
        <v>37</v>
      </c>
      <c r="M18" t="str">
        <f>REPLACE(Transactions!M18,1,4,"")</f>
        <v>16</v>
      </c>
    </row>
    <row r="19" spans="1:13" x14ac:dyDescent="0.2">
      <c r="A19">
        <v>104855</v>
      </c>
      <c r="B19" s="5">
        <v>45547</v>
      </c>
      <c r="C19">
        <v>48062</v>
      </c>
      <c r="D19" t="str">
        <f>PROPER(Transactions!D19)</f>
        <v>Furniture</v>
      </c>
      <c r="E19" t="s">
        <v>70</v>
      </c>
      <c r="F19" t="s">
        <v>71</v>
      </c>
      <c r="G19">
        <v>2</v>
      </c>
      <c r="H19">
        <v>89.99</v>
      </c>
      <c r="I19" s="7">
        <f>IF(Transactions!I19="",0,Transactions!I19)</f>
        <v>0</v>
      </c>
      <c r="J19" s="9">
        <f t="shared" si="0"/>
        <v>179.98</v>
      </c>
      <c r="K19" t="s">
        <v>36</v>
      </c>
      <c r="L19" t="s">
        <v>17</v>
      </c>
      <c r="M19" t="str">
        <f>REPLACE(Transactions!M19,1,4,"")</f>
        <v>6</v>
      </c>
    </row>
    <row r="20" spans="1:13" x14ac:dyDescent="0.2">
      <c r="A20">
        <v>105337</v>
      </c>
      <c r="B20" s="5">
        <v>44814</v>
      </c>
      <c r="C20">
        <v>42955</v>
      </c>
      <c r="D20" t="str">
        <f>PROPER(Transactions!D20)</f>
        <v>Electronics</v>
      </c>
      <c r="E20" t="s">
        <v>34</v>
      </c>
      <c r="F20" t="s">
        <v>35</v>
      </c>
      <c r="G20">
        <v>2</v>
      </c>
      <c r="H20">
        <v>34.99</v>
      </c>
      <c r="I20" s="7">
        <f>IF(Transactions!I20="",0,Transactions!I20)</f>
        <v>0</v>
      </c>
      <c r="J20" s="9">
        <f t="shared" si="0"/>
        <v>69.98</v>
      </c>
      <c r="K20" t="s">
        <v>16</v>
      </c>
      <c r="L20" t="s">
        <v>37</v>
      </c>
      <c r="M20" t="str">
        <f>REPLACE(Transactions!M20,1,4,"")</f>
        <v>13</v>
      </c>
    </row>
    <row r="21" spans="1:13" x14ac:dyDescent="0.2">
      <c r="A21">
        <v>105411</v>
      </c>
      <c r="B21" s="5">
        <v>44805</v>
      </c>
      <c r="C21">
        <v>73284</v>
      </c>
      <c r="D21" t="str">
        <f>PROPER(Transactions!D21)</f>
        <v>Toys</v>
      </c>
      <c r="E21" t="s">
        <v>72</v>
      </c>
      <c r="F21" t="s">
        <v>73</v>
      </c>
      <c r="G21">
        <v>1</v>
      </c>
      <c r="H21">
        <v>33.99</v>
      </c>
      <c r="I21" s="7">
        <f>IF(Transactions!I21="",0,Transactions!I21)</f>
        <v>0.15</v>
      </c>
      <c r="J21" s="9">
        <f t="shared" si="0"/>
        <v>28.891500000000001</v>
      </c>
      <c r="K21" t="s">
        <v>36</v>
      </c>
      <c r="L21" t="s">
        <v>37</v>
      </c>
      <c r="M21" t="str">
        <f>REPLACE(Transactions!M21,1,4,"")</f>
        <v>15</v>
      </c>
    </row>
    <row r="22" spans="1:13" x14ac:dyDescent="0.2">
      <c r="A22">
        <v>105767</v>
      </c>
      <c r="B22" s="5">
        <v>44604</v>
      </c>
      <c r="C22">
        <v>15863</v>
      </c>
      <c r="D22" t="str">
        <f>PROPER(Transactions!D22)</f>
        <v>Grocery</v>
      </c>
      <c r="E22" t="s">
        <v>74</v>
      </c>
      <c r="F22" t="s">
        <v>75</v>
      </c>
      <c r="G22">
        <v>3</v>
      </c>
      <c r="H22">
        <v>2.09</v>
      </c>
      <c r="I22" s="7">
        <f>IF(Transactions!I22="",0,Transactions!I22)</f>
        <v>0.3</v>
      </c>
      <c r="J22" s="9">
        <f t="shared" si="0"/>
        <v>4.3889999999999993</v>
      </c>
      <c r="K22" t="s">
        <v>53</v>
      </c>
      <c r="L22" t="s">
        <v>17</v>
      </c>
      <c r="M22" t="str">
        <f>REPLACE(Transactions!M22,1,4,"")</f>
        <v>20</v>
      </c>
    </row>
    <row r="23" spans="1:13" x14ac:dyDescent="0.2">
      <c r="A23">
        <v>105891</v>
      </c>
      <c r="B23" s="5">
        <v>45425</v>
      </c>
      <c r="C23">
        <v>64264</v>
      </c>
      <c r="D23" t="str">
        <f>PROPER(Transactions!D23)</f>
        <v>Electronics</v>
      </c>
      <c r="E23" t="s">
        <v>77</v>
      </c>
      <c r="F23" t="s">
        <v>78</v>
      </c>
      <c r="G23">
        <v>1</v>
      </c>
      <c r="H23">
        <v>499.99</v>
      </c>
      <c r="I23" s="7">
        <f>IF(Transactions!I23="",0,Transactions!I23)</f>
        <v>0</v>
      </c>
      <c r="J23" s="9">
        <f t="shared" si="0"/>
        <v>499.99</v>
      </c>
      <c r="K23" t="s">
        <v>36</v>
      </c>
      <c r="L23" t="s">
        <v>23</v>
      </c>
      <c r="M23" t="str">
        <f>REPLACE(Transactions!M23,1,4,"")</f>
        <v>19</v>
      </c>
    </row>
    <row r="24" spans="1:13" x14ac:dyDescent="0.2">
      <c r="A24">
        <v>105898</v>
      </c>
      <c r="B24" s="5">
        <v>45614</v>
      </c>
      <c r="D24" t="str">
        <f>PROPER(Transactions!D24)</f>
        <v>Electronics</v>
      </c>
      <c r="E24" t="s">
        <v>79</v>
      </c>
      <c r="F24" t="s">
        <v>80</v>
      </c>
      <c r="G24">
        <v>3</v>
      </c>
      <c r="H24">
        <v>89.99</v>
      </c>
      <c r="I24" s="7">
        <f>IF(Transactions!I24="",0,Transactions!I24)</f>
        <v>0</v>
      </c>
      <c r="J24" s="9">
        <f t="shared" si="0"/>
        <v>269.96999999999997</v>
      </c>
      <c r="K24" t="s">
        <v>16</v>
      </c>
      <c r="L24" t="s">
        <v>17</v>
      </c>
      <c r="M24" t="str">
        <f>REPLACE(Transactions!M24,1,4,"")</f>
        <v>7</v>
      </c>
    </row>
    <row r="25" spans="1:13" x14ac:dyDescent="0.2">
      <c r="A25">
        <v>105910</v>
      </c>
      <c r="B25" s="5">
        <v>45026</v>
      </c>
      <c r="C25">
        <v>73703</v>
      </c>
      <c r="D25" t="str">
        <f>PROPER(Transactions!D25)</f>
        <v>Sports</v>
      </c>
      <c r="E25" t="s">
        <v>83</v>
      </c>
      <c r="F25" t="s">
        <v>84</v>
      </c>
      <c r="G25">
        <v>3</v>
      </c>
      <c r="H25">
        <v>11.89</v>
      </c>
      <c r="I25" s="7">
        <f>IF(Transactions!I25="",0,Transactions!I25)</f>
        <v>0.3</v>
      </c>
      <c r="J25" s="9">
        <f t="shared" si="0"/>
        <v>24.969000000000001</v>
      </c>
      <c r="K25" t="s">
        <v>36</v>
      </c>
      <c r="L25" t="s">
        <v>17</v>
      </c>
      <c r="M25" t="str">
        <f>REPLACE(Transactions!M25,1,4,"")</f>
        <v>16</v>
      </c>
    </row>
    <row r="26" spans="1:13" x14ac:dyDescent="0.2">
      <c r="A26">
        <v>105960</v>
      </c>
      <c r="B26" s="5">
        <v>45338</v>
      </c>
      <c r="C26">
        <v>70702</v>
      </c>
      <c r="D26" t="str">
        <f>PROPER(Transactions!D26)</f>
        <v>Home &amp; Garden</v>
      </c>
      <c r="E26" t="s">
        <v>86</v>
      </c>
      <c r="F26" t="s">
        <v>87</v>
      </c>
      <c r="G26">
        <v>1</v>
      </c>
      <c r="H26">
        <v>9.09</v>
      </c>
      <c r="I26" s="7">
        <f>IF(Transactions!I26="",0,Transactions!I26)</f>
        <v>0.3</v>
      </c>
      <c r="J26" s="9">
        <f t="shared" si="0"/>
        <v>6.3629999999999995</v>
      </c>
      <c r="K26" t="s">
        <v>22</v>
      </c>
      <c r="L26" t="s">
        <v>17</v>
      </c>
      <c r="M26" t="str">
        <f>REPLACE(Transactions!M26,1,4,"")</f>
        <v>15</v>
      </c>
    </row>
    <row r="27" spans="1:13" x14ac:dyDescent="0.2">
      <c r="A27">
        <v>106029</v>
      </c>
      <c r="B27" s="5">
        <v>45581</v>
      </c>
      <c r="C27">
        <v>96438</v>
      </c>
      <c r="D27" t="str">
        <f>PROPER(Transactions!D27)</f>
        <v>Toys</v>
      </c>
      <c r="E27" t="s">
        <v>88</v>
      </c>
      <c r="F27" t="s">
        <v>89</v>
      </c>
      <c r="G27">
        <v>2</v>
      </c>
      <c r="H27">
        <v>37.49</v>
      </c>
      <c r="I27" s="7">
        <f>IF(Transactions!I27="",0,Transactions!I27)</f>
        <v>0.25</v>
      </c>
      <c r="J27" s="9">
        <f t="shared" si="0"/>
        <v>56.234999999999999</v>
      </c>
      <c r="K27" t="s">
        <v>16</v>
      </c>
      <c r="L27" t="s">
        <v>17</v>
      </c>
      <c r="M27" t="str">
        <f>REPLACE(Transactions!M27,1,4,"")</f>
        <v>10</v>
      </c>
    </row>
    <row r="28" spans="1:13" x14ac:dyDescent="0.2">
      <c r="A28">
        <v>106047</v>
      </c>
      <c r="B28" s="5">
        <v>44876</v>
      </c>
      <c r="C28">
        <v>81600</v>
      </c>
      <c r="D28" t="str">
        <f>PROPER(Transactions!D28)</f>
        <v>Grocery</v>
      </c>
      <c r="E28" t="s">
        <v>91</v>
      </c>
      <c r="F28" t="s">
        <v>92</v>
      </c>
      <c r="G28">
        <v>1</v>
      </c>
      <c r="H28">
        <v>4.72</v>
      </c>
      <c r="I28" s="7">
        <f>IF(Transactions!I28="",0,Transactions!I28)</f>
        <v>0</v>
      </c>
      <c r="J28" s="9">
        <f t="shared" si="0"/>
        <v>4.72</v>
      </c>
      <c r="K28" t="s">
        <v>22</v>
      </c>
      <c r="L28" t="s">
        <v>17</v>
      </c>
      <c r="M28" t="str">
        <f>REPLACE(Transactions!M28,1,4,"")</f>
        <v>7</v>
      </c>
    </row>
    <row r="29" spans="1:13" x14ac:dyDescent="0.2">
      <c r="A29">
        <v>106263</v>
      </c>
      <c r="B29" s="5">
        <v>44902</v>
      </c>
      <c r="C29">
        <v>95178</v>
      </c>
      <c r="D29" t="str">
        <f>PROPER(Transactions!D29)</f>
        <v>Grocery</v>
      </c>
      <c r="E29" t="s">
        <v>93</v>
      </c>
      <c r="F29" t="s">
        <v>94</v>
      </c>
      <c r="G29">
        <v>5</v>
      </c>
      <c r="H29">
        <v>0.9</v>
      </c>
      <c r="I29" s="7">
        <f>IF(Transactions!I29="",0,Transactions!I29)</f>
        <v>0.3</v>
      </c>
      <c r="J29" s="9">
        <f t="shared" si="0"/>
        <v>3.15</v>
      </c>
      <c r="K29" t="s">
        <v>95</v>
      </c>
      <c r="L29" t="s">
        <v>17</v>
      </c>
      <c r="M29" t="str">
        <f>REPLACE(Transactions!M29,1,4,"")</f>
        <v>14</v>
      </c>
    </row>
    <row r="30" spans="1:13" x14ac:dyDescent="0.2">
      <c r="A30">
        <v>106543</v>
      </c>
      <c r="B30" s="5">
        <v>45204</v>
      </c>
      <c r="C30">
        <v>88674</v>
      </c>
      <c r="D30" t="str">
        <f>PROPER(Transactions!D30)</f>
        <v>Automotive</v>
      </c>
      <c r="E30" t="s">
        <v>64</v>
      </c>
      <c r="F30" t="s">
        <v>65</v>
      </c>
      <c r="G30">
        <v>1</v>
      </c>
      <c r="H30">
        <v>3.99</v>
      </c>
      <c r="I30" s="7">
        <f>IF(Transactions!I30="",0,Transactions!I30)</f>
        <v>0.2</v>
      </c>
      <c r="J30" s="9">
        <f t="shared" si="0"/>
        <v>3.1920000000000002</v>
      </c>
      <c r="K30" t="s">
        <v>36</v>
      </c>
      <c r="L30" t="s">
        <v>17</v>
      </c>
      <c r="M30" t="str">
        <f>REPLACE(Transactions!M30,1,4,"")</f>
        <v>9</v>
      </c>
    </row>
    <row r="31" spans="1:13" x14ac:dyDescent="0.2">
      <c r="A31">
        <v>106587</v>
      </c>
      <c r="B31" s="5">
        <v>45594</v>
      </c>
      <c r="C31">
        <v>94688</v>
      </c>
      <c r="D31" t="str">
        <f>PROPER(Transactions!D31)</f>
        <v>Clothing</v>
      </c>
      <c r="E31" t="s">
        <v>98</v>
      </c>
      <c r="F31" t="s">
        <v>99</v>
      </c>
      <c r="G31">
        <v>4</v>
      </c>
      <c r="H31">
        <v>27.99</v>
      </c>
      <c r="I31" s="7">
        <f>IF(Transactions!I31="",0,Transactions!I31)</f>
        <v>0</v>
      </c>
      <c r="J31" s="9">
        <f t="shared" si="0"/>
        <v>111.96</v>
      </c>
      <c r="K31" t="s">
        <v>16</v>
      </c>
      <c r="L31" t="s">
        <v>17</v>
      </c>
      <c r="M31" t="str">
        <f>REPLACE(Transactions!M31,1,4,"")</f>
        <v>1</v>
      </c>
    </row>
    <row r="32" spans="1:13" x14ac:dyDescent="0.2">
      <c r="A32">
        <v>106747</v>
      </c>
      <c r="B32" s="5">
        <v>45229</v>
      </c>
      <c r="C32">
        <v>22687</v>
      </c>
      <c r="D32" t="str">
        <f>PROPER(Transactions!D32)</f>
        <v>Automotive</v>
      </c>
      <c r="E32" t="s">
        <v>68</v>
      </c>
      <c r="F32" t="s">
        <v>69</v>
      </c>
      <c r="G32">
        <v>2</v>
      </c>
      <c r="H32">
        <v>19.989999999999998</v>
      </c>
      <c r="I32" s="7">
        <f>IF(Transactions!I32="",0,Transactions!I32)</f>
        <v>0.2</v>
      </c>
      <c r="J32" s="9">
        <f t="shared" si="0"/>
        <v>31.983999999999998</v>
      </c>
      <c r="K32" t="s">
        <v>22</v>
      </c>
      <c r="L32" t="s">
        <v>37</v>
      </c>
      <c r="M32" t="str">
        <f>REPLACE(Transactions!M32,1,4,"")</f>
        <v>20</v>
      </c>
    </row>
    <row r="33" spans="1:13" x14ac:dyDescent="0.2">
      <c r="A33">
        <v>106802</v>
      </c>
      <c r="B33" s="5">
        <v>45075</v>
      </c>
      <c r="C33">
        <v>54297</v>
      </c>
      <c r="D33" t="str">
        <f>PROPER(Transactions!D33)</f>
        <v>Toys</v>
      </c>
      <c r="E33" t="s">
        <v>38</v>
      </c>
      <c r="F33" t="s">
        <v>39</v>
      </c>
      <c r="G33">
        <v>1</v>
      </c>
      <c r="H33">
        <v>28.49</v>
      </c>
      <c r="I33" s="7">
        <f>IF(Transactions!I33="",0,Transactions!I33)</f>
        <v>0.05</v>
      </c>
      <c r="J33" s="9">
        <f t="shared" si="0"/>
        <v>27.065499999999997</v>
      </c>
      <c r="K33" t="s">
        <v>16</v>
      </c>
      <c r="L33" t="s">
        <v>37</v>
      </c>
      <c r="M33" t="str">
        <f>REPLACE(Transactions!M33,1,4,"")</f>
        <v>10</v>
      </c>
    </row>
    <row r="34" spans="1:13" x14ac:dyDescent="0.2">
      <c r="A34">
        <v>106949</v>
      </c>
      <c r="B34" s="5">
        <v>45526</v>
      </c>
      <c r="C34">
        <v>77873</v>
      </c>
      <c r="D34" t="str">
        <f>PROPER(Transactions!D34)</f>
        <v>Sports</v>
      </c>
      <c r="E34" t="s">
        <v>100</v>
      </c>
      <c r="F34" t="s">
        <v>101</v>
      </c>
      <c r="G34">
        <v>2</v>
      </c>
      <c r="H34">
        <v>22.99</v>
      </c>
      <c r="I34" s="7">
        <f>IF(Transactions!I34="",0,Transactions!I34)</f>
        <v>0</v>
      </c>
      <c r="J34" s="9">
        <f t="shared" si="0"/>
        <v>45.98</v>
      </c>
      <c r="K34" t="s">
        <v>66</v>
      </c>
      <c r="L34" t="s">
        <v>37</v>
      </c>
      <c r="M34" t="str">
        <f>REPLACE(Transactions!M34,1,4,"")</f>
        <v>8</v>
      </c>
    </row>
    <row r="35" spans="1:13" x14ac:dyDescent="0.2">
      <c r="A35">
        <v>106959</v>
      </c>
      <c r="B35" s="5">
        <v>45625</v>
      </c>
      <c r="C35">
        <v>17057</v>
      </c>
      <c r="D35" t="str">
        <f>PROPER(Transactions!D35)</f>
        <v>Pharmacy</v>
      </c>
      <c r="E35" t="s">
        <v>58</v>
      </c>
      <c r="F35" t="s">
        <v>59</v>
      </c>
      <c r="G35">
        <v>2</v>
      </c>
      <c r="H35">
        <v>3.39</v>
      </c>
      <c r="I35" s="7">
        <f>IF(Transactions!I35="",0,Transactions!I35)</f>
        <v>0.15</v>
      </c>
      <c r="J35" s="9">
        <f t="shared" si="0"/>
        <v>5.7629999999999999</v>
      </c>
      <c r="K35" t="s">
        <v>32</v>
      </c>
      <c r="L35" t="s">
        <v>37</v>
      </c>
      <c r="M35" t="str">
        <f>REPLACE(Transactions!M35,1,4,"")</f>
        <v>17</v>
      </c>
    </row>
    <row r="36" spans="1:13" x14ac:dyDescent="0.2">
      <c r="A36">
        <v>107239</v>
      </c>
      <c r="B36" s="5">
        <v>44834</v>
      </c>
      <c r="C36">
        <v>29478</v>
      </c>
      <c r="D36" t="str">
        <f>PROPER(Transactions!D36)</f>
        <v>Grocery</v>
      </c>
      <c r="E36" t="s">
        <v>74</v>
      </c>
      <c r="F36" t="s">
        <v>75</v>
      </c>
      <c r="G36">
        <v>1</v>
      </c>
      <c r="H36">
        <v>2.09</v>
      </c>
      <c r="I36" s="7">
        <f>IF(Transactions!I36="",0,Transactions!I36)</f>
        <v>0.3</v>
      </c>
      <c r="J36" s="9">
        <f t="shared" si="0"/>
        <v>1.4629999999999999</v>
      </c>
      <c r="K36" t="s">
        <v>22</v>
      </c>
      <c r="L36" t="s">
        <v>17</v>
      </c>
      <c r="M36" t="str">
        <f>REPLACE(Transactions!M36,1,4,"")</f>
        <v>6</v>
      </c>
    </row>
    <row r="37" spans="1:13" x14ac:dyDescent="0.2">
      <c r="A37">
        <v>107432</v>
      </c>
      <c r="B37" s="5">
        <v>44917</v>
      </c>
      <c r="C37">
        <v>24560</v>
      </c>
      <c r="D37" t="str">
        <f>PROPER(Transactions!D37)</f>
        <v>Electronics</v>
      </c>
      <c r="E37" t="s">
        <v>104</v>
      </c>
      <c r="F37" t="s">
        <v>105</v>
      </c>
      <c r="G37">
        <v>5</v>
      </c>
      <c r="H37">
        <v>23.99</v>
      </c>
      <c r="I37" s="7">
        <f>IF(Transactions!I37="",0,Transactions!I37)</f>
        <v>0.2</v>
      </c>
      <c r="J37" s="9">
        <f t="shared" si="0"/>
        <v>95.96</v>
      </c>
      <c r="K37" t="s">
        <v>95</v>
      </c>
      <c r="L37" t="s">
        <v>17</v>
      </c>
      <c r="M37" t="str">
        <f>REPLACE(Transactions!M37,1,4,"")</f>
        <v>1</v>
      </c>
    </row>
    <row r="38" spans="1:13" x14ac:dyDescent="0.2">
      <c r="A38">
        <v>107461</v>
      </c>
      <c r="B38" s="5">
        <v>45309</v>
      </c>
      <c r="C38">
        <v>64862</v>
      </c>
      <c r="D38" t="str">
        <f>PROPER(Transactions!D38)</f>
        <v>Grocery</v>
      </c>
      <c r="E38" t="s">
        <v>107</v>
      </c>
      <c r="F38" t="s">
        <v>108</v>
      </c>
      <c r="G38">
        <v>1</v>
      </c>
      <c r="H38">
        <v>3.49</v>
      </c>
      <c r="I38" s="7">
        <f>IF(Transactions!I38="",0,Transactions!I38)</f>
        <v>0</v>
      </c>
      <c r="J38" s="9">
        <f t="shared" si="0"/>
        <v>3.49</v>
      </c>
      <c r="K38" t="s">
        <v>36</v>
      </c>
      <c r="L38" t="s">
        <v>17</v>
      </c>
      <c r="M38" t="str">
        <f>REPLACE(Transactions!M38,1,4,"")</f>
        <v>10</v>
      </c>
    </row>
    <row r="39" spans="1:13" x14ac:dyDescent="0.2">
      <c r="A39">
        <v>107567</v>
      </c>
      <c r="B39" s="5">
        <v>44771</v>
      </c>
      <c r="C39">
        <v>84944</v>
      </c>
      <c r="D39" t="str">
        <f>PROPER(Transactions!D39)</f>
        <v>Beauty</v>
      </c>
      <c r="E39" t="s">
        <v>109</v>
      </c>
      <c r="F39" t="s">
        <v>110</v>
      </c>
      <c r="G39">
        <v>5</v>
      </c>
      <c r="H39">
        <v>6.99</v>
      </c>
      <c r="I39" s="7">
        <f>IF(Transactions!I39="",0,Transactions!I39)</f>
        <v>0</v>
      </c>
      <c r="J39" s="9">
        <f t="shared" si="0"/>
        <v>34.950000000000003</v>
      </c>
      <c r="K39" t="s">
        <v>36</v>
      </c>
      <c r="L39" t="s">
        <v>17</v>
      </c>
      <c r="M39" t="str">
        <f>REPLACE(Transactions!M39,1,4,"")</f>
        <v>7</v>
      </c>
    </row>
    <row r="40" spans="1:13" x14ac:dyDescent="0.2">
      <c r="A40">
        <v>107786</v>
      </c>
      <c r="B40" s="5">
        <v>45135</v>
      </c>
      <c r="C40">
        <v>68036</v>
      </c>
      <c r="D40" t="str">
        <f>PROPER(Transactions!D40)</f>
        <v>Automotive</v>
      </c>
      <c r="E40" t="s">
        <v>111</v>
      </c>
      <c r="F40" t="s">
        <v>112</v>
      </c>
      <c r="G40">
        <v>1</v>
      </c>
      <c r="H40">
        <v>11.24</v>
      </c>
      <c r="I40" s="7">
        <f>IF(Transactions!I40="",0,Transactions!I40)</f>
        <v>0.25</v>
      </c>
      <c r="J40" s="9">
        <f t="shared" si="0"/>
        <v>8.43</v>
      </c>
      <c r="K40" t="s">
        <v>22</v>
      </c>
      <c r="L40" t="s">
        <v>17</v>
      </c>
      <c r="M40" t="str">
        <f>REPLACE(Transactions!M40,1,4,"")</f>
        <v>18</v>
      </c>
    </row>
    <row r="41" spans="1:13" x14ac:dyDescent="0.2">
      <c r="A41">
        <v>108023</v>
      </c>
      <c r="B41" s="5">
        <v>44733</v>
      </c>
      <c r="C41">
        <v>34612</v>
      </c>
      <c r="D41" t="str">
        <f>PROPER(Transactions!D41)</f>
        <v>Furniture</v>
      </c>
      <c r="E41" t="s">
        <v>113</v>
      </c>
      <c r="F41" t="s">
        <v>114</v>
      </c>
      <c r="G41">
        <v>1</v>
      </c>
      <c r="H41">
        <v>107.99</v>
      </c>
      <c r="I41" s="7">
        <f>IF(Transactions!I41="",0,Transactions!I41)</f>
        <v>0.1</v>
      </c>
      <c r="J41" s="9">
        <f t="shared" si="0"/>
        <v>97.191000000000003</v>
      </c>
      <c r="K41" t="s">
        <v>16</v>
      </c>
      <c r="L41" t="s">
        <v>17</v>
      </c>
      <c r="M41" t="str">
        <f>REPLACE(Transactions!M41,1,4,"")</f>
        <v/>
      </c>
    </row>
    <row r="42" spans="1:13" x14ac:dyDescent="0.2">
      <c r="A42">
        <v>108027</v>
      </c>
      <c r="B42" s="5">
        <v>45648</v>
      </c>
      <c r="C42">
        <v>97150</v>
      </c>
      <c r="D42" t="str">
        <f>PROPER(Transactions!D42)</f>
        <v>Pharmacy</v>
      </c>
      <c r="E42" t="s">
        <v>115</v>
      </c>
      <c r="F42" t="s">
        <v>116</v>
      </c>
      <c r="G42">
        <v>5</v>
      </c>
      <c r="H42">
        <v>12.99</v>
      </c>
      <c r="I42" s="7">
        <f>IF(Transactions!I42="",0,Transactions!I42)</f>
        <v>0</v>
      </c>
      <c r="J42" s="9">
        <f t="shared" si="0"/>
        <v>64.95</v>
      </c>
      <c r="K42" t="s">
        <v>16</v>
      </c>
      <c r="L42" t="s">
        <v>17</v>
      </c>
      <c r="M42" t="str">
        <f>REPLACE(Transactions!M42,1,4,"")</f>
        <v>3</v>
      </c>
    </row>
    <row r="43" spans="1:13" x14ac:dyDescent="0.2">
      <c r="A43">
        <v>108286</v>
      </c>
      <c r="B43" s="5">
        <v>45185</v>
      </c>
      <c r="C43">
        <v>29249</v>
      </c>
      <c r="D43" t="str">
        <f>PROPER(Transactions!D43)</f>
        <v>Beauty</v>
      </c>
      <c r="E43" t="s">
        <v>118</v>
      </c>
      <c r="F43" t="s">
        <v>119</v>
      </c>
      <c r="G43">
        <v>5</v>
      </c>
      <c r="H43">
        <v>4.24</v>
      </c>
      <c r="I43" s="7">
        <f>IF(Transactions!I43="",0,Transactions!I43)</f>
        <v>0.15</v>
      </c>
      <c r="J43" s="9">
        <f t="shared" si="0"/>
        <v>18.020000000000003</v>
      </c>
      <c r="K43" t="s">
        <v>36</v>
      </c>
      <c r="L43" t="s">
        <v>23</v>
      </c>
      <c r="M43" t="str">
        <f>REPLACE(Transactions!M43,1,4,"")</f>
        <v>5</v>
      </c>
    </row>
    <row r="44" spans="1:13" x14ac:dyDescent="0.2">
      <c r="A44">
        <v>108304</v>
      </c>
      <c r="B44" s="5">
        <v>44607</v>
      </c>
      <c r="C44">
        <v>50153</v>
      </c>
      <c r="D44" t="str">
        <f>PROPER(Transactions!D44)</f>
        <v>Sports</v>
      </c>
      <c r="E44" t="s">
        <v>83</v>
      </c>
      <c r="F44" t="s">
        <v>84</v>
      </c>
      <c r="G44">
        <v>3</v>
      </c>
      <c r="H44">
        <v>11.89</v>
      </c>
      <c r="I44" s="7">
        <f>IF(Transactions!I44="",0,Transactions!I44)</f>
        <v>0.3</v>
      </c>
      <c r="J44" s="9">
        <f t="shared" si="0"/>
        <v>24.969000000000001</v>
      </c>
      <c r="K44" t="s">
        <v>95</v>
      </c>
      <c r="L44" t="s">
        <v>23</v>
      </c>
      <c r="M44" t="str">
        <f>REPLACE(Transactions!M44,1,4,"")</f>
        <v>19</v>
      </c>
    </row>
    <row r="45" spans="1:13" x14ac:dyDescent="0.2">
      <c r="A45">
        <v>108351</v>
      </c>
      <c r="B45" s="5">
        <v>45303</v>
      </c>
      <c r="C45">
        <v>67610</v>
      </c>
      <c r="D45" t="str">
        <f>PROPER(Transactions!D45)</f>
        <v>Clothing</v>
      </c>
      <c r="E45" t="s">
        <v>121</v>
      </c>
      <c r="F45" t="s">
        <v>122</v>
      </c>
      <c r="G45">
        <v>2</v>
      </c>
      <c r="H45">
        <v>9.74</v>
      </c>
      <c r="I45" s="7">
        <f>IF(Transactions!I45="",0,Transactions!I45)</f>
        <v>0.25</v>
      </c>
      <c r="J45" s="9">
        <f t="shared" si="0"/>
        <v>14.61</v>
      </c>
      <c r="K45" t="s">
        <v>36</v>
      </c>
      <c r="L45" t="s">
        <v>17</v>
      </c>
      <c r="M45" t="str">
        <f>REPLACE(Transactions!M45,1,4,"")</f>
        <v>16</v>
      </c>
    </row>
    <row r="46" spans="1:13" x14ac:dyDescent="0.2">
      <c r="A46">
        <v>108680</v>
      </c>
      <c r="B46" s="5">
        <v>44674</v>
      </c>
      <c r="C46">
        <v>41537</v>
      </c>
      <c r="D46" t="str">
        <f>PROPER(Transactions!D46)</f>
        <v>Electronics</v>
      </c>
      <c r="E46" t="s">
        <v>34</v>
      </c>
      <c r="F46" t="s">
        <v>35</v>
      </c>
      <c r="G46">
        <v>1</v>
      </c>
      <c r="H46">
        <v>26.24</v>
      </c>
      <c r="I46" s="7">
        <f>IF(Transactions!I46="",0,Transactions!I46)</f>
        <v>0.25</v>
      </c>
      <c r="J46" s="9">
        <f t="shared" si="0"/>
        <v>19.68</v>
      </c>
      <c r="K46" t="s">
        <v>16</v>
      </c>
      <c r="L46" t="s">
        <v>17</v>
      </c>
      <c r="M46" t="str">
        <f>REPLACE(Transactions!M46,1,4,"")</f>
        <v>10</v>
      </c>
    </row>
    <row r="47" spans="1:13" x14ac:dyDescent="0.2">
      <c r="A47">
        <v>108817</v>
      </c>
      <c r="B47" s="5">
        <v>45173</v>
      </c>
      <c r="C47">
        <v>98245</v>
      </c>
      <c r="D47" t="str">
        <f>PROPER(Transactions!D47)</f>
        <v>Toys</v>
      </c>
      <c r="E47" t="s">
        <v>72</v>
      </c>
      <c r="F47" t="s">
        <v>73</v>
      </c>
      <c r="G47">
        <v>1</v>
      </c>
      <c r="H47">
        <v>31.99</v>
      </c>
      <c r="I47" s="7">
        <f>IF(Transactions!I47="",0,Transactions!I47)</f>
        <v>0.2</v>
      </c>
      <c r="J47" s="9">
        <f t="shared" si="0"/>
        <v>25.591999999999999</v>
      </c>
      <c r="K47" t="s">
        <v>36</v>
      </c>
      <c r="L47" t="s">
        <v>37</v>
      </c>
      <c r="M47" t="str">
        <f>REPLACE(Transactions!M47,1,4,"")</f>
        <v>2</v>
      </c>
    </row>
    <row r="48" spans="1:13" x14ac:dyDescent="0.2">
      <c r="A48">
        <v>108830</v>
      </c>
      <c r="B48" s="5">
        <v>45571</v>
      </c>
      <c r="C48">
        <v>95476</v>
      </c>
      <c r="D48" t="str">
        <f>PROPER(Transactions!D48)</f>
        <v>Electronics</v>
      </c>
      <c r="E48" t="s">
        <v>34</v>
      </c>
      <c r="F48" t="s">
        <v>35</v>
      </c>
      <c r="G48">
        <v>5</v>
      </c>
      <c r="H48">
        <v>34.99</v>
      </c>
      <c r="I48" s="7">
        <f>IF(Transactions!I48="",0,Transactions!I48)</f>
        <v>0</v>
      </c>
      <c r="J48" s="9">
        <f t="shared" si="0"/>
        <v>174.95000000000002</v>
      </c>
      <c r="K48" t="s">
        <v>36</v>
      </c>
      <c r="L48" t="s">
        <v>17</v>
      </c>
      <c r="M48" t="str">
        <f>REPLACE(Transactions!M48,1,4,"")</f>
        <v>10</v>
      </c>
    </row>
    <row r="49" spans="1:13" x14ac:dyDescent="0.2">
      <c r="A49">
        <v>109127</v>
      </c>
      <c r="B49" s="5">
        <v>45504</v>
      </c>
      <c r="C49">
        <v>25217</v>
      </c>
      <c r="D49" t="str">
        <f>PROPER(Transactions!D49)</f>
        <v>Furniture</v>
      </c>
      <c r="E49" t="s">
        <v>26</v>
      </c>
      <c r="F49" t="s">
        <v>27</v>
      </c>
      <c r="G49">
        <v>1</v>
      </c>
      <c r="H49">
        <v>26.24</v>
      </c>
      <c r="I49" s="7">
        <f>IF(Transactions!I49="",0,Transactions!I49)</f>
        <v>0.25</v>
      </c>
      <c r="J49" s="9">
        <f t="shared" si="0"/>
        <v>19.68</v>
      </c>
      <c r="K49" t="s">
        <v>22</v>
      </c>
      <c r="L49" t="s">
        <v>17</v>
      </c>
      <c r="M49" t="str">
        <f>REPLACE(Transactions!M49,1,4,"")</f>
        <v>19</v>
      </c>
    </row>
    <row r="50" spans="1:13" x14ac:dyDescent="0.2">
      <c r="A50">
        <v>109269</v>
      </c>
      <c r="B50" s="5">
        <v>45600</v>
      </c>
      <c r="C50">
        <v>36699</v>
      </c>
      <c r="D50" t="str">
        <f>PROPER(Transactions!D50)</f>
        <v>Automotive</v>
      </c>
      <c r="E50" t="s">
        <v>64</v>
      </c>
      <c r="F50" t="s">
        <v>65</v>
      </c>
      <c r="G50">
        <v>1</v>
      </c>
      <c r="H50">
        <v>3.74</v>
      </c>
      <c r="I50" s="7">
        <f>IF(Transactions!I50="",0,Transactions!I50)</f>
        <v>0.25</v>
      </c>
      <c r="J50" s="9">
        <f t="shared" si="0"/>
        <v>2.8050000000000002</v>
      </c>
      <c r="K50" t="s">
        <v>53</v>
      </c>
      <c r="L50" t="s">
        <v>17</v>
      </c>
      <c r="M50" t="str">
        <f>REPLACE(Transactions!M50,1,4,"")</f>
        <v>8</v>
      </c>
    </row>
    <row r="51" spans="1:13" x14ac:dyDescent="0.2">
      <c r="A51">
        <v>109525</v>
      </c>
      <c r="B51" s="5">
        <v>45351</v>
      </c>
      <c r="C51">
        <v>71899</v>
      </c>
      <c r="D51" t="str">
        <f>PROPER(Transactions!D51)</f>
        <v>Electronics</v>
      </c>
      <c r="E51" t="s">
        <v>34</v>
      </c>
      <c r="F51" t="s">
        <v>35</v>
      </c>
      <c r="G51">
        <v>5</v>
      </c>
      <c r="H51">
        <v>27.99</v>
      </c>
      <c r="I51" s="7">
        <f>IF(Transactions!I51="",0,Transactions!I51)</f>
        <v>0.2</v>
      </c>
      <c r="J51" s="9">
        <f t="shared" si="0"/>
        <v>111.96</v>
      </c>
      <c r="K51" t="s">
        <v>22</v>
      </c>
      <c r="L51" t="s">
        <v>17</v>
      </c>
      <c r="M51" t="str">
        <f>REPLACE(Transactions!M51,1,4,"")</f>
        <v>6</v>
      </c>
    </row>
    <row r="52" spans="1:13" x14ac:dyDescent="0.2">
      <c r="A52">
        <v>109596</v>
      </c>
      <c r="B52" s="5">
        <v>45083</v>
      </c>
      <c r="C52">
        <v>12461</v>
      </c>
      <c r="D52" t="str">
        <f>PROPER(Transactions!D52)</f>
        <v>Automotive</v>
      </c>
      <c r="E52" t="s">
        <v>125</v>
      </c>
      <c r="F52" t="s">
        <v>126</v>
      </c>
      <c r="G52">
        <v>1</v>
      </c>
      <c r="H52">
        <v>20.99</v>
      </c>
      <c r="I52" s="7">
        <f>IF(Transactions!I52="",0,Transactions!I52)</f>
        <v>0.3</v>
      </c>
      <c r="J52" s="9">
        <f t="shared" si="0"/>
        <v>14.692999999999998</v>
      </c>
      <c r="K52" t="s">
        <v>36</v>
      </c>
      <c r="L52" t="s">
        <v>37</v>
      </c>
      <c r="M52" t="str">
        <f>REPLACE(Transactions!M52,1,4,"")</f>
        <v>9</v>
      </c>
    </row>
    <row r="53" spans="1:13" x14ac:dyDescent="0.2">
      <c r="A53">
        <v>109883</v>
      </c>
      <c r="B53" s="5">
        <v>45634</v>
      </c>
      <c r="C53">
        <v>54659</v>
      </c>
      <c r="D53" t="str">
        <f>PROPER(Transactions!D53)</f>
        <v>Toys</v>
      </c>
      <c r="E53" t="s">
        <v>72</v>
      </c>
      <c r="F53" t="s">
        <v>73</v>
      </c>
      <c r="G53">
        <v>4</v>
      </c>
      <c r="H53">
        <v>33.99</v>
      </c>
      <c r="I53" s="7">
        <f>IF(Transactions!I53="",0,Transactions!I53)</f>
        <v>0.15</v>
      </c>
      <c r="J53" s="9">
        <f t="shared" si="0"/>
        <v>115.566</v>
      </c>
      <c r="K53" t="s">
        <v>95</v>
      </c>
      <c r="L53" t="s">
        <v>17</v>
      </c>
      <c r="M53" t="str">
        <f>REPLACE(Transactions!M53,1,4,"")</f>
        <v>14</v>
      </c>
    </row>
    <row r="54" spans="1:13" x14ac:dyDescent="0.2">
      <c r="A54">
        <v>110228</v>
      </c>
      <c r="B54" s="5">
        <v>44683</v>
      </c>
      <c r="C54">
        <v>48942</v>
      </c>
      <c r="D54" t="str">
        <f>PROPER(Transactions!D54)</f>
        <v>Automotive</v>
      </c>
      <c r="E54" t="s">
        <v>64</v>
      </c>
      <c r="F54" t="s">
        <v>65</v>
      </c>
      <c r="G54">
        <v>5</v>
      </c>
      <c r="H54">
        <v>4.99</v>
      </c>
      <c r="I54" s="7">
        <f>IF(Transactions!I54="",0,Transactions!I54)</f>
        <v>0</v>
      </c>
      <c r="J54" s="9">
        <f t="shared" si="0"/>
        <v>24.950000000000003</v>
      </c>
      <c r="K54" t="s">
        <v>16</v>
      </c>
      <c r="L54" t="s">
        <v>17</v>
      </c>
      <c r="M54" t="str">
        <f>REPLACE(Transactions!M54,1,4,"")</f>
        <v>2</v>
      </c>
    </row>
    <row r="55" spans="1:13" x14ac:dyDescent="0.2">
      <c r="A55">
        <v>110444</v>
      </c>
      <c r="B55" s="5">
        <v>45383</v>
      </c>
      <c r="C55">
        <v>71400</v>
      </c>
      <c r="D55" t="str">
        <f>PROPER(Transactions!D55)</f>
        <v>Electronics</v>
      </c>
      <c r="E55" t="s">
        <v>127</v>
      </c>
      <c r="F55" t="s">
        <v>128</v>
      </c>
      <c r="G55">
        <v>1</v>
      </c>
      <c r="H55">
        <v>19.989999999999998</v>
      </c>
      <c r="I55" s="7">
        <f>IF(Transactions!I55="",0,Transactions!I55)</f>
        <v>0</v>
      </c>
      <c r="J55" s="9">
        <f t="shared" si="0"/>
        <v>19.989999999999998</v>
      </c>
      <c r="K55" t="s">
        <v>16</v>
      </c>
      <c r="L55" t="s">
        <v>17</v>
      </c>
      <c r="M55" t="str">
        <f>REPLACE(Transactions!M55,1,4,"")</f>
        <v>7</v>
      </c>
    </row>
    <row r="56" spans="1:13" x14ac:dyDescent="0.2">
      <c r="A56">
        <v>110506</v>
      </c>
      <c r="B56" s="5">
        <v>45268</v>
      </c>
      <c r="C56">
        <v>35067</v>
      </c>
      <c r="D56" t="str">
        <f>PROPER(Transactions!D56)</f>
        <v>Home &amp; Garden</v>
      </c>
      <c r="E56" t="s">
        <v>129</v>
      </c>
      <c r="F56" t="s">
        <v>130</v>
      </c>
      <c r="G56">
        <v>1</v>
      </c>
      <c r="H56">
        <v>8.99</v>
      </c>
      <c r="I56" s="7">
        <f>IF(Transactions!I56="",0,Transactions!I56)</f>
        <v>0</v>
      </c>
      <c r="J56" s="9">
        <f t="shared" si="0"/>
        <v>8.99</v>
      </c>
      <c r="K56" t="s">
        <v>16</v>
      </c>
      <c r="L56" t="s">
        <v>17</v>
      </c>
      <c r="M56" t="str">
        <f>REPLACE(Transactions!M56,1,4,"")</f>
        <v>17</v>
      </c>
    </row>
    <row r="57" spans="1:13" x14ac:dyDescent="0.2">
      <c r="A57">
        <v>110649</v>
      </c>
      <c r="B57" s="5">
        <v>45296</v>
      </c>
      <c r="C57">
        <v>87204</v>
      </c>
      <c r="D57" t="str">
        <f>PROPER(Transactions!D57)</f>
        <v>Electronics</v>
      </c>
      <c r="E57" t="s">
        <v>77</v>
      </c>
      <c r="F57" t="s">
        <v>78</v>
      </c>
      <c r="G57">
        <v>1</v>
      </c>
      <c r="H57">
        <v>374.99</v>
      </c>
      <c r="I57" s="7">
        <f>IF(Transactions!I57="",0,Transactions!I57)</f>
        <v>0.25</v>
      </c>
      <c r="J57" s="9">
        <f t="shared" si="0"/>
        <v>281.24250000000001</v>
      </c>
      <c r="K57" t="s">
        <v>95</v>
      </c>
      <c r="L57" t="s">
        <v>17</v>
      </c>
      <c r="M57" t="str">
        <f>REPLACE(Transactions!M57,1,4,"")</f>
        <v>10</v>
      </c>
    </row>
    <row r="58" spans="1:13" x14ac:dyDescent="0.2">
      <c r="A58">
        <v>110666</v>
      </c>
      <c r="B58" s="5">
        <v>45167</v>
      </c>
      <c r="D58" t="str">
        <f>PROPER(Transactions!D58)</f>
        <v>Automotive</v>
      </c>
      <c r="E58" t="s">
        <v>131</v>
      </c>
      <c r="F58" t="s">
        <v>132</v>
      </c>
      <c r="G58">
        <v>2</v>
      </c>
      <c r="H58">
        <v>3.49</v>
      </c>
      <c r="I58" s="7">
        <f>IF(Transactions!I58="",0,Transactions!I58)</f>
        <v>0</v>
      </c>
      <c r="J58" s="9">
        <f t="shared" si="0"/>
        <v>6.98</v>
      </c>
      <c r="K58" t="s">
        <v>22</v>
      </c>
      <c r="L58" t="s">
        <v>17</v>
      </c>
      <c r="M58" t="str">
        <f>REPLACE(Transactions!M58,1,4,"")</f>
        <v>2</v>
      </c>
    </row>
    <row r="59" spans="1:13" x14ac:dyDescent="0.2">
      <c r="A59">
        <v>110743</v>
      </c>
      <c r="B59" s="5">
        <v>44901</v>
      </c>
      <c r="C59">
        <v>16675</v>
      </c>
      <c r="D59" t="str">
        <f>PROPER(Transactions!D59)</f>
        <v>Beauty</v>
      </c>
      <c r="E59" t="s">
        <v>118</v>
      </c>
      <c r="F59" t="s">
        <v>119</v>
      </c>
      <c r="G59">
        <v>1</v>
      </c>
      <c r="H59">
        <v>4.24</v>
      </c>
      <c r="I59" s="7">
        <f>IF(Transactions!I59="",0,Transactions!I59)</f>
        <v>0.15</v>
      </c>
      <c r="J59" s="9">
        <f t="shared" si="0"/>
        <v>3.6040000000000001</v>
      </c>
      <c r="K59" t="s">
        <v>22</v>
      </c>
      <c r="L59" t="s">
        <v>17</v>
      </c>
      <c r="M59" t="str">
        <f>REPLACE(Transactions!M59,1,4,"")</f>
        <v>18</v>
      </c>
    </row>
    <row r="60" spans="1:13" x14ac:dyDescent="0.2">
      <c r="A60">
        <v>111256</v>
      </c>
      <c r="B60" s="5">
        <v>44659</v>
      </c>
      <c r="C60">
        <v>15018</v>
      </c>
      <c r="D60" t="str">
        <f>PROPER(Transactions!D60)</f>
        <v>Grocery</v>
      </c>
      <c r="E60" t="s">
        <v>133</v>
      </c>
      <c r="F60" t="s">
        <v>134</v>
      </c>
      <c r="G60">
        <v>1</v>
      </c>
      <c r="H60">
        <v>3.79</v>
      </c>
      <c r="I60" s="7">
        <f>IF(Transactions!I60="",0,Transactions!I60)</f>
        <v>0</v>
      </c>
      <c r="J60" s="9">
        <f t="shared" si="0"/>
        <v>3.79</v>
      </c>
      <c r="K60" t="s">
        <v>16</v>
      </c>
      <c r="L60" t="s">
        <v>17</v>
      </c>
      <c r="M60" t="str">
        <f>REPLACE(Transactions!M60,1,4,"")</f>
        <v>18</v>
      </c>
    </row>
    <row r="61" spans="1:13" x14ac:dyDescent="0.2">
      <c r="A61">
        <v>111480</v>
      </c>
      <c r="B61" s="5">
        <v>44578</v>
      </c>
      <c r="D61" t="str">
        <f>PROPER(Transactions!D61)</f>
        <v>Clothing</v>
      </c>
      <c r="E61" t="s">
        <v>135</v>
      </c>
      <c r="F61" t="s">
        <v>136</v>
      </c>
      <c r="G61">
        <v>2</v>
      </c>
      <c r="H61">
        <v>6.99</v>
      </c>
      <c r="I61" s="7">
        <f>IF(Transactions!I61="",0,Transactions!I61)</f>
        <v>0.3</v>
      </c>
      <c r="J61" s="9">
        <f t="shared" si="0"/>
        <v>9.7859999999999996</v>
      </c>
      <c r="K61" t="s">
        <v>36</v>
      </c>
      <c r="L61" t="s">
        <v>17</v>
      </c>
      <c r="M61" t="str">
        <f>REPLACE(Transactions!M61,1,4,"")</f>
        <v>6</v>
      </c>
    </row>
    <row r="62" spans="1:13" x14ac:dyDescent="0.2">
      <c r="A62">
        <v>111503</v>
      </c>
      <c r="B62" s="5">
        <v>45305</v>
      </c>
      <c r="C62">
        <v>66196</v>
      </c>
      <c r="D62" t="str">
        <f>PROPER(Transactions!D62)</f>
        <v>Pharmacy</v>
      </c>
      <c r="E62" t="s">
        <v>115</v>
      </c>
      <c r="F62" t="s">
        <v>116</v>
      </c>
      <c r="G62">
        <v>1</v>
      </c>
      <c r="H62">
        <v>9.74</v>
      </c>
      <c r="I62" s="7">
        <f>IF(Transactions!I62="",0,Transactions!I62)</f>
        <v>0.25</v>
      </c>
      <c r="J62" s="9">
        <f t="shared" si="0"/>
        <v>7.3049999999999997</v>
      </c>
      <c r="K62" t="s">
        <v>16</v>
      </c>
      <c r="L62" t="s">
        <v>17</v>
      </c>
      <c r="M62" t="str">
        <f>REPLACE(Transactions!M62,1,4,"")</f>
        <v>5</v>
      </c>
    </row>
    <row r="63" spans="1:13" x14ac:dyDescent="0.2">
      <c r="A63">
        <v>111807</v>
      </c>
      <c r="B63" s="5">
        <v>44618</v>
      </c>
      <c r="D63" t="str">
        <f>PROPER(Transactions!D63)</f>
        <v>Home &amp; Garden</v>
      </c>
      <c r="E63" t="s">
        <v>137</v>
      </c>
      <c r="F63" t="s">
        <v>138</v>
      </c>
      <c r="G63">
        <v>2</v>
      </c>
      <c r="H63">
        <v>6.79</v>
      </c>
      <c r="I63" s="7">
        <f>IF(Transactions!I63="",0,Transactions!I63)</f>
        <v>0.15</v>
      </c>
      <c r="J63" s="9">
        <f t="shared" si="0"/>
        <v>11.542999999999999</v>
      </c>
      <c r="K63" t="s">
        <v>22</v>
      </c>
      <c r="L63" t="s">
        <v>17</v>
      </c>
      <c r="M63" t="str">
        <f>REPLACE(Transactions!M63,1,4,"")</f>
        <v>13</v>
      </c>
    </row>
    <row r="64" spans="1:13" x14ac:dyDescent="0.2">
      <c r="A64">
        <v>111972</v>
      </c>
      <c r="B64" s="5">
        <v>45387</v>
      </c>
      <c r="C64">
        <v>67694</v>
      </c>
      <c r="D64" t="str">
        <f>PROPER(Transactions!D64)</f>
        <v>Beauty</v>
      </c>
      <c r="E64" t="s">
        <v>139</v>
      </c>
      <c r="F64" t="s">
        <v>140</v>
      </c>
      <c r="G64">
        <v>2</v>
      </c>
      <c r="H64">
        <v>7.99</v>
      </c>
      <c r="I64" s="7">
        <f>IF(Transactions!I64="",0,Transactions!I64)</f>
        <v>0</v>
      </c>
      <c r="J64" s="9">
        <f t="shared" si="0"/>
        <v>15.98</v>
      </c>
      <c r="K64" t="s">
        <v>16</v>
      </c>
      <c r="L64" t="s">
        <v>17</v>
      </c>
      <c r="M64" t="str">
        <f>REPLACE(Transactions!M64,1,4,"")</f>
        <v>15</v>
      </c>
    </row>
    <row r="65" spans="1:13" x14ac:dyDescent="0.2">
      <c r="A65">
        <v>112088</v>
      </c>
      <c r="B65" s="5">
        <v>45103</v>
      </c>
      <c r="C65">
        <v>39411</v>
      </c>
      <c r="D65" t="str">
        <f>PROPER(Transactions!D65)</f>
        <v>Clothing</v>
      </c>
      <c r="E65" t="s">
        <v>141</v>
      </c>
      <c r="F65" t="s">
        <v>142</v>
      </c>
      <c r="G65">
        <v>3</v>
      </c>
      <c r="H65">
        <v>16.09</v>
      </c>
      <c r="I65" s="7">
        <f>IF(Transactions!I65="",0,Transactions!I65)</f>
        <v>0.3</v>
      </c>
      <c r="J65" s="9">
        <f t="shared" si="0"/>
        <v>33.788999999999994</v>
      </c>
      <c r="K65" t="s">
        <v>22</v>
      </c>
      <c r="L65" t="s">
        <v>17</v>
      </c>
      <c r="M65" t="str">
        <f>REPLACE(Transactions!M65,1,4,"")</f>
        <v/>
      </c>
    </row>
    <row r="66" spans="1:13" x14ac:dyDescent="0.2">
      <c r="A66">
        <v>112439</v>
      </c>
      <c r="B66" s="5">
        <v>44859</v>
      </c>
      <c r="C66">
        <v>51377</v>
      </c>
      <c r="D66" t="str">
        <f>PROPER(Transactions!D66)</f>
        <v>Beauty</v>
      </c>
      <c r="E66" t="s">
        <v>118</v>
      </c>
      <c r="F66" t="s">
        <v>119</v>
      </c>
      <c r="G66">
        <v>4</v>
      </c>
      <c r="H66">
        <v>3.49</v>
      </c>
      <c r="I66" s="7">
        <f>IF(Transactions!I66="",0,Transactions!I66)</f>
        <v>0.3</v>
      </c>
      <c r="J66" s="9">
        <f t="shared" si="0"/>
        <v>9.7720000000000002</v>
      </c>
      <c r="K66" t="s">
        <v>36</v>
      </c>
      <c r="L66" t="s">
        <v>37</v>
      </c>
      <c r="M66" t="str">
        <f>REPLACE(Transactions!M66,1,4,"")</f>
        <v>19</v>
      </c>
    </row>
    <row r="67" spans="1:13" x14ac:dyDescent="0.2">
      <c r="A67">
        <v>112458</v>
      </c>
      <c r="B67" s="5">
        <v>45057</v>
      </c>
      <c r="C67">
        <v>15965</v>
      </c>
      <c r="D67" t="str">
        <f>PROPER(Transactions!D67)</f>
        <v>Toys</v>
      </c>
      <c r="E67" t="s">
        <v>72</v>
      </c>
      <c r="F67" t="s">
        <v>73</v>
      </c>
      <c r="G67">
        <v>4</v>
      </c>
      <c r="H67">
        <v>39.99</v>
      </c>
      <c r="I67" s="7">
        <f>IF(Transactions!I67="",0,Transactions!I67)</f>
        <v>0</v>
      </c>
      <c r="J67" s="9">
        <f t="shared" ref="J67:J130" si="1">(H67*G67)*(1-I67)</f>
        <v>159.96</v>
      </c>
      <c r="K67" t="s">
        <v>32</v>
      </c>
      <c r="L67" t="s">
        <v>17</v>
      </c>
      <c r="M67" t="str">
        <f>REPLACE(Transactions!M67,1,4,"")</f>
        <v>10</v>
      </c>
    </row>
    <row r="68" spans="1:13" x14ac:dyDescent="0.2">
      <c r="A68">
        <v>112714</v>
      </c>
      <c r="B68" s="5">
        <v>44744</v>
      </c>
      <c r="C68">
        <v>43443</v>
      </c>
      <c r="D68" t="str">
        <f>PROPER(Transactions!D68)</f>
        <v>Automotive</v>
      </c>
      <c r="E68" t="s">
        <v>68</v>
      </c>
      <c r="F68" t="s">
        <v>69</v>
      </c>
      <c r="G68">
        <v>1</v>
      </c>
      <c r="H68">
        <v>24.99</v>
      </c>
      <c r="I68" s="7">
        <f>IF(Transactions!I68="",0,Transactions!I68)</f>
        <v>0</v>
      </c>
      <c r="J68" s="9">
        <f t="shared" si="1"/>
        <v>24.99</v>
      </c>
      <c r="K68" t="s">
        <v>16</v>
      </c>
      <c r="L68" t="s">
        <v>17</v>
      </c>
      <c r="M68" t="str">
        <f>REPLACE(Transactions!M68,1,4,"")</f>
        <v>19</v>
      </c>
    </row>
    <row r="69" spans="1:13" x14ac:dyDescent="0.2">
      <c r="A69">
        <v>112715</v>
      </c>
      <c r="B69" s="5">
        <v>45578</v>
      </c>
      <c r="C69">
        <v>44039</v>
      </c>
      <c r="D69" t="str">
        <f>PROPER(Transactions!D69)</f>
        <v>Beauty</v>
      </c>
      <c r="E69" t="s">
        <v>143</v>
      </c>
      <c r="F69" t="s">
        <v>144</v>
      </c>
      <c r="G69">
        <v>1</v>
      </c>
      <c r="H69">
        <v>14.99</v>
      </c>
      <c r="I69" s="7">
        <f>IF(Transactions!I69="",0,Transactions!I69)</f>
        <v>0</v>
      </c>
      <c r="J69" s="9">
        <f t="shared" si="1"/>
        <v>14.99</v>
      </c>
      <c r="K69" t="s">
        <v>66</v>
      </c>
      <c r="L69" t="s">
        <v>23</v>
      </c>
      <c r="M69" t="str">
        <f>REPLACE(Transactions!M69,1,4,"")</f>
        <v>16</v>
      </c>
    </row>
    <row r="70" spans="1:13" x14ac:dyDescent="0.2">
      <c r="A70">
        <v>112778</v>
      </c>
      <c r="B70" s="5">
        <v>45543</v>
      </c>
      <c r="C70">
        <v>34879</v>
      </c>
      <c r="D70" t="str">
        <f>PROPER(Transactions!D70)</f>
        <v>Home &amp; Garden</v>
      </c>
      <c r="E70" t="s">
        <v>145</v>
      </c>
      <c r="F70" t="s">
        <v>146</v>
      </c>
      <c r="G70">
        <v>2</v>
      </c>
      <c r="H70">
        <v>13.59</v>
      </c>
      <c r="I70" s="7">
        <f>IF(Transactions!I70="",0,Transactions!I70)</f>
        <v>0.2</v>
      </c>
      <c r="J70" s="9">
        <f t="shared" si="1"/>
        <v>21.744</v>
      </c>
      <c r="K70" t="s">
        <v>53</v>
      </c>
      <c r="L70" t="s">
        <v>37</v>
      </c>
      <c r="M70" t="str">
        <f>REPLACE(Transactions!M70,1,4,"")</f>
        <v>7</v>
      </c>
    </row>
    <row r="71" spans="1:13" x14ac:dyDescent="0.2">
      <c r="A71">
        <v>112940</v>
      </c>
      <c r="B71" s="5">
        <v>44752</v>
      </c>
      <c r="C71">
        <v>83339</v>
      </c>
      <c r="D71" t="str">
        <f>PROPER(Transactions!D71)</f>
        <v>Clothing</v>
      </c>
      <c r="E71" t="s">
        <v>98</v>
      </c>
      <c r="F71" t="s">
        <v>99</v>
      </c>
      <c r="G71">
        <v>4</v>
      </c>
      <c r="H71">
        <v>23.79</v>
      </c>
      <c r="I71" s="7">
        <f>IF(Transactions!I71="",0,Transactions!I71)</f>
        <v>0.15</v>
      </c>
      <c r="J71" s="9">
        <f t="shared" si="1"/>
        <v>80.885999999999996</v>
      </c>
      <c r="K71" t="s">
        <v>16</v>
      </c>
      <c r="L71" t="s">
        <v>17</v>
      </c>
      <c r="M71" t="str">
        <f>REPLACE(Transactions!M71,1,4,"")</f>
        <v>16</v>
      </c>
    </row>
    <row r="72" spans="1:13" x14ac:dyDescent="0.2">
      <c r="A72">
        <v>113121</v>
      </c>
      <c r="B72" s="5">
        <v>45431</v>
      </c>
      <c r="C72">
        <v>86078</v>
      </c>
      <c r="D72" t="str">
        <f>PROPER(Transactions!D72)</f>
        <v>Electronics</v>
      </c>
      <c r="E72" t="s">
        <v>14</v>
      </c>
      <c r="F72" t="s">
        <v>15</v>
      </c>
      <c r="G72">
        <v>1</v>
      </c>
      <c r="H72">
        <v>79.989999999999995</v>
      </c>
      <c r="I72" s="7">
        <f>IF(Transactions!I72="",0,Transactions!I72)</f>
        <v>0</v>
      </c>
      <c r="J72" s="9">
        <f t="shared" si="1"/>
        <v>79.989999999999995</v>
      </c>
      <c r="K72" t="s">
        <v>16</v>
      </c>
      <c r="L72" t="s">
        <v>37</v>
      </c>
      <c r="M72" t="str">
        <f>REPLACE(Transactions!M72,1,4,"")</f>
        <v>15</v>
      </c>
    </row>
    <row r="73" spans="1:13" x14ac:dyDescent="0.2">
      <c r="A73">
        <v>113173</v>
      </c>
      <c r="B73" s="5">
        <v>45253</v>
      </c>
      <c r="C73">
        <v>29832</v>
      </c>
      <c r="D73" t="str">
        <f>PROPER(Transactions!D73)</f>
        <v>Sports</v>
      </c>
      <c r="E73" t="s">
        <v>147</v>
      </c>
      <c r="F73" t="s">
        <v>148</v>
      </c>
      <c r="G73">
        <v>2</v>
      </c>
      <c r="H73">
        <v>9.74</v>
      </c>
      <c r="I73" s="7">
        <f>IF(Transactions!I73="",0,Transactions!I73)</f>
        <v>0.25</v>
      </c>
      <c r="J73" s="9">
        <f t="shared" si="1"/>
        <v>14.61</v>
      </c>
      <c r="K73" t="s">
        <v>36</v>
      </c>
      <c r="L73" t="s">
        <v>17</v>
      </c>
      <c r="M73" t="str">
        <f>REPLACE(Transactions!M73,1,4,"")</f>
        <v>20</v>
      </c>
    </row>
    <row r="74" spans="1:13" x14ac:dyDescent="0.2">
      <c r="A74">
        <v>113177</v>
      </c>
      <c r="B74" s="5">
        <v>45358</v>
      </c>
      <c r="C74">
        <v>29893</v>
      </c>
      <c r="D74" t="str">
        <f>PROPER(Transactions!D74)</f>
        <v>Furniture</v>
      </c>
      <c r="E74" t="s">
        <v>51</v>
      </c>
      <c r="F74" t="s">
        <v>52</v>
      </c>
      <c r="G74">
        <v>5</v>
      </c>
      <c r="H74">
        <v>20.99</v>
      </c>
      <c r="I74" s="7">
        <f>IF(Transactions!I74="",0,Transactions!I74)</f>
        <v>0.25</v>
      </c>
      <c r="J74" s="9">
        <f t="shared" si="1"/>
        <v>78.712499999999991</v>
      </c>
      <c r="K74" t="s">
        <v>32</v>
      </c>
      <c r="L74" t="s">
        <v>17</v>
      </c>
      <c r="M74" t="str">
        <f>REPLACE(Transactions!M74,1,4,"")</f>
        <v>11</v>
      </c>
    </row>
    <row r="75" spans="1:13" x14ac:dyDescent="0.2">
      <c r="A75">
        <v>113499</v>
      </c>
      <c r="B75" s="5">
        <v>44699</v>
      </c>
      <c r="D75" t="str">
        <f>PROPER(Transactions!D75)</f>
        <v>Furniture</v>
      </c>
      <c r="E75" t="s">
        <v>51</v>
      </c>
      <c r="F75" t="s">
        <v>52</v>
      </c>
      <c r="G75">
        <v>3</v>
      </c>
      <c r="H75">
        <v>27.99</v>
      </c>
      <c r="I75" s="7">
        <f>IF(Transactions!I75="",0,Transactions!I75)</f>
        <v>0</v>
      </c>
      <c r="J75" s="9">
        <f t="shared" si="1"/>
        <v>83.97</v>
      </c>
      <c r="K75" t="s">
        <v>16</v>
      </c>
      <c r="L75" t="s">
        <v>23</v>
      </c>
      <c r="M75" t="str">
        <f>REPLACE(Transactions!M75,1,4,"")</f>
        <v/>
      </c>
    </row>
    <row r="76" spans="1:13" x14ac:dyDescent="0.2">
      <c r="A76">
        <v>113522</v>
      </c>
      <c r="B76" s="5">
        <v>44773</v>
      </c>
      <c r="C76">
        <v>53050</v>
      </c>
      <c r="D76" t="str">
        <f>PROPER(Transactions!D76)</f>
        <v>Toys</v>
      </c>
      <c r="E76" t="s">
        <v>72</v>
      </c>
      <c r="F76" t="s">
        <v>73</v>
      </c>
      <c r="G76">
        <v>1</v>
      </c>
      <c r="H76">
        <v>39.99</v>
      </c>
      <c r="I76" s="7">
        <f>IF(Transactions!I76="",0,Transactions!I76)</f>
        <v>0</v>
      </c>
      <c r="J76" s="9">
        <f t="shared" si="1"/>
        <v>39.99</v>
      </c>
      <c r="K76" t="s">
        <v>53</v>
      </c>
      <c r="L76" t="s">
        <v>17</v>
      </c>
      <c r="M76" t="str">
        <f>REPLACE(Transactions!M76,1,4,"")</f>
        <v>3</v>
      </c>
    </row>
    <row r="77" spans="1:13" x14ac:dyDescent="0.2">
      <c r="A77">
        <v>113765</v>
      </c>
      <c r="B77" s="5">
        <v>44715</v>
      </c>
      <c r="C77">
        <v>73916</v>
      </c>
      <c r="D77" t="str">
        <f>PROPER(Transactions!D77)</f>
        <v>Home &amp; Garden</v>
      </c>
      <c r="E77" t="s">
        <v>149</v>
      </c>
      <c r="F77" t="s">
        <v>150</v>
      </c>
      <c r="G77">
        <v>1</v>
      </c>
      <c r="H77">
        <v>14.99</v>
      </c>
      <c r="I77" s="7">
        <f>IF(Transactions!I77="",0,Transactions!I77)</f>
        <v>0.25</v>
      </c>
      <c r="J77" s="9">
        <f t="shared" si="1"/>
        <v>11.2425</v>
      </c>
      <c r="K77" t="s">
        <v>36</v>
      </c>
      <c r="L77" t="s">
        <v>17</v>
      </c>
      <c r="M77" t="str">
        <f>REPLACE(Transactions!M77,1,4,"")</f>
        <v>17</v>
      </c>
    </row>
    <row r="78" spans="1:13" x14ac:dyDescent="0.2">
      <c r="A78">
        <v>114210</v>
      </c>
      <c r="B78" s="5">
        <v>45348</v>
      </c>
      <c r="C78">
        <v>42550</v>
      </c>
      <c r="D78" t="str">
        <f>PROPER(Transactions!D78)</f>
        <v>Electronics</v>
      </c>
      <c r="E78" t="s">
        <v>14</v>
      </c>
      <c r="F78" t="s">
        <v>15</v>
      </c>
      <c r="G78">
        <v>1</v>
      </c>
      <c r="H78">
        <v>79.989999999999995</v>
      </c>
      <c r="I78" s="7">
        <f>IF(Transactions!I78="",0,Transactions!I78)</f>
        <v>0</v>
      </c>
      <c r="J78" s="9">
        <f t="shared" si="1"/>
        <v>79.989999999999995</v>
      </c>
      <c r="K78" t="s">
        <v>16</v>
      </c>
      <c r="L78" t="s">
        <v>17</v>
      </c>
      <c r="M78" t="str">
        <f>REPLACE(Transactions!M78,1,4,"")</f>
        <v>11</v>
      </c>
    </row>
    <row r="79" spans="1:13" x14ac:dyDescent="0.2">
      <c r="A79">
        <v>114270</v>
      </c>
      <c r="B79" s="5">
        <v>45331</v>
      </c>
      <c r="D79" t="str">
        <f>PROPER(Transactions!D79)</f>
        <v>Grocery</v>
      </c>
      <c r="E79" t="s">
        <v>133</v>
      </c>
      <c r="F79" t="s">
        <v>134</v>
      </c>
      <c r="G79">
        <v>1</v>
      </c>
      <c r="H79">
        <v>3.79</v>
      </c>
      <c r="I79" s="7">
        <f>IF(Transactions!I79="",0,Transactions!I79)</f>
        <v>0</v>
      </c>
      <c r="J79" s="9">
        <f t="shared" si="1"/>
        <v>3.79</v>
      </c>
      <c r="K79" t="s">
        <v>22</v>
      </c>
      <c r="L79" t="s">
        <v>17</v>
      </c>
      <c r="M79" t="str">
        <f>REPLACE(Transactions!M79,1,4,"")</f>
        <v>5</v>
      </c>
    </row>
    <row r="80" spans="1:13" x14ac:dyDescent="0.2">
      <c r="A80">
        <v>114717</v>
      </c>
      <c r="B80" s="5">
        <v>44835</v>
      </c>
      <c r="C80">
        <v>82298</v>
      </c>
      <c r="D80" t="str">
        <f>PROPER(Transactions!D80)</f>
        <v>Clothing</v>
      </c>
      <c r="E80" t="s">
        <v>151</v>
      </c>
      <c r="F80" t="s">
        <v>152</v>
      </c>
      <c r="G80">
        <v>4</v>
      </c>
      <c r="H80">
        <v>33.24</v>
      </c>
      <c r="I80" s="7">
        <f>IF(Transactions!I80="",0,Transactions!I80)</f>
        <v>0.05</v>
      </c>
      <c r="J80" s="9">
        <f t="shared" si="1"/>
        <v>126.312</v>
      </c>
      <c r="K80" t="s">
        <v>53</v>
      </c>
      <c r="L80" t="s">
        <v>23</v>
      </c>
      <c r="M80" t="str">
        <f>REPLACE(Transactions!M80,1,4,"")</f>
        <v>13</v>
      </c>
    </row>
    <row r="81" spans="1:13" x14ac:dyDescent="0.2">
      <c r="A81">
        <v>114743</v>
      </c>
      <c r="B81" s="5">
        <v>45627</v>
      </c>
      <c r="C81">
        <v>96886</v>
      </c>
      <c r="D81" t="str">
        <f>PROPER(Transactions!D81)</f>
        <v>Toys</v>
      </c>
      <c r="E81" t="s">
        <v>30</v>
      </c>
      <c r="F81" t="s">
        <v>31</v>
      </c>
      <c r="G81">
        <v>2</v>
      </c>
      <c r="H81">
        <v>23.74</v>
      </c>
      <c r="I81" s="7">
        <f>IF(Transactions!I81="",0,Transactions!I81)</f>
        <v>0.05</v>
      </c>
      <c r="J81" s="9">
        <f t="shared" si="1"/>
        <v>45.105999999999995</v>
      </c>
      <c r="K81" t="s">
        <v>16</v>
      </c>
      <c r="L81" t="s">
        <v>17</v>
      </c>
      <c r="M81" t="str">
        <f>REPLACE(Transactions!M81,1,4,"")</f>
        <v>1</v>
      </c>
    </row>
    <row r="82" spans="1:13" x14ac:dyDescent="0.2">
      <c r="A82">
        <v>114834</v>
      </c>
      <c r="B82" s="5">
        <v>44953</v>
      </c>
      <c r="C82">
        <v>17772</v>
      </c>
      <c r="D82" t="str">
        <f>PROPER(Transactions!D82)</f>
        <v>Home &amp; Garden</v>
      </c>
      <c r="E82" t="s">
        <v>153</v>
      </c>
      <c r="F82" t="s">
        <v>154</v>
      </c>
      <c r="G82">
        <v>4</v>
      </c>
      <c r="H82">
        <v>26.99</v>
      </c>
      <c r="I82" s="7">
        <f>IF(Transactions!I82="",0,Transactions!I82)</f>
        <v>0.1</v>
      </c>
      <c r="J82" s="9">
        <f t="shared" si="1"/>
        <v>97.164000000000001</v>
      </c>
      <c r="K82" t="s">
        <v>95</v>
      </c>
      <c r="L82" t="s">
        <v>17</v>
      </c>
      <c r="M82" t="str">
        <f>REPLACE(Transactions!M82,1,4,"")</f>
        <v>19</v>
      </c>
    </row>
    <row r="83" spans="1:13" x14ac:dyDescent="0.2">
      <c r="A83">
        <v>114868</v>
      </c>
      <c r="B83" s="5">
        <v>45348</v>
      </c>
      <c r="C83">
        <v>93946</v>
      </c>
      <c r="D83" t="str">
        <f>PROPER(Transactions!D83)</f>
        <v>Electronics</v>
      </c>
      <c r="E83" t="s">
        <v>55</v>
      </c>
      <c r="F83" t="s">
        <v>56</v>
      </c>
      <c r="G83">
        <v>1</v>
      </c>
      <c r="H83">
        <v>329.99</v>
      </c>
      <c r="I83" s="7">
        <f>IF(Transactions!I83="",0,Transactions!I83)</f>
        <v>0</v>
      </c>
      <c r="J83" s="9">
        <f t="shared" si="1"/>
        <v>329.99</v>
      </c>
      <c r="K83" t="s">
        <v>16</v>
      </c>
      <c r="L83" t="s">
        <v>17</v>
      </c>
      <c r="M83" t="str">
        <f>REPLACE(Transactions!M83,1,4,"")</f>
        <v>18</v>
      </c>
    </row>
    <row r="84" spans="1:13" x14ac:dyDescent="0.2">
      <c r="A84">
        <v>114930</v>
      </c>
      <c r="B84" s="5">
        <v>44854</v>
      </c>
      <c r="C84">
        <v>42668</v>
      </c>
      <c r="D84" t="str">
        <f>PROPER(Transactions!D84)</f>
        <v>Home &amp; Garden</v>
      </c>
      <c r="E84" t="s">
        <v>145</v>
      </c>
      <c r="F84" t="s">
        <v>146</v>
      </c>
      <c r="G84">
        <v>1</v>
      </c>
      <c r="H84">
        <v>16.989999999999998</v>
      </c>
      <c r="I84" s="7">
        <f>IF(Transactions!I84="",0,Transactions!I84)</f>
        <v>0</v>
      </c>
      <c r="J84" s="9">
        <f t="shared" si="1"/>
        <v>16.989999999999998</v>
      </c>
      <c r="K84" t="s">
        <v>16</v>
      </c>
      <c r="L84" t="s">
        <v>37</v>
      </c>
      <c r="M84" t="str">
        <f>REPLACE(Transactions!M84,1,4,"")</f>
        <v>8</v>
      </c>
    </row>
    <row r="85" spans="1:13" x14ac:dyDescent="0.2">
      <c r="A85">
        <v>115017</v>
      </c>
      <c r="B85" s="5">
        <v>44660</v>
      </c>
      <c r="C85">
        <v>31218</v>
      </c>
      <c r="D85" t="str">
        <f>PROPER(Transactions!D85)</f>
        <v>Electronics</v>
      </c>
      <c r="E85" t="s">
        <v>79</v>
      </c>
      <c r="F85" t="s">
        <v>80</v>
      </c>
      <c r="G85">
        <v>5</v>
      </c>
      <c r="H85">
        <v>85.49</v>
      </c>
      <c r="I85" s="7">
        <f>IF(Transactions!I85="",0,Transactions!I85)</f>
        <v>0.05</v>
      </c>
      <c r="J85" s="9">
        <f t="shared" si="1"/>
        <v>406.07749999999999</v>
      </c>
      <c r="K85" t="s">
        <v>22</v>
      </c>
      <c r="L85" t="s">
        <v>17</v>
      </c>
      <c r="M85" t="str">
        <f>REPLACE(Transactions!M85,1,4,"")</f>
        <v>9</v>
      </c>
    </row>
    <row r="86" spans="1:13" x14ac:dyDescent="0.2">
      <c r="A86">
        <v>115166</v>
      </c>
      <c r="B86" s="5">
        <v>44810</v>
      </c>
      <c r="C86">
        <v>31680</v>
      </c>
      <c r="D86" t="str">
        <f>PROPER(Transactions!D86)</f>
        <v>Furniture</v>
      </c>
      <c r="E86" t="s">
        <v>60</v>
      </c>
      <c r="F86" t="s">
        <v>61</v>
      </c>
      <c r="G86">
        <v>1</v>
      </c>
      <c r="H86">
        <v>52.24</v>
      </c>
      <c r="I86" s="7">
        <f>IF(Transactions!I86="",0,Transactions!I86)</f>
        <v>0.05</v>
      </c>
      <c r="J86" s="9">
        <f t="shared" si="1"/>
        <v>49.628</v>
      </c>
      <c r="K86" t="s">
        <v>16</v>
      </c>
      <c r="L86" t="s">
        <v>37</v>
      </c>
      <c r="M86" t="str">
        <f>REPLACE(Transactions!M86,1,4,"")</f>
        <v>12</v>
      </c>
    </row>
    <row r="87" spans="1:13" x14ac:dyDescent="0.2">
      <c r="A87">
        <v>115330</v>
      </c>
      <c r="B87" s="5">
        <v>44615</v>
      </c>
      <c r="C87">
        <v>74764</v>
      </c>
      <c r="D87" t="str">
        <f>PROPER(Transactions!D87)</f>
        <v>Furniture</v>
      </c>
      <c r="E87" t="s">
        <v>70</v>
      </c>
      <c r="F87" t="s">
        <v>71</v>
      </c>
      <c r="G87">
        <v>1</v>
      </c>
      <c r="H87">
        <v>67.489999999999995</v>
      </c>
      <c r="I87" s="7">
        <f>IF(Transactions!I87="",0,Transactions!I87)</f>
        <v>0.25</v>
      </c>
      <c r="J87" s="9">
        <f t="shared" si="1"/>
        <v>50.617499999999993</v>
      </c>
      <c r="K87" t="s">
        <v>36</v>
      </c>
      <c r="L87" t="s">
        <v>17</v>
      </c>
      <c r="M87" t="str">
        <f>REPLACE(Transactions!M87,1,4,"")</f>
        <v>8</v>
      </c>
    </row>
    <row r="88" spans="1:13" x14ac:dyDescent="0.2">
      <c r="A88">
        <v>115577</v>
      </c>
      <c r="B88" s="5">
        <v>44714</v>
      </c>
      <c r="C88">
        <v>33437</v>
      </c>
      <c r="D88" t="str">
        <f>PROPER(Transactions!D88)</f>
        <v>Sports</v>
      </c>
      <c r="E88" t="s">
        <v>155</v>
      </c>
      <c r="F88" t="s">
        <v>156</v>
      </c>
      <c r="G88">
        <v>1</v>
      </c>
      <c r="H88">
        <v>15.99</v>
      </c>
      <c r="I88" s="7">
        <f>IF(Transactions!I88="",0,Transactions!I88)</f>
        <v>0.2</v>
      </c>
      <c r="J88" s="9">
        <f t="shared" si="1"/>
        <v>12.792000000000002</v>
      </c>
      <c r="K88" t="s">
        <v>36</v>
      </c>
      <c r="L88" t="s">
        <v>17</v>
      </c>
      <c r="M88" t="str">
        <f>REPLACE(Transactions!M88,1,4,"")</f>
        <v>9</v>
      </c>
    </row>
    <row r="89" spans="1:13" x14ac:dyDescent="0.2">
      <c r="A89">
        <v>115659</v>
      </c>
      <c r="B89" s="5">
        <v>45396</v>
      </c>
      <c r="C89">
        <v>85378</v>
      </c>
      <c r="D89" t="str">
        <f>PROPER(Transactions!D89)</f>
        <v>Home &amp; Garden</v>
      </c>
      <c r="E89" t="s">
        <v>157</v>
      </c>
      <c r="F89" t="s">
        <v>158</v>
      </c>
      <c r="G89">
        <v>1</v>
      </c>
      <c r="H89">
        <v>13.49</v>
      </c>
      <c r="I89" s="7">
        <f>IF(Transactions!I89="",0,Transactions!I89)</f>
        <v>0</v>
      </c>
      <c r="J89" s="9">
        <f t="shared" si="1"/>
        <v>13.49</v>
      </c>
      <c r="K89" t="s">
        <v>22</v>
      </c>
      <c r="L89" t="s">
        <v>17</v>
      </c>
      <c r="M89" t="str">
        <f>REPLACE(Transactions!M89,1,4,"")</f>
        <v>19</v>
      </c>
    </row>
    <row r="90" spans="1:13" x14ac:dyDescent="0.2">
      <c r="A90">
        <v>115664</v>
      </c>
      <c r="B90" s="5">
        <v>45637</v>
      </c>
      <c r="C90">
        <v>18693</v>
      </c>
      <c r="D90" t="str">
        <f>PROPER(Transactions!D90)</f>
        <v>Electronics</v>
      </c>
      <c r="E90" t="s">
        <v>159</v>
      </c>
      <c r="F90" t="s">
        <v>160</v>
      </c>
      <c r="G90">
        <v>1</v>
      </c>
      <c r="H90">
        <v>59.99</v>
      </c>
      <c r="I90" s="7">
        <f>IF(Transactions!I90="",0,Transactions!I90)</f>
        <v>0</v>
      </c>
      <c r="J90" s="9">
        <f t="shared" si="1"/>
        <v>59.99</v>
      </c>
      <c r="K90" t="s">
        <v>36</v>
      </c>
      <c r="L90" t="s">
        <v>17</v>
      </c>
      <c r="M90" t="str">
        <f>REPLACE(Transactions!M90,1,4,"")</f>
        <v>4</v>
      </c>
    </row>
    <row r="91" spans="1:13" x14ac:dyDescent="0.2">
      <c r="A91">
        <v>115775</v>
      </c>
      <c r="B91" s="5">
        <v>45523</v>
      </c>
      <c r="C91">
        <v>65009</v>
      </c>
      <c r="D91" t="str">
        <f>PROPER(Transactions!D91)</f>
        <v>Furniture</v>
      </c>
      <c r="E91" t="s">
        <v>51</v>
      </c>
      <c r="F91" t="s">
        <v>52</v>
      </c>
      <c r="G91">
        <v>2</v>
      </c>
      <c r="H91">
        <v>27.99</v>
      </c>
      <c r="I91" s="7">
        <f>IF(Transactions!I91="",0,Transactions!I91)</f>
        <v>0</v>
      </c>
      <c r="J91" s="9">
        <f t="shared" si="1"/>
        <v>55.98</v>
      </c>
      <c r="K91" t="s">
        <v>16</v>
      </c>
      <c r="L91" t="s">
        <v>17</v>
      </c>
      <c r="M91" t="str">
        <f>REPLACE(Transactions!M91,1,4,"")</f>
        <v>16</v>
      </c>
    </row>
    <row r="92" spans="1:13" x14ac:dyDescent="0.2">
      <c r="A92">
        <v>116223</v>
      </c>
      <c r="B92" s="5">
        <v>44615</v>
      </c>
      <c r="C92">
        <v>59799</v>
      </c>
      <c r="D92" t="str">
        <f>PROPER(Transactions!D92)</f>
        <v>Sports</v>
      </c>
      <c r="E92" t="s">
        <v>83</v>
      </c>
      <c r="F92" t="s">
        <v>84</v>
      </c>
      <c r="G92">
        <v>2</v>
      </c>
      <c r="H92">
        <v>16.989999999999998</v>
      </c>
      <c r="I92" s="7">
        <f>IF(Transactions!I92="",0,Transactions!I92)</f>
        <v>0</v>
      </c>
      <c r="J92" s="9">
        <f t="shared" si="1"/>
        <v>33.979999999999997</v>
      </c>
      <c r="K92" t="s">
        <v>22</v>
      </c>
      <c r="L92" t="s">
        <v>17</v>
      </c>
      <c r="M92" t="str">
        <f>REPLACE(Transactions!M92,1,4,"")</f>
        <v>17</v>
      </c>
    </row>
    <row r="93" spans="1:13" x14ac:dyDescent="0.2">
      <c r="A93">
        <v>116229</v>
      </c>
      <c r="B93" s="5">
        <v>45014</v>
      </c>
      <c r="C93">
        <v>55816</v>
      </c>
      <c r="D93" t="str">
        <f>PROPER(Transactions!D93)</f>
        <v>Grocery</v>
      </c>
      <c r="E93" t="s">
        <v>162</v>
      </c>
      <c r="F93" t="s">
        <v>163</v>
      </c>
      <c r="G93">
        <v>1</v>
      </c>
      <c r="H93">
        <v>6.79</v>
      </c>
      <c r="I93" s="7">
        <f>IF(Transactions!I93="",0,Transactions!I93)</f>
        <v>0.15</v>
      </c>
      <c r="J93" s="9">
        <f t="shared" si="1"/>
        <v>5.7714999999999996</v>
      </c>
      <c r="K93" t="s">
        <v>16</v>
      </c>
      <c r="L93" t="s">
        <v>17</v>
      </c>
      <c r="M93" t="str">
        <f>REPLACE(Transactions!M93,1,4,"")</f>
        <v>16</v>
      </c>
    </row>
    <row r="94" spans="1:13" x14ac:dyDescent="0.2">
      <c r="A94">
        <v>117389</v>
      </c>
      <c r="B94" s="5">
        <v>45493</v>
      </c>
      <c r="C94">
        <v>13384</v>
      </c>
      <c r="D94" t="str">
        <f>PROPER(Transactions!D94)</f>
        <v>Clothing</v>
      </c>
      <c r="E94" t="s">
        <v>98</v>
      </c>
      <c r="F94" t="s">
        <v>99</v>
      </c>
      <c r="G94">
        <v>4</v>
      </c>
      <c r="H94">
        <v>25.19</v>
      </c>
      <c r="I94" s="7">
        <f>IF(Transactions!I94="",0,Transactions!I94)</f>
        <v>0.1</v>
      </c>
      <c r="J94" s="9">
        <f t="shared" si="1"/>
        <v>90.684000000000012</v>
      </c>
      <c r="K94" t="s">
        <v>53</v>
      </c>
      <c r="L94" t="s">
        <v>23</v>
      </c>
      <c r="M94" t="str">
        <f>REPLACE(Transactions!M94,1,4,"")</f>
        <v>15</v>
      </c>
    </row>
    <row r="95" spans="1:13" x14ac:dyDescent="0.2">
      <c r="A95">
        <v>117444</v>
      </c>
      <c r="B95" s="5">
        <v>45580</v>
      </c>
      <c r="C95">
        <v>61221</v>
      </c>
      <c r="D95" t="str">
        <f>PROPER(Transactions!D95)</f>
        <v>Automotive</v>
      </c>
      <c r="E95" t="s">
        <v>64</v>
      </c>
      <c r="F95" t="s">
        <v>65</v>
      </c>
      <c r="G95">
        <v>3</v>
      </c>
      <c r="H95">
        <v>4.99</v>
      </c>
      <c r="I95" s="7">
        <f>IF(Transactions!I95="",0,Transactions!I95)</f>
        <v>0</v>
      </c>
      <c r="J95" s="9">
        <f t="shared" si="1"/>
        <v>14.97</v>
      </c>
      <c r="K95" t="s">
        <v>16</v>
      </c>
      <c r="L95" t="s">
        <v>37</v>
      </c>
      <c r="M95" t="str">
        <f>REPLACE(Transactions!M95,1,4,"")</f>
        <v>14</v>
      </c>
    </row>
    <row r="96" spans="1:13" x14ac:dyDescent="0.2">
      <c r="A96">
        <v>117452</v>
      </c>
      <c r="B96" s="5">
        <v>44756</v>
      </c>
      <c r="C96">
        <v>73624</v>
      </c>
      <c r="D96" t="str">
        <f>PROPER(Transactions!D96)</f>
        <v>Home &amp; Garden</v>
      </c>
      <c r="E96" t="s">
        <v>157</v>
      </c>
      <c r="F96" t="s">
        <v>158</v>
      </c>
      <c r="G96">
        <v>3</v>
      </c>
      <c r="H96">
        <v>9.44</v>
      </c>
      <c r="I96" s="7">
        <f>IF(Transactions!I96="",0,Transactions!I96)</f>
        <v>0.3</v>
      </c>
      <c r="J96" s="9">
        <f t="shared" si="1"/>
        <v>19.823999999999998</v>
      </c>
      <c r="K96" t="s">
        <v>16</v>
      </c>
      <c r="L96" t="s">
        <v>37</v>
      </c>
      <c r="M96" t="str">
        <f>REPLACE(Transactions!M96,1,4,"")</f>
        <v>14</v>
      </c>
    </row>
    <row r="97" spans="1:13" x14ac:dyDescent="0.2">
      <c r="A97">
        <v>117463</v>
      </c>
      <c r="B97" s="5">
        <v>45267</v>
      </c>
      <c r="D97" t="str">
        <f>PROPER(Transactions!D97)</f>
        <v>Home &amp; Garden</v>
      </c>
      <c r="E97" t="s">
        <v>157</v>
      </c>
      <c r="F97" t="s">
        <v>158</v>
      </c>
      <c r="G97">
        <v>1</v>
      </c>
      <c r="H97">
        <v>12.82</v>
      </c>
      <c r="I97" s="7">
        <f>IF(Transactions!I97="",0,Transactions!I97)</f>
        <v>0.05</v>
      </c>
      <c r="J97" s="9">
        <f t="shared" si="1"/>
        <v>12.179</v>
      </c>
      <c r="K97" t="s">
        <v>66</v>
      </c>
      <c r="L97" t="s">
        <v>17</v>
      </c>
      <c r="M97" t="str">
        <f>REPLACE(Transactions!M97,1,4,"")</f>
        <v>17</v>
      </c>
    </row>
    <row r="98" spans="1:13" x14ac:dyDescent="0.2">
      <c r="A98">
        <v>117526</v>
      </c>
      <c r="B98" s="5">
        <v>44684</v>
      </c>
      <c r="C98">
        <v>72147</v>
      </c>
      <c r="D98" t="str">
        <f>PROPER(Transactions!D98)</f>
        <v>Furniture</v>
      </c>
      <c r="E98" t="s">
        <v>26</v>
      </c>
      <c r="F98" t="s">
        <v>27</v>
      </c>
      <c r="G98">
        <v>4</v>
      </c>
      <c r="H98">
        <v>34.99</v>
      </c>
      <c r="I98" s="7">
        <f>IF(Transactions!I98="",0,Transactions!I98)</f>
        <v>0</v>
      </c>
      <c r="J98" s="9">
        <f t="shared" si="1"/>
        <v>139.96</v>
      </c>
      <c r="K98" t="s">
        <v>36</v>
      </c>
      <c r="L98" t="s">
        <v>17</v>
      </c>
      <c r="M98" t="str">
        <f>REPLACE(Transactions!M98,1,4,"")</f>
        <v>16</v>
      </c>
    </row>
    <row r="99" spans="1:13" x14ac:dyDescent="0.2">
      <c r="A99">
        <v>117538</v>
      </c>
      <c r="B99" s="5">
        <v>45651</v>
      </c>
      <c r="C99">
        <v>12246</v>
      </c>
      <c r="D99" t="str">
        <f>PROPER(Transactions!D99)</f>
        <v>Pharmacy</v>
      </c>
      <c r="E99" t="s">
        <v>20</v>
      </c>
      <c r="F99" t="s">
        <v>21</v>
      </c>
      <c r="G99">
        <v>2</v>
      </c>
      <c r="H99">
        <v>6.99</v>
      </c>
      <c r="I99" s="7">
        <f>IF(Transactions!I99="",0,Transactions!I99)</f>
        <v>0.3</v>
      </c>
      <c r="J99" s="9">
        <f t="shared" si="1"/>
        <v>9.7859999999999996</v>
      </c>
      <c r="K99" t="s">
        <v>95</v>
      </c>
      <c r="L99" t="s">
        <v>17</v>
      </c>
      <c r="M99" t="str">
        <f>REPLACE(Transactions!M99,1,4,"")</f>
        <v>8</v>
      </c>
    </row>
    <row r="100" spans="1:13" x14ac:dyDescent="0.2">
      <c r="A100">
        <v>117658</v>
      </c>
      <c r="B100" s="5">
        <v>44969</v>
      </c>
      <c r="C100">
        <v>62952</v>
      </c>
      <c r="D100" t="str">
        <f>PROPER(Transactions!D100)</f>
        <v>Automotive</v>
      </c>
      <c r="E100" t="s">
        <v>125</v>
      </c>
      <c r="F100" t="s">
        <v>126</v>
      </c>
      <c r="G100">
        <v>3</v>
      </c>
      <c r="H100">
        <v>29.99</v>
      </c>
      <c r="I100" s="7">
        <f>IF(Transactions!I100="",0,Transactions!I100)</f>
        <v>0</v>
      </c>
      <c r="J100" s="9">
        <f t="shared" si="1"/>
        <v>89.97</v>
      </c>
      <c r="K100" t="s">
        <v>16</v>
      </c>
      <c r="L100" t="s">
        <v>17</v>
      </c>
      <c r="M100" t="str">
        <f>REPLACE(Transactions!M100,1,4,"")</f>
        <v>7</v>
      </c>
    </row>
    <row r="101" spans="1:13" x14ac:dyDescent="0.2">
      <c r="A101">
        <v>117819</v>
      </c>
      <c r="B101" s="5">
        <v>45504</v>
      </c>
      <c r="C101">
        <v>78920</v>
      </c>
      <c r="D101" t="str">
        <f>PROPER(Transactions!D101)</f>
        <v>Home &amp; Garden</v>
      </c>
      <c r="E101" t="s">
        <v>153</v>
      </c>
      <c r="F101" t="s">
        <v>154</v>
      </c>
      <c r="G101">
        <v>4</v>
      </c>
      <c r="H101">
        <v>25.49</v>
      </c>
      <c r="I101" s="7">
        <f>IF(Transactions!I101="",0,Transactions!I101)</f>
        <v>0.15</v>
      </c>
      <c r="J101" s="9">
        <f t="shared" si="1"/>
        <v>86.665999999999997</v>
      </c>
      <c r="K101" t="s">
        <v>95</v>
      </c>
      <c r="L101" t="s">
        <v>37</v>
      </c>
      <c r="M101" t="str">
        <f>REPLACE(Transactions!M101,1,4,"")</f>
        <v>16</v>
      </c>
    </row>
    <row r="102" spans="1:13" x14ac:dyDescent="0.2">
      <c r="A102">
        <v>118025</v>
      </c>
      <c r="B102" s="5">
        <v>45570</v>
      </c>
      <c r="D102" t="str">
        <f>PROPER(Transactions!D102)</f>
        <v>Automotive</v>
      </c>
      <c r="E102" t="s">
        <v>125</v>
      </c>
      <c r="F102" t="s">
        <v>126</v>
      </c>
      <c r="G102">
        <v>2</v>
      </c>
      <c r="H102">
        <v>20.99</v>
      </c>
      <c r="I102" s="7">
        <f>IF(Transactions!I102="",0,Transactions!I102)</f>
        <v>0.3</v>
      </c>
      <c r="J102" s="9">
        <f t="shared" si="1"/>
        <v>29.385999999999996</v>
      </c>
      <c r="K102" t="s">
        <v>22</v>
      </c>
      <c r="L102" t="s">
        <v>17</v>
      </c>
      <c r="M102" t="str">
        <f>REPLACE(Transactions!M102,1,4,"")</f>
        <v>17</v>
      </c>
    </row>
    <row r="103" spans="1:13" x14ac:dyDescent="0.2">
      <c r="A103">
        <v>118632</v>
      </c>
      <c r="B103" s="5">
        <v>44805</v>
      </c>
      <c r="C103">
        <v>10022</v>
      </c>
      <c r="D103" t="str">
        <f>PROPER(Transactions!D103)</f>
        <v>Pharmacy</v>
      </c>
      <c r="E103" t="s">
        <v>41</v>
      </c>
      <c r="F103" t="s">
        <v>42</v>
      </c>
      <c r="G103">
        <v>3</v>
      </c>
      <c r="H103">
        <v>4.49</v>
      </c>
      <c r="I103" s="7">
        <f>IF(Transactions!I103="",0,Transactions!I103)</f>
        <v>0.25</v>
      </c>
      <c r="J103" s="9">
        <f t="shared" si="1"/>
        <v>10.102500000000001</v>
      </c>
      <c r="K103" t="s">
        <v>36</v>
      </c>
      <c r="L103" t="s">
        <v>17</v>
      </c>
      <c r="M103" t="str">
        <f>REPLACE(Transactions!M103,1,4,"")</f>
        <v>4</v>
      </c>
    </row>
    <row r="104" spans="1:13" x14ac:dyDescent="0.2">
      <c r="A104">
        <v>119232</v>
      </c>
      <c r="B104" s="5">
        <v>44602</v>
      </c>
      <c r="C104">
        <v>36778</v>
      </c>
      <c r="D104" t="str">
        <f>PROPER(Transactions!D104)</f>
        <v>Toys</v>
      </c>
      <c r="E104" t="s">
        <v>30</v>
      </c>
      <c r="F104" t="s">
        <v>31</v>
      </c>
      <c r="G104">
        <v>2</v>
      </c>
      <c r="H104">
        <v>19.989999999999998</v>
      </c>
      <c r="I104" s="7">
        <f>IF(Transactions!I104="",0,Transactions!I104)</f>
        <v>0.2</v>
      </c>
      <c r="J104" s="9">
        <f t="shared" si="1"/>
        <v>31.983999999999998</v>
      </c>
      <c r="K104" t="s">
        <v>95</v>
      </c>
      <c r="L104" t="s">
        <v>17</v>
      </c>
      <c r="M104" t="str">
        <f>REPLACE(Transactions!M104,1,4,"")</f>
        <v>8</v>
      </c>
    </row>
    <row r="105" spans="1:13" x14ac:dyDescent="0.2">
      <c r="A105">
        <v>119393</v>
      </c>
      <c r="B105" s="5">
        <v>45008</v>
      </c>
      <c r="C105">
        <v>88352</v>
      </c>
      <c r="D105" t="str">
        <f>PROPER(Transactions!D105)</f>
        <v>Sports</v>
      </c>
      <c r="E105" t="s">
        <v>83</v>
      </c>
      <c r="F105" t="s">
        <v>84</v>
      </c>
      <c r="G105">
        <v>2</v>
      </c>
      <c r="H105">
        <v>16.989999999999998</v>
      </c>
      <c r="I105" s="7">
        <f>IF(Transactions!I105="",0,Transactions!I105)</f>
        <v>0</v>
      </c>
      <c r="J105" s="9">
        <f t="shared" si="1"/>
        <v>33.979999999999997</v>
      </c>
      <c r="K105" t="s">
        <v>36</v>
      </c>
      <c r="L105" t="s">
        <v>23</v>
      </c>
      <c r="M105" t="str">
        <f>REPLACE(Transactions!M105,1,4,"")</f>
        <v>18</v>
      </c>
    </row>
    <row r="106" spans="1:13" x14ac:dyDescent="0.2">
      <c r="A106">
        <v>119460</v>
      </c>
      <c r="B106" s="5">
        <v>44880</v>
      </c>
      <c r="D106" t="str">
        <f>PROPER(Transactions!D106)</f>
        <v>Automotive</v>
      </c>
      <c r="E106" t="s">
        <v>111</v>
      </c>
      <c r="F106" t="s">
        <v>112</v>
      </c>
      <c r="G106">
        <v>5</v>
      </c>
      <c r="H106">
        <v>12.74</v>
      </c>
      <c r="I106" s="7">
        <f>IF(Transactions!I106="",0,Transactions!I106)</f>
        <v>0.15</v>
      </c>
      <c r="J106" s="9">
        <f t="shared" si="1"/>
        <v>54.145000000000003</v>
      </c>
      <c r="K106" t="s">
        <v>16</v>
      </c>
      <c r="L106" t="s">
        <v>17</v>
      </c>
      <c r="M106" t="str">
        <f>REPLACE(Transactions!M106,1,4,"")</f>
        <v>18</v>
      </c>
    </row>
    <row r="107" spans="1:13" x14ac:dyDescent="0.2">
      <c r="A107">
        <v>119629</v>
      </c>
      <c r="B107" s="5">
        <v>44992</v>
      </c>
      <c r="C107">
        <v>68002</v>
      </c>
      <c r="D107" t="str">
        <f>PROPER(Transactions!D107)</f>
        <v>Toys</v>
      </c>
      <c r="E107" t="s">
        <v>72</v>
      </c>
      <c r="F107" t="s">
        <v>73</v>
      </c>
      <c r="G107">
        <v>1</v>
      </c>
      <c r="H107">
        <v>37.99</v>
      </c>
      <c r="I107" s="7">
        <f>IF(Transactions!I107="",0,Transactions!I107)</f>
        <v>0</v>
      </c>
      <c r="J107" s="9">
        <f t="shared" si="1"/>
        <v>37.99</v>
      </c>
      <c r="K107" t="s">
        <v>22</v>
      </c>
      <c r="L107" t="s">
        <v>23</v>
      </c>
      <c r="M107" t="str">
        <f>REPLACE(Transactions!M107,1,4,"")</f>
        <v>19</v>
      </c>
    </row>
    <row r="108" spans="1:13" x14ac:dyDescent="0.2">
      <c r="A108">
        <v>119661</v>
      </c>
      <c r="B108" s="5">
        <v>45490</v>
      </c>
      <c r="C108">
        <v>95598</v>
      </c>
      <c r="D108" t="str">
        <f>PROPER(Transactions!D108)</f>
        <v>Toys</v>
      </c>
      <c r="E108" t="s">
        <v>38</v>
      </c>
      <c r="F108" t="s">
        <v>39</v>
      </c>
      <c r="G108">
        <v>1</v>
      </c>
      <c r="H108">
        <v>28.49</v>
      </c>
      <c r="I108" s="7">
        <f>IF(Transactions!I108="",0,Transactions!I108)</f>
        <v>0.05</v>
      </c>
      <c r="J108" s="9">
        <f t="shared" si="1"/>
        <v>27.065499999999997</v>
      </c>
      <c r="K108" t="s">
        <v>36</v>
      </c>
      <c r="L108" t="s">
        <v>17</v>
      </c>
      <c r="M108" t="str">
        <f>REPLACE(Transactions!M108,1,4,"")</f>
        <v>17</v>
      </c>
    </row>
    <row r="109" spans="1:13" x14ac:dyDescent="0.2">
      <c r="A109">
        <v>119746</v>
      </c>
      <c r="B109" s="5">
        <v>45424</v>
      </c>
      <c r="C109">
        <v>10979</v>
      </c>
      <c r="D109" t="str">
        <f>PROPER(Transactions!D109)</f>
        <v>Toys</v>
      </c>
      <c r="E109" t="s">
        <v>38</v>
      </c>
      <c r="F109" t="s">
        <v>39</v>
      </c>
      <c r="G109">
        <v>4</v>
      </c>
      <c r="H109">
        <v>29.99</v>
      </c>
      <c r="I109" s="7">
        <f>IF(Transactions!I109="",0,Transactions!I109)</f>
        <v>0</v>
      </c>
      <c r="J109" s="9">
        <f t="shared" si="1"/>
        <v>119.96</v>
      </c>
      <c r="K109" t="s">
        <v>36</v>
      </c>
      <c r="L109" t="s">
        <v>17</v>
      </c>
      <c r="M109" t="str">
        <f>REPLACE(Transactions!M109,1,4,"")</f>
        <v>6</v>
      </c>
    </row>
    <row r="110" spans="1:13" x14ac:dyDescent="0.2">
      <c r="A110">
        <v>119771</v>
      </c>
      <c r="B110" s="5">
        <v>44714</v>
      </c>
      <c r="C110">
        <v>63538</v>
      </c>
      <c r="D110" t="str">
        <f>PROPER(Transactions!D110)</f>
        <v>Home &amp; Garden</v>
      </c>
      <c r="E110" t="s">
        <v>149</v>
      </c>
      <c r="F110" t="s">
        <v>150</v>
      </c>
      <c r="G110">
        <v>2</v>
      </c>
      <c r="H110">
        <v>15.99</v>
      </c>
      <c r="I110" s="7">
        <f>IF(Transactions!I110="",0,Transactions!I110)</f>
        <v>0.2</v>
      </c>
      <c r="J110" s="9">
        <f t="shared" si="1"/>
        <v>25.584000000000003</v>
      </c>
      <c r="K110" t="s">
        <v>36</v>
      </c>
      <c r="L110" t="s">
        <v>23</v>
      </c>
      <c r="M110" t="str">
        <f>REPLACE(Transactions!M110,1,4,"")</f>
        <v>20</v>
      </c>
    </row>
    <row r="111" spans="1:13" x14ac:dyDescent="0.2">
      <c r="A111">
        <v>120121</v>
      </c>
      <c r="B111" s="5">
        <v>45475</v>
      </c>
      <c r="C111">
        <v>15194</v>
      </c>
      <c r="D111" t="str">
        <f>PROPER(Transactions!D111)</f>
        <v>Automotive</v>
      </c>
      <c r="E111" t="s">
        <v>64</v>
      </c>
      <c r="F111" t="s">
        <v>65</v>
      </c>
      <c r="G111">
        <v>1</v>
      </c>
      <c r="H111">
        <v>3.99</v>
      </c>
      <c r="I111" s="7">
        <f>IF(Transactions!I111="",0,Transactions!I111)</f>
        <v>0.2</v>
      </c>
      <c r="J111" s="9">
        <f t="shared" si="1"/>
        <v>3.1920000000000002</v>
      </c>
      <c r="K111" t="s">
        <v>16</v>
      </c>
      <c r="L111" t="s">
        <v>17</v>
      </c>
      <c r="M111" t="str">
        <f>REPLACE(Transactions!M111,1,4,"")</f>
        <v>11</v>
      </c>
    </row>
    <row r="112" spans="1:13" x14ac:dyDescent="0.2">
      <c r="A112">
        <v>120203</v>
      </c>
      <c r="B112" s="5">
        <v>44772</v>
      </c>
      <c r="C112">
        <v>11904</v>
      </c>
      <c r="D112" t="str">
        <f>PROPER(Transactions!D112)</f>
        <v>Clothing</v>
      </c>
      <c r="E112" t="s">
        <v>141</v>
      </c>
      <c r="F112" t="s">
        <v>142</v>
      </c>
      <c r="G112">
        <v>2</v>
      </c>
      <c r="H112">
        <v>16.09</v>
      </c>
      <c r="I112" s="7">
        <f>IF(Transactions!I112="",0,Transactions!I112)</f>
        <v>0.3</v>
      </c>
      <c r="J112" s="9">
        <f t="shared" si="1"/>
        <v>22.526</v>
      </c>
      <c r="K112" t="s">
        <v>16</v>
      </c>
      <c r="L112" t="s">
        <v>17</v>
      </c>
      <c r="M112" t="str">
        <f>REPLACE(Transactions!M112,1,4,"")</f>
        <v>15</v>
      </c>
    </row>
    <row r="113" spans="1:13" x14ac:dyDescent="0.2">
      <c r="A113">
        <v>120525</v>
      </c>
      <c r="B113" s="5">
        <v>45517</v>
      </c>
      <c r="C113">
        <v>60160</v>
      </c>
      <c r="D113" t="str">
        <f>PROPER(Transactions!D113)</f>
        <v>Home &amp; Garden</v>
      </c>
      <c r="E113" t="s">
        <v>129</v>
      </c>
      <c r="F113" t="s">
        <v>130</v>
      </c>
      <c r="G113">
        <v>2</v>
      </c>
      <c r="H113">
        <v>7.19</v>
      </c>
      <c r="I113" s="7">
        <f>IF(Transactions!I113="",0,Transactions!I113)</f>
        <v>0.2</v>
      </c>
      <c r="J113" s="9">
        <f t="shared" si="1"/>
        <v>11.504000000000001</v>
      </c>
      <c r="K113" t="s">
        <v>36</v>
      </c>
      <c r="L113" t="s">
        <v>17</v>
      </c>
      <c r="M113" t="str">
        <f>REPLACE(Transactions!M113,1,4,"")</f>
        <v>7</v>
      </c>
    </row>
    <row r="114" spans="1:13" x14ac:dyDescent="0.2">
      <c r="A114">
        <v>120937</v>
      </c>
      <c r="B114" s="5">
        <v>45455</v>
      </c>
      <c r="C114">
        <v>38872</v>
      </c>
      <c r="D114" t="str">
        <f>PROPER(Transactions!D114)</f>
        <v>Clothing</v>
      </c>
      <c r="E114" t="s">
        <v>121</v>
      </c>
      <c r="F114" t="s">
        <v>122</v>
      </c>
      <c r="G114">
        <v>4</v>
      </c>
      <c r="H114">
        <v>9.09</v>
      </c>
      <c r="I114" s="7">
        <f>IF(Transactions!I114="",0,Transactions!I114)</f>
        <v>0.3</v>
      </c>
      <c r="J114" s="9">
        <f t="shared" si="1"/>
        <v>25.451999999999998</v>
      </c>
      <c r="K114" t="s">
        <v>36</v>
      </c>
      <c r="L114" t="s">
        <v>17</v>
      </c>
      <c r="M114" t="str">
        <f>REPLACE(Transactions!M114,1,4,"")</f>
        <v>17</v>
      </c>
    </row>
    <row r="115" spans="1:13" x14ac:dyDescent="0.2">
      <c r="A115">
        <v>121265</v>
      </c>
      <c r="B115" s="5">
        <v>45136</v>
      </c>
      <c r="C115">
        <v>35144</v>
      </c>
      <c r="D115" t="str">
        <f>PROPER(Transactions!D115)</f>
        <v>Clothing</v>
      </c>
      <c r="E115" t="s">
        <v>165</v>
      </c>
      <c r="F115" t="s">
        <v>166</v>
      </c>
      <c r="G115">
        <v>2</v>
      </c>
      <c r="H115">
        <v>89.99</v>
      </c>
      <c r="I115" s="7">
        <f>IF(Transactions!I115="",0,Transactions!I115)</f>
        <v>0</v>
      </c>
      <c r="J115" s="9">
        <f t="shared" si="1"/>
        <v>179.98</v>
      </c>
      <c r="K115" t="s">
        <v>66</v>
      </c>
      <c r="L115" t="s">
        <v>23</v>
      </c>
      <c r="M115" t="str">
        <f>REPLACE(Transactions!M115,1,4,"")</f>
        <v>4</v>
      </c>
    </row>
    <row r="116" spans="1:13" x14ac:dyDescent="0.2">
      <c r="A116">
        <v>121283</v>
      </c>
      <c r="B116" s="5">
        <v>45255</v>
      </c>
      <c r="C116">
        <v>96636</v>
      </c>
      <c r="D116" t="str">
        <f>PROPER(Transactions!D116)</f>
        <v>Furniture</v>
      </c>
      <c r="E116" t="s">
        <v>60</v>
      </c>
      <c r="F116" t="s">
        <v>61</v>
      </c>
      <c r="G116">
        <v>4</v>
      </c>
      <c r="H116">
        <v>54.99</v>
      </c>
      <c r="I116" s="7">
        <f>IF(Transactions!I116="",0,Transactions!I116)</f>
        <v>0</v>
      </c>
      <c r="J116" s="9">
        <f t="shared" si="1"/>
        <v>219.96</v>
      </c>
      <c r="K116" t="s">
        <v>16</v>
      </c>
      <c r="L116" t="s">
        <v>17</v>
      </c>
      <c r="M116" t="str">
        <f>REPLACE(Transactions!M116,1,4,"")</f>
        <v>9</v>
      </c>
    </row>
    <row r="117" spans="1:13" x14ac:dyDescent="0.2">
      <c r="A117">
        <v>121590</v>
      </c>
      <c r="B117" s="5">
        <v>44627</v>
      </c>
      <c r="C117">
        <v>40999</v>
      </c>
      <c r="D117" t="str">
        <f>PROPER(Transactions!D117)</f>
        <v>Home &amp; Garden</v>
      </c>
      <c r="E117" t="s">
        <v>145</v>
      </c>
      <c r="F117" t="s">
        <v>146</v>
      </c>
      <c r="G117">
        <v>2</v>
      </c>
      <c r="H117">
        <v>13.59</v>
      </c>
      <c r="I117" s="7">
        <f>IF(Transactions!I117="",0,Transactions!I117)</f>
        <v>0.2</v>
      </c>
      <c r="J117" s="9">
        <f t="shared" si="1"/>
        <v>21.744</v>
      </c>
      <c r="K117" t="s">
        <v>16</v>
      </c>
      <c r="L117" t="s">
        <v>17</v>
      </c>
      <c r="M117" t="str">
        <f>REPLACE(Transactions!M117,1,4,"")</f>
        <v>3</v>
      </c>
    </row>
    <row r="118" spans="1:13" x14ac:dyDescent="0.2">
      <c r="A118">
        <v>121734</v>
      </c>
      <c r="B118" s="5">
        <v>45114</v>
      </c>
      <c r="C118">
        <v>28564</v>
      </c>
      <c r="D118" t="str">
        <f>PROPER(Transactions!D118)</f>
        <v>Furniture</v>
      </c>
      <c r="E118" t="s">
        <v>60</v>
      </c>
      <c r="F118" t="s">
        <v>61</v>
      </c>
      <c r="G118">
        <v>3</v>
      </c>
      <c r="H118">
        <v>38.49</v>
      </c>
      <c r="I118" s="7">
        <f>IF(Transactions!I118="",0,Transactions!I118)</f>
        <v>0.3</v>
      </c>
      <c r="J118" s="9">
        <f t="shared" si="1"/>
        <v>80.828999999999994</v>
      </c>
      <c r="K118" t="s">
        <v>16</v>
      </c>
      <c r="L118" t="s">
        <v>17</v>
      </c>
      <c r="M118" t="str">
        <f>REPLACE(Transactions!M118,1,4,"")</f>
        <v>17</v>
      </c>
    </row>
    <row r="119" spans="1:13" x14ac:dyDescent="0.2">
      <c r="A119">
        <v>121883</v>
      </c>
      <c r="B119" s="5">
        <v>45509</v>
      </c>
      <c r="C119">
        <v>42950</v>
      </c>
      <c r="D119" t="str">
        <f>PROPER(Transactions!D119)</f>
        <v>Beauty</v>
      </c>
      <c r="E119" t="s">
        <v>139</v>
      </c>
      <c r="F119" t="s">
        <v>140</v>
      </c>
      <c r="G119">
        <v>1</v>
      </c>
      <c r="H119">
        <v>7.19</v>
      </c>
      <c r="I119" s="7">
        <f>IF(Transactions!I119="",0,Transactions!I119)</f>
        <v>0.1</v>
      </c>
      <c r="J119" s="9">
        <f t="shared" si="1"/>
        <v>6.4710000000000001</v>
      </c>
      <c r="K119" t="s">
        <v>95</v>
      </c>
      <c r="L119" t="s">
        <v>37</v>
      </c>
      <c r="M119" t="str">
        <f>REPLACE(Transactions!M119,1,4,"")</f>
        <v>4</v>
      </c>
    </row>
    <row r="120" spans="1:13" x14ac:dyDescent="0.2">
      <c r="A120">
        <v>122118</v>
      </c>
      <c r="B120" s="5">
        <v>44642</v>
      </c>
      <c r="C120">
        <v>11112</v>
      </c>
      <c r="D120" t="str">
        <f>PROPER(Transactions!D120)</f>
        <v>Furniture</v>
      </c>
      <c r="E120" t="s">
        <v>51</v>
      </c>
      <c r="F120" t="s">
        <v>52</v>
      </c>
      <c r="G120">
        <v>5</v>
      </c>
      <c r="H120">
        <v>27.99</v>
      </c>
      <c r="I120" s="7">
        <f>IF(Transactions!I120="",0,Transactions!I120)</f>
        <v>0</v>
      </c>
      <c r="J120" s="9">
        <f t="shared" si="1"/>
        <v>139.94999999999999</v>
      </c>
      <c r="K120" t="s">
        <v>22</v>
      </c>
      <c r="L120" t="s">
        <v>17</v>
      </c>
      <c r="M120" t="str">
        <f>REPLACE(Transactions!M120,1,4,"")</f>
        <v>4</v>
      </c>
    </row>
    <row r="121" spans="1:13" x14ac:dyDescent="0.2">
      <c r="A121">
        <v>122366</v>
      </c>
      <c r="B121" s="5">
        <v>45385</v>
      </c>
      <c r="C121">
        <v>42228</v>
      </c>
      <c r="D121" t="str">
        <f>PROPER(Transactions!D121)</f>
        <v>Electronics</v>
      </c>
      <c r="E121" t="s">
        <v>127</v>
      </c>
      <c r="F121" t="s">
        <v>128</v>
      </c>
      <c r="G121">
        <v>1</v>
      </c>
      <c r="H121">
        <v>15.99</v>
      </c>
      <c r="I121" s="7">
        <f>IF(Transactions!I121="",0,Transactions!I121)</f>
        <v>0.2</v>
      </c>
      <c r="J121" s="9">
        <f t="shared" si="1"/>
        <v>12.792000000000002</v>
      </c>
      <c r="K121" t="s">
        <v>16</v>
      </c>
      <c r="L121" t="s">
        <v>37</v>
      </c>
      <c r="M121" t="str">
        <f>REPLACE(Transactions!M121,1,4,"")</f>
        <v>4</v>
      </c>
    </row>
    <row r="122" spans="1:13" x14ac:dyDescent="0.2">
      <c r="A122">
        <v>122372</v>
      </c>
      <c r="B122" s="5">
        <v>45431</v>
      </c>
      <c r="C122">
        <v>31120</v>
      </c>
      <c r="D122" t="str">
        <f>PROPER(Transactions!D122)</f>
        <v>Automotive</v>
      </c>
      <c r="E122" t="s">
        <v>68</v>
      </c>
      <c r="F122" t="s">
        <v>69</v>
      </c>
      <c r="G122">
        <v>1</v>
      </c>
      <c r="H122">
        <v>24.99</v>
      </c>
      <c r="I122" s="7">
        <f>IF(Transactions!I122="",0,Transactions!I122)</f>
        <v>0</v>
      </c>
      <c r="J122" s="9">
        <f t="shared" si="1"/>
        <v>24.99</v>
      </c>
      <c r="K122" t="s">
        <v>16</v>
      </c>
      <c r="L122" t="s">
        <v>37</v>
      </c>
      <c r="M122" t="str">
        <f>REPLACE(Transactions!M122,1,4,"")</f>
        <v>16</v>
      </c>
    </row>
    <row r="123" spans="1:13" x14ac:dyDescent="0.2">
      <c r="A123">
        <v>122716</v>
      </c>
      <c r="B123" s="5">
        <v>44848</v>
      </c>
      <c r="C123">
        <v>18919</v>
      </c>
      <c r="D123" t="str">
        <f>PROPER(Transactions!D123)</f>
        <v>Electronics</v>
      </c>
      <c r="E123" t="s">
        <v>77</v>
      </c>
      <c r="F123" t="s">
        <v>78</v>
      </c>
      <c r="G123">
        <v>5</v>
      </c>
      <c r="H123">
        <v>499.99</v>
      </c>
      <c r="I123" s="7">
        <f>IF(Transactions!I123="",0,Transactions!I123)</f>
        <v>0</v>
      </c>
      <c r="J123" s="9">
        <f t="shared" si="1"/>
        <v>2499.9499999999998</v>
      </c>
      <c r="K123" t="s">
        <v>36</v>
      </c>
      <c r="L123" t="s">
        <v>17</v>
      </c>
      <c r="M123" t="str">
        <f>REPLACE(Transactions!M123,1,4,"")</f>
        <v>14</v>
      </c>
    </row>
    <row r="124" spans="1:13" x14ac:dyDescent="0.2">
      <c r="A124">
        <v>122755</v>
      </c>
      <c r="B124" s="5">
        <v>45016</v>
      </c>
      <c r="C124">
        <v>82569</v>
      </c>
      <c r="D124" t="str">
        <f>PROPER(Transactions!D124)</f>
        <v>Toys</v>
      </c>
      <c r="E124" t="s">
        <v>88</v>
      </c>
      <c r="F124" t="s">
        <v>89</v>
      </c>
      <c r="G124">
        <v>4</v>
      </c>
      <c r="H124">
        <v>47.49</v>
      </c>
      <c r="I124" s="7">
        <f>IF(Transactions!I124="",0,Transactions!I124)</f>
        <v>0.05</v>
      </c>
      <c r="J124" s="9">
        <f t="shared" si="1"/>
        <v>180.46199999999999</v>
      </c>
      <c r="K124" t="s">
        <v>32</v>
      </c>
      <c r="L124" t="s">
        <v>23</v>
      </c>
      <c r="M124" t="str">
        <f>REPLACE(Transactions!M124,1,4,"")</f>
        <v>6</v>
      </c>
    </row>
    <row r="125" spans="1:13" x14ac:dyDescent="0.2">
      <c r="A125">
        <v>123237</v>
      </c>
      <c r="B125" s="5">
        <v>44665</v>
      </c>
      <c r="C125">
        <v>70938</v>
      </c>
      <c r="D125" t="str">
        <f>PROPER(Transactions!D125)</f>
        <v>Grocery</v>
      </c>
      <c r="E125" t="s">
        <v>133</v>
      </c>
      <c r="F125" t="s">
        <v>134</v>
      </c>
      <c r="G125">
        <v>1</v>
      </c>
      <c r="H125">
        <v>3.41</v>
      </c>
      <c r="I125" s="7">
        <f>IF(Transactions!I125="",0,Transactions!I125)</f>
        <v>0.1</v>
      </c>
      <c r="J125" s="9">
        <f t="shared" si="1"/>
        <v>3.0690000000000004</v>
      </c>
      <c r="K125" t="s">
        <v>53</v>
      </c>
      <c r="L125" t="s">
        <v>17</v>
      </c>
      <c r="M125" t="str">
        <f>REPLACE(Transactions!M125,1,4,"")</f>
        <v>1</v>
      </c>
    </row>
    <row r="126" spans="1:13" x14ac:dyDescent="0.2">
      <c r="A126">
        <v>123304</v>
      </c>
      <c r="B126" s="5">
        <v>45133</v>
      </c>
      <c r="C126">
        <v>49396</v>
      </c>
      <c r="D126" t="str">
        <f>PROPER(Transactions!D126)</f>
        <v>Furniture</v>
      </c>
      <c r="E126" t="s">
        <v>113</v>
      </c>
      <c r="F126" t="s">
        <v>114</v>
      </c>
      <c r="G126">
        <v>1</v>
      </c>
      <c r="H126">
        <v>113.99</v>
      </c>
      <c r="I126" s="7">
        <f>IF(Transactions!I126="",0,Transactions!I126)</f>
        <v>0.05</v>
      </c>
      <c r="J126" s="9">
        <f t="shared" si="1"/>
        <v>108.29049999999999</v>
      </c>
      <c r="K126" t="s">
        <v>95</v>
      </c>
      <c r="L126" t="s">
        <v>17</v>
      </c>
      <c r="M126" t="str">
        <f>REPLACE(Transactions!M126,1,4,"")</f>
        <v>14</v>
      </c>
    </row>
    <row r="127" spans="1:13" x14ac:dyDescent="0.2">
      <c r="A127">
        <v>123334</v>
      </c>
      <c r="B127" s="5">
        <v>45551</v>
      </c>
      <c r="C127">
        <v>25760</v>
      </c>
      <c r="D127" t="str">
        <f>PROPER(Transactions!D127)</f>
        <v>Home &amp; Garden</v>
      </c>
      <c r="E127" t="s">
        <v>129</v>
      </c>
      <c r="F127" t="s">
        <v>130</v>
      </c>
      <c r="G127">
        <v>3</v>
      </c>
      <c r="H127">
        <v>6.74</v>
      </c>
      <c r="I127" s="7">
        <f>IF(Transactions!I127="",0,Transactions!I127)</f>
        <v>0.25</v>
      </c>
      <c r="J127" s="9">
        <f t="shared" si="1"/>
        <v>15.164999999999999</v>
      </c>
      <c r="K127" t="s">
        <v>22</v>
      </c>
      <c r="L127" t="s">
        <v>17</v>
      </c>
      <c r="M127" t="str">
        <f>REPLACE(Transactions!M127,1,4,"")</f>
        <v>20</v>
      </c>
    </row>
    <row r="128" spans="1:13" x14ac:dyDescent="0.2">
      <c r="A128">
        <v>123472</v>
      </c>
      <c r="B128" s="5">
        <v>45001</v>
      </c>
      <c r="C128">
        <v>30444</v>
      </c>
      <c r="D128" t="str">
        <f>PROPER(Transactions!D128)</f>
        <v>Beauty</v>
      </c>
      <c r="E128" t="s">
        <v>118</v>
      </c>
      <c r="F128" t="s">
        <v>119</v>
      </c>
      <c r="G128">
        <v>1</v>
      </c>
      <c r="H128">
        <v>4.99</v>
      </c>
      <c r="I128" s="7">
        <f>IF(Transactions!I128="",0,Transactions!I128)</f>
        <v>0</v>
      </c>
      <c r="J128" s="9">
        <f t="shared" si="1"/>
        <v>4.99</v>
      </c>
      <c r="K128" t="s">
        <v>32</v>
      </c>
      <c r="L128" t="s">
        <v>17</v>
      </c>
      <c r="M128" t="str">
        <f>REPLACE(Transactions!M128,1,4,"")</f>
        <v>2</v>
      </c>
    </row>
    <row r="129" spans="1:13" x14ac:dyDescent="0.2">
      <c r="A129">
        <v>123581</v>
      </c>
      <c r="B129" s="5">
        <v>45398</v>
      </c>
      <c r="C129">
        <v>66219</v>
      </c>
      <c r="D129" t="str">
        <f>PROPER(Transactions!D129)</f>
        <v>Automotive</v>
      </c>
      <c r="E129" t="s">
        <v>131</v>
      </c>
      <c r="F129" t="s">
        <v>132</v>
      </c>
      <c r="G129">
        <v>2</v>
      </c>
      <c r="H129">
        <v>3.32</v>
      </c>
      <c r="I129" s="7">
        <f>IF(Transactions!I129="",0,Transactions!I129)</f>
        <v>0.05</v>
      </c>
      <c r="J129" s="9">
        <f t="shared" si="1"/>
        <v>6.3079999999999998</v>
      </c>
      <c r="K129" t="s">
        <v>32</v>
      </c>
      <c r="L129" t="s">
        <v>17</v>
      </c>
      <c r="M129" t="str">
        <f>REPLACE(Transactions!M129,1,4,"")</f>
        <v>20</v>
      </c>
    </row>
    <row r="130" spans="1:13" x14ac:dyDescent="0.2">
      <c r="A130">
        <v>123730</v>
      </c>
      <c r="B130" s="5">
        <v>45167</v>
      </c>
      <c r="C130">
        <v>66221</v>
      </c>
      <c r="D130" t="str">
        <f>PROPER(Transactions!D130)</f>
        <v>Grocery</v>
      </c>
      <c r="E130" t="s">
        <v>162</v>
      </c>
      <c r="F130" t="s">
        <v>163</v>
      </c>
      <c r="G130">
        <v>1</v>
      </c>
      <c r="H130">
        <v>7.59</v>
      </c>
      <c r="I130" s="7">
        <f>IF(Transactions!I130="",0,Transactions!I130)</f>
        <v>0.05</v>
      </c>
      <c r="J130" s="9">
        <f t="shared" si="1"/>
        <v>7.2104999999999997</v>
      </c>
      <c r="K130" t="s">
        <v>22</v>
      </c>
      <c r="L130" t="s">
        <v>37</v>
      </c>
      <c r="M130" t="str">
        <f>REPLACE(Transactions!M130,1,4,"")</f>
        <v>4</v>
      </c>
    </row>
    <row r="131" spans="1:13" x14ac:dyDescent="0.2">
      <c r="A131">
        <v>123853</v>
      </c>
      <c r="B131" s="5">
        <v>44789</v>
      </c>
      <c r="C131">
        <v>81620</v>
      </c>
      <c r="D131" t="str">
        <f>PROPER(Transactions!D131)</f>
        <v>Toys</v>
      </c>
      <c r="E131" t="s">
        <v>88</v>
      </c>
      <c r="F131" t="s">
        <v>89</v>
      </c>
      <c r="G131">
        <v>2</v>
      </c>
      <c r="H131">
        <v>44.99</v>
      </c>
      <c r="I131" s="7">
        <f>IF(Transactions!I131="",0,Transactions!I131)</f>
        <v>0.1</v>
      </c>
      <c r="J131" s="9">
        <f t="shared" ref="J131:J194" si="2">(H131*G131)*(1-I131)</f>
        <v>80.981999999999999</v>
      </c>
      <c r="K131" t="s">
        <v>16</v>
      </c>
      <c r="L131" t="s">
        <v>37</v>
      </c>
      <c r="M131" t="str">
        <f>REPLACE(Transactions!M131,1,4,"")</f>
        <v>3</v>
      </c>
    </row>
    <row r="132" spans="1:13" x14ac:dyDescent="0.2">
      <c r="A132">
        <v>124224</v>
      </c>
      <c r="B132" s="5">
        <v>45200</v>
      </c>
      <c r="C132">
        <v>54420</v>
      </c>
      <c r="D132" t="str">
        <f>PROPER(Transactions!D132)</f>
        <v>Sports</v>
      </c>
      <c r="E132" t="s">
        <v>168</v>
      </c>
      <c r="F132" t="s">
        <v>169</v>
      </c>
      <c r="G132">
        <v>1</v>
      </c>
      <c r="H132">
        <v>6.29</v>
      </c>
      <c r="I132" s="7">
        <f>IF(Transactions!I132="",0,Transactions!I132)</f>
        <v>0.3</v>
      </c>
      <c r="J132" s="9">
        <f t="shared" si="2"/>
        <v>4.4029999999999996</v>
      </c>
      <c r="K132" t="s">
        <v>36</v>
      </c>
      <c r="L132" t="s">
        <v>17</v>
      </c>
      <c r="M132" t="str">
        <f>REPLACE(Transactions!M132,1,4,"")</f>
        <v>20</v>
      </c>
    </row>
    <row r="133" spans="1:13" x14ac:dyDescent="0.2">
      <c r="A133">
        <v>124276</v>
      </c>
      <c r="B133" s="5">
        <v>45606</v>
      </c>
      <c r="C133">
        <v>26034</v>
      </c>
      <c r="D133" t="str">
        <f>PROPER(Transactions!D133)</f>
        <v>Home &amp; Garden</v>
      </c>
      <c r="E133" t="s">
        <v>86</v>
      </c>
      <c r="F133" t="s">
        <v>87</v>
      </c>
      <c r="G133">
        <v>3</v>
      </c>
      <c r="H133">
        <v>12.99</v>
      </c>
      <c r="I133" s="7">
        <f>IF(Transactions!I133="",0,Transactions!I133)</f>
        <v>0</v>
      </c>
      <c r="J133" s="9">
        <f t="shared" si="2"/>
        <v>38.97</v>
      </c>
      <c r="K133" t="s">
        <v>16</v>
      </c>
      <c r="L133" t="s">
        <v>37</v>
      </c>
      <c r="M133" t="str">
        <f>REPLACE(Transactions!M133,1,4,"")</f>
        <v>11</v>
      </c>
    </row>
    <row r="134" spans="1:13" x14ac:dyDescent="0.2">
      <c r="A134">
        <v>124444</v>
      </c>
      <c r="B134" s="5">
        <v>45255</v>
      </c>
      <c r="C134">
        <v>56088</v>
      </c>
      <c r="D134" t="str">
        <f>PROPER(Transactions!D134)</f>
        <v>Pharmacy</v>
      </c>
      <c r="E134" t="s">
        <v>115</v>
      </c>
      <c r="F134" t="s">
        <v>116</v>
      </c>
      <c r="G134">
        <v>4</v>
      </c>
      <c r="H134">
        <v>9.74</v>
      </c>
      <c r="I134" s="7">
        <f>IF(Transactions!I134="",0,Transactions!I134)</f>
        <v>0.25</v>
      </c>
      <c r="J134" s="9">
        <f t="shared" si="2"/>
        <v>29.22</v>
      </c>
      <c r="K134" t="s">
        <v>16</v>
      </c>
      <c r="L134" t="s">
        <v>17</v>
      </c>
      <c r="M134" t="str">
        <f>REPLACE(Transactions!M134,1,4,"")</f>
        <v>13</v>
      </c>
    </row>
    <row r="135" spans="1:13" x14ac:dyDescent="0.2">
      <c r="A135">
        <v>124595</v>
      </c>
      <c r="B135" s="5">
        <v>44786</v>
      </c>
      <c r="C135">
        <v>92538</v>
      </c>
      <c r="D135" t="str">
        <f>PROPER(Transactions!D135)</f>
        <v>Beauty</v>
      </c>
      <c r="E135" t="s">
        <v>118</v>
      </c>
      <c r="F135" t="s">
        <v>119</v>
      </c>
      <c r="G135">
        <v>1</v>
      </c>
      <c r="H135">
        <v>4.74</v>
      </c>
      <c r="I135" s="7">
        <f>IF(Transactions!I135="",0,Transactions!I135)</f>
        <v>0.05</v>
      </c>
      <c r="J135" s="9">
        <f t="shared" si="2"/>
        <v>4.5030000000000001</v>
      </c>
      <c r="K135" t="s">
        <v>36</v>
      </c>
      <c r="L135" t="s">
        <v>37</v>
      </c>
      <c r="M135" t="str">
        <f>REPLACE(Transactions!M135,1,4,"")</f>
        <v>6</v>
      </c>
    </row>
    <row r="136" spans="1:13" x14ac:dyDescent="0.2">
      <c r="A136">
        <v>124648</v>
      </c>
      <c r="B136" s="5">
        <v>45010</v>
      </c>
      <c r="C136">
        <v>32634</v>
      </c>
      <c r="D136" t="str">
        <f>PROPER(Transactions!D136)</f>
        <v>Toys</v>
      </c>
      <c r="E136" t="s">
        <v>170</v>
      </c>
      <c r="F136" t="s">
        <v>171</v>
      </c>
      <c r="G136">
        <v>2</v>
      </c>
      <c r="H136">
        <v>14.99</v>
      </c>
      <c r="I136" s="7">
        <f>IF(Transactions!I136="",0,Transactions!I136)</f>
        <v>0</v>
      </c>
      <c r="J136" s="9">
        <f t="shared" si="2"/>
        <v>29.98</v>
      </c>
      <c r="K136" t="s">
        <v>95</v>
      </c>
      <c r="L136" t="s">
        <v>17</v>
      </c>
      <c r="M136" t="str">
        <f>REPLACE(Transactions!M136,1,4,"")</f>
        <v>7</v>
      </c>
    </row>
    <row r="137" spans="1:13" x14ac:dyDescent="0.2">
      <c r="A137">
        <v>124765</v>
      </c>
      <c r="B137" s="5">
        <v>45298</v>
      </c>
      <c r="C137">
        <v>69904</v>
      </c>
      <c r="D137" t="str">
        <f>PROPER(Transactions!D137)</f>
        <v>Home &amp; Garden</v>
      </c>
      <c r="E137" t="s">
        <v>157</v>
      </c>
      <c r="F137" t="s">
        <v>158</v>
      </c>
      <c r="G137">
        <v>1</v>
      </c>
      <c r="H137">
        <v>13.49</v>
      </c>
      <c r="I137" s="7">
        <f>IF(Transactions!I137="",0,Transactions!I137)</f>
        <v>0</v>
      </c>
      <c r="J137" s="9">
        <f t="shared" si="2"/>
        <v>13.49</v>
      </c>
      <c r="K137" t="s">
        <v>22</v>
      </c>
      <c r="L137" t="s">
        <v>23</v>
      </c>
      <c r="M137" t="str">
        <f>REPLACE(Transactions!M137,1,4,"")</f>
        <v>9</v>
      </c>
    </row>
    <row r="138" spans="1:13" x14ac:dyDescent="0.2">
      <c r="A138">
        <v>124822</v>
      </c>
      <c r="B138" s="5">
        <v>45137</v>
      </c>
      <c r="C138">
        <v>79905</v>
      </c>
      <c r="D138" t="str">
        <f>PROPER(Transactions!D138)</f>
        <v>Grocery</v>
      </c>
      <c r="E138" t="s">
        <v>172</v>
      </c>
      <c r="F138" t="s">
        <v>173</v>
      </c>
      <c r="G138">
        <v>5</v>
      </c>
      <c r="H138">
        <v>3.82</v>
      </c>
      <c r="I138" s="7">
        <f>IF(Transactions!I138="",0,Transactions!I138)</f>
        <v>0.15</v>
      </c>
      <c r="J138" s="9">
        <f t="shared" si="2"/>
        <v>16.234999999999999</v>
      </c>
      <c r="K138" t="s">
        <v>36</v>
      </c>
      <c r="L138" t="s">
        <v>17</v>
      </c>
      <c r="M138" t="str">
        <f>REPLACE(Transactions!M138,1,4,"")</f>
        <v>15</v>
      </c>
    </row>
    <row r="139" spans="1:13" x14ac:dyDescent="0.2">
      <c r="A139">
        <v>125076</v>
      </c>
      <c r="B139" s="5">
        <v>45566</v>
      </c>
      <c r="C139">
        <v>32574</v>
      </c>
      <c r="D139" t="str">
        <f>PROPER(Transactions!D139)</f>
        <v>Electronics</v>
      </c>
      <c r="E139" t="s">
        <v>104</v>
      </c>
      <c r="F139" t="s">
        <v>105</v>
      </c>
      <c r="G139">
        <v>1</v>
      </c>
      <c r="H139">
        <v>29.99</v>
      </c>
      <c r="I139" s="7">
        <f>IF(Transactions!I139="",0,Transactions!I139)</f>
        <v>0</v>
      </c>
      <c r="J139" s="9">
        <f t="shared" si="2"/>
        <v>29.99</v>
      </c>
      <c r="K139" t="s">
        <v>16</v>
      </c>
      <c r="L139" t="s">
        <v>17</v>
      </c>
      <c r="M139" t="str">
        <f>REPLACE(Transactions!M139,1,4,"")</f>
        <v>8</v>
      </c>
    </row>
    <row r="140" spans="1:13" x14ac:dyDescent="0.2">
      <c r="A140">
        <v>125355</v>
      </c>
      <c r="B140" s="5">
        <v>45045</v>
      </c>
      <c r="C140">
        <v>53987</v>
      </c>
      <c r="D140" t="str">
        <f>PROPER(Transactions!D140)</f>
        <v>Grocery</v>
      </c>
      <c r="E140" t="s">
        <v>45</v>
      </c>
      <c r="F140" t="s">
        <v>46</v>
      </c>
      <c r="G140">
        <v>2</v>
      </c>
      <c r="H140">
        <v>1.61</v>
      </c>
      <c r="I140" s="7">
        <f>IF(Transactions!I140="",0,Transactions!I140)</f>
        <v>0.1</v>
      </c>
      <c r="J140" s="9">
        <f t="shared" si="2"/>
        <v>2.8980000000000001</v>
      </c>
      <c r="K140" t="s">
        <v>16</v>
      </c>
      <c r="L140" t="s">
        <v>23</v>
      </c>
      <c r="M140" t="str">
        <f>REPLACE(Transactions!M140,1,4,"")</f>
        <v>18</v>
      </c>
    </row>
    <row r="141" spans="1:13" x14ac:dyDescent="0.2">
      <c r="A141">
        <v>126068</v>
      </c>
      <c r="B141" s="5">
        <v>45343</v>
      </c>
      <c r="C141">
        <v>85860</v>
      </c>
      <c r="D141" t="str">
        <f>PROPER(Transactions!D141)</f>
        <v>Furniture</v>
      </c>
      <c r="E141" t="s">
        <v>51</v>
      </c>
      <c r="F141" t="s">
        <v>52</v>
      </c>
      <c r="G141">
        <v>2</v>
      </c>
      <c r="H141">
        <v>22.39</v>
      </c>
      <c r="I141" s="7">
        <f>IF(Transactions!I141="",0,Transactions!I141)</f>
        <v>0</v>
      </c>
      <c r="J141" s="9">
        <f t="shared" si="2"/>
        <v>44.78</v>
      </c>
      <c r="K141" t="s">
        <v>32</v>
      </c>
      <c r="L141" t="s">
        <v>17</v>
      </c>
      <c r="M141" t="str">
        <f>REPLACE(Transactions!M141,1,4,"")</f>
        <v>1</v>
      </c>
    </row>
    <row r="142" spans="1:13" x14ac:dyDescent="0.2">
      <c r="A142">
        <v>126104</v>
      </c>
      <c r="B142" s="5">
        <v>44982</v>
      </c>
      <c r="C142">
        <v>70493</v>
      </c>
      <c r="D142" t="str">
        <f>PROPER(Transactions!D142)</f>
        <v>Home &amp; Garden</v>
      </c>
      <c r="E142" t="s">
        <v>137</v>
      </c>
      <c r="F142" t="s">
        <v>138</v>
      </c>
      <c r="G142">
        <v>3</v>
      </c>
      <c r="H142">
        <v>7.99</v>
      </c>
      <c r="I142" s="7">
        <f>IF(Transactions!I142="",0,Transactions!I142)</f>
        <v>0</v>
      </c>
      <c r="J142" s="9">
        <f t="shared" si="2"/>
        <v>23.97</v>
      </c>
      <c r="K142" t="s">
        <v>22</v>
      </c>
      <c r="L142" t="s">
        <v>37</v>
      </c>
      <c r="M142" t="str">
        <f>REPLACE(Transactions!M142,1,4,"")</f>
        <v>11</v>
      </c>
    </row>
    <row r="143" spans="1:13" x14ac:dyDescent="0.2">
      <c r="A143">
        <v>126166</v>
      </c>
      <c r="B143" s="5">
        <v>45377</v>
      </c>
      <c r="C143">
        <v>88894</v>
      </c>
      <c r="D143" t="str">
        <f>PROPER(Transactions!D143)</f>
        <v>Grocery</v>
      </c>
      <c r="E143" t="s">
        <v>107</v>
      </c>
      <c r="F143" t="s">
        <v>108</v>
      </c>
      <c r="G143">
        <v>1</v>
      </c>
      <c r="H143">
        <v>2.97</v>
      </c>
      <c r="I143" s="7">
        <f>IF(Transactions!I143="",0,Transactions!I143)</f>
        <v>0.15</v>
      </c>
      <c r="J143" s="9">
        <f t="shared" si="2"/>
        <v>2.5245000000000002</v>
      </c>
      <c r="K143" t="s">
        <v>32</v>
      </c>
      <c r="L143" t="s">
        <v>17</v>
      </c>
      <c r="M143" t="str">
        <f>REPLACE(Transactions!M143,1,4,"")</f>
        <v>2</v>
      </c>
    </row>
    <row r="144" spans="1:13" x14ac:dyDescent="0.2">
      <c r="A144">
        <v>126777</v>
      </c>
      <c r="B144" s="5">
        <v>45414</v>
      </c>
      <c r="C144">
        <v>38262</v>
      </c>
      <c r="D144" t="str">
        <f>PROPER(Transactions!D144)</f>
        <v>Automotive</v>
      </c>
      <c r="E144" t="s">
        <v>64</v>
      </c>
      <c r="F144" t="s">
        <v>65</v>
      </c>
      <c r="G144">
        <v>5</v>
      </c>
      <c r="H144">
        <v>4.74</v>
      </c>
      <c r="I144" s="7">
        <f>IF(Transactions!I144="",0,Transactions!I144)</f>
        <v>0.05</v>
      </c>
      <c r="J144" s="9">
        <f t="shared" si="2"/>
        <v>22.515000000000001</v>
      </c>
      <c r="K144" t="s">
        <v>36</v>
      </c>
      <c r="L144" t="s">
        <v>17</v>
      </c>
      <c r="M144" t="str">
        <f>REPLACE(Transactions!M144,1,4,"")</f>
        <v>9</v>
      </c>
    </row>
    <row r="145" spans="1:13" x14ac:dyDescent="0.2">
      <c r="A145">
        <v>126858</v>
      </c>
      <c r="B145" s="5">
        <v>45163</v>
      </c>
      <c r="C145">
        <v>94489</v>
      </c>
      <c r="D145" t="str">
        <f>PROPER(Transactions!D145)</f>
        <v>Electronics</v>
      </c>
      <c r="E145" t="s">
        <v>55</v>
      </c>
      <c r="F145" t="s">
        <v>56</v>
      </c>
      <c r="G145">
        <v>1</v>
      </c>
      <c r="H145">
        <v>263.99</v>
      </c>
      <c r="I145" s="7">
        <f>IF(Transactions!I145="",0,Transactions!I145)</f>
        <v>0.2</v>
      </c>
      <c r="J145" s="9">
        <f t="shared" si="2"/>
        <v>211.19200000000001</v>
      </c>
      <c r="K145" t="s">
        <v>16</v>
      </c>
      <c r="L145" t="s">
        <v>17</v>
      </c>
      <c r="M145" t="str">
        <f>REPLACE(Transactions!M145,1,4,"")</f>
        <v>18</v>
      </c>
    </row>
    <row r="146" spans="1:13" x14ac:dyDescent="0.2">
      <c r="A146">
        <v>126885</v>
      </c>
      <c r="B146" s="5">
        <v>45222</v>
      </c>
      <c r="C146">
        <v>13646</v>
      </c>
      <c r="D146" t="str">
        <f>PROPER(Transactions!D146)</f>
        <v>Toys</v>
      </c>
      <c r="E146" t="s">
        <v>175</v>
      </c>
      <c r="F146" t="s">
        <v>176</v>
      </c>
      <c r="G146">
        <v>1</v>
      </c>
      <c r="H146">
        <v>11.39</v>
      </c>
      <c r="I146" s="7">
        <f>IF(Transactions!I146="",0,Transactions!I146)</f>
        <v>0.05</v>
      </c>
      <c r="J146" s="9">
        <f t="shared" si="2"/>
        <v>10.820500000000001</v>
      </c>
      <c r="K146" t="s">
        <v>36</v>
      </c>
      <c r="L146" t="s">
        <v>17</v>
      </c>
      <c r="M146" t="str">
        <f>REPLACE(Transactions!M146,1,4,"")</f>
        <v>13</v>
      </c>
    </row>
    <row r="147" spans="1:13" x14ac:dyDescent="0.2">
      <c r="A147">
        <v>126953</v>
      </c>
      <c r="B147" s="5">
        <v>45127</v>
      </c>
      <c r="C147">
        <v>27825</v>
      </c>
      <c r="D147" t="str">
        <f>PROPER(Transactions!D147)</f>
        <v>Grocery</v>
      </c>
      <c r="E147" t="s">
        <v>162</v>
      </c>
      <c r="F147" t="s">
        <v>163</v>
      </c>
      <c r="G147">
        <v>5</v>
      </c>
      <c r="H147">
        <v>7.19</v>
      </c>
      <c r="I147" s="7">
        <f>IF(Transactions!I147="",0,Transactions!I147)</f>
        <v>0.1</v>
      </c>
      <c r="J147" s="9">
        <f t="shared" si="2"/>
        <v>32.355000000000004</v>
      </c>
      <c r="K147" t="s">
        <v>16</v>
      </c>
      <c r="L147" t="s">
        <v>17</v>
      </c>
      <c r="M147" t="str">
        <f>REPLACE(Transactions!M147,1,4,"")</f>
        <v>12</v>
      </c>
    </row>
    <row r="148" spans="1:13" x14ac:dyDescent="0.2">
      <c r="A148">
        <v>127267</v>
      </c>
      <c r="B148" s="5">
        <v>44660</v>
      </c>
      <c r="C148">
        <v>51349</v>
      </c>
      <c r="D148" t="str">
        <f>PROPER(Transactions!D148)</f>
        <v>Clothing</v>
      </c>
      <c r="E148" t="s">
        <v>165</v>
      </c>
      <c r="F148" t="s">
        <v>166</v>
      </c>
      <c r="G148">
        <v>1</v>
      </c>
      <c r="H148">
        <v>80.989999999999995</v>
      </c>
      <c r="I148" s="7">
        <f>IF(Transactions!I148="",0,Transactions!I148)</f>
        <v>0.1</v>
      </c>
      <c r="J148" s="9">
        <f t="shared" si="2"/>
        <v>72.890999999999991</v>
      </c>
      <c r="K148" t="s">
        <v>36</v>
      </c>
      <c r="L148" t="s">
        <v>17</v>
      </c>
      <c r="M148" t="str">
        <f>REPLACE(Transactions!M148,1,4,"")</f>
        <v>17</v>
      </c>
    </row>
    <row r="149" spans="1:13" x14ac:dyDescent="0.2">
      <c r="A149">
        <v>127402</v>
      </c>
      <c r="B149" s="5">
        <v>45310</v>
      </c>
      <c r="C149">
        <v>19022</v>
      </c>
      <c r="D149" t="str">
        <f>PROPER(Transactions!D149)</f>
        <v>Sports</v>
      </c>
      <c r="E149" t="s">
        <v>83</v>
      </c>
      <c r="F149" t="s">
        <v>84</v>
      </c>
      <c r="G149">
        <v>4</v>
      </c>
      <c r="H149">
        <v>14.44</v>
      </c>
      <c r="I149" s="7">
        <f>IF(Transactions!I149="",0,Transactions!I149)</f>
        <v>0.15</v>
      </c>
      <c r="J149" s="9">
        <f t="shared" si="2"/>
        <v>49.095999999999997</v>
      </c>
      <c r="K149" t="s">
        <v>22</v>
      </c>
      <c r="L149" t="s">
        <v>17</v>
      </c>
      <c r="M149" t="str">
        <f>REPLACE(Transactions!M149,1,4,"")</f>
        <v>10</v>
      </c>
    </row>
    <row r="150" spans="1:13" x14ac:dyDescent="0.2">
      <c r="A150">
        <v>127403</v>
      </c>
      <c r="B150" s="5">
        <v>45440</v>
      </c>
      <c r="C150">
        <v>29282</v>
      </c>
      <c r="D150" t="str">
        <f>PROPER(Transactions!D150)</f>
        <v>Sports</v>
      </c>
      <c r="E150" t="s">
        <v>168</v>
      </c>
      <c r="F150" t="s">
        <v>169</v>
      </c>
      <c r="G150">
        <v>3</v>
      </c>
      <c r="H150">
        <v>8.5399999999999991</v>
      </c>
      <c r="I150" s="7">
        <f>IF(Transactions!I150="",0,Transactions!I150)</f>
        <v>0.05</v>
      </c>
      <c r="J150" s="9">
        <f t="shared" si="2"/>
        <v>24.338999999999995</v>
      </c>
      <c r="K150" t="s">
        <v>22</v>
      </c>
      <c r="L150" t="s">
        <v>17</v>
      </c>
      <c r="M150" t="str">
        <f>REPLACE(Transactions!M150,1,4,"")</f>
        <v/>
      </c>
    </row>
    <row r="151" spans="1:13" x14ac:dyDescent="0.2">
      <c r="A151">
        <v>128383</v>
      </c>
      <c r="B151" s="5">
        <v>44672</v>
      </c>
      <c r="C151">
        <v>12344</v>
      </c>
      <c r="D151" t="str">
        <f>PROPER(Transactions!D151)</f>
        <v>Pharmacy</v>
      </c>
      <c r="E151" t="s">
        <v>115</v>
      </c>
      <c r="F151" t="s">
        <v>116</v>
      </c>
      <c r="G151">
        <v>2</v>
      </c>
      <c r="H151">
        <v>9.74</v>
      </c>
      <c r="I151" s="7">
        <f>IF(Transactions!I151="",0,Transactions!I151)</f>
        <v>0.25</v>
      </c>
      <c r="J151" s="9">
        <f t="shared" si="2"/>
        <v>14.61</v>
      </c>
      <c r="K151" t="s">
        <v>22</v>
      </c>
      <c r="L151" t="s">
        <v>17</v>
      </c>
      <c r="M151" t="str">
        <f>REPLACE(Transactions!M151,1,4,"")</f>
        <v>2</v>
      </c>
    </row>
    <row r="152" spans="1:13" x14ac:dyDescent="0.2">
      <c r="A152">
        <v>128570</v>
      </c>
      <c r="B152" s="5">
        <v>45307</v>
      </c>
      <c r="C152">
        <v>28765</v>
      </c>
      <c r="D152" t="str">
        <f>PROPER(Transactions!D152)</f>
        <v>Automotive</v>
      </c>
      <c r="E152" t="s">
        <v>131</v>
      </c>
      <c r="F152" t="s">
        <v>132</v>
      </c>
      <c r="G152">
        <v>1</v>
      </c>
      <c r="H152">
        <v>3.49</v>
      </c>
      <c r="I152" s="7">
        <f>IF(Transactions!I152="",0,Transactions!I152)</f>
        <v>0</v>
      </c>
      <c r="J152" s="9">
        <f t="shared" si="2"/>
        <v>3.49</v>
      </c>
      <c r="K152" t="s">
        <v>36</v>
      </c>
      <c r="L152" t="s">
        <v>23</v>
      </c>
      <c r="M152" t="str">
        <f>REPLACE(Transactions!M152,1,4,"")</f>
        <v>18</v>
      </c>
    </row>
    <row r="153" spans="1:13" x14ac:dyDescent="0.2">
      <c r="A153">
        <v>128736</v>
      </c>
      <c r="B153" s="5">
        <v>45638</v>
      </c>
      <c r="C153">
        <v>36297</v>
      </c>
      <c r="D153" t="str">
        <f>PROPER(Transactions!D153)</f>
        <v>Furniture</v>
      </c>
      <c r="E153" t="s">
        <v>113</v>
      </c>
      <c r="F153" t="s">
        <v>114</v>
      </c>
      <c r="G153">
        <v>1</v>
      </c>
      <c r="H153">
        <v>119.99</v>
      </c>
      <c r="I153" s="7">
        <f>IF(Transactions!I153="",0,Transactions!I153)</f>
        <v>0</v>
      </c>
      <c r="J153" s="9">
        <f t="shared" si="2"/>
        <v>119.99</v>
      </c>
      <c r="K153" t="s">
        <v>16</v>
      </c>
      <c r="L153" t="s">
        <v>17</v>
      </c>
      <c r="M153" t="str">
        <f>REPLACE(Transactions!M153,1,4,"")</f>
        <v>3</v>
      </c>
    </row>
    <row r="154" spans="1:13" x14ac:dyDescent="0.2">
      <c r="A154">
        <v>128777</v>
      </c>
      <c r="B154" s="5">
        <v>44678</v>
      </c>
      <c r="C154">
        <v>60108</v>
      </c>
      <c r="D154" t="str">
        <f>PROPER(Transactions!D154)</f>
        <v>Beauty</v>
      </c>
      <c r="E154" t="s">
        <v>109</v>
      </c>
      <c r="F154" t="s">
        <v>110</v>
      </c>
      <c r="G154">
        <v>5</v>
      </c>
      <c r="H154">
        <v>6.99</v>
      </c>
      <c r="I154" s="7">
        <f>IF(Transactions!I154="",0,Transactions!I154)</f>
        <v>0</v>
      </c>
      <c r="J154" s="9">
        <f t="shared" si="2"/>
        <v>34.950000000000003</v>
      </c>
      <c r="K154" t="s">
        <v>36</v>
      </c>
      <c r="L154" t="s">
        <v>17</v>
      </c>
      <c r="M154" t="str">
        <f>REPLACE(Transactions!M154,1,4,"")</f>
        <v>11</v>
      </c>
    </row>
    <row r="155" spans="1:13" x14ac:dyDescent="0.2">
      <c r="A155">
        <v>128986</v>
      </c>
      <c r="B155" s="5">
        <v>44917</v>
      </c>
      <c r="C155">
        <v>54961</v>
      </c>
      <c r="D155" t="str">
        <f>PROPER(Transactions!D155)</f>
        <v>Electronics</v>
      </c>
      <c r="E155" t="s">
        <v>127</v>
      </c>
      <c r="F155" t="s">
        <v>128</v>
      </c>
      <c r="G155">
        <v>2</v>
      </c>
      <c r="H155">
        <v>13.99</v>
      </c>
      <c r="I155" s="7">
        <f>IF(Transactions!I155="",0,Transactions!I155)</f>
        <v>0</v>
      </c>
      <c r="J155" s="9">
        <f t="shared" si="2"/>
        <v>27.98</v>
      </c>
      <c r="K155" t="s">
        <v>36</v>
      </c>
      <c r="L155" t="s">
        <v>17</v>
      </c>
      <c r="M155" t="str">
        <f>REPLACE(Transactions!M155,1,4,"")</f>
        <v>17</v>
      </c>
    </row>
    <row r="156" spans="1:13" x14ac:dyDescent="0.2">
      <c r="A156">
        <v>129049</v>
      </c>
      <c r="B156" s="5">
        <v>45050</v>
      </c>
      <c r="C156">
        <v>83377</v>
      </c>
      <c r="D156" t="str">
        <f>PROPER(Transactions!D156)</f>
        <v>Furniture</v>
      </c>
      <c r="E156" t="s">
        <v>70</v>
      </c>
      <c r="F156" t="s">
        <v>71</v>
      </c>
      <c r="G156">
        <v>1</v>
      </c>
      <c r="H156">
        <v>89.99</v>
      </c>
      <c r="I156" s="7">
        <f>IF(Transactions!I156="",0,Transactions!I156)</f>
        <v>0</v>
      </c>
      <c r="J156" s="9">
        <f t="shared" si="2"/>
        <v>89.99</v>
      </c>
      <c r="K156" t="s">
        <v>36</v>
      </c>
      <c r="L156" t="s">
        <v>37</v>
      </c>
      <c r="M156" t="str">
        <f>REPLACE(Transactions!M156,1,4,"")</f>
        <v>11</v>
      </c>
    </row>
    <row r="157" spans="1:13" x14ac:dyDescent="0.2">
      <c r="A157">
        <v>129441</v>
      </c>
      <c r="B157" s="5">
        <v>45482</v>
      </c>
      <c r="C157">
        <v>58921</v>
      </c>
      <c r="D157" t="str">
        <f>PROPER(Transactions!D157)</f>
        <v>Electronics</v>
      </c>
      <c r="E157" t="s">
        <v>14</v>
      </c>
      <c r="F157" t="s">
        <v>15</v>
      </c>
      <c r="G157">
        <v>2</v>
      </c>
      <c r="H157">
        <v>59.99</v>
      </c>
      <c r="I157" s="7">
        <f>IF(Transactions!I157="",0,Transactions!I157)</f>
        <v>0.25</v>
      </c>
      <c r="J157" s="9">
        <f t="shared" si="2"/>
        <v>89.984999999999999</v>
      </c>
      <c r="K157" t="s">
        <v>53</v>
      </c>
      <c r="L157" t="s">
        <v>17</v>
      </c>
      <c r="M157" t="str">
        <f>REPLACE(Transactions!M157,1,4,"")</f>
        <v>5</v>
      </c>
    </row>
    <row r="158" spans="1:13" x14ac:dyDescent="0.2">
      <c r="A158">
        <v>129495</v>
      </c>
      <c r="B158" s="5">
        <v>45507</v>
      </c>
      <c r="C158">
        <v>18285</v>
      </c>
      <c r="D158" t="str">
        <f>PROPER(Transactions!D158)</f>
        <v>Furniture</v>
      </c>
      <c r="E158" t="s">
        <v>26</v>
      </c>
      <c r="F158" t="s">
        <v>27</v>
      </c>
      <c r="G158">
        <v>1</v>
      </c>
      <c r="H158">
        <v>34.99</v>
      </c>
      <c r="I158" s="7">
        <f>IF(Transactions!I158="",0,Transactions!I158)</f>
        <v>0</v>
      </c>
      <c r="J158" s="9">
        <f t="shared" si="2"/>
        <v>34.99</v>
      </c>
      <c r="K158" t="s">
        <v>16</v>
      </c>
      <c r="L158" t="s">
        <v>17</v>
      </c>
      <c r="M158" t="str">
        <f>REPLACE(Transactions!M158,1,4,"")</f>
        <v>13</v>
      </c>
    </row>
    <row r="159" spans="1:13" x14ac:dyDescent="0.2">
      <c r="A159">
        <v>129576</v>
      </c>
      <c r="B159" s="5">
        <v>45213</v>
      </c>
      <c r="C159">
        <v>28625</v>
      </c>
      <c r="D159" t="str">
        <f>PROPER(Transactions!D159)</f>
        <v>Grocery</v>
      </c>
      <c r="E159" t="s">
        <v>177</v>
      </c>
      <c r="F159" t="s">
        <v>178</v>
      </c>
      <c r="G159">
        <v>5</v>
      </c>
      <c r="H159">
        <v>10.19</v>
      </c>
      <c r="I159" s="7">
        <f>IF(Transactions!I159="",0,Transactions!I159)</f>
        <v>0.15</v>
      </c>
      <c r="J159" s="9">
        <f t="shared" si="2"/>
        <v>43.307499999999997</v>
      </c>
      <c r="K159" t="s">
        <v>36</v>
      </c>
      <c r="L159" t="s">
        <v>17</v>
      </c>
      <c r="M159" t="str">
        <f>REPLACE(Transactions!M159,1,4,"")</f>
        <v>6</v>
      </c>
    </row>
    <row r="160" spans="1:13" x14ac:dyDescent="0.2">
      <c r="A160">
        <v>129665</v>
      </c>
      <c r="B160" s="5">
        <v>44974</v>
      </c>
      <c r="C160">
        <v>23439</v>
      </c>
      <c r="D160" t="str">
        <f>PROPER(Transactions!D160)</f>
        <v>Toys</v>
      </c>
      <c r="E160" t="s">
        <v>30</v>
      </c>
      <c r="F160" t="s">
        <v>31</v>
      </c>
      <c r="G160">
        <v>3</v>
      </c>
      <c r="H160">
        <v>19.989999999999998</v>
      </c>
      <c r="I160" s="7">
        <f>IF(Transactions!I160="",0,Transactions!I160)</f>
        <v>0.2</v>
      </c>
      <c r="J160" s="9">
        <f t="shared" si="2"/>
        <v>47.975999999999999</v>
      </c>
      <c r="K160" t="s">
        <v>16</v>
      </c>
      <c r="L160" t="s">
        <v>17</v>
      </c>
      <c r="M160" t="str">
        <f>REPLACE(Transactions!M160,1,4,"")</f>
        <v>18</v>
      </c>
    </row>
    <row r="161" spans="1:13" x14ac:dyDescent="0.2">
      <c r="A161">
        <v>129954</v>
      </c>
      <c r="B161" s="5">
        <v>45616</v>
      </c>
      <c r="C161">
        <v>94348</v>
      </c>
      <c r="D161" t="str">
        <f>PROPER(Transactions!D161)</f>
        <v>Grocery</v>
      </c>
      <c r="E161" t="s">
        <v>93</v>
      </c>
      <c r="F161" t="s">
        <v>94</v>
      </c>
      <c r="G161">
        <v>1</v>
      </c>
      <c r="H161">
        <v>0.97</v>
      </c>
      <c r="I161" s="7">
        <f>IF(Transactions!I161="",0,Transactions!I161)</f>
        <v>0.25</v>
      </c>
      <c r="J161" s="9">
        <f t="shared" si="2"/>
        <v>0.72750000000000004</v>
      </c>
      <c r="K161" t="s">
        <v>16</v>
      </c>
      <c r="L161" t="s">
        <v>37</v>
      </c>
      <c r="M161" t="str">
        <f>REPLACE(Transactions!M161,1,4,"")</f>
        <v>17</v>
      </c>
    </row>
    <row r="162" spans="1:13" x14ac:dyDescent="0.2">
      <c r="A162">
        <v>129965</v>
      </c>
      <c r="B162" s="5">
        <v>45269</v>
      </c>
      <c r="C162">
        <v>56027</v>
      </c>
      <c r="D162" t="str">
        <f>PROPER(Transactions!D162)</f>
        <v>Furniture</v>
      </c>
      <c r="E162" t="s">
        <v>51</v>
      </c>
      <c r="F162" t="s">
        <v>52</v>
      </c>
      <c r="G162">
        <v>1</v>
      </c>
      <c r="H162">
        <v>27.99</v>
      </c>
      <c r="I162" s="7">
        <f>IF(Transactions!I162="",0,Transactions!I162)</f>
        <v>0</v>
      </c>
      <c r="J162" s="9">
        <f t="shared" si="2"/>
        <v>27.99</v>
      </c>
      <c r="K162" t="s">
        <v>36</v>
      </c>
      <c r="L162" t="s">
        <v>17</v>
      </c>
      <c r="M162" t="str">
        <f>REPLACE(Transactions!M162,1,4,"")</f>
        <v>8</v>
      </c>
    </row>
    <row r="163" spans="1:13" x14ac:dyDescent="0.2">
      <c r="A163">
        <v>130092</v>
      </c>
      <c r="B163" s="5">
        <v>44789</v>
      </c>
      <c r="C163">
        <v>84193</v>
      </c>
      <c r="D163" t="str">
        <f>PROPER(Transactions!D163)</f>
        <v>Clothing</v>
      </c>
      <c r="E163" t="s">
        <v>135</v>
      </c>
      <c r="F163" t="s">
        <v>136</v>
      </c>
      <c r="G163">
        <v>1</v>
      </c>
      <c r="H163">
        <v>9.99</v>
      </c>
      <c r="I163" s="7">
        <f>IF(Transactions!I163="",0,Transactions!I163)</f>
        <v>0</v>
      </c>
      <c r="J163" s="9">
        <f t="shared" si="2"/>
        <v>9.99</v>
      </c>
      <c r="K163" t="s">
        <v>16</v>
      </c>
      <c r="L163" t="s">
        <v>17</v>
      </c>
      <c r="M163" t="str">
        <f>REPLACE(Transactions!M163,1,4,"")</f>
        <v>8</v>
      </c>
    </row>
    <row r="164" spans="1:13" x14ac:dyDescent="0.2">
      <c r="A164">
        <v>130170</v>
      </c>
      <c r="B164" s="5">
        <v>44995</v>
      </c>
      <c r="C164">
        <v>72135</v>
      </c>
      <c r="D164" t="str">
        <f>PROPER(Transactions!D164)</f>
        <v>Beauty</v>
      </c>
      <c r="E164" t="s">
        <v>179</v>
      </c>
      <c r="F164" t="s">
        <v>180</v>
      </c>
      <c r="G164">
        <v>2</v>
      </c>
      <c r="H164">
        <v>11.39</v>
      </c>
      <c r="I164" s="7">
        <f>IF(Transactions!I164="",0,Transactions!I164)</f>
        <v>0.05</v>
      </c>
      <c r="J164" s="9">
        <f t="shared" si="2"/>
        <v>21.641000000000002</v>
      </c>
      <c r="K164" t="s">
        <v>16</v>
      </c>
      <c r="L164" t="s">
        <v>17</v>
      </c>
      <c r="M164" t="str">
        <f>REPLACE(Transactions!M164,1,4,"")</f>
        <v>2</v>
      </c>
    </row>
    <row r="165" spans="1:13" x14ac:dyDescent="0.2">
      <c r="A165">
        <v>130184</v>
      </c>
      <c r="B165" s="5">
        <v>45438</v>
      </c>
      <c r="C165">
        <v>60940</v>
      </c>
      <c r="D165" t="str">
        <f>PROPER(Transactions!D165)</f>
        <v>Home &amp; Garden</v>
      </c>
      <c r="E165" t="s">
        <v>157</v>
      </c>
      <c r="F165" t="s">
        <v>158</v>
      </c>
      <c r="G165">
        <v>1</v>
      </c>
      <c r="H165">
        <v>10.119999999999999</v>
      </c>
      <c r="I165" s="7">
        <f>IF(Transactions!I165="",0,Transactions!I165)</f>
        <v>0.25</v>
      </c>
      <c r="J165" s="9">
        <f t="shared" si="2"/>
        <v>7.59</v>
      </c>
      <c r="K165" t="s">
        <v>16</v>
      </c>
      <c r="L165" t="s">
        <v>17</v>
      </c>
      <c r="M165" t="str">
        <f>REPLACE(Transactions!M165,1,4,"")</f>
        <v>12</v>
      </c>
    </row>
    <row r="166" spans="1:13" x14ac:dyDescent="0.2">
      <c r="A166">
        <v>130246</v>
      </c>
      <c r="B166" s="5">
        <v>45617</v>
      </c>
      <c r="C166">
        <v>73511</v>
      </c>
      <c r="D166" t="str">
        <f>PROPER(Transactions!D166)</f>
        <v>Clothing</v>
      </c>
      <c r="E166" t="s">
        <v>98</v>
      </c>
      <c r="F166" t="s">
        <v>99</v>
      </c>
      <c r="G166">
        <v>4</v>
      </c>
      <c r="H166">
        <v>19.59</v>
      </c>
      <c r="I166" s="7">
        <f>IF(Transactions!I166="",0,Transactions!I166)</f>
        <v>0.3</v>
      </c>
      <c r="J166" s="9">
        <f t="shared" si="2"/>
        <v>54.851999999999997</v>
      </c>
      <c r="K166" t="s">
        <v>32</v>
      </c>
      <c r="L166" t="s">
        <v>37</v>
      </c>
      <c r="M166" t="str">
        <f>REPLACE(Transactions!M166,1,4,"")</f>
        <v>6</v>
      </c>
    </row>
    <row r="167" spans="1:13" x14ac:dyDescent="0.2">
      <c r="A167">
        <v>130454</v>
      </c>
      <c r="B167" s="5">
        <v>45091</v>
      </c>
      <c r="D167" t="str">
        <f>PROPER(Transactions!D167)</f>
        <v>Grocery</v>
      </c>
      <c r="E167" t="s">
        <v>133</v>
      </c>
      <c r="F167" t="s">
        <v>134</v>
      </c>
      <c r="G167">
        <v>1</v>
      </c>
      <c r="H167">
        <v>2.84</v>
      </c>
      <c r="I167" s="7">
        <f>IF(Transactions!I167="",0,Transactions!I167)</f>
        <v>0.25</v>
      </c>
      <c r="J167" s="9">
        <f t="shared" si="2"/>
        <v>2.13</v>
      </c>
      <c r="K167" t="s">
        <v>95</v>
      </c>
      <c r="L167" t="s">
        <v>37</v>
      </c>
      <c r="M167" t="str">
        <f>REPLACE(Transactions!M167,1,4,"")</f>
        <v>9</v>
      </c>
    </row>
    <row r="168" spans="1:13" x14ac:dyDescent="0.2">
      <c r="A168">
        <v>130688</v>
      </c>
      <c r="B168" s="5">
        <v>45006</v>
      </c>
      <c r="C168">
        <v>84301</v>
      </c>
      <c r="D168" t="str">
        <f>PROPER(Transactions!D168)</f>
        <v>Home &amp; Garden</v>
      </c>
      <c r="E168" t="s">
        <v>137</v>
      </c>
      <c r="F168" t="s">
        <v>138</v>
      </c>
      <c r="G168">
        <v>5</v>
      </c>
      <c r="H168">
        <v>7.99</v>
      </c>
      <c r="I168" s="7">
        <f>IF(Transactions!I168="",0,Transactions!I168)</f>
        <v>0</v>
      </c>
      <c r="J168" s="9">
        <f t="shared" si="2"/>
        <v>39.950000000000003</v>
      </c>
      <c r="K168" t="s">
        <v>36</v>
      </c>
      <c r="L168" t="s">
        <v>17</v>
      </c>
      <c r="M168" t="str">
        <f>REPLACE(Transactions!M168,1,4,"")</f>
        <v>8</v>
      </c>
    </row>
    <row r="169" spans="1:13" x14ac:dyDescent="0.2">
      <c r="A169">
        <v>130959</v>
      </c>
      <c r="B169" s="5">
        <v>44801</v>
      </c>
      <c r="D169" t="str">
        <f>PROPER(Transactions!D169)</f>
        <v>Clothing</v>
      </c>
      <c r="E169" t="s">
        <v>165</v>
      </c>
      <c r="F169" t="s">
        <v>166</v>
      </c>
      <c r="G169">
        <v>1</v>
      </c>
      <c r="H169">
        <v>76.489999999999995</v>
      </c>
      <c r="I169" s="7">
        <f>IF(Transactions!I169="",0,Transactions!I169)</f>
        <v>0.15</v>
      </c>
      <c r="J169" s="9">
        <f t="shared" si="2"/>
        <v>65.016499999999994</v>
      </c>
      <c r="K169" t="s">
        <v>16</v>
      </c>
      <c r="L169" t="s">
        <v>17</v>
      </c>
      <c r="M169" t="str">
        <f>REPLACE(Transactions!M169,1,4,"")</f>
        <v>17</v>
      </c>
    </row>
    <row r="170" spans="1:13" x14ac:dyDescent="0.2">
      <c r="A170">
        <v>130971</v>
      </c>
      <c r="B170" s="5">
        <v>45200</v>
      </c>
      <c r="D170" t="str">
        <f>PROPER(Transactions!D170)</f>
        <v>Sports</v>
      </c>
      <c r="E170" t="s">
        <v>168</v>
      </c>
      <c r="F170" t="s">
        <v>169</v>
      </c>
      <c r="G170">
        <v>5</v>
      </c>
      <c r="H170">
        <v>8.99</v>
      </c>
      <c r="I170" s="7">
        <f>IF(Transactions!I170="",0,Transactions!I170)</f>
        <v>0</v>
      </c>
      <c r="J170" s="9">
        <f t="shared" si="2"/>
        <v>44.95</v>
      </c>
      <c r="K170" t="s">
        <v>95</v>
      </c>
      <c r="L170" t="s">
        <v>17</v>
      </c>
      <c r="M170" t="str">
        <f>REPLACE(Transactions!M170,1,4,"")</f>
        <v>16</v>
      </c>
    </row>
    <row r="171" spans="1:13" x14ac:dyDescent="0.2">
      <c r="A171">
        <v>131544</v>
      </c>
      <c r="B171" s="5">
        <v>45035</v>
      </c>
      <c r="C171">
        <v>31891</v>
      </c>
      <c r="D171" t="str">
        <f>PROPER(Transactions!D171)</f>
        <v>Pharmacy</v>
      </c>
      <c r="E171" t="s">
        <v>20</v>
      </c>
      <c r="F171" t="s">
        <v>21</v>
      </c>
      <c r="G171">
        <v>5</v>
      </c>
      <c r="H171">
        <v>8.49</v>
      </c>
      <c r="I171" s="7">
        <f>IF(Transactions!I171="",0,Transactions!I171)</f>
        <v>0.15</v>
      </c>
      <c r="J171" s="9">
        <f t="shared" si="2"/>
        <v>36.082500000000003</v>
      </c>
      <c r="K171" t="s">
        <v>22</v>
      </c>
      <c r="L171" t="s">
        <v>23</v>
      </c>
      <c r="M171" t="str">
        <f>REPLACE(Transactions!M171,1,4,"")</f>
        <v/>
      </c>
    </row>
    <row r="172" spans="1:13" x14ac:dyDescent="0.2">
      <c r="A172">
        <v>131875</v>
      </c>
      <c r="B172" s="5">
        <v>45433</v>
      </c>
      <c r="C172">
        <v>81242</v>
      </c>
      <c r="D172" t="str">
        <f>PROPER(Transactions!D172)</f>
        <v>Toys</v>
      </c>
      <c r="E172" t="s">
        <v>38</v>
      </c>
      <c r="F172" t="s">
        <v>39</v>
      </c>
      <c r="G172">
        <v>1</v>
      </c>
      <c r="H172">
        <v>29.99</v>
      </c>
      <c r="I172" s="7">
        <f>IF(Transactions!I172="",0,Transactions!I172)</f>
        <v>0</v>
      </c>
      <c r="J172" s="9">
        <f t="shared" si="2"/>
        <v>29.99</v>
      </c>
      <c r="K172" t="s">
        <v>16</v>
      </c>
      <c r="L172" t="s">
        <v>23</v>
      </c>
      <c r="M172" t="str">
        <f>REPLACE(Transactions!M172,1,4,"")</f>
        <v>9</v>
      </c>
    </row>
    <row r="173" spans="1:13" x14ac:dyDescent="0.2">
      <c r="A173">
        <v>132122</v>
      </c>
      <c r="B173" s="5">
        <v>45241</v>
      </c>
      <c r="C173">
        <v>33056</v>
      </c>
      <c r="D173" t="str">
        <f>PROPER(Transactions!D173)</f>
        <v>Sports</v>
      </c>
      <c r="E173" t="s">
        <v>147</v>
      </c>
      <c r="F173" t="s">
        <v>148</v>
      </c>
      <c r="G173">
        <v>2</v>
      </c>
      <c r="H173">
        <v>9.74</v>
      </c>
      <c r="I173" s="7">
        <f>IF(Transactions!I173="",0,Transactions!I173)</f>
        <v>0.25</v>
      </c>
      <c r="J173" s="9">
        <f t="shared" si="2"/>
        <v>14.61</v>
      </c>
      <c r="K173" t="s">
        <v>53</v>
      </c>
      <c r="L173" t="s">
        <v>17</v>
      </c>
      <c r="M173" t="str">
        <f>REPLACE(Transactions!M173,1,4,"")</f>
        <v>9</v>
      </c>
    </row>
    <row r="174" spans="1:13" x14ac:dyDescent="0.2">
      <c r="A174">
        <v>132215</v>
      </c>
      <c r="B174" s="5">
        <v>44651</v>
      </c>
      <c r="C174">
        <v>64876</v>
      </c>
      <c r="D174" t="str">
        <f>PROPER(Transactions!D174)</f>
        <v>Beauty</v>
      </c>
      <c r="E174" t="s">
        <v>143</v>
      </c>
      <c r="F174" t="s">
        <v>144</v>
      </c>
      <c r="G174">
        <v>1</v>
      </c>
      <c r="H174">
        <v>12.74</v>
      </c>
      <c r="I174" s="7">
        <f>IF(Transactions!I174="",0,Transactions!I174)</f>
        <v>0.15</v>
      </c>
      <c r="J174" s="9">
        <f t="shared" si="2"/>
        <v>10.829000000000001</v>
      </c>
      <c r="K174" t="s">
        <v>16</v>
      </c>
      <c r="L174" t="s">
        <v>17</v>
      </c>
      <c r="M174" t="str">
        <f>REPLACE(Transactions!M174,1,4,"")</f>
        <v>8</v>
      </c>
    </row>
    <row r="175" spans="1:13" x14ac:dyDescent="0.2">
      <c r="A175">
        <v>132222</v>
      </c>
      <c r="B175" s="5">
        <v>45374</v>
      </c>
      <c r="C175">
        <v>84949</v>
      </c>
      <c r="D175" t="str">
        <f>PROPER(Transactions!D175)</f>
        <v>Clothing</v>
      </c>
      <c r="E175" t="s">
        <v>151</v>
      </c>
      <c r="F175" t="s">
        <v>152</v>
      </c>
      <c r="G175">
        <v>2</v>
      </c>
      <c r="H175">
        <v>34.99</v>
      </c>
      <c r="I175" s="7">
        <f>IF(Transactions!I175="",0,Transactions!I175)</f>
        <v>0</v>
      </c>
      <c r="J175" s="9">
        <f t="shared" si="2"/>
        <v>69.98</v>
      </c>
      <c r="K175" t="s">
        <v>16</v>
      </c>
      <c r="L175" t="s">
        <v>17</v>
      </c>
      <c r="M175" t="str">
        <f>REPLACE(Transactions!M175,1,4,"")</f>
        <v>9</v>
      </c>
    </row>
    <row r="176" spans="1:13" x14ac:dyDescent="0.2">
      <c r="A176">
        <v>132230</v>
      </c>
      <c r="B176" s="5">
        <v>45159</v>
      </c>
      <c r="C176">
        <v>59999</v>
      </c>
      <c r="D176" t="str">
        <f>PROPER(Transactions!D176)</f>
        <v>Grocery</v>
      </c>
      <c r="E176" t="s">
        <v>45</v>
      </c>
      <c r="F176" t="s">
        <v>46</v>
      </c>
      <c r="G176">
        <v>2</v>
      </c>
      <c r="H176">
        <v>1.79</v>
      </c>
      <c r="I176" s="7">
        <f>IF(Transactions!I176="",0,Transactions!I176)</f>
        <v>0</v>
      </c>
      <c r="J176" s="9">
        <f t="shared" si="2"/>
        <v>3.58</v>
      </c>
      <c r="K176" t="s">
        <v>32</v>
      </c>
      <c r="L176" t="s">
        <v>37</v>
      </c>
      <c r="M176" t="str">
        <f>REPLACE(Transactions!M176,1,4,"")</f>
        <v>16</v>
      </c>
    </row>
    <row r="177" spans="1:13" x14ac:dyDescent="0.2">
      <c r="A177">
        <v>132288</v>
      </c>
      <c r="B177" s="5">
        <v>45545</v>
      </c>
      <c r="C177">
        <v>81890</v>
      </c>
      <c r="D177" t="str">
        <f>PROPER(Transactions!D177)</f>
        <v>Automotive</v>
      </c>
      <c r="E177" t="s">
        <v>111</v>
      </c>
      <c r="F177" t="s">
        <v>112</v>
      </c>
      <c r="G177">
        <v>4</v>
      </c>
      <c r="H177">
        <v>11.24</v>
      </c>
      <c r="I177" s="7">
        <f>IF(Transactions!I177="",0,Transactions!I177)</f>
        <v>0.25</v>
      </c>
      <c r="J177" s="9">
        <f t="shared" si="2"/>
        <v>33.72</v>
      </c>
      <c r="K177" t="s">
        <v>95</v>
      </c>
      <c r="L177" t="s">
        <v>17</v>
      </c>
      <c r="M177" t="str">
        <f>REPLACE(Transactions!M177,1,4,"")</f>
        <v>12</v>
      </c>
    </row>
    <row r="178" spans="1:13" x14ac:dyDescent="0.2">
      <c r="A178">
        <v>132840</v>
      </c>
      <c r="B178" s="5">
        <v>45350</v>
      </c>
      <c r="C178">
        <v>54973</v>
      </c>
      <c r="D178" t="str">
        <f>PROPER(Transactions!D178)</f>
        <v>Pharmacy</v>
      </c>
      <c r="E178" t="s">
        <v>115</v>
      </c>
      <c r="F178" t="s">
        <v>116</v>
      </c>
      <c r="G178">
        <v>4</v>
      </c>
      <c r="H178">
        <v>12.99</v>
      </c>
      <c r="I178" s="7">
        <f>IF(Transactions!I178="",0,Transactions!I178)</f>
        <v>0</v>
      </c>
      <c r="J178" s="9">
        <f t="shared" si="2"/>
        <v>51.96</v>
      </c>
      <c r="K178" t="s">
        <v>16</v>
      </c>
      <c r="L178" t="s">
        <v>37</v>
      </c>
      <c r="M178" t="str">
        <f>REPLACE(Transactions!M178,1,4,"")</f>
        <v>16</v>
      </c>
    </row>
    <row r="179" spans="1:13" x14ac:dyDescent="0.2">
      <c r="A179">
        <v>132946</v>
      </c>
      <c r="B179" s="5">
        <v>44771</v>
      </c>
      <c r="C179">
        <v>71087</v>
      </c>
      <c r="D179" t="str">
        <f>PROPER(Transactions!D179)</f>
        <v>Grocery</v>
      </c>
      <c r="E179" t="s">
        <v>162</v>
      </c>
      <c r="F179" t="s">
        <v>163</v>
      </c>
      <c r="G179">
        <v>1</v>
      </c>
      <c r="H179">
        <v>6.39</v>
      </c>
      <c r="I179" s="7">
        <f>IF(Transactions!I179="",0,Transactions!I179)</f>
        <v>0</v>
      </c>
      <c r="J179" s="9">
        <f t="shared" si="2"/>
        <v>6.39</v>
      </c>
      <c r="K179" t="s">
        <v>95</v>
      </c>
      <c r="L179" t="s">
        <v>37</v>
      </c>
      <c r="M179" t="str">
        <f>REPLACE(Transactions!M179,1,4,"")</f>
        <v>8</v>
      </c>
    </row>
    <row r="180" spans="1:13" x14ac:dyDescent="0.2">
      <c r="A180">
        <v>133208</v>
      </c>
      <c r="B180" s="5">
        <v>45177</v>
      </c>
      <c r="C180">
        <v>25121</v>
      </c>
      <c r="D180" t="str">
        <f>PROPER(Transactions!D180)</f>
        <v>Clothing</v>
      </c>
      <c r="E180" t="s">
        <v>135</v>
      </c>
      <c r="F180" t="s">
        <v>136</v>
      </c>
      <c r="G180">
        <v>4</v>
      </c>
      <c r="H180">
        <v>9.99</v>
      </c>
      <c r="I180" s="7">
        <f>IF(Transactions!I180="",0,Transactions!I180)</f>
        <v>0</v>
      </c>
      <c r="J180" s="9">
        <f t="shared" si="2"/>
        <v>39.96</v>
      </c>
      <c r="K180" t="s">
        <v>16</v>
      </c>
      <c r="L180" t="s">
        <v>17</v>
      </c>
      <c r="M180" t="str">
        <f>REPLACE(Transactions!M180,1,4,"")</f>
        <v>19</v>
      </c>
    </row>
    <row r="181" spans="1:13" x14ac:dyDescent="0.2">
      <c r="A181">
        <v>133290</v>
      </c>
      <c r="B181" s="5">
        <v>45588</v>
      </c>
      <c r="C181">
        <v>37052</v>
      </c>
      <c r="D181" t="str">
        <f>PROPER(Transactions!D181)</f>
        <v>Beauty</v>
      </c>
      <c r="E181" t="s">
        <v>118</v>
      </c>
      <c r="F181" t="s">
        <v>119</v>
      </c>
      <c r="G181">
        <v>4</v>
      </c>
      <c r="H181">
        <v>4.74</v>
      </c>
      <c r="I181" s="7">
        <f>IF(Transactions!I181="",0,Transactions!I181)</f>
        <v>0.05</v>
      </c>
      <c r="J181" s="9">
        <f t="shared" si="2"/>
        <v>18.012</v>
      </c>
      <c r="K181" t="s">
        <v>95</v>
      </c>
      <c r="L181" t="s">
        <v>17</v>
      </c>
      <c r="M181" t="str">
        <f>REPLACE(Transactions!M181,1,4,"")</f>
        <v/>
      </c>
    </row>
    <row r="182" spans="1:13" x14ac:dyDescent="0.2">
      <c r="A182">
        <v>133372</v>
      </c>
      <c r="B182" s="5">
        <v>44756</v>
      </c>
      <c r="C182">
        <v>55041</v>
      </c>
      <c r="D182" t="str">
        <f>PROPER(Transactions!D182)</f>
        <v>Clothing</v>
      </c>
      <c r="E182" t="s">
        <v>181</v>
      </c>
      <c r="F182" t="s">
        <v>182</v>
      </c>
      <c r="G182">
        <v>1</v>
      </c>
      <c r="H182">
        <v>14.24</v>
      </c>
      <c r="I182" s="7">
        <f>IF(Transactions!I182="",0,Transactions!I182)</f>
        <v>0.05</v>
      </c>
      <c r="J182" s="9">
        <f t="shared" si="2"/>
        <v>13.527999999999999</v>
      </c>
      <c r="K182" t="s">
        <v>95</v>
      </c>
      <c r="L182" t="s">
        <v>23</v>
      </c>
      <c r="M182" t="str">
        <f>REPLACE(Transactions!M182,1,4,"")</f>
        <v>14</v>
      </c>
    </row>
    <row r="183" spans="1:13" x14ac:dyDescent="0.2">
      <c r="A183">
        <v>134059</v>
      </c>
      <c r="B183" s="5">
        <v>44915</v>
      </c>
      <c r="C183">
        <v>32010</v>
      </c>
      <c r="D183" t="str">
        <f>PROPER(Transactions!D183)</f>
        <v>Automotive</v>
      </c>
      <c r="E183" t="s">
        <v>125</v>
      </c>
      <c r="F183" t="s">
        <v>126</v>
      </c>
      <c r="G183">
        <v>3</v>
      </c>
      <c r="H183">
        <v>29.99</v>
      </c>
      <c r="I183" s="7">
        <f>IF(Transactions!I183="",0,Transactions!I183)</f>
        <v>0</v>
      </c>
      <c r="J183" s="9">
        <f t="shared" si="2"/>
        <v>89.97</v>
      </c>
      <c r="K183" t="s">
        <v>22</v>
      </c>
      <c r="L183" t="s">
        <v>23</v>
      </c>
      <c r="M183" t="str">
        <f>REPLACE(Transactions!M183,1,4,"")</f>
        <v>13</v>
      </c>
    </row>
    <row r="184" spans="1:13" x14ac:dyDescent="0.2">
      <c r="A184">
        <v>134077</v>
      </c>
      <c r="B184" s="5">
        <v>44770</v>
      </c>
      <c r="C184">
        <v>30270</v>
      </c>
      <c r="D184" t="str">
        <f>PROPER(Transactions!D184)</f>
        <v>Sports</v>
      </c>
      <c r="E184" t="s">
        <v>168</v>
      </c>
      <c r="F184" t="s">
        <v>169</v>
      </c>
      <c r="G184">
        <v>1</v>
      </c>
      <c r="H184">
        <v>8.99</v>
      </c>
      <c r="I184" s="7">
        <f>IF(Transactions!I184="",0,Transactions!I184)</f>
        <v>0</v>
      </c>
      <c r="J184" s="9">
        <f t="shared" si="2"/>
        <v>8.99</v>
      </c>
      <c r="K184" t="s">
        <v>53</v>
      </c>
      <c r="L184" t="s">
        <v>37</v>
      </c>
      <c r="M184" t="str">
        <f>REPLACE(Transactions!M184,1,4,"")</f>
        <v>6</v>
      </c>
    </row>
    <row r="185" spans="1:13" x14ac:dyDescent="0.2">
      <c r="A185">
        <v>134244</v>
      </c>
      <c r="B185" s="5">
        <v>44660</v>
      </c>
      <c r="C185">
        <v>22323</v>
      </c>
      <c r="D185" t="str">
        <f>PROPER(Transactions!D185)</f>
        <v>Automotive</v>
      </c>
      <c r="E185" t="s">
        <v>68</v>
      </c>
      <c r="F185" t="s">
        <v>69</v>
      </c>
      <c r="G185">
        <v>1</v>
      </c>
      <c r="H185">
        <v>22.49</v>
      </c>
      <c r="I185" s="7">
        <f>IF(Transactions!I185="",0,Transactions!I185)</f>
        <v>0.1</v>
      </c>
      <c r="J185" s="9">
        <f t="shared" si="2"/>
        <v>20.241</v>
      </c>
      <c r="K185" t="s">
        <v>16</v>
      </c>
      <c r="L185" t="s">
        <v>17</v>
      </c>
      <c r="M185" t="str">
        <f>REPLACE(Transactions!M185,1,4,"")</f>
        <v>16</v>
      </c>
    </row>
    <row r="186" spans="1:13" x14ac:dyDescent="0.2">
      <c r="A186">
        <v>134875</v>
      </c>
      <c r="B186" s="5">
        <v>44882</v>
      </c>
      <c r="C186">
        <v>14472</v>
      </c>
      <c r="D186" t="str">
        <f>PROPER(Transactions!D186)</f>
        <v>Sports</v>
      </c>
      <c r="E186" t="s">
        <v>100</v>
      </c>
      <c r="F186" t="s">
        <v>101</v>
      </c>
      <c r="G186">
        <v>4</v>
      </c>
      <c r="H186">
        <v>22.99</v>
      </c>
      <c r="I186" s="7">
        <f>IF(Transactions!I186="",0,Transactions!I186)</f>
        <v>0</v>
      </c>
      <c r="J186" s="9">
        <f t="shared" si="2"/>
        <v>91.96</v>
      </c>
      <c r="K186" t="s">
        <v>36</v>
      </c>
      <c r="L186" t="s">
        <v>17</v>
      </c>
      <c r="M186" t="str">
        <f>REPLACE(Transactions!M186,1,4,"")</f>
        <v>7</v>
      </c>
    </row>
    <row r="187" spans="1:13" x14ac:dyDescent="0.2">
      <c r="A187">
        <v>134956</v>
      </c>
      <c r="B187" s="5">
        <v>45548</v>
      </c>
      <c r="D187" t="str">
        <f>PROPER(Transactions!D187)</f>
        <v>Clothing</v>
      </c>
      <c r="E187" t="s">
        <v>98</v>
      </c>
      <c r="F187" t="s">
        <v>99</v>
      </c>
      <c r="G187">
        <v>3</v>
      </c>
      <c r="H187">
        <v>23.79</v>
      </c>
      <c r="I187" s="7">
        <f>IF(Transactions!I187="",0,Transactions!I187)</f>
        <v>0.15</v>
      </c>
      <c r="J187" s="9">
        <f t="shared" si="2"/>
        <v>60.664500000000004</v>
      </c>
      <c r="K187" t="s">
        <v>36</v>
      </c>
      <c r="L187" t="s">
        <v>17</v>
      </c>
      <c r="M187" t="str">
        <f>REPLACE(Transactions!M187,1,4,"")</f>
        <v>19</v>
      </c>
    </row>
    <row r="188" spans="1:13" x14ac:dyDescent="0.2">
      <c r="A188">
        <v>135140</v>
      </c>
      <c r="B188" s="5">
        <v>45335</v>
      </c>
      <c r="C188">
        <v>64980</v>
      </c>
      <c r="D188" t="str">
        <f>PROPER(Transactions!D188)</f>
        <v>Clothing</v>
      </c>
      <c r="E188" t="s">
        <v>135</v>
      </c>
      <c r="F188" t="s">
        <v>136</v>
      </c>
      <c r="G188">
        <v>1</v>
      </c>
      <c r="H188">
        <v>7.49</v>
      </c>
      <c r="I188" s="7">
        <f>IF(Transactions!I188="",0,Transactions!I188)</f>
        <v>0.25</v>
      </c>
      <c r="J188" s="9">
        <f t="shared" si="2"/>
        <v>5.6174999999999997</v>
      </c>
      <c r="K188" t="s">
        <v>36</v>
      </c>
      <c r="L188" t="s">
        <v>37</v>
      </c>
      <c r="M188" t="str">
        <f>REPLACE(Transactions!M188,1,4,"")</f>
        <v>15</v>
      </c>
    </row>
    <row r="189" spans="1:13" x14ac:dyDescent="0.2">
      <c r="A189">
        <v>135415</v>
      </c>
      <c r="B189" s="5">
        <v>45351</v>
      </c>
      <c r="C189">
        <v>42016</v>
      </c>
      <c r="D189" t="str">
        <f>PROPER(Transactions!D189)</f>
        <v>Clothing</v>
      </c>
      <c r="E189" t="s">
        <v>135</v>
      </c>
      <c r="F189" t="s">
        <v>136</v>
      </c>
      <c r="G189">
        <v>2</v>
      </c>
      <c r="H189">
        <v>8.49</v>
      </c>
      <c r="I189" s="7">
        <f>IF(Transactions!I189="",0,Transactions!I189)</f>
        <v>0.15</v>
      </c>
      <c r="J189" s="9">
        <f t="shared" si="2"/>
        <v>14.433</v>
      </c>
      <c r="K189" t="s">
        <v>16</v>
      </c>
      <c r="L189" t="s">
        <v>17</v>
      </c>
      <c r="M189" t="str">
        <f>REPLACE(Transactions!M189,1,4,"")</f>
        <v>7</v>
      </c>
    </row>
    <row r="190" spans="1:13" x14ac:dyDescent="0.2">
      <c r="A190">
        <v>135730</v>
      </c>
      <c r="B190" s="5">
        <v>45524</v>
      </c>
      <c r="C190">
        <v>19570</v>
      </c>
      <c r="D190" t="str">
        <f>PROPER(Transactions!D190)</f>
        <v>Toys</v>
      </c>
      <c r="E190" t="s">
        <v>175</v>
      </c>
      <c r="F190" t="s">
        <v>176</v>
      </c>
      <c r="G190">
        <v>1</v>
      </c>
      <c r="H190">
        <v>11.99</v>
      </c>
      <c r="I190" s="7">
        <f>IF(Transactions!I190="",0,Transactions!I190)</f>
        <v>0</v>
      </c>
      <c r="J190" s="9">
        <f t="shared" si="2"/>
        <v>11.99</v>
      </c>
      <c r="K190" t="s">
        <v>16</v>
      </c>
      <c r="L190" t="s">
        <v>17</v>
      </c>
      <c r="M190" t="str">
        <f>REPLACE(Transactions!M190,1,4,"")</f>
        <v>12</v>
      </c>
    </row>
    <row r="191" spans="1:13" x14ac:dyDescent="0.2">
      <c r="A191">
        <v>135734</v>
      </c>
      <c r="B191" s="5">
        <v>44586</v>
      </c>
      <c r="C191">
        <v>66632</v>
      </c>
      <c r="D191" t="str">
        <f>PROPER(Transactions!D191)</f>
        <v>Electronics</v>
      </c>
      <c r="E191" t="s">
        <v>77</v>
      </c>
      <c r="F191" t="s">
        <v>78</v>
      </c>
      <c r="G191">
        <v>3</v>
      </c>
      <c r="H191">
        <v>499.99</v>
      </c>
      <c r="I191" s="7">
        <f>IF(Transactions!I191="",0,Transactions!I191)</f>
        <v>0</v>
      </c>
      <c r="J191" s="9">
        <f t="shared" si="2"/>
        <v>1499.97</v>
      </c>
      <c r="K191" t="s">
        <v>36</v>
      </c>
      <c r="L191" t="s">
        <v>17</v>
      </c>
      <c r="M191" t="str">
        <f>REPLACE(Transactions!M191,1,4,"")</f>
        <v>10</v>
      </c>
    </row>
    <row r="192" spans="1:13" x14ac:dyDescent="0.2">
      <c r="A192">
        <v>135855</v>
      </c>
      <c r="B192" s="5">
        <v>45517</v>
      </c>
      <c r="C192">
        <v>86887</v>
      </c>
      <c r="D192" t="str">
        <f>PROPER(Transactions!D192)</f>
        <v>Electronics</v>
      </c>
      <c r="E192" t="s">
        <v>77</v>
      </c>
      <c r="F192" t="s">
        <v>78</v>
      </c>
      <c r="G192">
        <v>2</v>
      </c>
      <c r="H192">
        <v>449.99</v>
      </c>
      <c r="I192" s="7">
        <f>IF(Transactions!I192="",0,Transactions!I192)</f>
        <v>0.1</v>
      </c>
      <c r="J192" s="9">
        <f t="shared" si="2"/>
        <v>809.98200000000008</v>
      </c>
      <c r="K192" t="s">
        <v>32</v>
      </c>
      <c r="L192" t="s">
        <v>17</v>
      </c>
      <c r="M192" t="str">
        <f>REPLACE(Transactions!M192,1,4,"")</f>
        <v>19</v>
      </c>
    </row>
    <row r="193" spans="1:13" x14ac:dyDescent="0.2">
      <c r="A193">
        <v>136332</v>
      </c>
      <c r="B193" s="5">
        <v>45135</v>
      </c>
      <c r="C193">
        <v>75390</v>
      </c>
      <c r="D193" t="str">
        <f>PROPER(Transactions!D193)</f>
        <v>Home &amp; Garden</v>
      </c>
      <c r="E193" t="s">
        <v>153</v>
      </c>
      <c r="F193" t="s">
        <v>154</v>
      </c>
      <c r="G193">
        <v>5</v>
      </c>
      <c r="H193">
        <v>22.49</v>
      </c>
      <c r="I193" s="7">
        <f>IF(Transactions!I193="",0,Transactions!I193)</f>
        <v>0.25</v>
      </c>
      <c r="J193" s="9">
        <f t="shared" si="2"/>
        <v>84.337499999999991</v>
      </c>
      <c r="K193" t="s">
        <v>36</v>
      </c>
      <c r="L193" t="s">
        <v>17</v>
      </c>
      <c r="M193" t="str">
        <f>REPLACE(Transactions!M193,1,4,"")</f>
        <v>12</v>
      </c>
    </row>
    <row r="194" spans="1:13" x14ac:dyDescent="0.2">
      <c r="A194">
        <v>136400</v>
      </c>
      <c r="B194" s="5">
        <v>45574</v>
      </c>
      <c r="C194">
        <v>51182</v>
      </c>
      <c r="D194" t="str">
        <f>PROPER(Transactions!D194)</f>
        <v>Electronics</v>
      </c>
      <c r="E194" t="s">
        <v>104</v>
      </c>
      <c r="F194" t="s">
        <v>105</v>
      </c>
      <c r="G194">
        <v>4</v>
      </c>
      <c r="H194">
        <v>29.99</v>
      </c>
      <c r="I194" s="7">
        <f>IF(Transactions!I194="",0,Transactions!I194)</f>
        <v>0</v>
      </c>
      <c r="J194" s="9">
        <f t="shared" si="2"/>
        <v>119.96</v>
      </c>
      <c r="K194" t="s">
        <v>16</v>
      </c>
      <c r="L194" t="s">
        <v>17</v>
      </c>
      <c r="M194" t="str">
        <f>REPLACE(Transactions!M194,1,4,"")</f>
        <v>14</v>
      </c>
    </row>
    <row r="195" spans="1:13" x14ac:dyDescent="0.2">
      <c r="A195">
        <v>136492</v>
      </c>
      <c r="B195" s="5">
        <v>45583</v>
      </c>
      <c r="C195">
        <v>50210</v>
      </c>
      <c r="D195" t="str">
        <f>PROPER(Transactions!D195)</f>
        <v>Home &amp; Garden</v>
      </c>
      <c r="E195" t="s">
        <v>129</v>
      </c>
      <c r="F195" t="s">
        <v>130</v>
      </c>
      <c r="G195">
        <v>2</v>
      </c>
      <c r="H195">
        <v>8.99</v>
      </c>
      <c r="I195" s="7">
        <f>IF(Transactions!I195="",0,Transactions!I195)</f>
        <v>0</v>
      </c>
      <c r="J195" s="9">
        <f t="shared" ref="J195:J258" si="3">(H195*G195)*(1-I195)</f>
        <v>17.98</v>
      </c>
      <c r="K195" t="s">
        <v>32</v>
      </c>
      <c r="L195" t="s">
        <v>17</v>
      </c>
      <c r="M195" t="str">
        <f>REPLACE(Transactions!M195,1,4,"")</f>
        <v>1</v>
      </c>
    </row>
    <row r="196" spans="1:13" x14ac:dyDescent="0.2">
      <c r="A196">
        <v>136680</v>
      </c>
      <c r="B196" s="5">
        <v>45561</v>
      </c>
      <c r="C196">
        <v>40060</v>
      </c>
      <c r="D196" t="str">
        <f>PROPER(Transactions!D196)</f>
        <v>Furniture</v>
      </c>
      <c r="E196" t="s">
        <v>60</v>
      </c>
      <c r="F196" t="s">
        <v>61</v>
      </c>
      <c r="G196">
        <v>1</v>
      </c>
      <c r="H196">
        <v>43.99</v>
      </c>
      <c r="I196" s="7">
        <f>IF(Transactions!I196="",0,Transactions!I196)</f>
        <v>0.2</v>
      </c>
      <c r="J196" s="9">
        <f t="shared" si="3"/>
        <v>35.192</v>
      </c>
      <c r="K196" t="s">
        <v>36</v>
      </c>
      <c r="L196" t="s">
        <v>23</v>
      </c>
      <c r="M196" t="str">
        <f>REPLACE(Transactions!M196,1,4,"")</f>
        <v>12</v>
      </c>
    </row>
    <row r="197" spans="1:13" x14ac:dyDescent="0.2">
      <c r="A197">
        <v>136704</v>
      </c>
      <c r="B197" s="5">
        <v>45527</v>
      </c>
      <c r="C197">
        <v>10603</v>
      </c>
      <c r="D197" t="str">
        <f>PROPER(Transactions!D197)</f>
        <v>Sports</v>
      </c>
      <c r="E197" t="s">
        <v>83</v>
      </c>
      <c r="F197" t="s">
        <v>84</v>
      </c>
      <c r="G197">
        <v>2</v>
      </c>
      <c r="H197">
        <v>16.989999999999998</v>
      </c>
      <c r="I197" s="7">
        <f>IF(Transactions!I197="",0,Transactions!I197)</f>
        <v>0</v>
      </c>
      <c r="J197" s="9">
        <f t="shared" si="3"/>
        <v>33.979999999999997</v>
      </c>
      <c r="K197" t="s">
        <v>36</v>
      </c>
      <c r="L197" t="s">
        <v>17</v>
      </c>
      <c r="M197" t="str">
        <f>REPLACE(Transactions!M197,1,4,"")</f>
        <v>2</v>
      </c>
    </row>
    <row r="198" spans="1:13" x14ac:dyDescent="0.2">
      <c r="A198">
        <v>136766</v>
      </c>
      <c r="B198" s="5">
        <v>45639</v>
      </c>
      <c r="C198">
        <v>35646</v>
      </c>
      <c r="D198" t="str">
        <f>PROPER(Transactions!D198)</f>
        <v>Electronics</v>
      </c>
      <c r="E198" t="s">
        <v>55</v>
      </c>
      <c r="F198" t="s">
        <v>56</v>
      </c>
      <c r="G198">
        <v>1</v>
      </c>
      <c r="H198">
        <v>263.99</v>
      </c>
      <c r="I198" s="7">
        <f>IF(Transactions!I198="",0,Transactions!I198)</f>
        <v>0.2</v>
      </c>
      <c r="J198" s="9">
        <f t="shared" si="3"/>
        <v>211.19200000000001</v>
      </c>
      <c r="K198" t="s">
        <v>16</v>
      </c>
      <c r="L198" t="s">
        <v>17</v>
      </c>
      <c r="M198" t="str">
        <f>REPLACE(Transactions!M198,1,4,"")</f>
        <v/>
      </c>
    </row>
    <row r="199" spans="1:13" x14ac:dyDescent="0.2">
      <c r="A199">
        <v>136832</v>
      </c>
      <c r="B199" s="5">
        <v>44617</v>
      </c>
      <c r="C199">
        <v>18231</v>
      </c>
      <c r="D199" t="str">
        <f>PROPER(Transactions!D199)</f>
        <v>Toys</v>
      </c>
      <c r="E199" t="s">
        <v>175</v>
      </c>
      <c r="F199" t="s">
        <v>176</v>
      </c>
      <c r="G199">
        <v>3</v>
      </c>
      <c r="H199">
        <v>8.99</v>
      </c>
      <c r="I199" s="7">
        <f>IF(Transactions!I199="",0,Transactions!I199)</f>
        <v>0.25</v>
      </c>
      <c r="J199" s="9">
        <f t="shared" si="3"/>
        <v>20.227499999999999</v>
      </c>
      <c r="K199" t="s">
        <v>36</v>
      </c>
      <c r="L199" t="s">
        <v>37</v>
      </c>
      <c r="M199" t="str">
        <f>REPLACE(Transactions!M199,1,4,"")</f>
        <v>17</v>
      </c>
    </row>
    <row r="200" spans="1:13" x14ac:dyDescent="0.2">
      <c r="A200">
        <v>137008</v>
      </c>
      <c r="B200" s="5">
        <v>44980</v>
      </c>
      <c r="C200">
        <v>27785</v>
      </c>
      <c r="D200" t="str">
        <f>PROPER(Transactions!D200)</f>
        <v>Grocery</v>
      </c>
      <c r="E200" t="s">
        <v>184</v>
      </c>
      <c r="F200" t="s">
        <v>185</v>
      </c>
      <c r="G200">
        <v>4</v>
      </c>
      <c r="H200">
        <v>5.49</v>
      </c>
      <c r="I200" s="7">
        <f>IF(Transactions!I200="",0,Transactions!I200)</f>
        <v>0</v>
      </c>
      <c r="J200" s="9">
        <f t="shared" si="3"/>
        <v>21.96</v>
      </c>
      <c r="K200" t="s">
        <v>22</v>
      </c>
      <c r="L200" t="s">
        <v>17</v>
      </c>
      <c r="M200" t="str">
        <f>REPLACE(Transactions!M200,1,4,"")</f>
        <v>13</v>
      </c>
    </row>
    <row r="201" spans="1:13" x14ac:dyDescent="0.2">
      <c r="A201">
        <v>137115</v>
      </c>
      <c r="B201" s="5">
        <v>45544</v>
      </c>
      <c r="C201">
        <v>81492</v>
      </c>
      <c r="D201" t="str">
        <f>PROPER(Transactions!D201)</f>
        <v>Grocery</v>
      </c>
      <c r="E201" t="s">
        <v>162</v>
      </c>
      <c r="F201" t="s">
        <v>163</v>
      </c>
      <c r="G201">
        <v>4</v>
      </c>
      <c r="H201">
        <v>7.99</v>
      </c>
      <c r="I201" s="7">
        <f>IF(Transactions!I201="",0,Transactions!I201)</f>
        <v>0</v>
      </c>
      <c r="J201" s="9">
        <f t="shared" si="3"/>
        <v>31.96</v>
      </c>
      <c r="K201" t="s">
        <v>32</v>
      </c>
      <c r="L201" t="s">
        <v>17</v>
      </c>
      <c r="M201" t="str">
        <f>REPLACE(Transactions!M201,1,4,"")</f>
        <v>11</v>
      </c>
    </row>
    <row r="202" spans="1:13" x14ac:dyDescent="0.2">
      <c r="A202">
        <v>137222</v>
      </c>
      <c r="B202" s="5">
        <v>45090</v>
      </c>
      <c r="C202">
        <v>15358</v>
      </c>
      <c r="D202" t="str">
        <f>PROPER(Transactions!D202)</f>
        <v>Pharmacy</v>
      </c>
      <c r="E202" t="s">
        <v>41</v>
      </c>
      <c r="F202" t="s">
        <v>42</v>
      </c>
      <c r="G202">
        <v>2</v>
      </c>
      <c r="H202">
        <v>5.39</v>
      </c>
      <c r="I202" s="7">
        <f>IF(Transactions!I202="",0,Transactions!I202)</f>
        <v>0.1</v>
      </c>
      <c r="J202" s="9">
        <f t="shared" si="3"/>
        <v>9.702</v>
      </c>
      <c r="K202" t="s">
        <v>16</v>
      </c>
      <c r="L202" t="s">
        <v>17</v>
      </c>
      <c r="M202" t="str">
        <f>REPLACE(Transactions!M202,1,4,"")</f>
        <v>2</v>
      </c>
    </row>
    <row r="203" spans="1:13" x14ac:dyDescent="0.2">
      <c r="A203">
        <v>137685</v>
      </c>
      <c r="B203" s="5">
        <v>44849</v>
      </c>
      <c r="C203">
        <v>90692</v>
      </c>
      <c r="D203" t="str">
        <f>PROPER(Transactions!D203)</f>
        <v>Clothing</v>
      </c>
      <c r="E203" t="s">
        <v>181</v>
      </c>
      <c r="F203" t="s">
        <v>182</v>
      </c>
      <c r="G203">
        <v>4</v>
      </c>
      <c r="H203">
        <v>10.49</v>
      </c>
      <c r="I203" s="7">
        <f>IF(Transactions!I203="",0,Transactions!I203)</f>
        <v>0.3</v>
      </c>
      <c r="J203" s="9">
        <f t="shared" si="3"/>
        <v>29.372</v>
      </c>
      <c r="K203" t="s">
        <v>32</v>
      </c>
      <c r="L203" t="s">
        <v>37</v>
      </c>
      <c r="M203" t="str">
        <f>REPLACE(Transactions!M203,1,4,"")</f>
        <v>5</v>
      </c>
    </row>
    <row r="204" spans="1:13" x14ac:dyDescent="0.2">
      <c r="A204">
        <v>137731</v>
      </c>
      <c r="B204" s="5">
        <v>44970</v>
      </c>
      <c r="C204">
        <v>58076</v>
      </c>
      <c r="D204" t="str">
        <f>PROPER(Transactions!D204)</f>
        <v>Electronics</v>
      </c>
      <c r="E204" t="s">
        <v>186</v>
      </c>
      <c r="F204" t="s">
        <v>187</v>
      </c>
      <c r="G204">
        <v>2</v>
      </c>
      <c r="H204">
        <v>37.49</v>
      </c>
      <c r="I204" s="7">
        <f>IF(Transactions!I204="",0,Transactions!I204)</f>
        <v>0.25</v>
      </c>
      <c r="J204" s="9">
        <f t="shared" si="3"/>
        <v>56.234999999999999</v>
      </c>
      <c r="K204" t="s">
        <v>36</v>
      </c>
      <c r="L204" t="s">
        <v>17</v>
      </c>
      <c r="M204" t="str">
        <f>REPLACE(Transactions!M204,1,4,"")</f>
        <v>5</v>
      </c>
    </row>
    <row r="205" spans="1:13" x14ac:dyDescent="0.2">
      <c r="A205">
        <v>137883</v>
      </c>
      <c r="B205" s="5">
        <v>44983</v>
      </c>
      <c r="C205">
        <v>65150</v>
      </c>
      <c r="D205" t="str">
        <f>PROPER(Transactions!D205)</f>
        <v>Pharmacy</v>
      </c>
      <c r="E205" t="s">
        <v>20</v>
      </c>
      <c r="F205" t="s">
        <v>21</v>
      </c>
      <c r="G205">
        <v>4</v>
      </c>
      <c r="H205">
        <v>9.99</v>
      </c>
      <c r="I205" s="7">
        <f>IF(Transactions!I205="",0,Transactions!I205)</f>
        <v>0</v>
      </c>
      <c r="J205" s="9">
        <f t="shared" si="3"/>
        <v>39.96</v>
      </c>
      <c r="K205" t="s">
        <v>16</v>
      </c>
      <c r="L205" t="s">
        <v>17</v>
      </c>
      <c r="M205" t="str">
        <f>REPLACE(Transactions!M205,1,4,"")</f>
        <v>16</v>
      </c>
    </row>
    <row r="206" spans="1:13" x14ac:dyDescent="0.2">
      <c r="A206">
        <v>138042</v>
      </c>
      <c r="B206" s="5">
        <v>44911</v>
      </c>
      <c r="C206">
        <v>62235</v>
      </c>
      <c r="D206" t="str">
        <f>PROPER(Transactions!D206)</f>
        <v>Toys</v>
      </c>
      <c r="E206" t="s">
        <v>38</v>
      </c>
      <c r="F206" t="s">
        <v>39</v>
      </c>
      <c r="G206">
        <v>4</v>
      </c>
      <c r="H206">
        <v>22.49</v>
      </c>
      <c r="I206" s="7">
        <f>IF(Transactions!I206="",0,Transactions!I206)</f>
        <v>0.25</v>
      </c>
      <c r="J206" s="9">
        <f t="shared" si="3"/>
        <v>67.47</v>
      </c>
      <c r="K206" t="s">
        <v>36</v>
      </c>
      <c r="L206" t="s">
        <v>23</v>
      </c>
      <c r="M206" t="str">
        <f>REPLACE(Transactions!M206,1,4,"")</f>
        <v>13</v>
      </c>
    </row>
    <row r="207" spans="1:13" x14ac:dyDescent="0.2">
      <c r="A207">
        <v>138768</v>
      </c>
      <c r="B207" s="5">
        <v>44966</v>
      </c>
      <c r="C207">
        <v>19684</v>
      </c>
      <c r="D207" t="str">
        <f>PROPER(Transactions!D207)</f>
        <v>Sports</v>
      </c>
      <c r="E207" t="s">
        <v>168</v>
      </c>
      <c r="F207" t="s">
        <v>169</v>
      </c>
      <c r="G207">
        <v>4</v>
      </c>
      <c r="H207">
        <v>8.5399999999999991</v>
      </c>
      <c r="I207" s="7">
        <f>IF(Transactions!I207="",0,Transactions!I207)</f>
        <v>0.05</v>
      </c>
      <c r="J207" s="9">
        <f t="shared" si="3"/>
        <v>32.451999999999998</v>
      </c>
      <c r="K207" t="s">
        <v>95</v>
      </c>
      <c r="L207" t="s">
        <v>17</v>
      </c>
      <c r="M207" t="str">
        <f>REPLACE(Transactions!M207,1,4,"")</f>
        <v>17</v>
      </c>
    </row>
    <row r="208" spans="1:13" x14ac:dyDescent="0.2">
      <c r="A208">
        <v>138926</v>
      </c>
      <c r="B208" s="5">
        <v>44739</v>
      </c>
      <c r="C208">
        <v>89269</v>
      </c>
      <c r="D208" t="str">
        <f>PROPER(Transactions!D208)</f>
        <v>Furniture</v>
      </c>
      <c r="E208" t="s">
        <v>113</v>
      </c>
      <c r="F208" t="s">
        <v>114</v>
      </c>
      <c r="G208">
        <v>2</v>
      </c>
      <c r="H208">
        <v>119.99</v>
      </c>
      <c r="I208" s="7">
        <f>IF(Transactions!I208="",0,Transactions!I208)</f>
        <v>0</v>
      </c>
      <c r="J208" s="9">
        <f t="shared" si="3"/>
        <v>239.98</v>
      </c>
      <c r="K208" t="s">
        <v>22</v>
      </c>
      <c r="L208" t="s">
        <v>37</v>
      </c>
      <c r="M208" t="str">
        <f>REPLACE(Transactions!M208,1,4,"")</f>
        <v>10</v>
      </c>
    </row>
    <row r="209" spans="1:13" x14ac:dyDescent="0.2">
      <c r="A209">
        <v>139409</v>
      </c>
      <c r="B209" s="5">
        <v>44744</v>
      </c>
      <c r="C209">
        <v>16974</v>
      </c>
      <c r="D209" t="str">
        <f>PROPER(Transactions!D209)</f>
        <v>Automotive</v>
      </c>
      <c r="E209" t="s">
        <v>68</v>
      </c>
      <c r="F209" t="s">
        <v>69</v>
      </c>
      <c r="G209">
        <v>3</v>
      </c>
      <c r="H209">
        <v>21.24</v>
      </c>
      <c r="I209" s="7">
        <f>IF(Transactions!I209="",0,Transactions!I209)</f>
        <v>0.15</v>
      </c>
      <c r="J209" s="9">
        <f t="shared" si="3"/>
        <v>54.161999999999999</v>
      </c>
      <c r="K209" t="s">
        <v>36</v>
      </c>
      <c r="L209" t="s">
        <v>17</v>
      </c>
      <c r="M209" t="str">
        <f>REPLACE(Transactions!M209,1,4,"")</f>
        <v>9</v>
      </c>
    </row>
    <row r="210" spans="1:13" x14ac:dyDescent="0.2">
      <c r="A210">
        <v>139548</v>
      </c>
      <c r="B210" s="5">
        <v>44745</v>
      </c>
      <c r="C210">
        <v>40775</v>
      </c>
      <c r="D210" t="str">
        <f>PROPER(Transactions!D210)</f>
        <v>Home &amp; Garden</v>
      </c>
      <c r="E210" t="s">
        <v>157</v>
      </c>
      <c r="F210" t="s">
        <v>158</v>
      </c>
      <c r="G210">
        <v>1</v>
      </c>
      <c r="H210">
        <v>13.49</v>
      </c>
      <c r="I210" s="7">
        <f>IF(Transactions!I210="",0,Transactions!I210)</f>
        <v>0</v>
      </c>
      <c r="J210" s="9">
        <f t="shared" si="3"/>
        <v>13.49</v>
      </c>
      <c r="K210" t="s">
        <v>36</v>
      </c>
      <c r="L210" t="s">
        <v>17</v>
      </c>
      <c r="M210" t="str">
        <f>REPLACE(Transactions!M210,1,4,"")</f>
        <v>20</v>
      </c>
    </row>
    <row r="211" spans="1:13" x14ac:dyDescent="0.2">
      <c r="A211">
        <v>139607</v>
      </c>
      <c r="B211" s="5">
        <v>45644</v>
      </c>
      <c r="C211">
        <v>96363</v>
      </c>
      <c r="D211" t="str">
        <f>PROPER(Transactions!D211)</f>
        <v>Furniture</v>
      </c>
      <c r="E211" t="s">
        <v>51</v>
      </c>
      <c r="F211" t="s">
        <v>52</v>
      </c>
      <c r="G211">
        <v>5</v>
      </c>
      <c r="H211">
        <v>22.39</v>
      </c>
      <c r="I211" s="7">
        <f>IF(Transactions!I211="",0,Transactions!I211)</f>
        <v>0.2</v>
      </c>
      <c r="J211" s="9">
        <f t="shared" si="3"/>
        <v>89.56</v>
      </c>
      <c r="K211" t="s">
        <v>16</v>
      </c>
      <c r="L211" t="s">
        <v>37</v>
      </c>
      <c r="M211" t="str">
        <f>REPLACE(Transactions!M211,1,4,"")</f>
        <v>12</v>
      </c>
    </row>
    <row r="212" spans="1:13" x14ac:dyDescent="0.2">
      <c r="A212">
        <v>139619</v>
      </c>
      <c r="B212" s="5">
        <v>44884</v>
      </c>
      <c r="C212">
        <v>27763</v>
      </c>
      <c r="D212" t="str">
        <f>PROPER(Transactions!D212)</f>
        <v>Toys</v>
      </c>
      <c r="E212" t="s">
        <v>175</v>
      </c>
      <c r="F212" t="s">
        <v>176</v>
      </c>
      <c r="G212">
        <v>4</v>
      </c>
      <c r="H212">
        <v>10.79</v>
      </c>
      <c r="I212" s="7">
        <f>IF(Transactions!I212="",0,Transactions!I212)</f>
        <v>0.1</v>
      </c>
      <c r="J212" s="9">
        <f t="shared" si="3"/>
        <v>38.844000000000001</v>
      </c>
      <c r="K212" t="s">
        <v>95</v>
      </c>
      <c r="L212" t="s">
        <v>37</v>
      </c>
      <c r="M212" t="str">
        <f>REPLACE(Transactions!M212,1,4,"")</f>
        <v>1</v>
      </c>
    </row>
    <row r="213" spans="1:13" x14ac:dyDescent="0.2">
      <c r="A213">
        <v>139824</v>
      </c>
      <c r="B213" s="5">
        <v>45213</v>
      </c>
      <c r="C213">
        <v>62266</v>
      </c>
      <c r="D213" t="str">
        <f>PROPER(Transactions!D213)</f>
        <v>Beauty</v>
      </c>
      <c r="E213" t="s">
        <v>118</v>
      </c>
      <c r="F213" t="s">
        <v>119</v>
      </c>
      <c r="G213">
        <v>5</v>
      </c>
      <c r="H213">
        <v>3.49</v>
      </c>
      <c r="I213" s="7">
        <f>IF(Transactions!I213="",0,Transactions!I213)</f>
        <v>0.3</v>
      </c>
      <c r="J213" s="9">
        <f t="shared" si="3"/>
        <v>12.215000000000002</v>
      </c>
      <c r="K213" t="s">
        <v>36</v>
      </c>
      <c r="L213" t="s">
        <v>17</v>
      </c>
      <c r="M213" t="str">
        <f>REPLACE(Transactions!M213,1,4,"")</f>
        <v>10</v>
      </c>
    </row>
    <row r="214" spans="1:13" x14ac:dyDescent="0.2">
      <c r="A214">
        <v>139989</v>
      </c>
      <c r="B214" s="5">
        <v>45078</v>
      </c>
      <c r="C214">
        <v>69535</v>
      </c>
      <c r="D214" t="str">
        <f>PROPER(Transactions!D214)</f>
        <v>Grocery</v>
      </c>
      <c r="E214" t="s">
        <v>172</v>
      </c>
      <c r="F214" t="s">
        <v>173</v>
      </c>
      <c r="G214">
        <v>2</v>
      </c>
      <c r="H214">
        <v>4.04</v>
      </c>
      <c r="I214" s="7">
        <f>IF(Transactions!I214="",0,Transactions!I214)</f>
        <v>0.1</v>
      </c>
      <c r="J214" s="9">
        <f t="shared" si="3"/>
        <v>7.2720000000000002</v>
      </c>
      <c r="K214" t="s">
        <v>16</v>
      </c>
      <c r="L214" t="s">
        <v>37</v>
      </c>
      <c r="M214" t="str">
        <f>REPLACE(Transactions!M214,1,4,"")</f>
        <v>18</v>
      </c>
    </row>
    <row r="215" spans="1:13" x14ac:dyDescent="0.2">
      <c r="A215">
        <v>140031</v>
      </c>
      <c r="B215" s="5">
        <v>45276</v>
      </c>
      <c r="C215">
        <v>42126</v>
      </c>
      <c r="D215" t="str">
        <f>PROPER(Transactions!D215)</f>
        <v>Sports</v>
      </c>
      <c r="E215" t="s">
        <v>188</v>
      </c>
      <c r="F215" t="s">
        <v>189</v>
      </c>
      <c r="G215">
        <v>1</v>
      </c>
      <c r="H215">
        <v>38.24</v>
      </c>
      <c r="I215" s="7">
        <f>IF(Transactions!I215="",0,Transactions!I215)</f>
        <v>0.15</v>
      </c>
      <c r="J215" s="9">
        <f t="shared" si="3"/>
        <v>32.503999999999998</v>
      </c>
      <c r="K215" t="s">
        <v>22</v>
      </c>
      <c r="L215" t="s">
        <v>17</v>
      </c>
      <c r="M215" t="str">
        <f>REPLACE(Transactions!M215,1,4,"")</f>
        <v>9</v>
      </c>
    </row>
    <row r="216" spans="1:13" x14ac:dyDescent="0.2">
      <c r="A216">
        <v>140132</v>
      </c>
      <c r="B216" s="5">
        <v>45508</v>
      </c>
      <c r="C216">
        <v>53660</v>
      </c>
      <c r="D216" t="str">
        <f>PROPER(Transactions!D216)</f>
        <v>Electronics</v>
      </c>
      <c r="E216" t="s">
        <v>159</v>
      </c>
      <c r="F216" t="s">
        <v>160</v>
      </c>
      <c r="G216">
        <v>4</v>
      </c>
      <c r="H216">
        <v>44.99</v>
      </c>
      <c r="I216" s="7">
        <f>IF(Transactions!I216="",0,Transactions!I216)</f>
        <v>0.25</v>
      </c>
      <c r="J216" s="9">
        <f t="shared" si="3"/>
        <v>134.97</v>
      </c>
      <c r="K216" t="s">
        <v>36</v>
      </c>
      <c r="L216" t="s">
        <v>37</v>
      </c>
      <c r="M216" t="str">
        <f>REPLACE(Transactions!M216,1,4,"")</f>
        <v>12</v>
      </c>
    </row>
    <row r="217" spans="1:13" x14ac:dyDescent="0.2">
      <c r="A217">
        <v>140380</v>
      </c>
      <c r="B217" s="5">
        <v>44906</v>
      </c>
      <c r="C217">
        <v>29356</v>
      </c>
      <c r="D217" t="str">
        <f>PROPER(Transactions!D217)</f>
        <v>Clothing</v>
      </c>
      <c r="E217" t="s">
        <v>181</v>
      </c>
      <c r="F217" t="s">
        <v>182</v>
      </c>
      <c r="G217">
        <v>2</v>
      </c>
      <c r="H217">
        <v>14.99</v>
      </c>
      <c r="I217" s="7">
        <f>IF(Transactions!I217="",0,Transactions!I217)</f>
        <v>0</v>
      </c>
      <c r="J217" s="9">
        <f t="shared" si="3"/>
        <v>29.98</v>
      </c>
      <c r="K217" t="s">
        <v>95</v>
      </c>
      <c r="L217" t="s">
        <v>17</v>
      </c>
      <c r="M217" t="str">
        <f>REPLACE(Transactions!M217,1,4,"")</f>
        <v>9</v>
      </c>
    </row>
    <row r="218" spans="1:13" x14ac:dyDescent="0.2">
      <c r="A218">
        <v>140675</v>
      </c>
      <c r="B218" s="5">
        <v>44907</v>
      </c>
      <c r="C218">
        <v>56842</v>
      </c>
      <c r="D218" t="str">
        <f>PROPER(Transactions!D218)</f>
        <v>Automotive</v>
      </c>
      <c r="E218" t="s">
        <v>131</v>
      </c>
      <c r="F218" t="s">
        <v>132</v>
      </c>
      <c r="G218">
        <v>2</v>
      </c>
      <c r="H218">
        <v>2.79</v>
      </c>
      <c r="I218" s="7">
        <f>IF(Transactions!I218="",0,Transactions!I218)</f>
        <v>0.2</v>
      </c>
      <c r="J218" s="9">
        <f t="shared" si="3"/>
        <v>4.4640000000000004</v>
      </c>
      <c r="K218" t="s">
        <v>22</v>
      </c>
      <c r="L218" t="s">
        <v>17</v>
      </c>
      <c r="M218" t="str">
        <f>REPLACE(Transactions!M218,1,4,"")</f>
        <v>13</v>
      </c>
    </row>
    <row r="219" spans="1:13" x14ac:dyDescent="0.2">
      <c r="A219">
        <v>140963</v>
      </c>
      <c r="B219" s="5">
        <v>45089</v>
      </c>
      <c r="C219">
        <v>80490</v>
      </c>
      <c r="D219" t="str">
        <f>PROPER(Transactions!D219)</f>
        <v>Beauty</v>
      </c>
      <c r="E219" t="s">
        <v>139</v>
      </c>
      <c r="F219" t="s">
        <v>140</v>
      </c>
      <c r="G219">
        <v>2</v>
      </c>
      <c r="H219">
        <v>5.59</v>
      </c>
      <c r="I219" s="7">
        <f>IF(Transactions!I219="",0,Transactions!I219)</f>
        <v>0.3</v>
      </c>
      <c r="J219" s="9">
        <f t="shared" si="3"/>
        <v>7.8259999999999996</v>
      </c>
      <c r="K219" t="s">
        <v>36</v>
      </c>
      <c r="L219" t="s">
        <v>17</v>
      </c>
      <c r="M219" t="str">
        <f>REPLACE(Transactions!M219,1,4,"")</f>
        <v>17</v>
      </c>
    </row>
    <row r="220" spans="1:13" x14ac:dyDescent="0.2">
      <c r="A220">
        <v>141124</v>
      </c>
      <c r="B220" s="5">
        <v>44608</v>
      </c>
      <c r="C220">
        <v>91089</v>
      </c>
      <c r="D220" t="str">
        <f>PROPER(Transactions!D220)</f>
        <v>Electronics</v>
      </c>
      <c r="E220" t="s">
        <v>127</v>
      </c>
      <c r="F220" t="s">
        <v>128</v>
      </c>
      <c r="G220">
        <v>5</v>
      </c>
      <c r="H220">
        <v>19.989999999999998</v>
      </c>
      <c r="I220" s="7">
        <f>IF(Transactions!I220="",0,Transactions!I220)</f>
        <v>0</v>
      </c>
      <c r="J220" s="9">
        <f t="shared" si="3"/>
        <v>99.949999999999989</v>
      </c>
      <c r="K220" t="s">
        <v>16</v>
      </c>
      <c r="L220" t="s">
        <v>17</v>
      </c>
      <c r="M220" t="str">
        <f>REPLACE(Transactions!M220,1,4,"")</f>
        <v>6</v>
      </c>
    </row>
    <row r="221" spans="1:13" x14ac:dyDescent="0.2">
      <c r="A221">
        <v>141319</v>
      </c>
      <c r="B221" s="5">
        <v>45295</v>
      </c>
      <c r="C221">
        <v>73001</v>
      </c>
      <c r="D221" t="str">
        <f>PROPER(Transactions!D221)</f>
        <v>Toys</v>
      </c>
      <c r="E221" t="s">
        <v>175</v>
      </c>
      <c r="F221" t="s">
        <v>176</v>
      </c>
      <c r="G221">
        <v>1</v>
      </c>
      <c r="H221">
        <v>9.59</v>
      </c>
      <c r="I221" s="7">
        <f>IF(Transactions!I221="",0,Transactions!I221)</f>
        <v>0.2</v>
      </c>
      <c r="J221" s="9">
        <f t="shared" si="3"/>
        <v>7.6720000000000006</v>
      </c>
      <c r="K221" t="s">
        <v>22</v>
      </c>
      <c r="L221" t="s">
        <v>23</v>
      </c>
      <c r="M221" t="str">
        <f>REPLACE(Transactions!M221,1,4,"")</f>
        <v>4</v>
      </c>
    </row>
    <row r="222" spans="1:13" x14ac:dyDescent="0.2">
      <c r="A222">
        <v>141438</v>
      </c>
      <c r="B222" s="5">
        <v>45276</v>
      </c>
      <c r="C222">
        <v>40493</v>
      </c>
      <c r="D222" t="str">
        <f>PROPER(Transactions!D222)</f>
        <v>Grocery</v>
      </c>
      <c r="E222" t="s">
        <v>45</v>
      </c>
      <c r="F222" t="s">
        <v>46</v>
      </c>
      <c r="G222">
        <v>4</v>
      </c>
      <c r="H222">
        <v>1.61</v>
      </c>
      <c r="I222" s="7">
        <f>IF(Transactions!I222="",0,Transactions!I222)</f>
        <v>0.1</v>
      </c>
      <c r="J222" s="9">
        <f t="shared" si="3"/>
        <v>5.7960000000000003</v>
      </c>
      <c r="K222" t="s">
        <v>32</v>
      </c>
      <c r="L222" t="s">
        <v>17</v>
      </c>
      <c r="M222" t="str">
        <f>REPLACE(Transactions!M222,1,4,"")</f>
        <v>8</v>
      </c>
    </row>
    <row r="223" spans="1:13" x14ac:dyDescent="0.2">
      <c r="A223">
        <v>141573</v>
      </c>
      <c r="B223" s="5">
        <v>44640</v>
      </c>
      <c r="C223">
        <v>77720</v>
      </c>
      <c r="D223" t="str">
        <f>PROPER(Transactions!D223)</f>
        <v>Home &amp; Garden</v>
      </c>
      <c r="E223" t="s">
        <v>149</v>
      </c>
      <c r="F223" t="s">
        <v>150</v>
      </c>
      <c r="G223">
        <v>1</v>
      </c>
      <c r="H223">
        <v>19.989999999999998</v>
      </c>
      <c r="I223" s="7">
        <f>IF(Transactions!I223="",0,Transactions!I223)</f>
        <v>0</v>
      </c>
      <c r="J223" s="9">
        <f t="shared" si="3"/>
        <v>19.989999999999998</v>
      </c>
      <c r="K223" t="s">
        <v>95</v>
      </c>
      <c r="L223" t="s">
        <v>17</v>
      </c>
      <c r="M223" t="str">
        <f>REPLACE(Transactions!M223,1,4,"")</f>
        <v>11</v>
      </c>
    </row>
    <row r="224" spans="1:13" x14ac:dyDescent="0.2">
      <c r="A224">
        <v>141595</v>
      </c>
      <c r="B224" s="5">
        <v>45191</v>
      </c>
      <c r="C224">
        <v>86027</v>
      </c>
      <c r="D224" t="str">
        <f>PROPER(Transactions!D224)</f>
        <v>Furniture</v>
      </c>
      <c r="E224" t="s">
        <v>60</v>
      </c>
      <c r="F224" t="s">
        <v>61</v>
      </c>
      <c r="G224">
        <v>2</v>
      </c>
      <c r="H224">
        <v>43.99</v>
      </c>
      <c r="I224" s="7">
        <f>IF(Transactions!I224="",0,Transactions!I224)</f>
        <v>0.2</v>
      </c>
      <c r="J224" s="9">
        <f t="shared" si="3"/>
        <v>70.384</v>
      </c>
      <c r="K224" t="s">
        <v>66</v>
      </c>
      <c r="L224" t="s">
        <v>17</v>
      </c>
      <c r="M224" t="str">
        <f>REPLACE(Transactions!M224,1,4,"")</f>
        <v>7</v>
      </c>
    </row>
    <row r="225" spans="1:13" x14ac:dyDescent="0.2">
      <c r="A225">
        <v>141675</v>
      </c>
      <c r="B225" s="5">
        <v>44907</v>
      </c>
      <c r="C225">
        <v>10873</v>
      </c>
      <c r="D225" t="str">
        <f>PROPER(Transactions!D225)</f>
        <v>Home &amp; Garden</v>
      </c>
      <c r="E225" t="s">
        <v>145</v>
      </c>
      <c r="F225" t="s">
        <v>146</v>
      </c>
      <c r="G225">
        <v>2</v>
      </c>
      <c r="H225">
        <v>16.989999999999998</v>
      </c>
      <c r="I225" s="7">
        <f>IF(Transactions!I225="",0,Transactions!I225)</f>
        <v>0</v>
      </c>
      <c r="J225" s="9">
        <f t="shared" si="3"/>
        <v>33.979999999999997</v>
      </c>
      <c r="K225" t="s">
        <v>22</v>
      </c>
      <c r="L225" t="s">
        <v>17</v>
      </c>
      <c r="M225" t="str">
        <f>REPLACE(Transactions!M225,1,4,"")</f>
        <v>5</v>
      </c>
    </row>
    <row r="226" spans="1:13" x14ac:dyDescent="0.2">
      <c r="A226">
        <v>141902</v>
      </c>
      <c r="B226" s="5">
        <v>44925</v>
      </c>
      <c r="C226">
        <v>96624</v>
      </c>
      <c r="D226" t="str">
        <f>PROPER(Transactions!D226)</f>
        <v>Automotive</v>
      </c>
      <c r="E226" t="s">
        <v>111</v>
      </c>
      <c r="F226" t="s">
        <v>112</v>
      </c>
      <c r="G226">
        <v>5</v>
      </c>
      <c r="H226">
        <v>12.74</v>
      </c>
      <c r="I226" s="7">
        <f>IF(Transactions!I226="",0,Transactions!I226)</f>
        <v>0.15</v>
      </c>
      <c r="J226" s="9">
        <f t="shared" si="3"/>
        <v>54.145000000000003</v>
      </c>
      <c r="K226" t="s">
        <v>22</v>
      </c>
      <c r="L226" t="s">
        <v>17</v>
      </c>
      <c r="M226" t="str">
        <f>REPLACE(Transactions!M226,1,4,"")</f>
        <v>7</v>
      </c>
    </row>
    <row r="227" spans="1:13" x14ac:dyDescent="0.2">
      <c r="A227">
        <v>141930</v>
      </c>
      <c r="B227" s="5">
        <v>45579</v>
      </c>
      <c r="C227">
        <v>54628</v>
      </c>
      <c r="D227" t="str">
        <f>PROPER(Transactions!D227)</f>
        <v>Electronics</v>
      </c>
      <c r="E227" t="s">
        <v>77</v>
      </c>
      <c r="F227" t="s">
        <v>78</v>
      </c>
      <c r="G227">
        <v>3</v>
      </c>
      <c r="H227">
        <v>349.99</v>
      </c>
      <c r="I227" s="7">
        <f>IF(Transactions!I227="",0,Transactions!I227)</f>
        <v>0.3</v>
      </c>
      <c r="J227" s="9">
        <f t="shared" si="3"/>
        <v>734.97899999999993</v>
      </c>
      <c r="K227" t="s">
        <v>16</v>
      </c>
      <c r="L227" t="s">
        <v>37</v>
      </c>
      <c r="M227" t="str">
        <f>REPLACE(Transactions!M227,1,4,"")</f>
        <v>19</v>
      </c>
    </row>
    <row r="228" spans="1:13" x14ac:dyDescent="0.2">
      <c r="A228">
        <v>141980</v>
      </c>
      <c r="B228" s="5">
        <v>45363</v>
      </c>
      <c r="C228">
        <v>82372</v>
      </c>
      <c r="D228" t="str">
        <f>PROPER(Transactions!D228)</f>
        <v>Toys</v>
      </c>
      <c r="E228" t="s">
        <v>88</v>
      </c>
      <c r="F228" t="s">
        <v>89</v>
      </c>
      <c r="G228">
        <v>2</v>
      </c>
      <c r="H228">
        <v>34.99</v>
      </c>
      <c r="I228" s="7">
        <f>IF(Transactions!I228="",0,Transactions!I228)</f>
        <v>0.3</v>
      </c>
      <c r="J228" s="9">
        <f t="shared" si="3"/>
        <v>48.985999999999997</v>
      </c>
      <c r="K228" t="s">
        <v>36</v>
      </c>
      <c r="L228" t="s">
        <v>37</v>
      </c>
      <c r="M228" t="str">
        <f>REPLACE(Transactions!M228,1,4,"")</f>
        <v>3</v>
      </c>
    </row>
    <row r="229" spans="1:13" x14ac:dyDescent="0.2">
      <c r="A229">
        <v>142040</v>
      </c>
      <c r="B229" s="5">
        <v>44669</v>
      </c>
      <c r="C229">
        <v>93989</v>
      </c>
      <c r="D229" t="str">
        <f>PROPER(Transactions!D229)</f>
        <v>Pharmacy</v>
      </c>
      <c r="E229" t="s">
        <v>58</v>
      </c>
      <c r="F229" t="s">
        <v>59</v>
      </c>
      <c r="G229">
        <v>3</v>
      </c>
      <c r="H229">
        <v>3.59</v>
      </c>
      <c r="I229" s="7">
        <f>IF(Transactions!I229="",0,Transactions!I229)</f>
        <v>0.1</v>
      </c>
      <c r="J229" s="9">
        <f t="shared" si="3"/>
        <v>9.6929999999999996</v>
      </c>
      <c r="K229" t="s">
        <v>22</v>
      </c>
      <c r="L229" t="s">
        <v>17</v>
      </c>
      <c r="M229" t="str">
        <f>REPLACE(Transactions!M229,1,4,"")</f>
        <v>19</v>
      </c>
    </row>
    <row r="230" spans="1:13" x14ac:dyDescent="0.2">
      <c r="A230">
        <v>142070</v>
      </c>
      <c r="B230" s="5">
        <v>45551</v>
      </c>
      <c r="C230">
        <v>10550</v>
      </c>
      <c r="D230" t="str">
        <f>PROPER(Transactions!D230)</f>
        <v>Toys</v>
      </c>
      <c r="E230" t="s">
        <v>30</v>
      </c>
      <c r="F230" t="s">
        <v>31</v>
      </c>
      <c r="G230">
        <v>4</v>
      </c>
      <c r="H230">
        <v>18.739999999999998</v>
      </c>
      <c r="I230" s="7">
        <f>IF(Transactions!I230="",0,Transactions!I230)</f>
        <v>0.25</v>
      </c>
      <c r="J230" s="9">
        <f t="shared" si="3"/>
        <v>56.22</v>
      </c>
      <c r="K230" t="s">
        <v>16</v>
      </c>
      <c r="L230" t="s">
        <v>17</v>
      </c>
      <c r="M230" t="str">
        <f>REPLACE(Transactions!M230,1,4,"")</f>
        <v>17</v>
      </c>
    </row>
    <row r="231" spans="1:13" x14ac:dyDescent="0.2">
      <c r="A231">
        <v>142301</v>
      </c>
      <c r="B231" s="5">
        <v>45636</v>
      </c>
      <c r="C231">
        <v>79181</v>
      </c>
      <c r="D231" t="str">
        <f>PROPER(Transactions!D231)</f>
        <v>Grocery</v>
      </c>
      <c r="E231" t="s">
        <v>107</v>
      </c>
      <c r="F231" t="s">
        <v>108</v>
      </c>
      <c r="G231">
        <v>1</v>
      </c>
      <c r="H231">
        <v>3.14</v>
      </c>
      <c r="I231" s="7">
        <f>IF(Transactions!I231="",0,Transactions!I231)</f>
        <v>0.1</v>
      </c>
      <c r="J231" s="9">
        <f t="shared" si="3"/>
        <v>2.8260000000000001</v>
      </c>
      <c r="K231" t="s">
        <v>36</v>
      </c>
      <c r="L231" t="s">
        <v>17</v>
      </c>
      <c r="M231" t="str">
        <f>REPLACE(Transactions!M231,1,4,"")</f>
        <v>17</v>
      </c>
    </row>
    <row r="232" spans="1:13" x14ac:dyDescent="0.2">
      <c r="A232">
        <v>142417</v>
      </c>
      <c r="B232" s="5">
        <v>45472</v>
      </c>
      <c r="D232" t="str">
        <f>PROPER(Transactions!D232)</f>
        <v>Sports</v>
      </c>
      <c r="E232" t="s">
        <v>155</v>
      </c>
      <c r="F232" t="s">
        <v>156</v>
      </c>
      <c r="G232">
        <v>2</v>
      </c>
      <c r="H232">
        <v>19.989999999999998</v>
      </c>
      <c r="I232" s="7">
        <f>IF(Transactions!I232="",0,Transactions!I232)</f>
        <v>0</v>
      </c>
      <c r="J232" s="9">
        <f t="shared" si="3"/>
        <v>39.979999999999997</v>
      </c>
      <c r="K232" t="s">
        <v>36</v>
      </c>
      <c r="L232" t="s">
        <v>23</v>
      </c>
      <c r="M232" t="str">
        <f>REPLACE(Transactions!M232,1,4,"")</f>
        <v>5</v>
      </c>
    </row>
    <row r="233" spans="1:13" x14ac:dyDescent="0.2">
      <c r="A233">
        <v>142581</v>
      </c>
      <c r="B233" s="5">
        <v>45301</v>
      </c>
      <c r="C233">
        <v>69892</v>
      </c>
      <c r="D233" t="str">
        <f>PROPER(Transactions!D233)</f>
        <v>Clothing</v>
      </c>
      <c r="E233" t="s">
        <v>141</v>
      </c>
      <c r="F233" t="s">
        <v>142</v>
      </c>
      <c r="G233">
        <v>2</v>
      </c>
      <c r="H233">
        <v>20.69</v>
      </c>
      <c r="I233" s="7">
        <f>IF(Transactions!I233="",0,Transactions!I233)</f>
        <v>0.1</v>
      </c>
      <c r="J233" s="9">
        <f t="shared" si="3"/>
        <v>37.242000000000004</v>
      </c>
      <c r="K233" t="s">
        <v>36</v>
      </c>
      <c r="L233" t="s">
        <v>17</v>
      </c>
      <c r="M233" t="str">
        <f>REPLACE(Transactions!M233,1,4,"")</f>
        <v>4</v>
      </c>
    </row>
    <row r="234" spans="1:13" x14ac:dyDescent="0.2">
      <c r="A234">
        <v>143018</v>
      </c>
      <c r="B234" s="5">
        <v>44671</v>
      </c>
      <c r="C234">
        <v>17188</v>
      </c>
      <c r="D234" t="str">
        <f>PROPER(Transactions!D234)</f>
        <v>Sports</v>
      </c>
      <c r="E234" t="s">
        <v>100</v>
      </c>
      <c r="F234" t="s">
        <v>101</v>
      </c>
      <c r="G234">
        <v>4</v>
      </c>
      <c r="H234">
        <v>21.84</v>
      </c>
      <c r="I234" s="7">
        <f>IF(Transactions!I234="",0,Transactions!I234)</f>
        <v>0.05</v>
      </c>
      <c r="J234" s="9">
        <f t="shared" si="3"/>
        <v>82.99199999999999</v>
      </c>
      <c r="K234" t="s">
        <v>22</v>
      </c>
      <c r="L234" t="s">
        <v>37</v>
      </c>
      <c r="M234" t="str">
        <f>REPLACE(Transactions!M234,1,4,"")</f>
        <v>10</v>
      </c>
    </row>
    <row r="235" spans="1:13" x14ac:dyDescent="0.2">
      <c r="A235">
        <v>143096</v>
      </c>
      <c r="B235" s="5">
        <v>45416</v>
      </c>
      <c r="C235">
        <v>26116</v>
      </c>
      <c r="D235" t="str">
        <f>PROPER(Transactions!D235)</f>
        <v>Sports</v>
      </c>
      <c r="E235" t="s">
        <v>83</v>
      </c>
      <c r="F235" t="s">
        <v>84</v>
      </c>
      <c r="G235">
        <v>1</v>
      </c>
      <c r="H235">
        <v>15.29</v>
      </c>
      <c r="I235" s="7">
        <f>IF(Transactions!I235="",0,Transactions!I235)</f>
        <v>0.1</v>
      </c>
      <c r="J235" s="9">
        <f t="shared" si="3"/>
        <v>13.760999999999999</v>
      </c>
      <c r="K235" t="s">
        <v>32</v>
      </c>
      <c r="L235" t="s">
        <v>37</v>
      </c>
      <c r="M235" t="str">
        <f>REPLACE(Transactions!M235,1,4,"")</f>
        <v/>
      </c>
    </row>
    <row r="236" spans="1:13" x14ac:dyDescent="0.2">
      <c r="A236">
        <v>143150</v>
      </c>
      <c r="B236" s="5">
        <v>44876</v>
      </c>
      <c r="C236">
        <v>58453</v>
      </c>
      <c r="D236" t="str">
        <f>PROPER(Transactions!D236)</f>
        <v>Grocery</v>
      </c>
      <c r="E236" t="s">
        <v>190</v>
      </c>
      <c r="F236" t="s">
        <v>191</v>
      </c>
      <c r="G236">
        <v>1</v>
      </c>
      <c r="H236">
        <v>4.29</v>
      </c>
      <c r="I236" s="7">
        <f>IF(Transactions!I236="",0,Transactions!I236)</f>
        <v>0</v>
      </c>
      <c r="J236" s="9">
        <f t="shared" si="3"/>
        <v>4.29</v>
      </c>
      <c r="K236" t="s">
        <v>36</v>
      </c>
      <c r="L236" t="s">
        <v>17</v>
      </c>
      <c r="M236" t="str">
        <f>REPLACE(Transactions!M236,1,4,"")</f>
        <v>18</v>
      </c>
    </row>
    <row r="237" spans="1:13" x14ac:dyDescent="0.2">
      <c r="A237">
        <v>143205</v>
      </c>
      <c r="B237" s="5">
        <v>44958</v>
      </c>
      <c r="C237">
        <v>45658</v>
      </c>
      <c r="D237" t="str">
        <f>PROPER(Transactions!D237)</f>
        <v>Furniture</v>
      </c>
      <c r="E237" t="s">
        <v>51</v>
      </c>
      <c r="F237" t="s">
        <v>52</v>
      </c>
      <c r="G237">
        <v>5</v>
      </c>
      <c r="H237">
        <v>23.79</v>
      </c>
      <c r="I237" s="7">
        <f>IF(Transactions!I237="",0,Transactions!I237)</f>
        <v>0.15</v>
      </c>
      <c r="J237" s="9">
        <f t="shared" si="3"/>
        <v>101.10749999999999</v>
      </c>
      <c r="K237" t="s">
        <v>95</v>
      </c>
      <c r="L237" t="s">
        <v>17</v>
      </c>
      <c r="M237" t="str">
        <f>REPLACE(Transactions!M237,1,4,"")</f>
        <v>14</v>
      </c>
    </row>
    <row r="238" spans="1:13" x14ac:dyDescent="0.2">
      <c r="A238">
        <v>143379</v>
      </c>
      <c r="B238" s="5">
        <v>45444</v>
      </c>
      <c r="C238">
        <v>92866</v>
      </c>
      <c r="D238" t="str">
        <f>PROPER(Transactions!D238)</f>
        <v>Toys</v>
      </c>
      <c r="E238" t="s">
        <v>175</v>
      </c>
      <c r="F238" t="s">
        <v>176</v>
      </c>
      <c r="G238">
        <v>2</v>
      </c>
      <c r="H238">
        <v>11.39</v>
      </c>
      <c r="I238" s="7">
        <f>IF(Transactions!I238="",0,Transactions!I238)</f>
        <v>0.05</v>
      </c>
      <c r="J238" s="9">
        <f t="shared" si="3"/>
        <v>21.641000000000002</v>
      </c>
      <c r="K238" t="s">
        <v>16</v>
      </c>
      <c r="L238" t="s">
        <v>17</v>
      </c>
      <c r="M238" t="str">
        <f>REPLACE(Transactions!M238,1,4,"")</f>
        <v>10</v>
      </c>
    </row>
    <row r="239" spans="1:13" x14ac:dyDescent="0.2">
      <c r="A239">
        <v>143461</v>
      </c>
      <c r="B239" s="5">
        <v>44865</v>
      </c>
      <c r="C239">
        <v>63246</v>
      </c>
      <c r="D239" t="str">
        <f>PROPER(Transactions!D239)</f>
        <v>Pharmacy</v>
      </c>
      <c r="E239" t="s">
        <v>41</v>
      </c>
      <c r="F239" t="s">
        <v>42</v>
      </c>
      <c r="G239">
        <v>1</v>
      </c>
      <c r="H239">
        <v>5.09</v>
      </c>
      <c r="I239" s="7">
        <f>IF(Transactions!I239="",0,Transactions!I239)</f>
        <v>0.15</v>
      </c>
      <c r="J239" s="9">
        <f t="shared" si="3"/>
        <v>4.3264999999999993</v>
      </c>
      <c r="K239" t="s">
        <v>22</v>
      </c>
      <c r="L239" t="s">
        <v>17</v>
      </c>
      <c r="M239" t="str">
        <f>REPLACE(Transactions!M239,1,4,"")</f>
        <v>3</v>
      </c>
    </row>
    <row r="240" spans="1:13" x14ac:dyDescent="0.2">
      <c r="A240">
        <v>143663</v>
      </c>
      <c r="B240" s="5">
        <v>44695</v>
      </c>
      <c r="C240">
        <v>60190</v>
      </c>
      <c r="D240" t="str">
        <f>PROPER(Transactions!D240)</f>
        <v>Furniture</v>
      </c>
      <c r="E240" t="s">
        <v>113</v>
      </c>
      <c r="F240" t="s">
        <v>114</v>
      </c>
      <c r="G240">
        <v>1</v>
      </c>
      <c r="H240">
        <v>101.99</v>
      </c>
      <c r="I240" s="7">
        <f>IF(Transactions!I240="",0,Transactions!I240)</f>
        <v>0.15</v>
      </c>
      <c r="J240" s="9">
        <f t="shared" si="3"/>
        <v>86.691499999999991</v>
      </c>
      <c r="K240" t="s">
        <v>22</v>
      </c>
      <c r="L240" t="s">
        <v>17</v>
      </c>
      <c r="M240" t="str">
        <f>REPLACE(Transactions!M240,1,4,"")</f>
        <v>6</v>
      </c>
    </row>
    <row r="241" spans="1:13" x14ac:dyDescent="0.2">
      <c r="A241">
        <v>143692</v>
      </c>
      <c r="B241" s="5">
        <v>45553</v>
      </c>
      <c r="C241">
        <v>81252</v>
      </c>
      <c r="D241" t="str">
        <f>PROPER(Transactions!D241)</f>
        <v>Grocery</v>
      </c>
      <c r="E241" t="s">
        <v>172</v>
      </c>
      <c r="F241" t="s">
        <v>173</v>
      </c>
      <c r="G241">
        <v>1</v>
      </c>
      <c r="H241">
        <v>3.59</v>
      </c>
      <c r="I241" s="7">
        <f>IF(Transactions!I241="",0,Transactions!I241)</f>
        <v>0.2</v>
      </c>
      <c r="J241" s="9">
        <f t="shared" si="3"/>
        <v>2.8719999999999999</v>
      </c>
      <c r="K241" t="s">
        <v>32</v>
      </c>
      <c r="L241" t="s">
        <v>37</v>
      </c>
      <c r="M241" t="str">
        <f>REPLACE(Transactions!M241,1,4,"")</f>
        <v>4</v>
      </c>
    </row>
    <row r="242" spans="1:13" x14ac:dyDescent="0.2">
      <c r="A242">
        <v>143935</v>
      </c>
      <c r="B242" s="5">
        <v>45428</v>
      </c>
      <c r="C242">
        <v>21378</v>
      </c>
      <c r="D242" t="str">
        <f>PROPER(Transactions!D242)</f>
        <v>Automotive</v>
      </c>
      <c r="E242" t="s">
        <v>125</v>
      </c>
      <c r="F242" t="s">
        <v>126</v>
      </c>
      <c r="G242">
        <v>3</v>
      </c>
      <c r="H242">
        <v>20.99</v>
      </c>
      <c r="I242" s="7">
        <f>IF(Transactions!I242="",0,Transactions!I242)</f>
        <v>0.3</v>
      </c>
      <c r="J242" s="9">
        <f t="shared" si="3"/>
        <v>44.078999999999994</v>
      </c>
      <c r="K242" t="s">
        <v>95</v>
      </c>
      <c r="L242" t="s">
        <v>17</v>
      </c>
      <c r="M242" t="str">
        <f>REPLACE(Transactions!M242,1,4,"")</f>
        <v>14</v>
      </c>
    </row>
    <row r="243" spans="1:13" x14ac:dyDescent="0.2">
      <c r="A243">
        <v>144153</v>
      </c>
      <c r="B243" s="5">
        <v>44910</v>
      </c>
      <c r="C243">
        <v>65037</v>
      </c>
      <c r="D243" t="str">
        <f>PROPER(Transactions!D243)</f>
        <v>Pharmacy</v>
      </c>
      <c r="E243" t="s">
        <v>41</v>
      </c>
      <c r="F243" t="s">
        <v>42</v>
      </c>
      <c r="G243">
        <v>3</v>
      </c>
      <c r="H243">
        <v>5.39</v>
      </c>
      <c r="I243" s="7">
        <f>IF(Transactions!I243="",0,Transactions!I243)</f>
        <v>0.1</v>
      </c>
      <c r="J243" s="9">
        <f t="shared" si="3"/>
        <v>14.552999999999999</v>
      </c>
      <c r="K243" t="s">
        <v>16</v>
      </c>
      <c r="L243" t="s">
        <v>37</v>
      </c>
      <c r="M243" t="str">
        <f>REPLACE(Transactions!M243,1,4,"")</f>
        <v>17</v>
      </c>
    </row>
    <row r="244" spans="1:13" x14ac:dyDescent="0.2">
      <c r="A244">
        <v>144224</v>
      </c>
      <c r="B244" s="5">
        <v>44669</v>
      </c>
      <c r="C244">
        <v>28045</v>
      </c>
      <c r="D244" t="str">
        <f>PROPER(Transactions!D244)</f>
        <v>Electronics</v>
      </c>
      <c r="E244" t="s">
        <v>159</v>
      </c>
      <c r="F244" t="s">
        <v>160</v>
      </c>
      <c r="G244">
        <v>2</v>
      </c>
      <c r="H244">
        <v>56.99</v>
      </c>
      <c r="I244" s="7">
        <f>IF(Transactions!I244="",0,Transactions!I244)</f>
        <v>0.05</v>
      </c>
      <c r="J244" s="9">
        <f t="shared" si="3"/>
        <v>108.28099999999999</v>
      </c>
      <c r="K244" t="s">
        <v>16</v>
      </c>
      <c r="L244" t="s">
        <v>17</v>
      </c>
      <c r="M244" t="str">
        <f>REPLACE(Transactions!M244,1,4,"")</f>
        <v>19</v>
      </c>
    </row>
    <row r="245" spans="1:13" x14ac:dyDescent="0.2">
      <c r="A245">
        <v>144280</v>
      </c>
      <c r="B245" s="5">
        <v>45213</v>
      </c>
      <c r="C245">
        <v>22063</v>
      </c>
      <c r="D245" t="str">
        <f>PROPER(Transactions!D245)</f>
        <v>Clothing</v>
      </c>
      <c r="E245" t="s">
        <v>141</v>
      </c>
      <c r="F245" t="s">
        <v>142</v>
      </c>
      <c r="G245">
        <v>1</v>
      </c>
      <c r="H245">
        <v>22.99</v>
      </c>
      <c r="I245" s="7">
        <f>IF(Transactions!I245="",0,Transactions!I245)</f>
        <v>0</v>
      </c>
      <c r="J245" s="9">
        <f t="shared" si="3"/>
        <v>22.99</v>
      </c>
      <c r="K245" t="s">
        <v>95</v>
      </c>
      <c r="L245" t="s">
        <v>37</v>
      </c>
      <c r="M245" t="str">
        <f>REPLACE(Transactions!M245,1,4,"")</f>
        <v>20</v>
      </c>
    </row>
    <row r="246" spans="1:13" x14ac:dyDescent="0.2">
      <c r="A246">
        <v>144351</v>
      </c>
      <c r="B246" s="5">
        <v>44696</v>
      </c>
      <c r="C246">
        <v>87286</v>
      </c>
      <c r="D246" t="str">
        <f>PROPER(Transactions!D246)</f>
        <v>Sports</v>
      </c>
      <c r="E246" t="s">
        <v>188</v>
      </c>
      <c r="F246" t="s">
        <v>189</v>
      </c>
      <c r="G246">
        <v>4</v>
      </c>
      <c r="H246">
        <v>38.24</v>
      </c>
      <c r="I246" s="7">
        <f>IF(Transactions!I246="",0,Transactions!I246)</f>
        <v>0.15</v>
      </c>
      <c r="J246" s="9">
        <f t="shared" si="3"/>
        <v>130.01599999999999</v>
      </c>
      <c r="K246" t="s">
        <v>16</v>
      </c>
      <c r="L246" t="s">
        <v>17</v>
      </c>
      <c r="M246" t="str">
        <f>REPLACE(Transactions!M246,1,4,"")</f>
        <v>13</v>
      </c>
    </row>
    <row r="247" spans="1:13" x14ac:dyDescent="0.2">
      <c r="A247">
        <v>144397</v>
      </c>
      <c r="B247" s="5">
        <v>45556</v>
      </c>
      <c r="C247">
        <v>80545</v>
      </c>
      <c r="D247" t="str">
        <f>PROPER(Transactions!D247)</f>
        <v>Clothing</v>
      </c>
      <c r="E247" t="s">
        <v>193</v>
      </c>
      <c r="F247" t="s">
        <v>194</v>
      </c>
      <c r="G247">
        <v>3</v>
      </c>
      <c r="H247">
        <v>64.989999999999995</v>
      </c>
      <c r="I247" s="7">
        <f>IF(Transactions!I247="",0,Transactions!I247)</f>
        <v>0</v>
      </c>
      <c r="J247" s="9">
        <f t="shared" si="3"/>
        <v>194.96999999999997</v>
      </c>
      <c r="K247" t="s">
        <v>95</v>
      </c>
      <c r="L247" t="s">
        <v>17</v>
      </c>
      <c r="M247" t="str">
        <f>REPLACE(Transactions!M247,1,4,"")</f>
        <v>3</v>
      </c>
    </row>
    <row r="248" spans="1:13" x14ac:dyDescent="0.2">
      <c r="A248">
        <v>145209</v>
      </c>
      <c r="B248" s="5">
        <v>45580</v>
      </c>
      <c r="C248">
        <v>42949</v>
      </c>
      <c r="D248" t="str">
        <f>PROPER(Transactions!D248)</f>
        <v>Grocery</v>
      </c>
      <c r="E248" t="s">
        <v>195</v>
      </c>
      <c r="F248" t="s">
        <v>196</v>
      </c>
      <c r="G248">
        <v>1</v>
      </c>
      <c r="H248">
        <v>4.99</v>
      </c>
      <c r="I248" s="7">
        <f>IF(Transactions!I248="",0,Transactions!I248)</f>
        <v>0</v>
      </c>
      <c r="J248" s="9">
        <f t="shared" si="3"/>
        <v>4.99</v>
      </c>
      <c r="K248" t="s">
        <v>16</v>
      </c>
      <c r="L248" t="s">
        <v>17</v>
      </c>
      <c r="M248" t="str">
        <f>REPLACE(Transactions!M248,1,4,"")</f>
        <v>8</v>
      </c>
    </row>
    <row r="249" spans="1:13" x14ac:dyDescent="0.2">
      <c r="A249">
        <v>145895</v>
      </c>
      <c r="B249" s="5">
        <v>45472</v>
      </c>
      <c r="C249">
        <v>82817</v>
      </c>
      <c r="D249" t="str">
        <f>PROPER(Transactions!D249)</f>
        <v>Grocery</v>
      </c>
      <c r="E249" t="s">
        <v>107</v>
      </c>
      <c r="F249" t="s">
        <v>108</v>
      </c>
      <c r="G249">
        <v>1</v>
      </c>
      <c r="H249">
        <v>2.97</v>
      </c>
      <c r="I249" s="7">
        <f>IF(Transactions!I249="",0,Transactions!I249)</f>
        <v>0.15</v>
      </c>
      <c r="J249" s="9">
        <f t="shared" si="3"/>
        <v>2.5245000000000002</v>
      </c>
      <c r="K249" t="s">
        <v>53</v>
      </c>
      <c r="L249" t="s">
        <v>17</v>
      </c>
      <c r="M249" t="str">
        <f>REPLACE(Transactions!M249,1,4,"")</f>
        <v>20</v>
      </c>
    </row>
    <row r="250" spans="1:13" x14ac:dyDescent="0.2">
      <c r="A250">
        <v>145907</v>
      </c>
      <c r="B250" s="5">
        <v>44781</v>
      </c>
      <c r="C250">
        <v>73477</v>
      </c>
      <c r="D250" t="str">
        <f>PROPER(Transactions!D250)</f>
        <v>Pharmacy</v>
      </c>
      <c r="E250" t="s">
        <v>115</v>
      </c>
      <c r="F250" t="s">
        <v>116</v>
      </c>
      <c r="G250">
        <v>1</v>
      </c>
      <c r="H250">
        <v>9.74</v>
      </c>
      <c r="I250" s="7">
        <f>IF(Transactions!I250="",0,Transactions!I250)</f>
        <v>0.25</v>
      </c>
      <c r="J250" s="9">
        <f t="shared" si="3"/>
        <v>7.3049999999999997</v>
      </c>
      <c r="K250" t="s">
        <v>36</v>
      </c>
      <c r="L250" t="s">
        <v>23</v>
      </c>
      <c r="M250" t="str">
        <f>REPLACE(Transactions!M250,1,4,"")</f>
        <v>16</v>
      </c>
    </row>
    <row r="251" spans="1:13" x14ac:dyDescent="0.2">
      <c r="A251">
        <v>146047</v>
      </c>
      <c r="B251" s="5">
        <v>44564</v>
      </c>
      <c r="C251">
        <v>26060</v>
      </c>
      <c r="D251" t="str">
        <f>PROPER(Transactions!D251)</f>
        <v>Electronics</v>
      </c>
      <c r="E251" t="s">
        <v>55</v>
      </c>
      <c r="F251" t="s">
        <v>56</v>
      </c>
      <c r="G251">
        <v>1</v>
      </c>
      <c r="H251">
        <v>280.49</v>
      </c>
      <c r="I251" s="7">
        <f>IF(Transactions!I251="",0,Transactions!I251)</f>
        <v>0.15</v>
      </c>
      <c r="J251" s="9">
        <f t="shared" si="3"/>
        <v>238.41650000000001</v>
      </c>
      <c r="K251" t="s">
        <v>36</v>
      </c>
      <c r="L251" t="s">
        <v>17</v>
      </c>
      <c r="M251" t="str">
        <f>REPLACE(Transactions!M251,1,4,"")</f>
        <v>1</v>
      </c>
    </row>
    <row r="252" spans="1:13" x14ac:dyDescent="0.2">
      <c r="A252">
        <v>146048</v>
      </c>
      <c r="B252" s="5">
        <v>45279</v>
      </c>
      <c r="C252">
        <v>83229</v>
      </c>
      <c r="D252" t="str">
        <f>PROPER(Transactions!D252)</f>
        <v>Sports</v>
      </c>
      <c r="E252" t="s">
        <v>83</v>
      </c>
      <c r="F252" t="s">
        <v>84</v>
      </c>
      <c r="G252">
        <v>1</v>
      </c>
      <c r="H252">
        <v>16.14</v>
      </c>
      <c r="I252" s="7">
        <f>IF(Transactions!I252="",0,Transactions!I252)</f>
        <v>0.05</v>
      </c>
      <c r="J252" s="9">
        <f t="shared" si="3"/>
        <v>15.333</v>
      </c>
      <c r="K252" t="s">
        <v>53</v>
      </c>
      <c r="L252" t="s">
        <v>23</v>
      </c>
      <c r="M252" t="str">
        <f>REPLACE(Transactions!M252,1,4,"")</f>
        <v>16</v>
      </c>
    </row>
    <row r="253" spans="1:13" x14ac:dyDescent="0.2">
      <c r="A253">
        <v>146587</v>
      </c>
      <c r="B253" s="5">
        <v>45109</v>
      </c>
      <c r="C253">
        <v>28701</v>
      </c>
      <c r="D253" t="str">
        <f>PROPER(Transactions!D253)</f>
        <v>Toys</v>
      </c>
      <c r="E253" t="s">
        <v>72</v>
      </c>
      <c r="F253" t="s">
        <v>73</v>
      </c>
      <c r="G253">
        <v>1</v>
      </c>
      <c r="H253">
        <v>35.99</v>
      </c>
      <c r="I253" s="7">
        <f>IF(Transactions!I253="",0,Transactions!I253)</f>
        <v>0.1</v>
      </c>
      <c r="J253" s="9">
        <f t="shared" si="3"/>
        <v>32.391000000000005</v>
      </c>
      <c r="K253" t="s">
        <v>36</v>
      </c>
      <c r="L253" t="s">
        <v>17</v>
      </c>
      <c r="M253" t="str">
        <f>REPLACE(Transactions!M253,1,4,"")</f>
        <v>17</v>
      </c>
    </row>
    <row r="254" spans="1:13" x14ac:dyDescent="0.2">
      <c r="A254">
        <v>146649</v>
      </c>
      <c r="B254" s="5">
        <v>45066</v>
      </c>
      <c r="C254">
        <v>99491</v>
      </c>
      <c r="D254" t="str">
        <f>PROPER(Transactions!D254)</f>
        <v>Electronics</v>
      </c>
      <c r="E254" t="s">
        <v>55</v>
      </c>
      <c r="F254" t="s">
        <v>56</v>
      </c>
      <c r="G254">
        <v>5</v>
      </c>
      <c r="H254">
        <v>263.99</v>
      </c>
      <c r="I254" s="7">
        <f>IF(Transactions!I254="",0,Transactions!I254)</f>
        <v>0.2</v>
      </c>
      <c r="J254" s="9">
        <f t="shared" si="3"/>
        <v>1055.96</v>
      </c>
      <c r="K254" t="s">
        <v>16</v>
      </c>
      <c r="L254" t="s">
        <v>17</v>
      </c>
      <c r="M254" t="str">
        <f>REPLACE(Transactions!M254,1,4,"")</f>
        <v/>
      </c>
    </row>
    <row r="255" spans="1:13" x14ac:dyDescent="0.2">
      <c r="A255">
        <v>146782</v>
      </c>
      <c r="B255" s="5">
        <v>44874</v>
      </c>
      <c r="C255">
        <v>44121</v>
      </c>
      <c r="D255" t="str">
        <f>PROPER(Transactions!D255)</f>
        <v>Automotive</v>
      </c>
      <c r="E255" t="s">
        <v>68</v>
      </c>
      <c r="F255" t="s">
        <v>69</v>
      </c>
      <c r="G255">
        <v>3</v>
      </c>
      <c r="H255">
        <v>21.24</v>
      </c>
      <c r="I255" s="7">
        <f>IF(Transactions!I255="",0,Transactions!I255)</f>
        <v>0.15</v>
      </c>
      <c r="J255" s="9">
        <f t="shared" si="3"/>
        <v>54.161999999999999</v>
      </c>
      <c r="K255" t="s">
        <v>36</v>
      </c>
      <c r="L255" t="s">
        <v>17</v>
      </c>
      <c r="M255" t="str">
        <f>REPLACE(Transactions!M255,1,4,"")</f>
        <v>4</v>
      </c>
    </row>
    <row r="256" spans="1:13" x14ac:dyDescent="0.2">
      <c r="A256">
        <v>146864</v>
      </c>
      <c r="B256" s="5">
        <v>44888</v>
      </c>
      <c r="C256">
        <v>18168</v>
      </c>
      <c r="D256" t="str">
        <f>PROPER(Transactions!D256)</f>
        <v>Toys</v>
      </c>
      <c r="E256" t="s">
        <v>175</v>
      </c>
      <c r="F256" t="s">
        <v>176</v>
      </c>
      <c r="G256">
        <v>1</v>
      </c>
      <c r="H256">
        <v>8.99</v>
      </c>
      <c r="I256" s="7">
        <f>IF(Transactions!I256="",0,Transactions!I256)</f>
        <v>0.25</v>
      </c>
      <c r="J256" s="9">
        <f t="shared" si="3"/>
        <v>6.7424999999999997</v>
      </c>
      <c r="K256" t="s">
        <v>36</v>
      </c>
      <c r="L256" t="s">
        <v>37</v>
      </c>
      <c r="M256" t="str">
        <f>REPLACE(Transactions!M256,1,4,"")</f>
        <v>4</v>
      </c>
    </row>
    <row r="257" spans="1:13" x14ac:dyDescent="0.2">
      <c r="A257">
        <v>147079</v>
      </c>
      <c r="B257" s="5">
        <v>45495</v>
      </c>
      <c r="C257">
        <v>80405</v>
      </c>
      <c r="D257" t="str">
        <f>PROPER(Transactions!D257)</f>
        <v>Furniture</v>
      </c>
      <c r="E257" t="s">
        <v>70</v>
      </c>
      <c r="F257" t="s">
        <v>71</v>
      </c>
      <c r="G257">
        <v>1</v>
      </c>
      <c r="H257">
        <v>85.49</v>
      </c>
      <c r="I257" s="7">
        <f>IF(Transactions!I257="",0,Transactions!I257)</f>
        <v>0.05</v>
      </c>
      <c r="J257" s="9">
        <f t="shared" si="3"/>
        <v>81.215499999999992</v>
      </c>
      <c r="K257" t="s">
        <v>16</v>
      </c>
      <c r="L257" t="s">
        <v>37</v>
      </c>
      <c r="M257" t="str">
        <f>REPLACE(Transactions!M257,1,4,"")</f>
        <v>6</v>
      </c>
    </row>
    <row r="258" spans="1:13" x14ac:dyDescent="0.2">
      <c r="A258">
        <v>147116</v>
      </c>
      <c r="B258" s="5">
        <v>44916</v>
      </c>
      <c r="C258">
        <v>66659</v>
      </c>
      <c r="D258" t="str">
        <f>PROPER(Transactions!D258)</f>
        <v>Sports</v>
      </c>
      <c r="E258" t="s">
        <v>168</v>
      </c>
      <c r="F258" t="s">
        <v>169</v>
      </c>
      <c r="G258">
        <v>1</v>
      </c>
      <c r="H258">
        <v>6.74</v>
      </c>
      <c r="I258" s="7">
        <f>IF(Transactions!I258="",0,Transactions!I258)</f>
        <v>0.25</v>
      </c>
      <c r="J258" s="9">
        <f t="shared" si="3"/>
        <v>5.0549999999999997</v>
      </c>
      <c r="K258" t="s">
        <v>16</v>
      </c>
      <c r="L258" t="s">
        <v>17</v>
      </c>
      <c r="M258" t="str">
        <f>REPLACE(Transactions!M258,1,4,"")</f>
        <v>13</v>
      </c>
    </row>
    <row r="259" spans="1:13" x14ac:dyDescent="0.2">
      <c r="A259">
        <v>147188</v>
      </c>
      <c r="B259" s="5">
        <v>45160</v>
      </c>
      <c r="C259">
        <v>72047</v>
      </c>
      <c r="D259" t="str">
        <f>PROPER(Transactions!D259)</f>
        <v>Home &amp; Garden</v>
      </c>
      <c r="E259" t="s">
        <v>157</v>
      </c>
      <c r="F259" t="s">
        <v>158</v>
      </c>
      <c r="G259">
        <v>2</v>
      </c>
      <c r="H259">
        <v>13.49</v>
      </c>
      <c r="I259" s="7">
        <f>IF(Transactions!I259="",0,Transactions!I259)</f>
        <v>0</v>
      </c>
      <c r="J259" s="9">
        <f t="shared" ref="J259:J322" si="4">(H259*G259)*(1-I259)</f>
        <v>26.98</v>
      </c>
      <c r="K259" t="s">
        <v>32</v>
      </c>
      <c r="L259" t="s">
        <v>37</v>
      </c>
      <c r="M259" t="str">
        <f>REPLACE(Transactions!M259,1,4,"")</f>
        <v>9</v>
      </c>
    </row>
    <row r="260" spans="1:13" x14ac:dyDescent="0.2">
      <c r="A260">
        <v>147374</v>
      </c>
      <c r="B260" s="5">
        <v>44636</v>
      </c>
      <c r="C260">
        <v>72990</v>
      </c>
      <c r="D260" t="str">
        <f>PROPER(Transactions!D260)</f>
        <v>Home &amp; Garden</v>
      </c>
      <c r="E260" t="s">
        <v>129</v>
      </c>
      <c r="F260" t="s">
        <v>130</v>
      </c>
      <c r="G260">
        <v>1</v>
      </c>
      <c r="H260">
        <v>8.99</v>
      </c>
      <c r="I260" s="7">
        <f>IF(Transactions!I260="",0,Transactions!I260)</f>
        <v>0</v>
      </c>
      <c r="J260" s="9">
        <f t="shared" si="4"/>
        <v>8.99</v>
      </c>
      <c r="K260" t="s">
        <v>22</v>
      </c>
      <c r="L260" t="s">
        <v>17</v>
      </c>
      <c r="M260" t="str">
        <f>REPLACE(Transactions!M260,1,4,"")</f>
        <v>15</v>
      </c>
    </row>
    <row r="261" spans="1:13" x14ac:dyDescent="0.2">
      <c r="A261">
        <v>147537</v>
      </c>
      <c r="B261" s="5">
        <v>44589</v>
      </c>
      <c r="C261">
        <v>17400</v>
      </c>
      <c r="D261" t="str">
        <f>PROPER(Transactions!D261)</f>
        <v>Grocery</v>
      </c>
      <c r="E261" t="s">
        <v>91</v>
      </c>
      <c r="F261" t="s">
        <v>92</v>
      </c>
      <c r="G261">
        <v>1</v>
      </c>
      <c r="H261">
        <v>6.29</v>
      </c>
      <c r="I261" s="7">
        <f>IF(Transactions!I261="",0,Transactions!I261)</f>
        <v>0</v>
      </c>
      <c r="J261" s="9">
        <f t="shared" si="4"/>
        <v>6.29</v>
      </c>
      <c r="K261" t="s">
        <v>36</v>
      </c>
      <c r="L261" t="s">
        <v>23</v>
      </c>
      <c r="M261" t="str">
        <f>REPLACE(Transactions!M261,1,4,"")</f>
        <v>16</v>
      </c>
    </row>
    <row r="262" spans="1:13" x14ac:dyDescent="0.2">
      <c r="A262">
        <v>147796</v>
      </c>
      <c r="B262" s="5">
        <v>44602</v>
      </c>
      <c r="C262">
        <v>30169</v>
      </c>
      <c r="D262" t="str">
        <f>PROPER(Transactions!D262)</f>
        <v>Electronics</v>
      </c>
      <c r="E262" t="s">
        <v>14</v>
      </c>
      <c r="F262" t="s">
        <v>15</v>
      </c>
      <c r="G262">
        <v>2</v>
      </c>
      <c r="H262">
        <v>75.989999999999995</v>
      </c>
      <c r="I262" s="7">
        <f>IF(Transactions!I262="",0,Transactions!I262)</f>
        <v>0.05</v>
      </c>
      <c r="J262" s="9">
        <f t="shared" si="4"/>
        <v>144.38099999999997</v>
      </c>
      <c r="K262" t="s">
        <v>95</v>
      </c>
      <c r="L262" t="s">
        <v>17</v>
      </c>
      <c r="M262" t="str">
        <f>REPLACE(Transactions!M262,1,4,"")</f>
        <v>19</v>
      </c>
    </row>
    <row r="263" spans="1:13" x14ac:dyDescent="0.2">
      <c r="A263">
        <v>147948</v>
      </c>
      <c r="B263" s="5">
        <v>45306</v>
      </c>
      <c r="C263">
        <v>21336</v>
      </c>
      <c r="D263" t="str">
        <f>PROPER(Transactions!D263)</f>
        <v>Furniture</v>
      </c>
      <c r="E263" t="s">
        <v>113</v>
      </c>
      <c r="F263" t="s">
        <v>114</v>
      </c>
      <c r="G263">
        <v>1</v>
      </c>
      <c r="H263">
        <v>119.99</v>
      </c>
      <c r="I263" s="7">
        <f>IF(Transactions!I263="",0,Transactions!I263)</f>
        <v>0</v>
      </c>
      <c r="J263" s="9">
        <f t="shared" si="4"/>
        <v>119.99</v>
      </c>
      <c r="K263" t="s">
        <v>22</v>
      </c>
      <c r="L263" t="s">
        <v>37</v>
      </c>
      <c r="M263" t="str">
        <f>REPLACE(Transactions!M263,1,4,"")</f>
        <v>7</v>
      </c>
    </row>
    <row r="264" spans="1:13" x14ac:dyDescent="0.2">
      <c r="A264">
        <v>148021</v>
      </c>
      <c r="B264" s="5">
        <v>44780</v>
      </c>
      <c r="C264">
        <v>42204</v>
      </c>
      <c r="D264" t="str">
        <f>PROPER(Transactions!D264)</f>
        <v>Electronics</v>
      </c>
      <c r="E264" t="s">
        <v>34</v>
      </c>
      <c r="F264" t="s">
        <v>35</v>
      </c>
      <c r="G264">
        <v>3</v>
      </c>
      <c r="H264">
        <v>33.24</v>
      </c>
      <c r="I264" s="7">
        <f>IF(Transactions!I264="",0,Transactions!I264)</f>
        <v>0.05</v>
      </c>
      <c r="J264" s="9">
        <f t="shared" si="4"/>
        <v>94.733999999999995</v>
      </c>
      <c r="K264" t="s">
        <v>22</v>
      </c>
      <c r="L264" t="s">
        <v>17</v>
      </c>
      <c r="M264" t="str">
        <f>REPLACE(Transactions!M264,1,4,"")</f>
        <v>2</v>
      </c>
    </row>
    <row r="265" spans="1:13" x14ac:dyDescent="0.2">
      <c r="A265">
        <v>148225</v>
      </c>
      <c r="B265" s="5">
        <v>44902</v>
      </c>
      <c r="C265">
        <v>66450</v>
      </c>
      <c r="D265" t="str">
        <f>PROPER(Transactions!D265)</f>
        <v>Clothing</v>
      </c>
      <c r="E265" t="s">
        <v>121</v>
      </c>
      <c r="F265" t="s">
        <v>122</v>
      </c>
      <c r="G265">
        <v>5</v>
      </c>
      <c r="H265">
        <v>11.69</v>
      </c>
      <c r="I265" s="7">
        <f>IF(Transactions!I265="",0,Transactions!I265)</f>
        <v>0</v>
      </c>
      <c r="J265" s="9">
        <f t="shared" si="4"/>
        <v>58.449999999999996</v>
      </c>
      <c r="K265" t="s">
        <v>36</v>
      </c>
      <c r="L265" t="s">
        <v>17</v>
      </c>
      <c r="M265" t="str">
        <f>REPLACE(Transactions!M265,1,4,"")</f>
        <v>15</v>
      </c>
    </row>
    <row r="266" spans="1:13" x14ac:dyDescent="0.2">
      <c r="A266">
        <v>148261</v>
      </c>
      <c r="B266" s="5">
        <v>44702</v>
      </c>
      <c r="C266">
        <v>58824</v>
      </c>
      <c r="D266" t="str">
        <f>PROPER(Transactions!D266)</f>
        <v>Electronics</v>
      </c>
      <c r="E266" t="s">
        <v>14</v>
      </c>
      <c r="F266" t="s">
        <v>15</v>
      </c>
      <c r="G266">
        <v>1</v>
      </c>
      <c r="H266">
        <v>63.99</v>
      </c>
      <c r="I266" s="7">
        <f>IF(Transactions!I266="",0,Transactions!I266)</f>
        <v>0.2</v>
      </c>
      <c r="J266" s="9">
        <f t="shared" si="4"/>
        <v>51.192000000000007</v>
      </c>
      <c r="K266" t="s">
        <v>16</v>
      </c>
      <c r="L266" t="s">
        <v>23</v>
      </c>
      <c r="M266" t="str">
        <f>REPLACE(Transactions!M266,1,4,"")</f>
        <v>4</v>
      </c>
    </row>
    <row r="267" spans="1:13" x14ac:dyDescent="0.2">
      <c r="A267">
        <v>148458</v>
      </c>
      <c r="B267" s="5">
        <v>45022</v>
      </c>
      <c r="C267">
        <v>19545</v>
      </c>
      <c r="D267" t="str">
        <f>PROPER(Transactions!D267)</f>
        <v>Home &amp; Garden</v>
      </c>
      <c r="E267" t="s">
        <v>149</v>
      </c>
      <c r="F267" t="s">
        <v>150</v>
      </c>
      <c r="G267">
        <v>1</v>
      </c>
      <c r="H267">
        <v>18.989999999999998</v>
      </c>
      <c r="I267" s="7">
        <f>IF(Transactions!I267="",0,Transactions!I267)</f>
        <v>0.05</v>
      </c>
      <c r="J267" s="9">
        <f t="shared" si="4"/>
        <v>18.040499999999998</v>
      </c>
      <c r="K267" t="s">
        <v>32</v>
      </c>
      <c r="L267" t="s">
        <v>17</v>
      </c>
      <c r="M267" t="str">
        <f>REPLACE(Transactions!M267,1,4,"")</f>
        <v>8</v>
      </c>
    </row>
    <row r="268" spans="1:13" x14ac:dyDescent="0.2">
      <c r="A268">
        <v>148741</v>
      </c>
      <c r="B268" s="5">
        <v>44611</v>
      </c>
      <c r="C268">
        <v>16871</v>
      </c>
      <c r="D268" t="str">
        <f>PROPER(Transactions!D268)</f>
        <v>Automotive</v>
      </c>
      <c r="E268" t="s">
        <v>131</v>
      </c>
      <c r="F268" t="s">
        <v>132</v>
      </c>
      <c r="G268">
        <v>3</v>
      </c>
      <c r="H268">
        <v>3.14</v>
      </c>
      <c r="I268" s="7">
        <f>IF(Transactions!I268="",0,Transactions!I268)</f>
        <v>0.1</v>
      </c>
      <c r="J268" s="9">
        <f t="shared" si="4"/>
        <v>8.4779999999999998</v>
      </c>
      <c r="K268" t="s">
        <v>36</v>
      </c>
      <c r="L268" t="s">
        <v>17</v>
      </c>
      <c r="M268" t="str">
        <f>REPLACE(Transactions!M268,1,4,"")</f>
        <v>10</v>
      </c>
    </row>
    <row r="269" spans="1:13" x14ac:dyDescent="0.2">
      <c r="A269">
        <v>148749</v>
      </c>
      <c r="B269" s="5">
        <v>45453</v>
      </c>
      <c r="C269">
        <v>61069</v>
      </c>
      <c r="D269" t="str">
        <f>PROPER(Transactions!D269)</f>
        <v>Electronics</v>
      </c>
      <c r="E269" t="s">
        <v>55</v>
      </c>
      <c r="F269" t="s">
        <v>56</v>
      </c>
      <c r="G269">
        <v>5</v>
      </c>
      <c r="H269">
        <v>329.99</v>
      </c>
      <c r="I269" s="7">
        <f>IF(Transactions!I269="",0,Transactions!I269)</f>
        <v>0</v>
      </c>
      <c r="J269" s="9">
        <f t="shared" si="4"/>
        <v>1649.95</v>
      </c>
      <c r="K269" t="s">
        <v>32</v>
      </c>
      <c r="L269" t="s">
        <v>23</v>
      </c>
      <c r="M269" t="str">
        <f>REPLACE(Transactions!M269,1,4,"")</f>
        <v>19</v>
      </c>
    </row>
    <row r="270" spans="1:13" x14ac:dyDescent="0.2">
      <c r="A270">
        <v>148854</v>
      </c>
      <c r="B270" s="5">
        <v>44692</v>
      </c>
      <c r="C270">
        <v>26267</v>
      </c>
      <c r="D270" t="str">
        <f>PROPER(Transactions!D270)</f>
        <v>Automotive</v>
      </c>
      <c r="E270" t="s">
        <v>64</v>
      </c>
      <c r="F270" t="s">
        <v>65</v>
      </c>
      <c r="G270">
        <v>1</v>
      </c>
      <c r="H270">
        <v>4.49</v>
      </c>
      <c r="I270" s="7">
        <f>IF(Transactions!I270="",0,Transactions!I270)</f>
        <v>0.1</v>
      </c>
      <c r="J270" s="9">
        <f t="shared" si="4"/>
        <v>4.0410000000000004</v>
      </c>
      <c r="K270" t="s">
        <v>22</v>
      </c>
      <c r="L270" t="s">
        <v>17</v>
      </c>
      <c r="M270" t="str">
        <f>REPLACE(Transactions!M270,1,4,"")</f>
        <v>12</v>
      </c>
    </row>
    <row r="271" spans="1:13" x14ac:dyDescent="0.2">
      <c r="A271">
        <v>149321</v>
      </c>
      <c r="B271" s="5">
        <v>44871</v>
      </c>
      <c r="D271" t="str">
        <f>PROPER(Transactions!D271)</f>
        <v>Pharmacy</v>
      </c>
      <c r="E271" t="s">
        <v>115</v>
      </c>
      <c r="F271" t="s">
        <v>116</v>
      </c>
      <c r="G271">
        <v>1</v>
      </c>
      <c r="H271">
        <v>12.99</v>
      </c>
      <c r="I271" s="7">
        <f>IF(Transactions!I271="",0,Transactions!I271)</f>
        <v>0</v>
      </c>
      <c r="J271" s="9">
        <f t="shared" si="4"/>
        <v>12.99</v>
      </c>
      <c r="K271" t="s">
        <v>36</v>
      </c>
      <c r="L271" t="s">
        <v>37</v>
      </c>
      <c r="M271" t="str">
        <f>REPLACE(Transactions!M271,1,4,"")</f>
        <v>15</v>
      </c>
    </row>
    <row r="272" spans="1:13" x14ac:dyDescent="0.2">
      <c r="A272">
        <v>149466</v>
      </c>
      <c r="B272" s="5">
        <v>45059</v>
      </c>
      <c r="C272">
        <v>46134</v>
      </c>
      <c r="D272" t="str">
        <f>PROPER(Transactions!D272)</f>
        <v>Automotive</v>
      </c>
      <c r="E272" t="s">
        <v>68</v>
      </c>
      <c r="F272" t="s">
        <v>69</v>
      </c>
      <c r="G272">
        <v>1</v>
      </c>
      <c r="H272">
        <v>23.74</v>
      </c>
      <c r="I272" s="7">
        <f>IF(Transactions!I272="",0,Transactions!I272)</f>
        <v>0.05</v>
      </c>
      <c r="J272" s="9">
        <f t="shared" si="4"/>
        <v>22.552999999999997</v>
      </c>
      <c r="K272" t="s">
        <v>16</v>
      </c>
      <c r="L272" t="s">
        <v>37</v>
      </c>
      <c r="M272" t="str">
        <f>REPLACE(Transactions!M272,1,4,"")</f>
        <v>10</v>
      </c>
    </row>
    <row r="273" spans="1:13" x14ac:dyDescent="0.2">
      <c r="A273">
        <v>149644</v>
      </c>
      <c r="B273" s="5">
        <v>44568</v>
      </c>
      <c r="C273">
        <v>53476</v>
      </c>
      <c r="D273" t="str">
        <f>PROPER(Transactions!D273)</f>
        <v>Sports</v>
      </c>
      <c r="E273" t="s">
        <v>188</v>
      </c>
      <c r="F273" t="s">
        <v>189</v>
      </c>
      <c r="G273">
        <v>1</v>
      </c>
      <c r="H273">
        <v>31.49</v>
      </c>
      <c r="I273" s="7">
        <f>IF(Transactions!I273="",0,Transactions!I273)</f>
        <v>0.3</v>
      </c>
      <c r="J273" s="9">
        <f t="shared" si="4"/>
        <v>22.042999999999999</v>
      </c>
      <c r="K273" t="s">
        <v>36</v>
      </c>
      <c r="L273" t="s">
        <v>17</v>
      </c>
      <c r="M273" t="str">
        <f>REPLACE(Transactions!M273,1,4,"")</f>
        <v/>
      </c>
    </row>
    <row r="274" spans="1:13" x14ac:dyDescent="0.2">
      <c r="A274">
        <v>149665</v>
      </c>
      <c r="B274" s="5">
        <v>44684</v>
      </c>
      <c r="C274">
        <v>64135</v>
      </c>
      <c r="D274" t="str">
        <f>PROPER(Transactions!D274)</f>
        <v>Pharmacy</v>
      </c>
      <c r="E274" t="s">
        <v>58</v>
      </c>
      <c r="F274" t="s">
        <v>59</v>
      </c>
      <c r="G274">
        <v>2</v>
      </c>
      <c r="H274">
        <v>3.59</v>
      </c>
      <c r="I274" s="7">
        <f>IF(Transactions!I274="",0,Transactions!I274)</f>
        <v>0.1</v>
      </c>
      <c r="J274" s="9">
        <f t="shared" si="4"/>
        <v>6.4619999999999997</v>
      </c>
      <c r="K274" t="s">
        <v>16</v>
      </c>
      <c r="L274" t="s">
        <v>17</v>
      </c>
      <c r="M274" t="str">
        <f>REPLACE(Transactions!M274,1,4,"")</f>
        <v>3</v>
      </c>
    </row>
    <row r="275" spans="1:13" x14ac:dyDescent="0.2">
      <c r="A275">
        <v>150031</v>
      </c>
      <c r="B275" s="5">
        <v>45258</v>
      </c>
      <c r="C275">
        <v>38053</v>
      </c>
      <c r="D275" t="str">
        <f>PROPER(Transactions!D275)</f>
        <v>Home &amp; Garden</v>
      </c>
      <c r="E275" t="s">
        <v>137</v>
      </c>
      <c r="F275" t="s">
        <v>138</v>
      </c>
      <c r="G275">
        <v>3</v>
      </c>
      <c r="H275">
        <v>7.19</v>
      </c>
      <c r="I275" s="7">
        <f>IF(Transactions!I275="",0,Transactions!I275)</f>
        <v>0.1</v>
      </c>
      <c r="J275" s="9">
        <f t="shared" si="4"/>
        <v>19.413</v>
      </c>
      <c r="K275" t="s">
        <v>22</v>
      </c>
      <c r="L275" t="s">
        <v>17</v>
      </c>
      <c r="M275" t="str">
        <f>REPLACE(Transactions!M275,1,4,"")</f>
        <v>5</v>
      </c>
    </row>
    <row r="276" spans="1:13" x14ac:dyDescent="0.2">
      <c r="A276">
        <v>150135</v>
      </c>
      <c r="B276" s="5">
        <v>45606</v>
      </c>
      <c r="C276">
        <v>33056</v>
      </c>
      <c r="D276" t="str">
        <f>PROPER(Transactions!D276)</f>
        <v>Electronics</v>
      </c>
      <c r="E276" t="s">
        <v>127</v>
      </c>
      <c r="F276" t="s">
        <v>128</v>
      </c>
      <c r="G276">
        <v>2</v>
      </c>
      <c r="H276">
        <v>16.989999999999998</v>
      </c>
      <c r="I276" s="7">
        <f>IF(Transactions!I276="",0,Transactions!I276)</f>
        <v>0.15</v>
      </c>
      <c r="J276" s="9">
        <f t="shared" si="4"/>
        <v>28.882999999999996</v>
      </c>
      <c r="K276" t="s">
        <v>36</v>
      </c>
      <c r="L276" t="s">
        <v>17</v>
      </c>
      <c r="M276" t="str">
        <f>REPLACE(Transactions!M276,1,4,"")</f>
        <v>19</v>
      </c>
    </row>
    <row r="277" spans="1:13" x14ac:dyDescent="0.2">
      <c r="A277">
        <v>150318</v>
      </c>
      <c r="B277" s="5">
        <v>45329</v>
      </c>
      <c r="C277">
        <v>95445</v>
      </c>
      <c r="D277" t="str">
        <f>PROPER(Transactions!D277)</f>
        <v>Toys</v>
      </c>
      <c r="E277" t="s">
        <v>175</v>
      </c>
      <c r="F277" t="s">
        <v>176</v>
      </c>
      <c r="G277">
        <v>3</v>
      </c>
      <c r="H277">
        <v>10.19</v>
      </c>
      <c r="I277" s="7">
        <f>IF(Transactions!I277="",0,Transactions!I277)</f>
        <v>0.15</v>
      </c>
      <c r="J277" s="9">
        <f t="shared" si="4"/>
        <v>25.984500000000001</v>
      </c>
      <c r="K277" t="s">
        <v>16</v>
      </c>
      <c r="L277" t="s">
        <v>37</v>
      </c>
      <c r="M277" t="str">
        <f>REPLACE(Transactions!M277,1,4,"")</f>
        <v>8</v>
      </c>
    </row>
    <row r="278" spans="1:13" x14ac:dyDescent="0.2">
      <c r="A278">
        <v>150538</v>
      </c>
      <c r="B278" s="5">
        <v>45172</v>
      </c>
      <c r="C278">
        <v>75818</v>
      </c>
      <c r="D278" t="str">
        <f>PROPER(Transactions!D278)</f>
        <v>Electronics</v>
      </c>
      <c r="E278" t="s">
        <v>104</v>
      </c>
      <c r="F278" t="s">
        <v>105</v>
      </c>
      <c r="G278">
        <v>1</v>
      </c>
      <c r="H278">
        <v>23.99</v>
      </c>
      <c r="I278" s="7">
        <f>IF(Transactions!I278="",0,Transactions!I278)</f>
        <v>0.2</v>
      </c>
      <c r="J278" s="9">
        <f t="shared" si="4"/>
        <v>19.192</v>
      </c>
      <c r="K278" t="s">
        <v>36</v>
      </c>
      <c r="L278" t="s">
        <v>37</v>
      </c>
      <c r="M278" t="str">
        <f>REPLACE(Transactions!M278,1,4,"")</f>
        <v>20</v>
      </c>
    </row>
    <row r="279" spans="1:13" x14ac:dyDescent="0.2">
      <c r="A279">
        <v>150636</v>
      </c>
      <c r="B279" s="5">
        <v>45161</v>
      </c>
      <c r="C279">
        <v>72268</v>
      </c>
      <c r="D279" t="str">
        <f>PROPER(Transactions!D279)</f>
        <v>Electronics</v>
      </c>
      <c r="E279" t="s">
        <v>55</v>
      </c>
      <c r="F279" t="s">
        <v>56</v>
      </c>
      <c r="G279">
        <v>5</v>
      </c>
      <c r="H279">
        <v>230.99</v>
      </c>
      <c r="I279" s="7">
        <f>IF(Transactions!I279="",0,Transactions!I279)</f>
        <v>0.3</v>
      </c>
      <c r="J279" s="9">
        <f t="shared" si="4"/>
        <v>808.46500000000003</v>
      </c>
      <c r="K279" t="s">
        <v>53</v>
      </c>
      <c r="L279" t="s">
        <v>37</v>
      </c>
      <c r="M279" t="str">
        <f>REPLACE(Transactions!M279,1,4,"")</f>
        <v>9</v>
      </c>
    </row>
    <row r="280" spans="1:13" x14ac:dyDescent="0.2">
      <c r="A280">
        <v>150663</v>
      </c>
      <c r="B280" s="5">
        <v>44677</v>
      </c>
      <c r="C280">
        <v>28864</v>
      </c>
      <c r="D280" t="str">
        <f>PROPER(Transactions!D280)</f>
        <v>Beauty</v>
      </c>
      <c r="E280" t="s">
        <v>118</v>
      </c>
      <c r="F280" t="s">
        <v>119</v>
      </c>
      <c r="G280">
        <v>5</v>
      </c>
      <c r="H280">
        <v>4.99</v>
      </c>
      <c r="I280" s="7">
        <f>IF(Transactions!I280="",0,Transactions!I280)</f>
        <v>0</v>
      </c>
      <c r="J280" s="9">
        <f t="shared" si="4"/>
        <v>24.950000000000003</v>
      </c>
      <c r="K280" t="s">
        <v>95</v>
      </c>
      <c r="L280" t="s">
        <v>17</v>
      </c>
      <c r="M280" t="str">
        <f>REPLACE(Transactions!M280,1,4,"")</f>
        <v>10</v>
      </c>
    </row>
    <row r="281" spans="1:13" x14ac:dyDescent="0.2">
      <c r="A281">
        <v>151081</v>
      </c>
      <c r="B281" s="5">
        <v>45356</v>
      </c>
      <c r="C281">
        <v>32795</v>
      </c>
      <c r="D281" t="str">
        <f>PROPER(Transactions!D281)</f>
        <v>Pharmacy</v>
      </c>
      <c r="E281" t="s">
        <v>197</v>
      </c>
      <c r="F281" t="s">
        <v>198</v>
      </c>
      <c r="G281">
        <v>3</v>
      </c>
      <c r="H281">
        <v>10.49</v>
      </c>
      <c r="I281" s="7">
        <f>IF(Transactions!I281="",0,Transactions!I281)</f>
        <v>0.3</v>
      </c>
      <c r="J281" s="9">
        <f t="shared" si="4"/>
        <v>22.028999999999996</v>
      </c>
      <c r="K281" t="s">
        <v>36</v>
      </c>
      <c r="L281" t="s">
        <v>17</v>
      </c>
      <c r="M281" t="str">
        <f>REPLACE(Transactions!M281,1,4,"")</f>
        <v>2</v>
      </c>
    </row>
    <row r="282" spans="1:13" x14ac:dyDescent="0.2">
      <c r="A282">
        <v>151084</v>
      </c>
      <c r="B282" s="5">
        <v>44879</v>
      </c>
      <c r="D282" t="str">
        <f>PROPER(Transactions!D282)</f>
        <v>Pharmacy</v>
      </c>
      <c r="E282" t="s">
        <v>20</v>
      </c>
      <c r="F282" t="s">
        <v>21</v>
      </c>
      <c r="G282">
        <v>1</v>
      </c>
      <c r="H282">
        <v>9.99</v>
      </c>
      <c r="I282" s="7">
        <f>IF(Transactions!I282="",0,Transactions!I282)</f>
        <v>0</v>
      </c>
      <c r="J282" s="9">
        <f t="shared" si="4"/>
        <v>9.99</v>
      </c>
      <c r="K282" t="s">
        <v>22</v>
      </c>
      <c r="L282" t="s">
        <v>17</v>
      </c>
      <c r="M282" t="str">
        <f>REPLACE(Transactions!M282,1,4,"")</f>
        <v>17</v>
      </c>
    </row>
    <row r="283" spans="1:13" x14ac:dyDescent="0.2">
      <c r="A283">
        <v>151326</v>
      </c>
      <c r="B283" s="5">
        <v>45633</v>
      </c>
      <c r="C283">
        <v>55082</v>
      </c>
      <c r="D283" t="str">
        <f>PROPER(Transactions!D283)</f>
        <v>Clothing</v>
      </c>
      <c r="E283" t="s">
        <v>151</v>
      </c>
      <c r="F283" t="s">
        <v>152</v>
      </c>
      <c r="G283">
        <v>2</v>
      </c>
      <c r="H283">
        <v>27.99</v>
      </c>
      <c r="I283" s="7">
        <f>IF(Transactions!I283="",0,Transactions!I283)</f>
        <v>0.2</v>
      </c>
      <c r="J283" s="9">
        <f t="shared" si="4"/>
        <v>44.783999999999999</v>
      </c>
      <c r="K283" t="s">
        <v>16</v>
      </c>
      <c r="L283" t="s">
        <v>17</v>
      </c>
      <c r="M283" t="str">
        <f>REPLACE(Transactions!M283,1,4,"")</f>
        <v>20</v>
      </c>
    </row>
    <row r="284" spans="1:13" x14ac:dyDescent="0.2">
      <c r="A284">
        <v>151405</v>
      </c>
      <c r="B284" s="5">
        <v>45195</v>
      </c>
      <c r="C284">
        <v>48389</v>
      </c>
      <c r="D284" t="str">
        <f>PROPER(Transactions!D284)</f>
        <v>Toys</v>
      </c>
      <c r="E284" t="s">
        <v>38</v>
      </c>
      <c r="F284" t="s">
        <v>39</v>
      </c>
      <c r="G284">
        <v>1</v>
      </c>
      <c r="H284">
        <v>20.99</v>
      </c>
      <c r="I284" s="7">
        <f>IF(Transactions!I284="",0,Transactions!I284)</f>
        <v>0.3</v>
      </c>
      <c r="J284" s="9">
        <f t="shared" si="4"/>
        <v>14.692999999999998</v>
      </c>
      <c r="K284" t="s">
        <v>16</v>
      </c>
      <c r="L284" t="s">
        <v>37</v>
      </c>
      <c r="M284" t="str">
        <f>REPLACE(Transactions!M284,1,4,"")</f>
        <v>13</v>
      </c>
    </row>
    <row r="285" spans="1:13" x14ac:dyDescent="0.2">
      <c r="A285">
        <v>151503</v>
      </c>
      <c r="B285" s="5">
        <v>45285</v>
      </c>
      <c r="C285">
        <v>50697</v>
      </c>
      <c r="D285" t="str">
        <f>PROPER(Transactions!D285)</f>
        <v>Electronics</v>
      </c>
      <c r="E285" t="s">
        <v>14</v>
      </c>
      <c r="F285" t="s">
        <v>15</v>
      </c>
      <c r="G285">
        <v>2</v>
      </c>
      <c r="H285">
        <v>79.989999999999995</v>
      </c>
      <c r="I285" s="7">
        <f>IF(Transactions!I285="",0,Transactions!I285)</f>
        <v>0</v>
      </c>
      <c r="J285" s="9">
        <f t="shared" si="4"/>
        <v>159.97999999999999</v>
      </c>
      <c r="K285" t="s">
        <v>36</v>
      </c>
      <c r="L285" t="s">
        <v>17</v>
      </c>
      <c r="M285" t="str">
        <f>REPLACE(Transactions!M285,1,4,"")</f>
        <v>16</v>
      </c>
    </row>
    <row r="286" spans="1:13" x14ac:dyDescent="0.2">
      <c r="A286">
        <v>152001</v>
      </c>
      <c r="B286" s="5">
        <v>44658</v>
      </c>
      <c r="C286">
        <v>39761</v>
      </c>
      <c r="D286" t="str">
        <f>PROPER(Transactions!D286)</f>
        <v>Toys</v>
      </c>
      <c r="E286" t="s">
        <v>72</v>
      </c>
      <c r="F286" t="s">
        <v>73</v>
      </c>
      <c r="G286">
        <v>3</v>
      </c>
      <c r="H286">
        <v>37.99</v>
      </c>
      <c r="I286" s="7">
        <f>IF(Transactions!I286="",0,Transactions!I286)</f>
        <v>0.05</v>
      </c>
      <c r="J286" s="9">
        <f t="shared" si="4"/>
        <v>108.27149999999999</v>
      </c>
      <c r="K286" t="s">
        <v>16</v>
      </c>
      <c r="L286" t="s">
        <v>17</v>
      </c>
      <c r="M286" t="str">
        <f>REPLACE(Transactions!M286,1,4,"")</f>
        <v>11</v>
      </c>
    </row>
    <row r="287" spans="1:13" x14ac:dyDescent="0.2">
      <c r="A287">
        <v>152236</v>
      </c>
      <c r="B287" s="5">
        <v>44970</v>
      </c>
      <c r="C287">
        <v>50392</v>
      </c>
      <c r="D287" t="str">
        <f>PROPER(Transactions!D287)</f>
        <v>Beauty</v>
      </c>
      <c r="E287" t="s">
        <v>179</v>
      </c>
      <c r="F287" t="s">
        <v>180</v>
      </c>
      <c r="G287">
        <v>1</v>
      </c>
      <c r="H287">
        <v>11.99</v>
      </c>
      <c r="I287" s="7">
        <f>IF(Transactions!I287="",0,Transactions!I287)</f>
        <v>0</v>
      </c>
      <c r="J287" s="9">
        <f t="shared" si="4"/>
        <v>11.99</v>
      </c>
      <c r="K287" t="s">
        <v>22</v>
      </c>
      <c r="L287" t="s">
        <v>17</v>
      </c>
      <c r="M287" t="str">
        <f>REPLACE(Transactions!M287,1,4,"")</f>
        <v>15</v>
      </c>
    </row>
    <row r="288" spans="1:13" x14ac:dyDescent="0.2">
      <c r="A288">
        <v>152304</v>
      </c>
      <c r="B288" s="5">
        <v>45253</v>
      </c>
      <c r="C288">
        <v>21997</v>
      </c>
      <c r="D288" t="str">
        <f>PROPER(Transactions!D288)</f>
        <v>Grocery</v>
      </c>
      <c r="E288" t="s">
        <v>93</v>
      </c>
      <c r="F288" t="s">
        <v>94</v>
      </c>
      <c r="G288">
        <v>1</v>
      </c>
      <c r="H288">
        <v>1.1599999999999999</v>
      </c>
      <c r="I288" s="7">
        <f>IF(Transactions!I288="",0,Transactions!I288)</f>
        <v>0.1</v>
      </c>
      <c r="J288" s="9">
        <f t="shared" si="4"/>
        <v>1.044</v>
      </c>
      <c r="K288" t="s">
        <v>95</v>
      </c>
      <c r="L288" t="s">
        <v>17</v>
      </c>
      <c r="M288" t="str">
        <f>REPLACE(Transactions!M288,1,4,"")</f>
        <v/>
      </c>
    </row>
    <row r="289" spans="1:13" x14ac:dyDescent="0.2">
      <c r="A289">
        <v>152642</v>
      </c>
      <c r="B289" s="5">
        <v>44802</v>
      </c>
      <c r="C289">
        <v>16289</v>
      </c>
      <c r="D289" t="str">
        <f>PROPER(Transactions!D289)</f>
        <v>Automotive</v>
      </c>
      <c r="E289" t="s">
        <v>111</v>
      </c>
      <c r="F289" t="s">
        <v>112</v>
      </c>
      <c r="G289">
        <v>1</v>
      </c>
      <c r="H289">
        <v>14.24</v>
      </c>
      <c r="I289" s="7">
        <f>IF(Transactions!I289="",0,Transactions!I289)</f>
        <v>0.05</v>
      </c>
      <c r="J289" s="9">
        <f t="shared" si="4"/>
        <v>13.527999999999999</v>
      </c>
      <c r="K289" t="s">
        <v>16</v>
      </c>
      <c r="L289" t="s">
        <v>17</v>
      </c>
      <c r="M289" t="str">
        <f>REPLACE(Transactions!M289,1,4,"")</f>
        <v/>
      </c>
    </row>
    <row r="290" spans="1:13" x14ac:dyDescent="0.2">
      <c r="A290">
        <v>152706</v>
      </c>
      <c r="B290" s="5">
        <v>45524</v>
      </c>
      <c r="C290">
        <v>81106</v>
      </c>
      <c r="D290" t="str">
        <f>PROPER(Transactions!D290)</f>
        <v>Pharmacy</v>
      </c>
      <c r="E290" t="s">
        <v>20</v>
      </c>
      <c r="F290" t="s">
        <v>21</v>
      </c>
      <c r="G290">
        <v>3</v>
      </c>
      <c r="H290">
        <v>9.99</v>
      </c>
      <c r="I290" s="7">
        <f>IF(Transactions!I290="",0,Transactions!I290)</f>
        <v>0</v>
      </c>
      <c r="J290" s="9">
        <f t="shared" si="4"/>
        <v>29.97</v>
      </c>
      <c r="K290" t="s">
        <v>36</v>
      </c>
      <c r="L290" t="s">
        <v>17</v>
      </c>
      <c r="M290" t="str">
        <f>REPLACE(Transactions!M290,1,4,"")</f>
        <v>3</v>
      </c>
    </row>
    <row r="291" spans="1:13" x14ac:dyDescent="0.2">
      <c r="A291">
        <v>152826</v>
      </c>
      <c r="B291" s="5">
        <v>44597</v>
      </c>
      <c r="C291">
        <v>47370</v>
      </c>
      <c r="D291" t="str">
        <f>PROPER(Transactions!D291)</f>
        <v>Furniture</v>
      </c>
      <c r="E291" t="s">
        <v>70</v>
      </c>
      <c r="F291" t="s">
        <v>71</v>
      </c>
      <c r="G291">
        <v>2</v>
      </c>
      <c r="H291">
        <v>76.489999999999995</v>
      </c>
      <c r="I291" s="7">
        <f>IF(Transactions!I291="",0,Transactions!I291)</f>
        <v>0.15</v>
      </c>
      <c r="J291" s="9">
        <f t="shared" si="4"/>
        <v>130.03299999999999</v>
      </c>
      <c r="K291" t="s">
        <v>36</v>
      </c>
      <c r="L291" t="s">
        <v>37</v>
      </c>
      <c r="M291" t="str">
        <f>REPLACE(Transactions!M291,1,4,"")</f>
        <v>15</v>
      </c>
    </row>
    <row r="292" spans="1:13" x14ac:dyDescent="0.2">
      <c r="A292">
        <v>153284</v>
      </c>
      <c r="B292" s="5">
        <v>44800</v>
      </c>
      <c r="C292">
        <v>31134</v>
      </c>
      <c r="D292" t="str">
        <f>PROPER(Transactions!D292)</f>
        <v>Grocery</v>
      </c>
      <c r="E292" t="s">
        <v>74</v>
      </c>
      <c r="F292" t="s">
        <v>75</v>
      </c>
      <c r="G292">
        <v>5</v>
      </c>
      <c r="H292">
        <v>2.99</v>
      </c>
      <c r="I292" s="7">
        <f>IF(Transactions!I292="",0,Transactions!I292)</f>
        <v>0</v>
      </c>
      <c r="J292" s="9">
        <f t="shared" si="4"/>
        <v>14.950000000000001</v>
      </c>
      <c r="K292" t="s">
        <v>95</v>
      </c>
      <c r="L292" t="s">
        <v>17</v>
      </c>
      <c r="M292" t="str">
        <f>REPLACE(Transactions!M292,1,4,"")</f>
        <v>7</v>
      </c>
    </row>
    <row r="293" spans="1:13" x14ac:dyDescent="0.2">
      <c r="A293">
        <v>153443</v>
      </c>
      <c r="B293" s="5">
        <v>44620</v>
      </c>
      <c r="C293">
        <v>58464</v>
      </c>
      <c r="D293" t="str">
        <f>PROPER(Transactions!D293)</f>
        <v>Automotive</v>
      </c>
      <c r="E293" t="s">
        <v>125</v>
      </c>
      <c r="F293" t="s">
        <v>126</v>
      </c>
      <c r="G293">
        <v>2</v>
      </c>
      <c r="H293">
        <v>22.49</v>
      </c>
      <c r="I293" s="7">
        <f>IF(Transactions!I293="",0,Transactions!I293)</f>
        <v>0.25</v>
      </c>
      <c r="J293" s="9">
        <f t="shared" si="4"/>
        <v>33.734999999999999</v>
      </c>
      <c r="K293" t="s">
        <v>36</v>
      </c>
      <c r="L293" t="s">
        <v>17</v>
      </c>
      <c r="M293" t="str">
        <f>REPLACE(Transactions!M293,1,4,"")</f>
        <v>3</v>
      </c>
    </row>
    <row r="294" spans="1:13" x14ac:dyDescent="0.2">
      <c r="A294">
        <v>153576</v>
      </c>
      <c r="B294" s="5">
        <v>45434</v>
      </c>
      <c r="C294">
        <v>97795</v>
      </c>
      <c r="D294" t="str">
        <f>PROPER(Transactions!D294)</f>
        <v>Furniture</v>
      </c>
      <c r="E294" t="s">
        <v>113</v>
      </c>
      <c r="F294" t="s">
        <v>114</v>
      </c>
      <c r="G294">
        <v>3</v>
      </c>
      <c r="H294">
        <v>107.99</v>
      </c>
      <c r="I294" s="7">
        <f>IF(Transactions!I294="",0,Transactions!I294)</f>
        <v>0.1</v>
      </c>
      <c r="J294" s="9">
        <f t="shared" si="4"/>
        <v>291.57299999999998</v>
      </c>
      <c r="K294" t="s">
        <v>36</v>
      </c>
      <c r="L294" t="s">
        <v>37</v>
      </c>
      <c r="M294" t="str">
        <f>REPLACE(Transactions!M294,1,4,"")</f>
        <v>18</v>
      </c>
    </row>
    <row r="295" spans="1:13" x14ac:dyDescent="0.2">
      <c r="A295">
        <v>153646</v>
      </c>
      <c r="B295" s="5">
        <v>45018</v>
      </c>
      <c r="C295">
        <v>41888</v>
      </c>
      <c r="D295" t="str">
        <f>PROPER(Transactions!D295)</f>
        <v>Electronics</v>
      </c>
      <c r="E295" t="s">
        <v>127</v>
      </c>
      <c r="F295" t="s">
        <v>128</v>
      </c>
      <c r="G295">
        <v>4</v>
      </c>
      <c r="H295">
        <v>19.989999999999998</v>
      </c>
      <c r="I295" s="7">
        <f>IF(Transactions!I295="",0,Transactions!I295)</f>
        <v>0</v>
      </c>
      <c r="J295" s="9">
        <f t="shared" si="4"/>
        <v>79.959999999999994</v>
      </c>
      <c r="K295" t="s">
        <v>16</v>
      </c>
      <c r="L295" t="s">
        <v>17</v>
      </c>
      <c r="M295" t="str">
        <f>REPLACE(Transactions!M295,1,4,"")</f>
        <v>8</v>
      </c>
    </row>
    <row r="296" spans="1:13" x14ac:dyDescent="0.2">
      <c r="A296">
        <v>153872</v>
      </c>
      <c r="B296" s="5">
        <v>45542</v>
      </c>
      <c r="C296">
        <v>18564</v>
      </c>
      <c r="D296" t="str">
        <f>PROPER(Transactions!D296)</f>
        <v>Electronics</v>
      </c>
      <c r="E296" t="s">
        <v>186</v>
      </c>
      <c r="F296" t="s">
        <v>187</v>
      </c>
      <c r="G296">
        <v>1</v>
      </c>
      <c r="H296">
        <v>37.49</v>
      </c>
      <c r="I296" s="7">
        <f>IF(Transactions!I296="",0,Transactions!I296)</f>
        <v>0.25</v>
      </c>
      <c r="J296" s="9">
        <f t="shared" si="4"/>
        <v>28.1175</v>
      </c>
      <c r="K296" t="s">
        <v>16</v>
      </c>
      <c r="L296" t="s">
        <v>37</v>
      </c>
      <c r="M296" t="str">
        <f>REPLACE(Transactions!M296,1,4,"")</f>
        <v>19</v>
      </c>
    </row>
    <row r="297" spans="1:13" x14ac:dyDescent="0.2">
      <c r="A297">
        <v>153916</v>
      </c>
      <c r="B297" s="5">
        <v>45256</v>
      </c>
      <c r="C297">
        <v>55727</v>
      </c>
      <c r="D297" t="str">
        <f>PROPER(Transactions!D297)</f>
        <v>Furniture</v>
      </c>
      <c r="E297" t="s">
        <v>51</v>
      </c>
      <c r="F297" t="s">
        <v>52</v>
      </c>
      <c r="G297">
        <v>3</v>
      </c>
      <c r="H297">
        <v>23.79</v>
      </c>
      <c r="I297" s="7">
        <f>IF(Transactions!I297="",0,Transactions!I297)</f>
        <v>0.15</v>
      </c>
      <c r="J297" s="9">
        <f t="shared" si="4"/>
        <v>60.664500000000004</v>
      </c>
      <c r="K297" t="s">
        <v>36</v>
      </c>
      <c r="L297" t="s">
        <v>23</v>
      </c>
      <c r="M297" t="str">
        <f>REPLACE(Transactions!M297,1,4,"")</f>
        <v>9</v>
      </c>
    </row>
    <row r="298" spans="1:13" x14ac:dyDescent="0.2">
      <c r="A298">
        <v>153974</v>
      </c>
      <c r="B298" s="5">
        <v>45038</v>
      </c>
      <c r="C298">
        <v>68442</v>
      </c>
      <c r="D298" t="str">
        <f>PROPER(Transactions!D298)</f>
        <v>Home &amp; Garden</v>
      </c>
      <c r="E298" t="s">
        <v>153</v>
      </c>
      <c r="F298" t="s">
        <v>154</v>
      </c>
      <c r="G298">
        <v>1</v>
      </c>
      <c r="H298">
        <v>29.99</v>
      </c>
      <c r="I298" s="7">
        <f>IF(Transactions!I298="",0,Transactions!I298)</f>
        <v>0</v>
      </c>
      <c r="J298" s="9">
        <f t="shared" si="4"/>
        <v>29.99</v>
      </c>
      <c r="K298" t="s">
        <v>53</v>
      </c>
      <c r="L298" t="s">
        <v>17</v>
      </c>
      <c r="M298" t="str">
        <f>REPLACE(Transactions!M298,1,4,"")</f>
        <v>15</v>
      </c>
    </row>
    <row r="299" spans="1:13" x14ac:dyDescent="0.2">
      <c r="A299">
        <v>154167</v>
      </c>
      <c r="B299" s="5">
        <v>44958</v>
      </c>
      <c r="C299">
        <v>29837</v>
      </c>
      <c r="D299" t="str">
        <f>PROPER(Transactions!D299)</f>
        <v>Pharmacy</v>
      </c>
      <c r="E299" t="s">
        <v>20</v>
      </c>
      <c r="F299" t="s">
        <v>21</v>
      </c>
      <c r="G299">
        <v>2</v>
      </c>
      <c r="H299">
        <v>7.99</v>
      </c>
      <c r="I299" s="7">
        <f>IF(Transactions!I299="",0,Transactions!I299)</f>
        <v>0.2</v>
      </c>
      <c r="J299" s="9">
        <f t="shared" si="4"/>
        <v>12.784000000000001</v>
      </c>
      <c r="K299" t="s">
        <v>32</v>
      </c>
      <c r="L299" t="s">
        <v>17</v>
      </c>
      <c r="M299" t="str">
        <f>REPLACE(Transactions!M299,1,4,"")</f>
        <v>12</v>
      </c>
    </row>
    <row r="300" spans="1:13" x14ac:dyDescent="0.2">
      <c r="A300">
        <v>154301</v>
      </c>
      <c r="B300" s="5">
        <v>45164</v>
      </c>
      <c r="C300">
        <v>12556</v>
      </c>
      <c r="D300" t="str">
        <f>PROPER(Transactions!D300)</f>
        <v>Furniture</v>
      </c>
      <c r="E300" t="s">
        <v>70</v>
      </c>
      <c r="F300" t="s">
        <v>71</v>
      </c>
      <c r="G300">
        <v>2</v>
      </c>
      <c r="H300">
        <v>71.989999999999995</v>
      </c>
      <c r="I300" s="7">
        <f>IF(Transactions!I300="",0,Transactions!I300)</f>
        <v>0.2</v>
      </c>
      <c r="J300" s="9">
        <f t="shared" si="4"/>
        <v>115.184</v>
      </c>
      <c r="K300" t="s">
        <v>22</v>
      </c>
      <c r="L300" t="s">
        <v>17</v>
      </c>
      <c r="M300" t="str">
        <f>REPLACE(Transactions!M300,1,4,"")</f>
        <v>20</v>
      </c>
    </row>
    <row r="301" spans="1:13" x14ac:dyDescent="0.2">
      <c r="A301">
        <v>154310</v>
      </c>
      <c r="B301" s="5">
        <v>44748</v>
      </c>
      <c r="C301">
        <v>80270</v>
      </c>
      <c r="D301" t="str">
        <f>PROPER(Transactions!D301)</f>
        <v>Pharmacy</v>
      </c>
      <c r="E301" t="s">
        <v>41</v>
      </c>
      <c r="F301" t="s">
        <v>42</v>
      </c>
      <c r="G301">
        <v>1</v>
      </c>
      <c r="H301">
        <v>5.39</v>
      </c>
      <c r="I301" s="7">
        <f>IF(Transactions!I301="",0,Transactions!I301)</f>
        <v>0.1</v>
      </c>
      <c r="J301" s="9">
        <f t="shared" si="4"/>
        <v>4.851</v>
      </c>
      <c r="K301" t="s">
        <v>53</v>
      </c>
      <c r="L301" t="s">
        <v>17</v>
      </c>
      <c r="M301" t="str">
        <f>REPLACE(Transactions!M301,1,4,"")</f>
        <v>10</v>
      </c>
    </row>
    <row r="302" spans="1:13" x14ac:dyDescent="0.2">
      <c r="A302">
        <v>154328</v>
      </c>
      <c r="B302" s="5">
        <v>44984</v>
      </c>
      <c r="C302">
        <v>73630</v>
      </c>
      <c r="D302" t="str">
        <f>PROPER(Transactions!D302)</f>
        <v>Pharmacy</v>
      </c>
      <c r="E302" t="s">
        <v>197</v>
      </c>
      <c r="F302" t="s">
        <v>198</v>
      </c>
      <c r="G302">
        <v>2</v>
      </c>
      <c r="H302">
        <v>14.24</v>
      </c>
      <c r="I302" s="7">
        <f>IF(Transactions!I302="",0,Transactions!I302)</f>
        <v>0.05</v>
      </c>
      <c r="J302" s="9">
        <f t="shared" si="4"/>
        <v>27.055999999999997</v>
      </c>
      <c r="K302" t="s">
        <v>22</v>
      </c>
      <c r="L302" t="s">
        <v>37</v>
      </c>
      <c r="M302" t="str">
        <f>REPLACE(Transactions!M302,1,4,"")</f>
        <v>3</v>
      </c>
    </row>
    <row r="303" spans="1:13" x14ac:dyDescent="0.2">
      <c r="A303">
        <v>154512</v>
      </c>
      <c r="B303" s="5">
        <v>45453</v>
      </c>
      <c r="C303">
        <v>61204</v>
      </c>
      <c r="D303" t="str">
        <f>PROPER(Transactions!D303)</f>
        <v>Electronics</v>
      </c>
      <c r="E303" t="s">
        <v>55</v>
      </c>
      <c r="F303" t="s">
        <v>56</v>
      </c>
      <c r="G303">
        <v>4</v>
      </c>
      <c r="H303">
        <v>263.99</v>
      </c>
      <c r="I303" s="7">
        <f>IF(Transactions!I303="",0,Transactions!I303)</f>
        <v>0.2</v>
      </c>
      <c r="J303" s="9">
        <f t="shared" si="4"/>
        <v>844.76800000000003</v>
      </c>
      <c r="K303" t="s">
        <v>16</v>
      </c>
      <c r="L303" t="s">
        <v>17</v>
      </c>
      <c r="M303" t="str">
        <f>REPLACE(Transactions!M303,1,4,"")</f>
        <v>20</v>
      </c>
    </row>
    <row r="304" spans="1:13" x14ac:dyDescent="0.2">
      <c r="A304">
        <v>154586</v>
      </c>
      <c r="B304" s="5">
        <v>45412</v>
      </c>
      <c r="C304">
        <v>41263</v>
      </c>
      <c r="D304" t="str">
        <f>PROPER(Transactions!D304)</f>
        <v>Sports</v>
      </c>
      <c r="E304" t="s">
        <v>188</v>
      </c>
      <c r="F304" t="s">
        <v>189</v>
      </c>
      <c r="G304">
        <v>1</v>
      </c>
      <c r="H304">
        <v>42.74</v>
      </c>
      <c r="I304" s="7">
        <f>IF(Transactions!I304="",0,Transactions!I304)</f>
        <v>0.05</v>
      </c>
      <c r="J304" s="9">
        <f t="shared" si="4"/>
        <v>40.603000000000002</v>
      </c>
      <c r="K304" t="s">
        <v>16</v>
      </c>
      <c r="L304" t="s">
        <v>17</v>
      </c>
      <c r="M304" t="str">
        <f>REPLACE(Transactions!M304,1,4,"")</f>
        <v>2</v>
      </c>
    </row>
    <row r="305" spans="1:13" x14ac:dyDescent="0.2">
      <c r="A305">
        <v>154743</v>
      </c>
      <c r="B305" s="5">
        <v>44642</v>
      </c>
      <c r="C305">
        <v>20845</v>
      </c>
      <c r="D305" t="str">
        <f>PROPER(Transactions!D305)</f>
        <v>Beauty</v>
      </c>
      <c r="E305" t="s">
        <v>143</v>
      </c>
      <c r="F305" t="s">
        <v>144</v>
      </c>
      <c r="G305">
        <v>2</v>
      </c>
      <c r="H305">
        <v>14.24</v>
      </c>
      <c r="I305" s="7">
        <f>IF(Transactions!I305="",0,Transactions!I305)</f>
        <v>0.05</v>
      </c>
      <c r="J305" s="9">
        <f t="shared" si="4"/>
        <v>27.055999999999997</v>
      </c>
      <c r="K305" t="s">
        <v>16</v>
      </c>
      <c r="L305" t="s">
        <v>37</v>
      </c>
      <c r="M305" t="str">
        <f>REPLACE(Transactions!M305,1,4,"")</f>
        <v>7</v>
      </c>
    </row>
    <row r="306" spans="1:13" x14ac:dyDescent="0.2">
      <c r="A306">
        <v>154909</v>
      </c>
      <c r="B306" s="5">
        <v>45399</v>
      </c>
      <c r="C306">
        <v>22387</v>
      </c>
      <c r="D306" t="str">
        <f>PROPER(Transactions!D306)</f>
        <v>Sports</v>
      </c>
      <c r="E306" t="s">
        <v>83</v>
      </c>
      <c r="F306" t="s">
        <v>84</v>
      </c>
      <c r="G306">
        <v>3</v>
      </c>
      <c r="H306">
        <v>14.44</v>
      </c>
      <c r="I306" s="7">
        <f>IF(Transactions!I306="",0,Transactions!I306)</f>
        <v>0.15</v>
      </c>
      <c r="J306" s="9">
        <f t="shared" si="4"/>
        <v>36.822000000000003</v>
      </c>
      <c r="K306" t="s">
        <v>16</v>
      </c>
      <c r="L306" t="s">
        <v>17</v>
      </c>
      <c r="M306" t="str">
        <f>REPLACE(Transactions!M306,1,4,"")</f>
        <v>13</v>
      </c>
    </row>
    <row r="307" spans="1:13" x14ac:dyDescent="0.2">
      <c r="A307">
        <v>155180</v>
      </c>
      <c r="B307" s="5">
        <v>45081</v>
      </c>
      <c r="C307">
        <v>31201</v>
      </c>
      <c r="D307" t="str">
        <f>PROPER(Transactions!D307)</f>
        <v>Grocery</v>
      </c>
      <c r="E307" t="s">
        <v>91</v>
      </c>
      <c r="F307" t="s">
        <v>92</v>
      </c>
      <c r="G307">
        <v>2</v>
      </c>
      <c r="H307">
        <v>5.66</v>
      </c>
      <c r="I307" s="7">
        <f>IF(Transactions!I307="",0,Transactions!I307)</f>
        <v>0.1</v>
      </c>
      <c r="J307" s="9">
        <f t="shared" si="4"/>
        <v>10.188000000000001</v>
      </c>
      <c r="K307" t="s">
        <v>36</v>
      </c>
      <c r="L307" t="s">
        <v>37</v>
      </c>
      <c r="M307" t="str">
        <f>REPLACE(Transactions!M307,1,4,"")</f>
        <v>4</v>
      </c>
    </row>
    <row r="308" spans="1:13" x14ac:dyDescent="0.2">
      <c r="A308">
        <v>155230</v>
      </c>
      <c r="B308" s="5">
        <v>45325</v>
      </c>
      <c r="C308">
        <v>62550</v>
      </c>
      <c r="D308" t="str">
        <f>PROPER(Transactions!D308)</f>
        <v>Sports</v>
      </c>
      <c r="E308" t="s">
        <v>83</v>
      </c>
      <c r="F308" t="s">
        <v>84</v>
      </c>
      <c r="G308">
        <v>2</v>
      </c>
      <c r="H308">
        <v>16.989999999999998</v>
      </c>
      <c r="I308" s="7">
        <f>IF(Transactions!I308="",0,Transactions!I308)</f>
        <v>0</v>
      </c>
      <c r="J308" s="9">
        <f t="shared" si="4"/>
        <v>33.979999999999997</v>
      </c>
      <c r="K308" t="s">
        <v>66</v>
      </c>
      <c r="L308" t="s">
        <v>37</v>
      </c>
      <c r="M308" t="str">
        <f>REPLACE(Transactions!M308,1,4,"")</f>
        <v>7</v>
      </c>
    </row>
    <row r="309" spans="1:13" x14ac:dyDescent="0.2">
      <c r="A309">
        <v>155660</v>
      </c>
      <c r="B309" s="5">
        <v>44592</v>
      </c>
      <c r="C309">
        <v>23710</v>
      </c>
      <c r="D309" t="str">
        <f>PROPER(Transactions!D309)</f>
        <v>Beauty</v>
      </c>
      <c r="E309" t="s">
        <v>118</v>
      </c>
      <c r="F309" t="s">
        <v>119</v>
      </c>
      <c r="G309">
        <v>1</v>
      </c>
      <c r="H309">
        <v>3.49</v>
      </c>
      <c r="I309" s="7">
        <f>IF(Transactions!I309="",0,Transactions!I309)</f>
        <v>0.3</v>
      </c>
      <c r="J309" s="9">
        <f t="shared" si="4"/>
        <v>2.4430000000000001</v>
      </c>
      <c r="K309" t="s">
        <v>16</v>
      </c>
      <c r="L309" t="s">
        <v>23</v>
      </c>
      <c r="M309" t="str">
        <f>REPLACE(Transactions!M309,1,4,"")</f>
        <v>10</v>
      </c>
    </row>
    <row r="310" spans="1:13" x14ac:dyDescent="0.2">
      <c r="A310">
        <v>155672</v>
      </c>
      <c r="B310" s="5">
        <v>45443</v>
      </c>
      <c r="C310">
        <v>41002</v>
      </c>
      <c r="D310" t="str">
        <f>PROPER(Transactions!D310)</f>
        <v>Clothing</v>
      </c>
      <c r="E310" t="s">
        <v>141</v>
      </c>
      <c r="F310" t="s">
        <v>142</v>
      </c>
      <c r="G310">
        <v>2</v>
      </c>
      <c r="H310">
        <v>18.39</v>
      </c>
      <c r="I310" s="7">
        <f>IF(Transactions!I310="",0,Transactions!I310)</f>
        <v>0.2</v>
      </c>
      <c r="J310" s="9">
        <f t="shared" si="4"/>
        <v>29.424000000000003</v>
      </c>
      <c r="K310" t="s">
        <v>95</v>
      </c>
      <c r="L310" t="s">
        <v>17</v>
      </c>
      <c r="M310" t="str">
        <f>REPLACE(Transactions!M310,1,4,"")</f>
        <v>3</v>
      </c>
    </row>
    <row r="311" spans="1:13" x14ac:dyDescent="0.2">
      <c r="A311">
        <v>155885</v>
      </c>
      <c r="B311" s="5">
        <v>45517</v>
      </c>
      <c r="C311">
        <v>29734</v>
      </c>
      <c r="D311" t="str">
        <f>PROPER(Transactions!D311)</f>
        <v>Toys</v>
      </c>
      <c r="E311" t="s">
        <v>30</v>
      </c>
      <c r="F311" t="s">
        <v>31</v>
      </c>
      <c r="G311">
        <v>1</v>
      </c>
      <c r="H311">
        <v>22.49</v>
      </c>
      <c r="I311" s="7">
        <f>IF(Transactions!I311="",0,Transactions!I311)</f>
        <v>0</v>
      </c>
      <c r="J311" s="9">
        <f t="shared" si="4"/>
        <v>22.49</v>
      </c>
      <c r="K311" t="s">
        <v>16</v>
      </c>
      <c r="L311" t="s">
        <v>17</v>
      </c>
      <c r="M311" t="str">
        <f>REPLACE(Transactions!M311,1,4,"")</f>
        <v>15</v>
      </c>
    </row>
    <row r="312" spans="1:13" x14ac:dyDescent="0.2">
      <c r="A312">
        <v>156208</v>
      </c>
      <c r="B312" s="5">
        <v>45509</v>
      </c>
      <c r="C312">
        <v>90157</v>
      </c>
      <c r="D312" t="str">
        <f>PROPER(Transactions!D312)</f>
        <v>Beauty</v>
      </c>
      <c r="E312" t="s">
        <v>49</v>
      </c>
      <c r="F312" t="s">
        <v>50</v>
      </c>
      <c r="G312">
        <v>1</v>
      </c>
      <c r="H312">
        <v>8.99</v>
      </c>
      <c r="I312" s="7">
        <f>IF(Transactions!I312="",0,Transactions!I312)</f>
        <v>0</v>
      </c>
      <c r="J312" s="9">
        <f t="shared" si="4"/>
        <v>8.99</v>
      </c>
      <c r="K312" t="s">
        <v>16</v>
      </c>
      <c r="L312" t="s">
        <v>37</v>
      </c>
      <c r="M312" t="str">
        <f>REPLACE(Transactions!M312,1,4,"")</f>
        <v>18</v>
      </c>
    </row>
    <row r="313" spans="1:13" x14ac:dyDescent="0.2">
      <c r="A313">
        <v>156274</v>
      </c>
      <c r="B313" s="5">
        <v>44767</v>
      </c>
      <c r="C313">
        <v>82571</v>
      </c>
      <c r="D313" t="str">
        <f>PROPER(Transactions!D313)</f>
        <v>Automotive</v>
      </c>
      <c r="E313" t="s">
        <v>125</v>
      </c>
      <c r="F313" t="s">
        <v>126</v>
      </c>
      <c r="G313">
        <v>1</v>
      </c>
      <c r="H313">
        <v>28.49</v>
      </c>
      <c r="I313" s="7">
        <f>IF(Transactions!I313="",0,Transactions!I313)</f>
        <v>0.05</v>
      </c>
      <c r="J313" s="9">
        <f t="shared" si="4"/>
        <v>27.065499999999997</v>
      </c>
      <c r="K313" t="s">
        <v>16</v>
      </c>
      <c r="L313" t="s">
        <v>37</v>
      </c>
      <c r="M313" t="str">
        <f>REPLACE(Transactions!M313,1,4,"")</f>
        <v>13</v>
      </c>
    </row>
    <row r="314" spans="1:13" x14ac:dyDescent="0.2">
      <c r="A314">
        <v>156394</v>
      </c>
      <c r="B314" s="5">
        <v>45046</v>
      </c>
      <c r="C314">
        <v>96706</v>
      </c>
      <c r="D314" t="str">
        <f>PROPER(Transactions!D314)</f>
        <v>Home &amp; Garden</v>
      </c>
      <c r="E314" t="s">
        <v>153</v>
      </c>
      <c r="F314" t="s">
        <v>154</v>
      </c>
      <c r="G314">
        <v>4</v>
      </c>
      <c r="H314">
        <v>25.49</v>
      </c>
      <c r="I314" s="7">
        <f>IF(Transactions!I314="",0,Transactions!I314)</f>
        <v>0.15</v>
      </c>
      <c r="J314" s="9">
        <f t="shared" si="4"/>
        <v>86.665999999999997</v>
      </c>
      <c r="K314" t="s">
        <v>36</v>
      </c>
      <c r="L314" t="s">
        <v>23</v>
      </c>
      <c r="M314" t="str">
        <f>REPLACE(Transactions!M314,1,4,"")</f>
        <v>3</v>
      </c>
    </row>
    <row r="315" spans="1:13" x14ac:dyDescent="0.2">
      <c r="A315">
        <v>156415</v>
      </c>
      <c r="B315" s="5">
        <v>45415</v>
      </c>
      <c r="C315">
        <v>68073</v>
      </c>
      <c r="D315" t="str">
        <f>PROPER(Transactions!D315)</f>
        <v>Electronics</v>
      </c>
      <c r="E315" t="s">
        <v>79</v>
      </c>
      <c r="F315" t="s">
        <v>80</v>
      </c>
      <c r="G315">
        <v>5</v>
      </c>
      <c r="H315">
        <v>76.489999999999995</v>
      </c>
      <c r="I315" s="7">
        <f>IF(Transactions!I315="",0,Transactions!I315)</f>
        <v>0.15</v>
      </c>
      <c r="J315" s="9">
        <f t="shared" si="4"/>
        <v>325.08249999999998</v>
      </c>
      <c r="K315" t="s">
        <v>36</v>
      </c>
      <c r="L315" t="s">
        <v>17</v>
      </c>
      <c r="M315" t="str">
        <f>REPLACE(Transactions!M315,1,4,"")</f>
        <v>19</v>
      </c>
    </row>
    <row r="316" spans="1:13" x14ac:dyDescent="0.2">
      <c r="A316">
        <v>156491</v>
      </c>
      <c r="B316" s="5">
        <v>45411</v>
      </c>
      <c r="C316">
        <v>16160</v>
      </c>
      <c r="D316" t="str">
        <f>PROPER(Transactions!D316)</f>
        <v>Sports</v>
      </c>
      <c r="E316" t="s">
        <v>83</v>
      </c>
      <c r="F316" t="s">
        <v>84</v>
      </c>
      <c r="G316">
        <v>4</v>
      </c>
      <c r="H316">
        <v>13.59</v>
      </c>
      <c r="I316" s="7">
        <f>IF(Transactions!I316="",0,Transactions!I316)</f>
        <v>0.2</v>
      </c>
      <c r="J316" s="9">
        <f t="shared" si="4"/>
        <v>43.488</v>
      </c>
      <c r="K316" t="s">
        <v>16</v>
      </c>
      <c r="L316" t="s">
        <v>17</v>
      </c>
      <c r="M316" t="str">
        <f>REPLACE(Transactions!M316,1,4,"")</f>
        <v>15</v>
      </c>
    </row>
    <row r="317" spans="1:13" x14ac:dyDescent="0.2">
      <c r="A317">
        <v>156553</v>
      </c>
      <c r="B317" s="5">
        <v>45613</v>
      </c>
      <c r="C317">
        <v>30596</v>
      </c>
      <c r="D317" t="str">
        <f>PROPER(Transactions!D317)</f>
        <v>Furniture</v>
      </c>
      <c r="E317" t="s">
        <v>60</v>
      </c>
      <c r="F317" t="s">
        <v>61</v>
      </c>
      <c r="G317">
        <v>1</v>
      </c>
      <c r="H317">
        <v>54.99</v>
      </c>
      <c r="I317" s="7">
        <f>IF(Transactions!I317="",0,Transactions!I317)</f>
        <v>0</v>
      </c>
      <c r="J317" s="9">
        <f t="shared" si="4"/>
        <v>54.99</v>
      </c>
      <c r="K317" t="s">
        <v>16</v>
      </c>
      <c r="L317" t="s">
        <v>23</v>
      </c>
      <c r="M317" t="str">
        <f>REPLACE(Transactions!M317,1,4,"")</f>
        <v>14</v>
      </c>
    </row>
    <row r="318" spans="1:13" x14ac:dyDescent="0.2">
      <c r="A318">
        <v>156569</v>
      </c>
      <c r="B318" s="5">
        <v>45182</v>
      </c>
      <c r="C318">
        <v>84738</v>
      </c>
      <c r="D318" t="str">
        <f>PROPER(Transactions!D318)</f>
        <v>Sports</v>
      </c>
      <c r="E318" t="s">
        <v>83</v>
      </c>
      <c r="F318" t="s">
        <v>84</v>
      </c>
      <c r="G318">
        <v>1</v>
      </c>
      <c r="H318">
        <v>12.74</v>
      </c>
      <c r="I318" s="7">
        <f>IF(Transactions!I318="",0,Transactions!I318)</f>
        <v>0.25</v>
      </c>
      <c r="J318" s="9">
        <f t="shared" si="4"/>
        <v>9.5549999999999997</v>
      </c>
      <c r="K318" t="s">
        <v>36</v>
      </c>
      <c r="L318" t="s">
        <v>37</v>
      </c>
      <c r="M318" t="str">
        <f>REPLACE(Transactions!M318,1,4,"")</f>
        <v>18</v>
      </c>
    </row>
    <row r="319" spans="1:13" x14ac:dyDescent="0.2">
      <c r="A319">
        <v>156621</v>
      </c>
      <c r="B319" s="5">
        <v>44593</v>
      </c>
      <c r="C319">
        <v>19996</v>
      </c>
      <c r="D319" t="str">
        <f>PROPER(Transactions!D319)</f>
        <v>Home &amp; Garden</v>
      </c>
      <c r="E319" t="s">
        <v>129</v>
      </c>
      <c r="F319" t="s">
        <v>130</v>
      </c>
      <c r="G319">
        <v>1</v>
      </c>
      <c r="H319">
        <v>8.09</v>
      </c>
      <c r="I319" s="7">
        <f>IF(Transactions!I319="",0,Transactions!I319)</f>
        <v>0</v>
      </c>
      <c r="J319" s="9">
        <f t="shared" si="4"/>
        <v>8.09</v>
      </c>
      <c r="K319" t="s">
        <v>32</v>
      </c>
      <c r="L319" t="s">
        <v>23</v>
      </c>
      <c r="M319" t="str">
        <f>REPLACE(Transactions!M319,1,4,"")</f>
        <v>13</v>
      </c>
    </row>
    <row r="320" spans="1:13" x14ac:dyDescent="0.2">
      <c r="A320">
        <v>156771</v>
      </c>
      <c r="B320" s="5">
        <v>45134</v>
      </c>
      <c r="C320">
        <v>80972</v>
      </c>
      <c r="D320" t="str">
        <f>PROPER(Transactions!D320)</f>
        <v>Pharmacy</v>
      </c>
      <c r="E320" t="s">
        <v>41</v>
      </c>
      <c r="F320" t="s">
        <v>42</v>
      </c>
      <c r="G320">
        <v>2</v>
      </c>
      <c r="H320">
        <v>5.99</v>
      </c>
      <c r="I320" s="7">
        <f>IF(Transactions!I320="",0,Transactions!I320)</f>
        <v>0</v>
      </c>
      <c r="J320" s="9">
        <f t="shared" si="4"/>
        <v>11.98</v>
      </c>
      <c r="K320" t="s">
        <v>16</v>
      </c>
      <c r="L320" t="s">
        <v>17</v>
      </c>
      <c r="M320" t="str">
        <f>REPLACE(Transactions!M320,1,4,"")</f>
        <v>18</v>
      </c>
    </row>
    <row r="321" spans="1:13" x14ac:dyDescent="0.2">
      <c r="A321">
        <v>156935</v>
      </c>
      <c r="B321" s="5">
        <v>45149</v>
      </c>
      <c r="C321">
        <v>26632</v>
      </c>
      <c r="D321" t="str">
        <f>PROPER(Transactions!D321)</f>
        <v>Beauty</v>
      </c>
      <c r="E321" t="s">
        <v>143</v>
      </c>
      <c r="F321" t="s">
        <v>144</v>
      </c>
      <c r="G321">
        <v>5</v>
      </c>
      <c r="H321">
        <v>12.74</v>
      </c>
      <c r="I321" s="7">
        <f>IF(Transactions!I321="",0,Transactions!I321)</f>
        <v>0.15</v>
      </c>
      <c r="J321" s="9">
        <f t="shared" si="4"/>
        <v>54.145000000000003</v>
      </c>
      <c r="K321" t="s">
        <v>36</v>
      </c>
      <c r="L321" t="s">
        <v>17</v>
      </c>
      <c r="M321" t="str">
        <f>REPLACE(Transactions!M321,1,4,"")</f>
        <v>8</v>
      </c>
    </row>
    <row r="322" spans="1:13" x14ac:dyDescent="0.2">
      <c r="A322">
        <v>156977</v>
      </c>
      <c r="B322" s="5">
        <v>45390</v>
      </c>
      <c r="D322" t="str">
        <f>PROPER(Transactions!D322)</f>
        <v>Automotive</v>
      </c>
      <c r="E322" t="s">
        <v>131</v>
      </c>
      <c r="F322" t="s">
        <v>132</v>
      </c>
      <c r="G322">
        <v>5</v>
      </c>
      <c r="H322">
        <v>3.49</v>
      </c>
      <c r="I322" s="7">
        <f>IF(Transactions!I322="",0,Transactions!I322)</f>
        <v>0</v>
      </c>
      <c r="J322" s="9">
        <f t="shared" si="4"/>
        <v>17.450000000000003</v>
      </c>
      <c r="K322" t="s">
        <v>36</v>
      </c>
      <c r="L322" t="s">
        <v>37</v>
      </c>
      <c r="M322" t="str">
        <f>REPLACE(Transactions!M322,1,4,"")</f>
        <v>8</v>
      </c>
    </row>
    <row r="323" spans="1:13" x14ac:dyDescent="0.2">
      <c r="A323">
        <v>156993</v>
      </c>
      <c r="B323" s="5">
        <v>45332</v>
      </c>
      <c r="D323" t="str">
        <f>PROPER(Transactions!D323)</f>
        <v>Furniture</v>
      </c>
      <c r="E323" t="s">
        <v>60</v>
      </c>
      <c r="F323" t="s">
        <v>61</v>
      </c>
      <c r="G323">
        <v>1</v>
      </c>
      <c r="H323">
        <v>49.49</v>
      </c>
      <c r="I323" s="7">
        <f>IF(Transactions!I323="",0,Transactions!I323)</f>
        <v>0.1</v>
      </c>
      <c r="J323" s="9">
        <f t="shared" ref="J323:J386" si="5">(H323*G323)*(1-I323)</f>
        <v>44.541000000000004</v>
      </c>
      <c r="K323" t="s">
        <v>16</v>
      </c>
      <c r="L323" t="s">
        <v>17</v>
      </c>
      <c r="M323" t="str">
        <f>REPLACE(Transactions!M323,1,4,"")</f>
        <v>11</v>
      </c>
    </row>
    <row r="324" spans="1:13" x14ac:dyDescent="0.2">
      <c r="A324">
        <v>157234</v>
      </c>
      <c r="B324" s="5">
        <v>45606</v>
      </c>
      <c r="C324">
        <v>16187</v>
      </c>
      <c r="D324" t="str">
        <f>PROPER(Transactions!D324)</f>
        <v>Furniture</v>
      </c>
      <c r="E324" t="s">
        <v>60</v>
      </c>
      <c r="F324" t="s">
        <v>61</v>
      </c>
      <c r="G324">
        <v>2</v>
      </c>
      <c r="H324">
        <v>46.74</v>
      </c>
      <c r="I324" s="7">
        <f>IF(Transactions!I324="",0,Transactions!I324)</f>
        <v>0.15</v>
      </c>
      <c r="J324" s="9">
        <f t="shared" si="5"/>
        <v>79.457999999999998</v>
      </c>
      <c r="K324" t="s">
        <v>36</v>
      </c>
      <c r="L324" t="s">
        <v>37</v>
      </c>
      <c r="M324" t="str">
        <f>REPLACE(Transactions!M324,1,4,"")</f>
        <v>9</v>
      </c>
    </row>
    <row r="325" spans="1:13" x14ac:dyDescent="0.2">
      <c r="A325">
        <v>157303</v>
      </c>
      <c r="B325" s="5">
        <v>44931</v>
      </c>
      <c r="C325">
        <v>63589</v>
      </c>
      <c r="D325" t="str">
        <f>PROPER(Transactions!D325)</f>
        <v>Furniture</v>
      </c>
      <c r="E325" t="s">
        <v>26</v>
      </c>
      <c r="F325" t="s">
        <v>27</v>
      </c>
      <c r="G325">
        <v>1</v>
      </c>
      <c r="H325">
        <v>24.49</v>
      </c>
      <c r="I325" s="7">
        <f>IF(Transactions!I325="",0,Transactions!I325)</f>
        <v>0.3</v>
      </c>
      <c r="J325" s="9">
        <f t="shared" si="5"/>
        <v>17.142999999999997</v>
      </c>
      <c r="K325" t="s">
        <v>16</v>
      </c>
      <c r="L325" t="s">
        <v>17</v>
      </c>
      <c r="M325" t="str">
        <f>REPLACE(Transactions!M325,1,4,"")</f>
        <v>16</v>
      </c>
    </row>
    <row r="326" spans="1:13" x14ac:dyDescent="0.2">
      <c r="A326">
        <v>157398</v>
      </c>
      <c r="B326" s="5">
        <v>45316</v>
      </c>
      <c r="C326">
        <v>16181</v>
      </c>
      <c r="D326" t="str">
        <f>PROPER(Transactions!D326)</f>
        <v>Clothing</v>
      </c>
      <c r="E326" t="s">
        <v>98</v>
      </c>
      <c r="F326" t="s">
        <v>99</v>
      </c>
      <c r="G326">
        <v>2</v>
      </c>
      <c r="H326">
        <v>27.99</v>
      </c>
      <c r="I326" s="7">
        <f>IF(Transactions!I326="",0,Transactions!I326)</f>
        <v>0</v>
      </c>
      <c r="J326" s="9">
        <f t="shared" si="5"/>
        <v>55.98</v>
      </c>
      <c r="K326" t="s">
        <v>53</v>
      </c>
      <c r="L326" t="s">
        <v>17</v>
      </c>
      <c r="M326" t="str">
        <f>REPLACE(Transactions!M326,1,4,"")</f>
        <v>15</v>
      </c>
    </row>
    <row r="327" spans="1:13" x14ac:dyDescent="0.2">
      <c r="A327">
        <v>157692</v>
      </c>
      <c r="B327" s="5">
        <v>45398</v>
      </c>
      <c r="C327">
        <v>12991</v>
      </c>
      <c r="D327" t="str">
        <f>PROPER(Transactions!D327)</f>
        <v>Clothing</v>
      </c>
      <c r="E327" t="s">
        <v>165</v>
      </c>
      <c r="F327" t="s">
        <v>166</v>
      </c>
      <c r="G327">
        <v>4</v>
      </c>
      <c r="H327">
        <v>85.49</v>
      </c>
      <c r="I327" s="7">
        <f>IF(Transactions!I327="",0,Transactions!I327)</f>
        <v>0.05</v>
      </c>
      <c r="J327" s="9">
        <f t="shared" si="5"/>
        <v>324.86199999999997</v>
      </c>
      <c r="K327" t="s">
        <v>16</v>
      </c>
      <c r="L327" t="s">
        <v>17</v>
      </c>
      <c r="M327" t="str">
        <f>REPLACE(Transactions!M327,1,4,"")</f>
        <v>9</v>
      </c>
    </row>
    <row r="328" spans="1:13" x14ac:dyDescent="0.2">
      <c r="A328">
        <v>157912</v>
      </c>
      <c r="B328" s="5">
        <v>44965</v>
      </c>
      <c r="C328">
        <v>49689</v>
      </c>
      <c r="D328" t="str">
        <f>PROPER(Transactions!D328)</f>
        <v>Furniture</v>
      </c>
      <c r="E328" t="s">
        <v>51</v>
      </c>
      <c r="F328" t="s">
        <v>52</v>
      </c>
      <c r="G328">
        <v>2</v>
      </c>
      <c r="H328">
        <v>20.99</v>
      </c>
      <c r="I328" s="7">
        <f>IF(Transactions!I328="",0,Transactions!I328)</f>
        <v>0.25</v>
      </c>
      <c r="J328" s="9">
        <f t="shared" si="5"/>
        <v>31.484999999999999</v>
      </c>
      <c r="K328" t="s">
        <v>22</v>
      </c>
      <c r="L328" t="s">
        <v>17</v>
      </c>
      <c r="M328" t="str">
        <f>REPLACE(Transactions!M328,1,4,"")</f>
        <v>9</v>
      </c>
    </row>
    <row r="329" spans="1:13" x14ac:dyDescent="0.2">
      <c r="A329">
        <v>158096</v>
      </c>
      <c r="B329" s="5">
        <v>45415</v>
      </c>
      <c r="C329">
        <v>61972</v>
      </c>
      <c r="D329" t="str">
        <f>PROPER(Transactions!D329)</f>
        <v>Beauty</v>
      </c>
      <c r="E329" t="s">
        <v>179</v>
      </c>
      <c r="F329" t="s">
        <v>180</v>
      </c>
      <c r="G329">
        <v>1</v>
      </c>
      <c r="H329">
        <v>11.99</v>
      </c>
      <c r="I329" s="7">
        <f>IF(Transactions!I329="",0,Transactions!I329)</f>
        <v>0</v>
      </c>
      <c r="J329" s="9">
        <f t="shared" si="5"/>
        <v>11.99</v>
      </c>
      <c r="K329" t="s">
        <v>36</v>
      </c>
      <c r="L329" t="s">
        <v>17</v>
      </c>
      <c r="M329" t="str">
        <f>REPLACE(Transactions!M329,1,4,"")</f>
        <v>8</v>
      </c>
    </row>
    <row r="330" spans="1:13" x14ac:dyDescent="0.2">
      <c r="A330">
        <v>158104</v>
      </c>
      <c r="B330" s="5">
        <v>44934</v>
      </c>
      <c r="C330">
        <v>31229</v>
      </c>
      <c r="D330" t="str">
        <f>PROPER(Transactions!D330)</f>
        <v>Automotive</v>
      </c>
      <c r="E330" t="s">
        <v>64</v>
      </c>
      <c r="F330" t="s">
        <v>65</v>
      </c>
      <c r="G330">
        <v>2</v>
      </c>
      <c r="H330">
        <v>4.99</v>
      </c>
      <c r="I330" s="7">
        <f>IF(Transactions!I330="",0,Transactions!I330)</f>
        <v>0</v>
      </c>
      <c r="J330" s="9">
        <f t="shared" si="5"/>
        <v>9.98</v>
      </c>
      <c r="K330" t="s">
        <v>16</v>
      </c>
      <c r="L330" t="s">
        <v>17</v>
      </c>
      <c r="M330" t="str">
        <f>REPLACE(Transactions!M330,1,4,"")</f>
        <v>20</v>
      </c>
    </row>
    <row r="331" spans="1:13" x14ac:dyDescent="0.2">
      <c r="A331">
        <v>158189</v>
      </c>
      <c r="B331" s="5">
        <v>45263</v>
      </c>
      <c r="C331">
        <v>44556</v>
      </c>
      <c r="D331" t="str">
        <f>PROPER(Transactions!D331)</f>
        <v>Home &amp; Garden</v>
      </c>
      <c r="E331" t="s">
        <v>149</v>
      </c>
      <c r="F331" t="s">
        <v>150</v>
      </c>
      <c r="G331">
        <v>1</v>
      </c>
      <c r="H331">
        <v>15.99</v>
      </c>
      <c r="I331" s="7">
        <f>IF(Transactions!I331="",0,Transactions!I331)</f>
        <v>0.2</v>
      </c>
      <c r="J331" s="9">
        <f t="shared" si="5"/>
        <v>12.792000000000002</v>
      </c>
      <c r="K331" t="s">
        <v>36</v>
      </c>
      <c r="L331" t="s">
        <v>17</v>
      </c>
      <c r="M331" t="str">
        <f>REPLACE(Transactions!M331,1,4,"")</f>
        <v>20</v>
      </c>
    </row>
    <row r="332" spans="1:13" x14ac:dyDescent="0.2">
      <c r="A332">
        <v>158635</v>
      </c>
      <c r="B332" s="5">
        <v>45631</v>
      </c>
      <c r="C332">
        <v>66513</v>
      </c>
      <c r="D332" t="str">
        <f>PROPER(Transactions!D332)</f>
        <v>Grocery</v>
      </c>
      <c r="E332" t="s">
        <v>45</v>
      </c>
      <c r="F332" t="s">
        <v>46</v>
      </c>
      <c r="G332">
        <v>1</v>
      </c>
      <c r="H332">
        <v>1.79</v>
      </c>
      <c r="I332" s="7">
        <f>IF(Transactions!I332="",0,Transactions!I332)</f>
        <v>0</v>
      </c>
      <c r="J332" s="9">
        <f t="shared" si="5"/>
        <v>1.79</v>
      </c>
      <c r="K332" t="s">
        <v>16</v>
      </c>
      <c r="L332" t="s">
        <v>37</v>
      </c>
      <c r="M332" t="str">
        <f>REPLACE(Transactions!M332,1,4,"")</f>
        <v>16</v>
      </c>
    </row>
    <row r="333" spans="1:13" x14ac:dyDescent="0.2">
      <c r="A333">
        <v>158806</v>
      </c>
      <c r="B333" s="5">
        <v>44879</v>
      </c>
      <c r="C333">
        <v>61181</v>
      </c>
      <c r="D333" t="str">
        <f>PROPER(Transactions!D333)</f>
        <v>Automotive</v>
      </c>
      <c r="E333" t="s">
        <v>131</v>
      </c>
      <c r="F333" t="s">
        <v>132</v>
      </c>
      <c r="G333">
        <v>4</v>
      </c>
      <c r="H333">
        <v>2.97</v>
      </c>
      <c r="I333" s="7">
        <f>IF(Transactions!I333="",0,Transactions!I333)</f>
        <v>0.15</v>
      </c>
      <c r="J333" s="9">
        <f t="shared" si="5"/>
        <v>10.098000000000001</v>
      </c>
      <c r="K333" t="s">
        <v>36</v>
      </c>
      <c r="L333" t="s">
        <v>17</v>
      </c>
      <c r="M333" t="str">
        <f>REPLACE(Transactions!M333,1,4,"")</f>
        <v>16</v>
      </c>
    </row>
    <row r="334" spans="1:13" x14ac:dyDescent="0.2">
      <c r="A334">
        <v>159223</v>
      </c>
      <c r="B334" s="5">
        <v>44727</v>
      </c>
      <c r="D334" t="str">
        <f>PROPER(Transactions!D334)</f>
        <v>Sports</v>
      </c>
      <c r="E334" t="s">
        <v>168</v>
      </c>
      <c r="F334" t="s">
        <v>169</v>
      </c>
      <c r="G334">
        <v>4</v>
      </c>
      <c r="H334">
        <v>7.64</v>
      </c>
      <c r="I334" s="7">
        <f>IF(Transactions!I334="",0,Transactions!I334)</f>
        <v>0.15</v>
      </c>
      <c r="J334" s="9">
        <f t="shared" si="5"/>
        <v>25.975999999999999</v>
      </c>
      <c r="K334" t="s">
        <v>16</v>
      </c>
      <c r="L334" t="s">
        <v>17</v>
      </c>
      <c r="M334" t="str">
        <f>REPLACE(Transactions!M334,1,4,"")</f>
        <v>2</v>
      </c>
    </row>
    <row r="335" spans="1:13" x14ac:dyDescent="0.2">
      <c r="A335">
        <v>159399</v>
      </c>
      <c r="B335" s="5">
        <v>45586</v>
      </c>
      <c r="C335">
        <v>44478</v>
      </c>
      <c r="D335" t="str">
        <f>PROPER(Transactions!D335)</f>
        <v>Clothing</v>
      </c>
      <c r="E335" t="s">
        <v>193</v>
      </c>
      <c r="F335" t="s">
        <v>194</v>
      </c>
      <c r="G335">
        <v>2</v>
      </c>
      <c r="H335">
        <v>58.49</v>
      </c>
      <c r="I335" s="7">
        <f>IF(Transactions!I335="",0,Transactions!I335)</f>
        <v>0.1</v>
      </c>
      <c r="J335" s="9">
        <f t="shared" si="5"/>
        <v>105.28200000000001</v>
      </c>
      <c r="K335" t="s">
        <v>36</v>
      </c>
      <c r="L335" t="s">
        <v>37</v>
      </c>
      <c r="M335" t="str">
        <f>REPLACE(Transactions!M335,1,4,"")</f>
        <v>2</v>
      </c>
    </row>
    <row r="336" spans="1:13" x14ac:dyDescent="0.2">
      <c r="A336">
        <v>159444</v>
      </c>
      <c r="B336" s="5">
        <v>45300</v>
      </c>
      <c r="C336">
        <v>97150</v>
      </c>
      <c r="D336" t="str">
        <f>PROPER(Transactions!D336)</f>
        <v>Toys</v>
      </c>
      <c r="E336" t="s">
        <v>175</v>
      </c>
      <c r="F336" t="s">
        <v>176</v>
      </c>
      <c r="G336">
        <v>5</v>
      </c>
      <c r="H336">
        <v>9.59</v>
      </c>
      <c r="I336" s="7">
        <f>IF(Transactions!I336="",0,Transactions!I336)</f>
        <v>0.2</v>
      </c>
      <c r="J336" s="9">
        <f t="shared" si="5"/>
        <v>38.360000000000007</v>
      </c>
      <c r="K336" t="s">
        <v>53</v>
      </c>
      <c r="L336" t="s">
        <v>37</v>
      </c>
      <c r="M336" t="str">
        <f>REPLACE(Transactions!M336,1,4,"")</f>
        <v>10</v>
      </c>
    </row>
    <row r="337" spans="1:13" x14ac:dyDescent="0.2">
      <c r="A337">
        <v>159477</v>
      </c>
      <c r="B337" s="5">
        <v>44672</v>
      </c>
      <c r="C337">
        <v>17424</v>
      </c>
      <c r="D337" t="str">
        <f>PROPER(Transactions!D337)</f>
        <v>Furniture</v>
      </c>
      <c r="E337" t="s">
        <v>51</v>
      </c>
      <c r="F337" t="s">
        <v>52</v>
      </c>
      <c r="G337">
        <v>1</v>
      </c>
      <c r="H337">
        <v>20.99</v>
      </c>
      <c r="I337" s="7">
        <f>IF(Transactions!I337="",0,Transactions!I337)</f>
        <v>0.25</v>
      </c>
      <c r="J337" s="9">
        <f t="shared" si="5"/>
        <v>15.7425</v>
      </c>
      <c r="K337" t="s">
        <v>36</v>
      </c>
      <c r="L337" t="s">
        <v>17</v>
      </c>
      <c r="M337" t="str">
        <f>REPLACE(Transactions!M337,1,4,"")</f>
        <v>17</v>
      </c>
    </row>
    <row r="338" spans="1:13" x14ac:dyDescent="0.2">
      <c r="A338">
        <v>159570</v>
      </c>
      <c r="B338" s="5">
        <v>44849</v>
      </c>
      <c r="C338">
        <v>41527</v>
      </c>
      <c r="D338" t="str">
        <f>PROPER(Transactions!D338)</f>
        <v>Sports</v>
      </c>
      <c r="E338" t="s">
        <v>188</v>
      </c>
      <c r="F338" t="s">
        <v>189</v>
      </c>
      <c r="G338">
        <v>5</v>
      </c>
      <c r="H338">
        <v>44.99</v>
      </c>
      <c r="I338" s="7">
        <f>IF(Transactions!I338="",0,Transactions!I338)</f>
        <v>0</v>
      </c>
      <c r="J338" s="9">
        <f t="shared" si="5"/>
        <v>224.95000000000002</v>
      </c>
      <c r="K338" t="s">
        <v>16</v>
      </c>
      <c r="L338" t="s">
        <v>17</v>
      </c>
      <c r="M338" t="str">
        <f>REPLACE(Transactions!M338,1,4,"")</f>
        <v>11</v>
      </c>
    </row>
    <row r="339" spans="1:13" x14ac:dyDescent="0.2">
      <c r="A339">
        <v>159644</v>
      </c>
      <c r="B339" s="5">
        <v>45353</v>
      </c>
      <c r="D339" t="str">
        <f>PROPER(Transactions!D339)</f>
        <v>Grocery</v>
      </c>
      <c r="E339" t="s">
        <v>107</v>
      </c>
      <c r="F339" t="s">
        <v>108</v>
      </c>
      <c r="G339">
        <v>1</v>
      </c>
      <c r="H339">
        <v>3.49</v>
      </c>
      <c r="I339" s="7">
        <f>IF(Transactions!I339="",0,Transactions!I339)</f>
        <v>0</v>
      </c>
      <c r="J339" s="9">
        <f t="shared" si="5"/>
        <v>3.49</v>
      </c>
      <c r="K339" t="s">
        <v>53</v>
      </c>
      <c r="L339" t="s">
        <v>17</v>
      </c>
      <c r="M339" t="str">
        <f>REPLACE(Transactions!M339,1,4,"")</f>
        <v/>
      </c>
    </row>
    <row r="340" spans="1:13" x14ac:dyDescent="0.2">
      <c r="A340">
        <v>159708</v>
      </c>
      <c r="B340" s="5">
        <v>44851</v>
      </c>
      <c r="C340">
        <v>82006</v>
      </c>
      <c r="D340" t="str">
        <f>PROPER(Transactions!D340)</f>
        <v>Automotive</v>
      </c>
      <c r="E340" t="s">
        <v>64</v>
      </c>
      <c r="F340" t="s">
        <v>65</v>
      </c>
      <c r="G340">
        <v>2</v>
      </c>
      <c r="H340">
        <v>4.99</v>
      </c>
      <c r="I340" s="7">
        <f>IF(Transactions!I340="",0,Transactions!I340)</f>
        <v>0</v>
      </c>
      <c r="J340" s="9">
        <f t="shared" si="5"/>
        <v>9.98</v>
      </c>
      <c r="K340" t="s">
        <v>32</v>
      </c>
      <c r="L340" t="s">
        <v>37</v>
      </c>
      <c r="M340" t="str">
        <f>REPLACE(Transactions!M340,1,4,"")</f>
        <v>19</v>
      </c>
    </row>
    <row r="341" spans="1:13" x14ac:dyDescent="0.2">
      <c r="A341">
        <v>159950</v>
      </c>
      <c r="B341" s="5">
        <v>45384</v>
      </c>
      <c r="C341">
        <v>53899</v>
      </c>
      <c r="D341" t="str">
        <f>PROPER(Transactions!D341)</f>
        <v>Toys</v>
      </c>
      <c r="E341" t="s">
        <v>30</v>
      </c>
      <c r="F341" t="s">
        <v>31</v>
      </c>
      <c r="G341">
        <v>3</v>
      </c>
      <c r="H341">
        <v>24.99</v>
      </c>
      <c r="I341" s="7">
        <f>IF(Transactions!I341="",0,Transactions!I341)</f>
        <v>0</v>
      </c>
      <c r="J341" s="9">
        <f t="shared" si="5"/>
        <v>74.97</v>
      </c>
      <c r="K341" t="s">
        <v>36</v>
      </c>
      <c r="L341" t="s">
        <v>17</v>
      </c>
      <c r="M341" t="str">
        <f>REPLACE(Transactions!M341,1,4,"")</f>
        <v>1</v>
      </c>
    </row>
    <row r="342" spans="1:13" x14ac:dyDescent="0.2">
      <c r="A342">
        <v>160041</v>
      </c>
      <c r="B342" s="5">
        <v>45065</v>
      </c>
      <c r="C342">
        <v>78034</v>
      </c>
      <c r="D342" t="str">
        <f>PROPER(Transactions!D342)</f>
        <v>Toys</v>
      </c>
      <c r="E342" t="s">
        <v>88</v>
      </c>
      <c r="F342" t="s">
        <v>89</v>
      </c>
      <c r="G342">
        <v>5</v>
      </c>
      <c r="H342">
        <v>34.99</v>
      </c>
      <c r="I342" s="7">
        <f>IF(Transactions!I342="",0,Transactions!I342)</f>
        <v>0.3</v>
      </c>
      <c r="J342" s="9">
        <f t="shared" si="5"/>
        <v>122.465</v>
      </c>
      <c r="K342" t="s">
        <v>36</v>
      </c>
      <c r="L342" t="s">
        <v>17</v>
      </c>
      <c r="M342" t="str">
        <f>REPLACE(Transactions!M342,1,4,"")</f>
        <v>10</v>
      </c>
    </row>
    <row r="343" spans="1:13" x14ac:dyDescent="0.2">
      <c r="A343">
        <v>160167</v>
      </c>
      <c r="B343" s="5">
        <v>45035</v>
      </c>
      <c r="C343">
        <v>94076</v>
      </c>
      <c r="D343" t="str">
        <f>PROPER(Transactions!D343)</f>
        <v>Beauty</v>
      </c>
      <c r="E343" t="s">
        <v>143</v>
      </c>
      <c r="F343" t="s">
        <v>144</v>
      </c>
      <c r="G343">
        <v>1</v>
      </c>
      <c r="H343">
        <v>14.99</v>
      </c>
      <c r="I343" s="7">
        <f>IF(Transactions!I343="",0,Transactions!I343)</f>
        <v>0</v>
      </c>
      <c r="J343" s="9">
        <f t="shared" si="5"/>
        <v>14.99</v>
      </c>
      <c r="K343" t="s">
        <v>16</v>
      </c>
      <c r="L343" t="s">
        <v>23</v>
      </c>
      <c r="M343" t="str">
        <f>REPLACE(Transactions!M343,1,4,"")</f>
        <v/>
      </c>
    </row>
    <row r="344" spans="1:13" x14ac:dyDescent="0.2">
      <c r="A344">
        <v>160421</v>
      </c>
      <c r="B344" s="5">
        <v>45089</v>
      </c>
      <c r="C344">
        <v>12099</v>
      </c>
      <c r="D344" t="str">
        <f>PROPER(Transactions!D344)</f>
        <v>Beauty</v>
      </c>
      <c r="E344" t="s">
        <v>118</v>
      </c>
      <c r="F344" t="s">
        <v>119</v>
      </c>
      <c r="G344">
        <v>1</v>
      </c>
      <c r="H344">
        <v>4.74</v>
      </c>
      <c r="I344" s="7">
        <f>IF(Transactions!I344="",0,Transactions!I344)</f>
        <v>0.05</v>
      </c>
      <c r="J344" s="9">
        <f t="shared" si="5"/>
        <v>4.5030000000000001</v>
      </c>
      <c r="K344" t="s">
        <v>16</v>
      </c>
      <c r="L344" t="s">
        <v>17</v>
      </c>
      <c r="M344" t="str">
        <f>REPLACE(Transactions!M344,1,4,"")</f>
        <v>19</v>
      </c>
    </row>
    <row r="345" spans="1:13" x14ac:dyDescent="0.2">
      <c r="A345">
        <v>160630</v>
      </c>
      <c r="B345" s="5">
        <v>44975</v>
      </c>
      <c r="C345">
        <v>37538</v>
      </c>
      <c r="D345" t="str">
        <f>PROPER(Transactions!D345)</f>
        <v>Clothing</v>
      </c>
      <c r="E345" t="s">
        <v>151</v>
      </c>
      <c r="F345" t="s">
        <v>152</v>
      </c>
      <c r="G345">
        <v>2</v>
      </c>
      <c r="H345">
        <v>31.49</v>
      </c>
      <c r="I345" s="7">
        <f>IF(Transactions!I345="",0,Transactions!I345)</f>
        <v>0.1</v>
      </c>
      <c r="J345" s="9">
        <f t="shared" si="5"/>
        <v>56.681999999999995</v>
      </c>
      <c r="K345" t="s">
        <v>36</v>
      </c>
      <c r="L345" t="s">
        <v>17</v>
      </c>
      <c r="M345" t="str">
        <f>REPLACE(Transactions!M345,1,4,"")</f>
        <v>7</v>
      </c>
    </row>
    <row r="346" spans="1:13" x14ac:dyDescent="0.2">
      <c r="A346">
        <v>160940</v>
      </c>
      <c r="B346" s="5">
        <v>44849</v>
      </c>
      <c r="C346">
        <v>17425</v>
      </c>
      <c r="D346" t="str">
        <f>PROPER(Transactions!D346)</f>
        <v>Furniture</v>
      </c>
      <c r="E346" t="s">
        <v>70</v>
      </c>
      <c r="F346" t="s">
        <v>71</v>
      </c>
      <c r="G346">
        <v>1</v>
      </c>
      <c r="H346">
        <v>89.99</v>
      </c>
      <c r="I346" s="7">
        <f>IF(Transactions!I346="",0,Transactions!I346)</f>
        <v>0</v>
      </c>
      <c r="J346" s="9">
        <f t="shared" si="5"/>
        <v>89.99</v>
      </c>
      <c r="K346" t="s">
        <v>16</v>
      </c>
      <c r="L346" t="s">
        <v>23</v>
      </c>
      <c r="M346" t="str">
        <f>REPLACE(Transactions!M346,1,4,"")</f>
        <v>7</v>
      </c>
    </row>
    <row r="347" spans="1:13" x14ac:dyDescent="0.2">
      <c r="A347">
        <v>161137</v>
      </c>
      <c r="B347" s="5">
        <v>45370</v>
      </c>
      <c r="C347">
        <v>12731</v>
      </c>
      <c r="D347" t="str">
        <f>PROPER(Transactions!D347)</f>
        <v>Clothing</v>
      </c>
      <c r="E347" t="s">
        <v>121</v>
      </c>
      <c r="F347" t="s">
        <v>122</v>
      </c>
      <c r="G347">
        <v>1</v>
      </c>
      <c r="H347">
        <v>12.99</v>
      </c>
      <c r="I347" s="7">
        <f>IF(Transactions!I347="",0,Transactions!I347)</f>
        <v>0</v>
      </c>
      <c r="J347" s="9">
        <f t="shared" si="5"/>
        <v>12.99</v>
      </c>
      <c r="K347" t="s">
        <v>16</v>
      </c>
      <c r="L347" t="s">
        <v>17</v>
      </c>
      <c r="M347" t="str">
        <f>REPLACE(Transactions!M347,1,4,"")</f>
        <v>10</v>
      </c>
    </row>
    <row r="348" spans="1:13" x14ac:dyDescent="0.2">
      <c r="A348">
        <v>161251</v>
      </c>
      <c r="B348" s="5">
        <v>45117</v>
      </c>
      <c r="C348">
        <v>57153</v>
      </c>
      <c r="D348" t="str">
        <f>PROPER(Transactions!D348)</f>
        <v>Sports</v>
      </c>
      <c r="E348" t="s">
        <v>188</v>
      </c>
      <c r="F348" t="s">
        <v>189</v>
      </c>
      <c r="G348">
        <v>3</v>
      </c>
      <c r="H348">
        <v>44.99</v>
      </c>
      <c r="I348" s="7">
        <f>IF(Transactions!I348="",0,Transactions!I348)</f>
        <v>0</v>
      </c>
      <c r="J348" s="9">
        <f t="shared" si="5"/>
        <v>134.97</v>
      </c>
      <c r="K348" t="s">
        <v>66</v>
      </c>
      <c r="L348" t="s">
        <v>23</v>
      </c>
      <c r="M348" t="str">
        <f>REPLACE(Transactions!M348,1,4,"")</f>
        <v>14</v>
      </c>
    </row>
    <row r="349" spans="1:13" x14ac:dyDescent="0.2">
      <c r="A349">
        <v>161324</v>
      </c>
      <c r="B349" s="5">
        <v>44950</v>
      </c>
      <c r="D349" t="str">
        <f>PROPER(Transactions!D349)</f>
        <v>Automotive</v>
      </c>
      <c r="E349" t="s">
        <v>111</v>
      </c>
      <c r="F349" t="s">
        <v>112</v>
      </c>
      <c r="G349">
        <v>1</v>
      </c>
      <c r="H349">
        <v>13.49</v>
      </c>
      <c r="I349" s="7">
        <f>IF(Transactions!I349="",0,Transactions!I349)</f>
        <v>0.1</v>
      </c>
      <c r="J349" s="9">
        <f t="shared" si="5"/>
        <v>12.141</v>
      </c>
      <c r="K349" t="s">
        <v>22</v>
      </c>
      <c r="L349" t="s">
        <v>17</v>
      </c>
      <c r="M349" t="str">
        <f>REPLACE(Transactions!M349,1,4,"")</f>
        <v>19</v>
      </c>
    </row>
    <row r="350" spans="1:13" x14ac:dyDescent="0.2">
      <c r="A350">
        <v>161418</v>
      </c>
      <c r="B350" s="5">
        <v>45122</v>
      </c>
      <c r="C350">
        <v>73812</v>
      </c>
      <c r="D350" t="str">
        <f>PROPER(Transactions!D350)</f>
        <v>Clothing</v>
      </c>
      <c r="E350" t="s">
        <v>193</v>
      </c>
      <c r="F350" t="s">
        <v>194</v>
      </c>
      <c r="G350">
        <v>2</v>
      </c>
      <c r="H350">
        <v>48.74</v>
      </c>
      <c r="I350" s="7">
        <f>IF(Transactions!I350="",0,Transactions!I350)</f>
        <v>0.25</v>
      </c>
      <c r="J350" s="9">
        <f t="shared" si="5"/>
        <v>73.11</v>
      </c>
      <c r="K350" t="s">
        <v>36</v>
      </c>
      <c r="L350" t="s">
        <v>17</v>
      </c>
      <c r="M350" t="str">
        <f>REPLACE(Transactions!M350,1,4,"")</f>
        <v>1</v>
      </c>
    </row>
    <row r="351" spans="1:13" x14ac:dyDescent="0.2">
      <c r="A351">
        <v>161444</v>
      </c>
      <c r="B351" s="5">
        <v>44563</v>
      </c>
      <c r="C351">
        <v>70234</v>
      </c>
      <c r="D351" t="str">
        <f>PROPER(Transactions!D351)</f>
        <v>Toys</v>
      </c>
      <c r="E351" t="s">
        <v>38</v>
      </c>
      <c r="F351" t="s">
        <v>39</v>
      </c>
      <c r="G351">
        <v>2</v>
      </c>
      <c r="H351">
        <v>26.99</v>
      </c>
      <c r="I351" s="7">
        <f>IF(Transactions!I351="",0,Transactions!I351)</f>
        <v>0.1</v>
      </c>
      <c r="J351" s="9">
        <f t="shared" si="5"/>
        <v>48.582000000000001</v>
      </c>
      <c r="K351" t="s">
        <v>36</v>
      </c>
      <c r="L351" t="s">
        <v>17</v>
      </c>
      <c r="M351" t="str">
        <f>REPLACE(Transactions!M351,1,4,"")</f>
        <v>17</v>
      </c>
    </row>
    <row r="352" spans="1:13" x14ac:dyDescent="0.2">
      <c r="A352">
        <v>161471</v>
      </c>
      <c r="B352" s="5">
        <v>44947</v>
      </c>
      <c r="C352">
        <v>96462</v>
      </c>
      <c r="D352" t="str">
        <f>PROPER(Transactions!D352)</f>
        <v>Grocery</v>
      </c>
      <c r="E352" t="s">
        <v>133</v>
      </c>
      <c r="F352" t="s">
        <v>134</v>
      </c>
      <c r="G352">
        <v>1</v>
      </c>
      <c r="H352">
        <v>3.03</v>
      </c>
      <c r="I352" s="7">
        <f>IF(Transactions!I352="",0,Transactions!I352)</f>
        <v>0.2</v>
      </c>
      <c r="J352" s="9">
        <f t="shared" si="5"/>
        <v>2.4239999999999999</v>
      </c>
      <c r="K352" t="s">
        <v>32</v>
      </c>
      <c r="L352" t="s">
        <v>23</v>
      </c>
      <c r="M352" t="str">
        <f>REPLACE(Transactions!M352,1,4,"")</f>
        <v>16</v>
      </c>
    </row>
    <row r="353" spans="1:13" x14ac:dyDescent="0.2">
      <c r="A353">
        <v>161926</v>
      </c>
      <c r="B353" s="5">
        <v>44983</v>
      </c>
      <c r="C353">
        <v>72753</v>
      </c>
      <c r="D353" t="str">
        <f>PROPER(Transactions!D353)</f>
        <v>Beauty</v>
      </c>
      <c r="E353" t="s">
        <v>143</v>
      </c>
      <c r="F353" t="s">
        <v>144</v>
      </c>
      <c r="G353">
        <v>2</v>
      </c>
      <c r="H353">
        <v>14.24</v>
      </c>
      <c r="I353" s="7">
        <f>IF(Transactions!I353="",0,Transactions!I353)</f>
        <v>0.05</v>
      </c>
      <c r="J353" s="9">
        <f t="shared" si="5"/>
        <v>27.055999999999997</v>
      </c>
      <c r="K353" t="s">
        <v>16</v>
      </c>
      <c r="L353" t="s">
        <v>17</v>
      </c>
      <c r="M353" t="str">
        <f>REPLACE(Transactions!M353,1,4,"")</f>
        <v>9</v>
      </c>
    </row>
    <row r="354" spans="1:13" x14ac:dyDescent="0.2">
      <c r="A354">
        <v>161971</v>
      </c>
      <c r="B354" s="5">
        <v>44960</v>
      </c>
      <c r="C354">
        <v>59073</v>
      </c>
      <c r="D354" t="str">
        <f>PROPER(Transactions!D354)</f>
        <v>Clothing</v>
      </c>
      <c r="E354" t="s">
        <v>135</v>
      </c>
      <c r="F354" t="s">
        <v>136</v>
      </c>
      <c r="G354">
        <v>1</v>
      </c>
      <c r="H354">
        <v>9.49</v>
      </c>
      <c r="I354" s="7">
        <f>IF(Transactions!I354="",0,Transactions!I354)</f>
        <v>0.05</v>
      </c>
      <c r="J354" s="9">
        <f t="shared" si="5"/>
        <v>9.0154999999999994</v>
      </c>
      <c r="K354" t="s">
        <v>16</v>
      </c>
      <c r="L354" t="s">
        <v>37</v>
      </c>
      <c r="M354" t="str">
        <f>REPLACE(Transactions!M354,1,4,"")</f>
        <v>4</v>
      </c>
    </row>
    <row r="355" spans="1:13" x14ac:dyDescent="0.2">
      <c r="A355">
        <v>162171</v>
      </c>
      <c r="B355" s="5">
        <v>45351</v>
      </c>
      <c r="C355">
        <v>45186</v>
      </c>
      <c r="D355" t="str">
        <f>PROPER(Transactions!D355)</f>
        <v>Automotive</v>
      </c>
      <c r="E355" t="s">
        <v>111</v>
      </c>
      <c r="F355" t="s">
        <v>112</v>
      </c>
      <c r="G355">
        <v>5</v>
      </c>
      <c r="H355">
        <v>11.24</v>
      </c>
      <c r="I355" s="7">
        <f>IF(Transactions!I355="",0,Transactions!I355)</f>
        <v>0.25</v>
      </c>
      <c r="J355" s="9">
        <f t="shared" si="5"/>
        <v>42.150000000000006</v>
      </c>
      <c r="K355" t="s">
        <v>36</v>
      </c>
      <c r="L355" t="s">
        <v>17</v>
      </c>
      <c r="M355" t="str">
        <f>REPLACE(Transactions!M355,1,4,"")</f>
        <v>17</v>
      </c>
    </row>
    <row r="356" spans="1:13" x14ac:dyDescent="0.2">
      <c r="A356">
        <v>162255</v>
      </c>
      <c r="B356" s="5">
        <v>44649</v>
      </c>
      <c r="C356">
        <v>19051</v>
      </c>
      <c r="D356" t="str">
        <f>PROPER(Transactions!D356)</f>
        <v>Electronics</v>
      </c>
      <c r="E356" t="s">
        <v>104</v>
      </c>
      <c r="F356" t="s">
        <v>105</v>
      </c>
      <c r="G356">
        <v>3</v>
      </c>
      <c r="H356">
        <v>20.99</v>
      </c>
      <c r="I356" s="7">
        <f>IF(Transactions!I356="",0,Transactions!I356)</f>
        <v>0.3</v>
      </c>
      <c r="J356" s="9">
        <f t="shared" si="5"/>
        <v>44.078999999999994</v>
      </c>
      <c r="K356" t="s">
        <v>53</v>
      </c>
      <c r="L356" t="s">
        <v>37</v>
      </c>
      <c r="M356" t="str">
        <f>REPLACE(Transactions!M356,1,4,"")</f>
        <v>4</v>
      </c>
    </row>
    <row r="357" spans="1:13" x14ac:dyDescent="0.2">
      <c r="A357">
        <v>162528</v>
      </c>
      <c r="B357" s="5">
        <v>45415</v>
      </c>
      <c r="C357">
        <v>26413</v>
      </c>
      <c r="D357" t="str">
        <f>PROPER(Transactions!D357)</f>
        <v>Pharmacy</v>
      </c>
      <c r="E357" t="s">
        <v>41</v>
      </c>
      <c r="F357" t="s">
        <v>42</v>
      </c>
      <c r="G357">
        <v>3</v>
      </c>
      <c r="H357">
        <v>4.1900000000000004</v>
      </c>
      <c r="I357" s="7">
        <f>IF(Transactions!I357="",0,Transactions!I357)</f>
        <v>0.3</v>
      </c>
      <c r="J357" s="9">
        <f t="shared" si="5"/>
        <v>8.7989999999999995</v>
      </c>
      <c r="K357" t="s">
        <v>16</v>
      </c>
      <c r="L357" t="s">
        <v>17</v>
      </c>
      <c r="M357" t="str">
        <f>REPLACE(Transactions!M357,1,4,"")</f>
        <v>12</v>
      </c>
    </row>
    <row r="358" spans="1:13" x14ac:dyDescent="0.2">
      <c r="A358">
        <v>162587</v>
      </c>
      <c r="B358" s="5">
        <v>45073</v>
      </c>
      <c r="C358">
        <v>47136</v>
      </c>
      <c r="D358" t="str">
        <f>PROPER(Transactions!D358)</f>
        <v>Home &amp; Garden</v>
      </c>
      <c r="E358" t="s">
        <v>129</v>
      </c>
      <c r="F358" t="s">
        <v>130</v>
      </c>
      <c r="G358">
        <v>2</v>
      </c>
      <c r="H358">
        <v>6.29</v>
      </c>
      <c r="I358" s="7">
        <f>IF(Transactions!I358="",0,Transactions!I358)</f>
        <v>0.3</v>
      </c>
      <c r="J358" s="9">
        <f t="shared" si="5"/>
        <v>8.8059999999999992</v>
      </c>
      <c r="K358" t="s">
        <v>53</v>
      </c>
      <c r="L358" t="s">
        <v>17</v>
      </c>
      <c r="M358" t="str">
        <f>REPLACE(Transactions!M358,1,4,"")</f>
        <v>14</v>
      </c>
    </row>
    <row r="359" spans="1:13" x14ac:dyDescent="0.2">
      <c r="A359">
        <v>162663</v>
      </c>
      <c r="B359" s="5">
        <v>44889</v>
      </c>
      <c r="C359">
        <v>72482</v>
      </c>
      <c r="D359" t="str">
        <f>PROPER(Transactions!D359)</f>
        <v>Pharmacy</v>
      </c>
      <c r="E359" t="s">
        <v>41</v>
      </c>
      <c r="F359" t="s">
        <v>42</v>
      </c>
      <c r="G359">
        <v>5</v>
      </c>
      <c r="H359">
        <v>4.49</v>
      </c>
      <c r="I359" s="7">
        <f>IF(Transactions!I359="",0,Transactions!I359)</f>
        <v>0.25</v>
      </c>
      <c r="J359" s="9">
        <f t="shared" si="5"/>
        <v>16.837500000000002</v>
      </c>
      <c r="K359" t="s">
        <v>95</v>
      </c>
      <c r="L359" t="s">
        <v>17</v>
      </c>
      <c r="M359" t="str">
        <f>REPLACE(Transactions!M359,1,4,"")</f>
        <v>12</v>
      </c>
    </row>
    <row r="360" spans="1:13" x14ac:dyDescent="0.2">
      <c r="A360">
        <v>162838</v>
      </c>
      <c r="B360" s="5">
        <v>45135</v>
      </c>
      <c r="C360">
        <v>69159</v>
      </c>
      <c r="D360" t="str">
        <f>PROPER(Transactions!D360)</f>
        <v>Furniture</v>
      </c>
      <c r="E360" t="s">
        <v>51</v>
      </c>
      <c r="F360" t="s">
        <v>52</v>
      </c>
      <c r="G360">
        <v>1</v>
      </c>
      <c r="H360">
        <v>23.79</v>
      </c>
      <c r="I360" s="7">
        <f>IF(Transactions!I360="",0,Transactions!I360)</f>
        <v>0.15</v>
      </c>
      <c r="J360" s="9">
        <f t="shared" si="5"/>
        <v>20.221499999999999</v>
      </c>
      <c r="K360" t="s">
        <v>36</v>
      </c>
      <c r="L360" t="s">
        <v>17</v>
      </c>
      <c r="M360" t="str">
        <f>REPLACE(Transactions!M360,1,4,"")</f>
        <v>14</v>
      </c>
    </row>
    <row r="361" spans="1:13" x14ac:dyDescent="0.2">
      <c r="A361">
        <v>162866</v>
      </c>
      <c r="B361" s="5">
        <v>44821</v>
      </c>
      <c r="C361">
        <v>87620</v>
      </c>
      <c r="D361" t="str">
        <f>PROPER(Transactions!D361)</f>
        <v>Beauty</v>
      </c>
      <c r="E361" t="s">
        <v>179</v>
      </c>
      <c r="F361" t="s">
        <v>180</v>
      </c>
      <c r="G361">
        <v>1</v>
      </c>
      <c r="H361">
        <v>11.99</v>
      </c>
      <c r="I361" s="7">
        <f>IF(Transactions!I361="",0,Transactions!I361)</f>
        <v>0</v>
      </c>
      <c r="J361" s="9">
        <f t="shared" si="5"/>
        <v>11.99</v>
      </c>
      <c r="K361" t="s">
        <v>16</v>
      </c>
      <c r="L361" t="s">
        <v>37</v>
      </c>
      <c r="M361" t="str">
        <f>REPLACE(Transactions!M361,1,4,"")</f>
        <v>9</v>
      </c>
    </row>
    <row r="362" spans="1:13" x14ac:dyDescent="0.2">
      <c r="A362">
        <v>162880</v>
      </c>
      <c r="B362" s="5">
        <v>44912</v>
      </c>
      <c r="C362">
        <v>46209</v>
      </c>
      <c r="D362" t="str">
        <f>PROPER(Transactions!D362)</f>
        <v>Home &amp; Garden</v>
      </c>
      <c r="E362" t="s">
        <v>149</v>
      </c>
      <c r="F362" t="s">
        <v>150</v>
      </c>
      <c r="G362">
        <v>1</v>
      </c>
      <c r="H362">
        <v>19.989999999999998</v>
      </c>
      <c r="I362" s="7">
        <f>IF(Transactions!I362="",0,Transactions!I362)</f>
        <v>0</v>
      </c>
      <c r="J362" s="9">
        <f t="shared" si="5"/>
        <v>19.989999999999998</v>
      </c>
      <c r="K362" t="s">
        <v>16</v>
      </c>
      <c r="L362" t="s">
        <v>17</v>
      </c>
      <c r="M362" t="str">
        <f>REPLACE(Transactions!M362,1,4,"")</f>
        <v>15</v>
      </c>
    </row>
    <row r="363" spans="1:13" x14ac:dyDescent="0.2">
      <c r="A363">
        <v>162985</v>
      </c>
      <c r="B363" s="5">
        <v>44622</v>
      </c>
      <c r="C363">
        <v>21405</v>
      </c>
      <c r="D363" t="str">
        <f>PROPER(Transactions!D363)</f>
        <v>Clothing</v>
      </c>
      <c r="E363" t="s">
        <v>193</v>
      </c>
      <c r="F363" t="s">
        <v>194</v>
      </c>
      <c r="G363">
        <v>1</v>
      </c>
      <c r="H363">
        <v>45.49</v>
      </c>
      <c r="I363" s="7">
        <f>IF(Transactions!I363="",0,Transactions!I363)</f>
        <v>0.3</v>
      </c>
      <c r="J363" s="9">
        <f t="shared" si="5"/>
        <v>31.843</v>
      </c>
      <c r="K363" t="s">
        <v>53</v>
      </c>
      <c r="L363" t="s">
        <v>17</v>
      </c>
      <c r="M363" t="str">
        <f>REPLACE(Transactions!M363,1,4,"")</f>
        <v>14</v>
      </c>
    </row>
    <row r="364" spans="1:13" x14ac:dyDescent="0.2">
      <c r="A364">
        <v>163460</v>
      </c>
      <c r="B364" s="5">
        <v>45136</v>
      </c>
      <c r="C364">
        <v>37940</v>
      </c>
      <c r="D364" t="str">
        <f>PROPER(Transactions!D364)</f>
        <v>Automotive</v>
      </c>
      <c r="E364" t="s">
        <v>111</v>
      </c>
      <c r="F364" t="s">
        <v>112</v>
      </c>
      <c r="G364">
        <v>2</v>
      </c>
      <c r="H364">
        <v>12.74</v>
      </c>
      <c r="I364" s="7">
        <f>IF(Transactions!I364="",0,Transactions!I364)</f>
        <v>0.15</v>
      </c>
      <c r="J364" s="9">
        <f t="shared" si="5"/>
        <v>21.658000000000001</v>
      </c>
      <c r="K364" t="s">
        <v>16</v>
      </c>
      <c r="L364" t="s">
        <v>17</v>
      </c>
      <c r="M364" t="str">
        <f>REPLACE(Transactions!M364,1,4,"")</f>
        <v>18</v>
      </c>
    </row>
    <row r="365" spans="1:13" x14ac:dyDescent="0.2">
      <c r="A365">
        <v>163526</v>
      </c>
      <c r="B365" s="5">
        <v>44643</v>
      </c>
      <c r="C365">
        <v>70182</v>
      </c>
      <c r="D365" t="str">
        <f>PROPER(Transactions!D365)</f>
        <v>Toys</v>
      </c>
      <c r="E365" t="s">
        <v>170</v>
      </c>
      <c r="F365" t="s">
        <v>171</v>
      </c>
      <c r="G365">
        <v>2</v>
      </c>
      <c r="H365">
        <v>14.99</v>
      </c>
      <c r="I365" s="7">
        <f>IF(Transactions!I365="",0,Transactions!I365)</f>
        <v>0</v>
      </c>
      <c r="J365" s="9">
        <f t="shared" si="5"/>
        <v>29.98</v>
      </c>
      <c r="K365" t="s">
        <v>22</v>
      </c>
      <c r="L365" t="s">
        <v>37</v>
      </c>
      <c r="M365" t="str">
        <f>REPLACE(Transactions!M365,1,4,"")</f>
        <v>12</v>
      </c>
    </row>
    <row r="366" spans="1:13" x14ac:dyDescent="0.2">
      <c r="A366">
        <v>164029</v>
      </c>
      <c r="B366" s="5">
        <v>44903</v>
      </c>
      <c r="C366">
        <v>51775</v>
      </c>
      <c r="D366" t="str">
        <f>PROPER(Transactions!D366)</f>
        <v>Toys</v>
      </c>
      <c r="E366" t="s">
        <v>170</v>
      </c>
      <c r="F366" t="s">
        <v>171</v>
      </c>
      <c r="G366">
        <v>3</v>
      </c>
      <c r="H366">
        <v>14.99</v>
      </c>
      <c r="I366" s="7">
        <f>IF(Transactions!I366="",0,Transactions!I366)</f>
        <v>0</v>
      </c>
      <c r="J366" s="9">
        <f t="shared" si="5"/>
        <v>44.97</v>
      </c>
      <c r="K366" t="s">
        <v>53</v>
      </c>
      <c r="L366" t="s">
        <v>23</v>
      </c>
      <c r="M366" t="str">
        <f>REPLACE(Transactions!M366,1,4,"")</f>
        <v>9</v>
      </c>
    </row>
    <row r="367" spans="1:13" x14ac:dyDescent="0.2">
      <c r="A367">
        <v>164153</v>
      </c>
      <c r="B367" s="5">
        <v>45218</v>
      </c>
      <c r="C367">
        <v>37617</v>
      </c>
      <c r="D367" t="str">
        <f>PROPER(Transactions!D367)</f>
        <v>Grocery</v>
      </c>
      <c r="E367" t="s">
        <v>162</v>
      </c>
      <c r="F367" t="s">
        <v>163</v>
      </c>
      <c r="G367">
        <v>3</v>
      </c>
      <c r="H367">
        <v>7.19</v>
      </c>
      <c r="I367" s="7">
        <f>IF(Transactions!I367="",0,Transactions!I367)</f>
        <v>0.1</v>
      </c>
      <c r="J367" s="9">
        <f t="shared" si="5"/>
        <v>19.413</v>
      </c>
      <c r="K367" t="s">
        <v>95</v>
      </c>
      <c r="L367" t="s">
        <v>17</v>
      </c>
      <c r="M367" t="str">
        <f>REPLACE(Transactions!M367,1,4,"")</f>
        <v>6</v>
      </c>
    </row>
    <row r="368" spans="1:13" x14ac:dyDescent="0.2">
      <c r="A368">
        <v>164211</v>
      </c>
      <c r="B368" s="5">
        <v>45073</v>
      </c>
      <c r="C368">
        <v>90680</v>
      </c>
      <c r="D368" t="str">
        <f>PROPER(Transactions!D368)</f>
        <v>Furniture</v>
      </c>
      <c r="E368" t="s">
        <v>70</v>
      </c>
      <c r="F368" t="s">
        <v>71</v>
      </c>
      <c r="G368">
        <v>2</v>
      </c>
      <c r="H368">
        <v>76.489999999999995</v>
      </c>
      <c r="I368" s="7">
        <f>IF(Transactions!I368="",0,Transactions!I368)</f>
        <v>0.15</v>
      </c>
      <c r="J368" s="9">
        <f t="shared" si="5"/>
        <v>130.03299999999999</v>
      </c>
      <c r="K368" t="s">
        <v>36</v>
      </c>
      <c r="L368" t="s">
        <v>23</v>
      </c>
      <c r="M368" t="str">
        <f>REPLACE(Transactions!M368,1,4,"")</f>
        <v>20</v>
      </c>
    </row>
    <row r="369" spans="1:13" x14ac:dyDescent="0.2">
      <c r="A369">
        <v>164226</v>
      </c>
      <c r="B369" s="5">
        <v>44695</v>
      </c>
      <c r="C369">
        <v>60899</v>
      </c>
      <c r="D369" t="str">
        <f>PROPER(Transactions!D369)</f>
        <v>Sports</v>
      </c>
      <c r="E369" t="s">
        <v>147</v>
      </c>
      <c r="F369" t="s">
        <v>148</v>
      </c>
      <c r="G369">
        <v>1</v>
      </c>
      <c r="H369">
        <v>12.34</v>
      </c>
      <c r="I369" s="7">
        <f>IF(Transactions!I369="",0,Transactions!I369)</f>
        <v>0.05</v>
      </c>
      <c r="J369" s="9">
        <f t="shared" si="5"/>
        <v>11.722999999999999</v>
      </c>
      <c r="K369" t="s">
        <v>36</v>
      </c>
      <c r="L369" t="s">
        <v>17</v>
      </c>
      <c r="M369" t="str">
        <f>REPLACE(Transactions!M369,1,4,"")</f>
        <v>4</v>
      </c>
    </row>
    <row r="370" spans="1:13" x14ac:dyDescent="0.2">
      <c r="A370">
        <v>164279</v>
      </c>
      <c r="B370" s="5">
        <v>45596</v>
      </c>
      <c r="C370">
        <v>15171</v>
      </c>
      <c r="D370" t="str">
        <f>PROPER(Transactions!D370)</f>
        <v>Clothing</v>
      </c>
      <c r="E370" t="s">
        <v>151</v>
      </c>
      <c r="F370" t="s">
        <v>152</v>
      </c>
      <c r="G370">
        <v>5</v>
      </c>
      <c r="H370">
        <v>26.24</v>
      </c>
      <c r="I370" s="7">
        <f>IF(Transactions!I370="",0,Transactions!I370)</f>
        <v>0.25</v>
      </c>
      <c r="J370" s="9">
        <f t="shared" si="5"/>
        <v>98.399999999999991</v>
      </c>
      <c r="K370" t="s">
        <v>36</v>
      </c>
      <c r="L370" t="s">
        <v>17</v>
      </c>
      <c r="M370" t="str">
        <f>REPLACE(Transactions!M370,1,4,"")</f>
        <v>18</v>
      </c>
    </row>
    <row r="371" spans="1:13" x14ac:dyDescent="0.2">
      <c r="A371">
        <v>164630</v>
      </c>
      <c r="B371" s="5">
        <v>44614</v>
      </c>
      <c r="C371">
        <v>57094</v>
      </c>
      <c r="D371" t="str">
        <f>PROPER(Transactions!D371)</f>
        <v>Grocery</v>
      </c>
      <c r="E371" t="s">
        <v>190</v>
      </c>
      <c r="F371" t="s">
        <v>191</v>
      </c>
      <c r="G371">
        <v>1</v>
      </c>
      <c r="H371">
        <v>4.29</v>
      </c>
      <c r="I371" s="7">
        <f>IF(Transactions!I371="",0,Transactions!I371)</f>
        <v>0</v>
      </c>
      <c r="J371" s="9">
        <f t="shared" si="5"/>
        <v>4.29</v>
      </c>
      <c r="K371" t="s">
        <v>16</v>
      </c>
      <c r="L371" t="s">
        <v>37</v>
      </c>
      <c r="M371" t="str">
        <f>REPLACE(Transactions!M371,1,4,"")</f>
        <v>3</v>
      </c>
    </row>
    <row r="372" spans="1:13" x14ac:dyDescent="0.2">
      <c r="A372">
        <v>164831</v>
      </c>
      <c r="B372" s="5">
        <v>44975</v>
      </c>
      <c r="C372">
        <v>38148</v>
      </c>
      <c r="D372" t="str">
        <f>PROPER(Transactions!D372)</f>
        <v>Beauty</v>
      </c>
      <c r="E372" t="s">
        <v>109</v>
      </c>
      <c r="F372" t="s">
        <v>110</v>
      </c>
      <c r="G372">
        <v>2</v>
      </c>
      <c r="H372">
        <v>5.24</v>
      </c>
      <c r="I372" s="7">
        <f>IF(Transactions!I372="",0,Transactions!I372)</f>
        <v>0.25</v>
      </c>
      <c r="J372" s="9">
        <f t="shared" si="5"/>
        <v>7.86</v>
      </c>
      <c r="K372" t="s">
        <v>16</v>
      </c>
      <c r="L372" t="s">
        <v>17</v>
      </c>
      <c r="M372" t="str">
        <f>REPLACE(Transactions!M372,1,4,"")</f>
        <v>1</v>
      </c>
    </row>
    <row r="373" spans="1:13" x14ac:dyDescent="0.2">
      <c r="A373">
        <v>165364</v>
      </c>
      <c r="B373" s="5">
        <v>45001</v>
      </c>
      <c r="C373">
        <v>90060</v>
      </c>
      <c r="D373" t="str">
        <f>PROPER(Transactions!D373)</f>
        <v>Furniture</v>
      </c>
      <c r="E373" t="s">
        <v>60</v>
      </c>
      <c r="F373" t="s">
        <v>61</v>
      </c>
      <c r="G373">
        <v>1</v>
      </c>
      <c r="H373">
        <v>38.49</v>
      </c>
      <c r="I373" s="7">
        <f>IF(Transactions!I373="",0,Transactions!I373)</f>
        <v>0.3</v>
      </c>
      <c r="J373" s="9">
        <f t="shared" si="5"/>
        <v>26.943000000000001</v>
      </c>
      <c r="K373" t="s">
        <v>16</v>
      </c>
      <c r="L373" t="s">
        <v>17</v>
      </c>
      <c r="M373" t="str">
        <f>REPLACE(Transactions!M373,1,4,"")</f>
        <v>11</v>
      </c>
    </row>
    <row r="374" spans="1:13" x14ac:dyDescent="0.2">
      <c r="A374">
        <v>165477</v>
      </c>
      <c r="B374" s="5">
        <v>44787</v>
      </c>
      <c r="C374">
        <v>74008</v>
      </c>
      <c r="D374" t="str">
        <f>PROPER(Transactions!D374)</f>
        <v>Clothing</v>
      </c>
      <c r="E374" t="s">
        <v>121</v>
      </c>
      <c r="F374" t="s">
        <v>122</v>
      </c>
      <c r="G374">
        <v>5</v>
      </c>
      <c r="H374">
        <v>11.04</v>
      </c>
      <c r="I374" s="7">
        <f>IF(Transactions!I374="",0,Transactions!I374)</f>
        <v>0.15</v>
      </c>
      <c r="J374" s="9">
        <f t="shared" si="5"/>
        <v>46.919999999999995</v>
      </c>
      <c r="K374" t="s">
        <v>95</v>
      </c>
      <c r="L374" t="s">
        <v>17</v>
      </c>
      <c r="M374" t="str">
        <f>REPLACE(Transactions!M374,1,4,"")</f>
        <v>15</v>
      </c>
    </row>
    <row r="375" spans="1:13" x14ac:dyDescent="0.2">
      <c r="A375">
        <v>165706</v>
      </c>
      <c r="B375" s="5">
        <v>45200</v>
      </c>
      <c r="D375" t="str">
        <f>PROPER(Transactions!D375)</f>
        <v>Home &amp; Garden</v>
      </c>
      <c r="E375" t="s">
        <v>86</v>
      </c>
      <c r="F375" t="s">
        <v>87</v>
      </c>
      <c r="G375">
        <v>1</v>
      </c>
      <c r="H375">
        <v>12.99</v>
      </c>
      <c r="I375" s="7">
        <f>IF(Transactions!I375="",0,Transactions!I375)</f>
        <v>0</v>
      </c>
      <c r="J375" s="9">
        <f t="shared" si="5"/>
        <v>12.99</v>
      </c>
      <c r="K375" t="s">
        <v>22</v>
      </c>
      <c r="L375" t="s">
        <v>23</v>
      </c>
      <c r="M375" t="str">
        <f>REPLACE(Transactions!M375,1,4,"")</f>
        <v>20</v>
      </c>
    </row>
    <row r="376" spans="1:13" x14ac:dyDescent="0.2">
      <c r="A376">
        <v>165715</v>
      </c>
      <c r="B376" s="5">
        <v>44886</v>
      </c>
      <c r="C376">
        <v>65789</v>
      </c>
      <c r="D376" t="str">
        <f>PROPER(Transactions!D376)</f>
        <v>Grocery</v>
      </c>
      <c r="E376" t="s">
        <v>91</v>
      </c>
      <c r="F376" t="s">
        <v>92</v>
      </c>
      <c r="G376">
        <v>2</v>
      </c>
      <c r="H376">
        <v>5.98</v>
      </c>
      <c r="I376" s="7">
        <f>IF(Transactions!I376="",0,Transactions!I376)</f>
        <v>0.05</v>
      </c>
      <c r="J376" s="9">
        <f t="shared" si="5"/>
        <v>11.362</v>
      </c>
      <c r="K376" t="s">
        <v>95</v>
      </c>
      <c r="L376" t="s">
        <v>17</v>
      </c>
      <c r="M376" t="str">
        <f>REPLACE(Transactions!M376,1,4,"")</f>
        <v>14</v>
      </c>
    </row>
    <row r="377" spans="1:13" x14ac:dyDescent="0.2">
      <c r="A377">
        <v>166052</v>
      </c>
      <c r="B377" s="5">
        <v>44613</v>
      </c>
      <c r="C377">
        <v>68891</v>
      </c>
      <c r="D377" t="str">
        <f>PROPER(Transactions!D377)</f>
        <v>Grocery</v>
      </c>
      <c r="E377" t="s">
        <v>184</v>
      </c>
      <c r="F377" t="s">
        <v>185</v>
      </c>
      <c r="G377">
        <v>2</v>
      </c>
      <c r="H377">
        <v>5.22</v>
      </c>
      <c r="I377" s="7">
        <f>IF(Transactions!I377="",0,Transactions!I377)</f>
        <v>0.05</v>
      </c>
      <c r="J377" s="9">
        <f t="shared" si="5"/>
        <v>9.9179999999999993</v>
      </c>
      <c r="K377" t="s">
        <v>36</v>
      </c>
      <c r="L377" t="s">
        <v>17</v>
      </c>
      <c r="M377" t="str">
        <f>REPLACE(Transactions!M377,1,4,"")</f>
        <v>5</v>
      </c>
    </row>
    <row r="378" spans="1:13" x14ac:dyDescent="0.2">
      <c r="A378">
        <v>166070</v>
      </c>
      <c r="B378" s="5">
        <v>44995</v>
      </c>
      <c r="C378">
        <v>76495</v>
      </c>
      <c r="D378" t="str">
        <f>PROPER(Transactions!D378)</f>
        <v>Home &amp; Garden</v>
      </c>
      <c r="E378" t="s">
        <v>86</v>
      </c>
      <c r="F378" t="s">
        <v>87</v>
      </c>
      <c r="G378">
        <v>3</v>
      </c>
      <c r="H378">
        <v>12.34</v>
      </c>
      <c r="I378" s="7">
        <f>IF(Transactions!I378="",0,Transactions!I378)</f>
        <v>0.05</v>
      </c>
      <c r="J378" s="9">
        <f t="shared" si="5"/>
        <v>35.168999999999997</v>
      </c>
      <c r="K378" t="s">
        <v>36</v>
      </c>
      <c r="L378" t="s">
        <v>17</v>
      </c>
      <c r="M378" t="str">
        <f>REPLACE(Transactions!M378,1,4,"")</f>
        <v>1</v>
      </c>
    </row>
    <row r="379" spans="1:13" x14ac:dyDescent="0.2">
      <c r="A379">
        <v>166101</v>
      </c>
      <c r="B379" s="5">
        <v>45531</v>
      </c>
      <c r="C379">
        <v>85057</v>
      </c>
      <c r="D379" t="str">
        <f>PROPER(Transactions!D379)</f>
        <v>Electronics</v>
      </c>
      <c r="E379" t="s">
        <v>104</v>
      </c>
      <c r="F379" t="s">
        <v>105</v>
      </c>
      <c r="G379">
        <v>1</v>
      </c>
      <c r="H379">
        <v>29.99</v>
      </c>
      <c r="I379" s="7">
        <f>IF(Transactions!I379="",0,Transactions!I379)</f>
        <v>0</v>
      </c>
      <c r="J379" s="9">
        <f t="shared" si="5"/>
        <v>29.99</v>
      </c>
      <c r="K379" t="s">
        <v>22</v>
      </c>
      <c r="L379" t="s">
        <v>17</v>
      </c>
      <c r="M379" t="str">
        <f>REPLACE(Transactions!M379,1,4,"")</f>
        <v/>
      </c>
    </row>
    <row r="380" spans="1:13" x14ac:dyDescent="0.2">
      <c r="A380">
        <v>166177</v>
      </c>
      <c r="B380" s="5">
        <v>45051</v>
      </c>
      <c r="C380">
        <v>53604</v>
      </c>
      <c r="D380" t="str">
        <f>PROPER(Transactions!D380)</f>
        <v>Furniture</v>
      </c>
      <c r="E380" t="s">
        <v>113</v>
      </c>
      <c r="F380" t="s">
        <v>114</v>
      </c>
      <c r="G380">
        <v>2</v>
      </c>
      <c r="H380">
        <v>89.99</v>
      </c>
      <c r="I380" s="7">
        <f>IF(Transactions!I380="",0,Transactions!I380)</f>
        <v>0.25</v>
      </c>
      <c r="J380" s="9">
        <f t="shared" si="5"/>
        <v>134.98499999999999</v>
      </c>
      <c r="K380" t="s">
        <v>36</v>
      </c>
      <c r="L380" t="s">
        <v>17</v>
      </c>
      <c r="M380" t="str">
        <f>REPLACE(Transactions!M380,1,4,"")</f>
        <v>2</v>
      </c>
    </row>
    <row r="381" spans="1:13" x14ac:dyDescent="0.2">
      <c r="A381">
        <v>166325</v>
      </c>
      <c r="B381" s="5">
        <v>44570</v>
      </c>
      <c r="C381">
        <v>87210</v>
      </c>
      <c r="D381" t="str">
        <f>PROPER(Transactions!D381)</f>
        <v>Electronics</v>
      </c>
      <c r="E381" t="s">
        <v>34</v>
      </c>
      <c r="F381" t="s">
        <v>35</v>
      </c>
      <c r="G381">
        <v>5</v>
      </c>
      <c r="H381">
        <v>24.49</v>
      </c>
      <c r="I381" s="7">
        <f>IF(Transactions!I381="",0,Transactions!I381)</f>
        <v>0</v>
      </c>
      <c r="J381" s="9">
        <f t="shared" si="5"/>
        <v>122.44999999999999</v>
      </c>
      <c r="K381" t="s">
        <v>32</v>
      </c>
      <c r="L381" t="s">
        <v>17</v>
      </c>
      <c r="M381" t="str">
        <f>REPLACE(Transactions!M381,1,4,"")</f>
        <v>3</v>
      </c>
    </row>
    <row r="382" spans="1:13" x14ac:dyDescent="0.2">
      <c r="A382">
        <v>166369</v>
      </c>
      <c r="B382" s="5">
        <v>45341</v>
      </c>
      <c r="C382">
        <v>60007</v>
      </c>
      <c r="D382" t="str">
        <f>PROPER(Transactions!D382)</f>
        <v>Grocery</v>
      </c>
      <c r="E382" t="s">
        <v>93</v>
      </c>
      <c r="F382" t="s">
        <v>94</v>
      </c>
      <c r="G382">
        <v>4</v>
      </c>
      <c r="H382">
        <v>0.9</v>
      </c>
      <c r="I382" s="7">
        <f>IF(Transactions!I382="",0,Transactions!I382)</f>
        <v>0.3</v>
      </c>
      <c r="J382" s="9">
        <f t="shared" si="5"/>
        <v>2.52</v>
      </c>
      <c r="K382" t="s">
        <v>16</v>
      </c>
      <c r="L382" t="s">
        <v>17</v>
      </c>
      <c r="M382" t="str">
        <f>REPLACE(Transactions!M382,1,4,"")</f>
        <v>7</v>
      </c>
    </row>
    <row r="383" spans="1:13" x14ac:dyDescent="0.2">
      <c r="A383">
        <v>166574</v>
      </c>
      <c r="B383" s="5">
        <v>45495</v>
      </c>
      <c r="C383">
        <v>64718</v>
      </c>
      <c r="D383" t="str">
        <f>PROPER(Transactions!D383)</f>
        <v>Home &amp; Garden</v>
      </c>
      <c r="E383" t="s">
        <v>149</v>
      </c>
      <c r="F383" t="s">
        <v>150</v>
      </c>
      <c r="G383">
        <v>1</v>
      </c>
      <c r="H383">
        <v>15.99</v>
      </c>
      <c r="I383" s="7">
        <f>IF(Transactions!I383="",0,Transactions!I383)</f>
        <v>0.2</v>
      </c>
      <c r="J383" s="9">
        <f t="shared" si="5"/>
        <v>12.792000000000002</v>
      </c>
      <c r="K383" t="s">
        <v>16</v>
      </c>
      <c r="L383" t="s">
        <v>17</v>
      </c>
      <c r="M383" t="str">
        <f>REPLACE(Transactions!M383,1,4,"")</f>
        <v>9</v>
      </c>
    </row>
    <row r="384" spans="1:13" x14ac:dyDescent="0.2">
      <c r="A384">
        <v>166947</v>
      </c>
      <c r="B384" s="5">
        <v>44646</v>
      </c>
      <c r="C384">
        <v>59251</v>
      </c>
      <c r="D384" t="str">
        <f>PROPER(Transactions!D384)</f>
        <v>Automotive</v>
      </c>
      <c r="E384" t="s">
        <v>111</v>
      </c>
      <c r="F384" t="s">
        <v>112</v>
      </c>
      <c r="G384">
        <v>3</v>
      </c>
      <c r="H384">
        <v>10.49</v>
      </c>
      <c r="I384" s="7">
        <f>IF(Transactions!I384="",0,Transactions!I384)</f>
        <v>0.3</v>
      </c>
      <c r="J384" s="9">
        <f t="shared" si="5"/>
        <v>22.028999999999996</v>
      </c>
      <c r="K384" t="s">
        <v>16</v>
      </c>
      <c r="L384" t="s">
        <v>17</v>
      </c>
      <c r="M384" t="str">
        <f>REPLACE(Transactions!M384,1,4,"")</f>
        <v>6</v>
      </c>
    </row>
    <row r="385" spans="1:13" x14ac:dyDescent="0.2">
      <c r="A385">
        <v>167054</v>
      </c>
      <c r="B385" s="5">
        <v>44662</v>
      </c>
      <c r="C385">
        <v>95732</v>
      </c>
      <c r="D385" t="str">
        <f>PROPER(Transactions!D385)</f>
        <v>Automotive</v>
      </c>
      <c r="E385" t="s">
        <v>64</v>
      </c>
      <c r="F385" t="s">
        <v>65</v>
      </c>
      <c r="G385">
        <v>3</v>
      </c>
      <c r="H385">
        <v>3.49</v>
      </c>
      <c r="I385" s="7">
        <f>IF(Transactions!I385="",0,Transactions!I385)</f>
        <v>0.3</v>
      </c>
      <c r="J385" s="9">
        <f t="shared" si="5"/>
        <v>7.3289999999999997</v>
      </c>
      <c r="K385" t="s">
        <v>16</v>
      </c>
      <c r="L385" t="s">
        <v>37</v>
      </c>
      <c r="M385" t="str">
        <f>REPLACE(Transactions!M385,1,4,"")</f>
        <v>17</v>
      </c>
    </row>
    <row r="386" spans="1:13" x14ac:dyDescent="0.2">
      <c r="A386">
        <v>167145</v>
      </c>
      <c r="B386" s="5">
        <v>45289</v>
      </c>
      <c r="C386">
        <v>78891</v>
      </c>
      <c r="D386" t="str">
        <f>PROPER(Transactions!D386)</f>
        <v>Grocery</v>
      </c>
      <c r="E386" t="s">
        <v>74</v>
      </c>
      <c r="F386" t="s">
        <v>75</v>
      </c>
      <c r="G386">
        <v>1</v>
      </c>
      <c r="H386">
        <v>2.99</v>
      </c>
      <c r="I386" s="7">
        <f>IF(Transactions!I386="",0,Transactions!I386)</f>
        <v>0</v>
      </c>
      <c r="J386" s="9">
        <f t="shared" si="5"/>
        <v>2.99</v>
      </c>
      <c r="K386" t="s">
        <v>16</v>
      </c>
      <c r="L386" t="s">
        <v>37</v>
      </c>
      <c r="M386" t="str">
        <f>REPLACE(Transactions!M386,1,4,"")</f>
        <v>16</v>
      </c>
    </row>
    <row r="387" spans="1:13" x14ac:dyDescent="0.2">
      <c r="A387">
        <v>167282</v>
      </c>
      <c r="B387" s="5">
        <v>45336</v>
      </c>
      <c r="C387">
        <v>28546</v>
      </c>
      <c r="D387" t="str">
        <f>PROPER(Transactions!D387)</f>
        <v>Home &amp; Garden</v>
      </c>
      <c r="E387" t="s">
        <v>145</v>
      </c>
      <c r="F387" t="s">
        <v>146</v>
      </c>
      <c r="G387">
        <v>2</v>
      </c>
      <c r="H387">
        <v>16.14</v>
      </c>
      <c r="I387" s="7">
        <f>IF(Transactions!I387="",0,Transactions!I387)</f>
        <v>0.05</v>
      </c>
      <c r="J387" s="9">
        <f t="shared" ref="J387:J450" si="6">(H387*G387)*(1-I387)</f>
        <v>30.666</v>
      </c>
      <c r="K387" t="s">
        <v>22</v>
      </c>
      <c r="L387" t="s">
        <v>17</v>
      </c>
      <c r="M387" t="str">
        <f>REPLACE(Transactions!M387,1,4,"")</f>
        <v>9</v>
      </c>
    </row>
    <row r="388" spans="1:13" x14ac:dyDescent="0.2">
      <c r="A388">
        <v>167755</v>
      </c>
      <c r="B388" s="5">
        <v>44937</v>
      </c>
      <c r="C388">
        <v>93147</v>
      </c>
      <c r="D388" t="str">
        <f>PROPER(Transactions!D388)</f>
        <v>Beauty</v>
      </c>
      <c r="E388" t="s">
        <v>139</v>
      </c>
      <c r="F388" t="s">
        <v>140</v>
      </c>
      <c r="G388">
        <v>3</v>
      </c>
      <c r="H388">
        <v>5.99</v>
      </c>
      <c r="I388" s="7">
        <f>IF(Transactions!I388="",0,Transactions!I388)</f>
        <v>0.25</v>
      </c>
      <c r="J388" s="9">
        <f t="shared" si="6"/>
        <v>13.477499999999999</v>
      </c>
      <c r="K388" t="s">
        <v>16</v>
      </c>
      <c r="L388" t="s">
        <v>17</v>
      </c>
      <c r="M388" t="str">
        <f>REPLACE(Transactions!M388,1,4,"")</f>
        <v>7</v>
      </c>
    </row>
    <row r="389" spans="1:13" x14ac:dyDescent="0.2">
      <c r="A389">
        <v>167897</v>
      </c>
      <c r="B389" s="5">
        <v>45524</v>
      </c>
      <c r="C389">
        <v>20472</v>
      </c>
      <c r="D389" t="str">
        <f>PROPER(Transactions!D389)</f>
        <v>Sports</v>
      </c>
      <c r="E389" t="s">
        <v>155</v>
      </c>
      <c r="F389" t="s">
        <v>156</v>
      </c>
      <c r="G389">
        <v>1</v>
      </c>
      <c r="H389">
        <v>13.99</v>
      </c>
      <c r="I389" s="7">
        <f>IF(Transactions!I389="",0,Transactions!I389)</f>
        <v>0.3</v>
      </c>
      <c r="J389" s="9">
        <f t="shared" si="6"/>
        <v>9.7929999999999993</v>
      </c>
      <c r="K389" t="s">
        <v>36</v>
      </c>
      <c r="L389" t="s">
        <v>17</v>
      </c>
      <c r="M389" t="str">
        <f>REPLACE(Transactions!M389,1,4,"")</f>
        <v>16</v>
      </c>
    </row>
    <row r="390" spans="1:13" x14ac:dyDescent="0.2">
      <c r="A390">
        <v>168234</v>
      </c>
      <c r="B390" s="5">
        <v>44797</v>
      </c>
      <c r="C390">
        <v>37552</v>
      </c>
      <c r="D390" t="str">
        <f>PROPER(Transactions!D390)</f>
        <v>Pharmacy</v>
      </c>
      <c r="E390" t="s">
        <v>58</v>
      </c>
      <c r="F390" t="s">
        <v>59</v>
      </c>
      <c r="G390">
        <v>3</v>
      </c>
      <c r="H390">
        <v>3.99</v>
      </c>
      <c r="I390" s="7">
        <f>IF(Transactions!I390="",0,Transactions!I390)</f>
        <v>0</v>
      </c>
      <c r="J390" s="9">
        <f t="shared" si="6"/>
        <v>11.97</v>
      </c>
      <c r="K390" t="s">
        <v>22</v>
      </c>
      <c r="L390" t="s">
        <v>37</v>
      </c>
      <c r="M390" t="str">
        <f>REPLACE(Transactions!M390,1,4,"")</f>
        <v/>
      </c>
    </row>
    <row r="391" spans="1:13" x14ac:dyDescent="0.2">
      <c r="A391">
        <v>168288</v>
      </c>
      <c r="B391" s="5">
        <v>45066</v>
      </c>
      <c r="C391">
        <v>62247</v>
      </c>
      <c r="D391" t="str">
        <f>PROPER(Transactions!D391)</f>
        <v>Clothing</v>
      </c>
      <c r="E391" t="s">
        <v>151</v>
      </c>
      <c r="F391" t="s">
        <v>152</v>
      </c>
      <c r="G391">
        <v>3</v>
      </c>
      <c r="H391">
        <v>31.49</v>
      </c>
      <c r="I391" s="7">
        <f>IF(Transactions!I391="",0,Transactions!I391)</f>
        <v>0.1</v>
      </c>
      <c r="J391" s="9">
        <f t="shared" si="6"/>
        <v>85.022999999999996</v>
      </c>
      <c r="K391" t="s">
        <v>16</v>
      </c>
      <c r="L391" t="s">
        <v>17</v>
      </c>
      <c r="M391" t="str">
        <f>REPLACE(Transactions!M391,1,4,"")</f>
        <v>14</v>
      </c>
    </row>
    <row r="392" spans="1:13" x14ac:dyDescent="0.2">
      <c r="A392">
        <v>168545</v>
      </c>
      <c r="B392" s="5">
        <v>45400</v>
      </c>
      <c r="C392">
        <v>87768</v>
      </c>
      <c r="D392" t="str">
        <f>PROPER(Transactions!D392)</f>
        <v>Toys</v>
      </c>
      <c r="E392" t="s">
        <v>170</v>
      </c>
      <c r="F392" t="s">
        <v>171</v>
      </c>
      <c r="G392">
        <v>4</v>
      </c>
      <c r="H392">
        <v>11.24</v>
      </c>
      <c r="I392" s="7">
        <f>IF(Transactions!I392="",0,Transactions!I392)</f>
        <v>0.25</v>
      </c>
      <c r="J392" s="9">
        <f t="shared" si="6"/>
        <v>33.72</v>
      </c>
      <c r="K392" t="s">
        <v>16</v>
      </c>
      <c r="L392" t="s">
        <v>17</v>
      </c>
      <c r="M392" t="str">
        <f>REPLACE(Transactions!M392,1,4,"")</f>
        <v>7</v>
      </c>
    </row>
    <row r="393" spans="1:13" x14ac:dyDescent="0.2">
      <c r="A393">
        <v>168637</v>
      </c>
      <c r="B393" s="5">
        <v>45213</v>
      </c>
      <c r="C393">
        <v>12440</v>
      </c>
      <c r="D393" t="str">
        <f>PROPER(Transactions!D393)</f>
        <v>Clothing</v>
      </c>
      <c r="E393" t="s">
        <v>165</v>
      </c>
      <c r="F393" t="s">
        <v>166</v>
      </c>
      <c r="G393">
        <v>2</v>
      </c>
      <c r="H393">
        <v>67.489999999999995</v>
      </c>
      <c r="I393" s="7">
        <f>IF(Transactions!I393="",0,Transactions!I393)</f>
        <v>0.25</v>
      </c>
      <c r="J393" s="9">
        <f t="shared" si="6"/>
        <v>101.23499999999999</v>
      </c>
      <c r="K393" t="s">
        <v>16</v>
      </c>
      <c r="L393" t="s">
        <v>17</v>
      </c>
      <c r="M393" t="str">
        <f>REPLACE(Transactions!M393,1,4,"")</f>
        <v>18</v>
      </c>
    </row>
    <row r="394" spans="1:13" x14ac:dyDescent="0.2">
      <c r="A394">
        <v>168776</v>
      </c>
      <c r="B394" s="5">
        <v>45321</v>
      </c>
      <c r="C394">
        <v>78637</v>
      </c>
      <c r="D394" t="str">
        <f>PROPER(Transactions!D394)</f>
        <v>Electronics</v>
      </c>
      <c r="E394" t="s">
        <v>127</v>
      </c>
      <c r="F394" t="s">
        <v>128</v>
      </c>
      <c r="G394">
        <v>5</v>
      </c>
      <c r="H394">
        <v>18.989999999999998</v>
      </c>
      <c r="I394" s="7">
        <f>IF(Transactions!I394="",0,Transactions!I394)</f>
        <v>0.05</v>
      </c>
      <c r="J394" s="9">
        <f t="shared" si="6"/>
        <v>90.202499999999986</v>
      </c>
      <c r="K394" t="s">
        <v>16</v>
      </c>
      <c r="L394" t="s">
        <v>37</v>
      </c>
      <c r="M394" t="str">
        <f>REPLACE(Transactions!M394,1,4,"")</f>
        <v>10</v>
      </c>
    </row>
    <row r="395" spans="1:13" x14ac:dyDescent="0.2">
      <c r="A395">
        <v>169067</v>
      </c>
      <c r="B395" s="5">
        <v>45514</v>
      </c>
      <c r="C395">
        <v>79639</v>
      </c>
      <c r="D395" t="str">
        <f>PROPER(Transactions!D395)</f>
        <v>Grocery</v>
      </c>
      <c r="E395" t="s">
        <v>162</v>
      </c>
      <c r="F395" t="s">
        <v>163</v>
      </c>
      <c r="G395">
        <v>4</v>
      </c>
      <c r="H395">
        <v>6.39</v>
      </c>
      <c r="I395" s="7">
        <f>IF(Transactions!I395="",0,Transactions!I395)</f>
        <v>0.2</v>
      </c>
      <c r="J395" s="9">
        <f t="shared" si="6"/>
        <v>20.448</v>
      </c>
      <c r="K395" t="s">
        <v>36</v>
      </c>
      <c r="L395" t="s">
        <v>17</v>
      </c>
      <c r="M395" t="str">
        <f>REPLACE(Transactions!M395,1,4,"")</f>
        <v>9</v>
      </c>
    </row>
    <row r="396" spans="1:13" x14ac:dyDescent="0.2">
      <c r="A396">
        <v>169237</v>
      </c>
      <c r="B396" s="5">
        <v>45084</v>
      </c>
      <c r="C396">
        <v>75225</v>
      </c>
      <c r="D396" t="str">
        <f>PROPER(Transactions!D396)</f>
        <v>Home &amp; Garden</v>
      </c>
      <c r="E396" t="s">
        <v>157</v>
      </c>
      <c r="F396" t="s">
        <v>158</v>
      </c>
      <c r="G396">
        <v>3</v>
      </c>
      <c r="H396">
        <v>12.14</v>
      </c>
      <c r="I396" s="7">
        <f>IF(Transactions!I396="",0,Transactions!I396)</f>
        <v>0.1</v>
      </c>
      <c r="J396" s="9">
        <f t="shared" si="6"/>
        <v>32.778000000000006</v>
      </c>
      <c r="K396" t="s">
        <v>36</v>
      </c>
      <c r="L396" t="s">
        <v>23</v>
      </c>
      <c r="M396" t="str">
        <f>REPLACE(Transactions!M396,1,4,"")</f>
        <v>6</v>
      </c>
    </row>
    <row r="397" spans="1:13" x14ac:dyDescent="0.2">
      <c r="A397">
        <v>169243</v>
      </c>
      <c r="B397" s="5">
        <v>44924</v>
      </c>
      <c r="C397">
        <v>84660</v>
      </c>
      <c r="D397" t="str">
        <f>PROPER(Transactions!D397)</f>
        <v>Beauty</v>
      </c>
      <c r="E397" t="s">
        <v>109</v>
      </c>
      <c r="F397" t="s">
        <v>110</v>
      </c>
      <c r="G397">
        <v>1</v>
      </c>
      <c r="H397">
        <v>6.99</v>
      </c>
      <c r="I397" s="7">
        <f>IF(Transactions!I397="",0,Transactions!I397)</f>
        <v>0</v>
      </c>
      <c r="J397" s="9">
        <f t="shared" si="6"/>
        <v>6.99</v>
      </c>
      <c r="K397" t="s">
        <v>22</v>
      </c>
      <c r="L397" t="s">
        <v>37</v>
      </c>
      <c r="M397" t="str">
        <f>REPLACE(Transactions!M397,1,4,"")</f>
        <v>3</v>
      </c>
    </row>
    <row r="398" spans="1:13" x14ac:dyDescent="0.2">
      <c r="A398">
        <v>169258</v>
      </c>
      <c r="B398" s="5">
        <v>44938</v>
      </c>
      <c r="C398">
        <v>11076</v>
      </c>
      <c r="D398" t="str">
        <f>PROPER(Transactions!D398)</f>
        <v>Electronics</v>
      </c>
      <c r="E398" t="s">
        <v>104</v>
      </c>
      <c r="F398" t="s">
        <v>105</v>
      </c>
      <c r="G398">
        <v>1</v>
      </c>
      <c r="H398">
        <v>29.99</v>
      </c>
      <c r="I398" s="7">
        <f>IF(Transactions!I398="",0,Transactions!I398)</f>
        <v>0</v>
      </c>
      <c r="J398" s="9">
        <f t="shared" si="6"/>
        <v>29.99</v>
      </c>
      <c r="K398" t="s">
        <v>32</v>
      </c>
      <c r="L398" t="s">
        <v>37</v>
      </c>
      <c r="M398" t="str">
        <f>REPLACE(Transactions!M398,1,4,"")</f>
        <v>13</v>
      </c>
    </row>
    <row r="399" spans="1:13" x14ac:dyDescent="0.2">
      <c r="A399">
        <v>169658</v>
      </c>
      <c r="B399" s="5">
        <v>44932</v>
      </c>
      <c r="C399">
        <v>12995</v>
      </c>
      <c r="D399" t="str">
        <f>PROPER(Transactions!D399)</f>
        <v>Pharmacy</v>
      </c>
      <c r="E399" t="s">
        <v>41</v>
      </c>
      <c r="F399" t="s">
        <v>42</v>
      </c>
      <c r="G399">
        <v>4</v>
      </c>
      <c r="H399">
        <v>5.99</v>
      </c>
      <c r="I399" s="7">
        <f>IF(Transactions!I399="",0,Transactions!I399)</f>
        <v>0</v>
      </c>
      <c r="J399" s="9">
        <f t="shared" si="6"/>
        <v>23.96</v>
      </c>
      <c r="K399" t="s">
        <v>16</v>
      </c>
      <c r="L399" t="s">
        <v>37</v>
      </c>
      <c r="M399" t="str">
        <f>REPLACE(Transactions!M399,1,4,"")</f>
        <v>6</v>
      </c>
    </row>
    <row r="400" spans="1:13" x14ac:dyDescent="0.2">
      <c r="A400">
        <v>169933</v>
      </c>
      <c r="B400" s="5">
        <v>45310</v>
      </c>
      <c r="C400">
        <v>78508</v>
      </c>
      <c r="D400" t="str">
        <f>PROPER(Transactions!D400)</f>
        <v>Beauty</v>
      </c>
      <c r="E400" t="s">
        <v>118</v>
      </c>
      <c r="F400" t="s">
        <v>119</v>
      </c>
      <c r="G400">
        <v>3</v>
      </c>
      <c r="H400">
        <v>4.99</v>
      </c>
      <c r="I400" s="7">
        <f>IF(Transactions!I400="",0,Transactions!I400)</f>
        <v>0</v>
      </c>
      <c r="J400" s="9">
        <f t="shared" si="6"/>
        <v>14.97</v>
      </c>
      <c r="K400" t="s">
        <v>16</v>
      </c>
      <c r="L400" t="s">
        <v>17</v>
      </c>
      <c r="M400" t="str">
        <f>REPLACE(Transactions!M400,1,4,"")</f>
        <v>14</v>
      </c>
    </row>
    <row r="401" spans="1:13" x14ac:dyDescent="0.2">
      <c r="A401">
        <v>170304</v>
      </c>
      <c r="B401" s="5">
        <v>45414</v>
      </c>
      <c r="C401">
        <v>36118</v>
      </c>
      <c r="D401" t="str">
        <f>PROPER(Transactions!D401)</f>
        <v>Pharmacy</v>
      </c>
      <c r="E401" t="s">
        <v>20</v>
      </c>
      <c r="F401" t="s">
        <v>21</v>
      </c>
      <c r="G401">
        <v>1</v>
      </c>
      <c r="H401">
        <v>9.99</v>
      </c>
      <c r="I401" s="7">
        <f>IF(Transactions!I401="",0,Transactions!I401)</f>
        <v>0</v>
      </c>
      <c r="J401" s="9">
        <f t="shared" si="6"/>
        <v>9.99</v>
      </c>
      <c r="K401" t="s">
        <v>22</v>
      </c>
      <c r="L401" t="s">
        <v>17</v>
      </c>
      <c r="M401" t="str">
        <f>REPLACE(Transactions!M401,1,4,"")</f>
        <v>12</v>
      </c>
    </row>
    <row r="402" spans="1:13" x14ac:dyDescent="0.2">
      <c r="A402">
        <v>170639</v>
      </c>
      <c r="B402" s="5">
        <v>45006</v>
      </c>
      <c r="D402" t="str">
        <f>PROPER(Transactions!D402)</f>
        <v>Sports</v>
      </c>
      <c r="E402" t="s">
        <v>168</v>
      </c>
      <c r="F402" t="s">
        <v>169</v>
      </c>
      <c r="G402">
        <v>2</v>
      </c>
      <c r="H402">
        <v>6.74</v>
      </c>
      <c r="I402" s="7">
        <f>IF(Transactions!I402="",0,Transactions!I402)</f>
        <v>0.25</v>
      </c>
      <c r="J402" s="9">
        <f t="shared" si="6"/>
        <v>10.11</v>
      </c>
      <c r="K402" t="s">
        <v>53</v>
      </c>
      <c r="L402" t="s">
        <v>17</v>
      </c>
      <c r="M402" t="str">
        <f>REPLACE(Transactions!M402,1,4,"")</f>
        <v>11</v>
      </c>
    </row>
    <row r="403" spans="1:13" x14ac:dyDescent="0.2">
      <c r="A403">
        <v>171074</v>
      </c>
      <c r="B403" s="5">
        <v>44586</v>
      </c>
      <c r="C403">
        <v>53637</v>
      </c>
      <c r="D403" t="str">
        <f>PROPER(Transactions!D403)</f>
        <v>Clothing</v>
      </c>
      <c r="E403" t="s">
        <v>181</v>
      </c>
      <c r="F403" t="s">
        <v>182</v>
      </c>
      <c r="G403">
        <v>2</v>
      </c>
      <c r="H403">
        <v>12.74</v>
      </c>
      <c r="I403" s="7">
        <f>IF(Transactions!I403="",0,Transactions!I403)</f>
        <v>0.15</v>
      </c>
      <c r="J403" s="9">
        <f t="shared" si="6"/>
        <v>21.658000000000001</v>
      </c>
      <c r="K403" t="s">
        <v>16</v>
      </c>
      <c r="L403" t="s">
        <v>23</v>
      </c>
      <c r="M403" t="str">
        <f>REPLACE(Transactions!M403,1,4,"")</f>
        <v>1</v>
      </c>
    </row>
    <row r="404" spans="1:13" x14ac:dyDescent="0.2">
      <c r="A404">
        <v>171192</v>
      </c>
      <c r="B404" s="5">
        <v>44676</v>
      </c>
      <c r="C404">
        <v>40803</v>
      </c>
      <c r="D404" t="str">
        <f>PROPER(Transactions!D404)</f>
        <v>Furniture</v>
      </c>
      <c r="E404" t="s">
        <v>26</v>
      </c>
      <c r="F404" t="s">
        <v>27</v>
      </c>
      <c r="G404">
        <v>2</v>
      </c>
      <c r="H404">
        <v>34.99</v>
      </c>
      <c r="I404" s="7">
        <f>IF(Transactions!I404="",0,Transactions!I404)</f>
        <v>0</v>
      </c>
      <c r="J404" s="9">
        <f t="shared" si="6"/>
        <v>69.98</v>
      </c>
      <c r="K404" t="s">
        <v>16</v>
      </c>
      <c r="L404" t="s">
        <v>17</v>
      </c>
      <c r="M404" t="str">
        <f>REPLACE(Transactions!M404,1,4,"")</f>
        <v>9</v>
      </c>
    </row>
    <row r="405" spans="1:13" x14ac:dyDescent="0.2">
      <c r="A405">
        <v>171198</v>
      </c>
      <c r="B405" s="5">
        <v>44688</v>
      </c>
      <c r="C405">
        <v>68752</v>
      </c>
      <c r="D405" t="str">
        <f>PROPER(Transactions!D405)</f>
        <v>Sports</v>
      </c>
      <c r="E405" t="s">
        <v>168</v>
      </c>
      <c r="F405" t="s">
        <v>169</v>
      </c>
      <c r="G405">
        <v>4</v>
      </c>
      <c r="H405">
        <v>8.99</v>
      </c>
      <c r="I405" s="7">
        <f>IF(Transactions!I405="",0,Transactions!I405)</f>
        <v>0</v>
      </c>
      <c r="J405" s="9">
        <f t="shared" si="6"/>
        <v>35.96</v>
      </c>
      <c r="K405" t="s">
        <v>22</v>
      </c>
      <c r="L405" t="s">
        <v>17</v>
      </c>
      <c r="M405" t="str">
        <f>REPLACE(Transactions!M405,1,4,"")</f>
        <v>10</v>
      </c>
    </row>
    <row r="406" spans="1:13" x14ac:dyDescent="0.2">
      <c r="A406">
        <v>171216</v>
      </c>
      <c r="B406" s="5">
        <v>45412</v>
      </c>
      <c r="C406">
        <v>83529</v>
      </c>
      <c r="D406" t="str">
        <f>PROPER(Transactions!D406)</f>
        <v>Pharmacy</v>
      </c>
      <c r="E406" t="s">
        <v>115</v>
      </c>
      <c r="F406" t="s">
        <v>116</v>
      </c>
      <c r="G406">
        <v>1</v>
      </c>
      <c r="H406">
        <v>12.34</v>
      </c>
      <c r="I406" s="7">
        <f>IF(Transactions!I406="",0,Transactions!I406)</f>
        <v>0</v>
      </c>
      <c r="J406" s="9">
        <f t="shared" si="6"/>
        <v>12.34</v>
      </c>
      <c r="K406" t="s">
        <v>32</v>
      </c>
      <c r="L406" t="s">
        <v>17</v>
      </c>
      <c r="M406" t="str">
        <f>REPLACE(Transactions!M406,1,4,"")</f>
        <v>13</v>
      </c>
    </row>
    <row r="407" spans="1:13" x14ac:dyDescent="0.2">
      <c r="A407">
        <v>171292</v>
      </c>
      <c r="B407" s="5">
        <v>44940</v>
      </c>
      <c r="C407">
        <v>93898</v>
      </c>
      <c r="D407" t="str">
        <f>PROPER(Transactions!D407)</f>
        <v>Home &amp; Garden</v>
      </c>
      <c r="E407" t="s">
        <v>137</v>
      </c>
      <c r="F407" t="s">
        <v>138</v>
      </c>
      <c r="G407">
        <v>5</v>
      </c>
      <c r="H407">
        <v>7.99</v>
      </c>
      <c r="I407" s="7">
        <f>IF(Transactions!I407="",0,Transactions!I407)</f>
        <v>0</v>
      </c>
      <c r="J407" s="9">
        <f t="shared" si="6"/>
        <v>39.950000000000003</v>
      </c>
      <c r="K407" t="s">
        <v>16</v>
      </c>
      <c r="L407" t="s">
        <v>37</v>
      </c>
      <c r="M407" t="str">
        <f>REPLACE(Transactions!M407,1,4,"")</f>
        <v>11</v>
      </c>
    </row>
    <row r="408" spans="1:13" x14ac:dyDescent="0.2">
      <c r="A408">
        <v>171657</v>
      </c>
      <c r="B408" s="5">
        <v>44708</v>
      </c>
      <c r="C408">
        <v>73268</v>
      </c>
      <c r="D408" t="str">
        <f>PROPER(Transactions!D408)</f>
        <v>Toys</v>
      </c>
      <c r="E408" t="s">
        <v>38</v>
      </c>
      <c r="F408" t="s">
        <v>39</v>
      </c>
      <c r="G408">
        <v>3</v>
      </c>
      <c r="H408">
        <v>22.49</v>
      </c>
      <c r="I408" s="7">
        <f>IF(Transactions!I408="",0,Transactions!I408)</f>
        <v>0.25</v>
      </c>
      <c r="J408" s="9">
        <f t="shared" si="6"/>
        <v>50.602499999999999</v>
      </c>
      <c r="K408" t="s">
        <v>16</v>
      </c>
      <c r="L408" t="s">
        <v>17</v>
      </c>
      <c r="M408" t="str">
        <f>REPLACE(Transactions!M408,1,4,"")</f>
        <v>1</v>
      </c>
    </row>
    <row r="409" spans="1:13" x14ac:dyDescent="0.2">
      <c r="A409">
        <v>171922</v>
      </c>
      <c r="B409" s="5">
        <v>44628</v>
      </c>
      <c r="C409">
        <v>36784</v>
      </c>
      <c r="D409" t="str">
        <f>PROPER(Transactions!D409)</f>
        <v>Sports</v>
      </c>
      <c r="E409" t="s">
        <v>83</v>
      </c>
      <c r="F409" t="s">
        <v>84</v>
      </c>
      <c r="G409">
        <v>2</v>
      </c>
      <c r="H409">
        <v>16.989999999999998</v>
      </c>
      <c r="I409" s="7">
        <f>IF(Transactions!I409="",0,Transactions!I409)</f>
        <v>0</v>
      </c>
      <c r="J409" s="9">
        <f t="shared" si="6"/>
        <v>33.979999999999997</v>
      </c>
      <c r="K409" t="s">
        <v>16</v>
      </c>
      <c r="L409" t="s">
        <v>17</v>
      </c>
      <c r="M409" t="str">
        <f>REPLACE(Transactions!M409,1,4,"")</f>
        <v>9</v>
      </c>
    </row>
    <row r="410" spans="1:13" x14ac:dyDescent="0.2">
      <c r="A410">
        <v>171951</v>
      </c>
      <c r="B410" s="5">
        <v>44668</v>
      </c>
      <c r="C410">
        <v>42411</v>
      </c>
      <c r="D410" t="str">
        <f>PROPER(Transactions!D410)</f>
        <v>Clothing</v>
      </c>
      <c r="E410" t="s">
        <v>181</v>
      </c>
      <c r="F410" t="s">
        <v>182</v>
      </c>
      <c r="G410">
        <v>1</v>
      </c>
      <c r="H410">
        <v>12.74</v>
      </c>
      <c r="I410" s="7">
        <f>IF(Transactions!I410="",0,Transactions!I410)</f>
        <v>0.15</v>
      </c>
      <c r="J410" s="9">
        <f t="shared" si="6"/>
        <v>10.829000000000001</v>
      </c>
      <c r="K410" t="s">
        <v>22</v>
      </c>
      <c r="L410" t="s">
        <v>37</v>
      </c>
      <c r="M410" t="str">
        <f>REPLACE(Transactions!M410,1,4,"")</f>
        <v>4</v>
      </c>
    </row>
    <row r="411" spans="1:13" x14ac:dyDescent="0.2">
      <c r="A411">
        <v>172008</v>
      </c>
      <c r="B411" s="5">
        <v>45453</v>
      </c>
      <c r="C411">
        <v>40674</v>
      </c>
      <c r="D411" t="str">
        <f>PROPER(Transactions!D411)</f>
        <v>Electronics</v>
      </c>
      <c r="E411" t="s">
        <v>77</v>
      </c>
      <c r="F411" t="s">
        <v>78</v>
      </c>
      <c r="G411">
        <v>1</v>
      </c>
      <c r="H411">
        <v>374.99</v>
      </c>
      <c r="I411" s="7">
        <f>IF(Transactions!I411="",0,Transactions!I411)</f>
        <v>0.25</v>
      </c>
      <c r="J411" s="9">
        <f t="shared" si="6"/>
        <v>281.24250000000001</v>
      </c>
      <c r="K411" t="s">
        <v>36</v>
      </c>
      <c r="L411" t="s">
        <v>37</v>
      </c>
      <c r="M411" t="str">
        <f>REPLACE(Transactions!M411,1,4,"")</f>
        <v>6</v>
      </c>
    </row>
    <row r="412" spans="1:13" x14ac:dyDescent="0.2">
      <c r="A412">
        <v>172109</v>
      </c>
      <c r="B412" s="5">
        <v>45479</v>
      </c>
      <c r="D412" t="str">
        <f>PROPER(Transactions!D412)</f>
        <v>Electronics</v>
      </c>
      <c r="E412" t="s">
        <v>34</v>
      </c>
      <c r="F412" t="s">
        <v>35</v>
      </c>
      <c r="G412">
        <v>1</v>
      </c>
      <c r="H412">
        <v>29.74</v>
      </c>
      <c r="I412" s="7">
        <f>IF(Transactions!I412="",0,Transactions!I412)</f>
        <v>0.15</v>
      </c>
      <c r="J412" s="9">
        <f t="shared" si="6"/>
        <v>25.278999999999996</v>
      </c>
      <c r="K412" t="s">
        <v>36</v>
      </c>
      <c r="L412" t="s">
        <v>23</v>
      </c>
      <c r="M412" t="str">
        <f>REPLACE(Transactions!M412,1,4,"")</f>
        <v>14</v>
      </c>
    </row>
    <row r="413" spans="1:13" x14ac:dyDescent="0.2">
      <c r="A413">
        <v>172472</v>
      </c>
      <c r="B413" s="5">
        <v>45500</v>
      </c>
      <c r="C413">
        <v>94140</v>
      </c>
      <c r="D413" t="str">
        <f>PROPER(Transactions!D413)</f>
        <v>Automotive</v>
      </c>
      <c r="E413" t="s">
        <v>125</v>
      </c>
      <c r="F413" t="s">
        <v>126</v>
      </c>
      <c r="G413">
        <v>1</v>
      </c>
      <c r="H413">
        <v>25.49</v>
      </c>
      <c r="I413" s="7">
        <f>IF(Transactions!I413="",0,Transactions!I413)</f>
        <v>0.15</v>
      </c>
      <c r="J413" s="9">
        <f t="shared" si="6"/>
        <v>21.666499999999999</v>
      </c>
      <c r="K413" t="s">
        <v>16</v>
      </c>
      <c r="L413" t="s">
        <v>17</v>
      </c>
      <c r="M413" t="str">
        <f>REPLACE(Transactions!M413,1,4,"")</f>
        <v>7</v>
      </c>
    </row>
    <row r="414" spans="1:13" x14ac:dyDescent="0.2">
      <c r="A414">
        <v>172534</v>
      </c>
      <c r="B414" s="5">
        <v>44600</v>
      </c>
      <c r="C414">
        <v>90453</v>
      </c>
      <c r="D414" t="str">
        <f>PROPER(Transactions!D414)</f>
        <v>Home &amp; Garden</v>
      </c>
      <c r="E414" t="s">
        <v>145</v>
      </c>
      <c r="F414" t="s">
        <v>146</v>
      </c>
      <c r="G414">
        <v>2</v>
      </c>
      <c r="H414">
        <v>11.89</v>
      </c>
      <c r="I414" s="7">
        <f>IF(Transactions!I414="",0,Transactions!I414)</f>
        <v>0.3</v>
      </c>
      <c r="J414" s="9">
        <f t="shared" si="6"/>
        <v>16.646000000000001</v>
      </c>
      <c r="K414" t="s">
        <v>16</v>
      </c>
      <c r="L414" t="s">
        <v>17</v>
      </c>
      <c r="M414" t="str">
        <f>REPLACE(Transactions!M414,1,4,"")</f>
        <v>13</v>
      </c>
    </row>
    <row r="415" spans="1:13" x14ac:dyDescent="0.2">
      <c r="A415">
        <v>173101</v>
      </c>
      <c r="B415" s="5">
        <v>45525</v>
      </c>
      <c r="C415">
        <v>76287</v>
      </c>
      <c r="D415" t="str">
        <f>PROPER(Transactions!D415)</f>
        <v>Home &amp; Garden</v>
      </c>
      <c r="E415" t="s">
        <v>153</v>
      </c>
      <c r="F415" t="s">
        <v>154</v>
      </c>
      <c r="G415">
        <v>1</v>
      </c>
      <c r="H415">
        <v>29.99</v>
      </c>
      <c r="I415" s="7">
        <f>IF(Transactions!I415="",0,Transactions!I415)</f>
        <v>0</v>
      </c>
      <c r="J415" s="9">
        <f t="shared" si="6"/>
        <v>29.99</v>
      </c>
      <c r="K415" t="s">
        <v>16</v>
      </c>
      <c r="L415" t="s">
        <v>17</v>
      </c>
      <c r="M415" t="str">
        <f>REPLACE(Transactions!M415,1,4,"")</f>
        <v>5</v>
      </c>
    </row>
    <row r="416" spans="1:13" x14ac:dyDescent="0.2">
      <c r="A416">
        <v>173131</v>
      </c>
      <c r="B416" s="5">
        <v>45563</v>
      </c>
      <c r="C416">
        <v>92625</v>
      </c>
      <c r="D416" t="str">
        <f>PROPER(Transactions!D416)</f>
        <v>Electronics</v>
      </c>
      <c r="E416" t="s">
        <v>77</v>
      </c>
      <c r="F416" t="s">
        <v>78</v>
      </c>
      <c r="G416">
        <v>1</v>
      </c>
      <c r="H416">
        <v>424.99</v>
      </c>
      <c r="I416" s="7">
        <f>IF(Transactions!I416="",0,Transactions!I416)</f>
        <v>0.15</v>
      </c>
      <c r="J416" s="9">
        <f t="shared" si="6"/>
        <v>361.24149999999997</v>
      </c>
      <c r="K416" t="s">
        <v>16</v>
      </c>
      <c r="L416" t="s">
        <v>17</v>
      </c>
      <c r="M416" t="str">
        <f>REPLACE(Transactions!M416,1,4,"")</f>
        <v>3</v>
      </c>
    </row>
    <row r="417" spans="1:13" x14ac:dyDescent="0.2">
      <c r="A417">
        <v>173175</v>
      </c>
      <c r="B417" s="5">
        <v>45010</v>
      </c>
      <c r="C417">
        <v>16015</v>
      </c>
      <c r="D417" t="str">
        <f>PROPER(Transactions!D417)</f>
        <v>Pharmacy</v>
      </c>
      <c r="E417" t="s">
        <v>58</v>
      </c>
      <c r="F417" t="s">
        <v>59</v>
      </c>
      <c r="G417">
        <v>1</v>
      </c>
      <c r="H417">
        <v>2.99</v>
      </c>
      <c r="I417" s="7">
        <f>IF(Transactions!I417="",0,Transactions!I417)</f>
        <v>0.25</v>
      </c>
      <c r="J417" s="9">
        <f t="shared" si="6"/>
        <v>2.2425000000000002</v>
      </c>
      <c r="K417" t="s">
        <v>95</v>
      </c>
      <c r="L417" t="s">
        <v>17</v>
      </c>
      <c r="M417" t="str">
        <f>REPLACE(Transactions!M417,1,4,"")</f>
        <v>16</v>
      </c>
    </row>
    <row r="418" spans="1:13" x14ac:dyDescent="0.2">
      <c r="A418">
        <v>173180</v>
      </c>
      <c r="B418" s="5">
        <v>45235</v>
      </c>
      <c r="D418" t="str">
        <f>PROPER(Transactions!D418)</f>
        <v>Electronics</v>
      </c>
      <c r="E418" t="s">
        <v>127</v>
      </c>
      <c r="F418" t="s">
        <v>128</v>
      </c>
      <c r="G418">
        <v>1</v>
      </c>
      <c r="H418">
        <v>15.99</v>
      </c>
      <c r="I418" s="7">
        <f>IF(Transactions!I418="",0,Transactions!I418)</f>
        <v>0.2</v>
      </c>
      <c r="J418" s="9">
        <f t="shared" si="6"/>
        <v>12.792000000000002</v>
      </c>
      <c r="K418" t="s">
        <v>22</v>
      </c>
      <c r="L418" t="s">
        <v>17</v>
      </c>
      <c r="M418" t="str">
        <f>REPLACE(Transactions!M418,1,4,"")</f>
        <v>18</v>
      </c>
    </row>
    <row r="419" spans="1:13" x14ac:dyDescent="0.2">
      <c r="A419">
        <v>173515</v>
      </c>
      <c r="B419" s="5">
        <v>44769</v>
      </c>
      <c r="C419">
        <v>74733</v>
      </c>
      <c r="D419" t="str">
        <f>PROPER(Transactions!D419)</f>
        <v>Electronics</v>
      </c>
      <c r="E419" t="s">
        <v>159</v>
      </c>
      <c r="F419" t="s">
        <v>160</v>
      </c>
      <c r="G419">
        <v>2</v>
      </c>
      <c r="H419">
        <v>59.99</v>
      </c>
      <c r="I419" s="7">
        <f>IF(Transactions!I419="",0,Transactions!I419)</f>
        <v>0</v>
      </c>
      <c r="J419" s="9">
        <f t="shared" si="6"/>
        <v>119.98</v>
      </c>
      <c r="K419" t="s">
        <v>36</v>
      </c>
      <c r="L419" t="s">
        <v>17</v>
      </c>
      <c r="M419" t="str">
        <f>REPLACE(Transactions!M419,1,4,"")</f>
        <v>8</v>
      </c>
    </row>
    <row r="420" spans="1:13" x14ac:dyDescent="0.2">
      <c r="A420">
        <v>173591</v>
      </c>
      <c r="B420" s="5">
        <v>44615</v>
      </c>
      <c r="C420">
        <v>45308</v>
      </c>
      <c r="D420" t="str">
        <f>PROPER(Transactions!D420)</f>
        <v>Furniture</v>
      </c>
      <c r="E420" t="s">
        <v>113</v>
      </c>
      <c r="F420" t="s">
        <v>114</v>
      </c>
      <c r="G420">
        <v>1</v>
      </c>
      <c r="H420">
        <v>113.99</v>
      </c>
      <c r="I420" s="7">
        <f>IF(Transactions!I420="",0,Transactions!I420)</f>
        <v>0.05</v>
      </c>
      <c r="J420" s="9">
        <f t="shared" si="6"/>
        <v>108.29049999999999</v>
      </c>
      <c r="K420" t="s">
        <v>16</v>
      </c>
      <c r="L420" t="s">
        <v>17</v>
      </c>
      <c r="M420" t="str">
        <f>REPLACE(Transactions!M420,1,4,"")</f>
        <v>1</v>
      </c>
    </row>
    <row r="421" spans="1:13" x14ac:dyDescent="0.2">
      <c r="A421">
        <v>173732</v>
      </c>
      <c r="B421" s="5">
        <v>45094</v>
      </c>
      <c r="C421">
        <v>76110</v>
      </c>
      <c r="D421" t="str">
        <f>PROPER(Transactions!D421)</f>
        <v>Furniture</v>
      </c>
      <c r="E421" t="s">
        <v>113</v>
      </c>
      <c r="F421" t="s">
        <v>114</v>
      </c>
      <c r="G421">
        <v>1</v>
      </c>
      <c r="H421">
        <v>101.99</v>
      </c>
      <c r="I421" s="7">
        <f>IF(Transactions!I421="",0,Transactions!I421)</f>
        <v>0.15</v>
      </c>
      <c r="J421" s="9">
        <f t="shared" si="6"/>
        <v>86.691499999999991</v>
      </c>
      <c r="K421" t="s">
        <v>22</v>
      </c>
      <c r="L421" t="s">
        <v>17</v>
      </c>
      <c r="M421" t="str">
        <f>REPLACE(Transactions!M421,1,4,"")</f>
        <v>12</v>
      </c>
    </row>
    <row r="422" spans="1:13" x14ac:dyDescent="0.2">
      <c r="A422">
        <v>173765</v>
      </c>
      <c r="B422" s="5">
        <v>45501</v>
      </c>
      <c r="C422">
        <v>77661</v>
      </c>
      <c r="D422" t="str">
        <f>PROPER(Transactions!D422)</f>
        <v>Automotive</v>
      </c>
      <c r="E422" t="s">
        <v>131</v>
      </c>
      <c r="F422" t="s">
        <v>132</v>
      </c>
      <c r="G422">
        <v>3</v>
      </c>
      <c r="H422">
        <v>2.79</v>
      </c>
      <c r="I422" s="7">
        <f>IF(Transactions!I422="",0,Transactions!I422)</f>
        <v>0.2</v>
      </c>
      <c r="J422" s="9">
        <f t="shared" si="6"/>
        <v>6.6960000000000015</v>
      </c>
      <c r="K422" t="s">
        <v>36</v>
      </c>
      <c r="L422" t="s">
        <v>17</v>
      </c>
      <c r="M422" t="str">
        <f>REPLACE(Transactions!M422,1,4,"")</f>
        <v>4</v>
      </c>
    </row>
    <row r="423" spans="1:13" x14ac:dyDescent="0.2">
      <c r="A423">
        <v>173795</v>
      </c>
      <c r="B423" s="5">
        <v>44844</v>
      </c>
      <c r="C423">
        <v>54639</v>
      </c>
      <c r="D423" t="str">
        <f>PROPER(Transactions!D423)</f>
        <v>Clothing</v>
      </c>
      <c r="E423" t="s">
        <v>193</v>
      </c>
      <c r="F423" t="s">
        <v>194</v>
      </c>
      <c r="G423">
        <v>4</v>
      </c>
      <c r="H423">
        <v>51.99</v>
      </c>
      <c r="I423" s="7">
        <f>IF(Transactions!I423="",0,Transactions!I423)</f>
        <v>0.2</v>
      </c>
      <c r="J423" s="9">
        <f t="shared" si="6"/>
        <v>166.36800000000002</v>
      </c>
      <c r="K423" t="s">
        <v>16</v>
      </c>
      <c r="L423" t="s">
        <v>23</v>
      </c>
      <c r="M423" t="str">
        <f>REPLACE(Transactions!M423,1,4,"")</f>
        <v>15</v>
      </c>
    </row>
    <row r="424" spans="1:13" x14ac:dyDescent="0.2">
      <c r="A424">
        <v>174132</v>
      </c>
      <c r="B424" s="5">
        <v>45512</v>
      </c>
      <c r="C424">
        <v>48874</v>
      </c>
      <c r="D424" t="str">
        <f>PROPER(Transactions!D424)</f>
        <v>Beauty</v>
      </c>
      <c r="E424" t="s">
        <v>143</v>
      </c>
      <c r="F424" t="s">
        <v>144</v>
      </c>
      <c r="G424">
        <v>4</v>
      </c>
      <c r="H424">
        <v>14.99</v>
      </c>
      <c r="I424" s="7">
        <f>IF(Transactions!I424="",0,Transactions!I424)</f>
        <v>0</v>
      </c>
      <c r="J424" s="9">
        <f t="shared" si="6"/>
        <v>59.96</v>
      </c>
      <c r="K424" t="s">
        <v>36</v>
      </c>
      <c r="L424" t="s">
        <v>37</v>
      </c>
      <c r="M424" t="str">
        <f>REPLACE(Transactions!M424,1,4,"")</f>
        <v>20</v>
      </c>
    </row>
    <row r="425" spans="1:13" x14ac:dyDescent="0.2">
      <c r="A425">
        <v>174197</v>
      </c>
      <c r="B425" s="5">
        <v>44894</v>
      </c>
      <c r="C425">
        <v>25788</v>
      </c>
      <c r="D425" t="str">
        <f>PROPER(Transactions!D425)</f>
        <v>Sports</v>
      </c>
      <c r="E425" t="s">
        <v>147</v>
      </c>
      <c r="F425" t="s">
        <v>148</v>
      </c>
      <c r="G425">
        <v>3</v>
      </c>
      <c r="H425">
        <v>12.99</v>
      </c>
      <c r="I425" s="7">
        <f>IF(Transactions!I425="",0,Transactions!I425)</f>
        <v>0</v>
      </c>
      <c r="J425" s="9">
        <f t="shared" si="6"/>
        <v>38.97</v>
      </c>
      <c r="K425" t="s">
        <v>22</v>
      </c>
      <c r="L425" t="s">
        <v>17</v>
      </c>
      <c r="M425" t="str">
        <f>REPLACE(Transactions!M425,1,4,"")</f>
        <v>4</v>
      </c>
    </row>
    <row r="426" spans="1:13" x14ac:dyDescent="0.2">
      <c r="A426">
        <v>174299</v>
      </c>
      <c r="B426" s="5">
        <v>44700</v>
      </c>
      <c r="C426">
        <v>80678</v>
      </c>
      <c r="D426" t="str">
        <f>PROPER(Transactions!D426)</f>
        <v>Clothing</v>
      </c>
      <c r="E426" t="s">
        <v>151</v>
      </c>
      <c r="F426" t="s">
        <v>152</v>
      </c>
      <c r="G426">
        <v>4</v>
      </c>
      <c r="H426">
        <v>34.99</v>
      </c>
      <c r="I426" s="7">
        <f>IF(Transactions!I426="",0,Transactions!I426)</f>
        <v>0</v>
      </c>
      <c r="J426" s="9">
        <f t="shared" si="6"/>
        <v>139.96</v>
      </c>
      <c r="K426" t="s">
        <v>36</v>
      </c>
      <c r="L426" t="s">
        <v>17</v>
      </c>
      <c r="M426" t="str">
        <f>REPLACE(Transactions!M426,1,4,"")</f>
        <v>4</v>
      </c>
    </row>
    <row r="427" spans="1:13" x14ac:dyDescent="0.2">
      <c r="A427">
        <v>174757</v>
      </c>
      <c r="B427" s="5">
        <v>44773</v>
      </c>
      <c r="D427" t="str">
        <f>PROPER(Transactions!D427)</f>
        <v>Home &amp; Garden</v>
      </c>
      <c r="E427" t="s">
        <v>86</v>
      </c>
      <c r="F427" t="s">
        <v>87</v>
      </c>
      <c r="G427">
        <v>1</v>
      </c>
      <c r="H427">
        <v>9.09</v>
      </c>
      <c r="I427" s="7">
        <f>IF(Transactions!I427="",0,Transactions!I427)</f>
        <v>0.3</v>
      </c>
      <c r="J427" s="9">
        <f t="shared" si="6"/>
        <v>6.3629999999999995</v>
      </c>
      <c r="K427" t="s">
        <v>32</v>
      </c>
      <c r="L427" t="s">
        <v>37</v>
      </c>
      <c r="M427" t="str">
        <f>REPLACE(Transactions!M427,1,4,"")</f>
        <v>4</v>
      </c>
    </row>
    <row r="428" spans="1:13" x14ac:dyDescent="0.2">
      <c r="A428">
        <v>174838</v>
      </c>
      <c r="B428" s="5">
        <v>45335</v>
      </c>
      <c r="C428">
        <v>99374</v>
      </c>
      <c r="D428" t="str">
        <f>PROPER(Transactions!D428)</f>
        <v>Electronics</v>
      </c>
      <c r="E428" t="s">
        <v>104</v>
      </c>
      <c r="F428" t="s">
        <v>105</v>
      </c>
      <c r="G428">
        <v>3</v>
      </c>
      <c r="H428">
        <v>20.99</v>
      </c>
      <c r="I428" s="7">
        <f>IF(Transactions!I428="",0,Transactions!I428)</f>
        <v>0.3</v>
      </c>
      <c r="J428" s="9">
        <f t="shared" si="6"/>
        <v>44.078999999999994</v>
      </c>
      <c r="K428" t="s">
        <v>16</v>
      </c>
      <c r="L428" t="s">
        <v>37</v>
      </c>
      <c r="M428" t="str">
        <f>REPLACE(Transactions!M428,1,4,"")</f>
        <v>19</v>
      </c>
    </row>
    <row r="429" spans="1:13" x14ac:dyDescent="0.2">
      <c r="A429">
        <v>174878</v>
      </c>
      <c r="B429" s="5">
        <v>44867</v>
      </c>
      <c r="C429">
        <v>84607</v>
      </c>
      <c r="D429" t="str">
        <f>PROPER(Transactions!D429)</f>
        <v>Automotive</v>
      </c>
      <c r="E429" t="s">
        <v>131</v>
      </c>
      <c r="F429" t="s">
        <v>132</v>
      </c>
      <c r="G429">
        <v>4</v>
      </c>
      <c r="H429">
        <v>3.14</v>
      </c>
      <c r="I429" s="7">
        <f>IF(Transactions!I429="",0,Transactions!I429)</f>
        <v>0.1</v>
      </c>
      <c r="J429" s="9">
        <f t="shared" si="6"/>
        <v>11.304</v>
      </c>
      <c r="K429" t="s">
        <v>36</v>
      </c>
      <c r="L429" t="s">
        <v>37</v>
      </c>
      <c r="M429" t="str">
        <f>REPLACE(Transactions!M429,1,4,"")</f>
        <v>19</v>
      </c>
    </row>
    <row r="430" spans="1:13" x14ac:dyDescent="0.2">
      <c r="A430">
        <v>175103</v>
      </c>
      <c r="B430" s="5">
        <v>45243</v>
      </c>
      <c r="C430">
        <v>40690</v>
      </c>
      <c r="D430" t="str">
        <f>PROPER(Transactions!D430)</f>
        <v>Pharmacy</v>
      </c>
      <c r="E430" t="s">
        <v>58</v>
      </c>
      <c r="F430" t="s">
        <v>59</v>
      </c>
      <c r="G430">
        <v>2</v>
      </c>
      <c r="H430">
        <v>2.79</v>
      </c>
      <c r="I430" s="7">
        <f>IF(Transactions!I430="",0,Transactions!I430)</f>
        <v>0.3</v>
      </c>
      <c r="J430" s="9">
        <f t="shared" si="6"/>
        <v>3.9059999999999997</v>
      </c>
      <c r="K430" t="s">
        <v>22</v>
      </c>
      <c r="L430" t="s">
        <v>37</v>
      </c>
      <c r="M430" t="str">
        <f>REPLACE(Transactions!M430,1,4,"")</f>
        <v>1</v>
      </c>
    </row>
    <row r="431" spans="1:13" x14ac:dyDescent="0.2">
      <c r="A431">
        <v>175110</v>
      </c>
      <c r="B431" s="5">
        <v>45500</v>
      </c>
      <c r="C431">
        <v>59854</v>
      </c>
      <c r="D431" t="str">
        <f>PROPER(Transactions!D431)</f>
        <v>Grocery</v>
      </c>
      <c r="E431" t="s">
        <v>177</v>
      </c>
      <c r="F431" t="s">
        <v>178</v>
      </c>
      <c r="G431">
        <v>3</v>
      </c>
      <c r="H431">
        <v>10.19</v>
      </c>
      <c r="I431" s="7">
        <f>IF(Transactions!I431="",0,Transactions!I431)</f>
        <v>0.15</v>
      </c>
      <c r="J431" s="9">
        <f t="shared" si="6"/>
        <v>25.984500000000001</v>
      </c>
      <c r="K431" t="s">
        <v>16</v>
      </c>
      <c r="L431" t="s">
        <v>17</v>
      </c>
      <c r="M431" t="str">
        <f>REPLACE(Transactions!M431,1,4,"")</f>
        <v>8</v>
      </c>
    </row>
    <row r="432" spans="1:13" x14ac:dyDescent="0.2">
      <c r="A432">
        <v>175190</v>
      </c>
      <c r="B432" s="5">
        <v>45402</v>
      </c>
      <c r="C432">
        <v>94522</v>
      </c>
      <c r="D432" t="str">
        <f>PROPER(Transactions!D432)</f>
        <v>Sports</v>
      </c>
      <c r="E432" t="s">
        <v>83</v>
      </c>
      <c r="F432" t="s">
        <v>84</v>
      </c>
      <c r="G432">
        <v>3</v>
      </c>
      <c r="H432">
        <v>16.989999999999998</v>
      </c>
      <c r="I432" s="7">
        <f>IF(Transactions!I432="",0,Transactions!I432)</f>
        <v>0</v>
      </c>
      <c r="J432" s="9">
        <f t="shared" si="6"/>
        <v>50.97</v>
      </c>
      <c r="K432" t="s">
        <v>36</v>
      </c>
      <c r="L432" t="s">
        <v>37</v>
      </c>
      <c r="M432" t="str">
        <f>REPLACE(Transactions!M432,1,4,"")</f>
        <v>11</v>
      </c>
    </row>
    <row r="433" spans="1:13" x14ac:dyDescent="0.2">
      <c r="A433">
        <v>175236</v>
      </c>
      <c r="B433" s="5">
        <v>45408</v>
      </c>
      <c r="C433">
        <v>34625</v>
      </c>
      <c r="D433" t="str">
        <f>PROPER(Transactions!D433)</f>
        <v>Sports</v>
      </c>
      <c r="E433" t="s">
        <v>83</v>
      </c>
      <c r="F433" t="s">
        <v>84</v>
      </c>
      <c r="G433">
        <v>4</v>
      </c>
      <c r="H433">
        <v>16.989999999999998</v>
      </c>
      <c r="I433" s="7">
        <f>IF(Transactions!I433="",0,Transactions!I433)</f>
        <v>0</v>
      </c>
      <c r="J433" s="9">
        <f t="shared" si="6"/>
        <v>67.959999999999994</v>
      </c>
      <c r="K433" t="s">
        <v>36</v>
      </c>
      <c r="L433" t="s">
        <v>17</v>
      </c>
      <c r="M433" t="str">
        <f>REPLACE(Transactions!M433,1,4,"")</f>
        <v>13</v>
      </c>
    </row>
    <row r="434" spans="1:13" x14ac:dyDescent="0.2">
      <c r="A434">
        <v>175237</v>
      </c>
      <c r="B434" s="5">
        <v>44772</v>
      </c>
      <c r="C434">
        <v>55933</v>
      </c>
      <c r="D434" t="str">
        <f>PROPER(Transactions!D434)</f>
        <v>Home &amp; Garden</v>
      </c>
      <c r="E434" t="s">
        <v>137</v>
      </c>
      <c r="F434" t="s">
        <v>138</v>
      </c>
      <c r="G434">
        <v>3</v>
      </c>
      <c r="H434">
        <v>5.99</v>
      </c>
      <c r="I434" s="7">
        <f>IF(Transactions!I434="",0,Transactions!I434)</f>
        <v>0.25</v>
      </c>
      <c r="J434" s="9">
        <f t="shared" si="6"/>
        <v>13.477499999999999</v>
      </c>
      <c r="K434" t="s">
        <v>95</v>
      </c>
      <c r="L434" t="s">
        <v>37</v>
      </c>
      <c r="M434" t="str">
        <f>REPLACE(Transactions!M434,1,4,"")</f>
        <v>14</v>
      </c>
    </row>
    <row r="435" spans="1:13" x14ac:dyDescent="0.2">
      <c r="A435">
        <v>175593</v>
      </c>
      <c r="B435" s="5">
        <v>44725</v>
      </c>
      <c r="C435">
        <v>31472</v>
      </c>
      <c r="D435" t="str">
        <f>PROPER(Transactions!D435)</f>
        <v>Clothing</v>
      </c>
      <c r="E435" t="s">
        <v>165</v>
      </c>
      <c r="F435" t="s">
        <v>166</v>
      </c>
      <c r="G435">
        <v>2</v>
      </c>
      <c r="H435">
        <v>89.99</v>
      </c>
      <c r="I435" s="7">
        <f>IF(Transactions!I435="",0,Transactions!I435)</f>
        <v>0</v>
      </c>
      <c r="J435" s="9">
        <f t="shared" si="6"/>
        <v>179.98</v>
      </c>
      <c r="K435" t="s">
        <v>22</v>
      </c>
      <c r="L435" t="s">
        <v>17</v>
      </c>
      <c r="M435" t="str">
        <f>REPLACE(Transactions!M435,1,4,"")</f>
        <v>9</v>
      </c>
    </row>
    <row r="436" spans="1:13" x14ac:dyDescent="0.2">
      <c r="A436">
        <v>176232</v>
      </c>
      <c r="B436" s="5">
        <v>44615</v>
      </c>
      <c r="C436">
        <v>48095</v>
      </c>
      <c r="D436" t="str">
        <f>PROPER(Transactions!D436)</f>
        <v>Sports</v>
      </c>
      <c r="E436" t="s">
        <v>155</v>
      </c>
      <c r="F436" t="s">
        <v>156</v>
      </c>
      <c r="G436">
        <v>2</v>
      </c>
      <c r="H436">
        <v>19.989999999999998</v>
      </c>
      <c r="I436" s="7">
        <f>IF(Transactions!I436="",0,Transactions!I436)</f>
        <v>0</v>
      </c>
      <c r="J436" s="9">
        <f t="shared" si="6"/>
        <v>39.979999999999997</v>
      </c>
      <c r="K436" t="s">
        <v>16</v>
      </c>
      <c r="L436" t="s">
        <v>37</v>
      </c>
      <c r="M436" t="str">
        <f>REPLACE(Transactions!M436,1,4,"")</f>
        <v>4</v>
      </c>
    </row>
    <row r="437" spans="1:13" x14ac:dyDescent="0.2">
      <c r="A437">
        <v>176266</v>
      </c>
      <c r="B437" s="5">
        <v>45174</v>
      </c>
      <c r="C437">
        <v>21922</v>
      </c>
      <c r="D437" t="str">
        <f>PROPER(Transactions!D437)</f>
        <v>Electronics</v>
      </c>
      <c r="E437" t="s">
        <v>14</v>
      </c>
      <c r="F437" t="s">
        <v>15</v>
      </c>
      <c r="G437">
        <v>1</v>
      </c>
      <c r="H437">
        <v>63.99</v>
      </c>
      <c r="I437" s="7">
        <f>IF(Transactions!I437="",0,Transactions!I437)</f>
        <v>0.2</v>
      </c>
      <c r="J437" s="9">
        <f t="shared" si="6"/>
        <v>51.192000000000007</v>
      </c>
      <c r="K437" t="s">
        <v>53</v>
      </c>
      <c r="L437" t="s">
        <v>17</v>
      </c>
      <c r="M437" t="str">
        <f>REPLACE(Transactions!M437,1,4,"")</f>
        <v>11</v>
      </c>
    </row>
    <row r="438" spans="1:13" x14ac:dyDescent="0.2">
      <c r="A438">
        <v>176313</v>
      </c>
      <c r="B438" s="5">
        <v>45009</v>
      </c>
      <c r="C438">
        <v>12797</v>
      </c>
      <c r="D438" t="str">
        <f>PROPER(Transactions!D438)</f>
        <v>Automotive</v>
      </c>
      <c r="E438" t="s">
        <v>68</v>
      </c>
      <c r="F438" t="s">
        <v>69</v>
      </c>
      <c r="G438">
        <v>1</v>
      </c>
      <c r="H438">
        <v>18.739999999999998</v>
      </c>
      <c r="I438" s="7">
        <f>IF(Transactions!I438="",0,Transactions!I438)</f>
        <v>0.25</v>
      </c>
      <c r="J438" s="9">
        <f t="shared" si="6"/>
        <v>14.055</v>
      </c>
      <c r="K438" t="s">
        <v>53</v>
      </c>
      <c r="L438" t="s">
        <v>17</v>
      </c>
      <c r="M438" t="str">
        <f>REPLACE(Transactions!M438,1,4,"")</f>
        <v>4</v>
      </c>
    </row>
    <row r="439" spans="1:13" x14ac:dyDescent="0.2">
      <c r="A439">
        <v>176517</v>
      </c>
      <c r="B439" s="5">
        <v>45513</v>
      </c>
      <c r="C439">
        <v>64722</v>
      </c>
      <c r="D439" t="str">
        <f>PROPER(Transactions!D439)</f>
        <v>Beauty</v>
      </c>
      <c r="E439" t="s">
        <v>49</v>
      </c>
      <c r="F439" t="s">
        <v>50</v>
      </c>
      <c r="G439">
        <v>3</v>
      </c>
      <c r="H439">
        <v>8.99</v>
      </c>
      <c r="I439" s="7">
        <f>IF(Transactions!I439="",0,Transactions!I439)</f>
        <v>0</v>
      </c>
      <c r="J439" s="9">
        <f t="shared" si="6"/>
        <v>26.97</v>
      </c>
      <c r="K439" t="s">
        <v>16</v>
      </c>
      <c r="L439" t="s">
        <v>23</v>
      </c>
      <c r="M439" t="str">
        <f>REPLACE(Transactions!M439,1,4,"")</f>
        <v>3</v>
      </c>
    </row>
    <row r="440" spans="1:13" x14ac:dyDescent="0.2">
      <c r="A440">
        <v>177081</v>
      </c>
      <c r="B440" s="5">
        <v>45000</v>
      </c>
      <c r="C440">
        <v>60262</v>
      </c>
      <c r="D440" t="str">
        <f>PROPER(Transactions!D440)</f>
        <v>Toys</v>
      </c>
      <c r="E440" t="s">
        <v>72</v>
      </c>
      <c r="F440" t="s">
        <v>73</v>
      </c>
      <c r="G440">
        <v>1</v>
      </c>
      <c r="H440">
        <v>31.99</v>
      </c>
      <c r="I440" s="7">
        <f>IF(Transactions!I440="",0,Transactions!I440)</f>
        <v>0.2</v>
      </c>
      <c r="J440" s="9">
        <f t="shared" si="6"/>
        <v>25.591999999999999</v>
      </c>
      <c r="K440" t="s">
        <v>36</v>
      </c>
      <c r="L440" t="s">
        <v>17</v>
      </c>
      <c r="M440" t="str">
        <f>REPLACE(Transactions!M440,1,4,"")</f>
        <v>18</v>
      </c>
    </row>
    <row r="441" spans="1:13" x14ac:dyDescent="0.2">
      <c r="A441">
        <v>177353</v>
      </c>
      <c r="B441" s="5">
        <v>44672</v>
      </c>
      <c r="C441">
        <v>29252</v>
      </c>
      <c r="D441" t="str">
        <f>PROPER(Transactions!D441)</f>
        <v>Electronics</v>
      </c>
      <c r="E441" t="s">
        <v>79</v>
      </c>
      <c r="F441" t="s">
        <v>80</v>
      </c>
      <c r="G441">
        <v>3</v>
      </c>
      <c r="H441">
        <v>89.99</v>
      </c>
      <c r="I441" s="7">
        <f>IF(Transactions!I441="",0,Transactions!I441)</f>
        <v>0</v>
      </c>
      <c r="J441" s="9">
        <f t="shared" si="6"/>
        <v>269.96999999999997</v>
      </c>
      <c r="K441" t="s">
        <v>16</v>
      </c>
      <c r="L441" t="s">
        <v>17</v>
      </c>
      <c r="M441" t="str">
        <f>REPLACE(Transactions!M441,1,4,"")</f>
        <v>10</v>
      </c>
    </row>
    <row r="442" spans="1:13" x14ac:dyDescent="0.2">
      <c r="A442">
        <v>177514</v>
      </c>
      <c r="B442" s="5">
        <v>45021</v>
      </c>
      <c r="C442">
        <v>84906</v>
      </c>
      <c r="D442" t="str">
        <f>PROPER(Transactions!D442)</f>
        <v>Beauty</v>
      </c>
      <c r="E442" t="s">
        <v>139</v>
      </c>
      <c r="F442" t="s">
        <v>140</v>
      </c>
      <c r="G442">
        <v>2</v>
      </c>
      <c r="H442">
        <v>7.99</v>
      </c>
      <c r="I442" s="7">
        <f>IF(Transactions!I442="",0,Transactions!I442)</f>
        <v>0</v>
      </c>
      <c r="J442" s="9">
        <f t="shared" si="6"/>
        <v>15.98</v>
      </c>
      <c r="K442" t="s">
        <v>36</v>
      </c>
      <c r="L442" t="s">
        <v>37</v>
      </c>
      <c r="M442" t="str">
        <f>REPLACE(Transactions!M442,1,4,"")</f>
        <v>6</v>
      </c>
    </row>
    <row r="443" spans="1:13" x14ac:dyDescent="0.2">
      <c r="A443">
        <v>177581</v>
      </c>
      <c r="B443" s="5">
        <v>44639</v>
      </c>
      <c r="C443">
        <v>99752</v>
      </c>
      <c r="D443" t="str">
        <f>PROPER(Transactions!D443)</f>
        <v>Clothing</v>
      </c>
      <c r="E443" t="s">
        <v>141</v>
      </c>
      <c r="F443" t="s">
        <v>142</v>
      </c>
      <c r="G443">
        <v>5</v>
      </c>
      <c r="H443">
        <v>22.99</v>
      </c>
      <c r="I443" s="7">
        <f>IF(Transactions!I443="",0,Transactions!I443)</f>
        <v>0</v>
      </c>
      <c r="J443" s="9">
        <f t="shared" si="6"/>
        <v>114.94999999999999</v>
      </c>
      <c r="K443" t="s">
        <v>16</v>
      </c>
      <c r="L443" t="s">
        <v>17</v>
      </c>
      <c r="M443" t="str">
        <f>REPLACE(Transactions!M443,1,4,"")</f>
        <v>3</v>
      </c>
    </row>
    <row r="444" spans="1:13" x14ac:dyDescent="0.2">
      <c r="A444">
        <v>177637</v>
      </c>
      <c r="B444" s="5">
        <v>45250</v>
      </c>
      <c r="C444">
        <v>68181</v>
      </c>
      <c r="D444" t="str">
        <f>PROPER(Transactions!D444)</f>
        <v>Pharmacy</v>
      </c>
      <c r="E444" t="s">
        <v>58</v>
      </c>
      <c r="F444" t="s">
        <v>59</v>
      </c>
      <c r="G444">
        <v>1</v>
      </c>
      <c r="H444">
        <v>3.99</v>
      </c>
      <c r="I444" s="7">
        <f>IF(Transactions!I444="",0,Transactions!I444)</f>
        <v>0</v>
      </c>
      <c r="J444" s="9">
        <f t="shared" si="6"/>
        <v>3.99</v>
      </c>
      <c r="K444" t="s">
        <v>36</v>
      </c>
      <c r="L444" t="s">
        <v>17</v>
      </c>
      <c r="M444" t="str">
        <f>REPLACE(Transactions!M444,1,4,"")</f>
        <v>8</v>
      </c>
    </row>
    <row r="445" spans="1:13" x14ac:dyDescent="0.2">
      <c r="A445">
        <v>177806</v>
      </c>
      <c r="B445" s="5">
        <v>45476</v>
      </c>
      <c r="C445">
        <v>11169</v>
      </c>
      <c r="D445" t="str">
        <f>PROPER(Transactions!D445)</f>
        <v>Beauty</v>
      </c>
      <c r="E445" t="s">
        <v>109</v>
      </c>
      <c r="F445" t="s">
        <v>110</v>
      </c>
      <c r="G445">
        <v>4</v>
      </c>
      <c r="H445">
        <v>5.94</v>
      </c>
      <c r="I445" s="7">
        <f>IF(Transactions!I445="",0,Transactions!I445)</f>
        <v>0.15</v>
      </c>
      <c r="J445" s="9">
        <f t="shared" si="6"/>
        <v>20.196000000000002</v>
      </c>
      <c r="K445" t="s">
        <v>16</v>
      </c>
      <c r="L445" t="s">
        <v>37</v>
      </c>
      <c r="M445" t="str">
        <f>REPLACE(Transactions!M445,1,4,"")</f>
        <v>9</v>
      </c>
    </row>
    <row r="446" spans="1:13" x14ac:dyDescent="0.2">
      <c r="A446">
        <v>177880</v>
      </c>
      <c r="B446" s="5">
        <v>44868</v>
      </c>
      <c r="C446">
        <v>51696</v>
      </c>
      <c r="D446" t="str">
        <f>PROPER(Transactions!D446)</f>
        <v>Automotive</v>
      </c>
      <c r="E446" t="s">
        <v>111</v>
      </c>
      <c r="F446" t="s">
        <v>112</v>
      </c>
      <c r="G446">
        <v>3</v>
      </c>
      <c r="H446">
        <v>11.24</v>
      </c>
      <c r="I446" s="7">
        <f>IF(Transactions!I446="",0,Transactions!I446)</f>
        <v>0.25</v>
      </c>
      <c r="J446" s="9">
        <f t="shared" si="6"/>
        <v>25.29</v>
      </c>
      <c r="K446" t="s">
        <v>53</v>
      </c>
      <c r="L446" t="s">
        <v>17</v>
      </c>
      <c r="M446" t="str">
        <f>REPLACE(Transactions!M446,1,4,"")</f>
        <v>7</v>
      </c>
    </row>
    <row r="447" spans="1:13" x14ac:dyDescent="0.2">
      <c r="A447">
        <v>177902</v>
      </c>
      <c r="B447" s="5">
        <v>45122</v>
      </c>
      <c r="C447">
        <v>11508</v>
      </c>
      <c r="D447" t="str">
        <f>PROPER(Transactions!D447)</f>
        <v>Beauty</v>
      </c>
      <c r="E447" t="s">
        <v>139</v>
      </c>
      <c r="F447" t="s">
        <v>140</v>
      </c>
      <c r="G447">
        <v>3</v>
      </c>
      <c r="H447">
        <v>7.99</v>
      </c>
      <c r="I447" s="7">
        <f>IF(Transactions!I447="",0,Transactions!I447)</f>
        <v>0</v>
      </c>
      <c r="J447" s="9">
        <f t="shared" si="6"/>
        <v>23.97</v>
      </c>
      <c r="K447" t="s">
        <v>16</v>
      </c>
      <c r="L447" t="s">
        <v>17</v>
      </c>
      <c r="M447" t="str">
        <f>REPLACE(Transactions!M447,1,4,"")</f>
        <v>17</v>
      </c>
    </row>
    <row r="448" spans="1:13" x14ac:dyDescent="0.2">
      <c r="A448">
        <v>178153</v>
      </c>
      <c r="B448" s="5">
        <v>45236</v>
      </c>
      <c r="C448">
        <v>66734</v>
      </c>
      <c r="D448" t="str">
        <f>PROPER(Transactions!D448)</f>
        <v>Electronics</v>
      </c>
      <c r="E448" t="s">
        <v>104</v>
      </c>
      <c r="F448" t="s">
        <v>105</v>
      </c>
      <c r="G448">
        <v>2</v>
      </c>
      <c r="H448">
        <v>23.99</v>
      </c>
      <c r="I448" s="7">
        <f>IF(Transactions!I448="",0,Transactions!I448)</f>
        <v>0.2</v>
      </c>
      <c r="J448" s="9">
        <f t="shared" si="6"/>
        <v>38.384</v>
      </c>
      <c r="K448" t="s">
        <v>16</v>
      </c>
      <c r="L448" t="s">
        <v>23</v>
      </c>
      <c r="M448" t="str">
        <f>REPLACE(Transactions!M448,1,4,"")</f>
        <v>4</v>
      </c>
    </row>
    <row r="449" spans="1:13" x14ac:dyDescent="0.2">
      <c r="A449">
        <v>178249</v>
      </c>
      <c r="B449" s="5">
        <v>45653</v>
      </c>
      <c r="C449">
        <v>87834</v>
      </c>
      <c r="D449" t="str">
        <f>PROPER(Transactions!D449)</f>
        <v>Clothing</v>
      </c>
      <c r="E449" t="s">
        <v>165</v>
      </c>
      <c r="F449" t="s">
        <v>166</v>
      </c>
      <c r="G449">
        <v>5</v>
      </c>
      <c r="H449">
        <v>89.99</v>
      </c>
      <c r="I449" s="7">
        <f>IF(Transactions!I449="",0,Transactions!I449)</f>
        <v>0</v>
      </c>
      <c r="J449" s="9">
        <f t="shared" si="6"/>
        <v>449.95</v>
      </c>
      <c r="K449" t="s">
        <v>16</v>
      </c>
      <c r="L449" t="s">
        <v>17</v>
      </c>
      <c r="M449" t="str">
        <f>REPLACE(Transactions!M449,1,4,"")</f>
        <v>16</v>
      </c>
    </row>
    <row r="450" spans="1:13" x14ac:dyDescent="0.2">
      <c r="A450">
        <v>178278</v>
      </c>
      <c r="B450" s="5">
        <v>44580</v>
      </c>
      <c r="C450">
        <v>76619</v>
      </c>
      <c r="D450" t="str">
        <f>PROPER(Transactions!D450)</f>
        <v>Grocery</v>
      </c>
      <c r="E450" t="s">
        <v>74</v>
      </c>
      <c r="F450" t="s">
        <v>75</v>
      </c>
      <c r="G450">
        <v>5</v>
      </c>
      <c r="H450">
        <v>2.84</v>
      </c>
      <c r="I450" s="7">
        <f>IF(Transactions!I450="",0,Transactions!I450)</f>
        <v>0.05</v>
      </c>
      <c r="J450" s="9">
        <f t="shared" si="6"/>
        <v>13.489999999999998</v>
      </c>
      <c r="K450" t="s">
        <v>16</v>
      </c>
      <c r="L450" t="s">
        <v>23</v>
      </c>
      <c r="M450" t="str">
        <f>REPLACE(Transactions!M450,1,4,"")</f>
        <v>7</v>
      </c>
    </row>
    <row r="451" spans="1:13" x14ac:dyDescent="0.2">
      <c r="A451">
        <v>178484</v>
      </c>
      <c r="B451" s="5">
        <v>44755</v>
      </c>
      <c r="C451">
        <v>50014</v>
      </c>
      <c r="D451" t="str">
        <f>PROPER(Transactions!D451)</f>
        <v>Home &amp; Garden</v>
      </c>
      <c r="E451" t="s">
        <v>129</v>
      </c>
      <c r="F451" t="s">
        <v>130</v>
      </c>
      <c r="G451">
        <v>1</v>
      </c>
      <c r="H451">
        <v>7.64</v>
      </c>
      <c r="I451" s="7">
        <f>IF(Transactions!I451="",0,Transactions!I451)</f>
        <v>0.15</v>
      </c>
      <c r="J451" s="9">
        <f t="shared" ref="J451:J514" si="7">(H451*G451)*(1-I451)</f>
        <v>6.4939999999999998</v>
      </c>
      <c r="K451" t="s">
        <v>16</v>
      </c>
      <c r="L451" t="s">
        <v>17</v>
      </c>
      <c r="M451" t="str">
        <f>REPLACE(Transactions!M451,1,4,"")</f>
        <v>19</v>
      </c>
    </row>
    <row r="452" spans="1:13" x14ac:dyDescent="0.2">
      <c r="A452">
        <v>178733</v>
      </c>
      <c r="B452" s="5">
        <v>45410</v>
      </c>
      <c r="C452">
        <v>76006</v>
      </c>
      <c r="D452" t="str">
        <f>PROPER(Transactions!D452)</f>
        <v>Furniture</v>
      </c>
      <c r="E452" t="s">
        <v>26</v>
      </c>
      <c r="F452" t="s">
        <v>27</v>
      </c>
      <c r="G452">
        <v>1</v>
      </c>
      <c r="H452">
        <v>26.24</v>
      </c>
      <c r="I452" s="7">
        <f>IF(Transactions!I452="",0,Transactions!I452)</f>
        <v>0.25</v>
      </c>
      <c r="J452" s="9">
        <f t="shared" si="7"/>
        <v>19.68</v>
      </c>
      <c r="K452" t="s">
        <v>16</v>
      </c>
      <c r="L452" t="s">
        <v>23</v>
      </c>
      <c r="M452" t="str">
        <f>REPLACE(Transactions!M452,1,4,"")</f>
        <v>7</v>
      </c>
    </row>
    <row r="453" spans="1:13" x14ac:dyDescent="0.2">
      <c r="A453">
        <v>178872</v>
      </c>
      <c r="B453" s="5">
        <v>45500</v>
      </c>
      <c r="C453">
        <v>91622</v>
      </c>
      <c r="D453" t="str">
        <f>PROPER(Transactions!D453)</f>
        <v>Sports</v>
      </c>
      <c r="E453" t="s">
        <v>155</v>
      </c>
      <c r="F453" t="s">
        <v>156</v>
      </c>
      <c r="G453">
        <v>3</v>
      </c>
      <c r="H453">
        <v>14.99</v>
      </c>
      <c r="I453" s="7">
        <f>IF(Transactions!I453="",0,Transactions!I453)</f>
        <v>0.25</v>
      </c>
      <c r="J453" s="9">
        <f t="shared" si="7"/>
        <v>33.727499999999999</v>
      </c>
      <c r="K453" t="s">
        <v>16</v>
      </c>
      <c r="L453" t="s">
        <v>23</v>
      </c>
      <c r="M453" t="str">
        <f>REPLACE(Transactions!M453,1,4,"")</f>
        <v>12</v>
      </c>
    </row>
    <row r="454" spans="1:13" x14ac:dyDescent="0.2">
      <c r="A454">
        <v>179049</v>
      </c>
      <c r="B454" s="5">
        <v>45545</v>
      </c>
      <c r="C454">
        <v>12502</v>
      </c>
      <c r="D454" t="str">
        <f>PROPER(Transactions!D454)</f>
        <v>Electronics</v>
      </c>
      <c r="E454" t="s">
        <v>79</v>
      </c>
      <c r="F454" t="s">
        <v>80</v>
      </c>
      <c r="G454">
        <v>1</v>
      </c>
      <c r="H454">
        <v>89.99</v>
      </c>
      <c r="I454" s="7">
        <f>IF(Transactions!I454="",0,Transactions!I454)</f>
        <v>0</v>
      </c>
      <c r="J454" s="9">
        <f t="shared" si="7"/>
        <v>89.99</v>
      </c>
      <c r="K454" t="s">
        <v>36</v>
      </c>
      <c r="L454" t="s">
        <v>37</v>
      </c>
      <c r="M454" t="str">
        <f>REPLACE(Transactions!M454,1,4,"")</f>
        <v>5</v>
      </c>
    </row>
    <row r="455" spans="1:13" x14ac:dyDescent="0.2">
      <c r="A455">
        <v>179143</v>
      </c>
      <c r="B455" s="5">
        <v>45038</v>
      </c>
      <c r="C455">
        <v>78604</v>
      </c>
      <c r="D455" t="str">
        <f>PROPER(Transactions!D455)</f>
        <v>Automotive</v>
      </c>
      <c r="E455" t="s">
        <v>68</v>
      </c>
      <c r="F455" t="s">
        <v>69</v>
      </c>
      <c r="G455">
        <v>2</v>
      </c>
      <c r="H455">
        <v>24.99</v>
      </c>
      <c r="I455" s="7">
        <f>IF(Transactions!I455="",0,Transactions!I455)</f>
        <v>0</v>
      </c>
      <c r="J455" s="9">
        <f t="shared" si="7"/>
        <v>49.98</v>
      </c>
      <c r="K455" t="s">
        <v>16</v>
      </c>
      <c r="L455" t="s">
        <v>37</v>
      </c>
      <c r="M455" t="str">
        <f>REPLACE(Transactions!M455,1,4,"")</f>
        <v>5</v>
      </c>
    </row>
    <row r="456" spans="1:13" x14ac:dyDescent="0.2">
      <c r="A456">
        <v>179184</v>
      </c>
      <c r="B456" s="5">
        <v>45112</v>
      </c>
      <c r="C456">
        <v>77582</v>
      </c>
      <c r="D456" t="str">
        <f>PROPER(Transactions!D456)</f>
        <v>Beauty</v>
      </c>
      <c r="E456" t="s">
        <v>118</v>
      </c>
      <c r="F456" t="s">
        <v>119</v>
      </c>
      <c r="G456">
        <v>2</v>
      </c>
      <c r="H456">
        <v>3.99</v>
      </c>
      <c r="I456" s="7">
        <f>IF(Transactions!I456="",0,Transactions!I456)</f>
        <v>0.2</v>
      </c>
      <c r="J456" s="9">
        <f t="shared" si="7"/>
        <v>6.3840000000000003</v>
      </c>
      <c r="K456" t="s">
        <v>16</v>
      </c>
      <c r="L456" t="s">
        <v>37</v>
      </c>
      <c r="M456" t="str">
        <f>REPLACE(Transactions!M456,1,4,"")</f>
        <v>10</v>
      </c>
    </row>
    <row r="457" spans="1:13" x14ac:dyDescent="0.2">
      <c r="A457">
        <v>179689</v>
      </c>
      <c r="B457" s="5">
        <v>44930</v>
      </c>
      <c r="C457">
        <v>94712</v>
      </c>
      <c r="D457" t="str">
        <f>PROPER(Transactions!D457)</f>
        <v>Furniture</v>
      </c>
      <c r="E457" t="s">
        <v>51</v>
      </c>
      <c r="F457" t="s">
        <v>52</v>
      </c>
      <c r="G457">
        <v>2</v>
      </c>
      <c r="H457">
        <v>27.99</v>
      </c>
      <c r="I457" s="7">
        <f>IF(Transactions!I457="",0,Transactions!I457)</f>
        <v>0</v>
      </c>
      <c r="J457" s="9">
        <f t="shared" si="7"/>
        <v>55.98</v>
      </c>
      <c r="K457" t="s">
        <v>36</v>
      </c>
      <c r="L457" t="s">
        <v>17</v>
      </c>
      <c r="M457" t="str">
        <f>REPLACE(Transactions!M457,1,4,"")</f>
        <v>6</v>
      </c>
    </row>
    <row r="458" spans="1:13" x14ac:dyDescent="0.2">
      <c r="A458">
        <v>179741</v>
      </c>
      <c r="B458" s="5">
        <v>45535</v>
      </c>
      <c r="C458">
        <v>89034</v>
      </c>
      <c r="D458" t="str">
        <f>PROPER(Transactions!D458)</f>
        <v>Beauty</v>
      </c>
      <c r="E458" t="s">
        <v>109</v>
      </c>
      <c r="F458" t="s">
        <v>110</v>
      </c>
      <c r="G458">
        <v>4</v>
      </c>
      <c r="H458">
        <v>4.8899999999999997</v>
      </c>
      <c r="I458" s="7">
        <f>IF(Transactions!I458="",0,Transactions!I458)</f>
        <v>0.3</v>
      </c>
      <c r="J458" s="9">
        <f t="shared" si="7"/>
        <v>13.691999999999998</v>
      </c>
      <c r="K458" t="s">
        <v>16</v>
      </c>
      <c r="L458" t="s">
        <v>37</v>
      </c>
      <c r="M458" t="str">
        <f>REPLACE(Transactions!M458,1,4,"")</f>
        <v>17</v>
      </c>
    </row>
    <row r="459" spans="1:13" x14ac:dyDescent="0.2">
      <c r="A459">
        <v>179903</v>
      </c>
      <c r="B459" s="5">
        <v>44912</v>
      </c>
      <c r="C459">
        <v>95338</v>
      </c>
      <c r="D459" t="str">
        <f>PROPER(Transactions!D459)</f>
        <v>Beauty</v>
      </c>
      <c r="E459" t="s">
        <v>143</v>
      </c>
      <c r="F459" t="s">
        <v>144</v>
      </c>
      <c r="G459">
        <v>5</v>
      </c>
      <c r="H459">
        <v>10.49</v>
      </c>
      <c r="I459" s="7">
        <f>IF(Transactions!I459="",0,Transactions!I459)</f>
        <v>0.3</v>
      </c>
      <c r="J459" s="9">
        <f t="shared" si="7"/>
        <v>36.714999999999996</v>
      </c>
      <c r="K459" t="s">
        <v>16</v>
      </c>
      <c r="L459" t="s">
        <v>17</v>
      </c>
      <c r="M459" t="str">
        <f>REPLACE(Transactions!M459,1,4,"")</f>
        <v>12</v>
      </c>
    </row>
    <row r="460" spans="1:13" x14ac:dyDescent="0.2">
      <c r="A460">
        <v>180022</v>
      </c>
      <c r="B460" s="5">
        <v>45340</v>
      </c>
      <c r="C460">
        <v>21939</v>
      </c>
      <c r="D460" t="str">
        <f>PROPER(Transactions!D460)</f>
        <v>Grocery</v>
      </c>
      <c r="E460" t="s">
        <v>91</v>
      </c>
      <c r="F460" t="s">
        <v>92</v>
      </c>
      <c r="G460">
        <v>3</v>
      </c>
      <c r="H460">
        <v>4.72</v>
      </c>
      <c r="I460" s="7">
        <f>IF(Transactions!I460="",0,Transactions!I460)</f>
        <v>0.25</v>
      </c>
      <c r="J460" s="9">
        <f t="shared" si="7"/>
        <v>10.620000000000001</v>
      </c>
      <c r="K460" t="s">
        <v>36</v>
      </c>
      <c r="L460" t="s">
        <v>37</v>
      </c>
      <c r="M460" t="str">
        <f>REPLACE(Transactions!M460,1,4,"")</f>
        <v>12</v>
      </c>
    </row>
    <row r="461" spans="1:13" x14ac:dyDescent="0.2">
      <c r="A461">
        <v>180084</v>
      </c>
      <c r="B461" s="5">
        <v>45220</v>
      </c>
      <c r="C461">
        <v>75546</v>
      </c>
      <c r="D461" t="str">
        <f>PROPER(Transactions!D461)</f>
        <v>Beauty</v>
      </c>
      <c r="E461" t="s">
        <v>139</v>
      </c>
      <c r="F461" t="s">
        <v>140</v>
      </c>
      <c r="G461">
        <v>4</v>
      </c>
      <c r="H461">
        <v>7.59</v>
      </c>
      <c r="I461" s="7">
        <f>IF(Transactions!I461="",0,Transactions!I461)</f>
        <v>0.05</v>
      </c>
      <c r="J461" s="9">
        <f t="shared" si="7"/>
        <v>28.841999999999999</v>
      </c>
      <c r="K461" t="s">
        <v>36</v>
      </c>
      <c r="L461" t="s">
        <v>37</v>
      </c>
      <c r="M461" t="str">
        <f>REPLACE(Transactions!M461,1,4,"")</f>
        <v>16</v>
      </c>
    </row>
    <row r="462" spans="1:13" x14ac:dyDescent="0.2">
      <c r="A462">
        <v>180088</v>
      </c>
      <c r="B462" s="5">
        <v>45542</v>
      </c>
      <c r="C462">
        <v>56787</v>
      </c>
      <c r="D462" t="str">
        <f>PROPER(Transactions!D462)</f>
        <v>Grocery</v>
      </c>
      <c r="E462" t="s">
        <v>107</v>
      </c>
      <c r="F462" t="s">
        <v>108</v>
      </c>
      <c r="G462">
        <v>3</v>
      </c>
      <c r="H462">
        <v>3.49</v>
      </c>
      <c r="I462" s="7">
        <f>IF(Transactions!I462="",0,Transactions!I462)</f>
        <v>0</v>
      </c>
      <c r="J462" s="9">
        <f t="shared" si="7"/>
        <v>10.47</v>
      </c>
      <c r="K462" t="s">
        <v>36</v>
      </c>
      <c r="L462" t="s">
        <v>17</v>
      </c>
      <c r="M462" t="str">
        <f>REPLACE(Transactions!M462,1,4,"")</f>
        <v>3</v>
      </c>
    </row>
    <row r="463" spans="1:13" x14ac:dyDescent="0.2">
      <c r="A463">
        <v>180313</v>
      </c>
      <c r="B463" s="5">
        <v>44768</v>
      </c>
      <c r="C463">
        <v>10876</v>
      </c>
      <c r="D463" t="str">
        <f>PROPER(Transactions!D463)</f>
        <v>Sports</v>
      </c>
      <c r="E463" t="s">
        <v>188</v>
      </c>
      <c r="F463" t="s">
        <v>189</v>
      </c>
      <c r="G463">
        <v>1</v>
      </c>
      <c r="H463">
        <v>44.99</v>
      </c>
      <c r="I463" s="7">
        <f>IF(Transactions!I463="",0,Transactions!I463)</f>
        <v>0</v>
      </c>
      <c r="J463" s="9">
        <f t="shared" si="7"/>
        <v>44.99</v>
      </c>
      <c r="K463" t="s">
        <v>16</v>
      </c>
      <c r="L463" t="s">
        <v>17</v>
      </c>
      <c r="M463" t="str">
        <f>REPLACE(Transactions!M463,1,4,"")</f>
        <v>6</v>
      </c>
    </row>
    <row r="464" spans="1:13" x14ac:dyDescent="0.2">
      <c r="A464">
        <v>180477</v>
      </c>
      <c r="B464" s="5">
        <v>44565</v>
      </c>
      <c r="C464">
        <v>41544</v>
      </c>
      <c r="D464" t="str">
        <f>PROPER(Transactions!D464)</f>
        <v>Electronics</v>
      </c>
      <c r="E464" t="s">
        <v>127</v>
      </c>
      <c r="F464" t="s">
        <v>128</v>
      </c>
      <c r="G464">
        <v>3</v>
      </c>
      <c r="H464">
        <v>16.989999999999998</v>
      </c>
      <c r="I464" s="7">
        <f>IF(Transactions!I464="",0,Transactions!I464)</f>
        <v>0.15</v>
      </c>
      <c r="J464" s="9">
        <f t="shared" si="7"/>
        <v>43.3245</v>
      </c>
      <c r="K464" t="s">
        <v>16</v>
      </c>
      <c r="L464" t="s">
        <v>17</v>
      </c>
      <c r="M464" t="str">
        <f>REPLACE(Transactions!M464,1,4,"")</f>
        <v>17</v>
      </c>
    </row>
    <row r="465" spans="1:13" x14ac:dyDescent="0.2">
      <c r="A465">
        <v>180864</v>
      </c>
      <c r="B465" s="5">
        <v>45279</v>
      </c>
      <c r="C465">
        <v>60186</v>
      </c>
      <c r="D465" t="str">
        <f>PROPER(Transactions!D465)</f>
        <v>Clothing</v>
      </c>
      <c r="E465" t="s">
        <v>121</v>
      </c>
      <c r="F465" t="s">
        <v>122</v>
      </c>
      <c r="G465">
        <v>2</v>
      </c>
      <c r="H465">
        <v>10.39</v>
      </c>
      <c r="I465" s="7">
        <f>IF(Transactions!I465="",0,Transactions!I465)</f>
        <v>0.2</v>
      </c>
      <c r="J465" s="9">
        <f t="shared" si="7"/>
        <v>16.624000000000002</v>
      </c>
      <c r="K465" t="s">
        <v>36</v>
      </c>
      <c r="L465" t="s">
        <v>23</v>
      </c>
      <c r="M465" t="str">
        <f>REPLACE(Transactions!M465,1,4,"")</f>
        <v>16</v>
      </c>
    </row>
    <row r="466" spans="1:13" x14ac:dyDescent="0.2">
      <c r="A466">
        <v>180996</v>
      </c>
      <c r="B466" s="5">
        <v>45519</v>
      </c>
      <c r="C466">
        <v>43647</v>
      </c>
      <c r="D466" t="str">
        <f>PROPER(Transactions!D466)</f>
        <v>Electronics</v>
      </c>
      <c r="E466" t="s">
        <v>127</v>
      </c>
      <c r="F466" t="s">
        <v>128</v>
      </c>
      <c r="G466">
        <v>3</v>
      </c>
      <c r="H466">
        <v>16.989999999999998</v>
      </c>
      <c r="I466" s="7">
        <f>IF(Transactions!I466="",0,Transactions!I466)</f>
        <v>0.15</v>
      </c>
      <c r="J466" s="9">
        <f t="shared" si="7"/>
        <v>43.3245</v>
      </c>
      <c r="K466" t="s">
        <v>22</v>
      </c>
      <c r="L466" t="s">
        <v>17</v>
      </c>
      <c r="M466" t="str">
        <f>REPLACE(Transactions!M466,1,4,"")</f>
        <v>19</v>
      </c>
    </row>
    <row r="467" spans="1:13" x14ac:dyDescent="0.2">
      <c r="A467">
        <v>181145</v>
      </c>
      <c r="B467" s="5">
        <v>44685</v>
      </c>
      <c r="C467">
        <v>86275</v>
      </c>
      <c r="D467" t="str">
        <f>PROPER(Transactions!D467)</f>
        <v>Beauty</v>
      </c>
      <c r="E467" t="s">
        <v>143</v>
      </c>
      <c r="F467" t="s">
        <v>144</v>
      </c>
      <c r="G467">
        <v>1</v>
      </c>
      <c r="H467">
        <v>10.49</v>
      </c>
      <c r="I467" s="7">
        <f>IF(Transactions!I467="",0,Transactions!I467)</f>
        <v>0.3</v>
      </c>
      <c r="J467" s="9">
        <f t="shared" si="7"/>
        <v>7.343</v>
      </c>
      <c r="K467" t="s">
        <v>36</v>
      </c>
      <c r="L467" t="s">
        <v>17</v>
      </c>
      <c r="M467" t="str">
        <f>REPLACE(Transactions!M467,1,4,"")</f>
        <v>14</v>
      </c>
    </row>
    <row r="468" spans="1:13" x14ac:dyDescent="0.2">
      <c r="A468">
        <v>181171</v>
      </c>
      <c r="B468" s="5">
        <v>45037</v>
      </c>
      <c r="C468">
        <v>25503</v>
      </c>
      <c r="D468" t="str">
        <f>PROPER(Transactions!D468)</f>
        <v>Pharmacy</v>
      </c>
      <c r="E468" t="s">
        <v>115</v>
      </c>
      <c r="F468" t="s">
        <v>116</v>
      </c>
      <c r="G468">
        <v>1</v>
      </c>
      <c r="H468">
        <v>10.39</v>
      </c>
      <c r="I468" s="7">
        <f>IF(Transactions!I468="",0,Transactions!I468)</f>
        <v>0.2</v>
      </c>
      <c r="J468" s="9">
        <f t="shared" si="7"/>
        <v>8.3120000000000012</v>
      </c>
      <c r="K468" t="s">
        <v>22</v>
      </c>
      <c r="L468" t="s">
        <v>37</v>
      </c>
      <c r="M468" t="str">
        <f>REPLACE(Transactions!M468,1,4,"")</f>
        <v>17</v>
      </c>
    </row>
    <row r="469" spans="1:13" x14ac:dyDescent="0.2">
      <c r="A469">
        <v>181309</v>
      </c>
      <c r="B469" s="5">
        <v>45613</v>
      </c>
      <c r="C469">
        <v>29311</v>
      </c>
      <c r="D469" t="str">
        <f>PROPER(Transactions!D469)</f>
        <v>Grocery</v>
      </c>
      <c r="E469" t="s">
        <v>172</v>
      </c>
      <c r="F469" t="s">
        <v>173</v>
      </c>
      <c r="G469">
        <v>2</v>
      </c>
      <c r="H469">
        <v>4.49</v>
      </c>
      <c r="I469" s="7">
        <f>IF(Transactions!I469="",0,Transactions!I469)</f>
        <v>0</v>
      </c>
      <c r="J469" s="9">
        <f t="shared" si="7"/>
        <v>8.98</v>
      </c>
      <c r="K469" t="s">
        <v>16</v>
      </c>
      <c r="L469" t="s">
        <v>17</v>
      </c>
      <c r="M469" t="str">
        <f>REPLACE(Transactions!M469,1,4,"")</f>
        <v>2</v>
      </c>
    </row>
    <row r="470" spans="1:13" x14ac:dyDescent="0.2">
      <c r="A470">
        <v>181575</v>
      </c>
      <c r="B470" s="5">
        <v>45244</v>
      </c>
      <c r="C470">
        <v>38591</v>
      </c>
      <c r="D470" t="str">
        <f>PROPER(Transactions!D470)</f>
        <v>Home &amp; Garden</v>
      </c>
      <c r="E470" t="s">
        <v>86</v>
      </c>
      <c r="F470" t="s">
        <v>87</v>
      </c>
      <c r="G470">
        <v>3</v>
      </c>
      <c r="H470">
        <v>9.74</v>
      </c>
      <c r="I470" s="7">
        <f>IF(Transactions!I470="",0,Transactions!I470)</f>
        <v>0.25</v>
      </c>
      <c r="J470" s="9">
        <f t="shared" si="7"/>
        <v>21.914999999999999</v>
      </c>
      <c r="K470" t="s">
        <v>16</v>
      </c>
      <c r="L470" t="s">
        <v>17</v>
      </c>
      <c r="M470" t="str">
        <f>REPLACE(Transactions!M470,1,4,"")</f>
        <v>7</v>
      </c>
    </row>
    <row r="471" spans="1:13" x14ac:dyDescent="0.2">
      <c r="A471">
        <v>181678</v>
      </c>
      <c r="B471" s="5">
        <v>45045</v>
      </c>
      <c r="C471">
        <v>24984</v>
      </c>
      <c r="D471" t="str">
        <f>PROPER(Transactions!D471)</f>
        <v>Sports</v>
      </c>
      <c r="E471" t="s">
        <v>168</v>
      </c>
      <c r="F471" t="s">
        <v>169</v>
      </c>
      <c r="G471">
        <v>3</v>
      </c>
      <c r="H471">
        <v>8.99</v>
      </c>
      <c r="I471" s="7">
        <f>IF(Transactions!I471="",0,Transactions!I471)</f>
        <v>0</v>
      </c>
      <c r="J471" s="9">
        <f t="shared" si="7"/>
        <v>26.97</v>
      </c>
      <c r="K471" t="s">
        <v>32</v>
      </c>
      <c r="L471" t="s">
        <v>37</v>
      </c>
      <c r="M471" t="str">
        <f>REPLACE(Transactions!M471,1,4,"")</f>
        <v>19</v>
      </c>
    </row>
    <row r="472" spans="1:13" x14ac:dyDescent="0.2">
      <c r="A472">
        <v>181721</v>
      </c>
      <c r="B472" s="5">
        <v>44645</v>
      </c>
      <c r="C472">
        <v>40279</v>
      </c>
      <c r="D472" t="str">
        <f>PROPER(Transactions!D472)</f>
        <v>Electronics</v>
      </c>
      <c r="E472" t="s">
        <v>186</v>
      </c>
      <c r="F472" t="s">
        <v>187</v>
      </c>
      <c r="G472">
        <v>4</v>
      </c>
      <c r="H472">
        <v>49.99</v>
      </c>
      <c r="I472" s="7">
        <f>IF(Transactions!I472="",0,Transactions!I472)</f>
        <v>0</v>
      </c>
      <c r="J472" s="9">
        <f t="shared" si="7"/>
        <v>199.96</v>
      </c>
      <c r="K472" t="s">
        <v>16</v>
      </c>
      <c r="L472" t="s">
        <v>23</v>
      </c>
      <c r="M472" t="str">
        <f>REPLACE(Transactions!M472,1,4,"")</f>
        <v>18</v>
      </c>
    </row>
    <row r="473" spans="1:13" x14ac:dyDescent="0.2">
      <c r="A473">
        <v>181721</v>
      </c>
      <c r="B473" s="5">
        <v>45518</v>
      </c>
      <c r="C473">
        <v>39351</v>
      </c>
      <c r="D473" t="str">
        <f>PROPER(Transactions!D473)</f>
        <v>Sports</v>
      </c>
      <c r="E473" t="s">
        <v>100</v>
      </c>
      <c r="F473" t="s">
        <v>101</v>
      </c>
      <c r="G473">
        <v>2</v>
      </c>
      <c r="H473">
        <v>22.99</v>
      </c>
      <c r="I473" s="7">
        <f>IF(Transactions!I473="",0,Transactions!I473)</f>
        <v>0</v>
      </c>
      <c r="J473" s="9">
        <f t="shared" si="7"/>
        <v>45.98</v>
      </c>
      <c r="K473" t="s">
        <v>16</v>
      </c>
      <c r="L473" t="s">
        <v>17</v>
      </c>
      <c r="M473" t="str">
        <f>REPLACE(Transactions!M473,1,4,"")</f>
        <v>12</v>
      </c>
    </row>
    <row r="474" spans="1:13" x14ac:dyDescent="0.2">
      <c r="A474">
        <v>181872</v>
      </c>
      <c r="B474" s="5">
        <v>45113</v>
      </c>
      <c r="C474">
        <v>92225</v>
      </c>
      <c r="D474" t="str">
        <f>PROPER(Transactions!D474)</f>
        <v>Sports</v>
      </c>
      <c r="E474" t="s">
        <v>155</v>
      </c>
      <c r="F474" t="s">
        <v>156</v>
      </c>
      <c r="G474">
        <v>3</v>
      </c>
      <c r="H474">
        <v>15.99</v>
      </c>
      <c r="I474" s="7">
        <f>IF(Transactions!I474="",0,Transactions!I474)</f>
        <v>0.2</v>
      </c>
      <c r="J474" s="9">
        <f t="shared" si="7"/>
        <v>38.375999999999998</v>
      </c>
      <c r="K474" t="s">
        <v>16</v>
      </c>
      <c r="L474" t="s">
        <v>17</v>
      </c>
      <c r="M474" t="str">
        <f>REPLACE(Transactions!M474,1,4,"")</f>
        <v>9</v>
      </c>
    </row>
    <row r="475" spans="1:13" x14ac:dyDescent="0.2">
      <c r="A475">
        <v>181969</v>
      </c>
      <c r="B475" s="5">
        <v>45306</v>
      </c>
      <c r="D475" t="str">
        <f>PROPER(Transactions!D475)</f>
        <v>Furniture</v>
      </c>
      <c r="E475" t="s">
        <v>60</v>
      </c>
      <c r="F475" t="s">
        <v>61</v>
      </c>
      <c r="G475">
        <v>3</v>
      </c>
      <c r="H475">
        <v>49.49</v>
      </c>
      <c r="I475" s="7">
        <f>IF(Transactions!I475="",0,Transactions!I475)</f>
        <v>0.1</v>
      </c>
      <c r="J475" s="9">
        <f t="shared" si="7"/>
        <v>133.62299999999999</v>
      </c>
      <c r="K475" t="s">
        <v>36</v>
      </c>
      <c r="L475" t="s">
        <v>17</v>
      </c>
      <c r="M475" t="str">
        <f>REPLACE(Transactions!M475,1,4,"")</f>
        <v>17</v>
      </c>
    </row>
    <row r="476" spans="1:13" x14ac:dyDescent="0.2">
      <c r="A476">
        <v>182034</v>
      </c>
      <c r="B476" s="5">
        <v>45640</v>
      </c>
      <c r="C476">
        <v>92662</v>
      </c>
      <c r="D476" t="str">
        <f>PROPER(Transactions!D476)</f>
        <v>Clothing</v>
      </c>
      <c r="E476" t="s">
        <v>141</v>
      </c>
      <c r="F476" t="s">
        <v>142</v>
      </c>
      <c r="G476">
        <v>2</v>
      </c>
      <c r="H476">
        <v>20.69</v>
      </c>
      <c r="I476" s="7">
        <f>IF(Transactions!I476="",0,Transactions!I476)</f>
        <v>0.1</v>
      </c>
      <c r="J476" s="9">
        <f t="shared" si="7"/>
        <v>37.242000000000004</v>
      </c>
      <c r="K476" t="s">
        <v>16</v>
      </c>
      <c r="L476" t="s">
        <v>17</v>
      </c>
      <c r="M476" t="str">
        <f>REPLACE(Transactions!M476,1,4,"")</f>
        <v>6</v>
      </c>
    </row>
    <row r="477" spans="1:13" x14ac:dyDescent="0.2">
      <c r="A477">
        <v>182061</v>
      </c>
      <c r="B477" s="5">
        <v>45205</v>
      </c>
      <c r="C477">
        <v>50469</v>
      </c>
      <c r="D477" t="str">
        <f>PROPER(Transactions!D477)</f>
        <v>Furniture</v>
      </c>
      <c r="E477" t="s">
        <v>51</v>
      </c>
      <c r="F477" t="s">
        <v>52</v>
      </c>
      <c r="G477">
        <v>1</v>
      </c>
      <c r="H477">
        <v>22.39</v>
      </c>
      <c r="I477" s="7">
        <f>IF(Transactions!I477="",0,Transactions!I477)</f>
        <v>0.2</v>
      </c>
      <c r="J477" s="9">
        <f t="shared" si="7"/>
        <v>17.912000000000003</v>
      </c>
      <c r="K477" t="s">
        <v>36</v>
      </c>
      <c r="L477" t="s">
        <v>17</v>
      </c>
      <c r="M477" t="str">
        <f>REPLACE(Transactions!M477,1,4,"")</f>
        <v>2</v>
      </c>
    </row>
    <row r="478" spans="1:13" x14ac:dyDescent="0.2">
      <c r="A478">
        <v>182190</v>
      </c>
      <c r="B478" s="5">
        <v>44702</v>
      </c>
      <c r="C478">
        <v>36097</v>
      </c>
      <c r="D478" t="str">
        <f>PROPER(Transactions!D478)</f>
        <v>Pharmacy</v>
      </c>
      <c r="E478" t="s">
        <v>115</v>
      </c>
      <c r="F478" t="s">
        <v>116</v>
      </c>
      <c r="G478">
        <v>5</v>
      </c>
      <c r="H478">
        <v>11.69</v>
      </c>
      <c r="I478" s="7">
        <f>IF(Transactions!I478="",0,Transactions!I478)</f>
        <v>0.1</v>
      </c>
      <c r="J478" s="9">
        <f t="shared" si="7"/>
        <v>52.604999999999997</v>
      </c>
      <c r="K478" t="s">
        <v>22</v>
      </c>
      <c r="L478" t="s">
        <v>17</v>
      </c>
      <c r="M478" t="str">
        <f>REPLACE(Transactions!M478,1,4,"")</f>
        <v>6</v>
      </c>
    </row>
    <row r="479" spans="1:13" x14ac:dyDescent="0.2">
      <c r="A479">
        <v>182326</v>
      </c>
      <c r="B479" s="5">
        <v>45038</v>
      </c>
      <c r="D479" t="str">
        <f>PROPER(Transactions!D479)</f>
        <v>Automotive</v>
      </c>
      <c r="E479" t="s">
        <v>131</v>
      </c>
      <c r="F479" t="s">
        <v>132</v>
      </c>
      <c r="G479">
        <v>1</v>
      </c>
      <c r="H479">
        <v>3.49</v>
      </c>
      <c r="I479" s="7">
        <f>IF(Transactions!I479="",0,Transactions!I479)</f>
        <v>0</v>
      </c>
      <c r="J479" s="9">
        <f t="shared" si="7"/>
        <v>3.49</v>
      </c>
      <c r="K479" t="s">
        <v>36</v>
      </c>
      <c r="L479" t="s">
        <v>37</v>
      </c>
      <c r="M479" t="str">
        <f>REPLACE(Transactions!M479,1,4,"")</f>
        <v>16</v>
      </c>
    </row>
    <row r="480" spans="1:13" x14ac:dyDescent="0.2">
      <c r="A480">
        <v>182430</v>
      </c>
      <c r="B480" s="5">
        <v>44756</v>
      </c>
      <c r="C480">
        <v>21758</v>
      </c>
      <c r="D480" t="str">
        <f>PROPER(Transactions!D480)</f>
        <v>Beauty</v>
      </c>
      <c r="E480" t="s">
        <v>139</v>
      </c>
      <c r="F480" t="s">
        <v>140</v>
      </c>
      <c r="G480">
        <v>2</v>
      </c>
      <c r="H480">
        <v>6.39</v>
      </c>
      <c r="I480" s="7">
        <f>IF(Transactions!I480="",0,Transactions!I480)</f>
        <v>0.2</v>
      </c>
      <c r="J480" s="9">
        <f t="shared" si="7"/>
        <v>10.224</v>
      </c>
      <c r="K480" t="s">
        <v>22</v>
      </c>
      <c r="L480" t="s">
        <v>17</v>
      </c>
      <c r="M480" t="str">
        <f>REPLACE(Transactions!M480,1,4,"")</f>
        <v>8</v>
      </c>
    </row>
    <row r="481" spans="1:13" x14ac:dyDescent="0.2">
      <c r="A481">
        <v>182566</v>
      </c>
      <c r="B481" s="5">
        <v>45086</v>
      </c>
      <c r="C481">
        <v>80016</v>
      </c>
      <c r="D481" t="str">
        <f>PROPER(Transactions!D481)</f>
        <v>Automotive</v>
      </c>
      <c r="E481" t="s">
        <v>131</v>
      </c>
      <c r="F481" t="s">
        <v>132</v>
      </c>
      <c r="G481">
        <v>1</v>
      </c>
      <c r="H481">
        <v>3.49</v>
      </c>
      <c r="I481" s="7">
        <f>IF(Transactions!I481="",0,Transactions!I481)</f>
        <v>0</v>
      </c>
      <c r="J481" s="9">
        <f t="shared" si="7"/>
        <v>3.49</v>
      </c>
      <c r="K481" t="s">
        <v>16</v>
      </c>
      <c r="L481" t="s">
        <v>37</v>
      </c>
      <c r="M481" t="str">
        <f>REPLACE(Transactions!M481,1,4,"")</f>
        <v>12</v>
      </c>
    </row>
    <row r="482" spans="1:13" x14ac:dyDescent="0.2">
      <c r="A482">
        <v>182649</v>
      </c>
      <c r="B482" s="5">
        <v>44726</v>
      </c>
      <c r="C482">
        <v>82788</v>
      </c>
      <c r="D482" t="str">
        <f>PROPER(Transactions!D482)</f>
        <v>Electronics</v>
      </c>
      <c r="E482" t="s">
        <v>127</v>
      </c>
      <c r="F482" t="s">
        <v>128</v>
      </c>
      <c r="G482">
        <v>2</v>
      </c>
      <c r="H482">
        <v>17.989999999999998</v>
      </c>
      <c r="I482" s="7">
        <f>IF(Transactions!I482="",0,Transactions!I482)</f>
        <v>0.1</v>
      </c>
      <c r="J482" s="9">
        <f t="shared" si="7"/>
        <v>32.381999999999998</v>
      </c>
      <c r="K482" t="s">
        <v>36</v>
      </c>
      <c r="L482" t="s">
        <v>17</v>
      </c>
      <c r="M482" t="str">
        <f>REPLACE(Transactions!M482,1,4,"")</f>
        <v>7</v>
      </c>
    </row>
    <row r="483" spans="1:13" x14ac:dyDescent="0.2">
      <c r="A483">
        <v>182663</v>
      </c>
      <c r="B483" s="5">
        <v>45448</v>
      </c>
      <c r="C483">
        <v>86548</v>
      </c>
      <c r="D483" t="str">
        <f>PROPER(Transactions!D483)</f>
        <v>Automotive</v>
      </c>
      <c r="E483" t="s">
        <v>131</v>
      </c>
      <c r="F483" t="s">
        <v>132</v>
      </c>
      <c r="G483">
        <v>2</v>
      </c>
      <c r="H483">
        <v>3.14</v>
      </c>
      <c r="I483" s="7">
        <f>IF(Transactions!I483="",0,Transactions!I483)</f>
        <v>0.1</v>
      </c>
      <c r="J483" s="9">
        <f t="shared" si="7"/>
        <v>5.6520000000000001</v>
      </c>
      <c r="K483" t="s">
        <v>36</v>
      </c>
      <c r="L483" t="s">
        <v>37</v>
      </c>
      <c r="M483" t="str">
        <f>REPLACE(Transactions!M483,1,4,"")</f>
        <v>5</v>
      </c>
    </row>
    <row r="484" spans="1:13" x14ac:dyDescent="0.2">
      <c r="A484">
        <v>182814</v>
      </c>
      <c r="B484" s="5">
        <v>45094</v>
      </c>
      <c r="C484">
        <v>22738</v>
      </c>
      <c r="D484" t="str">
        <f>PROPER(Transactions!D484)</f>
        <v>Automotive</v>
      </c>
      <c r="E484" t="s">
        <v>125</v>
      </c>
      <c r="F484" t="s">
        <v>126</v>
      </c>
      <c r="G484">
        <v>1</v>
      </c>
      <c r="H484">
        <v>29.99</v>
      </c>
      <c r="I484" s="7">
        <f>IF(Transactions!I484="",0,Transactions!I484)</f>
        <v>0</v>
      </c>
      <c r="J484" s="9">
        <f t="shared" si="7"/>
        <v>29.99</v>
      </c>
      <c r="K484" t="s">
        <v>16</v>
      </c>
      <c r="L484" t="s">
        <v>17</v>
      </c>
      <c r="M484" t="str">
        <f>REPLACE(Transactions!M484,1,4,"")</f>
        <v>3</v>
      </c>
    </row>
    <row r="485" spans="1:13" x14ac:dyDescent="0.2">
      <c r="A485">
        <v>182915</v>
      </c>
      <c r="B485" s="5">
        <v>45617</v>
      </c>
      <c r="C485">
        <v>49660</v>
      </c>
      <c r="D485" t="str">
        <f>PROPER(Transactions!D485)</f>
        <v>Electronics</v>
      </c>
      <c r="E485" t="s">
        <v>159</v>
      </c>
      <c r="F485" t="s">
        <v>160</v>
      </c>
      <c r="G485">
        <v>5</v>
      </c>
      <c r="H485">
        <v>47.99</v>
      </c>
      <c r="I485" s="7">
        <f>IF(Transactions!I485="",0,Transactions!I485)</f>
        <v>0.2</v>
      </c>
      <c r="J485" s="9">
        <f t="shared" si="7"/>
        <v>191.96000000000004</v>
      </c>
      <c r="K485" t="s">
        <v>36</v>
      </c>
      <c r="L485" t="s">
        <v>37</v>
      </c>
      <c r="M485" t="str">
        <f>REPLACE(Transactions!M485,1,4,"")</f>
        <v>15</v>
      </c>
    </row>
    <row r="486" spans="1:13" x14ac:dyDescent="0.2">
      <c r="A486">
        <v>183075</v>
      </c>
      <c r="B486" s="5">
        <v>44814</v>
      </c>
      <c r="C486">
        <v>99904</v>
      </c>
      <c r="D486" t="str">
        <f>PROPER(Transactions!D486)</f>
        <v>Pharmacy</v>
      </c>
      <c r="E486" t="s">
        <v>41</v>
      </c>
      <c r="F486" t="s">
        <v>42</v>
      </c>
      <c r="G486">
        <v>2</v>
      </c>
      <c r="H486">
        <v>4.49</v>
      </c>
      <c r="I486" s="7">
        <f>IF(Transactions!I486="",0,Transactions!I486)</f>
        <v>0.25</v>
      </c>
      <c r="J486" s="9">
        <f t="shared" si="7"/>
        <v>6.7350000000000003</v>
      </c>
      <c r="K486" t="s">
        <v>16</v>
      </c>
      <c r="L486" t="s">
        <v>37</v>
      </c>
      <c r="M486" t="str">
        <f>REPLACE(Transactions!M486,1,4,"")</f>
        <v>4</v>
      </c>
    </row>
    <row r="487" spans="1:13" x14ac:dyDescent="0.2">
      <c r="A487">
        <v>183430</v>
      </c>
      <c r="B487" s="5">
        <v>45346</v>
      </c>
      <c r="C487">
        <v>69185</v>
      </c>
      <c r="D487" t="str">
        <f>PROPER(Transactions!D487)</f>
        <v>Grocery</v>
      </c>
      <c r="E487" t="s">
        <v>172</v>
      </c>
      <c r="F487" t="s">
        <v>173</v>
      </c>
      <c r="G487">
        <v>1</v>
      </c>
      <c r="H487">
        <v>3.37</v>
      </c>
      <c r="I487" s="7">
        <f>IF(Transactions!I487="",0,Transactions!I487)</f>
        <v>0.25</v>
      </c>
      <c r="J487" s="9">
        <f t="shared" si="7"/>
        <v>2.5274999999999999</v>
      </c>
      <c r="K487" t="s">
        <v>16</v>
      </c>
      <c r="L487" t="s">
        <v>17</v>
      </c>
      <c r="M487" t="str">
        <f>REPLACE(Transactions!M487,1,4,"")</f>
        <v>19</v>
      </c>
    </row>
    <row r="488" spans="1:13" x14ac:dyDescent="0.2">
      <c r="A488">
        <v>183558</v>
      </c>
      <c r="B488" s="5">
        <v>45371</v>
      </c>
      <c r="C488">
        <v>48285</v>
      </c>
      <c r="D488" t="str">
        <f>PROPER(Transactions!D488)</f>
        <v>Pharmacy</v>
      </c>
      <c r="E488" t="s">
        <v>20</v>
      </c>
      <c r="F488" t="s">
        <v>21</v>
      </c>
      <c r="G488">
        <v>2</v>
      </c>
      <c r="H488">
        <v>9.99</v>
      </c>
      <c r="I488" s="7">
        <f>IF(Transactions!I488="",0,Transactions!I488)</f>
        <v>0</v>
      </c>
      <c r="J488" s="9">
        <f t="shared" si="7"/>
        <v>19.98</v>
      </c>
      <c r="K488" t="s">
        <v>53</v>
      </c>
      <c r="L488" t="s">
        <v>17</v>
      </c>
      <c r="M488" t="str">
        <f>REPLACE(Transactions!M488,1,4,"")</f>
        <v>7</v>
      </c>
    </row>
    <row r="489" spans="1:13" x14ac:dyDescent="0.2">
      <c r="A489">
        <v>183942</v>
      </c>
      <c r="B489" s="5">
        <v>44572</v>
      </c>
      <c r="C489">
        <v>53323</v>
      </c>
      <c r="D489" t="str">
        <f>PROPER(Transactions!D489)</f>
        <v>Clothing</v>
      </c>
      <c r="E489" t="s">
        <v>193</v>
      </c>
      <c r="F489" t="s">
        <v>194</v>
      </c>
      <c r="G489">
        <v>3</v>
      </c>
      <c r="H489">
        <v>64.989999999999995</v>
      </c>
      <c r="I489" s="7">
        <f>IF(Transactions!I489="",0,Transactions!I489)</f>
        <v>0</v>
      </c>
      <c r="J489" s="9">
        <f t="shared" si="7"/>
        <v>194.96999999999997</v>
      </c>
      <c r="K489" t="s">
        <v>16</v>
      </c>
      <c r="L489" t="s">
        <v>17</v>
      </c>
      <c r="M489" t="str">
        <f>REPLACE(Transactions!M489,1,4,"")</f>
        <v>16</v>
      </c>
    </row>
    <row r="490" spans="1:13" x14ac:dyDescent="0.2">
      <c r="A490">
        <v>183979</v>
      </c>
      <c r="B490" s="5">
        <v>45130</v>
      </c>
      <c r="C490">
        <v>64454</v>
      </c>
      <c r="D490" t="str">
        <f>PROPER(Transactions!D490)</f>
        <v>Grocery</v>
      </c>
      <c r="E490" t="s">
        <v>93</v>
      </c>
      <c r="F490" t="s">
        <v>94</v>
      </c>
      <c r="G490">
        <v>1</v>
      </c>
      <c r="H490">
        <v>1.03</v>
      </c>
      <c r="I490" s="7">
        <f>IF(Transactions!I490="",0,Transactions!I490)</f>
        <v>0.2</v>
      </c>
      <c r="J490" s="9">
        <f t="shared" si="7"/>
        <v>0.82400000000000007</v>
      </c>
      <c r="K490" t="s">
        <v>36</v>
      </c>
      <c r="L490" t="s">
        <v>17</v>
      </c>
      <c r="M490" t="str">
        <f>REPLACE(Transactions!M490,1,4,"")</f>
        <v>5</v>
      </c>
    </row>
    <row r="491" spans="1:13" x14ac:dyDescent="0.2">
      <c r="A491">
        <v>184133</v>
      </c>
      <c r="B491" s="5">
        <v>45442</v>
      </c>
      <c r="C491">
        <v>30257</v>
      </c>
      <c r="D491" t="str">
        <f>PROPER(Transactions!D491)</f>
        <v>Sports</v>
      </c>
      <c r="E491" t="s">
        <v>100</v>
      </c>
      <c r="F491" t="s">
        <v>101</v>
      </c>
      <c r="G491">
        <v>1</v>
      </c>
      <c r="H491">
        <v>22.99</v>
      </c>
      <c r="I491" s="7">
        <f>IF(Transactions!I491="",0,Transactions!I491)</f>
        <v>0</v>
      </c>
      <c r="J491" s="9">
        <f t="shared" si="7"/>
        <v>22.99</v>
      </c>
      <c r="K491" t="s">
        <v>22</v>
      </c>
      <c r="L491" t="s">
        <v>17</v>
      </c>
      <c r="M491" t="str">
        <f>REPLACE(Transactions!M491,1,4,"")</f>
        <v>2</v>
      </c>
    </row>
    <row r="492" spans="1:13" x14ac:dyDescent="0.2">
      <c r="A492">
        <v>184222</v>
      </c>
      <c r="B492" s="5">
        <v>44599</v>
      </c>
      <c r="C492">
        <v>59874</v>
      </c>
      <c r="D492" t="str">
        <f>PROPER(Transactions!D492)</f>
        <v>Clothing</v>
      </c>
      <c r="E492" t="s">
        <v>121</v>
      </c>
      <c r="F492" t="s">
        <v>122</v>
      </c>
      <c r="G492">
        <v>1</v>
      </c>
      <c r="H492">
        <v>12.99</v>
      </c>
      <c r="I492" s="7">
        <f>IF(Transactions!I492="",0,Transactions!I492)</f>
        <v>0</v>
      </c>
      <c r="J492" s="9">
        <f t="shared" si="7"/>
        <v>12.99</v>
      </c>
      <c r="K492" t="s">
        <v>95</v>
      </c>
      <c r="L492" t="s">
        <v>17</v>
      </c>
      <c r="M492" t="str">
        <f>REPLACE(Transactions!M492,1,4,"")</f>
        <v/>
      </c>
    </row>
    <row r="493" spans="1:13" x14ac:dyDescent="0.2">
      <c r="A493">
        <v>184234</v>
      </c>
      <c r="B493" s="5">
        <v>45080</v>
      </c>
      <c r="C493">
        <v>35256</v>
      </c>
      <c r="D493" t="str">
        <f>PROPER(Transactions!D493)</f>
        <v>Grocery</v>
      </c>
      <c r="E493" t="s">
        <v>93</v>
      </c>
      <c r="F493" t="s">
        <v>94</v>
      </c>
      <c r="G493">
        <v>2</v>
      </c>
      <c r="H493">
        <v>1.1000000000000001</v>
      </c>
      <c r="I493" s="7">
        <f>IF(Transactions!I493="",0,Transactions!I493)</f>
        <v>0.15</v>
      </c>
      <c r="J493" s="9">
        <f t="shared" si="7"/>
        <v>1.87</v>
      </c>
      <c r="K493" t="s">
        <v>66</v>
      </c>
      <c r="L493" t="s">
        <v>17</v>
      </c>
      <c r="M493" t="str">
        <f>REPLACE(Transactions!M493,1,4,"")</f>
        <v>11</v>
      </c>
    </row>
    <row r="494" spans="1:13" x14ac:dyDescent="0.2">
      <c r="A494">
        <v>184252</v>
      </c>
      <c r="B494" s="5">
        <v>45589</v>
      </c>
      <c r="C494">
        <v>75848</v>
      </c>
      <c r="D494" t="str">
        <f>PROPER(Transactions!D494)</f>
        <v>Clothing</v>
      </c>
      <c r="E494" t="s">
        <v>121</v>
      </c>
      <c r="F494" t="s">
        <v>122</v>
      </c>
      <c r="G494">
        <v>4</v>
      </c>
      <c r="H494">
        <v>10.39</v>
      </c>
      <c r="I494" s="7">
        <f>IF(Transactions!I494="",0,Transactions!I494)</f>
        <v>0.2</v>
      </c>
      <c r="J494" s="9">
        <f t="shared" si="7"/>
        <v>33.248000000000005</v>
      </c>
      <c r="K494" t="s">
        <v>53</v>
      </c>
      <c r="L494" t="s">
        <v>17</v>
      </c>
      <c r="M494" t="str">
        <f>REPLACE(Transactions!M494,1,4,"")</f>
        <v>19</v>
      </c>
    </row>
    <row r="495" spans="1:13" x14ac:dyDescent="0.2">
      <c r="A495">
        <v>184361</v>
      </c>
      <c r="B495" s="5">
        <v>45487</v>
      </c>
      <c r="C495">
        <v>49097</v>
      </c>
      <c r="D495" t="str">
        <f>PROPER(Transactions!D495)</f>
        <v>Furniture</v>
      </c>
      <c r="E495" t="s">
        <v>26</v>
      </c>
      <c r="F495" t="s">
        <v>27</v>
      </c>
      <c r="G495">
        <v>3</v>
      </c>
      <c r="H495">
        <v>34.99</v>
      </c>
      <c r="I495" s="7">
        <f>IF(Transactions!I495="",0,Transactions!I495)</f>
        <v>0</v>
      </c>
      <c r="J495" s="9">
        <f t="shared" si="7"/>
        <v>104.97</v>
      </c>
      <c r="K495" t="s">
        <v>95</v>
      </c>
      <c r="L495" t="s">
        <v>17</v>
      </c>
      <c r="M495" t="str">
        <f>REPLACE(Transactions!M495,1,4,"")</f>
        <v/>
      </c>
    </row>
    <row r="496" spans="1:13" x14ac:dyDescent="0.2">
      <c r="A496">
        <v>184670</v>
      </c>
      <c r="B496" s="5">
        <v>44592</v>
      </c>
      <c r="C496">
        <v>96733</v>
      </c>
      <c r="D496" t="str">
        <f>PROPER(Transactions!D496)</f>
        <v>Toys</v>
      </c>
      <c r="E496" t="s">
        <v>170</v>
      </c>
      <c r="F496" t="s">
        <v>171</v>
      </c>
      <c r="G496">
        <v>1</v>
      </c>
      <c r="H496">
        <v>14.99</v>
      </c>
      <c r="I496" s="7">
        <f>IF(Transactions!I496="",0,Transactions!I496)</f>
        <v>0</v>
      </c>
      <c r="J496" s="9">
        <f t="shared" si="7"/>
        <v>14.99</v>
      </c>
      <c r="K496" t="s">
        <v>16</v>
      </c>
      <c r="L496" t="s">
        <v>37</v>
      </c>
      <c r="M496" t="str">
        <f>REPLACE(Transactions!M496,1,4,"")</f>
        <v>2</v>
      </c>
    </row>
    <row r="497" spans="1:13" x14ac:dyDescent="0.2">
      <c r="A497">
        <v>184772</v>
      </c>
      <c r="B497" s="5">
        <v>44854</v>
      </c>
      <c r="C497">
        <v>51689</v>
      </c>
      <c r="D497" t="str">
        <f>PROPER(Transactions!D497)</f>
        <v>Grocery</v>
      </c>
      <c r="E497" t="s">
        <v>172</v>
      </c>
      <c r="F497" t="s">
        <v>173</v>
      </c>
      <c r="G497">
        <v>3</v>
      </c>
      <c r="H497">
        <v>4.49</v>
      </c>
      <c r="I497" s="7">
        <f>IF(Transactions!I497="",0,Transactions!I497)</f>
        <v>0</v>
      </c>
      <c r="J497" s="9">
        <f t="shared" si="7"/>
        <v>13.47</v>
      </c>
      <c r="K497" t="s">
        <v>95</v>
      </c>
      <c r="L497" t="s">
        <v>37</v>
      </c>
      <c r="M497" t="str">
        <f>REPLACE(Transactions!M497,1,4,"")</f>
        <v>20</v>
      </c>
    </row>
    <row r="498" spans="1:13" x14ac:dyDescent="0.2">
      <c r="A498">
        <v>184950</v>
      </c>
      <c r="B498" s="5">
        <v>45651</v>
      </c>
      <c r="D498" t="str">
        <f>PROPER(Transactions!D498)</f>
        <v>Home &amp; Garden</v>
      </c>
      <c r="E498" t="s">
        <v>129</v>
      </c>
      <c r="F498" t="s">
        <v>130</v>
      </c>
      <c r="G498">
        <v>3</v>
      </c>
      <c r="H498">
        <v>8.09</v>
      </c>
      <c r="I498" s="7">
        <f>IF(Transactions!I498="",0,Transactions!I498)</f>
        <v>0.1</v>
      </c>
      <c r="J498" s="9">
        <f t="shared" si="7"/>
        <v>21.843</v>
      </c>
      <c r="K498" t="s">
        <v>22</v>
      </c>
      <c r="L498" t="s">
        <v>37</v>
      </c>
      <c r="M498" t="str">
        <f>REPLACE(Transactions!M498,1,4,"")</f>
        <v>15</v>
      </c>
    </row>
    <row r="499" spans="1:13" x14ac:dyDescent="0.2">
      <c r="A499">
        <v>185260</v>
      </c>
      <c r="B499" s="5">
        <v>44866</v>
      </c>
      <c r="D499" t="str">
        <f>PROPER(Transactions!D499)</f>
        <v>Sports</v>
      </c>
      <c r="E499" t="s">
        <v>168</v>
      </c>
      <c r="F499" t="s">
        <v>169</v>
      </c>
      <c r="G499">
        <v>1</v>
      </c>
      <c r="H499">
        <v>8.99</v>
      </c>
      <c r="I499" s="7">
        <f>IF(Transactions!I499="",0,Transactions!I499)</f>
        <v>0</v>
      </c>
      <c r="J499" s="9">
        <f t="shared" si="7"/>
        <v>8.99</v>
      </c>
      <c r="K499" t="s">
        <v>36</v>
      </c>
      <c r="L499" t="s">
        <v>17</v>
      </c>
      <c r="M499" t="str">
        <f>REPLACE(Transactions!M499,1,4,"")</f>
        <v>5</v>
      </c>
    </row>
    <row r="500" spans="1:13" x14ac:dyDescent="0.2">
      <c r="A500">
        <v>185586</v>
      </c>
      <c r="B500" s="5">
        <v>44687</v>
      </c>
      <c r="C500">
        <v>22612</v>
      </c>
      <c r="D500" t="str">
        <f>PROPER(Transactions!D500)</f>
        <v>Furniture</v>
      </c>
      <c r="E500" t="s">
        <v>113</v>
      </c>
      <c r="F500" t="s">
        <v>114</v>
      </c>
      <c r="G500">
        <v>1</v>
      </c>
      <c r="H500">
        <v>101.99</v>
      </c>
      <c r="I500" s="7">
        <f>IF(Transactions!I500="",0,Transactions!I500)</f>
        <v>0.15</v>
      </c>
      <c r="J500" s="9">
        <f t="shared" si="7"/>
        <v>86.691499999999991</v>
      </c>
      <c r="K500" t="s">
        <v>16</v>
      </c>
      <c r="L500" t="s">
        <v>17</v>
      </c>
      <c r="M500" t="str">
        <f>REPLACE(Transactions!M500,1,4,"")</f>
        <v>18</v>
      </c>
    </row>
    <row r="501" spans="1:13" x14ac:dyDescent="0.2">
      <c r="A501">
        <v>185698</v>
      </c>
      <c r="B501" s="5">
        <v>45214</v>
      </c>
      <c r="C501">
        <v>57798</v>
      </c>
      <c r="D501" t="str">
        <f>PROPER(Transactions!D501)</f>
        <v>Furniture</v>
      </c>
      <c r="E501" t="s">
        <v>51</v>
      </c>
      <c r="F501" t="s">
        <v>52</v>
      </c>
      <c r="G501">
        <v>1</v>
      </c>
      <c r="H501">
        <v>27.99</v>
      </c>
      <c r="I501" s="7">
        <f>IF(Transactions!I501="",0,Transactions!I501)</f>
        <v>0</v>
      </c>
      <c r="J501" s="9">
        <f t="shared" si="7"/>
        <v>27.99</v>
      </c>
      <c r="K501" t="s">
        <v>32</v>
      </c>
      <c r="L501" t="s">
        <v>17</v>
      </c>
      <c r="M501" t="str">
        <f>REPLACE(Transactions!M501,1,4,"")</f>
        <v>1</v>
      </c>
    </row>
    <row r="502" spans="1:13" x14ac:dyDescent="0.2">
      <c r="A502">
        <v>185980</v>
      </c>
      <c r="B502" s="5">
        <v>44999</v>
      </c>
      <c r="C502">
        <v>60393</v>
      </c>
      <c r="D502" t="str">
        <f>PROPER(Transactions!D502)</f>
        <v>Furniture</v>
      </c>
      <c r="E502" t="s">
        <v>60</v>
      </c>
      <c r="F502" t="s">
        <v>61</v>
      </c>
      <c r="G502">
        <v>1</v>
      </c>
      <c r="H502">
        <v>52.24</v>
      </c>
      <c r="I502" s="7">
        <f>IF(Transactions!I502="",0,Transactions!I502)</f>
        <v>0.05</v>
      </c>
      <c r="J502" s="9">
        <f t="shared" si="7"/>
        <v>49.628</v>
      </c>
      <c r="K502" t="s">
        <v>16</v>
      </c>
      <c r="L502" t="s">
        <v>17</v>
      </c>
      <c r="M502" t="str">
        <f>REPLACE(Transactions!M502,1,4,"")</f>
        <v>13</v>
      </c>
    </row>
    <row r="503" spans="1:13" x14ac:dyDescent="0.2">
      <c r="A503">
        <v>185991</v>
      </c>
      <c r="B503" s="5">
        <v>45041</v>
      </c>
      <c r="C503">
        <v>76985</v>
      </c>
      <c r="D503" t="str">
        <f>PROPER(Transactions!D503)</f>
        <v>Grocery</v>
      </c>
      <c r="E503" t="s">
        <v>177</v>
      </c>
      <c r="F503" t="s">
        <v>178</v>
      </c>
      <c r="G503">
        <v>5</v>
      </c>
      <c r="H503">
        <v>10.19</v>
      </c>
      <c r="I503" s="7">
        <f>IF(Transactions!I503="",0,Transactions!I503)</f>
        <v>0.15</v>
      </c>
      <c r="J503" s="9">
        <f t="shared" si="7"/>
        <v>43.307499999999997</v>
      </c>
      <c r="K503" t="s">
        <v>53</v>
      </c>
      <c r="L503" t="s">
        <v>37</v>
      </c>
      <c r="M503" t="str">
        <f>REPLACE(Transactions!M503,1,4,"")</f>
        <v>20</v>
      </c>
    </row>
    <row r="504" spans="1:13" x14ac:dyDescent="0.2">
      <c r="A504">
        <v>186074</v>
      </c>
      <c r="B504" s="5">
        <v>45546</v>
      </c>
      <c r="C504">
        <v>63252</v>
      </c>
      <c r="D504" t="str">
        <f>PROPER(Transactions!D504)</f>
        <v>Home &amp; Garden</v>
      </c>
      <c r="E504" t="s">
        <v>157</v>
      </c>
      <c r="F504" t="s">
        <v>158</v>
      </c>
      <c r="G504">
        <v>4</v>
      </c>
      <c r="H504">
        <v>12.82</v>
      </c>
      <c r="I504" s="7">
        <f>IF(Transactions!I504="",0,Transactions!I504)</f>
        <v>0.05</v>
      </c>
      <c r="J504" s="9">
        <f t="shared" si="7"/>
        <v>48.716000000000001</v>
      </c>
      <c r="K504" t="s">
        <v>22</v>
      </c>
      <c r="L504" t="s">
        <v>37</v>
      </c>
      <c r="M504" t="str">
        <f>REPLACE(Transactions!M504,1,4,"")</f>
        <v>3</v>
      </c>
    </row>
    <row r="505" spans="1:13" x14ac:dyDescent="0.2">
      <c r="A505">
        <v>186078</v>
      </c>
      <c r="B505" s="5">
        <v>45504</v>
      </c>
      <c r="D505" t="str">
        <f>PROPER(Transactions!D505)</f>
        <v>Beauty</v>
      </c>
      <c r="E505" t="s">
        <v>143</v>
      </c>
      <c r="F505" t="s">
        <v>144</v>
      </c>
      <c r="G505">
        <v>2</v>
      </c>
      <c r="H505">
        <v>10.49</v>
      </c>
      <c r="I505" s="7">
        <f>IF(Transactions!I505="",0,Transactions!I505)</f>
        <v>0.3</v>
      </c>
      <c r="J505" s="9">
        <f t="shared" si="7"/>
        <v>14.686</v>
      </c>
      <c r="K505" t="s">
        <v>16</v>
      </c>
      <c r="L505" t="s">
        <v>37</v>
      </c>
      <c r="M505" t="str">
        <f>REPLACE(Transactions!M505,1,4,"")</f>
        <v>13</v>
      </c>
    </row>
    <row r="506" spans="1:13" x14ac:dyDescent="0.2">
      <c r="A506">
        <v>186453</v>
      </c>
      <c r="B506" s="5">
        <v>44965</v>
      </c>
      <c r="C506">
        <v>60014</v>
      </c>
      <c r="D506" t="str">
        <f>PROPER(Transactions!D506)</f>
        <v>Pharmacy</v>
      </c>
      <c r="E506" t="s">
        <v>197</v>
      </c>
      <c r="F506" t="s">
        <v>198</v>
      </c>
      <c r="G506">
        <v>2</v>
      </c>
      <c r="H506">
        <v>11.99</v>
      </c>
      <c r="I506" s="7">
        <f>IF(Transactions!I506="",0,Transactions!I506)</f>
        <v>0.2</v>
      </c>
      <c r="J506" s="9">
        <f t="shared" si="7"/>
        <v>19.184000000000001</v>
      </c>
      <c r="K506" t="s">
        <v>32</v>
      </c>
      <c r="L506" t="s">
        <v>17</v>
      </c>
      <c r="M506" t="str">
        <f>REPLACE(Transactions!M506,1,4,"")</f>
        <v>18</v>
      </c>
    </row>
    <row r="507" spans="1:13" x14ac:dyDescent="0.2">
      <c r="A507">
        <v>186648</v>
      </c>
      <c r="B507" s="5">
        <v>45064</v>
      </c>
      <c r="C507">
        <v>34987</v>
      </c>
      <c r="D507" t="str">
        <f>PROPER(Transactions!D507)</f>
        <v>Toys</v>
      </c>
      <c r="E507" t="s">
        <v>170</v>
      </c>
      <c r="F507" t="s">
        <v>171</v>
      </c>
      <c r="G507">
        <v>1</v>
      </c>
      <c r="H507">
        <v>14.99</v>
      </c>
      <c r="I507" s="7">
        <f>IF(Transactions!I507="",0,Transactions!I507)</f>
        <v>0</v>
      </c>
      <c r="J507" s="9">
        <f t="shared" si="7"/>
        <v>14.99</v>
      </c>
      <c r="K507" t="s">
        <v>95</v>
      </c>
      <c r="L507" t="s">
        <v>17</v>
      </c>
      <c r="M507" t="str">
        <f>REPLACE(Transactions!M507,1,4,"")</f>
        <v>11</v>
      </c>
    </row>
    <row r="508" spans="1:13" x14ac:dyDescent="0.2">
      <c r="A508">
        <v>186806</v>
      </c>
      <c r="B508" s="5">
        <v>45426</v>
      </c>
      <c r="D508" t="str">
        <f>PROPER(Transactions!D508)</f>
        <v>Electronics</v>
      </c>
      <c r="E508" t="s">
        <v>55</v>
      </c>
      <c r="F508" t="s">
        <v>56</v>
      </c>
      <c r="G508">
        <v>2</v>
      </c>
      <c r="H508">
        <v>280.49</v>
      </c>
      <c r="I508" s="7">
        <f>IF(Transactions!I508="",0,Transactions!I508)</f>
        <v>0.15</v>
      </c>
      <c r="J508" s="9">
        <f t="shared" si="7"/>
        <v>476.83300000000003</v>
      </c>
      <c r="K508" t="s">
        <v>22</v>
      </c>
      <c r="L508" t="s">
        <v>37</v>
      </c>
      <c r="M508" t="str">
        <f>REPLACE(Transactions!M508,1,4,"")</f>
        <v>8</v>
      </c>
    </row>
    <row r="509" spans="1:13" x14ac:dyDescent="0.2">
      <c r="A509">
        <v>187078</v>
      </c>
      <c r="B509" s="5">
        <v>45633</v>
      </c>
      <c r="C509">
        <v>76184</v>
      </c>
      <c r="D509" t="str">
        <f>PROPER(Transactions!D509)</f>
        <v>Beauty</v>
      </c>
      <c r="E509" t="s">
        <v>143</v>
      </c>
      <c r="F509" t="s">
        <v>144</v>
      </c>
      <c r="G509">
        <v>4</v>
      </c>
      <c r="H509">
        <v>14.99</v>
      </c>
      <c r="I509" s="7">
        <f>IF(Transactions!I509="",0,Transactions!I509)</f>
        <v>0</v>
      </c>
      <c r="J509" s="9">
        <f t="shared" si="7"/>
        <v>59.96</v>
      </c>
      <c r="K509" t="s">
        <v>36</v>
      </c>
      <c r="L509" t="s">
        <v>17</v>
      </c>
      <c r="M509" t="str">
        <f>REPLACE(Transactions!M509,1,4,"")</f>
        <v>19</v>
      </c>
    </row>
    <row r="510" spans="1:13" x14ac:dyDescent="0.2">
      <c r="A510">
        <v>187382</v>
      </c>
      <c r="B510" s="5">
        <v>44770</v>
      </c>
      <c r="C510">
        <v>60842</v>
      </c>
      <c r="D510" t="str">
        <f>PROPER(Transactions!D510)</f>
        <v>Toys</v>
      </c>
      <c r="E510" t="s">
        <v>72</v>
      </c>
      <c r="F510" t="s">
        <v>73</v>
      </c>
      <c r="G510">
        <v>1</v>
      </c>
      <c r="H510">
        <v>37.99</v>
      </c>
      <c r="I510" s="7">
        <f>IF(Transactions!I510="",0,Transactions!I510)</f>
        <v>0.05</v>
      </c>
      <c r="J510" s="9">
        <f t="shared" si="7"/>
        <v>36.090499999999999</v>
      </c>
      <c r="K510" t="s">
        <v>36</v>
      </c>
      <c r="L510" t="s">
        <v>17</v>
      </c>
      <c r="M510" t="str">
        <f>REPLACE(Transactions!M510,1,4,"")</f>
        <v>3</v>
      </c>
    </row>
    <row r="511" spans="1:13" x14ac:dyDescent="0.2">
      <c r="A511">
        <v>187407</v>
      </c>
      <c r="B511" s="5">
        <v>45653</v>
      </c>
      <c r="C511">
        <v>64733</v>
      </c>
      <c r="D511" t="str">
        <f>PROPER(Transactions!D511)</f>
        <v>Home &amp; Garden</v>
      </c>
      <c r="E511" t="s">
        <v>157</v>
      </c>
      <c r="F511" t="s">
        <v>158</v>
      </c>
      <c r="G511">
        <v>3</v>
      </c>
      <c r="H511">
        <v>9.44</v>
      </c>
      <c r="I511" s="7">
        <f>IF(Transactions!I511="",0,Transactions!I511)</f>
        <v>0.3</v>
      </c>
      <c r="J511" s="9">
        <f t="shared" si="7"/>
        <v>19.823999999999998</v>
      </c>
      <c r="K511" t="s">
        <v>95</v>
      </c>
      <c r="L511" t="s">
        <v>17</v>
      </c>
      <c r="M511" t="str">
        <f>REPLACE(Transactions!M511,1,4,"")</f>
        <v>8</v>
      </c>
    </row>
    <row r="512" spans="1:13" x14ac:dyDescent="0.2">
      <c r="A512">
        <v>187431</v>
      </c>
      <c r="B512" s="5">
        <v>45437</v>
      </c>
      <c r="C512">
        <v>91074</v>
      </c>
      <c r="D512" t="str">
        <f>PROPER(Transactions!D512)</f>
        <v>Grocery</v>
      </c>
      <c r="E512" t="s">
        <v>162</v>
      </c>
      <c r="F512" t="s">
        <v>163</v>
      </c>
      <c r="G512">
        <v>3</v>
      </c>
      <c r="H512">
        <v>7.99</v>
      </c>
      <c r="I512" s="7">
        <f>IF(Transactions!I512="",0,Transactions!I512)</f>
        <v>0</v>
      </c>
      <c r="J512" s="9">
        <f t="shared" si="7"/>
        <v>23.97</v>
      </c>
      <c r="K512" t="s">
        <v>36</v>
      </c>
      <c r="L512" t="s">
        <v>37</v>
      </c>
      <c r="M512" t="str">
        <f>REPLACE(Transactions!M512,1,4,"")</f>
        <v>15</v>
      </c>
    </row>
    <row r="513" spans="1:13" x14ac:dyDescent="0.2">
      <c r="A513">
        <v>187463</v>
      </c>
      <c r="B513" s="5">
        <v>44869</v>
      </c>
      <c r="C513">
        <v>30574</v>
      </c>
      <c r="D513" t="str">
        <f>PROPER(Transactions!D513)</f>
        <v>Beauty</v>
      </c>
      <c r="E513" t="s">
        <v>118</v>
      </c>
      <c r="F513" t="s">
        <v>119</v>
      </c>
      <c r="G513">
        <v>1</v>
      </c>
      <c r="H513">
        <v>4.49</v>
      </c>
      <c r="I513" s="7">
        <f>IF(Transactions!I513="",0,Transactions!I513)</f>
        <v>0.1</v>
      </c>
      <c r="J513" s="9">
        <f t="shared" si="7"/>
        <v>4.0410000000000004</v>
      </c>
      <c r="K513" t="s">
        <v>32</v>
      </c>
      <c r="L513" t="s">
        <v>37</v>
      </c>
      <c r="M513" t="str">
        <f>REPLACE(Transactions!M513,1,4,"")</f>
        <v>6</v>
      </c>
    </row>
    <row r="514" spans="1:13" x14ac:dyDescent="0.2">
      <c r="A514">
        <v>187511</v>
      </c>
      <c r="B514" s="5">
        <v>45102</v>
      </c>
      <c r="C514">
        <v>55010</v>
      </c>
      <c r="D514" t="str">
        <f>PROPER(Transactions!D514)</f>
        <v>Sports</v>
      </c>
      <c r="E514" t="s">
        <v>83</v>
      </c>
      <c r="F514" t="s">
        <v>84</v>
      </c>
      <c r="G514">
        <v>4</v>
      </c>
      <c r="H514">
        <v>15.29</v>
      </c>
      <c r="I514" s="7">
        <f>IF(Transactions!I514="",0,Transactions!I514)</f>
        <v>0.1</v>
      </c>
      <c r="J514" s="9">
        <f t="shared" si="7"/>
        <v>55.043999999999997</v>
      </c>
      <c r="K514" t="s">
        <v>53</v>
      </c>
      <c r="L514" t="s">
        <v>37</v>
      </c>
      <c r="M514" t="str">
        <f>REPLACE(Transactions!M514,1,4,"")</f>
        <v>20</v>
      </c>
    </row>
    <row r="515" spans="1:13" x14ac:dyDescent="0.2">
      <c r="A515">
        <v>188403</v>
      </c>
      <c r="B515" s="5">
        <v>44737</v>
      </c>
      <c r="C515">
        <v>66771</v>
      </c>
      <c r="D515" t="str">
        <f>PROPER(Transactions!D515)</f>
        <v>Automotive</v>
      </c>
      <c r="E515" t="s">
        <v>111</v>
      </c>
      <c r="F515" t="s">
        <v>112</v>
      </c>
      <c r="G515">
        <v>1</v>
      </c>
      <c r="H515">
        <v>13.49</v>
      </c>
      <c r="I515" s="7">
        <f>IF(Transactions!I515="",0,Transactions!I515)</f>
        <v>0.1</v>
      </c>
      <c r="J515" s="9">
        <f t="shared" ref="J515:J578" si="8">(H515*G515)*(1-I515)</f>
        <v>12.141</v>
      </c>
      <c r="K515" t="s">
        <v>16</v>
      </c>
      <c r="L515" t="s">
        <v>23</v>
      </c>
      <c r="M515" t="str">
        <f>REPLACE(Transactions!M515,1,4,"")</f>
        <v>2</v>
      </c>
    </row>
    <row r="516" spans="1:13" x14ac:dyDescent="0.2">
      <c r="A516">
        <v>188426</v>
      </c>
      <c r="B516" s="5">
        <v>44722</v>
      </c>
      <c r="C516">
        <v>92325</v>
      </c>
      <c r="D516" t="str">
        <f>PROPER(Transactions!D516)</f>
        <v>Toys</v>
      </c>
      <c r="E516" t="s">
        <v>38</v>
      </c>
      <c r="F516" t="s">
        <v>39</v>
      </c>
      <c r="G516">
        <v>1</v>
      </c>
      <c r="H516">
        <v>22.49</v>
      </c>
      <c r="I516" s="7">
        <f>IF(Transactions!I516="",0,Transactions!I516)</f>
        <v>0.25</v>
      </c>
      <c r="J516" s="9">
        <f t="shared" si="8"/>
        <v>16.8675</v>
      </c>
      <c r="K516" t="s">
        <v>16</v>
      </c>
      <c r="L516" t="s">
        <v>17</v>
      </c>
      <c r="M516" t="str">
        <f>REPLACE(Transactions!M516,1,4,"")</f>
        <v>10</v>
      </c>
    </row>
    <row r="517" spans="1:13" x14ac:dyDescent="0.2">
      <c r="A517">
        <v>188501</v>
      </c>
      <c r="B517" s="5">
        <v>45642</v>
      </c>
      <c r="C517">
        <v>75004</v>
      </c>
      <c r="D517" t="str">
        <f>PROPER(Transactions!D517)</f>
        <v>Home &amp; Garden</v>
      </c>
      <c r="E517" t="s">
        <v>137</v>
      </c>
      <c r="F517" t="s">
        <v>138</v>
      </c>
      <c r="G517">
        <v>1</v>
      </c>
      <c r="H517">
        <v>7.99</v>
      </c>
      <c r="I517" s="7">
        <f>IF(Transactions!I517="",0,Transactions!I517)</f>
        <v>0</v>
      </c>
      <c r="J517" s="9">
        <f t="shared" si="8"/>
        <v>7.99</v>
      </c>
      <c r="K517" t="s">
        <v>32</v>
      </c>
      <c r="L517" t="s">
        <v>17</v>
      </c>
      <c r="M517" t="str">
        <f>REPLACE(Transactions!M517,1,4,"")</f>
        <v>18</v>
      </c>
    </row>
    <row r="518" spans="1:13" x14ac:dyDescent="0.2">
      <c r="A518">
        <v>188852</v>
      </c>
      <c r="B518" s="5">
        <v>45445</v>
      </c>
      <c r="C518">
        <v>78675</v>
      </c>
      <c r="D518" t="str">
        <f>PROPER(Transactions!D518)</f>
        <v>Electronics</v>
      </c>
      <c r="E518" t="s">
        <v>79</v>
      </c>
      <c r="F518" t="s">
        <v>80</v>
      </c>
      <c r="G518">
        <v>4</v>
      </c>
      <c r="H518">
        <v>62.99</v>
      </c>
      <c r="I518" s="7">
        <f>IF(Transactions!I518="",0,Transactions!I518)</f>
        <v>0.3</v>
      </c>
      <c r="J518" s="9">
        <f t="shared" si="8"/>
        <v>176.37199999999999</v>
      </c>
      <c r="K518" t="s">
        <v>36</v>
      </c>
      <c r="L518" t="s">
        <v>17</v>
      </c>
      <c r="M518" t="str">
        <f>REPLACE(Transactions!M518,1,4,"")</f>
        <v>8</v>
      </c>
    </row>
    <row r="519" spans="1:13" x14ac:dyDescent="0.2">
      <c r="A519">
        <v>189023</v>
      </c>
      <c r="B519" s="5">
        <v>45588</v>
      </c>
      <c r="C519">
        <v>13796</v>
      </c>
      <c r="D519" t="str">
        <f>PROPER(Transactions!D519)</f>
        <v>Pharmacy</v>
      </c>
      <c r="E519" t="s">
        <v>115</v>
      </c>
      <c r="F519" t="s">
        <v>116</v>
      </c>
      <c r="G519">
        <v>2</v>
      </c>
      <c r="H519">
        <v>12.34</v>
      </c>
      <c r="I519" s="7">
        <f>IF(Transactions!I519="",0,Transactions!I519)</f>
        <v>0.05</v>
      </c>
      <c r="J519" s="9">
        <f t="shared" si="8"/>
        <v>23.445999999999998</v>
      </c>
      <c r="K519" t="s">
        <v>16</v>
      </c>
      <c r="L519" t="s">
        <v>17</v>
      </c>
      <c r="M519" t="str">
        <f>REPLACE(Transactions!M519,1,4,"")</f>
        <v>8</v>
      </c>
    </row>
    <row r="520" spans="1:13" x14ac:dyDescent="0.2">
      <c r="A520">
        <v>189110</v>
      </c>
      <c r="B520" s="5">
        <v>45298</v>
      </c>
      <c r="C520">
        <v>31802</v>
      </c>
      <c r="D520" t="str">
        <f>PROPER(Transactions!D520)</f>
        <v>Beauty</v>
      </c>
      <c r="E520" t="s">
        <v>139</v>
      </c>
      <c r="F520" t="s">
        <v>140</v>
      </c>
      <c r="G520">
        <v>2</v>
      </c>
      <c r="H520">
        <v>5.59</v>
      </c>
      <c r="I520" s="7">
        <f>IF(Transactions!I520="",0,Transactions!I520)</f>
        <v>0.3</v>
      </c>
      <c r="J520" s="9">
        <f t="shared" si="8"/>
        <v>7.8259999999999996</v>
      </c>
      <c r="K520" t="s">
        <v>22</v>
      </c>
      <c r="L520" t="s">
        <v>17</v>
      </c>
      <c r="M520" t="str">
        <f>REPLACE(Transactions!M520,1,4,"")</f>
        <v>19</v>
      </c>
    </row>
    <row r="521" spans="1:13" x14ac:dyDescent="0.2">
      <c r="A521">
        <v>189370</v>
      </c>
      <c r="B521" s="5">
        <v>44592</v>
      </c>
      <c r="C521">
        <v>64548</v>
      </c>
      <c r="D521" t="str">
        <f>PROPER(Transactions!D521)</f>
        <v>Clothing</v>
      </c>
      <c r="E521" t="s">
        <v>181</v>
      </c>
      <c r="F521" t="s">
        <v>182</v>
      </c>
      <c r="G521">
        <v>1</v>
      </c>
      <c r="H521">
        <v>11.24</v>
      </c>
      <c r="I521" s="7">
        <f>IF(Transactions!I521="",0,Transactions!I521)</f>
        <v>0.25</v>
      </c>
      <c r="J521" s="9">
        <f t="shared" si="8"/>
        <v>8.43</v>
      </c>
      <c r="K521" t="s">
        <v>36</v>
      </c>
      <c r="L521" t="s">
        <v>37</v>
      </c>
      <c r="M521" t="str">
        <f>REPLACE(Transactions!M521,1,4,"")</f>
        <v>7</v>
      </c>
    </row>
    <row r="522" spans="1:13" x14ac:dyDescent="0.2">
      <c r="A522">
        <v>189611</v>
      </c>
      <c r="B522" s="5">
        <v>45519</v>
      </c>
      <c r="C522">
        <v>89963</v>
      </c>
      <c r="D522" t="str">
        <f>PROPER(Transactions!D522)</f>
        <v>Electronics</v>
      </c>
      <c r="E522" t="s">
        <v>14</v>
      </c>
      <c r="F522" t="s">
        <v>15</v>
      </c>
      <c r="G522">
        <v>2</v>
      </c>
      <c r="H522">
        <v>63.99</v>
      </c>
      <c r="I522" s="7">
        <f>IF(Transactions!I522="",0,Transactions!I522)</f>
        <v>0.2</v>
      </c>
      <c r="J522" s="9">
        <f t="shared" si="8"/>
        <v>102.38400000000001</v>
      </c>
      <c r="K522" t="s">
        <v>53</v>
      </c>
      <c r="L522" t="s">
        <v>37</v>
      </c>
      <c r="M522" t="str">
        <f>REPLACE(Transactions!M522,1,4,"")</f>
        <v>1</v>
      </c>
    </row>
    <row r="523" spans="1:13" x14ac:dyDescent="0.2">
      <c r="A523">
        <v>189871</v>
      </c>
      <c r="B523" s="5">
        <v>45646</v>
      </c>
      <c r="C523">
        <v>89603</v>
      </c>
      <c r="D523" t="str">
        <f>PROPER(Transactions!D523)</f>
        <v>Toys</v>
      </c>
      <c r="E523" t="s">
        <v>170</v>
      </c>
      <c r="F523" t="s">
        <v>171</v>
      </c>
      <c r="G523">
        <v>1</v>
      </c>
      <c r="H523">
        <v>14.24</v>
      </c>
      <c r="I523" s="7">
        <f>IF(Transactions!I523="",0,Transactions!I523)</f>
        <v>0.05</v>
      </c>
      <c r="J523" s="9">
        <f t="shared" si="8"/>
        <v>13.527999999999999</v>
      </c>
      <c r="K523" t="s">
        <v>95</v>
      </c>
      <c r="L523" t="s">
        <v>17</v>
      </c>
      <c r="M523" t="str">
        <f>REPLACE(Transactions!M523,1,4,"")</f>
        <v>9</v>
      </c>
    </row>
    <row r="524" spans="1:13" x14ac:dyDescent="0.2">
      <c r="A524">
        <v>190025</v>
      </c>
      <c r="B524" s="5">
        <v>45550</v>
      </c>
      <c r="C524">
        <v>50880</v>
      </c>
      <c r="D524" t="str">
        <f>PROPER(Transactions!D524)</f>
        <v>Grocery</v>
      </c>
      <c r="E524" t="s">
        <v>91</v>
      </c>
      <c r="F524" t="s">
        <v>92</v>
      </c>
      <c r="G524">
        <v>1</v>
      </c>
      <c r="H524">
        <v>6.29</v>
      </c>
      <c r="I524" s="7">
        <f>IF(Transactions!I524="",0,Transactions!I524)</f>
        <v>0</v>
      </c>
      <c r="J524" s="9">
        <f t="shared" si="8"/>
        <v>6.29</v>
      </c>
      <c r="K524" t="s">
        <v>16</v>
      </c>
      <c r="L524" t="s">
        <v>23</v>
      </c>
      <c r="M524" t="str">
        <f>REPLACE(Transactions!M524,1,4,"")</f>
        <v>6</v>
      </c>
    </row>
    <row r="525" spans="1:13" x14ac:dyDescent="0.2">
      <c r="A525">
        <v>190209</v>
      </c>
      <c r="B525" s="5">
        <v>44946</v>
      </c>
      <c r="C525">
        <v>28156</v>
      </c>
      <c r="D525" t="str">
        <f>PROPER(Transactions!D525)</f>
        <v>Clothing</v>
      </c>
      <c r="E525" t="s">
        <v>181</v>
      </c>
      <c r="F525" t="s">
        <v>182</v>
      </c>
      <c r="G525">
        <v>5</v>
      </c>
      <c r="H525">
        <v>12.74</v>
      </c>
      <c r="I525" s="7">
        <f>IF(Transactions!I525="",0,Transactions!I525)</f>
        <v>0.15</v>
      </c>
      <c r="J525" s="9">
        <f t="shared" si="8"/>
        <v>54.145000000000003</v>
      </c>
      <c r="K525" t="s">
        <v>36</v>
      </c>
      <c r="L525" t="s">
        <v>17</v>
      </c>
      <c r="M525" t="str">
        <f>REPLACE(Transactions!M525,1,4,"")</f>
        <v>1</v>
      </c>
    </row>
    <row r="526" spans="1:13" x14ac:dyDescent="0.2">
      <c r="A526">
        <v>190629</v>
      </c>
      <c r="B526" s="5">
        <v>45574</v>
      </c>
      <c r="C526">
        <v>63453</v>
      </c>
      <c r="D526" t="str">
        <f>PROPER(Transactions!D526)</f>
        <v>Grocery</v>
      </c>
      <c r="E526" t="s">
        <v>107</v>
      </c>
      <c r="F526" t="s">
        <v>108</v>
      </c>
      <c r="G526">
        <v>1</v>
      </c>
      <c r="H526">
        <v>2.62</v>
      </c>
      <c r="I526" s="7">
        <f>IF(Transactions!I526="",0,Transactions!I526)</f>
        <v>0.25</v>
      </c>
      <c r="J526" s="9">
        <f t="shared" si="8"/>
        <v>1.9650000000000001</v>
      </c>
      <c r="K526" t="s">
        <v>36</v>
      </c>
      <c r="L526" t="s">
        <v>17</v>
      </c>
      <c r="M526" t="str">
        <f>REPLACE(Transactions!M526,1,4,"")</f>
        <v>10</v>
      </c>
    </row>
    <row r="527" spans="1:13" x14ac:dyDescent="0.2">
      <c r="A527">
        <v>190747</v>
      </c>
      <c r="B527" s="5">
        <v>45164</v>
      </c>
      <c r="C527">
        <v>82508</v>
      </c>
      <c r="D527" t="str">
        <f>PROPER(Transactions!D527)</f>
        <v>Home &amp; Garden</v>
      </c>
      <c r="E527" t="s">
        <v>137</v>
      </c>
      <c r="F527" t="s">
        <v>138</v>
      </c>
      <c r="G527">
        <v>1</v>
      </c>
      <c r="H527">
        <v>7.99</v>
      </c>
      <c r="I527" s="7">
        <f>IF(Transactions!I527="",0,Transactions!I527)</f>
        <v>0</v>
      </c>
      <c r="J527" s="9">
        <f t="shared" si="8"/>
        <v>7.99</v>
      </c>
      <c r="K527" t="s">
        <v>16</v>
      </c>
      <c r="L527" t="s">
        <v>17</v>
      </c>
      <c r="M527" t="str">
        <f>REPLACE(Transactions!M527,1,4,"")</f>
        <v>18</v>
      </c>
    </row>
    <row r="528" spans="1:13" x14ac:dyDescent="0.2">
      <c r="A528">
        <v>190848</v>
      </c>
      <c r="B528" s="5">
        <v>45471</v>
      </c>
      <c r="C528">
        <v>88153</v>
      </c>
      <c r="D528" t="str">
        <f>PROPER(Transactions!D528)</f>
        <v>Home &amp; Garden</v>
      </c>
      <c r="E528" t="s">
        <v>157</v>
      </c>
      <c r="F528" t="s">
        <v>158</v>
      </c>
      <c r="G528">
        <v>1</v>
      </c>
      <c r="H528">
        <v>12.14</v>
      </c>
      <c r="I528" s="7">
        <f>IF(Transactions!I528="",0,Transactions!I528)</f>
        <v>0.1</v>
      </c>
      <c r="J528" s="9">
        <f t="shared" si="8"/>
        <v>10.926</v>
      </c>
      <c r="K528" t="s">
        <v>32</v>
      </c>
      <c r="L528" t="s">
        <v>37</v>
      </c>
      <c r="M528" t="str">
        <f>REPLACE(Transactions!M528,1,4,"")</f>
        <v>20</v>
      </c>
    </row>
    <row r="529" spans="1:13" x14ac:dyDescent="0.2">
      <c r="A529">
        <v>190868</v>
      </c>
      <c r="B529" s="5">
        <v>44644</v>
      </c>
      <c r="C529">
        <v>17537</v>
      </c>
      <c r="D529" t="str">
        <f>PROPER(Transactions!D529)</f>
        <v>Home &amp; Garden</v>
      </c>
      <c r="E529" t="s">
        <v>149</v>
      </c>
      <c r="F529" t="s">
        <v>150</v>
      </c>
      <c r="G529">
        <v>4</v>
      </c>
      <c r="H529">
        <v>13.99</v>
      </c>
      <c r="I529" s="7">
        <f>IF(Transactions!I529="",0,Transactions!I529)</f>
        <v>0.3</v>
      </c>
      <c r="J529" s="9">
        <f t="shared" si="8"/>
        <v>39.171999999999997</v>
      </c>
      <c r="K529" t="s">
        <v>22</v>
      </c>
      <c r="L529" t="s">
        <v>17</v>
      </c>
      <c r="M529" t="str">
        <f>REPLACE(Transactions!M529,1,4,"")</f>
        <v>18</v>
      </c>
    </row>
    <row r="530" spans="1:13" x14ac:dyDescent="0.2">
      <c r="A530">
        <v>190897</v>
      </c>
      <c r="B530" s="5">
        <v>44599</v>
      </c>
      <c r="C530">
        <v>30255</v>
      </c>
      <c r="D530" t="str">
        <f>PROPER(Transactions!D530)</f>
        <v>Home &amp; Garden</v>
      </c>
      <c r="E530" t="s">
        <v>149</v>
      </c>
      <c r="F530" t="s">
        <v>150</v>
      </c>
      <c r="G530">
        <v>5</v>
      </c>
      <c r="H530">
        <v>19.989999999999998</v>
      </c>
      <c r="I530" s="7">
        <f>IF(Transactions!I530="",0,Transactions!I530)</f>
        <v>0</v>
      </c>
      <c r="J530" s="9">
        <f t="shared" si="8"/>
        <v>99.949999999999989</v>
      </c>
      <c r="K530" t="s">
        <v>32</v>
      </c>
      <c r="L530" t="s">
        <v>17</v>
      </c>
      <c r="M530" t="str">
        <f>REPLACE(Transactions!M530,1,4,"")</f>
        <v>5</v>
      </c>
    </row>
    <row r="531" spans="1:13" x14ac:dyDescent="0.2">
      <c r="A531">
        <v>190964</v>
      </c>
      <c r="B531" s="5">
        <v>45420</v>
      </c>
      <c r="C531">
        <v>24959</v>
      </c>
      <c r="D531" t="str">
        <f>PROPER(Transactions!D531)</f>
        <v>Clothing</v>
      </c>
      <c r="E531" t="s">
        <v>151</v>
      </c>
      <c r="F531" t="s">
        <v>152</v>
      </c>
      <c r="G531">
        <v>3</v>
      </c>
      <c r="H531">
        <v>34.99</v>
      </c>
      <c r="I531" s="7">
        <f>IF(Transactions!I531="",0,Transactions!I531)</f>
        <v>0</v>
      </c>
      <c r="J531" s="9">
        <f t="shared" si="8"/>
        <v>104.97</v>
      </c>
      <c r="K531" t="s">
        <v>36</v>
      </c>
      <c r="L531" t="s">
        <v>17</v>
      </c>
      <c r="M531" t="str">
        <f>REPLACE(Transactions!M531,1,4,"")</f>
        <v>18</v>
      </c>
    </row>
    <row r="532" spans="1:13" x14ac:dyDescent="0.2">
      <c r="A532">
        <v>190979</v>
      </c>
      <c r="B532" s="5">
        <v>44989</v>
      </c>
      <c r="C532">
        <v>56947</v>
      </c>
      <c r="D532" t="str">
        <f>PROPER(Transactions!D532)</f>
        <v>Furniture</v>
      </c>
      <c r="E532" t="s">
        <v>60</v>
      </c>
      <c r="F532" t="s">
        <v>61</v>
      </c>
      <c r="G532">
        <v>1</v>
      </c>
      <c r="H532">
        <v>54.99</v>
      </c>
      <c r="I532" s="7">
        <f>IF(Transactions!I532="",0,Transactions!I532)</f>
        <v>0</v>
      </c>
      <c r="J532" s="9">
        <f t="shared" si="8"/>
        <v>54.99</v>
      </c>
      <c r="K532" t="s">
        <v>36</v>
      </c>
      <c r="L532" t="s">
        <v>17</v>
      </c>
      <c r="M532" t="str">
        <f>REPLACE(Transactions!M532,1,4,"")</f>
        <v>14</v>
      </c>
    </row>
    <row r="533" spans="1:13" x14ac:dyDescent="0.2">
      <c r="A533">
        <v>190987</v>
      </c>
      <c r="B533" s="5">
        <v>45352</v>
      </c>
      <c r="C533">
        <v>61213</v>
      </c>
      <c r="D533" t="str">
        <f>PROPER(Transactions!D533)</f>
        <v>Sports</v>
      </c>
      <c r="E533" t="s">
        <v>83</v>
      </c>
      <c r="F533" t="s">
        <v>84</v>
      </c>
      <c r="G533">
        <v>3</v>
      </c>
      <c r="H533">
        <v>16.14</v>
      </c>
      <c r="I533" s="7">
        <f>IF(Transactions!I533="",0,Transactions!I533)</f>
        <v>0.05</v>
      </c>
      <c r="J533" s="9">
        <f t="shared" si="8"/>
        <v>45.999000000000002</v>
      </c>
      <c r="K533" t="s">
        <v>16</v>
      </c>
      <c r="L533" t="s">
        <v>17</v>
      </c>
      <c r="M533" t="str">
        <f>REPLACE(Transactions!M533,1,4,"")</f>
        <v>17</v>
      </c>
    </row>
    <row r="534" spans="1:13" x14ac:dyDescent="0.2">
      <c r="A534">
        <v>191042</v>
      </c>
      <c r="B534" s="5">
        <v>45210</v>
      </c>
      <c r="C534">
        <v>54815</v>
      </c>
      <c r="D534" t="str">
        <f>PROPER(Transactions!D534)</f>
        <v>Furniture</v>
      </c>
      <c r="E534" t="s">
        <v>70</v>
      </c>
      <c r="F534" t="s">
        <v>71</v>
      </c>
      <c r="G534">
        <v>2</v>
      </c>
      <c r="H534">
        <v>80.989999999999995</v>
      </c>
      <c r="I534" s="7">
        <f>IF(Transactions!I534="",0,Transactions!I534)</f>
        <v>0.1</v>
      </c>
      <c r="J534" s="9">
        <f t="shared" si="8"/>
        <v>145.78199999999998</v>
      </c>
      <c r="K534" t="s">
        <v>32</v>
      </c>
      <c r="L534" t="s">
        <v>37</v>
      </c>
      <c r="M534" t="str">
        <f>REPLACE(Transactions!M534,1,4,"")</f>
        <v>14</v>
      </c>
    </row>
    <row r="535" spans="1:13" x14ac:dyDescent="0.2">
      <c r="A535">
        <v>191291</v>
      </c>
      <c r="B535" s="5">
        <v>44883</v>
      </c>
      <c r="C535">
        <v>86438</v>
      </c>
      <c r="D535" t="str">
        <f>PROPER(Transactions!D535)</f>
        <v>Grocery</v>
      </c>
      <c r="E535" t="s">
        <v>190</v>
      </c>
      <c r="F535" t="s">
        <v>191</v>
      </c>
      <c r="G535">
        <v>5</v>
      </c>
      <c r="H535">
        <v>3</v>
      </c>
      <c r="I535" s="7">
        <f>IF(Transactions!I535="",0,Transactions!I535)</f>
        <v>0.3</v>
      </c>
      <c r="J535" s="9">
        <f t="shared" si="8"/>
        <v>10.5</v>
      </c>
      <c r="K535" t="s">
        <v>36</v>
      </c>
      <c r="L535" t="s">
        <v>17</v>
      </c>
      <c r="M535" t="str">
        <f>REPLACE(Transactions!M535,1,4,"")</f>
        <v>8</v>
      </c>
    </row>
    <row r="536" spans="1:13" x14ac:dyDescent="0.2">
      <c r="A536">
        <v>191626</v>
      </c>
      <c r="B536" s="5">
        <v>44873</v>
      </c>
      <c r="C536">
        <v>32718</v>
      </c>
      <c r="D536" t="str">
        <f>PROPER(Transactions!D536)</f>
        <v>Pharmacy</v>
      </c>
      <c r="E536" t="s">
        <v>41</v>
      </c>
      <c r="F536" t="s">
        <v>42</v>
      </c>
      <c r="G536">
        <v>4</v>
      </c>
      <c r="H536">
        <v>5.99</v>
      </c>
      <c r="I536" s="7">
        <f>IF(Transactions!I536="",0,Transactions!I536)</f>
        <v>0</v>
      </c>
      <c r="J536" s="9">
        <f t="shared" si="8"/>
        <v>23.96</v>
      </c>
      <c r="K536" t="s">
        <v>53</v>
      </c>
      <c r="L536" t="s">
        <v>37</v>
      </c>
      <c r="M536" t="str">
        <f>REPLACE(Transactions!M536,1,4,"")</f>
        <v>14</v>
      </c>
    </row>
    <row r="537" spans="1:13" x14ac:dyDescent="0.2">
      <c r="A537">
        <v>191796</v>
      </c>
      <c r="B537" s="5">
        <v>45610</v>
      </c>
      <c r="C537">
        <v>48078</v>
      </c>
      <c r="D537" t="str">
        <f>PROPER(Transactions!D537)</f>
        <v>Sports</v>
      </c>
      <c r="E537" t="s">
        <v>155</v>
      </c>
      <c r="F537" t="s">
        <v>156</v>
      </c>
      <c r="G537">
        <v>1</v>
      </c>
      <c r="H537">
        <v>16.989999999999998</v>
      </c>
      <c r="I537" s="7">
        <f>IF(Transactions!I537="",0,Transactions!I537)</f>
        <v>0.15</v>
      </c>
      <c r="J537" s="9">
        <f t="shared" si="8"/>
        <v>14.441499999999998</v>
      </c>
      <c r="K537" t="s">
        <v>16</v>
      </c>
      <c r="L537" t="s">
        <v>17</v>
      </c>
      <c r="M537" t="str">
        <f>REPLACE(Transactions!M537,1,4,"")</f>
        <v>7</v>
      </c>
    </row>
    <row r="538" spans="1:13" x14ac:dyDescent="0.2">
      <c r="A538">
        <v>191845</v>
      </c>
      <c r="B538" s="5">
        <v>44652</v>
      </c>
      <c r="C538">
        <v>72995</v>
      </c>
      <c r="D538" t="str">
        <f>PROPER(Transactions!D538)</f>
        <v>Grocery</v>
      </c>
      <c r="E538" t="s">
        <v>91</v>
      </c>
      <c r="F538" t="s">
        <v>92</v>
      </c>
      <c r="G538">
        <v>1</v>
      </c>
      <c r="H538">
        <v>6.29</v>
      </c>
      <c r="I538" s="7">
        <f>IF(Transactions!I538="",0,Transactions!I538)</f>
        <v>0</v>
      </c>
      <c r="J538" s="9">
        <f t="shared" si="8"/>
        <v>6.29</v>
      </c>
      <c r="K538" t="s">
        <v>16</v>
      </c>
      <c r="L538" t="s">
        <v>17</v>
      </c>
      <c r="M538" t="str">
        <f>REPLACE(Transactions!M538,1,4,"")</f>
        <v>18</v>
      </c>
    </row>
    <row r="539" spans="1:13" x14ac:dyDescent="0.2">
      <c r="A539">
        <v>191888</v>
      </c>
      <c r="B539" s="5">
        <v>45409</v>
      </c>
      <c r="C539">
        <v>54129</v>
      </c>
      <c r="D539" t="str">
        <f>PROPER(Transactions!D539)</f>
        <v>Toys</v>
      </c>
      <c r="E539" t="s">
        <v>72</v>
      </c>
      <c r="F539" t="s">
        <v>73</v>
      </c>
      <c r="G539">
        <v>1</v>
      </c>
      <c r="H539">
        <v>31.99</v>
      </c>
      <c r="I539" s="7">
        <f>IF(Transactions!I539="",0,Transactions!I539)</f>
        <v>0.2</v>
      </c>
      <c r="J539" s="9">
        <f t="shared" si="8"/>
        <v>25.591999999999999</v>
      </c>
      <c r="K539" t="s">
        <v>22</v>
      </c>
      <c r="L539" t="s">
        <v>17</v>
      </c>
      <c r="M539" t="str">
        <f>REPLACE(Transactions!M539,1,4,"")</f>
        <v>20</v>
      </c>
    </row>
    <row r="540" spans="1:13" x14ac:dyDescent="0.2">
      <c r="A540">
        <v>191954</v>
      </c>
      <c r="B540" s="5">
        <v>44683</v>
      </c>
      <c r="C540">
        <v>79972</v>
      </c>
      <c r="D540" t="str">
        <f>PROPER(Transactions!D540)</f>
        <v>Sports</v>
      </c>
      <c r="E540" t="s">
        <v>83</v>
      </c>
      <c r="F540" t="s">
        <v>84</v>
      </c>
      <c r="G540">
        <v>1</v>
      </c>
      <c r="H540">
        <v>13.59</v>
      </c>
      <c r="I540" s="7">
        <f>IF(Transactions!I540="",0,Transactions!I540)</f>
        <v>0.2</v>
      </c>
      <c r="J540" s="9">
        <f t="shared" si="8"/>
        <v>10.872</v>
      </c>
      <c r="K540" t="s">
        <v>16</v>
      </c>
      <c r="L540" t="s">
        <v>37</v>
      </c>
      <c r="M540" t="str">
        <f>REPLACE(Transactions!M540,1,4,"")</f>
        <v>12</v>
      </c>
    </row>
    <row r="541" spans="1:13" x14ac:dyDescent="0.2">
      <c r="A541">
        <v>192242</v>
      </c>
      <c r="B541" s="5">
        <v>45058</v>
      </c>
      <c r="C541">
        <v>94466</v>
      </c>
      <c r="D541" t="str">
        <f>PROPER(Transactions!D541)</f>
        <v>Home &amp; Garden</v>
      </c>
      <c r="E541" t="s">
        <v>157</v>
      </c>
      <c r="F541" t="s">
        <v>158</v>
      </c>
      <c r="G541">
        <v>4</v>
      </c>
      <c r="H541">
        <v>13.49</v>
      </c>
      <c r="I541" s="7">
        <f>IF(Transactions!I541="",0,Transactions!I541)</f>
        <v>0</v>
      </c>
      <c r="J541" s="9">
        <f t="shared" si="8"/>
        <v>53.96</v>
      </c>
      <c r="K541" t="s">
        <v>36</v>
      </c>
      <c r="L541" t="s">
        <v>17</v>
      </c>
      <c r="M541" t="str">
        <f>REPLACE(Transactions!M541,1,4,"")</f>
        <v>14</v>
      </c>
    </row>
    <row r="542" spans="1:13" x14ac:dyDescent="0.2">
      <c r="A542">
        <v>192492</v>
      </c>
      <c r="B542" s="5">
        <v>45307</v>
      </c>
      <c r="C542">
        <v>52960</v>
      </c>
      <c r="D542" t="str">
        <f>PROPER(Transactions!D542)</f>
        <v>Toys</v>
      </c>
      <c r="E542" t="s">
        <v>88</v>
      </c>
      <c r="F542" t="s">
        <v>89</v>
      </c>
      <c r="G542">
        <v>2</v>
      </c>
      <c r="H542">
        <v>47.49</v>
      </c>
      <c r="I542" s="7">
        <f>IF(Transactions!I542="",0,Transactions!I542)</f>
        <v>0.05</v>
      </c>
      <c r="J542" s="9">
        <f t="shared" si="8"/>
        <v>90.230999999999995</v>
      </c>
      <c r="K542" t="s">
        <v>16</v>
      </c>
      <c r="L542" t="s">
        <v>17</v>
      </c>
      <c r="M542" t="str">
        <f>REPLACE(Transactions!M542,1,4,"")</f>
        <v>4</v>
      </c>
    </row>
    <row r="543" spans="1:13" x14ac:dyDescent="0.2">
      <c r="A543">
        <v>192525</v>
      </c>
      <c r="B543" s="5">
        <v>44674</v>
      </c>
      <c r="C543">
        <v>50308</v>
      </c>
      <c r="D543" t="str">
        <f>PROPER(Transactions!D543)</f>
        <v>Grocery</v>
      </c>
      <c r="E543" t="s">
        <v>74</v>
      </c>
      <c r="F543" t="s">
        <v>75</v>
      </c>
      <c r="G543">
        <v>1</v>
      </c>
      <c r="H543">
        <v>2.54</v>
      </c>
      <c r="I543" s="7">
        <f>IF(Transactions!I543="",0,Transactions!I543)</f>
        <v>0.15</v>
      </c>
      <c r="J543" s="9">
        <f t="shared" si="8"/>
        <v>2.1589999999999998</v>
      </c>
      <c r="K543" t="s">
        <v>16</v>
      </c>
      <c r="L543" t="s">
        <v>17</v>
      </c>
      <c r="M543" t="str">
        <f>REPLACE(Transactions!M543,1,4,"")</f>
        <v>6</v>
      </c>
    </row>
    <row r="544" spans="1:13" x14ac:dyDescent="0.2">
      <c r="A544">
        <v>192552</v>
      </c>
      <c r="B544" s="5">
        <v>45628</v>
      </c>
      <c r="C544">
        <v>70211</v>
      </c>
      <c r="D544" t="str">
        <f>PROPER(Transactions!D544)</f>
        <v>Pharmacy</v>
      </c>
      <c r="E544" t="s">
        <v>20</v>
      </c>
      <c r="F544" t="s">
        <v>21</v>
      </c>
      <c r="G544">
        <v>4</v>
      </c>
      <c r="H544">
        <v>6.99</v>
      </c>
      <c r="I544" s="7">
        <f>IF(Transactions!I544="",0,Transactions!I544)</f>
        <v>0.3</v>
      </c>
      <c r="J544" s="9">
        <f t="shared" si="8"/>
        <v>19.571999999999999</v>
      </c>
      <c r="K544" t="s">
        <v>32</v>
      </c>
      <c r="L544" t="s">
        <v>17</v>
      </c>
      <c r="M544" t="str">
        <f>REPLACE(Transactions!M544,1,4,"")</f>
        <v>3</v>
      </c>
    </row>
    <row r="545" spans="1:13" x14ac:dyDescent="0.2">
      <c r="A545">
        <v>192564</v>
      </c>
      <c r="B545" s="5">
        <v>45549</v>
      </c>
      <c r="C545">
        <v>66598</v>
      </c>
      <c r="D545" t="str">
        <f>PROPER(Transactions!D545)</f>
        <v>Electronics</v>
      </c>
      <c r="E545" t="s">
        <v>127</v>
      </c>
      <c r="F545" t="s">
        <v>128</v>
      </c>
      <c r="G545">
        <v>3</v>
      </c>
      <c r="H545">
        <v>19.989999999999998</v>
      </c>
      <c r="I545" s="7">
        <f>IF(Transactions!I545="",0,Transactions!I545)</f>
        <v>0</v>
      </c>
      <c r="J545" s="9">
        <f t="shared" si="8"/>
        <v>59.97</v>
      </c>
      <c r="K545" t="s">
        <v>16</v>
      </c>
      <c r="L545" t="s">
        <v>23</v>
      </c>
      <c r="M545" t="str">
        <f>REPLACE(Transactions!M545,1,4,"")</f>
        <v>5</v>
      </c>
    </row>
    <row r="546" spans="1:13" x14ac:dyDescent="0.2">
      <c r="A546">
        <v>192565</v>
      </c>
      <c r="B546" s="5">
        <v>45013</v>
      </c>
      <c r="C546">
        <v>37799</v>
      </c>
      <c r="D546" t="str">
        <f>PROPER(Transactions!D546)</f>
        <v>Electronics</v>
      </c>
      <c r="E546" t="s">
        <v>104</v>
      </c>
      <c r="F546" t="s">
        <v>105</v>
      </c>
      <c r="G546">
        <v>5</v>
      </c>
      <c r="H546">
        <v>29.99</v>
      </c>
      <c r="I546" s="7">
        <f>IF(Transactions!I546="",0,Transactions!I546)</f>
        <v>0</v>
      </c>
      <c r="J546" s="9">
        <f t="shared" si="8"/>
        <v>149.94999999999999</v>
      </c>
      <c r="K546" t="s">
        <v>36</v>
      </c>
      <c r="L546" t="s">
        <v>17</v>
      </c>
      <c r="M546" t="str">
        <f>REPLACE(Transactions!M546,1,4,"")</f>
        <v>14</v>
      </c>
    </row>
    <row r="547" spans="1:13" x14ac:dyDescent="0.2">
      <c r="A547">
        <v>192572</v>
      </c>
      <c r="B547" s="5">
        <v>45622</v>
      </c>
      <c r="C547">
        <v>41067</v>
      </c>
      <c r="D547" t="str">
        <f>PROPER(Transactions!D547)</f>
        <v>Automotive</v>
      </c>
      <c r="E547" t="s">
        <v>125</v>
      </c>
      <c r="F547" t="s">
        <v>126</v>
      </c>
      <c r="G547">
        <v>4</v>
      </c>
      <c r="H547">
        <v>28.49</v>
      </c>
      <c r="I547" s="7">
        <f>IF(Transactions!I547="",0,Transactions!I547)</f>
        <v>0.05</v>
      </c>
      <c r="J547" s="9">
        <f t="shared" si="8"/>
        <v>108.26199999999999</v>
      </c>
      <c r="K547" t="s">
        <v>53</v>
      </c>
      <c r="L547" t="s">
        <v>17</v>
      </c>
      <c r="M547" t="str">
        <f>REPLACE(Transactions!M547,1,4,"")</f>
        <v>17</v>
      </c>
    </row>
    <row r="548" spans="1:13" x14ac:dyDescent="0.2">
      <c r="A548">
        <v>192732</v>
      </c>
      <c r="B548" s="5">
        <v>44803</v>
      </c>
      <c r="C548">
        <v>15769</v>
      </c>
      <c r="D548" t="str">
        <f>PROPER(Transactions!D548)</f>
        <v>Furniture</v>
      </c>
      <c r="E548" t="s">
        <v>51</v>
      </c>
      <c r="F548" t="s">
        <v>52</v>
      </c>
      <c r="G548">
        <v>5</v>
      </c>
      <c r="H548">
        <v>25.19</v>
      </c>
      <c r="I548" s="7">
        <f>IF(Transactions!I548="",0,Transactions!I548)</f>
        <v>0.1</v>
      </c>
      <c r="J548" s="9">
        <f t="shared" si="8"/>
        <v>113.355</v>
      </c>
      <c r="K548" t="s">
        <v>36</v>
      </c>
      <c r="L548" t="s">
        <v>17</v>
      </c>
      <c r="M548" t="str">
        <f>REPLACE(Transactions!M548,1,4,"")</f>
        <v>20</v>
      </c>
    </row>
    <row r="549" spans="1:13" x14ac:dyDescent="0.2">
      <c r="A549">
        <v>192894</v>
      </c>
      <c r="B549" s="5">
        <v>45481</v>
      </c>
      <c r="C549">
        <v>59732</v>
      </c>
      <c r="D549" t="str">
        <f>PROPER(Transactions!D549)</f>
        <v>Pharmacy</v>
      </c>
      <c r="E549" t="s">
        <v>20</v>
      </c>
      <c r="F549" t="s">
        <v>21</v>
      </c>
      <c r="G549">
        <v>1</v>
      </c>
      <c r="H549">
        <v>9.99</v>
      </c>
      <c r="I549" s="7">
        <f>IF(Transactions!I549="",0,Transactions!I549)</f>
        <v>0</v>
      </c>
      <c r="J549" s="9">
        <f t="shared" si="8"/>
        <v>9.99</v>
      </c>
      <c r="K549" t="s">
        <v>22</v>
      </c>
      <c r="L549" t="s">
        <v>17</v>
      </c>
      <c r="M549" t="str">
        <f>REPLACE(Transactions!M549,1,4,"")</f>
        <v/>
      </c>
    </row>
    <row r="550" spans="1:13" x14ac:dyDescent="0.2">
      <c r="A550">
        <v>193028</v>
      </c>
      <c r="B550" s="5">
        <v>44802</v>
      </c>
      <c r="C550">
        <v>83289</v>
      </c>
      <c r="D550" t="str">
        <f>PROPER(Transactions!D550)</f>
        <v>Toys</v>
      </c>
      <c r="E550" t="s">
        <v>170</v>
      </c>
      <c r="F550" t="s">
        <v>171</v>
      </c>
      <c r="G550">
        <v>3</v>
      </c>
      <c r="H550">
        <v>14.99</v>
      </c>
      <c r="I550" s="7">
        <f>IF(Transactions!I550="",0,Transactions!I550)</f>
        <v>0</v>
      </c>
      <c r="J550" s="9">
        <f t="shared" si="8"/>
        <v>44.97</v>
      </c>
      <c r="K550" t="s">
        <v>36</v>
      </c>
      <c r="L550" t="s">
        <v>37</v>
      </c>
      <c r="M550" t="str">
        <f>REPLACE(Transactions!M550,1,4,"")</f>
        <v>13</v>
      </c>
    </row>
    <row r="551" spans="1:13" x14ac:dyDescent="0.2">
      <c r="A551">
        <v>193044</v>
      </c>
      <c r="B551" s="5">
        <v>44630</v>
      </c>
      <c r="C551">
        <v>91284</v>
      </c>
      <c r="D551" t="str">
        <f>PROPER(Transactions!D551)</f>
        <v>Grocery</v>
      </c>
      <c r="E551" t="s">
        <v>93</v>
      </c>
      <c r="F551" t="s">
        <v>94</v>
      </c>
      <c r="G551">
        <v>1</v>
      </c>
      <c r="H551">
        <v>0.9</v>
      </c>
      <c r="I551" s="7">
        <f>IF(Transactions!I551="",0,Transactions!I551)</f>
        <v>0.3</v>
      </c>
      <c r="J551" s="9">
        <f t="shared" si="8"/>
        <v>0.63</v>
      </c>
      <c r="K551" t="s">
        <v>22</v>
      </c>
      <c r="L551" t="s">
        <v>17</v>
      </c>
      <c r="M551" t="str">
        <f>REPLACE(Transactions!M551,1,4,"")</f>
        <v>7</v>
      </c>
    </row>
    <row r="552" spans="1:13" x14ac:dyDescent="0.2">
      <c r="A552">
        <v>193206</v>
      </c>
      <c r="B552" s="5">
        <v>45434</v>
      </c>
      <c r="C552">
        <v>55538</v>
      </c>
      <c r="D552" t="str">
        <f>PROPER(Transactions!D552)</f>
        <v>Clothing</v>
      </c>
      <c r="E552" t="s">
        <v>141</v>
      </c>
      <c r="F552" t="s">
        <v>142</v>
      </c>
      <c r="G552">
        <v>2</v>
      </c>
      <c r="H552">
        <v>22.99</v>
      </c>
      <c r="I552" s="7">
        <f>IF(Transactions!I552="",0,Transactions!I552)</f>
        <v>0</v>
      </c>
      <c r="J552" s="9">
        <f t="shared" si="8"/>
        <v>45.98</v>
      </c>
      <c r="K552" t="s">
        <v>16</v>
      </c>
      <c r="L552" t="s">
        <v>37</v>
      </c>
      <c r="M552" t="str">
        <f>REPLACE(Transactions!M552,1,4,"")</f>
        <v>20</v>
      </c>
    </row>
    <row r="553" spans="1:13" x14ac:dyDescent="0.2">
      <c r="A553">
        <v>193254</v>
      </c>
      <c r="B553" s="5">
        <v>45589</v>
      </c>
      <c r="C553">
        <v>74366</v>
      </c>
      <c r="D553" t="str">
        <f>PROPER(Transactions!D553)</f>
        <v>Furniture</v>
      </c>
      <c r="E553" t="s">
        <v>70</v>
      </c>
      <c r="F553" t="s">
        <v>71</v>
      </c>
      <c r="G553">
        <v>5</v>
      </c>
      <c r="H553">
        <v>89.99</v>
      </c>
      <c r="I553" s="7">
        <f>IF(Transactions!I553="",0,Transactions!I553)</f>
        <v>0</v>
      </c>
      <c r="J553" s="9">
        <f t="shared" si="8"/>
        <v>449.95</v>
      </c>
      <c r="K553" t="s">
        <v>53</v>
      </c>
      <c r="L553" t="s">
        <v>17</v>
      </c>
      <c r="M553" t="str">
        <f>REPLACE(Transactions!M553,1,4,"")</f>
        <v>9</v>
      </c>
    </row>
    <row r="554" spans="1:13" x14ac:dyDescent="0.2">
      <c r="A554">
        <v>193266</v>
      </c>
      <c r="B554" s="5">
        <v>45657</v>
      </c>
      <c r="C554">
        <v>37598</v>
      </c>
      <c r="D554" t="str">
        <f>PROPER(Transactions!D554)</f>
        <v>Sports</v>
      </c>
      <c r="E554" t="s">
        <v>147</v>
      </c>
      <c r="F554" t="s">
        <v>148</v>
      </c>
      <c r="G554">
        <v>3</v>
      </c>
      <c r="H554">
        <v>10.39</v>
      </c>
      <c r="I554" s="7">
        <f>IF(Transactions!I554="",0,Transactions!I554)</f>
        <v>0.2</v>
      </c>
      <c r="J554" s="9">
        <f t="shared" si="8"/>
        <v>24.936000000000003</v>
      </c>
      <c r="K554" t="s">
        <v>36</v>
      </c>
      <c r="L554" t="s">
        <v>17</v>
      </c>
      <c r="M554" t="str">
        <f>REPLACE(Transactions!M554,1,4,"")</f>
        <v>16</v>
      </c>
    </row>
    <row r="555" spans="1:13" x14ac:dyDescent="0.2">
      <c r="A555">
        <v>193282</v>
      </c>
      <c r="B555" s="5">
        <v>45022</v>
      </c>
      <c r="C555">
        <v>45931</v>
      </c>
      <c r="D555" t="str">
        <f>PROPER(Transactions!D555)</f>
        <v>Pharmacy</v>
      </c>
      <c r="E555" t="s">
        <v>115</v>
      </c>
      <c r="F555" t="s">
        <v>116</v>
      </c>
      <c r="G555">
        <v>2</v>
      </c>
      <c r="H555">
        <v>12.34</v>
      </c>
      <c r="I555" s="7">
        <f>IF(Transactions!I555="",0,Transactions!I555)</f>
        <v>0.05</v>
      </c>
      <c r="J555" s="9">
        <f t="shared" si="8"/>
        <v>23.445999999999998</v>
      </c>
      <c r="K555" t="s">
        <v>16</v>
      </c>
      <c r="L555" t="s">
        <v>17</v>
      </c>
      <c r="M555" t="str">
        <f>REPLACE(Transactions!M555,1,4,"")</f>
        <v>11</v>
      </c>
    </row>
    <row r="556" spans="1:13" x14ac:dyDescent="0.2">
      <c r="A556">
        <v>193288</v>
      </c>
      <c r="B556" s="5">
        <v>44888</v>
      </c>
      <c r="C556">
        <v>91263</v>
      </c>
      <c r="D556" t="str">
        <f>PROPER(Transactions!D556)</f>
        <v>Sports</v>
      </c>
      <c r="E556" t="s">
        <v>147</v>
      </c>
      <c r="F556" t="s">
        <v>148</v>
      </c>
      <c r="G556">
        <v>3</v>
      </c>
      <c r="H556">
        <v>11.69</v>
      </c>
      <c r="I556" s="7">
        <f>IF(Transactions!I556="",0,Transactions!I556)</f>
        <v>0</v>
      </c>
      <c r="J556" s="9">
        <f t="shared" si="8"/>
        <v>35.07</v>
      </c>
      <c r="K556" t="s">
        <v>95</v>
      </c>
      <c r="L556" t="s">
        <v>37</v>
      </c>
      <c r="M556" t="str">
        <f>REPLACE(Transactions!M556,1,4,"")</f>
        <v>3</v>
      </c>
    </row>
    <row r="557" spans="1:13" x14ac:dyDescent="0.2">
      <c r="A557">
        <v>193296</v>
      </c>
      <c r="B557" s="5">
        <v>45395</v>
      </c>
      <c r="C557">
        <v>39591</v>
      </c>
      <c r="D557" t="str">
        <f>PROPER(Transactions!D557)</f>
        <v>Clothing</v>
      </c>
      <c r="E557" t="s">
        <v>121</v>
      </c>
      <c r="F557" t="s">
        <v>122</v>
      </c>
      <c r="G557">
        <v>1</v>
      </c>
      <c r="H557">
        <v>12.99</v>
      </c>
      <c r="I557" s="7">
        <f>IF(Transactions!I557="",0,Transactions!I557)</f>
        <v>0</v>
      </c>
      <c r="J557" s="9">
        <f t="shared" si="8"/>
        <v>12.99</v>
      </c>
      <c r="K557" t="s">
        <v>16</v>
      </c>
      <c r="L557" t="s">
        <v>17</v>
      </c>
      <c r="M557" t="str">
        <f>REPLACE(Transactions!M557,1,4,"")</f>
        <v>9</v>
      </c>
    </row>
    <row r="558" spans="1:13" x14ac:dyDescent="0.2">
      <c r="A558">
        <v>193408</v>
      </c>
      <c r="B558" s="5">
        <v>44709</v>
      </c>
      <c r="C558">
        <v>53717</v>
      </c>
      <c r="D558" t="str">
        <f>PROPER(Transactions!D558)</f>
        <v>Toys</v>
      </c>
      <c r="E558" t="s">
        <v>38</v>
      </c>
      <c r="F558" t="s">
        <v>39</v>
      </c>
      <c r="G558">
        <v>1</v>
      </c>
      <c r="H558">
        <v>28.49</v>
      </c>
      <c r="I558" s="7">
        <f>IF(Transactions!I558="",0,Transactions!I558)</f>
        <v>0.05</v>
      </c>
      <c r="J558" s="9">
        <f t="shared" si="8"/>
        <v>27.065499999999997</v>
      </c>
      <c r="K558" t="s">
        <v>53</v>
      </c>
      <c r="L558" t="s">
        <v>17</v>
      </c>
      <c r="M558" t="str">
        <f>REPLACE(Transactions!M558,1,4,"")</f>
        <v>9</v>
      </c>
    </row>
    <row r="559" spans="1:13" x14ac:dyDescent="0.2">
      <c r="A559">
        <v>193558</v>
      </c>
      <c r="B559" s="5">
        <v>44687</v>
      </c>
      <c r="C559">
        <v>88277</v>
      </c>
      <c r="D559" t="str">
        <f>PROPER(Transactions!D559)</f>
        <v>Toys</v>
      </c>
      <c r="E559" t="s">
        <v>170</v>
      </c>
      <c r="F559" t="s">
        <v>171</v>
      </c>
      <c r="G559">
        <v>5</v>
      </c>
      <c r="H559">
        <v>13.49</v>
      </c>
      <c r="I559" s="7">
        <f>IF(Transactions!I559="",0,Transactions!I559)</f>
        <v>0.1</v>
      </c>
      <c r="J559" s="9">
        <f t="shared" si="8"/>
        <v>60.705000000000005</v>
      </c>
      <c r="K559" t="s">
        <v>16</v>
      </c>
      <c r="L559" t="s">
        <v>17</v>
      </c>
      <c r="M559" t="str">
        <f>REPLACE(Transactions!M559,1,4,"")</f>
        <v>8</v>
      </c>
    </row>
    <row r="560" spans="1:13" x14ac:dyDescent="0.2">
      <c r="A560">
        <v>193641</v>
      </c>
      <c r="B560" s="5">
        <v>45578</v>
      </c>
      <c r="C560">
        <v>57803</v>
      </c>
      <c r="D560" t="str">
        <f>PROPER(Transactions!D560)</f>
        <v>Grocery</v>
      </c>
      <c r="E560" t="s">
        <v>177</v>
      </c>
      <c r="F560" t="s">
        <v>178</v>
      </c>
      <c r="G560">
        <v>4</v>
      </c>
      <c r="H560">
        <v>11.39</v>
      </c>
      <c r="I560" s="7">
        <f>IF(Transactions!I560="",0,Transactions!I560)</f>
        <v>0.05</v>
      </c>
      <c r="J560" s="9">
        <f t="shared" si="8"/>
        <v>43.282000000000004</v>
      </c>
      <c r="K560" t="s">
        <v>16</v>
      </c>
      <c r="L560" t="s">
        <v>37</v>
      </c>
      <c r="M560" t="str">
        <f>REPLACE(Transactions!M560,1,4,"")</f>
        <v>2</v>
      </c>
    </row>
    <row r="561" spans="1:13" x14ac:dyDescent="0.2">
      <c r="A561">
        <v>193700</v>
      </c>
      <c r="B561" s="5">
        <v>45451</v>
      </c>
      <c r="C561">
        <v>20573</v>
      </c>
      <c r="D561" t="str">
        <f>PROPER(Transactions!D561)</f>
        <v>Home &amp; Garden</v>
      </c>
      <c r="E561" t="s">
        <v>157</v>
      </c>
      <c r="F561" t="s">
        <v>158</v>
      </c>
      <c r="G561">
        <v>4</v>
      </c>
      <c r="H561">
        <v>12.14</v>
      </c>
      <c r="I561" s="7">
        <f>IF(Transactions!I561="",0,Transactions!I561)</f>
        <v>0.1</v>
      </c>
      <c r="J561" s="9">
        <f t="shared" si="8"/>
        <v>43.704000000000001</v>
      </c>
      <c r="K561" t="s">
        <v>16</v>
      </c>
      <c r="L561" t="s">
        <v>17</v>
      </c>
      <c r="M561" t="str">
        <f>REPLACE(Transactions!M561,1,4,"")</f>
        <v>9</v>
      </c>
    </row>
    <row r="562" spans="1:13" x14ac:dyDescent="0.2">
      <c r="A562">
        <v>193860</v>
      </c>
      <c r="B562" s="5">
        <v>44576</v>
      </c>
      <c r="C562">
        <v>97526</v>
      </c>
      <c r="D562" t="str">
        <f>PROPER(Transactions!D562)</f>
        <v>Clothing</v>
      </c>
      <c r="E562" t="s">
        <v>151</v>
      </c>
      <c r="F562" t="s">
        <v>152</v>
      </c>
      <c r="G562">
        <v>3</v>
      </c>
      <c r="H562">
        <v>33.24</v>
      </c>
      <c r="I562" s="7">
        <f>IF(Transactions!I562="",0,Transactions!I562)</f>
        <v>0.05</v>
      </c>
      <c r="J562" s="9">
        <f t="shared" si="8"/>
        <v>94.733999999999995</v>
      </c>
      <c r="K562" t="s">
        <v>32</v>
      </c>
      <c r="L562" t="s">
        <v>37</v>
      </c>
      <c r="M562" t="str">
        <f>REPLACE(Transactions!M562,1,4,"")</f>
        <v>16</v>
      </c>
    </row>
    <row r="563" spans="1:13" x14ac:dyDescent="0.2">
      <c r="A563">
        <v>194131</v>
      </c>
      <c r="B563" s="5">
        <v>45253</v>
      </c>
      <c r="C563">
        <v>26120</v>
      </c>
      <c r="D563" t="str">
        <f>PROPER(Transactions!D563)</f>
        <v>Pharmacy</v>
      </c>
      <c r="E563" t="s">
        <v>20</v>
      </c>
      <c r="F563" t="s">
        <v>21</v>
      </c>
      <c r="G563">
        <v>5</v>
      </c>
      <c r="H563">
        <v>9.99</v>
      </c>
      <c r="I563" s="7">
        <f>IF(Transactions!I563="",0,Transactions!I563)</f>
        <v>0</v>
      </c>
      <c r="J563" s="9">
        <f t="shared" si="8"/>
        <v>49.95</v>
      </c>
      <c r="K563" t="s">
        <v>36</v>
      </c>
      <c r="L563" t="s">
        <v>17</v>
      </c>
      <c r="M563" t="str">
        <f>REPLACE(Transactions!M563,1,4,"")</f>
        <v>7</v>
      </c>
    </row>
    <row r="564" spans="1:13" x14ac:dyDescent="0.2">
      <c r="A564">
        <v>194348</v>
      </c>
      <c r="B564" s="5">
        <v>45117</v>
      </c>
      <c r="C564">
        <v>28320</v>
      </c>
      <c r="D564" t="str">
        <f>PROPER(Transactions!D564)</f>
        <v>Clothing</v>
      </c>
      <c r="E564" t="s">
        <v>181</v>
      </c>
      <c r="F564" t="s">
        <v>182</v>
      </c>
      <c r="G564">
        <v>1</v>
      </c>
      <c r="H564">
        <v>11.99</v>
      </c>
      <c r="I564" s="7">
        <f>IF(Transactions!I564="",0,Transactions!I564)</f>
        <v>0.2</v>
      </c>
      <c r="J564" s="9">
        <f t="shared" si="8"/>
        <v>9.5920000000000005</v>
      </c>
      <c r="K564" t="s">
        <v>22</v>
      </c>
      <c r="L564" t="s">
        <v>17</v>
      </c>
      <c r="M564" t="str">
        <f>REPLACE(Transactions!M564,1,4,"")</f>
        <v>5</v>
      </c>
    </row>
    <row r="565" spans="1:13" x14ac:dyDescent="0.2">
      <c r="A565">
        <v>194432</v>
      </c>
      <c r="B565" s="5">
        <v>45016</v>
      </c>
      <c r="C565">
        <v>26223</v>
      </c>
      <c r="D565" t="str">
        <f>PROPER(Transactions!D565)</f>
        <v>Clothing</v>
      </c>
      <c r="E565" t="s">
        <v>135</v>
      </c>
      <c r="F565" t="s">
        <v>136</v>
      </c>
      <c r="G565">
        <v>4</v>
      </c>
      <c r="H565">
        <v>9.99</v>
      </c>
      <c r="I565" s="7">
        <f>IF(Transactions!I565="",0,Transactions!I565)</f>
        <v>0</v>
      </c>
      <c r="J565" s="9">
        <f t="shared" si="8"/>
        <v>39.96</v>
      </c>
      <c r="K565" t="s">
        <v>36</v>
      </c>
      <c r="L565" t="s">
        <v>17</v>
      </c>
      <c r="M565" t="str">
        <f>REPLACE(Transactions!M565,1,4,"")</f>
        <v>17</v>
      </c>
    </row>
    <row r="566" spans="1:13" x14ac:dyDescent="0.2">
      <c r="A566">
        <v>194552</v>
      </c>
      <c r="B566" s="5">
        <v>44911</v>
      </c>
      <c r="C566">
        <v>65284</v>
      </c>
      <c r="D566" t="str">
        <f>PROPER(Transactions!D566)</f>
        <v>Automotive</v>
      </c>
      <c r="E566" t="s">
        <v>125</v>
      </c>
      <c r="F566" t="s">
        <v>126</v>
      </c>
      <c r="G566">
        <v>1</v>
      </c>
      <c r="H566">
        <v>20.99</v>
      </c>
      <c r="I566" s="7">
        <f>IF(Transactions!I566="",0,Transactions!I566)</f>
        <v>0.3</v>
      </c>
      <c r="J566" s="9">
        <f t="shared" si="8"/>
        <v>14.692999999999998</v>
      </c>
      <c r="K566" t="s">
        <v>32</v>
      </c>
      <c r="L566" t="s">
        <v>17</v>
      </c>
      <c r="M566" t="str">
        <f>REPLACE(Transactions!M566,1,4,"")</f>
        <v>5</v>
      </c>
    </row>
    <row r="567" spans="1:13" x14ac:dyDescent="0.2">
      <c r="A567">
        <v>194609</v>
      </c>
      <c r="B567" s="5">
        <v>44619</v>
      </c>
      <c r="C567">
        <v>93648</v>
      </c>
      <c r="D567" t="str">
        <f>PROPER(Transactions!D567)</f>
        <v>Electronics</v>
      </c>
      <c r="E567" t="s">
        <v>77</v>
      </c>
      <c r="F567" t="s">
        <v>78</v>
      </c>
      <c r="G567">
        <v>5</v>
      </c>
      <c r="H567">
        <v>499.99</v>
      </c>
      <c r="I567" s="7">
        <f>IF(Transactions!I567="",0,Transactions!I567)</f>
        <v>0</v>
      </c>
      <c r="J567" s="9">
        <f t="shared" si="8"/>
        <v>2499.9499999999998</v>
      </c>
      <c r="K567" t="s">
        <v>32</v>
      </c>
      <c r="L567" t="s">
        <v>17</v>
      </c>
      <c r="M567" t="str">
        <f>REPLACE(Transactions!M567,1,4,"")</f>
        <v>3</v>
      </c>
    </row>
    <row r="568" spans="1:13" x14ac:dyDescent="0.2">
      <c r="A568">
        <v>194813</v>
      </c>
      <c r="B568" s="5">
        <v>45510</v>
      </c>
      <c r="D568" t="str">
        <f>PROPER(Transactions!D568)</f>
        <v>Home &amp; Garden</v>
      </c>
      <c r="E568" t="s">
        <v>137</v>
      </c>
      <c r="F568" t="s">
        <v>138</v>
      </c>
      <c r="G568">
        <v>4</v>
      </c>
      <c r="H568">
        <v>7.19</v>
      </c>
      <c r="I568" s="7">
        <f>IF(Transactions!I568="",0,Transactions!I568)</f>
        <v>0.1</v>
      </c>
      <c r="J568" s="9">
        <f t="shared" si="8"/>
        <v>25.884</v>
      </c>
      <c r="K568" t="s">
        <v>32</v>
      </c>
      <c r="L568" t="s">
        <v>37</v>
      </c>
      <c r="M568" t="str">
        <f>REPLACE(Transactions!M568,1,4,"")</f>
        <v>5</v>
      </c>
    </row>
    <row r="569" spans="1:13" x14ac:dyDescent="0.2">
      <c r="A569">
        <v>194860</v>
      </c>
      <c r="B569" s="5">
        <v>44820</v>
      </c>
      <c r="C569">
        <v>53691</v>
      </c>
      <c r="D569" t="str">
        <f>PROPER(Transactions!D569)</f>
        <v>Automotive</v>
      </c>
      <c r="E569" t="s">
        <v>131</v>
      </c>
      <c r="F569" t="s">
        <v>132</v>
      </c>
      <c r="G569">
        <v>4</v>
      </c>
      <c r="H569">
        <v>3.14</v>
      </c>
      <c r="I569" s="7">
        <f>IF(Transactions!I569="",0,Transactions!I569)</f>
        <v>0.1</v>
      </c>
      <c r="J569" s="9">
        <f t="shared" si="8"/>
        <v>11.304</v>
      </c>
      <c r="K569" t="s">
        <v>36</v>
      </c>
      <c r="L569" t="s">
        <v>17</v>
      </c>
      <c r="M569" t="str">
        <f>REPLACE(Transactions!M569,1,4,"")</f>
        <v>13</v>
      </c>
    </row>
    <row r="570" spans="1:13" x14ac:dyDescent="0.2">
      <c r="A570">
        <v>195499</v>
      </c>
      <c r="B570" s="5">
        <v>44734</v>
      </c>
      <c r="C570">
        <v>58241</v>
      </c>
      <c r="D570" t="str">
        <f>PROPER(Transactions!D570)</f>
        <v>Furniture</v>
      </c>
      <c r="E570" t="s">
        <v>113</v>
      </c>
      <c r="F570" t="s">
        <v>114</v>
      </c>
      <c r="G570">
        <v>1</v>
      </c>
      <c r="H570">
        <v>101.99</v>
      </c>
      <c r="I570" s="7">
        <f>IF(Transactions!I570="",0,Transactions!I570)</f>
        <v>0.15</v>
      </c>
      <c r="J570" s="9">
        <f t="shared" si="8"/>
        <v>86.691499999999991</v>
      </c>
      <c r="K570" t="s">
        <v>22</v>
      </c>
      <c r="L570" t="s">
        <v>17</v>
      </c>
      <c r="M570" t="str">
        <f>REPLACE(Transactions!M570,1,4,"")</f>
        <v>5</v>
      </c>
    </row>
    <row r="571" spans="1:13" x14ac:dyDescent="0.2">
      <c r="A571">
        <v>195515</v>
      </c>
      <c r="B571" s="5">
        <v>45452</v>
      </c>
      <c r="C571">
        <v>31687</v>
      </c>
      <c r="D571" t="str">
        <f>PROPER(Transactions!D571)</f>
        <v>Pharmacy</v>
      </c>
      <c r="E571" t="s">
        <v>41</v>
      </c>
      <c r="F571" t="s">
        <v>42</v>
      </c>
      <c r="G571">
        <v>2</v>
      </c>
      <c r="H571">
        <v>5.99</v>
      </c>
      <c r="I571" s="7">
        <f>IF(Transactions!I571="",0,Transactions!I571)</f>
        <v>0</v>
      </c>
      <c r="J571" s="9">
        <f t="shared" si="8"/>
        <v>11.98</v>
      </c>
      <c r="K571" t="s">
        <v>36</v>
      </c>
      <c r="L571" t="s">
        <v>17</v>
      </c>
      <c r="M571" t="str">
        <f>REPLACE(Transactions!M571,1,4,"")</f>
        <v>10</v>
      </c>
    </row>
    <row r="572" spans="1:13" x14ac:dyDescent="0.2">
      <c r="A572">
        <v>195538</v>
      </c>
      <c r="B572" s="5">
        <v>45428</v>
      </c>
      <c r="C572">
        <v>67763</v>
      </c>
      <c r="D572" t="str">
        <f>PROPER(Transactions!D572)</f>
        <v>Toys</v>
      </c>
      <c r="E572" t="s">
        <v>88</v>
      </c>
      <c r="F572" t="s">
        <v>89</v>
      </c>
      <c r="G572">
        <v>4</v>
      </c>
      <c r="H572">
        <v>49.99</v>
      </c>
      <c r="I572" s="7">
        <f>IF(Transactions!I572="",0,Transactions!I572)</f>
        <v>0</v>
      </c>
      <c r="J572" s="9">
        <f t="shared" si="8"/>
        <v>199.96</v>
      </c>
      <c r="K572" t="s">
        <v>16</v>
      </c>
      <c r="L572" t="s">
        <v>37</v>
      </c>
      <c r="M572" t="str">
        <f>REPLACE(Transactions!M572,1,4,"")</f>
        <v>2</v>
      </c>
    </row>
    <row r="573" spans="1:13" x14ac:dyDescent="0.2">
      <c r="A573">
        <v>195617</v>
      </c>
      <c r="B573" s="5">
        <v>45441</v>
      </c>
      <c r="C573">
        <v>71429</v>
      </c>
      <c r="D573" t="str">
        <f>PROPER(Transactions!D573)</f>
        <v>Beauty</v>
      </c>
      <c r="E573" t="s">
        <v>179</v>
      </c>
      <c r="F573" t="s">
        <v>180</v>
      </c>
      <c r="G573">
        <v>2</v>
      </c>
      <c r="H573">
        <v>11.39</v>
      </c>
      <c r="I573" s="7">
        <f>IF(Transactions!I573="",0,Transactions!I573)</f>
        <v>0.05</v>
      </c>
      <c r="J573" s="9">
        <f t="shared" si="8"/>
        <v>21.641000000000002</v>
      </c>
      <c r="K573" t="s">
        <v>95</v>
      </c>
      <c r="L573" t="s">
        <v>17</v>
      </c>
      <c r="M573" t="str">
        <f>REPLACE(Transactions!M573,1,4,"")</f>
        <v>7</v>
      </c>
    </row>
    <row r="574" spans="1:13" x14ac:dyDescent="0.2">
      <c r="A574">
        <v>195631</v>
      </c>
      <c r="B574" s="5">
        <v>44822</v>
      </c>
      <c r="C574">
        <v>74295</v>
      </c>
      <c r="D574" t="str">
        <f>PROPER(Transactions!D574)</f>
        <v>Home &amp; Garden</v>
      </c>
      <c r="E574" t="s">
        <v>86</v>
      </c>
      <c r="F574" t="s">
        <v>87</v>
      </c>
      <c r="G574">
        <v>5</v>
      </c>
      <c r="H574">
        <v>9.09</v>
      </c>
      <c r="I574" s="7">
        <f>IF(Transactions!I574="",0,Transactions!I574)</f>
        <v>0.3</v>
      </c>
      <c r="J574" s="9">
        <f t="shared" si="8"/>
        <v>31.815000000000001</v>
      </c>
      <c r="K574" t="s">
        <v>22</v>
      </c>
      <c r="L574" t="s">
        <v>17</v>
      </c>
      <c r="M574" t="str">
        <f>REPLACE(Transactions!M574,1,4,"")</f>
        <v>15</v>
      </c>
    </row>
    <row r="575" spans="1:13" x14ac:dyDescent="0.2">
      <c r="A575">
        <v>195745</v>
      </c>
      <c r="B575" s="5">
        <v>44926</v>
      </c>
      <c r="C575">
        <v>36556</v>
      </c>
      <c r="D575" t="str">
        <f>PROPER(Transactions!D575)</f>
        <v>Pharmacy</v>
      </c>
      <c r="E575" t="s">
        <v>20</v>
      </c>
      <c r="F575" t="s">
        <v>21</v>
      </c>
      <c r="G575">
        <v>3</v>
      </c>
      <c r="H575">
        <v>9.99</v>
      </c>
      <c r="I575" s="7">
        <f>IF(Transactions!I575="",0,Transactions!I575)</f>
        <v>0</v>
      </c>
      <c r="J575" s="9">
        <f t="shared" si="8"/>
        <v>29.97</v>
      </c>
      <c r="K575" t="s">
        <v>22</v>
      </c>
      <c r="L575" t="s">
        <v>17</v>
      </c>
      <c r="M575" t="str">
        <f>REPLACE(Transactions!M575,1,4,"")</f>
        <v>11</v>
      </c>
    </row>
    <row r="576" spans="1:13" x14ac:dyDescent="0.2">
      <c r="A576">
        <v>195812</v>
      </c>
      <c r="B576" s="5">
        <v>45339</v>
      </c>
      <c r="C576">
        <v>67552</v>
      </c>
      <c r="D576" t="str">
        <f>PROPER(Transactions!D576)</f>
        <v>Sports</v>
      </c>
      <c r="E576" t="s">
        <v>188</v>
      </c>
      <c r="F576" t="s">
        <v>189</v>
      </c>
      <c r="G576">
        <v>2</v>
      </c>
      <c r="H576">
        <v>38.24</v>
      </c>
      <c r="I576" s="7">
        <f>IF(Transactions!I576="",0,Transactions!I576)</f>
        <v>0.15</v>
      </c>
      <c r="J576" s="9">
        <f t="shared" si="8"/>
        <v>65.007999999999996</v>
      </c>
      <c r="K576" t="s">
        <v>22</v>
      </c>
      <c r="L576" t="s">
        <v>17</v>
      </c>
      <c r="M576" t="str">
        <f>REPLACE(Transactions!M576,1,4,"")</f>
        <v>14</v>
      </c>
    </row>
    <row r="577" spans="1:13" x14ac:dyDescent="0.2">
      <c r="A577">
        <v>196117</v>
      </c>
      <c r="B577" s="5">
        <v>45004</v>
      </c>
      <c r="C577">
        <v>69676</v>
      </c>
      <c r="D577" t="str">
        <f>PROPER(Transactions!D577)</f>
        <v>Grocery</v>
      </c>
      <c r="E577" t="s">
        <v>184</v>
      </c>
      <c r="F577" t="s">
        <v>185</v>
      </c>
      <c r="G577">
        <v>4</v>
      </c>
      <c r="H577">
        <v>5.49</v>
      </c>
      <c r="I577" s="7">
        <f>IF(Transactions!I577="",0,Transactions!I577)</f>
        <v>0</v>
      </c>
      <c r="J577" s="9">
        <f t="shared" si="8"/>
        <v>21.96</v>
      </c>
      <c r="K577" t="s">
        <v>16</v>
      </c>
      <c r="L577" t="s">
        <v>17</v>
      </c>
      <c r="M577" t="str">
        <f>REPLACE(Transactions!M577,1,4,"")</f>
        <v/>
      </c>
    </row>
    <row r="578" spans="1:13" x14ac:dyDescent="0.2">
      <c r="A578">
        <v>196219</v>
      </c>
      <c r="B578" s="5">
        <v>45347</v>
      </c>
      <c r="C578">
        <v>88097</v>
      </c>
      <c r="D578" t="str">
        <f>PROPER(Transactions!D578)</f>
        <v>Automotive</v>
      </c>
      <c r="E578" t="s">
        <v>125</v>
      </c>
      <c r="F578" t="s">
        <v>126</v>
      </c>
      <c r="G578">
        <v>2</v>
      </c>
      <c r="H578">
        <v>29.99</v>
      </c>
      <c r="I578" s="7">
        <f>IF(Transactions!I578="",0,Transactions!I578)</f>
        <v>0</v>
      </c>
      <c r="J578" s="9">
        <f t="shared" si="8"/>
        <v>59.98</v>
      </c>
      <c r="K578" t="s">
        <v>16</v>
      </c>
      <c r="L578" t="s">
        <v>17</v>
      </c>
      <c r="M578" t="str">
        <f>REPLACE(Transactions!M578,1,4,"")</f>
        <v>4</v>
      </c>
    </row>
    <row r="579" spans="1:13" x14ac:dyDescent="0.2">
      <c r="A579">
        <v>196312</v>
      </c>
      <c r="B579" s="5">
        <v>45104</v>
      </c>
      <c r="C579">
        <v>47991</v>
      </c>
      <c r="D579" t="str">
        <f>PROPER(Transactions!D579)</f>
        <v>Grocery</v>
      </c>
      <c r="E579" t="s">
        <v>107</v>
      </c>
      <c r="F579" t="s">
        <v>108</v>
      </c>
      <c r="G579">
        <v>1</v>
      </c>
      <c r="H579">
        <v>3.49</v>
      </c>
      <c r="I579" s="7">
        <f>IF(Transactions!I579="",0,Transactions!I579)</f>
        <v>0</v>
      </c>
      <c r="J579" s="9">
        <f t="shared" ref="J579:J642" si="9">(H579*G579)*(1-I579)</f>
        <v>3.49</v>
      </c>
      <c r="K579" t="s">
        <v>36</v>
      </c>
      <c r="L579" t="s">
        <v>17</v>
      </c>
      <c r="M579" t="str">
        <f>REPLACE(Transactions!M579,1,4,"")</f>
        <v>8</v>
      </c>
    </row>
    <row r="580" spans="1:13" x14ac:dyDescent="0.2">
      <c r="A580">
        <v>196424</v>
      </c>
      <c r="B580" s="5">
        <v>45385</v>
      </c>
      <c r="C580">
        <v>45830</v>
      </c>
      <c r="D580" t="str">
        <f>PROPER(Transactions!D580)</f>
        <v>Toys</v>
      </c>
      <c r="E580" t="s">
        <v>88</v>
      </c>
      <c r="F580" t="s">
        <v>89</v>
      </c>
      <c r="G580">
        <v>2</v>
      </c>
      <c r="H580">
        <v>47.49</v>
      </c>
      <c r="I580" s="7">
        <f>IF(Transactions!I580="",0,Transactions!I580)</f>
        <v>0.05</v>
      </c>
      <c r="J580" s="9">
        <f t="shared" si="9"/>
        <v>90.230999999999995</v>
      </c>
      <c r="K580" t="s">
        <v>36</v>
      </c>
      <c r="L580" t="s">
        <v>17</v>
      </c>
      <c r="M580" t="str">
        <f>REPLACE(Transactions!M580,1,4,"")</f>
        <v>17</v>
      </c>
    </row>
    <row r="581" spans="1:13" x14ac:dyDescent="0.2">
      <c r="A581">
        <v>196717</v>
      </c>
      <c r="B581" s="5">
        <v>44737</v>
      </c>
      <c r="C581">
        <v>54753</v>
      </c>
      <c r="D581" t="str">
        <f>PROPER(Transactions!D581)</f>
        <v>Electronics</v>
      </c>
      <c r="E581" t="s">
        <v>55</v>
      </c>
      <c r="F581" t="s">
        <v>56</v>
      </c>
      <c r="G581">
        <v>5</v>
      </c>
      <c r="H581">
        <v>329.99</v>
      </c>
      <c r="I581" s="7">
        <f>IF(Transactions!I581="",0,Transactions!I581)</f>
        <v>0</v>
      </c>
      <c r="J581" s="9">
        <f t="shared" si="9"/>
        <v>1649.95</v>
      </c>
      <c r="K581" t="s">
        <v>16</v>
      </c>
      <c r="L581" t="s">
        <v>23</v>
      </c>
      <c r="M581" t="str">
        <f>REPLACE(Transactions!M581,1,4,"")</f>
        <v/>
      </c>
    </row>
    <row r="582" spans="1:13" x14ac:dyDescent="0.2">
      <c r="A582">
        <v>197208</v>
      </c>
      <c r="B582" s="5">
        <v>45038</v>
      </c>
      <c r="C582">
        <v>67011</v>
      </c>
      <c r="D582" t="str">
        <f>PROPER(Transactions!D582)</f>
        <v>Grocery</v>
      </c>
      <c r="E582" t="s">
        <v>190</v>
      </c>
      <c r="F582" t="s">
        <v>191</v>
      </c>
      <c r="G582">
        <v>2</v>
      </c>
      <c r="H582">
        <v>3.86</v>
      </c>
      <c r="I582" s="7">
        <f>IF(Transactions!I582="",0,Transactions!I582)</f>
        <v>0.1</v>
      </c>
      <c r="J582" s="9">
        <f t="shared" si="9"/>
        <v>6.9479999999999995</v>
      </c>
      <c r="K582" t="s">
        <v>22</v>
      </c>
      <c r="L582" t="s">
        <v>17</v>
      </c>
      <c r="M582" t="str">
        <f>REPLACE(Transactions!M582,1,4,"")</f>
        <v>11</v>
      </c>
    </row>
    <row r="583" spans="1:13" x14ac:dyDescent="0.2">
      <c r="A583">
        <v>197321</v>
      </c>
      <c r="B583" s="5">
        <v>45283</v>
      </c>
      <c r="C583">
        <v>50418</v>
      </c>
      <c r="D583" t="str">
        <f>PROPER(Transactions!D583)</f>
        <v>Clothing</v>
      </c>
      <c r="E583" t="s">
        <v>141</v>
      </c>
      <c r="F583" t="s">
        <v>142</v>
      </c>
      <c r="G583">
        <v>1</v>
      </c>
      <c r="H583">
        <v>18.39</v>
      </c>
      <c r="I583" s="7">
        <f>IF(Transactions!I583="",0,Transactions!I583)</f>
        <v>0.2</v>
      </c>
      <c r="J583" s="9">
        <f t="shared" si="9"/>
        <v>14.712000000000002</v>
      </c>
      <c r="K583" t="s">
        <v>36</v>
      </c>
      <c r="L583" t="s">
        <v>17</v>
      </c>
      <c r="M583" t="str">
        <f>REPLACE(Transactions!M583,1,4,"")</f>
        <v>2</v>
      </c>
    </row>
    <row r="584" spans="1:13" x14ac:dyDescent="0.2">
      <c r="A584">
        <v>197330</v>
      </c>
      <c r="B584" s="5">
        <v>45580</v>
      </c>
      <c r="C584">
        <v>17191</v>
      </c>
      <c r="D584" t="str">
        <f>PROPER(Transactions!D584)</f>
        <v>Electronics</v>
      </c>
      <c r="E584" t="s">
        <v>34</v>
      </c>
      <c r="F584" t="s">
        <v>35</v>
      </c>
      <c r="G584">
        <v>3</v>
      </c>
      <c r="H584">
        <v>24.49</v>
      </c>
      <c r="I584" s="7">
        <f>IF(Transactions!I584="",0,Transactions!I584)</f>
        <v>0.3</v>
      </c>
      <c r="J584" s="9">
        <f t="shared" si="9"/>
        <v>51.428999999999995</v>
      </c>
      <c r="K584" t="s">
        <v>22</v>
      </c>
      <c r="L584" t="s">
        <v>37</v>
      </c>
      <c r="M584" t="str">
        <f>REPLACE(Transactions!M584,1,4,"")</f>
        <v>13</v>
      </c>
    </row>
    <row r="585" spans="1:13" x14ac:dyDescent="0.2">
      <c r="A585">
        <v>197543</v>
      </c>
      <c r="B585" s="5">
        <v>45351</v>
      </c>
      <c r="C585">
        <v>17361</v>
      </c>
      <c r="D585" t="str">
        <f>PROPER(Transactions!D585)</f>
        <v>Electronics</v>
      </c>
      <c r="E585" t="s">
        <v>77</v>
      </c>
      <c r="F585" t="s">
        <v>78</v>
      </c>
      <c r="G585">
        <v>5</v>
      </c>
      <c r="H585">
        <v>424.99</v>
      </c>
      <c r="I585" s="7">
        <f>IF(Transactions!I585="",0,Transactions!I585)</f>
        <v>0.15</v>
      </c>
      <c r="J585" s="9">
        <f t="shared" si="9"/>
        <v>1806.2074999999998</v>
      </c>
      <c r="K585" t="s">
        <v>36</v>
      </c>
      <c r="L585" t="s">
        <v>17</v>
      </c>
      <c r="M585" t="str">
        <f>REPLACE(Transactions!M585,1,4,"")</f>
        <v>1</v>
      </c>
    </row>
    <row r="586" spans="1:13" x14ac:dyDescent="0.2">
      <c r="A586">
        <v>197549</v>
      </c>
      <c r="B586" s="5">
        <v>44715</v>
      </c>
      <c r="C586">
        <v>62597</v>
      </c>
      <c r="D586" t="str">
        <f>PROPER(Transactions!D586)</f>
        <v>Grocery</v>
      </c>
      <c r="E586" t="s">
        <v>74</v>
      </c>
      <c r="F586" t="s">
        <v>75</v>
      </c>
      <c r="G586">
        <v>1</v>
      </c>
      <c r="H586">
        <v>2.2400000000000002</v>
      </c>
      <c r="I586" s="7">
        <f>IF(Transactions!I586="",0,Transactions!I586)</f>
        <v>0.25</v>
      </c>
      <c r="J586" s="9">
        <f t="shared" si="9"/>
        <v>1.6800000000000002</v>
      </c>
      <c r="K586" t="s">
        <v>16</v>
      </c>
      <c r="L586" t="s">
        <v>37</v>
      </c>
      <c r="M586" t="str">
        <f>REPLACE(Transactions!M586,1,4,"")</f>
        <v>12</v>
      </c>
    </row>
    <row r="587" spans="1:13" x14ac:dyDescent="0.2">
      <c r="A587">
        <v>197582</v>
      </c>
      <c r="B587" s="5">
        <v>45310</v>
      </c>
      <c r="C587">
        <v>18849</v>
      </c>
      <c r="D587" t="str">
        <f>PROPER(Transactions!D587)</f>
        <v>Home &amp; Garden</v>
      </c>
      <c r="E587" t="s">
        <v>149</v>
      </c>
      <c r="F587" t="s">
        <v>150</v>
      </c>
      <c r="G587">
        <v>2</v>
      </c>
      <c r="H587">
        <v>13.99</v>
      </c>
      <c r="I587" s="7">
        <f>IF(Transactions!I587="",0,Transactions!I587)</f>
        <v>0.3</v>
      </c>
      <c r="J587" s="9">
        <f t="shared" si="9"/>
        <v>19.585999999999999</v>
      </c>
      <c r="K587" t="s">
        <v>36</v>
      </c>
      <c r="L587" t="s">
        <v>17</v>
      </c>
      <c r="M587" t="str">
        <f>REPLACE(Transactions!M587,1,4,"")</f>
        <v>5</v>
      </c>
    </row>
    <row r="588" spans="1:13" x14ac:dyDescent="0.2">
      <c r="A588">
        <v>197910</v>
      </c>
      <c r="B588" s="5">
        <v>44604</v>
      </c>
      <c r="C588">
        <v>75775</v>
      </c>
      <c r="D588" t="str">
        <f>PROPER(Transactions!D588)</f>
        <v>Automotive</v>
      </c>
      <c r="E588" t="s">
        <v>68</v>
      </c>
      <c r="F588" t="s">
        <v>69</v>
      </c>
      <c r="G588">
        <v>3</v>
      </c>
      <c r="H588">
        <v>23.74</v>
      </c>
      <c r="I588" s="7">
        <f>IF(Transactions!I588="",0,Transactions!I588)</f>
        <v>0.05</v>
      </c>
      <c r="J588" s="9">
        <f t="shared" si="9"/>
        <v>67.658999999999992</v>
      </c>
      <c r="K588" t="s">
        <v>32</v>
      </c>
      <c r="L588" t="s">
        <v>17</v>
      </c>
      <c r="M588" t="str">
        <f>REPLACE(Transactions!M588,1,4,"")</f>
        <v>5</v>
      </c>
    </row>
    <row r="589" spans="1:13" x14ac:dyDescent="0.2">
      <c r="A589">
        <v>197928</v>
      </c>
      <c r="B589" s="5">
        <v>45363</v>
      </c>
      <c r="C589">
        <v>44806</v>
      </c>
      <c r="D589" t="str">
        <f>PROPER(Transactions!D589)</f>
        <v>Sports</v>
      </c>
      <c r="E589" t="s">
        <v>188</v>
      </c>
      <c r="F589" t="s">
        <v>189</v>
      </c>
      <c r="G589">
        <v>4</v>
      </c>
      <c r="H589">
        <v>38.24</v>
      </c>
      <c r="I589" s="7">
        <f>IF(Transactions!I589="",0,Transactions!I589)</f>
        <v>0.15</v>
      </c>
      <c r="J589" s="9">
        <f t="shared" si="9"/>
        <v>130.01599999999999</v>
      </c>
      <c r="K589" t="s">
        <v>16</v>
      </c>
      <c r="L589" t="s">
        <v>17</v>
      </c>
      <c r="M589" t="str">
        <f>REPLACE(Transactions!M589,1,4,"")</f>
        <v>15</v>
      </c>
    </row>
    <row r="590" spans="1:13" x14ac:dyDescent="0.2">
      <c r="A590">
        <v>198261</v>
      </c>
      <c r="B590" s="5">
        <v>45321</v>
      </c>
      <c r="C590">
        <v>80588</v>
      </c>
      <c r="D590" t="str">
        <f>PROPER(Transactions!D590)</f>
        <v>Pharmacy</v>
      </c>
      <c r="E590" t="s">
        <v>115</v>
      </c>
      <c r="F590" t="s">
        <v>116</v>
      </c>
      <c r="G590">
        <v>1</v>
      </c>
      <c r="H590">
        <v>11.04</v>
      </c>
      <c r="I590" s="7">
        <f>IF(Transactions!I590="",0,Transactions!I590)</f>
        <v>0.15</v>
      </c>
      <c r="J590" s="9">
        <f t="shared" si="9"/>
        <v>9.3839999999999986</v>
      </c>
      <c r="K590" t="s">
        <v>32</v>
      </c>
      <c r="L590" t="s">
        <v>17</v>
      </c>
      <c r="M590" t="str">
        <f>REPLACE(Transactions!M590,1,4,"")</f>
        <v>20</v>
      </c>
    </row>
    <row r="591" spans="1:13" x14ac:dyDescent="0.2">
      <c r="A591">
        <v>198316</v>
      </c>
      <c r="B591" s="5">
        <v>45229</v>
      </c>
      <c r="D591" t="str">
        <f>PROPER(Transactions!D591)</f>
        <v>Home &amp; Garden</v>
      </c>
      <c r="E591" t="s">
        <v>153</v>
      </c>
      <c r="F591" t="s">
        <v>154</v>
      </c>
      <c r="G591">
        <v>1</v>
      </c>
      <c r="H591">
        <v>29.99</v>
      </c>
      <c r="I591" s="7">
        <f>IF(Transactions!I591="",0,Transactions!I591)</f>
        <v>0</v>
      </c>
      <c r="J591" s="9">
        <f t="shared" si="9"/>
        <v>29.99</v>
      </c>
      <c r="K591" t="s">
        <v>16</v>
      </c>
      <c r="L591" t="s">
        <v>17</v>
      </c>
      <c r="M591" t="str">
        <f>REPLACE(Transactions!M591,1,4,"")</f>
        <v>6</v>
      </c>
    </row>
    <row r="592" spans="1:13" x14ac:dyDescent="0.2">
      <c r="A592">
        <v>198422</v>
      </c>
      <c r="B592" s="5">
        <v>45206</v>
      </c>
      <c r="C592">
        <v>77971</v>
      </c>
      <c r="D592" t="str">
        <f>PROPER(Transactions!D592)</f>
        <v>Automotive</v>
      </c>
      <c r="E592" t="s">
        <v>68</v>
      </c>
      <c r="F592" t="s">
        <v>69</v>
      </c>
      <c r="G592">
        <v>4</v>
      </c>
      <c r="H592">
        <v>18.739999999999998</v>
      </c>
      <c r="I592" s="7">
        <f>IF(Transactions!I592="",0,Transactions!I592)</f>
        <v>0.25</v>
      </c>
      <c r="J592" s="9">
        <f t="shared" si="9"/>
        <v>56.22</v>
      </c>
      <c r="K592" t="s">
        <v>36</v>
      </c>
      <c r="L592" t="s">
        <v>17</v>
      </c>
      <c r="M592" t="str">
        <f>REPLACE(Transactions!M592,1,4,"")</f>
        <v>15</v>
      </c>
    </row>
    <row r="593" spans="1:13" x14ac:dyDescent="0.2">
      <c r="A593">
        <v>198716</v>
      </c>
      <c r="B593" s="5">
        <v>45287</v>
      </c>
      <c r="C593">
        <v>98295</v>
      </c>
      <c r="D593" t="str">
        <f>PROPER(Transactions!D593)</f>
        <v>Pharmacy</v>
      </c>
      <c r="E593" t="s">
        <v>41</v>
      </c>
      <c r="F593" t="s">
        <v>42</v>
      </c>
      <c r="G593">
        <v>1</v>
      </c>
      <c r="H593">
        <v>5.99</v>
      </c>
      <c r="I593" s="7">
        <f>IF(Transactions!I593="",0,Transactions!I593)</f>
        <v>0</v>
      </c>
      <c r="J593" s="9">
        <f t="shared" si="9"/>
        <v>5.99</v>
      </c>
      <c r="K593" t="s">
        <v>22</v>
      </c>
      <c r="L593" t="s">
        <v>17</v>
      </c>
      <c r="M593" t="str">
        <f>REPLACE(Transactions!M593,1,4,"")</f>
        <v>18</v>
      </c>
    </row>
    <row r="594" spans="1:13" x14ac:dyDescent="0.2">
      <c r="A594">
        <v>198772</v>
      </c>
      <c r="B594" s="5">
        <v>45525</v>
      </c>
      <c r="C594">
        <v>54521</v>
      </c>
      <c r="D594" t="str">
        <f>PROPER(Transactions!D594)</f>
        <v>Furniture</v>
      </c>
      <c r="E594" t="s">
        <v>60</v>
      </c>
      <c r="F594" t="s">
        <v>61</v>
      </c>
      <c r="G594">
        <v>3</v>
      </c>
      <c r="H594">
        <v>54.99</v>
      </c>
      <c r="I594" s="7">
        <f>IF(Transactions!I594="",0,Transactions!I594)</f>
        <v>0</v>
      </c>
      <c r="J594" s="9">
        <f t="shared" si="9"/>
        <v>164.97</v>
      </c>
      <c r="K594" t="s">
        <v>22</v>
      </c>
      <c r="L594" t="s">
        <v>17</v>
      </c>
      <c r="M594" t="str">
        <f>REPLACE(Transactions!M594,1,4,"")</f>
        <v>2</v>
      </c>
    </row>
    <row r="595" spans="1:13" x14ac:dyDescent="0.2">
      <c r="A595">
        <v>198851</v>
      </c>
      <c r="B595" s="5">
        <v>45333</v>
      </c>
      <c r="C595">
        <v>24295</v>
      </c>
      <c r="D595" t="str">
        <f>PROPER(Transactions!D595)</f>
        <v>Home &amp; Garden</v>
      </c>
      <c r="E595" t="s">
        <v>149</v>
      </c>
      <c r="F595" t="s">
        <v>150</v>
      </c>
      <c r="G595">
        <v>2</v>
      </c>
      <c r="H595">
        <v>19.989999999999998</v>
      </c>
      <c r="I595" s="7">
        <f>IF(Transactions!I595="",0,Transactions!I595)</f>
        <v>0</v>
      </c>
      <c r="J595" s="9">
        <f t="shared" si="9"/>
        <v>39.979999999999997</v>
      </c>
      <c r="K595" t="s">
        <v>36</v>
      </c>
      <c r="L595" t="s">
        <v>37</v>
      </c>
      <c r="M595" t="str">
        <f>REPLACE(Transactions!M595,1,4,"")</f>
        <v>14</v>
      </c>
    </row>
    <row r="596" spans="1:13" x14ac:dyDescent="0.2">
      <c r="A596">
        <v>198981</v>
      </c>
      <c r="B596" s="5">
        <v>44771</v>
      </c>
      <c r="C596">
        <v>66491</v>
      </c>
      <c r="D596" t="str">
        <f>PROPER(Transactions!D596)</f>
        <v>Pharmacy</v>
      </c>
      <c r="E596" t="s">
        <v>20</v>
      </c>
      <c r="F596" t="s">
        <v>21</v>
      </c>
      <c r="G596">
        <v>2</v>
      </c>
      <c r="H596">
        <v>9.99</v>
      </c>
      <c r="I596" s="7">
        <f>IF(Transactions!I596="",0,Transactions!I596)</f>
        <v>0</v>
      </c>
      <c r="J596" s="9">
        <f t="shared" si="9"/>
        <v>19.98</v>
      </c>
      <c r="K596" t="s">
        <v>16</v>
      </c>
      <c r="L596" t="s">
        <v>17</v>
      </c>
      <c r="M596" t="str">
        <f>REPLACE(Transactions!M596,1,4,"")</f>
        <v>7</v>
      </c>
    </row>
    <row r="597" spans="1:13" x14ac:dyDescent="0.2">
      <c r="A597">
        <v>199396</v>
      </c>
      <c r="B597" s="5">
        <v>44856</v>
      </c>
      <c r="C597">
        <v>30809</v>
      </c>
      <c r="D597" t="str">
        <f>PROPER(Transactions!D597)</f>
        <v>Automotive</v>
      </c>
      <c r="E597" t="s">
        <v>131</v>
      </c>
      <c r="F597" t="s">
        <v>132</v>
      </c>
      <c r="G597">
        <v>4</v>
      </c>
      <c r="H597">
        <v>3.14</v>
      </c>
      <c r="I597" s="7">
        <f>IF(Transactions!I597="",0,Transactions!I597)</f>
        <v>0.1</v>
      </c>
      <c r="J597" s="9">
        <f t="shared" si="9"/>
        <v>11.304</v>
      </c>
      <c r="K597" t="s">
        <v>36</v>
      </c>
      <c r="L597" t="s">
        <v>17</v>
      </c>
      <c r="M597" t="str">
        <f>REPLACE(Transactions!M597,1,4,"")</f>
        <v>5</v>
      </c>
    </row>
    <row r="598" spans="1:13" x14ac:dyDescent="0.2">
      <c r="A598">
        <v>199613</v>
      </c>
      <c r="B598" s="5">
        <v>45202</v>
      </c>
      <c r="C598">
        <v>28139</v>
      </c>
      <c r="D598" t="str">
        <f>PROPER(Transactions!D598)</f>
        <v>Electronics</v>
      </c>
      <c r="E598" t="s">
        <v>186</v>
      </c>
      <c r="F598" t="s">
        <v>187</v>
      </c>
      <c r="G598">
        <v>3</v>
      </c>
      <c r="H598">
        <v>39.99</v>
      </c>
      <c r="I598" s="7">
        <f>IF(Transactions!I598="",0,Transactions!I598)</f>
        <v>0.2</v>
      </c>
      <c r="J598" s="9">
        <f t="shared" si="9"/>
        <v>95.975999999999999</v>
      </c>
      <c r="K598" t="s">
        <v>16</v>
      </c>
      <c r="L598" t="s">
        <v>37</v>
      </c>
      <c r="M598" t="str">
        <f>REPLACE(Transactions!M598,1,4,"")</f>
        <v>6</v>
      </c>
    </row>
    <row r="599" spans="1:13" x14ac:dyDescent="0.2">
      <c r="A599">
        <v>199702</v>
      </c>
      <c r="B599" s="5">
        <v>45424</v>
      </c>
      <c r="C599">
        <v>10011</v>
      </c>
      <c r="D599" t="str">
        <f>PROPER(Transactions!D599)</f>
        <v>Automotive</v>
      </c>
      <c r="E599" t="s">
        <v>131</v>
      </c>
      <c r="F599" t="s">
        <v>132</v>
      </c>
      <c r="G599">
        <v>3</v>
      </c>
      <c r="H599">
        <v>2.79</v>
      </c>
      <c r="I599" s="7">
        <f>IF(Transactions!I599="",0,Transactions!I599)</f>
        <v>0.2</v>
      </c>
      <c r="J599" s="9">
        <f t="shared" si="9"/>
        <v>6.6960000000000015</v>
      </c>
      <c r="K599" t="s">
        <v>36</v>
      </c>
      <c r="L599" t="s">
        <v>37</v>
      </c>
      <c r="M599" t="str">
        <f>REPLACE(Transactions!M599,1,4,"")</f>
        <v>7</v>
      </c>
    </row>
    <row r="600" spans="1:13" x14ac:dyDescent="0.2">
      <c r="A600">
        <v>199844</v>
      </c>
      <c r="B600" s="5">
        <v>45573</v>
      </c>
      <c r="C600">
        <v>21357</v>
      </c>
      <c r="D600" t="str">
        <f>PROPER(Transactions!D600)</f>
        <v>Grocery</v>
      </c>
      <c r="E600" t="s">
        <v>74</v>
      </c>
      <c r="F600" t="s">
        <v>75</v>
      </c>
      <c r="G600">
        <v>1</v>
      </c>
      <c r="H600">
        <v>2.39</v>
      </c>
      <c r="I600" s="7">
        <f>IF(Transactions!I600="",0,Transactions!I600)</f>
        <v>0.2</v>
      </c>
      <c r="J600" s="9">
        <f t="shared" si="9"/>
        <v>1.9120000000000001</v>
      </c>
      <c r="K600" t="s">
        <v>16</v>
      </c>
      <c r="L600" t="s">
        <v>17</v>
      </c>
      <c r="M600" t="str">
        <f>REPLACE(Transactions!M600,1,4,"")</f>
        <v>1</v>
      </c>
    </row>
    <row r="601" spans="1:13" x14ac:dyDescent="0.2">
      <c r="A601">
        <v>199954</v>
      </c>
      <c r="B601" s="5">
        <v>45108</v>
      </c>
      <c r="C601">
        <v>22574</v>
      </c>
      <c r="D601" t="str">
        <f>PROPER(Transactions!D601)</f>
        <v>Beauty</v>
      </c>
      <c r="E601" t="s">
        <v>49</v>
      </c>
      <c r="F601" t="s">
        <v>50</v>
      </c>
      <c r="G601">
        <v>4</v>
      </c>
      <c r="H601">
        <v>7.64</v>
      </c>
      <c r="I601" s="7">
        <f>IF(Transactions!I601="",0,Transactions!I601)</f>
        <v>0.15</v>
      </c>
      <c r="J601" s="9">
        <f t="shared" si="9"/>
        <v>25.975999999999999</v>
      </c>
      <c r="K601" t="s">
        <v>16</v>
      </c>
      <c r="L601" t="s">
        <v>17</v>
      </c>
      <c r="M601" t="str">
        <f>REPLACE(Transactions!M601,1,4,"")</f>
        <v>1</v>
      </c>
    </row>
    <row r="602" spans="1:13" x14ac:dyDescent="0.2">
      <c r="A602">
        <v>200044</v>
      </c>
      <c r="B602" s="5">
        <v>44846</v>
      </c>
      <c r="C602">
        <v>49315</v>
      </c>
      <c r="D602" t="str">
        <f>PROPER(Transactions!D602)</f>
        <v>Electronics</v>
      </c>
      <c r="E602" t="s">
        <v>127</v>
      </c>
      <c r="F602" t="s">
        <v>128</v>
      </c>
      <c r="G602">
        <v>1</v>
      </c>
      <c r="H602">
        <v>13.99</v>
      </c>
      <c r="I602" s="7">
        <f>IF(Transactions!I602="",0,Transactions!I602)</f>
        <v>0.3</v>
      </c>
      <c r="J602" s="9">
        <f t="shared" si="9"/>
        <v>9.7929999999999993</v>
      </c>
      <c r="K602" t="s">
        <v>16</v>
      </c>
      <c r="L602" t="s">
        <v>17</v>
      </c>
      <c r="M602" t="str">
        <f>REPLACE(Transactions!M602,1,4,"")</f>
        <v>13</v>
      </c>
    </row>
    <row r="603" spans="1:13" x14ac:dyDescent="0.2">
      <c r="A603">
        <v>200225</v>
      </c>
      <c r="B603" s="5">
        <v>45524</v>
      </c>
      <c r="C603">
        <v>79367</v>
      </c>
      <c r="D603" t="str">
        <f>PROPER(Transactions!D603)</f>
        <v>Home &amp; Garden</v>
      </c>
      <c r="E603" t="s">
        <v>137</v>
      </c>
      <c r="F603" t="s">
        <v>138</v>
      </c>
      <c r="G603">
        <v>1</v>
      </c>
      <c r="H603">
        <v>7.99</v>
      </c>
      <c r="I603" s="7">
        <f>IF(Transactions!I603="",0,Transactions!I603)</f>
        <v>0</v>
      </c>
      <c r="J603" s="9">
        <f t="shared" si="9"/>
        <v>7.99</v>
      </c>
      <c r="K603" t="s">
        <v>16</v>
      </c>
      <c r="L603" t="s">
        <v>17</v>
      </c>
      <c r="M603" t="str">
        <f>REPLACE(Transactions!M603,1,4,"")</f>
        <v>11</v>
      </c>
    </row>
    <row r="604" spans="1:13" x14ac:dyDescent="0.2">
      <c r="A604">
        <v>200272</v>
      </c>
      <c r="B604" s="5">
        <v>44759</v>
      </c>
      <c r="C604">
        <v>99768</v>
      </c>
      <c r="D604" t="str">
        <f>PROPER(Transactions!D604)</f>
        <v>Sports</v>
      </c>
      <c r="E604" t="s">
        <v>188</v>
      </c>
      <c r="F604" t="s">
        <v>189</v>
      </c>
      <c r="G604">
        <v>2</v>
      </c>
      <c r="H604">
        <v>38.24</v>
      </c>
      <c r="I604" s="7">
        <f>IF(Transactions!I604="",0,Transactions!I604)</f>
        <v>0.15</v>
      </c>
      <c r="J604" s="9">
        <f t="shared" si="9"/>
        <v>65.007999999999996</v>
      </c>
      <c r="K604" t="s">
        <v>16</v>
      </c>
      <c r="L604" t="s">
        <v>23</v>
      </c>
      <c r="M604" t="str">
        <f>REPLACE(Transactions!M604,1,4,"")</f>
        <v>19</v>
      </c>
    </row>
    <row r="605" spans="1:13" x14ac:dyDescent="0.2">
      <c r="A605">
        <v>200308</v>
      </c>
      <c r="B605" s="5">
        <v>44910</v>
      </c>
      <c r="C605">
        <v>41373</v>
      </c>
      <c r="D605" t="str">
        <f>PROPER(Transactions!D605)</f>
        <v>Toys</v>
      </c>
      <c r="E605" t="s">
        <v>30</v>
      </c>
      <c r="F605" t="s">
        <v>31</v>
      </c>
      <c r="G605">
        <v>1</v>
      </c>
      <c r="H605">
        <v>18.739999999999998</v>
      </c>
      <c r="I605" s="7">
        <f>IF(Transactions!I605="",0,Transactions!I605)</f>
        <v>0.25</v>
      </c>
      <c r="J605" s="9">
        <f t="shared" si="9"/>
        <v>14.055</v>
      </c>
      <c r="K605" t="s">
        <v>22</v>
      </c>
      <c r="L605" t="s">
        <v>17</v>
      </c>
      <c r="M605" t="str">
        <f>REPLACE(Transactions!M605,1,4,"")</f>
        <v>3</v>
      </c>
    </row>
    <row r="606" spans="1:13" x14ac:dyDescent="0.2">
      <c r="A606">
        <v>200408</v>
      </c>
      <c r="B606" s="5">
        <v>45277</v>
      </c>
      <c r="C606">
        <v>44601</v>
      </c>
      <c r="D606" t="str">
        <f>PROPER(Transactions!D606)</f>
        <v>Sports</v>
      </c>
      <c r="E606" t="s">
        <v>100</v>
      </c>
      <c r="F606" t="s">
        <v>101</v>
      </c>
      <c r="G606">
        <v>4</v>
      </c>
      <c r="H606">
        <v>22.99</v>
      </c>
      <c r="I606" s="7">
        <f>IF(Transactions!I606="",0,Transactions!I606)</f>
        <v>0</v>
      </c>
      <c r="J606" s="9">
        <f t="shared" si="9"/>
        <v>91.96</v>
      </c>
      <c r="K606" t="s">
        <v>36</v>
      </c>
      <c r="L606" t="s">
        <v>37</v>
      </c>
      <c r="M606" t="str">
        <f>REPLACE(Transactions!M606,1,4,"")</f>
        <v>15</v>
      </c>
    </row>
    <row r="607" spans="1:13" x14ac:dyDescent="0.2">
      <c r="A607">
        <v>200494</v>
      </c>
      <c r="B607" s="5">
        <v>45000</v>
      </c>
      <c r="C607">
        <v>72869</v>
      </c>
      <c r="D607" t="str">
        <f>PROPER(Transactions!D607)</f>
        <v>Automotive</v>
      </c>
      <c r="E607" t="s">
        <v>64</v>
      </c>
      <c r="F607" t="s">
        <v>65</v>
      </c>
      <c r="G607">
        <v>4</v>
      </c>
      <c r="H607">
        <v>4.24</v>
      </c>
      <c r="I607" s="7">
        <f>IF(Transactions!I607="",0,Transactions!I607)</f>
        <v>0.15</v>
      </c>
      <c r="J607" s="9">
        <f t="shared" si="9"/>
        <v>14.416</v>
      </c>
      <c r="K607" t="s">
        <v>36</v>
      </c>
      <c r="L607" t="s">
        <v>37</v>
      </c>
      <c r="M607" t="str">
        <f>REPLACE(Transactions!M607,1,4,"")</f>
        <v>5</v>
      </c>
    </row>
    <row r="608" spans="1:13" x14ac:dyDescent="0.2">
      <c r="A608">
        <v>200546</v>
      </c>
      <c r="B608" s="5">
        <v>45452</v>
      </c>
      <c r="C608">
        <v>34715</v>
      </c>
      <c r="D608" t="str">
        <f>PROPER(Transactions!D608)</f>
        <v>Furniture</v>
      </c>
      <c r="E608" t="s">
        <v>26</v>
      </c>
      <c r="F608" t="s">
        <v>27</v>
      </c>
      <c r="G608">
        <v>2</v>
      </c>
      <c r="H608">
        <v>29.74</v>
      </c>
      <c r="I608" s="7">
        <f>IF(Transactions!I608="",0,Transactions!I608)</f>
        <v>0.15</v>
      </c>
      <c r="J608" s="9">
        <f t="shared" si="9"/>
        <v>50.557999999999993</v>
      </c>
      <c r="K608" t="s">
        <v>16</v>
      </c>
      <c r="L608" t="s">
        <v>37</v>
      </c>
      <c r="M608" t="str">
        <f>REPLACE(Transactions!M608,1,4,"")</f>
        <v>10</v>
      </c>
    </row>
    <row r="609" spans="1:13" x14ac:dyDescent="0.2">
      <c r="A609">
        <v>200978</v>
      </c>
      <c r="B609" s="5">
        <v>45298</v>
      </c>
      <c r="C609">
        <v>58993</v>
      </c>
      <c r="D609" t="str">
        <f>PROPER(Transactions!D609)</f>
        <v>Automotive</v>
      </c>
      <c r="E609" t="s">
        <v>111</v>
      </c>
      <c r="F609" t="s">
        <v>112</v>
      </c>
      <c r="G609">
        <v>5</v>
      </c>
      <c r="H609">
        <v>14.24</v>
      </c>
      <c r="I609" s="7">
        <f>IF(Transactions!I609="",0,Transactions!I609)</f>
        <v>0.05</v>
      </c>
      <c r="J609" s="9">
        <f t="shared" si="9"/>
        <v>67.64</v>
      </c>
      <c r="K609" t="s">
        <v>36</v>
      </c>
      <c r="L609" t="s">
        <v>37</v>
      </c>
      <c r="M609" t="str">
        <f>REPLACE(Transactions!M609,1,4,"")</f>
        <v>9</v>
      </c>
    </row>
    <row r="610" spans="1:13" x14ac:dyDescent="0.2">
      <c r="A610">
        <v>201180</v>
      </c>
      <c r="B610" s="5">
        <v>45461</v>
      </c>
      <c r="C610">
        <v>35997</v>
      </c>
      <c r="D610" t="str">
        <f>PROPER(Transactions!D610)</f>
        <v>Furniture</v>
      </c>
      <c r="E610" t="s">
        <v>70</v>
      </c>
      <c r="F610" t="s">
        <v>71</v>
      </c>
      <c r="G610">
        <v>1</v>
      </c>
      <c r="H610">
        <v>89.99</v>
      </c>
      <c r="I610" s="7">
        <f>IF(Transactions!I610="",0,Transactions!I610)</f>
        <v>0</v>
      </c>
      <c r="J610" s="9">
        <f t="shared" si="9"/>
        <v>89.99</v>
      </c>
      <c r="K610" t="s">
        <v>36</v>
      </c>
      <c r="L610" t="s">
        <v>17</v>
      </c>
      <c r="M610" t="str">
        <f>REPLACE(Transactions!M610,1,4,"")</f>
        <v>1</v>
      </c>
    </row>
    <row r="611" spans="1:13" x14ac:dyDescent="0.2">
      <c r="A611">
        <v>201222</v>
      </c>
      <c r="B611" s="5">
        <v>45293</v>
      </c>
      <c r="C611">
        <v>47653</v>
      </c>
      <c r="D611" t="str">
        <f>PROPER(Transactions!D611)</f>
        <v>Pharmacy</v>
      </c>
      <c r="E611" t="s">
        <v>41</v>
      </c>
      <c r="F611" t="s">
        <v>42</v>
      </c>
      <c r="G611">
        <v>2</v>
      </c>
      <c r="H611">
        <v>4.1900000000000004</v>
      </c>
      <c r="I611" s="7">
        <f>IF(Transactions!I611="",0,Transactions!I611)</f>
        <v>0.3</v>
      </c>
      <c r="J611" s="9">
        <f t="shared" si="9"/>
        <v>5.8660000000000005</v>
      </c>
      <c r="K611" t="s">
        <v>53</v>
      </c>
      <c r="L611" t="s">
        <v>23</v>
      </c>
      <c r="M611" t="str">
        <f>REPLACE(Transactions!M611,1,4,"")</f>
        <v>1</v>
      </c>
    </row>
    <row r="612" spans="1:13" x14ac:dyDescent="0.2">
      <c r="A612">
        <v>201364</v>
      </c>
      <c r="B612" s="5">
        <v>45184</v>
      </c>
      <c r="C612">
        <v>39895</v>
      </c>
      <c r="D612" t="str">
        <f>PROPER(Transactions!D612)</f>
        <v>Automotive</v>
      </c>
      <c r="E612" t="s">
        <v>131</v>
      </c>
      <c r="F612" t="s">
        <v>132</v>
      </c>
      <c r="G612">
        <v>4</v>
      </c>
      <c r="H612">
        <v>3.49</v>
      </c>
      <c r="I612" s="7">
        <f>IF(Transactions!I612="",0,Transactions!I612)</f>
        <v>0</v>
      </c>
      <c r="J612" s="9">
        <f t="shared" si="9"/>
        <v>13.96</v>
      </c>
      <c r="K612" t="s">
        <v>36</v>
      </c>
      <c r="L612" t="s">
        <v>17</v>
      </c>
      <c r="M612" t="str">
        <f>REPLACE(Transactions!M612,1,4,"")</f>
        <v>20</v>
      </c>
    </row>
    <row r="613" spans="1:13" x14ac:dyDescent="0.2">
      <c r="A613">
        <v>201495</v>
      </c>
      <c r="B613" s="5">
        <v>45333</v>
      </c>
      <c r="C613">
        <v>16056</v>
      </c>
      <c r="D613" t="str">
        <f>PROPER(Transactions!D613)</f>
        <v>Furniture</v>
      </c>
      <c r="E613" t="s">
        <v>51</v>
      </c>
      <c r="F613" t="s">
        <v>52</v>
      </c>
      <c r="G613">
        <v>2</v>
      </c>
      <c r="H613">
        <v>20.99</v>
      </c>
      <c r="I613" s="7">
        <f>IF(Transactions!I613="",0,Transactions!I613)</f>
        <v>0.25</v>
      </c>
      <c r="J613" s="9">
        <f t="shared" si="9"/>
        <v>31.484999999999999</v>
      </c>
      <c r="K613" t="s">
        <v>36</v>
      </c>
      <c r="L613" t="s">
        <v>17</v>
      </c>
      <c r="M613" t="str">
        <f>REPLACE(Transactions!M613,1,4,"")</f>
        <v>17</v>
      </c>
    </row>
    <row r="614" spans="1:13" x14ac:dyDescent="0.2">
      <c r="A614">
        <v>201712</v>
      </c>
      <c r="B614" s="5">
        <v>45258</v>
      </c>
      <c r="C614">
        <v>14387</v>
      </c>
      <c r="D614" t="str">
        <f>PROPER(Transactions!D614)</f>
        <v>Beauty</v>
      </c>
      <c r="E614" t="s">
        <v>118</v>
      </c>
      <c r="F614" t="s">
        <v>119</v>
      </c>
      <c r="G614">
        <v>1</v>
      </c>
      <c r="H614">
        <v>4.99</v>
      </c>
      <c r="I614" s="7">
        <f>IF(Transactions!I614="",0,Transactions!I614)</f>
        <v>0</v>
      </c>
      <c r="J614" s="9">
        <f t="shared" si="9"/>
        <v>4.99</v>
      </c>
      <c r="K614" t="s">
        <v>36</v>
      </c>
      <c r="L614" t="s">
        <v>17</v>
      </c>
      <c r="M614" t="str">
        <f>REPLACE(Transactions!M614,1,4,"")</f>
        <v>20</v>
      </c>
    </row>
    <row r="615" spans="1:13" x14ac:dyDescent="0.2">
      <c r="A615">
        <v>201738</v>
      </c>
      <c r="B615" s="5">
        <v>44677</v>
      </c>
      <c r="C615">
        <v>87307</v>
      </c>
      <c r="D615" t="str">
        <f>PROPER(Transactions!D615)</f>
        <v>Clothing</v>
      </c>
      <c r="E615" t="s">
        <v>121</v>
      </c>
      <c r="F615" t="s">
        <v>122</v>
      </c>
      <c r="G615">
        <v>5</v>
      </c>
      <c r="H615">
        <v>9.74</v>
      </c>
      <c r="I615" s="7">
        <f>IF(Transactions!I615="",0,Transactions!I615)</f>
        <v>0.25</v>
      </c>
      <c r="J615" s="9">
        <f t="shared" si="9"/>
        <v>36.525000000000006</v>
      </c>
      <c r="K615" t="s">
        <v>22</v>
      </c>
      <c r="L615" t="s">
        <v>17</v>
      </c>
      <c r="M615" t="str">
        <f>REPLACE(Transactions!M615,1,4,"")</f>
        <v>10</v>
      </c>
    </row>
    <row r="616" spans="1:13" x14ac:dyDescent="0.2">
      <c r="A616">
        <v>202006</v>
      </c>
      <c r="B616" s="5">
        <v>44635</v>
      </c>
      <c r="C616">
        <v>58506</v>
      </c>
      <c r="D616" t="str">
        <f>PROPER(Transactions!D616)</f>
        <v>Sports</v>
      </c>
      <c r="E616" t="s">
        <v>83</v>
      </c>
      <c r="F616" t="s">
        <v>84</v>
      </c>
      <c r="G616">
        <v>2</v>
      </c>
      <c r="H616">
        <v>16.989999999999998</v>
      </c>
      <c r="I616" s="7">
        <f>IF(Transactions!I616="",0,Transactions!I616)</f>
        <v>0</v>
      </c>
      <c r="J616" s="9">
        <f t="shared" si="9"/>
        <v>33.979999999999997</v>
      </c>
      <c r="K616" t="s">
        <v>36</v>
      </c>
      <c r="L616" t="s">
        <v>37</v>
      </c>
      <c r="M616" t="str">
        <f>REPLACE(Transactions!M616,1,4,"")</f>
        <v>9</v>
      </c>
    </row>
    <row r="617" spans="1:13" x14ac:dyDescent="0.2">
      <c r="A617">
        <v>202116</v>
      </c>
      <c r="B617" s="5">
        <v>44978</v>
      </c>
      <c r="C617">
        <v>55145</v>
      </c>
      <c r="D617" t="str">
        <f>PROPER(Transactions!D617)</f>
        <v>Pharmacy</v>
      </c>
      <c r="E617" t="s">
        <v>115</v>
      </c>
      <c r="F617" t="s">
        <v>116</v>
      </c>
      <c r="G617">
        <v>2</v>
      </c>
      <c r="H617">
        <v>9.74</v>
      </c>
      <c r="I617" s="7">
        <f>IF(Transactions!I617="",0,Transactions!I617)</f>
        <v>0.25</v>
      </c>
      <c r="J617" s="9">
        <f t="shared" si="9"/>
        <v>14.61</v>
      </c>
      <c r="K617" t="s">
        <v>16</v>
      </c>
      <c r="L617" t="s">
        <v>37</v>
      </c>
      <c r="M617" t="str">
        <f>REPLACE(Transactions!M617,1,4,"")</f>
        <v>12</v>
      </c>
    </row>
    <row r="618" spans="1:13" x14ac:dyDescent="0.2">
      <c r="A618">
        <v>202233</v>
      </c>
      <c r="B618" s="5">
        <v>44898</v>
      </c>
      <c r="C618">
        <v>95652</v>
      </c>
      <c r="D618" t="str">
        <f>PROPER(Transactions!D618)</f>
        <v>Grocery</v>
      </c>
      <c r="E618" t="s">
        <v>162</v>
      </c>
      <c r="F618" t="s">
        <v>163</v>
      </c>
      <c r="G618">
        <v>1</v>
      </c>
      <c r="H618">
        <v>7.99</v>
      </c>
      <c r="I618" s="7">
        <f>IF(Transactions!I618="",0,Transactions!I618)</f>
        <v>0</v>
      </c>
      <c r="J618" s="9">
        <f t="shared" si="9"/>
        <v>7.99</v>
      </c>
      <c r="K618" t="s">
        <v>36</v>
      </c>
      <c r="L618" t="s">
        <v>37</v>
      </c>
      <c r="M618" t="str">
        <f>REPLACE(Transactions!M618,1,4,"")</f>
        <v>3</v>
      </c>
    </row>
    <row r="619" spans="1:13" x14ac:dyDescent="0.2">
      <c r="A619">
        <v>202360</v>
      </c>
      <c r="B619" s="5">
        <v>45323</v>
      </c>
      <c r="C619">
        <v>38102</v>
      </c>
      <c r="D619" t="str">
        <f>PROPER(Transactions!D619)</f>
        <v>Clothing</v>
      </c>
      <c r="E619" t="s">
        <v>151</v>
      </c>
      <c r="F619" t="s">
        <v>152</v>
      </c>
      <c r="G619">
        <v>3</v>
      </c>
      <c r="H619">
        <v>24.49</v>
      </c>
      <c r="I619" s="7">
        <f>IF(Transactions!I619="",0,Transactions!I619)</f>
        <v>0</v>
      </c>
      <c r="J619" s="9">
        <f t="shared" si="9"/>
        <v>73.47</v>
      </c>
      <c r="K619" t="s">
        <v>66</v>
      </c>
      <c r="L619" t="s">
        <v>17</v>
      </c>
      <c r="M619" t="str">
        <f>REPLACE(Transactions!M619,1,4,"")</f>
        <v>6</v>
      </c>
    </row>
    <row r="620" spans="1:13" x14ac:dyDescent="0.2">
      <c r="A620">
        <v>202750</v>
      </c>
      <c r="B620" s="5">
        <v>45573</v>
      </c>
      <c r="C620">
        <v>68680</v>
      </c>
      <c r="D620" t="str">
        <f>PROPER(Transactions!D620)</f>
        <v>Grocery</v>
      </c>
      <c r="E620" t="s">
        <v>184</v>
      </c>
      <c r="F620" t="s">
        <v>185</v>
      </c>
      <c r="G620">
        <v>5</v>
      </c>
      <c r="H620">
        <v>4.67</v>
      </c>
      <c r="I620" s="7">
        <f>IF(Transactions!I620="",0,Transactions!I620)</f>
        <v>0.15</v>
      </c>
      <c r="J620" s="9">
        <f t="shared" si="9"/>
        <v>19.8475</v>
      </c>
      <c r="K620" t="s">
        <v>36</v>
      </c>
      <c r="L620" t="s">
        <v>17</v>
      </c>
      <c r="M620" t="str">
        <f>REPLACE(Transactions!M620,1,4,"")</f>
        <v>5</v>
      </c>
    </row>
    <row r="621" spans="1:13" x14ac:dyDescent="0.2">
      <c r="A621">
        <v>202805</v>
      </c>
      <c r="B621" s="5">
        <v>45009</v>
      </c>
      <c r="C621">
        <v>57049</v>
      </c>
      <c r="D621" t="str">
        <f>PROPER(Transactions!D621)</f>
        <v>Pharmacy</v>
      </c>
      <c r="E621" t="s">
        <v>58</v>
      </c>
      <c r="F621" t="s">
        <v>59</v>
      </c>
      <c r="G621">
        <v>2</v>
      </c>
      <c r="H621">
        <v>2.99</v>
      </c>
      <c r="I621" s="7">
        <f>IF(Transactions!I621="",0,Transactions!I621)</f>
        <v>0.25</v>
      </c>
      <c r="J621" s="9">
        <f t="shared" si="9"/>
        <v>4.4850000000000003</v>
      </c>
      <c r="K621" t="s">
        <v>16</v>
      </c>
      <c r="L621" t="s">
        <v>37</v>
      </c>
      <c r="M621" t="str">
        <f>REPLACE(Transactions!M621,1,4,"")</f>
        <v>9</v>
      </c>
    </row>
    <row r="622" spans="1:13" x14ac:dyDescent="0.2">
      <c r="A622">
        <v>202948</v>
      </c>
      <c r="B622" s="5">
        <v>45191</v>
      </c>
      <c r="D622" t="str">
        <f>PROPER(Transactions!D622)</f>
        <v>Furniture</v>
      </c>
      <c r="E622" t="s">
        <v>113</v>
      </c>
      <c r="F622" t="s">
        <v>114</v>
      </c>
      <c r="G622">
        <v>5</v>
      </c>
      <c r="H622">
        <v>101.99</v>
      </c>
      <c r="I622" s="7">
        <f>IF(Transactions!I622="",0,Transactions!I622)</f>
        <v>0.15</v>
      </c>
      <c r="J622" s="9">
        <f t="shared" si="9"/>
        <v>433.45749999999998</v>
      </c>
      <c r="K622" t="s">
        <v>95</v>
      </c>
      <c r="L622" t="s">
        <v>23</v>
      </c>
      <c r="M622" t="str">
        <f>REPLACE(Transactions!M622,1,4,"")</f>
        <v>17</v>
      </c>
    </row>
    <row r="623" spans="1:13" x14ac:dyDescent="0.2">
      <c r="A623">
        <v>202987</v>
      </c>
      <c r="B623" s="5">
        <v>45332</v>
      </c>
      <c r="C623">
        <v>30392</v>
      </c>
      <c r="D623" t="str">
        <f>PROPER(Transactions!D623)</f>
        <v>Automotive</v>
      </c>
      <c r="E623" t="s">
        <v>111</v>
      </c>
      <c r="F623" t="s">
        <v>112</v>
      </c>
      <c r="G623">
        <v>2</v>
      </c>
      <c r="H623">
        <v>14.99</v>
      </c>
      <c r="I623" s="7">
        <f>IF(Transactions!I623="",0,Transactions!I623)</f>
        <v>0</v>
      </c>
      <c r="J623" s="9">
        <f t="shared" si="9"/>
        <v>29.98</v>
      </c>
      <c r="K623" t="s">
        <v>66</v>
      </c>
      <c r="L623" t="s">
        <v>17</v>
      </c>
      <c r="M623" t="str">
        <f>REPLACE(Transactions!M623,1,4,"")</f>
        <v>10</v>
      </c>
    </row>
    <row r="624" spans="1:13" x14ac:dyDescent="0.2">
      <c r="A624">
        <v>202993</v>
      </c>
      <c r="B624" s="5">
        <v>45270</v>
      </c>
      <c r="C624">
        <v>93438</v>
      </c>
      <c r="D624" t="str">
        <f>PROPER(Transactions!D624)</f>
        <v>Electronics</v>
      </c>
      <c r="E624" t="s">
        <v>127</v>
      </c>
      <c r="F624" t="s">
        <v>128</v>
      </c>
      <c r="G624">
        <v>5</v>
      </c>
      <c r="H624">
        <v>19.989999999999998</v>
      </c>
      <c r="I624" s="7">
        <f>IF(Transactions!I624="",0,Transactions!I624)</f>
        <v>0</v>
      </c>
      <c r="J624" s="9">
        <f t="shared" si="9"/>
        <v>99.949999999999989</v>
      </c>
      <c r="K624" t="s">
        <v>53</v>
      </c>
      <c r="L624" t="s">
        <v>17</v>
      </c>
      <c r="M624" t="str">
        <f>REPLACE(Transactions!M624,1,4,"")</f>
        <v>2</v>
      </c>
    </row>
    <row r="625" spans="1:13" x14ac:dyDescent="0.2">
      <c r="A625">
        <v>203428</v>
      </c>
      <c r="B625" s="5">
        <v>44952</v>
      </c>
      <c r="C625">
        <v>72154</v>
      </c>
      <c r="D625" t="str">
        <f>PROPER(Transactions!D625)</f>
        <v>Furniture</v>
      </c>
      <c r="E625" t="s">
        <v>26</v>
      </c>
      <c r="F625" t="s">
        <v>27</v>
      </c>
      <c r="G625">
        <v>3</v>
      </c>
      <c r="H625">
        <v>33.24</v>
      </c>
      <c r="I625" s="7">
        <f>IF(Transactions!I625="",0,Transactions!I625)</f>
        <v>0.05</v>
      </c>
      <c r="J625" s="9">
        <f t="shared" si="9"/>
        <v>94.733999999999995</v>
      </c>
      <c r="K625" t="s">
        <v>16</v>
      </c>
      <c r="L625" t="s">
        <v>17</v>
      </c>
      <c r="M625" t="str">
        <f>REPLACE(Transactions!M625,1,4,"")</f>
        <v>3</v>
      </c>
    </row>
    <row r="626" spans="1:13" x14ac:dyDescent="0.2">
      <c r="A626">
        <v>203429</v>
      </c>
      <c r="B626" s="5">
        <v>44770</v>
      </c>
      <c r="C626">
        <v>52846</v>
      </c>
      <c r="D626" t="str">
        <f>PROPER(Transactions!D626)</f>
        <v>Clothing</v>
      </c>
      <c r="E626" t="s">
        <v>165</v>
      </c>
      <c r="F626" t="s">
        <v>166</v>
      </c>
      <c r="G626">
        <v>2</v>
      </c>
      <c r="H626">
        <v>80.989999999999995</v>
      </c>
      <c r="I626" s="7">
        <f>IF(Transactions!I626="",0,Transactions!I626)</f>
        <v>0.1</v>
      </c>
      <c r="J626" s="9">
        <f t="shared" si="9"/>
        <v>145.78199999999998</v>
      </c>
      <c r="K626" t="s">
        <v>22</v>
      </c>
      <c r="L626" t="s">
        <v>37</v>
      </c>
      <c r="M626" t="str">
        <f>REPLACE(Transactions!M626,1,4,"")</f>
        <v>3</v>
      </c>
    </row>
    <row r="627" spans="1:13" x14ac:dyDescent="0.2">
      <c r="A627">
        <v>203529</v>
      </c>
      <c r="B627" s="5">
        <v>45503</v>
      </c>
      <c r="C627">
        <v>26181</v>
      </c>
      <c r="D627" t="str">
        <f>PROPER(Transactions!D627)</f>
        <v>Toys</v>
      </c>
      <c r="E627" t="s">
        <v>88</v>
      </c>
      <c r="F627" t="s">
        <v>89</v>
      </c>
      <c r="G627">
        <v>3</v>
      </c>
      <c r="H627">
        <v>47.49</v>
      </c>
      <c r="I627" s="7">
        <f>IF(Transactions!I627="",0,Transactions!I627)</f>
        <v>0.05</v>
      </c>
      <c r="J627" s="9">
        <f t="shared" si="9"/>
        <v>135.34649999999999</v>
      </c>
      <c r="K627" t="s">
        <v>36</v>
      </c>
      <c r="L627" t="s">
        <v>17</v>
      </c>
      <c r="M627" t="str">
        <f>REPLACE(Transactions!M627,1,4,"")</f>
        <v>18</v>
      </c>
    </row>
    <row r="628" spans="1:13" x14ac:dyDescent="0.2">
      <c r="A628">
        <v>203631</v>
      </c>
      <c r="B628" s="5">
        <v>45007</v>
      </c>
      <c r="C628">
        <v>55443</v>
      </c>
      <c r="D628" t="str">
        <f>PROPER(Transactions!D628)</f>
        <v>Home &amp; Garden</v>
      </c>
      <c r="E628" t="s">
        <v>149</v>
      </c>
      <c r="F628" t="s">
        <v>150</v>
      </c>
      <c r="G628">
        <v>5</v>
      </c>
      <c r="H628">
        <v>19.989999999999998</v>
      </c>
      <c r="I628" s="7">
        <f>IF(Transactions!I628="",0,Transactions!I628)</f>
        <v>0</v>
      </c>
      <c r="J628" s="9">
        <f t="shared" si="9"/>
        <v>99.949999999999989</v>
      </c>
      <c r="K628" t="s">
        <v>16</v>
      </c>
      <c r="L628" t="s">
        <v>17</v>
      </c>
      <c r="M628" t="str">
        <f>REPLACE(Transactions!M628,1,4,"")</f>
        <v>14</v>
      </c>
    </row>
    <row r="629" spans="1:13" x14ac:dyDescent="0.2">
      <c r="A629">
        <v>203809</v>
      </c>
      <c r="B629" s="5">
        <v>45625</v>
      </c>
      <c r="C629">
        <v>62654</v>
      </c>
      <c r="D629" t="str">
        <f>PROPER(Transactions!D629)</f>
        <v>Home &amp; Garden</v>
      </c>
      <c r="E629" t="s">
        <v>86</v>
      </c>
      <c r="F629" t="s">
        <v>87</v>
      </c>
      <c r="G629">
        <v>1</v>
      </c>
      <c r="H629">
        <v>12.99</v>
      </c>
      <c r="I629" s="7">
        <f>IF(Transactions!I629="",0,Transactions!I629)</f>
        <v>0</v>
      </c>
      <c r="J629" s="9">
        <f t="shared" si="9"/>
        <v>12.99</v>
      </c>
      <c r="K629" t="s">
        <v>22</v>
      </c>
      <c r="L629" t="s">
        <v>37</v>
      </c>
      <c r="M629" t="str">
        <f>REPLACE(Transactions!M629,1,4,"")</f>
        <v>3</v>
      </c>
    </row>
    <row r="630" spans="1:13" x14ac:dyDescent="0.2">
      <c r="A630">
        <v>203859</v>
      </c>
      <c r="B630" s="5">
        <v>45482</v>
      </c>
      <c r="C630">
        <v>83714</v>
      </c>
      <c r="D630" t="str">
        <f>PROPER(Transactions!D630)</f>
        <v>Toys</v>
      </c>
      <c r="E630" t="s">
        <v>175</v>
      </c>
      <c r="F630" t="s">
        <v>176</v>
      </c>
      <c r="G630">
        <v>2</v>
      </c>
      <c r="H630">
        <v>11.39</v>
      </c>
      <c r="I630" s="7">
        <f>IF(Transactions!I630="",0,Transactions!I630)</f>
        <v>0.05</v>
      </c>
      <c r="J630" s="9">
        <f t="shared" si="9"/>
        <v>21.641000000000002</v>
      </c>
      <c r="K630" t="s">
        <v>95</v>
      </c>
      <c r="L630" t="s">
        <v>17</v>
      </c>
      <c r="M630" t="str">
        <f>REPLACE(Transactions!M630,1,4,"")</f>
        <v>12</v>
      </c>
    </row>
    <row r="631" spans="1:13" x14ac:dyDescent="0.2">
      <c r="A631">
        <v>203908</v>
      </c>
      <c r="B631" s="5">
        <v>45018</v>
      </c>
      <c r="C631">
        <v>40876</v>
      </c>
      <c r="D631" t="str">
        <f>PROPER(Transactions!D631)</f>
        <v>Home &amp; Garden</v>
      </c>
      <c r="E631" t="s">
        <v>129</v>
      </c>
      <c r="F631" t="s">
        <v>130</v>
      </c>
      <c r="G631">
        <v>1</v>
      </c>
      <c r="H631">
        <v>8.99</v>
      </c>
      <c r="I631" s="7">
        <f>IF(Transactions!I631="",0,Transactions!I631)</f>
        <v>0</v>
      </c>
      <c r="J631" s="9">
        <f t="shared" si="9"/>
        <v>8.99</v>
      </c>
      <c r="K631" t="s">
        <v>53</v>
      </c>
      <c r="L631" t="s">
        <v>17</v>
      </c>
      <c r="M631" t="str">
        <f>REPLACE(Transactions!M631,1,4,"")</f>
        <v>16</v>
      </c>
    </row>
    <row r="632" spans="1:13" x14ac:dyDescent="0.2">
      <c r="A632">
        <v>203963</v>
      </c>
      <c r="B632" s="5">
        <v>45503</v>
      </c>
      <c r="C632">
        <v>83635</v>
      </c>
      <c r="D632" t="str">
        <f>PROPER(Transactions!D632)</f>
        <v>Pharmacy</v>
      </c>
      <c r="E632" t="s">
        <v>197</v>
      </c>
      <c r="F632" t="s">
        <v>198</v>
      </c>
      <c r="G632">
        <v>4</v>
      </c>
      <c r="H632">
        <v>14.99</v>
      </c>
      <c r="I632" s="7">
        <f>IF(Transactions!I632="",0,Transactions!I632)</f>
        <v>0</v>
      </c>
      <c r="J632" s="9">
        <f t="shared" si="9"/>
        <v>59.96</v>
      </c>
      <c r="K632" t="s">
        <v>36</v>
      </c>
      <c r="L632" t="s">
        <v>37</v>
      </c>
      <c r="M632" t="str">
        <f>REPLACE(Transactions!M632,1,4,"")</f>
        <v>15</v>
      </c>
    </row>
    <row r="633" spans="1:13" x14ac:dyDescent="0.2">
      <c r="A633">
        <v>203964</v>
      </c>
      <c r="B633" s="5">
        <v>44564</v>
      </c>
      <c r="C633">
        <v>47240</v>
      </c>
      <c r="D633" t="str">
        <f>PROPER(Transactions!D633)</f>
        <v>Toys</v>
      </c>
      <c r="E633" t="s">
        <v>175</v>
      </c>
      <c r="F633" t="s">
        <v>176</v>
      </c>
      <c r="G633">
        <v>3</v>
      </c>
      <c r="H633">
        <v>11.99</v>
      </c>
      <c r="I633" s="7">
        <f>IF(Transactions!I633="",0,Transactions!I633)</f>
        <v>0</v>
      </c>
      <c r="J633" s="9">
        <f t="shared" si="9"/>
        <v>35.97</v>
      </c>
      <c r="K633" t="s">
        <v>36</v>
      </c>
      <c r="L633" t="s">
        <v>17</v>
      </c>
      <c r="M633" t="str">
        <f>REPLACE(Transactions!M633,1,4,"")</f>
        <v>7</v>
      </c>
    </row>
    <row r="634" spans="1:13" x14ac:dyDescent="0.2">
      <c r="A634">
        <v>204086</v>
      </c>
      <c r="B634" s="5">
        <v>45528</v>
      </c>
      <c r="C634">
        <v>42594</v>
      </c>
      <c r="D634" t="str">
        <f>PROPER(Transactions!D634)</f>
        <v>Grocery</v>
      </c>
      <c r="E634" t="s">
        <v>190</v>
      </c>
      <c r="F634" t="s">
        <v>191</v>
      </c>
      <c r="G634">
        <v>3</v>
      </c>
      <c r="H634">
        <v>3.43</v>
      </c>
      <c r="I634" s="7">
        <f>IF(Transactions!I634="",0,Transactions!I634)</f>
        <v>0.2</v>
      </c>
      <c r="J634" s="9">
        <f t="shared" si="9"/>
        <v>8.2320000000000011</v>
      </c>
      <c r="K634" t="s">
        <v>16</v>
      </c>
      <c r="L634" t="s">
        <v>37</v>
      </c>
      <c r="M634" t="str">
        <f>REPLACE(Transactions!M634,1,4,"")</f>
        <v>10</v>
      </c>
    </row>
    <row r="635" spans="1:13" x14ac:dyDescent="0.2">
      <c r="A635">
        <v>204106</v>
      </c>
      <c r="B635" s="5">
        <v>45513</v>
      </c>
      <c r="D635" t="str">
        <f>PROPER(Transactions!D635)</f>
        <v>Clothing</v>
      </c>
      <c r="E635" t="s">
        <v>121</v>
      </c>
      <c r="F635" t="s">
        <v>122</v>
      </c>
      <c r="G635">
        <v>2</v>
      </c>
      <c r="H635">
        <v>12.99</v>
      </c>
      <c r="I635" s="7">
        <f>IF(Transactions!I635="",0,Transactions!I635)</f>
        <v>0</v>
      </c>
      <c r="J635" s="9">
        <f t="shared" si="9"/>
        <v>25.98</v>
      </c>
      <c r="K635" t="s">
        <v>36</v>
      </c>
      <c r="L635" t="s">
        <v>17</v>
      </c>
      <c r="M635" t="str">
        <f>REPLACE(Transactions!M635,1,4,"")</f>
        <v>5</v>
      </c>
    </row>
    <row r="636" spans="1:13" x14ac:dyDescent="0.2">
      <c r="A636">
        <v>204107</v>
      </c>
      <c r="B636" s="5">
        <v>45467</v>
      </c>
      <c r="C636">
        <v>98795</v>
      </c>
      <c r="D636" t="str">
        <f>PROPER(Transactions!D636)</f>
        <v>Electronics</v>
      </c>
      <c r="E636" t="s">
        <v>34</v>
      </c>
      <c r="F636" t="s">
        <v>35</v>
      </c>
      <c r="G636">
        <v>2</v>
      </c>
      <c r="H636">
        <v>31.49</v>
      </c>
      <c r="I636" s="7">
        <f>IF(Transactions!I636="",0,Transactions!I636)</f>
        <v>0.1</v>
      </c>
      <c r="J636" s="9">
        <f t="shared" si="9"/>
        <v>56.681999999999995</v>
      </c>
      <c r="K636" t="s">
        <v>95</v>
      </c>
      <c r="L636" t="s">
        <v>17</v>
      </c>
      <c r="M636" t="str">
        <f>REPLACE(Transactions!M636,1,4,"")</f>
        <v>10</v>
      </c>
    </row>
    <row r="637" spans="1:13" x14ac:dyDescent="0.2">
      <c r="A637">
        <v>204236</v>
      </c>
      <c r="B637" s="5">
        <v>45113</v>
      </c>
      <c r="C637">
        <v>63744</v>
      </c>
      <c r="D637" t="str">
        <f>PROPER(Transactions!D637)</f>
        <v>Beauty</v>
      </c>
      <c r="E637" t="s">
        <v>118</v>
      </c>
      <c r="F637" t="s">
        <v>119</v>
      </c>
      <c r="G637">
        <v>1</v>
      </c>
      <c r="H637">
        <v>4.74</v>
      </c>
      <c r="I637" s="7">
        <f>IF(Transactions!I637="",0,Transactions!I637)</f>
        <v>0</v>
      </c>
      <c r="J637" s="9">
        <f t="shared" si="9"/>
        <v>4.74</v>
      </c>
      <c r="K637" t="s">
        <v>16</v>
      </c>
      <c r="L637" t="s">
        <v>37</v>
      </c>
      <c r="M637" t="str">
        <f>REPLACE(Transactions!M637,1,4,"")</f>
        <v>6</v>
      </c>
    </row>
    <row r="638" spans="1:13" x14ac:dyDescent="0.2">
      <c r="A638">
        <v>204393</v>
      </c>
      <c r="B638" s="5">
        <v>45497</v>
      </c>
      <c r="C638">
        <v>68279</v>
      </c>
      <c r="D638" t="str">
        <f>PROPER(Transactions!D638)</f>
        <v>Grocery</v>
      </c>
      <c r="E638" t="s">
        <v>133</v>
      </c>
      <c r="F638" t="s">
        <v>134</v>
      </c>
      <c r="G638">
        <v>1</v>
      </c>
      <c r="H638">
        <v>3.6</v>
      </c>
      <c r="I638" s="7">
        <f>IF(Transactions!I638="",0,Transactions!I638)</f>
        <v>0.05</v>
      </c>
      <c r="J638" s="9">
        <f t="shared" si="9"/>
        <v>3.42</v>
      </c>
      <c r="K638" t="s">
        <v>16</v>
      </c>
      <c r="L638" t="s">
        <v>17</v>
      </c>
      <c r="M638" t="str">
        <f>REPLACE(Transactions!M638,1,4,"")</f>
        <v>10</v>
      </c>
    </row>
    <row r="639" spans="1:13" x14ac:dyDescent="0.2">
      <c r="A639">
        <v>204749</v>
      </c>
      <c r="B639" s="5">
        <v>45108</v>
      </c>
      <c r="C639">
        <v>96687</v>
      </c>
      <c r="D639" t="str">
        <f>PROPER(Transactions!D639)</f>
        <v>Toys</v>
      </c>
      <c r="E639" t="s">
        <v>175</v>
      </c>
      <c r="F639" t="s">
        <v>176</v>
      </c>
      <c r="G639">
        <v>1</v>
      </c>
      <c r="H639">
        <v>11.99</v>
      </c>
      <c r="I639" s="7">
        <f>IF(Transactions!I639="",0,Transactions!I639)</f>
        <v>0</v>
      </c>
      <c r="J639" s="9">
        <f t="shared" si="9"/>
        <v>11.99</v>
      </c>
      <c r="K639" t="s">
        <v>16</v>
      </c>
      <c r="L639" t="s">
        <v>17</v>
      </c>
      <c r="M639" t="str">
        <f>REPLACE(Transactions!M639,1,4,"")</f>
        <v>19</v>
      </c>
    </row>
    <row r="640" spans="1:13" x14ac:dyDescent="0.2">
      <c r="A640">
        <v>205267</v>
      </c>
      <c r="B640" s="5">
        <v>44982</v>
      </c>
      <c r="C640">
        <v>44773</v>
      </c>
      <c r="D640" t="str">
        <f>PROPER(Transactions!D640)</f>
        <v>Beauty</v>
      </c>
      <c r="E640" t="s">
        <v>118</v>
      </c>
      <c r="F640" t="s">
        <v>119</v>
      </c>
      <c r="G640">
        <v>2</v>
      </c>
      <c r="H640">
        <v>4.49</v>
      </c>
      <c r="I640" s="7">
        <f>IF(Transactions!I640="",0,Transactions!I640)</f>
        <v>0.1</v>
      </c>
      <c r="J640" s="9">
        <f t="shared" si="9"/>
        <v>8.0820000000000007</v>
      </c>
      <c r="K640" t="s">
        <v>36</v>
      </c>
      <c r="L640" t="s">
        <v>37</v>
      </c>
      <c r="M640" t="str">
        <f>REPLACE(Transactions!M640,1,4,"")</f>
        <v>1</v>
      </c>
    </row>
    <row r="641" spans="1:13" x14ac:dyDescent="0.2">
      <c r="A641">
        <v>205271</v>
      </c>
      <c r="B641" s="5">
        <v>44724</v>
      </c>
      <c r="C641">
        <v>88832</v>
      </c>
      <c r="D641" t="str">
        <f>PROPER(Transactions!D641)</f>
        <v>Toys</v>
      </c>
      <c r="E641" t="s">
        <v>175</v>
      </c>
      <c r="F641" t="s">
        <v>176</v>
      </c>
      <c r="G641">
        <v>2</v>
      </c>
      <c r="H641">
        <v>8.39</v>
      </c>
      <c r="I641" s="7">
        <f>IF(Transactions!I641="",0,Transactions!I641)</f>
        <v>0.3</v>
      </c>
      <c r="J641" s="9">
        <f t="shared" si="9"/>
        <v>11.746</v>
      </c>
      <c r="K641" t="s">
        <v>53</v>
      </c>
      <c r="L641" t="s">
        <v>17</v>
      </c>
      <c r="M641" t="str">
        <f>REPLACE(Transactions!M641,1,4,"")</f>
        <v>1</v>
      </c>
    </row>
    <row r="642" spans="1:13" x14ac:dyDescent="0.2">
      <c r="A642">
        <v>205314</v>
      </c>
      <c r="B642" s="5">
        <v>45170</v>
      </c>
      <c r="C642">
        <v>65072</v>
      </c>
      <c r="D642" t="str">
        <f>PROPER(Transactions!D642)</f>
        <v>Automotive</v>
      </c>
      <c r="E642" t="s">
        <v>125</v>
      </c>
      <c r="F642" t="s">
        <v>126</v>
      </c>
      <c r="G642">
        <v>3</v>
      </c>
      <c r="H642">
        <v>20.99</v>
      </c>
      <c r="I642" s="7">
        <f>IF(Transactions!I642="",0,Transactions!I642)</f>
        <v>0.3</v>
      </c>
      <c r="J642" s="9">
        <f t="shared" si="9"/>
        <v>44.078999999999994</v>
      </c>
      <c r="K642" t="s">
        <v>16</v>
      </c>
      <c r="L642" t="s">
        <v>37</v>
      </c>
      <c r="M642" t="str">
        <f>REPLACE(Transactions!M642,1,4,"")</f>
        <v>6</v>
      </c>
    </row>
    <row r="643" spans="1:13" x14ac:dyDescent="0.2">
      <c r="A643">
        <v>206029</v>
      </c>
      <c r="B643" s="5">
        <v>44980</v>
      </c>
      <c r="C643">
        <v>82798</v>
      </c>
      <c r="D643" t="str">
        <f>PROPER(Transactions!D643)</f>
        <v>Automotive</v>
      </c>
      <c r="E643" t="s">
        <v>125</v>
      </c>
      <c r="F643" t="s">
        <v>126</v>
      </c>
      <c r="G643">
        <v>2</v>
      </c>
      <c r="H643">
        <v>26.99</v>
      </c>
      <c r="I643" s="7">
        <f>IF(Transactions!I643="",0,Transactions!I643)</f>
        <v>0.1</v>
      </c>
      <c r="J643" s="9">
        <f t="shared" ref="J643:J706" si="10">(H643*G643)*(1-I643)</f>
        <v>48.582000000000001</v>
      </c>
      <c r="K643" t="s">
        <v>16</v>
      </c>
      <c r="L643" t="s">
        <v>37</v>
      </c>
      <c r="M643" t="str">
        <f>REPLACE(Transactions!M643,1,4,"")</f>
        <v>12</v>
      </c>
    </row>
    <row r="644" spans="1:13" x14ac:dyDescent="0.2">
      <c r="A644">
        <v>206043</v>
      </c>
      <c r="B644" s="5">
        <v>45076</v>
      </c>
      <c r="C644">
        <v>39017</v>
      </c>
      <c r="D644" t="str">
        <f>PROPER(Transactions!D644)</f>
        <v>Sports</v>
      </c>
      <c r="E644" t="s">
        <v>147</v>
      </c>
      <c r="F644" t="s">
        <v>148</v>
      </c>
      <c r="G644">
        <v>1</v>
      </c>
      <c r="H644">
        <v>11.04</v>
      </c>
      <c r="I644" s="7">
        <f>IF(Transactions!I644="",0,Transactions!I644)</f>
        <v>0.15</v>
      </c>
      <c r="J644" s="9">
        <f t="shared" si="10"/>
        <v>9.3839999999999986</v>
      </c>
      <c r="K644" t="s">
        <v>36</v>
      </c>
      <c r="L644" t="s">
        <v>17</v>
      </c>
      <c r="M644" t="str">
        <f>REPLACE(Transactions!M644,1,4,"")</f>
        <v>8</v>
      </c>
    </row>
    <row r="645" spans="1:13" x14ac:dyDescent="0.2">
      <c r="A645">
        <v>206176</v>
      </c>
      <c r="B645" s="5">
        <v>44579</v>
      </c>
      <c r="C645">
        <v>26938</v>
      </c>
      <c r="D645" t="str">
        <f>PROPER(Transactions!D645)</f>
        <v>Clothing</v>
      </c>
      <c r="E645" t="s">
        <v>121</v>
      </c>
      <c r="F645" t="s">
        <v>122</v>
      </c>
      <c r="G645">
        <v>5</v>
      </c>
      <c r="H645">
        <v>12.99</v>
      </c>
      <c r="I645" s="7">
        <f>IF(Transactions!I645="",0,Transactions!I645)</f>
        <v>0</v>
      </c>
      <c r="J645" s="9">
        <f t="shared" si="10"/>
        <v>64.95</v>
      </c>
      <c r="K645" t="s">
        <v>16</v>
      </c>
      <c r="L645" t="s">
        <v>23</v>
      </c>
      <c r="M645" t="str">
        <f>REPLACE(Transactions!M645,1,4,"")</f>
        <v>14</v>
      </c>
    </row>
    <row r="646" spans="1:13" x14ac:dyDescent="0.2">
      <c r="A646">
        <v>206243</v>
      </c>
      <c r="B646" s="5">
        <v>44591</v>
      </c>
      <c r="C646">
        <v>79097</v>
      </c>
      <c r="D646" t="str">
        <f>PROPER(Transactions!D646)</f>
        <v>Beauty</v>
      </c>
      <c r="E646" t="s">
        <v>118</v>
      </c>
      <c r="F646" t="s">
        <v>119</v>
      </c>
      <c r="G646">
        <v>1</v>
      </c>
      <c r="H646">
        <v>4.99</v>
      </c>
      <c r="I646" s="7">
        <f>IF(Transactions!I646="",0,Transactions!I646)</f>
        <v>0</v>
      </c>
      <c r="J646" s="9">
        <f t="shared" si="10"/>
        <v>4.99</v>
      </c>
      <c r="K646" t="s">
        <v>16</v>
      </c>
      <c r="L646" t="s">
        <v>37</v>
      </c>
      <c r="M646" t="str">
        <f>REPLACE(Transactions!M646,1,4,"")</f>
        <v>3</v>
      </c>
    </row>
    <row r="647" spans="1:13" x14ac:dyDescent="0.2">
      <c r="A647">
        <v>206259</v>
      </c>
      <c r="B647" s="5">
        <v>45654</v>
      </c>
      <c r="C647">
        <v>17917</v>
      </c>
      <c r="D647" t="str">
        <f>PROPER(Transactions!D647)</f>
        <v>Furniture</v>
      </c>
      <c r="E647" t="s">
        <v>26</v>
      </c>
      <c r="F647" t="s">
        <v>27</v>
      </c>
      <c r="G647">
        <v>5</v>
      </c>
      <c r="H647">
        <v>24.49</v>
      </c>
      <c r="I647" s="7">
        <f>IF(Transactions!I647="",0,Transactions!I647)</f>
        <v>0.3</v>
      </c>
      <c r="J647" s="9">
        <f t="shared" si="10"/>
        <v>85.714999999999989</v>
      </c>
      <c r="K647" t="s">
        <v>36</v>
      </c>
      <c r="L647" t="s">
        <v>17</v>
      </c>
      <c r="M647" t="str">
        <f>REPLACE(Transactions!M647,1,4,"")</f>
        <v>5</v>
      </c>
    </row>
    <row r="648" spans="1:13" x14ac:dyDescent="0.2">
      <c r="A648">
        <v>206260</v>
      </c>
      <c r="B648" s="5">
        <v>44943</v>
      </c>
      <c r="C648">
        <v>30147</v>
      </c>
      <c r="D648" t="str">
        <f>PROPER(Transactions!D648)</f>
        <v>Electronics</v>
      </c>
      <c r="E648" t="s">
        <v>104</v>
      </c>
      <c r="F648" t="s">
        <v>105</v>
      </c>
      <c r="G648">
        <v>1</v>
      </c>
      <c r="H648">
        <v>23.99</v>
      </c>
      <c r="I648" s="7">
        <f>IF(Transactions!I648="",0,Transactions!I648)</f>
        <v>0.2</v>
      </c>
      <c r="J648" s="9">
        <f t="shared" si="10"/>
        <v>19.192</v>
      </c>
      <c r="K648" t="s">
        <v>36</v>
      </c>
      <c r="L648" t="s">
        <v>17</v>
      </c>
      <c r="M648" t="str">
        <f>REPLACE(Transactions!M648,1,4,"")</f>
        <v/>
      </c>
    </row>
    <row r="649" spans="1:13" x14ac:dyDescent="0.2">
      <c r="A649">
        <v>206291</v>
      </c>
      <c r="B649" s="5">
        <v>45313</v>
      </c>
      <c r="C649">
        <v>84922</v>
      </c>
      <c r="D649" t="str">
        <f>PROPER(Transactions!D649)</f>
        <v>Toys</v>
      </c>
      <c r="E649" t="s">
        <v>170</v>
      </c>
      <c r="F649" t="s">
        <v>171</v>
      </c>
      <c r="G649">
        <v>1</v>
      </c>
      <c r="H649">
        <v>11.24</v>
      </c>
      <c r="I649" s="7">
        <f>IF(Transactions!I649="",0,Transactions!I649)</f>
        <v>0.25</v>
      </c>
      <c r="J649" s="9">
        <f t="shared" si="10"/>
        <v>8.43</v>
      </c>
      <c r="K649" t="s">
        <v>22</v>
      </c>
      <c r="L649" t="s">
        <v>17</v>
      </c>
      <c r="M649" t="str">
        <f>REPLACE(Transactions!M649,1,4,"")</f>
        <v/>
      </c>
    </row>
    <row r="650" spans="1:13" x14ac:dyDescent="0.2">
      <c r="A650">
        <v>206677</v>
      </c>
      <c r="B650" s="5">
        <v>45204</v>
      </c>
      <c r="C650">
        <v>92035</v>
      </c>
      <c r="D650" t="str">
        <f>PROPER(Transactions!D650)</f>
        <v>Toys</v>
      </c>
      <c r="E650" t="s">
        <v>170</v>
      </c>
      <c r="F650" t="s">
        <v>171</v>
      </c>
      <c r="G650">
        <v>2</v>
      </c>
      <c r="H650">
        <v>14.99</v>
      </c>
      <c r="I650" s="7">
        <f>IF(Transactions!I650="",0,Transactions!I650)</f>
        <v>0</v>
      </c>
      <c r="J650" s="9">
        <f t="shared" si="10"/>
        <v>29.98</v>
      </c>
      <c r="K650" t="s">
        <v>16</v>
      </c>
      <c r="L650" t="s">
        <v>17</v>
      </c>
      <c r="M650" t="str">
        <f>REPLACE(Transactions!M650,1,4,"")</f>
        <v>6</v>
      </c>
    </row>
    <row r="651" spans="1:13" x14ac:dyDescent="0.2">
      <c r="A651">
        <v>207241</v>
      </c>
      <c r="B651" s="5">
        <v>45166</v>
      </c>
      <c r="C651">
        <v>66131</v>
      </c>
      <c r="D651" t="str">
        <f>PROPER(Transactions!D651)</f>
        <v>Automotive</v>
      </c>
      <c r="E651" t="s">
        <v>64</v>
      </c>
      <c r="F651" t="s">
        <v>65</v>
      </c>
      <c r="G651">
        <v>2</v>
      </c>
      <c r="H651">
        <v>3.49</v>
      </c>
      <c r="I651" s="7">
        <f>IF(Transactions!I651="",0,Transactions!I651)</f>
        <v>0.3</v>
      </c>
      <c r="J651" s="9">
        <f t="shared" si="10"/>
        <v>4.8860000000000001</v>
      </c>
      <c r="K651" t="s">
        <v>53</v>
      </c>
      <c r="L651" t="s">
        <v>37</v>
      </c>
      <c r="M651" t="str">
        <f>REPLACE(Transactions!M651,1,4,"")</f>
        <v>5</v>
      </c>
    </row>
    <row r="652" spans="1:13" x14ac:dyDescent="0.2">
      <c r="A652">
        <v>207452</v>
      </c>
      <c r="B652" s="5">
        <v>44670</v>
      </c>
      <c r="C652">
        <v>55410</v>
      </c>
      <c r="D652" t="str">
        <f>PROPER(Transactions!D652)</f>
        <v>Electronics</v>
      </c>
      <c r="E652" t="s">
        <v>77</v>
      </c>
      <c r="F652" t="s">
        <v>78</v>
      </c>
      <c r="G652">
        <v>5</v>
      </c>
      <c r="H652">
        <v>499.99</v>
      </c>
      <c r="I652" s="7">
        <f>IF(Transactions!I652="",0,Transactions!I652)</f>
        <v>0</v>
      </c>
      <c r="J652" s="9">
        <f t="shared" si="10"/>
        <v>2499.9499999999998</v>
      </c>
      <c r="K652" t="s">
        <v>53</v>
      </c>
      <c r="L652" t="s">
        <v>17</v>
      </c>
      <c r="M652" t="str">
        <f>REPLACE(Transactions!M652,1,4,"")</f>
        <v>7</v>
      </c>
    </row>
    <row r="653" spans="1:13" x14ac:dyDescent="0.2">
      <c r="A653">
        <v>207917</v>
      </c>
      <c r="B653" s="5">
        <v>45225</v>
      </c>
      <c r="C653">
        <v>99841</v>
      </c>
      <c r="D653" t="str">
        <f>PROPER(Transactions!D653)</f>
        <v>Sports</v>
      </c>
      <c r="E653" t="s">
        <v>100</v>
      </c>
      <c r="F653" t="s">
        <v>101</v>
      </c>
      <c r="G653">
        <v>1</v>
      </c>
      <c r="H653">
        <v>19.54</v>
      </c>
      <c r="I653" s="7">
        <f>IF(Transactions!I653="",0,Transactions!I653)</f>
        <v>0.15</v>
      </c>
      <c r="J653" s="9">
        <f t="shared" si="10"/>
        <v>16.608999999999998</v>
      </c>
      <c r="K653" t="s">
        <v>16</v>
      </c>
      <c r="L653" t="s">
        <v>17</v>
      </c>
      <c r="M653" t="str">
        <f>REPLACE(Transactions!M653,1,4,"")</f>
        <v>1</v>
      </c>
    </row>
    <row r="654" spans="1:13" x14ac:dyDescent="0.2">
      <c r="A654">
        <v>207978</v>
      </c>
      <c r="B654" s="5">
        <v>44976</v>
      </c>
      <c r="C654">
        <v>23411</v>
      </c>
      <c r="D654" t="str">
        <f>PROPER(Transactions!D654)</f>
        <v>Beauty</v>
      </c>
      <c r="E654" t="s">
        <v>49</v>
      </c>
      <c r="F654" t="s">
        <v>50</v>
      </c>
      <c r="G654">
        <v>2</v>
      </c>
      <c r="H654">
        <v>8.99</v>
      </c>
      <c r="I654" s="7">
        <f>IF(Transactions!I654="",0,Transactions!I654)</f>
        <v>0</v>
      </c>
      <c r="J654" s="9">
        <f t="shared" si="10"/>
        <v>17.98</v>
      </c>
      <c r="K654" t="s">
        <v>16</v>
      </c>
      <c r="L654" t="s">
        <v>17</v>
      </c>
      <c r="M654" t="str">
        <f>REPLACE(Transactions!M654,1,4,"")</f>
        <v>5</v>
      </c>
    </row>
    <row r="655" spans="1:13" x14ac:dyDescent="0.2">
      <c r="A655">
        <v>208107</v>
      </c>
      <c r="B655" s="5">
        <v>44849</v>
      </c>
      <c r="C655">
        <v>84149</v>
      </c>
      <c r="D655" t="str">
        <f>PROPER(Transactions!D655)</f>
        <v>Beauty</v>
      </c>
      <c r="E655" t="s">
        <v>49</v>
      </c>
      <c r="F655" t="s">
        <v>50</v>
      </c>
      <c r="G655">
        <v>4</v>
      </c>
      <c r="H655">
        <v>8.5399999999999991</v>
      </c>
      <c r="I655" s="7">
        <f>IF(Transactions!I655="",0,Transactions!I655)</f>
        <v>0.05</v>
      </c>
      <c r="J655" s="9">
        <f t="shared" si="10"/>
        <v>32.451999999999998</v>
      </c>
      <c r="K655" t="s">
        <v>22</v>
      </c>
      <c r="L655" t="s">
        <v>17</v>
      </c>
      <c r="M655" t="str">
        <f>REPLACE(Transactions!M655,1,4,"")</f>
        <v>17</v>
      </c>
    </row>
    <row r="656" spans="1:13" x14ac:dyDescent="0.2">
      <c r="A656">
        <v>208150</v>
      </c>
      <c r="B656" s="5">
        <v>45259</v>
      </c>
      <c r="C656">
        <v>58752</v>
      </c>
      <c r="D656" t="str">
        <f>PROPER(Transactions!D656)</f>
        <v>Home &amp; Garden</v>
      </c>
      <c r="E656" t="s">
        <v>157</v>
      </c>
      <c r="F656" t="s">
        <v>158</v>
      </c>
      <c r="G656">
        <v>1</v>
      </c>
      <c r="H656">
        <v>9.44</v>
      </c>
      <c r="I656" s="7">
        <f>IF(Transactions!I656="",0,Transactions!I656)</f>
        <v>0.3</v>
      </c>
      <c r="J656" s="9">
        <f t="shared" si="10"/>
        <v>6.6079999999999997</v>
      </c>
      <c r="K656" t="s">
        <v>36</v>
      </c>
      <c r="L656" t="s">
        <v>23</v>
      </c>
      <c r="M656" t="str">
        <f>REPLACE(Transactions!M656,1,4,"")</f>
        <v>10</v>
      </c>
    </row>
    <row r="657" spans="1:13" x14ac:dyDescent="0.2">
      <c r="A657">
        <v>208304</v>
      </c>
      <c r="B657" s="5">
        <v>44779</v>
      </c>
      <c r="D657" t="str">
        <f>PROPER(Transactions!D657)</f>
        <v>Automotive</v>
      </c>
      <c r="E657" t="s">
        <v>111</v>
      </c>
      <c r="F657" t="s">
        <v>112</v>
      </c>
      <c r="G657">
        <v>3</v>
      </c>
      <c r="H657">
        <v>11.24</v>
      </c>
      <c r="I657" s="7">
        <f>IF(Transactions!I657="",0,Transactions!I657)</f>
        <v>0.25</v>
      </c>
      <c r="J657" s="9">
        <f t="shared" si="10"/>
        <v>25.29</v>
      </c>
      <c r="K657" t="s">
        <v>22</v>
      </c>
      <c r="L657" t="s">
        <v>17</v>
      </c>
      <c r="M657" t="str">
        <f>REPLACE(Transactions!M657,1,4,"")</f>
        <v>3</v>
      </c>
    </row>
    <row r="658" spans="1:13" x14ac:dyDescent="0.2">
      <c r="A658">
        <v>208760</v>
      </c>
      <c r="B658" s="5">
        <v>45432</v>
      </c>
      <c r="C658">
        <v>77289</v>
      </c>
      <c r="D658" t="str">
        <f>PROPER(Transactions!D658)</f>
        <v>Automotive</v>
      </c>
      <c r="E658" t="s">
        <v>125</v>
      </c>
      <c r="F658" t="s">
        <v>126</v>
      </c>
      <c r="G658">
        <v>1</v>
      </c>
      <c r="H658">
        <v>22.49</v>
      </c>
      <c r="I658" s="7">
        <f>IF(Transactions!I658="",0,Transactions!I658)</f>
        <v>0.25</v>
      </c>
      <c r="J658" s="9">
        <f t="shared" si="10"/>
        <v>16.8675</v>
      </c>
      <c r="K658" t="s">
        <v>95</v>
      </c>
      <c r="L658" t="s">
        <v>17</v>
      </c>
      <c r="M658" t="str">
        <f>REPLACE(Transactions!M658,1,4,"")</f>
        <v>15</v>
      </c>
    </row>
    <row r="659" spans="1:13" x14ac:dyDescent="0.2">
      <c r="A659">
        <v>209294</v>
      </c>
      <c r="B659" s="5">
        <v>44927</v>
      </c>
      <c r="C659">
        <v>28995</v>
      </c>
      <c r="D659" t="str">
        <f>PROPER(Transactions!D659)</f>
        <v>Electronics</v>
      </c>
      <c r="E659" t="s">
        <v>77</v>
      </c>
      <c r="F659" t="s">
        <v>78</v>
      </c>
      <c r="G659">
        <v>4</v>
      </c>
      <c r="H659">
        <v>499.99</v>
      </c>
      <c r="I659" s="7">
        <f>IF(Transactions!I659="",0,Transactions!I659)</f>
        <v>0</v>
      </c>
      <c r="J659" s="9">
        <f t="shared" si="10"/>
        <v>1999.96</v>
      </c>
      <c r="K659" t="s">
        <v>32</v>
      </c>
      <c r="L659" t="s">
        <v>37</v>
      </c>
      <c r="M659" t="str">
        <f>REPLACE(Transactions!M659,1,4,"")</f>
        <v>16</v>
      </c>
    </row>
    <row r="660" spans="1:13" x14ac:dyDescent="0.2">
      <c r="A660">
        <v>209351</v>
      </c>
      <c r="B660" s="5">
        <v>45106</v>
      </c>
      <c r="C660">
        <v>44240</v>
      </c>
      <c r="D660" t="str">
        <f>PROPER(Transactions!D660)</f>
        <v>Beauty</v>
      </c>
      <c r="E660" t="s">
        <v>118</v>
      </c>
      <c r="F660" t="s">
        <v>119</v>
      </c>
      <c r="G660">
        <v>1</v>
      </c>
      <c r="H660">
        <v>4.99</v>
      </c>
      <c r="I660" s="7">
        <f>IF(Transactions!I660="",0,Transactions!I660)</f>
        <v>0</v>
      </c>
      <c r="J660" s="9">
        <f t="shared" si="10"/>
        <v>4.99</v>
      </c>
      <c r="K660" t="s">
        <v>22</v>
      </c>
      <c r="L660" t="s">
        <v>23</v>
      </c>
      <c r="M660" t="str">
        <f>REPLACE(Transactions!M660,1,4,"")</f>
        <v>8</v>
      </c>
    </row>
    <row r="661" spans="1:13" x14ac:dyDescent="0.2">
      <c r="A661">
        <v>209466</v>
      </c>
      <c r="B661" s="5">
        <v>45131</v>
      </c>
      <c r="C661">
        <v>13642</v>
      </c>
      <c r="D661" t="str">
        <f>PROPER(Transactions!D661)</f>
        <v>Electronics</v>
      </c>
      <c r="E661" t="s">
        <v>14</v>
      </c>
      <c r="F661" t="s">
        <v>15</v>
      </c>
      <c r="G661">
        <v>1</v>
      </c>
      <c r="H661">
        <v>75.989999999999995</v>
      </c>
      <c r="I661" s="7">
        <f>IF(Transactions!I661="",0,Transactions!I661)</f>
        <v>0.05</v>
      </c>
      <c r="J661" s="9">
        <f t="shared" si="10"/>
        <v>72.190499999999986</v>
      </c>
      <c r="K661" t="s">
        <v>36</v>
      </c>
      <c r="L661" t="s">
        <v>17</v>
      </c>
      <c r="M661" t="str">
        <f>REPLACE(Transactions!M661,1,4,"")</f>
        <v>12</v>
      </c>
    </row>
    <row r="662" spans="1:13" x14ac:dyDescent="0.2">
      <c r="A662">
        <v>209766</v>
      </c>
      <c r="B662" s="5">
        <v>44935</v>
      </c>
      <c r="C662">
        <v>77835</v>
      </c>
      <c r="D662" t="str">
        <f>PROPER(Transactions!D662)</f>
        <v>Pharmacy</v>
      </c>
      <c r="E662" t="s">
        <v>20</v>
      </c>
      <c r="F662" t="s">
        <v>21</v>
      </c>
      <c r="G662">
        <v>1</v>
      </c>
      <c r="H662">
        <v>9.99</v>
      </c>
      <c r="I662" s="7">
        <f>IF(Transactions!I662="",0,Transactions!I662)</f>
        <v>0</v>
      </c>
      <c r="J662" s="9">
        <f t="shared" si="10"/>
        <v>9.99</v>
      </c>
      <c r="K662" t="s">
        <v>16</v>
      </c>
      <c r="L662" t="s">
        <v>17</v>
      </c>
      <c r="M662" t="str">
        <f>REPLACE(Transactions!M662,1,4,"")</f>
        <v>2</v>
      </c>
    </row>
    <row r="663" spans="1:13" x14ac:dyDescent="0.2">
      <c r="A663">
        <v>209935</v>
      </c>
      <c r="B663" s="5">
        <v>45406</v>
      </c>
      <c r="C663">
        <v>52379</v>
      </c>
      <c r="D663" t="str">
        <f>PROPER(Transactions!D663)</f>
        <v>Toys</v>
      </c>
      <c r="E663" t="s">
        <v>30</v>
      </c>
      <c r="F663" t="s">
        <v>31</v>
      </c>
      <c r="G663">
        <v>1</v>
      </c>
      <c r="H663">
        <v>24.99</v>
      </c>
      <c r="I663" s="7">
        <f>IF(Transactions!I663="",0,Transactions!I663)</f>
        <v>0</v>
      </c>
      <c r="J663" s="9">
        <f t="shared" si="10"/>
        <v>24.99</v>
      </c>
      <c r="K663" t="s">
        <v>95</v>
      </c>
      <c r="L663" t="s">
        <v>37</v>
      </c>
      <c r="M663" t="str">
        <f>REPLACE(Transactions!M663,1,4,"")</f>
        <v>5</v>
      </c>
    </row>
    <row r="664" spans="1:13" x14ac:dyDescent="0.2">
      <c r="A664">
        <v>210002</v>
      </c>
      <c r="B664" s="5">
        <v>44567</v>
      </c>
      <c r="C664">
        <v>97115</v>
      </c>
      <c r="D664" t="str">
        <f>PROPER(Transactions!D664)</f>
        <v>Electronics</v>
      </c>
      <c r="E664" t="s">
        <v>34</v>
      </c>
      <c r="F664" t="s">
        <v>35</v>
      </c>
      <c r="G664">
        <v>3</v>
      </c>
      <c r="H664">
        <v>27.99</v>
      </c>
      <c r="I664" s="7">
        <f>IF(Transactions!I664="",0,Transactions!I664)</f>
        <v>0.2</v>
      </c>
      <c r="J664" s="9">
        <f t="shared" si="10"/>
        <v>67.176000000000002</v>
      </c>
      <c r="K664" t="s">
        <v>22</v>
      </c>
      <c r="L664" t="s">
        <v>17</v>
      </c>
      <c r="M664" t="str">
        <f>REPLACE(Transactions!M664,1,4,"")</f>
        <v>15</v>
      </c>
    </row>
    <row r="665" spans="1:13" x14ac:dyDescent="0.2">
      <c r="A665">
        <v>210365</v>
      </c>
      <c r="B665" s="5">
        <v>45156</v>
      </c>
      <c r="C665">
        <v>48407</v>
      </c>
      <c r="D665" t="str">
        <f>PROPER(Transactions!D665)</f>
        <v>Toys</v>
      </c>
      <c r="E665" t="s">
        <v>170</v>
      </c>
      <c r="F665" t="s">
        <v>171</v>
      </c>
      <c r="G665">
        <v>1</v>
      </c>
      <c r="H665">
        <v>14.99</v>
      </c>
      <c r="I665" s="7">
        <f>IF(Transactions!I665="",0,Transactions!I665)</f>
        <v>0</v>
      </c>
      <c r="J665" s="9">
        <f t="shared" si="10"/>
        <v>14.99</v>
      </c>
      <c r="K665" t="s">
        <v>36</v>
      </c>
      <c r="L665" t="s">
        <v>17</v>
      </c>
      <c r="M665" t="str">
        <f>REPLACE(Transactions!M665,1,4,"")</f>
        <v>4</v>
      </c>
    </row>
    <row r="666" spans="1:13" x14ac:dyDescent="0.2">
      <c r="A666">
        <v>210462</v>
      </c>
      <c r="B666" s="5">
        <v>44864</v>
      </c>
      <c r="C666">
        <v>28712</v>
      </c>
      <c r="D666" t="str">
        <f>PROPER(Transactions!D666)</f>
        <v>Beauty</v>
      </c>
      <c r="E666" t="s">
        <v>49</v>
      </c>
      <c r="F666" t="s">
        <v>50</v>
      </c>
      <c r="G666">
        <v>4</v>
      </c>
      <c r="H666">
        <v>7.19</v>
      </c>
      <c r="I666" s="7">
        <f>IF(Transactions!I666="",0,Transactions!I666)</f>
        <v>0.2</v>
      </c>
      <c r="J666" s="9">
        <f t="shared" si="10"/>
        <v>23.008000000000003</v>
      </c>
      <c r="K666" t="s">
        <v>53</v>
      </c>
      <c r="L666" t="s">
        <v>17</v>
      </c>
      <c r="M666" t="str">
        <f>REPLACE(Transactions!M666,1,4,"")</f>
        <v/>
      </c>
    </row>
    <row r="667" spans="1:13" x14ac:dyDescent="0.2">
      <c r="A667">
        <v>210685</v>
      </c>
      <c r="B667" s="5">
        <v>44604</v>
      </c>
      <c r="C667">
        <v>11488</v>
      </c>
      <c r="D667" t="str">
        <f>PROPER(Transactions!D667)</f>
        <v>Sports</v>
      </c>
      <c r="E667" t="s">
        <v>100</v>
      </c>
      <c r="F667" t="s">
        <v>101</v>
      </c>
      <c r="G667">
        <v>3</v>
      </c>
      <c r="H667">
        <v>21.84</v>
      </c>
      <c r="I667" s="7">
        <f>IF(Transactions!I667="",0,Transactions!I667)</f>
        <v>0.05</v>
      </c>
      <c r="J667" s="9">
        <f t="shared" si="10"/>
        <v>62.243999999999993</v>
      </c>
      <c r="K667" t="s">
        <v>36</v>
      </c>
      <c r="L667" t="s">
        <v>17</v>
      </c>
      <c r="M667" t="str">
        <f>REPLACE(Transactions!M667,1,4,"")</f>
        <v>13</v>
      </c>
    </row>
    <row r="668" spans="1:13" x14ac:dyDescent="0.2">
      <c r="A668">
        <v>210825</v>
      </c>
      <c r="B668" s="5">
        <v>45505</v>
      </c>
      <c r="C668">
        <v>97209</v>
      </c>
      <c r="D668" t="str">
        <f>PROPER(Transactions!D668)</f>
        <v>Pharmacy</v>
      </c>
      <c r="E668" t="s">
        <v>20</v>
      </c>
      <c r="F668" t="s">
        <v>21</v>
      </c>
      <c r="G668">
        <v>4</v>
      </c>
      <c r="H668">
        <v>6.99</v>
      </c>
      <c r="I668" s="7">
        <f>IF(Transactions!I668="",0,Transactions!I668)</f>
        <v>0.3</v>
      </c>
      <c r="J668" s="9">
        <f t="shared" si="10"/>
        <v>19.571999999999999</v>
      </c>
      <c r="K668" t="s">
        <v>16</v>
      </c>
      <c r="L668" t="s">
        <v>17</v>
      </c>
      <c r="M668" t="str">
        <f>REPLACE(Transactions!M668,1,4,"")</f>
        <v>15</v>
      </c>
    </row>
    <row r="669" spans="1:13" x14ac:dyDescent="0.2">
      <c r="A669">
        <v>210949</v>
      </c>
      <c r="B669" s="5">
        <v>45326</v>
      </c>
      <c r="D669" t="str">
        <f>PROPER(Transactions!D669)</f>
        <v>Grocery</v>
      </c>
      <c r="E669" t="s">
        <v>93</v>
      </c>
      <c r="F669" t="s">
        <v>94</v>
      </c>
      <c r="G669">
        <v>4</v>
      </c>
      <c r="H669">
        <v>0.97</v>
      </c>
      <c r="I669" s="7">
        <f>IF(Transactions!I669="",0,Transactions!I669)</f>
        <v>0.25</v>
      </c>
      <c r="J669" s="9">
        <f t="shared" si="10"/>
        <v>2.91</v>
      </c>
      <c r="K669" t="s">
        <v>22</v>
      </c>
      <c r="L669" t="s">
        <v>17</v>
      </c>
      <c r="M669" t="str">
        <f>REPLACE(Transactions!M669,1,4,"")</f>
        <v>1</v>
      </c>
    </row>
    <row r="670" spans="1:13" x14ac:dyDescent="0.2">
      <c r="A670">
        <v>210955</v>
      </c>
      <c r="B670" s="5">
        <v>45479</v>
      </c>
      <c r="C670">
        <v>92608</v>
      </c>
      <c r="D670" t="str">
        <f>PROPER(Transactions!D670)</f>
        <v>Beauty</v>
      </c>
      <c r="E670" t="s">
        <v>179</v>
      </c>
      <c r="F670" t="s">
        <v>180</v>
      </c>
      <c r="G670">
        <v>1</v>
      </c>
      <c r="H670">
        <v>8.39</v>
      </c>
      <c r="I670" s="7">
        <f>IF(Transactions!I670="",0,Transactions!I670)</f>
        <v>0.3</v>
      </c>
      <c r="J670" s="9">
        <f t="shared" si="10"/>
        <v>5.8730000000000002</v>
      </c>
      <c r="K670" t="s">
        <v>36</v>
      </c>
      <c r="L670" t="s">
        <v>17</v>
      </c>
      <c r="M670" t="str">
        <f>REPLACE(Transactions!M670,1,4,"")</f>
        <v>6</v>
      </c>
    </row>
    <row r="671" spans="1:13" x14ac:dyDescent="0.2">
      <c r="A671">
        <v>210966</v>
      </c>
      <c r="B671" s="5">
        <v>45084</v>
      </c>
      <c r="C671">
        <v>21590</v>
      </c>
      <c r="D671" t="str">
        <f>PROPER(Transactions!D671)</f>
        <v>Sports</v>
      </c>
      <c r="E671" t="s">
        <v>83</v>
      </c>
      <c r="F671" t="s">
        <v>84</v>
      </c>
      <c r="G671">
        <v>5</v>
      </c>
      <c r="H671">
        <v>13.59</v>
      </c>
      <c r="I671" s="7">
        <f>IF(Transactions!I671="",0,Transactions!I671)</f>
        <v>0.2</v>
      </c>
      <c r="J671" s="9">
        <f t="shared" si="10"/>
        <v>54.360000000000007</v>
      </c>
      <c r="K671" t="s">
        <v>16</v>
      </c>
      <c r="L671" t="s">
        <v>17</v>
      </c>
      <c r="M671" t="str">
        <f>REPLACE(Transactions!M671,1,4,"")</f>
        <v>11</v>
      </c>
    </row>
    <row r="672" spans="1:13" x14ac:dyDescent="0.2">
      <c r="A672">
        <v>211033</v>
      </c>
      <c r="B672" s="5">
        <v>45072</v>
      </c>
      <c r="C672">
        <v>43824</v>
      </c>
      <c r="D672" t="str">
        <f>PROPER(Transactions!D672)</f>
        <v>Clothing</v>
      </c>
      <c r="E672" t="s">
        <v>135</v>
      </c>
      <c r="F672" t="s">
        <v>136</v>
      </c>
      <c r="G672">
        <v>2</v>
      </c>
      <c r="H672">
        <v>9.99</v>
      </c>
      <c r="I672" s="7">
        <f>IF(Transactions!I672="",0,Transactions!I672)</f>
        <v>0</v>
      </c>
      <c r="J672" s="9">
        <f t="shared" si="10"/>
        <v>19.98</v>
      </c>
      <c r="K672" t="s">
        <v>16</v>
      </c>
      <c r="L672" t="s">
        <v>23</v>
      </c>
      <c r="M672" t="str">
        <f>REPLACE(Transactions!M672,1,4,"")</f>
        <v>9</v>
      </c>
    </row>
    <row r="673" spans="1:13" x14ac:dyDescent="0.2">
      <c r="A673">
        <v>211136</v>
      </c>
      <c r="B673" s="5">
        <v>45445</v>
      </c>
      <c r="C673">
        <v>35950</v>
      </c>
      <c r="D673" t="str">
        <f>PROPER(Transactions!D673)</f>
        <v>Clothing</v>
      </c>
      <c r="E673" t="s">
        <v>151</v>
      </c>
      <c r="F673" t="s">
        <v>152</v>
      </c>
      <c r="G673">
        <v>1</v>
      </c>
      <c r="H673">
        <v>24.49</v>
      </c>
      <c r="I673" s="7">
        <f>IF(Transactions!I673="",0,Transactions!I673)</f>
        <v>0.3</v>
      </c>
      <c r="J673" s="9">
        <f t="shared" si="10"/>
        <v>17.142999999999997</v>
      </c>
      <c r="K673" t="s">
        <v>32</v>
      </c>
      <c r="L673" t="s">
        <v>17</v>
      </c>
      <c r="M673" t="str">
        <f>REPLACE(Transactions!M673,1,4,"")</f>
        <v>2</v>
      </c>
    </row>
    <row r="674" spans="1:13" x14ac:dyDescent="0.2">
      <c r="A674">
        <v>211306</v>
      </c>
      <c r="B674" s="5">
        <v>44767</v>
      </c>
      <c r="C674">
        <v>35173</v>
      </c>
      <c r="D674" t="str">
        <f>PROPER(Transactions!D674)</f>
        <v>Clothing</v>
      </c>
      <c r="E674" t="s">
        <v>98</v>
      </c>
      <c r="F674" t="s">
        <v>99</v>
      </c>
      <c r="G674">
        <v>4</v>
      </c>
      <c r="H674">
        <v>26.59</v>
      </c>
      <c r="I674" s="7">
        <f>IF(Transactions!I674="",0,Transactions!I674)</f>
        <v>0.05</v>
      </c>
      <c r="J674" s="9">
        <f t="shared" si="10"/>
        <v>101.042</v>
      </c>
      <c r="K674" t="s">
        <v>36</v>
      </c>
      <c r="L674" t="s">
        <v>17</v>
      </c>
      <c r="M674" t="str">
        <f>REPLACE(Transactions!M674,1,4,"")</f>
        <v>2</v>
      </c>
    </row>
    <row r="675" spans="1:13" x14ac:dyDescent="0.2">
      <c r="A675">
        <v>211321</v>
      </c>
      <c r="B675" s="5">
        <v>44999</v>
      </c>
      <c r="C675">
        <v>42014</v>
      </c>
      <c r="D675" t="str">
        <f>PROPER(Transactions!D675)</f>
        <v>Electronics</v>
      </c>
      <c r="E675" t="s">
        <v>34</v>
      </c>
      <c r="F675" t="s">
        <v>35</v>
      </c>
      <c r="G675">
        <v>1</v>
      </c>
      <c r="H675">
        <v>27.99</v>
      </c>
      <c r="I675" s="7">
        <f>IF(Transactions!I675="",0,Transactions!I675)</f>
        <v>0.2</v>
      </c>
      <c r="J675" s="9">
        <f t="shared" si="10"/>
        <v>22.391999999999999</v>
      </c>
      <c r="K675" t="s">
        <v>16</v>
      </c>
      <c r="L675" t="s">
        <v>17</v>
      </c>
      <c r="M675" t="str">
        <f>REPLACE(Transactions!M675,1,4,"")</f>
        <v/>
      </c>
    </row>
    <row r="676" spans="1:13" x14ac:dyDescent="0.2">
      <c r="A676">
        <v>211387</v>
      </c>
      <c r="B676" s="5">
        <v>44793</v>
      </c>
      <c r="C676">
        <v>23682</v>
      </c>
      <c r="D676" t="str">
        <f>PROPER(Transactions!D676)</f>
        <v>Electronics</v>
      </c>
      <c r="E676" t="s">
        <v>79</v>
      </c>
      <c r="F676" t="s">
        <v>80</v>
      </c>
      <c r="G676">
        <v>3</v>
      </c>
      <c r="H676">
        <v>80.989999999999995</v>
      </c>
      <c r="I676" s="7">
        <f>IF(Transactions!I676="",0,Transactions!I676)</f>
        <v>0.1</v>
      </c>
      <c r="J676" s="9">
        <f t="shared" si="10"/>
        <v>218.67299999999997</v>
      </c>
      <c r="K676" t="s">
        <v>36</v>
      </c>
      <c r="L676" t="s">
        <v>37</v>
      </c>
      <c r="M676" t="str">
        <f>REPLACE(Transactions!M676,1,4,"")</f>
        <v>14</v>
      </c>
    </row>
    <row r="677" spans="1:13" x14ac:dyDescent="0.2">
      <c r="A677">
        <v>211394</v>
      </c>
      <c r="B677" s="5">
        <v>45139</v>
      </c>
      <c r="C677">
        <v>59394</v>
      </c>
      <c r="D677" t="str">
        <f>PROPER(Transactions!D677)</f>
        <v>Grocery</v>
      </c>
      <c r="E677" t="s">
        <v>74</v>
      </c>
      <c r="F677" t="s">
        <v>75</v>
      </c>
      <c r="G677">
        <v>2</v>
      </c>
      <c r="H677">
        <v>2.69</v>
      </c>
      <c r="I677" s="7">
        <f>IF(Transactions!I677="",0,Transactions!I677)</f>
        <v>0.1</v>
      </c>
      <c r="J677" s="9">
        <f t="shared" si="10"/>
        <v>4.8419999999999996</v>
      </c>
      <c r="K677" t="s">
        <v>36</v>
      </c>
      <c r="L677" t="s">
        <v>17</v>
      </c>
      <c r="M677" t="str">
        <f>REPLACE(Transactions!M677,1,4,"")</f>
        <v>4</v>
      </c>
    </row>
    <row r="678" spans="1:13" x14ac:dyDescent="0.2">
      <c r="A678">
        <v>211457</v>
      </c>
      <c r="B678" s="5">
        <v>45424</v>
      </c>
      <c r="C678">
        <v>63191</v>
      </c>
      <c r="D678" t="str">
        <f>PROPER(Transactions!D678)</f>
        <v>Clothing</v>
      </c>
      <c r="E678" t="s">
        <v>165</v>
      </c>
      <c r="F678" t="s">
        <v>166</v>
      </c>
      <c r="G678">
        <v>5</v>
      </c>
      <c r="H678">
        <v>89.99</v>
      </c>
      <c r="I678" s="7">
        <f>IF(Transactions!I678="",0,Transactions!I678)</f>
        <v>0</v>
      </c>
      <c r="J678" s="9">
        <f t="shared" si="10"/>
        <v>449.95</v>
      </c>
      <c r="K678" t="s">
        <v>22</v>
      </c>
      <c r="L678" t="s">
        <v>23</v>
      </c>
      <c r="M678" t="str">
        <f>REPLACE(Transactions!M678,1,4,"")</f>
        <v>16</v>
      </c>
    </row>
    <row r="679" spans="1:13" x14ac:dyDescent="0.2">
      <c r="A679">
        <v>211489</v>
      </c>
      <c r="B679" s="5">
        <v>45285</v>
      </c>
      <c r="C679">
        <v>92004</v>
      </c>
      <c r="D679" t="str">
        <f>PROPER(Transactions!D679)</f>
        <v>Home &amp; Garden</v>
      </c>
      <c r="E679" t="s">
        <v>157</v>
      </c>
      <c r="F679" t="s">
        <v>158</v>
      </c>
      <c r="G679">
        <v>1</v>
      </c>
      <c r="H679">
        <v>10.119999999999999</v>
      </c>
      <c r="I679" s="7">
        <f>IF(Transactions!I679="",0,Transactions!I679)</f>
        <v>0.25</v>
      </c>
      <c r="J679" s="9">
        <f t="shared" si="10"/>
        <v>7.59</v>
      </c>
      <c r="K679" t="s">
        <v>16</v>
      </c>
      <c r="L679" t="s">
        <v>23</v>
      </c>
      <c r="M679" t="str">
        <f>REPLACE(Transactions!M679,1,4,"")</f>
        <v>1</v>
      </c>
    </row>
    <row r="680" spans="1:13" x14ac:dyDescent="0.2">
      <c r="A680">
        <v>211501</v>
      </c>
      <c r="B680" s="5">
        <v>45310</v>
      </c>
      <c r="C680">
        <v>33659</v>
      </c>
      <c r="D680" t="str">
        <f>PROPER(Transactions!D680)</f>
        <v>Grocery</v>
      </c>
      <c r="E680" t="s">
        <v>162</v>
      </c>
      <c r="F680" t="s">
        <v>163</v>
      </c>
      <c r="G680">
        <v>3</v>
      </c>
      <c r="H680">
        <v>7.99</v>
      </c>
      <c r="I680" s="7">
        <f>IF(Transactions!I680="",0,Transactions!I680)</f>
        <v>0</v>
      </c>
      <c r="J680" s="9">
        <f t="shared" si="10"/>
        <v>23.97</v>
      </c>
      <c r="K680" t="s">
        <v>32</v>
      </c>
      <c r="L680" t="s">
        <v>17</v>
      </c>
      <c r="M680" t="str">
        <f>REPLACE(Transactions!M680,1,4,"")</f>
        <v>8</v>
      </c>
    </row>
    <row r="681" spans="1:13" x14ac:dyDescent="0.2">
      <c r="A681">
        <v>211577</v>
      </c>
      <c r="B681" s="5">
        <v>45457</v>
      </c>
      <c r="C681">
        <v>77178</v>
      </c>
      <c r="D681" t="str">
        <f>PROPER(Transactions!D681)</f>
        <v>Toys</v>
      </c>
      <c r="E681" t="s">
        <v>72</v>
      </c>
      <c r="F681" t="s">
        <v>73</v>
      </c>
      <c r="G681">
        <v>1</v>
      </c>
      <c r="H681">
        <v>39.99</v>
      </c>
      <c r="I681" s="7">
        <f>IF(Transactions!I681="",0,Transactions!I681)</f>
        <v>0</v>
      </c>
      <c r="J681" s="9">
        <f t="shared" si="10"/>
        <v>39.99</v>
      </c>
      <c r="K681" t="s">
        <v>22</v>
      </c>
      <c r="L681" t="s">
        <v>23</v>
      </c>
      <c r="M681" t="str">
        <f>REPLACE(Transactions!M681,1,4,"")</f>
        <v>4</v>
      </c>
    </row>
    <row r="682" spans="1:13" x14ac:dyDescent="0.2">
      <c r="A682">
        <v>211636</v>
      </c>
      <c r="B682" s="5">
        <v>45096</v>
      </c>
      <c r="C682">
        <v>25336</v>
      </c>
      <c r="D682" t="str">
        <f>PROPER(Transactions!D682)</f>
        <v>Beauty</v>
      </c>
      <c r="E682" t="s">
        <v>139</v>
      </c>
      <c r="F682" t="s">
        <v>140</v>
      </c>
      <c r="G682">
        <v>2</v>
      </c>
      <c r="H682">
        <v>7.99</v>
      </c>
      <c r="I682" s="7">
        <f>IF(Transactions!I682="",0,Transactions!I682)</f>
        <v>0</v>
      </c>
      <c r="J682" s="9">
        <f t="shared" si="10"/>
        <v>15.98</v>
      </c>
      <c r="K682" t="s">
        <v>16</v>
      </c>
      <c r="L682" t="s">
        <v>17</v>
      </c>
      <c r="M682" t="str">
        <f>REPLACE(Transactions!M682,1,4,"")</f>
        <v>3</v>
      </c>
    </row>
    <row r="683" spans="1:13" x14ac:dyDescent="0.2">
      <c r="A683">
        <v>211852</v>
      </c>
      <c r="B683" s="5">
        <v>45276</v>
      </c>
      <c r="C683">
        <v>84383</v>
      </c>
      <c r="D683" t="str">
        <f>PROPER(Transactions!D683)</f>
        <v>Toys</v>
      </c>
      <c r="E683" t="s">
        <v>170</v>
      </c>
      <c r="F683" t="s">
        <v>171</v>
      </c>
      <c r="G683">
        <v>1</v>
      </c>
      <c r="H683">
        <v>10.49</v>
      </c>
      <c r="I683" s="7">
        <f>IF(Transactions!I683="",0,Transactions!I683)</f>
        <v>0.3</v>
      </c>
      <c r="J683" s="9">
        <f t="shared" si="10"/>
        <v>7.343</v>
      </c>
      <c r="K683" t="s">
        <v>36</v>
      </c>
      <c r="L683" t="s">
        <v>17</v>
      </c>
      <c r="M683" t="str">
        <f>REPLACE(Transactions!M683,1,4,"")</f>
        <v>8</v>
      </c>
    </row>
    <row r="684" spans="1:13" x14ac:dyDescent="0.2">
      <c r="A684">
        <v>211985</v>
      </c>
      <c r="B684" s="5">
        <v>45267</v>
      </c>
      <c r="C684">
        <v>64342</v>
      </c>
      <c r="D684" t="str">
        <f>PROPER(Transactions!D684)</f>
        <v>Electronics</v>
      </c>
      <c r="E684" t="s">
        <v>159</v>
      </c>
      <c r="F684" t="s">
        <v>160</v>
      </c>
      <c r="G684">
        <v>1</v>
      </c>
      <c r="H684">
        <v>41.99</v>
      </c>
      <c r="I684" s="7">
        <f>IF(Transactions!I684="",0,Transactions!I684)</f>
        <v>0.3</v>
      </c>
      <c r="J684" s="9">
        <f t="shared" si="10"/>
        <v>29.393000000000001</v>
      </c>
      <c r="K684" t="s">
        <v>36</v>
      </c>
      <c r="L684" t="s">
        <v>37</v>
      </c>
      <c r="M684" t="str">
        <f>REPLACE(Transactions!M684,1,4,"")</f>
        <v>2</v>
      </c>
    </row>
    <row r="685" spans="1:13" x14ac:dyDescent="0.2">
      <c r="A685">
        <v>212107</v>
      </c>
      <c r="B685" s="5">
        <v>45180</v>
      </c>
      <c r="C685">
        <v>88767</v>
      </c>
      <c r="D685" t="str">
        <f>PROPER(Transactions!D685)</f>
        <v>Toys</v>
      </c>
      <c r="E685" t="s">
        <v>175</v>
      </c>
      <c r="F685" t="s">
        <v>176</v>
      </c>
      <c r="G685">
        <v>1</v>
      </c>
      <c r="H685">
        <v>11.99</v>
      </c>
      <c r="I685" s="7">
        <f>IF(Transactions!I685="",0,Transactions!I685)</f>
        <v>0</v>
      </c>
      <c r="J685" s="9">
        <f t="shared" si="10"/>
        <v>11.99</v>
      </c>
      <c r="K685" t="s">
        <v>16</v>
      </c>
      <c r="L685" t="s">
        <v>17</v>
      </c>
      <c r="M685" t="str">
        <f>REPLACE(Transactions!M685,1,4,"")</f>
        <v>17</v>
      </c>
    </row>
    <row r="686" spans="1:13" x14ac:dyDescent="0.2">
      <c r="A686">
        <v>212246</v>
      </c>
      <c r="B686" s="5">
        <v>44986</v>
      </c>
      <c r="C686">
        <v>16992</v>
      </c>
      <c r="D686" t="str">
        <f>PROPER(Transactions!D686)</f>
        <v>Automotive</v>
      </c>
      <c r="E686" t="s">
        <v>68</v>
      </c>
      <c r="F686" t="s">
        <v>69</v>
      </c>
      <c r="G686">
        <v>2</v>
      </c>
      <c r="H686">
        <v>19.989999999999998</v>
      </c>
      <c r="I686" s="7">
        <f>IF(Transactions!I686="",0,Transactions!I686)</f>
        <v>0.2</v>
      </c>
      <c r="J686" s="9">
        <f t="shared" si="10"/>
        <v>31.983999999999998</v>
      </c>
      <c r="K686" t="s">
        <v>36</v>
      </c>
      <c r="L686" t="s">
        <v>17</v>
      </c>
      <c r="M686" t="str">
        <f>REPLACE(Transactions!M686,1,4,"")</f>
        <v>20</v>
      </c>
    </row>
    <row r="687" spans="1:13" x14ac:dyDescent="0.2">
      <c r="A687">
        <v>212495</v>
      </c>
      <c r="B687" s="5">
        <v>44750</v>
      </c>
      <c r="C687">
        <v>35901</v>
      </c>
      <c r="D687" t="str">
        <f>PROPER(Transactions!D687)</f>
        <v>Home &amp; Garden</v>
      </c>
      <c r="E687" t="s">
        <v>149</v>
      </c>
      <c r="F687" t="s">
        <v>150</v>
      </c>
      <c r="G687">
        <v>3</v>
      </c>
      <c r="H687">
        <v>14.99</v>
      </c>
      <c r="I687" s="7">
        <f>IF(Transactions!I687="",0,Transactions!I687)</f>
        <v>0.25</v>
      </c>
      <c r="J687" s="9">
        <f t="shared" si="10"/>
        <v>33.727499999999999</v>
      </c>
      <c r="K687" t="s">
        <v>16</v>
      </c>
      <c r="L687" t="s">
        <v>23</v>
      </c>
      <c r="M687" t="str">
        <f>REPLACE(Transactions!M687,1,4,"")</f>
        <v>8</v>
      </c>
    </row>
    <row r="688" spans="1:13" x14ac:dyDescent="0.2">
      <c r="A688">
        <v>212923</v>
      </c>
      <c r="B688" s="5">
        <v>44864</v>
      </c>
      <c r="C688">
        <v>57131</v>
      </c>
      <c r="D688" t="str">
        <f>PROPER(Transactions!D688)</f>
        <v>Electronics</v>
      </c>
      <c r="E688" t="s">
        <v>127</v>
      </c>
      <c r="F688" t="s">
        <v>128</v>
      </c>
      <c r="G688">
        <v>1</v>
      </c>
      <c r="H688">
        <v>18.989999999999998</v>
      </c>
      <c r="I688" s="7">
        <f>IF(Transactions!I688="",0,Transactions!I688)</f>
        <v>0.05</v>
      </c>
      <c r="J688" s="9">
        <f t="shared" si="10"/>
        <v>18.040499999999998</v>
      </c>
      <c r="K688" t="s">
        <v>36</v>
      </c>
      <c r="L688" t="s">
        <v>17</v>
      </c>
      <c r="M688" t="str">
        <f>REPLACE(Transactions!M688,1,4,"")</f>
        <v>7</v>
      </c>
    </row>
    <row r="689" spans="1:13" x14ac:dyDescent="0.2">
      <c r="A689">
        <v>212947</v>
      </c>
      <c r="B689" s="5">
        <v>45179</v>
      </c>
      <c r="C689">
        <v>35139</v>
      </c>
      <c r="D689" t="str">
        <f>PROPER(Transactions!D689)</f>
        <v>Grocery</v>
      </c>
      <c r="E689" t="s">
        <v>74</v>
      </c>
      <c r="F689" t="s">
        <v>75</v>
      </c>
      <c r="G689">
        <v>5</v>
      </c>
      <c r="H689">
        <v>2.99</v>
      </c>
      <c r="I689" s="7">
        <f>IF(Transactions!I689="",0,Transactions!I689)</f>
        <v>0</v>
      </c>
      <c r="J689" s="9">
        <f t="shared" si="10"/>
        <v>14.950000000000001</v>
      </c>
      <c r="K689" t="s">
        <v>32</v>
      </c>
      <c r="L689" t="s">
        <v>37</v>
      </c>
      <c r="M689" t="str">
        <f>REPLACE(Transactions!M689,1,4,"")</f>
        <v>1</v>
      </c>
    </row>
    <row r="690" spans="1:13" x14ac:dyDescent="0.2">
      <c r="A690">
        <v>213131</v>
      </c>
      <c r="B690" s="5">
        <v>44946</v>
      </c>
      <c r="C690">
        <v>91967</v>
      </c>
      <c r="D690" t="str">
        <f>PROPER(Transactions!D690)</f>
        <v>Sports</v>
      </c>
      <c r="E690" t="s">
        <v>147</v>
      </c>
      <c r="F690" t="s">
        <v>148</v>
      </c>
      <c r="G690">
        <v>2</v>
      </c>
      <c r="H690">
        <v>12.34</v>
      </c>
      <c r="I690" s="7">
        <f>IF(Transactions!I690="",0,Transactions!I690)</f>
        <v>0.05</v>
      </c>
      <c r="J690" s="9">
        <f t="shared" si="10"/>
        <v>23.445999999999998</v>
      </c>
      <c r="K690" t="s">
        <v>36</v>
      </c>
      <c r="L690" t="s">
        <v>23</v>
      </c>
      <c r="M690" t="str">
        <f>REPLACE(Transactions!M690,1,4,"")</f>
        <v/>
      </c>
    </row>
    <row r="691" spans="1:13" x14ac:dyDescent="0.2">
      <c r="A691">
        <v>213439</v>
      </c>
      <c r="B691" s="5">
        <v>45290</v>
      </c>
      <c r="C691">
        <v>32380</v>
      </c>
      <c r="D691" t="str">
        <f>PROPER(Transactions!D691)</f>
        <v>Home &amp; Garden</v>
      </c>
      <c r="E691" t="s">
        <v>137</v>
      </c>
      <c r="F691" t="s">
        <v>138</v>
      </c>
      <c r="G691">
        <v>1</v>
      </c>
      <c r="H691">
        <v>7.99</v>
      </c>
      <c r="I691" s="7">
        <f>IF(Transactions!I691="",0,Transactions!I691)</f>
        <v>0</v>
      </c>
      <c r="J691" s="9">
        <f t="shared" si="10"/>
        <v>7.99</v>
      </c>
      <c r="K691" t="s">
        <v>95</v>
      </c>
      <c r="L691" t="s">
        <v>17</v>
      </c>
      <c r="M691" t="str">
        <f>REPLACE(Transactions!M691,1,4,"")</f>
        <v>18</v>
      </c>
    </row>
    <row r="692" spans="1:13" x14ac:dyDescent="0.2">
      <c r="A692">
        <v>213532</v>
      </c>
      <c r="B692" s="5">
        <v>45169</v>
      </c>
      <c r="C692">
        <v>33152</v>
      </c>
      <c r="D692" t="str">
        <f>PROPER(Transactions!D692)</f>
        <v>Electronics</v>
      </c>
      <c r="E692" t="s">
        <v>55</v>
      </c>
      <c r="F692" t="s">
        <v>56</v>
      </c>
      <c r="G692">
        <v>1</v>
      </c>
      <c r="H692">
        <v>313.49</v>
      </c>
      <c r="I692" s="7">
        <f>IF(Transactions!I692="",0,Transactions!I692)</f>
        <v>0.05</v>
      </c>
      <c r="J692" s="9">
        <f t="shared" si="10"/>
        <v>297.81549999999999</v>
      </c>
      <c r="K692" t="s">
        <v>16</v>
      </c>
      <c r="L692" t="s">
        <v>17</v>
      </c>
      <c r="M692" t="str">
        <f>REPLACE(Transactions!M692,1,4,"")</f>
        <v>11</v>
      </c>
    </row>
    <row r="693" spans="1:13" x14ac:dyDescent="0.2">
      <c r="A693">
        <v>213611</v>
      </c>
      <c r="B693" s="5">
        <v>44785</v>
      </c>
      <c r="C693">
        <v>36145</v>
      </c>
      <c r="D693" t="str">
        <f>PROPER(Transactions!D693)</f>
        <v>Pharmacy</v>
      </c>
      <c r="E693" t="s">
        <v>58</v>
      </c>
      <c r="F693" t="s">
        <v>59</v>
      </c>
      <c r="G693">
        <v>1</v>
      </c>
      <c r="H693">
        <v>3.99</v>
      </c>
      <c r="I693" s="7">
        <f>IF(Transactions!I693="",0,Transactions!I693)</f>
        <v>0</v>
      </c>
      <c r="J693" s="9">
        <f t="shared" si="10"/>
        <v>3.99</v>
      </c>
      <c r="K693" t="s">
        <v>22</v>
      </c>
      <c r="L693" t="s">
        <v>23</v>
      </c>
      <c r="M693" t="str">
        <f>REPLACE(Transactions!M693,1,4,"")</f>
        <v>12</v>
      </c>
    </row>
    <row r="694" spans="1:13" x14ac:dyDescent="0.2">
      <c r="A694">
        <v>214371</v>
      </c>
      <c r="B694" s="5">
        <v>44631</v>
      </c>
      <c r="C694">
        <v>97039</v>
      </c>
      <c r="D694" t="str">
        <f>PROPER(Transactions!D694)</f>
        <v>Clothing</v>
      </c>
      <c r="E694" t="s">
        <v>165</v>
      </c>
      <c r="F694" t="s">
        <v>166</v>
      </c>
      <c r="G694">
        <v>3</v>
      </c>
      <c r="H694">
        <v>89.99</v>
      </c>
      <c r="I694" s="7">
        <f>IF(Transactions!I694="",0,Transactions!I694)</f>
        <v>0</v>
      </c>
      <c r="J694" s="9">
        <f t="shared" si="10"/>
        <v>269.96999999999997</v>
      </c>
      <c r="K694" t="s">
        <v>16</v>
      </c>
      <c r="L694" t="s">
        <v>17</v>
      </c>
      <c r="M694" t="str">
        <f>REPLACE(Transactions!M694,1,4,"")</f>
        <v>4</v>
      </c>
    </row>
    <row r="695" spans="1:13" x14ac:dyDescent="0.2">
      <c r="A695">
        <v>214489</v>
      </c>
      <c r="B695" s="5">
        <v>45342</v>
      </c>
      <c r="C695">
        <v>28256</v>
      </c>
      <c r="D695" t="str">
        <f>PROPER(Transactions!D695)</f>
        <v>Furniture</v>
      </c>
      <c r="E695" t="s">
        <v>70</v>
      </c>
      <c r="F695" t="s">
        <v>71</v>
      </c>
      <c r="G695">
        <v>2</v>
      </c>
      <c r="H695">
        <v>80.989999999999995</v>
      </c>
      <c r="I695" s="7">
        <f>IF(Transactions!I695="",0,Transactions!I695)</f>
        <v>0.1</v>
      </c>
      <c r="J695" s="9">
        <f t="shared" si="10"/>
        <v>145.78199999999998</v>
      </c>
      <c r="K695" t="s">
        <v>16</v>
      </c>
      <c r="L695" t="s">
        <v>17</v>
      </c>
      <c r="M695" t="str">
        <f>REPLACE(Transactions!M695,1,4,"")</f>
        <v>9</v>
      </c>
    </row>
    <row r="696" spans="1:13" x14ac:dyDescent="0.2">
      <c r="A696">
        <v>215013</v>
      </c>
      <c r="B696" s="5">
        <v>45044</v>
      </c>
      <c r="C696">
        <v>48335</v>
      </c>
      <c r="D696" t="str">
        <f>PROPER(Transactions!D696)</f>
        <v>Grocery</v>
      </c>
      <c r="E696" t="s">
        <v>93</v>
      </c>
      <c r="F696" t="s">
        <v>94</v>
      </c>
      <c r="G696">
        <v>2</v>
      </c>
      <c r="H696">
        <v>1.29</v>
      </c>
      <c r="I696" s="7">
        <f>IF(Transactions!I696="",0,Transactions!I696)</f>
        <v>0</v>
      </c>
      <c r="J696" s="9">
        <f t="shared" si="10"/>
        <v>2.58</v>
      </c>
      <c r="K696" t="s">
        <v>22</v>
      </c>
      <c r="L696" t="s">
        <v>17</v>
      </c>
      <c r="M696" t="str">
        <f>REPLACE(Transactions!M696,1,4,"")</f>
        <v>1</v>
      </c>
    </row>
    <row r="697" spans="1:13" x14ac:dyDescent="0.2">
      <c r="A697">
        <v>215046</v>
      </c>
      <c r="B697" s="5">
        <v>44838</v>
      </c>
      <c r="C697">
        <v>62168</v>
      </c>
      <c r="D697" t="str">
        <f>PROPER(Transactions!D697)</f>
        <v>Clothing</v>
      </c>
      <c r="E697" t="s">
        <v>165</v>
      </c>
      <c r="F697" t="s">
        <v>166</v>
      </c>
      <c r="G697">
        <v>5</v>
      </c>
      <c r="H697">
        <v>85.49</v>
      </c>
      <c r="I697" s="7">
        <f>IF(Transactions!I697="",0,Transactions!I697)</f>
        <v>0.05</v>
      </c>
      <c r="J697" s="9">
        <f t="shared" si="10"/>
        <v>406.07749999999999</v>
      </c>
      <c r="K697" t="s">
        <v>36</v>
      </c>
      <c r="L697" t="s">
        <v>17</v>
      </c>
      <c r="M697" t="str">
        <f>REPLACE(Transactions!M697,1,4,"")</f>
        <v>4</v>
      </c>
    </row>
    <row r="698" spans="1:13" x14ac:dyDescent="0.2">
      <c r="A698">
        <v>215471</v>
      </c>
      <c r="B698" s="5">
        <v>44578</v>
      </c>
      <c r="C698">
        <v>37049</v>
      </c>
      <c r="D698" t="str">
        <f>PROPER(Transactions!D698)</f>
        <v>Sports</v>
      </c>
      <c r="E698" t="s">
        <v>168</v>
      </c>
      <c r="F698" t="s">
        <v>169</v>
      </c>
      <c r="G698">
        <v>1</v>
      </c>
      <c r="H698">
        <v>8.99</v>
      </c>
      <c r="I698" s="7">
        <f>IF(Transactions!I698="",0,Transactions!I698)</f>
        <v>0</v>
      </c>
      <c r="J698" s="9">
        <f t="shared" si="10"/>
        <v>8.99</v>
      </c>
      <c r="K698" t="s">
        <v>36</v>
      </c>
      <c r="L698" t="s">
        <v>17</v>
      </c>
      <c r="M698" t="str">
        <f>REPLACE(Transactions!M698,1,4,"")</f>
        <v>8</v>
      </c>
    </row>
    <row r="699" spans="1:13" x14ac:dyDescent="0.2">
      <c r="A699">
        <v>215509</v>
      </c>
      <c r="B699" s="5">
        <v>45115</v>
      </c>
      <c r="C699">
        <v>77270</v>
      </c>
      <c r="D699" t="str">
        <f>PROPER(Transactions!D699)</f>
        <v>Grocery</v>
      </c>
      <c r="E699" t="s">
        <v>107</v>
      </c>
      <c r="F699" t="s">
        <v>108</v>
      </c>
      <c r="G699">
        <v>1</v>
      </c>
      <c r="H699">
        <v>2.44</v>
      </c>
      <c r="I699" s="7">
        <f>IF(Transactions!I699="",0,Transactions!I699)</f>
        <v>0.3</v>
      </c>
      <c r="J699" s="9">
        <f t="shared" si="10"/>
        <v>1.708</v>
      </c>
      <c r="K699" t="s">
        <v>16</v>
      </c>
      <c r="L699" t="s">
        <v>37</v>
      </c>
      <c r="M699" t="str">
        <f>REPLACE(Transactions!M699,1,4,"")</f>
        <v>20</v>
      </c>
    </row>
    <row r="700" spans="1:13" x14ac:dyDescent="0.2">
      <c r="A700">
        <v>215788</v>
      </c>
      <c r="B700" s="5">
        <v>45648</v>
      </c>
      <c r="C700">
        <v>85994</v>
      </c>
      <c r="D700" t="str">
        <f>PROPER(Transactions!D700)</f>
        <v>Automotive</v>
      </c>
      <c r="E700" t="s">
        <v>125</v>
      </c>
      <c r="F700" t="s">
        <v>126</v>
      </c>
      <c r="G700">
        <v>1</v>
      </c>
      <c r="H700">
        <v>29.99</v>
      </c>
      <c r="I700" s="7">
        <f>IF(Transactions!I700="",0,Transactions!I700)</f>
        <v>0</v>
      </c>
      <c r="J700" s="9">
        <f t="shared" si="10"/>
        <v>29.99</v>
      </c>
      <c r="K700" t="s">
        <v>36</v>
      </c>
      <c r="L700" t="s">
        <v>17</v>
      </c>
      <c r="M700" t="str">
        <f>REPLACE(Transactions!M700,1,4,"")</f>
        <v>20</v>
      </c>
    </row>
    <row r="701" spans="1:13" x14ac:dyDescent="0.2">
      <c r="A701">
        <v>215828</v>
      </c>
      <c r="B701" s="5">
        <v>45420</v>
      </c>
      <c r="C701">
        <v>43132</v>
      </c>
      <c r="D701" t="str">
        <f>PROPER(Transactions!D701)</f>
        <v>Toys</v>
      </c>
      <c r="E701" t="s">
        <v>88</v>
      </c>
      <c r="F701" t="s">
        <v>89</v>
      </c>
      <c r="G701">
        <v>2</v>
      </c>
      <c r="H701">
        <v>39.99</v>
      </c>
      <c r="I701" s="7">
        <f>IF(Transactions!I701="",0,Transactions!I701)</f>
        <v>0.2</v>
      </c>
      <c r="J701" s="9">
        <f t="shared" si="10"/>
        <v>63.984000000000009</v>
      </c>
      <c r="K701" t="s">
        <v>36</v>
      </c>
      <c r="L701" t="s">
        <v>17</v>
      </c>
      <c r="M701" t="str">
        <f>REPLACE(Transactions!M701,1,4,"")</f>
        <v>18</v>
      </c>
    </row>
    <row r="702" spans="1:13" x14ac:dyDescent="0.2">
      <c r="A702">
        <v>216382</v>
      </c>
      <c r="B702" s="5">
        <v>45002</v>
      </c>
      <c r="C702">
        <v>28427</v>
      </c>
      <c r="D702" t="str">
        <f>PROPER(Transactions!D702)</f>
        <v>Electronics</v>
      </c>
      <c r="E702" t="s">
        <v>77</v>
      </c>
      <c r="F702" t="s">
        <v>78</v>
      </c>
      <c r="G702">
        <v>5</v>
      </c>
      <c r="H702">
        <v>499.99</v>
      </c>
      <c r="I702" s="7">
        <f>IF(Transactions!I702="",0,Transactions!I702)</f>
        <v>0</v>
      </c>
      <c r="J702" s="9">
        <f t="shared" si="10"/>
        <v>2499.9499999999998</v>
      </c>
      <c r="K702" t="s">
        <v>16</v>
      </c>
      <c r="L702" t="s">
        <v>17</v>
      </c>
      <c r="M702" t="str">
        <f>REPLACE(Transactions!M702,1,4,"")</f>
        <v>9</v>
      </c>
    </row>
    <row r="703" spans="1:13" x14ac:dyDescent="0.2">
      <c r="A703">
        <v>216750</v>
      </c>
      <c r="B703" s="5">
        <v>44822</v>
      </c>
      <c r="C703">
        <v>45386</v>
      </c>
      <c r="D703" t="str">
        <f>PROPER(Transactions!D703)</f>
        <v>Sports</v>
      </c>
      <c r="E703" t="s">
        <v>168</v>
      </c>
      <c r="F703" t="s">
        <v>169</v>
      </c>
      <c r="G703">
        <v>5</v>
      </c>
      <c r="H703">
        <v>8.09</v>
      </c>
      <c r="I703" s="7">
        <f>IF(Transactions!I703="",0,Transactions!I703)</f>
        <v>0.1</v>
      </c>
      <c r="J703" s="9">
        <f t="shared" si="10"/>
        <v>36.405000000000001</v>
      </c>
      <c r="K703" t="s">
        <v>36</v>
      </c>
      <c r="L703" t="s">
        <v>17</v>
      </c>
      <c r="M703" t="str">
        <f>REPLACE(Transactions!M703,1,4,"")</f>
        <v>6</v>
      </c>
    </row>
    <row r="704" spans="1:13" x14ac:dyDescent="0.2">
      <c r="A704">
        <v>217062</v>
      </c>
      <c r="B704" s="5">
        <v>45483</v>
      </c>
      <c r="C704">
        <v>50655</v>
      </c>
      <c r="D704" t="str">
        <f>PROPER(Transactions!D704)</f>
        <v>Automotive</v>
      </c>
      <c r="E704" t="s">
        <v>64</v>
      </c>
      <c r="F704" t="s">
        <v>65</v>
      </c>
      <c r="G704">
        <v>4</v>
      </c>
      <c r="H704">
        <v>3.49</v>
      </c>
      <c r="I704" s="7">
        <f>IF(Transactions!I704="",0,Transactions!I704)</f>
        <v>0.3</v>
      </c>
      <c r="J704" s="9">
        <f t="shared" si="10"/>
        <v>9.7720000000000002</v>
      </c>
      <c r="K704" t="s">
        <v>36</v>
      </c>
      <c r="L704" t="s">
        <v>23</v>
      </c>
      <c r="M704" t="str">
        <f>REPLACE(Transactions!M704,1,4,"")</f>
        <v>14</v>
      </c>
    </row>
    <row r="705" spans="1:13" x14ac:dyDescent="0.2">
      <c r="A705">
        <v>217077</v>
      </c>
      <c r="B705" s="5">
        <v>44877</v>
      </c>
      <c r="C705">
        <v>81619</v>
      </c>
      <c r="D705" t="str">
        <f>PROPER(Transactions!D705)</f>
        <v>Toys</v>
      </c>
      <c r="E705" t="s">
        <v>88</v>
      </c>
      <c r="F705" t="s">
        <v>89</v>
      </c>
      <c r="G705">
        <v>1</v>
      </c>
      <c r="H705">
        <v>44.99</v>
      </c>
      <c r="I705" s="7">
        <f>IF(Transactions!I705="",0,Transactions!I705)</f>
        <v>0.1</v>
      </c>
      <c r="J705" s="9">
        <f t="shared" si="10"/>
        <v>40.491</v>
      </c>
      <c r="K705" t="s">
        <v>16</v>
      </c>
      <c r="L705" t="s">
        <v>37</v>
      </c>
      <c r="M705" t="str">
        <f>REPLACE(Transactions!M705,1,4,"")</f>
        <v>4</v>
      </c>
    </row>
    <row r="706" spans="1:13" x14ac:dyDescent="0.2">
      <c r="A706">
        <v>217129</v>
      </c>
      <c r="B706" s="5">
        <v>44649</v>
      </c>
      <c r="C706">
        <v>48028</v>
      </c>
      <c r="D706" t="str">
        <f>PROPER(Transactions!D706)</f>
        <v>Sports</v>
      </c>
      <c r="E706" t="s">
        <v>188</v>
      </c>
      <c r="F706" t="s">
        <v>189</v>
      </c>
      <c r="G706">
        <v>1</v>
      </c>
      <c r="H706">
        <v>44.99</v>
      </c>
      <c r="I706" s="7">
        <f>IF(Transactions!I706="",0,Transactions!I706)</f>
        <v>0</v>
      </c>
      <c r="J706" s="9">
        <f t="shared" si="10"/>
        <v>44.99</v>
      </c>
      <c r="K706" t="s">
        <v>16</v>
      </c>
      <c r="L706" t="s">
        <v>17</v>
      </c>
      <c r="M706" t="str">
        <f>REPLACE(Transactions!M706,1,4,"")</f>
        <v/>
      </c>
    </row>
    <row r="707" spans="1:13" x14ac:dyDescent="0.2">
      <c r="A707">
        <v>217314</v>
      </c>
      <c r="B707" s="5">
        <v>45373</v>
      </c>
      <c r="D707" t="str">
        <f>PROPER(Transactions!D707)</f>
        <v>Furniture</v>
      </c>
      <c r="E707" t="s">
        <v>70</v>
      </c>
      <c r="F707" t="s">
        <v>71</v>
      </c>
      <c r="G707">
        <v>4</v>
      </c>
      <c r="H707">
        <v>89.99</v>
      </c>
      <c r="I707" s="7">
        <f>IF(Transactions!I707="",0,Transactions!I707)</f>
        <v>0</v>
      </c>
      <c r="J707" s="9">
        <f t="shared" ref="J707:J770" si="11">(H707*G707)*(1-I707)</f>
        <v>359.96</v>
      </c>
      <c r="K707" t="s">
        <v>36</v>
      </c>
      <c r="L707" t="s">
        <v>17</v>
      </c>
      <c r="M707" t="str">
        <f>REPLACE(Transactions!M707,1,4,"")</f>
        <v>4</v>
      </c>
    </row>
    <row r="708" spans="1:13" x14ac:dyDescent="0.2">
      <c r="A708">
        <v>217659</v>
      </c>
      <c r="B708" s="5">
        <v>45302</v>
      </c>
      <c r="C708">
        <v>85065</v>
      </c>
      <c r="D708" t="str">
        <f>PROPER(Transactions!D708)</f>
        <v>Clothing</v>
      </c>
      <c r="E708" t="s">
        <v>181</v>
      </c>
      <c r="F708" t="s">
        <v>182</v>
      </c>
      <c r="G708">
        <v>5</v>
      </c>
      <c r="H708">
        <v>14.99</v>
      </c>
      <c r="I708" s="7">
        <f>IF(Transactions!I708="",0,Transactions!I708)</f>
        <v>0</v>
      </c>
      <c r="J708" s="9">
        <f t="shared" si="11"/>
        <v>74.95</v>
      </c>
      <c r="K708" t="s">
        <v>36</v>
      </c>
      <c r="L708" t="s">
        <v>17</v>
      </c>
      <c r="M708" t="str">
        <f>REPLACE(Transactions!M708,1,4,"")</f>
        <v>10</v>
      </c>
    </row>
    <row r="709" spans="1:13" x14ac:dyDescent="0.2">
      <c r="A709">
        <v>218036</v>
      </c>
      <c r="B709" s="5">
        <v>45094</v>
      </c>
      <c r="C709">
        <v>96392</v>
      </c>
      <c r="D709" t="str">
        <f>PROPER(Transactions!D709)</f>
        <v>Beauty</v>
      </c>
      <c r="E709" t="s">
        <v>139</v>
      </c>
      <c r="F709" t="s">
        <v>140</v>
      </c>
      <c r="G709">
        <v>2</v>
      </c>
      <c r="H709">
        <v>7.19</v>
      </c>
      <c r="I709" s="7">
        <f>IF(Transactions!I709="",0,Transactions!I709)</f>
        <v>0.1</v>
      </c>
      <c r="J709" s="9">
        <f t="shared" si="11"/>
        <v>12.942</v>
      </c>
      <c r="K709" t="s">
        <v>36</v>
      </c>
      <c r="L709" t="s">
        <v>37</v>
      </c>
      <c r="M709" t="str">
        <f>REPLACE(Transactions!M709,1,4,"")</f>
        <v>19</v>
      </c>
    </row>
    <row r="710" spans="1:13" x14ac:dyDescent="0.2">
      <c r="A710">
        <v>218055</v>
      </c>
      <c r="B710" s="5">
        <v>44624</v>
      </c>
      <c r="C710">
        <v>85992</v>
      </c>
      <c r="D710" t="str">
        <f>PROPER(Transactions!D710)</f>
        <v>Home &amp; Garden</v>
      </c>
      <c r="E710" t="s">
        <v>129</v>
      </c>
      <c r="F710" t="s">
        <v>130</v>
      </c>
      <c r="G710">
        <v>1</v>
      </c>
      <c r="H710">
        <v>6.74</v>
      </c>
      <c r="I710" s="7">
        <f>IF(Transactions!I710="",0,Transactions!I710)</f>
        <v>0.25</v>
      </c>
      <c r="J710" s="9">
        <f t="shared" si="11"/>
        <v>5.0549999999999997</v>
      </c>
      <c r="K710" t="s">
        <v>53</v>
      </c>
      <c r="L710" t="s">
        <v>17</v>
      </c>
      <c r="M710" t="str">
        <f>REPLACE(Transactions!M710,1,4,"")</f>
        <v>9</v>
      </c>
    </row>
    <row r="711" spans="1:13" x14ac:dyDescent="0.2">
      <c r="A711">
        <v>218245</v>
      </c>
      <c r="B711" s="5">
        <v>45651</v>
      </c>
      <c r="C711">
        <v>84495</v>
      </c>
      <c r="D711" t="str">
        <f>PROPER(Transactions!D711)</f>
        <v>Grocery</v>
      </c>
      <c r="E711" t="s">
        <v>107</v>
      </c>
      <c r="F711" t="s">
        <v>108</v>
      </c>
      <c r="G711">
        <v>4</v>
      </c>
      <c r="H711">
        <v>3.32</v>
      </c>
      <c r="I711" s="7">
        <f>IF(Transactions!I711="",0,Transactions!I711)</f>
        <v>0</v>
      </c>
      <c r="J711" s="9">
        <f t="shared" si="11"/>
        <v>13.28</v>
      </c>
      <c r="K711" t="s">
        <v>36</v>
      </c>
      <c r="L711" t="s">
        <v>17</v>
      </c>
      <c r="M711" t="str">
        <f>REPLACE(Transactions!M711,1,4,"")</f>
        <v>8</v>
      </c>
    </row>
    <row r="712" spans="1:13" x14ac:dyDescent="0.2">
      <c r="A712">
        <v>218268</v>
      </c>
      <c r="B712" s="5">
        <v>44936</v>
      </c>
      <c r="C712">
        <v>57806</v>
      </c>
      <c r="D712" t="str">
        <f>PROPER(Transactions!D712)</f>
        <v>Sports</v>
      </c>
      <c r="E712" t="s">
        <v>155</v>
      </c>
      <c r="F712" t="s">
        <v>156</v>
      </c>
      <c r="G712">
        <v>2</v>
      </c>
      <c r="H712">
        <v>15.99</v>
      </c>
      <c r="I712" s="7">
        <f>IF(Transactions!I712="",0,Transactions!I712)</f>
        <v>0.2</v>
      </c>
      <c r="J712" s="9">
        <f t="shared" si="11"/>
        <v>25.584000000000003</v>
      </c>
      <c r="K712" t="s">
        <v>36</v>
      </c>
      <c r="L712" t="s">
        <v>23</v>
      </c>
      <c r="M712" t="str">
        <f>REPLACE(Transactions!M712,1,4,"")</f>
        <v>15</v>
      </c>
    </row>
    <row r="713" spans="1:13" x14ac:dyDescent="0.2">
      <c r="A713">
        <v>218312</v>
      </c>
      <c r="B713" s="5">
        <v>45421</v>
      </c>
      <c r="C713">
        <v>37951</v>
      </c>
      <c r="D713" t="str">
        <f>PROPER(Transactions!D713)</f>
        <v>Clothing</v>
      </c>
      <c r="E713" t="s">
        <v>181</v>
      </c>
      <c r="F713" t="s">
        <v>182</v>
      </c>
      <c r="G713">
        <v>1</v>
      </c>
      <c r="H713">
        <v>14.99</v>
      </c>
      <c r="I713" s="7">
        <f>IF(Transactions!I713="",0,Transactions!I713)</f>
        <v>0</v>
      </c>
      <c r="J713" s="9">
        <f t="shared" si="11"/>
        <v>14.99</v>
      </c>
      <c r="K713" t="s">
        <v>36</v>
      </c>
      <c r="L713" t="s">
        <v>37</v>
      </c>
      <c r="M713" t="str">
        <f>REPLACE(Transactions!M713,1,4,"")</f>
        <v>3</v>
      </c>
    </row>
    <row r="714" spans="1:13" x14ac:dyDescent="0.2">
      <c r="A714">
        <v>218381</v>
      </c>
      <c r="B714" s="5">
        <v>45144</v>
      </c>
      <c r="C714">
        <v>28026</v>
      </c>
      <c r="D714" t="str">
        <f>PROPER(Transactions!D714)</f>
        <v>Home &amp; Garden</v>
      </c>
      <c r="E714" t="s">
        <v>129</v>
      </c>
      <c r="F714" t="s">
        <v>130</v>
      </c>
      <c r="G714">
        <v>1</v>
      </c>
      <c r="H714">
        <v>7.64</v>
      </c>
      <c r="I714" s="7">
        <f>IF(Transactions!I714="",0,Transactions!I714)</f>
        <v>0.15</v>
      </c>
      <c r="J714" s="9">
        <f t="shared" si="11"/>
        <v>6.4939999999999998</v>
      </c>
      <c r="K714" t="s">
        <v>22</v>
      </c>
      <c r="L714" t="s">
        <v>17</v>
      </c>
      <c r="M714" t="str">
        <f>REPLACE(Transactions!M714,1,4,"")</f>
        <v>17</v>
      </c>
    </row>
    <row r="715" spans="1:13" x14ac:dyDescent="0.2">
      <c r="A715">
        <v>218577</v>
      </c>
      <c r="B715" s="5">
        <v>44924</v>
      </c>
      <c r="C715">
        <v>85307</v>
      </c>
      <c r="D715" t="str">
        <f>PROPER(Transactions!D715)</f>
        <v>Electronics</v>
      </c>
      <c r="E715" t="s">
        <v>34</v>
      </c>
      <c r="F715" t="s">
        <v>35</v>
      </c>
      <c r="G715">
        <v>2</v>
      </c>
      <c r="H715">
        <v>34.99</v>
      </c>
      <c r="I715" s="7">
        <f>IF(Transactions!I715="",0,Transactions!I715)</f>
        <v>0</v>
      </c>
      <c r="J715" s="9">
        <f t="shared" si="11"/>
        <v>69.98</v>
      </c>
      <c r="K715" t="s">
        <v>53</v>
      </c>
      <c r="L715" t="s">
        <v>37</v>
      </c>
      <c r="M715" t="str">
        <f>REPLACE(Transactions!M715,1,4,"")</f>
        <v/>
      </c>
    </row>
    <row r="716" spans="1:13" x14ac:dyDescent="0.2">
      <c r="A716">
        <v>218767</v>
      </c>
      <c r="B716" s="5">
        <v>45301</v>
      </c>
      <c r="C716">
        <v>85076</v>
      </c>
      <c r="D716" t="str">
        <f>PROPER(Transactions!D716)</f>
        <v>Toys</v>
      </c>
      <c r="E716" t="s">
        <v>72</v>
      </c>
      <c r="F716" t="s">
        <v>73</v>
      </c>
      <c r="G716">
        <v>2</v>
      </c>
      <c r="H716">
        <v>39.99</v>
      </c>
      <c r="I716" s="7">
        <f>IF(Transactions!I716="",0,Transactions!I716)</f>
        <v>0</v>
      </c>
      <c r="J716" s="9">
        <f t="shared" si="11"/>
        <v>79.98</v>
      </c>
      <c r="K716" t="s">
        <v>36</v>
      </c>
      <c r="L716" t="s">
        <v>17</v>
      </c>
      <c r="M716" t="str">
        <f>REPLACE(Transactions!M716,1,4,"")</f>
        <v>14</v>
      </c>
    </row>
    <row r="717" spans="1:13" x14ac:dyDescent="0.2">
      <c r="A717">
        <v>218790</v>
      </c>
      <c r="B717" s="5">
        <v>45572</v>
      </c>
      <c r="C717">
        <v>38622</v>
      </c>
      <c r="D717" t="str">
        <f>PROPER(Transactions!D717)</f>
        <v>Toys</v>
      </c>
      <c r="E717" t="s">
        <v>72</v>
      </c>
      <c r="F717" t="s">
        <v>73</v>
      </c>
      <c r="G717">
        <v>4</v>
      </c>
      <c r="H717">
        <v>35.99</v>
      </c>
      <c r="I717" s="7">
        <f>IF(Transactions!I717="",0,Transactions!I717)</f>
        <v>0.1</v>
      </c>
      <c r="J717" s="9">
        <f t="shared" si="11"/>
        <v>129.56400000000002</v>
      </c>
      <c r="K717" t="s">
        <v>36</v>
      </c>
      <c r="L717" t="s">
        <v>23</v>
      </c>
      <c r="M717" t="str">
        <f>REPLACE(Transactions!M717,1,4,"")</f>
        <v>14</v>
      </c>
    </row>
    <row r="718" spans="1:13" x14ac:dyDescent="0.2">
      <c r="A718">
        <v>219261</v>
      </c>
      <c r="B718" s="5">
        <v>45081</v>
      </c>
      <c r="C718">
        <v>97091</v>
      </c>
      <c r="D718" t="str">
        <f>PROPER(Transactions!D718)</f>
        <v>Toys</v>
      </c>
      <c r="E718" t="s">
        <v>175</v>
      </c>
      <c r="F718" t="s">
        <v>176</v>
      </c>
      <c r="G718">
        <v>2</v>
      </c>
      <c r="H718">
        <v>8.99</v>
      </c>
      <c r="I718" s="7">
        <f>IF(Transactions!I718="",0,Transactions!I718)</f>
        <v>0.25</v>
      </c>
      <c r="J718" s="9">
        <f t="shared" si="11"/>
        <v>13.484999999999999</v>
      </c>
      <c r="K718" t="s">
        <v>36</v>
      </c>
      <c r="L718" t="s">
        <v>17</v>
      </c>
      <c r="M718" t="str">
        <f>REPLACE(Transactions!M718,1,4,"")</f>
        <v>15</v>
      </c>
    </row>
    <row r="719" spans="1:13" x14ac:dyDescent="0.2">
      <c r="A719">
        <v>219492</v>
      </c>
      <c r="B719" s="5">
        <v>45496</v>
      </c>
      <c r="C719">
        <v>72190</v>
      </c>
      <c r="D719" t="str">
        <f>PROPER(Transactions!D719)</f>
        <v>Beauty</v>
      </c>
      <c r="E719" t="s">
        <v>139</v>
      </c>
      <c r="F719" t="s">
        <v>140</v>
      </c>
      <c r="G719">
        <v>5</v>
      </c>
      <c r="H719">
        <v>7.59</v>
      </c>
      <c r="I719" s="7">
        <f>IF(Transactions!I719="",0,Transactions!I719)</f>
        <v>0.05</v>
      </c>
      <c r="J719" s="9">
        <f t="shared" si="11"/>
        <v>36.052500000000002</v>
      </c>
      <c r="K719" t="s">
        <v>36</v>
      </c>
      <c r="L719" t="s">
        <v>37</v>
      </c>
      <c r="M719" t="str">
        <f>REPLACE(Transactions!M719,1,4,"")</f>
        <v>11</v>
      </c>
    </row>
    <row r="720" spans="1:13" x14ac:dyDescent="0.2">
      <c r="A720">
        <v>219962</v>
      </c>
      <c r="B720" s="5">
        <v>45018</v>
      </c>
      <c r="C720">
        <v>11442</v>
      </c>
      <c r="D720" t="str">
        <f>PROPER(Transactions!D720)</f>
        <v>Home &amp; Garden</v>
      </c>
      <c r="E720" t="s">
        <v>153</v>
      </c>
      <c r="F720" t="s">
        <v>154</v>
      </c>
      <c r="G720">
        <v>2</v>
      </c>
      <c r="H720">
        <v>25.49</v>
      </c>
      <c r="I720" s="7">
        <f>IF(Transactions!I720="",0,Transactions!I720)</f>
        <v>0.15</v>
      </c>
      <c r="J720" s="9">
        <f t="shared" si="11"/>
        <v>43.332999999999998</v>
      </c>
      <c r="K720" t="s">
        <v>16</v>
      </c>
      <c r="L720" t="s">
        <v>17</v>
      </c>
      <c r="M720" t="str">
        <f>REPLACE(Transactions!M720,1,4,"")</f>
        <v>4</v>
      </c>
    </row>
    <row r="721" spans="1:13" x14ac:dyDescent="0.2">
      <c r="A721">
        <v>219998</v>
      </c>
      <c r="B721" s="5">
        <v>44600</v>
      </c>
      <c r="C721">
        <v>44401</v>
      </c>
      <c r="D721" t="str">
        <f>PROPER(Transactions!D721)</f>
        <v>Furniture</v>
      </c>
      <c r="E721" t="s">
        <v>70</v>
      </c>
      <c r="F721" t="s">
        <v>71</v>
      </c>
      <c r="G721">
        <v>1</v>
      </c>
      <c r="H721">
        <v>62.99</v>
      </c>
      <c r="I721" s="7">
        <f>IF(Transactions!I721="",0,Transactions!I721)</f>
        <v>0.3</v>
      </c>
      <c r="J721" s="9">
        <f t="shared" si="11"/>
        <v>44.092999999999996</v>
      </c>
      <c r="K721" t="s">
        <v>16</v>
      </c>
      <c r="L721" t="s">
        <v>17</v>
      </c>
      <c r="M721" t="str">
        <f>REPLACE(Transactions!M721,1,4,"")</f>
        <v>9</v>
      </c>
    </row>
    <row r="722" spans="1:13" x14ac:dyDescent="0.2">
      <c r="A722">
        <v>220247</v>
      </c>
      <c r="B722" s="5">
        <v>45254</v>
      </c>
      <c r="C722">
        <v>98003</v>
      </c>
      <c r="D722" t="str">
        <f>PROPER(Transactions!D722)</f>
        <v>Automotive</v>
      </c>
      <c r="E722" t="s">
        <v>125</v>
      </c>
      <c r="F722" t="s">
        <v>126</v>
      </c>
      <c r="G722">
        <v>2</v>
      </c>
      <c r="H722">
        <v>26.99</v>
      </c>
      <c r="I722" s="7">
        <f>IF(Transactions!I722="",0,Transactions!I722)</f>
        <v>0.1</v>
      </c>
      <c r="J722" s="9">
        <f t="shared" si="11"/>
        <v>48.582000000000001</v>
      </c>
      <c r="K722" t="s">
        <v>36</v>
      </c>
      <c r="L722" t="s">
        <v>37</v>
      </c>
      <c r="M722" t="str">
        <f>REPLACE(Transactions!M722,1,4,"")</f>
        <v>2</v>
      </c>
    </row>
    <row r="723" spans="1:13" x14ac:dyDescent="0.2">
      <c r="A723">
        <v>220434</v>
      </c>
      <c r="B723" s="5">
        <v>45532</v>
      </c>
      <c r="C723">
        <v>81028</v>
      </c>
      <c r="D723" t="str">
        <f>PROPER(Transactions!D723)</f>
        <v>Grocery</v>
      </c>
      <c r="E723" t="s">
        <v>107</v>
      </c>
      <c r="F723" t="s">
        <v>108</v>
      </c>
      <c r="G723">
        <v>1</v>
      </c>
      <c r="H723">
        <v>2.79</v>
      </c>
      <c r="I723" s="7">
        <f>IF(Transactions!I723="",0,Transactions!I723)</f>
        <v>0.2</v>
      </c>
      <c r="J723" s="9">
        <f t="shared" si="11"/>
        <v>2.2320000000000002</v>
      </c>
      <c r="K723" t="s">
        <v>22</v>
      </c>
      <c r="L723" t="s">
        <v>17</v>
      </c>
      <c r="M723" t="str">
        <f>REPLACE(Transactions!M723,1,4,"")</f>
        <v>3</v>
      </c>
    </row>
    <row r="724" spans="1:13" x14ac:dyDescent="0.2">
      <c r="A724">
        <v>220770</v>
      </c>
      <c r="B724" s="5">
        <v>44859</v>
      </c>
      <c r="C724">
        <v>27864</v>
      </c>
      <c r="D724" t="str">
        <f>PROPER(Transactions!D724)</f>
        <v>Furniture</v>
      </c>
      <c r="E724" t="s">
        <v>60</v>
      </c>
      <c r="F724" t="s">
        <v>61</v>
      </c>
      <c r="G724">
        <v>2</v>
      </c>
      <c r="H724">
        <v>43.99</v>
      </c>
      <c r="I724" s="7">
        <f>IF(Transactions!I724="",0,Transactions!I724)</f>
        <v>0.2</v>
      </c>
      <c r="J724" s="9">
        <f t="shared" si="11"/>
        <v>70.384</v>
      </c>
      <c r="K724" t="s">
        <v>16</v>
      </c>
      <c r="L724" t="s">
        <v>37</v>
      </c>
      <c r="M724" t="str">
        <f>REPLACE(Transactions!M724,1,4,"")</f>
        <v>8</v>
      </c>
    </row>
    <row r="725" spans="1:13" x14ac:dyDescent="0.2">
      <c r="A725">
        <v>220880</v>
      </c>
      <c r="B725" s="5">
        <v>45004</v>
      </c>
      <c r="C725">
        <v>94029</v>
      </c>
      <c r="D725" t="str">
        <f>PROPER(Transactions!D725)</f>
        <v>Grocery</v>
      </c>
      <c r="E725" t="s">
        <v>74</v>
      </c>
      <c r="F725" t="s">
        <v>75</v>
      </c>
      <c r="G725">
        <v>4</v>
      </c>
      <c r="H725">
        <v>2.09</v>
      </c>
      <c r="I725" s="7">
        <f>IF(Transactions!I725="",0,Transactions!I725)</f>
        <v>0.3</v>
      </c>
      <c r="J725" s="9">
        <f t="shared" si="11"/>
        <v>5.8519999999999994</v>
      </c>
      <c r="K725" t="s">
        <v>36</v>
      </c>
      <c r="L725" t="s">
        <v>17</v>
      </c>
      <c r="M725" t="str">
        <f>REPLACE(Transactions!M725,1,4,"")</f>
        <v>5</v>
      </c>
    </row>
    <row r="726" spans="1:13" x14ac:dyDescent="0.2">
      <c r="A726">
        <v>220883</v>
      </c>
      <c r="B726" s="5">
        <v>44725</v>
      </c>
      <c r="C726">
        <v>18175</v>
      </c>
      <c r="D726" t="str">
        <f>PROPER(Transactions!D726)</f>
        <v>Clothing</v>
      </c>
      <c r="E726" t="s">
        <v>181</v>
      </c>
      <c r="F726" t="s">
        <v>182</v>
      </c>
      <c r="G726">
        <v>1</v>
      </c>
      <c r="H726">
        <v>14.99</v>
      </c>
      <c r="I726" s="7">
        <f>IF(Transactions!I726="",0,Transactions!I726)</f>
        <v>0</v>
      </c>
      <c r="J726" s="9">
        <f t="shared" si="11"/>
        <v>14.99</v>
      </c>
      <c r="K726" t="s">
        <v>53</v>
      </c>
      <c r="L726" t="s">
        <v>17</v>
      </c>
      <c r="M726" t="str">
        <f>REPLACE(Transactions!M726,1,4,"")</f>
        <v>7</v>
      </c>
    </row>
    <row r="727" spans="1:13" x14ac:dyDescent="0.2">
      <c r="A727">
        <v>220895</v>
      </c>
      <c r="B727" s="5">
        <v>45131</v>
      </c>
      <c r="C727">
        <v>19280</v>
      </c>
      <c r="D727" t="str">
        <f>PROPER(Transactions!D727)</f>
        <v>Electronics</v>
      </c>
      <c r="E727" t="s">
        <v>79</v>
      </c>
      <c r="F727" t="s">
        <v>80</v>
      </c>
      <c r="G727">
        <v>2</v>
      </c>
      <c r="H727">
        <v>89.99</v>
      </c>
      <c r="I727" s="7">
        <f>IF(Transactions!I727="",0,Transactions!I727)</f>
        <v>0</v>
      </c>
      <c r="J727" s="9">
        <f t="shared" si="11"/>
        <v>179.98</v>
      </c>
      <c r="K727" t="s">
        <v>95</v>
      </c>
      <c r="L727" t="s">
        <v>17</v>
      </c>
      <c r="M727" t="str">
        <f>REPLACE(Transactions!M727,1,4,"")</f>
        <v>9</v>
      </c>
    </row>
    <row r="728" spans="1:13" x14ac:dyDescent="0.2">
      <c r="A728">
        <v>221414</v>
      </c>
      <c r="B728" s="5">
        <v>44783</v>
      </c>
      <c r="C728">
        <v>72180</v>
      </c>
      <c r="D728" t="str">
        <f>PROPER(Transactions!D728)</f>
        <v>Furniture</v>
      </c>
      <c r="E728" t="s">
        <v>26</v>
      </c>
      <c r="F728" t="s">
        <v>27</v>
      </c>
      <c r="G728">
        <v>1</v>
      </c>
      <c r="H728">
        <v>34.99</v>
      </c>
      <c r="I728" s="7">
        <f>IF(Transactions!I728="",0,Transactions!I728)</f>
        <v>0</v>
      </c>
      <c r="J728" s="9">
        <f t="shared" si="11"/>
        <v>34.99</v>
      </c>
      <c r="K728" t="s">
        <v>36</v>
      </c>
      <c r="L728" t="s">
        <v>17</v>
      </c>
      <c r="M728" t="str">
        <f>REPLACE(Transactions!M728,1,4,"")</f>
        <v>7</v>
      </c>
    </row>
    <row r="729" spans="1:13" x14ac:dyDescent="0.2">
      <c r="A729">
        <v>221450</v>
      </c>
      <c r="B729" s="5">
        <v>45198</v>
      </c>
      <c r="D729" t="str">
        <f>PROPER(Transactions!D729)</f>
        <v>Pharmacy</v>
      </c>
      <c r="E729" t="s">
        <v>115</v>
      </c>
      <c r="F729" t="s">
        <v>116</v>
      </c>
      <c r="G729">
        <v>4</v>
      </c>
      <c r="H729">
        <v>11.04</v>
      </c>
      <c r="I729" s="7">
        <f>IF(Transactions!I729="",0,Transactions!I729)</f>
        <v>0.15</v>
      </c>
      <c r="J729" s="9">
        <f t="shared" si="11"/>
        <v>37.535999999999994</v>
      </c>
      <c r="K729" t="s">
        <v>22</v>
      </c>
      <c r="L729" t="s">
        <v>37</v>
      </c>
      <c r="M729" t="str">
        <f>REPLACE(Transactions!M729,1,4,"")</f>
        <v>13</v>
      </c>
    </row>
    <row r="730" spans="1:13" x14ac:dyDescent="0.2">
      <c r="A730">
        <v>221471</v>
      </c>
      <c r="B730" s="5">
        <v>45036</v>
      </c>
      <c r="C730">
        <v>50870</v>
      </c>
      <c r="D730" t="str">
        <f>PROPER(Transactions!D730)</f>
        <v>Sports</v>
      </c>
      <c r="E730" t="s">
        <v>100</v>
      </c>
      <c r="F730" t="s">
        <v>101</v>
      </c>
      <c r="G730">
        <v>1</v>
      </c>
      <c r="H730">
        <v>22.99</v>
      </c>
      <c r="I730" s="7">
        <f>IF(Transactions!I730="",0,Transactions!I730)</f>
        <v>0</v>
      </c>
      <c r="J730" s="9">
        <f t="shared" si="11"/>
        <v>22.99</v>
      </c>
      <c r="K730" t="s">
        <v>16</v>
      </c>
      <c r="L730" t="s">
        <v>17</v>
      </c>
      <c r="M730" t="str">
        <f>REPLACE(Transactions!M730,1,4,"")</f>
        <v>12</v>
      </c>
    </row>
    <row r="731" spans="1:13" x14ac:dyDescent="0.2">
      <c r="A731">
        <v>221688</v>
      </c>
      <c r="B731" s="5">
        <v>45421</v>
      </c>
      <c r="C731">
        <v>10268</v>
      </c>
      <c r="D731" t="str">
        <f>PROPER(Transactions!D731)</f>
        <v>Grocery</v>
      </c>
      <c r="E731" t="s">
        <v>177</v>
      </c>
      <c r="F731" t="s">
        <v>178</v>
      </c>
      <c r="G731">
        <v>2</v>
      </c>
      <c r="H731">
        <v>11.99</v>
      </c>
      <c r="I731" s="7">
        <f>IF(Transactions!I731="",0,Transactions!I731)</f>
        <v>0</v>
      </c>
      <c r="J731" s="9">
        <f t="shared" si="11"/>
        <v>23.98</v>
      </c>
      <c r="K731" t="s">
        <v>16</v>
      </c>
      <c r="L731" t="s">
        <v>17</v>
      </c>
      <c r="M731" t="str">
        <f>REPLACE(Transactions!M731,1,4,"")</f>
        <v/>
      </c>
    </row>
    <row r="732" spans="1:13" x14ac:dyDescent="0.2">
      <c r="A732">
        <v>221728</v>
      </c>
      <c r="B732" s="5">
        <v>45074</v>
      </c>
      <c r="D732" t="str">
        <f>PROPER(Transactions!D732)</f>
        <v>Automotive</v>
      </c>
      <c r="E732" t="s">
        <v>125</v>
      </c>
      <c r="F732" t="s">
        <v>126</v>
      </c>
      <c r="G732">
        <v>1</v>
      </c>
      <c r="H732">
        <v>29.99</v>
      </c>
      <c r="I732" s="7">
        <f>IF(Transactions!I732="",0,Transactions!I732)</f>
        <v>0</v>
      </c>
      <c r="J732" s="9">
        <f t="shared" si="11"/>
        <v>29.99</v>
      </c>
      <c r="K732" t="s">
        <v>95</v>
      </c>
      <c r="L732" t="s">
        <v>17</v>
      </c>
      <c r="M732" t="str">
        <f>REPLACE(Transactions!M732,1,4,"")</f>
        <v>2</v>
      </c>
    </row>
    <row r="733" spans="1:13" x14ac:dyDescent="0.2">
      <c r="A733">
        <v>221916</v>
      </c>
      <c r="B733" s="5">
        <v>44835</v>
      </c>
      <c r="C733">
        <v>30077</v>
      </c>
      <c r="D733" t="str">
        <f>PROPER(Transactions!D733)</f>
        <v>Beauty</v>
      </c>
      <c r="E733" t="s">
        <v>118</v>
      </c>
      <c r="F733" t="s">
        <v>119</v>
      </c>
      <c r="G733">
        <v>4</v>
      </c>
      <c r="H733">
        <v>4.49</v>
      </c>
      <c r="I733" s="7">
        <f>IF(Transactions!I733="",0,Transactions!I733)</f>
        <v>0.1</v>
      </c>
      <c r="J733" s="9">
        <f t="shared" si="11"/>
        <v>16.164000000000001</v>
      </c>
      <c r="K733" t="s">
        <v>16</v>
      </c>
      <c r="L733" t="s">
        <v>17</v>
      </c>
      <c r="M733" t="str">
        <f>REPLACE(Transactions!M733,1,4,"")</f>
        <v>7</v>
      </c>
    </row>
    <row r="734" spans="1:13" x14ac:dyDescent="0.2">
      <c r="A734">
        <v>222292</v>
      </c>
      <c r="B734" s="5">
        <v>45473</v>
      </c>
      <c r="C734">
        <v>76813</v>
      </c>
      <c r="D734" t="str">
        <f>PROPER(Transactions!D734)</f>
        <v>Beauty</v>
      </c>
      <c r="E734" t="s">
        <v>49</v>
      </c>
      <c r="F734" t="s">
        <v>50</v>
      </c>
      <c r="G734">
        <v>1</v>
      </c>
      <c r="H734">
        <v>7.64</v>
      </c>
      <c r="I734" s="7">
        <f>IF(Transactions!I734="",0,Transactions!I734)</f>
        <v>0.15</v>
      </c>
      <c r="J734" s="9">
        <f t="shared" si="11"/>
        <v>6.4939999999999998</v>
      </c>
      <c r="K734" t="s">
        <v>22</v>
      </c>
      <c r="L734" t="s">
        <v>17</v>
      </c>
      <c r="M734" t="str">
        <f>REPLACE(Transactions!M734,1,4,"")</f>
        <v>1</v>
      </c>
    </row>
    <row r="735" spans="1:13" x14ac:dyDescent="0.2">
      <c r="A735">
        <v>222619</v>
      </c>
      <c r="B735" s="5">
        <v>44837</v>
      </c>
      <c r="C735">
        <v>65464</v>
      </c>
      <c r="D735" t="str">
        <f>PROPER(Transactions!D735)</f>
        <v>Grocery</v>
      </c>
      <c r="E735" t="s">
        <v>45</v>
      </c>
      <c r="F735" t="s">
        <v>46</v>
      </c>
      <c r="G735">
        <v>4</v>
      </c>
      <c r="H735">
        <v>1.79</v>
      </c>
      <c r="I735" s="7">
        <f>IF(Transactions!I735="",0,Transactions!I735)</f>
        <v>0</v>
      </c>
      <c r="J735" s="9">
        <f t="shared" si="11"/>
        <v>7.16</v>
      </c>
      <c r="K735" t="s">
        <v>16</v>
      </c>
      <c r="L735" t="s">
        <v>17</v>
      </c>
      <c r="M735" t="str">
        <f>REPLACE(Transactions!M735,1,4,"")</f>
        <v>12</v>
      </c>
    </row>
    <row r="736" spans="1:13" x14ac:dyDescent="0.2">
      <c r="A736">
        <v>222655</v>
      </c>
      <c r="B736" s="5">
        <v>44860</v>
      </c>
      <c r="C736">
        <v>12133</v>
      </c>
      <c r="D736" t="str">
        <f>PROPER(Transactions!D736)</f>
        <v>Automotive</v>
      </c>
      <c r="E736" t="s">
        <v>131</v>
      </c>
      <c r="F736" t="s">
        <v>132</v>
      </c>
      <c r="G736">
        <v>1</v>
      </c>
      <c r="H736">
        <v>3.49</v>
      </c>
      <c r="I736" s="7">
        <f>IF(Transactions!I736="",0,Transactions!I736)</f>
        <v>0</v>
      </c>
      <c r="J736" s="9">
        <f t="shared" si="11"/>
        <v>3.49</v>
      </c>
      <c r="K736" t="s">
        <v>53</v>
      </c>
      <c r="L736" t="s">
        <v>17</v>
      </c>
      <c r="M736" t="str">
        <f>REPLACE(Transactions!M736,1,4,"")</f>
        <v>12</v>
      </c>
    </row>
    <row r="737" spans="1:13" x14ac:dyDescent="0.2">
      <c r="A737">
        <v>222655</v>
      </c>
      <c r="B737" s="5">
        <v>45311</v>
      </c>
      <c r="D737" t="str">
        <f>PROPER(Transactions!D737)</f>
        <v>Furniture</v>
      </c>
      <c r="E737" t="s">
        <v>60</v>
      </c>
      <c r="F737" t="s">
        <v>61</v>
      </c>
      <c r="G737">
        <v>2</v>
      </c>
      <c r="H737">
        <v>52.24</v>
      </c>
      <c r="I737" s="7">
        <f>IF(Transactions!I737="",0,Transactions!I737)</f>
        <v>0.05</v>
      </c>
      <c r="J737" s="9">
        <f t="shared" si="11"/>
        <v>99.256</v>
      </c>
      <c r="K737" t="s">
        <v>36</v>
      </c>
      <c r="L737" t="s">
        <v>17</v>
      </c>
      <c r="M737" t="str">
        <f>REPLACE(Transactions!M737,1,4,"")</f>
        <v>3</v>
      </c>
    </row>
    <row r="738" spans="1:13" x14ac:dyDescent="0.2">
      <c r="A738">
        <v>222980</v>
      </c>
      <c r="B738" s="5">
        <v>44938</v>
      </c>
      <c r="C738">
        <v>33983</v>
      </c>
      <c r="D738" t="str">
        <f>PROPER(Transactions!D738)</f>
        <v>Home &amp; Garden</v>
      </c>
      <c r="E738" t="s">
        <v>86</v>
      </c>
      <c r="F738" t="s">
        <v>87</v>
      </c>
      <c r="G738">
        <v>4</v>
      </c>
      <c r="H738">
        <v>12.99</v>
      </c>
      <c r="I738" s="7">
        <f>IF(Transactions!I738="",0,Transactions!I738)</f>
        <v>0</v>
      </c>
      <c r="J738" s="9">
        <f t="shared" si="11"/>
        <v>51.96</v>
      </c>
      <c r="K738" t="s">
        <v>36</v>
      </c>
      <c r="L738" t="s">
        <v>17</v>
      </c>
      <c r="M738" t="str">
        <f>REPLACE(Transactions!M738,1,4,"")</f>
        <v>10</v>
      </c>
    </row>
    <row r="739" spans="1:13" x14ac:dyDescent="0.2">
      <c r="A739">
        <v>223050</v>
      </c>
      <c r="B739" s="5">
        <v>45315</v>
      </c>
      <c r="C739">
        <v>69468</v>
      </c>
      <c r="D739" t="str">
        <f>PROPER(Transactions!D739)</f>
        <v>Toys</v>
      </c>
      <c r="E739" t="s">
        <v>170</v>
      </c>
      <c r="F739" t="s">
        <v>171</v>
      </c>
      <c r="G739">
        <v>5</v>
      </c>
      <c r="H739">
        <v>14.99</v>
      </c>
      <c r="I739" s="7">
        <f>IF(Transactions!I739="",0,Transactions!I739)</f>
        <v>0</v>
      </c>
      <c r="J739" s="9">
        <f t="shared" si="11"/>
        <v>74.95</v>
      </c>
      <c r="K739" t="s">
        <v>22</v>
      </c>
      <c r="L739" t="s">
        <v>17</v>
      </c>
      <c r="M739" t="str">
        <f>REPLACE(Transactions!M739,1,4,"")</f>
        <v/>
      </c>
    </row>
    <row r="740" spans="1:13" x14ac:dyDescent="0.2">
      <c r="A740">
        <v>223295</v>
      </c>
      <c r="B740" s="5">
        <v>45418</v>
      </c>
      <c r="C740">
        <v>98694</v>
      </c>
      <c r="D740" t="str">
        <f>PROPER(Transactions!D740)</f>
        <v>Automotive</v>
      </c>
      <c r="E740" t="s">
        <v>111</v>
      </c>
      <c r="F740" t="s">
        <v>112</v>
      </c>
      <c r="G740">
        <v>1</v>
      </c>
      <c r="H740">
        <v>11.99</v>
      </c>
      <c r="I740" s="7">
        <f>IF(Transactions!I740="",0,Transactions!I740)</f>
        <v>0.2</v>
      </c>
      <c r="J740" s="9">
        <f t="shared" si="11"/>
        <v>9.5920000000000005</v>
      </c>
      <c r="K740" t="s">
        <v>95</v>
      </c>
      <c r="L740" t="s">
        <v>17</v>
      </c>
      <c r="M740" t="str">
        <f>REPLACE(Transactions!M740,1,4,"")</f>
        <v>5</v>
      </c>
    </row>
    <row r="741" spans="1:13" x14ac:dyDescent="0.2">
      <c r="A741">
        <v>223461</v>
      </c>
      <c r="B741" s="5">
        <v>45155</v>
      </c>
      <c r="D741" t="str">
        <f>PROPER(Transactions!D741)</f>
        <v>Clothing</v>
      </c>
      <c r="E741" t="s">
        <v>121</v>
      </c>
      <c r="F741" t="s">
        <v>122</v>
      </c>
      <c r="G741">
        <v>2</v>
      </c>
      <c r="H741">
        <v>12.99</v>
      </c>
      <c r="I741" s="7">
        <f>IF(Transactions!I741="",0,Transactions!I741)</f>
        <v>0</v>
      </c>
      <c r="J741" s="9">
        <f t="shared" si="11"/>
        <v>25.98</v>
      </c>
      <c r="K741" t="s">
        <v>16</v>
      </c>
      <c r="L741" t="s">
        <v>23</v>
      </c>
      <c r="M741" t="str">
        <f>REPLACE(Transactions!M741,1,4,"")</f>
        <v>11</v>
      </c>
    </row>
    <row r="742" spans="1:13" x14ac:dyDescent="0.2">
      <c r="A742">
        <v>223499</v>
      </c>
      <c r="B742" s="5">
        <v>45301</v>
      </c>
      <c r="C742">
        <v>97944</v>
      </c>
      <c r="D742" t="str">
        <f>PROPER(Transactions!D742)</f>
        <v>Grocery</v>
      </c>
      <c r="E742" t="s">
        <v>74</v>
      </c>
      <c r="F742" t="s">
        <v>75</v>
      </c>
      <c r="G742">
        <v>2</v>
      </c>
      <c r="H742">
        <v>2.54</v>
      </c>
      <c r="I742" s="7">
        <f>IF(Transactions!I742="",0,Transactions!I742)</f>
        <v>0.15</v>
      </c>
      <c r="J742" s="9">
        <f t="shared" si="11"/>
        <v>4.3179999999999996</v>
      </c>
      <c r="K742" t="s">
        <v>22</v>
      </c>
      <c r="L742" t="s">
        <v>17</v>
      </c>
      <c r="M742" t="str">
        <f>REPLACE(Transactions!M742,1,4,"")</f>
        <v>20</v>
      </c>
    </row>
    <row r="743" spans="1:13" x14ac:dyDescent="0.2">
      <c r="A743">
        <v>223621</v>
      </c>
      <c r="B743" s="5">
        <v>45379</v>
      </c>
      <c r="C743">
        <v>80268</v>
      </c>
      <c r="D743" t="str">
        <f>PROPER(Transactions!D743)</f>
        <v>Grocery</v>
      </c>
      <c r="E743" t="s">
        <v>45</v>
      </c>
      <c r="F743" t="s">
        <v>46</v>
      </c>
      <c r="G743">
        <v>1</v>
      </c>
      <c r="H743">
        <v>1.79</v>
      </c>
      <c r="I743" s="7">
        <f>IF(Transactions!I743="",0,Transactions!I743)</f>
        <v>0</v>
      </c>
      <c r="J743" s="9">
        <f t="shared" si="11"/>
        <v>1.79</v>
      </c>
      <c r="K743" t="s">
        <v>22</v>
      </c>
      <c r="L743" t="s">
        <v>17</v>
      </c>
      <c r="M743" t="str">
        <f>REPLACE(Transactions!M743,1,4,"")</f>
        <v>2</v>
      </c>
    </row>
    <row r="744" spans="1:13" x14ac:dyDescent="0.2">
      <c r="A744">
        <v>223711</v>
      </c>
      <c r="B744" s="5">
        <v>44825</v>
      </c>
      <c r="C744">
        <v>93950</v>
      </c>
      <c r="D744" t="str">
        <f>PROPER(Transactions!D744)</f>
        <v>Pharmacy</v>
      </c>
      <c r="E744" t="s">
        <v>20</v>
      </c>
      <c r="F744" t="s">
        <v>21</v>
      </c>
      <c r="G744">
        <v>3</v>
      </c>
      <c r="H744">
        <v>9.99</v>
      </c>
      <c r="I744" s="7">
        <f>IF(Transactions!I744="",0,Transactions!I744)</f>
        <v>0</v>
      </c>
      <c r="J744" s="9">
        <f t="shared" si="11"/>
        <v>29.97</v>
      </c>
      <c r="K744" t="s">
        <v>16</v>
      </c>
      <c r="L744" t="s">
        <v>17</v>
      </c>
      <c r="M744" t="str">
        <f>REPLACE(Transactions!M744,1,4,"")</f>
        <v>2</v>
      </c>
    </row>
    <row r="745" spans="1:13" x14ac:dyDescent="0.2">
      <c r="A745">
        <v>223967</v>
      </c>
      <c r="B745" s="5">
        <v>45298</v>
      </c>
      <c r="C745">
        <v>50760</v>
      </c>
      <c r="D745" t="str">
        <f>PROPER(Transactions!D745)</f>
        <v>Furniture</v>
      </c>
      <c r="E745" t="s">
        <v>26</v>
      </c>
      <c r="F745" t="s">
        <v>27</v>
      </c>
      <c r="G745">
        <v>1</v>
      </c>
      <c r="H745">
        <v>33.24</v>
      </c>
      <c r="I745" s="7">
        <f>IF(Transactions!I745="",0,Transactions!I745)</f>
        <v>0.05</v>
      </c>
      <c r="J745" s="9">
        <f t="shared" si="11"/>
        <v>31.577999999999999</v>
      </c>
      <c r="K745" t="s">
        <v>22</v>
      </c>
      <c r="L745" t="s">
        <v>17</v>
      </c>
      <c r="M745" t="str">
        <f>REPLACE(Transactions!M745,1,4,"")</f>
        <v>20</v>
      </c>
    </row>
    <row r="746" spans="1:13" x14ac:dyDescent="0.2">
      <c r="A746">
        <v>224218</v>
      </c>
      <c r="B746" s="5">
        <v>44943</v>
      </c>
      <c r="C746">
        <v>79191</v>
      </c>
      <c r="D746" t="str">
        <f>PROPER(Transactions!D746)</f>
        <v>Toys</v>
      </c>
      <c r="E746" t="s">
        <v>88</v>
      </c>
      <c r="F746" t="s">
        <v>89</v>
      </c>
      <c r="G746">
        <v>4</v>
      </c>
      <c r="H746">
        <v>47.49</v>
      </c>
      <c r="I746" s="7">
        <f>IF(Transactions!I746="",0,Transactions!I746)</f>
        <v>0.05</v>
      </c>
      <c r="J746" s="9">
        <f t="shared" si="11"/>
        <v>180.46199999999999</v>
      </c>
      <c r="K746" t="s">
        <v>36</v>
      </c>
      <c r="L746" t="s">
        <v>17</v>
      </c>
      <c r="M746" t="str">
        <f>REPLACE(Transactions!M746,1,4,"")</f>
        <v>3</v>
      </c>
    </row>
    <row r="747" spans="1:13" x14ac:dyDescent="0.2">
      <c r="A747">
        <v>224274</v>
      </c>
      <c r="B747" s="5">
        <v>45515</v>
      </c>
      <c r="C747">
        <v>88686</v>
      </c>
      <c r="D747" t="str">
        <f>PROPER(Transactions!D747)</f>
        <v>Grocery</v>
      </c>
      <c r="E747" t="s">
        <v>162</v>
      </c>
      <c r="F747" t="s">
        <v>163</v>
      </c>
      <c r="G747">
        <v>2</v>
      </c>
      <c r="H747">
        <v>7.19</v>
      </c>
      <c r="I747" s="7">
        <f>IF(Transactions!I747="",0,Transactions!I747)</f>
        <v>0.1</v>
      </c>
      <c r="J747" s="9">
        <f t="shared" si="11"/>
        <v>12.942</v>
      </c>
      <c r="K747" t="s">
        <v>36</v>
      </c>
      <c r="L747" t="s">
        <v>23</v>
      </c>
      <c r="M747" t="str">
        <f>REPLACE(Transactions!M747,1,4,"")</f>
        <v>7</v>
      </c>
    </row>
    <row r="748" spans="1:13" x14ac:dyDescent="0.2">
      <c r="A748">
        <v>224279</v>
      </c>
      <c r="B748" s="5">
        <v>44780</v>
      </c>
      <c r="C748">
        <v>59147</v>
      </c>
      <c r="D748" t="str">
        <f>PROPER(Transactions!D748)</f>
        <v>Beauty</v>
      </c>
      <c r="E748" t="s">
        <v>139</v>
      </c>
      <c r="F748" t="s">
        <v>140</v>
      </c>
      <c r="G748">
        <v>2</v>
      </c>
      <c r="H748">
        <v>5.59</v>
      </c>
      <c r="I748" s="7">
        <f>IF(Transactions!I748="",0,Transactions!I748)</f>
        <v>0</v>
      </c>
      <c r="J748" s="9">
        <f t="shared" si="11"/>
        <v>11.18</v>
      </c>
      <c r="K748" t="s">
        <v>36</v>
      </c>
      <c r="L748" t="s">
        <v>37</v>
      </c>
      <c r="M748" t="str">
        <f>REPLACE(Transactions!M748,1,4,"")</f>
        <v>19</v>
      </c>
    </row>
    <row r="749" spans="1:13" x14ac:dyDescent="0.2">
      <c r="A749">
        <v>224586</v>
      </c>
      <c r="B749" s="5">
        <v>45347</v>
      </c>
      <c r="C749">
        <v>19382</v>
      </c>
      <c r="D749" t="str">
        <f>PROPER(Transactions!D749)</f>
        <v>Furniture</v>
      </c>
      <c r="E749" t="s">
        <v>26</v>
      </c>
      <c r="F749" t="s">
        <v>27</v>
      </c>
      <c r="G749">
        <v>3</v>
      </c>
      <c r="H749">
        <v>27.99</v>
      </c>
      <c r="I749" s="7">
        <f>IF(Transactions!I749="",0,Transactions!I749)</f>
        <v>0.2</v>
      </c>
      <c r="J749" s="9">
        <f t="shared" si="11"/>
        <v>67.176000000000002</v>
      </c>
      <c r="K749" t="s">
        <v>16</v>
      </c>
      <c r="L749" t="s">
        <v>17</v>
      </c>
      <c r="M749" t="str">
        <f>REPLACE(Transactions!M749,1,4,"")</f>
        <v>10</v>
      </c>
    </row>
    <row r="750" spans="1:13" x14ac:dyDescent="0.2">
      <c r="A750">
        <v>224921</v>
      </c>
      <c r="B750" s="5">
        <v>44598</v>
      </c>
      <c r="D750" t="str">
        <f>PROPER(Transactions!D750)</f>
        <v>Toys</v>
      </c>
      <c r="E750" t="s">
        <v>175</v>
      </c>
      <c r="F750" t="s">
        <v>176</v>
      </c>
      <c r="G750">
        <v>5</v>
      </c>
      <c r="H750">
        <v>11.99</v>
      </c>
      <c r="I750" s="7">
        <f>IF(Transactions!I750="",0,Transactions!I750)</f>
        <v>0</v>
      </c>
      <c r="J750" s="9">
        <f t="shared" si="11"/>
        <v>59.95</v>
      </c>
      <c r="K750" t="s">
        <v>36</v>
      </c>
      <c r="L750" t="s">
        <v>17</v>
      </c>
      <c r="M750" t="str">
        <f>REPLACE(Transactions!M750,1,4,"")</f>
        <v>6</v>
      </c>
    </row>
    <row r="751" spans="1:13" x14ac:dyDescent="0.2">
      <c r="A751">
        <v>225036</v>
      </c>
      <c r="B751" s="5">
        <v>44625</v>
      </c>
      <c r="C751">
        <v>26740</v>
      </c>
      <c r="D751" t="str">
        <f>PROPER(Transactions!D751)</f>
        <v>Beauty</v>
      </c>
      <c r="E751" t="s">
        <v>179</v>
      </c>
      <c r="F751" t="s">
        <v>180</v>
      </c>
      <c r="G751">
        <v>2</v>
      </c>
      <c r="H751">
        <v>8.39</v>
      </c>
      <c r="I751" s="7">
        <f>IF(Transactions!I751="",0,Transactions!I751)</f>
        <v>0.3</v>
      </c>
      <c r="J751" s="9">
        <f t="shared" si="11"/>
        <v>11.746</v>
      </c>
      <c r="K751" t="s">
        <v>16</v>
      </c>
      <c r="L751" t="s">
        <v>37</v>
      </c>
      <c r="M751" t="str">
        <f>REPLACE(Transactions!M751,1,4,"")</f>
        <v>10</v>
      </c>
    </row>
    <row r="752" spans="1:13" x14ac:dyDescent="0.2">
      <c r="A752">
        <v>225165</v>
      </c>
      <c r="B752" s="5">
        <v>45456</v>
      </c>
      <c r="C752">
        <v>26114</v>
      </c>
      <c r="D752" t="str">
        <f>PROPER(Transactions!D752)</f>
        <v>Home &amp; Garden</v>
      </c>
      <c r="E752" t="s">
        <v>145</v>
      </c>
      <c r="F752" t="s">
        <v>146</v>
      </c>
      <c r="G752">
        <v>2</v>
      </c>
      <c r="H752">
        <v>16.14</v>
      </c>
      <c r="I752" s="7">
        <f>IF(Transactions!I752="",0,Transactions!I752)</f>
        <v>0.05</v>
      </c>
      <c r="J752" s="9">
        <f t="shared" si="11"/>
        <v>30.666</v>
      </c>
      <c r="K752" t="s">
        <v>16</v>
      </c>
      <c r="L752" t="s">
        <v>17</v>
      </c>
      <c r="M752" t="str">
        <f>REPLACE(Transactions!M752,1,4,"")</f>
        <v>12</v>
      </c>
    </row>
    <row r="753" spans="1:13" x14ac:dyDescent="0.2">
      <c r="A753">
        <v>225166</v>
      </c>
      <c r="B753" s="5">
        <v>45037</v>
      </c>
      <c r="C753">
        <v>96633</v>
      </c>
      <c r="D753" t="str">
        <f>PROPER(Transactions!D753)</f>
        <v>Clothing</v>
      </c>
      <c r="E753" t="s">
        <v>98</v>
      </c>
      <c r="F753" t="s">
        <v>99</v>
      </c>
      <c r="G753">
        <v>1</v>
      </c>
      <c r="H753">
        <v>20.99</v>
      </c>
      <c r="I753" s="7">
        <f>IF(Transactions!I753="",0,Transactions!I753)</f>
        <v>0.25</v>
      </c>
      <c r="J753" s="9">
        <f t="shared" si="11"/>
        <v>15.7425</v>
      </c>
      <c r="K753" t="s">
        <v>22</v>
      </c>
      <c r="L753" t="s">
        <v>17</v>
      </c>
      <c r="M753" t="str">
        <f>REPLACE(Transactions!M753,1,4,"")</f>
        <v>1</v>
      </c>
    </row>
    <row r="754" spans="1:13" x14ac:dyDescent="0.2">
      <c r="A754">
        <v>225246</v>
      </c>
      <c r="B754" s="5">
        <v>45537</v>
      </c>
      <c r="D754" t="str">
        <f>PROPER(Transactions!D754)</f>
        <v>Pharmacy</v>
      </c>
      <c r="E754" t="s">
        <v>58</v>
      </c>
      <c r="F754" t="s">
        <v>59</v>
      </c>
      <c r="G754">
        <v>2</v>
      </c>
      <c r="H754">
        <v>3.19</v>
      </c>
      <c r="I754" s="7">
        <f>IF(Transactions!I754="",0,Transactions!I754)</f>
        <v>0.2</v>
      </c>
      <c r="J754" s="9">
        <f t="shared" si="11"/>
        <v>5.1040000000000001</v>
      </c>
      <c r="K754" t="s">
        <v>22</v>
      </c>
      <c r="L754" t="s">
        <v>17</v>
      </c>
      <c r="M754" t="str">
        <f>REPLACE(Transactions!M754,1,4,"")</f>
        <v>8</v>
      </c>
    </row>
    <row r="755" spans="1:13" x14ac:dyDescent="0.2">
      <c r="A755">
        <v>225614</v>
      </c>
      <c r="B755" s="5">
        <v>45527</v>
      </c>
      <c r="C755">
        <v>47194</v>
      </c>
      <c r="D755" t="str">
        <f>PROPER(Transactions!D755)</f>
        <v>Automotive</v>
      </c>
      <c r="E755" t="s">
        <v>125</v>
      </c>
      <c r="F755" t="s">
        <v>126</v>
      </c>
      <c r="G755">
        <v>1</v>
      </c>
      <c r="H755">
        <v>28.49</v>
      </c>
      <c r="I755" s="7">
        <f>IF(Transactions!I755="",0,Transactions!I755)</f>
        <v>0.05</v>
      </c>
      <c r="J755" s="9">
        <f t="shared" si="11"/>
        <v>27.065499999999997</v>
      </c>
      <c r="K755" t="s">
        <v>36</v>
      </c>
      <c r="L755" t="s">
        <v>37</v>
      </c>
      <c r="M755" t="str">
        <f>REPLACE(Transactions!M755,1,4,"")</f>
        <v>18</v>
      </c>
    </row>
    <row r="756" spans="1:13" x14ac:dyDescent="0.2">
      <c r="A756">
        <v>225669</v>
      </c>
      <c r="B756" s="5">
        <v>45107</v>
      </c>
      <c r="C756">
        <v>32710</v>
      </c>
      <c r="D756" t="str">
        <f>PROPER(Transactions!D756)</f>
        <v>Automotive</v>
      </c>
      <c r="E756" t="s">
        <v>64</v>
      </c>
      <c r="F756" t="s">
        <v>65</v>
      </c>
      <c r="G756">
        <v>1</v>
      </c>
      <c r="H756">
        <v>3.74</v>
      </c>
      <c r="I756" s="7">
        <f>IF(Transactions!I756="",0,Transactions!I756)</f>
        <v>0.25</v>
      </c>
      <c r="J756" s="9">
        <f t="shared" si="11"/>
        <v>2.8050000000000002</v>
      </c>
      <c r="K756" t="s">
        <v>16</v>
      </c>
      <c r="L756" t="s">
        <v>17</v>
      </c>
      <c r="M756" t="str">
        <f>REPLACE(Transactions!M756,1,4,"")</f>
        <v>9</v>
      </c>
    </row>
    <row r="757" spans="1:13" x14ac:dyDescent="0.2">
      <c r="A757">
        <v>225701</v>
      </c>
      <c r="B757" s="5">
        <v>45291</v>
      </c>
      <c r="D757" t="str">
        <f>PROPER(Transactions!D757)</f>
        <v>Home &amp; Garden</v>
      </c>
      <c r="E757" t="s">
        <v>157</v>
      </c>
      <c r="F757" t="s">
        <v>158</v>
      </c>
      <c r="G757">
        <v>4</v>
      </c>
      <c r="H757">
        <v>13.49</v>
      </c>
      <c r="I757" s="7">
        <f>IF(Transactions!I757="",0,Transactions!I757)</f>
        <v>0</v>
      </c>
      <c r="J757" s="9">
        <f t="shared" si="11"/>
        <v>53.96</v>
      </c>
      <c r="K757" t="s">
        <v>22</v>
      </c>
      <c r="L757" t="s">
        <v>37</v>
      </c>
      <c r="M757" t="str">
        <f>REPLACE(Transactions!M757,1,4,"")</f>
        <v>2</v>
      </c>
    </row>
    <row r="758" spans="1:13" x14ac:dyDescent="0.2">
      <c r="A758">
        <v>225794</v>
      </c>
      <c r="B758" s="5">
        <v>45297</v>
      </c>
      <c r="C758">
        <v>86357</v>
      </c>
      <c r="D758" t="str">
        <f>PROPER(Transactions!D758)</f>
        <v>Furniture</v>
      </c>
      <c r="E758" t="s">
        <v>113</v>
      </c>
      <c r="F758" t="s">
        <v>114</v>
      </c>
      <c r="G758">
        <v>1</v>
      </c>
      <c r="H758">
        <v>119.99</v>
      </c>
      <c r="I758" s="7">
        <f>IF(Transactions!I758="",0,Transactions!I758)</f>
        <v>0</v>
      </c>
      <c r="J758" s="9">
        <f t="shared" si="11"/>
        <v>119.99</v>
      </c>
      <c r="K758" t="s">
        <v>66</v>
      </c>
      <c r="L758" t="s">
        <v>17</v>
      </c>
      <c r="M758" t="str">
        <f>REPLACE(Transactions!M758,1,4,"")</f>
        <v>6</v>
      </c>
    </row>
    <row r="759" spans="1:13" x14ac:dyDescent="0.2">
      <c r="A759">
        <v>225811</v>
      </c>
      <c r="B759" s="5">
        <v>45286</v>
      </c>
      <c r="C759">
        <v>77146</v>
      </c>
      <c r="D759" t="str">
        <f>PROPER(Transactions!D759)</f>
        <v>Sports</v>
      </c>
      <c r="E759" t="s">
        <v>147</v>
      </c>
      <c r="F759" t="s">
        <v>148</v>
      </c>
      <c r="G759">
        <v>3</v>
      </c>
      <c r="H759">
        <v>9.74</v>
      </c>
      <c r="I759" s="7">
        <f>IF(Transactions!I759="",0,Transactions!I759)</f>
        <v>0.25</v>
      </c>
      <c r="J759" s="9">
        <f t="shared" si="11"/>
        <v>21.914999999999999</v>
      </c>
      <c r="K759" t="s">
        <v>36</v>
      </c>
      <c r="L759" t="s">
        <v>17</v>
      </c>
      <c r="M759" t="str">
        <f>REPLACE(Transactions!M759,1,4,"")</f>
        <v>19</v>
      </c>
    </row>
    <row r="760" spans="1:13" x14ac:dyDescent="0.2">
      <c r="A760">
        <v>226016</v>
      </c>
      <c r="B760" s="5">
        <v>44765</v>
      </c>
      <c r="C760">
        <v>24165</v>
      </c>
      <c r="D760" t="str">
        <f>PROPER(Transactions!D760)</f>
        <v>Electronics</v>
      </c>
      <c r="E760" t="s">
        <v>79</v>
      </c>
      <c r="F760" t="s">
        <v>80</v>
      </c>
      <c r="G760">
        <v>1</v>
      </c>
      <c r="H760">
        <v>85.49</v>
      </c>
      <c r="I760" s="7">
        <f>IF(Transactions!I760="",0,Transactions!I760)</f>
        <v>0.05</v>
      </c>
      <c r="J760" s="9">
        <f t="shared" si="11"/>
        <v>81.215499999999992</v>
      </c>
      <c r="K760" t="s">
        <v>22</v>
      </c>
      <c r="L760" t="s">
        <v>17</v>
      </c>
      <c r="M760" t="str">
        <f>REPLACE(Transactions!M760,1,4,"")</f>
        <v>10</v>
      </c>
    </row>
    <row r="761" spans="1:13" x14ac:dyDescent="0.2">
      <c r="A761">
        <v>226075</v>
      </c>
      <c r="B761" s="5">
        <v>45327</v>
      </c>
      <c r="C761">
        <v>81387</v>
      </c>
      <c r="D761" t="str">
        <f>PROPER(Transactions!D761)</f>
        <v>Electronics</v>
      </c>
      <c r="E761" t="s">
        <v>14</v>
      </c>
      <c r="F761" t="s">
        <v>15</v>
      </c>
      <c r="G761">
        <v>2</v>
      </c>
      <c r="H761">
        <v>63.99</v>
      </c>
      <c r="I761" s="7">
        <f>IF(Transactions!I761="",0,Transactions!I761)</f>
        <v>0.2</v>
      </c>
      <c r="J761" s="9">
        <f t="shared" si="11"/>
        <v>102.38400000000001</v>
      </c>
      <c r="K761" t="s">
        <v>36</v>
      </c>
      <c r="L761" t="s">
        <v>37</v>
      </c>
      <c r="M761" t="str">
        <f>REPLACE(Transactions!M761,1,4,"")</f>
        <v>14</v>
      </c>
    </row>
    <row r="762" spans="1:13" x14ac:dyDescent="0.2">
      <c r="A762">
        <v>226088</v>
      </c>
      <c r="B762" s="5">
        <v>45291</v>
      </c>
      <c r="C762">
        <v>83004</v>
      </c>
      <c r="D762" t="str">
        <f>PROPER(Transactions!D762)</f>
        <v>Clothing</v>
      </c>
      <c r="E762" t="s">
        <v>181</v>
      </c>
      <c r="F762" t="s">
        <v>182</v>
      </c>
      <c r="G762">
        <v>1</v>
      </c>
      <c r="H762">
        <v>14.99</v>
      </c>
      <c r="I762" s="7">
        <f>IF(Transactions!I762="",0,Transactions!I762)</f>
        <v>0</v>
      </c>
      <c r="J762" s="9">
        <f t="shared" si="11"/>
        <v>14.99</v>
      </c>
      <c r="K762" t="s">
        <v>36</v>
      </c>
      <c r="L762" t="s">
        <v>37</v>
      </c>
      <c r="M762" t="str">
        <f>REPLACE(Transactions!M762,1,4,"")</f>
        <v>6</v>
      </c>
    </row>
    <row r="763" spans="1:13" x14ac:dyDescent="0.2">
      <c r="A763">
        <v>226250</v>
      </c>
      <c r="B763" s="5">
        <v>44867</v>
      </c>
      <c r="C763">
        <v>91909</v>
      </c>
      <c r="D763" t="str">
        <f>PROPER(Transactions!D763)</f>
        <v>Grocery</v>
      </c>
      <c r="E763" t="s">
        <v>162</v>
      </c>
      <c r="F763" t="s">
        <v>163</v>
      </c>
      <c r="G763">
        <v>5</v>
      </c>
      <c r="H763">
        <v>5.59</v>
      </c>
      <c r="I763" s="7">
        <f>IF(Transactions!I763="",0,Transactions!I763)</f>
        <v>0.3</v>
      </c>
      <c r="J763" s="9">
        <f t="shared" si="11"/>
        <v>19.564999999999998</v>
      </c>
      <c r="K763" t="s">
        <v>36</v>
      </c>
      <c r="L763" t="s">
        <v>37</v>
      </c>
      <c r="M763" t="str">
        <f>REPLACE(Transactions!M763,1,4,"")</f>
        <v>19</v>
      </c>
    </row>
    <row r="764" spans="1:13" x14ac:dyDescent="0.2">
      <c r="A764">
        <v>226446</v>
      </c>
      <c r="B764" s="5">
        <v>45123</v>
      </c>
      <c r="C764">
        <v>19368</v>
      </c>
      <c r="D764" t="str">
        <f>PROPER(Transactions!D764)</f>
        <v>Grocery</v>
      </c>
      <c r="E764" t="s">
        <v>133</v>
      </c>
      <c r="F764" t="s">
        <v>134</v>
      </c>
      <c r="G764">
        <v>2</v>
      </c>
      <c r="H764">
        <v>3.03</v>
      </c>
      <c r="I764" s="7">
        <f>IF(Transactions!I764="",0,Transactions!I764)</f>
        <v>0.2</v>
      </c>
      <c r="J764" s="9">
        <f t="shared" si="11"/>
        <v>4.8479999999999999</v>
      </c>
      <c r="K764" t="s">
        <v>95</v>
      </c>
      <c r="L764" t="s">
        <v>17</v>
      </c>
      <c r="M764" t="str">
        <f>REPLACE(Transactions!M764,1,4,"")</f>
        <v>7</v>
      </c>
    </row>
    <row r="765" spans="1:13" x14ac:dyDescent="0.2">
      <c r="A765">
        <v>226643</v>
      </c>
      <c r="B765" s="5">
        <v>45073</v>
      </c>
      <c r="C765">
        <v>58238</v>
      </c>
      <c r="D765" t="str">
        <f>PROPER(Transactions!D765)</f>
        <v>Sports</v>
      </c>
      <c r="E765" t="s">
        <v>147</v>
      </c>
      <c r="F765" t="s">
        <v>148</v>
      </c>
      <c r="G765">
        <v>1</v>
      </c>
      <c r="H765">
        <v>9.74</v>
      </c>
      <c r="I765" s="7">
        <f>IF(Transactions!I765="",0,Transactions!I765)</f>
        <v>0.25</v>
      </c>
      <c r="J765" s="9">
        <f t="shared" si="11"/>
        <v>7.3049999999999997</v>
      </c>
      <c r="K765" t="s">
        <v>36</v>
      </c>
      <c r="L765" t="s">
        <v>17</v>
      </c>
      <c r="M765" t="str">
        <f>REPLACE(Transactions!M765,1,4,"")</f>
        <v>18</v>
      </c>
    </row>
    <row r="766" spans="1:13" x14ac:dyDescent="0.2">
      <c r="A766">
        <v>226696</v>
      </c>
      <c r="B766" s="5">
        <v>45042</v>
      </c>
      <c r="C766">
        <v>14100</v>
      </c>
      <c r="D766" t="str">
        <f>PROPER(Transactions!D766)</f>
        <v>Beauty</v>
      </c>
      <c r="E766" t="s">
        <v>109</v>
      </c>
      <c r="F766" t="s">
        <v>110</v>
      </c>
      <c r="G766">
        <v>2</v>
      </c>
      <c r="H766">
        <v>5.24</v>
      </c>
      <c r="I766" s="7">
        <f>IF(Transactions!I766="",0,Transactions!I766)</f>
        <v>0.25</v>
      </c>
      <c r="J766" s="9">
        <f t="shared" si="11"/>
        <v>7.86</v>
      </c>
      <c r="K766" t="s">
        <v>36</v>
      </c>
      <c r="L766" t="s">
        <v>37</v>
      </c>
      <c r="M766" t="str">
        <f>REPLACE(Transactions!M766,1,4,"")</f>
        <v>15</v>
      </c>
    </row>
    <row r="767" spans="1:13" x14ac:dyDescent="0.2">
      <c r="A767">
        <v>226947</v>
      </c>
      <c r="B767" s="5">
        <v>44722</v>
      </c>
      <c r="C767">
        <v>82239</v>
      </c>
      <c r="D767" t="str">
        <f>PROPER(Transactions!D767)</f>
        <v>Sports</v>
      </c>
      <c r="E767" t="s">
        <v>168</v>
      </c>
      <c r="F767" t="s">
        <v>169</v>
      </c>
      <c r="G767">
        <v>2</v>
      </c>
      <c r="H767">
        <v>7.64</v>
      </c>
      <c r="I767" s="7">
        <f>IF(Transactions!I767="",0,Transactions!I767)</f>
        <v>0.15</v>
      </c>
      <c r="J767" s="9">
        <f t="shared" si="11"/>
        <v>12.988</v>
      </c>
      <c r="K767" t="s">
        <v>16</v>
      </c>
      <c r="L767" t="s">
        <v>17</v>
      </c>
      <c r="M767" t="str">
        <f>REPLACE(Transactions!M767,1,4,"")</f>
        <v>7</v>
      </c>
    </row>
    <row r="768" spans="1:13" x14ac:dyDescent="0.2">
      <c r="A768">
        <v>227064</v>
      </c>
      <c r="B768" s="5">
        <v>44871</v>
      </c>
      <c r="C768">
        <v>45859</v>
      </c>
      <c r="D768" t="str">
        <f>PROPER(Transactions!D768)</f>
        <v>Pharmacy</v>
      </c>
      <c r="E768" t="s">
        <v>115</v>
      </c>
      <c r="F768" t="s">
        <v>116</v>
      </c>
      <c r="G768">
        <v>1</v>
      </c>
      <c r="H768">
        <v>12.34</v>
      </c>
      <c r="I768" s="7">
        <f>IF(Transactions!I768="",0,Transactions!I768)</f>
        <v>0.05</v>
      </c>
      <c r="J768" s="9">
        <f t="shared" si="11"/>
        <v>11.722999999999999</v>
      </c>
      <c r="K768" t="s">
        <v>16</v>
      </c>
      <c r="L768" t="s">
        <v>17</v>
      </c>
      <c r="M768" t="str">
        <f>REPLACE(Transactions!M768,1,4,"")</f>
        <v>17</v>
      </c>
    </row>
    <row r="769" spans="1:13" x14ac:dyDescent="0.2">
      <c r="A769">
        <v>227081</v>
      </c>
      <c r="B769" s="5">
        <v>45212</v>
      </c>
      <c r="C769">
        <v>60083</v>
      </c>
      <c r="D769" t="str">
        <f>PROPER(Transactions!D769)</f>
        <v>Electronics</v>
      </c>
      <c r="E769" t="s">
        <v>159</v>
      </c>
      <c r="F769" t="s">
        <v>160</v>
      </c>
      <c r="G769">
        <v>1</v>
      </c>
      <c r="H769">
        <v>44.99</v>
      </c>
      <c r="I769" s="7">
        <f>IF(Transactions!I769="",0,Transactions!I769)</f>
        <v>0.25</v>
      </c>
      <c r="J769" s="9">
        <f t="shared" si="11"/>
        <v>33.7425</v>
      </c>
      <c r="K769" t="s">
        <v>16</v>
      </c>
      <c r="L769" t="s">
        <v>17</v>
      </c>
      <c r="M769" t="str">
        <f>REPLACE(Transactions!M769,1,4,"")</f>
        <v>6</v>
      </c>
    </row>
    <row r="770" spans="1:13" x14ac:dyDescent="0.2">
      <c r="A770">
        <v>227143</v>
      </c>
      <c r="B770" s="5">
        <v>45604</v>
      </c>
      <c r="C770">
        <v>78295</v>
      </c>
      <c r="D770" t="str">
        <f>PROPER(Transactions!D770)</f>
        <v>Furniture</v>
      </c>
      <c r="E770" t="s">
        <v>26</v>
      </c>
      <c r="F770" t="s">
        <v>27</v>
      </c>
      <c r="G770">
        <v>1</v>
      </c>
      <c r="H770">
        <v>34.99</v>
      </c>
      <c r="I770" s="7">
        <f>IF(Transactions!I770="",0,Transactions!I770)</f>
        <v>0</v>
      </c>
      <c r="J770" s="9">
        <f t="shared" si="11"/>
        <v>34.99</v>
      </c>
      <c r="K770" t="s">
        <v>53</v>
      </c>
      <c r="L770" t="s">
        <v>37</v>
      </c>
      <c r="M770" t="str">
        <f>REPLACE(Transactions!M770,1,4,"")</f>
        <v>19</v>
      </c>
    </row>
    <row r="771" spans="1:13" x14ac:dyDescent="0.2">
      <c r="A771">
        <v>227235</v>
      </c>
      <c r="B771" s="5">
        <v>45581</v>
      </c>
      <c r="C771">
        <v>60237</v>
      </c>
      <c r="D771" t="str">
        <f>PROPER(Transactions!D771)</f>
        <v>Grocery</v>
      </c>
      <c r="E771" t="s">
        <v>195</v>
      </c>
      <c r="F771" t="s">
        <v>196</v>
      </c>
      <c r="G771">
        <v>1</v>
      </c>
      <c r="H771">
        <v>4.99</v>
      </c>
      <c r="I771" s="7">
        <f>IF(Transactions!I771="",0,Transactions!I771)</f>
        <v>0</v>
      </c>
      <c r="J771" s="9">
        <f t="shared" ref="J771:J834" si="12">(H771*G771)*(1-I771)</f>
        <v>4.99</v>
      </c>
      <c r="K771" t="s">
        <v>95</v>
      </c>
      <c r="L771" t="s">
        <v>17</v>
      </c>
      <c r="M771" t="str">
        <f>REPLACE(Transactions!M771,1,4,"")</f>
        <v>20</v>
      </c>
    </row>
    <row r="772" spans="1:13" x14ac:dyDescent="0.2">
      <c r="A772">
        <v>227281</v>
      </c>
      <c r="B772" s="5">
        <v>44764</v>
      </c>
      <c r="C772">
        <v>77919</v>
      </c>
      <c r="D772" t="str">
        <f>PROPER(Transactions!D772)</f>
        <v>Beauty</v>
      </c>
      <c r="E772" t="s">
        <v>139</v>
      </c>
      <c r="F772" t="s">
        <v>140</v>
      </c>
      <c r="G772">
        <v>5</v>
      </c>
      <c r="H772">
        <v>7.99</v>
      </c>
      <c r="I772" s="7">
        <f>IF(Transactions!I772="",0,Transactions!I772)</f>
        <v>0</v>
      </c>
      <c r="J772" s="9">
        <f t="shared" si="12"/>
        <v>39.950000000000003</v>
      </c>
      <c r="K772" t="s">
        <v>36</v>
      </c>
      <c r="L772" t="s">
        <v>17</v>
      </c>
      <c r="M772" t="str">
        <f>REPLACE(Transactions!M772,1,4,"")</f>
        <v>11</v>
      </c>
    </row>
    <row r="773" spans="1:13" x14ac:dyDescent="0.2">
      <c r="A773">
        <v>227310</v>
      </c>
      <c r="B773" s="5">
        <v>45492</v>
      </c>
      <c r="D773" t="str">
        <f>PROPER(Transactions!D773)</f>
        <v>Beauty</v>
      </c>
      <c r="E773" t="s">
        <v>49</v>
      </c>
      <c r="F773" t="s">
        <v>50</v>
      </c>
      <c r="G773">
        <v>4</v>
      </c>
      <c r="H773">
        <v>6.74</v>
      </c>
      <c r="I773" s="7">
        <f>IF(Transactions!I773="",0,Transactions!I773)</f>
        <v>0.25</v>
      </c>
      <c r="J773" s="9">
        <f t="shared" si="12"/>
        <v>20.22</v>
      </c>
      <c r="K773" t="s">
        <v>16</v>
      </c>
      <c r="L773" t="s">
        <v>23</v>
      </c>
      <c r="M773" t="str">
        <f>REPLACE(Transactions!M773,1,4,"")</f>
        <v>2</v>
      </c>
    </row>
    <row r="774" spans="1:13" x14ac:dyDescent="0.2">
      <c r="A774">
        <v>227387</v>
      </c>
      <c r="B774" s="5">
        <v>44944</v>
      </c>
      <c r="C774">
        <v>19749</v>
      </c>
      <c r="D774" t="str">
        <f>PROPER(Transactions!D774)</f>
        <v>Toys</v>
      </c>
      <c r="E774" t="s">
        <v>72</v>
      </c>
      <c r="F774" t="s">
        <v>73</v>
      </c>
      <c r="G774">
        <v>1</v>
      </c>
      <c r="H774">
        <v>33.99</v>
      </c>
      <c r="I774" s="7">
        <f>IF(Transactions!I774="",0,Transactions!I774)</f>
        <v>0.15</v>
      </c>
      <c r="J774" s="9">
        <f t="shared" si="12"/>
        <v>28.891500000000001</v>
      </c>
      <c r="K774" t="s">
        <v>16</v>
      </c>
      <c r="L774" t="s">
        <v>17</v>
      </c>
      <c r="M774" t="str">
        <f>REPLACE(Transactions!M774,1,4,"")</f>
        <v>11</v>
      </c>
    </row>
    <row r="775" spans="1:13" x14ac:dyDescent="0.2">
      <c r="A775">
        <v>227557</v>
      </c>
      <c r="B775" s="5">
        <v>45440</v>
      </c>
      <c r="C775">
        <v>40016</v>
      </c>
      <c r="D775" t="str">
        <f>PROPER(Transactions!D775)</f>
        <v>Toys</v>
      </c>
      <c r="E775" t="s">
        <v>38</v>
      </c>
      <c r="F775" t="s">
        <v>39</v>
      </c>
      <c r="G775">
        <v>1</v>
      </c>
      <c r="H775">
        <v>25.49</v>
      </c>
      <c r="I775" s="7">
        <f>IF(Transactions!I775="",0,Transactions!I775)</f>
        <v>0.15</v>
      </c>
      <c r="J775" s="9">
        <f t="shared" si="12"/>
        <v>21.666499999999999</v>
      </c>
      <c r="K775" t="s">
        <v>36</v>
      </c>
      <c r="L775" t="s">
        <v>17</v>
      </c>
      <c r="M775" t="str">
        <f>REPLACE(Transactions!M775,1,4,"")</f>
        <v>13</v>
      </c>
    </row>
    <row r="776" spans="1:13" x14ac:dyDescent="0.2">
      <c r="A776">
        <v>227805</v>
      </c>
      <c r="B776" s="5">
        <v>44802</v>
      </c>
      <c r="C776">
        <v>27025</v>
      </c>
      <c r="D776" t="str">
        <f>PROPER(Transactions!D776)</f>
        <v>Automotive</v>
      </c>
      <c r="E776" t="s">
        <v>125</v>
      </c>
      <c r="F776" t="s">
        <v>126</v>
      </c>
      <c r="G776">
        <v>1</v>
      </c>
      <c r="H776">
        <v>29.99</v>
      </c>
      <c r="I776" s="7">
        <f>IF(Transactions!I776="",0,Transactions!I776)</f>
        <v>0</v>
      </c>
      <c r="J776" s="9">
        <f t="shared" si="12"/>
        <v>29.99</v>
      </c>
      <c r="K776" t="s">
        <v>53</v>
      </c>
      <c r="L776" t="s">
        <v>37</v>
      </c>
      <c r="M776" t="str">
        <f>REPLACE(Transactions!M776,1,4,"")</f>
        <v/>
      </c>
    </row>
    <row r="777" spans="1:13" x14ac:dyDescent="0.2">
      <c r="A777">
        <v>227948</v>
      </c>
      <c r="B777" s="5">
        <v>44715</v>
      </c>
      <c r="C777">
        <v>60886</v>
      </c>
      <c r="D777" t="str">
        <f>PROPER(Transactions!D777)</f>
        <v>Grocery</v>
      </c>
      <c r="E777" t="s">
        <v>91</v>
      </c>
      <c r="F777" t="s">
        <v>92</v>
      </c>
      <c r="G777">
        <v>1</v>
      </c>
      <c r="H777">
        <v>4.72</v>
      </c>
      <c r="I777" s="7">
        <f>IF(Transactions!I777="",0,Transactions!I777)</f>
        <v>0.25</v>
      </c>
      <c r="J777" s="9">
        <f t="shared" si="12"/>
        <v>3.54</v>
      </c>
      <c r="K777" t="s">
        <v>16</v>
      </c>
      <c r="L777" t="s">
        <v>37</v>
      </c>
      <c r="M777" t="str">
        <f>REPLACE(Transactions!M777,1,4,"")</f>
        <v>4</v>
      </c>
    </row>
    <row r="778" spans="1:13" x14ac:dyDescent="0.2">
      <c r="A778">
        <v>228039</v>
      </c>
      <c r="B778" s="5">
        <v>45113</v>
      </c>
      <c r="C778">
        <v>40929</v>
      </c>
      <c r="D778" t="str">
        <f>PROPER(Transactions!D778)</f>
        <v>Sports</v>
      </c>
      <c r="E778" t="s">
        <v>188</v>
      </c>
      <c r="F778" t="s">
        <v>189</v>
      </c>
      <c r="G778">
        <v>1</v>
      </c>
      <c r="H778">
        <v>31.49</v>
      </c>
      <c r="I778" s="7">
        <f>IF(Transactions!I778="",0,Transactions!I778)</f>
        <v>0.3</v>
      </c>
      <c r="J778" s="9">
        <f t="shared" si="12"/>
        <v>22.042999999999999</v>
      </c>
      <c r="K778" t="s">
        <v>16</v>
      </c>
      <c r="L778" t="s">
        <v>37</v>
      </c>
      <c r="M778" t="str">
        <f>REPLACE(Transactions!M778,1,4,"")</f>
        <v>4</v>
      </c>
    </row>
    <row r="779" spans="1:13" x14ac:dyDescent="0.2">
      <c r="A779">
        <v>228279</v>
      </c>
      <c r="B779" s="5">
        <v>45201</v>
      </c>
      <c r="C779">
        <v>53795</v>
      </c>
      <c r="D779" t="str">
        <f>PROPER(Transactions!D779)</f>
        <v>Automotive</v>
      </c>
      <c r="E779" t="s">
        <v>64</v>
      </c>
      <c r="F779" t="s">
        <v>65</v>
      </c>
      <c r="G779">
        <v>1</v>
      </c>
      <c r="H779">
        <v>4.99</v>
      </c>
      <c r="I779" s="7">
        <f>IF(Transactions!I779="",0,Transactions!I779)</f>
        <v>0</v>
      </c>
      <c r="J779" s="9">
        <f t="shared" si="12"/>
        <v>4.99</v>
      </c>
      <c r="K779" t="s">
        <v>22</v>
      </c>
      <c r="L779" t="s">
        <v>17</v>
      </c>
      <c r="M779" t="str">
        <f>REPLACE(Transactions!M779,1,4,"")</f>
        <v>7</v>
      </c>
    </row>
    <row r="780" spans="1:13" x14ac:dyDescent="0.2">
      <c r="A780">
        <v>228459</v>
      </c>
      <c r="B780" s="5">
        <v>44596</v>
      </c>
      <c r="C780">
        <v>86492</v>
      </c>
      <c r="D780" t="str">
        <f>PROPER(Transactions!D780)</f>
        <v>Clothing</v>
      </c>
      <c r="E780" t="s">
        <v>165</v>
      </c>
      <c r="F780" t="s">
        <v>166</v>
      </c>
      <c r="G780">
        <v>2</v>
      </c>
      <c r="H780">
        <v>85.49</v>
      </c>
      <c r="I780" s="7">
        <f>IF(Transactions!I780="",0,Transactions!I780)</f>
        <v>0</v>
      </c>
      <c r="J780" s="9">
        <f t="shared" si="12"/>
        <v>170.98</v>
      </c>
      <c r="K780" t="s">
        <v>22</v>
      </c>
      <c r="L780" t="s">
        <v>37</v>
      </c>
      <c r="M780" t="str">
        <f>REPLACE(Transactions!M780,1,4,"")</f>
        <v>2</v>
      </c>
    </row>
    <row r="781" spans="1:13" x14ac:dyDescent="0.2">
      <c r="A781">
        <v>228516</v>
      </c>
      <c r="B781" s="5">
        <v>45289</v>
      </c>
      <c r="C781">
        <v>97690</v>
      </c>
      <c r="D781" t="str">
        <f>PROPER(Transactions!D781)</f>
        <v>Furniture</v>
      </c>
      <c r="E781" t="s">
        <v>51</v>
      </c>
      <c r="F781" t="s">
        <v>52</v>
      </c>
      <c r="G781">
        <v>4</v>
      </c>
      <c r="H781">
        <v>22.39</v>
      </c>
      <c r="I781" s="7">
        <f>IF(Transactions!I781="",0,Transactions!I781)</f>
        <v>0.2</v>
      </c>
      <c r="J781" s="9">
        <f t="shared" si="12"/>
        <v>71.64800000000001</v>
      </c>
      <c r="K781" t="s">
        <v>95</v>
      </c>
      <c r="L781" t="s">
        <v>17</v>
      </c>
      <c r="M781" t="str">
        <f>REPLACE(Transactions!M781,1,4,"")</f>
        <v>7</v>
      </c>
    </row>
    <row r="782" spans="1:13" x14ac:dyDescent="0.2">
      <c r="A782">
        <v>229032</v>
      </c>
      <c r="B782" s="5">
        <v>45441</v>
      </c>
      <c r="C782">
        <v>89596</v>
      </c>
      <c r="D782" t="str">
        <f>PROPER(Transactions!D782)</f>
        <v>Beauty</v>
      </c>
      <c r="E782" t="s">
        <v>139</v>
      </c>
      <c r="F782" t="s">
        <v>140</v>
      </c>
      <c r="G782">
        <v>2</v>
      </c>
      <c r="H782">
        <v>6.79</v>
      </c>
      <c r="I782" s="7">
        <f>IF(Transactions!I782="",0,Transactions!I782)</f>
        <v>0</v>
      </c>
      <c r="J782" s="9">
        <f t="shared" si="12"/>
        <v>13.58</v>
      </c>
      <c r="K782" t="s">
        <v>16</v>
      </c>
      <c r="L782" t="s">
        <v>17</v>
      </c>
      <c r="M782" t="str">
        <f>REPLACE(Transactions!M782,1,4,"")</f>
        <v>4</v>
      </c>
    </row>
    <row r="783" spans="1:13" x14ac:dyDescent="0.2">
      <c r="A783">
        <v>229086</v>
      </c>
      <c r="B783" s="5">
        <v>45126</v>
      </c>
      <c r="C783">
        <v>13734</v>
      </c>
      <c r="D783" t="str">
        <f>PROPER(Transactions!D783)</f>
        <v>Grocery</v>
      </c>
      <c r="E783" t="s">
        <v>184</v>
      </c>
      <c r="F783" t="s">
        <v>185</v>
      </c>
      <c r="G783">
        <v>1</v>
      </c>
      <c r="H783">
        <v>3.84</v>
      </c>
      <c r="I783" s="7">
        <f>IF(Transactions!I783="",0,Transactions!I783)</f>
        <v>0.3</v>
      </c>
      <c r="J783" s="9">
        <f t="shared" si="12"/>
        <v>2.6879999999999997</v>
      </c>
      <c r="K783" t="s">
        <v>16</v>
      </c>
      <c r="L783" t="s">
        <v>37</v>
      </c>
      <c r="M783" t="str">
        <f>REPLACE(Transactions!M783,1,4,"")</f>
        <v>18</v>
      </c>
    </row>
    <row r="784" spans="1:13" x14ac:dyDescent="0.2">
      <c r="A784">
        <v>229336</v>
      </c>
      <c r="B784" s="5">
        <v>45200</v>
      </c>
      <c r="C784">
        <v>20893</v>
      </c>
      <c r="D784" t="str">
        <f>PROPER(Transactions!D784)</f>
        <v>Automotive</v>
      </c>
      <c r="E784" t="s">
        <v>64</v>
      </c>
      <c r="F784" t="s">
        <v>65</v>
      </c>
      <c r="G784">
        <v>1</v>
      </c>
      <c r="H784">
        <v>4.99</v>
      </c>
      <c r="I784" s="7">
        <f>IF(Transactions!I784="",0,Transactions!I784)</f>
        <v>0</v>
      </c>
      <c r="J784" s="9">
        <f t="shared" si="12"/>
        <v>4.99</v>
      </c>
      <c r="K784" t="s">
        <v>53</v>
      </c>
      <c r="L784" t="s">
        <v>17</v>
      </c>
      <c r="M784" t="str">
        <f>REPLACE(Transactions!M784,1,4,"")</f>
        <v>3</v>
      </c>
    </row>
    <row r="785" spans="1:13" x14ac:dyDescent="0.2">
      <c r="A785">
        <v>229476</v>
      </c>
      <c r="B785" s="5">
        <v>44760</v>
      </c>
      <c r="C785">
        <v>25552</v>
      </c>
      <c r="D785" t="str">
        <f>PROPER(Transactions!D785)</f>
        <v>Automotive</v>
      </c>
      <c r="E785" t="s">
        <v>111</v>
      </c>
      <c r="F785" t="s">
        <v>112</v>
      </c>
      <c r="G785">
        <v>2</v>
      </c>
      <c r="H785">
        <v>12.74</v>
      </c>
      <c r="I785" s="7">
        <f>IF(Transactions!I785="",0,Transactions!I785)</f>
        <v>0.15</v>
      </c>
      <c r="J785" s="9">
        <f t="shared" si="12"/>
        <v>21.658000000000001</v>
      </c>
      <c r="K785" t="s">
        <v>53</v>
      </c>
      <c r="L785" t="s">
        <v>37</v>
      </c>
      <c r="M785" t="str">
        <f>REPLACE(Transactions!M785,1,4,"")</f>
        <v>15</v>
      </c>
    </row>
    <row r="786" spans="1:13" x14ac:dyDescent="0.2">
      <c r="A786">
        <v>230116</v>
      </c>
      <c r="B786" s="5">
        <v>45286</v>
      </c>
      <c r="C786">
        <v>34307</v>
      </c>
      <c r="D786" t="str">
        <f>PROPER(Transactions!D786)</f>
        <v>Automotive</v>
      </c>
      <c r="E786" t="s">
        <v>68</v>
      </c>
      <c r="F786" t="s">
        <v>69</v>
      </c>
      <c r="G786">
        <v>5</v>
      </c>
      <c r="H786">
        <v>19.989999999999998</v>
      </c>
      <c r="I786" s="7">
        <f>IF(Transactions!I786="",0,Transactions!I786)</f>
        <v>0.2</v>
      </c>
      <c r="J786" s="9">
        <f t="shared" si="12"/>
        <v>79.959999999999994</v>
      </c>
      <c r="K786" t="s">
        <v>16</v>
      </c>
      <c r="L786" t="s">
        <v>17</v>
      </c>
      <c r="M786" t="str">
        <f>REPLACE(Transactions!M786,1,4,"")</f>
        <v>9</v>
      </c>
    </row>
    <row r="787" spans="1:13" x14ac:dyDescent="0.2">
      <c r="A787">
        <v>230167</v>
      </c>
      <c r="B787" s="5">
        <v>45429</v>
      </c>
      <c r="C787">
        <v>13093</v>
      </c>
      <c r="D787" t="str">
        <f>PROPER(Transactions!D787)</f>
        <v>Toys</v>
      </c>
      <c r="E787" t="s">
        <v>38</v>
      </c>
      <c r="F787" t="s">
        <v>39</v>
      </c>
      <c r="G787">
        <v>2</v>
      </c>
      <c r="H787">
        <v>28.49</v>
      </c>
      <c r="I787" s="7">
        <f>IF(Transactions!I787="",0,Transactions!I787)</f>
        <v>0.05</v>
      </c>
      <c r="J787" s="9">
        <f t="shared" si="12"/>
        <v>54.130999999999993</v>
      </c>
      <c r="K787" t="s">
        <v>22</v>
      </c>
      <c r="L787" t="s">
        <v>17</v>
      </c>
      <c r="M787" t="str">
        <f>REPLACE(Transactions!M787,1,4,"")</f>
        <v>12</v>
      </c>
    </row>
    <row r="788" spans="1:13" x14ac:dyDescent="0.2">
      <c r="A788">
        <v>230393</v>
      </c>
      <c r="B788" s="5">
        <v>44787</v>
      </c>
      <c r="C788">
        <v>58303</v>
      </c>
      <c r="D788" t="str">
        <f>PROPER(Transactions!D788)</f>
        <v>Automotive</v>
      </c>
      <c r="E788" t="s">
        <v>64</v>
      </c>
      <c r="F788" t="s">
        <v>65</v>
      </c>
      <c r="G788">
        <v>2</v>
      </c>
      <c r="H788">
        <v>4.49</v>
      </c>
      <c r="I788" s="7">
        <f>IF(Transactions!I788="",0,Transactions!I788)</f>
        <v>0.1</v>
      </c>
      <c r="J788" s="9">
        <f t="shared" si="12"/>
        <v>8.0820000000000007</v>
      </c>
      <c r="K788" t="s">
        <v>16</v>
      </c>
      <c r="L788" t="s">
        <v>37</v>
      </c>
      <c r="M788" t="str">
        <f>REPLACE(Transactions!M788,1,4,"")</f>
        <v>7</v>
      </c>
    </row>
    <row r="789" spans="1:13" x14ac:dyDescent="0.2">
      <c r="A789">
        <v>230423</v>
      </c>
      <c r="B789" s="5">
        <v>44753</v>
      </c>
      <c r="C789">
        <v>15331</v>
      </c>
      <c r="D789" t="str">
        <f>PROPER(Transactions!D789)</f>
        <v>Pharmacy</v>
      </c>
      <c r="E789" t="s">
        <v>115</v>
      </c>
      <c r="F789" t="s">
        <v>116</v>
      </c>
      <c r="G789">
        <v>1</v>
      </c>
      <c r="H789">
        <v>9.74</v>
      </c>
      <c r="I789" s="7">
        <f>IF(Transactions!I789="",0,Transactions!I789)</f>
        <v>0.25</v>
      </c>
      <c r="J789" s="9">
        <f t="shared" si="12"/>
        <v>7.3049999999999997</v>
      </c>
      <c r="K789" t="s">
        <v>16</v>
      </c>
      <c r="L789" t="s">
        <v>17</v>
      </c>
      <c r="M789" t="str">
        <f>REPLACE(Transactions!M789,1,4,"")</f>
        <v>10</v>
      </c>
    </row>
    <row r="790" spans="1:13" x14ac:dyDescent="0.2">
      <c r="A790">
        <v>230626</v>
      </c>
      <c r="B790" s="5">
        <v>45019</v>
      </c>
      <c r="C790">
        <v>23637</v>
      </c>
      <c r="D790" t="str">
        <f>PROPER(Transactions!D790)</f>
        <v>Automotive</v>
      </c>
      <c r="E790" t="s">
        <v>125</v>
      </c>
      <c r="F790" t="s">
        <v>126</v>
      </c>
      <c r="G790">
        <v>1</v>
      </c>
      <c r="H790">
        <v>20.99</v>
      </c>
      <c r="I790" s="7">
        <f>IF(Transactions!I790="",0,Transactions!I790)</f>
        <v>0.3</v>
      </c>
      <c r="J790" s="9">
        <f t="shared" si="12"/>
        <v>14.692999999999998</v>
      </c>
      <c r="K790" t="s">
        <v>36</v>
      </c>
      <c r="L790" t="s">
        <v>37</v>
      </c>
      <c r="M790" t="str">
        <f>REPLACE(Transactions!M790,1,4,"")</f>
        <v>6</v>
      </c>
    </row>
    <row r="791" spans="1:13" x14ac:dyDescent="0.2">
      <c r="A791">
        <v>230665</v>
      </c>
      <c r="B791" s="5">
        <v>44603</v>
      </c>
      <c r="C791">
        <v>68271</v>
      </c>
      <c r="D791" t="str">
        <f>PROPER(Transactions!D791)</f>
        <v>Clothing</v>
      </c>
      <c r="E791" t="s">
        <v>193</v>
      </c>
      <c r="F791" t="s">
        <v>194</v>
      </c>
      <c r="G791">
        <v>2</v>
      </c>
      <c r="H791">
        <v>64.989999999999995</v>
      </c>
      <c r="I791" s="7">
        <f>IF(Transactions!I791="",0,Transactions!I791)</f>
        <v>0</v>
      </c>
      <c r="J791" s="9">
        <f t="shared" si="12"/>
        <v>129.97999999999999</v>
      </c>
      <c r="K791" t="s">
        <v>16</v>
      </c>
      <c r="L791" t="s">
        <v>17</v>
      </c>
      <c r="M791" t="str">
        <f>REPLACE(Transactions!M791,1,4,"")</f>
        <v>5</v>
      </c>
    </row>
    <row r="792" spans="1:13" x14ac:dyDescent="0.2">
      <c r="A792">
        <v>230672</v>
      </c>
      <c r="B792" s="5">
        <v>45537</v>
      </c>
      <c r="C792">
        <v>31514</v>
      </c>
      <c r="D792" t="str">
        <f>PROPER(Transactions!D792)</f>
        <v>Furniture</v>
      </c>
      <c r="E792" t="s">
        <v>60</v>
      </c>
      <c r="F792" t="s">
        <v>61</v>
      </c>
      <c r="G792">
        <v>2</v>
      </c>
      <c r="H792">
        <v>49.49</v>
      </c>
      <c r="I792" s="7">
        <f>IF(Transactions!I792="",0,Transactions!I792)</f>
        <v>0.1</v>
      </c>
      <c r="J792" s="9">
        <f t="shared" si="12"/>
        <v>89.082000000000008</v>
      </c>
      <c r="K792" t="s">
        <v>16</v>
      </c>
      <c r="L792" t="s">
        <v>17</v>
      </c>
      <c r="M792" t="str">
        <f>REPLACE(Transactions!M792,1,4,"")</f>
        <v>14</v>
      </c>
    </row>
    <row r="793" spans="1:13" x14ac:dyDescent="0.2">
      <c r="A793">
        <v>230940</v>
      </c>
      <c r="B793" s="5">
        <v>45101</v>
      </c>
      <c r="C793">
        <v>96713</v>
      </c>
      <c r="D793" t="str">
        <f>PROPER(Transactions!D793)</f>
        <v>Toys</v>
      </c>
      <c r="E793" t="s">
        <v>175</v>
      </c>
      <c r="F793" t="s">
        <v>176</v>
      </c>
      <c r="G793">
        <v>1</v>
      </c>
      <c r="H793">
        <v>11.39</v>
      </c>
      <c r="I793" s="7">
        <f>IF(Transactions!I793="",0,Transactions!I793)</f>
        <v>0.05</v>
      </c>
      <c r="J793" s="9">
        <f t="shared" si="12"/>
        <v>10.820500000000001</v>
      </c>
      <c r="K793" t="s">
        <v>16</v>
      </c>
      <c r="L793" t="s">
        <v>17</v>
      </c>
      <c r="M793" t="str">
        <f>REPLACE(Transactions!M793,1,4,"")</f>
        <v>13</v>
      </c>
    </row>
    <row r="794" spans="1:13" x14ac:dyDescent="0.2">
      <c r="A794">
        <v>231004</v>
      </c>
      <c r="B794" s="5">
        <v>45407</v>
      </c>
      <c r="C794">
        <v>74365</v>
      </c>
      <c r="D794" t="str">
        <f>PROPER(Transactions!D794)</f>
        <v>Grocery</v>
      </c>
      <c r="E794" t="s">
        <v>172</v>
      </c>
      <c r="F794" t="s">
        <v>173</v>
      </c>
      <c r="G794">
        <v>3</v>
      </c>
      <c r="H794">
        <v>3.37</v>
      </c>
      <c r="I794" s="7">
        <f>IF(Transactions!I794="",0,Transactions!I794)</f>
        <v>0.25</v>
      </c>
      <c r="J794" s="9">
        <f t="shared" si="12"/>
        <v>7.5824999999999996</v>
      </c>
      <c r="K794" t="s">
        <v>32</v>
      </c>
      <c r="L794" t="s">
        <v>17</v>
      </c>
      <c r="M794" t="str">
        <f>REPLACE(Transactions!M794,1,4,"")</f>
        <v/>
      </c>
    </row>
    <row r="795" spans="1:13" x14ac:dyDescent="0.2">
      <c r="A795">
        <v>231056</v>
      </c>
      <c r="B795" s="5">
        <v>44939</v>
      </c>
      <c r="C795">
        <v>77598</v>
      </c>
      <c r="D795" t="str">
        <f>PROPER(Transactions!D795)</f>
        <v>Sports</v>
      </c>
      <c r="E795" t="s">
        <v>147</v>
      </c>
      <c r="F795" t="s">
        <v>148</v>
      </c>
      <c r="G795">
        <v>4</v>
      </c>
      <c r="H795">
        <v>11.69</v>
      </c>
      <c r="I795" s="7">
        <f>IF(Transactions!I795="",0,Transactions!I795)</f>
        <v>0.1</v>
      </c>
      <c r="J795" s="9">
        <f t="shared" si="12"/>
        <v>42.083999999999996</v>
      </c>
      <c r="K795" t="s">
        <v>36</v>
      </c>
      <c r="L795" t="s">
        <v>17</v>
      </c>
      <c r="M795" t="str">
        <f>REPLACE(Transactions!M795,1,4,"")</f>
        <v>15</v>
      </c>
    </row>
    <row r="796" spans="1:13" x14ac:dyDescent="0.2">
      <c r="A796">
        <v>231297</v>
      </c>
      <c r="B796" s="5">
        <v>45210</v>
      </c>
      <c r="C796">
        <v>29620</v>
      </c>
      <c r="D796" t="str">
        <f>PROPER(Transactions!D796)</f>
        <v>Furniture</v>
      </c>
      <c r="E796" t="s">
        <v>60</v>
      </c>
      <c r="F796" t="s">
        <v>61</v>
      </c>
      <c r="G796">
        <v>1</v>
      </c>
      <c r="H796">
        <v>43.99</v>
      </c>
      <c r="I796" s="7">
        <f>IF(Transactions!I796="",0,Transactions!I796)</f>
        <v>0.2</v>
      </c>
      <c r="J796" s="9">
        <f t="shared" si="12"/>
        <v>35.192</v>
      </c>
      <c r="K796" t="s">
        <v>53</v>
      </c>
      <c r="L796" t="s">
        <v>17</v>
      </c>
      <c r="M796" t="str">
        <f>REPLACE(Transactions!M796,1,4,"")</f>
        <v>8</v>
      </c>
    </row>
    <row r="797" spans="1:13" x14ac:dyDescent="0.2">
      <c r="A797">
        <v>231341</v>
      </c>
      <c r="B797" s="5">
        <v>44618</v>
      </c>
      <c r="C797">
        <v>17779</v>
      </c>
      <c r="D797" t="str">
        <f>PROPER(Transactions!D797)</f>
        <v>Clothing</v>
      </c>
      <c r="E797" t="s">
        <v>98</v>
      </c>
      <c r="F797" t="s">
        <v>99</v>
      </c>
      <c r="G797">
        <v>1</v>
      </c>
      <c r="H797">
        <v>23.79</v>
      </c>
      <c r="I797" s="7">
        <f>IF(Transactions!I797="",0,Transactions!I797)</f>
        <v>0.15</v>
      </c>
      <c r="J797" s="9">
        <f t="shared" si="12"/>
        <v>20.221499999999999</v>
      </c>
      <c r="K797" t="s">
        <v>16</v>
      </c>
      <c r="L797" t="s">
        <v>17</v>
      </c>
      <c r="M797" t="str">
        <f>REPLACE(Transactions!M797,1,4,"")</f>
        <v>17</v>
      </c>
    </row>
    <row r="798" spans="1:13" x14ac:dyDescent="0.2">
      <c r="A798">
        <v>231602</v>
      </c>
      <c r="B798" s="5">
        <v>45456</v>
      </c>
      <c r="D798" t="str">
        <f>PROPER(Transactions!D798)</f>
        <v>Electronics</v>
      </c>
      <c r="E798" t="s">
        <v>34</v>
      </c>
      <c r="F798" t="s">
        <v>35</v>
      </c>
      <c r="G798">
        <v>1</v>
      </c>
      <c r="H798">
        <v>29.74</v>
      </c>
      <c r="I798" s="7">
        <f>IF(Transactions!I798="",0,Transactions!I798)</f>
        <v>0.15</v>
      </c>
      <c r="J798" s="9">
        <f t="shared" si="12"/>
        <v>25.278999999999996</v>
      </c>
      <c r="K798" t="s">
        <v>36</v>
      </c>
      <c r="L798" t="s">
        <v>17</v>
      </c>
      <c r="M798" t="str">
        <f>REPLACE(Transactions!M798,1,4,"")</f>
        <v>19</v>
      </c>
    </row>
    <row r="799" spans="1:13" x14ac:dyDescent="0.2">
      <c r="A799">
        <v>231982</v>
      </c>
      <c r="B799" s="5">
        <v>45134</v>
      </c>
      <c r="C799">
        <v>45324</v>
      </c>
      <c r="D799" t="str">
        <f>PROPER(Transactions!D799)</f>
        <v>Clothing</v>
      </c>
      <c r="E799" t="s">
        <v>98</v>
      </c>
      <c r="F799" t="s">
        <v>99</v>
      </c>
      <c r="G799">
        <v>4</v>
      </c>
      <c r="H799">
        <v>25.19</v>
      </c>
      <c r="I799" s="7">
        <f>IF(Transactions!I799="",0,Transactions!I799)</f>
        <v>0.1</v>
      </c>
      <c r="J799" s="9">
        <f t="shared" si="12"/>
        <v>90.684000000000012</v>
      </c>
      <c r="K799" t="s">
        <v>36</v>
      </c>
      <c r="L799" t="s">
        <v>17</v>
      </c>
      <c r="M799" t="str">
        <f>REPLACE(Transactions!M799,1,4,"")</f>
        <v>5</v>
      </c>
    </row>
    <row r="800" spans="1:13" x14ac:dyDescent="0.2">
      <c r="A800">
        <v>232479</v>
      </c>
      <c r="B800" s="5">
        <v>44659</v>
      </c>
      <c r="C800">
        <v>57735</v>
      </c>
      <c r="D800" t="str">
        <f>PROPER(Transactions!D800)</f>
        <v>Electronics</v>
      </c>
      <c r="E800" t="s">
        <v>14</v>
      </c>
      <c r="F800" t="s">
        <v>15</v>
      </c>
      <c r="G800">
        <v>1</v>
      </c>
      <c r="H800">
        <v>67.989999999999995</v>
      </c>
      <c r="I800" s="7">
        <f>IF(Transactions!I800="",0,Transactions!I800)</f>
        <v>0.15</v>
      </c>
      <c r="J800" s="9">
        <f t="shared" si="12"/>
        <v>57.791499999999992</v>
      </c>
      <c r="K800" t="s">
        <v>36</v>
      </c>
      <c r="L800" t="s">
        <v>17</v>
      </c>
      <c r="M800" t="str">
        <f>REPLACE(Transactions!M800,1,4,"")</f>
        <v>1</v>
      </c>
    </row>
    <row r="801" spans="1:13" x14ac:dyDescent="0.2">
      <c r="A801">
        <v>232495</v>
      </c>
      <c r="B801" s="5">
        <v>45017</v>
      </c>
      <c r="C801">
        <v>84903</v>
      </c>
      <c r="D801" t="str">
        <f>PROPER(Transactions!D801)</f>
        <v>Automotive</v>
      </c>
      <c r="E801" t="s">
        <v>131</v>
      </c>
      <c r="F801" t="s">
        <v>132</v>
      </c>
      <c r="G801">
        <v>2</v>
      </c>
      <c r="H801">
        <v>2.62</v>
      </c>
      <c r="I801" s="7">
        <f>IF(Transactions!I801="",0,Transactions!I801)</f>
        <v>0.25</v>
      </c>
      <c r="J801" s="9">
        <f t="shared" si="12"/>
        <v>3.93</v>
      </c>
      <c r="K801" t="s">
        <v>16</v>
      </c>
      <c r="L801" t="s">
        <v>17</v>
      </c>
      <c r="M801" t="str">
        <f>REPLACE(Transactions!M801,1,4,"")</f>
        <v>14</v>
      </c>
    </row>
    <row r="802" spans="1:13" x14ac:dyDescent="0.2">
      <c r="A802">
        <v>232521</v>
      </c>
      <c r="B802" s="5">
        <v>44592</v>
      </c>
      <c r="D802" t="str">
        <f>PROPER(Transactions!D802)</f>
        <v>Clothing</v>
      </c>
      <c r="E802" t="s">
        <v>141</v>
      </c>
      <c r="F802" t="s">
        <v>142</v>
      </c>
      <c r="G802">
        <v>1</v>
      </c>
      <c r="H802">
        <v>22.99</v>
      </c>
      <c r="I802" s="7">
        <f>IF(Transactions!I802="",0,Transactions!I802)</f>
        <v>0</v>
      </c>
      <c r="J802" s="9">
        <f t="shared" si="12"/>
        <v>22.99</v>
      </c>
      <c r="K802" t="s">
        <v>16</v>
      </c>
      <c r="L802" t="s">
        <v>17</v>
      </c>
      <c r="M802" t="str">
        <f>REPLACE(Transactions!M802,1,4,"")</f>
        <v>10</v>
      </c>
    </row>
    <row r="803" spans="1:13" x14ac:dyDescent="0.2">
      <c r="A803">
        <v>232755</v>
      </c>
      <c r="B803" s="5">
        <v>45081</v>
      </c>
      <c r="C803">
        <v>19462</v>
      </c>
      <c r="D803" t="str">
        <f>PROPER(Transactions!D803)</f>
        <v>Sports</v>
      </c>
      <c r="E803" t="s">
        <v>168</v>
      </c>
      <c r="F803" t="s">
        <v>169</v>
      </c>
      <c r="G803">
        <v>3</v>
      </c>
      <c r="H803">
        <v>8.09</v>
      </c>
      <c r="I803" s="7">
        <f>IF(Transactions!I803="",0,Transactions!I803)</f>
        <v>0.1</v>
      </c>
      <c r="J803" s="9">
        <f t="shared" si="12"/>
        <v>21.843</v>
      </c>
      <c r="K803" t="s">
        <v>95</v>
      </c>
      <c r="L803" t="s">
        <v>17</v>
      </c>
      <c r="M803" t="str">
        <f>REPLACE(Transactions!M803,1,4,"")</f>
        <v>15</v>
      </c>
    </row>
    <row r="804" spans="1:13" x14ac:dyDescent="0.2">
      <c r="A804">
        <v>233302</v>
      </c>
      <c r="B804" s="5">
        <v>44806</v>
      </c>
      <c r="C804">
        <v>10592</v>
      </c>
      <c r="D804" t="str">
        <f>PROPER(Transactions!D804)</f>
        <v>Grocery</v>
      </c>
      <c r="E804" t="s">
        <v>190</v>
      </c>
      <c r="F804" t="s">
        <v>191</v>
      </c>
      <c r="G804">
        <v>1</v>
      </c>
      <c r="H804">
        <v>4.29</v>
      </c>
      <c r="I804" s="7">
        <f>IF(Transactions!I804="",0,Transactions!I804)</f>
        <v>0</v>
      </c>
      <c r="J804" s="9">
        <f t="shared" si="12"/>
        <v>4.29</v>
      </c>
      <c r="K804" t="s">
        <v>53</v>
      </c>
      <c r="L804" t="s">
        <v>17</v>
      </c>
      <c r="M804" t="str">
        <f>REPLACE(Transactions!M804,1,4,"")</f>
        <v>1</v>
      </c>
    </row>
    <row r="805" spans="1:13" x14ac:dyDescent="0.2">
      <c r="A805">
        <v>233636</v>
      </c>
      <c r="B805" s="5">
        <v>45318</v>
      </c>
      <c r="C805">
        <v>15229</v>
      </c>
      <c r="D805" t="str">
        <f>PROPER(Transactions!D805)</f>
        <v>Grocery</v>
      </c>
      <c r="E805" t="s">
        <v>162</v>
      </c>
      <c r="F805" t="s">
        <v>163</v>
      </c>
      <c r="G805">
        <v>1</v>
      </c>
      <c r="H805">
        <v>5.59</v>
      </c>
      <c r="I805" s="7">
        <f>IF(Transactions!I805="",0,Transactions!I805)</f>
        <v>0.3</v>
      </c>
      <c r="J805" s="9">
        <f t="shared" si="12"/>
        <v>3.9129999999999998</v>
      </c>
      <c r="K805" t="s">
        <v>95</v>
      </c>
      <c r="L805" t="s">
        <v>17</v>
      </c>
      <c r="M805" t="str">
        <f>REPLACE(Transactions!M805,1,4,"")</f>
        <v>14</v>
      </c>
    </row>
    <row r="806" spans="1:13" x14ac:dyDescent="0.2">
      <c r="A806">
        <v>233838</v>
      </c>
      <c r="B806" s="5">
        <v>45616</v>
      </c>
      <c r="C806">
        <v>57577</v>
      </c>
      <c r="D806" t="str">
        <f>PROPER(Transactions!D806)</f>
        <v>Pharmacy</v>
      </c>
      <c r="E806" t="s">
        <v>58</v>
      </c>
      <c r="F806" t="s">
        <v>59</v>
      </c>
      <c r="G806">
        <v>2</v>
      </c>
      <c r="H806">
        <v>2.79</v>
      </c>
      <c r="I806" s="7">
        <f>IF(Transactions!I806="",0,Transactions!I806)</f>
        <v>0.3</v>
      </c>
      <c r="J806" s="9">
        <f t="shared" si="12"/>
        <v>3.9059999999999997</v>
      </c>
      <c r="K806" t="s">
        <v>22</v>
      </c>
      <c r="L806" t="s">
        <v>17</v>
      </c>
      <c r="M806" t="str">
        <f>REPLACE(Transactions!M806,1,4,"")</f>
        <v>10</v>
      </c>
    </row>
    <row r="807" spans="1:13" x14ac:dyDescent="0.2">
      <c r="A807">
        <v>233956</v>
      </c>
      <c r="B807" s="5">
        <v>45402</v>
      </c>
      <c r="C807">
        <v>96588</v>
      </c>
      <c r="D807" t="str">
        <f>PROPER(Transactions!D807)</f>
        <v>Beauty</v>
      </c>
      <c r="E807" t="s">
        <v>139</v>
      </c>
      <c r="F807" t="s">
        <v>140</v>
      </c>
      <c r="G807">
        <v>2</v>
      </c>
      <c r="H807">
        <v>7.99</v>
      </c>
      <c r="I807" s="7">
        <f>IF(Transactions!I807="",0,Transactions!I807)</f>
        <v>0</v>
      </c>
      <c r="J807" s="9">
        <f t="shared" si="12"/>
        <v>15.98</v>
      </c>
      <c r="K807" t="s">
        <v>95</v>
      </c>
      <c r="L807" t="s">
        <v>37</v>
      </c>
      <c r="M807" t="str">
        <f>REPLACE(Transactions!M807,1,4,"")</f>
        <v>1</v>
      </c>
    </row>
    <row r="808" spans="1:13" x14ac:dyDescent="0.2">
      <c r="A808">
        <v>234127</v>
      </c>
      <c r="B808" s="5">
        <v>44722</v>
      </c>
      <c r="C808">
        <v>70676</v>
      </c>
      <c r="D808" t="str">
        <f>PROPER(Transactions!D808)</f>
        <v>Automotive</v>
      </c>
      <c r="E808" t="s">
        <v>125</v>
      </c>
      <c r="F808" t="s">
        <v>126</v>
      </c>
      <c r="G808">
        <v>3</v>
      </c>
      <c r="H808">
        <v>29.99</v>
      </c>
      <c r="I808" s="7">
        <f>IF(Transactions!I808="",0,Transactions!I808)</f>
        <v>0</v>
      </c>
      <c r="J808" s="9">
        <f t="shared" si="12"/>
        <v>89.97</v>
      </c>
      <c r="K808" t="s">
        <v>16</v>
      </c>
      <c r="L808" t="s">
        <v>17</v>
      </c>
      <c r="M808" t="str">
        <f>REPLACE(Transactions!M808,1,4,"")</f>
        <v>8</v>
      </c>
    </row>
    <row r="809" spans="1:13" x14ac:dyDescent="0.2">
      <c r="A809">
        <v>234333</v>
      </c>
      <c r="B809" s="5">
        <v>44860</v>
      </c>
      <c r="C809">
        <v>36508</v>
      </c>
      <c r="D809" t="str">
        <f>PROPER(Transactions!D809)</f>
        <v>Pharmacy</v>
      </c>
      <c r="E809" t="s">
        <v>197</v>
      </c>
      <c r="F809" t="s">
        <v>198</v>
      </c>
      <c r="G809">
        <v>4</v>
      </c>
      <c r="H809">
        <v>10.49</v>
      </c>
      <c r="I809" s="7">
        <f>IF(Transactions!I809="",0,Transactions!I809)</f>
        <v>0.3</v>
      </c>
      <c r="J809" s="9">
        <f t="shared" si="12"/>
        <v>29.372</v>
      </c>
      <c r="K809" t="s">
        <v>53</v>
      </c>
      <c r="L809" t="s">
        <v>37</v>
      </c>
      <c r="M809" t="str">
        <f>REPLACE(Transactions!M809,1,4,"")</f>
        <v>2</v>
      </c>
    </row>
    <row r="810" spans="1:13" x14ac:dyDescent="0.2">
      <c r="A810">
        <v>234476</v>
      </c>
      <c r="B810" s="5">
        <v>44958</v>
      </c>
      <c r="C810">
        <v>39879</v>
      </c>
      <c r="D810" t="str">
        <f>PROPER(Transactions!D810)</f>
        <v>Pharmacy</v>
      </c>
      <c r="E810" t="s">
        <v>115</v>
      </c>
      <c r="F810" t="s">
        <v>116</v>
      </c>
      <c r="G810">
        <v>1</v>
      </c>
      <c r="H810">
        <v>12.99</v>
      </c>
      <c r="I810" s="7">
        <f>IF(Transactions!I810="",0,Transactions!I810)</f>
        <v>0</v>
      </c>
      <c r="J810" s="9">
        <f t="shared" si="12"/>
        <v>12.99</v>
      </c>
      <c r="K810" t="s">
        <v>95</v>
      </c>
      <c r="L810" t="s">
        <v>17</v>
      </c>
      <c r="M810" t="str">
        <f>REPLACE(Transactions!M810,1,4,"")</f>
        <v>4</v>
      </c>
    </row>
    <row r="811" spans="1:13" x14ac:dyDescent="0.2">
      <c r="A811">
        <v>234485</v>
      </c>
      <c r="B811" s="5">
        <v>45152</v>
      </c>
      <c r="C811">
        <v>16501</v>
      </c>
      <c r="D811" t="str">
        <f>PROPER(Transactions!D811)</f>
        <v>Beauty</v>
      </c>
      <c r="E811" t="s">
        <v>139</v>
      </c>
      <c r="F811" t="s">
        <v>140</v>
      </c>
      <c r="G811">
        <v>1</v>
      </c>
      <c r="H811">
        <v>7.99</v>
      </c>
      <c r="I811" s="7">
        <f>IF(Transactions!I811="",0,Transactions!I811)</f>
        <v>0</v>
      </c>
      <c r="J811" s="9">
        <f t="shared" si="12"/>
        <v>7.99</v>
      </c>
      <c r="K811" t="s">
        <v>22</v>
      </c>
      <c r="L811" t="s">
        <v>37</v>
      </c>
      <c r="M811" t="str">
        <f>REPLACE(Transactions!M811,1,4,"")</f>
        <v>4</v>
      </c>
    </row>
    <row r="812" spans="1:13" x14ac:dyDescent="0.2">
      <c r="A812">
        <v>234513</v>
      </c>
      <c r="B812" s="5">
        <v>44729</v>
      </c>
      <c r="D812" t="str">
        <f>PROPER(Transactions!D812)</f>
        <v>Grocery</v>
      </c>
      <c r="E812" t="s">
        <v>107</v>
      </c>
      <c r="F812" t="s">
        <v>108</v>
      </c>
      <c r="G812">
        <v>2</v>
      </c>
      <c r="H812">
        <v>2.44</v>
      </c>
      <c r="I812" s="7">
        <f>IF(Transactions!I812="",0,Transactions!I812)</f>
        <v>0.3</v>
      </c>
      <c r="J812" s="9">
        <f t="shared" si="12"/>
        <v>3.4159999999999999</v>
      </c>
      <c r="K812" t="s">
        <v>16</v>
      </c>
      <c r="L812" t="s">
        <v>17</v>
      </c>
      <c r="M812" t="str">
        <f>REPLACE(Transactions!M812,1,4,"")</f>
        <v>10</v>
      </c>
    </row>
    <row r="813" spans="1:13" x14ac:dyDescent="0.2">
      <c r="A813">
        <v>234707</v>
      </c>
      <c r="B813" s="5">
        <v>45251</v>
      </c>
      <c r="C813">
        <v>18013</v>
      </c>
      <c r="D813" t="str">
        <f>PROPER(Transactions!D813)</f>
        <v>Furniture</v>
      </c>
      <c r="E813" t="s">
        <v>113</v>
      </c>
      <c r="F813" t="s">
        <v>114</v>
      </c>
      <c r="G813">
        <v>4</v>
      </c>
      <c r="H813">
        <v>83.99</v>
      </c>
      <c r="I813" s="7">
        <f>IF(Transactions!I813="",0,Transactions!I813)</f>
        <v>0.3</v>
      </c>
      <c r="J813" s="9">
        <f t="shared" si="12"/>
        <v>235.17199999999997</v>
      </c>
      <c r="K813" t="s">
        <v>16</v>
      </c>
      <c r="L813" t="s">
        <v>17</v>
      </c>
      <c r="M813" t="str">
        <f>REPLACE(Transactions!M813,1,4,"")</f>
        <v>3</v>
      </c>
    </row>
    <row r="814" spans="1:13" x14ac:dyDescent="0.2">
      <c r="A814">
        <v>235197</v>
      </c>
      <c r="B814" s="5">
        <v>44903</v>
      </c>
      <c r="C814">
        <v>34928</v>
      </c>
      <c r="D814" t="str">
        <f>PROPER(Transactions!D814)</f>
        <v>Automotive</v>
      </c>
      <c r="E814" t="s">
        <v>125</v>
      </c>
      <c r="F814" t="s">
        <v>126</v>
      </c>
      <c r="G814">
        <v>3</v>
      </c>
      <c r="H814">
        <v>26.99</v>
      </c>
      <c r="I814" s="7">
        <f>IF(Transactions!I814="",0,Transactions!I814)</f>
        <v>0.1</v>
      </c>
      <c r="J814" s="9">
        <f t="shared" si="12"/>
        <v>72.873000000000005</v>
      </c>
      <c r="K814" t="s">
        <v>16</v>
      </c>
      <c r="L814" t="s">
        <v>23</v>
      </c>
      <c r="M814" t="str">
        <f>REPLACE(Transactions!M814,1,4,"")</f>
        <v>17</v>
      </c>
    </row>
    <row r="815" spans="1:13" x14ac:dyDescent="0.2">
      <c r="A815">
        <v>235199</v>
      </c>
      <c r="B815" s="5">
        <v>44641</v>
      </c>
      <c r="C815">
        <v>77728</v>
      </c>
      <c r="D815" t="str">
        <f>PROPER(Transactions!D815)</f>
        <v>Automotive</v>
      </c>
      <c r="E815" t="s">
        <v>125</v>
      </c>
      <c r="F815" t="s">
        <v>126</v>
      </c>
      <c r="G815">
        <v>1</v>
      </c>
      <c r="H815">
        <v>26.99</v>
      </c>
      <c r="I815" s="7">
        <f>IF(Transactions!I815="",0,Transactions!I815)</f>
        <v>0.1</v>
      </c>
      <c r="J815" s="9">
        <f t="shared" si="12"/>
        <v>24.291</v>
      </c>
      <c r="K815" t="s">
        <v>16</v>
      </c>
      <c r="L815" t="s">
        <v>17</v>
      </c>
      <c r="M815" t="str">
        <f>REPLACE(Transactions!M815,1,4,"")</f>
        <v/>
      </c>
    </row>
    <row r="816" spans="1:13" x14ac:dyDescent="0.2">
      <c r="A816">
        <v>235241</v>
      </c>
      <c r="B816" s="5">
        <v>44801</v>
      </c>
      <c r="C816">
        <v>91063</v>
      </c>
      <c r="D816" t="str">
        <f>PROPER(Transactions!D816)</f>
        <v>Toys</v>
      </c>
      <c r="E816" t="s">
        <v>72</v>
      </c>
      <c r="F816" t="s">
        <v>73</v>
      </c>
      <c r="G816">
        <v>4</v>
      </c>
      <c r="H816">
        <v>31.99</v>
      </c>
      <c r="I816" s="7">
        <f>IF(Transactions!I816="",0,Transactions!I816)</f>
        <v>0.2</v>
      </c>
      <c r="J816" s="9">
        <f t="shared" si="12"/>
        <v>102.36799999999999</v>
      </c>
      <c r="K816" t="s">
        <v>36</v>
      </c>
      <c r="L816" t="s">
        <v>37</v>
      </c>
      <c r="M816" t="str">
        <f>REPLACE(Transactions!M816,1,4,"")</f>
        <v>4</v>
      </c>
    </row>
    <row r="817" spans="1:13" x14ac:dyDescent="0.2">
      <c r="A817">
        <v>235252</v>
      </c>
      <c r="B817" s="5">
        <v>45589</v>
      </c>
      <c r="C817">
        <v>62872</v>
      </c>
      <c r="D817" t="str">
        <f>PROPER(Transactions!D817)</f>
        <v>Sports</v>
      </c>
      <c r="E817" t="s">
        <v>168</v>
      </c>
      <c r="F817" t="s">
        <v>169</v>
      </c>
      <c r="G817">
        <v>1</v>
      </c>
      <c r="H817">
        <v>8.5399999999999991</v>
      </c>
      <c r="I817" s="7">
        <f>IF(Transactions!I817="",0,Transactions!I817)</f>
        <v>0.05</v>
      </c>
      <c r="J817" s="9">
        <f t="shared" si="12"/>
        <v>8.1129999999999995</v>
      </c>
      <c r="K817" t="s">
        <v>36</v>
      </c>
      <c r="L817" t="s">
        <v>17</v>
      </c>
      <c r="M817" t="str">
        <f>REPLACE(Transactions!M817,1,4,"")</f>
        <v>5</v>
      </c>
    </row>
    <row r="818" spans="1:13" x14ac:dyDescent="0.2">
      <c r="A818">
        <v>235316</v>
      </c>
      <c r="B818" s="5">
        <v>44837</v>
      </c>
      <c r="C818">
        <v>13942</v>
      </c>
      <c r="D818" t="str">
        <f>PROPER(Transactions!D818)</f>
        <v>Pharmacy</v>
      </c>
      <c r="E818" t="s">
        <v>41</v>
      </c>
      <c r="F818" t="s">
        <v>42</v>
      </c>
      <c r="G818">
        <v>3</v>
      </c>
      <c r="H818">
        <v>5.69</v>
      </c>
      <c r="I818" s="7">
        <f>IF(Transactions!I818="",0,Transactions!I818)</f>
        <v>0.05</v>
      </c>
      <c r="J818" s="9">
        <f t="shared" si="12"/>
        <v>16.2165</v>
      </c>
      <c r="K818" t="s">
        <v>36</v>
      </c>
      <c r="L818" t="s">
        <v>23</v>
      </c>
      <c r="M818" t="str">
        <f>REPLACE(Transactions!M818,1,4,"")</f>
        <v>10</v>
      </c>
    </row>
    <row r="819" spans="1:13" x14ac:dyDescent="0.2">
      <c r="A819">
        <v>235345</v>
      </c>
      <c r="B819" s="5">
        <v>45631</v>
      </c>
      <c r="C819">
        <v>47714</v>
      </c>
      <c r="D819" t="str">
        <f>PROPER(Transactions!D819)</f>
        <v>Grocery</v>
      </c>
      <c r="E819" t="s">
        <v>190</v>
      </c>
      <c r="F819" t="s">
        <v>191</v>
      </c>
      <c r="G819">
        <v>1</v>
      </c>
      <c r="H819">
        <v>4.29</v>
      </c>
      <c r="I819" s="7">
        <f>IF(Transactions!I819="",0,Transactions!I819)</f>
        <v>0</v>
      </c>
      <c r="J819" s="9">
        <f t="shared" si="12"/>
        <v>4.29</v>
      </c>
      <c r="K819" t="s">
        <v>22</v>
      </c>
      <c r="L819" t="s">
        <v>17</v>
      </c>
      <c r="M819" t="str">
        <f>REPLACE(Transactions!M819,1,4,"")</f>
        <v>2</v>
      </c>
    </row>
    <row r="820" spans="1:13" x14ac:dyDescent="0.2">
      <c r="A820">
        <v>235753</v>
      </c>
      <c r="B820" s="5">
        <v>44727</v>
      </c>
      <c r="C820">
        <v>76532</v>
      </c>
      <c r="D820" t="str">
        <f>PROPER(Transactions!D820)</f>
        <v>Clothing</v>
      </c>
      <c r="E820" t="s">
        <v>135</v>
      </c>
      <c r="F820" t="s">
        <v>136</v>
      </c>
      <c r="G820">
        <v>2</v>
      </c>
      <c r="H820">
        <v>6.99</v>
      </c>
      <c r="I820" s="7">
        <f>IF(Transactions!I820="",0,Transactions!I820)</f>
        <v>0.3</v>
      </c>
      <c r="J820" s="9">
        <f t="shared" si="12"/>
        <v>9.7859999999999996</v>
      </c>
      <c r="K820" t="s">
        <v>16</v>
      </c>
      <c r="L820" t="s">
        <v>17</v>
      </c>
      <c r="M820" t="str">
        <f>REPLACE(Transactions!M820,1,4,"")</f>
        <v>13</v>
      </c>
    </row>
    <row r="821" spans="1:13" x14ac:dyDescent="0.2">
      <c r="A821">
        <v>236001</v>
      </c>
      <c r="B821" s="5">
        <v>45383</v>
      </c>
      <c r="C821">
        <v>38588</v>
      </c>
      <c r="D821" t="str">
        <f>PROPER(Transactions!D821)</f>
        <v>Clothing</v>
      </c>
      <c r="E821" t="s">
        <v>151</v>
      </c>
      <c r="F821" t="s">
        <v>152</v>
      </c>
      <c r="G821">
        <v>1</v>
      </c>
      <c r="H821">
        <v>27.99</v>
      </c>
      <c r="I821" s="7">
        <f>IF(Transactions!I821="",0,Transactions!I821)</f>
        <v>0</v>
      </c>
      <c r="J821" s="9">
        <f t="shared" si="12"/>
        <v>27.99</v>
      </c>
      <c r="K821" t="s">
        <v>16</v>
      </c>
      <c r="L821" t="s">
        <v>17</v>
      </c>
      <c r="M821" t="str">
        <f>REPLACE(Transactions!M821,1,4,"")</f>
        <v>5</v>
      </c>
    </row>
    <row r="822" spans="1:13" x14ac:dyDescent="0.2">
      <c r="A822">
        <v>236009</v>
      </c>
      <c r="B822" s="5">
        <v>45163</v>
      </c>
      <c r="C822">
        <v>26175</v>
      </c>
      <c r="D822" t="str">
        <f>PROPER(Transactions!D822)</f>
        <v>Toys</v>
      </c>
      <c r="E822" t="s">
        <v>30</v>
      </c>
      <c r="F822" t="s">
        <v>31</v>
      </c>
      <c r="G822">
        <v>4</v>
      </c>
      <c r="H822">
        <v>24.99</v>
      </c>
      <c r="I822" s="7">
        <f>IF(Transactions!I822="",0,Transactions!I822)</f>
        <v>0</v>
      </c>
      <c r="J822" s="9">
        <f t="shared" si="12"/>
        <v>99.96</v>
      </c>
      <c r="K822" t="s">
        <v>53</v>
      </c>
      <c r="L822" t="s">
        <v>37</v>
      </c>
      <c r="M822" t="str">
        <f>REPLACE(Transactions!M822,1,4,"")</f>
        <v>7</v>
      </c>
    </row>
    <row r="823" spans="1:13" x14ac:dyDescent="0.2">
      <c r="A823">
        <v>236145</v>
      </c>
      <c r="B823" s="5">
        <v>44576</v>
      </c>
      <c r="C823">
        <v>30285</v>
      </c>
      <c r="D823" t="str">
        <f>PROPER(Transactions!D823)</f>
        <v>Pharmacy</v>
      </c>
      <c r="E823" t="s">
        <v>197</v>
      </c>
      <c r="F823" t="s">
        <v>198</v>
      </c>
      <c r="G823">
        <v>1</v>
      </c>
      <c r="H823">
        <v>14.99</v>
      </c>
      <c r="I823" s="7">
        <f>IF(Transactions!I823="",0,Transactions!I823)</f>
        <v>0</v>
      </c>
      <c r="J823" s="9">
        <f t="shared" si="12"/>
        <v>14.99</v>
      </c>
      <c r="K823" t="s">
        <v>16</v>
      </c>
      <c r="L823" t="s">
        <v>37</v>
      </c>
      <c r="M823" t="str">
        <f>REPLACE(Transactions!M823,1,4,"")</f>
        <v>3</v>
      </c>
    </row>
    <row r="824" spans="1:13" x14ac:dyDescent="0.2">
      <c r="A824">
        <v>236356</v>
      </c>
      <c r="B824" s="5">
        <v>45522</v>
      </c>
      <c r="C824">
        <v>91446</v>
      </c>
      <c r="D824" t="str">
        <f>PROPER(Transactions!D824)</f>
        <v>Clothing</v>
      </c>
      <c r="E824" t="s">
        <v>181</v>
      </c>
      <c r="F824" t="s">
        <v>182</v>
      </c>
      <c r="G824">
        <v>2</v>
      </c>
      <c r="H824">
        <v>14.99</v>
      </c>
      <c r="I824" s="7">
        <f>IF(Transactions!I824="",0,Transactions!I824)</f>
        <v>0</v>
      </c>
      <c r="J824" s="9">
        <f t="shared" si="12"/>
        <v>29.98</v>
      </c>
      <c r="K824" t="s">
        <v>16</v>
      </c>
      <c r="L824" t="s">
        <v>17</v>
      </c>
      <c r="M824" t="str">
        <f>REPLACE(Transactions!M824,1,4,"")</f>
        <v>4</v>
      </c>
    </row>
    <row r="825" spans="1:13" x14ac:dyDescent="0.2">
      <c r="A825">
        <v>236389</v>
      </c>
      <c r="B825" s="5">
        <v>45374</v>
      </c>
      <c r="D825" t="str">
        <f>PROPER(Transactions!D825)</f>
        <v>Clothing</v>
      </c>
      <c r="E825" t="s">
        <v>181</v>
      </c>
      <c r="F825" t="s">
        <v>182</v>
      </c>
      <c r="G825">
        <v>2</v>
      </c>
      <c r="H825">
        <v>14.99</v>
      </c>
      <c r="I825" s="7">
        <f>IF(Transactions!I825="",0,Transactions!I825)</f>
        <v>0</v>
      </c>
      <c r="J825" s="9">
        <f t="shared" si="12"/>
        <v>29.98</v>
      </c>
      <c r="K825" t="s">
        <v>16</v>
      </c>
      <c r="L825" t="s">
        <v>23</v>
      </c>
      <c r="M825" t="str">
        <f>REPLACE(Transactions!M825,1,4,"")</f>
        <v>17</v>
      </c>
    </row>
    <row r="826" spans="1:13" x14ac:dyDescent="0.2">
      <c r="A826">
        <v>236569</v>
      </c>
      <c r="B826" s="5">
        <v>44979</v>
      </c>
      <c r="C826">
        <v>52940</v>
      </c>
      <c r="D826" t="str">
        <f>PROPER(Transactions!D826)</f>
        <v>Home &amp; Garden</v>
      </c>
      <c r="E826" t="s">
        <v>157</v>
      </c>
      <c r="F826" t="s">
        <v>158</v>
      </c>
      <c r="G826">
        <v>2</v>
      </c>
      <c r="H826">
        <v>10.119999999999999</v>
      </c>
      <c r="I826" s="7">
        <f>IF(Transactions!I826="",0,Transactions!I826)</f>
        <v>0.25</v>
      </c>
      <c r="J826" s="9">
        <f t="shared" si="12"/>
        <v>15.18</v>
      </c>
      <c r="K826" t="s">
        <v>16</v>
      </c>
      <c r="L826" t="s">
        <v>17</v>
      </c>
      <c r="M826" t="str">
        <f>REPLACE(Transactions!M826,1,4,"")</f>
        <v>9</v>
      </c>
    </row>
    <row r="827" spans="1:13" x14ac:dyDescent="0.2">
      <c r="A827">
        <v>236614</v>
      </c>
      <c r="B827" s="5">
        <v>45049</v>
      </c>
      <c r="C827">
        <v>41160</v>
      </c>
      <c r="D827" t="str">
        <f>PROPER(Transactions!D827)</f>
        <v>Toys</v>
      </c>
      <c r="E827" t="s">
        <v>175</v>
      </c>
      <c r="F827" t="s">
        <v>176</v>
      </c>
      <c r="G827">
        <v>1</v>
      </c>
      <c r="H827">
        <v>9.59</v>
      </c>
      <c r="I827" s="7">
        <f>IF(Transactions!I827="",0,Transactions!I827)</f>
        <v>0.2</v>
      </c>
      <c r="J827" s="9">
        <f t="shared" si="12"/>
        <v>7.6720000000000006</v>
      </c>
      <c r="K827" t="s">
        <v>95</v>
      </c>
      <c r="L827" t="s">
        <v>17</v>
      </c>
      <c r="M827" t="str">
        <f>REPLACE(Transactions!M827,1,4,"")</f>
        <v>11</v>
      </c>
    </row>
    <row r="828" spans="1:13" x14ac:dyDescent="0.2">
      <c r="A828">
        <v>236664</v>
      </c>
      <c r="B828" s="5">
        <v>45312</v>
      </c>
      <c r="D828" t="str">
        <f>PROPER(Transactions!D828)</f>
        <v>Sports</v>
      </c>
      <c r="E828" t="s">
        <v>168</v>
      </c>
      <c r="F828" t="s">
        <v>169</v>
      </c>
      <c r="G828">
        <v>1</v>
      </c>
      <c r="H828">
        <v>7.19</v>
      </c>
      <c r="I828" s="7">
        <f>IF(Transactions!I828="",0,Transactions!I828)</f>
        <v>0.2</v>
      </c>
      <c r="J828" s="9">
        <f t="shared" si="12"/>
        <v>5.7520000000000007</v>
      </c>
      <c r="K828" t="s">
        <v>95</v>
      </c>
      <c r="L828" t="s">
        <v>17</v>
      </c>
      <c r="M828" t="str">
        <f>REPLACE(Transactions!M828,1,4,"")</f>
        <v>14</v>
      </c>
    </row>
    <row r="829" spans="1:13" x14ac:dyDescent="0.2">
      <c r="A829">
        <v>236799</v>
      </c>
      <c r="B829" s="5">
        <v>45316</v>
      </c>
      <c r="C829">
        <v>19186</v>
      </c>
      <c r="D829" t="str">
        <f>PROPER(Transactions!D829)</f>
        <v>Pharmacy</v>
      </c>
      <c r="E829" t="s">
        <v>58</v>
      </c>
      <c r="F829" t="s">
        <v>59</v>
      </c>
      <c r="G829">
        <v>2</v>
      </c>
      <c r="H829">
        <v>3.79</v>
      </c>
      <c r="I829" s="7">
        <f>IF(Transactions!I829="",0,Transactions!I829)</f>
        <v>0.05</v>
      </c>
      <c r="J829" s="9">
        <f t="shared" si="12"/>
        <v>7.2009999999999996</v>
      </c>
      <c r="K829" t="s">
        <v>16</v>
      </c>
      <c r="L829" t="s">
        <v>17</v>
      </c>
      <c r="M829" t="str">
        <f>REPLACE(Transactions!M829,1,4,"")</f>
        <v>10</v>
      </c>
    </row>
    <row r="830" spans="1:13" x14ac:dyDescent="0.2">
      <c r="A830">
        <v>236878</v>
      </c>
      <c r="B830" s="5">
        <v>44655</v>
      </c>
      <c r="C830">
        <v>22752</v>
      </c>
      <c r="D830" t="str">
        <f>PROPER(Transactions!D830)</f>
        <v>Electronics</v>
      </c>
      <c r="E830" t="s">
        <v>55</v>
      </c>
      <c r="F830" t="s">
        <v>56</v>
      </c>
      <c r="G830">
        <v>3</v>
      </c>
      <c r="H830">
        <v>313.49</v>
      </c>
      <c r="I830" s="7">
        <f>IF(Transactions!I830="",0,Transactions!I830)</f>
        <v>0.05</v>
      </c>
      <c r="J830" s="9">
        <f t="shared" si="12"/>
        <v>893.44650000000001</v>
      </c>
      <c r="K830" t="s">
        <v>95</v>
      </c>
      <c r="L830" t="s">
        <v>17</v>
      </c>
      <c r="M830" t="str">
        <f>REPLACE(Transactions!M830,1,4,"")</f>
        <v>19</v>
      </c>
    </row>
    <row r="831" spans="1:13" x14ac:dyDescent="0.2">
      <c r="A831">
        <v>236956</v>
      </c>
      <c r="B831" s="5">
        <v>45013</v>
      </c>
      <c r="C831">
        <v>46654</v>
      </c>
      <c r="D831" t="str">
        <f>PROPER(Transactions!D831)</f>
        <v>Electronics</v>
      </c>
      <c r="E831" t="s">
        <v>186</v>
      </c>
      <c r="F831" t="s">
        <v>187</v>
      </c>
      <c r="G831">
        <v>1</v>
      </c>
      <c r="H831">
        <v>49.99</v>
      </c>
      <c r="I831" s="7">
        <f>IF(Transactions!I831="",0,Transactions!I831)</f>
        <v>0</v>
      </c>
      <c r="J831" s="9">
        <f t="shared" si="12"/>
        <v>49.99</v>
      </c>
      <c r="K831" t="s">
        <v>32</v>
      </c>
      <c r="L831" t="s">
        <v>37</v>
      </c>
      <c r="M831" t="str">
        <f>REPLACE(Transactions!M831,1,4,"")</f>
        <v>16</v>
      </c>
    </row>
    <row r="832" spans="1:13" x14ac:dyDescent="0.2">
      <c r="A832">
        <v>237156</v>
      </c>
      <c r="B832" s="5">
        <v>44925</v>
      </c>
      <c r="C832">
        <v>51580</v>
      </c>
      <c r="D832" t="str">
        <f>PROPER(Transactions!D832)</f>
        <v>Home &amp; Garden</v>
      </c>
      <c r="E832" t="s">
        <v>149</v>
      </c>
      <c r="F832" t="s">
        <v>150</v>
      </c>
      <c r="G832">
        <v>1</v>
      </c>
      <c r="H832">
        <v>13.99</v>
      </c>
      <c r="I832" s="7">
        <f>IF(Transactions!I832="",0,Transactions!I832)</f>
        <v>0.3</v>
      </c>
      <c r="J832" s="9">
        <f t="shared" si="12"/>
        <v>9.7929999999999993</v>
      </c>
      <c r="K832" t="s">
        <v>66</v>
      </c>
      <c r="L832" t="s">
        <v>17</v>
      </c>
      <c r="M832" t="str">
        <f>REPLACE(Transactions!M832,1,4,"")</f>
        <v>7</v>
      </c>
    </row>
    <row r="833" spans="1:13" x14ac:dyDescent="0.2">
      <c r="A833">
        <v>237235</v>
      </c>
      <c r="B833" s="5">
        <v>45205</v>
      </c>
      <c r="D833" t="str">
        <f>PROPER(Transactions!D833)</f>
        <v>Sports</v>
      </c>
      <c r="E833" t="s">
        <v>83</v>
      </c>
      <c r="F833" t="s">
        <v>84</v>
      </c>
      <c r="G833">
        <v>1</v>
      </c>
      <c r="H833">
        <v>16.14</v>
      </c>
      <c r="I833" s="7">
        <f>IF(Transactions!I833="",0,Transactions!I833)</f>
        <v>0</v>
      </c>
      <c r="J833" s="9">
        <f t="shared" si="12"/>
        <v>16.14</v>
      </c>
      <c r="K833" t="s">
        <v>16</v>
      </c>
      <c r="L833" t="s">
        <v>17</v>
      </c>
      <c r="M833" t="str">
        <f>REPLACE(Transactions!M833,1,4,"")</f>
        <v>18</v>
      </c>
    </row>
    <row r="834" spans="1:13" x14ac:dyDescent="0.2">
      <c r="A834">
        <v>237294</v>
      </c>
      <c r="B834" s="5">
        <v>45175</v>
      </c>
      <c r="C834">
        <v>74986</v>
      </c>
      <c r="D834" t="str">
        <f>PROPER(Transactions!D834)</f>
        <v>Automotive</v>
      </c>
      <c r="E834" t="s">
        <v>68</v>
      </c>
      <c r="F834" t="s">
        <v>69</v>
      </c>
      <c r="G834">
        <v>1</v>
      </c>
      <c r="H834">
        <v>21.24</v>
      </c>
      <c r="I834" s="7">
        <f>IF(Transactions!I834="",0,Transactions!I834)</f>
        <v>0.15</v>
      </c>
      <c r="J834" s="9">
        <f t="shared" si="12"/>
        <v>18.053999999999998</v>
      </c>
      <c r="K834" t="s">
        <v>36</v>
      </c>
      <c r="L834" t="s">
        <v>37</v>
      </c>
      <c r="M834" t="str">
        <f>REPLACE(Transactions!M834,1,4,"")</f>
        <v>18</v>
      </c>
    </row>
    <row r="835" spans="1:13" x14ac:dyDescent="0.2">
      <c r="A835">
        <v>237467</v>
      </c>
      <c r="B835" s="5">
        <v>45263</v>
      </c>
      <c r="C835">
        <v>57809</v>
      </c>
      <c r="D835" t="str">
        <f>PROPER(Transactions!D835)</f>
        <v>Clothing</v>
      </c>
      <c r="E835" t="s">
        <v>151</v>
      </c>
      <c r="F835" t="s">
        <v>152</v>
      </c>
      <c r="G835">
        <v>3</v>
      </c>
      <c r="H835">
        <v>34.99</v>
      </c>
      <c r="I835" s="7">
        <f>IF(Transactions!I835="",0,Transactions!I835)</f>
        <v>0</v>
      </c>
      <c r="J835" s="9">
        <f t="shared" ref="J835:J898" si="13">(H835*G835)*(1-I835)</f>
        <v>104.97</v>
      </c>
      <c r="K835" t="s">
        <v>36</v>
      </c>
      <c r="L835" t="s">
        <v>23</v>
      </c>
      <c r="M835" t="str">
        <f>REPLACE(Transactions!M835,1,4,"")</f>
        <v>10</v>
      </c>
    </row>
    <row r="836" spans="1:13" x14ac:dyDescent="0.2">
      <c r="A836">
        <v>237649</v>
      </c>
      <c r="B836" s="5">
        <v>44770</v>
      </c>
      <c r="C836">
        <v>23113</v>
      </c>
      <c r="D836" t="str">
        <f>PROPER(Transactions!D836)</f>
        <v>Pharmacy</v>
      </c>
      <c r="E836" t="s">
        <v>197</v>
      </c>
      <c r="F836" t="s">
        <v>198</v>
      </c>
      <c r="G836">
        <v>5</v>
      </c>
      <c r="H836">
        <v>11.24</v>
      </c>
      <c r="I836" s="7">
        <f>IF(Transactions!I836="",0,Transactions!I836)</f>
        <v>0.25</v>
      </c>
      <c r="J836" s="9">
        <f t="shared" si="13"/>
        <v>42.150000000000006</v>
      </c>
      <c r="K836" t="s">
        <v>36</v>
      </c>
      <c r="L836" t="s">
        <v>23</v>
      </c>
      <c r="M836" t="str">
        <f>REPLACE(Transactions!M836,1,4,"")</f>
        <v>18</v>
      </c>
    </row>
    <row r="837" spans="1:13" x14ac:dyDescent="0.2">
      <c r="A837">
        <v>237807</v>
      </c>
      <c r="B837" s="5">
        <v>45308</v>
      </c>
      <c r="C837">
        <v>19588</v>
      </c>
      <c r="D837" t="str">
        <f>PROPER(Transactions!D837)</f>
        <v>Grocery</v>
      </c>
      <c r="E837" t="s">
        <v>74</v>
      </c>
      <c r="F837" t="s">
        <v>75</v>
      </c>
      <c r="G837">
        <v>1</v>
      </c>
      <c r="H837">
        <v>2.39</v>
      </c>
      <c r="I837" s="7">
        <f>IF(Transactions!I837="",0,Transactions!I837)</f>
        <v>0</v>
      </c>
      <c r="J837" s="9">
        <f t="shared" si="13"/>
        <v>2.39</v>
      </c>
      <c r="K837" t="s">
        <v>36</v>
      </c>
      <c r="L837" t="s">
        <v>37</v>
      </c>
      <c r="M837" t="str">
        <f>REPLACE(Transactions!M837,1,4,"")</f>
        <v>17</v>
      </c>
    </row>
    <row r="838" spans="1:13" x14ac:dyDescent="0.2">
      <c r="A838">
        <v>238375</v>
      </c>
      <c r="B838" s="5">
        <v>45027</v>
      </c>
      <c r="C838">
        <v>38194</v>
      </c>
      <c r="D838" t="str">
        <f>PROPER(Transactions!D838)</f>
        <v>Grocery</v>
      </c>
      <c r="E838" t="s">
        <v>172</v>
      </c>
      <c r="F838" t="s">
        <v>173</v>
      </c>
      <c r="G838">
        <v>1</v>
      </c>
      <c r="H838">
        <v>3.82</v>
      </c>
      <c r="I838" s="7">
        <f>IF(Transactions!I838="",0,Transactions!I838)</f>
        <v>0.15</v>
      </c>
      <c r="J838" s="9">
        <f t="shared" si="13"/>
        <v>3.2469999999999999</v>
      </c>
      <c r="K838" t="s">
        <v>32</v>
      </c>
      <c r="L838" t="s">
        <v>23</v>
      </c>
      <c r="M838" t="str">
        <f>REPLACE(Transactions!M838,1,4,"")</f>
        <v>19</v>
      </c>
    </row>
    <row r="839" spans="1:13" x14ac:dyDescent="0.2">
      <c r="A839">
        <v>238622</v>
      </c>
      <c r="B839" s="5">
        <v>45342</v>
      </c>
      <c r="C839">
        <v>87646</v>
      </c>
      <c r="D839" t="str">
        <f>PROPER(Transactions!D839)</f>
        <v>Furniture</v>
      </c>
      <c r="E839" t="s">
        <v>113</v>
      </c>
      <c r="F839" t="s">
        <v>114</v>
      </c>
      <c r="G839">
        <v>1</v>
      </c>
      <c r="H839">
        <v>107.99</v>
      </c>
      <c r="I839" s="7">
        <f>IF(Transactions!I839="",0,Transactions!I839)</f>
        <v>0.1</v>
      </c>
      <c r="J839" s="9">
        <f t="shared" si="13"/>
        <v>97.191000000000003</v>
      </c>
      <c r="K839" t="s">
        <v>36</v>
      </c>
      <c r="L839" t="s">
        <v>37</v>
      </c>
      <c r="M839" t="str">
        <f>REPLACE(Transactions!M839,1,4,"")</f>
        <v>2</v>
      </c>
    </row>
    <row r="840" spans="1:13" x14ac:dyDescent="0.2">
      <c r="A840">
        <v>238661</v>
      </c>
      <c r="B840" s="5">
        <v>45181</v>
      </c>
      <c r="C840">
        <v>44116</v>
      </c>
      <c r="D840" t="str">
        <f>PROPER(Transactions!D840)</f>
        <v>Automotive</v>
      </c>
      <c r="E840" t="s">
        <v>125</v>
      </c>
      <c r="F840" t="s">
        <v>126</v>
      </c>
      <c r="G840">
        <v>3</v>
      </c>
      <c r="H840">
        <v>23.99</v>
      </c>
      <c r="I840" s="7">
        <f>IF(Transactions!I840="",0,Transactions!I840)</f>
        <v>0.2</v>
      </c>
      <c r="J840" s="9">
        <f t="shared" si="13"/>
        <v>57.576000000000001</v>
      </c>
      <c r="K840" t="s">
        <v>36</v>
      </c>
      <c r="L840" t="s">
        <v>17</v>
      </c>
      <c r="M840" t="str">
        <f>REPLACE(Transactions!M840,1,4,"")</f>
        <v>9</v>
      </c>
    </row>
    <row r="841" spans="1:13" x14ac:dyDescent="0.2">
      <c r="A841">
        <v>238687</v>
      </c>
      <c r="B841" s="5">
        <v>44975</v>
      </c>
      <c r="C841">
        <v>26089</v>
      </c>
      <c r="D841" t="str">
        <f>PROPER(Transactions!D841)</f>
        <v>Automotive</v>
      </c>
      <c r="E841" t="s">
        <v>64</v>
      </c>
      <c r="F841" t="s">
        <v>65</v>
      </c>
      <c r="G841">
        <v>5</v>
      </c>
      <c r="H841">
        <v>3.99</v>
      </c>
      <c r="I841" s="7">
        <f>IF(Transactions!I841="",0,Transactions!I841)</f>
        <v>0.2</v>
      </c>
      <c r="J841" s="9">
        <f t="shared" si="13"/>
        <v>15.960000000000003</v>
      </c>
      <c r="K841" t="s">
        <v>36</v>
      </c>
      <c r="L841" t="s">
        <v>17</v>
      </c>
      <c r="M841" t="str">
        <f>REPLACE(Transactions!M841,1,4,"")</f>
        <v>15</v>
      </c>
    </row>
    <row r="842" spans="1:13" x14ac:dyDescent="0.2">
      <c r="A842">
        <v>238735</v>
      </c>
      <c r="B842" s="5">
        <v>45452</v>
      </c>
      <c r="C842">
        <v>23771</v>
      </c>
      <c r="D842" t="str">
        <f>PROPER(Transactions!D842)</f>
        <v>Toys</v>
      </c>
      <c r="E842" t="s">
        <v>88</v>
      </c>
      <c r="F842" t="s">
        <v>89</v>
      </c>
      <c r="G842">
        <v>4</v>
      </c>
      <c r="H842">
        <v>44.99</v>
      </c>
      <c r="I842" s="7">
        <f>IF(Transactions!I842="",0,Transactions!I842)</f>
        <v>0.1</v>
      </c>
      <c r="J842" s="9">
        <f t="shared" si="13"/>
        <v>161.964</v>
      </c>
      <c r="K842" t="s">
        <v>32</v>
      </c>
      <c r="L842" t="s">
        <v>17</v>
      </c>
      <c r="M842" t="str">
        <f>REPLACE(Transactions!M842,1,4,"")</f>
        <v>17</v>
      </c>
    </row>
    <row r="843" spans="1:13" x14ac:dyDescent="0.2">
      <c r="A843">
        <v>238746</v>
      </c>
      <c r="B843" s="5">
        <v>44591</v>
      </c>
      <c r="C843">
        <v>48888</v>
      </c>
      <c r="D843" t="str">
        <f>PROPER(Transactions!D843)</f>
        <v>Grocery</v>
      </c>
      <c r="E843" t="s">
        <v>177</v>
      </c>
      <c r="F843" t="s">
        <v>178</v>
      </c>
      <c r="G843">
        <v>1</v>
      </c>
      <c r="H843">
        <v>11.99</v>
      </c>
      <c r="I843" s="7">
        <f>IF(Transactions!I843="",0,Transactions!I843)</f>
        <v>0</v>
      </c>
      <c r="J843" s="9">
        <f t="shared" si="13"/>
        <v>11.99</v>
      </c>
      <c r="K843" t="s">
        <v>16</v>
      </c>
      <c r="L843" t="s">
        <v>17</v>
      </c>
      <c r="M843" t="str">
        <f>REPLACE(Transactions!M843,1,4,"")</f>
        <v>1</v>
      </c>
    </row>
    <row r="844" spans="1:13" x14ac:dyDescent="0.2">
      <c r="A844">
        <v>238861</v>
      </c>
      <c r="B844" s="5">
        <v>44980</v>
      </c>
      <c r="C844">
        <v>81316</v>
      </c>
      <c r="D844" t="str">
        <f>PROPER(Transactions!D844)</f>
        <v>Grocery</v>
      </c>
      <c r="E844" t="s">
        <v>74</v>
      </c>
      <c r="F844" t="s">
        <v>75</v>
      </c>
      <c r="G844">
        <v>1</v>
      </c>
      <c r="H844">
        <v>2.99</v>
      </c>
      <c r="I844" s="7">
        <f>IF(Transactions!I844="",0,Transactions!I844)</f>
        <v>0</v>
      </c>
      <c r="J844" s="9">
        <f t="shared" si="13"/>
        <v>2.99</v>
      </c>
      <c r="K844" t="s">
        <v>95</v>
      </c>
      <c r="L844" t="s">
        <v>17</v>
      </c>
      <c r="M844" t="str">
        <f>REPLACE(Transactions!M844,1,4,"")</f>
        <v>16</v>
      </c>
    </row>
    <row r="845" spans="1:13" x14ac:dyDescent="0.2">
      <c r="A845">
        <v>238980</v>
      </c>
      <c r="B845" s="5">
        <v>44596</v>
      </c>
      <c r="C845">
        <v>85011</v>
      </c>
      <c r="D845" t="str">
        <f>PROPER(Transactions!D845)</f>
        <v>Pharmacy</v>
      </c>
      <c r="E845" t="s">
        <v>58</v>
      </c>
      <c r="F845" t="s">
        <v>59</v>
      </c>
      <c r="G845">
        <v>3</v>
      </c>
      <c r="H845">
        <v>3.99</v>
      </c>
      <c r="I845" s="7">
        <f>IF(Transactions!I845="",0,Transactions!I845)</f>
        <v>0</v>
      </c>
      <c r="J845" s="9">
        <f t="shared" si="13"/>
        <v>11.97</v>
      </c>
      <c r="K845" t="s">
        <v>36</v>
      </c>
      <c r="L845" t="s">
        <v>17</v>
      </c>
      <c r="M845" t="str">
        <f>REPLACE(Transactions!M845,1,4,"")</f>
        <v>4</v>
      </c>
    </row>
    <row r="846" spans="1:13" x14ac:dyDescent="0.2">
      <c r="A846">
        <v>239151</v>
      </c>
      <c r="B846" s="5">
        <v>45303</v>
      </c>
      <c r="C846">
        <v>91321</v>
      </c>
      <c r="D846" t="str">
        <f>PROPER(Transactions!D846)</f>
        <v>Toys</v>
      </c>
      <c r="E846" t="s">
        <v>175</v>
      </c>
      <c r="F846" t="s">
        <v>176</v>
      </c>
      <c r="G846">
        <v>1</v>
      </c>
      <c r="H846">
        <v>11.99</v>
      </c>
      <c r="I846" s="7">
        <f>IF(Transactions!I846="",0,Transactions!I846)</f>
        <v>0</v>
      </c>
      <c r="J846" s="9">
        <f t="shared" si="13"/>
        <v>11.99</v>
      </c>
      <c r="K846" t="s">
        <v>36</v>
      </c>
      <c r="L846" t="s">
        <v>37</v>
      </c>
      <c r="M846" t="str">
        <f>REPLACE(Transactions!M846,1,4,"")</f>
        <v>5</v>
      </c>
    </row>
    <row r="847" spans="1:13" x14ac:dyDescent="0.2">
      <c r="A847">
        <v>239191</v>
      </c>
      <c r="B847" s="5">
        <v>44645</v>
      </c>
      <c r="C847">
        <v>40451</v>
      </c>
      <c r="D847" t="str">
        <f>PROPER(Transactions!D847)</f>
        <v>Beauty</v>
      </c>
      <c r="E847" t="s">
        <v>143</v>
      </c>
      <c r="F847" t="s">
        <v>144</v>
      </c>
      <c r="G847">
        <v>2</v>
      </c>
      <c r="H847">
        <v>10.49</v>
      </c>
      <c r="I847" s="7">
        <f>IF(Transactions!I847="",0,Transactions!I847)</f>
        <v>0.3</v>
      </c>
      <c r="J847" s="9">
        <f t="shared" si="13"/>
        <v>14.686</v>
      </c>
      <c r="K847" t="s">
        <v>53</v>
      </c>
      <c r="L847" t="s">
        <v>17</v>
      </c>
      <c r="M847" t="str">
        <f>REPLACE(Transactions!M847,1,4,"")</f>
        <v>18</v>
      </c>
    </row>
    <row r="848" spans="1:13" x14ac:dyDescent="0.2">
      <c r="A848">
        <v>239611</v>
      </c>
      <c r="B848" s="5">
        <v>45085</v>
      </c>
      <c r="C848">
        <v>80497</v>
      </c>
      <c r="D848" t="str">
        <f>PROPER(Transactions!D848)</f>
        <v>Automotive</v>
      </c>
      <c r="E848" t="s">
        <v>125</v>
      </c>
      <c r="F848" t="s">
        <v>126</v>
      </c>
      <c r="G848">
        <v>2</v>
      </c>
      <c r="H848">
        <v>28.49</v>
      </c>
      <c r="I848" s="7">
        <f>IF(Transactions!I848="",0,Transactions!I848)</f>
        <v>0.05</v>
      </c>
      <c r="J848" s="9">
        <f t="shared" si="13"/>
        <v>54.130999999999993</v>
      </c>
      <c r="K848" t="s">
        <v>53</v>
      </c>
      <c r="L848" t="s">
        <v>23</v>
      </c>
      <c r="M848" t="str">
        <f>REPLACE(Transactions!M848,1,4,"")</f>
        <v>9</v>
      </c>
    </row>
    <row r="849" spans="1:13" x14ac:dyDescent="0.2">
      <c r="A849">
        <v>239680</v>
      </c>
      <c r="B849" s="5">
        <v>45518</v>
      </c>
      <c r="C849">
        <v>68325</v>
      </c>
      <c r="D849" t="str">
        <f>PROPER(Transactions!D849)</f>
        <v>Clothing</v>
      </c>
      <c r="E849" t="s">
        <v>193</v>
      </c>
      <c r="F849" t="s">
        <v>194</v>
      </c>
      <c r="G849">
        <v>2</v>
      </c>
      <c r="H849">
        <v>51.99</v>
      </c>
      <c r="I849" s="7">
        <f>IF(Transactions!I849="",0,Transactions!I849)</f>
        <v>0.2</v>
      </c>
      <c r="J849" s="9">
        <f t="shared" si="13"/>
        <v>83.184000000000012</v>
      </c>
      <c r="K849" t="s">
        <v>16</v>
      </c>
      <c r="L849" t="s">
        <v>17</v>
      </c>
      <c r="M849" t="str">
        <f>REPLACE(Transactions!M849,1,4,"")</f>
        <v>9</v>
      </c>
    </row>
    <row r="850" spans="1:13" x14ac:dyDescent="0.2">
      <c r="A850">
        <v>239923</v>
      </c>
      <c r="B850" s="5">
        <v>45595</v>
      </c>
      <c r="C850">
        <v>22483</v>
      </c>
      <c r="D850" t="str">
        <f>PROPER(Transactions!D850)</f>
        <v>Electronics</v>
      </c>
      <c r="E850" t="s">
        <v>34</v>
      </c>
      <c r="F850" t="s">
        <v>35</v>
      </c>
      <c r="G850">
        <v>1</v>
      </c>
      <c r="H850">
        <v>27.99</v>
      </c>
      <c r="I850" s="7">
        <f>IF(Transactions!I850="",0,Transactions!I850)</f>
        <v>0.2</v>
      </c>
      <c r="J850" s="9">
        <f t="shared" si="13"/>
        <v>22.391999999999999</v>
      </c>
      <c r="K850" t="s">
        <v>22</v>
      </c>
      <c r="L850" t="s">
        <v>17</v>
      </c>
      <c r="M850" t="str">
        <f>REPLACE(Transactions!M850,1,4,"")</f>
        <v>6</v>
      </c>
    </row>
    <row r="851" spans="1:13" x14ac:dyDescent="0.2">
      <c r="A851">
        <v>240038</v>
      </c>
      <c r="B851" s="5">
        <v>44923</v>
      </c>
      <c r="C851">
        <v>36765</v>
      </c>
      <c r="D851" t="str">
        <f>PROPER(Transactions!D851)</f>
        <v>Grocery</v>
      </c>
      <c r="E851" t="s">
        <v>172</v>
      </c>
      <c r="F851" t="s">
        <v>173</v>
      </c>
      <c r="G851">
        <v>5</v>
      </c>
      <c r="H851">
        <v>3.59</v>
      </c>
      <c r="I851" s="7">
        <f>IF(Transactions!I851="",0,Transactions!I851)</f>
        <v>0.2</v>
      </c>
      <c r="J851" s="9">
        <f t="shared" si="13"/>
        <v>14.36</v>
      </c>
      <c r="K851" t="s">
        <v>36</v>
      </c>
      <c r="L851" t="s">
        <v>17</v>
      </c>
      <c r="M851" t="str">
        <f>REPLACE(Transactions!M851,1,4,"")</f>
        <v>11</v>
      </c>
    </row>
    <row r="852" spans="1:13" x14ac:dyDescent="0.2">
      <c r="A852">
        <v>240150</v>
      </c>
      <c r="B852" s="5">
        <v>45456</v>
      </c>
      <c r="C852">
        <v>82379</v>
      </c>
      <c r="D852" t="str">
        <f>PROPER(Transactions!D852)</f>
        <v>Furniture</v>
      </c>
      <c r="E852" t="s">
        <v>26</v>
      </c>
      <c r="F852" t="s">
        <v>27</v>
      </c>
      <c r="G852">
        <v>4</v>
      </c>
      <c r="H852">
        <v>27.99</v>
      </c>
      <c r="I852" s="7">
        <f>IF(Transactions!I852="",0,Transactions!I852)</f>
        <v>0.2</v>
      </c>
      <c r="J852" s="9">
        <f t="shared" si="13"/>
        <v>89.567999999999998</v>
      </c>
      <c r="K852" t="s">
        <v>66</v>
      </c>
      <c r="L852" t="s">
        <v>17</v>
      </c>
      <c r="M852" t="str">
        <f>REPLACE(Transactions!M852,1,4,"")</f>
        <v>6</v>
      </c>
    </row>
    <row r="853" spans="1:13" x14ac:dyDescent="0.2">
      <c r="A853">
        <v>240275</v>
      </c>
      <c r="B853" s="5">
        <v>44790</v>
      </c>
      <c r="C853">
        <v>95895</v>
      </c>
      <c r="D853" t="str">
        <f>PROPER(Transactions!D853)</f>
        <v>Clothing</v>
      </c>
      <c r="E853" t="s">
        <v>181</v>
      </c>
      <c r="F853" t="s">
        <v>182</v>
      </c>
      <c r="G853">
        <v>1</v>
      </c>
      <c r="H853">
        <v>11.99</v>
      </c>
      <c r="I853" s="7">
        <f>IF(Transactions!I853="",0,Transactions!I853)</f>
        <v>0.2</v>
      </c>
      <c r="J853" s="9">
        <f t="shared" si="13"/>
        <v>9.5920000000000005</v>
      </c>
      <c r="K853" t="s">
        <v>22</v>
      </c>
      <c r="L853" t="s">
        <v>17</v>
      </c>
      <c r="M853" t="str">
        <f>REPLACE(Transactions!M853,1,4,"")</f>
        <v>14</v>
      </c>
    </row>
    <row r="854" spans="1:13" x14ac:dyDescent="0.2">
      <c r="A854">
        <v>240746</v>
      </c>
      <c r="B854" s="5">
        <v>45633</v>
      </c>
      <c r="C854">
        <v>44516</v>
      </c>
      <c r="D854" t="str">
        <f>PROPER(Transactions!D854)</f>
        <v>Grocery</v>
      </c>
      <c r="E854" t="s">
        <v>133</v>
      </c>
      <c r="F854" t="s">
        <v>134</v>
      </c>
      <c r="G854">
        <v>4</v>
      </c>
      <c r="H854">
        <v>3.79</v>
      </c>
      <c r="I854" s="7">
        <f>IF(Transactions!I854="",0,Transactions!I854)</f>
        <v>0</v>
      </c>
      <c r="J854" s="9">
        <f t="shared" si="13"/>
        <v>15.16</v>
      </c>
      <c r="K854" t="s">
        <v>22</v>
      </c>
      <c r="L854" t="s">
        <v>37</v>
      </c>
      <c r="M854" t="str">
        <f>REPLACE(Transactions!M854,1,4,"")</f>
        <v>15</v>
      </c>
    </row>
    <row r="855" spans="1:13" x14ac:dyDescent="0.2">
      <c r="A855">
        <v>240946</v>
      </c>
      <c r="B855" s="5">
        <v>45571</v>
      </c>
      <c r="C855">
        <v>22745</v>
      </c>
      <c r="D855" t="str">
        <f>PROPER(Transactions!D855)</f>
        <v>Sports</v>
      </c>
      <c r="E855" t="s">
        <v>155</v>
      </c>
      <c r="F855" t="s">
        <v>156</v>
      </c>
      <c r="G855">
        <v>2</v>
      </c>
      <c r="H855">
        <v>19.989999999999998</v>
      </c>
      <c r="I855" s="7">
        <f>IF(Transactions!I855="",0,Transactions!I855)</f>
        <v>0</v>
      </c>
      <c r="J855" s="9">
        <f t="shared" si="13"/>
        <v>39.979999999999997</v>
      </c>
      <c r="K855" t="s">
        <v>95</v>
      </c>
      <c r="L855" t="s">
        <v>37</v>
      </c>
      <c r="M855" t="str">
        <f>REPLACE(Transactions!M855,1,4,"")</f>
        <v>4</v>
      </c>
    </row>
    <row r="856" spans="1:13" x14ac:dyDescent="0.2">
      <c r="A856">
        <v>240983</v>
      </c>
      <c r="B856" s="5">
        <v>44627</v>
      </c>
      <c r="C856">
        <v>64986</v>
      </c>
      <c r="D856" t="str">
        <f>PROPER(Transactions!D856)</f>
        <v>Toys</v>
      </c>
      <c r="E856" t="s">
        <v>38</v>
      </c>
      <c r="F856" t="s">
        <v>39</v>
      </c>
      <c r="G856">
        <v>4</v>
      </c>
      <c r="H856">
        <v>25.49</v>
      </c>
      <c r="I856" s="7">
        <f>IF(Transactions!I856="",0,Transactions!I856)</f>
        <v>0.15</v>
      </c>
      <c r="J856" s="9">
        <f t="shared" si="13"/>
        <v>86.665999999999997</v>
      </c>
      <c r="K856" t="s">
        <v>16</v>
      </c>
      <c r="L856" t="s">
        <v>37</v>
      </c>
      <c r="M856" t="str">
        <f>REPLACE(Transactions!M856,1,4,"")</f>
        <v>5</v>
      </c>
    </row>
    <row r="857" spans="1:13" x14ac:dyDescent="0.2">
      <c r="A857">
        <v>241239</v>
      </c>
      <c r="B857" s="5">
        <v>45441</v>
      </c>
      <c r="C857">
        <v>20723</v>
      </c>
      <c r="D857" t="str">
        <f>PROPER(Transactions!D857)</f>
        <v>Automotive</v>
      </c>
      <c r="E857" t="s">
        <v>111</v>
      </c>
      <c r="F857" t="s">
        <v>112</v>
      </c>
      <c r="G857">
        <v>3</v>
      </c>
      <c r="H857">
        <v>14.99</v>
      </c>
      <c r="I857" s="7">
        <f>IF(Transactions!I857="",0,Transactions!I857)</f>
        <v>0</v>
      </c>
      <c r="J857" s="9">
        <f t="shared" si="13"/>
        <v>44.97</v>
      </c>
      <c r="K857" t="s">
        <v>36</v>
      </c>
      <c r="L857" t="s">
        <v>17</v>
      </c>
      <c r="M857" t="str">
        <f>REPLACE(Transactions!M857,1,4,"")</f>
        <v>20</v>
      </c>
    </row>
    <row r="858" spans="1:13" x14ac:dyDescent="0.2">
      <c r="A858">
        <v>241333</v>
      </c>
      <c r="B858" s="5">
        <v>45539</v>
      </c>
      <c r="C858">
        <v>76960</v>
      </c>
      <c r="D858" t="str">
        <f>PROPER(Transactions!D858)</f>
        <v>Clothing</v>
      </c>
      <c r="E858" t="s">
        <v>135</v>
      </c>
      <c r="F858" t="s">
        <v>136</v>
      </c>
      <c r="G858">
        <v>2</v>
      </c>
      <c r="H858">
        <v>6.99</v>
      </c>
      <c r="I858" s="7">
        <f>IF(Transactions!I858="",0,Transactions!I858)</f>
        <v>0.3</v>
      </c>
      <c r="J858" s="9">
        <f t="shared" si="13"/>
        <v>9.7859999999999996</v>
      </c>
      <c r="K858" t="s">
        <v>22</v>
      </c>
      <c r="L858" t="s">
        <v>17</v>
      </c>
      <c r="M858" t="str">
        <f>REPLACE(Transactions!M858,1,4,"")</f>
        <v>20</v>
      </c>
    </row>
    <row r="859" spans="1:13" x14ac:dyDescent="0.2">
      <c r="A859">
        <v>241370</v>
      </c>
      <c r="B859" s="5">
        <v>44678</v>
      </c>
      <c r="C859">
        <v>63637</v>
      </c>
      <c r="D859" t="str">
        <f>PROPER(Transactions!D859)</f>
        <v>Pharmacy</v>
      </c>
      <c r="E859" t="s">
        <v>58</v>
      </c>
      <c r="F859" t="s">
        <v>59</v>
      </c>
      <c r="G859">
        <v>1</v>
      </c>
      <c r="H859">
        <v>3.39</v>
      </c>
      <c r="I859" s="7">
        <f>IF(Transactions!I859="",0,Transactions!I859)</f>
        <v>0.15</v>
      </c>
      <c r="J859" s="9">
        <f t="shared" si="13"/>
        <v>2.8815</v>
      </c>
      <c r="K859" t="s">
        <v>16</v>
      </c>
      <c r="L859" t="s">
        <v>17</v>
      </c>
      <c r="M859" t="str">
        <f>REPLACE(Transactions!M859,1,4,"")</f>
        <v>4</v>
      </c>
    </row>
    <row r="860" spans="1:13" x14ac:dyDescent="0.2">
      <c r="A860">
        <v>241656</v>
      </c>
      <c r="B860" s="5">
        <v>45003</v>
      </c>
      <c r="C860">
        <v>88691</v>
      </c>
      <c r="D860" t="str">
        <f>PROPER(Transactions!D860)</f>
        <v>Electronics</v>
      </c>
      <c r="E860" t="s">
        <v>186</v>
      </c>
      <c r="F860" t="s">
        <v>187</v>
      </c>
      <c r="G860">
        <v>2</v>
      </c>
      <c r="H860">
        <v>39.99</v>
      </c>
      <c r="I860" s="7">
        <f>IF(Transactions!I860="",0,Transactions!I860)</f>
        <v>0.2</v>
      </c>
      <c r="J860" s="9">
        <f t="shared" si="13"/>
        <v>63.984000000000009</v>
      </c>
      <c r="K860" t="s">
        <v>22</v>
      </c>
      <c r="L860" t="s">
        <v>17</v>
      </c>
      <c r="M860" t="str">
        <f>REPLACE(Transactions!M860,1,4,"")</f>
        <v>13</v>
      </c>
    </row>
    <row r="861" spans="1:13" x14ac:dyDescent="0.2">
      <c r="A861">
        <v>241699</v>
      </c>
      <c r="B861" s="5">
        <v>45216</v>
      </c>
      <c r="C861">
        <v>91481</v>
      </c>
      <c r="D861" t="str">
        <f>PROPER(Transactions!D861)</f>
        <v>Furniture</v>
      </c>
      <c r="E861" t="s">
        <v>113</v>
      </c>
      <c r="F861" t="s">
        <v>114</v>
      </c>
      <c r="G861">
        <v>1</v>
      </c>
      <c r="H861">
        <v>101.99</v>
      </c>
      <c r="I861" s="7">
        <f>IF(Transactions!I861="",0,Transactions!I861)</f>
        <v>0.15</v>
      </c>
      <c r="J861" s="9">
        <f t="shared" si="13"/>
        <v>86.691499999999991</v>
      </c>
      <c r="K861" t="s">
        <v>95</v>
      </c>
      <c r="L861" t="s">
        <v>17</v>
      </c>
      <c r="M861" t="str">
        <f>REPLACE(Transactions!M861,1,4,"")</f>
        <v>7</v>
      </c>
    </row>
    <row r="862" spans="1:13" x14ac:dyDescent="0.2">
      <c r="A862">
        <v>241738</v>
      </c>
      <c r="B862" s="5">
        <v>44585</v>
      </c>
      <c r="C862">
        <v>39108</v>
      </c>
      <c r="D862" t="str">
        <f>PROPER(Transactions!D862)</f>
        <v>Beauty</v>
      </c>
      <c r="E862" t="s">
        <v>118</v>
      </c>
      <c r="F862" t="s">
        <v>119</v>
      </c>
      <c r="G862">
        <v>1</v>
      </c>
      <c r="H862">
        <v>4.99</v>
      </c>
      <c r="I862" s="7">
        <f>IF(Transactions!I862="",0,Transactions!I862)</f>
        <v>0</v>
      </c>
      <c r="J862" s="9">
        <f t="shared" si="13"/>
        <v>4.99</v>
      </c>
      <c r="K862" t="s">
        <v>53</v>
      </c>
      <c r="L862" t="s">
        <v>37</v>
      </c>
      <c r="M862" t="str">
        <f>REPLACE(Transactions!M862,1,4,"")</f>
        <v/>
      </c>
    </row>
    <row r="863" spans="1:13" x14ac:dyDescent="0.2">
      <c r="A863">
        <v>241785</v>
      </c>
      <c r="B863" s="5">
        <v>44770</v>
      </c>
      <c r="C863">
        <v>47764</v>
      </c>
      <c r="D863" t="str">
        <f>PROPER(Transactions!D863)</f>
        <v>Home &amp; Garden</v>
      </c>
      <c r="E863" t="s">
        <v>137</v>
      </c>
      <c r="F863" t="s">
        <v>138</v>
      </c>
      <c r="G863">
        <v>2</v>
      </c>
      <c r="H863">
        <v>6.39</v>
      </c>
      <c r="I863" s="7">
        <f>IF(Transactions!I863="",0,Transactions!I863)</f>
        <v>0.2</v>
      </c>
      <c r="J863" s="9">
        <f t="shared" si="13"/>
        <v>10.224</v>
      </c>
      <c r="K863" t="s">
        <v>16</v>
      </c>
      <c r="L863" t="s">
        <v>17</v>
      </c>
      <c r="M863" t="str">
        <f>REPLACE(Transactions!M863,1,4,"")</f>
        <v>8</v>
      </c>
    </row>
    <row r="864" spans="1:13" x14ac:dyDescent="0.2">
      <c r="A864">
        <v>241933</v>
      </c>
      <c r="B864" s="5">
        <v>44604</v>
      </c>
      <c r="C864">
        <v>35779</v>
      </c>
      <c r="D864" t="str">
        <f>PROPER(Transactions!D864)</f>
        <v>Clothing</v>
      </c>
      <c r="E864" t="s">
        <v>181</v>
      </c>
      <c r="F864" t="s">
        <v>182</v>
      </c>
      <c r="G864">
        <v>4</v>
      </c>
      <c r="H864">
        <v>11.24</v>
      </c>
      <c r="I864" s="7">
        <f>IF(Transactions!I864="",0,Transactions!I864)</f>
        <v>0.25</v>
      </c>
      <c r="J864" s="9">
        <f t="shared" si="13"/>
        <v>33.72</v>
      </c>
      <c r="K864" t="s">
        <v>16</v>
      </c>
      <c r="L864" t="s">
        <v>23</v>
      </c>
      <c r="M864" t="str">
        <f>REPLACE(Transactions!M864,1,4,"")</f>
        <v>8</v>
      </c>
    </row>
    <row r="865" spans="1:13" x14ac:dyDescent="0.2">
      <c r="A865">
        <v>242356</v>
      </c>
      <c r="B865" s="5">
        <v>44748</v>
      </c>
      <c r="C865">
        <v>18870</v>
      </c>
      <c r="D865" t="str">
        <f>PROPER(Transactions!D865)</f>
        <v>Furniture</v>
      </c>
      <c r="E865" t="s">
        <v>26</v>
      </c>
      <c r="F865" t="s">
        <v>27</v>
      </c>
      <c r="G865">
        <v>2</v>
      </c>
      <c r="H865">
        <v>33.24</v>
      </c>
      <c r="I865" s="7">
        <f>IF(Transactions!I865="",0,Transactions!I865)</f>
        <v>0.05</v>
      </c>
      <c r="J865" s="9">
        <f t="shared" si="13"/>
        <v>63.155999999999999</v>
      </c>
      <c r="K865" t="s">
        <v>16</v>
      </c>
      <c r="L865" t="s">
        <v>37</v>
      </c>
      <c r="M865" t="str">
        <f>REPLACE(Transactions!M865,1,4,"")</f>
        <v>1</v>
      </c>
    </row>
    <row r="866" spans="1:13" x14ac:dyDescent="0.2">
      <c r="A866">
        <v>242778</v>
      </c>
      <c r="B866" s="5">
        <v>45464</v>
      </c>
      <c r="C866">
        <v>66385</v>
      </c>
      <c r="D866" t="str">
        <f>PROPER(Transactions!D866)</f>
        <v>Electronics</v>
      </c>
      <c r="E866" t="s">
        <v>104</v>
      </c>
      <c r="F866" t="s">
        <v>105</v>
      </c>
      <c r="G866">
        <v>4</v>
      </c>
      <c r="H866">
        <v>29.99</v>
      </c>
      <c r="I866" s="7">
        <f>IF(Transactions!I866="",0,Transactions!I866)</f>
        <v>0</v>
      </c>
      <c r="J866" s="9">
        <f t="shared" si="13"/>
        <v>119.96</v>
      </c>
      <c r="K866" t="s">
        <v>16</v>
      </c>
      <c r="L866" t="s">
        <v>17</v>
      </c>
      <c r="M866" t="str">
        <f>REPLACE(Transactions!M866,1,4,"")</f>
        <v>18</v>
      </c>
    </row>
    <row r="867" spans="1:13" x14ac:dyDescent="0.2">
      <c r="A867">
        <v>243111</v>
      </c>
      <c r="B867" s="5">
        <v>44706</v>
      </c>
      <c r="C867">
        <v>88080</v>
      </c>
      <c r="D867" t="str">
        <f>PROPER(Transactions!D867)</f>
        <v>Grocery</v>
      </c>
      <c r="E867" t="s">
        <v>133</v>
      </c>
      <c r="F867" t="s">
        <v>134</v>
      </c>
      <c r="G867">
        <v>3</v>
      </c>
      <c r="H867">
        <v>3.6</v>
      </c>
      <c r="I867" s="7">
        <f>IF(Transactions!I867="",0,Transactions!I867)</f>
        <v>0.05</v>
      </c>
      <c r="J867" s="9">
        <f t="shared" si="13"/>
        <v>10.26</v>
      </c>
      <c r="K867" t="s">
        <v>32</v>
      </c>
      <c r="L867" t="s">
        <v>17</v>
      </c>
      <c r="M867" t="str">
        <f>REPLACE(Transactions!M867,1,4,"")</f>
        <v>15</v>
      </c>
    </row>
    <row r="868" spans="1:13" x14ac:dyDescent="0.2">
      <c r="A868">
        <v>243130</v>
      </c>
      <c r="B868" s="5">
        <v>45225</v>
      </c>
      <c r="C868">
        <v>38406</v>
      </c>
      <c r="D868" t="str">
        <f>PROPER(Transactions!D868)</f>
        <v>Toys</v>
      </c>
      <c r="E868" t="s">
        <v>38</v>
      </c>
      <c r="F868" t="s">
        <v>39</v>
      </c>
      <c r="G868">
        <v>2</v>
      </c>
      <c r="H868">
        <v>29.99</v>
      </c>
      <c r="I868" s="7">
        <f>IF(Transactions!I868="",0,Transactions!I868)</f>
        <v>0</v>
      </c>
      <c r="J868" s="9">
        <f t="shared" si="13"/>
        <v>59.98</v>
      </c>
      <c r="K868" t="s">
        <v>36</v>
      </c>
      <c r="L868" t="s">
        <v>37</v>
      </c>
      <c r="M868" t="str">
        <f>REPLACE(Transactions!M868,1,4,"")</f>
        <v>2</v>
      </c>
    </row>
    <row r="869" spans="1:13" x14ac:dyDescent="0.2">
      <c r="A869">
        <v>243328</v>
      </c>
      <c r="B869" s="5">
        <v>45637</v>
      </c>
      <c r="C869">
        <v>76121</v>
      </c>
      <c r="D869" t="str">
        <f>PROPER(Transactions!D869)</f>
        <v>Clothing</v>
      </c>
      <c r="E869" t="s">
        <v>165</v>
      </c>
      <c r="F869" t="s">
        <v>166</v>
      </c>
      <c r="G869">
        <v>3</v>
      </c>
      <c r="H869">
        <v>89.99</v>
      </c>
      <c r="I869" s="7">
        <f>IF(Transactions!I869="",0,Transactions!I869)</f>
        <v>0</v>
      </c>
      <c r="J869" s="9">
        <f t="shared" si="13"/>
        <v>269.96999999999997</v>
      </c>
      <c r="K869" t="s">
        <v>16</v>
      </c>
      <c r="L869" t="s">
        <v>37</v>
      </c>
      <c r="M869" t="str">
        <f>REPLACE(Transactions!M869,1,4,"")</f>
        <v>13</v>
      </c>
    </row>
    <row r="870" spans="1:13" x14ac:dyDescent="0.2">
      <c r="A870">
        <v>243384</v>
      </c>
      <c r="B870" s="5">
        <v>45271</v>
      </c>
      <c r="C870">
        <v>11282</v>
      </c>
      <c r="D870" t="str">
        <f>PROPER(Transactions!D870)</f>
        <v>Automotive</v>
      </c>
      <c r="E870" t="s">
        <v>68</v>
      </c>
      <c r="F870" t="s">
        <v>69</v>
      </c>
      <c r="G870">
        <v>1</v>
      </c>
      <c r="H870">
        <v>19.989999999999998</v>
      </c>
      <c r="I870" s="7">
        <f>IF(Transactions!I870="",0,Transactions!I870)</f>
        <v>0.2</v>
      </c>
      <c r="J870" s="9">
        <f t="shared" si="13"/>
        <v>15.991999999999999</v>
      </c>
      <c r="K870" t="s">
        <v>36</v>
      </c>
      <c r="L870" t="s">
        <v>17</v>
      </c>
      <c r="M870" t="str">
        <f>REPLACE(Transactions!M870,1,4,"")</f>
        <v>4</v>
      </c>
    </row>
    <row r="871" spans="1:13" x14ac:dyDescent="0.2">
      <c r="A871">
        <v>243507</v>
      </c>
      <c r="B871" s="5">
        <v>45076</v>
      </c>
      <c r="D871" t="str">
        <f>PROPER(Transactions!D871)</f>
        <v>Beauty</v>
      </c>
      <c r="E871" t="s">
        <v>143</v>
      </c>
      <c r="F871" t="s">
        <v>144</v>
      </c>
      <c r="G871">
        <v>4</v>
      </c>
      <c r="H871">
        <v>11.24</v>
      </c>
      <c r="I871" s="7">
        <f>IF(Transactions!I871="",0,Transactions!I871)</f>
        <v>0.25</v>
      </c>
      <c r="J871" s="9">
        <f t="shared" si="13"/>
        <v>33.72</v>
      </c>
      <c r="K871" t="s">
        <v>36</v>
      </c>
      <c r="L871" t="s">
        <v>17</v>
      </c>
      <c r="M871" t="str">
        <f>REPLACE(Transactions!M871,1,4,"")</f>
        <v>2</v>
      </c>
    </row>
    <row r="872" spans="1:13" x14ac:dyDescent="0.2">
      <c r="A872">
        <v>243650</v>
      </c>
      <c r="B872" s="5">
        <v>44595</v>
      </c>
      <c r="C872">
        <v>64048</v>
      </c>
      <c r="D872" t="str">
        <f>PROPER(Transactions!D872)</f>
        <v>Pharmacy</v>
      </c>
      <c r="E872" t="s">
        <v>115</v>
      </c>
      <c r="F872" t="s">
        <v>116</v>
      </c>
      <c r="G872">
        <v>1</v>
      </c>
      <c r="H872">
        <v>12.99</v>
      </c>
      <c r="I872" s="7">
        <f>IF(Transactions!I872="",0,Transactions!I872)</f>
        <v>0</v>
      </c>
      <c r="J872" s="9">
        <f t="shared" si="13"/>
        <v>12.99</v>
      </c>
      <c r="K872" t="s">
        <v>16</v>
      </c>
      <c r="L872" t="s">
        <v>37</v>
      </c>
      <c r="M872" t="str">
        <f>REPLACE(Transactions!M872,1,4,"")</f>
        <v>7</v>
      </c>
    </row>
    <row r="873" spans="1:13" x14ac:dyDescent="0.2">
      <c r="A873">
        <v>243925</v>
      </c>
      <c r="B873" s="5">
        <v>44648</v>
      </c>
      <c r="C873">
        <v>74741</v>
      </c>
      <c r="D873" t="str">
        <f>PROPER(Transactions!D873)</f>
        <v>Furniture</v>
      </c>
      <c r="E873" t="s">
        <v>26</v>
      </c>
      <c r="F873" t="s">
        <v>27</v>
      </c>
      <c r="G873">
        <v>1</v>
      </c>
      <c r="H873">
        <v>34.99</v>
      </c>
      <c r="I873" s="7">
        <f>IF(Transactions!I873="",0,Transactions!I873)</f>
        <v>0</v>
      </c>
      <c r="J873" s="9">
        <f t="shared" si="13"/>
        <v>34.99</v>
      </c>
      <c r="K873" t="s">
        <v>16</v>
      </c>
      <c r="L873" t="s">
        <v>17</v>
      </c>
      <c r="M873" t="str">
        <f>REPLACE(Transactions!M873,1,4,"")</f>
        <v>15</v>
      </c>
    </row>
    <row r="874" spans="1:13" x14ac:dyDescent="0.2">
      <c r="A874">
        <v>244155</v>
      </c>
      <c r="B874" s="5">
        <v>45356</v>
      </c>
      <c r="C874">
        <v>24943</v>
      </c>
      <c r="D874" t="str">
        <f>PROPER(Transactions!D874)</f>
        <v>Toys</v>
      </c>
      <c r="E874" t="s">
        <v>72</v>
      </c>
      <c r="F874" t="s">
        <v>73</v>
      </c>
      <c r="G874">
        <v>1</v>
      </c>
      <c r="H874">
        <v>31.99</v>
      </c>
      <c r="I874" s="7">
        <f>IF(Transactions!I874="",0,Transactions!I874)</f>
        <v>0.2</v>
      </c>
      <c r="J874" s="9">
        <f t="shared" si="13"/>
        <v>25.591999999999999</v>
      </c>
      <c r="K874" t="s">
        <v>16</v>
      </c>
      <c r="L874" t="s">
        <v>37</v>
      </c>
      <c r="M874" t="str">
        <f>REPLACE(Transactions!M874,1,4,"")</f>
        <v>19</v>
      </c>
    </row>
    <row r="875" spans="1:13" x14ac:dyDescent="0.2">
      <c r="A875">
        <v>244304</v>
      </c>
      <c r="B875" s="5">
        <v>44748</v>
      </c>
      <c r="C875">
        <v>21956</v>
      </c>
      <c r="D875" t="str">
        <f>PROPER(Transactions!D875)</f>
        <v>Sports</v>
      </c>
      <c r="E875" t="s">
        <v>147</v>
      </c>
      <c r="F875" t="s">
        <v>148</v>
      </c>
      <c r="G875">
        <v>2</v>
      </c>
      <c r="H875">
        <v>12.34</v>
      </c>
      <c r="I875" s="7">
        <f>IF(Transactions!I875="",0,Transactions!I875)</f>
        <v>0.05</v>
      </c>
      <c r="J875" s="9">
        <f t="shared" si="13"/>
        <v>23.445999999999998</v>
      </c>
      <c r="K875" t="s">
        <v>16</v>
      </c>
      <c r="L875" t="s">
        <v>17</v>
      </c>
      <c r="M875" t="str">
        <f>REPLACE(Transactions!M875,1,4,"")</f>
        <v>18</v>
      </c>
    </row>
    <row r="876" spans="1:13" x14ac:dyDescent="0.2">
      <c r="A876">
        <v>244494</v>
      </c>
      <c r="B876" s="5">
        <v>45195</v>
      </c>
      <c r="D876" t="str">
        <f>PROPER(Transactions!D876)</f>
        <v>Toys</v>
      </c>
      <c r="E876" t="s">
        <v>38</v>
      </c>
      <c r="F876" t="s">
        <v>39</v>
      </c>
      <c r="G876">
        <v>5</v>
      </c>
      <c r="H876">
        <v>29.99</v>
      </c>
      <c r="I876" s="7">
        <f>IF(Transactions!I876="",0,Transactions!I876)</f>
        <v>0</v>
      </c>
      <c r="J876" s="9">
        <f t="shared" si="13"/>
        <v>149.94999999999999</v>
      </c>
      <c r="K876" t="s">
        <v>16</v>
      </c>
      <c r="L876" t="s">
        <v>17</v>
      </c>
      <c r="M876" t="str">
        <f>REPLACE(Transactions!M876,1,4,"")</f>
        <v>3</v>
      </c>
    </row>
    <row r="877" spans="1:13" x14ac:dyDescent="0.2">
      <c r="A877">
        <v>244655</v>
      </c>
      <c r="B877" s="5">
        <v>45501</v>
      </c>
      <c r="C877">
        <v>46051</v>
      </c>
      <c r="D877" t="str">
        <f>PROPER(Transactions!D877)</f>
        <v>Home &amp; Garden</v>
      </c>
      <c r="E877" t="s">
        <v>137</v>
      </c>
      <c r="F877" t="s">
        <v>138</v>
      </c>
      <c r="G877">
        <v>1</v>
      </c>
      <c r="H877">
        <v>5.99</v>
      </c>
      <c r="I877" s="7">
        <f>IF(Transactions!I877="",0,Transactions!I877)</f>
        <v>0.25</v>
      </c>
      <c r="J877" s="9">
        <f t="shared" si="13"/>
        <v>4.4924999999999997</v>
      </c>
      <c r="K877" t="s">
        <v>16</v>
      </c>
      <c r="L877" t="s">
        <v>23</v>
      </c>
      <c r="M877" t="str">
        <f>REPLACE(Transactions!M877,1,4,"")</f>
        <v>5</v>
      </c>
    </row>
    <row r="878" spans="1:13" x14ac:dyDescent="0.2">
      <c r="A878">
        <v>244667</v>
      </c>
      <c r="B878" s="5">
        <v>45074</v>
      </c>
      <c r="C878">
        <v>29199</v>
      </c>
      <c r="D878" t="str">
        <f>PROPER(Transactions!D878)</f>
        <v>Sports</v>
      </c>
      <c r="E878" t="s">
        <v>168</v>
      </c>
      <c r="F878" t="s">
        <v>169</v>
      </c>
      <c r="G878">
        <v>1</v>
      </c>
      <c r="H878">
        <v>7.19</v>
      </c>
      <c r="I878" s="7">
        <f>IF(Transactions!I878="",0,Transactions!I878)</f>
        <v>0.2</v>
      </c>
      <c r="J878" s="9">
        <f t="shared" si="13"/>
        <v>5.7520000000000007</v>
      </c>
      <c r="K878" t="s">
        <v>53</v>
      </c>
      <c r="L878" t="s">
        <v>17</v>
      </c>
      <c r="M878" t="str">
        <f>REPLACE(Transactions!M878,1,4,"")</f>
        <v>9</v>
      </c>
    </row>
    <row r="879" spans="1:13" x14ac:dyDescent="0.2">
      <c r="A879">
        <v>244959</v>
      </c>
      <c r="B879" s="5">
        <v>44945</v>
      </c>
      <c r="C879">
        <v>35633</v>
      </c>
      <c r="D879" t="str">
        <f>PROPER(Transactions!D879)</f>
        <v>Sports</v>
      </c>
      <c r="E879" t="s">
        <v>155</v>
      </c>
      <c r="F879" t="s">
        <v>156</v>
      </c>
      <c r="G879">
        <v>1</v>
      </c>
      <c r="H879">
        <v>18.989999999999998</v>
      </c>
      <c r="I879" s="7">
        <f>IF(Transactions!I879="",0,Transactions!I879)</f>
        <v>0.05</v>
      </c>
      <c r="J879" s="9">
        <f t="shared" si="13"/>
        <v>18.040499999999998</v>
      </c>
      <c r="K879" t="s">
        <v>36</v>
      </c>
      <c r="L879" t="s">
        <v>37</v>
      </c>
      <c r="M879" t="str">
        <f>REPLACE(Transactions!M879,1,4,"")</f>
        <v>20</v>
      </c>
    </row>
    <row r="880" spans="1:13" x14ac:dyDescent="0.2">
      <c r="A880">
        <v>245203</v>
      </c>
      <c r="B880" s="5">
        <v>45517</v>
      </c>
      <c r="C880">
        <v>73582</v>
      </c>
      <c r="D880" t="str">
        <f>PROPER(Transactions!D880)</f>
        <v>Furniture</v>
      </c>
      <c r="E880" t="s">
        <v>60</v>
      </c>
      <c r="F880" t="s">
        <v>61</v>
      </c>
      <c r="G880">
        <v>1</v>
      </c>
      <c r="H880">
        <v>46.74</v>
      </c>
      <c r="I880" s="7">
        <f>IF(Transactions!I880="",0,Transactions!I880)</f>
        <v>0</v>
      </c>
      <c r="J880" s="9">
        <f t="shared" si="13"/>
        <v>46.74</v>
      </c>
      <c r="K880" t="s">
        <v>16</v>
      </c>
      <c r="L880" t="s">
        <v>37</v>
      </c>
      <c r="M880" t="str">
        <f>REPLACE(Transactions!M880,1,4,"")</f>
        <v>3</v>
      </c>
    </row>
    <row r="881" spans="1:13" x14ac:dyDescent="0.2">
      <c r="A881">
        <v>245345</v>
      </c>
      <c r="B881" s="5">
        <v>44813</v>
      </c>
      <c r="C881">
        <v>77037</v>
      </c>
      <c r="D881" t="str">
        <f>PROPER(Transactions!D881)</f>
        <v>Electronics</v>
      </c>
      <c r="E881" t="s">
        <v>55</v>
      </c>
      <c r="F881" t="s">
        <v>56</v>
      </c>
      <c r="G881">
        <v>4</v>
      </c>
      <c r="H881">
        <v>313.49</v>
      </c>
      <c r="I881" s="7">
        <f>IF(Transactions!I881="",0,Transactions!I881)</f>
        <v>0.05</v>
      </c>
      <c r="J881" s="9">
        <f t="shared" si="13"/>
        <v>1191.2619999999999</v>
      </c>
      <c r="K881" t="s">
        <v>22</v>
      </c>
      <c r="L881" t="s">
        <v>17</v>
      </c>
      <c r="M881" t="str">
        <f>REPLACE(Transactions!M881,1,4,"")</f>
        <v>19</v>
      </c>
    </row>
    <row r="882" spans="1:13" x14ac:dyDescent="0.2">
      <c r="A882">
        <v>245453</v>
      </c>
      <c r="B882" s="5">
        <v>45518</v>
      </c>
      <c r="C882">
        <v>21703</v>
      </c>
      <c r="D882" t="str">
        <f>PROPER(Transactions!D882)</f>
        <v>Toys</v>
      </c>
      <c r="E882" t="s">
        <v>175</v>
      </c>
      <c r="F882" t="s">
        <v>176</v>
      </c>
      <c r="G882">
        <v>2</v>
      </c>
      <c r="H882">
        <v>8.99</v>
      </c>
      <c r="I882" s="7">
        <f>IF(Transactions!I882="",0,Transactions!I882)</f>
        <v>0.25</v>
      </c>
      <c r="J882" s="9">
        <f t="shared" si="13"/>
        <v>13.484999999999999</v>
      </c>
      <c r="K882" t="s">
        <v>16</v>
      </c>
      <c r="L882" t="s">
        <v>17</v>
      </c>
      <c r="M882" t="str">
        <f>REPLACE(Transactions!M882,1,4,"")</f>
        <v>16</v>
      </c>
    </row>
    <row r="883" spans="1:13" x14ac:dyDescent="0.2">
      <c r="A883">
        <v>245461</v>
      </c>
      <c r="B883" s="5">
        <v>45412</v>
      </c>
      <c r="C883">
        <v>88996</v>
      </c>
      <c r="D883" t="str">
        <f>PROPER(Transactions!D883)</f>
        <v>Clothing</v>
      </c>
      <c r="E883" t="s">
        <v>181</v>
      </c>
      <c r="F883" t="s">
        <v>182</v>
      </c>
      <c r="G883">
        <v>4</v>
      </c>
      <c r="H883">
        <v>11.24</v>
      </c>
      <c r="I883" s="7">
        <f>IF(Transactions!I883="",0,Transactions!I883)</f>
        <v>0.25</v>
      </c>
      <c r="J883" s="9">
        <f t="shared" si="13"/>
        <v>33.72</v>
      </c>
      <c r="K883" t="s">
        <v>16</v>
      </c>
      <c r="L883" t="s">
        <v>17</v>
      </c>
      <c r="M883" t="str">
        <f>REPLACE(Transactions!M883,1,4,"")</f>
        <v>1</v>
      </c>
    </row>
    <row r="884" spans="1:13" x14ac:dyDescent="0.2">
      <c r="A884">
        <v>245484</v>
      </c>
      <c r="B884" s="5">
        <v>44862</v>
      </c>
      <c r="C884">
        <v>32744</v>
      </c>
      <c r="D884" t="str">
        <f>PROPER(Transactions!D884)</f>
        <v>Furniture</v>
      </c>
      <c r="E884" t="s">
        <v>113</v>
      </c>
      <c r="F884" t="s">
        <v>114</v>
      </c>
      <c r="G884">
        <v>4</v>
      </c>
      <c r="H884">
        <v>119.99</v>
      </c>
      <c r="I884" s="7">
        <f>IF(Transactions!I884="",0,Transactions!I884)</f>
        <v>0</v>
      </c>
      <c r="J884" s="9">
        <f t="shared" si="13"/>
        <v>479.96</v>
      </c>
      <c r="K884" t="s">
        <v>53</v>
      </c>
      <c r="L884" t="s">
        <v>23</v>
      </c>
      <c r="M884" t="str">
        <f>REPLACE(Transactions!M884,1,4,"")</f>
        <v>11</v>
      </c>
    </row>
    <row r="885" spans="1:13" x14ac:dyDescent="0.2">
      <c r="A885">
        <v>246000</v>
      </c>
      <c r="B885" s="5">
        <v>45511</v>
      </c>
      <c r="C885">
        <v>60010</v>
      </c>
      <c r="D885" t="str">
        <f>PROPER(Transactions!D885)</f>
        <v>Electronics</v>
      </c>
      <c r="E885" t="s">
        <v>79</v>
      </c>
      <c r="F885" t="s">
        <v>80</v>
      </c>
      <c r="G885">
        <v>1</v>
      </c>
      <c r="H885">
        <v>89.99</v>
      </c>
      <c r="I885" s="7">
        <f>IF(Transactions!I885="",0,Transactions!I885)</f>
        <v>0</v>
      </c>
      <c r="J885" s="9">
        <f t="shared" si="13"/>
        <v>89.99</v>
      </c>
      <c r="K885" t="s">
        <v>22</v>
      </c>
      <c r="L885" t="s">
        <v>37</v>
      </c>
      <c r="M885" t="str">
        <f>REPLACE(Transactions!M885,1,4,"")</f>
        <v>2</v>
      </c>
    </row>
    <row r="886" spans="1:13" x14ac:dyDescent="0.2">
      <c r="A886">
        <v>246096</v>
      </c>
      <c r="B886" s="5">
        <v>44612</v>
      </c>
      <c r="C886">
        <v>11457</v>
      </c>
      <c r="D886" t="str">
        <f>PROPER(Transactions!D886)</f>
        <v>Furniture</v>
      </c>
      <c r="E886" t="s">
        <v>51</v>
      </c>
      <c r="F886" t="s">
        <v>52</v>
      </c>
      <c r="G886">
        <v>2</v>
      </c>
      <c r="H886">
        <v>20.99</v>
      </c>
      <c r="I886" s="7">
        <f>IF(Transactions!I886="",0,Transactions!I886)</f>
        <v>0.25</v>
      </c>
      <c r="J886" s="9">
        <f t="shared" si="13"/>
        <v>31.484999999999999</v>
      </c>
      <c r="K886" t="s">
        <v>16</v>
      </c>
      <c r="L886" t="s">
        <v>37</v>
      </c>
      <c r="M886" t="str">
        <f>REPLACE(Transactions!M886,1,4,"")</f>
        <v>3</v>
      </c>
    </row>
    <row r="887" spans="1:13" x14ac:dyDescent="0.2">
      <c r="A887">
        <v>246178</v>
      </c>
      <c r="B887" s="5">
        <v>45226</v>
      </c>
      <c r="C887">
        <v>70386</v>
      </c>
      <c r="D887" t="str">
        <f>PROPER(Transactions!D887)</f>
        <v>Beauty</v>
      </c>
      <c r="E887" t="s">
        <v>109</v>
      </c>
      <c r="F887" t="s">
        <v>110</v>
      </c>
      <c r="G887">
        <v>1</v>
      </c>
      <c r="H887">
        <v>5.59</v>
      </c>
      <c r="I887" s="7">
        <f>IF(Transactions!I887="",0,Transactions!I887)</f>
        <v>0.2</v>
      </c>
      <c r="J887" s="9">
        <f t="shared" si="13"/>
        <v>4.4720000000000004</v>
      </c>
      <c r="K887" t="s">
        <v>36</v>
      </c>
      <c r="L887" t="s">
        <v>17</v>
      </c>
      <c r="M887" t="str">
        <f>REPLACE(Transactions!M887,1,4,"")</f>
        <v>1</v>
      </c>
    </row>
    <row r="888" spans="1:13" x14ac:dyDescent="0.2">
      <c r="A888">
        <v>246294</v>
      </c>
      <c r="B888" s="5">
        <v>44691</v>
      </c>
      <c r="C888">
        <v>24846</v>
      </c>
      <c r="D888" t="str">
        <f>PROPER(Transactions!D888)</f>
        <v>Electronics</v>
      </c>
      <c r="E888" t="s">
        <v>79</v>
      </c>
      <c r="F888" t="s">
        <v>80</v>
      </c>
      <c r="G888">
        <v>2</v>
      </c>
      <c r="H888">
        <v>76.489999999999995</v>
      </c>
      <c r="I888" s="7">
        <f>IF(Transactions!I888="",0,Transactions!I888)</f>
        <v>0.15</v>
      </c>
      <c r="J888" s="9">
        <f t="shared" si="13"/>
        <v>130.03299999999999</v>
      </c>
      <c r="K888" t="s">
        <v>36</v>
      </c>
      <c r="L888" t="s">
        <v>17</v>
      </c>
      <c r="M888" t="str">
        <f>REPLACE(Transactions!M888,1,4,"")</f>
        <v>4</v>
      </c>
    </row>
    <row r="889" spans="1:13" x14ac:dyDescent="0.2">
      <c r="A889">
        <v>246629</v>
      </c>
      <c r="B889" s="5">
        <v>44875</v>
      </c>
      <c r="C889">
        <v>77845</v>
      </c>
      <c r="D889" t="str">
        <f>PROPER(Transactions!D889)</f>
        <v>Pharmacy</v>
      </c>
      <c r="E889" t="s">
        <v>20</v>
      </c>
      <c r="F889" t="s">
        <v>21</v>
      </c>
      <c r="G889">
        <v>1</v>
      </c>
      <c r="H889">
        <v>9.99</v>
      </c>
      <c r="I889" s="7">
        <f>IF(Transactions!I889="",0,Transactions!I889)</f>
        <v>0</v>
      </c>
      <c r="J889" s="9">
        <f t="shared" si="13"/>
        <v>9.99</v>
      </c>
      <c r="K889" t="s">
        <v>36</v>
      </c>
      <c r="L889" t="s">
        <v>17</v>
      </c>
      <c r="M889" t="str">
        <f>REPLACE(Transactions!M889,1,4,"")</f>
        <v>4</v>
      </c>
    </row>
    <row r="890" spans="1:13" x14ac:dyDescent="0.2">
      <c r="A890">
        <v>247064</v>
      </c>
      <c r="B890" s="5">
        <v>45653</v>
      </c>
      <c r="C890">
        <v>42502</v>
      </c>
      <c r="D890" t="str">
        <f>PROPER(Transactions!D890)</f>
        <v>Furniture</v>
      </c>
      <c r="E890" t="s">
        <v>70</v>
      </c>
      <c r="F890" t="s">
        <v>71</v>
      </c>
      <c r="G890">
        <v>2</v>
      </c>
      <c r="H890">
        <v>80.989999999999995</v>
      </c>
      <c r="I890" s="7">
        <f>IF(Transactions!I890="",0,Transactions!I890)</f>
        <v>0.1</v>
      </c>
      <c r="J890" s="9">
        <f t="shared" si="13"/>
        <v>145.78199999999998</v>
      </c>
      <c r="K890" t="s">
        <v>16</v>
      </c>
      <c r="L890" t="s">
        <v>17</v>
      </c>
      <c r="M890" t="str">
        <f>REPLACE(Transactions!M890,1,4,"")</f>
        <v>5</v>
      </c>
    </row>
    <row r="891" spans="1:13" x14ac:dyDescent="0.2">
      <c r="A891">
        <v>247217</v>
      </c>
      <c r="B891" s="5">
        <v>45351</v>
      </c>
      <c r="C891">
        <v>59093</v>
      </c>
      <c r="D891" t="str">
        <f>PROPER(Transactions!D891)</f>
        <v>Home &amp; Garden</v>
      </c>
      <c r="E891" t="s">
        <v>137</v>
      </c>
      <c r="F891" t="s">
        <v>138</v>
      </c>
      <c r="G891">
        <v>5</v>
      </c>
      <c r="H891">
        <v>7.99</v>
      </c>
      <c r="I891" s="7">
        <f>IF(Transactions!I891="",0,Transactions!I891)</f>
        <v>0</v>
      </c>
      <c r="J891" s="9">
        <f t="shared" si="13"/>
        <v>39.950000000000003</v>
      </c>
      <c r="K891" t="s">
        <v>32</v>
      </c>
      <c r="L891" t="s">
        <v>37</v>
      </c>
      <c r="M891" t="str">
        <f>REPLACE(Transactions!M891,1,4,"")</f>
        <v>3</v>
      </c>
    </row>
    <row r="892" spans="1:13" x14ac:dyDescent="0.2">
      <c r="A892">
        <v>247414</v>
      </c>
      <c r="B892" s="5">
        <v>44616</v>
      </c>
      <c r="C892">
        <v>77135</v>
      </c>
      <c r="D892" t="str">
        <f>PROPER(Transactions!D892)</f>
        <v>Beauty</v>
      </c>
      <c r="E892" t="s">
        <v>118</v>
      </c>
      <c r="F892" t="s">
        <v>119</v>
      </c>
      <c r="G892">
        <v>1</v>
      </c>
      <c r="H892">
        <v>3.99</v>
      </c>
      <c r="I892" s="7">
        <f>IF(Transactions!I892="",0,Transactions!I892)</f>
        <v>0.2</v>
      </c>
      <c r="J892" s="9">
        <f t="shared" si="13"/>
        <v>3.1920000000000002</v>
      </c>
      <c r="K892" t="s">
        <v>16</v>
      </c>
      <c r="L892" t="s">
        <v>17</v>
      </c>
      <c r="M892" t="str">
        <f>REPLACE(Transactions!M892,1,4,"")</f>
        <v>20</v>
      </c>
    </row>
    <row r="893" spans="1:13" x14ac:dyDescent="0.2">
      <c r="A893">
        <v>247724</v>
      </c>
      <c r="B893" s="5">
        <v>44939</v>
      </c>
      <c r="C893">
        <v>73094</v>
      </c>
      <c r="D893" t="str">
        <f>PROPER(Transactions!D893)</f>
        <v>Furniture</v>
      </c>
      <c r="E893" t="s">
        <v>113</v>
      </c>
      <c r="F893" t="s">
        <v>114</v>
      </c>
      <c r="G893">
        <v>1</v>
      </c>
      <c r="H893">
        <v>107.99</v>
      </c>
      <c r="I893" s="7">
        <f>IF(Transactions!I893="",0,Transactions!I893)</f>
        <v>0.1</v>
      </c>
      <c r="J893" s="9">
        <f t="shared" si="13"/>
        <v>97.191000000000003</v>
      </c>
      <c r="K893" t="s">
        <v>36</v>
      </c>
      <c r="L893" t="s">
        <v>23</v>
      </c>
      <c r="M893" t="str">
        <f>REPLACE(Transactions!M893,1,4,"")</f>
        <v>14</v>
      </c>
    </row>
    <row r="894" spans="1:13" x14ac:dyDescent="0.2">
      <c r="A894">
        <v>247794</v>
      </c>
      <c r="B894" s="5">
        <v>45576</v>
      </c>
      <c r="C894">
        <v>86264</v>
      </c>
      <c r="D894" t="str">
        <f>PROPER(Transactions!D894)</f>
        <v>Grocery</v>
      </c>
      <c r="E894" t="s">
        <v>74</v>
      </c>
      <c r="F894" t="s">
        <v>75</v>
      </c>
      <c r="G894">
        <v>4</v>
      </c>
      <c r="H894">
        <v>2.09</v>
      </c>
      <c r="I894" s="7">
        <f>IF(Transactions!I894="",0,Transactions!I894)</f>
        <v>0.3</v>
      </c>
      <c r="J894" s="9">
        <f t="shared" si="13"/>
        <v>5.8519999999999994</v>
      </c>
      <c r="K894" t="s">
        <v>32</v>
      </c>
      <c r="L894" t="s">
        <v>23</v>
      </c>
      <c r="M894" t="str">
        <f>REPLACE(Transactions!M894,1,4,"")</f>
        <v>6</v>
      </c>
    </row>
    <row r="895" spans="1:13" x14ac:dyDescent="0.2">
      <c r="A895">
        <v>248133</v>
      </c>
      <c r="B895" s="5">
        <v>44562</v>
      </c>
      <c r="C895">
        <v>39464</v>
      </c>
      <c r="D895" t="str">
        <f>PROPER(Transactions!D895)</f>
        <v>Automotive</v>
      </c>
      <c r="E895" t="s">
        <v>68</v>
      </c>
      <c r="F895" t="s">
        <v>69</v>
      </c>
      <c r="G895">
        <v>3</v>
      </c>
      <c r="H895">
        <v>19.989999999999998</v>
      </c>
      <c r="I895" s="7">
        <f>IF(Transactions!I895="",0,Transactions!I895)</f>
        <v>0.2</v>
      </c>
      <c r="J895" s="9">
        <f t="shared" si="13"/>
        <v>47.975999999999999</v>
      </c>
      <c r="K895" t="s">
        <v>36</v>
      </c>
      <c r="L895" t="s">
        <v>17</v>
      </c>
      <c r="M895" t="str">
        <f>REPLACE(Transactions!M895,1,4,"")</f>
        <v>15</v>
      </c>
    </row>
    <row r="896" spans="1:13" x14ac:dyDescent="0.2">
      <c r="A896">
        <v>248308</v>
      </c>
      <c r="B896" s="5">
        <v>45329</v>
      </c>
      <c r="C896">
        <v>64994</v>
      </c>
      <c r="D896" t="str">
        <f>PROPER(Transactions!D896)</f>
        <v>Electronics</v>
      </c>
      <c r="E896" t="s">
        <v>127</v>
      </c>
      <c r="F896" t="s">
        <v>128</v>
      </c>
      <c r="G896">
        <v>5</v>
      </c>
      <c r="H896">
        <v>15.99</v>
      </c>
      <c r="I896" s="7">
        <f>IF(Transactions!I896="",0,Transactions!I896)</f>
        <v>0.2</v>
      </c>
      <c r="J896" s="9">
        <f t="shared" si="13"/>
        <v>63.960000000000008</v>
      </c>
      <c r="K896" t="s">
        <v>16</v>
      </c>
      <c r="L896" t="s">
        <v>17</v>
      </c>
      <c r="M896" t="str">
        <f>REPLACE(Transactions!M896,1,4,"")</f>
        <v>15</v>
      </c>
    </row>
    <row r="897" spans="1:13" x14ac:dyDescent="0.2">
      <c r="A897">
        <v>248365</v>
      </c>
      <c r="B897" s="5">
        <v>45189</v>
      </c>
      <c r="C897">
        <v>78952</v>
      </c>
      <c r="D897" t="str">
        <f>PROPER(Transactions!D897)</f>
        <v>Sports</v>
      </c>
      <c r="E897" t="s">
        <v>83</v>
      </c>
      <c r="F897" t="s">
        <v>84</v>
      </c>
      <c r="G897">
        <v>1</v>
      </c>
      <c r="H897">
        <v>16.989999999999998</v>
      </c>
      <c r="I897" s="7">
        <f>IF(Transactions!I897="",0,Transactions!I897)</f>
        <v>0</v>
      </c>
      <c r="J897" s="9">
        <f t="shared" si="13"/>
        <v>16.989999999999998</v>
      </c>
      <c r="K897" t="s">
        <v>16</v>
      </c>
      <c r="L897" t="s">
        <v>17</v>
      </c>
      <c r="M897" t="str">
        <f>REPLACE(Transactions!M897,1,4,"")</f>
        <v>7</v>
      </c>
    </row>
    <row r="898" spans="1:13" x14ac:dyDescent="0.2">
      <c r="A898">
        <v>248375</v>
      </c>
      <c r="B898" s="5">
        <v>45394</v>
      </c>
      <c r="C898">
        <v>57452</v>
      </c>
      <c r="D898" t="str">
        <f>PROPER(Transactions!D898)</f>
        <v>Clothing</v>
      </c>
      <c r="E898" t="s">
        <v>151</v>
      </c>
      <c r="F898" t="s">
        <v>152</v>
      </c>
      <c r="G898">
        <v>2</v>
      </c>
      <c r="H898">
        <v>29.74</v>
      </c>
      <c r="I898" s="7">
        <f>IF(Transactions!I898="",0,Transactions!I898)</f>
        <v>0.15</v>
      </c>
      <c r="J898" s="9">
        <f t="shared" si="13"/>
        <v>50.557999999999993</v>
      </c>
      <c r="K898" t="s">
        <v>36</v>
      </c>
      <c r="L898" t="s">
        <v>17</v>
      </c>
      <c r="M898" t="str">
        <f>REPLACE(Transactions!M898,1,4,"")</f>
        <v>5</v>
      </c>
    </row>
    <row r="899" spans="1:13" x14ac:dyDescent="0.2">
      <c r="A899">
        <v>248489</v>
      </c>
      <c r="B899" s="5">
        <v>45284</v>
      </c>
      <c r="C899">
        <v>41284</v>
      </c>
      <c r="D899" t="str">
        <f>PROPER(Transactions!D899)</f>
        <v>Grocery</v>
      </c>
      <c r="E899" t="s">
        <v>91</v>
      </c>
      <c r="F899" t="s">
        <v>92</v>
      </c>
      <c r="G899">
        <v>2</v>
      </c>
      <c r="H899">
        <v>5.98</v>
      </c>
      <c r="I899" s="7">
        <f>IF(Transactions!I899="",0,Transactions!I899)</f>
        <v>0.05</v>
      </c>
      <c r="J899" s="9">
        <f t="shared" ref="J899:J962" si="14">(H899*G899)*(1-I899)</f>
        <v>11.362</v>
      </c>
      <c r="K899" t="s">
        <v>36</v>
      </c>
      <c r="L899" t="s">
        <v>17</v>
      </c>
      <c r="M899" t="str">
        <f>REPLACE(Transactions!M899,1,4,"")</f>
        <v>13</v>
      </c>
    </row>
    <row r="900" spans="1:13" x14ac:dyDescent="0.2">
      <c r="A900">
        <v>248492</v>
      </c>
      <c r="B900" s="5">
        <v>45405</v>
      </c>
      <c r="C900">
        <v>61502</v>
      </c>
      <c r="D900" t="str">
        <f>PROPER(Transactions!D900)</f>
        <v>Pharmacy</v>
      </c>
      <c r="E900" t="s">
        <v>20</v>
      </c>
      <c r="F900" t="s">
        <v>21</v>
      </c>
      <c r="G900">
        <v>2</v>
      </c>
      <c r="H900">
        <v>9.99</v>
      </c>
      <c r="I900" s="7">
        <f>IF(Transactions!I900="",0,Transactions!I900)</f>
        <v>0</v>
      </c>
      <c r="J900" s="9">
        <f t="shared" si="14"/>
        <v>19.98</v>
      </c>
      <c r="K900" t="s">
        <v>16</v>
      </c>
      <c r="L900" t="s">
        <v>17</v>
      </c>
      <c r="M900" t="str">
        <f>REPLACE(Transactions!M900,1,4,"")</f>
        <v>6</v>
      </c>
    </row>
    <row r="901" spans="1:13" x14ac:dyDescent="0.2">
      <c r="A901">
        <v>248540</v>
      </c>
      <c r="B901" s="5">
        <v>45275</v>
      </c>
      <c r="C901">
        <v>97183</v>
      </c>
      <c r="D901" t="str">
        <f>PROPER(Transactions!D901)</f>
        <v>Automotive</v>
      </c>
      <c r="E901" t="s">
        <v>131</v>
      </c>
      <c r="F901" t="s">
        <v>132</v>
      </c>
      <c r="G901">
        <v>2</v>
      </c>
      <c r="H901">
        <v>3.49</v>
      </c>
      <c r="I901" s="7">
        <f>IF(Transactions!I901="",0,Transactions!I901)</f>
        <v>0</v>
      </c>
      <c r="J901" s="9">
        <f t="shared" si="14"/>
        <v>6.98</v>
      </c>
      <c r="K901" t="s">
        <v>16</v>
      </c>
      <c r="L901" t="s">
        <v>17</v>
      </c>
      <c r="M901" t="str">
        <f>REPLACE(Transactions!M901,1,4,"")</f>
        <v>12</v>
      </c>
    </row>
    <row r="902" spans="1:13" x14ac:dyDescent="0.2">
      <c r="A902">
        <v>249356</v>
      </c>
      <c r="B902" s="5">
        <v>45222</v>
      </c>
      <c r="C902">
        <v>56578</v>
      </c>
      <c r="D902" t="str">
        <f>PROPER(Transactions!D902)</f>
        <v>Automotive</v>
      </c>
      <c r="E902" t="s">
        <v>111</v>
      </c>
      <c r="F902" t="s">
        <v>112</v>
      </c>
      <c r="G902">
        <v>1</v>
      </c>
      <c r="H902">
        <v>11.24</v>
      </c>
      <c r="I902" s="7">
        <f>IF(Transactions!I902="",0,Transactions!I902)</f>
        <v>0.25</v>
      </c>
      <c r="J902" s="9">
        <f t="shared" si="14"/>
        <v>8.43</v>
      </c>
      <c r="K902" t="s">
        <v>16</v>
      </c>
      <c r="L902" t="s">
        <v>17</v>
      </c>
      <c r="M902" t="str">
        <f>REPLACE(Transactions!M902,1,4,"")</f>
        <v>15</v>
      </c>
    </row>
    <row r="903" spans="1:13" x14ac:dyDescent="0.2">
      <c r="A903">
        <v>249413</v>
      </c>
      <c r="B903" s="5">
        <v>45417</v>
      </c>
      <c r="C903">
        <v>76874</v>
      </c>
      <c r="D903" t="str">
        <f>PROPER(Transactions!D903)</f>
        <v>Electronics</v>
      </c>
      <c r="E903" t="s">
        <v>127</v>
      </c>
      <c r="F903" t="s">
        <v>128</v>
      </c>
      <c r="G903">
        <v>1</v>
      </c>
      <c r="H903">
        <v>13.99</v>
      </c>
      <c r="I903" s="7">
        <f>IF(Transactions!I903="",0,Transactions!I903)</f>
        <v>0.3</v>
      </c>
      <c r="J903" s="9">
        <f t="shared" si="14"/>
        <v>9.7929999999999993</v>
      </c>
      <c r="K903" t="s">
        <v>32</v>
      </c>
      <c r="L903" t="s">
        <v>17</v>
      </c>
      <c r="M903" t="str">
        <f>REPLACE(Transactions!M903,1,4,"")</f>
        <v>4</v>
      </c>
    </row>
    <row r="904" spans="1:13" x14ac:dyDescent="0.2">
      <c r="A904">
        <v>249448</v>
      </c>
      <c r="B904" s="5">
        <v>44845</v>
      </c>
      <c r="C904">
        <v>42239</v>
      </c>
      <c r="D904" t="str">
        <f>PROPER(Transactions!D904)</f>
        <v>Electronics</v>
      </c>
      <c r="E904" t="s">
        <v>77</v>
      </c>
      <c r="F904" t="s">
        <v>78</v>
      </c>
      <c r="G904">
        <v>5</v>
      </c>
      <c r="H904">
        <v>374.99</v>
      </c>
      <c r="I904" s="7">
        <f>IF(Transactions!I904="",0,Transactions!I904)</f>
        <v>0.25</v>
      </c>
      <c r="J904" s="9">
        <f t="shared" si="14"/>
        <v>1406.2125000000001</v>
      </c>
      <c r="K904" t="s">
        <v>16</v>
      </c>
      <c r="L904" t="s">
        <v>17</v>
      </c>
      <c r="M904" t="str">
        <f>REPLACE(Transactions!M904,1,4,"")</f>
        <v/>
      </c>
    </row>
    <row r="905" spans="1:13" x14ac:dyDescent="0.2">
      <c r="A905">
        <v>249522</v>
      </c>
      <c r="B905" s="5">
        <v>45011</v>
      </c>
      <c r="C905">
        <v>62931</v>
      </c>
      <c r="D905" t="str">
        <f>PROPER(Transactions!D905)</f>
        <v>Furniture</v>
      </c>
      <c r="E905" t="s">
        <v>70</v>
      </c>
      <c r="F905" t="s">
        <v>71</v>
      </c>
      <c r="G905">
        <v>1</v>
      </c>
      <c r="H905">
        <v>62.99</v>
      </c>
      <c r="I905" s="7">
        <f>IF(Transactions!I905="",0,Transactions!I905)</f>
        <v>0.3</v>
      </c>
      <c r="J905" s="9">
        <f t="shared" si="14"/>
        <v>44.092999999999996</v>
      </c>
      <c r="K905" t="s">
        <v>16</v>
      </c>
      <c r="L905" t="s">
        <v>17</v>
      </c>
      <c r="M905" t="str">
        <f>REPLACE(Transactions!M905,1,4,"")</f>
        <v>19</v>
      </c>
    </row>
    <row r="906" spans="1:13" x14ac:dyDescent="0.2">
      <c r="A906">
        <v>249560</v>
      </c>
      <c r="B906" s="5">
        <v>45557</v>
      </c>
      <c r="C906">
        <v>22516</v>
      </c>
      <c r="D906" t="str">
        <f>PROPER(Transactions!D906)</f>
        <v>Toys</v>
      </c>
      <c r="E906" t="s">
        <v>170</v>
      </c>
      <c r="F906" t="s">
        <v>171</v>
      </c>
      <c r="G906">
        <v>4</v>
      </c>
      <c r="H906">
        <v>11.99</v>
      </c>
      <c r="I906" s="7">
        <f>IF(Transactions!I906="",0,Transactions!I906)</f>
        <v>0.2</v>
      </c>
      <c r="J906" s="9">
        <f t="shared" si="14"/>
        <v>38.368000000000002</v>
      </c>
      <c r="K906" t="s">
        <v>16</v>
      </c>
      <c r="L906" t="s">
        <v>17</v>
      </c>
      <c r="M906" t="str">
        <f>REPLACE(Transactions!M906,1,4,"")</f>
        <v>7</v>
      </c>
    </row>
    <row r="907" spans="1:13" x14ac:dyDescent="0.2">
      <c r="A907">
        <v>249633</v>
      </c>
      <c r="B907" s="5">
        <v>44756</v>
      </c>
      <c r="D907" t="str">
        <f>PROPER(Transactions!D907)</f>
        <v>Clothing</v>
      </c>
      <c r="E907" t="s">
        <v>98</v>
      </c>
      <c r="F907" t="s">
        <v>99</v>
      </c>
      <c r="G907">
        <v>2</v>
      </c>
      <c r="H907">
        <v>20.99</v>
      </c>
      <c r="I907" s="7">
        <f>IF(Transactions!I907="",0,Transactions!I907)</f>
        <v>0.25</v>
      </c>
      <c r="J907" s="9">
        <f t="shared" si="14"/>
        <v>31.484999999999999</v>
      </c>
      <c r="K907" t="s">
        <v>22</v>
      </c>
      <c r="L907" t="s">
        <v>17</v>
      </c>
      <c r="M907" t="str">
        <f>REPLACE(Transactions!M907,1,4,"")</f>
        <v>11</v>
      </c>
    </row>
    <row r="908" spans="1:13" x14ac:dyDescent="0.2">
      <c r="A908">
        <v>249635</v>
      </c>
      <c r="B908" s="5">
        <v>45632</v>
      </c>
      <c r="C908">
        <v>88920</v>
      </c>
      <c r="D908" t="str">
        <f>PROPER(Transactions!D908)</f>
        <v>Pharmacy</v>
      </c>
      <c r="E908" t="s">
        <v>115</v>
      </c>
      <c r="F908" t="s">
        <v>116</v>
      </c>
      <c r="G908">
        <v>2</v>
      </c>
      <c r="H908">
        <v>9.09</v>
      </c>
      <c r="I908" s="7">
        <f>IF(Transactions!I908="",0,Transactions!I908)</f>
        <v>0.3</v>
      </c>
      <c r="J908" s="9">
        <f t="shared" si="14"/>
        <v>12.725999999999999</v>
      </c>
      <c r="K908" t="s">
        <v>36</v>
      </c>
      <c r="L908" t="s">
        <v>17</v>
      </c>
      <c r="M908" t="str">
        <f>REPLACE(Transactions!M908,1,4,"")</f>
        <v>18</v>
      </c>
    </row>
    <row r="909" spans="1:13" x14ac:dyDescent="0.2">
      <c r="A909">
        <v>249941</v>
      </c>
      <c r="B909" s="5">
        <v>44622</v>
      </c>
      <c r="C909">
        <v>25882</v>
      </c>
      <c r="D909" t="str">
        <f>PROPER(Transactions!D909)</f>
        <v>Clothing</v>
      </c>
      <c r="E909" t="s">
        <v>181</v>
      </c>
      <c r="F909" t="s">
        <v>182</v>
      </c>
      <c r="G909">
        <v>5</v>
      </c>
      <c r="H909">
        <v>14.99</v>
      </c>
      <c r="I909" s="7">
        <f>IF(Transactions!I909="",0,Transactions!I909)</f>
        <v>0</v>
      </c>
      <c r="J909" s="9">
        <f t="shared" si="14"/>
        <v>74.95</v>
      </c>
      <c r="K909" t="s">
        <v>22</v>
      </c>
      <c r="L909" t="s">
        <v>17</v>
      </c>
      <c r="M909" t="str">
        <f>REPLACE(Transactions!M909,1,4,"")</f>
        <v>4</v>
      </c>
    </row>
    <row r="910" spans="1:13" x14ac:dyDescent="0.2">
      <c r="A910">
        <v>250051</v>
      </c>
      <c r="B910" s="5">
        <v>44595</v>
      </c>
      <c r="C910">
        <v>55369</v>
      </c>
      <c r="D910" t="str">
        <f>PROPER(Transactions!D910)</f>
        <v>Grocery</v>
      </c>
      <c r="E910" t="s">
        <v>162</v>
      </c>
      <c r="F910" t="s">
        <v>163</v>
      </c>
      <c r="G910">
        <v>5</v>
      </c>
      <c r="H910">
        <v>6.39</v>
      </c>
      <c r="I910" s="7">
        <f>IF(Transactions!I910="",0,Transactions!I910)</f>
        <v>0.2</v>
      </c>
      <c r="J910" s="9">
        <f t="shared" si="14"/>
        <v>25.560000000000002</v>
      </c>
      <c r="K910" t="s">
        <v>36</v>
      </c>
      <c r="L910" t="s">
        <v>37</v>
      </c>
      <c r="M910" t="str">
        <f>REPLACE(Transactions!M910,1,4,"")</f>
        <v>13</v>
      </c>
    </row>
    <row r="911" spans="1:13" x14ac:dyDescent="0.2">
      <c r="A911">
        <v>250152</v>
      </c>
      <c r="B911" s="5">
        <v>45348</v>
      </c>
      <c r="C911">
        <v>37614</v>
      </c>
      <c r="D911" t="str">
        <f>PROPER(Transactions!D911)</f>
        <v>Beauty</v>
      </c>
      <c r="E911" t="s">
        <v>49</v>
      </c>
      <c r="F911" t="s">
        <v>50</v>
      </c>
      <c r="G911">
        <v>4</v>
      </c>
      <c r="H911">
        <v>7.64</v>
      </c>
      <c r="I911" s="7">
        <f>IF(Transactions!I911="",0,Transactions!I911)</f>
        <v>0.15</v>
      </c>
      <c r="J911" s="9">
        <f t="shared" si="14"/>
        <v>25.975999999999999</v>
      </c>
      <c r="K911" t="s">
        <v>53</v>
      </c>
      <c r="L911" t="s">
        <v>23</v>
      </c>
      <c r="M911" t="str">
        <f>REPLACE(Transactions!M911,1,4,"")</f>
        <v>9</v>
      </c>
    </row>
    <row r="912" spans="1:13" x14ac:dyDescent="0.2">
      <c r="A912">
        <v>250169</v>
      </c>
      <c r="B912" s="5">
        <v>44690</v>
      </c>
      <c r="C912">
        <v>91797</v>
      </c>
      <c r="D912" t="str">
        <f>PROPER(Transactions!D912)</f>
        <v>Clothing</v>
      </c>
      <c r="E912" t="s">
        <v>141</v>
      </c>
      <c r="F912" t="s">
        <v>142</v>
      </c>
      <c r="G912">
        <v>1</v>
      </c>
      <c r="H912">
        <v>22.99</v>
      </c>
      <c r="I912" s="7">
        <f>IF(Transactions!I912="",0,Transactions!I912)</f>
        <v>0</v>
      </c>
      <c r="J912" s="9">
        <f t="shared" si="14"/>
        <v>22.99</v>
      </c>
      <c r="K912" t="s">
        <v>36</v>
      </c>
      <c r="L912" t="s">
        <v>17</v>
      </c>
      <c r="M912" t="str">
        <f>REPLACE(Transactions!M912,1,4,"")</f>
        <v>6</v>
      </c>
    </row>
    <row r="913" spans="1:13" x14ac:dyDescent="0.2">
      <c r="A913">
        <v>251178</v>
      </c>
      <c r="B913" s="5">
        <v>45541</v>
      </c>
      <c r="C913">
        <v>30488</v>
      </c>
      <c r="D913" t="str">
        <f>PROPER(Transactions!D913)</f>
        <v>Sports</v>
      </c>
      <c r="E913" t="s">
        <v>168</v>
      </c>
      <c r="F913" t="s">
        <v>169</v>
      </c>
      <c r="G913">
        <v>2</v>
      </c>
      <c r="H913">
        <v>8.09</v>
      </c>
      <c r="I913" s="7">
        <f>IF(Transactions!I913="",0,Transactions!I913)</f>
        <v>0.1</v>
      </c>
      <c r="J913" s="9">
        <f t="shared" si="14"/>
        <v>14.561999999999999</v>
      </c>
      <c r="K913" t="s">
        <v>16</v>
      </c>
      <c r="L913" t="s">
        <v>23</v>
      </c>
      <c r="M913" t="str">
        <f>REPLACE(Transactions!M913,1,4,"")</f>
        <v>7</v>
      </c>
    </row>
    <row r="914" spans="1:13" x14ac:dyDescent="0.2">
      <c r="A914">
        <v>251212</v>
      </c>
      <c r="B914" s="5">
        <v>45187</v>
      </c>
      <c r="C914">
        <v>67780</v>
      </c>
      <c r="D914" t="str">
        <f>PROPER(Transactions!D914)</f>
        <v>Furniture</v>
      </c>
      <c r="E914" t="s">
        <v>51</v>
      </c>
      <c r="F914" t="s">
        <v>52</v>
      </c>
      <c r="G914">
        <v>5</v>
      </c>
      <c r="H914">
        <v>26.59</v>
      </c>
      <c r="I914" s="7">
        <f>IF(Transactions!I914="",0,Transactions!I914)</f>
        <v>0.05</v>
      </c>
      <c r="J914" s="9">
        <f t="shared" si="14"/>
        <v>126.30249999999998</v>
      </c>
      <c r="K914" t="s">
        <v>36</v>
      </c>
      <c r="L914" t="s">
        <v>17</v>
      </c>
      <c r="M914" t="str">
        <f>REPLACE(Transactions!M914,1,4,"")</f>
        <v>7</v>
      </c>
    </row>
    <row r="915" spans="1:13" x14ac:dyDescent="0.2">
      <c r="A915">
        <v>251465</v>
      </c>
      <c r="B915" s="5">
        <v>44694</v>
      </c>
      <c r="C915">
        <v>79284</v>
      </c>
      <c r="D915" t="str">
        <f>PROPER(Transactions!D915)</f>
        <v>Toys</v>
      </c>
      <c r="E915" t="s">
        <v>170</v>
      </c>
      <c r="F915" t="s">
        <v>171</v>
      </c>
      <c r="G915">
        <v>1</v>
      </c>
      <c r="H915">
        <v>13.49</v>
      </c>
      <c r="I915" s="7">
        <f>IF(Transactions!I915="",0,Transactions!I915)</f>
        <v>0.1</v>
      </c>
      <c r="J915" s="9">
        <f t="shared" si="14"/>
        <v>12.141</v>
      </c>
      <c r="K915" t="s">
        <v>95</v>
      </c>
      <c r="L915" t="s">
        <v>17</v>
      </c>
      <c r="M915" t="str">
        <f>REPLACE(Transactions!M915,1,4,"")</f>
        <v>6</v>
      </c>
    </row>
    <row r="916" spans="1:13" x14ac:dyDescent="0.2">
      <c r="A916">
        <v>251715</v>
      </c>
      <c r="B916" s="5">
        <v>45599</v>
      </c>
      <c r="D916" t="str">
        <f>PROPER(Transactions!D916)</f>
        <v>Beauty</v>
      </c>
      <c r="E916" t="s">
        <v>109</v>
      </c>
      <c r="F916" t="s">
        <v>110</v>
      </c>
      <c r="G916">
        <v>4</v>
      </c>
      <c r="H916">
        <v>4.8899999999999997</v>
      </c>
      <c r="I916" s="7">
        <f>IF(Transactions!I916="",0,Transactions!I916)</f>
        <v>0.3</v>
      </c>
      <c r="J916" s="9">
        <f t="shared" si="14"/>
        <v>13.691999999999998</v>
      </c>
      <c r="K916" t="s">
        <v>36</v>
      </c>
      <c r="L916" t="s">
        <v>17</v>
      </c>
      <c r="M916" t="str">
        <f>REPLACE(Transactions!M916,1,4,"")</f>
        <v>10</v>
      </c>
    </row>
    <row r="917" spans="1:13" x14ac:dyDescent="0.2">
      <c r="A917">
        <v>251808</v>
      </c>
      <c r="B917" s="5">
        <v>44765</v>
      </c>
      <c r="C917">
        <v>52673</v>
      </c>
      <c r="D917" t="str">
        <f>PROPER(Transactions!D917)</f>
        <v>Pharmacy</v>
      </c>
      <c r="E917" t="s">
        <v>58</v>
      </c>
      <c r="F917" t="s">
        <v>59</v>
      </c>
      <c r="G917">
        <v>3</v>
      </c>
      <c r="H917">
        <v>3.19</v>
      </c>
      <c r="I917" s="7">
        <f>IF(Transactions!I917="",0,Transactions!I917)</f>
        <v>0.2</v>
      </c>
      <c r="J917" s="9">
        <f t="shared" si="14"/>
        <v>7.6560000000000006</v>
      </c>
      <c r="K917" t="s">
        <v>16</v>
      </c>
      <c r="L917" t="s">
        <v>17</v>
      </c>
      <c r="M917" t="str">
        <f>REPLACE(Transactions!M917,1,4,"")</f>
        <v>15</v>
      </c>
    </row>
    <row r="918" spans="1:13" x14ac:dyDescent="0.2">
      <c r="A918">
        <v>251968</v>
      </c>
      <c r="B918" s="5">
        <v>45344</v>
      </c>
      <c r="C918">
        <v>72023</v>
      </c>
      <c r="D918" t="str">
        <f>PROPER(Transactions!D918)</f>
        <v>Home &amp; Garden</v>
      </c>
      <c r="E918" t="s">
        <v>149</v>
      </c>
      <c r="F918" t="s">
        <v>150</v>
      </c>
      <c r="G918">
        <v>5</v>
      </c>
      <c r="H918">
        <v>18.989999999999998</v>
      </c>
      <c r="I918" s="7">
        <f>IF(Transactions!I918="",0,Transactions!I918)</f>
        <v>0.05</v>
      </c>
      <c r="J918" s="9">
        <f t="shared" si="14"/>
        <v>90.202499999999986</v>
      </c>
      <c r="K918" t="s">
        <v>36</v>
      </c>
      <c r="L918" t="s">
        <v>17</v>
      </c>
      <c r="M918" t="str">
        <f>REPLACE(Transactions!M918,1,4,"")</f>
        <v>18</v>
      </c>
    </row>
    <row r="919" spans="1:13" x14ac:dyDescent="0.2">
      <c r="A919">
        <v>251990</v>
      </c>
      <c r="B919" s="5">
        <v>44932</v>
      </c>
      <c r="C919">
        <v>64764</v>
      </c>
      <c r="D919" t="str">
        <f>PROPER(Transactions!D919)</f>
        <v>Beauty</v>
      </c>
      <c r="E919" t="s">
        <v>179</v>
      </c>
      <c r="F919" t="s">
        <v>180</v>
      </c>
      <c r="G919">
        <v>1</v>
      </c>
      <c r="H919">
        <v>8.99</v>
      </c>
      <c r="I919" s="7">
        <f>IF(Transactions!I919="",0,Transactions!I919)</f>
        <v>0.25</v>
      </c>
      <c r="J919" s="9">
        <f t="shared" si="14"/>
        <v>6.7424999999999997</v>
      </c>
      <c r="K919" t="s">
        <v>22</v>
      </c>
      <c r="L919" t="s">
        <v>17</v>
      </c>
      <c r="M919" t="str">
        <f>REPLACE(Transactions!M919,1,4,"")</f>
        <v>9</v>
      </c>
    </row>
    <row r="920" spans="1:13" x14ac:dyDescent="0.2">
      <c r="A920">
        <v>252197</v>
      </c>
      <c r="B920" s="5">
        <v>45550</v>
      </c>
      <c r="C920">
        <v>98468</v>
      </c>
      <c r="D920" t="str">
        <f>PROPER(Transactions!D920)</f>
        <v>Pharmacy</v>
      </c>
      <c r="E920" t="s">
        <v>115</v>
      </c>
      <c r="F920" t="s">
        <v>116</v>
      </c>
      <c r="G920">
        <v>5</v>
      </c>
      <c r="H920">
        <v>12.99</v>
      </c>
      <c r="I920" s="7">
        <f>IF(Transactions!I920="",0,Transactions!I920)</f>
        <v>0</v>
      </c>
      <c r="J920" s="9">
        <f t="shared" si="14"/>
        <v>64.95</v>
      </c>
      <c r="K920" t="s">
        <v>16</v>
      </c>
      <c r="L920" t="s">
        <v>17</v>
      </c>
      <c r="M920" t="str">
        <f>REPLACE(Transactions!M920,1,4,"")</f>
        <v>13</v>
      </c>
    </row>
    <row r="921" spans="1:13" x14ac:dyDescent="0.2">
      <c r="A921">
        <v>252315</v>
      </c>
      <c r="B921" s="5">
        <v>44750</v>
      </c>
      <c r="C921">
        <v>80400</v>
      </c>
      <c r="D921" t="str">
        <f>PROPER(Transactions!D921)</f>
        <v>Toys</v>
      </c>
      <c r="E921" t="s">
        <v>170</v>
      </c>
      <c r="F921" t="s">
        <v>171</v>
      </c>
      <c r="G921">
        <v>3</v>
      </c>
      <c r="H921">
        <v>14.24</v>
      </c>
      <c r="I921" s="7">
        <f>IF(Transactions!I921="",0,Transactions!I921)</f>
        <v>0.05</v>
      </c>
      <c r="J921" s="9">
        <f t="shared" si="14"/>
        <v>40.583999999999996</v>
      </c>
      <c r="K921" t="s">
        <v>16</v>
      </c>
      <c r="L921" t="s">
        <v>17</v>
      </c>
      <c r="M921" t="str">
        <f>REPLACE(Transactions!M921,1,4,"")</f>
        <v>20</v>
      </c>
    </row>
    <row r="922" spans="1:13" x14ac:dyDescent="0.2">
      <c r="A922">
        <v>252315</v>
      </c>
      <c r="B922" s="5">
        <v>44779</v>
      </c>
      <c r="C922">
        <v>24827</v>
      </c>
      <c r="D922" t="str">
        <f>PROPER(Transactions!D922)</f>
        <v>Pharmacy</v>
      </c>
      <c r="E922" t="s">
        <v>58</v>
      </c>
      <c r="F922" t="s">
        <v>59</v>
      </c>
      <c r="G922">
        <v>1</v>
      </c>
      <c r="H922">
        <v>3.99</v>
      </c>
      <c r="I922" s="7">
        <f>IF(Transactions!I922="",0,Transactions!I922)</f>
        <v>0</v>
      </c>
      <c r="J922" s="9">
        <f t="shared" si="14"/>
        <v>3.99</v>
      </c>
      <c r="K922" t="s">
        <v>22</v>
      </c>
      <c r="L922" t="s">
        <v>37</v>
      </c>
      <c r="M922" t="str">
        <f>REPLACE(Transactions!M922,1,4,"")</f>
        <v>1</v>
      </c>
    </row>
    <row r="923" spans="1:13" x14ac:dyDescent="0.2">
      <c r="A923">
        <v>252317</v>
      </c>
      <c r="B923" s="5">
        <v>45327</v>
      </c>
      <c r="C923">
        <v>97218</v>
      </c>
      <c r="D923" t="str">
        <f>PROPER(Transactions!D923)</f>
        <v>Furniture</v>
      </c>
      <c r="E923" t="s">
        <v>60</v>
      </c>
      <c r="F923" t="s">
        <v>61</v>
      </c>
      <c r="G923">
        <v>3</v>
      </c>
      <c r="H923">
        <v>52.24</v>
      </c>
      <c r="I923" s="7">
        <f>IF(Transactions!I923="",0,Transactions!I923)</f>
        <v>0.05</v>
      </c>
      <c r="J923" s="9">
        <f t="shared" si="14"/>
        <v>148.88399999999999</v>
      </c>
      <c r="K923" t="s">
        <v>16</v>
      </c>
      <c r="L923" t="s">
        <v>37</v>
      </c>
      <c r="M923" t="str">
        <f>REPLACE(Transactions!M923,1,4,"")</f>
        <v>17</v>
      </c>
    </row>
    <row r="924" spans="1:13" x14ac:dyDescent="0.2">
      <c r="A924">
        <v>252401</v>
      </c>
      <c r="B924" s="5">
        <v>45463</v>
      </c>
      <c r="C924">
        <v>40960</v>
      </c>
      <c r="D924" t="str">
        <f>PROPER(Transactions!D924)</f>
        <v>Home &amp; Garden</v>
      </c>
      <c r="E924" t="s">
        <v>149</v>
      </c>
      <c r="F924" t="s">
        <v>150</v>
      </c>
      <c r="G924">
        <v>3</v>
      </c>
      <c r="H924">
        <v>13.99</v>
      </c>
      <c r="I924" s="7">
        <f>IF(Transactions!I924="",0,Transactions!I924)</f>
        <v>0.3</v>
      </c>
      <c r="J924" s="9">
        <f t="shared" si="14"/>
        <v>29.378999999999998</v>
      </c>
      <c r="K924" t="s">
        <v>36</v>
      </c>
      <c r="L924" t="s">
        <v>17</v>
      </c>
      <c r="M924" t="str">
        <f>REPLACE(Transactions!M924,1,4,"")</f>
        <v>11</v>
      </c>
    </row>
    <row r="925" spans="1:13" x14ac:dyDescent="0.2">
      <c r="A925">
        <v>252431</v>
      </c>
      <c r="B925" s="5">
        <v>45130</v>
      </c>
      <c r="C925">
        <v>19580</v>
      </c>
      <c r="D925" t="str">
        <f>PROPER(Transactions!D925)</f>
        <v>Toys</v>
      </c>
      <c r="E925" t="s">
        <v>38</v>
      </c>
      <c r="F925" t="s">
        <v>39</v>
      </c>
      <c r="G925">
        <v>1</v>
      </c>
      <c r="H925">
        <v>28.49</v>
      </c>
      <c r="I925" s="7">
        <f>IF(Transactions!I925="",0,Transactions!I925)</f>
        <v>0.05</v>
      </c>
      <c r="J925" s="9">
        <f t="shared" si="14"/>
        <v>27.065499999999997</v>
      </c>
      <c r="K925" t="s">
        <v>16</v>
      </c>
      <c r="L925" t="s">
        <v>23</v>
      </c>
      <c r="M925" t="str">
        <f>REPLACE(Transactions!M925,1,4,"")</f>
        <v>9</v>
      </c>
    </row>
    <row r="926" spans="1:13" x14ac:dyDescent="0.2">
      <c r="A926">
        <v>252462</v>
      </c>
      <c r="B926" s="5">
        <v>45530</v>
      </c>
      <c r="C926">
        <v>86534</v>
      </c>
      <c r="D926" t="str">
        <f>PROPER(Transactions!D926)</f>
        <v>Home &amp; Garden</v>
      </c>
      <c r="E926" t="s">
        <v>153</v>
      </c>
      <c r="F926" t="s">
        <v>154</v>
      </c>
      <c r="G926">
        <v>3</v>
      </c>
      <c r="H926">
        <v>23.99</v>
      </c>
      <c r="I926" s="7">
        <f>IF(Transactions!I926="",0,Transactions!I926)</f>
        <v>0.2</v>
      </c>
      <c r="J926" s="9">
        <f t="shared" si="14"/>
        <v>57.576000000000001</v>
      </c>
      <c r="K926" t="s">
        <v>36</v>
      </c>
      <c r="L926" t="s">
        <v>17</v>
      </c>
      <c r="M926" t="str">
        <f>REPLACE(Transactions!M926,1,4,"")</f>
        <v>4</v>
      </c>
    </row>
    <row r="927" spans="1:13" x14ac:dyDescent="0.2">
      <c r="A927">
        <v>252597</v>
      </c>
      <c r="B927" s="5">
        <v>44987</v>
      </c>
      <c r="C927">
        <v>24333</v>
      </c>
      <c r="D927" t="str">
        <f>PROPER(Transactions!D927)</f>
        <v>Electronics</v>
      </c>
      <c r="E927" t="s">
        <v>34</v>
      </c>
      <c r="F927" t="s">
        <v>35</v>
      </c>
      <c r="G927">
        <v>1</v>
      </c>
      <c r="H927">
        <v>34.99</v>
      </c>
      <c r="I927" s="7">
        <f>IF(Transactions!I927="",0,Transactions!I927)</f>
        <v>0</v>
      </c>
      <c r="J927" s="9">
        <f t="shared" si="14"/>
        <v>34.99</v>
      </c>
      <c r="K927" t="s">
        <v>16</v>
      </c>
      <c r="L927" t="s">
        <v>37</v>
      </c>
      <c r="M927" t="str">
        <f>REPLACE(Transactions!M927,1,4,"")</f>
        <v>9</v>
      </c>
    </row>
    <row r="928" spans="1:13" x14ac:dyDescent="0.2">
      <c r="A928">
        <v>252655</v>
      </c>
      <c r="B928" s="5">
        <v>45506</v>
      </c>
      <c r="C928">
        <v>22481</v>
      </c>
      <c r="D928" t="str">
        <f>PROPER(Transactions!D928)</f>
        <v>Beauty</v>
      </c>
      <c r="E928" t="s">
        <v>49</v>
      </c>
      <c r="F928" t="s">
        <v>50</v>
      </c>
      <c r="G928">
        <v>4</v>
      </c>
      <c r="H928">
        <v>8.99</v>
      </c>
      <c r="I928" s="7">
        <f>IF(Transactions!I928="",0,Transactions!I928)</f>
        <v>0</v>
      </c>
      <c r="J928" s="9">
        <f t="shared" si="14"/>
        <v>35.96</v>
      </c>
      <c r="K928" t="s">
        <v>36</v>
      </c>
      <c r="L928" t="s">
        <v>17</v>
      </c>
      <c r="M928" t="str">
        <f>REPLACE(Transactions!M928,1,4,"")</f>
        <v>6</v>
      </c>
    </row>
    <row r="929" spans="1:13" x14ac:dyDescent="0.2">
      <c r="A929">
        <v>252709</v>
      </c>
      <c r="B929" s="5">
        <v>44645</v>
      </c>
      <c r="C929">
        <v>44781</v>
      </c>
      <c r="D929" t="str">
        <f>PROPER(Transactions!D929)</f>
        <v>Sports</v>
      </c>
      <c r="E929" t="s">
        <v>83</v>
      </c>
      <c r="F929" t="s">
        <v>84</v>
      </c>
      <c r="G929">
        <v>2</v>
      </c>
      <c r="H929">
        <v>14.44</v>
      </c>
      <c r="I929" s="7">
        <f>IF(Transactions!I929="",0,Transactions!I929)</f>
        <v>0.15</v>
      </c>
      <c r="J929" s="9">
        <f t="shared" si="14"/>
        <v>24.547999999999998</v>
      </c>
      <c r="K929" t="s">
        <v>16</v>
      </c>
      <c r="L929" t="s">
        <v>17</v>
      </c>
      <c r="M929" t="str">
        <f>REPLACE(Transactions!M929,1,4,"")</f>
        <v>13</v>
      </c>
    </row>
    <row r="930" spans="1:13" x14ac:dyDescent="0.2">
      <c r="A930">
        <v>252719</v>
      </c>
      <c r="B930" s="5">
        <v>45307</v>
      </c>
      <c r="C930">
        <v>21327</v>
      </c>
      <c r="D930" t="str">
        <f>PROPER(Transactions!D930)</f>
        <v>Beauty</v>
      </c>
      <c r="E930" t="s">
        <v>143</v>
      </c>
      <c r="F930" t="s">
        <v>144</v>
      </c>
      <c r="G930">
        <v>1</v>
      </c>
      <c r="H930">
        <v>10.49</v>
      </c>
      <c r="I930" s="7">
        <f>IF(Transactions!I930="",0,Transactions!I930)</f>
        <v>0.3</v>
      </c>
      <c r="J930" s="9">
        <f t="shared" si="14"/>
        <v>7.343</v>
      </c>
      <c r="K930" t="s">
        <v>36</v>
      </c>
      <c r="L930" t="s">
        <v>17</v>
      </c>
      <c r="M930" t="str">
        <f>REPLACE(Transactions!M930,1,4,"")</f>
        <v>13</v>
      </c>
    </row>
    <row r="931" spans="1:13" x14ac:dyDescent="0.2">
      <c r="A931">
        <v>252754</v>
      </c>
      <c r="B931" s="5">
        <v>44991</v>
      </c>
      <c r="C931">
        <v>53800</v>
      </c>
      <c r="D931" t="str">
        <f>PROPER(Transactions!D931)</f>
        <v>Automotive</v>
      </c>
      <c r="E931" t="s">
        <v>68</v>
      </c>
      <c r="F931" t="s">
        <v>69</v>
      </c>
      <c r="G931">
        <v>2</v>
      </c>
      <c r="H931">
        <v>24.99</v>
      </c>
      <c r="I931" s="7">
        <f>IF(Transactions!I931="",0,Transactions!I931)</f>
        <v>0</v>
      </c>
      <c r="J931" s="9">
        <f t="shared" si="14"/>
        <v>49.98</v>
      </c>
      <c r="K931" t="s">
        <v>36</v>
      </c>
      <c r="L931" t="s">
        <v>37</v>
      </c>
      <c r="M931" t="str">
        <f>REPLACE(Transactions!M931,1,4,"")</f>
        <v>19</v>
      </c>
    </row>
    <row r="932" spans="1:13" x14ac:dyDescent="0.2">
      <c r="A932">
        <v>253175</v>
      </c>
      <c r="B932" s="5">
        <v>45584</v>
      </c>
      <c r="C932">
        <v>99674</v>
      </c>
      <c r="D932" t="str">
        <f>PROPER(Transactions!D932)</f>
        <v>Clothing</v>
      </c>
      <c r="E932" t="s">
        <v>165</v>
      </c>
      <c r="F932" t="s">
        <v>166</v>
      </c>
      <c r="G932">
        <v>1</v>
      </c>
      <c r="H932">
        <v>89.99</v>
      </c>
      <c r="I932" s="7">
        <f>IF(Transactions!I932="",0,Transactions!I932)</f>
        <v>0</v>
      </c>
      <c r="J932" s="9">
        <f t="shared" si="14"/>
        <v>89.99</v>
      </c>
      <c r="K932" t="s">
        <v>16</v>
      </c>
      <c r="L932" t="s">
        <v>37</v>
      </c>
      <c r="M932" t="str">
        <f>REPLACE(Transactions!M932,1,4,"")</f>
        <v>5</v>
      </c>
    </row>
    <row r="933" spans="1:13" x14ac:dyDescent="0.2">
      <c r="A933">
        <v>253766</v>
      </c>
      <c r="B933" s="5">
        <v>44791</v>
      </c>
      <c r="C933">
        <v>79224</v>
      </c>
      <c r="D933" t="str">
        <f>PROPER(Transactions!D933)</f>
        <v>Automotive</v>
      </c>
      <c r="E933" t="s">
        <v>131</v>
      </c>
      <c r="F933" t="s">
        <v>132</v>
      </c>
      <c r="G933">
        <v>1</v>
      </c>
      <c r="H933">
        <v>3.49</v>
      </c>
      <c r="I933" s="7">
        <f>IF(Transactions!I933="",0,Transactions!I933)</f>
        <v>0</v>
      </c>
      <c r="J933" s="9">
        <f t="shared" si="14"/>
        <v>3.49</v>
      </c>
      <c r="K933" t="s">
        <v>16</v>
      </c>
      <c r="L933" t="s">
        <v>17</v>
      </c>
      <c r="M933" t="str">
        <f>REPLACE(Transactions!M933,1,4,"")</f>
        <v>3</v>
      </c>
    </row>
    <row r="934" spans="1:13" x14ac:dyDescent="0.2">
      <c r="A934">
        <v>253883</v>
      </c>
      <c r="B934" s="5">
        <v>44629</v>
      </c>
      <c r="C934">
        <v>86894</v>
      </c>
      <c r="D934" t="str">
        <f>PROPER(Transactions!D934)</f>
        <v>Clothing</v>
      </c>
      <c r="E934" t="s">
        <v>141</v>
      </c>
      <c r="F934" t="s">
        <v>142</v>
      </c>
      <c r="G934">
        <v>3</v>
      </c>
      <c r="H934">
        <v>18.39</v>
      </c>
      <c r="I934" s="7">
        <f>IF(Transactions!I934="",0,Transactions!I934)</f>
        <v>0.2</v>
      </c>
      <c r="J934" s="9">
        <f t="shared" si="14"/>
        <v>44.136000000000003</v>
      </c>
      <c r="K934" t="s">
        <v>36</v>
      </c>
      <c r="L934" t="s">
        <v>17</v>
      </c>
      <c r="M934" t="str">
        <f>REPLACE(Transactions!M934,1,4,"")</f>
        <v>18</v>
      </c>
    </row>
    <row r="935" spans="1:13" x14ac:dyDescent="0.2">
      <c r="A935">
        <v>253924</v>
      </c>
      <c r="B935" s="5">
        <v>44663</v>
      </c>
      <c r="C935">
        <v>49971</v>
      </c>
      <c r="D935" t="str">
        <f>PROPER(Transactions!D935)</f>
        <v>Clothing</v>
      </c>
      <c r="E935" t="s">
        <v>165</v>
      </c>
      <c r="F935" t="s">
        <v>166</v>
      </c>
      <c r="G935">
        <v>5</v>
      </c>
      <c r="H935">
        <v>67.489999999999995</v>
      </c>
      <c r="I935" s="7">
        <f>IF(Transactions!I935="",0,Transactions!I935)</f>
        <v>0.25</v>
      </c>
      <c r="J935" s="9">
        <f t="shared" si="14"/>
        <v>253.08749999999998</v>
      </c>
      <c r="K935" t="s">
        <v>95</v>
      </c>
      <c r="L935" t="s">
        <v>37</v>
      </c>
      <c r="M935" t="str">
        <f>REPLACE(Transactions!M935,1,4,"")</f>
        <v>18</v>
      </c>
    </row>
    <row r="936" spans="1:13" x14ac:dyDescent="0.2">
      <c r="A936">
        <v>253939</v>
      </c>
      <c r="B936" s="5">
        <v>44572</v>
      </c>
      <c r="C936">
        <v>92659</v>
      </c>
      <c r="D936" t="str">
        <f>PROPER(Transactions!D936)</f>
        <v>Home &amp; Garden</v>
      </c>
      <c r="E936" t="s">
        <v>137</v>
      </c>
      <c r="F936" t="s">
        <v>138</v>
      </c>
      <c r="G936">
        <v>1</v>
      </c>
      <c r="H936">
        <v>7.99</v>
      </c>
      <c r="I936" s="7">
        <f>IF(Transactions!I936="",0,Transactions!I936)</f>
        <v>0</v>
      </c>
      <c r="J936" s="9">
        <f t="shared" si="14"/>
        <v>7.99</v>
      </c>
      <c r="K936" t="s">
        <v>16</v>
      </c>
      <c r="L936" t="s">
        <v>37</v>
      </c>
      <c r="M936" t="str">
        <f>REPLACE(Transactions!M936,1,4,"")</f>
        <v>3</v>
      </c>
    </row>
    <row r="937" spans="1:13" x14ac:dyDescent="0.2">
      <c r="A937">
        <v>254019</v>
      </c>
      <c r="B937" s="5">
        <v>44815</v>
      </c>
      <c r="C937">
        <v>39651</v>
      </c>
      <c r="D937" t="str">
        <f>PROPER(Transactions!D937)</f>
        <v>Grocery</v>
      </c>
      <c r="E937" t="s">
        <v>190</v>
      </c>
      <c r="F937" t="s">
        <v>191</v>
      </c>
      <c r="G937">
        <v>2</v>
      </c>
      <c r="H937">
        <v>4.29</v>
      </c>
      <c r="I937" s="7">
        <f>IF(Transactions!I937="",0,Transactions!I937)</f>
        <v>0</v>
      </c>
      <c r="J937" s="9">
        <f t="shared" si="14"/>
        <v>8.58</v>
      </c>
      <c r="K937" t="s">
        <v>95</v>
      </c>
      <c r="L937" t="s">
        <v>17</v>
      </c>
      <c r="M937" t="str">
        <f>REPLACE(Transactions!M937,1,4,"")</f>
        <v>16</v>
      </c>
    </row>
    <row r="938" spans="1:13" x14ac:dyDescent="0.2">
      <c r="A938">
        <v>254127</v>
      </c>
      <c r="B938" s="5">
        <v>45261</v>
      </c>
      <c r="C938">
        <v>52613</v>
      </c>
      <c r="D938" t="str">
        <f>PROPER(Transactions!D938)</f>
        <v>Electronics</v>
      </c>
      <c r="E938" t="s">
        <v>79</v>
      </c>
      <c r="F938" t="s">
        <v>80</v>
      </c>
      <c r="G938">
        <v>2</v>
      </c>
      <c r="H938">
        <v>85.49</v>
      </c>
      <c r="I938" s="7">
        <f>IF(Transactions!I938="",0,Transactions!I938)</f>
        <v>0.05</v>
      </c>
      <c r="J938" s="9">
        <f t="shared" si="14"/>
        <v>162.43099999999998</v>
      </c>
      <c r="K938" t="s">
        <v>53</v>
      </c>
      <c r="L938" t="s">
        <v>37</v>
      </c>
      <c r="M938" t="str">
        <f>REPLACE(Transactions!M938,1,4,"")</f>
        <v>1</v>
      </c>
    </row>
    <row r="939" spans="1:13" x14ac:dyDescent="0.2">
      <c r="A939">
        <v>254174</v>
      </c>
      <c r="B939" s="5">
        <v>45384</v>
      </c>
      <c r="C939">
        <v>57281</v>
      </c>
      <c r="D939" t="str">
        <f>PROPER(Transactions!D939)</f>
        <v>Toys</v>
      </c>
      <c r="E939" t="s">
        <v>72</v>
      </c>
      <c r="F939" t="s">
        <v>73</v>
      </c>
      <c r="G939">
        <v>4</v>
      </c>
      <c r="H939">
        <v>29.99</v>
      </c>
      <c r="I939" s="7">
        <f>IF(Transactions!I939="",0,Transactions!I939)</f>
        <v>0.25</v>
      </c>
      <c r="J939" s="9">
        <f t="shared" si="14"/>
        <v>89.97</v>
      </c>
      <c r="K939" t="s">
        <v>95</v>
      </c>
      <c r="L939" t="s">
        <v>17</v>
      </c>
      <c r="M939" t="str">
        <f>REPLACE(Transactions!M939,1,4,"")</f>
        <v>15</v>
      </c>
    </row>
    <row r="940" spans="1:13" x14ac:dyDescent="0.2">
      <c r="A940">
        <v>254379</v>
      </c>
      <c r="B940" s="5">
        <v>45393</v>
      </c>
      <c r="C940">
        <v>62696</v>
      </c>
      <c r="D940" t="str">
        <f>PROPER(Transactions!D940)</f>
        <v>Clothing</v>
      </c>
      <c r="E940" t="s">
        <v>165</v>
      </c>
      <c r="F940" t="s">
        <v>166</v>
      </c>
      <c r="G940">
        <v>1</v>
      </c>
      <c r="H940">
        <v>80.989999999999995</v>
      </c>
      <c r="I940" s="7">
        <f>IF(Transactions!I940="",0,Transactions!I940)</f>
        <v>0.1</v>
      </c>
      <c r="J940" s="9">
        <f t="shared" si="14"/>
        <v>72.890999999999991</v>
      </c>
      <c r="K940" t="s">
        <v>53</v>
      </c>
      <c r="L940" t="s">
        <v>17</v>
      </c>
      <c r="M940" t="str">
        <f>REPLACE(Transactions!M940,1,4,"")</f>
        <v>12</v>
      </c>
    </row>
    <row r="941" spans="1:13" x14ac:dyDescent="0.2">
      <c r="A941">
        <v>254385</v>
      </c>
      <c r="B941" s="5">
        <v>44680</v>
      </c>
      <c r="D941" t="str">
        <f>PROPER(Transactions!D941)</f>
        <v>Pharmacy</v>
      </c>
      <c r="E941" t="s">
        <v>115</v>
      </c>
      <c r="F941" t="s">
        <v>116</v>
      </c>
      <c r="G941">
        <v>4</v>
      </c>
      <c r="H941">
        <v>9.09</v>
      </c>
      <c r="I941" s="7">
        <f>IF(Transactions!I941="",0,Transactions!I941)</f>
        <v>0.3</v>
      </c>
      <c r="J941" s="9">
        <f t="shared" si="14"/>
        <v>25.451999999999998</v>
      </c>
      <c r="K941" t="s">
        <v>16</v>
      </c>
      <c r="L941" t="s">
        <v>37</v>
      </c>
      <c r="M941" t="str">
        <f>REPLACE(Transactions!M941,1,4,"")</f>
        <v>7</v>
      </c>
    </row>
    <row r="942" spans="1:13" x14ac:dyDescent="0.2">
      <c r="A942">
        <v>254591</v>
      </c>
      <c r="B942" s="5">
        <v>45164</v>
      </c>
      <c r="C942">
        <v>55911</v>
      </c>
      <c r="D942" t="str">
        <f>PROPER(Transactions!D942)</f>
        <v>Furniture</v>
      </c>
      <c r="E942" t="s">
        <v>70</v>
      </c>
      <c r="F942" t="s">
        <v>71</v>
      </c>
      <c r="G942">
        <v>4</v>
      </c>
      <c r="H942">
        <v>62.99</v>
      </c>
      <c r="I942" s="7">
        <f>IF(Transactions!I942="",0,Transactions!I942)</f>
        <v>0.3</v>
      </c>
      <c r="J942" s="9">
        <f t="shared" si="14"/>
        <v>176.37199999999999</v>
      </c>
      <c r="K942" t="s">
        <v>36</v>
      </c>
      <c r="L942" t="s">
        <v>23</v>
      </c>
      <c r="M942" t="str">
        <f>REPLACE(Transactions!M942,1,4,"")</f>
        <v>8</v>
      </c>
    </row>
    <row r="943" spans="1:13" x14ac:dyDescent="0.2">
      <c r="A943">
        <v>254804</v>
      </c>
      <c r="B943" s="5">
        <v>45519</v>
      </c>
      <c r="C943">
        <v>81076</v>
      </c>
      <c r="D943" t="str">
        <f>PROPER(Transactions!D943)</f>
        <v>Furniture</v>
      </c>
      <c r="E943" t="s">
        <v>60</v>
      </c>
      <c r="F943" t="s">
        <v>61</v>
      </c>
      <c r="G943">
        <v>4</v>
      </c>
      <c r="H943">
        <v>46.74</v>
      </c>
      <c r="I943" s="7">
        <f>IF(Transactions!I943="",0,Transactions!I943)</f>
        <v>0.15</v>
      </c>
      <c r="J943" s="9">
        <f t="shared" si="14"/>
        <v>158.916</v>
      </c>
      <c r="K943" t="s">
        <v>36</v>
      </c>
      <c r="L943" t="s">
        <v>37</v>
      </c>
      <c r="M943" t="str">
        <f>REPLACE(Transactions!M943,1,4,"")</f>
        <v>6</v>
      </c>
    </row>
    <row r="944" spans="1:13" x14ac:dyDescent="0.2">
      <c r="A944">
        <v>254878</v>
      </c>
      <c r="B944" s="5">
        <v>45553</v>
      </c>
      <c r="C944">
        <v>29137</v>
      </c>
      <c r="D944" t="str">
        <f>PROPER(Transactions!D944)</f>
        <v>Home &amp; Garden</v>
      </c>
      <c r="E944" t="s">
        <v>157</v>
      </c>
      <c r="F944" t="s">
        <v>158</v>
      </c>
      <c r="G944">
        <v>1</v>
      </c>
      <c r="H944">
        <v>13.49</v>
      </c>
      <c r="I944" s="7">
        <f>IF(Transactions!I944="",0,Transactions!I944)</f>
        <v>0</v>
      </c>
      <c r="J944" s="9">
        <f t="shared" si="14"/>
        <v>13.49</v>
      </c>
      <c r="K944" t="s">
        <v>16</v>
      </c>
      <c r="L944" t="s">
        <v>17</v>
      </c>
      <c r="M944" t="str">
        <f>REPLACE(Transactions!M944,1,4,"")</f>
        <v>18</v>
      </c>
    </row>
    <row r="945" spans="1:13" x14ac:dyDescent="0.2">
      <c r="A945">
        <v>254925</v>
      </c>
      <c r="B945" s="5">
        <v>44822</v>
      </c>
      <c r="C945">
        <v>82428</v>
      </c>
      <c r="D945" t="str">
        <f>PROPER(Transactions!D945)</f>
        <v>Home &amp; Garden</v>
      </c>
      <c r="E945" t="s">
        <v>157</v>
      </c>
      <c r="F945" t="s">
        <v>158</v>
      </c>
      <c r="G945">
        <v>1</v>
      </c>
      <c r="H945">
        <v>12.82</v>
      </c>
      <c r="I945" s="7">
        <f>IF(Transactions!I945="",0,Transactions!I945)</f>
        <v>0.05</v>
      </c>
      <c r="J945" s="9">
        <f t="shared" si="14"/>
        <v>12.179</v>
      </c>
      <c r="K945" t="s">
        <v>95</v>
      </c>
      <c r="L945" t="s">
        <v>37</v>
      </c>
      <c r="M945" t="str">
        <f>REPLACE(Transactions!M945,1,4,"")</f>
        <v>17</v>
      </c>
    </row>
    <row r="946" spans="1:13" x14ac:dyDescent="0.2">
      <c r="A946">
        <v>254970</v>
      </c>
      <c r="B946" s="5">
        <v>45115</v>
      </c>
      <c r="C946">
        <v>15521</v>
      </c>
      <c r="D946" t="str">
        <f>PROPER(Transactions!D946)</f>
        <v>Grocery</v>
      </c>
      <c r="E946" t="s">
        <v>107</v>
      </c>
      <c r="F946" t="s">
        <v>108</v>
      </c>
      <c r="G946">
        <v>1</v>
      </c>
      <c r="H946">
        <v>3.49</v>
      </c>
      <c r="I946" s="7">
        <f>IF(Transactions!I946="",0,Transactions!I946)</f>
        <v>0</v>
      </c>
      <c r="J946" s="9">
        <f t="shared" si="14"/>
        <v>3.49</v>
      </c>
      <c r="K946" t="s">
        <v>22</v>
      </c>
      <c r="L946" t="s">
        <v>17</v>
      </c>
      <c r="M946" t="str">
        <f>REPLACE(Transactions!M946,1,4,"")</f>
        <v>8</v>
      </c>
    </row>
    <row r="947" spans="1:13" x14ac:dyDescent="0.2">
      <c r="A947">
        <v>255000</v>
      </c>
      <c r="B947" s="5">
        <v>44722</v>
      </c>
      <c r="C947">
        <v>31593</v>
      </c>
      <c r="D947" t="str">
        <f>PROPER(Transactions!D947)</f>
        <v>Electronics</v>
      </c>
      <c r="E947" t="s">
        <v>14</v>
      </c>
      <c r="F947" t="s">
        <v>15</v>
      </c>
      <c r="G947">
        <v>3</v>
      </c>
      <c r="H947">
        <v>63.99</v>
      </c>
      <c r="I947" s="7">
        <f>IF(Transactions!I947="",0,Transactions!I947)</f>
        <v>0.2</v>
      </c>
      <c r="J947" s="9">
        <f t="shared" si="14"/>
        <v>153.57599999999999</v>
      </c>
      <c r="K947" t="s">
        <v>16</v>
      </c>
      <c r="L947" t="s">
        <v>17</v>
      </c>
      <c r="M947" t="str">
        <f>REPLACE(Transactions!M947,1,4,"")</f>
        <v>5</v>
      </c>
    </row>
    <row r="948" spans="1:13" x14ac:dyDescent="0.2">
      <c r="A948">
        <v>255035</v>
      </c>
      <c r="B948" s="5">
        <v>44613</v>
      </c>
      <c r="C948">
        <v>64148</v>
      </c>
      <c r="D948" t="str">
        <f>PROPER(Transactions!D948)</f>
        <v>Electronics</v>
      </c>
      <c r="E948" t="s">
        <v>77</v>
      </c>
      <c r="F948" t="s">
        <v>78</v>
      </c>
      <c r="G948">
        <v>1</v>
      </c>
      <c r="H948">
        <v>474.99</v>
      </c>
      <c r="I948" s="7">
        <f>IF(Transactions!I948="",0,Transactions!I948)</f>
        <v>0.05</v>
      </c>
      <c r="J948" s="9">
        <f t="shared" si="14"/>
        <v>451.2405</v>
      </c>
      <c r="K948" t="s">
        <v>53</v>
      </c>
      <c r="L948" t="s">
        <v>37</v>
      </c>
      <c r="M948" t="str">
        <f>REPLACE(Transactions!M948,1,4,"")</f>
        <v>6</v>
      </c>
    </row>
    <row r="949" spans="1:13" x14ac:dyDescent="0.2">
      <c r="A949">
        <v>255324</v>
      </c>
      <c r="B949" s="5">
        <v>45204</v>
      </c>
      <c r="C949">
        <v>14533</v>
      </c>
      <c r="D949" t="str">
        <f>PROPER(Transactions!D949)</f>
        <v>Pharmacy</v>
      </c>
      <c r="E949" t="s">
        <v>197</v>
      </c>
      <c r="F949" t="s">
        <v>198</v>
      </c>
      <c r="G949">
        <v>5</v>
      </c>
      <c r="H949">
        <v>14.99</v>
      </c>
      <c r="I949" s="7">
        <f>IF(Transactions!I949="",0,Transactions!I949)</f>
        <v>0</v>
      </c>
      <c r="J949" s="9">
        <f t="shared" si="14"/>
        <v>74.95</v>
      </c>
      <c r="K949" t="s">
        <v>22</v>
      </c>
      <c r="L949" t="s">
        <v>17</v>
      </c>
      <c r="M949" t="str">
        <f>REPLACE(Transactions!M949,1,4,"")</f>
        <v>7</v>
      </c>
    </row>
    <row r="950" spans="1:13" x14ac:dyDescent="0.2">
      <c r="A950">
        <v>255415</v>
      </c>
      <c r="B950" s="5">
        <v>45408</v>
      </c>
      <c r="C950">
        <v>33221</v>
      </c>
      <c r="D950" t="str">
        <f>PROPER(Transactions!D950)</f>
        <v>Pharmacy</v>
      </c>
      <c r="E950" t="s">
        <v>41</v>
      </c>
      <c r="F950" t="s">
        <v>42</v>
      </c>
      <c r="G950">
        <v>4</v>
      </c>
      <c r="H950">
        <v>5.99</v>
      </c>
      <c r="I950" s="7">
        <f>IF(Transactions!I950="",0,Transactions!I950)</f>
        <v>0</v>
      </c>
      <c r="J950" s="9">
        <f t="shared" si="14"/>
        <v>23.96</v>
      </c>
      <c r="K950" t="s">
        <v>22</v>
      </c>
      <c r="L950" t="s">
        <v>17</v>
      </c>
      <c r="M950" t="str">
        <f>REPLACE(Transactions!M950,1,4,"")</f>
        <v>2</v>
      </c>
    </row>
    <row r="951" spans="1:13" x14ac:dyDescent="0.2">
      <c r="A951">
        <v>255472</v>
      </c>
      <c r="B951" s="5">
        <v>45121</v>
      </c>
      <c r="C951">
        <v>44995</v>
      </c>
      <c r="D951" t="str">
        <f>PROPER(Transactions!D951)</f>
        <v>Toys</v>
      </c>
      <c r="E951" t="s">
        <v>30</v>
      </c>
      <c r="F951" t="s">
        <v>31</v>
      </c>
      <c r="G951">
        <v>2</v>
      </c>
      <c r="H951">
        <v>19.989999999999998</v>
      </c>
      <c r="I951" s="7">
        <f>IF(Transactions!I951="",0,Transactions!I951)</f>
        <v>0.2</v>
      </c>
      <c r="J951" s="9">
        <f t="shared" si="14"/>
        <v>31.983999999999998</v>
      </c>
      <c r="K951" t="s">
        <v>36</v>
      </c>
      <c r="L951" t="s">
        <v>17</v>
      </c>
      <c r="M951" t="str">
        <f>REPLACE(Transactions!M951,1,4,"")</f>
        <v>2</v>
      </c>
    </row>
    <row r="952" spans="1:13" x14ac:dyDescent="0.2">
      <c r="A952">
        <v>255486</v>
      </c>
      <c r="B952" s="5">
        <v>45288</v>
      </c>
      <c r="C952">
        <v>88895</v>
      </c>
      <c r="D952" t="str">
        <f>PROPER(Transactions!D952)</f>
        <v>Home &amp; Garden</v>
      </c>
      <c r="E952" t="s">
        <v>157</v>
      </c>
      <c r="F952" t="s">
        <v>158</v>
      </c>
      <c r="G952">
        <v>1</v>
      </c>
      <c r="H952">
        <v>13.49</v>
      </c>
      <c r="I952" s="7">
        <f>IF(Transactions!I952="",0,Transactions!I952)</f>
        <v>0</v>
      </c>
      <c r="J952" s="9">
        <f t="shared" si="14"/>
        <v>13.49</v>
      </c>
      <c r="K952" t="s">
        <v>16</v>
      </c>
      <c r="L952" t="s">
        <v>17</v>
      </c>
      <c r="M952" t="str">
        <f>REPLACE(Transactions!M952,1,4,"")</f>
        <v>15</v>
      </c>
    </row>
    <row r="953" spans="1:13" x14ac:dyDescent="0.2">
      <c r="A953">
        <v>255508</v>
      </c>
      <c r="B953" s="5">
        <v>45619</v>
      </c>
      <c r="C953">
        <v>58611</v>
      </c>
      <c r="D953" t="str">
        <f>PROPER(Transactions!D953)</f>
        <v>Automotive</v>
      </c>
      <c r="E953" t="s">
        <v>64</v>
      </c>
      <c r="F953" t="s">
        <v>65</v>
      </c>
      <c r="G953">
        <v>1</v>
      </c>
      <c r="H953">
        <v>4.24</v>
      </c>
      <c r="I953" s="7">
        <f>IF(Transactions!I953="",0,Transactions!I953)</f>
        <v>0.15</v>
      </c>
      <c r="J953" s="9">
        <f t="shared" si="14"/>
        <v>3.6040000000000001</v>
      </c>
      <c r="K953" t="s">
        <v>36</v>
      </c>
      <c r="L953" t="s">
        <v>17</v>
      </c>
      <c r="M953" t="str">
        <f>REPLACE(Transactions!M953,1,4,"")</f>
        <v>17</v>
      </c>
    </row>
    <row r="954" spans="1:13" x14ac:dyDescent="0.2">
      <c r="A954">
        <v>255513</v>
      </c>
      <c r="B954" s="5">
        <v>44732</v>
      </c>
      <c r="C954">
        <v>62415</v>
      </c>
      <c r="D954" t="str">
        <f>PROPER(Transactions!D954)</f>
        <v>Toys</v>
      </c>
      <c r="E954" t="s">
        <v>30</v>
      </c>
      <c r="F954" t="s">
        <v>31</v>
      </c>
      <c r="G954">
        <v>1</v>
      </c>
      <c r="H954">
        <v>22.49</v>
      </c>
      <c r="I954" s="7">
        <f>IF(Transactions!I954="",0,Transactions!I954)</f>
        <v>0.1</v>
      </c>
      <c r="J954" s="9">
        <f t="shared" si="14"/>
        <v>20.241</v>
      </c>
      <c r="K954" t="s">
        <v>95</v>
      </c>
      <c r="L954" t="s">
        <v>37</v>
      </c>
      <c r="M954" t="str">
        <f>REPLACE(Transactions!M954,1,4,"")</f>
        <v>14</v>
      </c>
    </row>
    <row r="955" spans="1:13" x14ac:dyDescent="0.2">
      <c r="A955">
        <v>255567</v>
      </c>
      <c r="B955" s="5">
        <v>44655</v>
      </c>
      <c r="C955">
        <v>61419</v>
      </c>
      <c r="D955" t="str">
        <f>PROPER(Transactions!D955)</f>
        <v>Home &amp; Garden</v>
      </c>
      <c r="E955" t="s">
        <v>129</v>
      </c>
      <c r="F955" t="s">
        <v>130</v>
      </c>
      <c r="G955">
        <v>1</v>
      </c>
      <c r="H955">
        <v>6.74</v>
      </c>
      <c r="I955" s="7">
        <f>IF(Transactions!I955="",0,Transactions!I955)</f>
        <v>0.25</v>
      </c>
      <c r="J955" s="9">
        <f t="shared" si="14"/>
        <v>5.0549999999999997</v>
      </c>
      <c r="K955" t="s">
        <v>22</v>
      </c>
      <c r="L955" t="s">
        <v>37</v>
      </c>
      <c r="M955" t="str">
        <f>REPLACE(Transactions!M955,1,4,"")</f>
        <v>1</v>
      </c>
    </row>
    <row r="956" spans="1:13" x14ac:dyDescent="0.2">
      <c r="A956">
        <v>255629</v>
      </c>
      <c r="B956" s="5">
        <v>45399</v>
      </c>
      <c r="C956">
        <v>57457</v>
      </c>
      <c r="D956" t="str">
        <f>PROPER(Transactions!D956)</f>
        <v>Automotive</v>
      </c>
      <c r="E956" t="s">
        <v>64</v>
      </c>
      <c r="F956" t="s">
        <v>65</v>
      </c>
      <c r="G956">
        <v>5</v>
      </c>
      <c r="H956">
        <v>4.49</v>
      </c>
      <c r="I956" s="7">
        <f>IF(Transactions!I956="",0,Transactions!I956)</f>
        <v>0</v>
      </c>
      <c r="J956" s="9">
        <f t="shared" si="14"/>
        <v>22.450000000000003</v>
      </c>
      <c r="K956" t="s">
        <v>95</v>
      </c>
      <c r="L956" t="s">
        <v>17</v>
      </c>
      <c r="M956" t="str">
        <f>REPLACE(Transactions!M956,1,4,"")</f>
        <v>13</v>
      </c>
    </row>
    <row r="957" spans="1:13" x14ac:dyDescent="0.2">
      <c r="A957">
        <v>255673</v>
      </c>
      <c r="B957" s="5">
        <v>45629</v>
      </c>
      <c r="C957">
        <v>97334</v>
      </c>
      <c r="D957" t="str">
        <f>PROPER(Transactions!D957)</f>
        <v>Sports</v>
      </c>
      <c r="E957" t="s">
        <v>147</v>
      </c>
      <c r="F957" t="s">
        <v>148</v>
      </c>
      <c r="G957">
        <v>1</v>
      </c>
      <c r="H957">
        <v>10.39</v>
      </c>
      <c r="I957" s="7">
        <f>IF(Transactions!I957="",0,Transactions!I957)</f>
        <v>0.2</v>
      </c>
      <c r="J957" s="9">
        <f t="shared" si="14"/>
        <v>8.3120000000000012</v>
      </c>
      <c r="K957" t="s">
        <v>22</v>
      </c>
      <c r="L957" t="s">
        <v>23</v>
      </c>
      <c r="M957" t="str">
        <f>REPLACE(Transactions!M957,1,4,"")</f>
        <v>13</v>
      </c>
    </row>
    <row r="958" spans="1:13" x14ac:dyDescent="0.2">
      <c r="A958">
        <v>255739</v>
      </c>
      <c r="B958" s="5">
        <v>45232</v>
      </c>
      <c r="C958">
        <v>15436</v>
      </c>
      <c r="D958" t="str">
        <f>PROPER(Transactions!D958)</f>
        <v>Grocery</v>
      </c>
      <c r="E958" t="s">
        <v>172</v>
      </c>
      <c r="F958" t="s">
        <v>173</v>
      </c>
      <c r="G958">
        <v>2</v>
      </c>
      <c r="H958">
        <v>4.49</v>
      </c>
      <c r="I958" s="7">
        <f>IF(Transactions!I958="",0,Transactions!I958)</f>
        <v>0</v>
      </c>
      <c r="J958" s="9">
        <f t="shared" si="14"/>
        <v>8.98</v>
      </c>
      <c r="K958" t="s">
        <v>16</v>
      </c>
      <c r="L958" t="s">
        <v>17</v>
      </c>
      <c r="M958" t="str">
        <f>REPLACE(Transactions!M958,1,4,"")</f>
        <v>20</v>
      </c>
    </row>
    <row r="959" spans="1:13" x14ac:dyDescent="0.2">
      <c r="A959">
        <v>256024</v>
      </c>
      <c r="B959" s="5">
        <v>45308</v>
      </c>
      <c r="C959">
        <v>28781</v>
      </c>
      <c r="D959" t="str">
        <f>PROPER(Transactions!D959)</f>
        <v>Grocery</v>
      </c>
      <c r="E959" t="s">
        <v>74</v>
      </c>
      <c r="F959" t="s">
        <v>75</v>
      </c>
      <c r="G959">
        <v>4</v>
      </c>
      <c r="H959">
        <v>2.2400000000000002</v>
      </c>
      <c r="I959" s="7">
        <f>IF(Transactions!I959="",0,Transactions!I959)</f>
        <v>0.25</v>
      </c>
      <c r="J959" s="9">
        <f t="shared" si="14"/>
        <v>6.7200000000000006</v>
      </c>
      <c r="K959" t="s">
        <v>16</v>
      </c>
      <c r="L959" t="s">
        <v>17</v>
      </c>
      <c r="M959" t="str">
        <f>REPLACE(Transactions!M959,1,4,"")</f>
        <v>9</v>
      </c>
    </row>
    <row r="960" spans="1:13" x14ac:dyDescent="0.2">
      <c r="A960">
        <v>256114</v>
      </c>
      <c r="B960" s="5">
        <v>45020</v>
      </c>
      <c r="C960">
        <v>70255</v>
      </c>
      <c r="D960" t="str">
        <f>PROPER(Transactions!D960)</f>
        <v>Toys</v>
      </c>
      <c r="E960" t="s">
        <v>170</v>
      </c>
      <c r="F960" t="s">
        <v>171</v>
      </c>
      <c r="G960">
        <v>3</v>
      </c>
      <c r="H960">
        <v>11.99</v>
      </c>
      <c r="I960" s="7">
        <f>IF(Transactions!I960="",0,Transactions!I960)</f>
        <v>0.2</v>
      </c>
      <c r="J960" s="9">
        <f t="shared" si="14"/>
        <v>28.776</v>
      </c>
      <c r="K960" t="s">
        <v>22</v>
      </c>
      <c r="L960" t="s">
        <v>17</v>
      </c>
      <c r="M960" t="str">
        <f>REPLACE(Transactions!M960,1,4,"")</f>
        <v>6</v>
      </c>
    </row>
    <row r="961" spans="1:13" x14ac:dyDescent="0.2">
      <c r="A961">
        <v>256140</v>
      </c>
      <c r="B961" s="5">
        <v>44612</v>
      </c>
      <c r="C961">
        <v>68394</v>
      </c>
      <c r="D961" t="str">
        <f>PROPER(Transactions!D961)</f>
        <v>Automotive</v>
      </c>
      <c r="E961" t="s">
        <v>64</v>
      </c>
      <c r="F961" t="s">
        <v>65</v>
      </c>
      <c r="G961">
        <v>2</v>
      </c>
      <c r="H961">
        <v>3.99</v>
      </c>
      <c r="I961" s="7">
        <f>IF(Transactions!I961="",0,Transactions!I961)</f>
        <v>0.2</v>
      </c>
      <c r="J961" s="9">
        <f t="shared" si="14"/>
        <v>6.3840000000000003</v>
      </c>
      <c r="K961" t="s">
        <v>16</v>
      </c>
      <c r="L961" t="s">
        <v>17</v>
      </c>
      <c r="M961" t="str">
        <f>REPLACE(Transactions!M961,1,4,"")</f>
        <v/>
      </c>
    </row>
    <row r="962" spans="1:13" x14ac:dyDescent="0.2">
      <c r="A962">
        <v>256456</v>
      </c>
      <c r="B962" s="5">
        <v>44893</v>
      </c>
      <c r="C962">
        <v>22727</v>
      </c>
      <c r="D962" t="str">
        <f>PROPER(Transactions!D962)</f>
        <v>Pharmacy</v>
      </c>
      <c r="E962" t="s">
        <v>41</v>
      </c>
      <c r="F962" t="s">
        <v>42</v>
      </c>
      <c r="G962">
        <v>2</v>
      </c>
      <c r="H962">
        <v>4.1900000000000004</v>
      </c>
      <c r="I962" s="7">
        <f>IF(Transactions!I962="",0,Transactions!I962)</f>
        <v>0.3</v>
      </c>
      <c r="J962" s="9">
        <f t="shared" si="14"/>
        <v>5.8660000000000005</v>
      </c>
      <c r="K962" t="s">
        <v>16</v>
      </c>
      <c r="L962" t="s">
        <v>37</v>
      </c>
      <c r="M962" t="str">
        <f>REPLACE(Transactions!M962,1,4,"")</f>
        <v>12</v>
      </c>
    </row>
    <row r="963" spans="1:13" x14ac:dyDescent="0.2">
      <c r="A963">
        <v>256521</v>
      </c>
      <c r="B963" s="5">
        <v>45397</v>
      </c>
      <c r="C963">
        <v>75256</v>
      </c>
      <c r="D963" t="str">
        <f>PROPER(Transactions!D963)</f>
        <v>Pharmacy</v>
      </c>
      <c r="E963" t="s">
        <v>197</v>
      </c>
      <c r="F963" t="s">
        <v>198</v>
      </c>
      <c r="G963">
        <v>2</v>
      </c>
      <c r="H963">
        <v>10.49</v>
      </c>
      <c r="I963" s="7">
        <f>IF(Transactions!I963="",0,Transactions!I963)</f>
        <v>0.3</v>
      </c>
      <c r="J963" s="9">
        <f t="shared" ref="J963:J1026" si="15">(H963*G963)*(1-I963)</f>
        <v>14.686</v>
      </c>
      <c r="K963" t="s">
        <v>36</v>
      </c>
      <c r="L963" t="s">
        <v>23</v>
      </c>
      <c r="M963" t="str">
        <f>REPLACE(Transactions!M963,1,4,"")</f>
        <v>15</v>
      </c>
    </row>
    <row r="964" spans="1:13" x14ac:dyDescent="0.2">
      <c r="A964">
        <v>256746</v>
      </c>
      <c r="B964" s="5">
        <v>45345</v>
      </c>
      <c r="C964">
        <v>37498</v>
      </c>
      <c r="D964" t="str">
        <f>PROPER(Transactions!D964)</f>
        <v>Home &amp; Garden</v>
      </c>
      <c r="E964" t="s">
        <v>137</v>
      </c>
      <c r="F964" t="s">
        <v>138</v>
      </c>
      <c r="G964">
        <v>5</v>
      </c>
      <c r="H964">
        <v>5.59</v>
      </c>
      <c r="I964" s="7">
        <f>IF(Transactions!I964="",0,Transactions!I964)</f>
        <v>0.3</v>
      </c>
      <c r="J964" s="9">
        <f t="shared" si="15"/>
        <v>19.564999999999998</v>
      </c>
      <c r="K964" t="s">
        <v>95</v>
      </c>
      <c r="L964" t="s">
        <v>17</v>
      </c>
      <c r="M964" t="str">
        <f>REPLACE(Transactions!M964,1,4,"")</f>
        <v>14</v>
      </c>
    </row>
    <row r="965" spans="1:13" x14ac:dyDescent="0.2">
      <c r="A965">
        <v>256884</v>
      </c>
      <c r="B965" s="5">
        <v>45566</v>
      </c>
      <c r="C965">
        <v>71307</v>
      </c>
      <c r="D965" t="str">
        <f>PROPER(Transactions!D965)</f>
        <v>Pharmacy</v>
      </c>
      <c r="E965" t="s">
        <v>20</v>
      </c>
      <c r="F965" t="s">
        <v>21</v>
      </c>
      <c r="G965">
        <v>1</v>
      </c>
      <c r="H965">
        <v>9.49</v>
      </c>
      <c r="I965" s="7">
        <f>IF(Transactions!I965="",0,Transactions!I965)</f>
        <v>0.05</v>
      </c>
      <c r="J965" s="9">
        <f t="shared" si="15"/>
        <v>9.0154999999999994</v>
      </c>
      <c r="K965" t="s">
        <v>22</v>
      </c>
      <c r="L965" t="s">
        <v>17</v>
      </c>
      <c r="M965" t="str">
        <f>REPLACE(Transactions!M965,1,4,"")</f>
        <v>19</v>
      </c>
    </row>
    <row r="966" spans="1:13" x14ac:dyDescent="0.2">
      <c r="A966">
        <v>257199</v>
      </c>
      <c r="B966" s="5">
        <v>45651</v>
      </c>
      <c r="C966">
        <v>75172</v>
      </c>
      <c r="D966" t="str">
        <f>PROPER(Transactions!D966)</f>
        <v>Clothing</v>
      </c>
      <c r="E966" t="s">
        <v>181</v>
      </c>
      <c r="F966" t="s">
        <v>182</v>
      </c>
      <c r="G966">
        <v>2</v>
      </c>
      <c r="H966">
        <v>11.24</v>
      </c>
      <c r="I966" s="7">
        <f>IF(Transactions!I966="",0,Transactions!I966)</f>
        <v>0.25</v>
      </c>
      <c r="J966" s="9">
        <f t="shared" si="15"/>
        <v>16.86</v>
      </c>
      <c r="K966" t="s">
        <v>36</v>
      </c>
      <c r="L966" t="s">
        <v>17</v>
      </c>
      <c r="M966" t="str">
        <f>REPLACE(Transactions!M966,1,4,"")</f>
        <v>9</v>
      </c>
    </row>
    <row r="967" spans="1:13" x14ac:dyDescent="0.2">
      <c r="A967">
        <v>257336</v>
      </c>
      <c r="B967" s="5">
        <v>45092</v>
      </c>
      <c r="C967">
        <v>89120</v>
      </c>
      <c r="D967" t="str">
        <f>PROPER(Transactions!D967)</f>
        <v>Home &amp; Garden</v>
      </c>
      <c r="E967" t="s">
        <v>153</v>
      </c>
      <c r="F967" t="s">
        <v>154</v>
      </c>
      <c r="G967">
        <v>4</v>
      </c>
      <c r="H967">
        <v>22.49</v>
      </c>
      <c r="I967" s="7">
        <f>IF(Transactions!I967="",0,Transactions!I967)</f>
        <v>0.25</v>
      </c>
      <c r="J967" s="9">
        <f t="shared" si="15"/>
        <v>67.47</v>
      </c>
      <c r="K967" t="s">
        <v>16</v>
      </c>
      <c r="L967" t="s">
        <v>17</v>
      </c>
      <c r="M967" t="str">
        <f>REPLACE(Transactions!M967,1,4,"")</f>
        <v>17</v>
      </c>
    </row>
    <row r="968" spans="1:13" x14ac:dyDescent="0.2">
      <c r="A968">
        <v>257355</v>
      </c>
      <c r="B968" s="5">
        <v>44623</v>
      </c>
      <c r="C968">
        <v>19913</v>
      </c>
      <c r="D968" t="str">
        <f>PROPER(Transactions!D968)</f>
        <v>Electronics</v>
      </c>
      <c r="E968" t="s">
        <v>55</v>
      </c>
      <c r="F968" t="s">
        <v>56</v>
      </c>
      <c r="G968">
        <v>1</v>
      </c>
      <c r="H968">
        <v>280.49</v>
      </c>
      <c r="I968" s="7">
        <f>IF(Transactions!I968="",0,Transactions!I968)</f>
        <v>0.15</v>
      </c>
      <c r="J968" s="9">
        <f t="shared" si="15"/>
        <v>238.41650000000001</v>
      </c>
      <c r="K968" t="s">
        <v>36</v>
      </c>
      <c r="L968" t="s">
        <v>37</v>
      </c>
      <c r="M968" t="str">
        <f>REPLACE(Transactions!M968,1,4,"")</f>
        <v>14</v>
      </c>
    </row>
    <row r="969" spans="1:13" x14ac:dyDescent="0.2">
      <c r="A969">
        <v>257409</v>
      </c>
      <c r="B969" s="5">
        <v>44774</v>
      </c>
      <c r="C969">
        <v>76032</v>
      </c>
      <c r="D969" t="str">
        <f>PROPER(Transactions!D969)</f>
        <v>Home &amp; Garden</v>
      </c>
      <c r="E969" t="s">
        <v>137</v>
      </c>
      <c r="F969" t="s">
        <v>138</v>
      </c>
      <c r="G969">
        <v>2</v>
      </c>
      <c r="H969">
        <v>5.99</v>
      </c>
      <c r="I969" s="7">
        <f>IF(Transactions!I969="",0,Transactions!I969)</f>
        <v>0.25</v>
      </c>
      <c r="J969" s="9">
        <f t="shared" si="15"/>
        <v>8.9849999999999994</v>
      </c>
      <c r="K969" t="s">
        <v>22</v>
      </c>
      <c r="L969" t="s">
        <v>17</v>
      </c>
      <c r="M969" t="str">
        <f>REPLACE(Transactions!M969,1,4,"")</f>
        <v>19</v>
      </c>
    </row>
    <row r="970" spans="1:13" x14ac:dyDescent="0.2">
      <c r="A970">
        <v>257964</v>
      </c>
      <c r="B970" s="5">
        <v>44825</v>
      </c>
      <c r="C970">
        <v>29851</v>
      </c>
      <c r="D970" t="str">
        <f>PROPER(Transactions!D970)</f>
        <v>Electronics</v>
      </c>
      <c r="E970" t="s">
        <v>127</v>
      </c>
      <c r="F970" t="s">
        <v>128</v>
      </c>
      <c r="G970">
        <v>3</v>
      </c>
      <c r="H970">
        <v>14.99</v>
      </c>
      <c r="I970" s="7">
        <f>IF(Transactions!I970="",0,Transactions!I970)</f>
        <v>0.25</v>
      </c>
      <c r="J970" s="9">
        <f t="shared" si="15"/>
        <v>33.727499999999999</v>
      </c>
      <c r="K970" t="s">
        <v>16</v>
      </c>
      <c r="L970" t="s">
        <v>37</v>
      </c>
      <c r="M970" t="str">
        <f>REPLACE(Transactions!M970,1,4,"")</f>
        <v>6</v>
      </c>
    </row>
    <row r="971" spans="1:13" x14ac:dyDescent="0.2">
      <c r="A971">
        <v>258020</v>
      </c>
      <c r="B971" s="5">
        <v>45057</v>
      </c>
      <c r="C971">
        <v>63273</v>
      </c>
      <c r="D971" t="str">
        <f>PROPER(Transactions!D971)</f>
        <v>Automotive</v>
      </c>
      <c r="E971" t="s">
        <v>131</v>
      </c>
      <c r="F971" t="s">
        <v>132</v>
      </c>
      <c r="G971">
        <v>4</v>
      </c>
      <c r="H971">
        <v>3.32</v>
      </c>
      <c r="I971" s="7">
        <f>IF(Transactions!I971="",0,Transactions!I971)</f>
        <v>0.05</v>
      </c>
      <c r="J971" s="9">
        <f t="shared" si="15"/>
        <v>12.616</v>
      </c>
      <c r="K971" t="s">
        <v>22</v>
      </c>
      <c r="L971" t="s">
        <v>17</v>
      </c>
      <c r="M971" t="str">
        <f>REPLACE(Transactions!M971,1,4,"")</f>
        <v>6</v>
      </c>
    </row>
    <row r="972" spans="1:13" x14ac:dyDescent="0.2">
      <c r="A972">
        <v>258504</v>
      </c>
      <c r="B972" s="5">
        <v>44569</v>
      </c>
      <c r="C972">
        <v>98708</v>
      </c>
      <c r="D972" t="str">
        <f>PROPER(Transactions!D972)</f>
        <v>Beauty</v>
      </c>
      <c r="E972" t="s">
        <v>118</v>
      </c>
      <c r="F972" t="s">
        <v>119</v>
      </c>
      <c r="G972">
        <v>5</v>
      </c>
      <c r="H972">
        <v>4.74</v>
      </c>
      <c r="I972" s="7">
        <f>IF(Transactions!I972="",0,Transactions!I972)</f>
        <v>0.05</v>
      </c>
      <c r="J972" s="9">
        <f t="shared" si="15"/>
        <v>22.515000000000001</v>
      </c>
      <c r="K972" t="s">
        <v>95</v>
      </c>
      <c r="L972" t="s">
        <v>37</v>
      </c>
      <c r="M972" t="str">
        <f>REPLACE(Transactions!M972,1,4,"")</f>
        <v>4</v>
      </c>
    </row>
    <row r="973" spans="1:13" x14ac:dyDescent="0.2">
      <c r="A973">
        <v>258719</v>
      </c>
      <c r="B973" s="5">
        <v>44699</v>
      </c>
      <c r="C973">
        <v>96809</v>
      </c>
      <c r="D973" t="str">
        <f>PROPER(Transactions!D973)</f>
        <v>Beauty</v>
      </c>
      <c r="E973" t="s">
        <v>109</v>
      </c>
      <c r="F973" t="s">
        <v>110</v>
      </c>
      <c r="G973">
        <v>1</v>
      </c>
      <c r="H973">
        <v>6.64</v>
      </c>
      <c r="I973" s="7">
        <f>IF(Transactions!I973="",0,Transactions!I973)</f>
        <v>0.05</v>
      </c>
      <c r="J973" s="9">
        <f t="shared" si="15"/>
        <v>6.3079999999999998</v>
      </c>
      <c r="K973" t="s">
        <v>36</v>
      </c>
      <c r="L973" t="s">
        <v>17</v>
      </c>
      <c r="M973" t="str">
        <f>REPLACE(Transactions!M973,1,4,"")</f>
        <v>17</v>
      </c>
    </row>
    <row r="974" spans="1:13" x14ac:dyDescent="0.2">
      <c r="A974">
        <v>258748</v>
      </c>
      <c r="B974" s="5">
        <v>45256</v>
      </c>
      <c r="C974">
        <v>47846</v>
      </c>
      <c r="D974" t="str">
        <f>PROPER(Transactions!D974)</f>
        <v>Clothing</v>
      </c>
      <c r="E974" t="s">
        <v>135</v>
      </c>
      <c r="F974" t="s">
        <v>136</v>
      </c>
      <c r="G974">
        <v>2</v>
      </c>
      <c r="H974">
        <v>8.99</v>
      </c>
      <c r="I974" s="7">
        <f>IF(Transactions!I974="",0,Transactions!I974)</f>
        <v>0.1</v>
      </c>
      <c r="J974" s="9">
        <f t="shared" si="15"/>
        <v>16.182000000000002</v>
      </c>
      <c r="K974" t="s">
        <v>22</v>
      </c>
      <c r="L974" t="s">
        <v>17</v>
      </c>
      <c r="M974" t="str">
        <f>REPLACE(Transactions!M974,1,4,"")</f>
        <v>18</v>
      </c>
    </row>
    <row r="975" spans="1:13" x14ac:dyDescent="0.2">
      <c r="A975">
        <v>258968</v>
      </c>
      <c r="B975" s="5">
        <v>44985</v>
      </c>
      <c r="C975">
        <v>62257</v>
      </c>
      <c r="D975" t="str">
        <f>PROPER(Transactions!D975)</f>
        <v>Beauty</v>
      </c>
      <c r="E975" t="s">
        <v>139</v>
      </c>
      <c r="F975" t="s">
        <v>140</v>
      </c>
      <c r="G975">
        <v>2</v>
      </c>
      <c r="H975">
        <v>7.99</v>
      </c>
      <c r="I975" s="7">
        <f>IF(Transactions!I975="",0,Transactions!I975)</f>
        <v>0</v>
      </c>
      <c r="J975" s="9">
        <f t="shared" si="15"/>
        <v>15.98</v>
      </c>
      <c r="K975" t="s">
        <v>53</v>
      </c>
      <c r="L975" t="s">
        <v>17</v>
      </c>
      <c r="M975" t="str">
        <f>REPLACE(Transactions!M975,1,4,"")</f>
        <v>2</v>
      </c>
    </row>
    <row r="976" spans="1:13" x14ac:dyDescent="0.2">
      <c r="A976">
        <v>259001</v>
      </c>
      <c r="B976" s="5">
        <v>45521</v>
      </c>
      <c r="C976">
        <v>65150</v>
      </c>
      <c r="D976" t="str">
        <f>PROPER(Transactions!D976)</f>
        <v>Grocery</v>
      </c>
      <c r="E976" t="s">
        <v>190</v>
      </c>
      <c r="F976" t="s">
        <v>191</v>
      </c>
      <c r="G976">
        <v>5</v>
      </c>
      <c r="H976">
        <v>3.22</v>
      </c>
      <c r="I976" s="7">
        <f>IF(Transactions!I976="",0,Transactions!I976)</f>
        <v>0.25</v>
      </c>
      <c r="J976" s="9">
        <f t="shared" si="15"/>
        <v>12.075000000000001</v>
      </c>
      <c r="K976" t="s">
        <v>22</v>
      </c>
      <c r="L976" t="s">
        <v>17</v>
      </c>
      <c r="M976" t="str">
        <f>REPLACE(Transactions!M976,1,4,"")</f>
        <v>2</v>
      </c>
    </row>
    <row r="977" spans="1:13" x14ac:dyDescent="0.2">
      <c r="A977">
        <v>259114</v>
      </c>
      <c r="B977" s="5">
        <v>45385</v>
      </c>
      <c r="C977">
        <v>41537</v>
      </c>
      <c r="D977" t="str">
        <f>PROPER(Transactions!D977)</f>
        <v>Beauty</v>
      </c>
      <c r="E977" t="s">
        <v>118</v>
      </c>
      <c r="F977" t="s">
        <v>119</v>
      </c>
      <c r="G977">
        <v>1</v>
      </c>
      <c r="H977">
        <v>3.74</v>
      </c>
      <c r="I977" s="7">
        <f>IF(Transactions!I977="",0,Transactions!I977)</f>
        <v>0.25</v>
      </c>
      <c r="J977" s="9">
        <f t="shared" si="15"/>
        <v>2.8050000000000002</v>
      </c>
      <c r="K977" t="s">
        <v>16</v>
      </c>
      <c r="L977" t="s">
        <v>17</v>
      </c>
      <c r="M977" t="str">
        <f>REPLACE(Transactions!M977,1,4,"")</f>
        <v>20</v>
      </c>
    </row>
    <row r="978" spans="1:13" x14ac:dyDescent="0.2">
      <c r="A978">
        <v>259160</v>
      </c>
      <c r="B978" s="5">
        <v>44978</v>
      </c>
      <c r="C978">
        <v>12907</v>
      </c>
      <c r="D978" t="str">
        <f>PROPER(Transactions!D978)</f>
        <v>Beauty</v>
      </c>
      <c r="E978" t="s">
        <v>109</v>
      </c>
      <c r="F978" t="s">
        <v>110</v>
      </c>
      <c r="G978">
        <v>1</v>
      </c>
      <c r="H978">
        <v>6.99</v>
      </c>
      <c r="I978" s="7">
        <f>IF(Transactions!I978="",0,Transactions!I978)</f>
        <v>0</v>
      </c>
      <c r="J978" s="9">
        <f t="shared" si="15"/>
        <v>6.99</v>
      </c>
      <c r="K978" t="s">
        <v>22</v>
      </c>
      <c r="L978" t="s">
        <v>17</v>
      </c>
      <c r="M978" t="str">
        <f>REPLACE(Transactions!M978,1,4,"")</f>
        <v>11</v>
      </c>
    </row>
    <row r="979" spans="1:13" x14ac:dyDescent="0.2">
      <c r="A979">
        <v>259429</v>
      </c>
      <c r="B979" s="5">
        <v>44651</v>
      </c>
      <c r="C979">
        <v>16181</v>
      </c>
      <c r="D979" t="str">
        <f>PROPER(Transactions!D979)</f>
        <v>Automotive</v>
      </c>
      <c r="E979" t="s">
        <v>68</v>
      </c>
      <c r="F979" t="s">
        <v>69</v>
      </c>
      <c r="G979">
        <v>1</v>
      </c>
      <c r="H979">
        <v>21.24</v>
      </c>
      <c r="I979" s="7">
        <f>IF(Transactions!I979="",0,Transactions!I979)</f>
        <v>0.15</v>
      </c>
      <c r="J979" s="9">
        <f t="shared" si="15"/>
        <v>18.053999999999998</v>
      </c>
      <c r="K979" t="s">
        <v>95</v>
      </c>
      <c r="L979" t="s">
        <v>17</v>
      </c>
      <c r="M979" t="str">
        <f>REPLACE(Transactions!M979,1,4,"")</f>
        <v>4</v>
      </c>
    </row>
    <row r="980" spans="1:13" x14ac:dyDescent="0.2">
      <c r="A980">
        <v>259496</v>
      </c>
      <c r="B980" s="5">
        <v>45063</v>
      </c>
      <c r="C980">
        <v>25249</v>
      </c>
      <c r="D980" t="str">
        <f>PROPER(Transactions!D980)</f>
        <v>Clothing</v>
      </c>
      <c r="E980" t="s">
        <v>135</v>
      </c>
      <c r="F980" t="s">
        <v>136</v>
      </c>
      <c r="G980">
        <v>1</v>
      </c>
      <c r="H980">
        <v>7.49</v>
      </c>
      <c r="I980" s="7">
        <f>IF(Transactions!I980="",0,Transactions!I980)</f>
        <v>0.25</v>
      </c>
      <c r="J980" s="9">
        <f t="shared" si="15"/>
        <v>5.6174999999999997</v>
      </c>
      <c r="K980" t="s">
        <v>16</v>
      </c>
      <c r="L980" t="s">
        <v>23</v>
      </c>
      <c r="M980" t="str">
        <f>REPLACE(Transactions!M980,1,4,"")</f>
        <v>5</v>
      </c>
    </row>
    <row r="981" spans="1:13" x14ac:dyDescent="0.2">
      <c r="A981">
        <v>259631</v>
      </c>
      <c r="B981" s="5">
        <v>45583</v>
      </c>
      <c r="C981">
        <v>59019</v>
      </c>
      <c r="D981" t="str">
        <f>PROPER(Transactions!D981)</f>
        <v>Furniture</v>
      </c>
      <c r="E981" t="s">
        <v>60</v>
      </c>
      <c r="F981" t="s">
        <v>61</v>
      </c>
      <c r="G981">
        <v>1</v>
      </c>
      <c r="H981">
        <v>46.74</v>
      </c>
      <c r="I981" s="7">
        <f>IF(Transactions!I981="",0,Transactions!I981)</f>
        <v>0.15</v>
      </c>
      <c r="J981" s="9">
        <f t="shared" si="15"/>
        <v>39.728999999999999</v>
      </c>
      <c r="K981" t="s">
        <v>53</v>
      </c>
      <c r="L981" t="s">
        <v>17</v>
      </c>
      <c r="M981" t="str">
        <f>REPLACE(Transactions!M981,1,4,"")</f>
        <v>11</v>
      </c>
    </row>
    <row r="982" spans="1:13" x14ac:dyDescent="0.2">
      <c r="A982">
        <v>259668</v>
      </c>
      <c r="B982" s="5">
        <v>45048</v>
      </c>
      <c r="C982">
        <v>11899</v>
      </c>
      <c r="D982" t="str">
        <f>PROPER(Transactions!D982)</f>
        <v>Pharmacy</v>
      </c>
      <c r="E982" t="s">
        <v>115</v>
      </c>
      <c r="F982" t="s">
        <v>116</v>
      </c>
      <c r="G982">
        <v>3</v>
      </c>
      <c r="H982">
        <v>12.99</v>
      </c>
      <c r="I982" s="7">
        <f>IF(Transactions!I982="",0,Transactions!I982)</f>
        <v>0</v>
      </c>
      <c r="J982" s="9">
        <f t="shared" si="15"/>
        <v>38.97</v>
      </c>
      <c r="K982" t="s">
        <v>95</v>
      </c>
      <c r="L982" t="s">
        <v>17</v>
      </c>
      <c r="M982" t="str">
        <f>REPLACE(Transactions!M982,1,4,"")</f>
        <v>14</v>
      </c>
    </row>
    <row r="983" spans="1:13" x14ac:dyDescent="0.2">
      <c r="A983">
        <v>259872</v>
      </c>
      <c r="B983" s="5">
        <v>45532</v>
      </c>
      <c r="C983">
        <v>45231</v>
      </c>
      <c r="D983" t="str">
        <f>PROPER(Transactions!D983)</f>
        <v>Beauty</v>
      </c>
      <c r="E983" t="s">
        <v>49</v>
      </c>
      <c r="F983" t="s">
        <v>50</v>
      </c>
      <c r="G983">
        <v>5</v>
      </c>
      <c r="H983">
        <v>8.99</v>
      </c>
      <c r="I983" s="7">
        <f>IF(Transactions!I983="",0,Transactions!I983)</f>
        <v>0</v>
      </c>
      <c r="J983" s="9">
        <f t="shared" si="15"/>
        <v>44.95</v>
      </c>
      <c r="K983" t="s">
        <v>36</v>
      </c>
      <c r="L983" t="s">
        <v>37</v>
      </c>
      <c r="M983" t="str">
        <f>REPLACE(Transactions!M983,1,4,"")</f>
        <v>20</v>
      </c>
    </row>
    <row r="984" spans="1:13" x14ac:dyDescent="0.2">
      <c r="A984">
        <v>260311</v>
      </c>
      <c r="B984" s="5">
        <v>44739</v>
      </c>
      <c r="C984">
        <v>69553</v>
      </c>
      <c r="D984" t="str">
        <f>PROPER(Transactions!D984)</f>
        <v>Home &amp; Garden</v>
      </c>
      <c r="E984" t="s">
        <v>157</v>
      </c>
      <c r="F984" t="s">
        <v>158</v>
      </c>
      <c r="G984">
        <v>1</v>
      </c>
      <c r="H984">
        <v>13.49</v>
      </c>
      <c r="I984" s="7">
        <f>IF(Transactions!I984="",0,Transactions!I984)</f>
        <v>0</v>
      </c>
      <c r="J984" s="9">
        <f t="shared" si="15"/>
        <v>13.49</v>
      </c>
      <c r="K984" t="s">
        <v>16</v>
      </c>
      <c r="L984" t="s">
        <v>17</v>
      </c>
      <c r="M984" t="str">
        <f>REPLACE(Transactions!M984,1,4,"")</f>
        <v>3</v>
      </c>
    </row>
    <row r="985" spans="1:13" x14ac:dyDescent="0.2">
      <c r="A985">
        <v>260331</v>
      </c>
      <c r="B985" s="5">
        <v>44990</v>
      </c>
      <c r="C985">
        <v>21810</v>
      </c>
      <c r="D985" t="str">
        <f>PROPER(Transactions!D985)</f>
        <v>Grocery</v>
      </c>
      <c r="E985" t="s">
        <v>107</v>
      </c>
      <c r="F985" t="s">
        <v>108</v>
      </c>
      <c r="G985">
        <v>3</v>
      </c>
      <c r="H985">
        <v>3.49</v>
      </c>
      <c r="I985" s="7">
        <f>IF(Transactions!I985="",0,Transactions!I985)</f>
        <v>0</v>
      </c>
      <c r="J985" s="9">
        <f t="shared" si="15"/>
        <v>10.47</v>
      </c>
      <c r="K985" t="s">
        <v>16</v>
      </c>
      <c r="L985" t="s">
        <v>17</v>
      </c>
      <c r="M985" t="str">
        <f>REPLACE(Transactions!M985,1,4,"")</f>
        <v>19</v>
      </c>
    </row>
    <row r="986" spans="1:13" x14ac:dyDescent="0.2">
      <c r="A986">
        <v>260777</v>
      </c>
      <c r="B986" s="5">
        <v>44753</v>
      </c>
      <c r="C986">
        <v>81129</v>
      </c>
      <c r="D986" t="str">
        <f>PROPER(Transactions!D986)</f>
        <v>Furniture</v>
      </c>
      <c r="E986" t="s">
        <v>60</v>
      </c>
      <c r="F986" t="s">
        <v>61</v>
      </c>
      <c r="G986">
        <v>2</v>
      </c>
      <c r="H986">
        <v>54.99</v>
      </c>
      <c r="I986" s="7">
        <f>IF(Transactions!I986="",0,Transactions!I986)</f>
        <v>0</v>
      </c>
      <c r="J986" s="9">
        <f t="shared" si="15"/>
        <v>109.98</v>
      </c>
      <c r="K986" t="s">
        <v>16</v>
      </c>
      <c r="L986" t="s">
        <v>37</v>
      </c>
      <c r="M986" t="str">
        <f>REPLACE(Transactions!M986,1,4,"")</f>
        <v>12</v>
      </c>
    </row>
    <row r="987" spans="1:13" x14ac:dyDescent="0.2">
      <c r="A987">
        <v>260965</v>
      </c>
      <c r="B987" s="5">
        <v>45419</v>
      </c>
      <c r="C987">
        <v>50064</v>
      </c>
      <c r="D987" t="str">
        <f>PROPER(Transactions!D987)</f>
        <v>Clothing</v>
      </c>
      <c r="E987" t="s">
        <v>135</v>
      </c>
      <c r="F987" t="s">
        <v>136</v>
      </c>
      <c r="G987">
        <v>2</v>
      </c>
      <c r="H987">
        <v>7.49</v>
      </c>
      <c r="I987" s="7">
        <f>IF(Transactions!I987="",0,Transactions!I987)</f>
        <v>0.25</v>
      </c>
      <c r="J987" s="9">
        <f t="shared" si="15"/>
        <v>11.234999999999999</v>
      </c>
      <c r="K987" t="s">
        <v>16</v>
      </c>
      <c r="L987" t="s">
        <v>37</v>
      </c>
      <c r="M987" t="str">
        <f>REPLACE(Transactions!M987,1,4,"")</f>
        <v>20</v>
      </c>
    </row>
    <row r="988" spans="1:13" x14ac:dyDescent="0.2">
      <c r="A988">
        <v>261264</v>
      </c>
      <c r="B988" s="5">
        <v>45058</v>
      </c>
      <c r="C988">
        <v>87435</v>
      </c>
      <c r="D988" t="str">
        <f>PROPER(Transactions!D988)</f>
        <v>Toys</v>
      </c>
      <c r="E988" t="s">
        <v>72</v>
      </c>
      <c r="F988" t="s">
        <v>73</v>
      </c>
      <c r="G988">
        <v>1</v>
      </c>
      <c r="H988">
        <v>39.99</v>
      </c>
      <c r="I988" s="7">
        <f>IF(Transactions!I988="",0,Transactions!I988)</f>
        <v>0</v>
      </c>
      <c r="J988" s="9">
        <f t="shared" si="15"/>
        <v>39.99</v>
      </c>
      <c r="K988" t="s">
        <v>16</v>
      </c>
      <c r="L988" t="s">
        <v>37</v>
      </c>
      <c r="M988" t="str">
        <f>REPLACE(Transactions!M988,1,4,"")</f>
        <v>6</v>
      </c>
    </row>
    <row r="989" spans="1:13" x14ac:dyDescent="0.2">
      <c r="A989">
        <v>261332</v>
      </c>
      <c r="B989" s="5">
        <v>44836</v>
      </c>
      <c r="C989">
        <v>14364</v>
      </c>
      <c r="D989" t="str">
        <f>PROPER(Transactions!D989)</f>
        <v>Automotive</v>
      </c>
      <c r="E989" t="s">
        <v>111</v>
      </c>
      <c r="F989" t="s">
        <v>112</v>
      </c>
      <c r="G989">
        <v>3</v>
      </c>
      <c r="H989">
        <v>11.24</v>
      </c>
      <c r="I989" s="7">
        <f>IF(Transactions!I989="",0,Transactions!I989)</f>
        <v>0.25</v>
      </c>
      <c r="J989" s="9">
        <f t="shared" si="15"/>
        <v>25.29</v>
      </c>
      <c r="K989" t="s">
        <v>36</v>
      </c>
      <c r="L989" t="s">
        <v>17</v>
      </c>
      <c r="M989" t="str">
        <f>REPLACE(Transactions!M989,1,4,"")</f>
        <v>7</v>
      </c>
    </row>
    <row r="990" spans="1:13" x14ac:dyDescent="0.2">
      <c r="A990">
        <v>261616</v>
      </c>
      <c r="B990" s="5">
        <v>45053</v>
      </c>
      <c r="C990">
        <v>63020</v>
      </c>
      <c r="D990" t="str">
        <f>PROPER(Transactions!D990)</f>
        <v>Clothing</v>
      </c>
      <c r="E990" t="s">
        <v>151</v>
      </c>
      <c r="F990" t="s">
        <v>152</v>
      </c>
      <c r="G990">
        <v>2</v>
      </c>
      <c r="H990">
        <v>29.74</v>
      </c>
      <c r="I990" s="7">
        <f>IF(Transactions!I990="",0,Transactions!I990)</f>
        <v>0.15</v>
      </c>
      <c r="J990" s="9">
        <f t="shared" si="15"/>
        <v>50.557999999999993</v>
      </c>
      <c r="K990" t="s">
        <v>53</v>
      </c>
      <c r="L990" t="s">
        <v>17</v>
      </c>
      <c r="M990" t="str">
        <f>REPLACE(Transactions!M990,1,4,"")</f>
        <v>3</v>
      </c>
    </row>
    <row r="991" spans="1:13" x14ac:dyDescent="0.2">
      <c r="A991">
        <v>261617</v>
      </c>
      <c r="B991" s="5">
        <v>45226</v>
      </c>
      <c r="D991" t="str">
        <f>PROPER(Transactions!D991)</f>
        <v>Beauty</v>
      </c>
      <c r="E991" t="s">
        <v>179</v>
      </c>
      <c r="F991" t="s">
        <v>180</v>
      </c>
      <c r="G991">
        <v>1</v>
      </c>
      <c r="H991">
        <v>10.19</v>
      </c>
      <c r="I991" s="7">
        <f>IF(Transactions!I991="",0,Transactions!I991)</f>
        <v>0.15</v>
      </c>
      <c r="J991" s="9">
        <f t="shared" si="15"/>
        <v>8.6615000000000002</v>
      </c>
      <c r="K991" t="s">
        <v>16</v>
      </c>
      <c r="L991" t="s">
        <v>23</v>
      </c>
      <c r="M991" t="str">
        <f>REPLACE(Transactions!M991,1,4,"")</f>
        <v>14</v>
      </c>
    </row>
    <row r="992" spans="1:13" x14ac:dyDescent="0.2">
      <c r="A992">
        <v>261670</v>
      </c>
      <c r="B992" s="5">
        <v>45296</v>
      </c>
      <c r="C992">
        <v>48405</v>
      </c>
      <c r="D992" t="str">
        <f>PROPER(Transactions!D992)</f>
        <v>Electronics</v>
      </c>
      <c r="E992" t="s">
        <v>159</v>
      </c>
      <c r="F992" t="s">
        <v>160</v>
      </c>
      <c r="G992">
        <v>5</v>
      </c>
      <c r="H992">
        <v>59.99</v>
      </c>
      <c r="I992" s="7">
        <f>IF(Transactions!I992="",0,Transactions!I992)</f>
        <v>0</v>
      </c>
      <c r="J992" s="9">
        <f t="shared" si="15"/>
        <v>299.95</v>
      </c>
      <c r="K992" t="s">
        <v>36</v>
      </c>
      <c r="L992" t="s">
        <v>17</v>
      </c>
      <c r="M992" t="str">
        <f>REPLACE(Transactions!M992,1,4,"")</f>
        <v>9</v>
      </c>
    </row>
    <row r="993" spans="1:13" x14ac:dyDescent="0.2">
      <c r="A993">
        <v>261755</v>
      </c>
      <c r="B993" s="5">
        <v>44565</v>
      </c>
      <c r="C993">
        <v>76840</v>
      </c>
      <c r="D993" t="str">
        <f>PROPER(Transactions!D993)</f>
        <v>Grocery</v>
      </c>
      <c r="E993" t="s">
        <v>190</v>
      </c>
      <c r="F993" t="s">
        <v>191</v>
      </c>
      <c r="G993">
        <v>2</v>
      </c>
      <c r="H993">
        <v>4.29</v>
      </c>
      <c r="I993" s="7">
        <f>IF(Transactions!I993="",0,Transactions!I993)</f>
        <v>0</v>
      </c>
      <c r="J993" s="9">
        <f t="shared" si="15"/>
        <v>8.58</v>
      </c>
      <c r="K993" t="s">
        <v>36</v>
      </c>
      <c r="L993" t="s">
        <v>17</v>
      </c>
      <c r="M993" t="str">
        <f>REPLACE(Transactions!M993,1,4,"")</f>
        <v>19</v>
      </c>
    </row>
    <row r="994" spans="1:13" x14ac:dyDescent="0.2">
      <c r="A994">
        <v>261955</v>
      </c>
      <c r="B994" s="5">
        <v>44841</v>
      </c>
      <c r="C994">
        <v>93261</v>
      </c>
      <c r="D994" t="str">
        <f>PROPER(Transactions!D994)</f>
        <v>Beauty</v>
      </c>
      <c r="E994" t="s">
        <v>139</v>
      </c>
      <c r="F994" t="s">
        <v>140</v>
      </c>
      <c r="G994">
        <v>4</v>
      </c>
      <c r="H994">
        <v>7.99</v>
      </c>
      <c r="I994" s="7">
        <f>IF(Transactions!I994="",0,Transactions!I994)</f>
        <v>0</v>
      </c>
      <c r="J994" s="9">
        <f t="shared" si="15"/>
        <v>31.96</v>
      </c>
      <c r="K994" t="s">
        <v>36</v>
      </c>
      <c r="L994" t="s">
        <v>37</v>
      </c>
      <c r="M994" t="str">
        <f>REPLACE(Transactions!M994,1,4,"")</f>
        <v>13</v>
      </c>
    </row>
    <row r="995" spans="1:13" x14ac:dyDescent="0.2">
      <c r="A995">
        <v>262088</v>
      </c>
      <c r="B995" s="5">
        <v>45458</v>
      </c>
      <c r="C995">
        <v>47075</v>
      </c>
      <c r="D995" t="str">
        <f>PROPER(Transactions!D995)</f>
        <v>Sports</v>
      </c>
      <c r="E995" t="s">
        <v>155</v>
      </c>
      <c r="F995" t="s">
        <v>156</v>
      </c>
      <c r="G995">
        <v>2</v>
      </c>
      <c r="H995">
        <v>15.99</v>
      </c>
      <c r="I995" s="7">
        <f>IF(Transactions!I995="",0,Transactions!I995)</f>
        <v>0.2</v>
      </c>
      <c r="J995" s="9">
        <f t="shared" si="15"/>
        <v>25.584000000000003</v>
      </c>
      <c r="K995" t="s">
        <v>22</v>
      </c>
      <c r="L995" t="s">
        <v>17</v>
      </c>
      <c r="M995" t="str">
        <f>REPLACE(Transactions!M995,1,4,"")</f>
        <v>3</v>
      </c>
    </row>
    <row r="996" spans="1:13" x14ac:dyDescent="0.2">
      <c r="A996">
        <v>262131</v>
      </c>
      <c r="B996" s="5">
        <v>45357</v>
      </c>
      <c r="C996">
        <v>65750</v>
      </c>
      <c r="D996" t="str">
        <f>PROPER(Transactions!D996)</f>
        <v>Sports</v>
      </c>
      <c r="E996" t="s">
        <v>100</v>
      </c>
      <c r="F996" t="s">
        <v>101</v>
      </c>
      <c r="G996">
        <v>4</v>
      </c>
      <c r="H996">
        <v>22.99</v>
      </c>
      <c r="I996" s="7">
        <f>IF(Transactions!I996="",0,Transactions!I996)</f>
        <v>0</v>
      </c>
      <c r="J996" s="9">
        <f t="shared" si="15"/>
        <v>91.96</v>
      </c>
      <c r="K996" t="s">
        <v>16</v>
      </c>
      <c r="L996" t="s">
        <v>17</v>
      </c>
      <c r="M996" t="str">
        <f>REPLACE(Transactions!M996,1,4,"")</f>
        <v>11</v>
      </c>
    </row>
    <row r="997" spans="1:13" x14ac:dyDescent="0.2">
      <c r="A997">
        <v>262197</v>
      </c>
      <c r="B997" s="5">
        <v>44903</v>
      </c>
      <c r="C997">
        <v>41157</v>
      </c>
      <c r="D997" t="str">
        <f>PROPER(Transactions!D997)</f>
        <v>Grocery</v>
      </c>
      <c r="E997" t="s">
        <v>107</v>
      </c>
      <c r="F997" t="s">
        <v>108</v>
      </c>
      <c r="G997">
        <v>4</v>
      </c>
      <c r="H997">
        <v>3.14</v>
      </c>
      <c r="I997" s="7">
        <f>IF(Transactions!I997="",0,Transactions!I997)</f>
        <v>0.1</v>
      </c>
      <c r="J997" s="9">
        <f t="shared" si="15"/>
        <v>11.304</v>
      </c>
      <c r="K997" t="s">
        <v>16</v>
      </c>
      <c r="L997" t="s">
        <v>17</v>
      </c>
      <c r="M997" t="str">
        <f>REPLACE(Transactions!M997,1,4,"")</f>
        <v>17</v>
      </c>
    </row>
    <row r="998" spans="1:13" x14ac:dyDescent="0.2">
      <c r="A998">
        <v>262541</v>
      </c>
      <c r="B998" s="5">
        <v>45468</v>
      </c>
      <c r="C998">
        <v>38701</v>
      </c>
      <c r="D998" t="str">
        <f>PROPER(Transactions!D998)</f>
        <v>Clothing</v>
      </c>
      <c r="E998" t="s">
        <v>98</v>
      </c>
      <c r="F998" t="s">
        <v>99</v>
      </c>
      <c r="G998">
        <v>1</v>
      </c>
      <c r="H998">
        <v>27.99</v>
      </c>
      <c r="I998" s="7">
        <f>IF(Transactions!I998="",0,Transactions!I998)</f>
        <v>0</v>
      </c>
      <c r="J998" s="9">
        <f t="shared" si="15"/>
        <v>27.99</v>
      </c>
      <c r="K998" t="s">
        <v>36</v>
      </c>
      <c r="L998" t="s">
        <v>17</v>
      </c>
      <c r="M998" t="str">
        <f>REPLACE(Transactions!M998,1,4,"")</f>
        <v>19</v>
      </c>
    </row>
    <row r="999" spans="1:13" x14ac:dyDescent="0.2">
      <c r="A999">
        <v>262672</v>
      </c>
      <c r="B999" s="5">
        <v>45637</v>
      </c>
      <c r="C999">
        <v>31088</v>
      </c>
      <c r="D999" t="str">
        <f>PROPER(Transactions!D999)</f>
        <v>Beauty</v>
      </c>
      <c r="E999" t="s">
        <v>139</v>
      </c>
      <c r="F999" t="s">
        <v>140</v>
      </c>
      <c r="G999">
        <v>4</v>
      </c>
      <c r="H999">
        <v>7.99</v>
      </c>
      <c r="I999" s="7">
        <f>IF(Transactions!I999="",0,Transactions!I999)</f>
        <v>0</v>
      </c>
      <c r="J999" s="9">
        <f t="shared" si="15"/>
        <v>31.96</v>
      </c>
      <c r="K999" t="s">
        <v>36</v>
      </c>
      <c r="L999" t="s">
        <v>17</v>
      </c>
      <c r="M999" t="str">
        <f>REPLACE(Transactions!M999,1,4,"")</f>
        <v>3</v>
      </c>
    </row>
    <row r="1000" spans="1:13" x14ac:dyDescent="0.2">
      <c r="A1000">
        <v>262796</v>
      </c>
      <c r="B1000" s="5">
        <v>44964</v>
      </c>
      <c r="D1000" t="str">
        <f>PROPER(Transactions!D1000)</f>
        <v>Pharmacy</v>
      </c>
      <c r="E1000" t="s">
        <v>20</v>
      </c>
      <c r="F1000" t="s">
        <v>21</v>
      </c>
      <c r="G1000">
        <v>4</v>
      </c>
      <c r="H1000">
        <v>9.99</v>
      </c>
      <c r="I1000" s="7">
        <f>IF(Transactions!I1000="",0,Transactions!I1000)</f>
        <v>0</v>
      </c>
      <c r="J1000" s="9">
        <f t="shared" si="15"/>
        <v>39.96</v>
      </c>
      <c r="K1000" t="s">
        <v>16</v>
      </c>
      <c r="L1000" t="s">
        <v>37</v>
      </c>
      <c r="M1000" t="str">
        <f>REPLACE(Transactions!M1000,1,4,"")</f>
        <v>4</v>
      </c>
    </row>
    <row r="1001" spans="1:13" x14ac:dyDescent="0.2">
      <c r="A1001">
        <v>262844</v>
      </c>
      <c r="B1001" s="5">
        <v>44967</v>
      </c>
      <c r="C1001">
        <v>68748</v>
      </c>
      <c r="D1001" t="str">
        <f>PROPER(Transactions!D1001)</f>
        <v>Sports</v>
      </c>
      <c r="E1001" t="s">
        <v>155</v>
      </c>
      <c r="F1001" t="s">
        <v>156</v>
      </c>
      <c r="G1001">
        <v>3</v>
      </c>
      <c r="H1001">
        <v>19.989999999999998</v>
      </c>
      <c r="I1001" s="7">
        <f>IF(Transactions!I1001="",0,Transactions!I1001)</f>
        <v>0</v>
      </c>
      <c r="J1001" s="9">
        <f t="shared" si="15"/>
        <v>59.97</v>
      </c>
      <c r="K1001" t="s">
        <v>16</v>
      </c>
      <c r="L1001" t="s">
        <v>37</v>
      </c>
      <c r="M1001" t="str">
        <f>REPLACE(Transactions!M1001,1,4,"")</f>
        <v>13</v>
      </c>
    </row>
    <row r="1002" spans="1:13" x14ac:dyDescent="0.2">
      <c r="A1002">
        <v>262998</v>
      </c>
      <c r="B1002" s="5">
        <v>44798</v>
      </c>
      <c r="C1002">
        <v>36685</v>
      </c>
      <c r="D1002" t="str">
        <f>PROPER(Transactions!D1002)</f>
        <v>Clothing</v>
      </c>
      <c r="E1002" t="s">
        <v>141</v>
      </c>
      <c r="F1002" t="s">
        <v>142</v>
      </c>
      <c r="G1002">
        <v>3</v>
      </c>
      <c r="H1002">
        <v>22.99</v>
      </c>
      <c r="I1002" s="7">
        <f>IF(Transactions!I1002="",0,Transactions!I1002)</f>
        <v>0</v>
      </c>
      <c r="J1002" s="9">
        <f t="shared" si="15"/>
        <v>68.97</v>
      </c>
      <c r="K1002" t="s">
        <v>22</v>
      </c>
      <c r="L1002" t="s">
        <v>17</v>
      </c>
      <c r="M1002" t="str">
        <f>REPLACE(Transactions!M1002,1,4,"")</f>
        <v>3</v>
      </c>
    </row>
    <row r="1003" spans="1:13" x14ac:dyDescent="0.2">
      <c r="A1003">
        <v>263103</v>
      </c>
      <c r="B1003" s="5">
        <v>45539</v>
      </c>
      <c r="C1003">
        <v>32426</v>
      </c>
      <c r="D1003" t="str">
        <f>PROPER(Transactions!D1003)</f>
        <v>Automotive</v>
      </c>
      <c r="E1003" t="s">
        <v>125</v>
      </c>
      <c r="F1003" t="s">
        <v>126</v>
      </c>
      <c r="G1003">
        <v>1</v>
      </c>
      <c r="H1003">
        <v>29.99</v>
      </c>
      <c r="I1003" s="7">
        <f>IF(Transactions!I1003="",0,Transactions!I1003)</f>
        <v>0</v>
      </c>
      <c r="J1003" s="9">
        <f t="shared" si="15"/>
        <v>29.99</v>
      </c>
      <c r="K1003" t="s">
        <v>36</v>
      </c>
      <c r="L1003" t="s">
        <v>23</v>
      </c>
      <c r="M1003" t="str">
        <f>REPLACE(Transactions!M1003,1,4,"")</f>
        <v>19</v>
      </c>
    </row>
    <row r="1004" spans="1:13" x14ac:dyDescent="0.2">
      <c r="A1004">
        <v>263168</v>
      </c>
      <c r="B1004" s="5">
        <v>45482</v>
      </c>
      <c r="C1004">
        <v>36843</v>
      </c>
      <c r="D1004" t="str">
        <f>PROPER(Transactions!D1004)</f>
        <v>Electronics</v>
      </c>
      <c r="E1004" t="s">
        <v>79</v>
      </c>
      <c r="F1004" t="s">
        <v>80</v>
      </c>
      <c r="G1004">
        <v>5</v>
      </c>
      <c r="H1004">
        <v>76.489999999999995</v>
      </c>
      <c r="I1004" s="7">
        <f>IF(Transactions!I1004="",0,Transactions!I1004)</f>
        <v>0.15</v>
      </c>
      <c r="J1004" s="9">
        <f t="shared" si="15"/>
        <v>325.08249999999998</v>
      </c>
      <c r="K1004" t="s">
        <v>22</v>
      </c>
      <c r="L1004" t="s">
        <v>17</v>
      </c>
      <c r="M1004" t="str">
        <f>REPLACE(Transactions!M1004,1,4,"")</f>
        <v>11</v>
      </c>
    </row>
    <row r="1005" spans="1:13" x14ac:dyDescent="0.2">
      <c r="A1005">
        <v>263419</v>
      </c>
      <c r="B1005" s="5">
        <v>44753</v>
      </c>
      <c r="C1005">
        <v>79288</v>
      </c>
      <c r="D1005" t="str">
        <f>PROPER(Transactions!D1005)</f>
        <v>Grocery</v>
      </c>
      <c r="E1005" t="s">
        <v>93</v>
      </c>
      <c r="F1005" t="s">
        <v>94</v>
      </c>
      <c r="G1005">
        <v>1</v>
      </c>
      <c r="H1005">
        <v>1.29</v>
      </c>
      <c r="I1005" s="7">
        <f>IF(Transactions!I1005="",0,Transactions!I1005)</f>
        <v>0</v>
      </c>
      <c r="J1005" s="9">
        <f t="shared" si="15"/>
        <v>1.29</v>
      </c>
      <c r="K1005" t="s">
        <v>22</v>
      </c>
      <c r="L1005" t="s">
        <v>23</v>
      </c>
      <c r="M1005" t="str">
        <f>REPLACE(Transactions!M1005,1,4,"")</f>
        <v>10</v>
      </c>
    </row>
    <row r="1006" spans="1:13" x14ac:dyDescent="0.2">
      <c r="A1006">
        <v>263421</v>
      </c>
      <c r="B1006" s="5">
        <v>44620</v>
      </c>
      <c r="C1006">
        <v>67129</v>
      </c>
      <c r="D1006" t="str">
        <f>PROPER(Transactions!D1006)</f>
        <v>Pharmacy</v>
      </c>
      <c r="E1006" t="s">
        <v>115</v>
      </c>
      <c r="F1006" t="s">
        <v>116</v>
      </c>
      <c r="G1006">
        <v>2</v>
      </c>
      <c r="H1006">
        <v>11.04</v>
      </c>
      <c r="I1006" s="7">
        <f>IF(Transactions!I1006="",0,Transactions!I1006)</f>
        <v>0.15</v>
      </c>
      <c r="J1006" s="9">
        <f t="shared" si="15"/>
        <v>18.767999999999997</v>
      </c>
      <c r="K1006" t="s">
        <v>22</v>
      </c>
      <c r="L1006" t="s">
        <v>37</v>
      </c>
      <c r="M1006" t="str">
        <f>REPLACE(Transactions!M1006,1,4,"")</f>
        <v>1</v>
      </c>
    </row>
    <row r="1007" spans="1:13" x14ac:dyDescent="0.2">
      <c r="A1007">
        <v>263432</v>
      </c>
      <c r="B1007" s="5">
        <v>44815</v>
      </c>
      <c r="C1007">
        <v>77351</v>
      </c>
      <c r="D1007" t="str">
        <f>PROPER(Transactions!D1007)</f>
        <v>Clothing</v>
      </c>
      <c r="E1007" t="s">
        <v>151</v>
      </c>
      <c r="F1007" t="s">
        <v>152</v>
      </c>
      <c r="G1007">
        <v>1</v>
      </c>
      <c r="H1007">
        <v>33.24</v>
      </c>
      <c r="I1007" s="7">
        <f>IF(Transactions!I1007="",0,Transactions!I1007)</f>
        <v>0.05</v>
      </c>
      <c r="J1007" s="9">
        <f t="shared" si="15"/>
        <v>31.577999999999999</v>
      </c>
      <c r="K1007" t="s">
        <v>22</v>
      </c>
      <c r="L1007" t="s">
        <v>37</v>
      </c>
      <c r="M1007" t="str">
        <f>REPLACE(Transactions!M1007,1,4,"")</f>
        <v>19</v>
      </c>
    </row>
    <row r="1008" spans="1:13" x14ac:dyDescent="0.2">
      <c r="A1008">
        <v>263551</v>
      </c>
      <c r="B1008" s="5">
        <v>44579</v>
      </c>
      <c r="C1008">
        <v>63367</v>
      </c>
      <c r="D1008" t="str">
        <f>PROPER(Transactions!D1008)</f>
        <v>Furniture</v>
      </c>
      <c r="E1008" t="s">
        <v>113</v>
      </c>
      <c r="F1008" t="s">
        <v>114</v>
      </c>
      <c r="G1008">
        <v>3</v>
      </c>
      <c r="H1008">
        <v>101.99</v>
      </c>
      <c r="I1008" s="7">
        <f>IF(Transactions!I1008="",0,Transactions!I1008)</f>
        <v>0.15</v>
      </c>
      <c r="J1008" s="9">
        <f t="shared" si="15"/>
        <v>260.07449999999994</v>
      </c>
      <c r="K1008" t="s">
        <v>16</v>
      </c>
      <c r="L1008" t="s">
        <v>17</v>
      </c>
      <c r="M1008" t="str">
        <f>REPLACE(Transactions!M1008,1,4,"")</f>
        <v/>
      </c>
    </row>
    <row r="1009" spans="1:13" x14ac:dyDescent="0.2">
      <c r="A1009">
        <v>263628</v>
      </c>
      <c r="B1009" s="5">
        <v>45116</v>
      </c>
      <c r="C1009">
        <v>74276</v>
      </c>
      <c r="D1009" t="str">
        <f>PROPER(Transactions!D1009)</f>
        <v>Sports</v>
      </c>
      <c r="E1009" t="s">
        <v>147</v>
      </c>
      <c r="F1009" t="s">
        <v>148</v>
      </c>
      <c r="G1009">
        <v>4</v>
      </c>
      <c r="H1009">
        <v>12.99</v>
      </c>
      <c r="I1009" s="7">
        <f>IF(Transactions!I1009="",0,Transactions!I1009)</f>
        <v>0</v>
      </c>
      <c r="J1009" s="9">
        <f t="shared" si="15"/>
        <v>51.96</v>
      </c>
      <c r="K1009" t="s">
        <v>36</v>
      </c>
      <c r="L1009" t="s">
        <v>17</v>
      </c>
      <c r="M1009" t="str">
        <f>REPLACE(Transactions!M1009,1,4,"")</f>
        <v>19</v>
      </c>
    </row>
    <row r="1010" spans="1:13" x14ac:dyDescent="0.2">
      <c r="A1010">
        <v>263678</v>
      </c>
      <c r="B1010" s="5">
        <v>44762</v>
      </c>
      <c r="C1010">
        <v>40978</v>
      </c>
      <c r="D1010" t="str">
        <f>PROPER(Transactions!D1010)</f>
        <v>Automotive</v>
      </c>
      <c r="E1010" t="s">
        <v>64</v>
      </c>
      <c r="F1010" t="s">
        <v>65</v>
      </c>
      <c r="G1010">
        <v>5</v>
      </c>
      <c r="H1010">
        <v>3.99</v>
      </c>
      <c r="I1010" s="7">
        <f>IF(Transactions!I1010="",0,Transactions!I1010)</f>
        <v>0.2</v>
      </c>
      <c r="J1010" s="9">
        <f t="shared" si="15"/>
        <v>15.960000000000003</v>
      </c>
      <c r="K1010" t="s">
        <v>36</v>
      </c>
      <c r="L1010" t="s">
        <v>37</v>
      </c>
      <c r="M1010" t="str">
        <f>REPLACE(Transactions!M1010,1,4,"")</f>
        <v>18</v>
      </c>
    </row>
    <row r="1011" spans="1:13" x14ac:dyDescent="0.2">
      <c r="A1011">
        <v>263875</v>
      </c>
      <c r="B1011" s="5">
        <v>45407</v>
      </c>
      <c r="C1011">
        <v>11673</v>
      </c>
      <c r="D1011" t="str">
        <f>PROPER(Transactions!D1011)</f>
        <v>Grocery</v>
      </c>
      <c r="E1011" t="s">
        <v>190</v>
      </c>
      <c r="F1011" t="s">
        <v>191</v>
      </c>
      <c r="G1011">
        <v>2</v>
      </c>
      <c r="H1011">
        <v>3.86</v>
      </c>
      <c r="I1011" s="7">
        <f>IF(Transactions!I1011="",0,Transactions!I1011)</f>
        <v>0.1</v>
      </c>
      <c r="J1011" s="9">
        <f t="shared" si="15"/>
        <v>6.9479999999999995</v>
      </c>
      <c r="K1011" t="s">
        <v>36</v>
      </c>
      <c r="L1011" t="s">
        <v>17</v>
      </c>
      <c r="M1011" t="str">
        <f>REPLACE(Transactions!M1011,1,4,"")</f>
        <v>17</v>
      </c>
    </row>
    <row r="1012" spans="1:13" x14ac:dyDescent="0.2">
      <c r="A1012">
        <v>264010</v>
      </c>
      <c r="B1012" s="5">
        <v>45501</v>
      </c>
      <c r="C1012">
        <v>13381</v>
      </c>
      <c r="D1012" t="str">
        <f>PROPER(Transactions!D1012)</f>
        <v>Grocery</v>
      </c>
      <c r="E1012" t="s">
        <v>162</v>
      </c>
      <c r="F1012" t="s">
        <v>163</v>
      </c>
      <c r="G1012">
        <v>2</v>
      </c>
      <c r="H1012">
        <v>6.39</v>
      </c>
      <c r="I1012" s="7">
        <f>IF(Transactions!I1012="",0,Transactions!I1012)</f>
        <v>0.2</v>
      </c>
      <c r="J1012" s="9">
        <f t="shared" si="15"/>
        <v>10.224</v>
      </c>
      <c r="K1012" t="s">
        <v>32</v>
      </c>
      <c r="L1012" t="s">
        <v>17</v>
      </c>
      <c r="M1012" t="str">
        <f>REPLACE(Transactions!M1012,1,4,"")</f>
        <v>4</v>
      </c>
    </row>
    <row r="1013" spans="1:13" x14ac:dyDescent="0.2">
      <c r="A1013">
        <v>264341</v>
      </c>
      <c r="B1013" s="5">
        <v>45084</v>
      </c>
      <c r="C1013">
        <v>70881</v>
      </c>
      <c r="D1013" t="str">
        <f>PROPER(Transactions!D1013)</f>
        <v>Beauty</v>
      </c>
      <c r="E1013" t="s">
        <v>139</v>
      </c>
      <c r="F1013" t="s">
        <v>140</v>
      </c>
      <c r="G1013">
        <v>2</v>
      </c>
      <c r="H1013">
        <v>6.79</v>
      </c>
      <c r="I1013" s="7">
        <f>IF(Transactions!I1013="",0,Transactions!I1013)</f>
        <v>0.15</v>
      </c>
      <c r="J1013" s="9">
        <f t="shared" si="15"/>
        <v>11.542999999999999</v>
      </c>
      <c r="K1013" t="s">
        <v>36</v>
      </c>
      <c r="L1013" t="s">
        <v>17</v>
      </c>
      <c r="M1013" t="str">
        <f>REPLACE(Transactions!M1013,1,4,"")</f>
        <v>12</v>
      </c>
    </row>
    <row r="1014" spans="1:13" x14ac:dyDescent="0.2">
      <c r="A1014">
        <v>264389</v>
      </c>
      <c r="B1014" s="5">
        <v>45166</v>
      </c>
      <c r="C1014">
        <v>82287</v>
      </c>
      <c r="D1014" t="str">
        <f>PROPER(Transactions!D1014)</f>
        <v>Home &amp; Garden</v>
      </c>
      <c r="E1014" t="s">
        <v>129</v>
      </c>
      <c r="F1014" t="s">
        <v>130</v>
      </c>
      <c r="G1014">
        <v>2</v>
      </c>
      <c r="H1014">
        <v>8.09</v>
      </c>
      <c r="I1014" s="7">
        <f>IF(Transactions!I1014="",0,Transactions!I1014)</f>
        <v>0.1</v>
      </c>
      <c r="J1014" s="9">
        <f t="shared" si="15"/>
        <v>14.561999999999999</v>
      </c>
      <c r="K1014" t="s">
        <v>22</v>
      </c>
      <c r="L1014" t="s">
        <v>17</v>
      </c>
      <c r="M1014" t="str">
        <f>REPLACE(Transactions!M1014,1,4,"")</f>
        <v>18</v>
      </c>
    </row>
    <row r="1015" spans="1:13" x14ac:dyDescent="0.2">
      <c r="A1015">
        <v>264660</v>
      </c>
      <c r="B1015" s="5">
        <v>44803</v>
      </c>
      <c r="C1015">
        <v>75325</v>
      </c>
      <c r="D1015" t="str">
        <f>PROPER(Transactions!D1015)</f>
        <v>Clothing</v>
      </c>
      <c r="E1015" t="s">
        <v>141</v>
      </c>
      <c r="F1015" t="s">
        <v>142</v>
      </c>
      <c r="G1015">
        <v>5</v>
      </c>
      <c r="H1015">
        <v>21.84</v>
      </c>
      <c r="I1015" s="7">
        <f>IF(Transactions!I1015="",0,Transactions!I1015)</f>
        <v>0.05</v>
      </c>
      <c r="J1015" s="9">
        <f t="shared" si="15"/>
        <v>103.74</v>
      </c>
      <c r="K1015" t="s">
        <v>22</v>
      </c>
      <c r="L1015" t="s">
        <v>37</v>
      </c>
      <c r="M1015" t="str">
        <f>REPLACE(Transactions!M1015,1,4,"")</f>
        <v>14</v>
      </c>
    </row>
    <row r="1016" spans="1:13" x14ac:dyDescent="0.2">
      <c r="A1016">
        <v>265771</v>
      </c>
      <c r="B1016" s="5">
        <v>45547</v>
      </c>
      <c r="C1016">
        <v>94326</v>
      </c>
      <c r="D1016" t="str">
        <f>PROPER(Transactions!D1016)</f>
        <v>Pharmacy</v>
      </c>
      <c r="E1016" t="s">
        <v>20</v>
      </c>
      <c r="F1016" t="s">
        <v>21</v>
      </c>
      <c r="G1016">
        <v>5</v>
      </c>
      <c r="H1016">
        <v>9.49</v>
      </c>
      <c r="I1016" s="7">
        <f>IF(Transactions!I1016="",0,Transactions!I1016)</f>
        <v>0.05</v>
      </c>
      <c r="J1016" s="9">
        <f t="shared" si="15"/>
        <v>45.077500000000001</v>
      </c>
      <c r="K1016" t="s">
        <v>22</v>
      </c>
      <c r="L1016" t="s">
        <v>37</v>
      </c>
      <c r="M1016" t="str">
        <f>REPLACE(Transactions!M1016,1,4,"")</f>
        <v>14</v>
      </c>
    </row>
    <row r="1017" spans="1:13" x14ac:dyDescent="0.2">
      <c r="A1017">
        <v>265827</v>
      </c>
      <c r="B1017" s="5">
        <v>45538</v>
      </c>
      <c r="C1017">
        <v>25373</v>
      </c>
      <c r="D1017" t="str">
        <f>PROPER(Transactions!D1017)</f>
        <v>Beauty</v>
      </c>
      <c r="E1017" t="s">
        <v>139</v>
      </c>
      <c r="F1017" t="s">
        <v>140</v>
      </c>
      <c r="G1017">
        <v>4</v>
      </c>
      <c r="H1017">
        <v>7.99</v>
      </c>
      <c r="I1017" s="7">
        <f>IF(Transactions!I1017="",0,Transactions!I1017)</f>
        <v>0</v>
      </c>
      <c r="J1017" s="9">
        <f t="shared" si="15"/>
        <v>31.96</v>
      </c>
      <c r="K1017" t="s">
        <v>36</v>
      </c>
      <c r="L1017" t="s">
        <v>17</v>
      </c>
      <c r="M1017" t="str">
        <f>REPLACE(Transactions!M1017,1,4,"")</f>
        <v>10</v>
      </c>
    </row>
    <row r="1018" spans="1:13" x14ac:dyDescent="0.2">
      <c r="A1018">
        <v>265879</v>
      </c>
      <c r="B1018" s="5">
        <v>44817</v>
      </c>
      <c r="C1018">
        <v>76122</v>
      </c>
      <c r="D1018" t="str">
        <f>PROPER(Transactions!D1018)</f>
        <v>Grocery</v>
      </c>
      <c r="E1018" t="s">
        <v>172</v>
      </c>
      <c r="F1018" t="s">
        <v>173</v>
      </c>
      <c r="G1018">
        <v>2</v>
      </c>
      <c r="H1018">
        <v>4.49</v>
      </c>
      <c r="I1018" s="7">
        <f>IF(Transactions!I1018="",0,Transactions!I1018)</f>
        <v>0</v>
      </c>
      <c r="J1018" s="9">
        <f t="shared" si="15"/>
        <v>8.98</v>
      </c>
      <c r="K1018" t="s">
        <v>66</v>
      </c>
      <c r="L1018" t="s">
        <v>37</v>
      </c>
      <c r="M1018" t="str">
        <f>REPLACE(Transactions!M1018,1,4,"")</f>
        <v>5</v>
      </c>
    </row>
    <row r="1019" spans="1:13" x14ac:dyDescent="0.2">
      <c r="A1019">
        <v>265923</v>
      </c>
      <c r="B1019" s="5">
        <v>45513</v>
      </c>
      <c r="C1019">
        <v>31571</v>
      </c>
      <c r="D1019" t="str">
        <f>PROPER(Transactions!D1019)</f>
        <v>Furniture</v>
      </c>
      <c r="E1019" t="s">
        <v>113</v>
      </c>
      <c r="F1019" t="s">
        <v>114</v>
      </c>
      <c r="G1019">
        <v>3</v>
      </c>
      <c r="H1019">
        <v>119.99</v>
      </c>
      <c r="I1019" s="7">
        <f>IF(Transactions!I1019="",0,Transactions!I1019)</f>
        <v>0</v>
      </c>
      <c r="J1019" s="9">
        <f t="shared" si="15"/>
        <v>359.96999999999997</v>
      </c>
      <c r="K1019" t="s">
        <v>36</v>
      </c>
      <c r="L1019" t="s">
        <v>17</v>
      </c>
      <c r="M1019" t="str">
        <f>REPLACE(Transactions!M1019,1,4,"")</f>
        <v>16</v>
      </c>
    </row>
    <row r="1020" spans="1:13" x14ac:dyDescent="0.2">
      <c r="A1020">
        <v>265978</v>
      </c>
      <c r="B1020" s="5">
        <v>44990</v>
      </c>
      <c r="C1020">
        <v>55910</v>
      </c>
      <c r="D1020" t="str">
        <f>PROPER(Transactions!D1020)</f>
        <v>Furniture</v>
      </c>
      <c r="E1020" t="s">
        <v>51</v>
      </c>
      <c r="F1020" t="s">
        <v>52</v>
      </c>
      <c r="G1020">
        <v>1</v>
      </c>
      <c r="H1020">
        <v>19.59</v>
      </c>
      <c r="I1020" s="7">
        <f>IF(Transactions!I1020="",0,Transactions!I1020)</f>
        <v>0.3</v>
      </c>
      <c r="J1020" s="9">
        <f t="shared" si="15"/>
        <v>13.712999999999999</v>
      </c>
      <c r="K1020" t="s">
        <v>53</v>
      </c>
      <c r="L1020" t="s">
        <v>17</v>
      </c>
      <c r="M1020" t="str">
        <f>REPLACE(Transactions!M1020,1,4,"")</f>
        <v>10</v>
      </c>
    </row>
    <row r="1021" spans="1:13" x14ac:dyDescent="0.2">
      <c r="A1021">
        <v>266028</v>
      </c>
      <c r="B1021" s="5">
        <v>44917</v>
      </c>
      <c r="C1021">
        <v>81627</v>
      </c>
      <c r="D1021" t="str">
        <f>PROPER(Transactions!D1021)</f>
        <v>Electronics</v>
      </c>
      <c r="E1021" t="s">
        <v>79</v>
      </c>
      <c r="F1021" t="s">
        <v>80</v>
      </c>
      <c r="G1021">
        <v>2</v>
      </c>
      <c r="H1021">
        <v>89.99</v>
      </c>
      <c r="I1021" s="7">
        <f>IF(Transactions!I1021="",0,Transactions!I1021)</f>
        <v>0</v>
      </c>
      <c r="J1021" s="9">
        <f t="shared" si="15"/>
        <v>179.98</v>
      </c>
      <c r="K1021" t="s">
        <v>22</v>
      </c>
      <c r="L1021" t="s">
        <v>17</v>
      </c>
      <c r="M1021" t="str">
        <f>REPLACE(Transactions!M1021,1,4,"")</f>
        <v>15</v>
      </c>
    </row>
    <row r="1022" spans="1:13" x14ac:dyDescent="0.2">
      <c r="A1022">
        <v>266213</v>
      </c>
      <c r="B1022" s="5">
        <v>45022</v>
      </c>
      <c r="C1022">
        <v>97521</v>
      </c>
      <c r="D1022" t="str">
        <f>PROPER(Transactions!D1022)</f>
        <v>Home &amp; Garden</v>
      </c>
      <c r="E1022" t="s">
        <v>86</v>
      </c>
      <c r="F1022" t="s">
        <v>87</v>
      </c>
      <c r="G1022">
        <v>1</v>
      </c>
      <c r="H1022">
        <v>12.99</v>
      </c>
      <c r="I1022" s="7">
        <f>IF(Transactions!I1022="",0,Transactions!I1022)</f>
        <v>0</v>
      </c>
      <c r="J1022" s="9">
        <f t="shared" si="15"/>
        <v>12.99</v>
      </c>
      <c r="K1022" t="s">
        <v>16</v>
      </c>
      <c r="L1022" t="s">
        <v>17</v>
      </c>
      <c r="M1022" t="str">
        <f>REPLACE(Transactions!M1022,1,4,"")</f>
        <v>17</v>
      </c>
    </row>
    <row r="1023" spans="1:13" x14ac:dyDescent="0.2">
      <c r="A1023">
        <v>266302</v>
      </c>
      <c r="B1023" s="5">
        <v>44781</v>
      </c>
      <c r="C1023">
        <v>39076</v>
      </c>
      <c r="D1023" t="str">
        <f>PROPER(Transactions!D1023)</f>
        <v>Grocery</v>
      </c>
      <c r="E1023" t="s">
        <v>172</v>
      </c>
      <c r="F1023" t="s">
        <v>173</v>
      </c>
      <c r="G1023">
        <v>1</v>
      </c>
      <c r="H1023">
        <v>3.82</v>
      </c>
      <c r="I1023" s="7">
        <f>IF(Transactions!I1023="",0,Transactions!I1023)</f>
        <v>0.15</v>
      </c>
      <c r="J1023" s="9">
        <f t="shared" si="15"/>
        <v>3.2469999999999999</v>
      </c>
      <c r="K1023" t="s">
        <v>36</v>
      </c>
      <c r="L1023" t="s">
        <v>37</v>
      </c>
      <c r="M1023" t="str">
        <f>REPLACE(Transactions!M1023,1,4,"")</f>
        <v>12</v>
      </c>
    </row>
    <row r="1024" spans="1:13" x14ac:dyDescent="0.2">
      <c r="A1024">
        <v>266399</v>
      </c>
      <c r="B1024" s="5">
        <v>45239</v>
      </c>
      <c r="C1024">
        <v>24441</v>
      </c>
      <c r="D1024" t="str">
        <f>PROPER(Transactions!D1024)</f>
        <v>Toys</v>
      </c>
      <c r="E1024" t="s">
        <v>72</v>
      </c>
      <c r="F1024" t="s">
        <v>73</v>
      </c>
      <c r="G1024">
        <v>1</v>
      </c>
      <c r="H1024">
        <v>39.99</v>
      </c>
      <c r="I1024" s="7">
        <f>IF(Transactions!I1024="",0,Transactions!I1024)</f>
        <v>0</v>
      </c>
      <c r="J1024" s="9">
        <f t="shared" si="15"/>
        <v>39.99</v>
      </c>
      <c r="K1024" t="s">
        <v>66</v>
      </c>
      <c r="L1024" t="s">
        <v>23</v>
      </c>
      <c r="M1024" t="str">
        <f>REPLACE(Transactions!M1024,1,4,"")</f>
        <v>16</v>
      </c>
    </row>
    <row r="1025" spans="1:13" x14ac:dyDescent="0.2">
      <c r="A1025">
        <v>266775</v>
      </c>
      <c r="B1025" s="5">
        <v>44789</v>
      </c>
      <c r="C1025">
        <v>95102</v>
      </c>
      <c r="D1025" t="str">
        <f>PROPER(Transactions!D1025)</f>
        <v>Toys</v>
      </c>
      <c r="E1025" t="s">
        <v>170</v>
      </c>
      <c r="F1025" t="s">
        <v>171</v>
      </c>
      <c r="G1025">
        <v>5</v>
      </c>
      <c r="H1025">
        <v>11.24</v>
      </c>
      <c r="I1025" s="7">
        <f>IF(Transactions!I1025="",0,Transactions!I1025)</f>
        <v>0.25</v>
      </c>
      <c r="J1025" s="9">
        <f t="shared" si="15"/>
        <v>42.150000000000006</v>
      </c>
      <c r="K1025" t="s">
        <v>16</v>
      </c>
      <c r="L1025" t="s">
        <v>37</v>
      </c>
      <c r="M1025" t="str">
        <f>REPLACE(Transactions!M1025,1,4,"")</f>
        <v>5</v>
      </c>
    </row>
    <row r="1026" spans="1:13" x14ac:dyDescent="0.2">
      <c r="A1026">
        <v>267011</v>
      </c>
      <c r="B1026" s="5">
        <v>45405</v>
      </c>
      <c r="C1026">
        <v>79403</v>
      </c>
      <c r="D1026" t="str">
        <f>PROPER(Transactions!D1026)</f>
        <v>Beauty</v>
      </c>
      <c r="E1026" t="s">
        <v>143</v>
      </c>
      <c r="F1026" t="s">
        <v>144</v>
      </c>
      <c r="G1026">
        <v>5</v>
      </c>
      <c r="H1026">
        <v>14.24</v>
      </c>
      <c r="I1026" s="7">
        <f>IF(Transactions!I1026="",0,Transactions!I1026)</f>
        <v>0.05</v>
      </c>
      <c r="J1026" s="9">
        <f t="shared" si="15"/>
        <v>67.64</v>
      </c>
      <c r="K1026" t="s">
        <v>36</v>
      </c>
      <c r="L1026" t="s">
        <v>17</v>
      </c>
      <c r="M1026" t="str">
        <f>REPLACE(Transactions!M1026,1,4,"")</f>
        <v>20</v>
      </c>
    </row>
    <row r="1027" spans="1:13" x14ac:dyDescent="0.2">
      <c r="A1027">
        <v>267081</v>
      </c>
      <c r="B1027" s="5">
        <v>45653</v>
      </c>
      <c r="C1027">
        <v>28325</v>
      </c>
      <c r="D1027" t="str">
        <f>PROPER(Transactions!D1027)</f>
        <v>Toys</v>
      </c>
      <c r="E1027" t="s">
        <v>170</v>
      </c>
      <c r="F1027" t="s">
        <v>171</v>
      </c>
      <c r="G1027">
        <v>3</v>
      </c>
      <c r="H1027">
        <v>12.74</v>
      </c>
      <c r="I1027" s="7">
        <f>IF(Transactions!I1027="",0,Transactions!I1027)</f>
        <v>0.15</v>
      </c>
      <c r="J1027" s="9">
        <f t="shared" ref="J1027:J1090" si="16">(H1027*G1027)*(1-I1027)</f>
        <v>32.486999999999995</v>
      </c>
      <c r="K1027" t="s">
        <v>16</v>
      </c>
      <c r="L1027" t="s">
        <v>37</v>
      </c>
      <c r="M1027" t="str">
        <f>REPLACE(Transactions!M1027,1,4,"")</f>
        <v>7</v>
      </c>
    </row>
    <row r="1028" spans="1:13" x14ac:dyDescent="0.2">
      <c r="A1028">
        <v>267096</v>
      </c>
      <c r="B1028" s="5">
        <v>44882</v>
      </c>
      <c r="C1028">
        <v>31052</v>
      </c>
      <c r="D1028" t="str">
        <f>PROPER(Transactions!D1028)</f>
        <v>Electronics</v>
      </c>
      <c r="E1028" t="s">
        <v>104</v>
      </c>
      <c r="F1028" t="s">
        <v>105</v>
      </c>
      <c r="G1028">
        <v>2</v>
      </c>
      <c r="H1028">
        <v>28.49</v>
      </c>
      <c r="I1028" s="7">
        <f>IF(Transactions!I1028="",0,Transactions!I1028)</f>
        <v>0.05</v>
      </c>
      <c r="J1028" s="9">
        <f t="shared" si="16"/>
        <v>54.130999999999993</v>
      </c>
      <c r="K1028" t="s">
        <v>66</v>
      </c>
      <c r="L1028" t="s">
        <v>17</v>
      </c>
      <c r="M1028" t="str">
        <f>REPLACE(Transactions!M1028,1,4,"")</f>
        <v>7</v>
      </c>
    </row>
    <row r="1029" spans="1:13" x14ac:dyDescent="0.2">
      <c r="A1029">
        <v>267314</v>
      </c>
      <c r="B1029" s="5">
        <v>45360</v>
      </c>
      <c r="D1029" t="str">
        <f>PROPER(Transactions!D1029)</f>
        <v>Grocery</v>
      </c>
      <c r="E1029" t="s">
        <v>172</v>
      </c>
      <c r="F1029" t="s">
        <v>173</v>
      </c>
      <c r="G1029">
        <v>5</v>
      </c>
      <c r="H1029">
        <v>4.49</v>
      </c>
      <c r="I1029" s="7">
        <f>IF(Transactions!I1029="",0,Transactions!I1029)</f>
        <v>0</v>
      </c>
      <c r="J1029" s="9">
        <f t="shared" si="16"/>
        <v>22.450000000000003</v>
      </c>
      <c r="K1029" t="s">
        <v>36</v>
      </c>
      <c r="L1029" t="s">
        <v>17</v>
      </c>
      <c r="M1029" t="str">
        <f>REPLACE(Transactions!M1029,1,4,"")</f>
        <v>4</v>
      </c>
    </row>
    <row r="1030" spans="1:13" x14ac:dyDescent="0.2">
      <c r="A1030">
        <v>267787</v>
      </c>
      <c r="B1030" s="5">
        <v>45162</v>
      </c>
      <c r="C1030">
        <v>60118</v>
      </c>
      <c r="D1030" t="str">
        <f>PROPER(Transactions!D1030)</f>
        <v>Grocery</v>
      </c>
      <c r="E1030" t="s">
        <v>195</v>
      </c>
      <c r="F1030" t="s">
        <v>196</v>
      </c>
      <c r="G1030">
        <v>4</v>
      </c>
      <c r="H1030">
        <v>3.99</v>
      </c>
      <c r="I1030" s="7">
        <f>IF(Transactions!I1030="",0,Transactions!I1030)</f>
        <v>0.2</v>
      </c>
      <c r="J1030" s="9">
        <f t="shared" si="16"/>
        <v>12.768000000000001</v>
      </c>
      <c r="K1030" t="s">
        <v>16</v>
      </c>
      <c r="L1030" t="s">
        <v>17</v>
      </c>
      <c r="M1030" t="str">
        <f>REPLACE(Transactions!M1030,1,4,"")</f>
        <v>18</v>
      </c>
    </row>
    <row r="1031" spans="1:13" x14ac:dyDescent="0.2">
      <c r="A1031">
        <v>267827</v>
      </c>
      <c r="B1031" s="5">
        <v>45314</v>
      </c>
      <c r="C1031">
        <v>63816</v>
      </c>
      <c r="D1031" t="str">
        <f>PROPER(Transactions!D1031)</f>
        <v>Furniture</v>
      </c>
      <c r="E1031" t="s">
        <v>70</v>
      </c>
      <c r="F1031" t="s">
        <v>71</v>
      </c>
      <c r="G1031">
        <v>1</v>
      </c>
      <c r="H1031">
        <v>89.99</v>
      </c>
      <c r="I1031" s="7">
        <f>IF(Transactions!I1031="",0,Transactions!I1031)</f>
        <v>0</v>
      </c>
      <c r="J1031" s="9">
        <f t="shared" si="16"/>
        <v>89.99</v>
      </c>
      <c r="K1031" t="s">
        <v>22</v>
      </c>
      <c r="L1031" t="s">
        <v>23</v>
      </c>
      <c r="M1031" t="str">
        <f>REPLACE(Transactions!M1031,1,4,"")</f>
        <v>17</v>
      </c>
    </row>
    <row r="1032" spans="1:13" x14ac:dyDescent="0.2">
      <c r="A1032">
        <v>267840</v>
      </c>
      <c r="B1032" s="5">
        <v>44583</v>
      </c>
      <c r="C1032">
        <v>85831</v>
      </c>
      <c r="D1032" t="str">
        <f>PROPER(Transactions!D1032)</f>
        <v>Clothing</v>
      </c>
      <c r="E1032" t="s">
        <v>151</v>
      </c>
      <c r="F1032" t="s">
        <v>152</v>
      </c>
      <c r="G1032">
        <v>4</v>
      </c>
      <c r="H1032">
        <v>24.49</v>
      </c>
      <c r="I1032" s="7">
        <f>IF(Transactions!I1032="",0,Transactions!I1032)</f>
        <v>0.3</v>
      </c>
      <c r="J1032" s="9">
        <f t="shared" si="16"/>
        <v>68.571999999999989</v>
      </c>
      <c r="K1032" t="s">
        <v>22</v>
      </c>
      <c r="L1032" t="s">
        <v>17</v>
      </c>
      <c r="M1032" t="str">
        <f>REPLACE(Transactions!M1032,1,4,"")</f>
        <v>17</v>
      </c>
    </row>
    <row r="1033" spans="1:13" x14ac:dyDescent="0.2">
      <c r="A1033">
        <v>267882</v>
      </c>
      <c r="B1033" s="5">
        <v>45610</v>
      </c>
      <c r="C1033">
        <v>24218</v>
      </c>
      <c r="D1033" t="str">
        <f>PROPER(Transactions!D1033)</f>
        <v>Beauty</v>
      </c>
      <c r="E1033" t="s">
        <v>109</v>
      </c>
      <c r="F1033" t="s">
        <v>110</v>
      </c>
      <c r="G1033">
        <v>3</v>
      </c>
      <c r="H1033">
        <v>6.99</v>
      </c>
      <c r="I1033" s="7">
        <f>IF(Transactions!I1033="",0,Transactions!I1033)</f>
        <v>0</v>
      </c>
      <c r="J1033" s="9">
        <f t="shared" si="16"/>
        <v>20.97</v>
      </c>
      <c r="K1033" t="s">
        <v>95</v>
      </c>
      <c r="L1033" t="s">
        <v>23</v>
      </c>
      <c r="M1033" t="str">
        <f>REPLACE(Transactions!M1033,1,4,"")</f>
        <v>1</v>
      </c>
    </row>
    <row r="1034" spans="1:13" x14ac:dyDescent="0.2">
      <c r="A1034">
        <v>267885</v>
      </c>
      <c r="B1034" s="5">
        <v>45530</v>
      </c>
      <c r="C1034">
        <v>66513</v>
      </c>
      <c r="D1034" t="str">
        <f>PROPER(Transactions!D1034)</f>
        <v>Sports</v>
      </c>
      <c r="E1034" t="s">
        <v>188</v>
      </c>
      <c r="F1034" t="s">
        <v>189</v>
      </c>
      <c r="G1034">
        <v>1</v>
      </c>
      <c r="H1034">
        <v>44.99</v>
      </c>
      <c r="I1034" s="7">
        <f>IF(Transactions!I1034="",0,Transactions!I1034)</f>
        <v>0</v>
      </c>
      <c r="J1034" s="9">
        <f t="shared" si="16"/>
        <v>44.99</v>
      </c>
      <c r="K1034" t="s">
        <v>32</v>
      </c>
      <c r="L1034" t="s">
        <v>17</v>
      </c>
      <c r="M1034" t="str">
        <f>REPLACE(Transactions!M1034,1,4,"")</f>
        <v>17</v>
      </c>
    </row>
    <row r="1035" spans="1:13" x14ac:dyDescent="0.2">
      <c r="A1035">
        <v>267945</v>
      </c>
      <c r="B1035" s="5">
        <v>44704</v>
      </c>
      <c r="C1035">
        <v>37438</v>
      </c>
      <c r="D1035" t="str">
        <f>PROPER(Transactions!D1035)</f>
        <v>Automotive</v>
      </c>
      <c r="E1035" t="s">
        <v>111</v>
      </c>
      <c r="F1035" t="s">
        <v>112</v>
      </c>
      <c r="G1035">
        <v>3</v>
      </c>
      <c r="H1035">
        <v>11.99</v>
      </c>
      <c r="I1035" s="7">
        <f>IF(Transactions!I1035="",0,Transactions!I1035)</f>
        <v>0.2</v>
      </c>
      <c r="J1035" s="9">
        <f t="shared" si="16"/>
        <v>28.776</v>
      </c>
      <c r="K1035" t="s">
        <v>22</v>
      </c>
      <c r="L1035" t="s">
        <v>37</v>
      </c>
      <c r="M1035" t="str">
        <f>REPLACE(Transactions!M1035,1,4,"")</f>
        <v>5</v>
      </c>
    </row>
    <row r="1036" spans="1:13" x14ac:dyDescent="0.2">
      <c r="A1036">
        <v>267957</v>
      </c>
      <c r="B1036" s="5">
        <v>44868</v>
      </c>
      <c r="C1036">
        <v>62911</v>
      </c>
      <c r="D1036" t="str">
        <f>PROPER(Transactions!D1036)</f>
        <v>Beauty</v>
      </c>
      <c r="E1036" t="s">
        <v>179</v>
      </c>
      <c r="F1036" t="s">
        <v>180</v>
      </c>
      <c r="G1036">
        <v>1</v>
      </c>
      <c r="H1036">
        <v>8.99</v>
      </c>
      <c r="I1036" s="7">
        <f>IF(Transactions!I1036="",0,Transactions!I1036)</f>
        <v>0.25</v>
      </c>
      <c r="J1036" s="9">
        <f t="shared" si="16"/>
        <v>6.7424999999999997</v>
      </c>
      <c r="K1036" t="s">
        <v>53</v>
      </c>
      <c r="L1036" t="s">
        <v>17</v>
      </c>
      <c r="M1036" t="str">
        <f>REPLACE(Transactions!M1036,1,4,"")</f>
        <v>14</v>
      </c>
    </row>
    <row r="1037" spans="1:13" x14ac:dyDescent="0.2">
      <c r="A1037">
        <v>267958</v>
      </c>
      <c r="B1037" s="5">
        <v>44654</v>
      </c>
      <c r="C1037">
        <v>44608</v>
      </c>
      <c r="D1037" t="str">
        <f>PROPER(Transactions!D1037)</f>
        <v>Pharmacy</v>
      </c>
      <c r="E1037" t="s">
        <v>197</v>
      </c>
      <c r="F1037" t="s">
        <v>198</v>
      </c>
      <c r="G1037">
        <v>1</v>
      </c>
      <c r="H1037">
        <v>14.24</v>
      </c>
      <c r="I1037" s="7">
        <f>IF(Transactions!I1037="",0,Transactions!I1037)</f>
        <v>0.05</v>
      </c>
      <c r="J1037" s="9">
        <f t="shared" si="16"/>
        <v>13.527999999999999</v>
      </c>
      <c r="K1037" t="s">
        <v>36</v>
      </c>
      <c r="L1037" t="s">
        <v>17</v>
      </c>
      <c r="M1037" t="str">
        <f>REPLACE(Transactions!M1037,1,4,"")</f>
        <v/>
      </c>
    </row>
    <row r="1038" spans="1:13" x14ac:dyDescent="0.2">
      <c r="A1038">
        <v>268158</v>
      </c>
      <c r="B1038" s="5">
        <v>45156</v>
      </c>
      <c r="C1038">
        <v>87101</v>
      </c>
      <c r="D1038" t="str">
        <f>PROPER(Transactions!D1038)</f>
        <v>Home &amp; Garden</v>
      </c>
      <c r="E1038" t="s">
        <v>137</v>
      </c>
      <c r="F1038" t="s">
        <v>138</v>
      </c>
      <c r="G1038">
        <v>1</v>
      </c>
      <c r="H1038">
        <v>7.19</v>
      </c>
      <c r="I1038" s="7">
        <f>IF(Transactions!I1038="",0,Transactions!I1038)</f>
        <v>0.1</v>
      </c>
      <c r="J1038" s="9">
        <f t="shared" si="16"/>
        <v>6.4710000000000001</v>
      </c>
      <c r="K1038" t="s">
        <v>22</v>
      </c>
      <c r="L1038" t="s">
        <v>17</v>
      </c>
      <c r="M1038" t="str">
        <f>REPLACE(Transactions!M1038,1,4,"")</f>
        <v>17</v>
      </c>
    </row>
    <row r="1039" spans="1:13" x14ac:dyDescent="0.2">
      <c r="A1039">
        <v>268210</v>
      </c>
      <c r="B1039" s="5">
        <v>45123</v>
      </c>
      <c r="C1039">
        <v>71587</v>
      </c>
      <c r="D1039" t="str">
        <f>PROPER(Transactions!D1039)</f>
        <v>Furniture</v>
      </c>
      <c r="E1039" t="s">
        <v>113</v>
      </c>
      <c r="F1039" t="s">
        <v>114</v>
      </c>
      <c r="G1039">
        <v>1</v>
      </c>
      <c r="H1039">
        <v>119.99</v>
      </c>
      <c r="I1039" s="7">
        <f>IF(Transactions!I1039="",0,Transactions!I1039)</f>
        <v>0</v>
      </c>
      <c r="J1039" s="9">
        <f t="shared" si="16"/>
        <v>119.99</v>
      </c>
      <c r="K1039" t="s">
        <v>22</v>
      </c>
      <c r="L1039" t="s">
        <v>17</v>
      </c>
      <c r="M1039" t="str">
        <f>REPLACE(Transactions!M1039,1,4,"")</f>
        <v>3</v>
      </c>
    </row>
    <row r="1040" spans="1:13" x14ac:dyDescent="0.2">
      <c r="A1040">
        <v>268354</v>
      </c>
      <c r="B1040" s="5">
        <v>45515</v>
      </c>
      <c r="C1040">
        <v>20291</v>
      </c>
      <c r="D1040" t="str">
        <f>PROPER(Transactions!D1040)</f>
        <v>Clothing</v>
      </c>
      <c r="E1040" t="s">
        <v>165</v>
      </c>
      <c r="F1040" t="s">
        <v>166</v>
      </c>
      <c r="G1040">
        <v>2</v>
      </c>
      <c r="H1040">
        <v>62.99</v>
      </c>
      <c r="I1040" s="7">
        <f>IF(Transactions!I1040="",0,Transactions!I1040)</f>
        <v>0.3</v>
      </c>
      <c r="J1040" s="9">
        <f t="shared" si="16"/>
        <v>88.185999999999993</v>
      </c>
      <c r="K1040" t="s">
        <v>16</v>
      </c>
      <c r="L1040" t="s">
        <v>17</v>
      </c>
      <c r="M1040" t="str">
        <f>REPLACE(Transactions!M1040,1,4,"")</f>
        <v>6</v>
      </c>
    </row>
    <row r="1041" spans="1:13" x14ac:dyDescent="0.2">
      <c r="A1041">
        <v>268633</v>
      </c>
      <c r="B1041" s="5">
        <v>44827</v>
      </c>
      <c r="C1041">
        <v>42902</v>
      </c>
      <c r="D1041" t="str">
        <f>PROPER(Transactions!D1041)</f>
        <v>Clothing</v>
      </c>
      <c r="E1041" t="s">
        <v>193</v>
      </c>
      <c r="F1041" t="s">
        <v>194</v>
      </c>
      <c r="G1041">
        <v>5</v>
      </c>
      <c r="H1041">
        <v>45.49</v>
      </c>
      <c r="I1041" s="7">
        <f>IF(Transactions!I1041="",0,Transactions!I1041)</f>
        <v>0.3</v>
      </c>
      <c r="J1041" s="9">
        <f t="shared" si="16"/>
        <v>159.215</v>
      </c>
      <c r="K1041" t="s">
        <v>95</v>
      </c>
      <c r="L1041" t="s">
        <v>17</v>
      </c>
      <c r="M1041" t="str">
        <f>REPLACE(Transactions!M1041,1,4,"")</f>
        <v>10</v>
      </c>
    </row>
    <row r="1042" spans="1:13" x14ac:dyDescent="0.2">
      <c r="A1042">
        <v>268798</v>
      </c>
      <c r="B1042" s="5">
        <v>45477</v>
      </c>
      <c r="C1042">
        <v>36791</v>
      </c>
      <c r="D1042" t="str">
        <f>PROPER(Transactions!D1042)</f>
        <v>Grocery</v>
      </c>
      <c r="E1042" t="s">
        <v>133</v>
      </c>
      <c r="F1042" t="s">
        <v>134</v>
      </c>
      <c r="G1042">
        <v>5</v>
      </c>
      <c r="H1042">
        <v>3.79</v>
      </c>
      <c r="I1042" s="7">
        <f>IF(Transactions!I1042="",0,Transactions!I1042)</f>
        <v>0</v>
      </c>
      <c r="J1042" s="9">
        <f t="shared" si="16"/>
        <v>18.95</v>
      </c>
      <c r="K1042" t="s">
        <v>16</v>
      </c>
      <c r="L1042" t="s">
        <v>17</v>
      </c>
      <c r="M1042" t="str">
        <f>REPLACE(Transactions!M1042,1,4,"")</f>
        <v>3</v>
      </c>
    </row>
    <row r="1043" spans="1:13" x14ac:dyDescent="0.2">
      <c r="A1043">
        <v>268802</v>
      </c>
      <c r="B1043" s="5">
        <v>44658</v>
      </c>
      <c r="D1043" t="str">
        <f>PROPER(Transactions!D1043)</f>
        <v>Furniture</v>
      </c>
      <c r="E1043" t="s">
        <v>70</v>
      </c>
      <c r="F1043" t="s">
        <v>71</v>
      </c>
      <c r="G1043">
        <v>5</v>
      </c>
      <c r="H1043">
        <v>85.49</v>
      </c>
      <c r="I1043" s="7">
        <f>IF(Transactions!I1043="",0,Transactions!I1043)</f>
        <v>0.05</v>
      </c>
      <c r="J1043" s="9">
        <f t="shared" si="16"/>
        <v>406.07749999999999</v>
      </c>
      <c r="K1043" t="s">
        <v>36</v>
      </c>
      <c r="L1043" t="s">
        <v>37</v>
      </c>
      <c r="M1043" t="str">
        <f>REPLACE(Transactions!M1043,1,4,"")</f>
        <v>7</v>
      </c>
    </row>
    <row r="1044" spans="1:13" x14ac:dyDescent="0.2">
      <c r="A1044">
        <v>268832</v>
      </c>
      <c r="B1044" s="5">
        <v>45357</v>
      </c>
      <c r="C1044">
        <v>47205</v>
      </c>
      <c r="D1044" t="str">
        <f>PROPER(Transactions!D1044)</f>
        <v>Toys</v>
      </c>
      <c r="E1044" t="s">
        <v>88</v>
      </c>
      <c r="F1044" t="s">
        <v>89</v>
      </c>
      <c r="G1044">
        <v>2</v>
      </c>
      <c r="H1044">
        <v>49.99</v>
      </c>
      <c r="I1044" s="7">
        <f>IF(Transactions!I1044="",0,Transactions!I1044)</f>
        <v>0</v>
      </c>
      <c r="J1044" s="9">
        <f t="shared" si="16"/>
        <v>99.98</v>
      </c>
      <c r="K1044" t="s">
        <v>22</v>
      </c>
      <c r="L1044" t="s">
        <v>17</v>
      </c>
      <c r="M1044" t="str">
        <f>REPLACE(Transactions!M1044,1,4,"")</f>
        <v>20</v>
      </c>
    </row>
    <row r="1045" spans="1:13" x14ac:dyDescent="0.2">
      <c r="A1045">
        <v>268843</v>
      </c>
      <c r="B1045" s="5">
        <v>44639</v>
      </c>
      <c r="C1045">
        <v>66762</v>
      </c>
      <c r="D1045" t="str">
        <f>PROPER(Transactions!D1045)</f>
        <v>Furniture</v>
      </c>
      <c r="E1045" t="s">
        <v>26</v>
      </c>
      <c r="F1045" t="s">
        <v>27</v>
      </c>
      <c r="G1045">
        <v>1</v>
      </c>
      <c r="H1045">
        <v>26.24</v>
      </c>
      <c r="I1045" s="7">
        <f>IF(Transactions!I1045="",0,Transactions!I1045)</f>
        <v>0.25</v>
      </c>
      <c r="J1045" s="9">
        <f t="shared" si="16"/>
        <v>19.68</v>
      </c>
      <c r="K1045" t="s">
        <v>16</v>
      </c>
      <c r="L1045" t="s">
        <v>37</v>
      </c>
      <c r="M1045" t="str">
        <f>REPLACE(Transactions!M1045,1,4,"")</f>
        <v>10</v>
      </c>
    </row>
    <row r="1046" spans="1:13" x14ac:dyDescent="0.2">
      <c r="A1046">
        <v>268956</v>
      </c>
      <c r="B1046" s="5">
        <v>44650</v>
      </c>
      <c r="D1046" t="str">
        <f>PROPER(Transactions!D1046)</f>
        <v>Beauty</v>
      </c>
      <c r="E1046" t="s">
        <v>109</v>
      </c>
      <c r="F1046" t="s">
        <v>110</v>
      </c>
      <c r="G1046">
        <v>2</v>
      </c>
      <c r="H1046">
        <v>6.99</v>
      </c>
      <c r="I1046" s="7">
        <f>IF(Transactions!I1046="",0,Transactions!I1046)</f>
        <v>0</v>
      </c>
      <c r="J1046" s="9">
        <f t="shared" si="16"/>
        <v>13.98</v>
      </c>
      <c r="K1046" t="s">
        <v>53</v>
      </c>
      <c r="L1046" t="s">
        <v>17</v>
      </c>
      <c r="M1046" t="str">
        <f>REPLACE(Transactions!M1046,1,4,"")</f>
        <v>5</v>
      </c>
    </row>
    <row r="1047" spans="1:13" x14ac:dyDescent="0.2">
      <c r="A1047">
        <v>269156</v>
      </c>
      <c r="B1047" s="5">
        <v>45149</v>
      </c>
      <c r="C1047">
        <v>19734</v>
      </c>
      <c r="D1047" t="str">
        <f>PROPER(Transactions!D1047)</f>
        <v>Home &amp; Garden</v>
      </c>
      <c r="E1047" t="s">
        <v>145</v>
      </c>
      <c r="F1047" t="s">
        <v>146</v>
      </c>
      <c r="G1047">
        <v>1</v>
      </c>
      <c r="H1047">
        <v>14.44</v>
      </c>
      <c r="I1047" s="7">
        <f>IF(Transactions!I1047="",0,Transactions!I1047)</f>
        <v>0.15</v>
      </c>
      <c r="J1047" s="9">
        <f t="shared" si="16"/>
        <v>12.273999999999999</v>
      </c>
      <c r="K1047" t="s">
        <v>36</v>
      </c>
      <c r="L1047" t="s">
        <v>17</v>
      </c>
      <c r="M1047" t="str">
        <f>REPLACE(Transactions!M1047,1,4,"")</f>
        <v>17</v>
      </c>
    </row>
    <row r="1048" spans="1:13" x14ac:dyDescent="0.2">
      <c r="A1048">
        <v>269259</v>
      </c>
      <c r="B1048" s="5">
        <v>44751</v>
      </c>
      <c r="C1048">
        <v>48813</v>
      </c>
      <c r="D1048" t="str">
        <f>PROPER(Transactions!D1048)</f>
        <v>Beauty</v>
      </c>
      <c r="E1048" t="s">
        <v>143</v>
      </c>
      <c r="F1048" t="s">
        <v>144</v>
      </c>
      <c r="G1048">
        <v>4</v>
      </c>
      <c r="H1048">
        <v>10.49</v>
      </c>
      <c r="I1048" s="7">
        <f>IF(Transactions!I1048="",0,Transactions!I1048)</f>
        <v>0.3</v>
      </c>
      <c r="J1048" s="9">
        <f t="shared" si="16"/>
        <v>29.372</v>
      </c>
      <c r="K1048" t="s">
        <v>22</v>
      </c>
      <c r="L1048" t="s">
        <v>17</v>
      </c>
      <c r="M1048" t="str">
        <f>REPLACE(Transactions!M1048,1,4,"")</f>
        <v>13</v>
      </c>
    </row>
    <row r="1049" spans="1:13" x14ac:dyDescent="0.2">
      <c r="A1049">
        <v>269296</v>
      </c>
      <c r="B1049" s="5">
        <v>44950</v>
      </c>
      <c r="C1049">
        <v>19737</v>
      </c>
      <c r="D1049" t="str">
        <f>PROPER(Transactions!D1049)</f>
        <v>Home &amp; Garden</v>
      </c>
      <c r="E1049" t="s">
        <v>86</v>
      </c>
      <c r="F1049" t="s">
        <v>87</v>
      </c>
      <c r="G1049">
        <v>4</v>
      </c>
      <c r="H1049">
        <v>12.99</v>
      </c>
      <c r="I1049" s="7">
        <f>IF(Transactions!I1049="",0,Transactions!I1049)</f>
        <v>0</v>
      </c>
      <c r="J1049" s="9">
        <f t="shared" si="16"/>
        <v>51.96</v>
      </c>
      <c r="K1049" t="s">
        <v>16</v>
      </c>
      <c r="L1049" t="s">
        <v>17</v>
      </c>
      <c r="M1049" t="str">
        <f>REPLACE(Transactions!M1049,1,4,"")</f>
        <v>16</v>
      </c>
    </row>
    <row r="1050" spans="1:13" x14ac:dyDescent="0.2">
      <c r="A1050">
        <v>269466</v>
      </c>
      <c r="B1050" s="5">
        <v>45179</v>
      </c>
      <c r="C1050">
        <v>10759</v>
      </c>
      <c r="D1050" t="str">
        <f>PROPER(Transactions!D1050)</f>
        <v>Automotive</v>
      </c>
      <c r="E1050" t="s">
        <v>64</v>
      </c>
      <c r="F1050" t="s">
        <v>65</v>
      </c>
      <c r="G1050">
        <v>1</v>
      </c>
      <c r="H1050">
        <v>4.99</v>
      </c>
      <c r="I1050" s="7">
        <f>IF(Transactions!I1050="",0,Transactions!I1050)</f>
        <v>0</v>
      </c>
      <c r="J1050" s="9">
        <f t="shared" si="16"/>
        <v>4.99</v>
      </c>
      <c r="K1050" t="s">
        <v>36</v>
      </c>
      <c r="L1050" t="s">
        <v>17</v>
      </c>
      <c r="M1050" t="str">
        <f>REPLACE(Transactions!M1050,1,4,"")</f>
        <v>13</v>
      </c>
    </row>
    <row r="1051" spans="1:13" x14ac:dyDescent="0.2">
      <c r="A1051">
        <v>269633</v>
      </c>
      <c r="B1051" s="5">
        <v>45210</v>
      </c>
      <c r="C1051">
        <v>98179</v>
      </c>
      <c r="D1051" t="str">
        <f>PROPER(Transactions!D1051)</f>
        <v>Beauty</v>
      </c>
      <c r="E1051" t="s">
        <v>143</v>
      </c>
      <c r="F1051" t="s">
        <v>144</v>
      </c>
      <c r="G1051">
        <v>4</v>
      </c>
      <c r="H1051">
        <v>11.24</v>
      </c>
      <c r="I1051" s="7">
        <f>IF(Transactions!I1051="",0,Transactions!I1051)</f>
        <v>0.25</v>
      </c>
      <c r="J1051" s="9">
        <f t="shared" si="16"/>
        <v>33.72</v>
      </c>
      <c r="K1051" t="s">
        <v>36</v>
      </c>
      <c r="L1051" t="s">
        <v>17</v>
      </c>
      <c r="M1051" t="str">
        <f>REPLACE(Transactions!M1051,1,4,"")</f>
        <v>14</v>
      </c>
    </row>
    <row r="1052" spans="1:13" x14ac:dyDescent="0.2">
      <c r="A1052">
        <v>269999</v>
      </c>
      <c r="B1052" s="5">
        <v>44779</v>
      </c>
      <c r="C1052">
        <v>36798</v>
      </c>
      <c r="D1052" t="str">
        <f>PROPER(Transactions!D1052)</f>
        <v>Grocery</v>
      </c>
      <c r="E1052" t="s">
        <v>93</v>
      </c>
      <c r="F1052" t="s">
        <v>94</v>
      </c>
      <c r="G1052">
        <v>1</v>
      </c>
      <c r="H1052">
        <v>1.29</v>
      </c>
      <c r="I1052" s="7">
        <f>IF(Transactions!I1052="",0,Transactions!I1052)</f>
        <v>0</v>
      </c>
      <c r="J1052" s="9">
        <f t="shared" si="16"/>
        <v>1.29</v>
      </c>
      <c r="K1052" t="s">
        <v>36</v>
      </c>
      <c r="L1052" t="s">
        <v>37</v>
      </c>
      <c r="M1052" t="str">
        <f>REPLACE(Transactions!M1052,1,4,"")</f>
        <v>19</v>
      </c>
    </row>
    <row r="1053" spans="1:13" x14ac:dyDescent="0.2">
      <c r="A1053">
        <v>270312</v>
      </c>
      <c r="B1053" s="5">
        <v>45515</v>
      </c>
      <c r="D1053" t="str">
        <f>PROPER(Transactions!D1053)</f>
        <v>Toys</v>
      </c>
      <c r="E1053" t="s">
        <v>30</v>
      </c>
      <c r="F1053" t="s">
        <v>31</v>
      </c>
      <c r="G1053">
        <v>4</v>
      </c>
      <c r="H1053">
        <v>22.49</v>
      </c>
      <c r="I1053" s="7">
        <f>IF(Transactions!I1053="",0,Transactions!I1053)</f>
        <v>0.1</v>
      </c>
      <c r="J1053" s="9">
        <f t="shared" si="16"/>
        <v>80.963999999999999</v>
      </c>
      <c r="K1053" t="s">
        <v>53</v>
      </c>
      <c r="L1053" t="s">
        <v>23</v>
      </c>
      <c r="M1053" t="str">
        <f>REPLACE(Transactions!M1053,1,4,"")</f>
        <v>3</v>
      </c>
    </row>
    <row r="1054" spans="1:13" x14ac:dyDescent="0.2">
      <c r="A1054">
        <v>270558</v>
      </c>
      <c r="B1054" s="5">
        <v>45192</v>
      </c>
      <c r="C1054">
        <v>96819</v>
      </c>
      <c r="D1054" t="str">
        <f>PROPER(Transactions!D1054)</f>
        <v>Clothing</v>
      </c>
      <c r="E1054" t="s">
        <v>151</v>
      </c>
      <c r="F1054" t="s">
        <v>152</v>
      </c>
      <c r="G1054">
        <v>1</v>
      </c>
      <c r="H1054">
        <v>34.99</v>
      </c>
      <c r="I1054" s="7">
        <f>IF(Transactions!I1054="",0,Transactions!I1054)</f>
        <v>0</v>
      </c>
      <c r="J1054" s="9">
        <f t="shared" si="16"/>
        <v>34.99</v>
      </c>
      <c r="K1054" t="s">
        <v>36</v>
      </c>
      <c r="L1054" t="s">
        <v>37</v>
      </c>
      <c r="M1054" t="str">
        <f>REPLACE(Transactions!M1054,1,4,"")</f>
        <v>20</v>
      </c>
    </row>
    <row r="1055" spans="1:13" x14ac:dyDescent="0.2">
      <c r="A1055">
        <v>270595</v>
      </c>
      <c r="B1055" s="5">
        <v>45397</v>
      </c>
      <c r="C1055">
        <v>56887</v>
      </c>
      <c r="D1055" t="str">
        <f>PROPER(Transactions!D1055)</f>
        <v>Pharmacy</v>
      </c>
      <c r="E1055" t="s">
        <v>197</v>
      </c>
      <c r="F1055" t="s">
        <v>198</v>
      </c>
      <c r="G1055">
        <v>1</v>
      </c>
      <c r="H1055">
        <v>10.49</v>
      </c>
      <c r="I1055" s="7">
        <f>IF(Transactions!I1055="",0,Transactions!I1055)</f>
        <v>0.3</v>
      </c>
      <c r="J1055" s="9">
        <f t="shared" si="16"/>
        <v>7.343</v>
      </c>
      <c r="K1055" t="s">
        <v>16</v>
      </c>
      <c r="L1055" t="s">
        <v>37</v>
      </c>
      <c r="M1055" t="str">
        <f>REPLACE(Transactions!M1055,1,4,"")</f>
        <v>12</v>
      </c>
    </row>
    <row r="1056" spans="1:13" x14ac:dyDescent="0.2">
      <c r="A1056">
        <v>270711</v>
      </c>
      <c r="B1056" s="5">
        <v>44765</v>
      </c>
      <c r="C1056">
        <v>50787</v>
      </c>
      <c r="D1056" t="str">
        <f>PROPER(Transactions!D1056)</f>
        <v>Furniture</v>
      </c>
      <c r="E1056" t="s">
        <v>70</v>
      </c>
      <c r="F1056" t="s">
        <v>71</v>
      </c>
      <c r="G1056">
        <v>4</v>
      </c>
      <c r="H1056">
        <v>89.99</v>
      </c>
      <c r="I1056" s="7">
        <f>IF(Transactions!I1056="",0,Transactions!I1056)</f>
        <v>0</v>
      </c>
      <c r="J1056" s="9">
        <f t="shared" si="16"/>
        <v>359.96</v>
      </c>
      <c r="K1056" t="s">
        <v>53</v>
      </c>
      <c r="L1056" t="s">
        <v>17</v>
      </c>
      <c r="M1056" t="str">
        <f>REPLACE(Transactions!M1056,1,4,"")</f>
        <v>20</v>
      </c>
    </row>
    <row r="1057" spans="1:13" x14ac:dyDescent="0.2">
      <c r="A1057">
        <v>270757</v>
      </c>
      <c r="B1057" s="5">
        <v>45611</v>
      </c>
      <c r="C1057">
        <v>27759</v>
      </c>
      <c r="D1057" t="str">
        <f>PROPER(Transactions!D1057)</f>
        <v>Pharmacy</v>
      </c>
      <c r="E1057" t="s">
        <v>20</v>
      </c>
      <c r="F1057" t="s">
        <v>21</v>
      </c>
      <c r="G1057">
        <v>4</v>
      </c>
      <c r="H1057">
        <v>9.99</v>
      </c>
      <c r="I1057" s="7">
        <f>IF(Transactions!I1057="",0,Transactions!I1057)</f>
        <v>0</v>
      </c>
      <c r="J1057" s="9">
        <f t="shared" si="16"/>
        <v>39.96</v>
      </c>
      <c r="K1057" t="s">
        <v>36</v>
      </c>
      <c r="L1057" t="s">
        <v>17</v>
      </c>
      <c r="M1057" t="str">
        <f>REPLACE(Transactions!M1057,1,4,"")</f>
        <v>11</v>
      </c>
    </row>
    <row r="1058" spans="1:13" x14ac:dyDescent="0.2">
      <c r="A1058">
        <v>270922</v>
      </c>
      <c r="B1058" s="5">
        <v>45504</v>
      </c>
      <c r="D1058" t="str">
        <f>PROPER(Transactions!D1058)</f>
        <v>Furniture</v>
      </c>
      <c r="E1058" t="s">
        <v>51</v>
      </c>
      <c r="F1058" t="s">
        <v>52</v>
      </c>
      <c r="G1058">
        <v>1</v>
      </c>
      <c r="H1058">
        <v>27.99</v>
      </c>
      <c r="I1058" s="7">
        <f>IF(Transactions!I1058="",0,Transactions!I1058)</f>
        <v>0</v>
      </c>
      <c r="J1058" s="9">
        <f t="shared" si="16"/>
        <v>27.99</v>
      </c>
      <c r="K1058" t="s">
        <v>36</v>
      </c>
      <c r="L1058" t="s">
        <v>37</v>
      </c>
      <c r="M1058" t="str">
        <f>REPLACE(Transactions!M1058,1,4,"")</f>
        <v>16</v>
      </c>
    </row>
    <row r="1059" spans="1:13" x14ac:dyDescent="0.2">
      <c r="A1059">
        <v>270956</v>
      </c>
      <c r="B1059" s="5">
        <v>45254</v>
      </c>
      <c r="C1059">
        <v>81234</v>
      </c>
      <c r="D1059" t="str">
        <f>PROPER(Transactions!D1059)</f>
        <v>Automotive</v>
      </c>
      <c r="E1059" t="s">
        <v>111</v>
      </c>
      <c r="F1059" t="s">
        <v>112</v>
      </c>
      <c r="G1059">
        <v>1</v>
      </c>
      <c r="H1059">
        <v>14.99</v>
      </c>
      <c r="I1059" s="7">
        <f>IF(Transactions!I1059="",0,Transactions!I1059)</f>
        <v>0</v>
      </c>
      <c r="J1059" s="9">
        <f t="shared" si="16"/>
        <v>14.99</v>
      </c>
      <c r="K1059" t="s">
        <v>36</v>
      </c>
      <c r="L1059" t="s">
        <v>37</v>
      </c>
      <c r="M1059" t="str">
        <f>REPLACE(Transactions!M1059,1,4,"")</f>
        <v/>
      </c>
    </row>
    <row r="1060" spans="1:13" x14ac:dyDescent="0.2">
      <c r="A1060">
        <v>271245</v>
      </c>
      <c r="B1060" s="5">
        <v>44833</v>
      </c>
      <c r="C1060">
        <v>61158</v>
      </c>
      <c r="D1060" t="str">
        <f>PROPER(Transactions!D1060)</f>
        <v>Automotive</v>
      </c>
      <c r="E1060" t="s">
        <v>131</v>
      </c>
      <c r="F1060" t="s">
        <v>132</v>
      </c>
      <c r="G1060">
        <v>1</v>
      </c>
      <c r="H1060">
        <v>3.49</v>
      </c>
      <c r="I1060" s="7">
        <f>IF(Transactions!I1060="",0,Transactions!I1060)</f>
        <v>0</v>
      </c>
      <c r="J1060" s="9">
        <f t="shared" si="16"/>
        <v>3.49</v>
      </c>
      <c r="K1060" t="s">
        <v>16</v>
      </c>
      <c r="L1060" t="s">
        <v>17</v>
      </c>
      <c r="M1060" t="str">
        <f>REPLACE(Transactions!M1060,1,4,"")</f>
        <v>20</v>
      </c>
    </row>
    <row r="1061" spans="1:13" x14ac:dyDescent="0.2">
      <c r="A1061">
        <v>271252</v>
      </c>
      <c r="B1061" s="5">
        <v>45084</v>
      </c>
      <c r="C1061">
        <v>65750</v>
      </c>
      <c r="D1061" t="str">
        <f>PROPER(Transactions!D1061)</f>
        <v>Furniture</v>
      </c>
      <c r="E1061" t="s">
        <v>60</v>
      </c>
      <c r="F1061" t="s">
        <v>61</v>
      </c>
      <c r="G1061">
        <v>2</v>
      </c>
      <c r="H1061">
        <v>49.49</v>
      </c>
      <c r="I1061" s="7">
        <f>IF(Transactions!I1061="",0,Transactions!I1061)</f>
        <v>0.1</v>
      </c>
      <c r="J1061" s="9">
        <f t="shared" si="16"/>
        <v>89.082000000000008</v>
      </c>
      <c r="K1061" t="s">
        <v>16</v>
      </c>
      <c r="L1061" t="s">
        <v>17</v>
      </c>
      <c r="M1061" t="str">
        <f>REPLACE(Transactions!M1061,1,4,"")</f>
        <v>8</v>
      </c>
    </row>
    <row r="1062" spans="1:13" x14ac:dyDescent="0.2">
      <c r="A1062">
        <v>271306</v>
      </c>
      <c r="B1062" s="5">
        <v>45250</v>
      </c>
      <c r="C1062">
        <v>26091</v>
      </c>
      <c r="D1062" t="str">
        <f>PROPER(Transactions!D1062)</f>
        <v>Toys</v>
      </c>
      <c r="E1062" t="s">
        <v>72</v>
      </c>
      <c r="F1062" t="s">
        <v>73</v>
      </c>
      <c r="G1062">
        <v>1</v>
      </c>
      <c r="H1062">
        <v>33.99</v>
      </c>
      <c r="I1062" s="7">
        <f>IF(Transactions!I1062="",0,Transactions!I1062)</f>
        <v>0.15</v>
      </c>
      <c r="J1062" s="9">
        <f t="shared" si="16"/>
        <v>28.891500000000001</v>
      </c>
      <c r="K1062" t="s">
        <v>16</v>
      </c>
      <c r="L1062" t="s">
        <v>17</v>
      </c>
      <c r="M1062" t="str">
        <f>REPLACE(Transactions!M1062,1,4,"")</f>
        <v>5</v>
      </c>
    </row>
    <row r="1063" spans="1:13" x14ac:dyDescent="0.2">
      <c r="A1063">
        <v>271578</v>
      </c>
      <c r="B1063" s="5">
        <v>44745</v>
      </c>
      <c r="C1063">
        <v>38445</v>
      </c>
      <c r="D1063" t="str">
        <f>PROPER(Transactions!D1063)</f>
        <v>Electronics</v>
      </c>
      <c r="E1063" t="s">
        <v>34</v>
      </c>
      <c r="F1063" t="s">
        <v>35</v>
      </c>
      <c r="G1063">
        <v>2</v>
      </c>
      <c r="H1063">
        <v>29.74</v>
      </c>
      <c r="I1063" s="7">
        <f>IF(Transactions!I1063="",0,Transactions!I1063)</f>
        <v>0</v>
      </c>
      <c r="J1063" s="9">
        <f t="shared" si="16"/>
        <v>59.48</v>
      </c>
      <c r="K1063" t="s">
        <v>22</v>
      </c>
      <c r="L1063" t="s">
        <v>17</v>
      </c>
      <c r="M1063" t="str">
        <f>REPLACE(Transactions!M1063,1,4,"")</f>
        <v>11</v>
      </c>
    </row>
    <row r="1064" spans="1:13" x14ac:dyDescent="0.2">
      <c r="A1064">
        <v>271695</v>
      </c>
      <c r="B1064" s="5">
        <v>44679</v>
      </c>
      <c r="C1064">
        <v>94405</v>
      </c>
      <c r="D1064" t="str">
        <f>PROPER(Transactions!D1064)</f>
        <v>Clothing</v>
      </c>
      <c r="E1064" t="s">
        <v>141</v>
      </c>
      <c r="F1064" t="s">
        <v>142</v>
      </c>
      <c r="G1064">
        <v>5</v>
      </c>
      <c r="H1064">
        <v>22.99</v>
      </c>
      <c r="I1064" s="7">
        <f>IF(Transactions!I1064="",0,Transactions!I1064)</f>
        <v>0</v>
      </c>
      <c r="J1064" s="9">
        <f t="shared" si="16"/>
        <v>114.94999999999999</v>
      </c>
      <c r="K1064" t="s">
        <v>95</v>
      </c>
      <c r="L1064" t="s">
        <v>37</v>
      </c>
      <c r="M1064" t="str">
        <f>REPLACE(Transactions!M1064,1,4,"")</f>
        <v>17</v>
      </c>
    </row>
    <row r="1065" spans="1:13" x14ac:dyDescent="0.2">
      <c r="A1065">
        <v>271930</v>
      </c>
      <c r="B1065" s="5">
        <v>45241</v>
      </c>
      <c r="C1065">
        <v>73474</v>
      </c>
      <c r="D1065" t="str">
        <f>PROPER(Transactions!D1065)</f>
        <v>Grocery</v>
      </c>
      <c r="E1065" t="s">
        <v>184</v>
      </c>
      <c r="F1065" t="s">
        <v>185</v>
      </c>
      <c r="G1065">
        <v>2</v>
      </c>
      <c r="H1065">
        <v>4.9400000000000004</v>
      </c>
      <c r="I1065" s="7">
        <f>IF(Transactions!I1065="",0,Transactions!I1065)</f>
        <v>0.1</v>
      </c>
      <c r="J1065" s="9">
        <f t="shared" si="16"/>
        <v>8.8920000000000012</v>
      </c>
      <c r="K1065" t="s">
        <v>53</v>
      </c>
      <c r="L1065" t="s">
        <v>17</v>
      </c>
      <c r="M1065" t="str">
        <f>REPLACE(Transactions!M1065,1,4,"")</f>
        <v>15</v>
      </c>
    </row>
    <row r="1066" spans="1:13" x14ac:dyDescent="0.2">
      <c r="A1066">
        <v>272378</v>
      </c>
      <c r="B1066" s="5">
        <v>45381</v>
      </c>
      <c r="C1066">
        <v>61364</v>
      </c>
      <c r="D1066" t="str">
        <f>PROPER(Transactions!D1066)</f>
        <v>Furniture</v>
      </c>
      <c r="E1066" t="s">
        <v>70</v>
      </c>
      <c r="F1066" t="s">
        <v>71</v>
      </c>
      <c r="G1066">
        <v>5</v>
      </c>
      <c r="H1066">
        <v>67.489999999999995</v>
      </c>
      <c r="I1066" s="7">
        <f>IF(Transactions!I1066="",0,Transactions!I1066)</f>
        <v>0.25</v>
      </c>
      <c r="J1066" s="9">
        <f t="shared" si="16"/>
        <v>253.08749999999998</v>
      </c>
      <c r="K1066" t="s">
        <v>16</v>
      </c>
      <c r="L1066" t="s">
        <v>17</v>
      </c>
      <c r="M1066" t="str">
        <f>REPLACE(Transactions!M1066,1,4,"")</f>
        <v>6</v>
      </c>
    </row>
    <row r="1067" spans="1:13" x14ac:dyDescent="0.2">
      <c r="A1067">
        <v>272830</v>
      </c>
      <c r="B1067" s="5">
        <v>45203</v>
      </c>
      <c r="C1067">
        <v>45378</v>
      </c>
      <c r="D1067" t="str">
        <f>PROPER(Transactions!D1067)</f>
        <v>Clothing</v>
      </c>
      <c r="E1067" t="s">
        <v>181</v>
      </c>
      <c r="F1067" t="s">
        <v>182</v>
      </c>
      <c r="G1067">
        <v>4</v>
      </c>
      <c r="H1067">
        <v>11.99</v>
      </c>
      <c r="I1067" s="7">
        <f>IF(Transactions!I1067="",0,Transactions!I1067)</f>
        <v>0.2</v>
      </c>
      <c r="J1067" s="9">
        <f t="shared" si="16"/>
        <v>38.368000000000002</v>
      </c>
      <c r="K1067" t="s">
        <v>36</v>
      </c>
      <c r="L1067" t="s">
        <v>17</v>
      </c>
      <c r="M1067" t="str">
        <f>REPLACE(Transactions!M1067,1,4,"")</f>
        <v>19</v>
      </c>
    </row>
    <row r="1068" spans="1:13" x14ac:dyDescent="0.2">
      <c r="A1068">
        <v>272947</v>
      </c>
      <c r="B1068" s="5">
        <v>45138</v>
      </c>
      <c r="D1068" t="str">
        <f>PROPER(Transactions!D1068)</f>
        <v>Furniture</v>
      </c>
      <c r="E1068" t="s">
        <v>26</v>
      </c>
      <c r="F1068" t="s">
        <v>27</v>
      </c>
      <c r="G1068">
        <v>2</v>
      </c>
      <c r="H1068">
        <v>27.99</v>
      </c>
      <c r="I1068" s="7">
        <f>IF(Transactions!I1068="",0,Transactions!I1068)</f>
        <v>0.2</v>
      </c>
      <c r="J1068" s="9">
        <f t="shared" si="16"/>
        <v>44.783999999999999</v>
      </c>
      <c r="K1068" t="s">
        <v>95</v>
      </c>
      <c r="L1068" t="s">
        <v>17</v>
      </c>
      <c r="M1068" t="str">
        <f>REPLACE(Transactions!M1068,1,4,"")</f>
        <v>7</v>
      </c>
    </row>
    <row r="1069" spans="1:13" x14ac:dyDescent="0.2">
      <c r="A1069">
        <v>273329</v>
      </c>
      <c r="B1069" s="5">
        <v>45570</v>
      </c>
      <c r="C1069">
        <v>69302</v>
      </c>
      <c r="D1069" t="str">
        <f>PROPER(Transactions!D1069)</f>
        <v>Automotive</v>
      </c>
      <c r="E1069" t="s">
        <v>125</v>
      </c>
      <c r="F1069" t="s">
        <v>126</v>
      </c>
      <c r="G1069">
        <v>4</v>
      </c>
      <c r="H1069">
        <v>26.99</v>
      </c>
      <c r="I1069" s="7">
        <f>IF(Transactions!I1069="",0,Transactions!I1069)</f>
        <v>0.1</v>
      </c>
      <c r="J1069" s="9">
        <f t="shared" si="16"/>
        <v>97.164000000000001</v>
      </c>
      <c r="K1069" t="s">
        <v>36</v>
      </c>
      <c r="L1069" t="s">
        <v>37</v>
      </c>
      <c r="M1069" t="str">
        <f>REPLACE(Transactions!M1069,1,4,"")</f>
        <v>1</v>
      </c>
    </row>
    <row r="1070" spans="1:13" x14ac:dyDescent="0.2">
      <c r="A1070">
        <v>273518</v>
      </c>
      <c r="B1070" s="5">
        <v>45420</v>
      </c>
      <c r="C1070">
        <v>11779</v>
      </c>
      <c r="D1070" t="str">
        <f>PROPER(Transactions!D1070)</f>
        <v>Grocery</v>
      </c>
      <c r="E1070" t="s">
        <v>133</v>
      </c>
      <c r="F1070" t="s">
        <v>134</v>
      </c>
      <c r="G1070">
        <v>5</v>
      </c>
      <c r="H1070">
        <v>3.79</v>
      </c>
      <c r="I1070" s="7">
        <f>IF(Transactions!I1070="",0,Transactions!I1070)</f>
        <v>0</v>
      </c>
      <c r="J1070" s="9">
        <f t="shared" si="16"/>
        <v>18.95</v>
      </c>
      <c r="K1070" t="s">
        <v>36</v>
      </c>
      <c r="L1070" t="s">
        <v>37</v>
      </c>
      <c r="M1070" t="str">
        <f>REPLACE(Transactions!M1070,1,4,"")</f>
        <v>17</v>
      </c>
    </row>
    <row r="1071" spans="1:13" x14ac:dyDescent="0.2">
      <c r="A1071">
        <v>273611</v>
      </c>
      <c r="B1071" s="5">
        <v>45306</v>
      </c>
      <c r="C1071">
        <v>92953</v>
      </c>
      <c r="D1071" t="str">
        <f>PROPER(Transactions!D1071)</f>
        <v>Beauty</v>
      </c>
      <c r="E1071" t="s">
        <v>139</v>
      </c>
      <c r="F1071" t="s">
        <v>140</v>
      </c>
      <c r="G1071">
        <v>3</v>
      </c>
      <c r="H1071">
        <v>5.99</v>
      </c>
      <c r="I1071" s="7">
        <f>IF(Transactions!I1071="",0,Transactions!I1071)</f>
        <v>0.25</v>
      </c>
      <c r="J1071" s="9">
        <f t="shared" si="16"/>
        <v>13.477499999999999</v>
      </c>
      <c r="K1071" t="s">
        <v>36</v>
      </c>
      <c r="L1071" t="s">
        <v>17</v>
      </c>
      <c r="M1071" t="str">
        <f>REPLACE(Transactions!M1071,1,4,"")</f>
        <v>6</v>
      </c>
    </row>
    <row r="1072" spans="1:13" x14ac:dyDescent="0.2">
      <c r="A1072">
        <v>273814</v>
      </c>
      <c r="B1072" s="5">
        <v>45194</v>
      </c>
      <c r="C1072">
        <v>58177</v>
      </c>
      <c r="D1072" t="str">
        <f>PROPER(Transactions!D1072)</f>
        <v>Toys</v>
      </c>
      <c r="E1072" t="s">
        <v>72</v>
      </c>
      <c r="F1072" t="s">
        <v>73</v>
      </c>
      <c r="G1072">
        <v>1</v>
      </c>
      <c r="H1072">
        <v>35.99</v>
      </c>
      <c r="I1072" s="7">
        <f>IF(Transactions!I1072="",0,Transactions!I1072)</f>
        <v>0</v>
      </c>
      <c r="J1072" s="9">
        <f t="shared" si="16"/>
        <v>35.99</v>
      </c>
      <c r="K1072" t="s">
        <v>36</v>
      </c>
      <c r="L1072" t="s">
        <v>23</v>
      </c>
      <c r="M1072" t="str">
        <f>REPLACE(Transactions!M1072,1,4,"")</f>
        <v>2</v>
      </c>
    </row>
    <row r="1073" spans="1:13" x14ac:dyDescent="0.2">
      <c r="A1073">
        <v>273815</v>
      </c>
      <c r="B1073" s="5">
        <v>45347</v>
      </c>
      <c r="C1073">
        <v>55773</v>
      </c>
      <c r="D1073" t="str">
        <f>PROPER(Transactions!D1073)</f>
        <v>Grocery</v>
      </c>
      <c r="E1073" t="s">
        <v>91</v>
      </c>
      <c r="F1073" t="s">
        <v>92</v>
      </c>
      <c r="G1073">
        <v>3</v>
      </c>
      <c r="H1073">
        <v>5.66</v>
      </c>
      <c r="I1073" s="7">
        <f>IF(Transactions!I1073="",0,Transactions!I1073)</f>
        <v>0.1</v>
      </c>
      <c r="J1073" s="9">
        <f t="shared" si="16"/>
        <v>15.282</v>
      </c>
      <c r="K1073" t="s">
        <v>16</v>
      </c>
      <c r="L1073" t="s">
        <v>17</v>
      </c>
      <c r="M1073" t="str">
        <f>REPLACE(Transactions!M1073,1,4,"")</f>
        <v>19</v>
      </c>
    </row>
    <row r="1074" spans="1:13" x14ac:dyDescent="0.2">
      <c r="A1074">
        <v>273936</v>
      </c>
      <c r="B1074" s="5">
        <v>44923</v>
      </c>
      <c r="C1074">
        <v>93500</v>
      </c>
      <c r="D1074" t="str">
        <f>PROPER(Transactions!D1074)</f>
        <v>Automotive</v>
      </c>
      <c r="E1074" t="s">
        <v>64</v>
      </c>
      <c r="F1074" t="s">
        <v>65</v>
      </c>
      <c r="G1074">
        <v>1</v>
      </c>
      <c r="H1074">
        <v>4.99</v>
      </c>
      <c r="I1074" s="7">
        <f>IF(Transactions!I1074="",0,Transactions!I1074)</f>
        <v>0</v>
      </c>
      <c r="J1074" s="9">
        <f t="shared" si="16"/>
        <v>4.99</v>
      </c>
      <c r="K1074" t="s">
        <v>16</v>
      </c>
      <c r="L1074" t="s">
        <v>17</v>
      </c>
      <c r="M1074" t="str">
        <f>REPLACE(Transactions!M1074,1,4,"")</f>
        <v>20</v>
      </c>
    </row>
    <row r="1075" spans="1:13" x14ac:dyDescent="0.2">
      <c r="A1075">
        <v>273962</v>
      </c>
      <c r="B1075" s="5">
        <v>44773</v>
      </c>
      <c r="C1075">
        <v>49228</v>
      </c>
      <c r="D1075" t="str">
        <f>PROPER(Transactions!D1075)</f>
        <v>Automotive</v>
      </c>
      <c r="E1075" t="s">
        <v>68</v>
      </c>
      <c r="F1075" t="s">
        <v>69</v>
      </c>
      <c r="G1075">
        <v>2</v>
      </c>
      <c r="H1075">
        <v>24.99</v>
      </c>
      <c r="I1075" s="7">
        <f>IF(Transactions!I1075="",0,Transactions!I1075)</f>
        <v>0</v>
      </c>
      <c r="J1075" s="9">
        <f t="shared" si="16"/>
        <v>49.98</v>
      </c>
      <c r="K1075" t="s">
        <v>36</v>
      </c>
      <c r="L1075" t="s">
        <v>17</v>
      </c>
      <c r="M1075" t="str">
        <f>REPLACE(Transactions!M1075,1,4,"")</f>
        <v>12</v>
      </c>
    </row>
    <row r="1076" spans="1:13" x14ac:dyDescent="0.2">
      <c r="A1076">
        <v>273998</v>
      </c>
      <c r="B1076" s="5">
        <v>45212</v>
      </c>
      <c r="C1076">
        <v>39734</v>
      </c>
      <c r="D1076" t="str">
        <f>PROPER(Transactions!D1076)</f>
        <v>Automotive</v>
      </c>
      <c r="E1076" t="s">
        <v>125</v>
      </c>
      <c r="F1076" t="s">
        <v>126</v>
      </c>
      <c r="G1076">
        <v>3</v>
      </c>
      <c r="H1076">
        <v>28.49</v>
      </c>
      <c r="I1076" s="7">
        <f>IF(Transactions!I1076="",0,Transactions!I1076)</f>
        <v>0.05</v>
      </c>
      <c r="J1076" s="9">
        <f t="shared" si="16"/>
        <v>81.1965</v>
      </c>
      <c r="K1076" t="s">
        <v>16</v>
      </c>
      <c r="L1076" t="s">
        <v>37</v>
      </c>
      <c r="M1076" t="str">
        <f>REPLACE(Transactions!M1076,1,4,"")</f>
        <v>18</v>
      </c>
    </row>
    <row r="1077" spans="1:13" x14ac:dyDescent="0.2">
      <c r="A1077">
        <v>274112</v>
      </c>
      <c r="B1077" s="5">
        <v>45339</v>
      </c>
      <c r="C1077">
        <v>45896</v>
      </c>
      <c r="D1077" t="str">
        <f>PROPER(Transactions!D1077)</f>
        <v>Home &amp; Garden</v>
      </c>
      <c r="E1077" t="s">
        <v>137</v>
      </c>
      <c r="F1077" t="s">
        <v>138</v>
      </c>
      <c r="G1077">
        <v>2</v>
      </c>
      <c r="H1077">
        <v>7.99</v>
      </c>
      <c r="I1077" s="7">
        <f>IF(Transactions!I1077="",0,Transactions!I1077)</f>
        <v>0</v>
      </c>
      <c r="J1077" s="9">
        <f t="shared" si="16"/>
        <v>15.98</v>
      </c>
      <c r="K1077" t="s">
        <v>95</v>
      </c>
      <c r="L1077" t="s">
        <v>37</v>
      </c>
      <c r="M1077" t="str">
        <f>REPLACE(Transactions!M1077,1,4,"")</f>
        <v>15</v>
      </c>
    </row>
    <row r="1078" spans="1:13" x14ac:dyDescent="0.2">
      <c r="A1078">
        <v>274309</v>
      </c>
      <c r="B1078" s="5">
        <v>44920</v>
      </c>
      <c r="C1078">
        <v>79823</v>
      </c>
      <c r="D1078" t="str">
        <f>PROPER(Transactions!D1078)</f>
        <v>Automotive</v>
      </c>
      <c r="E1078" t="s">
        <v>64</v>
      </c>
      <c r="F1078" t="s">
        <v>65</v>
      </c>
      <c r="G1078">
        <v>1</v>
      </c>
      <c r="H1078">
        <v>4.74</v>
      </c>
      <c r="I1078" s="7">
        <f>IF(Transactions!I1078="",0,Transactions!I1078)</f>
        <v>0.05</v>
      </c>
      <c r="J1078" s="9">
        <f t="shared" si="16"/>
        <v>4.5030000000000001</v>
      </c>
      <c r="K1078" t="s">
        <v>22</v>
      </c>
      <c r="L1078" t="s">
        <v>23</v>
      </c>
      <c r="M1078" t="str">
        <f>REPLACE(Transactions!M1078,1,4,"")</f>
        <v>15</v>
      </c>
    </row>
    <row r="1079" spans="1:13" x14ac:dyDescent="0.2">
      <c r="A1079">
        <v>274418</v>
      </c>
      <c r="B1079" s="5">
        <v>45352</v>
      </c>
      <c r="C1079">
        <v>81568</v>
      </c>
      <c r="D1079" t="str">
        <f>PROPER(Transactions!D1079)</f>
        <v>Clothing</v>
      </c>
      <c r="E1079" t="s">
        <v>151</v>
      </c>
      <c r="F1079" t="s">
        <v>152</v>
      </c>
      <c r="G1079">
        <v>3</v>
      </c>
      <c r="H1079">
        <v>26.24</v>
      </c>
      <c r="I1079" s="7">
        <f>IF(Transactions!I1079="",0,Transactions!I1079)</f>
        <v>0.25</v>
      </c>
      <c r="J1079" s="9">
        <f t="shared" si="16"/>
        <v>59.04</v>
      </c>
      <c r="K1079" t="s">
        <v>36</v>
      </c>
      <c r="L1079" t="s">
        <v>17</v>
      </c>
      <c r="M1079" t="str">
        <f>REPLACE(Transactions!M1079,1,4,"")</f>
        <v>18</v>
      </c>
    </row>
    <row r="1080" spans="1:13" x14ac:dyDescent="0.2">
      <c r="A1080">
        <v>274467</v>
      </c>
      <c r="B1080" s="5">
        <v>45382</v>
      </c>
      <c r="C1080">
        <v>78692</v>
      </c>
      <c r="D1080" t="str">
        <f>PROPER(Transactions!D1080)</f>
        <v>Beauty</v>
      </c>
      <c r="E1080" t="s">
        <v>49</v>
      </c>
      <c r="F1080" t="s">
        <v>50</v>
      </c>
      <c r="G1080">
        <v>1</v>
      </c>
      <c r="H1080">
        <v>8.99</v>
      </c>
      <c r="I1080" s="7">
        <f>IF(Transactions!I1080="",0,Transactions!I1080)</f>
        <v>0</v>
      </c>
      <c r="J1080" s="9">
        <f t="shared" si="16"/>
        <v>8.99</v>
      </c>
      <c r="K1080" t="s">
        <v>95</v>
      </c>
      <c r="L1080" t="s">
        <v>37</v>
      </c>
      <c r="M1080" t="str">
        <f>REPLACE(Transactions!M1080,1,4,"")</f>
        <v>8</v>
      </c>
    </row>
    <row r="1081" spans="1:13" x14ac:dyDescent="0.2">
      <c r="A1081">
        <v>274611</v>
      </c>
      <c r="B1081" s="5">
        <v>45281</v>
      </c>
      <c r="C1081">
        <v>52826</v>
      </c>
      <c r="D1081" t="str">
        <f>PROPER(Transactions!D1081)</f>
        <v>Furniture</v>
      </c>
      <c r="E1081" t="s">
        <v>51</v>
      </c>
      <c r="F1081" t="s">
        <v>52</v>
      </c>
      <c r="G1081">
        <v>1</v>
      </c>
      <c r="H1081">
        <v>27.99</v>
      </c>
      <c r="I1081" s="7">
        <f>IF(Transactions!I1081="",0,Transactions!I1081)</f>
        <v>0</v>
      </c>
      <c r="J1081" s="9">
        <f t="shared" si="16"/>
        <v>27.99</v>
      </c>
      <c r="K1081" t="s">
        <v>36</v>
      </c>
      <c r="L1081" t="s">
        <v>17</v>
      </c>
      <c r="M1081" t="str">
        <f>REPLACE(Transactions!M1081,1,4,"")</f>
        <v>11</v>
      </c>
    </row>
    <row r="1082" spans="1:13" x14ac:dyDescent="0.2">
      <c r="A1082">
        <v>274778</v>
      </c>
      <c r="B1082" s="5">
        <v>45021</v>
      </c>
      <c r="C1082">
        <v>81070</v>
      </c>
      <c r="D1082" t="str">
        <f>PROPER(Transactions!D1082)</f>
        <v>Beauty</v>
      </c>
      <c r="E1082" t="s">
        <v>179</v>
      </c>
      <c r="F1082" t="s">
        <v>180</v>
      </c>
      <c r="G1082">
        <v>1</v>
      </c>
      <c r="H1082">
        <v>8.39</v>
      </c>
      <c r="I1082" s="7">
        <f>IF(Transactions!I1082="",0,Transactions!I1082)</f>
        <v>0.3</v>
      </c>
      <c r="J1082" s="9">
        <f t="shared" si="16"/>
        <v>5.8730000000000002</v>
      </c>
      <c r="K1082" t="s">
        <v>22</v>
      </c>
      <c r="L1082" t="s">
        <v>37</v>
      </c>
      <c r="M1082" t="str">
        <f>REPLACE(Transactions!M1082,1,4,"")</f>
        <v>10</v>
      </c>
    </row>
    <row r="1083" spans="1:13" x14ac:dyDescent="0.2">
      <c r="A1083">
        <v>275083</v>
      </c>
      <c r="B1083" s="5">
        <v>45117</v>
      </c>
      <c r="C1083">
        <v>35601</v>
      </c>
      <c r="D1083" t="str">
        <f>PROPER(Transactions!D1083)</f>
        <v>Furniture</v>
      </c>
      <c r="E1083" t="s">
        <v>60</v>
      </c>
      <c r="F1083" t="s">
        <v>61</v>
      </c>
      <c r="G1083">
        <v>4</v>
      </c>
      <c r="H1083">
        <v>54.99</v>
      </c>
      <c r="I1083" s="7">
        <f>IF(Transactions!I1083="",0,Transactions!I1083)</f>
        <v>0</v>
      </c>
      <c r="J1083" s="9">
        <f t="shared" si="16"/>
        <v>219.96</v>
      </c>
      <c r="K1083" t="s">
        <v>36</v>
      </c>
      <c r="L1083" t="s">
        <v>17</v>
      </c>
      <c r="M1083" t="str">
        <f>REPLACE(Transactions!M1083,1,4,"")</f>
        <v>11</v>
      </c>
    </row>
    <row r="1084" spans="1:13" x14ac:dyDescent="0.2">
      <c r="A1084">
        <v>275211</v>
      </c>
      <c r="B1084" s="5">
        <v>45074</v>
      </c>
      <c r="C1084">
        <v>17756</v>
      </c>
      <c r="D1084" t="str">
        <f>PROPER(Transactions!D1084)</f>
        <v>Toys</v>
      </c>
      <c r="E1084" t="s">
        <v>175</v>
      </c>
      <c r="F1084" t="s">
        <v>176</v>
      </c>
      <c r="G1084">
        <v>4</v>
      </c>
      <c r="H1084">
        <v>11.99</v>
      </c>
      <c r="I1084" s="7">
        <f>IF(Transactions!I1084="",0,Transactions!I1084)</f>
        <v>0</v>
      </c>
      <c r="J1084" s="9">
        <f t="shared" si="16"/>
        <v>47.96</v>
      </c>
      <c r="K1084" t="s">
        <v>36</v>
      </c>
      <c r="L1084" t="s">
        <v>17</v>
      </c>
      <c r="M1084" t="str">
        <f>REPLACE(Transactions!M1084,1,4,"")</f>
        <v>8</v>
      </c>
    </row>
    <row r="1085" spans="1:13" x14ac:dyDescent="0.2">
      <c r="A1085">
        <v>275361</v>
      </c>
      <c r="B1085" s="5">
        <v>44664</v>
      </c>
      <c r="C1085">
        <v>59916</v>
      </c>
      <c r="D1085" t="str">
        <f>PROPER(Transactions!D1085)</f>
        <v>Grocery</v>
      </c>
      <c r="E1085" t="s">
        <v>93</v>
      </c>
      <c r="F1085" t="s">
        <v>94</v>
      </c>
      <c r="G1085">
        <v>3</v>
      </c>
      <c r="H1085">
        <v>1.29</v>
      </c>
      <c r="I1085" s="7">
        <f>IF(Transactions!I1085="",0,Transactions!I1085)</f>
        <v>0</v>
      </c>
      <c r="J1085" s="9">
        <f t="shared" si="16"/>
        <v>3.87</v>
      </c>
      <c r="K1085" t="s">
        <v>36</v>
      </c>
      <c r="L1085" t="s">
        <v>37</v>
      </c>
      <c r="M1085" t="str">
        <f>REPLACE(Transactions!M1085,1,4,"")</f>
        <v>4</v>
      </c>
    </row>
    <row r="1086" spans="1:13" x14ac:dyDescent="0.2">
      <c r="A1086">
        <v>275368</v>
      </c>
      <c r="B1086" s="5">
        <v>45289</v>
      </c>
      <c r="C1086">
        <v>83493</v>
      </c>
      <c r="D1086" t="str">
        <f>PROPER(Transactions!D1086)</f>
        <v>Pharmacy</v>
      </c>
      <c r="E1086" t="s">
        <v>197</v>
      </c>
      <c r="F1086" t="s">
        <v>198</v>
      </c>
      <c r="G1086">
        <v>5</v>
      </c>
      <c r="H1086">
        <v>13.49</v>
      </c>
      <c r="I1086" s="7">
        <f>IF(Transactions!I1086="",0,Transactions!I1086)</f>
        <v>0.1</v>
      </c>
      <c r="J1086" s="9">
        <f t="shared" si="16"/>
        <v>60.705000000000005</v>
      </c>
      <c r="K1086" t="s">
        <v>32</v>
      </c>
      <c r="L1086" t="s">
        <v>37</v>
      </c>
      <c r="M1086" t="str">
        <f>REPLACE(Transactions!M1086,1,4,"")</f>
        <v>6</v>
      </c>
    </row>
    <row r="1087" spans="1:13" x14ac:dyDescent="0.2">
      <c r="A1087">
        <v>275506</v>
      </c>
      <c r="B1087" s="5">
        <v>45001</v>
      </c>
      <c r="C1087">
        <v>46054</v>
      </c>
      <c r="D1087" t="str">
        <f>PROPER(Transactions!D1087)</f>
        <v>Beauty</v>
      </c>
      <c r="E1087" t="s">
        <v>109</v>
      </c>
      <c r="F1087" t="s">
        <v>110</v>
      </c>
      <c r="G1087">
        <v>1</v>
      </c>
      <c r="H1087">
        <v>6.29</v>
      </c>
      <c r="I1087" s="7">
        <f>IF(Transactions!I1087="",0,Transactions!I1087)</f>
        <v>0.1</v>
      </c>
      <c r="J1087" s="9">
        <f t="shared" si="16"/>
        <v>5.6610000000000005</v>
      </c>
      <c r="K1087" t="s">
        <v>36</v>
      </c>
      <c r="L1087" t="s">
        <v>17</v>
      </c>
      <c r="M1087" t="str">
        <f>REPLACE(Transactions!M1087,1,4,"")</f>
        <v>9</v>
      </c>
    </row>
    <row r="1088" spans="1:13" x14ac:dyDescent="0.2">
      <c r="A1088">
        <v>275877</v>
      </c>
      <c r="B1088" s="5">
        <v>44694</v>
      </c>
      <c r="C1088">
        <v>38789</v>
      </c>
      <c r="D1088" t="str">
        <f>PROPER(Transactions!D1088)</f>
        <v>Sports</v>
      </c>
      <c r="E1088" t="s">
        <v>155</v>
      </c>
      <c r="F1088" t="s">
        <v>156</v>
      </c>
      <c r="G1088">
        <v>1</v>
      </c>
      <c r="H1088">
        <v>13.99</v>
      </c>
      <c r="I1088" s="7">
        <f>IF(Transactions!I1088="",0,Transactions!I1088)</f>
        <v>0.3</v>
      </c>
      <c r="J1088" s="9">
        <f t="shared" si="16"/>
        <v>9.7929999999999993</v>
      </c>
      <c r="K1088" t="s">
        <v>16</v>
      </c>
      <c r="L1088" t="s">
        <v>17</v>
      </c>
      <c r="M1088" t="str">
        <f>REPLACE(Transactions!M1088,1,4,"")</f>
        <v>16</v>
      </c>
    </row>
    <row r="1089" spans="1:13" x14ac:dyDescent="0.2">
      <c r="A1089">
        <v>276135</v>
      </c>
      <c r="B1089" s="5">
        <v>45485</v>
      </c>
      <c r="C1089">
        <v>45047</v>
      </c>
      <c r="D1089" t="str">
        <f>PROPER(Transactions!D1089)</f>
        <v>Toys</v>
      </c>
      <c r="E1089" t="s">
        <v>30</v>
      </c>
      <c r="F1089" t="s">
        <v>31</v>
      </c>
      <c r="G1089">
        <v>2</v>
      </c>
      <c r="H1089">
        <v>23.74</v>
      </c>
      <c r="I1089" s="7">
        <f>IF(Transactions!I1089="",0,Transactions!I1089)</f>
        <v>0.05</v>
      </c>
      <c r="J1089" s="9">
        <f t="shared" si="16"/>
        <v>45.105999999999995</v>
      </c>
      <c r="K1089" t="s">
        <v>16</v>
      </c>
      <c r="L1089" t="s">
        <v>37</v>
      </c>
      <c r="M1089" t="str">
        <f>REPLACE(Transactions!M1089,1,4,"")</f>
        <v>20</v>
      </c>
    </row>
    <row r="1090" spans="1:13" x14ac:dyDescent="0.2">
      <c r="A1090">
        <v>276139</v>
      </c>
      <c r="B1090" s="5">
        <v>45466</v>
      </c>
      <c r="C1090">
        <v>26076</v>
      </c>
      <c r="D1090" t="str">
        <f>PROPER(Transactions!D1090)</f>
        <v>Furniture</v>
      </c>
      <c r="E1090" t="s">
        <v>60</v>
      </c>
      <c r="F1090" t="s">
        <v>61</v>
      </c>
      <c r="G1090">
        <v>2</v>
      </c>
      <c r="H1090">
        <v>38.49</v>
      </c>
      <c r="I1090" s="7">
        <f>IF(Transactions!I1090="",0,Transactions!I1090)</f>
        <v>0.3</v>
      </c>
      <c r="J1090" s="9">
        <f t="shared" si="16"/>
        <v>53.886000000000003</v>
      </c>
      <c r="K1090" t="s">
        <v>16</v>
      </c>
      <c r="L1090" t="s">
        <v>37</v>
      </c>
      <c r="M1090" t="str">
        <f>REPLACE(Transactions!M1090,1,4,"")</f>
        <v/>
      </c>
    </row>
    <row r="1091" spans="1:13" x14ac:dyDescent="0.2">
      <c r="A1091">
        <v>276287</v>
      </c>
      <c r="B1091" s="5">
        <v>45525</v>
      </c>
      <c r="C1091">
        <v>80343</v>
      </c>
      <c r="D1091" t="str">
        <f>PROPER(Transactions!D1091)</f>
        <v>Furniture</v>
      </c>
      <c r="E1091" t="s">
        <v>51</v>
      </c>
      <c r="F1091" t="s">
        <v>52</v>
      </c>
      <c r="G1091">
        <v>3</v>
      </c>
      <c r="H1091">
        <v>22.39</v>
      </c>
      <c r="I1091" s="7">
        <f>IF(Transactions!I1091="",0,Transactions!I1091)</f>
        <v>0.2</v>
      </c>
      <c r="J1091" s="9">
        <f t="shared" ref="J1091:J1154" si="17">(H1091*G1091)*(1-I1091)</f>
        <v>53.736000000000004</v>
      </c>
      <c r="K1091" t="s">
        <v>53</v>
      </c>
      <c r="L1091" t="s">
        <v>17</v>
      </c>
      <c r="M1091" t="str">
        <f>REPLACE(Transactions!M1091,1,4,"")</f>
        <v>16</v>
      </c>
    </row>
    <row r="1092" spans="1:13" x14ac:dyDescent="0.2">
      <c r="A1092">
        <v>276962</v>
      </c>
      <c r="B1092" s="5">
        <v>45181</v>
      </c>
      <c r="C1092">
        <v>50102</v>
      </c>
      <c r="D1092" t="str">
        <f>PROPER(Transactions!D1092)</f>
        <v>Automotive</v>
      </c>
      <c r="E1092" t="s">
        <v>111</v>
      </c>
      <c r="F1092" t="s">
        <v>112</v>
      </c>
      <c r="G1092">
        <v>2</v>
      </c>
      <c r="H1092">
        <v>13.49</v>
      </c>
      <c r="I1092" s="7">
        <f>IF(Transactions!I1092="",0,Transactions!I1092)</f>
        <v>0.1</v>
      </c>
      <c r="J1092" s="9">
        <f t="shared" si="17"/>
        <v>24.282</v>
      </c>
      <c r="K1092" t="s">
        <v>22</v>
      </c>
      <c r="L1092" t="s">
        <v>17</v>
      </c>
      <c r="M1092" t="str">
        <f>REPLACE(Transactions!M1092,1,4,"")</f>
        <v>19</v>
      </c>
    </row>
    <row r="1093" spans="1:13" x14ac:dyDescent="0.2">
      <c r="A1093">
        <v>277106</v>
      </c>
      <c r="B1093" s="5">
        <v>45451</v>
      </c>
      <c r="C1093">
        <v>27332</v>
      </c>
      <c r="D1093" t="str">
        <f>PROPER(Transactions!D1093)</f>
        <v>Beauty</v>
      </c>
      <c r="E1093" t="s">
        <v>179</v>
      </c>
      <c r="F1093" t="s">
        <v>180</v>
      </c>
      <c r="G1093">
        <v>1</v>
      </c>
      <c r="H1093">
        <v>11.99</v>
      </c>
      <c r="I1093" s="7">
        <f>IF(Transactions!I1093="",0,Transactions!I1093)</f>
        <v>0</v>
      </c>
      <c r="J1093" s="9">
        <f t="shared" si="17"/>
        <v>11.99</v>
      </c>
      <c r="K1093" t="s">
        <v>53</v>
      </c>
      <c r="L1093" t="s">
        <v>37</v>
      </c>
      <c r="M1093" t="str">
        <f>REPLACE(Transactions!M1093,1,4,"")</f>
        <v>17</v>
      </c>
    </row>
    <row r="1094" spans="1:13" x14ac:dyDescent="0.2">
      <c r="A1094">
        <v>277171</v>
      </c>
      <c r="B1094" s="5">
        <v>45110</v>
      </c>
      <c r="C1094">
        <v>35574</v>
      </c>
      <c r="D1094" t="str">
        <f>PROPER(Transactions!D1094)</f>
        <v>Electronics</v>
      </c>
      <c r="E1094" t="s">
        <v>79</v>
      </c>
      <c r="F1094" t="s">
        <v>80</v>
      </c>
      <c r="G1094">
        <v>5</v>
      </c>
      <c r="H1094">
        <v>62.99</v>
      </c>
      <c r="I1094" s="7">
        <f>IF(Transactions!I1094="",0,Transactions!I1094)</f>
        <v>0.3</v>
      </c>
      <c r="J1094" s="9">
        <f t="shared" si="17"/>
        <v>220.46499999999997</v>
      </c>
      <c r="K1094" t="s">
        <v>36</v>
      </c>
      <c r="L1094" t="s">
        <v>37</v>
      </c>
      <c r="M1094" t="str">
        <f>REPLACE(Transactions!M1094,1,4,"")</f>
        <v>3</v>
      </c>
    </row>
    <row r="1095" spans="1:13" x14ac:dyDescent="0.2">
      <c r="A1095">
        <v>277366</v>
      </c>
      <c r="B1095" s="5">
        <v>44631</v>
      </c>
      <c r="C1095">
        <v>26845</v>
      </c>
      <c r="D1095" t="str">
        <f>PROPER(Transactions!D1095)</f>
        <v>Clothing</v>
      </c>
      <c r="E1095" t="s">
        <v>135</v>
      </c>
      <c r="F1095" t="s">
        <v>136</v>
      </c>
      <c r="G1095">
        <v>5</v>
      </c>
      <c r="H1095">
        <v>7.49</v>
      </c>
      <c r="I1095" s="7">
        <f>IF(Transactions!I1095="",0,Transactions!I1095)</f>
        <v>0.25</v>
      </c>
      <c r="J1095" s="9">
        <f t="shared" si="17"/>
        <v>28.087500000000002</v>
      </c>
      <c r="K1095" t="s">
        <v>95</v>
      </c>
      <c r="L1095" t="s">
        <v>17</v>
      </c>
      <c r="M1095" t="str">
        <f>REPLACE(Transactions!M1095,1,4,"")</f>
        <v>5</v>
      </c>
    </row>
    <row r="1096" spans="1:13" x14ac:dyDescent="0.2">
      <c r="A1096">
        <v>277393</v>
      </c>
      <c r="B1096" s="5">
        <v>44736</v>
      </c>
      <c r="C1096">
        <v>70616</v>
      </c>
      <c r="D1096" t="str">
        <f>PROPER(Transactions!D1096)</f>
        <v>Furniture</v>
      </c>
      <c r="E1096" t="s">
        <v>113</v>
      </c>
      <c r="F1096" t="s">
        <v>114</v>
      </c>
      <c r="G1096">
        <v>1</v>
      </c>
      <c r="H1096">
        <v>107.99</v>
      </c>
      <c r="I1096" s="7">
        <f>IF(Transactions!I1096="",0,Transactions!I1096)</f>
        <v>0.1</v>
      </c>
      <c r="J1096" s="9">
        <f t="shared" si="17"/>
        <v>97.191000000000003</v>
      </c>
      <c r="K1096" t="s">
        <v>22</v>
      </c>
      <c r="L1096" t="s">
        <v>23</v>
      </c>
      <c r="M1096" t="str">
        <f>REPLACE(Transactions!M1096,1,4,"")</f>
        <v>11</v>
      </c>
    </row>
    <row r="1097" spans="1:13" x14ac:dyDescent="0.2">
      <c r="A1097">
        <v>277461</v>
      </c>
      <c r="B1097" s="5">
        <v>45579</v>
      </c>
      <c r="C1097">
        <v>18029</v>
      </c>
      <c r="D1097" t="str">
        <f>PROPER(Transactions!D1097)</f>
        <v>Sports</v>
      </c>
      <c r="E1097" t="s">
        <v>168</v>
      </c>
      <c r="F1097" t="s">
        <v>169</v>
      </c>
      <c r="G1097">
        <v>1</v>
      </c>
      <c r="H1097">
        <v>8.99</v>
      </c>
      <c r="I1097" s="7">
        <f>IF(Transactions!I1097="",0,Transactions!I1097)</f>
        <v>0</v>
      </c>
      <c r="J1097" s="9">
        <f t="shared" si="17"/>
        <v>8.99</v>
      </c>
      <c r="K1097" t="s">
        <v>16</v>
      </c>
      <c r="L1097" t="s">
        <v>17</v>
      </c>
      <c r="M1097" t="str">
        <f>REPLACE(Transactions!M1097,1,4,"")</f>
        <v>5</v>
      </c>
    </row>
    <row r="1098" spans="1:13" x14ac:dyDescent="0.2">
      <c r="A1098">
        <v>277641</v>
      </c>
      <c r="B1098" s="5">
        <v>45085</v>
      </c>
      <c r="C1098">
        <v>41247</v>
      </c>
      <c r="D1098" t="str">
        <f>PROPER(Transactions!D1098)</f>
        <v>Furniture</v>
      </c>
      <c r="E1098" t="s">
        <v>26</v>
      </c>
      <c r="F1098" t="s">
        <v>27</v>
      </c>
      <c r="G1098">
        <v>5</v>
      </c>
      <c r="H1098">
        <v>26.24</v>
      </c>
      <c r="I1098" s="7">
        <f>IF(Transactions!I1098="",0,Transactions!I1098)</f>
        <v>0</v>
      </c>
      <c r="J1098" s="9">
        <f t="shared" si="17"/>
        <v>131.19999999999999</v>
      </c>
      <c r="K1098" t="s">
        <v>16</v>
      </c>
      <c r="L1098" t="s">
        <v>17</v>
      </c>
      <c r="M1098" t="str">
        <f>REPLACE(Transactions!M1098,1,4,"")</f>
        <v>6</v>
      </c>
    </row>
    <row r="1099" spans="1:13" x14ac:dyDescent="0.2">
      <c r="A1099">
        <v>277762</v>
      </c>
      <c r="B1099" s="5">
        <v>44588</v>
      </c>
      <c r="C1099">
        <v>47679</v>
      </c>
      <c r="D1099" t="str">
        <f>PROPER(Transactions!D1099)</f>
        <v>Toys</v>
      </c>
      <c r="E1099" t="s">
        <v>170</v>
      </c>
      <c r="F1099" t="s">
        <v>171</v>
      </c>
      <c r="G1099">
        <v>4</v>
      </c>
      <c r="H1099">
        <v>14.99</v>
      </c>
      <c r="I1099" s="7">
        <f>IF(Transactions!I1099="",0,Transactions!I1099)</f>
        <v>0</v>
      </c>
      <c r="J1099" s="9">
        <f t="shared" si="17"/>
        <v>59.96</v>
      </c>
      <c r="K1099" t="s">
        <v>16</v>
      </c>
      <c r="L1099" t="s">
        <v>17</v>
      </c>
      <c r="M1099" t="str">
        <f>REPLACE(Transactions!M1099,1,4,"")</f>
        <v>12</v>
      </c>
    </row>
    <row r="1100" spans="1:13" x14ac:dyDescent="0.2">
      <c r="A1100">
        <v>277954</v>
      </c>
      <c r="B1100" s="5">
        <v>44664</v>
      </c>
      <c r="C1100">
        <v>15753</v>
      </c>
      <c r="D1100" t="str">
        <f>PROPER(Transactions!D1100)</f>
        <v>Furniture</v>
      </c>
      <c r="E1100" t="s">
        <v>60</v>
      </c>
      <c r="F1100" t="s">
        <v>61</v>
      </c>
      <c r="G1100">
        <v>1</v>
      </c>
      <c r="H1100">
        <v>41.24</v>
      </c>
      <c r="I1100" s="7">
        <f>IF(Transactions!I1100="",0,Transactions!I1100)</f>
        <v>0.25</v>
      </c>
      <c r="J1100" s="9">
        <f t="shared" si="17"/>
        <v>30.93</v>
      </c>
      <c r="K1100" t="s">
        <v>16</v>
      </c>
      <c r="L1100" t="s">
        <v>17</v>
      </c>
      <c r="M1100" t="str">
        <f>REPLACE(Transactions!M1100,1,4,"")</f>
        <v>3</v>
      </c>
    </row>
    <row r="1101" spans="1:13" x14ac:dyDescent="0.2">
      <c r="A1101">
        <v>278417</v>
      </c>
      <c r="B1101" s="5">
        <v>44794</v>
      </c>
      <c r="C1101">
        <v>21276</v>
      </c>
      <c r="D1101" t="str">
        <f>PROPER(Transactions!D1101)</f>
        <v>Home &amp; Garden</v>
      </c>
      <c r="E1101" t="s">
        <v>157</v>
      </c>
      <c r="F1101" t="s">
        <v>158</v>
      </c>
      <c r="G1101">
        <v>4</v>
      </c>
      <c r="H1101">
        <v>10.119999999999999</v>
      </c>
      <c r="I1101" s="7">
        <f>IF(Transactions!I1101="",0,Transactions!I1101)</f>
        <v>0.25</v>
      </c>
      <c r="J1101" s="9">
        <f t="shared" si="17"/>
        <v>30.36</v>
      </c>
      <c r="K1101" t="s">
        <v>36</v>
      </c>
      <c r="L1101" t="s">
        <v>23</v>
      </c>
      <c r="M1101" t="str">
        <f>REPLACE(Transactions!M1101,1,4,"")</f>
        <v>13</v>
      </c>
    </row>
    <row r="1102" spans="1:13" x14ac:dyDescent="0.2">
      <c r="A1102">
        <v>278591</v>
      </c>
      <c r="B1102" s="5">
        <v>45510</v>
      </c>
      <c r="C1102">
        <v>93763</v>
      </c>
      <c r="D1102" t="str">
        <f>PROPER(Transactions!D1102)</f>
        <v>Automotive</v>
      </c>
      <c r="E1102" t="s">
        <v>68</v>
      </c>
      <c r="F1102" t="s">
        <v>69</v>
      </c>
      <c r="G1102">
        <v>3</v>
      </c>
      <c r="H1102">
        <v>18.739999999999998</v>
      </c>
      <c r="I1102" s="7">
        <f>IF(Transactions!I1102="",0,Transactions!I1102)</f>
        <v>0.25</v>
      </c>
      <c r="J1102" s="9">
        <f t="shared" si="17"/>
        <v>42.164999999999999</v>
      </c>
      <c r="K1102" t="s">
        <v>32</v>
      </c>
      <c r="L1102" t="s">
        <v>17</v>
      </c>
      <c r="M1102" t="str">
        <f>REPLACE(Transactions!M1102,1,4,"")</f>
        <v>14</v>
      </c>
    </row>
    <row r="1103" spans="1:13" x14ac:dyDescent="0.2">
      <c r="A1103">
        <v>278612</v>
      </c>
      <c r="B1103" s="5">
        <v>45236</v>
      </c>
      <c r="C1103">
        <v>51855</v>
      </c>
      <c r="D1103" t="str">
        <f>PROPER(Transactions!D1103)</f>
        <v>Toys</v>
      </c>
      <c r="E1103" t="s">
        <v>88</v>
      </c>
      <c r="F1103" t="s">
        <v>89</v>
      </c>
      <c r="G1103">
        <v>1</v>
      </c>
      <c r="H1103">
        <v>39.99</v>
      </c>
      <c r="I1103" s="7">
        <f>IF(Transactions!I1103="",0,Transactions!I1103)</f>
        <v>0.2</v>
      </c>
      <c r="J1103" s="9">
        <f t="shared" si="17"/>
        <v>31.992000000000004</v>
      </c>
      <c r="K1103" t="s">
        <v>16</v>
      </c>
      <c r="L1103" t="s">
        <v>17</v>
      </c>
      <c r="M1103" t="str">
        <f>REPLACE(Transactions!M1103,1,4,"")</f>
        <v>8</v>
      </c>
    </row>
    <row r="1104" spans="1:13" x14ac:dyDescent="0.2">
      <c r="A1104">
        <v>278819</v>
      </c>
      <c r="B1104" s="5">
        <v>44906</v>
      </c>
      <c r="C1104">
        <v>24803</v>
      </c>
      <c r="D1104" t="str">
        <f>PROPER(Transactions!D1104)</f>
        <v>Electronics</v>
      </c>
      <c r="E1104" t="s">
        <v>127</v>
      </c>
      <c r="F1104" t="s">
        <v>128</v>
      </c>
      <c r="G1104">
        <v>2</v>
      </c>
      <c r="H1104">
        <v>18.989999999999998</v>
      </c>
      <c r="I1104" s="7">
        <f>IF(Transactions!I1104="",0,Transactions!I1104)</f>
        <v>0.05</v>
      </c>
      <c r="J1104" s="9">
        <f t="shared" si="17"/>
        <v>36.080999999999996</v>
      </c>
      <c r="K1104" t="s">
        <v>16</v>
      </c>
      <c r="L1104" t="s">
        <v>17</v>
      </c>
      <c r="M1104" t="str">
        <f>REPLACE(Transactions!M1104,1,4,"")</f>
        <v>18</v>
      </c>
    </row>
    <row r="1105" spans="1:13" x14ac:dyDescent="0.2">
      <c r="A1105">
        <v>278844</v>
      </c>
      <c r="B1105" s="5">
        <v>44943</v>
      </c>
      <c r="C1105">
        <v>60908</v>
      </c>
      <c r="D1105" t="str">
        <f>PROPER(Transactions!D1105)</f>
        <v>Grocery</v>
      </c>
      <c r="E1105" t="s">
        <v>45</v>
      </c>
      <c r="F1105" t="s">
        <v>46</v>
      </c>
      <c r="G1105">
        <v>4</v>
      </c>
      <c r="H1105">
        <v>1.52</v>
      </c>
      <c r="I1105" s="7">
        <f>IF(Transactions!I1105="",0,Transactions!I1105)</f>
        <v>0.15</v>
      </c>
      <c r="J1105" s="9">
        <f t="shared" si="17"/>
        <v>5.1680000000000001</v>
      </c>
      <c r="K1105" t="s">
        <v>16</v>
      </c>
      <c r="L1105" t="s">
        <v>17</v>
      </c>
      <c r="M1105" t="str">
        <f>REPLACE(Transactions!M1105,1,4,"")</f>
        <v>20</v>
      </c>
    </row>
    <row r="1106" spans="1:13" x14ac:dyDescent="0.2">
      <c r="A1106">
        <v>279022</v>
      </c>
      <c r="B1106" s="5">
        <v>45084</v>
      </c>
      <c r="C1106">
        <v>76402</v>
      </c>
      <c r="D1106" t="str">
        <f>PROPER(Transactions!D1106)</f>
        <v>Furniture</v>
      </c>
      <c r="E1106" t="s">
        <v>113</v>
      </c>
      <c r="F1106" t="s">
        <v>114</v>
      </c>
      <c r="G1106">
        <v>2</v>
      </c>
      <c r="H1106">
        <v>113.99</v>
      </c>
      <c r="I1106" s="7">
        <f>IF(Transactions!I1106="",0,Transactions!I1106)</f>
        <v>0.05</v>
      </c>
      <c r="J1106" s="9">
        <f t="shared" si="17"/>
        <v>216.58099999999999</v>
      </c>
      <c r="K1106" t="s">
        <v>36</v>
      </c>
      <c r="L1106" t="s">
        <v>17</v>
      </c>
      <c r="M1106" t="str">
        <f>REPLACE(Transactions!M1106,1,4,"")</f>
        <v>16</v>
      </c>
    </row>
    <row r="1107" spans="1:13" x14ac:dyDescent="0.2">
      <c r="A1107">
        <v>279243</v>
      </c>
      <c r="B1107" s="5">
        <v>44856</v>
      </c>
      <c r="C1107">
        <v>30868</v>
      </c>
      <c r="D1107" t="str">
        <f>PROPER(Transactions!D1107)</f>
        <v>Electronics</v>
      </c>
      <c r="E1107" t="s">
        <v>79</v>
      </c>
      <c r="F1107" t="s">
        <v>80</v>
      </c>
      <c r="G1107">
        <v>3</v>
      </c>
      <c r="H1107">
        <v>89.99</v>
      </c>
      <c r="I1107" s="7">
        <f>IF(Transactions!I1107="",0,Transactions!I1107)</f>
        <v>0</v>
      </c>
      <c r="J1107" s="9">
        <f t="shared" si="17"/>
        <v>269.96999999999997</v>
      </c>
      <c r="K1107" t="s">
        <v>16</v>
      </c>
      <c r="L1107" t="s">
        <v>17</v>
      </c>
      <c r="M1107" t="str">
        <f>REPLACE(Transactions!M1107,1,4,"")</f>
        <v>5</v>
      </c>
    </row>
    <row r="1108" spans="1:13" x14ac:dyDescent="0.2">
      <c r="A1108">
        <v>279389</v>
      </c>
      <c r="B1108" s="5">
        <v>44894</v>
      </c>
      <c r="C1108">
        <v>77075</v>
      </c>
      <c r="D1108" t="str">
        <f>PROPER(Transactions!D1108)</f>
        <v>Grocery</v>
      </c>
      <c r="E1108" t="s">
        <v>177</v>
      </c>
      <c r="F1108" t="s">
        <v>178</v>
      </c>
      <c r="G1108">
        <v>2</v>
      </c>
      <c r="H1108">
        <v>11.99</v>
      </c>
      <c r="I1108" s="7">
        <f>IF(Transactions!I1108="",0,Transactions!I1108)</f>
        <v>0</v>
      </c>
      <c r="J1108" s="9">
        <f t="shared" si="17"/>
        <v>23.98</v>
      </c>
      <c r="K1108" t="s">
        <v>16</v>
      </c>
      <c r="L1108" t="s">
        <v>17</v>
      </c>
      <c r="M1108" t="str">
        <f>REPLACE(Transactions!M1108,1,4,"")</f>
        <v>12</v>
      </c>
    </row>
    <row r="1109" spans="1:13" x14ac:dyDescent="0.2">
      <c r="A1109">
        <v>279451</v>
      </c>
      <c r="B1109" s="5">
        <v>45108</v>
      </c>
      <c r="C1109">
        <v>45382</v>
      </c>
      <c r="D1109" t="str">
        <f>PROPER(Transactions!D1109)</f>
        <v>Sports</v>
      </c>
      <c r="E1109" t="s">
        <v>188</v>
      </c>
      <c r="F1109" t="s">
        <v>189</v>
      </c>
      <c r="G1109">
        <v>2</v>
      </c>
      <c r="H1109">
        <v>44.99</v>
      </c>
      <c r="I1109" s="7">
        <f>IF(Transactions!I1109="",0,Transactions!I1109)</f>
        <v>0</v>
      </c>
      <c r="J1109" s="9">
        <f t="shared" si="17"/>
        <v>89.98</v>
      </c>
      <c r="K1109" t="s">
        <v>36</v>
      </c>
      <c r="L1109" t="s">
        <v>17</v>
      </c>
      <c r="M1109" t="str">
        <f>REPLACE(Transactions!M1109,1,4,"")</f>
        <v>15</v>
      </c>
    </row>
    <row r="1110" spans="1:13" x14ac:dyDescent="0.2">
      <c r="A1110">
        <v>281485</v>
      </c>
      <c r="B1110" s="5">
        <v>45129</v>
      </c>
      <c r="D1110" t="str">
        <f>PROPER(Transactions!D1110)</f>
        <v>Home &amp; Garden</v>
      </c>
      <c r="E1110" t="s">
        <v>86</v>
      </c>
      <c r="F1110" t="s">
        <v>87</v>
      </c>
      <c r="G1110">
        <v>1</v>
      </c>
      <c r="H1110">
        <v>9.09</v>
      </c>
      <c r="I1110" s="7">
        <f>IF(Transactions!I1110="",0,Transactions!I1110)</f>
        <v>0.3</v>
      </c>
      <c r="J1110" s="9">
        <f t="shared" si="17"/>
        <v>6.3629999999999995</v>
      </c>
      <c r="K1110" t="s">
        <v>95</v>
      </c>
      <c r="L1110" t="s">
        <v>17</v>
      </c>
      <c r="M1110" t="str">
        <f>REPLACE(Transactions!M1110,1,4,"")</f>
        <v>10</v>
      </c>
    </row>
    <row r="1111" spans="1:13" x14ac:dyDescent="0.2">
      <c r="A1111">
        <v>281554</v>
      </c>
      <c r="B1111" s="5">
        <v>45519</v>
      </c>
      <c r="D1111" t="str">
        <f>PROPER(Transactions!D1111)</f>
        <v>Toys</v>
      </c>
      <c r="E1111" t="s">
        <v>72</v>
      </c>
      <c r="F1111" t="s">
        <v>73</v>
      </c>
      <c r="G1111">
        <v>5</v>
      </c>
      <c r="H1111">
        <v>39.99</v>
      </c>
      <c r="I1111" s="7">
        <f>IF(Transactions!I1111="",0,Transactions!I1111)</f>
        <v>0</v>
      </c>
      <c r="J1111" s="9">
        <f t="shared" si="17"/>
        <v>199.95000000000002</v>
      </c>
      <c r="K1111" t="s">
        <v>36</v>
      </c>
      <c r="L1111" t="s">
        <v>17</v>
      </c>
      <c r="M1111" t="str">
        <f>REPLACE(Transactions!M1111,1,4,"")</f>
        <v>9</v>
      </c>
    </row>
    <row r="1112" spans="1:13" x14ac:dyDescent="0.2">
      <c r="A1112">
        <v>281611</v>
      </c>
      <c r="B1112" s="5">
        <v>45262</v>
      </c>
      <c r="C1112">
        <v>32910</v>
      </c>
      <c r="D1112" t="str">
        <f>PROPER(Transactions!D1112)</f>
        <v>Toys</v>
      </c>
      <c r="E1112" t="s">
        <v>38</v>
      </c>
      <c r="F1112" t="s">
        <v>39</v>
      </c>
      <c r="G1112">
        <v>2</v>
      </c>
      <c r="H1112">
        <v>26.99</v>
      </c>
      <c r="I1112" s="7">
        <f>IF(Transactions!I1112="",0,Transactions!I1112)</f>
        <v>0.1</v>
      </c>
      <c r="J1112" s="9">
        <f t="shared" si="17"/>
        <v>48.582000000000001</v>
      </c>
      <c r="K1112" t="s">
        <v>36</v>
      </c>
      <c r="L1112" t="s">
        <v>17</v>
      </c>
      <c r="M1112" t="str">
        <f>REPLACE(Transactions!M1112,1,4,"")</f>
        <v>12</v>
      </c>
    </row>
    <row r="1113" spans="1:13" x14ac:dyDescent="0.2">
      <c r="A1113">
        <v>281723</v>
      </c>
      <c r="B1113" s="5">
        <v>45466</v>
      </c>
      <c r="C1113">
        <v>98811</v>
      </c>
      <c r="D1113" t="str">
        <f>PROPER(Transactions!D1113)</f>
        <v>Grocery</v>
      </c>
      <c r="E1113" t="s">
        <v>107</v>
      </c>
      <c r="F1113" t="s">
        <v>108</v>
      </c>
      <c r="G1113">
        <v>2</v>
      </c>
      <c r="H1113">
        <v>2.44</v>
      </c>
      <c r="I1113" s="7">
        <f>IF(Transactions!I1113="",0,Transactions!I1113)</f>
        <v>0.3</v>
      </c>
      <c r="J1113" s="9">
        <f t="shared" si="17"/>
        <v>3.4159999999999999</v>
      </c>
      <c r="K1113" t="s">
        <v>66</v>
      </c>
      <c r="L1113" t="s">
        <v>17</v>
      </c>
      <c r="M1113" t="str">
        <f>REPLACE(Transactions!M1113,1,4,"")</f>
        <v>7</v>
      </c>
    </row>
    <row r="1114" spans="1:13" x14ac:dyDescent="0.2">
      <c r="A1114">
        <v>281883</v>
      </c>
      <c r="B1114" s="5">
        <v>44780</v>
      </c>
      <c r="D1114" t="str">
        <f>PROPER(Transactions!D1114)</f>
        <v>Home &amp; Garden</v>
      </c>
      <c r="E1114" t="s">
        <v>137</v>
      </c>
      <c r="F1114" t="s">
        <v>138</v>
      </c>
      <c r="G1114">
        <v>1</v>
      </c>
      <c r="H1114">
        <v>7.19</v>
      </c>
      <c r="I1114" s="7">
        <f>IF(Transactions!I1114="",0,Transactions!I1114)</f>
        <v>0.1</v>
      </c>
      <c r="J1114" s="9">
        <f t="shared" si="17"/>
        <v>6.4710000000000001</v>
      </c>
      <c r="K1114" t="s">
        <v>16</v>
      </c>
      <c r="L1114" t="s">
        <v>17</v>
      </c>
      <c r="M1114" t="str">
        <f>REPLACE(Transactions!M1114,1,4,"")</f>
        <v>2</v>
      </c>
    </row>
    <row r="1115" spans="1:13" x14ac:dyDescent="0.2">
      <c r="A1115">
        <v>282310</v>
      </c>
      <c r="B1115" s="5">
        <v>45058</v>
      </c>
      <c r="C1115">
        <v>29744</v>
      </c>
      <c r="D1115" t="str">
        <f>PROPER(Transactions!D1115)</f>
        <v>Automotive</v>
      </c>
      <c r="E1115" t="s">
        <v>111</v>
      </c>
      <c r="F1115" t="s">
        <v>112</v>
      </c>
      <c r="G1115">
        <v>3</v>
      </c>
      <c r="H1115">
        <v>14.99</v>
      </c>
      <c r="I1115" s="7">
        <f>IF(Transactions!I1115="",0,Transactions!I1115)</f>
        <v>0</v>
      </c>
      <c r="J1115" s="9">
        <f t="shared" si="17"/>
        <v>44.97</v>
      </c>
      <c r="K1115" t="s">
        <v>36</v>
      </c>
      <c r="L1115" t="s">
        <v>17</v>
      </c>
      <c r="M1115" t="str">
        <f>REPLACE(Transactions!M1115,1,4,"")</f>
        <v/>
      </c>
    </row>
    <row r="1116" spans="1:13" x14ac:dyDescent="0.2">
      <c r="A1116">
        <v>282352</v>
      </c>
      <c r="B1116" s="5">
        <v>45543</v>
      </c>
      <c r="C1116">
        <v>85355</v>
      </c>
      <c r="D1116" t="str">
        <f>PROPER(Transactions!D1116)</f>
        <v>Beauty</v>
      </c>
      <c r="E1116" t="s">
        <v>143</v>
      </c>
      <c r="F1116" t="s">
        <v>144</v>
      </c>
      <c r="G1116">
        <v>4</v>
      </c>
      <c r="H1116">
        <v>14.24</v>
      </c>
      <c r="I1116" s="7">
        <f>IF(Transactions!I1116="",0,Transactions!I1116)</f>
        <v>0.05</v>
      </c>
      <c r="J1116" s="9">
        <f t="shared" si="17"/>
        <v>54.111999999999995</v>
      </c>
      <c r="K1116" t="s">
        <v>36</v>
      </c>
      <c r="L1116" t="s">
        <v>17</v>
      </c>
      <c r="M1116" t="str">
        <f>REPLACE(Transactions!M1116,1,4,"")</f>
        <v>4</v>
      </c>
    </row>
    <row r="1117" spans="1:13" x14ac:dyDescent="0.2">
      <c r="A1117">
        <v>282480</v>
      </c>
      <c r="B1117" s="5">
        <v>45423</v>
      </c>
      <c r="C1117">
        <v>10053</v>
      </c>
      <c r="D1117" t="str">
        <f>PROPER(Transactions!D1117)</f>
        <v>Automotive</v>
      </c>
      <c r="E1117" t="s">
        <v>131</v>
      </c>
      <c r="F1117" t="s">
        <v>132</v>
      </c>
      <c r="G1117">
        <v>3</v>
      </c>
      <c r="H1117">
        <v>2.79</v>
      </c>
      <c r="I1117" s="7">
        <f>IF(Transactions!I1117="",0,Transactions!I1117)</f>
        <v>0.2</v>
      </c>
      <c r="J1117" s="9">
        <f t="shared" si="17"/>
        <v>6.6960000000000015</v>
      </c>
      <c r="K1117" t="s">
        <v>36</v>
      </c>
      <c r="L1117" t="s">
        <v>17</v>
      </c>
      <c r="M1117" t="str">
        <f>REPLACE(Transactions!M1117,1,4,"")</f>
        <v>3</v>
      </c>
    </row>
    <row r="1118" spans="1:13" x14ac:dyDescent="0.2">
      <c r="A1118">
        <v>282525</v>
      </c>
      <c r="B1118" s="5">
        <v>45329</v>
      </c>
      <c r="D1118" t="str">
        <f>PROPER(Transactions!D1118)</f>
        <v>Electronics</v>
      </c>
      <c r="E1118" t="s">
        <v>79</v>
      </c>
      <c r="F1118" t="s">
        <v>80</v>
      </c>
      <c r="G1118">
        <v>1</v>
      </c>
      <c r="H1118">
        <v>80.989999999999995</v>
      </c>
      <c r="I1118" s="7">
        <f>IF(Transactions!I1118="",0,Transactions!I1118)</f>
        <v>0.1</v>
      </c>
      <c r="J1118" s="9">
        <f t="shared" si="17"/>
        <v>72.890999999999991</v>
      </c>
      <c r="K1118" t="s">
        <v>16</v>
      </c>
      <c r="L1118" t="s">
        <v>17</v>
      </c>
      <c r="M1118" t="str">
        <f>REPLACE(Transactions!M1118,1,4,"")</f>
        <v>12</v>
      </c>
    </row>
    <row r="1119" spans="1:13" x14ac:dyDescent="0.2">
      <c r="A1119">
        <v>282976</v>
      </c>
      <c r="B1119" s="5">
        <v>44921</v>
      </c>
      <c r="C1119">
        <v>86426</v>
      </c>
      <c r="D1119" t="str">
        <f>PROPER(Transactions!D1119)</f>
        <v>Toys</v>
      </c>
      <c r="E1119" t="s">
        <v>170</v>
      </c>
      <c r="F1119" t="s">
        <v>171</v>
      </c>
      <c r="G1119">
        <v>3</v>
      </c>
      <c r="H1119">
        <v>14.99</v>
      </c>
      <c r="I1119" s="7">
        <f>IF(Transactions!I1119="",0,Transactions!I1119)</f>
        <v>0</v>
      </c>
      <c r="J1119" s="9">
        <f t="shared" si="17"/>
        <v>44.97</v>
      </c>
      <c r="K1119" t="s">
        <v>36</v>
      </c>
      <c r="L1119" t="s">
        <v>17</v>
      </c>
      <c r="M1119" t="str">
        <f>REPLACE(Transactions!M1119,1,4,"")</f>
        <v>8</v>
      </c>
    </row>
    <row r="1120" spans="1:13" x14ac:dyDescent="0.2">
      <c r="A1120">
        <v>283021</v>
      </c>
      <c r="B1120" s="5">
        <v>44956</v>
      </c>
      <c r="C1120">
        <v>64874</v>
      </c>
      <c r="D1120" t="str">
        <f>PROPER(Transactions!D1120)</f>
        <v>Beauty</v>
      </c>
      <c r="E1120" t="s">
        <v>143</v>
      </c>
      <c r="F1120" t="s">
        <v>144</v>
      </c>
      <c r="G1120">
        <v>5</v>
      </c>
      <c r="H1120">
        <v>11.99</v>
      </c>
      <c r="I1120" s="7">
        <f>IF(Transactions!I1120="",0,Transactions!I1120)</f>
        <v>0.2</v>
      </c>
      <c r="J1120" s="9">
        <f t="shared" si="17"/>
        <v>47.960000000000008</v>
      </c>
      <c r="K1120" t="s">
        <v>36</v>
      </c>
      <c r="L1120" t="s">
        <v>17</v>
      </c>
      <c r="M1120" t="str">
        <f>REPLACE(Transactions!M1120,1,4,"")</f>
        <v>16</v>
      </c>
    </row>
    <row r="1121" spans="1:13" x14ac:dyDescent="0.2">
      <c r="A1121">
        <v>283187</v>
      </c>
      <c r="B1121" s="5">
        <v>45219</v>
      </c>
      <c r="C1121">
        <v>25420</v>
      </c>
      <c r="D1121" t="str">
        <f>PROPER(Transactions!D1121)</f>
        <v>Sports</v>
      </c>
      <c r="E1121" t="s">
        <v>147</v>
      </c>
      <c r="F1121" t="s">
        <v>148</v>
      </c>
      <c r="G1121">
        <v>1</v>
      </c>
      <c r="H1121">
        <v>12.99</v>
      </c>
      <c r="I1121" s="7">
        <f>IF(Transactions!I1121="",0,Transactions!I1121)</f>
        <v>0</v>
      </c>
      <c r="J1121" s="9">
        <f t="shared" si="17"/>
        <v>12.99</v>
      </c>
      <c r="K1121" t="s">
        <v>22</v>
      </c>
      <c r="L1121" t="s">
        <v>17</v>
      </c>
      <c r="M1121" t="str">
        <f>REPLACE(Transactions!M1121,1,4,"")</f>
        <v>14</v>
      </c>
    </row>
    <row r="1122" spans="1:13" x14ac:dyDescent="0.2">
      <c r="A1122">
        <v>283392</v>
      </c>
      <c r="B1122" s="5">
        <v>45007</v>
      </c>
      <c r="C1122">
        <v>93213</v>
      </c>
      <c r="D1122" t="str">
        <f>PROPER(Transactions!D1122)</f>
        <v>Electronics</v>
      </c>
      <c r="E1122" t="s">
        <v>77</v>
      </c>
      <c r="F1122" t="s">
        <v>78</v>
      </c>
      <c r="G1122">
        <v>3</v>
      </c>
      <c r="H1122">
        <v>499.99</v>
      </c>
      <c r="I1122" s="7">
        <f>IF(Transactions!I1122="",0,Transactions!I1122)</f>
        <v>0</v>
      </c>
      <c r="J1122" s="9">
        <f t="shared" si="17"/>
        <v>1499.97</v>
      </c>
      <c r="K1122" t="s">
        <v>36</v>
      </c>
      <c r="L1122" t="s">
        <v>17</v>
      </c>
      <c r="M1122" t="str">
        <f>REPLACE(Transactions!M1122,1,4,"")</f>
        <v>17</v>
      </c>
    </row>
    <row r="1123" spans="1:13" x14ac:dyDescent="0.2">
      <c r="A1123">
        <v>283581</v>
      </c>
      <c r="B1123" s="5">
        <v>45514</v>
      </c>
      <c r="C1123">
        <v>88811</v>
      </c>
      <c r="D1123" t="str">
        <f>PROPER(Transactions!D1123)</f>
        <v>Toys</v>
      </c>
      <c r="E1123" t="s">
        <v>30</v>
      </c>
      <c r="F1123" t="s">
        <v>31</v>
      </c>
      <c r="G1123">
        <v>1</v>
      </c>
      <c r="H1123">
        <v>19.989999999999998</v>
      </c>
      <c r="I1123" s="7">
        <f>IF(Transactions!I1123="",0,Transactions!I1123)</f>
        <v>0.2</v>
      </c>
      <c r="J1123" s="9">
        <f t="shared" si="17"/>
        <v>15.991999999999999</v>
      </c>
      <c r="K1123" t="s">
        <v>16</v>
      </c>
      <c r="L1123" t="s">
        <v>17</v>
      </c>
      <c r="M1123" t="str">
        <f>REPLACE(Transactions!M1123,1,4,"")</f>
        <v>13</v>
      </c>
    </row>
    <row r="1124" spans="1:13" x14ac:dyDescent="0.2">
      <c r="A1124">
        <v>283720</v>
      </c>
      <c r="B1124" s="5">
        <v>44710</v>
      </c>
      <c r="C1124">
        <v>84419</v>
      </c>
      <c r="D1124" t="str">
        <f>PROPER(Transactions!D1124)</f>
        <v>Sports</v>
      </c>
      <c r="E1124" t="s">
        <v>168</v>
      </c>
      <c r="F1124" t="s">
        <v>169</v>
      </c>
      <c r="G1124">
        <v>4</v>
      </c>
      <c r="H1124">
        <v>6.29</v>
      </c>
      <c r="I1124" s="7">
        <f>IF(Transactions!I1124="",0,Transactions!I1124)</f>
        <v>0.3</v>
      </c>
      <c r="J1124" s="9">
        <f t="shared" si="17"/>
        <v>17.611999999999998</v>
      </c>
      <c r="K1124" t="s">
        <v>36</v>
      </c>
      <c r="L1124" t="s">
        <v>17</v>
      </c>
      <c r="M1124" t="str">
        <f>REPLACE(Transactions!M1124,1,4,"")</f>
        <v>3</v>
      </c>
    </row>
    <row r="1125" spans="1:13" x14ac:dyDescent="0.2">
      <c r="A1125">
        <v>284183</v>
      </c>
      <c r="B1125" s="5">
        <v>45637</v>
      </c>
      <c r="C1125">
        <v>39722</v>
      </c>
      <c r="D1125" t="str">
        <f>PROPER(Transactions!D1125)</f>
        <v>Sports</v>
      </c>
      <c r="E1125" t="s">
        <v>155</v>
      </c>
      <c r="F1125" t="s">
        <v>156</v>
      </c>
      <c r="G1125">
        <v>4</v>
      </c>
      <c r="H1125">
        <v>19.989999999999998</v>
      </c>
      <c r="I1125" s="7">
        <f>IF(Transactions!I1125="",0,Transactions!I1125)</f>
        <v>0</v>
      </c>
      <c r="J1125" s="9">
        <f t="shared" si="17"/>
        <v>79.959999999999994</v>
      </c>
      <c r="K1125" t="s">
        <v>95</v>
      </c>
      <c r="L1125" t="s">
        <v>23</v>
      </c>
      <c r="M1125" t="str">
        <f>REPLACE(Transactions!M1125,1,4,"")</f>
        <v>10</v>
      </c>
    </row>
    <row r="1126" spans="1:13" x14ac:dyDescent="0.2">
      <c r="A1126">
        <v>284514</v>
      </c>
      <c r="B1126" s="5">
        <v>44881</v>
      </c>
      <c r="C1126">
        <v>25132</v>
      </c>
      <c r="D1126" t="str">
        <f>PROPER(Transactions!D1126)</f>
        <v>Clothing</v>
      </c>
      <c r="E1126" t="s">
        <v>151</v>
      </c>
      <c r="F1126" t="s">
        <v>152</v>
      </c>
      <c r="G1126">
        <v>2</v>
      </c>
      <c r="H1126">
        <v>27.99</v>
      </c>
      <c r="I1126" s="7">
        <f>IF(Transactions!I1126="",0,Transactions!I1126)</f>
        <v>0.2</v>
      </c>
      <c r="J1126" s="9">
        <f t="shared" si="17"/>
        <v>44.783999999999999</v>
      </c>
      <c r="K1126" t="s">
        <v>16</v>
      </c>
      <c r="L1126" t="s">
        <v>23</v>
      </c>
      <c r="M1126" t="str">
        <f>REPLACE(Transactions!M1126,1,4,"")</f>
        <v>11</v>
      </c>
    </row>
    <row r="1127" spans="1:13" x14ac:dyDescent="0.2">
      <c r="A1127">
        <v>284742</v>
      </c>
      <c r="B1127" s="5">
        <v>44708</v>
      </c>
      <c r="C1127">
        <v>68742</v>
      </c>
      <c r="D1127" t="str">
        <f>PROPER(Transactions!D1127)</f>
        <v>Furniture</v>
      </c>
      <c r="E1127" t="s">
        <v>70</v>
      </c>
      <c r="F1127" t="s">
        <v>71</v>
      </c>
      <c r="G1127">
        <v>1</v>
      </c>
      <c r="H1127">
        <v>67.489999999999995</v>
      </c>
      <c r="I1127" s="7">
        <f>IF(Transactions!I1127="",0,Transactions!I1127)</f>
        <v>0.25</v>
      </c>
      <c r="J1127" s="9">
        <f t="shared" si="17"/>
        <v>50.617499999999993</v>
      </c>
      <c r="K1127" t="s">
        <v>16</v>
      </c>
      <c r="L1127" t="s">
        <v>17</v>
      </c>
      <c r="M1127" t="str">
        <f>REPLACE(Transactions!M1127,1,4,"")</f>
        <v>18</v>
      </c>
    </row>
    <row r="1128" spans="1:13" x14ac:dyDescent="0.2">
      <c r="A1128">
        <v>284753</v>
      </c>
      <c r="B1128" s="5">
        <v>44577</v>
      </c>
      <c r="C1128">
        <v>82081</v>
      </c>
      <c r="D1128" t="str">
        <f>PROPER(Transactions!D1128)</f>
        <v>Clothing</v>
      </c>
      <c r="E1128" t="s">
        <v>135</v>
      </c>
      <c r="F1128" t="s">
        <v>136</v>
      </c>
      <c r="G1128">
        <v>5</v>
      </c>
      <c r="H1128">
        <v>9.49</v>
      </c>
      <c r="I1128" s="7">
        <f>IF(Transactions!I1128="",0,Transactions!I1128)</f>
        <v>0.05</v>
      </c>
      <c r="J1128" s="9">
        <f t="shared" si="17"/>
        <v>45.077500000000001</v>
      </c>
      <c r="K1128" t="s">
        <v>16</v>
      </c>
      <c r="L1128" t="s">
        <v>37</v>
      </c>
      <c r="M1128" t="str">
        <f>REPLACE(Transactions!M1128,1,4,"")</f>
        <v>6</v>
      </c>
    </row>
    <row r="1129" spans="1:13" x14ac:dyDescent="0.2">
      <c r="A1129">
        <v>284855</v>
      </c>
      <c r="B1129" s="5">
        <v>44577</v>
      </c>
      <c r="C1129">
        <v>37534</v>
      </c>
      <c r="D1129" t="str">
        <f>PROPER(Transactions!D1129)</f>
        <v>Grocery</v>
      </c>
      <c r="E1129" t="s">
        <v>195</v>
      </c>
      <c r="F1129" t="s">
        <v>196</v>
      </c>
      <c r="G1129">
        <v>1</v>
      </c>
      <c r="H1129">
        <v>4.99</v>
      </c>
      <c r="I1129" s="7">
        <f>IF(Transactions!I1129="",0,Transactions!I1129)</f>
        <v>0</v>
      </c>
      <c r="J1129" s="9">
        <f t="shared" si="17"/>
        <v>4.99</v>
      </c>
      <c r="K1129" t="s">
        <v>32</v>
      </c>
      <c r="L1129" t="s">
        <v>23</v>
      </c>
      <c r="M1129" t="str">
        <f>REPLACE(Transactions!M1129,1,4,"")</f>
        <v>14</v>
      </c>
    </row>
    <row r="1130" spans="1:13" x14ac:dyDescent="0.2">
      <c r="A1130">
        <v>285018</v>
      </c>
      <c r="B1130" s="5">
        <v>45486</v>
      </c>
      <c r="C1130">
        <v>21042</v>
      </c>
      <c r="D1130" t="str">
        <f>PROPER(Transactions!D1130)</f>
        <v>Automotive</v>
      </c>
      <c r="E1130" t="s">
        <v>131</v>
      </c>
      <c r="F1130" t="s">
        <v>132</v>
      </c>
      <c r="G1130">
        <v>2</v>
      </c>
      <c r="H1130">
        <v>2.79</v>
      </c>
      <c r="I1130" s="7">
        <f>IF(Transactions!I1130="",0,Transactions!I1130)</f>
        <v>0.2</v>
      </c>
      <c r="J1130" s="9">
        <f t="shared" si="17"/>
        <v>4.4640000000000004</v>
      </c>
      <c r="K1130" t="s">
        <v>32</v>
      </c>
      <c r="L1130" t="s">
        <v>17</v>
      </c>
      <c r="M1130" t="str">
        <f>REPLACE(Transactions!M1130,1,4,"")</f>
        <v>10</v>
      </c>
    </row>
    <row r="1131" spans="1:13" x14ac:dyDescent="0.2">
      <c r="A1131">
        <v>285045</v>
      </c>
      <c r="B1131" s="5">
        <v>45379</v>
      </c>
      <c r="C1131">
        <v>25361</v>
      </c>
      <c r="D1131" t="str">
        <f>PROPER(Transactions!D1131)</f>
        <v>Furniture</v>
      </c>
      <c r="E1131" t="s">
        <v>70</v>
      </c>
      <c r="F1131" t="s">
        <v>71</v>
      </c>
      <c r="G1131">
        <v>1</v>
      </c>
      <c r="H1131">
        <v>76.489999999999995</v>
      </c>
      <c r="I1131" s="7">
        <f>IF(Transactions!I1131="",0,Transactions!I1131)</f>
        <v>0.15</v>
      </c>
      <c r="J1131" s="9">
        <f t="shared" si="17"/>
        <v>65.016499999999994</v>
      </c>
      <c r="K1131" t="s">
        <v>36</v>
      </c>
      <c r="L1131" t="s">
        <v>37</v>
      </c>
      <c r="M1131" t="str">
        <f>REPLACE(Transactions!M1131,1,4,"")</f>
        <v>18</v>
      </c>
    </row>
    <row r="1132" spans="1:13" x14ac:dyDescent="0.2">
      <c r="A1132">
        <v>285289</v>
      </c>
      <c r="B1132" s="5">
        <v>45304</v>
      </c>
      <c r="C1132">
        <v>35726</v>
      </c>
      <c r="D1132" t="str">
        <f>PROPER(Transactions!D1132)</f>
        <v>Electronics</v>
      </c>
      <c r="E1132" t="s">
        <v>127</v>
      </c>
      <c r="F1132" t="s">
        <v>128</v>
      </c>
      <c r="G1132">
        <v>2</v>
      </c>
      <c r="H1132">
        <v>19.989999999999998</v>
      </c>
      <c r="I1132" s="7">
        <f>IF(Transactions!I1132="",0,Transactions!I1132)</f>
        <v>0</v>
      </c>
      <c r="J1132" s="9">
        <f t="shared" si="17"/>
        <v>39.979999999999997</v>
      </c>
      <c r="K1132" t="s">
        <v>36</v>
      </c>
      <c r="L1132" t="s">
        <v>17</v>
      </c>
      <c r="M1132" t="str">
        <f>REPLACE(Transactions!M1132,1,4,"")</f>
        <v>18</v>
      </c>
    </row>
    <row r="1133" spans="1:13" x14ac:dyDescent="0.2">
      <c r="A1133">
        <v>285358</v>
      </c>
      <c r="B1133" s="5">
        <v>44894</v>
      </c>
      <c r="C1133">
        <v>12947</v>
      </c>
      <c r="D1133" t="str">
        <f>PROPER(Transactions!D1133)</f>
        <v>Automotive</v>
      </c>
      <c r="E1133" t="s">
        <v>131</v>
      </c>
      <c r="F1133" t="s">
        <v>132</v>
      </c>
      <c r="G1133">
        <v>1</v>
      </c>
      <c r="H1133">
        <v>2.79</v>
      </c>
      <c r="I1133" s="7">
        <f>IF(Transactions!I1133="",0,Transactions!I1133)</f>
        <v>0.2</v>
      </c>
      <c r="J1133" s="9">
        <f t="shared" si="17"/>
        <v>2.2320000000000002</v>
      </c>
      <c r="K1133" t="s">
        <v>16</v>
      </c>
      <c r="L1133" t="s">
        <v>37</v>
      </c>
      <c r="M1133" t="str">
        <f>REPLACE(Transactions!M1133,1,4,"")</f>
        <v>12</v>
      </c>
    </row>
    <row r="1134" spans="1:13" x14ac:dyDescent="0.2">
      <c r="A1134">
        <v>285771</v>
      </c>
      <c r="B1134" s="5">
        <v>44840</v>
      </c>
      <c r="C1134">
        <v>44363</v>
      </c>
      <c r="D1134" t="str">
        <f>PROPER(Transactions!D1134)</f>
        <v>Sports</v>
      </c>
      <c r="E1134" t="s">
        <v>168</v>
      </c>
      <c r="F1134" t="s">
        <v>169</v>
      </c>
      <c r="G1134">
        <v>1</v>
      </c>
      <c r="H1134">
        <v>7.19</v>
      </c>
      <c r="I1134" s="7">
        <f>IF(Transactions!I1134="",0,Transactions!I1134)</f>
        <v>0.2</v>
      </c>
      <c r="J1134" s="9">
        <f t="shared" si="17"/>
        <v>5.7520000000000007</v>
      </c>
      <c r="K1134" t="s">
        <v>22</v>
      </c>
      <c r="L1134" t="s">
        <v>37</v>
      </c>
      <c r="M1134" t="str">
        <f>REPLACE(Transactions!M1134,1,4,"")</f>
        <v>20</v>
      </c>
    </row>
    <row r="1135" spans="1:13" x14ac:dyDescent="0.2">
      <c r="A1135">
        <v>285825</v>
      </c>
      <c r="B1135" s="5">
        <v>45059</v>
      </c>
      <c r="C1135">
        <v>54364</v>
      </c>
      <c r="D1135" t="str">
        <f>PROPER(Transactions!D1135)</f>
        <v>Home &amp; Garden</v>
      </c>
      <c r="E1135" t="s">
        <v>157</v>
      </c>
      <c r="F1135" t="s">
        <v>158</v>
      </c>
      <c r="G1135">
        <v>4</v>
      </c>
      <c r="H1135">
        <v>13.49</v>
      </c>
      <c r="I1135" s="7">
        <f>IF(Transactions!I1135="",0,Transactions!I1135)</f>
        <v>0</v>
      </c>
      <c r="J1135" s="9">
        <f t="shared" si="17"/>
        <v>53.96</v>
      </c>
      <c r="K1135" t="s">
        <v>36</v>
      </c>
      <c r="L1135" t="s">
        <v>23</v>
      </c>
      <c r="M1135" t="str">
        <f>REPLACE(Transactions!M1135,1,4,"")</f>
        <v>1</v>
      </c>
    </row>
    <row r="1136" spans="1:13" x14ac:dyDescent="0.2">
      <c r="A1136">
        <v>286173</v>
      </c>
      <c r="B1136" s="5">
        <v>45251</v>
      </c>
      <c r="C1136">
        <v>51979</v>
      </c>
      <c r="D1136" t="str">
        <f>PROPER(Transactions!D1136)</f>
        <v>Sports</v>
      </c>
      <c r="E1136" t="s">
        <v>100</v>
      </c>
      <c r="F1136" t="s">
        <v>101</v>
      </c>
      <c r="G1136">
        <v>5</v>
      </c>
      <c r="H1136">
        <v>16.09</v>
      </c>
      <c r="I1136" s="7">
        <f>IF(Transactions!I1136="",0,Transactions!I1136)</f>
        <v>0.3</v>
      </c>
      <c r="J1136" s="9">
        <f t="shared" si="17"/>
        <v>56.314999999999998</v>
      </c>
      <c r="K1136" t="s">
        <v>16</v>
      </c>
      <c r="L1136" t="s">
        <v>37</v>
      </c>
      <c r="M1136" t="str">
        <f>REPLACE(Transactions!M1136,1,4,"")</f>
        <v>17</v>
      </c>
    </row>
    <row r="1137" spans="1:13" x14ac:dyDescent="0.2">
      <c r="A1137">
        <v>286260</v>
      </c>
      <c r="B1137" s="5">
        <v>45538</v>
      </c>
      <c r="C1137">
        <v>91955</v>
      </c>
      <c r="D1137" t="str">
        <f>PROPER(Transactions!D1137)</f>
        <v>Automotive</v>
      </c>
      <c r="E1137" t="s">
        <v>131</v>
      </c>
      <c r="F1137" t="s">
        <v>132</v>
      </c>
      <c r="G1137">
        <v>1</v>
      </c>
      <c r="H1137">
        <v>3.49</v>
      </c>
      <c r="I1137" s="7">
        <f>IF(Transactions!I1137="",0,Transactions!I1137)</f>
        <v>0</v>
      </c>
      <c r="J1137" s="9">
        <f t="shared" si="17"/>
        <v>3.49</v>
      </c>
      <c r="K1137" t="s">
        <v>36</v>
      </c>
      <c r="L1137" t="s">
        <v>17</v>
      </c>
      <c r="M1137" t="str">
        <f>REPLACE(Transactions!M1137,1,4,"")</f>
        <v>12</v>
      </c>
    </row>
    <row r="1138" spans="1:13" x14ac:dyDescent="0.2">
      <c r="A1138">
        <v>286638</v>
      </c>
      <c r="B1138" s="5">
        <v>45463</v>
      </c>
      <c r="C1138">
        <v>57728</v>
      </c>
      <c r="D1138" t="str">
        <f>PROPER(Transactions!D1138)</f>
        <v>Home &amp; Garden</v>
      </c>
      <c r="E1138" t="s">
        <v>145</v>
      </c>
      <c r="F1138" t="s">
        <v>146</v>
      </c>
      <c r="G1138">
        <v>1</v>
      </c>
      <c r="H1138">
        <v>14.44</v>
      </c>
      <c r="I1138" s="7">
        <f>IF(Transactions!I1138="",0,Transactions!I1138)</f>
        <v>0.15</v>
      </c>
      <c r="J1138" s="9">
        <f t="shared" si="17"/>
        <v>12.273999999999999</v>
      </c>
      <c r="K1138" t="s">
        <v>16</v>
      </c>
      <c r="L1138" t="s">
        <v>37</v>
      </c>
      <c r="M1138" t="str">
        <f>REPLACE(Transactions!M1138,1,4,"")</f>
        <v>13</v>
      </c>
    </row>
    <row r="1139" spans="1:13" x14ac:dyDescent="0.2">
      <c r="A1139">
        <v>286651</v>
      </c>
      <c r="B1139" s="5">
        <v>45167</v>
      </c>
      <c r="C1139">
        <v>90705</v>
      </c>
      <c r="D1139" t="str">
        <f>PROPER(Transactions!D1139)</f>
        <v>Beauty</v>
      </c>
      <c r="E1139" t="s">
        <v>49</v>
      </c>
      <c r="F1139" t="s">
        <v>50</v>
      </c>
      <c r="G1139">
        <v>3</v>
      </c>
      <c r="H1139">
        <v>6.29</v>
      </c>
      <c r="I1139" s="7">
        <f>IF(Transactions!I1139="",0,Transactions!I1139)</f>
        <v>0.3</v>
      </c>
      <c r="J1139" s="9">
        <f t="shared" si="17"/>
        <v>13.209</v>
      </c>
      <c r="K1139" t="s">
        <v>36</v>
      </c>
      <c r="L1139" t="s">
        <v>17</v>
      </c>
      <c r="M1139" t="str">
        <f>REPLACE(Transactions!M1139,1,4,"")</f>
        <v>10</v>
      </c>
    </row>
    <row r="1140" spans="1:13" x14ac:dyDescent="0.2">
      <c r="A1140">
        <v>286717</v>
      </c>
      <c r="B1140" s="5">
        <v>44735</v>
      </c>
      <c r="C1140">
        <v>65737</v>
      </c>
      <c r="D1140" t="str">
        <f>PROPER(Transactions!D1140)</f>
        <v>Sports</v>
      </c>
      <c r="E1140" t="s">
        <v>100</v>
      </c>
      <c r="F1140" t="s">
        <v>101</v>
      </c>
      <c r="G1140">
        <v>2</v>
      </c>
      <c r="H1140">
        <v>22.99</v>
      </c>
      <c r="I1140" s="7">
        <f>IF(Transactions!I1140="",0,Transactions!I1140)</f>
        <v>0</v>
      </c>
      <c r="J1140" s="9">
        <f t="shared" si="17"/>
        <v>45.98</v>
      </c>
      <c r="K1140" t="s">
        <v>16</v>
      </c>
      <c r="L1140" t="s">
        <v>17</v>
      </c>
      <c r="M1140" t="str">
        <f>REPLACE(Transactions!M1140,1,4,"")</f>
        <v>11</v>
      </c>
    </row>
    <row r="1141" spans="1:13" x14ac:dyDescent="0.2">
      <c r="A1141">
        <v>287215</v>
      </c>
      <c r="B1141" s="5">
        <v>44723</v>
      </c>
      <c r="C1141">
        <v>11956</v>
      </c>
      <c r="D1141" t="str">
        <f>PROPER(Transactions!D1141)</f>
        <v>Furniture</v>
      </c>
      <c r="E1141" t="s">
        <v>26</v>
      </c>
      <c r="F1141" t="s">
        <v>27</v>
      </c>
      <c r="G1141">
        <v>2</v>
      </c>
      <c r="H1141">
        <v>31.49</v>
      </c>
      <c r="I1141" s="7">
        <f>IF(Transactions!I1141="",0,Transactions!I1141)</f>
        <v>0.1</v>
      </c>
      <c r="J1141" s="9">
        <f t="shared" si="17"/>
        <v>56.681999999999995</v>
      </c>
      <c r="K1141" t="s">
        <v>36</v>
      </c>
      <c r="L1141" t="s">
        <v>23</v>
      </c>
      <c r="M1141" t="str">
        <f>REPLACE(Transactions!M1141,1,4,"")</f>
        <v>3</v>
      </c>
    </row>
    <row r="1142" spans="1:13" x14ac:dyDescent="0.2">
      <c r="A1142">
        <v>287343</v>
      </c>
      <c r="B1142" s="5">
        <v>44860</v>
      </c>
      <c r="C1142">
        <v>56620</v>
      </c>
      <c r="D1142" t="str">
        <f>PROPER(Transactions!D1142)</f>
        <v>Automotive</v>
      </c>
      <c r="E1142" t="s">
        <v>111</v>
      </c>
      <c r="F1142" t="s">
        <v>112</v>
      </c>
      <c r="G1142">
        <v>3</v>
      </c>
      <c r="H1142">
        <v>13.49</v>
      </c>
      <c r="I1142" s="7">
        <f>IF(Transactions!I1142="",0,Transactions!I1142)</f>
        <v>0.1</v>
      </c>
      <c r="J1142" s="9">
        <f t="shared" si="17"/>
        <v>36.423000000000002</v>
      </c>
      <c r="K1142" t="s">
        <v>16</v>
      </c>
      <c r="L1142" t="s">
        <v>37</v>
      </c>
      <c r="M1142" t="str">
        <f>REPLACE(Transactions!M1142,1,4,"")</f>
        <v>18</v>
      </c>
    </row>
    <row r="1143" spans="1:13" x14ac:dyDescent="0.2">
      <c r="A1143">
        <v>287409</v>
      </c>
      <c r="B1143" s="5">
        <v>45636</v>
      </c>
      <c r="C1143">
        <v>23887</v>
      </c>
      <c r="D1143" t="str">
        <f>PROPER(Transactions!D1143)</f>
        <v>Automotive</v>
      </c>
      <c r="E1143" t="s">
        <v>68</v>
      </c>
      <c r="F1143" t="s">
        <v>69</v>
      </c>
      <c r="G1143">
        <v>4</v>
      </c>
      <c r="H1143">
        <v>24.99</v>
      </c>
      <c r="I1143" s="7">
        <f>IF(Transactions!I1143="",0,Transactions!I1143)</f>
        <v>0</v>
      </c>
      <c r="J1143" s="9">
        <f t="shared" si="17"/>
        <v>99.96</v>
      </c>
      <c r="K1143" t="s">
        <v>22</v>
      </c>
      <c r="L1143" t="s">
        <v>17</v>
      </c>
      <c r="M1143" t="str">
        <f>REPLACE(Transactions!M1143,1,4,"")</f>
        <v>4</v>
      </c>
    </row>
    <row r="1144" spans="1:13" x14ac:dyDescent="0.2">
      <c r="A1144">
        <v>287820</v>
      </c>
      <c r="B1144" s="5">
        <v>45234</v>
      </c>
      <c r="C1144">
        <v>22702</v>
      </c>
      <c r="D1144" t="str">
        <f>PROPER(Transactions!D1144)</f>
        <v>Sports</v>
      </c>
      <c r="E1144" t="s">
        <v>168</v>
      </c>
      <c r="F1144" t="s">
        <v>169</v>
      </c>
      <c r="G1144">
        <v>2</v>
      </c>
      <c r="H1144">
        <v>6.74</v>
      </c>
      <c r="I1144" s="7">
        <f>IF(Transactions!I1144="",0,Transactions!I1144)</f>
        <v>0.25</v>
      </c>
      <c r="J1144" s="9">
        <f t="shared" si="17"/>
        <v>10.11</v>
      </c>
      <c r="K1144" t="s">
        <v>36</v>
      </c>
      <c r="L1144" t="s">
        <v>17</v>
      </c>
      <c r="M1144" t="str">
        <f>REPLACE(Transactions!M1144,1,4,"")</f>
        <v>13</v>
      </c>
    </row>
    <row r="1145" spans="1:13" x14ac:dyDescent="0.2">
      <c r="A1145">
        <v>288273</v>
      </c>
      <c r="B1145" s="5">
        <v>44686</v>
      </c>
      <c r="C1145">
        <v>38404</v>
      </c>
      <c r="D1145" t="str">
        <f>PROPER(Transactions!D1145)</f>
        <v>Sports</v>
      </c>
      <c r="E1145" t="s">
        <v>188</v>
      </c>
      <c r="F1145" t="s">
        <v>189</v>
      </c>
      <c r="G1145">
        <v>2</v>
      </c>
      <c r="H1145">
        <v>44.99</v>
      </c>
      <c r="I1145" s="7">
        <f>IF(Transactions!I1145="",0,Transactions!I1145)</f>
        <v>0</v>
      </c>
      <c r="J1145" s="9">
        <f t="shared" si="17"/>
        <v>89.98</v>
      </c>
      <c r="K1145" t="s">
        <v>16</v>
      </c>
      <c r="L1145" t="s">
        <v>23</v>
      </c>
      <c r="M1145" t="str">
        <f>REPLACE(Transactions!M1145,1,4,"")</f>
        <v>13</v>
      </c>
    </row>
    <row r="1146" spans="1:13" x14ac:dyDescent="0.2">
      <c r="A1146">
        <v>288641</v>
      </c>
      <c r="B1146" s="5">
        <v>44882</v>
      </c>
      <c r="C1146">
        <v>56732</v>
      </c>
      <c r="D1146" t="str">
        <f>PROPER(Transactions!D1146)</f>
        <v>Toys</v>
      </c>
      <c r="E1146" t="s">
        <v>175</v>
      </c>
      <c r="F1146" t="s">
        <v>176</v>
      </c>
      <c r="G1146">
        <v>4</v>
      </c>
      <c r="H1146">
        <v>11.99</v>
      </c>
      <c r="I1146" s="7">
        <f>IF(Transactions!I1146="",0,Transactions!I1146)</f>
        <v>0</v>
      </c>
      <c r="J1146" s="9">
        <f t="shared" si="17"/>
        <v>47.96</v>
      </c>
      <c r="K1146" t="s">
        <v>36</v>
      </c>
      <c r="L1146" t="s">
        <v>37</v>
      </c>
      <c r="M1146" t="str">
        <f>REPLACE(Transactions!M1146,1,4,"")</f>
        <v>11</v>
      </c>
    </row>
    <row r="1147" spans="1:13" x14ac:dyDescent="0.2">
      <c r="A1147">
        <v>288709</v>
      </c>
      <c r="B1147" s="5">
        <v>45010</v>
      </c>
      <c r="C1147">
        <v>54693</v>
      </c>
      <c r="D1147" t="str">
        <f>PROPER(Transactions!D1147)</f>
        <v>Sports</v>
      </c>
      <c r="E1147" t="s">
        <v>168</v>
      </c>
      <c r="F1147" t="s">
        <v>169</v>
      </c>
      <c r="G1147">
        <v>4</v>
      </c>
      <c r="H1147">
        <v>8.09</v>
      </c>
      <c r="I1147" s="7">
        <f>IF(Transactions!I1147="",0,Transactions!I1147)</f>
        <v>0.1</v>
      </c>
      <c r="J1147" s="9">
        <f t="shared" si="17"/>
        <v>29.123999999999999</v>
      </c>
      <c r="K1147" t="s">
        <v>66</v>
      </c>
      <c r="L1147" t="s">
        <v>23</v>
      </c>
      <c r="M1147" t="str">
        <f>REPLACE(Transactions!M1147,1,4,"")</f>
        <v>5</v>
      </c>
    </row>
    <row r="1148" spans="1:13" x14ac:dyDescent="0.2">
      <c r="A1148">
        <v>288777</v>
      </c>
      <c r="B1148" s="5">
        <v>45070</v>
      </c>
      <c r="C1148">
        <v>48155</v>
      </c>
      <c r="D1148" t="str">
        <f>PROPER(Transactions!D1148)</f>
        <v>Toys</v>
      </c>
      <c r="E1148" t="s">
        <v>170</v>
      </c>
      <c r="F1148" t="s">
        <v>171</v>
      </c>
      <c r="G1148">
        <v>1</v>
      </c>
      <c r="H1148">
        <v>11.24</v>
      </c>
      <c r="I1148" s="7">
        <f>IF(Transactions!I1148="",0,Transactions!I1148)</f>
        <v>0.25</v>
      </c>
      <c r="J1148" s="9">
        <f t="shared" si="17"/>
        <v>8.43</v>
      </c>
      <c r="K1148" t="s">
        <v>95</v>
      </c>
      <c r="L1148" t="s">
        <v>17</v>
      </c>
      <c r="M1148" t="str">
        <f>REPLACE(Transactions!M1148,1,4,"")</f>
        <v>3</v>
      </c>
    </row>
    <row r="1149" spans="1:13" x14ac:dyDescent="0.2">
      <c r="A1149">
        <v>288856</v>
      </c>
      <c r="B1149" s="5">
        <v>45354</v>
      </c>
      <c r="C1149">
        <v>32590</v>
      </c>
      <c r="D1149" t="str">
        <f>PROPER(Transactions!D1149)</f>
        <v>Automotive</v>
      </c>
      <c r="E1149" t="s">
        <v>111</v>
      </c>
      <c r="F1149" t="s">
        <v>112</v>
      </c>
      <c r="G1149">
        <v>2</v>
      </c>
      <c r="H1149">
        <v>14.99</v>
      </c>
      <c r="I1149" s="7">
        <f>IF(Transactions!I1149="",0,Transactions!I1149)</f>
        <v>0</v>
      </c>
      <c r="J1149" s="9">
        <f t="shared" si="17"/>
        <v>29.98</v>
      </c>
      <c r="K1149" t="s">
        <v>22</v>
      </c>
      <c r="L1149" t="s">
        <v>17</v>
      </c>
      <c r="M1149" t="str">
        <f>REPLACE(Transactions!M1149,1,4,"")</f>
        <v>6</v>
      </c>
    </row>
    <row r="1150" spans="1:13" x14ac:dyDescent="0.2">
      <c r="A1150">
        <v>289051</v>
      </c>
      <c r="B1150" s="5">
        <v>45427</v>
      </c>
      <c r="C1150">
        <v>63951</v>
      </c>
      <c r="D1150" t="str">
        <f>PROPER(Transactions!D1150)</f>
        <v>Sports</v>
      </c>
      <c r="E1150" t="s">
        <v>155</v>
      </c>
      <c r="F1150" t="s">
        <v>156</v>
      </c>
      <c r="G1150">
        <v>1</v>
      </c>
      <c r="H1150">
        <v>16.989999999999998</v>
      </c>
      <c r="I1150" s="7">
        <f>IF(Transactions!I1150="",0,Transactions!I1150)</f>
        <v>0.15</v>
      </c>
      <c r="J1150" s="9">
        <f t="shared" si="17"/>
        <v>14.441499999999998</v>
      </c>
      <c r="K1150" t="s">
        <v>16</v>
      </c>
      <c r="L1150" t="s">
        <v>37</v>
      </c>
      <c r="M1150" t="str">
        <f>REPLACE(Transactions!M1150,1,4,"")</f>
        <v>12</v>
      </c>
    </row>
    <row r="1151" spans="1:13" x14ac:dyDescent="0.2">
      <c r="A1151">
        <v>289096</v>
      </c>
      <c r="B1151" s="5">
        <v>44627</v>
      </c>
      <c r="C1151">
        <v>15930</v>
      </c>
      <c r="D1151" t="str">
        <f>PROPER(Transactions!D1151)</f>
        <v>Automotive</v>
      </c>
      <c r="E1151" t="s">
        <v>131</v>
      </c>
      <c r="F1151" t="s">
        <v>132</v>
      </c>
      <c r="G1151">
        <v>3</v>
      </c>
      <c r="H1151">
        <v>2.62</v>
      </c>
      <c r="I1151" s="7">
        <f>IF(Transactions!I1151="",0,Transactions!I1151)</f>
        <v>0.25</v>
      </c>
      <c r="J1151" s="9">
        <f t="shared" si="17"/>
        <v>5.8950000000000005</v>
      </c>
      <c r="K1151" t="s">
        <v>22</v>
      </c>
      <c r="L1151" t="s">
        <v>17</v>
      </c>
      <c r="M1151" t="str">
        <f>REPLACE(Transactions!M1151,1,4,"")</f>
        <v>12</v>
      </c>
    </row>
    <row r="1152" spans="1:13" x14ac:dyDescent="0.2">
      <c r="A1152">
        <v>289350</v>
      </c>
      <c r="B1152" s="5">
        <v>45274</v>
      </c>
      <c r="D1152" t="str">
        <f>PROPER(Transactions!D1152)</f>
        <v>Pharmacy</v>
      </c>
      <c r="E1152" t="s">
        <v>41</v>
      </c>
      <c r="F1152" t="s">
        <v>42</v>
      </c>
      <c r="G1152">
        <v>1</v>
      </c>
      <c r="H1152">
        <v>4.79</v>
      </c>
      <c r="I1152" s="7">
        <f>IF(Transactions!I1152="",0,Transactions!I1152)</f>
        <v>0.2</v>
      </c>
      <c r="J1152" s="9">
        <f t="shared" si="17"/>
        <v>3.8320000000000003</v>
      </c>
      <c r="K1152" t="s">
        <v>16</v>
      </c>
      <c r="L1152" t="s">
        <v>17</v>
      </c>
      <c r="M1152" t="str">
        <f>REPLACE(Transactions!M1152,1,4,"")</f>
        <v>20</v>
      </c>
    </row>
    <row r="1153" spans="1:13" x14ac:dyDescent="0.2">
      <c r="A1153">
        <v>289430</v>
      </c>
      <c r="B1153" s="5">
        <v>44753</v>
      </c>
      <c r="C1153">
        <v>83825</v>
      </c>
      <c r="D1153" t="str">
        <f>PROPER(Transactions!D1153)</f>
        <v>Grocery</v>
      </c>
      <c r="E1153" t="s">
        <v>74</v>
      </c>
      <c r="F1153" t="s">
        <v>75</v>
      </c>
      <c r="G1153">
        <v>4</v>
      </c>
      <c r="H1153">
        <v>2.84</v>
      </c>
      <c r="I1153" s="7">
        <f>IF(Transactions!I1153="",0,Transactions!I1153)</f>
        <v>0.05</v>
      </c>
      <c r="J1153" s="9">
        <f t="shared" si="17"/>
        <v>10.792</v>
      </c>
      <c r="K1153" t="s">
        <v>32</v>
      </c>
      <c r="L1153" t="s">
        <v>37</v>
      </c>
      <c r="M1153" t="str">
        <f>REPLACE(Transactions!M1153,1,4,"")</f>
        <v>4</v>
      </c>
    </row>
    <row r="1154" spans="1:13" x14ac:dyDescent="0.2">
      <c r="A1154">
        <v>289631</v>
      </c>
      <c r="B1154" s="5">
        <v>45452</v>
      </c>
      <c r="C1154">
        <v>77859</v>
      </c>
      <c r="D1154" t="str">
        <f>PROPER(Transactions!D1154)</f>
        <v>Electronics</v>
      </c>
      <c r="E1154" t="s">
        <v>79</v>
      </c>
      <c r="F1154" t="s">
        <v>80</v>
      </c>
      <c r="G1154">
        <v>1</v>
      </c>
      <c r="H1154">
        <v>89.99</v>
      </c>
      <c r="I1154" s="7">
        <f>IF(Transactions!I1154="",0,Transactions!I1154)</f>
        <v>0</v>
      </c>
      <c r="J1154" s="9">
        <f t="shared" si="17"/>
        <v>89.99</v>
      </c>
      <c r="K1154" t="s">
        <v>36</v>
      </c>
      <c r="L1154" t="s">
        <v>17</v>
      </c>
      <c r="M1154" t="str">
        <f>REPLACE(Transactions!M1154,1,4,"")</f>
        <v>7</v>
      </c>
    </row>
    <row r="1155" spans="1:13" x14ac:dyDescent="0.2">
      <c r="A1155">
        <v>289880</v>
      </c>
      <c r="B1155" s="5">
        <v>45375</v>
      </c>
      <c r="C1155">
        <v>28601</v>
      </c>
      <c r="D1155" t="str">
        <f>PROPER(Transactions!D1155)</f>
        <v>Grocery</v>
      </c>
      <c r="E1155" t="s">
        <v>74</v>
      </c>
      <c r="F1155" t="s">
        <v>75</v>
      </c>
      <c r="G1155">
        <v>1</v>
      </c>
      <c r="H1155">
        <v>2.99</v>
      </c>
      <c r="I1155" s="7">
        <f>IF(Transactions!I1155="",0,Transactions!I1155)</f>
        <v>0</v>
      </c>
      <c r="J1155" s="9">
        <f t="shared" ref="J1155:J1218" si="18">(H1155*G1155)*(1-I1155)</f>
        <v>2.99</v>
      </c>
      <c r="K1155" t="s">
        <v>22</v>
      </c>
      <c r="L1155" t="s">
        <v>17</v>
      </c>
      <c r="M1155" t="str">
        <f>REPLACE(Transactions!M1155,1,4,"")</f>
        <v>15</v>
      </c>
    </row>
    <row r="1156" spans="1:13" x14ac:dyDescent="0.2">
      <c r="A1156">
        <v>289931</v>
      </c>
      <c r="B1156" s="5">
        <v>44676</v>
      </c>
      <c r="C1156">
        <v>14764</v>
      </c>
      <c r="D1156" t="str">
        <f>PROPER(Transactions!D1156)</f>
        <v>Pharmacy</v>
      </c>
      <c r="E1156" t="s">
        <v>20</v>
      </c>
      <c r="F1156" t="s">
        <v>21</v>
      </c>
      <c r="G1156">
        <v>2</v>
      </c>
      <c r="H1156">
        <v>9.99</v>
      </c>
      <c r="I1156" s="7">
        <f>IF(Transactions!I1156="",0,Transactions!I1156)</f>
        <v>0</v>
      </c>
      <c r="J1156" s="9">
        <f t="shared" si="18"/>
        <v>19.98</v>
      </c>
      <c r="K1156" t="s">
        <v>16</v>
      </c>
      <c r="L1156" t="s">
        <v>37</v>
      </c>
      <c r="M1156" t="str">
        <f>REPLACE(Transactions!M1156,1,4,"")</f>
        <v>4</v>
      </c>
    </row>
    <row r="1157" spans="1:13" x14ac:dyDescent="0.2">
      <c r="A1157">
        <v>290000</v>
      </c>
      <c r="B1157" s="5">
        <v>44730</v>
      </c>
      <c r="C1157">
        <v>91824</v>
      </c>
      <c r="D1157" t="str">
        <f>PROPER(Transactions!D1157)</f>
        <v>Electronics</v>
      </c>
      <c r="E1157" t="s">
        <v>79</v>
      </c>
      <c r="F1157" t="s">
        <v>80</v>
      </c>
      <c r="G1157">
        <v>4</v>
      </c>
      <c r="H1157">
        <v>85.49</v>
      </c>
      <c r="I1157" s="7">
        <f>IF(Transactions!I1157="",0,Transactions!I1157)</f>
        <v>0.05</v>
      </c>
      <c r="J1157" s="9">
        <f t="shared" si="18"/>
        <v>324.86199999999997</v>
      </c>
      <c r="K1157" t="s">
        <v>22</v>
      </c>
      <c r="L1157" t="s">
        <v>17</v>
      </c>
      <c r="M1157" t="str">
        <f>REPLACE(Transactions!M1157,1,4,"")</f>
        <v>8</v>
      </c>
    </row>
    <row r="1158" spans="1:13" x14ac:dyDescent="0.2">
      <c r="A1158">
        <v>290177</v>
      </c>
      <c r="B1158" s="5">
        <v>45293</v>
      </c>
      <c r="C1158">
        <v>79622</v>
      </c>
      <c r="D1158" t="str">
        <f>PROPER(Transactions!D1158)</f>
        <v>Pharmacy</v>
      </c>
      <c r="E1158" t="s">
        <v>115</v>
      </c>
      <c r="F1158" t="s">
        <v>116</v>
      </c>
      <c r="G1158">
        <v>1</v>
      </c>
      <c r="H1158">
        <v>9.74</v>
      </c>
      <c r="I1158" s="7">
        <f>IF(Transactions!I1158="",0,Transactions!I1158)</f>
        <v>0.25</v>
      </c>
      <c r="J1158" s="9">
        <f t="shared" si="18"/>
        <v>7.3049999999999997</v>
      </c>
      <c r="K1158" t="s">
        <v>16</v>
      </c>
      <c r="L1158" t="s">
        <v>17</v>
      </c>
      <c r="M1158" t="str">
        <f>REPLACE(Transactions!M1158,1,4,"")</f>
        <v>12</v>
      </c>
    </row>
    <row r="1159" spans="1:13" x14ac:dyDescent="0.2">
      <c r="A1159">
        <v>290411</v>
      </c>
      <c r="B1159" s="5">
        <v>45640</v>
      </c>
      <c r="C1159">
        <v>39803</v>
      </c>
      <c r="D1159" t="str">
        <f>PROPER(Transactions!D1159)</f>
        <v>Grocery</v>
      </c>
      <c r="E1159" t="s">
        <v>190</v>
      </c>
      <c r="F1159" t="s">
        <v>191</v>
      </c>
      <c r="G1159">
        <v>2</v>
      </c>
      <c r="H1159">
        <v>4.29</v>
      </c>
      <c r="I1159" s="7">
        <f>IF(Transactions!I1159="",0,Transactions!I1159)</f>
        <v>0</v>
      </c>
      <c r="J1159" s="9">
        <f t="shared" si="18"/>
        <v>8.58</v>
      </c>
      <c r="K1159" t="s">
        <v>16</v>
      </c>
      <c r="L1159" t="s">
        <v>17</v>
      </c>
      <c r="M1159" t="str">
        <f>REPLACE(Transactions!M1159,1,4,"")</f>
        <v>8</v>
      </c>
    </row>
    <row r="1160" spans="1:13" x14ac:dyDescent="0.2">
      <c r="A1160">
        <v>290458</v>
      </c>
      <c r="B1160" s="5">
        <v>45002</v>
      </c>
      <c r="C1160">
        <v>51513</v>
      </c>
      <c r="D1160" t="str">
        <f>PROPER(Transactions!D1160)</f>
        <v>Pharmacy</v>
      </c>
      <c r="E1160" t="s">
        <v>58</v>
      </c>
      <c r="F1160" t="s">
        <v>59</v>
      </c>
      <c r="G1160">
        <v>3</v>
      </c>
      <c r="H1160">
        <v>2.99</v>
      </c>
      <c r="I1160" s="7">
        <f>IF(Transactions!I1160="",0,Transactions!I1160)</f>
        <v>0.25</v>
      </c>
      <c r="J1160" s="9">
        <f t="shared" si="18"/>
        <v>6.7275000000000009</v>
      </c>
      <c r="K1160" t="s">
        <v>22</v>
      </c>
      <c r="L1160" t="s">
        <v>17</v>
      </c>
      <c r="M1160" t="str">
        <f>REPLACE(Transactions!M1160,1,4,"")</f>
        <v>16</v>
      </c>
    </row>
    <row r="1161" spans="1:13" x14ac:dyDescent="0.2">
      <c r="A1161">
        <v>290608</v>
      </c>
      <c r="B1161" s="5">
        <v>44694</v>
      </c>
      <c r="C1161">
        <v>43455</v>
      </c>
      <c r="D1161" t="str">
        <f>PROPER(Transactions!D1161)</f>
        <v>Furniture</v>
      </c>
      <c r="E1161" t="s">
        <v>113</v>
      </c>
      <c r="F1161" t="s">
        <v>114</v>
      </c>
      <c r="G1161">
        <v>1</v>
      </c>
      <c r="H1161">
        <v>107.99</v>
      </c>
      <c r="I1161" s="7">
        <f>IF(Transactions!I1161="",0,Transactions!I1161)</f>
        <v>0.1</v>
      </c>
      <c r="J1161" s="9">
        <f t="shared" si="18"/>
        <v>97.191000000000003</v>
      </c>
      <c r="K1161" t="s">
        <v>36</v>
      </c>
      <c r="L1161" t="s">
        <v>37</v>
      </c>
      <c r="M1161" t="str">
        <f>REPLACE(Transactions!M1161,1,4,"")</f>
        <v>15</v>
      </c>
    </row>
    <row r="1162" spans="1:13" x14ac:dyDescent="0.2">
      <c r="A1162">
        <v>290666</v>
      </c>
      <c r="B1162" s="5">
        <v>45304</v>
      </c>
      <c r="C1162">
        <v>98049</v>
      </c>
      <c r="D1162" t="str">
        <f>PROPER(Transactions!D1162)</f>
        <v>Grocery</v>
      </c>
      <c r="E1162" t="s">
        <v>184</v>
      </c>
      <c r="F1162" t="s">
        <v>185</v>
      </c>
      <c r="G1162">
        <v>2</v>
      </c>
      <c r="H1162">
        <v>4.12</v>
      </c>
      <c r="I1162" s="7">
        <f>IF(Transactions!I1162="",0,Transactions!I1162)</f>
        <v>0.25</v>
      </c>
      <c r="J1162" s="9">
        <f t="shared" si="18"/>
        <v>6.18</v>
      </c>
      <c r="K1162" t="s">
        <v>36</v>
      </c>
      <c r="L1162" t="s">
        <v>17</v>
      </c>
      <c r="M1162" t="str">
        <f>REPLACE(Transactions!M1162,1,4,"")</f>
        <v>3</v>
      </c>
    </row>
    <row r="1163" spans="1:13" x14ac:dyDescent="0.2">
      <c r="A1163">
        <v>290755</v>
      </c>
      <c r="B1163" s="5">
        <v>44759</v>
      </c>
      <c r="C1163">
        <v>29531</v>
      </c>
      <c r="D1163" t="str">
        <f>PROPER(Transactions!D1163)</f>
        <v>Sports</v>
      </c>
      <c r="E1163" t="s">
        <v>155</v>
      </c>
      <c r="F1163" t="s">
        <v>156</v>
      </c>
      <c r="G1163">
        <v>3</v>
      </c>
      <c r="H1163">
        <v>14.99</v>
      </c>
      <c r="I1163" s="7">
        <f>IF(Transactions!I1163="",0,Transactions!I1163)</f>
        <v>0.25</v>
      </c>
      <c r="J1163" s="9">
        <f t="shared" si="18"/>
        <v>33.727499999999999</v>
      </c>
      <c r="K1163" t="s">
        <v>16</v>
      </c>
      <c r="L1163" t="s">
        <v>17</v>
      </c>
      <c r="M1163" t="str">
        <f>REPLACE(Transactions!M1163,1,4,"")</f>
        <v>13</v>
      </c>
    </row>
    <row r="1164" spans="1:13" x14ac:dyDescent="0.2">
      <c r="A1164">
        <v>290885</v>
      </c>
      <c r="B1164" s="5">
        <v>45460</v>
      </c>
      <c r="C1164">
        <v>56548</v>
      </c>
      <c r="D1164" t="str">
        <f>PROPER(Transactions!D1164)</f>
        <v>Grocery</v>
      </c>
      <c r="E1164" t="s">
        <v>107</v>
      </c>
      <c r="F1164" t="s">
        <v>108</v>
      </c>
      <c r="G1164">
        <v>4</v>
      </c>
      <c r="H1164">
        <v>2.62</v>
      </c>
      <c r="I1164" s="7">
        <f>IF(Transactions!I1164="",0,Transactions!I1164)</f>
        <v>0.25</v>
      </c>
      <c r="J1164" s="9">
        <f t="shared" si="18"/>
        <v>7.86</v>
      </c>
      <c r="K1164" t="s">
        <v>36</v>
      </c>
      <c r="L1164" t="s">
        <v>17</v>
      </c>
      <c r="M1164" t="str">
        <f>REPLACE(Transactions!M1164,1,4,"")</f>
        <v>19</v>
      </c>
    </row>
    <row r="1165" spans="1:13" x14ac:dyDescent="0.2">
      <c r="A1165">
        <v>290961</v>
      </c>
      <c r="B1165" s="5">
        <v>45182</v>
      </c>
      <c r="C1165">
        <v>42505</v>
      </c>
      <c r="D1165" t="str">
        <f>PROPER(Transactions!D1165)</f>
        <v>Furniture</v>
      </c>
      <c r="E1165" t="s">
        <v>113</v>
      </c>
      <c r="F1165" t="s">
        <v>114</v>
      </c>
      <c r="G1165">
        <v>2</v>
      </c>
      <c r="H1165">
        <v>119.99</v>
      </c>
      <c r="I1165" s="7">
        <f>IF(Transactions!I1165="",0,Transactions!I1165)</f>
        <v>0</v>
      </c>
      <c r="J1165" s="9">
        <f t="shared" si="18"/>
        <v>239.98</v>
      </c>
      <c r="K1165" t="s">
        <v>22</v>
      </c>
      <c r="L1165" t="s">
        <v>17</v>
      </c>
      <c r="M1165" t="str">
        <f>REPLACE(Transactions!M1165,1,4,"")</f>
        <v>15</v>
      </c>
    </row>
    <row r="1166" spans="1:13" x14ac:dyDescent="0.2">
      <c r="A1166">
        <v>291251</v>
      </c>
      <c r="B1166" s="5">
        <v>45373</v>
      </c>
      <c r="C1166">
        <v>33711</v>
      </c>
      <c r="D1166" t="str">
        <f>PROPER(Transactions!D1166)</f>
        <v>Automotive</v>
      </c>
      <c r="E1166" t="s">
        <v>111</v>
      </c>
      <c r="F1166" t="s">
        <v>112</v>
      </c>
      <c r="G1166">
        <v>1</v>
      </c>
      <c r="H1166">
        <v>14.99</v>
      </c>
      <c r="I1166" s="7">
        <f>IF(Transactions!I1166="",0,Transactions!I1166)</f>
        <v>0</v>
      </c>
      <c r="J1166" s="9">
        <f t="shared" si="18"/>
        <v>14.99</v>
      </c>
      <c r="K1166" t="s">
        <v>36</v>
      </c>
      <c r="L1166" t="s">
        <v>37</v>
      </c>
      <c r="M1166" t="str">
        <f>REPLACE(Transactions!M1166,1,4,"")</f>
        <v>10</v>
      </c>
    </row>
    <row r="1167" spans="1:13" x14ac:dyDescent="0.2">
      <c r="A1167">
        <v>291657</v>
      </c>
      <c r="B1167" s="5">
        <v>44601</v>
      </c>
      <c r="C1167">
        <v>47568</v>
      </c>
      <c r="D1167" t="str">
        <f>PROPER(Transactions!D1167)</f>
        <v>Electronics</v>
      </c>
      <c r="E1167" t="s">
        <v>55</v>
      </c>
      <c r="F1167" t="s">
        <v>56</v>
      </c>
      <c r="G1167">
        <v>1</v>
      </c>
      <c r="H1167">
        <v>329.99</v>
      </c>
      <c r="I1167" s="7">
        <f>IF(Transactions!I1167="",0,Transactions!I1167)</f>
        <v>0</v>
      </c>
      <c r="J1167" s="9">
        <f t="shared" si="18"/>
        <v>329.99</v>
      </c>
      <c r="K1167" t="s">
        <v>16</v>
      </c>
      <c r="L1167" t="s">
        <v>17</v>
      </c>
      <c r="M1167" t="str">
        <f>REPLACE(Transactions!M1167,1,4,"")</f>
        <v>3</v>
      </c>
    </row>
    <row r="1168" spans="1:13" x14ac:dyDescent="0.2">
      <c r="A1168">
        <v>291677</v>
      </c>
      <c r="B1168" s="5">
        <v>45499</v>
      </c>
      <c r="C1168">
        <v>13873</v>
      </c>
      <c r="D1168" t="str">
        <f>PROPER(Transactions!D1168)</f>
        <v>Sports</v>
      </c>
      <c r="E1168" t="s">
        <v>168</v>
      </c>
      <c r="F1168" t="s">
        <v>169</v>
      </c>
      <c r="G1168">
        <v>2</v>
      </c>
      <c r="H1168">
        <v>8.99</v>
      </c>
      <c r="I1168" s="7">
        <f>IF(Transactions!I1168="",0,Transactions!I1168)</f>
        <v>0</v>
      </c>
      <c r="J1168" s="9">
        <f t="shared" si="18"/>
        <v>17.98</v>
      </c>
      <c r="K1168" t="s">
        <v>66</v>
      </c>
      <c r="L1168" t="s">
        <v>17</v>
      </c>
      <c r="M1168" t="str">
        <f>REPLACE(Transactions!M1168,1,4,"")</f>
        <v>11</v>
      </c>
    </row>
    <row r="1169" spans="1:13" x14ac:dyDescent="0.2">
      <c r="A1169">
        <v>292111</v>
      </c>
      <c r="B1169" s="5">
        <v>45108</v>
      </c>
      <c r="C1169">
        <v>53537</v>
      </c>
      <c r="D1169" t="str">
        <f>PROPER(Transactions!D1169)</f>
        <v>Toys</v>
      </c>
      <c r="E1169" t="s">
        <v>30</v>
      </c>
      <c r="F1169" t="s">
        <v>31</v>
      </c>
      <c r="G1169">
        <v>2</v>
      </c>
      <c r="H1169">
        <v>18.739999999999998</v>
      </c>
      <c r="I1169" s="7">
        <f>IF(Transactions!I1169="",0,Transactions!I1169)</f>
        <v>0.25</v>
      </c>
      <c r="J1169" s="9">
        <f t="shared" si="18"/>
        <v>28.11</v>
      </c>
      <c r="K1169" t="s">
        <v>16</v>
      </c>
      <c r="L1169" t="s">
        <v>17</v>
      </c>
      <c r="M1169" t="str">
        <f>REPLACE(Transactions!M1169,1,4,"")</f>
        <v>1</v>
      </c>
    </row>
    <row r="1170" spans="1:13" x14ac:dyDescent="0.2">
      <c r="A1170">
        <v>292329</v>
      </c>
      <c r="B1170" s="5">
        <v>44604</v>
      </c>
      <c r="C1170">
        <v>14947</v>
      </c>
      <c r="D1170" t="str">
        <f>PROPER(Transactions!D1170)</f>
        <v>Grocery</v>
      </c>
      <c r="E1170" t="s">
        <v>93</v>
      </c>
      <c r="F1170" t="s">
        <v>94</v>
      </c>
      <c r="G1170">
        <v>2</v>
      </c>
      <c r="H1170">
        <v>1.23</v>
      </c>
      <c r="I1170" s="7">
        <f>IF(Transactions!I1170="",0,Transactions!I1170)</f>
        <v>0.05</v>
      </c>
      <c r="J1170" s="9">
        <f t="shared" si="18"/>
        <v>2.3369999999999997</v>
      </c>
      <c r="K1170" t="s">
        <v>16</v>
      </c>
      <c r="L1170" t="s">
        <v>17</v>
      </c>
      <c r="M1170" t="str">
        <f>REPLACE(Transactions!M1170,1,4,"")</f>
        <v>17</v>
      </c>
    </row>
    <row r="1171" spans="1:13" x14ac:dyDescent="0.2">
      <c r="A1171">
        <v>292478</v>
      </c>
      <c r="B1171" s="5">
        <v>45219</v>
      </c>
      <c r="C1171">
        <v>22519</v>
      </c>
      <c r="D1171" t="str">
        <f>PROPER(Transactions!D1171)</f>
        <v>Furniture</v>
      </c>
      <c r="E1171" t="s">
        <v>26</v>
      </c>
      <c r="F1171" t="s">
        <v>27</v>
      </c>
      <c r="G1171">
        <v>3</v>
      </c>
      <c r="H1171">
        <v>34.99</v>
      </c>
      <c r="I1171" s="7">
        <f>IF(Transactions!I1171="",0,Transactions!I1171)</f>
        <v>0</v>
      </c>
      <c r="J1171" s="9">
        <f t="shared" si="18"/>
        <v>104.97</v>
      </c>
      <c r="K1171" t="s">
        <v>22</v>
      </c>
      <c r="L1171" t="s">
        <v>17</v>
      </c>
      <c r="M1171" t="str">
        <f>REPLACE(Transactions!M1171,1,4,"")</f>
        <v>1</v>
      </c>
    </row>
    <row r="1172" spans="1:13" x14ac:dyDescent="0.2">
      <c r="A1172">
        <v>292577</v>
      </c>
      <c r="B1172" s="5">
        <v>44907</v>
      </c>
      <c r="C1172">
        <v>89905</v>
      </c>
      <c r="D1172" t="str">
        <f>PROPER(Transactions!D1172)</f>
        <v>Beauty</v>
      </c>
      <c r="E1172" t="s">
        <v>49</v>
      </c>
      <c r="F1172" t="s">
        <v>50</v>
      </c>
      <c r="G1172">
        <v>1</v>
      </c>
      <c r="H1172">
        <v>8.99</v>
      </c>
      <c r="I1172" s="7">
        <f>IF(Transactions!I1172="",0,Transactions!I1172)</f>
        <v>0</v>
      </c>
      <c r="J1172" s="9">
        <f t="shared" si="18"/>
        <v>8.99</v>
      </c>
      <c r="K1172" t="s">
        <v>36</v>
      </c>
      <c r="L1172" t="s">
        <v>17</v>
      </c>
      <c r="M1172" t="str">
        <f>REPLACE(Transactions!M1172,1,4,"")</f>
        <v>2</v>
      </c>
    </row>
    <row r="1173" spans="1:13" x14ac:dyDescent="0.2">
      <c r="A1173">
        <v>292737</v>
      </c>
      <c r="B1173" s="5">
        <v>44882</v>
      </c>
      <c r="C1173">
        <v>64642</v>
      </c>
      <c r="D1173" t="str">
        <f>PROPER(Transactions!D1173)</f>
        <v>Pharmacy</v>
      </c>
      <c r="E1173" t="s">
        <v>41</v>
      </c>
      <c r="F1173" t="s">
        <v>42</v>
      </c>
      <c r="G1173">
        <v>5</v>
      </c>
      <c r="H1173">
        <v>5.99</v>
      </c>
      <c r="I1173" s="7">
        <f>IF(Transactions!I1173="",0,Transactions!I1173)</f>
        <v>0</v>
      </c>
      <c r="J1173" s="9">
        <f t="shared" si="18"/>
        <v>29.950000000000003</v>
      </c>
      <c r="K1173" t="s">
        <v>36</v>
      </c>
      <c r="L1173" t="s">
        <v>17</v>
      </c>
      <c r="M1173" t="str">
        <f>REPLACE(Transactions!M1173,1,4,"")</f>
        <v>20</v>
      </c>
    </row>
    <row r="1174" spans="1:13" x14ac:dyDescent="0.2">
      <c r="A1174">
        <v>292799</v>
      </c>
      <c r="B1174" s="5">
        <v>45443</v>
      </c>
      <c r="D1174" t="str">
        <f>PROPER(Transactions!D1174)</f>
        <v>Furniture</v>
      </c>
      <c r="E1174" t="s">
        <v>26</v>
      </c>
      <c r="F1174" t="s">
        <v>27</v>
      </c>
      <c r="G1174">
        <v>2</v>
      </c>
      <c r="H1174">
        <v>31.49</v>
      </c>
      <c r="I1174" s="7">
        <f>IF(Transactions!I1174="",0,Transactions!I1174)</f>
        <v>0.1</v>
      </c>
      <c r="J1174" s="9">
        <f t="shared" si="18"/>
        <v>56.681999999999995</v>
      </c>
      <c r="K1174" t="s">
        <v>36</v>
      </c>
      <c r="L1174" t="s">
        <v>17</v>
      </c>
      <c r="M1174" t="str">
        <f>REPLACE(Transactions!M1174,1,4,"")</f>
        <v>11</v>
      </c>
    </row>
    <row r="1175" spans="1:13" x14ac:dyDescent="0.2">
      <c r="A1175">
        <v>293010</v>
      </c>
      <c r="B1175" s="5">
        <v>44954</v>
      </c>
      <c r="C1175">
        <v>94556</v>
      </c>
      <c r="D1175" t="str">
        <f>PROPER(Transactions!D1175)</f>
        <v>Pharmacy</v>
      </c>
      <c r="E1175" t="s">
        <v>197</v>
      </c>
      <c r="F1175" t="s">
        <v>198</v>
      </c>
      <c r="G1175">
        <v>5</v>
      </c>
      <c r="H1175">
        <v>14.24</v>
      </c>
      <c r="I1175" s="7">
        <f>IF(Transactions!I1175="",0,Transactions!I1175)</f>
        <v>0.05</v>
      </c>
      <c r="J1175" s="9">
        <f t="shared" si="18"/>
        <v>67.64</v>
      </c>
      <c r="K1175" t="s">
        <v>16</v>
      </c>
      <c r="L1175" t="s">
        <v>17</v>
      </c>
      <c r="M1175" t="str">
        <f>REPLACE(Transactions!M1175,1,4,"")</f>
        <v>9</v>
      </c>
    </row>
    <row r="1176" spans="1:13" x14ac:dyDescent="0.2">
      <c r="A1176">
        <v>293196</v>
      </c>
      <c r="B1176" s="5">
        <v>44887</v>
      </c>
      <c r="C1176">
        <v>21809</v>
      </c>
      <c r="D1176" t="str">
        <f>PROPER(Transactions!D1176)</f>
        <v>Sports</v>
      </c>
      <c r="E1176" t="s">
        <v>147</v>
      </c>
      <c r="F1176" t="s">
        <v>148</v>
      </c>
      <c r="G1176">
        <v>5</v>
      </c>
      <c r="H1176">
        <v>12.99</v>
      </c>
      <c r="I1176" s="7">
        <f>IF(Transactions!I1176="",0,Transactions!I1176)</f>
        <v>0</v>
      </c>
      <c r="J1176" s="9">
        <f t="shared" si="18"/>
        <v>64.95</v>
      </c>
      <c r="K1176" t="s">
        <v>53</v>
      </c>
      <c r="L1176" t="s">
        <v>17</v>
      </c>
      <c r="M1176" t="str">
        <f>REPLACE(Transactions!M1176,1,4,"")</f>
        <v>2</v>
      </c>
    </row>
    <row r="1177" spans="1:13" x14ac:dyDescent="0.2">
      <c r="A1177">
        <v>293461</v>
      </c>
      <c r="B1177" s="5">
        <v>44710</v>
      </c>
      <c r="C1177">
        <v>47722</v>
      </c>
      <c r="D1177" t="str">
        <f>PROPER(Transactions!D1177)</f>
        <v>Pharmacy</v>
      </c>
      <c r="E1177" t="s">
        <v>20</v>
      </c>
      <c r="F1177" t="s">
        <v>21</v>
      </c>
      <c r="G1177">
        <v>2</v>
      </c>
      <c r="H1177">
        <v>7.49</v>
      </c>
      <c r="I1177" s="7">
        <f>IF(Transactions!I1177="",0,Transactions!I1177)</f>
        <v>0.25</v>
      </c>
      <c r="J1177" s="9">
        <f t="shared" si="18"/>
        <v>11.234999999999999</v>
      </c>
      <c r="K1177" t="s">
        <v>16</v>
      </c>
      <c r="L1177" t="s">
        <v>17</v>
      </c>
      <c r="M1177" t="str">
        <f>REPLACE(Transactions!M1177,1,4,"")</f>
        <v>16</v>
      </c>
    </row>
    <row r="1178" spans="1:13" x14ac:dyDescent="0.2">
      <c r="A1178">
        <v>293461</v>
      </c>
      <c r="B1178" s="5">
        <v>45227</v>
      </c>
      <c r="C1178">
        <v>64702</v>
      </c>
      <c r="D1178" t="str">
        <f>PROPER(Transactions!D1178)</f>
        <v>Furniture</v>
      </c>
      <c r="E1178" t="s">
        <v>113</v>
      </c>
      <c r="F1178" t="s">
        <v>114</v>
      </c>
      <c r="G1178">
        <v>5</v>
      </c>
      <c r="H1178">
        <v>119.99</v>
      </c>
      <c r="I1178" s="7">
        <f>IF(Transactions!I1178="",0,Transactions!I1178)</f>
        <v>0</v>
      </c>
      <c r="J1178" s="9">
        <f t="shared" si="18"/>
        <v>599.94999999999993</v>
      </c>
      <c r="K1178" t="s">
        <v>36</v>
      </c>
      <c r="L1178" t="s">
        <v>23</v>
      </c>
      <c r="M1178" t="str">
        <f>REPLACE(Transactions!M1178,1,4,"")</f>
        <v>9</v>
      </c>
    </row>
    <row r="1179" spans="1:13" x14ac:dyDescent="0.2">
      <c r="A1179">
        <v>293898</v>
      </c>
      <c r="B1179" s="5">
        <v>44573</v>
      </c>
      <c r="C1179">
        <v>68995</v>
      </c>
      <c r="D1179" t="str">
        <f>PROPER(Transactions!D1179)</f>
        <v>Furniture</v>
      </c>
      <c r="E1179" t="s">
        <v>70</v>
      </c>
      <c r="F1179" t="s">
        <v>71</v>
      </c>
      <c r="G1179">
        <v>5</v>
      </c>
      <c r="H1179">
        <v>89.99</v>
      </c>
      <c r="I1179" s="7">
        <f>IF(Transactions!I1179="",0,Transactions!I1179)</f>
        <v>0</v>
      </c>
      <c r="J1179" s="9">
        <f t="shared" si="18"/>
        <v>449.95</v>
      </c>
      <c r="K1179" t="s">
        <v>16</v>
      </c>
      <c r="L1179" t="s">
        <v>17</v>
      </c>
      <c r="M1179" t="str">
        <f>REPLACE(Transactions!M1179,1,4,"")</f>
        <v>11</v>
      </c>
    </row>
    <row r="1180" spans="1:13" x14ac:dyDescent="0.2">
      <c r="A1180">
        <v>294542</v>
      </c>
      <c r="B1180" s="5">
        <v>44762</v>
      </c>
      <c r="C1180">
        <v>86347</v>
      </c>
      <c r="D1180" t="str">
        <f>PROPER(Transactions!D1180)</f>
        <v>Pharmacy</v>
      </c>
      <c r="E1180" t="s">
        <v>197</v>
      </c>
      <c r="F1180" t="s">
        <v>198</v>
      </c>
      <c r="G1180">
        <v>1</v>
      </c>
      <c r="H1180">
        <v>13.49</v>
      </c>
      <c r="I1180" s="7">
        <f>IF(Transactions!I1180="",0,Transactions!I1180)</f>
        <v>0.1</v>
      </c>
      <c r="J1180" s="9">
        <f t="shared" si="18"/>
        <v>12.141</v>
      </c>
      <c r="K1180" t="s">
        <v>95</v>
      </c>
      <c r="L1180" t="s">
        <v>17</v>
      </c>
      <c r="M1180" t="str">
        <f>REPLACE(Transactions!M1180,1,4,"")</f>
        <v>5</v>
      </c>
    </row>
    <row r="1181" spans="1:13" x14ac:dyDescent="0.2">
      <c r="A1181">
        <v>294672</v>
      </c>
      <c r="B1181" s="5">
        <v>44883</v>
      </c>
      <c r="C1181">
        <v>92220</v>
      </c>
      <c r="D1181" t="str">
        <f>PROPER(Transactions!D1181)</f>
        <v>Clothing</v>
      </c>
      <c r="E1181" t="s">
        <v>98</v>
      </c>
      <c r="F1181" t="s">
        <v>99</v>
      </c>
      <c r="G1181">
        <v>5</v>
      </c>
      <c r="H1181">
        <v>20.99</v>
      </c>
      <c r="I1181" s="7">
        <f>IF(Transactions!I1181="",0,Transactions!I1181)</f>
        <v>0.25</v>
      </c>
      <c r="J1181" s="9">
        <f t="shared" si="18"/>
        <v>78.712499999999991</v>
      </c>
      <c r="K1181" t="s">
        <v>36</v>
      </c>
      <c r="L1181" t="s">
        <v>17</v>
      </c>
      <c r="M1181" t="str">
        <f>REPLACE(Transactions!M1181,1,4,"")</f>
        <v>12</v>
      </c>
    </row>
    <row r="1182" spans="1:13" x14ac:dyDescent="0.2">
      <c r="A1182">
        <v>294726</v>
      </c>
      <c r="B1182" s="5">
        <v>44653</v>
      </c>
      <c r="C1182">
        <v>36687</v>
      </c>
      <c r="D1182" t="str">
        <f>PROPER(Transactions!D1182)</f>
        <v>Grocery</v>
      </c>
      <c r="E1182" t="s">
        <v>162</v>
      </c>
      <c r="F1182" t="s">
        <v>163</v>
      </c>
      <c r="G1182">
        <v>1</v>
      </c>
      <c r="H1182">
        <v>7.59</v>
      </c>
      <c r="I1182" s="7">
        <f>IF(Transactions!I1182="",0,Transactions!I1182)</f>
        <v>0.05</v>
      </c>
      <c r="J1182" s="9">
        <f t="shared" si="18"/>
        <v>7.2104999999999997</v>
      </c>
      <c r="K1182" t="s">
        <v>16</v>
      </c>
      <c r="L1182" t="s">
        <v>37</v>
      </c>
      <c r="M1182" t="str">
        <f>REPLACE(Transactions!M1182,1,4,"")</f>
        <v>2</v>
      </c>
    </row>
    <row r="1183" spans="1:13" x14ac:dyDescent="0.2">
      <c r="A1183">
        <v>295214</v>
      </c>
      <c r="B1183" s="5">
        <v>45167</v>
      </c>
      <c r="C1183">
        <v>92169</v>
      </c>
      <c r="D1183" t="str">
        <f>PROPER(Transactions!D1183)</f>
        <v>Sports</v>
      </c>
      <c r="E1183" t="s">
        <v>83</v>
      </c>
      <c r="F1183" t="s">
        <v>84</v>
      </c>
      <c r="G1183">
        <v>2</v>
      </c>
      <c r="H1183">
        <v>16.14</v>
      </c>
      <c r="I1183" s="7">
        <f>IF(Transactions!I1183="",0,Transactions!I1183)</f>
        <v>0</v>
      </c>
      <c r="J1183" s="9">
        <f t="shared" si="18"/>
        <v>32.28</v>
      </c>
      <c r="K1183" t="s">
        <v>36</v>
      </c>
      <c r="L1183" t="s">
        <v>17</v>
      </c>
      <c r="M1183" t="str">
        <f>REPLACE(Transactions!M1183,1,4,"")</f>
        <v>2</v>
      </c>
    </row>
    <row r="1184" spans="1:13" x14ac:dyDescent="0.2">
      <c r="A1184">
        <v>295247</v>
      </c>
      <c r="B1184" s="5">
        <v>44927</v>
      </c>
      <c r="C1184">
        <v>34926</v>
      </c>
      <c r="D1184" t="str">
        <f>PROPER(Transactions!D1184)</f>
        <v>Furniture</v>
      </c>
      <c r="E1184" t="s">
        <v>26</v>
      </c>
      <c r="F1184" t="s">
        <v>27</v>
      </c>
      <c r="G1184">
        <v>2</v>
      </c>
      <c r="H1184">
        <v>27.99</v>
      </c>
      <c r="I1184" s="7">
        <f>IF(Transactions!I1184="",0,Transactions!I1184)</f>
        <v>0.2</v>
      </c>
      <c r="J1184" s="9">
        <f t="shared" si="18"/>
        <v>44.783999999999999</v>
      </c>
      <c r="K1184" t="s">
        <v>22</v>
      </c>
      <c r="L1184" t="s">
        <v>17</v>
      </c>
      <c r="M1184" t="str">
        <f>REPLACE(Transactions!M1184,1,4,"")</f>
        <v>4</v>
      </c>
    </row>
    <row r="1185" spans="1:13" x14ac:dyDescent="0.2">
      <c r="A1185">
        <v>295319</v>
      </c>
      <c r="B1185" s="5">
        <v>44831</v>
      </c>
      <c r="C1185">
        <v>42190</v>
      </c>
      <c r="D1185" t="str">
        <f>PROPER(Transactions!D1185)</f>
        <v>Beauty</v>
      </c>
      <c r="E1185" t="s">
        <v>109</v>
      </c>
      <c r="F1185" t="s">
        <v>110</v>
      </c>
      <c r="G1185">
        <v>1</v>
      </c>
      <c r="H1185">
        <v>5.59</v>
      </c>
      <c r="I1185" s="7">
        <f>IF(Transactions!I1185="",0,Transactions!I1185)</f>
        <v>0.2</v>
      </c>
      <c r="J1185" s="9">
        <f t="shared" si="18"/>
        <v>4.4720000000000004</v>
      </c>
      <c r="K1185" t="s">
        <v>16</v>
      </c>
      <c r="L1185" t="s">
        <v>17</v>
      </c>
      <c r="M1185" t="str">
        <f>REPLACE(Transactions!M1185,1,4,"")</f>
        <v/>
      </c>
    </row>
    <row r="1186" spans="1:13" x14ac:dyDescent="0.2">
      <c r="A1186">
        <v>295417</v>
      </c>
      <c r="B1186" s="5">
        <v>44746</v>
      </c>
      <c r="D1186" t="str">
        <f>PROPER(Transactions!D1186)</f>
        <v>Furniture</v>
      </c>
      <c r="E1186" t="s">
        <v>60</v>
      </c>
      <c r="F1186" t="s">
        <v>61</v>
      </c>
      <c r="G1186">
        <v>1</v>
      </c>
      <c r="H1186">
        <v>38.49</v>
      </c>
      <c r="I1186" s="7">
        <f>IF(Transactions!I1186="",0,Transactions!I1186)</f>
        <v>0.3</v>
      </c>
      <c r="J1186" s="9">
        <f t="shared" si="18"/>
        <v>26.943000000000001</v>
      </c>
      <c r="K1186" t="s">
        <v>16</v>
      </c>
      <c r="L1186" t="s">
        <v>37</v>
      </c>
      <c r="M1186" t="str">
        <f>REPLACE(Transactions!M1186,1,4,"")</f>
        <v>1</v>
      </c>
    </row>
    <row r="1187" spans="1:13" x14ac:dyDescent="0.2">
      <c r="A1187">
        <v>295471</v>
      </c>
      <c r="B1187" s="5">
        <v>45050</v>
      </c>
      <c r="C1187">
        <v>90728</v>
      </c>
      <c r="D1187" t="str">
        <f>PROPER(Transactions!D1187)</f>
        <v>Sports</v>
      </c>
      <c r="E1187" t="s">
        <v>147</v>
      </c>
      <c r="F1187" t="s">
        <v>148</v>
      </c>
      <c r="G1187">
        <v>1</v>
      </c>
      <c r="H1187">
        <v>12.99</v>
      </c>
      <c r="I1187" s="7">
        <f>IF(Transactions!I1187="",0,Transactions!I1187)</f>
        <v>0</v>
      </c>
      <c r="J1187" s="9">
        <f t="shared" si="18"/>
        <v>12.99</v>
      </c>
      <c r="K1187" t="s">
        <v>36</v>
      </c>
      <c r="L1187" t="s">
        <v>17</v>
      </c>
      <c r="M1187" t="str">
        <f>REPLACE(Transactions!M1187,1,4,"")</f>
        <v>15</v>
      </c>
    </row>
    <row r="1188" spans="1:13" x14ac:dyDescent="0.2">
      <c r="A1188">
        <v>295545</v>
      </c>
      <c r="B1188" s="5">
        <v>44922</v>
      </c>
      <c r="C1188">
        <v>42260</v>
      </c>
      <c r="D1188" t="str">
        <f>PROPER(Transactions!D1188)</f>
        <v>Grocery</v>
      </c>
      <c r="E1188" t="s">
        <v>162</v>
      </c>
      <c r="F1188" t="s">
        <v>163</v>
      </c>
      <c r="G1188">
        <v>2</v>
      </c>
      <c r="H1188">
        <v>7.99</v>
      </c>
      <c r="I1188" s="7">
        <f>IF(Transactions!I1188="",0,Transactions!I1188)</f>
        <v>0</v>
      </c>
      <c r="J1188" s="9">
        <f t="shared" si="18"/>
        <v>15.98</v>
      </c>
      <c r="K1188" t="s">
        <v>36</v>
      </c>
      <c r="L1188" t="s">
        <v>17</v>
      </c>
      <c r="M1188" t="str">
        <f>REPLACE(Transactions!M1188,1,4,"")</f>
        <v>10</v>
      </c>
    </row>
    <row r="1189" spans="1:13" x14ac:dyDescent="0.2">
      <c r="A1189">
        <v>295624</v>
      </c>
      <c r="B1189" s="5">
        <v>44640</v>
      </c>
      <c r="C1189">
        <v>98955</v>
      </c>
      <c r="D1189" t="str">
        <f>PROPER(Transactions!D1189)</f>
        <v>Clothing</v>
      </c>
      <c r="E1189" t="s">
        <v>141</v>
      </c>
      <c r="F1189" t="s">
        <v>142</v>
      </c>
      <c r="G1189">
        <v>2</v>
      </c>
      <c r="H1189">
        <v>18.39</v>
      </c>
      <c r="I1189" s="7">
        <f>IF(Transactions!I1189="",0,Transactions!I1189)</f>
        <v>0.2</v>
      </c>
      <c r="J1189" s="9">
        <f t="shared" si="18"/>
        <v>29.424000000000003</v>
      </c>
      <c r="K1189" t="s">
        <v>36</v>
      </c>
      <c r="L1189" t="s">
        <v>17</v>
      </c>
      <c r="M1189" t="str">
        <f>REPLACE(Transactions!M1189,1,4,"")</f>
        <v>20</v>
      </c>
    </row>
    <row r="1190" spans="1:13" x14ac:dyDescent="0.2">
      <c r="A1190">
        <v>295722</v>
      </c>
      <c r="B1190" s="5">
        <v>44854</v>
      </c>
      <c r="C1190">
        <v>76706</v>
      </c>
      <c r="D1190" t="str">
        <f>PROPER(Transactions!D1190)</f>
        <v>Beauty</v>
      </c>
      <c r="E1190" t="s">
        <v>118</v>
      </c>
      <c r="F1190" t="s">
        <v>119</v>
      </c>
      <c r="G1190">
        <v>3</v>
      </c>
      <c r="H1190">
        <v>3.99</v>
      </c>
      <c r="I1190" s="7">
        <f>IF(Transactions!I1190="",0,Transactions!I1190)</f>
        <v>0.2</v>
      </c>
      <c r="J1190" s="9">
        <f t="shared" si="18"/>
        <v>9.5760000000000005</v>
      </c>
      <c r="K1190" t="s">
        <v>36</v>
      </c>
      <c r="L1190" t="s">
        <v>17</v>
      </c>
      <c r="M1190" t="str">
        <f>REPLACE(Transactions!M1190,1,4,"")</f>
        <v>16</v>
      </c>
    </row>
    <row r="1191" spans="1:13" x14ac:dyDescent="0.2">
      <c r="A1191">
        <v>295789</v>
      </c>
      <c r="B1191" s="5">
        <v>44902</v>
      </c>
      <c r="D1191" t="str">
        <f>PROPER(Transactions!D1191)</f>
        <v>Furniture</v>
      </c>
      <c r="E1191" t="s">
        <v>26</v>
      </c>
      <c r="F1191" t="s">
        <v>27</v>
      </c>
      <c r="G1191">
        <v>2</v>
      </c>
      <c r="H1191">
        <v>27.99</v>
      </c>
      <c r="I1191" s="7">
        <f>IF(Transactions!I1191="",0,Transactions!I1191)</f>
        <v>0.2</v>
      </c>
      <c r="J1191" s="9">
        <f t="shared" si="18"/>
        <v>44.783999999999999</v>
      </c>
      <c r="K1191" t="s">
        <v>32</v>
      </c>
      <c r="L1191" t="s">
        <v>17</v>
      </c>
      <c r="M1191" t="str">
        <f>REPLACE(Transactions!M1191,1,4,"")</f>
        <v>16</v>
      </c>
    </row>
    <row r="1192" spans="1:13" x14ac:dyDescent="0.2">
      <c r="A1192">
        <v>295818</v>
      </c>
      <c r="B1192" s="5">
        <v>45502</v>
      </c>
      <c r="C1192">
        <v>58858</v>
      </c>
      <c r="D1192" t="str">
        <f>PROPER(Transactions!D1192)</f>
        <v>Beauty</v>
      </c>
      <c r="E1192" t="s">
        <v>49</v>
      </c>
      <c r="F1192" t="s">
        <v>50</v>
      </c>
      <c r="G1192">
        <v>2</v>
      </c>
      <c r="H1192">
        <v>8.99</v>
      </c>
      <c r="I1192" s="7">
        <f>IF(Transactions!I1192="",0,Transactions!I1192)</f>
        <v>0</v>
      </c>
      <c r="J1192" s="9">
        <f t="shared" si="18"/>
        <v>17.98</v>
      </c>
      <c r="K1192" t="s">
        <v>95</v>
      </c>
      <c r="L1192" t="s">
        <v>17</v>
      </c>
      <c r="M1192" t="str">
        <f>REPLACE(Transactions!M1192,1,4,"")</f>
        <v>4</v>
      </c>
    </row>
    <row r="1193" spans="1:13" x14ac:dyDescent="0.2">
      <c r="A1193">
        <v>295949</v>
      </c>
      <c r="B1193" s="5">
        <v>44715</v>
      </c>
      <c r="C1193">
        <v>31549</v>
      </c>
      <c r="D1193" t="str">
        <f>PROPER(Transactions!D1193)</f>
        <v>Clothing</v>
      </c>
      <c r="E1193" t="s">
        <v>151</v>
      </c>
      <c r="F1193" t="s">
        <v>152</v>
      </c>
      <c r="G1193">
        <v>1</v>
      </c>
      <c r="H1193">
        <v>33.24</v>
      </c>
      <c r="I1193" s="7">
        <f>IF(Transactions!I1193="",0,Transactions!I1193)</f>
        <v>0.05</v>
      </c>
      <c r="J1193" s="9">
        <f t="shared" si="18"/>
        <v>31.577999999999999</v>
      </c>
      <c r="K1193" t="s">
        <v>22</v>
      </c>
      <c r="L1193" t="s">
        <v>17</v>
      </c>
      <c r="M1193" t="str">
        <f>REPLACE(Transactions!M1193,1,4,"")</f>
        <v>2</v>
      </c>
    </row>
    <row r="1194" spans="1:13" x14ac:dyDescent="0.2">
      <c r="A1194">
        <v>296190</v>
      </c>
      <c r="B1194" s="5">
        <v>45233</v>
      </c>
      <c r="C1194">
        <v>99421</v>
      </c>
      <c r="D1194" t="str">
        <f>PROPER(Transactions!D1194)</f>
        <v>Beauty</v>
      </c>
      <c r="E1194" t="s">
        <v>118</v>
      </c>
      <c r="F1194" t="s">
        <v>119</v>
      </c>
      <c r="G1194">
        <v>3</v>
      </c>
      <c r="H1194">
        <v>4.99</v>
      </c>
      <c r="I1194" s="7">
        <f>IF(Transactions!I1194="",0,Transactions!I1194)</f>
        <v>0</v>
      </c>
      <c r="J1194" s="9">
        <f t="shared" si="18"/>
        <v>14.97</v>
      </c>
      <c r="K1194" t="s">
        <v>36</v>
      </c>
      <c r="L1194" t="s">
        <v>37</v>
      </c>
      <c r="M1194" t="str">
        <f>REPLACE(Transactions!M1194,1,4,"")</f>
        <v>19</v>
      </c>
    </row>
    <row r="1195" spans="1:13" x14ac:dyDescent="0.2">
      <c r="A1195">
        <v>296308</v>
      </c>
      <c r="B1195" s="5">
        <v>45428</v>
      </c>
      <c r="C1195">
        <v>45945</v>
      </c>
      <c r="D1195" t="str">
        <f>PROPER(Transactions!D1195)</f>
        <v>Grocery</v>
      </c>
      <c r="E1195" t="s">
        <v>172</v>
      </c>
      <c r="F1195" t="s">
        <v>173</v>
      </c>
      <c r="G1195">
        <v>1</v>
      </c>
      <c r="H1195">
        <v>4.49</v>
      </c>
      <c r="I1195" s="7">
        <f>IF(Transactions!I1195="",0,Transactions!I1195)</f>
        <v>0</v>
      </c>
      <c r="J1195" s="9">
        <f t="shared" si="18"/>
        <v>4.49</v>
      </c>
      <c r="K1195" t="s">
        <v>53</v>
      </c>
      <c r="L1195" t="s">
        <v>23</v>
      </c>
      <c r="M1195" t="str">
        <f>REPLACE(Transactions!M1195,1,4,"")</f>
        <v>10</v>
      </c>
    </row>
    <row r="1196" spans="1:13" x14ac:dyDescent="0.2">
      <c r="A1196">
        <v>296316</v>
      </c>
      <c r="B1196" s="5">
        <v>44900</v>
      </c>
      <c r="C1196">
        <v>73967</v>
      </c>
      <c r="D1196" t="str">
        <f>PROPER(Transactions!D1196)</f>
        <v>Beauty</v>
      </c>
      <c r="E1196" t="s">
        <v>118</v>
      </c>
      <c r="F1196" t="s">
        <v>119</v>
      </c>
      <c r="G1196">
        <v>3</v>
      </c>
      <c r="H1196">
        <v>3.49</v>
      </c>
      <c r="I1196" s="7">
        <f>IF(Transactions!I1196="",0,Transactions!I1196)</f>
        <v>0.3</v>
      </c>
      <c r="J1196" s="9">
        <f t="shared" si="18"/>
        <v>7.3289999999999997</v>
      </c>
      <c r="K1196" t="s">
        <v>36</v>
      </c>
      <c r="L1196" t="s">
        <v>37</v>
      </c>
      <c r="M1196" t="str">
        <f>REPLACE(Transactions!M1196,1,4,"")</f>
        <v>1</v>
      </c>
    </row>
    <row r="1197" spans="1:13" x14ac:dyDescent="0.2">
      <c r="A1197">
        <v>296955</v>
      </c>
      <c r="B1197" s="5">
        <v>45379</v>
      </c>
      <c r="C1197">
        <v>74084</v>
      </c>
      <c r="D1197" t="str">
        <f>PROPER(Transactions!D1197)</f>
        <v>Beauty</v>
      </c>
      <c r="E1197" t="s">
        <v>49</v>
      </c>
      <c r="F1197" t="s">
        <v>50</v>
      </c>
      <c r="G1197">
        <v>1</v>
      </c>
      <c r="H1197">
        <v>8.99</v>
      </c>
      <c r="I1197" s="7">
        <f>IF(Transactions!I1197="",0,Transactions!I1197)</f>
        <v>0</v>
      </c>
      <c r="J1197" s="9">
        <f t="shared" si="18"/>
        <v>8.99</v>
      </c>
      <c r="K1197" t="s">
        <v>32</v>
      </c>
      <c r="L1197" t="s">
        <v>37</v>
      </c>
      <c r="M1197" t="str">
        <f>REPLACE(Transactions!M1197,1,4,"")</f>
        <v>17</v>
      </c>
    </row>
    <row r="1198" spans="1:13" x14ac:dyDescent="0.2">
      <c r="A1198">
        <v>296998</v>
      </c>
      <c r="B1198" s="5">
        <v>45202</v>
      </c>
      <c r="C1198">
        <v>26856</v>
      </c>
      <c r="D1198" t="str">
        <f>PROPER(Transactions!D1198)</f>
        <v>Furniture</v>
      </c>
      <c r="E1198" t="s">
        <v>26</v>
      </c>
      <c r="F1198" t="s">
        <v>27</v>
      </c>
      <c r="G1198">
        <v>4</v>
      </c>
      <c r="H1198">
        <v>34.99</v>
      </c>
      <c r="I1198" s="7">
        <f>IF(Transactions!I1198="",0,Transactions!I1198)</f>
        <v>0</v>
      </c>
      <c r="J1198" s="9">
        <f t="shared" si="18"/>
        <v>139.96</v>
      </c>
      <c r="K1198" t="s">
        <v>16</v>
      </c>
      <c r="L1198" t="s">
        <v>37</v>
      </c>
      <c r="M1198" t="str">
        <f>REPLACE(Transactions!M1198,1,4,"")</f>
        <v>7</v>
      </c>
    </row>
    <row r="1199" spans="1:13" x14ac:dyDescent="0.2">
      <c r="A1199">
        <v>297205</v>
      </c>
      <c r="B1199" s="5">
        <v>44611</v>
      </c>
      <c r="D1199" t="str">
        <f>PROPER(Transactions!D1199)</f>
        <v>Pharmacy</v>
      </c>
      <c r="E1199" t="s">
        <v>115</v>
      </c>
      <c r="F1199" t="s">
        <v>116</v>
      </c>
      <c r="G1199">
        <v>5</v>
      </c>
      <c r="H1199">
        <v>11.69</v>
      </c>
      <c r="I1199" s="7">
        <f>IF(Transactions!I1199="",0,Transactions!I1199)</f>
        <v>0.1</v>
      </c>
      <c r="J1199" s="9">
        <f t="shared" si="18"/>
        <v>52.604999999999997</v>
      </c>
      <c r="K1199" t="s">
        <v>16</v>
      </c>
      <c r="L1199" t="s">
        <v>17</v>
      </c>
      <c r="M1199" t="str">
        <f>REPLACE(Transactions!M1199,1,4,"")</f>
        <v>12</v>
      </c>
    </row>
    <row r="1200" spans="1:13" x14ac:dyDescent="0.2">
      <c r="A1200">
        <v>297328</v>
      </c>
      <c r="B1200" s="5">
        <v>44653</v>
      </c>
      <c r="C1200">
        <v>82382</v>
      </c>
      <c r="D1200" t="str">
        <f>PROPER(Transactions!D1200)</f>
        <v>Pharmacy</v>
      </c>
      <c r="E1200" t="s">
        <v>41</v>
      </c>
      <c r="F1200" t="s">
        <v>42</v>
      </c>
      <c r="G1200">
        <v>1</v>
      </c>
      <c r="H1200">
        <v>5.99</v>
      </c>
      <c r="I1200" s="7">
        <f>IF(Transactions!I1200="",0,Transactions!I1200)</f>
        <v>0</v>
      </c>
      <c r="J1200" s="9">
        <f t="shared" si="18"/>
        <v>5.99</v>
      </c>
      <c r="K1200" t="s">
        <v>36</v>
      </c>
      <c r="L1200" t="s">
        <v>37</v>
      </c>
      <c r="M1200" t="str">
        <f>REPLACE(Transactions!M1200,1,4,"")</f>
        <v>2</v>
      </c>
    </row>
    <row r="1201" spans="1:13" x14ac:dyDescent="0.2">
      <c r="A1201">
        <v>297578</v>
      </c>
      <c r="B1201" s="5">
        <v>45275</v>
      </c>
      <c r="C1201">
        <v>24204</v>
      </c>
      <c r="D1201" t="str">
        <f>PROPER(Transactions!D1201)</f>
        <v>Home &amp; Garden</v>
      </c>
      <c r="E1201" t="s">
        <v>86</v>
      </c>
      <c r="F1201" t="s">
        <v>87</v>
      </c>
      <c r="G1201">
        <v>1</v>
      </c>
      <c r="H1201">
        <v>11.04</v>
      </c>
      <c r="I1201" s="7">
        <f>IF(Transactions!I1201="",0,Transactions!I1201)</f>
        <v>0.15</v>
      </c>
      <c r="J1201" s="9">
        <f t="shared" si="18"/>
        <v>9.3839999999999986</v>
      </c>
      <c r="K1201" t="s">
        <v>36</v>
      </c>
      <c r="L1201" t="s">
        <v>17</v>
      </c>
      <c r="M1201" t="str">
        <f>REPLACE(Transactions!M1201,1,4,"")</f>
        <v>3</v>
      </c>
    </row>
    <row r="1202" spans="1:13" x14ac:dyDescent="0.2">
      <c r="A1202">
        <v>297597</v>
      </c>
      <c r="B1202" s="5">
        <v>45523</v>
      </c>
      <c r="C1202">
        <v>17251</v>
      </c>
      <c r="D1202" t="str">
        <f>PROPER(Transactions!D1202)</f>
        <v>Toys</v>
      </c>
      <c r="E1202" t="s">
        <v>38</v>
      </c>
      <c r="F1202" t="s">
        <v>39</v>
      </c>
      <c r="G1202">
        <v>5</v>
      </c>
      <c r="H1202">
        <v>29.99</v>
      </c>
      <c r="I1202" s="7">
        <f>IF(Transactions!I1202="",0,Transactions!I1202)</f>
        <v>0</v>
      </c>
      <c r="J1202" s="9">
        <f t="shared" si="18"/>
        <v>149.94999999999999</v>
      </c>
      <c r="K1202" t="s">
        <v>53</v>
      </c>
      <c r="L1202" t="s">
        <v>17</v>
      </c>
      <c r="M1202" t="str">
        <f>REPLACE(Transactions!M1202,1,4,"")</f>
        <v>6</v>
      </c>
    </row>
    <row r="1203" spans="1:13" x14ac:dyDescent="0.2">
      <c r="A1203">
        <v>297687</v>
      </c>
      <c r="B1203" s="5">
        <v>45216</v>
      </c>
      <c r="C1203">
        <v>82437</v>
      </c>
      <c r="D1203" t="str">
        <f>PROPER(Transactions!D1203)</f>
        <v>Automotive</v>
      </c>
      <c r="E1203" t="s">
        <v>68</v>
      </c>
      <c r="F1203" t="s">
        <v>69</v>
      </c>
      <c r="G1203">
        <v>1</v>
      </c>
      <c r="H1203">
        <v>18.739999999999998</v>
      </c>
      <c r="I1203" s="7">
        <f>IF(Transactions!I1203="",0,Transactions!I1203)</f>
        <v>0.25</v>
      </c>
      <c r="J1203" s="9">
        <f t="shared" si="18"/>
        <v>14.055</v>
      </c>
      <c r="K1203" t="s">
        <v>22</v>
      </c>
      <c r="L1203" t="s">
        <v>17</v>
      </c>
      <c r="M1203" t="str">
        <f>REPLACE(Transactions!M1203,1,4,"")</f>
        <v>17</v>
      </c>
    </row>
    <row r="1204" spans="1:13" x14ac:dyDescent="0.2">
      <c r="A1204">
        <v>297731</v>
      </c>
      <c r="B1204" s="5">
        <v>45035</v>
      </c>
      <c r="C1204">
        <v>31400</v>
      </c>
      <c r="D1204" t="str">
        <f>PROPER(Transactions!D1204)</f>
        <v>Beauty</v>
      </c>
      <c r="E1204" t="s">
        <v>49</v>
      </c>
      <c r="F1204" t="s">
        <v>50</v>
      </c>
      <c r="G1204">
        <v>2</v>
      </c>
      <c r="H1204">
        <v>8.99</v>
      </c>
      <c r="I1204" s="7">
        <f>IF(Transactions!I1204="",0,Transactions!I1204)</f>
        <v>0</v>
      </c>
      <c r="J1204" s="9">
        <f t="shared" si="18"/>
        <v>17.98</v>
      </c>
      <c r="K1204" t="s">
        <v>36</v>
      </c>
      <c r="L1204" t="s">
        <v>17</v>
      </c>
      <c r="M1204" t="str">
        <f>REPLACE(Transactions!M1204,1,4,"")</f>
        <v>5</v>
      </c>
    </row>
    <row r="1205" spans="1:13" x14ac:dyDescent="0.2">
      <c r="A1205">
        <v>297769</v>
      </c>
      <c r="B1205" s="5">
        <v>44945</v>
      </c>
      <c r="C1205">
        <v>59486</v>
      </c>
      <c r="D1205" t="str">
        <f>PROPER(Transactions!D1205)</f>
        <v>Furniture</v>
      </c>
      <c r="E1205" t="s">
        <v>60</v>
      </c>
      <c r="F1205" t="s">
        <v>61</v>
      </c>
      <c r="G1205">
        <v>2</v>
      </c>
      <c r="H1205">
        <v>54.99</v>
      </c>
      <c r="I1205" s="7">
        <f>IF(Transactions!I1205="",0,Transactions!I1205)</f>
        <v>0</v>
      </c>
      <c r="J1205" s="9">
        <f t="shared" si="18"/>
        <v>109.98</v>
      </c>
      <c r="K1205" t="s">
        <v>16</v>
      </c>
      <c r="L1205" t="s">
        <v>17</v>
      </c>
      <c r="M1205" t="str">
        <f>REPLACE(Transactions!M1205,1,4,"")</f>
        <v>9</v>
      </c>
    </row>
    <row r="1206" spans="1:13" x14ac:dyDescent="0.2">
      <c r="A1206">
        <v>298427</v>
      </c>
      <c r="B1206" s="5">
        <v>45018</v>
      </c>
      <c r="C1206">
        <v>25844</v>
      </c>
      <c r="D1206" t="str">
        <f>PROPER(Transactions!D1206)</f>
        <v>Electronics</v>
      </c>
      <c r="E1206" t="s">
        <v>77</v>
      </c>
      <c r="F1206" t="s">
        <v>78</v>
      </c>
      <c r="G1206">
        <v>3</v>
      </c>
      <c r="H1206">
        <v>499.99</v>
      </c>
      <c r="I1206" s="7">
        <f>IF(Transactions!I1206="",0,Transactions!I1206)</f>
        <v>0</v>
      </c>
      <c r="J1206" s="9">
        <f t="shared" si="18"/>
        <v>1499.97</v>
      </c>
      <c r="K1206" t="s">
        <v>95</v>
      </c>
      <c r="L1206" t="s">
        <v>17</v>
      </c>
      <c r="M1206" t="str">
        <f>REPLACE(Transactions!M1206,1,4,"")</f>
        <v>20</v>
      </c>
    </row>
    <row r="1207" spans="1:13" x14ac:dyDescent="0.2">
      <c r="A1207">
        <v>298454</v>
      </c>
      <c r="B1207" s="5">
        <v>44840</v>
      </c>
      <c r="D1207" t="str">
        <f>PROPER(Transactions!D1207)</f>
        <v>Pharmacy</v>
      </c>
      <c r="E1207" t="s">
        <v>115</v>
      </c>
      <c r="F1207" t="s">
        <v>116</v>
      </c>
      <c r="G1207">
        <v>2</v>
      </c>
      <c r="H1207">
        <v>12.99</v>
      </c>
      <c r="I1207" s="7">
        <f>IF(Transactions!I1207="",0,Transactions!I1207)</f>
        <v>0</v>
      </c>
      <c r="J1207" s="9">
        <f t="shared" si="18"/>
        <v>25.98</v>
      </c>
      <c r="K1207" t="s">
        <v>16</v>
      </c>
      <c r="L1207" t="s">
        <v>37</v>
      </c>
      <c r="M1207" t="str">
        <f>REPLACE(Transactions!M1207,1,4,"")</f>
        <v>2</v>
      </c>
    </row>
    <row r="1208" spans="1:13" x14ac:dyDescent="0.2">
      <c r="A1208">
        <v>298652</v>
      </c>
      <c r="B1208" s="5">
        <v>45345</v>
      </c>
      <c r="C1208">
        <v>74699</v>
      </c>
      <c r="D1208" t="str">
        <f>PROPER(Transactions!D1208)</f>
        <v>Clothing</v>
      </c>
      <c r="E1208" t="s">
        <v>151</v>
      </c>
      <c r="F1208" t="s">
        <v>152</v>
      </c>
      <c r="G1208">
        <v>1</v>
      </c>
      <c r="H1208">
        <v>27.99</v>
      </c>
      <c r="I1208" s="7">
        <f>IF(Transactions!I1208="",0,Transactions!I1208)</f>
        <v>0.2</v>
      </c>
      <c r="J1208" s="9">
        <f t="shared" si="18"/>
        <v>22.391999999999999</v>
      </c>
      <c r="K1208" t="s">
        <v>36</v>
      </c>
      <c r="L1208" t="s">
        <v>17</v>
      </c>
      <c r="M1208" t="str">
        <f>REPLACE(Transactions!M1208,1,4,"")</f>
        <v>8</v>
      </c>
    </row>
    <row r="1209" spans="1:13" x14ac:dyDescent="0.2">
      <c r="A1209">
        <v>298791</v>
      </c>
      <c r="B1209" s="5">
        <v>45360</v>
      </c>
      <c r="C1209">
        <v>61921</v>
      </c>
      <c r="D1209" t="str">
        <f>PROPER(Transactions!D1209)</f>
        <v>Clothing</v>
      </c>
      <c r="E1209" t="s">
        <v>193</v>
      </c>
      <c r="F1209" t="s">
        <v>194</v>
      </c>
      <c r="G1209">
        <v>1</v>
      </c>
      <c r="H1209">
        <v>45.49</v>
      </c>
      <c r="I1209" s="7">
        <f>IF(Transactions!I1209="",0,Transactions!I1209)</f>
        <v>0.3</v>
      </c>
      <c r="J1209" s="9">
        <f t="shared" si="18"/>
        <v>31.843</v>
      </c>
      <c r="K1209" t="s">
        <v>22</v>
      </c>
      <c r="L1209" t="s">
        <v>37</v>
      </c>
      <c r="M1209" t="str">
        <f>REPLACE(Transactions!M1209,1,4,"")</f>
        <v>20</v>
      </c>
    </row>
    <row r="1210" spans="1:13" x14ac:dyDescent="0.2">
      <c r="A1210">
        <v>298933</v>
      </c>
      <c r="B1210" s="5">
        <v>45436</v>
      </c>
      <c r="C1210">
        <v>28071</v>
      </c>
      <c r="D1210" t="str">
        <f>PROPER(Transactions!D1210)</f>
        <v>Clothing</v>
      </c>
      <c r="E1210" t="s">
        <v>98</v>
      </c>
      <c r="F1210" t="s">
        <v>99</v>
      </c>
      <c r="G1210">
        <v>1</v>
      </c>
      <c r="H1210">
        <v>20.99</v>
      </c>
      <c r="I1210" s="7">
        <f>IF(Transactions!I1210="",0,Transactions!I1210)</f>
        <v>0.25</v>
      </c>
      <c r="J1210" s="9">
        <f t="shared" si="18"/>
        <v>15.7425</v>
      </c>
      <c r="K1210" t="s">
        <v>36</v>
      </c>
      <c r="L1210" t="s">
        <v>17</v>
      </c>
      <c r="M1210" t="str">
        <f>REPLACE(Transactions!M1210,1,4,"")</f>
        <v>2</v>
      </c>
    </row>
    <row r="1211" spans="1:13" x14ac:dyDescent="0.2">
      <c r="A1211">
        <v>299008</v>
      </c>
      <c r="B1211" s="5">
        <v>44907</v>
      </c>
      <c r="C1211">
        <v>83463</v>
      </c>
      <c r="D1211" t="str">
        <f>PROPER(Transactions!D1211)</f>
        <v>Pharmacy</v>
      </c>
      <c r="E1211" t="s">
        <v>197</v>
      </c>
      <c r="F1211" t="s">
        <v>198</v>
      </c>
      <c r="G1211">
        <v>1</v>
      </c>
      <c r="H1211">
        <v>12.74</v>
      </c>
      <c r="I1211" s="7">
        <f>IF(Transactions!I1211="",0,Transactions!I1211)</f>
        <v>0.15</v>
      </c>
      <c r="J1211" s="9">
        <f t="shared" si="18"/>
        <v>10.829000000000001</v>
      </c>
      <c r="K1211" t="s">
        <v>22</v>
      </c>
      <c r="L1211" t="s">
        <v>23</v>
      </c>
      <c r="M1211" t="str">
        <f>REPLACE(Transactions!M1211,1,4,"")</f>
        <v>10</v>
      </c>
    </row>
    <row r="1212" spans="1:13" x14ac:dyDescent="0.2">
      <c r="A1212">
        <v>299162</v>
      </c>
      <c r="B1212" s="5">
        <v>44897</v>
      </c>
      <c r="C1212">
        <v>66003</v>
      </c>
      <c r="D1212" t="str">
        <f>PROPER(Transactions!D1212)</f>
        <v>Clothing</v>
      </c>
      <c r="E1212" t="s">
        <v>193</v>
      </c>
      <c r="F1212" t="s">
        <v>194</v>
      </c>
      <c r="G1212">
        <v>1</v>
      </c>
      <c r="H1212">
        <v>61.74</v>
      </c>
      <c r="I1212" s="7">
        <f>IF(Transactions!I1212="",0,Transactions!I1212)</f>
        <v>0.05</v>
      </c>
      <c r="J1212" s="9">
        <f t="shared" si="18"/>
        <v>58.652999999999999</v>
      </c>
      <c r="K1212" t="s">
        <v>36</v>
      </c>
      <c r="L1212" t="s">
        <v>37</v>
      </c>
      <c r="M1212" t="str">
        <f>REPLACE(Transactions!M1212,1,4,"")</f>
        <v>17</v>
      </c>
    </row>
    <row r="1213" spans="1:13" x14ac:dyDescent="0.2">
      <c r="A1213">
        <v>299368</v>
      </c>
      <c r="B1213" s="5">
        <v>44792</v>
      </c>
      <c r="C1213">
        <v>96117</v>
      </c>
      <c r="D1213" t="str">
        <f>PROPER(Transactions!D1213)</f>
        <v>Toys</v>
      </c>
      <c r="E1213" t="s">
        <v>170</v>
      </c>
      <c r="F1213" t="s">
        <v>171</v>
      </c>
      <c r="G1213">
        <v>5</v>
      </c>
      <c r="H1213">
        <v>14.99</v>
      </c>
      <c r="I1213" s="7">
        <f>IF(Transactions!I1213="",0,Transactions!I1213)</f>
        <v>0</v>
      </c>
      <c r="J1213" s="9">
        <f t="shared" si="18"/>
        <v>74.95</v>
      </c>
      <c r="K1213" t="s">
        <v>22</v>
      </c>
      <c r="L1213" t="s">
        <v>17</v>
      </c>
      <c r="M1213" t="str">
        <f>REPLACE(Transactions!M1213,1,4,"")</f>
        <v>8</v>
      </c>
    </row>
    <row r="1214" spans="1:13" x14ac:dyDescent="0.2">
      <c r="A1214">
        <v>299403</v>
      </c>
      <c r="B1214" s="5">
        <v>44918</v>
      </c>
      <c r="C1214">
        <v>44578</v>
      </c>
      <c r="D1214" t="str">
        <f>PROPER(Transactions!D1214)</f>
        <v>Home &amp; Garden</v>
      </c>
      <c r="E1214" t="s">
        <v>86</v>
      </c>
      <c r="F1214" t="s">
        <v>87</v>
      </c>
      <c r="G1214">
        <v>1</v>
      </c>
      <c r="H1214">
        <v>11.69</v>
      </c>
      <c r="I1214" s="7">
        <f>IF(Transactions!I1214="",0,Transactions!I1214)</f>
        <v>0.1</v>
      </c>
      <c r="J1214" s="9">
        <f t="shared" si="18"/>
        <v>10.520999999999999</v>
      </c>
      <c r="K1214" t="s">
        <v>16</v>
      </c>
      <c r="L1214" t="s">
        <v>17</v>
      </c>
      <c r="M1214" t="str">
        <f>REPLACE(Transactions!M1214,1,4,"")</f>
        <v>5</v>
      </c>
    </row>
    <row r="1215" spans="1:13" x14ac:dyDescent="0.2">
      <c r="A1215">
        <v>299407</v>
      </c>
      <c r="B1215" s="5">
        <v>45308</v>
      </c>
      <c r="C1215">
        <v>90119</v>
      </c>
      <c r="D1215" t="str">
        <f>PROPER(Transactions!D1215)</f>
        <v>Sports</v>
      </c>
      <c r="E1215" t="s">
        <v>147</v>
      </c>
      <c r="F1215" t="s">
        <v>148</v>
      </c>
      <c r="G1215">
        <v>3</v>
      </c>
      <c r="H1215">
        <v>12.99</v>
      </c>
      <c r="I1215" s="7">
        <f>IF(Transactions!I1215="",0,Transactions!I1215)</f>
        <v>0</v>
      </c>
      <c r="J1215" s="9">
        <f t="shared" si="18"/>
        <v>38.97</v>
      </c>
      <c r="K1215" t="s">
        <v>36</v>
      </c>
      <c r="L1215" t="s">
        <v>17</v>
      </c>
      <c r="M1215" t="str">
        <f>REPLACE(Transactions!M1215,1,4,"")</f>
        <v>14</v>
      </c>
    </row>
    <row r="1216" spans="1:13" x14ac:dyDescent="0.2">
      <c r="A1216">
        <v>299545</v>
      </c>
      <c r="B1216" s="5">
        <v>44669</v>
      </c>
      <c r="C1216">
        <v>68835</v>
      </c>
      <c r="D1216" t="str">
        <f>PROPER(Transactions!D1216)</f>
        <v>Beauty</v>
      </c>
      <c r="E1216" t="s">
        <v>109</v>
      </c>
      <c r="F1216" t="s">
        <v>110</v>
      </c>
      <c r="G1216">
        <v>5</v>
      </c>
      <c r="H1216">
        <v>4.8899999999999997</v>
      </c>
      <c r="I1216" s="7">
        <f>IF(Transactions!I1216="",0,Transactions!I1216)</f>
        <v>0.3</v>
      </c>
      <c r="J1216" s="9">
        <f t="shared" si="18"/>
        <v>17.114999999999998</v>
      </c>
      <c r="K1216" t="s">
        <v>16</v>
      </c>
      <c r="L1216" t="s">
        <v>17</v>
      </c>
      <c r="M1216" t="str">
        <f>REPLACE(Transactions!M1216,1,4,"")</f>
        <v>14</v>
      </c>
    </row>
    <row r="1217" spans="1:13" x14ac:dyDescent="0.2">
      <c r="A1217">
        <v>299768</v>
      </c>
      <c r="B1217" s="5">
        <v>45526</v>
      </c>
      <c r="C1217">
        <v>19870</v>
      </c>
      <c r="D1217" t="str">
        <f>PROPER(Transactions!D1217)</f>
        <v>Home &amp; Garden</v>
      </c>
      <c r="E1217" t="s">
        <v>149</v>
      </c>
      <c r="F1217" t="s">
        <v>150</v>
      </c>
      <c r="G1217">
        <v>1</v>
      </c>
      <c r="H1217">
        <v>14.99</v>
      </c>
      <c r="I1217" s="7">
        <f>IF(Transactions!I1217="",0,Transactions!I1217)</f>
        <v>0.25</v>
      </c>
      <c r="J1217" s="9">
        <f t="shared" si="18"/>
        <v>11.2425</v>
      </c>
      <c r="K1217" t="s">
        <v>22</v>
      </c>
      <c r="L1217" t="s">
        <v>17</v>
      </c>
      <c r="M1217" t="str">
        <f>REPLACE(Transactions!M1217,1,4,"")</f>
        <v>6</v>
      </c>
    </row>
    <row r="1218" spans="1:13" x14ac:dyDescent="0.2">
      <c r="A1218">
        <v>300068</v>
      </c>
      <c r="B1218" s="5">
        <v>44972</v>
      </c>
      <c r="C1218">
        <v>26472</v>
      </c>
      <c r="D1218" t="str">
        <f>PROPER(Transactions!D1218)</f>
        <v>Beauty</v>
      </c>
      <c r="E1218" t="s">
        <v>49</v>
      </c>
      <c r="F1218" t="s">
        <v>50</v>
      </c>
      <c r="G1218">
        <v>1</v>
      </c>
      <c r="H1218">
        <v>7.19</v>
      </c>
      <c r="I1218" s="7">
        <f>IF(Transactions!I1218="",0,Transactions!I1218)</f>
        <v>0.2</v>
      </c>
      <c r="J1218" s="9">
        <f t="shared" si="18"/>
        <v>5.7520000000000007</v>
      </c>
      <c r="K1218" t="s">
        <v>32</v>
      </c>
      <c r="L1218" t="s">
        <v>37</v>
      </c>
      <c r="M1218" t="str">
        <f>REPLACE(Transactions!M1218,1,4,"")</f>
        <v>19</v>
      </c>
    </row>
    <row r="1219" spans="1:13" x14ac:dyDescent="0.2">
      <c r="A1219">
        <v>300369</v>
      </c>
      <c r="B1219" s="5">
        <v>45474</v>
      </c>
      <c r="C1219">
        <v>92871</v>
      </c>
      <c r="D1219" t="str">
        <f>PROPER(Transactions!D1219)</f>
        <v>Electronics</v>
      </c>
      <c r="E1219" t="s">
        <v>34</v>
      </c>
      <c r="F1219" t="s">
        <v>35</v>
      </c>
      <c r="G1219">
        <v>1</v>
      </c>
      <c r="H1219">
        <v>34.99</v>
      </c>
      <c r="I1219" s="7">
        <f>IF(Transactions!I1219="",0,Transactions!I1219)</f>
        <v>0</v>
      </c>
      <c r="J1219" s="9">
        <f t="shared" ref="J1219:J1282" si="19">(H1219*G1219)*(1-I1219)</f>
        <v>34.99</v>
      </c>
      <c r="K1219" t="s">
        <v>22</v>
      </c>
      <c r="L1219" t="s">
        <v>37</v>
      </c>
      <c r="M1219" t="str">
        <f>REPLACE(Transactions!M1219,1,4,"")</f>
        <v>12</v>
      </c>
    </row>
    <row r="1220" spans="1:13" x14ac:dyDescent="0.2">
      <c r="A1220">
        <v>300533</v>
      </c>
      <c r="B1220" s="5">
        <v>44922</v>
      </c>
      <c r="C1220">
        <v>95106</v>
      </c>
      <c r="D1220" t="str">
        <f>PROPER(Transactions!D1220)</f>
        <v>Toys</v>
      </c>
      <c r="E1220" t="s">
        <v>38</v>
      </c>
      <c r="F1220" t="s">
        <v>39</v>
      </c>
      <c r="G1220">
        <v>2</v>
      </c>
      <c r="H1220">
        <v>23.99</v>
      </c>
      <c r="I1220" s="7">
        <f>IF(Transactions!I1220="",0,Transactions!I1220)</f>
        <v>0.2</v>
      </c>
      <c r="J1220" s="9">
        <f t="shared" si="19"/>
        <v>38.384</v>
      </c>
      <c r="K1220" t="s">
        <v>95</v>
      </c>
      <c r="L1220" t="s">
        <v>37</v>
      </c>
      <c r="M1220" t="str">
        <f>REPLACE(Transactions!M1220,1,4,"")</f>
        <v>17</v>
      </c>
    </row>
    <row r="1221" spans="1:13" x14ac:dyDescent="0.2">
      <c r="A1221">
        <v>300614</v>
      </c>
      <c r="B1221" s="5">
        <v>45146</v>
      </c>
      <c r="C1221">
        <v>93079</v>
      </c>
      <c r="D1221" t="str">
        <f>PROPER(Transactions!D1221)</f>
        <v>Clothing</v>
      </c>
      <c r="E1221" t="s">
        <v>151</v>
      </c>
      <c r="F1221" t="s">
        <v>152</v>
      </c>
      <c r="G1221">
        <v>1</v>
      </c>
      <c r="H1221">
        <v>27.99</v>
      </c>
      <c r="I1221" s="7">
        <f>IF(Transactions!I1221="",0,Transactions!I1221)</f>
        <v>0.2</v>
      </c>
      <c r="J1221" s="9">
        <f t="shared" si="19"/>
        <v>22.391999999999999</v>
      </c>
      <c r="K1221" t="s">
        <v>53</v>
      </c>
      <c r="L1221" t="s">
        <v>17</v>
      </c>
      <c r="M1221" t="str">
        <f>REPLACE(Transactions!M1221,1,4,"")</f>
        <v>15</v>
      </c>
    </row>
    <row r="1222" spans="1:13" x14ac:dyDescent="0.2">
      <c r="A1222">
        <v>300651</v>
      </c>
      <c r="B1222" s="5">
        <v>44964</v>
      </c>
      <c r="C1222">
        <v>86126</v>
      </c>
      <c r="D1222" t="str">
        <f>PROPER(Transactions!D1222)</f>
        <v>Automotive</v>
      </c>
      <c r="E1222" t="s">
        <v>125</v>
      </c>
      <c r="F1222" t="s">
        <v>126</v>
      </c>
      <c r="G1222">
        <v>1</v>
      </c>
      <c r="H1222">
        <v>26.99</v>
      </c>
      <c r="I1222" s="7">
        <f>IF(Transactions!I1222="",0,Transactions!I1222)</f>
        <v>0.1</v>
      </c>
      <c r="J1222" s="9">
        <f t="shared" si="19"/>
        <v>24.291</v>
      </c>
      <c r="K1222" t="s">
        <v>32</v>
      </c>
      <c r="L1222" t="s">
        <v>17</v>
      </c>
      <c r="M1222" t="str">
        <f>REPLACE(Transactions!M1222,1,4,"")</f>
        <v>4</v>
      </c>
    </row>
    <row r="1223" spans="1:13" x14ac:dyDescent="0.2">
      <c r="A1223">
        <v>300676</v>
      </c>
      <c r="B1223" s="5">
        <v>44840</v>
      </c>
      <c r="C1223">
        <v>38252</v>
      </c>
      <c r="D1223" t="str">
        <f>PROPER(Transactions!D1223)</f>
        <v>Toys</v>
      </c>
      <c r="E1223" t="s">
        <v>30</v>
      </c>
      <c r="F1223" t="s">
        <v>31</v>
      </c>
      <c r="G1223">
        <v>2</v>
      </c>
      <c r="H1223">
        <v>21.24</v>
      </c>
      <c r="I1223" s="7">
        <f>IF(Transactions!I1223="",0,Transactions!I1223)</f>
        <v>0.15</v>
      </c>
      <c r="J1223" s="9">
        <f t="shared" si="19"/>
        <v>36.107999999999997</v>
      </c>
      <c r="K1223" t="s">
        <v>36</v>
      </c>
      <c r="L1223" t="s">
        <v>17</v>
      </c>
      <c r="M1223" t="str">
        <f>REPLACE(Transactions!M1223,1,4,"")</f>
        <v>20</v>
      </c>
    </row>
    <row r="1224" spans="1:13" x14ac:dyDescent="0.2">
      <c r="A1224">
        <v>300852</v>
      </c>
      <c r="B1224" s="5">
        <v>44590</v>
      </c>
      <c r="C1224">
        <v>10567</v>
      </c>
      <c r="D1224" t="str">
        <f>PROPER(Transactions!D1224)</f>
        <v>Clothing</v>
      </c>
      <c r="E1224" t="s">
        <v>121</v>
      </c>
      <c r="F1224" t="s">
        <v>122</v>
      </c>
      <c r="G1224">
        <v>1</v>
      </c>
      <c r="H1224">
        <v>9.09</v>
      </c>
      <c r="I1224" s="7">
        <f>IF(Transactions!I1224="",0,Transactions!I1224)</f>
        <v>0.3</v>
      </c>
      <c r="J1224" s="9">
        <f t="shared" si="19"/>
        <v>6.3629999999999995</v>
      </c>
      <c r="K1224" t="s">
        <v>22</v>
      </c>
      <c r="L1224" t="s">
        <v>17</v>
      </c>
      <c r="M1224" t="str">
        <f>REPLACE(Transactions!M1224,1,4,"")</f>
        <v>11</v>
      </c>
    </row>
    <row r="1225" spans="1:13" x14ac:dyDescent="0.2">
      <c r="A1225">
        <v>301046</v>
      </c>
      <c r="B1225" s="5">
        <v>45219</v>
      </c>
      <c r="C1225">
        <v>13549</v>
      </c>
      <c r="D1225" t="str">
        <f>PROPER(Transactions!D1225)</f>
        <v>Home &amp; Garden</v>
      </c>
      <c r="E1225" t="s">
        <v>145</v>
      </c>
      <c r="F1225" t="s">
        <v>146</v>
      </c>
      <c r="G1225">
        <v>1</v>
      </c>
      <c r="H1225">
        <v>11.89</v>
      </c>
      <c r="I1225" s="7">
        <f>IF(Transactions!I1225="",0,Transactions!I1225)</f>
        <v>0.3</v>
      </c>
      <c r="J1225" s="9">
        <f t="shared" si="19"/>
        <v>8.3230000000000004</v>
      </c>
      <c r="K1225" t="s">
        <v>36</v>
      </c>
      <c r="L1225" t="s">
        <v>17</v>
      </c>
      <c r="M1225" t="str">
        <f>REPLACE(Transactions!M1225,1,4,"")</f>
        <v>10</v>
      </c>
    </row>
    <row r="1226" spans="1:13" x14ac:dyDescent="0.2">
      <c r="A1226">
        <v>301165</v>
      </c>
      <c r="B1226" s="5">
        <v>44953</v>
      </c>
      <c r="C1226">
        <v>44591</v>
      </c>
      <c r="D1226" t="str">
        <f>PROPER(Transactions!D1226)</f>
        <v>Sports</v>
      </c>
      <c r="E1226" t="s">
        <v>188</v>
      </c>
      <c r="F1226" t="s">
        <v>189</v>
      </c>
      <c r="G1226">
        <v>5</v>
      </c>
      <c r="H1226">
        <v>38.24</v>
      </c>
      <c r="I1226" s="7">
        <f>IF(Transactions!I1226="",0,Transactions!I1226)</f>
        <v>0.15</v>
      </c>
      <c r="J1226" s="9">
        <f t="shared" si="19"/>
        <v>162.52000000000001</v>
      </c>
      <c r="K1226" t="s">
        <v>36</v>
      </c>
      <c r="L1226" t="s">
        <v>17</v>
      </c>
      <c r="M1226" t="str">
        <f>REPLACE(Transactions!M1226,1,4,"")</f>
        <v>8</v>
      </c>
    </row>
    <row r="1227" spans="1:13" x14ac:dyDescent="0.2">
      <c r="A1227">
        <v>301369</v>
      </c>
      <c r="B1227" s="5">
        <v>45251</v>
      </c>
      <c r="C1227">
        <v>87019</v>
      </c>
      <c r="D1227" t="str">
        <f>PROPER(Transactions!D1227)</f>
        <v>Automotive</v>
      </c>
      <c r="E1227" t="s">
        <v>64</v>
      </c>
      <c r="F1227" t="s">
        <v>65</v>
      </c>
      <c r="G1227">
        <v>1</v>
      </c>
      <c r="H1227">
        <v>4.99</v>
      </c>
      <c r="I1227" s="7">
        <f>IF(Transactions!I1227="",0,Transactions!I1227)</f>
        <v>0</v>
      </c>
      <c r="J1227" s="9">
        <f t="shared" si="19"/>
        <v>4.99</v>
      </c>
      <c r="K1227" t="s">
        <v>16</v>
      </c>
      <c r="L1227" t="s">
        <v>17</v>
      </c>
      <c r="M1227" t="str">
        <f>REPLACE(Transactions!M1227,1,4,"")</f>
        <v>13</v>
      </c>
    </row>
    <row r="1228" spans="1:13" x14ac:dyDescent="0.2">
      <c r="A1228">
        <v>301882</v>
      </c>
      <c r="B1228" s="5">
        <v>44810</v>
      </c>
      <c r="C1228">
        <v>27014</v>
      </c>
      <c r="D1228" t="str">
        <f>PROPER(Transactions!D1228)</f>
        <v>Home &amp; Garden</v>
      </c>
      <c r="E1228" t="s">
        <v>137</v>
      </c>
      <c r="F1228" t="s">
        <v>138</v>
      </c>
      <c r="G1228">
        <v>5</v>
      </c>
      <c r="H1228">
        <v>7.59</v>
      </c>
      <c r="I1228" s="7">
        <f>IF(Transactions!I1228="",0,Transactions!I1228)</f>
        <v>0.05</v>
      </c>
      <c r="J1228" s="9">
        <f t="shared" si="19"/>
        <v>36.052500000000002</v>
      </c>
      <c r="K1228" t="s">
        <v>16</v>
      </c>
      <c r="L1228" t="s">
        <v>37</v>
      </c>
      <c r="M1228" t="str">
        <f>REPLACE(Transactions!M1228,1,4,"")</f>
        <v>8</v>
      </c>
    </row>
    <row r="1229" spans="1:13" x14ac:dyDescent="0.2">
      <c r="A1229">
        <v>301897</v>
      </c>
      <c r="B1229" s="5">
        <v>44761</v>
      </c>
      <c r="C1229">
        <v>33513</v>
      </c>
      <c r="D1229" t="str">
        <f>PROPER(Transactions!D1229)</f>
        <v>Automotive</v>
      </c>
      <c r="E1229" t="s">
        <v>131</v>
      </c>
      <c r="F1229" t="s">
        <v>132</v>
      </c>
      <c r="G1229">
        <v>3</v>
      </c>
      <c r="H1229">
        <v>3.49</v>
      </c>
      <c r="I1229" s="7">
        <f>IF(Transactions!I1229="",0,Transactions!I1229)</f>
        <v>0</v>
      </c>
      <c r="J1229" s="9">
        <f t="shared" si="19"/>
        <v>10.47</v>
      </c>
      <c r="K1229" t="s">
        <v>22</v>
      </c>
      <c r="L1229" t="s">
        <v>17</v>
      </c>
      <c r="M1229" t="str">
        <f>REPLACE(Transactions!M1229,1,4,"")</f>
        <v>3</v>
      </c>
    </row>
    <row r="1230" spans="1:13" x14ac:dyDescent="0.2">
      <c r="A1230">
        <v>301983</v>
      </c>
      <c r="B1230" s="5">
        <v>44612</v>
      </c>
      <c r="C1230">
        <v>31218</v>
      </c>
      <c r="D1230" t="str">
        <f>PROPER(Transactions!D1230)</f>
        <v>Pharmacy</v>
      </c>
      <c r="E1230" t="s">
        <v>115</v>
      </c>
      <c r="F1230" t="s">
        <v>116</v>
      </c>
      <c r="G1230">
        <v>2</v>
      </c>
      <c r="H1230">
        <v>9.09</v>
      </c>
      <c r="I1230" s="7">
        <f>IF(Transactions!I1230="",0,Transactions!I1230)</f>
        <v>0.3</v>
      </c>
      <c r="J1230" s="9">
        <f t="shared" si="19"/>
        <v>12.725999999999999</v>
      </c>
      <c r="K1230" t="s">
        <v>36</v>
      </c>
      <c r="L1230" t="s">
        <v>37</v>
      </c>
      <c r="M1230" t="str">
        <f>REPLACE(Transactions!M1230,1,4,"")</f>
        <v>8</v>
      </c>
    </row>
    <row r="1231" spans="1:13" x14ac:dyDescent="0.2">
      <c r="A1231">
        <v>302332</v>
      </c>
      <c r="B1231" s="5">
        <v>45650</v>
      </c>
      <c r="C1231">
        <v>64076</v>
      </c>
      <c r="D1231" t="str">
        <f>PROPER(Transactions!D1231)</f>
        <v>Grocery</v>
      </c>
      <c r="E1231" t="s">
        <v>45</v>
      </c>
      <c r="F1231" t="s">
        <v>46</v>
      </c>
      <c r="G1231">
        <v>1</v>
      </c>
      <c r="H1231">
        <v>1.43</v>
      </c>
      <c r="I1231" s="7">
        <f>IF(Transactions!I1231="",0,Transactions!I1231)</f>
        <v>0.2</v>
      </c>
      <c r="J1231" s="9">
        <f t="shared" si="19"/>
        <v>1.1439999999999999</v>
      </c>
      <c r="K1231" t="s">
        <v>22</v>
      </c>
      <c r="L1231" t="s">
        <v>17</v>
      </c>
      <c r="M1231" t="str">
        <f>REPLACE(Transactions!M1231,1,4,"")</f>
        <v>8</v>
      </c>
    </row>
    <row r="1232" spans="1:13" x14ac:dyDescent="0.2">
      <c r="A1232">
        <v>302365</v>
      </c>
      <c r="B1232" s="5">
        <v>44579</v>
      </c>
      <c r="C1232">
        <v>46848</v>
      </c>
      <c r="D1232" t="str">
        <f>PROPER(Transactions!D1232)</f>
        <v>Sports</v>
      </c>
      <c r="E1232" t="s">
        <v>147</v>
      </c>
      <c r="F1232" t="s">
        <v>148</v>
      </c>
      <c r="G1232">
        <v>2</v>
      </c>
      <c r="H1232">
        <v>12.99</v>
      </c>
      <c r="I1232" s="7">
        <f>IF(Transactions!I1232="",0,Transactions!I1232)</f>
        <v>0</v>
      </c>
      <c r="J1232" s="9">
        <f t="shared" si="19"/>
        <v>25.98</v>
      </c>
      <c r="K1232" t="s">
        <v>16</v>
      </c>
      <c r="L1232" t="s">
        <v>17</v>
      </c>
      <c r="M1232" t="str">
        <f>REPLACE(Transactions!M1232,1,4,"")</f>
        <v>9</v>
      </c>
    </row>
    <row r="1233" spans="1:13" x14ac:dyDescent="0.2">
      <c r="A1233">
        <v>302375</v>
      </c>
      <c r="B1233" s="5">
        <v>45580</v>
      </c>
      <c r="C1233">
        <v>77078</v>
      </c>
      <c r="D1233" t="str">
        <f>PROPER(Transactions!D1233)</f>
        <v>Furniture</v>
      </c>
      <c r="E1233" t="s">
        <v>26</v>
      </c>
      <c r="F1233" t="s">
        <v>27</v>
      </c>
      <c r="G1233">
        <v>1</v>
      </c>
      <c r="H1233">
        <v>34.99</v>
      </c>
      <c r="I1233" s="7">
        <f>IF(Transactions!I1233="",0,Transactions!I1233)</f>
        <v>0</v>
      </c>
      <c r="J1233" s="9">
        <f t="shared" si="19"/>
        <v>34.99</v>
      </c>
      <c r="K1233" t="s">
        <v>16</v>
      </c>
      <c r="L1233" t="s">
        <v>17</v>
      </c>
      <c r="M1233" t="str">
        <f>REPLACE(Transactions!M1233,1,4,"")</f>
        <v>18</v>
      </c>
    </row>
    <row r="1234" spans="1:13" x14ac:dyDescent="0.2">
      <c r="A1234">
        <v>302576</v>
      </c>
      <c r="B1234" s="5">
        <v>45616</v>
      </c>
      <c r="C1234">
        <v>62635</v>
      </c>
      <c r="D1234" t="str">
        <f>PROPER(Transactions!D1234)</f>
        <v>Clothing</v>
      </c>
      <c r="E1234" t="s">
        <v>141</v>
      </c>
      <c r="F1234" t="s">
        <v>142</v>
      </c>
      <c r="G1234">
        <v>1</v>
      </c>
      <c r="H1234">
        <v>19.54</v>
      </c>
      <c r="I1234" s="7">
        <f>IF(Transactions!I1234="",0,Transactions!I1234)</f>
        <v>0.15</v>
      </c>
      <c r="J1234" s="9">
        <f t="shared" si="19"/>
        <v>16.608999999999998</v>
      </c>
      <c r="K1234" t="s">
        <v>16</v>
      </c>
      <c r="L1234" t="s">
        <v>23</v>
      </c>
      <c r="M1234" t="str">
        <f>REPLACE(Transactions!M1234,1,4,"")</f>
        <v>2</v>
      </c>
    </row>
    <row r="1235" spans="1:13" x14ac:dyDescent="0.2">
      <c r="A1235">
        <v>302641</v>
      </c>
      <c r="B1235" s="5">
        <v>44589</v>
      </c>
      <c r="C1235">
        <v>54279</v>
      </c>
      <c r="D1235" t="str">
        <f>PROPER(Transactions!D1235)</f>
        <v>Pharmacy</v>
      </c>
      <c r="E1235" t="s">
        <v>197</v>
      </c>
      <c r="F1235" t="s">
        <v>198</v>
      </c>
      <c r="G1235">
        <v>1</v>
      </c>
      <c r="H1235">
        <v>11.99</v>
      </c>
      <c r="I1235" s="7">
        <f>IF(Transactions!I1235="",0,Transactions!I1235)</f>
        <v>0.2</v>
      </c>
      <c r="J1235" s="9">
        <f t="shared" si="19"/>
        <v>9.5920000000000005</v>
      </c>
      <c r="K1235" t="s">
        <v>36</v>
      </c>
      <c r="L1235" t="s">
        <v>17</v>
      </c>
      <c r="M1235" t="str">
        <f>REPLACE(Transactions!M1235,1,4,"")</f>
        <v>6</v>
      </c>
    </row>
    <row r="1236" spans="1:13" x14ac:dyDescent="0.2">
      <c r="A1236">
        <v>302717</v>
      </c>
      <c r="B1236" s="5">
        <v>45102</v>
      </c>
      <c r="C1236">
        <v>86459</v>
      </c>
      <c r="D1236" t="str">
        <f>PROPER(Transactions!D1236)</f>
        <v>Beauty</v>
      </c>
      <c r="E1236" t="s">
        <v>109</v>
      </c>
      <c r="F1236" t="s">
        <v>110</v>
      </c>
      <c r="G1236">
        <v>2</v>
      </c>
      <c r="H1236">
        <v>4.8899999999999997</v>
      </c>
      <c r="I1236" s="7">
        <f>IF(Transactions!I1236="",0,Transactions!I1236)</f>
        <v>0.3</v>
      </c>
      <c r="J1236" s="9">
        <f t="shared" si="19"/>
        <v>6.8459999999999992</v>
      </c>
      <c r="K1236" t="s">
        <v>22</v>
      </c>
      <c r="L1236" t="s">
        <v>37</v>
      </c>
      <c r="M1236" t="str">
        <f>REPLACE(Transactions!M1236,1,4,"")</f>
        <v>13</v>
      </c>
    </row>
    <row r="1237" spans="1:13" x14ac:dyDescent="0.2">
      <c r="A1237">
        <v>302789</v>
      </c>
      <c r="B1237" s="5">
        <v>45211</v>
      </c>
      <c r="C1237">
        <v>10040</v>
      </c>
      <c r="D1237" t="str">
        <f>PROPER(Transactions!D1237)</f>
        <v>Furniture</v>
      </c>
      <c r="E1237" t="s">
        <v>70</v>
      </c>
      <c r="F1237" t="s">
        <v>71</v>
      </c>
      <c r="G1237">
        <v>1</v>
      </c>
      <c r="H1237">
        <v>71.989999999999995</v>
      </c>
      <c r="I1237" s="7">
        <f>IF(Transactions!I1237="",0,Transactions!I1237)</f>
        <v>0.2</v>
      </c>
      <c r="J1237" s="9">
        <f t="shared" si="19"/>
        <v>57.591999999999999</v>
      </c>
      <c r="K1237" t="s">
        <v>36</v>
      </c>
      <c r="L1237" t="s">
        <v>17</v>
      </c>
      <c r="M1237" t="str">
        <f>REPLACE(Transactions!M1237,1,4,"")</f>
        <v>4</v>
      </c>
    </row>
    <row r="1238" spans="1:13" x14ac:dyDescent="0.2">
      <c r="A1238">
        <v>302805</v>
      </c>
      <c r="B1238" s="5">
        <v>44991</v>
      </c>
      <c r="C1238">
        <v>75226</v>
      </c>
      <c r="D1238" t="str">
        <f>PROPER(Transactions!D1238)</f>
        <v>Home &amp; Garden</v>
      </c>
      <c r="E1238" t="s">
        <v>129</v>
      </c>
      <c r="F1238" t="s">
        <v>130</v>
      </c>
      <c r="G1238">
        <v>1</v>
      </c>
      <c r="H1238">
        <v>8.99</v>
      </c>
      <c r="I1238" s="7">
        <f>IF(Transactions!I1238="",0,Transactions!I1238)</f>
        <v>0</v>
      </c>
      <c r="J1238" s="9">
        <f t="shared" si="19"/>
        <v>8.99</v>
      </c>
      <c r="K1238" t="s">
        <v>53</v>
      </c>
      <c r="L1238" t="s">
        <v>37</v>
      </c>
      <c r="M1238" t="str">
        <f>REPLACE(Transactions!M1238,1,4,"")</f>
        <v>11</v>
      </c>
    </row>
    <row r="1239" spans="1:13" x14ac:dyDescent="0.2">
      <c r="A1239">
        <v>302838</v>
      </c>
      <c r="B1239" s="5">
        <v>45319</v>
      </c>
      <c r="C1239">
        <v>27099</v>
      </c>
      <c r="D1239" t="str">
        <f>PROPER(Transactions!D1239)</f>
        <v>Automotive</v>
      </c>
      <c r="E1239" t="s">
        <v>68</v>
      </c>
      <c r="F1239" t="s">
        <v>69</v>
      </c>
      <c r="G1239">
        <v>1</v>
      </c>
      <c r="H1239">
        <v>24.99</v>
      </c>
      <c r="I1239" s="7">
        <f>IF(Transactions!I1239="",0,Transactions!I1239)</f>
        <v>0</v>
      </c>
      <c r="J1239" s="9">
        <f t="shared" si="19"/>
        <v>24.99</v>
      </c>
      <c r="K1239" t="s">
        <v>22</v>
      </c>
      <c r="L1239" t="s">
        <v>23</v>
      </c>
      <c r="M1239" t="str">
        <f>REPLACE(Transactions!M1239,1,4,"")</f>
        <v>8</v>
      </c>
    </row>
    <row r="1240" spans="1:13" x14ac:dyDescent="0.2">
      <c r="A1240">
        <v>302906</v>
      </c>
      <c r="B1240" s="5">
        <v>45092</v>
      </c>
      <c r="C1240">
        <v>39064</v>
      </c>
      <c r="D1240" t="str">
        <f>PROPER(Transactions!D1240)</f>
        <v>Electronics</v>
      </c>
      <c r="E1240" t="s">
        <v>186</v>
      </c>
      <c r="F1240" t="s">
        <v>187</v>
      </c>
      <c r="G1240">
        <v>4</v>
      </c>
      <c r="H1240">
        <v>49.99</v>
      </c>
      <c r="I1240" s="7">
        <f>IF(Transactions!I1240="",0,Transactions!I1240)</f>
        <v>0</v>
      </c>
      <c r="J1240" s="9">
        <f t="shared" si="19"/>
        <v>199.96</v>
      </c>
      <c r="K1240" t="s">
        <v>16</v>
      </c>
      <c r="L1240" t="s">
        <v>37</v>
      </c>
      <c r="M1240" t="str">
        <f>REPLACE(Transactions!M1240,1,4,"")</f>
        <v>9</v>
      </c>
    </row>
    <row r="1241" spans="1:13" x14ac:dyDescent="0.2">
      <c r="A1241">
        <v>303024</v>
      </c>
      <c r="B1241" s="5">
        <v>45181</v>
      </c>
      <c r="C1241">
        <v>90185</v>
      </c>
      <c r="D1241" t="str">
        <f>PROPER(Transactions!D1241)</f>
        <v>Sports</v>
      </c>
      <c r="E1241" t="s">
        <v>168</v>
      </c>
      <c r="F1241" t="s">
        <v>169</v>
      </c>
      <c r="G1241">
        <v>3</v>
      </c>
      <c r="H1241">
        <v>8.5399999999999991</v>
      </c>
      <c r="I1241" s="7">
        <f>IF(Transactions!I1241="",0,Transactions!I1241)</f>
        <v>0.05</v>
      </c>
      <c r="J1241" s="9">
        <f t="shared" si="19"/>
        <v>24.338999999999995</v>
      </c>
      <c r="K1241" t="s">
        <v>53</v>
      </c>
      <c r="L1241" t="s">
        <v>17</v>
      </c>
      <c r="M1241" t="str">
        <f>REPLACE(Transactions!M1241,1,4,"")</f>
        <v>9</v>
      </c>
    </row>
    <row r="1242" spans="1:13" x14ac:dyDescent="0.2">
      <c r="A1242">
        <v>303084</v>
      </c>
      <c r="B1242" s="5">
        <v>45505</v>
      </c>
      <c r="C1242">
        <v>10331</v>
      </c>
      <c r="D1242" t="str">
        <f>PROPER(Transactions!D1242)</f>
        <v>Beauty</v>
      </c>
      <c r="E1242" t="s">
        <v>118</v>
      </c>
      <c r="F1242" t="s">
        <v>119</v>
      </c>
      <c r="G1242">
        <v>5</v>
      </c>
      <c r="H1242">
        <v>4.49</v>
      </c>
      <c r="I1242" s="7">
        <f>IF(Transactions!I1242="",0,Transactions!I1242)</f>
        <v>0.1</v>
      </c>
      <c r="J1242" s="9">
        <f t="shared" si="19"/>
        <v>20.205000000000002</v>
      </c>
      <c r="K1242" t="s">
        <v>36</v>
      </c>
      <c r="L1242" t="s">
        <v>37</v>
      </c>
      <c r="M1242" t="str">
        <f>REPLACE(Transactions!M1242,1,4,"")</f>
        <v>18</v>
      </c>
    </row>
    <row r="1243" spans="1:13" x14ac:dyDescent="0.2">
      <c r="A1243">
        <v>303285</v>
      </c>
      <c r="B1243" s="5">
        <v>44989</v>
      </c>
      <c r="C1243">
        <v>48379</v>
      </c>
      <c r="D1243" t="str">
        <f>PROPER(Transactions!D1243)</f>
        <v>Home &amp; Garden</v>
      </c>
      <c r="E1243" t="s">
        <v>129</v>
      </c>
      <c r="F1243" t="s">
        <v>130</v>
      </c>
      <c r="G1243">
        <v>4</v>
      </c>
      <c r="H1243">
        <v>8.5399999999999991</v>
      </c>
      <c r="I1243" s="7">
        <f>IF(Transactions!I1243="",0,Transactions!I1243)</f>
        <v>0.05</v>
      </c>
      <c r="J1243" s="9">
        <f t="shared" si="19"/>
        <v>32.451999999999998</v>
      </c>
      <c r="K1243" t="s">
        <v>36</v>
      </c>
      <c r="L1243" t="s">
        <v>17</v>
      </c>
      <c r="M1243" t="str">
        <f>REPLACE(Transactions!M1243,1,4,"")</f>
        <v>4</v>
      </c>
    </row>
    <row r="1244" spans="1:13" x14ac:dyDescent="0.2">
      <c r="A1244">
        <v>304011</v>
      </c>
      <c r="B1244" s="5">
        <v>44676</v>
      </c>
      <c r="C1244">
        <v>58049</v>
      </c>
      <c r="D1244" t="str">
        <f>PROPER(Transactions!D1244)</f>
        <v>Clothing</v>
      </c>
      <c r="E1244" t="s">
        <v>135</v>
      </c>
      <c r="F1244" t="s">
        <v>136</v>
      </c>
      <c r="G1244">
        <v>3</v>
      </c>
      <c r="H1244">
        <v>7.99</v>
      </c>
      <c r="I1244" s="7">
        <f>IF(Transactions!I1244="",0,Transactions!I1244)</f>
        <v>0.2</v>
      </c>
      <c r="J1244" s="9">
        <f t="shared" si="19"/>
        <v>19.175999999999998</v>
      </c>
      <c r="K1244" t="s">
        <v>53</v>
      </c>
      <c r="L1244" t="s">
        <v>37</v>
      </c>
      <c r="M1244" t="str">
        <f>REPLACE(Transactions!M1244,1,4,"")</f>
        <v>15</v>
      </c>
    </row>
    <row r="1245" spans="1:13" x14ac:dyDescent="0.2">
      <c r="A1245">
        <v>304223</v>
      </c>
      <c r="B1245" s="5">
        <v>45644</v>
      </c>
      <c r="C1245">
        <v>70574</v>
      </c>
      <c r="D1245" t="str">
        <f>PROPER(Transactions!D1245)</f>
        <v>Toys</v>
      </c>
      <c r="E1245" t="s">
        <v>88</v>
      </c>
      <c r="F1245" t="s">
        <v>89</v>
      </c>
      <c r="G1245">
        <v>2</v>
      </c>
      <c r="H1245">
        <v>34.99</v>
      </c>
      <c r="I1245" s="7">
        <f>IF(Transactions!I1245="",0,Transactions!I1245)</f>
        <v>0.3</v>
      </c>
      <c r="J1245" s="9">
        <f t="shared" si="19"/>
        <v>48.985999999999997</v>
      </c>
      <c r="K1245" t="s">
        <v>66</v>
      </c>
      <c r="L1245" t="s">
        <v>17</v>
      </c>
      <c r="M1245" t="str">
        <f>REPLACE(Transactions!M1245,1,4,"")</f>
        <v>19</v>
      </c>
    </row>
    <row r="1246" spans="1:13" x14ac:dyDescent="0.2">
      <c r="A1246">
        <v>304252</v>
      </c>
      <c r="B1246" s="5">
        <v>45585</v>
      </c>
      <c r="C1246">
        <v>56475</v>
      </c>
      <c r="D1246" t="str">
        <f>PROPER(Transactions!D1246)</f>
        <v>Electronics</v>
      </c>
      <c r="E1246" t="s">
        <v>55</v>
      </c>
      <c r="F1246" t="s">
        <v>56</v>
      </c>
      <c r="G1246">
        <v>3</v>
      </c>
      <c r="H1246">
        <v>280.49</v>
      </c>
      <c r="I1246" s="7">
        <f>IF(Transactions!I1246="",0,Transactions!I1246)</f>
        <v>0.15</v>
      </c>
      <c r="J1246" s="9">
        <f t="shared" si="19"/>
        <v>715.24950000000001</v>
      </c>
      <c r="K1246" t="s">
        <v>36</v>
      </c>
      <c r="L1246" t="s">
        <v>17</v>
      </c>
      <c r="M1246" t="str">
        <f>REPLACE(Transactions!M1246,1,4,"")</f>
        <v>1</v>
      </c>
    </row>
    <row r="1247" spans="1:13" x14ac:dyDescent="0.2">
      <c r="A1247">
        <v>304335</v>
      </c>
      <c r="B1247" s="5">
        <v>45344</v>
      </c>
      <c r="C1247">
        <v>70332</v>
      </c>
      <c r="D1247" t="str">
        <f>PROPER(Transactions!D1247)</f>
        <v>Home &amp; Garden</v>
      </c>
      <c r="E1247" t="s">
        <v>86</v>
      </c>
      <c r="F1247" t="s">
        <v>87</v>
      </c>
      <c r="G1247">
        <v>1</v>
      </c>
      <c r="H1247">
        <v>12.99</v>
      </c>
      <c r="I1247" s="7">
        <f>IF(Transactions!I1247="",0,Transactions!I1247)</f>
        <v>0</v>
      </c>
      <c r="J1247" s="9">
        <f t="shared" si="19"/>
        <v>12.99</v>
      </c>
      <c r="K1247" t="s">
        <v>16</v>
      </c>
      <c r="L1247" t="s">
        <v>17</v>
      </c>
      <c r="M1247" t="str">
        <f>REPLACE(Transactions!M1247,1,4,"")</f>
        <v>12</v>
      </c>
    </row>
    <row r="1248" spans="1:13" x14ac:dyDescent="0.2">
      <c r="A1248">
        <v>304495</v>
      </c>
      <c r="B1248" s="5">
        <v>45337</v>
      </c>
      <c r="C1248">
        <v>50967</v>
      </c>
      <c r="D1248" t="str">
        <f>PROPER(Transactions!D1248)</f>
        <v>Furniture</v>
      </c>
      <c r="E1248" t="s">
        <v>60</v>
      </c>
      <c r="F1248" t="s">
        <v>61</v>
      </c>
      <c r="G1248">
        <v>1</v>
      </c>
      <c r="H1248">
        <v>46.74</v>
      </c>
      <c r="I1248" s="7">
        <f>IF(Transactions!I1248="",0,Transactions!I1248)</f>
        <v>0.15</v>
      </c>
      <c r="J1248" s="9">
        <f t="shared" si="19"/>
        <v>39.728999999999999</v>
      </c>
      <c r="K1248" t="s">
        <v>22</v>
      </c>
      <c r="L1248" t="s">
        <v>37</v>
      </c>
      <c r="M1248" t="str">
        <f>REPLACE(Transactions!M1248,1,4,"")</f>
        <v>5</v>
      </c>
    </row>
    <row r="1249" spans="1:13" x14ac:dyDescent="0.2">
      <c r="A1249">
        <v>304645</v>
      </c>
      <c r="B1249" s="5">
        <v>44728</v>
      </c>
      <c r="D1249" t="str">
        <f>PROPER(Transactions!D1249)</f>
        <v>Sports</v>
      </c>
      <c r="E1249" t="s">
        <v>188</v>
      </c>
      <c r="F1249" t="s">
        <v>189</v>
      </c>
      <c r="G1249">
        <v>2</v>
      </c>
      <c r="H1249">
        <v>31.49</v>
      </c>
      <c r="I1249" s="7">
        <f>IF(Transactions!I1249="",0,Transactions!I1249)</f>
        <v>0.3</v>
      </c>
      <c r="J1249" s="9">
        <f t="shared" si="19"/>
        <v>44.085999999999999</v>
      </c>
      <c r="K1249" t="s">
        <v>36</v>
      </c>
      <c r="L1249" t="s">
        <v>17</v>
      </c>
      <c r="M1249" t="str">
        <f>REPLACE(Transactions!M1249,1,4,"")</f>
        <v>20</v>
      </c>
    </row>
    <row r="1250" spans="1:13" x14ac:dyDescent="0.2">
      <c r="A1250">
        <v>304705</v>
      </c>
      <c r="B1250" s="5">
        <v>45486</v>
      </c>
      <c r="C1250">
        <v>90007</v>
      </c>
      <c r="D1250" t="str">
        <f>PROPER(Transactions!D1250)</f>
        <v>Toys</v>
      </c>
      <c r="E1250" t="s">
        <v>38</v>
      </c>
      <c r="F1250" t="s">
        <v>39</v>
      </c>
      <c r="G1250">
        <v>2</v>
      </c>
      <c r="H1250">
        <v>29.99</v>
      </c>
      <c r="I1250" s="7">
        <f>IF(Transactions!I1250="",0,Transactions!I1250)</f>
        <v>0</v>
      </c>
      <c r="J1250" s="9">
        <f t="shared" si="19"/>
        <v>59.98</v>
      </c>
      <c r="K1250" t="s">
        <v>36</v>
      </c>
      <c r="L1250" t="s">
        <v>37</v>
      </c>
      <c r="M1250" t="str">
        <f>REPLACE(Transactions!M1250,1,4,"")</f>
        <v>3</v>
      </c>
    </row>
    <row r="1251" spans="1:13" x14ac:dyDescent="0.2">
      <c r="A1251">
        <v>304867</v>
      </c>
      <c r="B1251" s="5">
        <v>44848</v>
      </c>
      <c r="C1251">
        <v>14123</v>
      </c>
      <c r="D1251" t="str">
        <f>PROPER(Transactions!D1251)</f>
        <v>Automotive</v>
      </c>
      <c r="E1251" t="s">
        <v>64</v>
      </c>
      <c r="F1251" t="s">
        <v>65</v>
      </c>
      <c r="G1251">
        <v>3</v>
      </c>
      <c r="H1251">
        <v>3.74</v>
      </c>
      <c r="I1251" s="7">
        <f>IF(Transactions!I1251="",0,Transactions!I1251)</f>
        <v>0.25</v>
      </c>
      <c r="J1251" s="9">
        <f t="shared" si="19"/>
        <v>8.4150000000000009</v>
      </c>
      <c r="K1251" t="s">
        <v>36</v>
      </c>
      <c r="L1251" t="s">
        <v>17</v>
      </c>
      <c r="M1251" t="str">
        <f>REPLACE(Transactions!M1251,1,4,"")</f>
        <v>17</v>
      </c>
    </row>
    <row r="1252" spans="1:13" x14ac:dyDescent="0.2">
      <c r="A1252">
        <v>304898</v>
      </c>
      <c r="B1252" s="5">
        <v>44799</v>
      </c>
      <c r="C1252">
        <v>95408</v>
      </c>
      <c r="D1252" t="str">
        <f>PROPER(Transactions!D1252)</f>
        <v>Grocery</v>
      </c>
      <c r="E1252" t="s">
        <v>107</v>
      </c>
      <c r="F1252" t="s">
        <v>108</v>
      </c>
      <c r="G1252">
        <v>1</v>
      </c>
      <c r="H1252">
        <v>3.49</v>
      </c>
      <c r="I1252" s="7">
        <f>IF(Transactions!I1252="",0,Transactions!I1252)</f>
        <v>0</v>
      </c>
      <c r="J1252" s="9">
        <f t="shared" si="19"/>
        <v>3.49</v>
      </c>
      <c r="K1252" t="s">
        <v>95</v>
      </c>
      <c r="L1252" t="s">
        <v>17</v>
      </c>
      <c r="M1252" t="str">
        <f>REPLACE(Transactions!M1252,1,4,"")</f>
        <v>9</v>
      </c>
    </row>
    <row r="1253" spans="1:13" x14ac:dyDescent="0.2">
      <c r="A1253">
        <v>305112</v>
      </c>
      <c r="B1253" s="5">
        <v>45175</v>
      </c>
      <c r="D1253" t="str">
        <f>PROPER(Transactions!D1253)</f>
        <v>Toys</v>
      </c>
      <c r="E1253" t="s">
        <v>170</v>
      </c>
      <c r="F1253" t="s">
        <v>171</v>
      </c>
      <c r="G1253">
        <v>3</v>
      </c>
      <c r="H1253">
        <v>12.74</v>
      </c>
      <c r="I1253" s="7">
        <f>IF(Transactions!I1253="",0,Transactions!I1253)</f>
        <v>0.15</v>
      </c>
      <c r="J1253" s="9">
        <f t="shared" si="19"/>
        <v>32.486999999999995</v>
      </c>
      <c r="K1253" t="s">
        <v>36</v>
      </c>
      <c r="L1253" t="s">
        <v>37</v>
      </c>
      <c r="M1253" t="str">
        <f>REPLACE(Transactions!M1253,1,4,"")</f>
        <v>18</v>
      </c>
    </row>
    <row r="1254" spans="1:13" x14ac:dyDescent="0.2">
      <c r="A1254">
        <v>305246</v>
      </c>
      <c r="B1254" s="5">
        <v>45444</v>
      </c>
      <c r="C1254">
        <v>89157</v>
      </c>
      <c r="D1254" t="str">
        <f>PROPER(Transactions!D1254)</f>
        <v>Home &amp; Garden</v>
      </c>
      <c r="E1254" t="s">
        <v>145</v>
      </c>
      <c r="F1254" t="s">
        <v>146</v>
      </c>
      <c r="G1254">
        <v>2</v>
      </c>
      <c r="H1254">
        <v>16.989999999999998</v>
      </c>
      <c r="I1254" s="7">
        <f>IF(Transactions!I1254="",0,Transactions!I1254)</f>
        <v>0</v>
      </c>
      <c r="J1254" s="9">
        <f t="shared" si="19"/>
        <v>33.979999999999997</v>
      </c>
      <c r="K1254" t="s">
        <v>36</v>
      </c>
      <c r="L1254" t="s">
        <v>23</v>
      </c>
      <c r="M1254" t="str">
        <f>REPLACE(Transactions!M1254,1,4,"")</f>
        <v>5</v>
      </c>
    </row>
    <row r="1255" spans="1:13" x14ac:dyDescent="0.2">
      <c r="A1255">
        <v>305460</v>
      </c>
      <c r="B1255" s="5">
        <v>45631</v>
      </c>
      <c r="C1255">
        <v>93777</v>
      </c>
      <c r="D1255" t="str">
        <f>PROPER(Transactions!D1255)</f>
        <v>Electronics</v>
      </c>
      <c r="E1255" t="s">
        <v>34</v>
      </c>
      <c r="F1255" t="s">
        <v>35</v>
      </c>
      <c r="G1255">
        <v>1</v>
      </c>
      <c r="H1255">
        <v>29.74</v>
      </c>
      <c r="I1255" s="7">
        <f>IF(Transactions!I1255="",0,Transactions!I1255)</f>
        <v>0.15</v>
      </c>
      <c r="J1255" s="9">
        <f t="shared" si="19"/>
        <v>25.278999999999996</v>
      </c>
      <c r="K1255" t="s">
        <v>32</v>
      </c>
      <c r="L1255" t="s">
        <v>17</v>
      </c>
      <c r="M1255" t="str">
        <f>REPLACE(Transactions!M1255,1,4,"")</f>
        <v>10</v>
      </c>
    </row>
    <row r="1256" spans="1:13" x14ac:dyDescent="0.2">
      <c r="A1256">
        <v>305472</v>
      </c>
      <c r="B1256" s="5">
        <v>45205</v>
      </c>
      <c r="C1256">
        <v>13204</v>
      </c>
      <c r="D1256" t="str">
        <f>PROPER(Transactions!D1256)</f>
        <v>Pharmacy</v>
      </c>
      <c r="E1256" t="s">
        <v>20</v>
      </c>
      <c r="F1256" t="s">
        <v>21</v>
      </c>
      <c r="G1256">
        <v>1</v>
      </c>
      <c r="H1256">
        <v>9.49</v>
      </c>
      <c r="I1256" s="7">
        <f>IF(Transactions!I1256="",0,Transactions!I1256)</f>
        <v>0.05</v>
      </c>
      <c r="J1256" s="9">
        <f t="shared" si="19"/>
        <v>9.0154999999999994</v>
      </c>
      <c r="K1256" t="s">
        <v>36</v>
      </c>
      <c r="L1256" t="s">
        <v>17</v>
      </c>
      <c r="M1256" t="str">
        <f>REPLACE(Transactions!M1256,1,4,"")</f>
        <v>20</v>
      </c>
    </row>
    <row r="1257" spans="1:13" x14ac:dyDescent="0.2">
      <c r="A1257">
        <v>305505</v>
      </c>
      <c r="B1257" s="5">
        <v>45290</v>
      </c>
      <c r="C1257">
        <v>21528</v>
      </c>
      <c r="D1257" t="str">
        <f>PROPER(Transactions!D1257)</f>
        <v>Clothing</v>
      </c>
      <c r="E1257" t="s">
        <v>193</v>
      </c>
      <c r="F1257" t="s">
        <v>194</v>
      </c>
      <c r="G1257">
        <v>3</v>
      </c>
      <c r="H1257">
        <v>51.99</v>
      </c>
      <c r="I1257" s="7">
        <f>IF(Transactions!I1257="",0,Transactions!I1257)</f>
        <v>0.2</v>
      </c>
      <c r="J1257" s="9">
        <f t="shared" si="19"/>
        <v>124.77600000000001</v>
      </c>
      <c r="K1257" t="s">
        <v>36</v>
      </c>
      <c r="L1257" t="s">
        <v>37</v>
      </c>
      <c r="M1257" t="str">
        <f>REPLACE(Transactions!M1257,1,4,"")</f>
        <v>11</v>
      </c>
    </row>
    <row r="1258" spans="1:13" x14ac:dyDescent="0.2">
      <c r="A1258">
        <v>305772</v>
      </c>
      <c r="B1258" s="5">
        <v>44726</v>
      </c>
      <c r="C1258">
        <v>79959</v>
      </c>
      <c r="D1258" t="str">
        <f>PROPER(Transactions!D1258)</f>
        <v>Toys</v>
      </c>
      <c r="E1258" t="s">
        <v>30</v>
      </c>
      <c r="F1258" t="s">
        <v>31</v>
      </c>
      <c r="G1258">
        <v>1</v>
      </c>
      <c r="H1258">
        <v>24.99</v>
      </c>
      <c r="I1258" s="7">
        <f>IF(Transactions!I1258="",0,Transactions!I1258)</f>
        <v>0</v>
      </c>
      <c r="J1258" s="9">
        <f t="shared" si="19"/>
        <v>24.99</v>
      </c>
      <c r="K1258" t="s">
        <v>16</v>
      </c>
      <c r="L1258" t="s">
        <v>17</v>
      </c>
      <c r="M1258" t="str">
        <f>REPLACE(Transactions!M1258,1,4,"")</f>
        <v>4</v>
      </c>
    </row>
    <row r="1259" spans="1:13" x14ac:dyDescent="0.2">
      <c r="A1259">
        <v>305820</v>
      </c>
      <c r="B1259" s="5">
        <v>44888</v>
      </c>
      <c r="C1259">
        <v>47067</v>
      </c>
      <c r="D1259" t="str">
        <f>PROPER(Transactions!D1259)</f>
        <v>Electronics</v>
      </c>
      <c r="E1259" t="s">
        <v>34</v>
      </c>
      <c r="F1259" t="s">
        <v>35</v>
      </c>
      <c r="G1259">
        <v>1</v>
      </c>
      <c r="H1259">
        <v>27.99</v>
      </c>
      <c r="I1259" s="7">
        <f>IF(Transactions!I1259="",0,Transactions!I1259)</f>
        <v>0.2</v>
      </c>
      <c r="J1259" s="9">
        <f t="shared" si="19"/>
        <v>22.391999999999999</v>
      </c>
      <c r="K1259" t="s">
        <v>16</v>
      </c>
      <c r="L1259" t="s">
        <v>17</v>
      </c>
      <c r="M1259" t="str">
        <f>REPLACE(Transactions!M1259,1,4,"")</f>
        <v>16</v>
      </c>
    </row>
    <row r="1260" spans="1:13" x14ac:dyDescent="0.2">
      <c r="A1260">
        <v>305834</v>
      </c>
      <c r="B1260" s="5">
        <v>44918</v>
      </c>
      <c r="C1260">
        <v>51414</v>
      </c>
      <c r="D1260" t="str">
        <f>PROPER(Transactions!D1260)</f>
        <v>Automotive</v>
      </c>
      <c r="E1260" t="s">
        <v>68</v>
      </c>
      <c r="F1260" t="s">
        <v>69</v>
      </c>
      <c r="G1260">
        <v>2</v>
      </c>
      <c r="H1260">
        <v>18.739999999999998</v>
      </c>
      <c r="I1260" s="7">
        <f>IF(Transactions!I1260="",0,Transactions!I1260)</f>
        <v>0.25</v>
      </c>
      <c r="J1260" s="9">
        <f t="shared" si="19"/>
        <v>28.11</v>
      </c>
      <c r="K1260" t="s">
        <v>36</v>
      </c>
      <c r="L1260" t="s">
        <v>37</v>
      </c>
      <c r="M1260" t="str">
        <f>REPLACE(Transactions!M1260,1,4,"")</f>
        <v>16</v>
      </c>
    </row>
    <row r="1261" spans="1:13" x14ac:dyDescent="0.2">
      <c r="A1261">
        <v>306480</v>
      </c>
      <c r="B1261" s="5">
        <v>44630</v>
      </c>
      <c r="C1261">
        <v>53616</v>
      </c>
      <c r="D1261" t="str">
        <f>PROPER(Transactions!D1261)</f>
        <v>Automotive</v>
      </c>
      <c r="E1261" t="s">
        <v>68</v>
      </c>
      <c r="F1261" t="s">
        <v>69</v>
      </c>
      <c r="G1261">
        <v>1</v>
      </c>
      <c r="H1261">
        <v>17.489999999999998</v>
      </c>
      <c r="I1261" s="7">
        <f>IF(Transactions!I1261="",0,Transactions!I1261)</f>
        <v>0.3</v>
      </c>
      <c r="J1261" s="9">
        <f t="shared" si="19"/>
        <v>12.242999999999999</v>
      </c>
      <c r="K1261" t="s">
        <v>95</v>
      </c>
      <c r="L1261" t="s">
        <v>17</v>
      </c>
      <c r="M1261" t="str">
        <f>REPLACE(Transactions!M1261,1,4,"")</f>
        <v>8</v>
      </c>
    </row>
    <row r="1262" spans="1:13" x14ac:dyDescent="0.2">
      <c r="A1262">
        <v>306638</v>
      </c>
      <c r="B1262" s="5">
        <v>45607</v>
      </c>
      <c r="C1262">
        <v>76878</v>
      </c>
      <c r="D1262" t="str">
        <f>PROPER(Transactions!D1262)</f>
        <v>Electronics</v>
      </c>
      <c r="E1262" t="s">
        <v>34</v>
      </c>
      <c r="F1262" t="s">
        <v>35</v>
      </c>
      <c r="G1262">
        <v>1</v>
      </c>
      <c r="H1262">
        <v>34.99</v>
      </c>
      <c r="I1262" s="7">
        <f>IF(Transactions!I1262="",0,Transactions!I1262)</f>
        <v>0</v>
      </c>
      <c r="J1262" s="9">
        <f t="shared" si="19"/>
        <v>34.99</v>
      </c>
      <c r="K1262" t="s">
        <v>36</v>
      </c>
      <c r="L1262" t="s">
        <v>17</v>
      </c>
      <c r="M1262" t="str">
        <f>REPLACE(Transactions!M1262,1,4,"")</f>
        <v>2</v>
      </c>
    </row>
    <row r="1263" spans="1:13" x14ac:dyDescent="0.2">
      <c r="A1263">
        <v>306861</v>
      </c>
      <c r="B1263" s="5">
        <v>44901</v>
      </c>
      <c r="C1263">
        <v>43951</v>
      </c>
      <c r="D1263" t="str">
        <f>PROPER(Transactions!D1263)</f>
        <v>Beauty</v>
      </c>
      <c r="E1263" t="s">
        <v>49</v>
      </c>
      <c r="F1263" t="s">
        <v>50</v>
      </c>
      <c r="G1263">
        <v>1</v>
      </c>
      <c r="H1263">
        <v>6.29</v>
      </c>
      <c r="I1263" s="7">
        <f>IF(Transactions!I1263="",0,Transactions!I1263)</f>
        <v>0.3</v>
      </c>
      <c r="J1263" s="9">
        <f t="shared" si="19"/>
        <v>4.4029999999999996</v>
      </c>
      <c r="K1263" t="s">
        <v>16</v>
      </c>
      <c r="L1263" t="s">
        <v>17</v>
      </c>
      <c r="M1263" t="str">
        <f>REPLACE(Transactions!M1263,1,4,"")</f>
        <v>6</v>
      </c>
    </row>
    <row r="1264" spans="1:13" x14ac:dyDescent="0.2">
      <c r="A1264">
        <v>306930</v>
      </c>
      <c r="B1264" s="5">
        <v>44864</v>
      </c>
      <c r="C1264">
        <v>24834</v>
      </c>
      <c r="D1264" t="str">
        <f>PROPER(Transactions!D1264)</f>
        <v>Grocery</v>
      </c>
      <c r="E1264" t="s">
        <v>177</v>
      </c>
      <c r="F1264" t="s">
        <v>178</v>
      </c>
      <c r="G1264">
        <v>2</v>
      </c>
      <c r="H1264">
        <v>8.99</v>
      </c>
      <c r="I1264" s="7">
        <f>IF(Transactions!I1264="",0,Transactions!I1264)</f>
        <v>0.25</v>
      </c>
      <c r="J1264" s="9">
        <f t="shared" si="19"/>
        <v>13.484999999999999</v>
      </c>
      <c r="K1264" t="s">
        <v>32</v>
      </c>
      <c r="L1264" t="s">
        <v>23</v>
      </c>
      <c r="M1264" t="str">
        <f>REPLACE(Transactions!M1264,1,4,"")</f>
        <v>6</v>
      </c>
    </row>
    <row r="1265" spans="1:13" x14ac:dyDescent="0.2">
      <c r="A1265">
        <v>307388</v>
      </c>
      <c r="B1265" s="5">
        <v>44782</v>
      </c>
      <c r="C1265">
        <v>26847</v>
      </c>
      <c r="D1265" t="str">
        <f>PROPER(Transactions!D1265)</f>
        <v>Furniture</v>
      </c>
      <c r="E1265" t="s">
        <v>60</v>
      </c>
      <c r="F1265" t="s">
        <v>61</v>
      </c>
      <c r="G1265">
        <v>2</v>
      </c>
      <c r="H1265">
        <v>49.49</v>
      </c>
      <c r="I1265" s="7">
        <f>IF(Transactions!I1265="",0,Transactions!I1265)</f>
        <v>0.1</v>
      </c>
      <c r="J1265" s="9">
        <f t="shared" si="19"/>
        <v>89.082000000000008</v>
      </c>
      <c r="K1265" t="s">
        <v>16</v>
      </c>
      <c r="L1265" t="s">
        <v>17</v>
      </c>
      <c r="M1265" t="str">
        <f>REPLACE(Transactions!M1265,1,4,"")</f>
        <v>11</v>
      </c>
    </row>
    <row r="1266" spans="1:13" x14ac:dyDescent="0.2">
      <c r="A1266">
        <v>307467</v>
      </c>
      <c r="B1266" s="5">
        <v>45037</v>
      </c>
      <c r="C1266">
        <v>46653</v>
      </c>
      <c r="D1266" t="str">
        <f>PROPER(Transactions!D1266)</f>
        <v>Toys</v>
      </c>
      <c r="E1266" t="s">
        <v>175</v>
      </c>
      <c r="F1266" t="s">
        <v>176</v>
      </c>
      <c r="G1266">
        <v>5</v>
      </c>
      <c r="H1266">
        <v>9.59</v>
      </c>
      <c r="I1266" s="7">
        <f>IF(Transactions!I1266="",0,Transactions!I1266)</f>
        <v>0.2</v>
      </c>
      <c r="J1266" s="9">
        <f t="shared" si="19"/>
        <v>38.360000000000007</v>
      </c>
      <c r="K1266" t="s">
        <v>16</v>
      </c>
      <c r="L1266" t="s">
        <v>17</v>
      </c>
      <c r="M1266" t="str">
        <f>REPLACE(Transactions!M1266,1,4,"")</f>
        <v>18</v>
      </c>
    </row>
    <row r="1267" spans="1:13" x14ac:dyDescent="0.2">
      <c r="A1267">
        <v>307622</v>
      </c>
      <c r="B1267" s="5">
        <v>45582</v>
      </c>
      <c r="C1267">
        <v>89270</v>
      </c>
      <c r="D1267" t="str">
        <f>PROPER(Transactions!D1267)</f>
        <v>Grocery</v>
      </c>
      <c r="E1267" t="s">
        <v>162</v>
      </c>
      <c r="F1267" t="s">
        <v>163</v>
      </c>
      <c r="G1267">
        <v>1</v>
      </c>
      <c r="H1267">
        <v>7.19</v>
      </c>
      <c r="I1267" s="7">
        <f>IF(Transactions!I1267="",0,Transactions!I1267)</f>
        <v>0.1</v>
      </c>
      <c r="J1267" s="9">
        <f t="shared" si="19"/>
        <v>6.4710000000000001</v>
      </c>
      <c r="K1267" t="s">
        <v>95</v>
      </c>
      <c r="L1267" t="s">
        <v>17</v>
      </c>
      <c r="M1267" t="str">
        <f>REPLACE(Transactions!M1267,1,4,"")</f>
        <v>8</v>
      </c>
    </row>
    <row r="1268" spans="1:13" x14ac:dyDescent="0.2">
      <c r="A1268">
        <v>307639</v>
      </c>
      <c r="B1268" s="5">
        <v>45329</v>
      </c>
      <c r="C1268">
        <v>84329</v>
      </c>
      <c r="D1268" t="str">
        <f>PROPER(Transactions!D1268)</f>
        <v>Beauty</v>
      </c>
      <c r="E1268" t="s">
        <v>143</v>
      </c>
      <c r="F1268" t="s">
        <v>144</v>
      </c>
      <c r="G1268">
        <v>3</v>
      </c>
      <c r="H1268">
        <v>14.99</v>
      </c>
      <c r="I1268" s="7">
        <f>IF(Transactions!I1268="",0,Transactions!I1268)</f>
        <v>0</v>
      </c>
      <c r="J1268" s="9">
        <f t="shared" si="19"/>
        <v>44.97</v>
      </c>
      <c r="K1268" t="s">
        <v>16</v>
      </c>
      <c r="L1268" t="s">
        <v>17</v>
      </c>
      <c r="M1268" t="str">
        <f>REPLACE(Transactions!M1268,1,4,"")</f>
        <v/>
      </c>
    </row>
    <row r="1269" spans="1:13" x14ac:dyDescent="0.2">
      <c r="A1269">
        <v>307830</v>
      </c>
      <c r="B1269" s="5">
        <v>45165</v>
      </c>
      <c r="C1269">
        <v>52013</v>
      </c>
      <c r="D1269" t="str">
        <f>PROPER(Transactions!D1269)</f>
        <v>Clothing</v>
      </c>
      <c r="E1269" t="s">
        <v>121</v>
      </c>
      <c r="F1269" t="s">
        <v>122</v>
      </c>
      <c r="G1269">
        <v>2</v>
      </c>
      <c r="H1269">
        <v>12.99</v>
      </c>
      <c r="I1269" s="7">
        <f>IF(Transactions!I1269="",0,Transactions!I1269)</f>
        <v>0</v>
      </c>
      <c r="J1269" s="9">
        <f t="shared" si="19"/>
        <v>25.98</v>
      </c>
      <c r="K1269" t="s">
        <v>36</v>
      </c>
      <c r="L1269" t="s">
        <v>37</v>
      </c>
      <c r="M1269" t="str">
        <f>REPLACE(Transactions!M1269,1,4,"")</f>
        <v/>
      </c>
    </row>
    <row r="1270" spans="1:13" x14ac:dyDescent="0.2">
      <c r="A1270">
        <v>307873</v>
      </c>
      <c r="B1270" s="5">
        <v>45190</v>
      </c>
      <c r="C1270">
        <v>31808</v>
      </c>
      <c r="D1270" t="str">
        <f>PROPER(Transactions!D1270)</f>
        <v>Beauty</v>
      </c>
      <c r="E1270" t="s">
        <v>109</v>
      </c>
      <c r="F1270" t="s">
        <v>110</v>
      </c>
      <c r="G1270">
        <v>5</v>
      </c>
      <c r="H1270">
        <v>5.59</v>
      </c>
      <c r="I1270" s="7">
        <f>IF(Transactions!I1270="",0,Transactions!I1270)</f>
        <v>0.2</v>
      </c>
      <c r="J1270" s="9">
        <f t="shared" si="19"/>
        <v>22.36</v>
      </c>
      <c r="K1270" t="s">
        <v>36</v>
      </c>
      <c r="L1270" t="s">
        <v>17</v>
      </c>
      <c r="M1270" t="str">
        <f>REPLACE(Transactions!M1270,1,4,"")</f>
        <v>8</v>
      </c>
    </row>
    <row r="1271" spans="1:13" x14ac:dyDescent="0.2">
      <c r="A1271">
        <v>307879</v>
      </c>
      <c r="B1271" s="5">
        <v>45503</v>
      </c>
      <c r="C1271">
        <v>90802</v>
      </c>
      <c r="D1271" t="str">
        <f>PROPER(Transactions!D1271)</f>
        <v>Automotive</v>
      </c>
      <c r="E1271" t="s">
        <v>68</v>
      </c>
      <c r="F1271" t="s">
        <v>69</v>
      </c>
      <c r="G1271">
        <v>4</v>
      </c>
      <c r="H1271">
        <v>23.74</v>
      </c>
      <c r="I1271" s="7">
        <f>IF(Transactions!I1271="",0,Transactions!I1271)</f>
        <v>0.05</v>
      </c>
      <c r="J1271" s="9">
        <f t="shared" si="19"/>
        <v>90.211999999999989</v>
      </c>
      <c r="K1271" t="s">
        <v>36</v>
      </c>
      <c r="L1271" t="s">
        <v>23</v>
      </c>
      <c r="M1271" t="str">
        <f>REPLACE(Transactions!M1271,1,4,"")</f>
        <v/>
      </c>
    </row>
    <row r="1272" spans="1:13" x14ac:dyDescent="0.2">
      <c r="A1272">
        <v>307963</v>
      </c>
      <c r="B1272" s="5">
        <v>45330</v>
      </c>
      <c r="C1272">
        <v>23356</v>
      </c>
      <c r="D1272" t="str">
        <f>PROPER(Transactions!D1272)</f>
        <v>Toys</v>
      </c>
      <c r="E1272" t="s">
        <v>175</v>
      </c>
      <c r="F1272" t="s">
        <v>176</v>
      </c>
      <c r="G1272">
        <v>5</v>
      </c>
      <c r="H1272">
        <v>9.59</v>
      </c>
      <c r="I1272" s="7">
        <f>IF(Transactions!I1272="",0,Transactions!I1272)</f>
        <v>0.2</v>
      </c>
      <c r="J1272" s="9">
        <f t="shared" si="19"/>
        <v>38.360000000000007</v>
      </c>
      <c r="K1272" t="s">
        <v>36</v>
      </c>
      <c r="L1272" t="s">
        <v>37</v>
      </c>
      <c r="M1272" t="str">
        <f>REPLACE(Transactions!M1272,1,4,"")</f>
        <v>15</v>
      </c>
    </row>
    <row r="1273" spans="1:13" x14ac:dyDescent="0.2">
      <c r="A1273">
        <v>308043</v>
      </c>
      <c r="B1273" s="5">
        <v>45338</v>
      </c>
      <c r="C1273">
        <v>66948</v>
      </c>
      <c r="D1273" t="str">
        <f>PROPER(Transactions!D1273)</f>
        <v>Furniture</v>
      </c>
      <c r="E1273" t="s">
        <v>26</v>
      </c>
      <c r="F1273" t="s">
        <v>27</v>
      </c>
      <c r="G1273">
        <v>2</v>
      </c>
      <c r="H1273">
        <v>29.74</v>
      </c>
      <c r="I1273" s="7">
        <f>IF(Transactions!I1273="",0,Transactions!I1273)</f>
        <v>0.15</v>
      </c>
      <c r="J1273" s="9">
        <f t="shared" si="19"/>
        <v>50.557999999999993</v>
      </c>
      <c r="K1273" t="s">
        <v>22</v>
      </c>
      <c r="L1273" t="s">
        <v>37</v>
      </c>
      <c r="M1273" t="str">
        <f>REPLACE(Transactions!M1273,1,4,"")</f>
        <v>18</v>
      </c>
    </row>
    <row r="1274" spans="1:13" x14ac:dyDescent="0.2">
      <c r="A1274">
        <v>308141</v>
      </c>
      <c r="B1274" s="5">
        <v>45336</v>
      </c>
      <c r="C1274">
        <v>94668</v>
      </c>
      <c r="D1274" t="str">
        <f>PROPER(Transactions!D1274)</f>
        <v>Toys</v>
      </c>
      <c r="E1274" t="s">
        <v>38</v>
      </c>
      <c r="F1274" t="s">
        <v>39</v>
      </c>
      <c r="G1274">
        <v>1</v>
      </c>
      <c r="H1274">
        <v>25.49</v>
      </c>
      <c r="I1274" s="7">
        <f>IF(Transactions!I1274="",0,Transactions!I1274)</f>
        <v>0.15</v>
      </c>
      <c r="J1274" s="9">
        <f t="shared" si="19"/>
        <v>21.666499999999999</v>
      </c>
      <c r="K1274" t="s">
        <v>36</v>
      </c>
      <c r="L1274" t="s">
        <v>17</v>
      </c>
      <c r="M1274" t="str">
        <f>REPLACE(Transactions!M1274,1,4,"")</f>
        <v>8</v>
      </c>
    </row>
    <row r="1275" spans="1:13" x14ac:dyDescent="0.2">
      <c r="A1275">
        <v>308142</v>
      </c>
      <c r="B1275" s="5">
        <v>44823</v>
      </c>
      <c r="C1275">
        <v>87761</v>
      </c>
      <c r="D1275" t="str">
        <f>PROPER(Transactions!D1275)</f>
        <v>Sports</v>
      </c>
      <c r="E1275" t="s">
        <v>147</v>
      </c>
      <c r="F1275" t="s">
        <v>148</v>
      </c>
      <c r="G1275">
        <v>3</v>
      </c>
      <c r="H1275">
        <v>10.39</v>
      </c>
      <c r="I1275" s="7">
        <f>IF(Transactions!I1275="",0,Transactions!I1275)</f>
        <v>0.2</v>
      </c>
      <c r="J1275" s="9">
        <f t="shared" si="19"/>
        <v>24.936000000000003</v>
      </c>
      <c r="K1275" t="s">
        <v>22</v>
      </c>
      <c r="L1275" t="s">
        <v>17</v>
      </c>
      <c r="M1275" t="str">
        <f>REPLACE(Transactions!M1275,1,4,"")</f>
        <v>1</v>
      </c>
    </row>
    <row r="1276" spans="1:13" x14ac:dyDescent="0.2">
      <c r="A1276">
        <v>308254</v>
      </c>
      <c r="B1276" s="5">
        <v>45266</v>
      </c>
      <c r="C1276">
        <v>61078</v>
      </c>
      <c r="D1276" t="str">
        <f>PROPER(Transactions!D1276)</f>
        <v>Clothing</v>
      </c>
      <c r="E1276" t="s">
        <v>151</v>
      </c>
      <c r="F1276" t="s">
        <v>152</v>
      </c>
      <c r="G1276">
        <v>2</v>
      </c>
      <c r="H1276">
        <v>27.99</v>
      </c>
      <c r="I1276" s="7">
        <f>IF(Transactions!I1276="",0,Transactions!I1276)</f>
        <v>0.2</v>
      </c>
      <c r="J1276" s="9">
        <f t="shared" si="19"/>
        <v>44.783999999999999</v>
      </c>
      <c r="K1276" t="s">
        <v>22</v>
      </c>
      <c r="L1276" t="s">
        <v>17</v>
      </c>
      <c r="M1276" t="str">
        <f>REPLACE(Transactions!M1276,1,4,"")</f>
        <v>11</v>
      </c>
    </row>
    <row r="1277" spans="1:13" x14ac:dyDescent="0.2">
      <c r="A1277">
        <v>308329</v>
      </c>
      <c r="B1277" s="5">
        <v>44796</v>
      </c>
      <c r="C1277">
        <v>28977</v>
      </c>
      <c r="D1277" t="str">
        <f>PROPER(Transactions!D1277)</f>
        <v>Clothing</v>
      </c>
      <c r="E1277" t="s">
        <v>151</v>
      </c>
      <c r="F1277" t="s">
        <v>152</v>
      </c>
      <c r="G1277">
        <v>1</v>
      </c>
      <c r="H1277">
        <v>29.74</v>
      </c>
      <c r="I1277" s="7">
        <f>IF(Transactions!I1277="",0,Transactions!I1277)</f>
        <v>0.15</v>
      </c>
      <c r="J1277" s="9">
        <f t="shared" si="19"/>
        <v>25.278999999999996</v>
      </c>
      <c r="K1277" t="s">
        <v>95</v>
      </c>
      <c r="L1277" t="s">
        <v>23</v>
      </c>
      <c r="M1277" t="str">
        <f>REPLACE(Transactions!M1277,1,4,"")</f>
        <v>7</v>
      </c>
    </row>
    <row r="1278" spans="1:13" x14ac:dyDescent="0.2">
      <c r="A1278">
        <v>308872</v>
      </c>
      <c r="B1278" s="5">
        <v>45470</v>
      </c>
      <c r="C1278">
        <v>43025</v>
      </c>
      <c r="D1278" t="str">
        <f>PROPER(Transactions!D1278)</f>
        <v>Beauty</v>
      </c>
      <c r="E1278" t="s">
        <v>49</v>
      </c>
      <c r="F1278" t="s">
        <v>50</v>
      </c>
      <c r="G1278">
        <v>4</v>
      </c>
      <c r="H1278">
        <v>6.74</v>
      </c>
      <c r="I1278" s="7">
        <f>IF(Transactions!I1278="",0,Transactions!I1278)</f>
        <v>0.25</v>
      </c>
      <c r="J1278" s="9">
        <f t="shared" si="19"/>
        <v>20.22</v>
      </c>
      <c r="K1278" t="s">
        <v>16</v>
      </c>
      <c r="L1278" t="s">
        <v>17</v>
      </c>
      <c r="M1278" t="str">
        <f>REPLACE(Transactions!M1278,1,4,"")</f>
        <v>13</v>
      </c>
    </row>
    <row r="1279" spans="1:13" x14ac:dyDescent="0.2">
      <c r="A1279">
        <v>308990</v>
      </c>
      <c r="B1279" s="5">
        <v>45230</v>
      </c>
      <c r="C1279">
        <v>37910</v>
      </c>
      <c r="D1279" t="str">
        <f>PROPER(Transactions!D1279)</f>
        <v>Home &amp; Garden</v>
      </c>
      <c r="E1279" t="s">
        <v>129</v>
      </c>
      <c r="F1279" t="s">
        <v>130</v>
      </c>
      <c r="G1279">
        <v>2</v>
      </c>
      <c r="H1279">
        <v>8.09</v>
      </c>
      <c r="I1279" s="7">
        <f>IF(Transactions!I1279="",0,Transactions!I1279)</f>
        <v>0.1</v>
      </c>
      <c r="J1279" s="9">
        <f t="shared" si="19"/>
        <v>14.561999999999999</v>
      </c>
      <c r="K1279" t="s">
        <v>95</v>
      </c>
      <c r="L1279" t="s">
        <v>17</v>
      </c>
      <c r="M1279" t="str">
        <f>REPLACE(Transactions!M1279,1,4,"")</f>
        <v>14</v>
      </c>
    </row>
    <row r="1280" spans="1:13" x14ac:dyDescent="0.2">
      <c r="A1280">
        <v>309641</v>
      </c>
      <c r="B1280" s="5">
        <v>45000</v>
      </c>
      <c r="C1280">
        <v>24677</v>
      </c>
      <c r="D1280" t="str">
        <f>PROPER(Transactions!D1280)</f>
        <v>Home &amp; Garden</v>
      </c>
      <c r="E1280" t="s">
        <v>157</v>
      </c>
      <c r="F1280" t="s">
        <v>158</v>
      </c>
      <c r="G1280">
        <v>1</v>
      </c>
      <c r="H1280">
        <v>13.49</v>
      </c>
      <c r="I1280" s="7">
        <f>IF(Transactions!I1280="",0,Transactions!I1280)</f>
        <v>0</v>
      </c>
      <c r="J1280" s="9">
        <f t="shared" si="19"/>
        <v>13.49</v>
      </c>
      <c r="K1280" t="s">
        <v>16</v>
      </c>
      <c r="L1280" t="s">
        <v>37</v>
      </c>
      <c r="M1280" t="str">
        <f>REPLACE(Transactions!M1280,1,4,"")</f>
        <v>9</v>
      </c>
    </row>
    <row r="1281" spans="1:13" x14ac:dyDescent="0.2">
      <c r="A1281">
        <v>309699</v>
      </c>
      <c r="B1281" s="5">
        <v>44742</v>
      </c>
      <c r="C1281">
        <v>26296</v>
      </c>
      <c r="D1281" t="str">
        <f>PROPER(Transactions!D1281)</f>
        <v>Electronics</v>
      </c>
      <c r="E1281" t="s">
        <v>159</v>
      </c>
      <c r="F1281" t="s">
        <v>160</v>
      </c>
      <c r="G1281">
        <v>3</v>
      </c>
      <c r="H1281">
        <v>59.99</v>
      </c>
      <c r="I1281" s="7">
        <f>IF(Transactions!I1281="",0,Transactions!I1281)</f>
        <v>0</v>
      </c>
      <c r="J1281" s="9">
        <f t="shared" si="19"/>
        <v>179.97</v>
      </c>
      <c r="K1281" t="s">
        <v>16</v>
      </c>
      <c r="L1281" t="s">
        <v>37</v>
      </c>
      <c r="M1281" t="str">
        <f>REPLACE(Transactions!M1281,1,4,"")</f>
        <v>18</v>
      </c>
    </row>
    <row r="1282" spans="1:13" x14ac:dyDescent="0.2">
      <c r="A1282">
        <v>309785</v>
      </c>
      <c r="B1282" s="5">
        <v>45306</v>
      </c>
      <c r="C1282">
        <v>42358</v>
      </c>
      <c r="D1282" t="str">
        <f>PROPER(Transactions!D1282)</f>
        <v>Clothing</v>
      </c>
      <c r="E1282" t="s">
        <v>135</v>
      </c>
      <c r="F1282" t="s">
        <v>136</v>
      </c>
      <c r="G1282">
        <v>2</v>
      </c>
      <c r="H1282">
        <v>7.99</v>
      </c>
      <c r="I1282" s="7">
        <f>IF(Transactions!I1282="",0,Transactions!I1282)</f>
        <v>0.2</v>
      </c>
      <c r="J1282" s="9">
        <f t="shared" si="19"/>
        <v>12.784000000000001</v>
      </c>
      <c r="K1282" t="s">
        <v>22</v>
      </c>
      <c r="L1282" t="s">
        <v>17</v>
      </c>
      <c r="M1282" t="str">
        <f>REPLACE(Transactions!M1282,1,4,"")</f>
        <v>5</v>
      </c>
    </row>
    <row r="1283" spans="1:13" x14ac:dyDescent="0.2">
      <c r="A1283">
        <v>310000</v>
      </c>
      <c r="B1283" s="5">
        <v>45290</v>
      </c>
      <c r="C1283">
        <v>76260</v>
      </c>
      <c r="D1283" t="str">
        <f>PROPER(Transactions!D1283)</f>
        <v>Furniture</v>
      </c>
      <c r="E1283" t="s">
        <v>60</v>
      </c>
      <c r="F1283" t="s">
        <v>61</v>
      </c>
      <c r="G1283">
        <v>2</v>
      </c>
      <c r="H1283">
        <v>38.49</v>
      </c>
      <c r="I1283" s="7">
        <f>IF(Transactions!I1283="",0,Transactions!I1283)</f>
        <v>0.3</v>
      </c>
      <c r="J1283" s="9">
        <f t="shared" ref="J1283:J1346" si="20">(H1283*G1283)*(1-I1283)</f>
        <v>53.886000000000003</v>
      </c>
      <c r="K1283" t="s">
        <v>16</v>
      </c>
      <c r="L1283" t="s">
        <v>17</v>
      </c>
      <c r="M1283" t="str">
        <f>REPLACE(Transactions!M1283,1,4,"")</f>
        <v>8</v>
      </c>
    </row>
    <row r="1284" spans="1:13" x14ac:dyDescent="0.2">
      <c r="A1284">
        <v>310508</v>
      </c>
      <c r="B1284" s="5">
        <v>45305</v>
      </c>
      <c r="C1284">
        <v>38557</v>
      </c>
      <c r="D1284" t="str">
        <f>PROPER(Transactions!D1284)</f>
        <v>Furniture</v>
      </c>
      <c r="E1284" t="s">
        <v>60</v>
      </c>
      <c r="F1284" t="s">
        <v>61</v>
      </c>
      <c r="G1284">
        <v>4</v>
      </c>
      <c r="H1284">
        <v>54.99</v>
      </c>
      <c r="I1284" s="7">
        <f>IF(Transactions!I1284="",0,Transactions!I1284)</f>
        <v>0</v>
      </c>
      <c r="J1284" s="9">
        <f t="shared" si="20"/>
        <v>219.96</v>
      </c>
      <c r="K1284" t="s">
        <v>36</v>
      </c>
      <c r="L1284" t="s">
        <v>17</v>
      </c>
      <c r="M1284" t="str">
        <f>REPLACE(Transactions!M1284,1,4,"")</f>
        <v>3</v>
      </c>
    </row>
    <row r="1285" spans="1:13" x14ac:dyDescent="0.2">
      <c r="A1285">
        <v>310938</v>
      </c>
      <c r="B1285" s="5">
        <v>45495</v>
      </c>
      <c r="C1285">
        <v>41353</v>
      </c>
      <c r="D1285" t="str">
        <f>PROPER(Transactions!D1285)</f>
        <v>Grocery</v>
      </c>
      <c r="E1285" t="s">
        <v>74</v>
      </c>
      <c r="F1285" t="s">
        <v>75</v>
      </c>
      <c r="G1285">
        <v>1</v>
      </c>
      <c r="H1285">
        <v>2.69</v>
      </c>
      <c r="I1285" s="7">
        <f>IF(Transactions!I1285="",0,Transactions!I1285)</f>
        <v>0.1</v>
      </c>
      <c r="J1285" s="9">
        <f t="shared" si="20"/>
        <v>2.4209999999999998</v>
      </c>
      <c r="K1285" t="s">
        <v>66</v>
      </c>
      <c r="L1285" t="s">
        <v>17</v>
      </c>
      <c r="M1285" t="str">
        <f>REPLACE(Transactions!M1285,1,4,"")</f>
        <v>12</v>
      </c>
    </row>
    <row r="1286" spans="1:13" x14ac:dyDescent="0.2">
      <c r="A1286">
        <v>311729</v>
      </c>
      <c r="B1286" s="5">
        <v>45056</v>
      </c>
      <c r="C1286">
        <v>97895</v>
      </c>
      <c r="D1286" t="str">
        <f>PROPER(Transactions!D1286)</f>
        <v>Automotive</v>
      </c>
      <c r="E1286" t="s">
        <v>64</v>
      </c>
      <c r="F1286" t="s">
        <v>65</v>
      </c>
      <c r="G1286">
        <v>3</v>
      </c>
      <c r="H1286">
        <v>3.49</v>
      </c>
      <c r="I1286" s="7">
        <f>IF(Transactions!I1286="",0,Transactions!I1286)</f>
        <v>0.3</v>
      </c>
      <c r="J1286" s="9">
        <f t="shared" si="20"/>
        <v>7.3289999999999997</v>
      </c>
      <c r="K1286" t="s">
        <v>36</v>
      </c>
      <c r="L1286" t="s">
        <v>37</v>
      </c>
      <c r="M1286" t="str">
        <f>REPLACE(Transactions!M1286,1,4,"")</f>
        <v>8</v>
      </c>
    </row>
    <row r="1287" spans="1:13" x14ac:dyDescent="0.2">
      <c r="A1287">
        <v>311808</v>
      </c>
      <c r="B1287" s="5">
        <v>45349</v>
      </c>
      <c r="C1287">
        <v>20535</v>
      </c>
      <c r="D1287" t="str">
        <f>PROPER(Transactions!D1287)</f>
        <v>Pharmacy</v>
      </c>
      <c r="E1287" t="s">
        <v>20</v>
      </c>
      <c r="F1287" t="s">
        <v>21</v>
      </c>
      <c r="G1287">
        <v>2</v>
      </c>
      <c r="H1287">
        <v>8.99</v>
      </c>
      <c r="I1287" s="7">
        <f>IF(Transactions!I1287="",0,Transactions!I1287)</f>
        <v>0.1</v>
      </c>
      <c r="J1287" s="9">
        <f t="shared" si="20"/>
        <v>16.182000000000002</v>
      </c>
      <c r="K1287" t="s">
        <v>53</v>
      </c>
      <c r="L1287" t="s">
        <v>23</v>
      </c>
      <c r="M1287" t="str">
        <f>REPLACE(Transactions!M1287,1,4,"")</f>
        <v>18</v>
      </c>
    </row>
    <row r="1288" spans="1:13" x14ac:dyDescent="0.2">
      <c r="A1288">
        <v>311961</v>
      </c>
      <c r="B1288" s="5">
        <v>44957</v>
      </c>
      <c r="C1288">
        <v>49450</v>
      </c>
      <c r="D1288" t="str">
        <f>PROPER(Transactions!D1288)</f>
        <v>Electronics</v>
      </c>
      <c r="E1288" t="s">
        <v>159</v>
      </c>
      <c r="F1288" t="s">
        <v>160</v>
      </c>
      <c r="G1288">
        <v>5</v>
      </c>
      <c r="H1288">
        <v>53.99</v>
      </c>
      <c r="I1288" s="7">
        <f>IF(Transactions!I1288="",0,Transactions!I1288)</f>
        <v>0.1</v>
      </c>
      <c r="J1288" s="9">
        <f t="shared" si="20"/>
        <v>242.95499999999998</v>
      </c>
      <c r="K1288" t="s">
        <v>95</v>
      </c>
      <c r="L1288" t="s">
        <v>17</v>
      </c>
      <c r="M1288" t="str">
        <f>REPLACE(Transactions!M1288,1,4,"")</f>
        <v>11</v>
      </c>
    </row>
    <row r="1289" spans="1:13" x14ac:dyDescent="0.2">
      <c r="A1289">
        <v>311970</v>
      </c>
      <c r="B1289" s="5">
        <v>45125</v>
      </c>
      <c r="C1289">
        <v>33800</v>
      </c>
      <c r="D1289" t="str">
        <f>PROPER(Transactions!D1289)</f>
        <v>Automotive</v>
      </c>
      <c r="E1289" t="s">
        <v>68</v>
      </c>
      <c r="F1289" t="s">
        <v>69</v>
      </c>
      <c r="G1289">
        <v>5</v>
      </c>
      <c r="H1289">
        <v>21.24</v>
      </c>
      <c r="I1289" s="7">
        <f>IF(Transactions!I1289="",0,Transactions!I1289)</f>
        <v>0.15</v>
      </c>
      <c r="J1289" s="9">
        <f t="shared" si="20"/>
        <v>90.269999999999982</v>
      </c>
      <c r="K1289" t="s">
        <v>95</v>
      </c>
      <c r="L1289" t="s">
        <v>17</v>
      </c>
      <c r="M1289" t="str">
        <f>REPLACE(Transactions!M1289,1,4,"")</f>
        <v>19</v>
      </c>
    </row>
    <row r="1290" spans="1:13" x14ac:dyDescent="0.2">
      <c r="A1290">
        <v>311992</v>
      </c>
      <c r="B1290" s="5">
        <v>45002</v>
      </c>
      <c r="C1290">
        <v>86324</v>
      </c>
      <c r="D1290" t="str">
        <f>PROPER(Transactions!D1290)</f>
        <v>Pharmacy</v>
      </c>
      <c r="E1290" t="s">
        <v>197</v>
      </c>
      <c r="F1290" t="s">
        <v>198</v>
      </c>
      <c r="G1290">
        <v>4</v>
      </c>
      <c r="H1290">
        <v>14.24</v>
      </c>
      <c r="I1290" s="7">
        <f>IF(Transactions!I1290="",0,Transactions!I1290)</f>
        <v>0.05</v>
      </c>
      <c r="J1290" s="9">
        <f t="shared" si="20"/>
        <v>54.111999999999995</v>
      </c>
      <c r="K1290" t="s">
        <v>22</v>
      </c>
      <c r="L1290" t="s">
        <v>37</v>
      </c>
      <c r="M1290" t="str">
        <f>REPLACE(Transactions!M1290,1,4,"")</f>
        <v>2</v>
      </c>
    </row>
    <row r="1291" spans="1:13" x14ac:dyDescent="0.2">
      <c r="A1291">
        <v>312754</v>
      </c>
      <c r="B1291" s="5">
        <v>45420</v>
      </c>
      <c r="C1291">
        <v>15650</v>
      </c>
      <c r="D1291" t="str">
        <f>PROPER(Transactions!D1291)</f>
        <v>Electronics</v>
      </c>
      <c r="E1291" t="s">
        <v>159</v>
      </c>
      <c r="F1291" t="s">
        <v>160</v>
      </c>
      <c r="G1291">
        <v>5</v>
      </c>
      <c r="H1291">
        <v>44.99</v>
      </c>
      <c r="I1291" s="7">
        <f>IF(Transactions!I1291="",0,Transactions!I1291)</f>
        <v>0.25</v>
      </c>
      <c r="J1291" s="9">
        <f t="shared" si="20"/>
        <v>168.71250000000001</v>
      </c>
      <c r="K1291" t="s">
        <v>32</v>
      </c>
      <c r="L1291" t="s">
        <v>37</v>
      </c>
      <c r="M1291" t="str">
        <f>REPLACE(Transactions!M1291,1,4,"")</f>
        <v>5</v>
      </c>
    </row>
    <row r="1292" spans="1:13" x14ac:dyDescent="0.2">
      <c r="A1292">
        <v>312841</v>
      </c>
      <c r="B1292" s="5">
        <v>44675</v>
      </c>
      <c r="C1292">
        <v>80133</v>
      </c>
      <c r="D1292" t="str">
        <f>PROPER(Transactions!D1292)</f>
        <v>Grocery</v>
      </c>
      <c r="E1292" t="s">
        <v>45</v>
      </c>
      <c r="F1292" t="s">
        <v>46</v>
      </c>
      <c r="G1292">
        <v>1</v>
      </c>
      <c r="H1292">
        <v>1.34</v>
      </c>
      <c r="I1292" s="7">
        <f>IF(Transactions!I1292="",0,Transactions!I1292)</f>
        <v>0.25</v>
      </c>
      <c r="J1292" s="9">
        <f t="shared" si="20"/>
        <v>1.0050000000000001</v>
      </c>
      <c r="K1292" t="s">
        <v>16</v>
      </c>
      <c r="L1292" t="s">
        <v>17</v>
      </c>
      <c r="M1292" t="str">
        <f>REPLACE(Transactions!M1292,1,4,"")</f>
        <v>7</v>
      </c>
    </row>
    <row r="1293" spans="1:13" x14ac:dyDescent="0.2">
      <c r="A1293">
        <v>312911</v>
      </c>
      <c r="B1293" s="5">
        <v>44999</v>
      </c>
      <c r="C1293">
        <v>42647</v>
      </c>
      <c r="D1293" t="str">
        <f>PROPER(Transactions!D1293)</f>
        <v>Beauty</v>
      </c>
      <c r="E1293" t="s">
        <v>179</v>
      </c>
      <c r="F1293" t="s">
        <v>180</v>
      </c>
      <c r="G1293">
        <v>1</v>
      </c>
      <c r="H1293">
        <v>9.59</v>
      </c>
      <c r="I1293" s="7">
        <f>IF(Transactions!I1293="",0,Transactions!I1293)</f>
        <v>0.2</v>
      </c>
      <c r="J1293" s="9">
        <f t="shared" si="20"/>
        <v>7.6720000000000006</v>
      </c>
      <c r="K1293" t="s">
        <v>22</v>
      </c>
      <c r="L1293" t="s">
        <v>17</v>
      </c>
      <c r="M1293" t="str">
        <f>REPLACE(Transactions!M1293,1,4,"")</f>
        <v>2</v>
      </c>
    </row>
    <row r="1294" spans="1:13" x14ac:dyDescent="0.2">
      <c r="A1294">
        <v>312943</v>
      </c>
      <c r="B1294" s="5">
        <v>45448</v>
      </c>
      <c r="C1294">
        <v>80964</v>
      </c>
      <c r="D1294" t="str">
        <f>PROPER(Transactions!D1294)</f>
        <v>Home &amp; Garden</v>
      </c>
      <c r="E1294" t="s">
        <v>153</v>
      </c>
      <c r="F1294" t="s">
        <v>154</v>
      </c>
      <c r="G1294">
        <v>3</v>
      </c>
      <c r="H1294">
        <v>22.49</v>
      </c>
      <c r="I1294" s="7">
        <f>IF(Transactions!I1294="",0,Transactions!I1294)</f>
        <v>0.25</v>
      </c>
      <c r="J1294" s="9">
        <f t="shared" si="20"/>
        <v>50.602499999999999</v>
      </c>
      <c r="K1294" t="s">
        <v>16</v>
      </c>
      <c r="L1294" t="s">
        <v>17</v>
      </c>
      <c r="M1294" t="str">
        <f>REPLACE(Transactions!M1294,1,4,"")</f>
        <v>1</v>
      </c>
    </row>
    <row r="1295" spans="1:13" x14ac:dyDescent="0.2">
      <c r="A1295">
        <v>313014</v>
      </c>
      <c r="B1295" s="5">
        <v>45157</v>
      </c>
      <c r="C1295">
        <v>59019</v>
      </c>
      <c r="D1295" t="str">
        <f>PROPER(Transactions!D1295)</f>
        <v>Home &amp; Garden</v>
      </c>
      <c r="E1295" t="s">
        <v>149</v>
      </c>
      <c r="F1295" t="s">
        <v>150</v>
      </c>
      <c r="G1295">
        <v>3</v>
      </c>
      <c r="H1295">
        <v>14.99</v>
      </c>
      <c r="I1295" s="7">
        <f>IF(Transactions!I1295="",0,Transactions!I1295)</f>
        <v>0.25</v>
      </c>
      <c r="J1295" s="9">
        <f t="shared" si="20"/>
        <v>33.727499999999999</v>
      </c>
      <c r="K1295" t="s">
        <v>36</v>
      </c>
      <c r="L1295" t="s">
        <v>37</v>
      </c>
      <c r="M1295" t="str">
        <f>REPLACE(Transactions!M1295,1,4,"")</f>
        <v>3</v>
      </c>
    </row>
    <row r="1296" spans="1:13" x14ac:dyDescent="0.2">
      <c r="A1296">
        <v>313033</v>
      </c>
      <c r="B1296" s="5">
        <v>44646</v>
      </c>
      <c r="C1296">
        <v>69737</v>
      </c>
      <c r="D1296" t="str">
        <f>PROPER(Transactions!D1296)</f>
        <v>Sports</v>
      </c>
      <c r="E1296" t="s">
        <v>168</v>
      </c>
      <c r="F1296" t="s">
        <v>169</v>
      </c>
      <c r="G1296">
        <v>3</v>
      </c>
      <c r="H1296">
        <v>7.19</v>
      </c>
      <c r="I1296" s="7">
        <f>IF(Transactions!I1296="",0,Transactions!I1296)</f>
        <v>0.2</v>
      </c>
      <c r="J1296" s="9">
        <f t="shared" si="20"/>
        <v>17.256</v>
      </c>
      <c r="K1296" t="s">
        <v>36</v>
      </c>
      <c r="L1296" t="s">
        <v>17</v>
      </c>
      <c r="M1296" t="str">
        <f>REPLACE(Transactions!M1296,1,4,"")</f>
        <v>1</v>
      </c>
    </row>
    <row r="1297" spans="1:13" x14ac:dyDescent="0.2">
      <c r="A1297">
        <v>313051</v>
      </c>
      <c r="B1297" s="5">
        <v>44957</v>
      </c>
      <c r="C1297">
        <v>13574</v>
      </c>
      <c r="D1297" t="str">
        <f>PROPER(Transactions!D1297)</f>
        <v>Beauty</v>
      </c>
      <c r="E1297" t="s">
        <v>109</v>
      </c>
      <c r="F1297" t="s">
        <v>110</v>
      </c>
      <c r="G1297">
        <v>2</v>
      </c>
      <c r="H1297">
        <v>6.99</v>
      </c>
      <c r="I1297" s="7">
        <f>IF(Transactions!I1297="",0,Transactions!I1297)</f>
        <v>0</v>
      </c>
      <c r="J1297" s="9">
        <f t="shared" si="20"/>
        <v>13.98</v>
      </c>
      <c r="K1297" t="s">
        <v>36</v>
      </c>
      <c r="L1297" t="s">
        <v>17</v>
      </c>
      <c r="M1297" t="str">
        <f>REPLACE(Transactions!M1297,1,4,"")</f>
        <v>18</v>
      </c>
    </row>
    <row r="1298" spans="1:13" x14ac:dyDescent="0.2">
      <c r="A1298">
        <v>313268</v>
      </c>
      <c r="B1298" s="5">
        <v>45164</v>
      </c>
      <c r="D1298" t="str">
        <f>PROPER(Transactions!D1298)</f>
        <v>Pharmacy</v>
      </c>
      <c r="E1298" t="s">
        <v>197</v>
      </c>
      <c r="F1298" t="s">
        <v>198</v>
      </c>
      <c r="G1298">
        <v>1</v>
      </c>
      <c r="H1298">
        <v>14.24</v>
      </c>
      <c r="I1298" s="7">
        <f>IF(Transactions!I1298="",0,Transactions!I1298)</f>
        <v>0.05</v>
      </c>
      <c r="J1298" s="9">
        <f t="shared" si="20"/>
        <v>13.527999999999999</v>
      </c>
      <c r="K1298" t="s">
        <v>36</v>
      </c>
      <c r="L1298" t="s">
        <v>37</v>
      </c>
      <c r="M1298" t="str">
        <f>REPLACE(Transactions!M1298,1,4,"")</f>
        <v>7</v>
      </c>
    </row>
    <row r="1299" spans="1:13" x14ac:dyDescent="0.2">
      <c r="A1299">
        <v>313635</v>
      </c>
      <c r="B1299" s="5">
        <v>45641</v>
      </c>
      <c r="C1299">
        <v>66614</v>
      </c>
      <c r="D1299" t="str">
        <f>PROPER(Transactions!D1299)</f>
        <v>Home &amp; Garden</v>
      </c>
      <c r="E1299" t="s">
        <v>153</v>
      </c>
      <c r="F1299" t="s">
        <v>154</v>
      </c>
      <c r="G1299">
        <v>2</v>
      </c>
      <c r="H1299">
        <v>23.99</v>
      </c>
      <c r="I1299" s="7">
        <f>IF(Transactions!I1299="",0,Transactions!I1299)</f>
        <v>0.2</v>
      </c>
      <c r="J1299" s="9">
        <f t="shared" si="20"/>
        <v>38.384</v>
      </c>
      <c r="K1299" t="s">
        <v>36</v>
      </c>
      <c r="L1299" t="s">
        <v>17</v>
      </c>
      <c r="M1299" t="str">
        <f>REPLACE(Transactions!M1299,1,4,"")</f>
        <v>8</v>
      </c>
    </row>
    <row r="1300" spans="1:13" x14ac:dyDescent="0.2">
      <c r="A1300">
        <v>313666</v>
      </c>
      <c r="B1300" s="5">
        <v>45048</v>
      </c>
      <c r="C1300">
        <v>97819</v>
      </c>
      <c r="D1300" t="str">
        <f>PROPER(Transactions!D1300)</f>
        <v>Automotive</v>
      </c>
      <c r="E1300" t="s">
        <v>131</v>
      </c>
      <c r="F1300" t="s">
        <v>132</v>
      </c>
      <c r="G1300">
        <v>5</v>
      </c>
      <c r="H1300">
        <v>2.79</v>
      </c>
      <c r="I1300" s="7">
        <f>IF(Transactions!I1300="",0,Transactions!I1300)</f>
        <v>0.2</v>
      </c>
      <c r="J1300" s="9">
        <f t="shared" si="20"/>
        <v>11.16</v>
      </c>
      <c r="K1300" t="s">
        <v>16</v>
      </c>
      <c r="L1300" t="s">
        <v>23</v>
      </c>
      <c r="M1300" t="str">
        <f>REPLACE(Transactions!M1300,1,4,"")</f>
        <v>13</v>
      </c>
    </row>
    <row r="1301" spans="1:13" x14ac:dyDescent="0.2">
      <c r="A1301">
        <v>313705</v>
      </c>
      <c r="B1301" s="5">
        <v>45612</v>
      </c>
      <c r="C1301">
        <v>10985</v>
      </c>
      <c r="D1301" t="str">
        <f>PROPER(Transactions!D1301)</f>
        <v>Clothing</v>
      </c>
      <c r="E1301" t="s">
        <v>193</v>
      </c>
      <c r="F1301" t="s">
        <v>194</v>
      </c>
      <c r="G1301">
        <v>2</v>
      </c>
      <c r="H1301">
        <v>45.49</v>
      </c>
      <c r="I1301" s="7">
        <f>IF(Transactions!I1301="",0,Transactions!I1301)</f>
        <v>0.3</v>
      </c>
      <c r="J1301" s="9">
        <f t="shared" si="20"/>
        <v>63.686</v>
      </c>
      <c r="K1301" t="s">
        <v>22</v>
      </c>
      <c r="L1301" t="s">
        <v>37</v>
      </c>
      <c r="M1301" t="str">
        <f>REPLACE(Transactions!M1301,1,4,"")</f>
        <v>14</v>
      </c>
    </row>
    <row r="1302" spans="1:13" x14ac:dyDescent="0.2">
      <c r="A1302">
        <v>314276</v>
      </c>
      <c r="B1302" s="5">
        <v>45293</v>
      </c>
      <c r="C1302">
        <v>52650</v>
      </c>
      <c r="D1302" t="str">
        <f>PROPER(Transactions!D1302)</f>
        <v>Clothing</v>
      </c>
      <c r="E1302" t="s">
        <v>151</v>
      </c>
      <c r="F1302" t="s">
        <v>152</v>
      </c>
      <c r="G1302">
        <v>3</v>
      </c>
      <c r="H1302">
        <v>31.49</v>
      </c>
      <c r="I1302" s="7">
        <f>IF(Transactions!I1302="",0,Transactions!I1302)</f>
        <v>0.1</v>
      </c>
      <c r="J1302" s="9">
        <f t="shared" si="20"/>
        <v>85.022999999999996</v>
      </c>
      <c r="K1302" t="s">
        <v>22</v>
      </c>
      <c r="L1302" t="s">
        <v>17</v>
      </c>
      <c r="M1302" t="str">
        <f>REPLACE(Transactions!M1302,1,4,"")</f>
        <v>2</v>
      </c>
    </row>
    <row r="1303" spans="1:13" x14ac:dyDescent="0.2">
      <c r="A1303">
        <v>314418</v>
      </c>
      <c r="B1303" s="5">
        <v>44674</v>
      </c>
      <c r="C1303">
        <v>92153</v>
      </c>
      <c r="D1303" t="str">
        <f>PROPER(Transactions!D1303)</f>
        <v>Furniture</v>
      </c>
      <c r="E1303" t="s">
        <v>60</v>
      </c>
      <c r="F1303" t="s">
        <v>61</v>
      </c>
      <c r="G1303">
        <v>3</v>
      </c>
      <c r="H1303">
        <v>52.24</v>
      </c>
      <c r="I1303" s="7">
        <f>IF(Transactions!I1303="",0,Transactions!I1303)</f>
        <v>0.05</v>
      </c>
      <c r="J1303" s="9">
        <f t="shared" si="20"/>
        <v>148.88399999999999</v>
      </c>
      <c r="K1303" t="s">
        <v>95</v>
      </c>
      <c r="L1303" t="s">
        <v>23</v>
      </c>
      <c r="M1303" t="str">
        <f>REPLACE(Transactions!M1303,1,4,"")</f>
        <v>10</v>
      </c>
    </row>
    <row r="1304" spans="1:13" x14ac:dyDescent="0.2">
      <c r="A1304">
        <v>314656</v>
      </c>
      <c r="B1304" s="5">
        <v>44699</v>
      </c>
      <c r="C1304">
        <v>95070</v>
      </c>
      <c r="D1304" t="str">
        <f>PROPER(Transactions!D1304)</f>
        <v>Sports</v>
      </c>
      <c r="E1304" t="s">
        <v>188</v>
      </c>
      <c r="F1304" t="s">
        <v>189</v>
      </c>
      <c r="G1304">
        <v>3</v>
      </c>
      <c r="H1304">
        <v>31.49</v>
      </c>
      <c r="I1304" s="7">
        <f>IF(Transactions!I1304="",0,Transactions!I1304)</f>
        <v>0.3</v>
      </c>
      <c r="J1304" s="9">
        <f t="shared" si="20"/>
        <v>66.128999999999991</v>
      </c>
      <c r="K1304" t="s">
        <v>36</v>
      </c>
      <c r="L1304" t="s">
        <v>17</v>
      </c>
      <c r="M1304" t="str">
        <f>REPLACE(Transactions!M1304,1,4,"")</f>
        <v>10</v>
      </c>
    </row>
    <row r="1305" spans="1:13" x14ac:dyDescent="0.2">
      <c r="A1305">
        <v>314687</v>
      </c>
      <c r="B1305" s="5">
        <v>45506</v>
      </c>
      <c r="C1305">
        <v>72760</v>
      </c>
      <c r="D1305" t="str">
        <f>PROPER(Transactions!D1305)</f>
        <v>Toys</v>
      </c>
      <c r="E1305" t="s">
        <v>30</v>
      </c>
      <c r="F1305" t="s">
        <v>31</v>
      </c>
      <c r="G1305">
        <v>1</v>
      </c>
      <c r="H1305">
        <v>22.49</v>
      </c>
      <c r="I1305" s="7">
        <f>IF(Transactions!I1305="",0,Transactions!I1305)</f>
        <v>0.1</v>
      </c>
      <c r="J1305" s="9">
        <f t="shared" si="20"/>
        <v>20.241</v>
      </c>
      <c r="K1305" t="s">
        <v>36</v>
      </c>
      <c r="L1305" t="s">
        <v>17</v>
      </c>
      <c r="M1305" t="str">
        <f>REPLACE(Transactions!M1305,1,4,"")</f>
        <v>10</v>
      </c>
    </row>
    <row r="1306" spans="1:13" x14ac:dyDescent="0.2">
      <c r="A1306">
        <v>314862</v>
      </c>
      <c r="B1306" s="5">
        <v>45439</v>
      </c>
      <c r="C1306">
        <v>68941</v>
      </c>
      <c r="D1306" t="str">
        <f>PROPER(Transactions!D1306)</f>
        <v>Beauty</v>
      </c>
      <c r="E1306" t="s">
        <v>118</v>
      </c>
      <c r="F1306" t="s">
        <v>119</v>
      </c>
      <c r="G1306">
        <v>1</v>
      </c>
      <c r="H1306">
        <v>4.99</v>
      </c>
      <c r="I1306" s="7">
        <f>IF(Transactions!I1306="",0,Transactions!I1306)</f>
        <v>0</v>
      </c>
      <c r="J1306" s="9">
        <f t="shared" si="20"/>
        <v>4.99</v>
      </c>
      <c r="K1306" t="s">
        <v>16</v>
      </c>
      <c r="L1306" t="s">
        <v>17</v>
      </c>
      <c r="M1306" t="str">
        <f>REPLACE(Transactions!M1306,1,4,"")</f>
        <v>10</v>
      </c>
    </row>
    <row r="1307" spans="1:13" x14ac:dyDescent="0.2">
      <c r="A1307">
        <v>314942</v>
      </c>
      <c r="B1307" s="5">
        <v>45477</v>
      </c>
      <c r="C1307">
        <v>79144</v>
      </c>
      <c r="D1307" t="str">
        <f>PROPER(Transactions!D1307)</f>
        <v>Electronics</v>
      </c>
      <c r="E1307" t="s">
        <v>55</v>
      </c>
      <c r="F1307" t="s">
        <v>56</v>
      </c>
      <c r="G1307">
        <v>1</v>
      </c>
      <c r="H1307">
        <v>230.99</v>
      </c>
      <c r="I1307" s="7">
        <f>IF(Transactions!I1307="",0,Transactions!I1307)</f>
        <v>0.3</v>
      </c>
      <c r="J1307" s="9">
        <f t="shared" si="20"/>
        <v>161.69299999999998</v>
      </c>
      <c r="K1307" t="s">
        <v>36</v>
      </c>
      <c r="L1307" t="s">
        <v>17</v>
      </c>
      <c r="M1307" t="str">
        <f>REPLACE(Transactions!M1307,1,4,"")</f>
        <v>11</v>
      </c>
    </row>
    <row r="1308" spans="1:13" x14ac:dyDescent="0.2">
      <c r="A1308">
        <v>315104</v>
      </c>
      <c r="B1308" s="5">
        <v>45114</v>
      </c>
      <c r="D1308" t="str">
        <f>PROPER(Transactions!D1308)</f>
        <v>Beauty</v>
      </c>
      <c r="E1308" t="s">
        <v>179</v>
      </c>
      <c r="F1308" t="s">
        <v>180</v>
      </c>
      <c r="G1308">
        <v>3</v>
      </c>
      <c r="H1308">
        <v>8.39</v>
      </c>
      <c r="I1308" s="7">
        <f>IF(Transactions!I1308="",0,Transactions!I1308)</f>
        <v>0.3</v>
      </c>
      <c r="J1308" s="9">
        <f t="shared" si="20"/>
        <v>17.619</v>
      </c>
      <c r="K1308" t="s">
        <v>16</v>
      </c>
      <c r="L1308" t="s">
        <v>37</v>
      </c>
      <c r="M1308" t="str">
        <f>REPLACE(Transactions!M1308,1,4,"")</f>
        <v>3</v>
      </c>
    </row>
    <row r="1309" spans="1:13" x14ac:dyDescent="0.2">
      <c r="A1309">
        <v>315146</v>
      </c>
      <c r="B1309" s="5">
        <v>45137</v>
      </c>
      <c r="C1309">
        <v>82929</v>
      </c>
      <c r="D1309" t="str">
        <f>PROPER(Transactions!D1309)</f>
        <v>Clothing</v>
      </c>
      <c r="E1309" t="s">
        <v>98</v>
      </c>
      <c r="F1309" t="s">
        <v>99</v>
      </c>
      <c r="G1309">
        <v>3</v>
      </c>
      <c r="H1309">
        <v>27.99</v>
      </c>
      <c r="I1309" s="7">
        <f>IF(Transactions!I1309="",0,Transactions!I1309)</f>
        <v>0</v>
      </c>
      <c r="J1309" s="9">
        <f t="shared" si="20"/>
        <v>83.97</v>
      </c>
      <c r="K1309" t="s">
        <v>36</v>
      </c>
      <c r="L1309" t="s">
        <v>17</v>
      </c>
      <c r="M1309" t="str">
        <f>REPLACE(Transactions!M1309,1,4,"")</f>
        <v>20</v>
      </c>
    </row>
    <row r="1310" spans="1:13" x14ac:dyDescent="0.2">
      <c r="A1310">
        <v>315505</v>
      </c>
      <c r="B1310" s="5">
        <v>44709</v>
      </c>
      <c r="C1310">
        <v>91042</v>
      </c>
      <c r="D1310" t="str">
        <f>PROPER(Transactions!D1310)</f>
        <v>Pharmacy</v>
      </c>
      <c r="E1310" t="s">
        <v>115</v>
      </c>
      <c r="F1310" t="s">
        <v>116</v>
      </c>
      <c r="G1310">
        <v>2</v>
      </c>
      <c r="H1310">
        <v>12.99</v>
      </c>
      <c r="I1310" s="7">
        <f>IF(Transactions!I1310="",0,Transactions!I1310)</f>
        <v>0</v>
      </c>
      <c r="J1310" s="9">
        <f t="shared" si="20"/>
        <v>25.98</v>
      </c>
      <c r="K1310" t="s">
        <v>16</v>
      </c>
      <c r="L1310" t="s">
        <v>37</v>
      </c>
      <c r="M1310" t="str">
        <f>REPLACE(Transactions!M1310,1,4,"")</f>
        <v>17</v>
      </c>
    </row>
    <row r="1311" spans="1:13" x14ac:dyDescent="0.2">
      <c r="A1311">
        <v>315531</v>
      </c>
      <c r="B1311" s="5">
        <v>45632</v>
      </c>
      <c r="C1311">
        <v>77104</v>
      </c>
      <c r="D1311" t="str">
        <f>PROPER(Transactions!D1311)</f>
        <v>Home &amp; Garden</v>
      </c>
      <c r="E1311" t="s">
        <v>145</v>
      </c>
      <c r="F1311" t="s">
        <v>146</v>
      </c>
      <c r="G1311">
        <v>2</v>
      </c>
      <c r="H1311">
        <v>16.989999999999998</v>
      </c>
      <c r="I1311" s="7">
        <f>IF(Transactions!I1311="",0,Transactions!I1311)</f>
        <v>0</v>
      </c>
      <c r="J1311" s="9">
        <f t="shared" si="20"/>
        <v>33.979999999999997</v>
      </c>
      <c r="K1311" t="s">
        <v>22</v>
      </c>
      <c r="L1311" t="s">
        <v>17</v>
      </c>
      <c r="M1311" t="str">
        <f>REPLACE(Transactions!M1311,1,4,"")</f>
        <v>1</v>
      </c>
    </row>
    <row r="1312" spans="1:13" x14ac:dyDescent="0.2">
      <c r="A1312">
        <v>315811</v>
      </c>
      <c r="B1312" s="5">
        <v>45323</v>
      </c>
      <c r="C1312">
        <v>17213</v>
      </c>
      <c r="D1312" t="str">
        <f>PROPER(Transactions!D1312)</f>
        <v>Beauty</v>
      </c>
      <c r="E1312" t="s">
        <v>143</v>
      </c>
      <c r="F1312" t="s">
        <v>144</v>
      </c>
      <c r="G1312">
        <v>1</v>
      </c>
      <c r="H1312">
        <v>12.74</v>
      </c>
      <c r="I1312" s="7">
        <f>IF(Transactions!I1312="",0,Transactions!I1312)</f>
        <v>0.15</v>
      </c>
      <c r="J1312" s="9">
        <f t="shared" si="20"/>
        <v>10.829000000000001</v>
      </c>
      <c r="K1312" t="s">
        <v>16</v>
      </c>
      <c r="L1312" t="s">
        <v>17</v>
      </c>
      <c r="M1312" t="str">
        <f>REPLACE(Transactions!M1312,1,4,"")</f>
        <v>6</v>
      </c>
    </row>
    <row r="1313" spans="1:13" x14ac:dyDescent="0.2">
      <c r="A1313">
        <v>315936</v>
      </c>
      <c r="B1313" s="5">
        <v>45468</v>
      </c>
      <c r="C1313">
        <v>31346</v>
      </c>
      <c r="D1313" t="str">
        <f>PROPER(Transactions!D1313)</f>
        <v>Beauty</v>
      </c>
      <c r="E1313" t="s">
        <v>179</v>
      </c>
      <c r="F1313" t="s">
        <v>180</v>
      </c>
      <c r="G1313">
        <v>2</v>
      </c>
      <c r="H1313">
        <v>11.99</v>
      </c>
      <c r="I1313" s="7">
        <f>IF(Transactions!I1313="",0,Transactions!I1313)</f>
        <v>0</v>
      </c>
      <c r="J1313" s="9">
        <f t="shared" si="20"/>
        <v>23.98</v>
      </c>
      <c r="K1313" t="s">
        <v>16</v>
      </c>
      <c r="L1313" t="s">
        <v>17</v>
      </c>
      <c r="M1313" t="str">
        <f>REPLACE(Transactions!M1313,1,4,"")</f>
        <v>7</v>
      </c>
    </row>
    <row r="1314" spans="1:13" x14ac:dyDescent="0.2">
      <c r="A1314">
        <v>316207</v>
      </c>
      <c r="B1314" s="5">
        <v>45439</v>
      </c>
      <c r="C1314">
        <v>83740</v>
      </c>
      <c r="D1314" t="str">
        <f>PROPER(Transactions!D1314)</f>
        <v>Automotive</v>
      </c>
      <c r="E1314" t="s">
        <v>131</v>
      </c>
      <c r="F1314" t="s">
        <v>132</v>
      </c>
      <c r="G1314">
        <v>2</v>
      </c>
      <c r="H1314">
        <v>2.62</v>
      </c>
      <c r="I1314" s="7">
        <f>IF(Transactions!I1314="",0,Transactions!I1314)</f>
        <v>0.25</v>
      </c>
      <c r="J1314" s="9">
        <f t="shared" si="20"/>
        <v>3.93</v>
      </c>
      <c r="K1314" t="s">
        <v>36</v>
      </c>
      <c r="L1314" t="s">
        <v>17</v>
      </c>
      <c r="M1314" t="str">
        <f>REPLACE(Transactions!M1314,1,4,"")</f>
        <v>4</v>
      </c>
    </row>
    <row r="1315" spans="1:13" x14ac:dyDescent="0.2">
      <c r="A1315">
        <v>316218</v>
      </c>
      <c r="B1315" s="5">
        <v>45413</v>
      </c>
      <c r="C1315">
        <v>68633</v>
      </c>
      <c r="D1315" t="str">
        <f>PROPER(Transactions!D1315)</f>
        <v>Sports</v>
      </c>
      <c r="E1315" t="s">
        <v>100</v>
      </c>
      <c r="F1315" t="s">
        <v>101</v>
      </c>
      <c r="G1315">
        <v>3</v>
      </c>
      <c r="H1315">
        <v>22.99</v>
      </c>
      <c r="I1315" s="7">
        <f>IF(Transactions!I1315="",0,Transactions!I1315)</f>
        <v>0</v>
      </c>
      <c r="J1315" s="9">
        <f t="shared" si="20"/>
        <v>68.97</v>
      </c>
      <c r="K1315" t="s">
        <v>16</v>
      </c>
      <c r="L1315" t="s">
        <v>17</v>
      </c>
      <c r="M1315" t="str">
        <f>REPLACE(Transactions!M1315,1,4,"")</f>
        <v>11</v>
      </c>
    </row>
    <row r="1316" spans="1:13" x14ac:dyDescent="0.2">
      <c r="A1316">
        <v>316254</v>
      </c>
      <c r="B1316" s="5">
        <v>44627</v>
      </c>
      <c r="C1316">
        <v>79677</v>
      </c>
      <c r="D1316" t="str">
        <f>PROPER(Transactions!D1316)</f>
        <v>Electronics</v>
      </c>
      <c r="E1316" t="s">
        <v>186</v>
      </c>
      <c r="F1316" t="s">
        <v>187</v>
      </c>
      <c r="G1316">
        <v>4</v>
      </c>
      <c r="H1316">
        <v>34.99</v>
      </c>
      <c r="I1316" s="7">
        <f>IF(Transactions!I1316="",0,Transactions!I1316)</f>
        <v>0.3</v>
      </c>
      <c r="J1316" s="9">
        <f t="shared" si="20"/>
        <v>97.971999999999994</v>
      </c>
      <c r="K1316" t="s">
        <v>16</v>
      </c>
      <c r="L1316" t="s">
        <v>17</v>
      </c>
      <c r="M1316" t="str">
        <f>REPLACE(Transactions!M1316,1,4,"")</f>
        <v>10</v>
      </c>
    </row>
    <row r="1317" spans="1:13" x14ac:dyDescent="0.2">
      <c r="A1317">
        <v>316456</v>
      </c>
      <c r="B1317" s="5">
        <v>44694</v>
      </c>
      <c r="C1317">
        <v>25675</v>
      </c>
      <c r="D1317" t="str">
        <f>PROPER(Transactions!D1317)</f>
        <v>Pharmacy</v>
      </c>
      <c r="E1317" t="s">
        <v>41</v>
      </c>
      <c r="F1317" t="s">
        <v>42</v>
      </c>
      <c r="G1317">
        <v>1</v>
      </c>
      <c r="H1317">
        <v>5.09</v>
      </c>
      <c r="I1317" s="7">
        <f>IF(Transactions!I1317="",0,Transactions!I1317)</f>
        <v>0.15</v>
      </c>
      <c r="J1317" s="9">
        <f t="shared" si="20"/>
        <v>4.3264999999999993</v>
      </c>
      <c r="K1317" t="s">
        <v>22</v>
      </c>
      <c r="L1317" t="s">
        <v>17</v>
      </c>
      <c r="M1317" t="str">
        <f>REPLACE(Transactions!M1317,1,4,"")</f>
        <v>3</v>
      </c>
    </row>
    <row r="1318" spans="1:13" x14ac:dyDescent="0.2">
      <c r="A1318">
        <v>316904</v>
      </c>
      <c r="B1318" s="5">
        <v>44980</v>
      </c>
      <c r="C1318">
        <v>77907</v>
      </c>
      <c r="D1318" t="str">
        <f>PROPER(Transactions!D1318)</f>
        <v>Toys</v>
      </c>
      <c r="E1318" t="s">
        <v>30</v>
      </c>
      <c r="F1318" t="s">
        <v>31</v>
      </c>
      <c r="G1318">
        <v>1</v>
      </c>
      <c r="H1318">
        <v>18.739999999999998</v>
      </c>
      <c r="I1318" s="7">
        <f>IF(Transactions!I1318="",0,Transactions!I1318)</f>
        <v>0</v>
      </c>
      <c r="J1318" s="9">
        <f t="shared" si="20"/>
        <v>18.739999999999998</v>
      </c>
      <c r="K1318" t="s">
        <v>95</v>
      </c>
      <c r="L1318" t="s">
        <v>17</v>
      </c>
      <c r="M1318" t="str">
        <f>REPLACE(Transactions!M1318,1,4,"")</f>
        <v>18</v>
      </c>
    </row>
    <row r="1319" spans="1:13" x14ac:dyDescent="0.2">
      <c r="A1319">
        <v>317440</v>
      </c>
      <c r="B1319" s="5">
        <v>45456</v>
      </c>
      <c r="C1319">
        <v>40662</v>
      </c>
      <c r="D1319" t="str">
        <f>PROPER(Transactions!D1319)</f>
        <v>Sports</v>
      </c>
      <c r="E1319" t="s">
        <v>83</v>
      </c>
      <c r="F1319" t="s">
        <v>84</v>
      </c>
      <c r="G1319">
        <v>2</v>
      </c>
      <c r="H1319">
        <v>11.89</v>
      </c>
      <c r="I1319" s="7">
        <f>IF(Transactions!I1319="",0,Transactions!I1319)</f>
        <v>0.3</v>
      </c>
      <c r="J1319" s="9">
        <f t="shared" si="20"/>
        <v>16.646000000000001</v>
      </c>
      <c r="K1319" t="s">
        <v>32</v>
      </c>
      <c r="L1319" t="s">
        <v>17</v>
      </c>
      <c r="M1319" t="str">
        <f>REPLACE(Transactions!M1319,1,4,"")</f>
        <v>1</v>
      </c>
    </row>
    <row r="1320" spans="1:13" x14ac:dyDescent="0.2">
      <c r="A1320">
        <v>317674</v>
      </c>
      <c r="B1320" s="5">
        <v>45638</v>
      </c>
      <c r="C1320">
        <v>84525</v>
      </c>
      <c r="D1320" t="str">
        <f>PROPER(Transactions!D1320)</f>
        <v>Electronics</v>
      </c>
      <c r="E1320" t="s">
        <v>127</v>
      </c>
      <c r="F1320" t="s">
        <v>128</v>
      </c>
      <c r="G1320">
        <v>2</v>
      </c>
      <c r="H1320">
        <v>17.989999999999998</v>
      </c>
      <c r="I1320" s="7">
        <f>IF(Transactions!I1320="",0,Transactions!I1320)</f>
        <v>0</v>
      </c>
      <c r="J1320" s="9">
        <f t="shared" si="20"/>
        <v>35.979999999999997</v>
      </c>
      <c r="K1320" t="s">
        <v>16</v>
      </c>
      <c r="L1320" t="s">
        <v>17</v>
      </c>
      <c r="M1320" t="str">
        <f>REPLACE(Transactions!M1320,1,4,"")</f>
        <v>13</v>
      </c>
    </row>
    <row r="1321" spans="1:13" x14ac:dyDescent="0.2">
      <c r="A1321">
        <v>317721</v>
      </c>
      <c r="B1321" s="5">
        <v>44783</v>
      </c>
      <c r="C1321">
        <v>58242</v>
      </c>
      <c r="D1321" t="str">
        <f>PROPER(Transactions!D1321)</f>
        <v>Clothing</v>
      </c>
      <c r="E1321" t="s">
        <v>98</v>
      </c>
      <c r="F1321" t="s">
        <v>99</v>
      </c>
      <c r="G1321">
        <v>2</v>
      </c>
      <c r="H1321">
        <v>20.99</v>
      </c>
      <c r="I1321" s="7">
        <f>IF(Transactions!I1321="",0,Transactions!I1321)</f>
        <v>0.25</v>
      </c>
      <c r="J1321" s="9">
        <f t="shared" si="20"/>
        <v>31.484999999999999</v>
      </c>
      <c r="K1321" t="s">
        <v>16</v>
      </c>
      <c r="L1321" t="s">
        <v>37</v>
      </c>
      <c r="M1321" t="str">
        <f>REPLACE(Transactions!M1321,1,4,"")</f>
        <v>4</v>
      </c>
    </row>
    <row r="1322" spans="1:13" x14ac:dyDescent="0.2">
      <c r="A1322">
        <v>317881</v>
      </c>
      <c r="B1322" s="5">
        <v>44685</v>
      </c>
      <c r="C1322">
        <v>41439</v>
      </c>
      <c r="D1322" t="str">
        <f>PROPER(Transactions!D1322)</f>
        <v>Toys</v>
      </c>
      <c r="E1322" t="s">
        <v>175</v>
      </c>
      <c r="F1322" t="s">
        <v>176</v>
      </c>
      <c r="G1322">
        <v>5</v>
      </c>
      <c r="H1322">
        <v>11.99</v>
      </c>
      <c r="I1322" s="7">
        <f>IF(Transactions!I1322="",0,Transactions!I1322)</f>
        <v>0</v>
      </c>
      <c r="J1322" s="9">
        <f t="shared" si="20"/>
        <v>59.95</v>
      </c>
      <c r="K1322" t="s">
        <v>16</v>
      </c>
      <c r="L1322" t="s">
        <v>17</v>
      </c>
      <c r="M1322" t="str">
        <f>REPLACE(Transactions!M1322,1,4,"")</f>
        <v>7</v>
      </c>
    </row>
    <row r="1323" spans="1:13" x14ac:dyDescent="0.2">
      <c r="A1323">
        <v>317916</v>
      </c>
      <c r="B1323" s="5">
        <v>45443</v>
      </c>
      <c r="C1323">
        <v>57197</v>
      </c>
      <c r="D1323" t="str">
        <f>PROPER(Transactions!D1323)</f>
        <v>Automotive</v>
      </c>
      <c r="E1323" t="s">
        <v>131</v>
      </c>
      <c r="F1323" t="s">
        <v>132</v>
      </c>
      <c r="G1323">
        <v>4</v>
      </c>
      <c r="H1323">
        <v>3.49</v>
      </c>
      <c r="I1323" s="7">
        <f>IF(Transactions!I1323="",0,Transactions!I1323)</f>
        <v>0</v>
      </c>
      <c r="J1323" s="9">
        <f t="shared" si="20"/>
        <v>13.96</v>
      </c>
      <c r="K1323" t="s">
        <v>53</v>
      </c>
      <c r="L1323" t="s">
        <v>23</v>
      </c>
      <c r="M1323" t="str">
        <f>REPLACE(Transactions!M1323,1,4,"")</f>
        <v>6</v>
      </c>
    </row>
    <row r="1324" spans="1:13" x14ac:dyDescent="0.2">
      <c r="A1324">
        <v>318299</v>
      </c>
      <c r="B1324" s="5">
        <v>45156</v>
      </c>
      <c r="C1324">
        <v>61937</v>
      </c>
      <c r="D1324" t="str">
        <f>PROPER(Transactions!D1324)</f>
        <v>Toys</v>
      </c>
      <c r="E1324" t="s">
        <v>88</v>
      </c>
      <c r="F1324" t="s">
        <v>89</v>
      </c>
      <c r="G1324">
        <v>1</v>
      </c>
      <c r="H1324">
        <v>49.99</v>
      </c>
      <c r="I1324" s="7">
        <f>IF(Transactions!I1324="",0,Transactions!I1324)</f>
        <v>0</v>
      </c>
      <c r="J1324" s="9">
        <f t="shared" si="20"/>
        <v>49.99</v>
      </c>
      <c r="K1324" t="s">
        <v>95</v>
      </c>
      <c r="L1324" t="s">
        <v>37</v>
      </c>
      <c r="M1324" t="str">
        <f>REPLACE(Transactions!M1324,1,4,"")</f>
        <v>3</v>
      </c>
    </row>
    <row r="1325" spans="1:13" x14ac:dyDescent="0.2">
      <c r="A1325">
        <v>318376</v>
      </c>
      <c r="B1325" s="5">
        <v>45261</v>
      </c>
      <c r="C1325">
        <v>76948</v>
      </c>
      <c r="D1325" t="str">
        <f>PROPER(Transactions!D1325)</f>
        <v>Beauty</v>
      </c>
      <c r="E1325" t="s">
        <v>109</v>
      </c>
      <c r="F1325" t="s">
        <v>110</v>
      </c>
      <c r="G1325">
        <v>1</v>
      </c>
      <c r="H1325">
        <v>5.59</v>
      </c>
      <c r="I1325" s="7">
        <f>IF(Transactions!I1325="",0,Transactions!I1325)</f>
        <v>0.2</v>
      </c>
      <c r="J1325" s="9">
        <f t="shared" si="20"/>
        <v>4.4720000000000004</v>
      </c>
      <c r="K1325" t="s">
        <v>16</v>
      </c>
      <c r="L1325" t="s">
        <v>37</v>
      </c>
      <c r="M1325" t="str">
        <f>REPLACE(Transactions!M1325,1,4,"")</f>
        <v>6</v>
      </c>
    </row>
    <row r="1326" spans="1:13" x14ac:dyDescent="0.2">
      <c r="A1326">
        <v>318403</v>
      </c>
      <c r="B1326" s="5">
        <v>45265</v>
      </c>
      <c r="C1326">
        <v>47820</v>
      </c>
      <c r="D1326" t="str">
        <f>PROPER(Transactions!D1326)</f>
        <v>Grocery</v>
      </c>
      <c r="E1326" t="s">
        <v>190</v>
      </c>
      <c r="F1326" t="s">
        <v>191</v>
      </c>
      <c r="G1326">
        <v>3</v>
      </c>
      <c r="H1326">
        <v>4.29</v>
      </c>
      <c r="I1326" s="7">
        <f>IF(Transactions!I1326="",0,Transactions!I1326)</f>
        <v>0</v>
      </c>
      <c r="J1326" s="9">
        <f t="shared" si="20"/>
        <v>12.870000000000001</v>
      </c>
      <c r="K1326" t="s">
        <v>16</v>
      </c>
      <c r="L1326" t="s">
        <v>37</v>
      </c>
      <c r="M1326" t="str">
        <f>REPLACE(Transactions!M1326,1,4,"")</f>
        <v>16</v>
      </c>
    </row>
    <row r="1327" spans="1:13" x14ac:dyDescent="0.2">
      <c r="A1327">
        <v>318499</v>
      </c>
      <c r="B1327" s="5">
        <v>45367</v>
      </c>
      <c r="C1327">
        <v>53440</v>
      </c>
      <c r="D1327" t="str">
        <f>PROPER(Transactions!D1327)</f>
        <v>Home &amp; Garden</v>
      </c>
      <c r="E1327" t="s">
        <v>129</v>
      </c>
      <c r="F1327" t="s">
        <v>130</v>
      </c>
      <c r="G1327">
        <v>4</v>
      </c>
      <c r="H1327">
        <v>6.29</v>
      </c>
      <c r="I1327" s="7">
        <f>IF(Transactions!I1327="",0,Transactions!I1327)</f>
        <v>0.3</v>
      </c>
      <c r="J1327" s="9">
        <f t="shared" si="20"/>
        <v>17.611999999999998</v>
      </c>
      <c r="K1327" t="s">
        <v>32</v>
      </c>
      <c r="L1327" t="s">
        <v>17</v>
      </c>
      <c r="M1327" t="str">
        <f>REPLACE(Transactions!M1327,1,4,"")</f>
        <v>15</v>
      </c>
    </row>
    <row r="1328" spans="1:13" x14ac:dyDescent="0.2">
      <c r="A1328">
        <v>319817</v>
      </c>
      <c r="B1328" s="5">
        <v>44886</v>
      </c>
      <c r="C1328">
        <v>58645</v>
      </c>
      <c r="D1328" t="str">
        <f>PROPER(Transactions!D1328)</f>
        <v>Toys</v>
      </c>
      <c r="E1328" t="s">
        <v>88</v>
      </c>
      <c r="F1328" t="s">
        <v>89</v>
      </c>
      <c r="G1328">
        <v>1</v>
      </c>
      <c r="H1328">
        <v>39.99</v>
      </c>
      <c r="I1328" s="7">
        <f>IF(Transactions!I1328="",0,Transactions!I1328)</f>
        <v>0.2</v>
      </c>
      <c r="J1328" s="9">
        <f t="shared" si="20"/>
        <v>31.992000000000004</v>
      </c>
      <c r="K1328" t="s">
        <v>16</v>
      </c>
      <c r="L1328" t="s">
        <v>17</v>
      </c>
      <c r="M1328" t="str">
        <f>REPLACE(Transactions!M1328,1,4,"")</f>
        <v>19</v>
      </c>
    </row>
    <row r="1329" spans="1:13" x14ac:dyDescent="0.2">
      <c r="A1329">
        <v>320207</v>
      </c>
      <c r="B1329" s="5">
        <v>45479</v>
      </c>
      <c r="C1329">
        <v>29371</v>
      </c>
      <c r="D1329" t="str">
        <f>PROPER(Transactions!D1329)</f>
        <v>Furniture</v>
      </c>
      <c r="E1329" t="s">
        <v>51</v>
      </c>
      <c r="F1329" t="s">
        <v>52</v>
      </c>
      <c r="G1329">
        <v>1</v>
      </c>
      <c r="H1329">
        <v>27.99</v>
      </c>
      <c r="I1329" s="7">
        <f>IF(Transactions!I1329="",0,Transactions!I1329)</f>
        <v>0</v>
      </c>
      <c r="J1329" s="9">
        <f t="shared" si="20"/>
        <v>27.99</v>
      </c>
      <c r="K1329" t="s">
        <v>36</v>
      </c>
      <c r="L1329" t="s">
        <v>37</v>
      </c>
      <c r="M1329" t="str">
        <f>REPLACE(Transactions!M1329,1,4,"")</f>
        <v>12</v>
      </c>
    </row>
    <row r="1330" spans="1:13" x14ac:dyDescent="0.2">
      <c r="A1330">
        <v>320247</v>
      </c>
      <c r="B1330" s="5">
        <v>45569</v>
      </c>
      <c r="C1330">
        <v>55125</v>
      </c>
      <c r="D1330" t="str">
        <f>PROPER(Transactions!D1330)</f>
        <v>Automotive</v>
      </c>
      <c r="E1330" t="s">
        <v>125</v>
      </c>
      <c r="F1330" t="s">
        <v>126</v>
      </c>
      <c r="G1330">
        <v>1</v>
      </c>
      <c r="H1330">
        <v>29.99</v>
      </c>
      <c r="I1330" s="7">
        <f>IF(Transactions!I1330="",0,Transactions!I1330)</f>
        <v>0</v>
      </c>
      <c r="J1330" s="9">
        <f t="shared" si="20"/>
        <v>29.99</v>
      </c>
      <c r="K1330" t="s">
        <v>16</v>
      </c>
      <c r="L1330" t="s">
        <v>17</v>
      </c>
      <c r="M1330" t="str">
        <f>REPLACE(Transactions!M1330,1,4,"")</f>
        <v/>
      </c>
    </row>
    <row r="1331" spans="1:13" x14ac:dyDescent="0.2">
      <c r="A1331">
        <v>320333</v>
      </c>
      <c r="B1331" s="5">
        <v>45220</v>
      </c>
      <c r="C1331">
        <v>89349</v>
      </c>
      <c r="D1331" t="str">
        <f>PROPER(Transactions!D1331)</f>
        <v>Beauty</v>
      </c>
      <c r="E1331" t="s">
        <v>179</v>
      </c>
      <c r="F1331" t="s">
        <v>180</v>
      </c>
      <c r="G1331">
        <v>1</v>
      </c>
      <c r="H1331">
        <v>11.99</v>
      </c>
      <c r="I1331" s="7">
        <f>IF(Transactions!I1331="",0,Transactions!I1331)</f>
        <v>0</v>
      </c>
      <c r="J1331" s="9">
        <f t="shared" si="20"/>
        <v>11.99</v>
      </c>
      <c r="K1331" t="s">
        <v>16</v>
      </c>
      <c r="L1331" t="s">
        <v>17</v>
      </c>
      <c r="M1331" t="str">
        <f>REPLACE(Transactions!M1331,1,4,"")</f>
        <v>8</v>
      </c>
    </row>
    <row r="1332" spans="1:13" x14ac:dyDescent="0.2">
      <c r="A1332">
        <v>320376</v>
      </c>
      <c r="B1332" s="5">
        <v>45244</v>
      </c>
      <c r="C1332">
        <v>70073</v>
      </c>
      <c r="D1332" t="str">
        <f>PROPER(Transactions!D1332)</f>
        <v>Electronics</v>
      </c>
      <c r="E1332" t="s">
        <v>34</v>
      </c>
      <c r="F1332" t="s">
        <v>35</v>
      </c>
      <c r="G1332">
        <v>4</v>
      </c>
      <c r="H1332">
        <v>24.49</v>
      </c>
      <c r="I1332" s="7">
        <f>IF(Transactions!I1332="",0,Transactions!I1332)</f>
        <v>0.3</v>
      </c>
      <c r="J1332" s="9">
        <f t="shared" si="20"/>
        <v>68.571999999999989</v>
      </c>
      <c r="K1332" t="s">
        <v>32</v>
      </c>
      <c r="L1332" t="s">
        <v>17</v>
      </c>
      <c r="M1332" t="str">
        <f>REPLACE(Transactions!M1332,1,4,"")</f>
        <v>5</v>
      </c>
    </row>
    <row r="1333" spans="1:13" x14ac:dyDescent="0.2">
      <c r="A1333">
        <v>320406</v>
      </c>
      <c r="B1333" s="5">
        <v>45120</v>
      </c>
      <c r="C1333">
        <v>40046</v>
      </c>
      <c r="D1333" t="str">
        <f>PROPER(Transactions!D1333)</f>
        <v>Beauty</v>
      </c>
      <c r="E1333" t="s">
        <v>118</v>
      </c>
      <c r="F1333" t="s">
        <v>119</v>
      </c>
      <c r="G1333">
        <v>1</v>
      </c>
      <c r="H1333">
        <v>4.99</v>
      </c>
      <c r="I1333" s="7">
        <f>IF(Transactions!I1333="",0,Transactions!I1333)</f>
        <v>0</v>
      </c>
      <c r="J1333" s="9">
        <f t="shared" si="20"/>
        <v>4.99</v>
      </c>
      <c r="K1333" t="s">
        <v>95</v>
      </c>
      <c r="L1333" t="s">
        <v>17</v>
      </c>
      <c r="M1333" t="str">
        <f>REPLACE(Transactions!M1333,1,4,"")</f>
        <v>3</v>
      </c>
    </row>
    <row r="1334" spans="1:13" x14ac:dyDescent="0.2">
      <c r="A1334">
        <v>320973</v>
      </c>
      <c r="B1334" s="5">
        <v>44841</v>
      </c>
      <c r="C1334">
        <v>93171</v>
      </c>
      <c r="D1334" t="str">
        <f>PROPER(Transactions!D1334)</f>
        <v>Automotive</v>
      </c>
      <c r="E1334" t="s">
        <v>64</v>
      </c>
      <c r="F1334" t="s">
        <v>65</v>
      </c>
      <c r="G1334">
        <v>1</v>
      </c>
      <c r="H1334">
        <v>3.99</v>
      </c>
      <c r="I1334" s="7">
        <f>IF(Transactions!I1334="",0,Transactions!I1334)</f>
        <v>0.2</v>
      </c>
      <c r="J1334" s="9">
        <f t="shared" si="20"/>
        <v>3.1920000000000002</v>
      </c>
      <c r="K1334" t="s">
        <v>53</v>
      </c>
      <c r="L1334" t="s">
        <v>17</v>
      </c>
      <c r="M1334" t="str">
        <f>REPLACE(Transactions!M1334,1,4,"")</f>
        <v>9</v>
      </c>
    </row>
    <row r="1335" spans="1:13" x14ac:dyDescent="0.2">
      <c r="A1335">
        <v>321038</v>
      </c>
      <c r="B1335" s="5">
        <v>45646</v>
      </c>
      <c r="C1335">
        <v>64742</v>
      </c>
      <c r="D1335" t="str">
        <f>PROPER(Transactions!D1335)</f>
        <v>Grocery</v>
      </c>
      <c r="E1335" t="s">
        <v>93</v>
      </c>
      <c r="F1335" t="s">
        <v>94</v>
      </c>
      <c r="G1335">
        <v>1</v>
      </c>
      <c r="H1335">
        <v>1.1599999999999999</v>
      </c>
      <c r="I1335" s="7">
        <f>IF(Transactions!I1335="",0,Transactions!I1335)</f>
        <v>0.1</v>
      </c>
      <c r="J1335" s="9">
        <f t="shared" si="20"/>
        <v>1.044</v>
      </c>
      <c r="K1335" t="s">
        <v>16</v>
      </c>
      <c r="L1335" t="s">
        <v>37</v>
      </c>
      <c r="M1335" t="str">
        <f>REPLACE(Transactions!M1335,1,4,"")</f>
        <v/>
      </c>
    </row>
    <row r="1336" spans="1:13" x14ac:dyDescent="0.2">
      <c r="A1336">
        <v>321308</v>
      </c>
      <c r="B1336" s="5">
        <v>45076</v>
      </c>
      <c r="C1336">
        <v>79224</v>
      </c>
      <c r="D1336" t="str">
        <f>PROPER(Transactions!D1336)</f>
        <v>Toys</v>
      </c>
      <c r="E1336" t="s">
        <v>30</v>
      </c>
      <c r="F1336" t="s">
        <v>31</v>
      </c>
      <c r="G1336">
        <v>1</v>
      </c>
      <c r="H1336">
        <v>21.24</v>
      </c>
      <c r="I1336" s="7">
        <f>IF(Transactions!I1336="",0,Transactions!I1336)</f>
        <v>0.15</v>
      </c>
      <c r="J1336" s="9">
        <f t="shared" si="20"/>
        <v>18.053999999999998</v>
      </c>
      <c r="K1336" t="s">
        <v>16</v>
      </c>
      <c r="L1336" t="s">
        <v>17</v>
      </c>
      <c r="M1336" t="str">
        <f>REPLACE(Transactions!M1336,1,4,"")</f>
        <v>20</v>
      </c>
    </row>
    <row r="1337" spans="1:13" x14ac:dyDescent="0.2">
      <c r="A1337">
        <v>321550</v>
      </c>
      <c r="B1337" s="5">
        <v>45474</v>
      </c>
      <c r="C1337">
        <v>92651</v>
      </c>
      <c r="D1337" t="str">
        <f>PROPER(Transactions!D1337)</f>
        <v>Grocery</v>
      </c>
      <c r="E1337" t="s">
        <v>162</v>
      </c>
      <c r="F1337" t="s">
        <v>163</v>
      </c>
      <c r="G1337">
        <v>2</v>
      </c>
      <c r="H1337">
        <v>7.59</v>
      </c>
      <c r="I1337" s="7">
        <f>IF(Transactions!I1337="",0,Transactions!I1337)</f>
        <v>0.05</v>
      </c>
      <c r="J1337" s="9">
        <f t="shared" si="20"/>
        <v>14.420999999999999</v>
      </c>
      <c r="K1337" t="s">
        <v>36</v>
      </c>
      <c r="L1337" t="s">
        <v>17</v>
      </c>
      <c r="M1337" t="str">
        <f>REPLACE(Transactions!M1337,1,4,"")</f>
        <v>14</v>
      </c>
    </row>
    <row r="1338" spans="1:13" x14ac:dyDescent="0.2">
      <c r="A1338">
        <v>321556</v>
      </c>
      <c r="B1338" s="5">
        <v>45350</v>
      </c>
      <c r="C1338">
        <v>84717</v>
      </c>
      <c r="D1338" t="str">
        <f>PROPER(Transactions!D1338)</f>
        <v>Electronics</v>
      </c>
      <c r="E1338" t="s">
        <v>14</v>
      </c>
      <c r="F1338" t="s">
        <v>15</v>
      </c>
      <c r="G1338">
        <v>4</v>
      </c>
      <c r="H1338">
        <v>71.989999999999995</v>
      </c>
      <c r="I1338" s="7">
        <f>IF(Transactions!I1338="",0,Transactions!I1338)</f>
        <v>0.1</v>
      </c>
      <c r="J1338" s="9">
        <f t="shared" si="20"/>
        <v>259.16399999999999</v>
      </c>
      <c r="K1338" t="s">
        <v>16</v>
      </c>
      <c r="L1338" t="s">
        <v>37</v>
      </c>
      <c r="M1338" t="str">
        <f>REPLACE(Transactions!M1338,1,4,"")</f>
        <v>4</v>
      </c>
    </row>
    <row r="1339" spans="1:13" x14ac:dyDescent="0.2">
      <c r="A1339">
        <v>321659</v>
      </c>
      <c r="B1339" s="5">
        <v>45415</v>
      </c>
      <c r="C1339">
        <v>77698</v>
      </c>
      <c r="D1339" t="str">
        <f>PROPER(Transactions!D1339)</f>
        <v>Pharmacy</v>
      </c>
      <c r="E1339" t="s">
        <v>197</v>
      </c>
      <c r="F1339" t="s">
        <v>198</v>
      </c>
      <c r="G1339">
        <v>1</v>
      </c>
      <c r="H1339">
        <v>14.99</v>
      </c>
      <c r="I1339" s="7">
        <f>IF(Transactions!I1339="",0,Transactions!I1339)</f>
        <v>0</v>
      </c>
      <c r="J1339" s="9">
        <f t="shared" si="20"/>
        <v>14.99</v>
      </c>
      <c r="K1339" t="s">
        <v>36</v>
      </c>
      <c r="L1339" t="s">
        <v>17</v>
      </c>
      <c r="M1339" t="str">
        <f>REPLACE(Transactions!M1339,1,4,"")</f>
        <v>7</v>
      </c>
    </row>
    <row r="1340" spans="1:13" x14ac:dyDescent="0.2">
      <c r="A1340">
        <v>321934</v>
      </c>
      <c r="B1340" s="5">
        <v>45564</v>
      </c>
      <c r="C1340">
        <v>18076</v>
      </c>
      <c r="D1340" t="str">
        <f>PROPER(Transactions!D1340)</f>
        <v>Electronics</v>
      </c>
      <c r="E1340" t="s">
        <v>77</v>
      </c>
      <c r="F1340" t="s">
        <v>78</v>
      </c>
      <c r="G1340">
        <v>1</v>
      </c>
      <c r="H1340">
        <v>499.99</v>
      </c>
      <c r="I1340" s="7">
        <f>IF(Transactions!I1340="",0,Transactions!I1340)</f>
        <v>0</v>
      </c>
      <c r="J1340" s="9">
        <f t="shared" si="20"/>
        <v>499.99</v>
      </c>
      <c r="K1340" t="s">
        <v>36</v>
      </c>
      <c r="L1340" t="s">
        <v>17</v>
      </c>
      <c r="M1340" t="str">
        <f>REPLACE(Transactions!M1340,1,4,"")</f>
        <v>17</v>
      </c>
    </row>
    <row r="1341" spans="1:13" x14ac:dyDescent="0.2">
      <c r="A1341">
        <v>322151</v>
      </c>
      <c r="B1341" s="5">
        <v>45068</v>
      </c>
      <c r="C1341">
        <v>87364</v>
      </c>
      <c r="D1341" t="str">
        <f>PROPER(Transactions!D1341)</f>
        <v>Clothing</v>
      </c>
      <c r="E1341" t="s">
        <v>141</v>
      </c>
      <c r="F1341" t="s">
        <v>142</v>
      </c>
      <c r="G1341">
        <v>4</v>
      </c>
      <c r="H1341">
        <v>22.99</v>
      </c>
      <c r="I1341" s="7">
        <f>IF(Transactions!I1341="",0,Transactions!I1341)</f>
        <v>0</v>
      </c>
      <c r="J1341" s="9">
        <f t="shared" si="20"/>
        <v>91.96</v>
      </c>
      <c r="K1341" t="s">
        <v>36</v>
      </c>
      <c r="L1341" t="s">
        <v>17</v>
      </c>
      <c r="M1341" t="str">
        <f>REPLACE(Transactions!M1341,1,4,"")</f>
        <v>20</v>
      </c>
    </row>
    <row r="1342" spans="1:13" x14ac:dyDescent="0.2">
      <c r="A1342">
        <v>322436</v>
      </c>
      <c r="B1342" s="5">
        <v>44724</v>
      </c>
      <c r="C1342">
        <v>21803</v>
      </c>
      <c r="D1342" t="str">
        <f>PROPER(Transactions!D1342)</f>
        <v>Pharmacy</v>
      </c>
      <c r="E1342" t="s">
        <v>58</v>
      </c>
      <c r="F1342" t="s">
        <v>59</v>
      </c>
      <c r="G1342">
        <v>4</v>
      </c>
      <c r="H1342">
        <v>3.99</v>
      </c>
      <c r="I1342" s="7">
        <f>IF(Transactions!I1342="",0,Transactions!I1342)</f>
        <v>0</v>
      </c>
      <c r="J1342" s="9">
        <f t="shared" si="20"/>
        <v>15.96</v>
      </c>
      <c r="K1342" t="s">
        <v>36</v>
      </c>
      <c r="L1342" t="s">
        <v>17</v>
      </c>
      <c r="M1342" t="str">
        <f>REPLACE(Transactions!M1342,1,4,"")</f>
        <v>12</v>
      </c>
    </row>
    <row r="1343" spans="1:13" x14ac:dyDescent="0.2">
      <c r="A1343">
        <v>322653</v>
      </c>
      <c r="B1343" s="5">
        <v>44852</v>
      </c>
      <c r="C1343">
        <v>61672</v>
      </c>
      <c r="D1343" t="str">
        <f>PROPER(Transactions!D1343)</f>
        <v>Sports</v>
      </c>
      <c r="E1343" t="s">
        <v>100</v>
      </c>
      <c r="F1343" t="s">
        <v>101</v>
      </c>
      <c r="G1343">
        <v>4</v>
      </c>
      <c r="H1343">
        <v>22.99</v>
      </c>
      <c r="I1343" s="7">
        <f>IF(Transactions!I1343="",0,Transactions!I1343)</f>
        <v>0</v>
      </c>
      <c r="J1343" s="9">
        <f t="shared" si="20"/>
        <v>91.96</v>
      </c>
      <c r="K1343" t="s">
        <v>16</v>
      </c>
      <c r="L1343" t="s">
        <v>23</v>
      </c>
      <c r="M1343" t="str">
        <f>REPLACE(Transactions!M1343,1,4,"")</f>
        <v>16</v>
      </c>
    </row>
    <row r="1344" spans="1:13" x14ac:dyDescent="0.2">
      <c r="A1344">
        <v>322732</v>
      </c>
      <c r="B1344" s="5">
        <v>45574</v>
      </c>
      <c r="C1344">
        <v>19523</v>
      </c>
      <c r="D1344" t="str">
        <f>PROPER(Transactions!D1344)</f>
        <v>Grocery</v>
      </c>
      <c r="E1344" t="s">
        <v>45</v>
      </c>
      <c r="F1344" t="s">
        <v>46</v>
      </c>
      <c r="G1344">
        <v>4</v>
      </c>
      <c r="H1344">
        <v>1.34</v>
      </c>
      <c r="I1344" s="7">
        <f>IF(Transactions!I1344="",0,Transactions!I1344)</f>
        <v>0.25</v>
      </c>
      <c r="J1344" s="9">
        <f t="shared" si="20"/>
        <v>4.0200000000000005</v>
      </c>
      <c r="K1344" t="s">
        <v>16</v>
      </c>
      <c r="L1344" t="s">
        <v>37</v>
      </c>
      <c r="M1344" t="str">
        <f>REPLACE(Transactions!M1344,1,4,"")</f>
        <v>9</v>
      </c>
    </row>
    <row r="1345" spans="1:13" x14ac:dyDescent="0.2">
      <c r="A1345">
        <v>322856</v>
      </c>
      <c r="B1345" s="5">
        <v>44601</v>
      </c>
      <c r="C1345">
        <v>89138</v>
      </c>
      <c r="D1345" t="str">
        <f>PROPER(Transactions!D1345)</f>
        <v>Home &amp; Garden</v>
      </c>
      <c r="E1345" t="s">
        <v>86</v>
      </c>
      <c r="F1345" t="s">
        <v>87</v>
      </c>
      <c r="G1345">
        <v>1</v>
      </c>
      <c r="H1345">
        <v>9.09</v>
      </c>
      <c r="I1345" s="7">
        <f>IF(Transactions!I1345="",0,Transactions!I1345)</f>
        <v>0.3</v>
      </c>
      <c r="J1345" s="9">
        <f t="shared" si="20"/>
        <v>6.3629999999999995</v>
      </c>
      <c r="K1345" t="s">
        <v>53</v>
      </c>
      <c r="L1345" t="s">
        <v>37</v>
      </c>
      <c r="M1345" t="str">
        <f>REPLACE(Transactions!M1345,1,4,"")</f>
        <v>20</v>
      </c>
    </row>
    <row r="1346" spans="1:13" x14ac:dyDescent="0.2">
      <c r="A1346">
        <v>322897</v>
      </c>
      <c r="B1346" s="5">
        <v>44938</v>
      </c>
      <c r="C1346">
        <v>40717</v>
      </c>
      <c r="D1346" t="str">
        <f>PROPER(Transactions!D1346)</f>
        <v>Pharmacy</v>
      </c>
      <c r="E1346" t="s">
        <v>20</v>
      </c>
      <c r="F1346" t="s">
        <v>21</v>
      </c>
      <c r="G1346">
        <v>1</v>
      </c>
      <c r="H1346">
        <v>9.99</v>
      </c>
      <c r="I1346" s="7">
        <f>IF(Transactions!I1346="",0,Transactions!I1346)</f>
        <v>0</v>
      </c>
      <c r="J1346" s="9">
        <f t="shared" si="20"/>
        <v>9.99</v>
      </c>
      <c r="K1346" t="s">
        <v>16</v>
      </c>
      <c r="L1346" t="s">
        <v>37</v>
      </c>
      <c r="M1346" t="str">
        <f>REPLACE(Transactions!M1346,1,4,"")</f>
        <v>5</v>
      </c>
    </row>
    <row r="1347" spans="1:13" x14ac:dyDescent="0.2">
      <c r="A1347">
        <v>323057</v>
      </c>
      <c r="B1347" s="5">
        <v>44642</v>
      </c>
      <c r="C1347">
        <v>80888</v>
      </c>
      <c r="D1347" t="str">
        <f>PROPER(Transactions!D1347)</f>
        <v>Pharmacy</v>
      </c>
      <c r="E1347" t="s">
        <v>115</v>
      </c>
      <c r="F1347" t="s">
        <v>116</v>
      </c>
      <c r="G1347">
        <v>3</v>
      </c>
      <c r="H1347">
        <v>10.39</v>
      </c>
      <c r="I1347" s="7">
        <f>IF(Transactions!I1347="",0,Transactions!I1347)</f>
        <v>0.2</v>
      </c>
      <c r="J1347" s="9">
        <f t="shared" ref="J1347:J1410" si="21">(H1347*G1347)*(1-I1347)</f>
        <v>24.936000000000003</v>
      </c>
      <c r="K1347" t="s">
        <v>36</v>
      </c>
      <c r="L1347" t="s">
        <v>17</v>
      </c>
      <c r="M1347" t="str">
        <f>REPLACE(Transactions!M1347,1,4,"")</f>
        <v>3</v>
      </c>
    </row>
    <row r="1348" spans="1:13" x14ac:dyDescent="0.2">
      <c r="A1348">
        <v>323095</v>
      </c>
      <c r="B1348" s="5">
        <v>44669</v>
      </c>
      <c r="C1348">
        <v>68179</v>
      </c>
      <c r="D1348" t="str">
        <f>PROPER(Transactions!D1348)</f>
        <v>Electronics</v>
      </c>
      <c r="E1348" t="s">
        <v>77</v>
      </c>
      <c r="F1348" t="s">
        <v>78</v>
      </c>
      <c r="G1348">
        <v>5</v>
      </c>
      <c r="H1348">
        <v>499.99</v>
      </c>
      <c r="I1348" s="7">
        <f>IF(Transactions!I1348="",0,Transactions!I1348)</f>
        <v>0</v>
      </c>
      <c r="J1348" s="9">
        <f t="shared" si="21"/>
        <v>2499.9499999999998</v>
      </c>
      <c r="K1348" t="s">
        <v>16</v>
      </c>
      <c r="L1348" t="s">
        <v>17</v>
      </c>
      <c r="M1348" t="str">
        <f>REPLACE(Transactions!M1348,1,4,"")</f>
        <v>12</v>
      </c>
    </row>
    <row r="1349" spans="1:13" x14ac:dyDescent="0.2">
      <c r="A1349">
        <v>323535</v>
      </c>
      <c r="B1349" s="5">
        <v>45175</v>
      </c>
      <c r="C1349">
        <v>95271</v>
      </c>
      <c r="D1349" t="str">
        <f>PROPER(Transactions!D1349)</f>
        <v>Grocery</v>
      </c>
      <c r="E1349" t="s">
        <v>93</v>
      </c>
      <c r="F1349" t="s">
        <v>94</v>
      </c>
      <c r="G1349">
        <v>1</v>
      </c>
      <c r="H1349">
        <v>1.23</v>
      </c>
      <c r="I1349" s="7">
        <f>IF(Transactions!I1349="",0,Transactions!I1349)</f>
        <v>0</v>
      </c>
      <c r="J1349" s="9">
        <f t="shared" si="21"/>
        <v>1.23</v>
      </c>
      <c r="K1349" t="s">
        <v>16</v>
      </c>
      <c r="L1349" t="s">
        <v>23</v>
      </c>
      <c r="M1349" t="str">
        <f>REPLACE(Transactions!M1349,1,4,"")</f>
        <v>18</v>
      </c>
    </row>
    <row r="1350" spans="1:13" x14ac:dyDescent="0.2">
      <c r="A1350">
        <v>323944</v>
      </c>
      <c r="B1350" s="5">
        <v>45256</v>
      </c>
      <c r="C1350">
        <v>36612</v>
      </c>
      <c r="D1350" t="str">
        <f>PROPER(Transactions!D1350)</f>
        <v>Grocery</v>
      </c>
      <c r="E1350" t="s">
        <v>93</v>
      </c>
      <c r="F1350" t="s">
        <v>94</v>
      </c>
      <c r="G1350">
        <v>1</v>
      </c>
      <c r="H1350">
        <v>1.29</v>
      </c>
      <c r="I1350" s="7">
        <f>IF(Transactions!I1350="",0,Transactions!I1350)</f>
        <v>0</v>
      </c>
      <c r="J1350" s="9">
        <f t="shared" si="21"/>
        <v>1.29</v>
      </c>
      <c r="K1350" t="s">
        <v>16</v>
      </c>
      <c r="L1350" t="s">
        <v>17</v>
      </c>
      <c r="M1350" t="str">
        <f>REPLACE(Transactions!M1350,1,4,"")</f>
        <v>10</v>
      </c>
    </row>
    <row r="1351" spans="1:13" x14ac:dyDescent="0.2">
      <c r="A1351">
        <v>324010</v>
      </c>
      <c r="B1351" s="5">
        <v>45085</v>
      </c>
      <c r="C1351">
        <v>99832</v>
      </c>
      <c r="D1351" t="str">
        <f>PROPER(Transactions!D1351)</f>
        <v>Home &amp; Garden</v>
      </c>
      <c r="E1351" t="s">
        <v>137</v>
      </c>
      <c r="F1351" t="s">
        <v>138</v>
      </c>
      <c r="G1351">
        <v>2</v>
      </c>
      <c r="H1351">
        <v>7.99</v>
      </c>
      <c r="I1351" s="7">
        <f>IF(Transactions!I1351="",0,Transactions!I1351)</f>
        <v>0</v>
      </c>
      <c r="J1351" s="9">
        <f t="shared" si="21"/>
        <v>15.98</v>
      </c>
      <c r="K1351" t="s">
        <v>53</v>
      </c>
      <c r="L1351" t="s">
        <v>17</v>
      </c>
      <c r="M1351" t="str">
        <f>REPLACE(Transactions!M1351,1,4,"")</f>
        <v>4</v>
      </c>
    </row>
    <row r="1352" spans="1:13" x14ac:dyDescent="0.2">
      <c r="A1352">
        <v>324094</v>
      </c>
      <c r="B1352" s="5">
        <v>45389</v>
      </c>
      <c r="C1352">
        <v>78035</v>
      </c>
      <c r="D1352" t="str">
        <f>PROPER(Transactions!D1352)</f>
        <v>Home &amp; Garden</v>
      </c>
      <c r="E1352" t="s">
        <v>137</v>
      </c>
      <c r="F1352" t="s">
        <v>138</v>
      </c>
      <c r="G1352">
        <v>1</v>
      </c>
      <c r="H1352">
        <v>5.99</v>
      </c>
      <c r="I1352" s="7">
        <f>IF(Transactions!I1352="",0,Transactions!I1352)</f>
        <v>0.25</v>
      </c>
      <c r="J1352" s="9">
        <f t="shared" si="21"/>
        <v>4.4924999999999997</v>
      </c>
      <c r="K1352" t="s">
        <v>22</v>
      </c>
      <c r="L1352" t="s">
        <v>37</v>
      </c>
      <c r="M1352" t="str">
        <f>REPLACE(Transactions!M1352,1,4,"")</f>
        <v>6</v>
      </c>
    </row>
    <row r="1353" spans="1:13" x14ac:dyDescent="0.2">
      <c r="A1353">
        <v>324164</v>
      </c>
      <c r="B1353" s="5">
        <v>45371</v>
      </c>
      <c r="C1353">
        <v>95720</v>
      </c>
      <c r="D1353" t="str">
        <f>PROPER(Transactions!D1353)</f>
        <v>Home &amp; Garden</v>
      </c>
      <c r="E1353" t="s">
        <v>145</v>
      </c>
      <c r="F1353" t="s">
        <v>146</v>
      </c>
      <c r="G1353">
        <v>1</v>
      </c>
      <c r="H1353">
        <v>13.59</v>
      </c>
      <c r="I1353" s="7">
        <f>IF(Transactions!I1353="",0,Transactions!I1353)</f>
        <v>0.2</v>
      </c>
      <c r="J1353" s="9">
        <f t="shared" si="21"/>
        <v>10.872</v>
      </c>
      <c r="K1353" t="s">
        <v>16</v>
      </c>
      <c r="L1353" t="s">
        <v>17</v>
      </c>
      <c r="M1353" t="str">
        <f>REPLACE(Transactions!M1353,1,4,"")</f>
        <v>19</v>
      </c>
    </row>
    <row r="1354" spans="1:13" x14ac:dyDescent="0.2">
      <c r="A1354">
        <v>324176</v>
      </c>
      <c r="B1354" s="5">
        <v>44965</v>
      </c>
      <c r="C1354">
        <v>45580</v>
      </c>
      <c r="D1354" t="str">
        <f>PROPER(Transactions!D1354)</f>
        <v>Furniture</v>
      </c>
      <c r="E1354" t="s">
        <v>70</v>
      </c>
      <c r="F1354" t="s">
        <v>71</v>
      </c>
      <c r="G1354">
        <v>3</v>
      </c>
      <c r="H1354">
        <v>89.99</v>
      </c>
      <c r="I1354" s="7">
        <f>IF(Transactions!I1354="",0,Transactions!I1354)</f>
        <v>0</v>
      </c>
      <c r="J1354" s="9">
        <f t="shared" si="21"/>
        <v>269.96999999999997</v>
      </c>
      <c r="K1354" t="s">
        <v>16</v>
      </c>
      <c r="L1354" t="s">
        <v>17</v>
      </c>
      <c r="M1354" t="str">
        <f>REPLACE(Transactions!M1354,1,4,"")</f>
        <v>10</v>
      </c>
    </row>
    <row r="1355" spans="1:13" x14ac:dyDescent="0.2">
      <c r="A1355">
        <v>324993</v>
      </c>
      <c r="B1355" s="5">
        <v>45529</v>
      </c>
      <c r="D1355" t="str">
        <f>PROPER(Transactions!D1355)</f>
        <v>Clothing</v>
      </c>
      <c r="E1355" t="s">
        <v>98</v>
      </c>
      <c r="F1355" t="s">
        <v>99</v>
      </c>
      <c r="G1355">
        <v>3</v>
      </c>
      <c r="H1355">
        <v>27.99</v>
      </c>
      <c r="I1355" s="7">
        <f>IF(Transactions!I1355="",0,Transactions!I1355)</f>
        <v>0</v>
      </c>
      <c r="J1355" s="9">
        <f t="shared" si="21"/>
        <v>83.97</v>
      </c>
      <c r="K1355" t="s">
        <v>36</v>
      </c>
      <c r="L1355" t="s">
        <v>17</v>
      </c>
      <c r="M1355" t="str">
        <f>REPLACE(Transactions!M1355,1,4,"")</f>
        <v>11</v>
      </c>
    </row>
    <row r="1356" spans="1:13" x14ac:dyDescent="0.2">
      <c r="A1356">
        <v>325038</v>
      </c>
      <c r="B1356" s="5">
        <v>45578</v>
      </c>
      <c r="C1356">
        <v>85431</v>
      </c>
      <c r="D1356" t="str">
        <f>PROPER(Transactions!D1356)</f>
        <v>Furniture</v>
      </c>
      <c r="E1356" t="s">
        <v>51</v>
      </c>
      <c r="F1356" t="s">
        <v>52</v>
      </c>
      <c r="G1356">
        <v>1</v>
      </c>
      <c r="H1356">
        <v>23.79</v>
      </c>
      <c r="I1356" s="7">
        <f>IF(Transactions!I1356="",0,Transactions!I1356)</f>
        <v>0.15</v>
      </c>
      <c r="J1356" s="9">
        <f t="shared" si="21"/>
        <v>20.221499999999999</v>
      </c>
      <c r="K1356" t="s">
        <v>36</v>
      </c>
      <c r="L1356" t="s">
        <v>17</v>
      </c>
      <c r="M1356" t="str">
        <f>REPLACE(Transactions!M1356,1,4,"")</f>
        <v>6</v>
      </c>
    </row>
    <row r="1357" spans="1:13" x14ac:dyDescent="0.2">
      <c r="A1357">
        <v>325304</v>
      </c>
      <c r="B1357" s="5">
        <v>45179</v>
      </c>
      <c r="C1357">
        <v>46907</v>
      </c>
      <c r="D1357" t="str">
        <f>PROPER(Transactions!D1357)</f>
        <v>Automotive</v>
      </c>
      <c r="E1357" t="s">
        <v>64</v>
      </c>
      <c r="F1357" t="s">
        <v>65</v>
      </c>
      <c r="G1357">
        <v>5</v>
      </c>
      <c r="H1357">
        <v>4.24</v>
      </c>
      <c r="I1357" s="7">
        <f>IF(Transactions!I1357="",0,Transactions!I1357)</f>
        <v>0.15</v>
      </c>
      <c r="J1357" s="9">
        <f t="shared" si="21"/>
        <v>18.020000000000003</v>
      </c>
      <c r="K1357" t="s">
        <v>16</v>
      </c>
      <c r="L1357" t="s">
        <v>23</v>
      </c>
      <c r="M1357" t="str">
        <f>REPLACE(Transactions!M1357,1,4,"")</f>
        <v>4</v>
      </c>
    </row>
    <row r="1358" spans="1:13" x14ac:dyDescent="0.2">
      <c r="A1358">
        <v>325325</v>
      </c>
      <c r="B1358" s="5">
        <v>45352</v>
      </c>
      <c r="C1358">
        <v>39539</v>
      </c>
      <c r="D1358" t="str">
        <f>PROPER(Transactions!D1358)</f>
        <v>Sports</v>
      </c>
      <c r="E1358" t="s">
        <v>155</v>
      </c>
      <c r="F1358" t="s">
        <v>156</v>
      </c>
      <c r="G1358">
        <v>1</v>
      </c>
      <c r="H1358">
        <v>16.989999999999998</v>
      </c>
      <c r="I1358" s="7">
        <f>IF(Transactions!I1358="",0,Transactions!I1358)</f>
        <v>0.15</v>
      </c>
      <c r="J1358" s="9">
        <f t="shared" si="21"/>
        <v>14.441499999999998</v>
      </c>
      <c r="K1358" t="s">
        <v>16</v>
      </c>
      <c r="L1358" t="s">
        <v>17</v>
      </c>
      <c r="M1358" t="str">
        <f>REPLACE(Transactions!M1358,1,4,"")</f>
        <v>19</v>
      </c>
    </row>
    <row r="1359" spans="1:13" x14ac:dyDescent="0.2">
      <c r="A1359">
        <v>325401</v>
      </c>
      <c r="B1359" s="5">
        <v>44906</v>
      </c>
      <c r="C1359">
        <v>47740</v>
      </c>
      <c r="D1359" t="str">
        <f>PROPER(Transactions!D1359)</f>
        <v>Pharmacy</v>
      </c>
      <c r="E1359" t="s">
        <v>58</v>
      </c>
      <c r="F1359" t="s">
        <v>59</v>
      </c>
      <c r="G1359">
        <v>4</v>
      </c>
      <c r="H1359">
        <v>3.99</v>
      </c>
      <c r="I1359" s="7">
        <f>IF(Transactions!I1359="",0,Transactions!I1359)</f>
        <v>0</v>
      </c>
      <c r="J1359" s="9">
        <f t="shared" si="21"/>
        <v>15.96</v>
      </c>
      <c r="K1359" t="s">
        <v>22</v>
      </c>
      <c r="L1359" t="s">
        <v>17</v>
      </c>
      <c r="M1359" t="str">
        <f>REPLACE(Transactions!M1359,1,4,"")</f>
        <v>8</v>
      </c>
    </row>
    <row r="1360" spans="1:13" x14ac:dyDescent="0.2">
      <c r="A1360">
        <v>325600</v>
      </c>
      <c r="B1360" s="5">
        <v>45318</v>
      </c>
      <c r="C1360">
        <v>10119</v>
      </c>
      <c r="D1360" t="str">
        <f>PROPER(Transactions!D1360)</f>
        <v>Grocery</v>
      </c>
      <c r="E1360" t="s">
        <v>172</v>
      </c>
      <c r="F1360" t="s">
        <v>173</v>
      </c>
      <c r="G1360">
        <v>5</v>
      </c>
      <c r="H1360">
        <v>4.49</v>
      </c>
      <c r="I1360" s="7">
        <f>IF(Transactions!I1360="",0,Transactions!I1360)</f>
        <v>0</v>
      </c>
      <c r="J1360" s="9">
        <f t="shared" si="21"/>
        <v>22.450000000000003</v>
      </c>
      <c r="K1360" t="s">
        <v>95</v>
      </c>
      <c r="L1360" t="s">
        <v>37</v>
      </c>
      <c r="M1360" t="str">
        <f>REPLACE(Transactions!M1360,1,4,"")</f>
        <v>2</v>
      </c>
    </row>
    <row r="1361" spans="1:13" x14ac:dyDescent="0.2">
      <c r="A1361">
        <v>325876</v>
      </c>
      <c r="B1361" s="5">
        <v>45508</v>
      </c>
      <c r="C1361">
        <v>62196</v>
      </c>
      <c r="D1361" t="str">
        <f>PROPER(Transactions!D1361)</f>
        <v>Electronics</v>
      </c>
      <c r="E1361" t="s">
        <v>77</v>
      </c>
      <c r="F1361" t="s">
        <v>78</v>
      </c>
      <c r="G1361">
        <v>1</v>
      </c>
      <c r="H1361">
        <v>499.99</v>
      </c>
      <c r="I1361" s="7">
        <f>IF(Transactions!I1361="",0,Transactions!I1361)</f>
        <v>0</v>
      </c>
      <c r="J1361" s="9">
        <f t="shared" si="21"/>
        <v>499.99</v>
      </c>
      <c r="K1361" t="s">
        <v>22</v>
      </c>
      <c r="L1361" t="s">
        <v>17</v>
      </c>
      <c r="M1361" t="str">
        <f>REPLACE(Transactions!M1361,1,4,"")</f>
        <v>13</v>
      </c>
    </row>
    <row r="1362" spans="1:13" x14ac:dyDescent="0.2">
      <c r="A1362">
        <v>325958</v>
      </c>
      <c r="B1362" s="5">
        <v>44915</v>
      </c>
      <c r="C1362">
        <v>73868</v>
      </c>
      <c r="D1362" t="str">
        <f>PROPER(Transactions!D1362)</f>
        <v>Home &amp; Garden</v>
      </c>
      <c r="E1362" t="s">
        <v>157</v>
      </c>
      <c r="F1362" t="s">
        <v>158</v>
      </c>
      <c r="G1362">
        <v>2</v>
      </c>
      <c r="H1362">
        <v>13.49</v>
      </c>
      <c r="I1362" s="7">
        <f>IF(Transactions!I1362="",0,Transactions!I1362)</f>
        <v>0</v>
      </c>
      <c r="J1362" s="9">
        <f t="shared" si="21"/>
        <v>26.98</v>
      </c>
      <c r="K1362" t="s">
        <v>16</v>
      </c>
      <c r="L1362" t="s">
        <v>37</v>
      </c>
      <c r="M1362" t="str">
        <f>REPLACE(Transactions!M1362,1,4,"")</f>
        <v>8</v>
      </c>
    </row>
    <row r="1363" spans="1:13" x14ac:dyDescent="0.2">
      <c r="A1363">
        <v>326017</v>
      </c>
      <c r="B1363" s="5">
        <v>45014</v>
      </c>
      <c r="C1363">
        <v>66973</v>
      </c>
      <c r="D1363" t="str">
        <f>PROPER(Transactions!D1363)</f>
        <v>Pharmacy</v>
      </c>
      <c r="E1363" t="s">
        <v>115</v>
      </c>
      <c r="F1363" t="s">
        <v>116</v>
      </c>
      <c r="G1363">
        <v>2</v>
      </c>
      <c r="H1363">
        <v>11.69</v>
      </c>
      <c r="I1363" s="7">
        <f>IF(Transactions!I1363="",0,Transactions!I1363)</f>
        <v>0.1</v>
      </c>
      <c r="J1363" s="9">
        <f t="shared" si="21"/>
        <v>21.041999999999998</v>
      </c>
      <c r="K1363" t="s">
        <v>16</v>
      </c>
      <c r="L1363" t="s">
        <v>37</v>
      </c>
      <c r="M1363" t="str">
        <f>REPLACE(Transactions!M1363,1,4,"")</f>
        <v>20</v>
      </c>
    </row>
    <row r="1364" spans="1:13" x14ac:dyDescent="0.2">
      <c r="A1364">
        <v>326042</v>
      </c>
      <c r="B1364" s="5">
        <v>45621</v>
      </c>
      <c r="C1364">
        <v>77000</v>
      </c>
      <c r="D1364" t="str">
        <f>PROPER(Transactions!D1364)</f>
        <v>Automotive</v>
      </c>
      <c r="E1364" t="s">
        <v>68</v>
      </c>
      <c r="F1364" t="s">
        <v>69</v>
      </c>
      <c r="G1364">
        <v>5</v>
      </c>
      <c r="H1364">
        <v>24.99</v>
      </c>
      <c r="I1364" s="7">
        <f>IF(Transactions!I1364="",0,Transactions!I1364)</f>
        <v>0</v>
      </c>
      <c r="J1364" s="9">
        <f t="shared" si="21"/>
        <v>124.94999999999999</v>
      </c>
      <c r="K1364" t="s">
        <v>16</v>
      </c>
      <c r="L1364" t="s">
        <v>17</v>
      </c>
      <c r="M1364" t="str">
        <f>REPLACE(Transactions!M1364,1,4,"")</f>
        <v>1</v>
      </c>
    </row>
    <row r="1365" spans="1:13" x14ac:dyDescent="0.2">
      <c r="A1365">
        <v>326207</v>
      </c>
      <c r="B1365" s="5">
        <v>45158</v>
      </c>
      <c r="C1365">
        <v>60670</v>
      </c>
      <c r="D1365" t="str">
        <f>PROPER(Transactions!D1365)</f>
        <v>Electronics</v>
      </c>
      <c r="E1365" t="s">
        <v>186</v>
      </c>
      <c r="F1365" t="s">
        <v>187</v>
      </c>
      <c r="G1365">
        <v>2</v>
      </c>
      <c r="H1365">
        <v>49.99</v>
      </c>
      <c r="I1365" s="7">
        <f>IF(Transactions!I1365="",0,Transactions!I1365)</f>
        <v>0</v>
      </c>
      <c r="J1365" s="9">
        <f t="shared" si="21"/>
        <v>99.98</v>
      </c>
      <c r="K1365" t="s">
        <v>22</v>
      </c>
      <c r="L1365" t="s">
        <v>37</v>
      </c>
      <c r="M1365" t="str">
        <f>REPLACE(Transactions!M1365,1,4,"")</f>
        <v/>
      </c>
    </row>
    <row r="1366" spans="1:13" x14ac:dyDescent="0.2">
      <c r="A1366">
        <v>326588</v>
      </c>
      <c r="B1366" s="5">
        <v>44568</v>
      </c>
      <c r="C1366">
        <v>16946</v>
      </c>
      <c r="D1366" t="str">
        <f>PROPER(Transactions!D1366)</f>
        <v>Grocery</v>
      </c>
      <c r="E1366" t="s">
        <v>162</v>
      </c>
      <c r="F1366" t="s">
        <v>163</v>
      </c>
      <c r="G1366">
        <v>4</v>
      </c>
      <c r="H1366">
        <v>7.99</v>
      </c>
      <c r="I1366" s="7">
        <f>IF(Transactions!I1366="",0,Transactions!I1366)</f>
        <v>0</v>
      </c>
      <c r="J1366" s="9">
        <f t="shared" si="21"/>
        <v>31.96</v>
      </c>
      <c r="K1366" t="s">
        <v>95</v>
      </c>
      <c r="L1366" t="s">
        <v>17</v>
      </c>
      <c r="M1366" t="str">
        <f>REPLACE(Transactions!M1366,1,4,"")</f>
        <v>10</v>
      </c>
    </row>
    <row r="1367" spans="1:13" x14ac:dyDescent="0.2">
      <c r="A1367">
        <v>326686</v>
      </c>
      <c r="B1367" s="5">
        <v>44702</v>
      </c>
      <c r="C1367">
        <v>96265</v>
      </c>
      <c r="D1367" t="str">
        <f>PROPER(Transactions!D1367)</f>
        <v>Automotive</v>
      </c>
      <c r="E1367" t="s">
        <v>111</v>
      </c>
      <c r="F1367" t="s">
        <v>112</v>
      </c>
      <c r="G1367">
        <v>1</v>
      </c>
      <c r="H1367">
        <v>14.99</v>
      </c>
      <c r="I1367" s="7">
        <f>IF(Transactions!I1367="",0,Transactions!I1367)</f>
        <v>0</v>
      </c>
      <c r="J1367" s="9">
        <f t="shared" si="21"/>
        <v>14.99</v>
      </c>
      <c r="K1367" t="s">
        <v>36</v>
      </c>
      <c r="L1367" t="s">
        <v>17</v>
      </c>
      <c r="M1367" t="str">
        <f>REPLACE(Transactions!M1367,1,4,"")</f>
        <v>13</v>
      </c>
    </row>
    <row r="1368" spans="1:13" x14ac:dyDescent="0.2">
      <c r="A1368">
        <v>326804</v>
      </c>
      <c r="B1368" s="5">
        <v>44784</v>
      </c>
      <c r="C1368">
        <v>25809</v>
      </c>
      <c r="D1368" t="str">
        <f>PROPER(Transactions!D1368)</f>
        <v>Grocery</v>
      </c>
      <c r="E1368" t="s">
        <v>162</v>
      </c>
      <c r="F1368" t="s">
        <v>163</v>
      </c>
      <c r="G1368">
        <v>4</v>
      </c>
      <c r="H1368">
        <v>7.99</v>
      </c>
      <c r="I1368" s="7">
        <f>IF(Transactions!I1368="",0,Transactions!I1368)</f>
        <v>0</v>
      </c>
      <c r="J1368" s="9">
        <f t="shared" si="21"/>
        <v>31.96</v>
      </c>
      <c r="K1368" t="s">
        <v>53</v>
      </c>
      <c r="L1368" t="s">
        <v>17</v>
      </c>
      <c r="M1368" t="str">
        <f>REPLACE(Transactions!M1368,1,4,"")</f>
        <v>15</v>
      </c>
    </row>
    <row r="1369" spans="1:13" x14ac:dyDescent="0.2">
      <c r="A1369">
        <v>326871</v>
      </c>
      <c r="B1369" s="5">
        <v>44878</v>
      </c>
      <c r="C1369">
        <v>29253</v>
      </c>
      <c r="D1369" t="str">
        <f>PROPER(Transactions!D1369)</f>
        <v>Beauty</v>
      </c>
      <c r="E1369" t="s">
        <v>118</v>
      </c>
      <c r="F1369" t="s">
        <v>119</v>
      </c>
      <c r="G1369">
        <v>1</v>
      </c>
      <c r="H1369">
        <v>3.74</v>
      </c>
      <c r="I1369" s="7">
        <f>IF(Transactions!I1369="",0,Transactions!I1369)</f>
        <v>0.25</v>
      </c>
      <c r="J1369" s="9">
        <f t="shared" si="21"/>
        <v>2.8050000000000002</v>
      </c>
      <c r="K1369" t="s">
        <v>53</v>
      </c>
      <c r="L1369" t="s">
        <v>17</v>
      </c>
      <c r="M1369" t="str">
        <f>REPLACE(Transactions!M1369,1,4,"")</f>
        <v>1</v>
      </c>
    </row>
    <row r="1370" spans="1:13" x14ac:dyDescent="0.2">
      <c r="A1370">
        <v>327057</v>
      </c>
      <c r="B1370" s="5">
        <v>44981</v>
      </c>
      <c r="C1370">
        <v>14846</v>
      </c>
      <c r="D1370" t="str">
        <f>PROPER(Transactions!D1370)</f>
        <v>Toys</v>
      </c>
      <c r="E1370" t="s">
        <v>175</v>
      </c>
      <c r="F1370" t="s">
        <v>176</v>
      </c>
      <c r="G1370">
        <v>2</v>
      </c>
      <c r="H1370">
        <v>9.59</v>
      </c>
      <c r="I1370" s="7">
        <f>IF(Transactions!I1370="",0,Transactions!I1370)</f>
        <v>0.2</v>
      </c>
      <c r="J1370" s="9">
        <f t="shared" si="21"/>
        <v>15.344000000000001</v>
      </c>
      <c r="K1370" t="s">
        <v>36</v>
      </c>
      <c r="L1370" t="s">
        <v>17</v>
      </c>
      <c r="M1370" t="str">
        <f>REPLACE(Transactions!M1370,1,4,"")</f>
        <v>4</v>
      </c>
    </row>
    <row r="1371" spans="1:13" x14ac:dyDescent="0.2">
      <c r="A1371">
        <v>327555</v>
      </c>
      <c r="B1371" s="5">
        <v>45299</v>
      </c>
      <c r="C1371">
        <v>89128</v>
      </c>
      <c r="D1371" t="str">
        <f>PROPER(Transactions!D1371)</f>
        <v>Grocery</v>
      </c>
      <c r="E1371" t="s">
        <v>184</v>
      </c>
      <c r="F1371" t="s">
        <v>185</v>
      </c>
      <c r="G1371">
        <v>2</v>
      </c>
      <c r="H1371">
        <v>4.3899999999999997</v>
      </c>
      <c r="I1371" s="7">
        <f>IF(Transactions!I1371="",0,Transactions!I1371)</f>
        <v>0.2</v>
      </c>
      <c r="J1371" s="9">
        <f t="shared" si="21"/>
        <v>7.024</v>
      </c>
      <c r="K1371" t="s">
        <v>22</v>
      </c>
      <c r="L1371" t="s">
        <v>37</v>
      </c>
      <c r="M1371" t="str">
        <f>REPLACE(Transactions!M1371,1,4,"")</f>
        <v>20</v>
      </c>
    </row>
    <row r="1372" spans="1:13" x14ac:dyDescent="0.2">
      <c r="A1372">
        <v>327557</v>
      </c>
      <c r="B1372" s="5">
        <v>45609</v>
      </c>
      <c r="C1372">
        <v>39783</v>
      </c>
      <c r="D1372" t="str">
        <f>PROPER(Transactions!D1372)</f>
        <v>Clothing</v>
      </c>
      <c r="E1372" t="s">
        <v>121</v>
      </c>
      <c r="F1372" t="s">
        <v>122</v>
      </c>
      <c r="G1372">
        <v>2</v>
      </c>
      <c r="H1372">
        <v>12.34</v>
      </c>
      <c r="I1372" s="7">
        <f>IF(Transactions!I1372="",0,Transactions!I1372)</f>
        <v>0.05</v>
      </c>
      <c r="J1372" s="9">
        <f t="shared" si="21"/>
        <v>23.445999999999998</v>
      </c>
      <c r="K1372" t="s">
        <v>22</v>
      </c>
      <c r="L1372" t="s">
        <v>17</v>
      </c>
      <c r="M1372" t="str">
        <f>REPLACE(Transactions!M1372,1,4,"")</f>
        <v>8</v>
      </c>
    </row>
    <row r="1373" spans="1:13" x14ac:dyDescent="0.2">
      <c r="A1373">
        <v>327691</v>
      </c>
      <c r="B1373" s="5">
        <v>45241</v>
      </c>
      <c r="C1373">
        <v>40803</v>
      </c>
      <c r="D1373" t="str">
        <f>PROPER(Transactions!D1373)</f>
        <v>Clothing</v>
      </c>
      <c r="E1373" t="s">
        <v>181</v>
      </c>
      <c r="F1373" t="s">
        <v>182</v>
      </c>
      <c r="G1373">
        <v>1</v>
      </c>
      <c r="H1373">
        <v>14.99</v>
      </c>
      <c r="I1373" s="7">
        <f>IF(Transactions!I1373="",0,Transactions!I1373)</f>
        <v>0</v>
      </c>
      <c r="J1373" s="9">
        <f t="shared" si="21"/>
        <v>14.99</v>
      </c>
      <c r="K1373" t="s">
        <v>22</v>
      </c>
      <c r="L1373" t="s">
        <v>17</v>
      </c>
      <c r="M1373" t="str">
        <f>REPLACE(Transactions!M1373,1,4,"")</f>
        <v/>
      </c>
    </row>
    <row r="1374" spans="1:13" x14ac:dyDescent="0.2">
      <c r="A1374">
        <v>327709</v>
      </c>
      <c r="B1374" s="5">
        <v>45207</v>
      </c>
      <c r="C1374">
        <v>74982</v>
      </c>
      <c r="D1374" t="str">
        <f>PROPER(Transactions!D1374)</f>
        <v>Grocery</v>
      </c>
      <c r="E1374" t="s">
        <v>195</v>
      </c>
      <c r="F1374" t="s">
        <v>196</v>
      </c>
      <c r="G1374">
        <v>1</v>
      </c>
      <c r="H1374">
        <v>3.99</v>
      </c>
      <c r="I1374" s="7">
        <f>IF(Transactions!I1374="",0,Transactions!I1374)</f>
        <v>0.2</v>
      </c>
      <c r="J1374" s="9">
        <f t="shared" si="21"/>
        <v>3.1920000000000002</v>
      </c>
      <c r="K1374" t="s">
        <v>16</v>
      </c>
      <c r="L1374" t="s">
        <v>23</v>
      </c>
      <c r="M1374" t="str">
        <f>REPLACE(Transactions!M1374,1,4,"")</f>
        <v>20</v>
      </c>
    </row>
    <row r="1375" spans="1:13" x14ac:dyDescent="0.2">
      <c r="A1375">
        <v>327999</v>
      </c>
      <c r="B1375" s="5">
        <v>44878</v>
      </c>
      <c r="C1375">
        <v>22524</v>
      </c>
      <c r="D1375" t="str">
        <f>PROPER(Transactions!D1375)</f>
        <v>Electronics</v>
      </c>
      <c r="E1375" t="s">
        <v>79</v>
      </c>
      <c r="F1375" t="s">
        <v>80</v>
      </c>
      <c r="G1375">
        <v>5</v>
      </c>
      <c r="H1375">
        <v>62.99</v>
      </c>
      <c r="I1375" s="7">
        <f>IF(Transactions!I1375="",0,Transactions!I1375)</f>
        <v>0.3</v>
      </c>
      <c r="J1375" s="9">
        <f t="shared" si="21"/>
        <v>220.46499999999997</v>
      </c>
      <c r="K1375" t="s">
        <v>16</v>
      </c>
      <c r="L1375" t="s">
        <v>37</v>
      </c>
      <c r="M1375" t="str">
        <f>REPLACE(Transactions!M1375,1,4,"")</f>
        <v/>
      </c>
    </row>
    <row r="1376" spans="1:13" x14ac:dyDescent="0.2">
      <c r="A1376">
        <v>328359</v>
      </c>
      <c r="B1376" s="5">
        <v>44824</v>
      </c>
      <c r="C1376">
        <v>60906</v>
      </c>
      <c r="D1376" t="str">
        <f>PROPER(Transactions!D1376)</f>
        <v>Automotive</v>
      </c>
      <c r="E1376" t="s">
        <v>131</v>
      </c>
      <c r="F1376" t="s">
        <v>132</v>
      </c>
      <c r="G1376">
        <v>5</v>
      </c>
      <c r="H1376">
        <v>3.14</v>
      </c>
      <c r="I1376" s="7">
        <f>IF(Transactions!I1376="",0,Transactions!I1376)</f>
        <v>0.1</v>
      </c>
      <c r="J1376" s="9">
        <f t="shared" si="21"/>
        <v>14.13</v>
      </c>
      <c r="K1376" t="s">
        <v>16</v>
      </c>
      <c r="L1376" t="s">
        <v>37</v>
      </c>
      <c r="M1376" t="str">
        <f>REPLACE(Transactions!M1376,1,4,"")</f>
        <v>7</v>
      </c>
    </row>
    <row r="1377" spans="1:13" x14ac:dyDescent="0.2">
      <c r="A1377">
        <v>328529</v>
      </c>
      <c r="B1377" s="5">
        <v>44633</v>
      </c>
      <c r="C1377">
        <v>56638</v>
      </c>
      <c r="D1377" t="str">
        <f>PROPER(Transactions!D1377)</f>
        <v>Sports</v>
      </c>
      <c r="E1377" t="s">
        <v>155</v>
      </c>
      <c r="F1377" t="s">
        <v>156</v>
      </c>
      <c r="G1377">
        <v>5</v>
      </c>
      <c r="H1377">
        <v>16.989999999999998</v>
      </c>
      <c r="I1377" s="7">
        <f>IF(Transactions!I1377="",0,Transactions!I1377)</f>
        <v>0.15</v>
      </c>
      <c r="J1377" s="9">
        <f t="shared" si="21"/>
        <v>72.207499999999982</v>
      </c>
      <c r="K1377" t="s">
        <v>16</v>
      </c>
      <c r="L1377" t="s">
        <v>37</v>
      </c>
      <c r="M1377" t="str">
        <f>REPLACE(Transactions!M1377,1,4,"")</f>
        <v>11</v>
      </c>
    </row>
    <row r="1378" spans="1:13" x14ac:dyDescent="0.2">
      <c r="A1378">
        <v>328554</v>
      </c>
      <c r="B1378" s="5">
        <v>44883</v>
      </c>
      <c r="C1378">
        <v>74648</v>
      </c>
      <c r="D1378" t="str">
        <f>PROPER(Transactions!D1378)</f>
        <v>Pharmacy</v>
      </c>
      <c r="E1378" t="s">
        <v>41</v>
      </c>
      <c r="F1378" t="s">
        <v>42</v>
      </c>
      <c r="G1378">
        <v>1</v>
      </c>
      <c r="H1378">
        <v>5.09</v>
      </c>
      <c r="I1378" s="7">
        <f>IF(Transactions!I1378="",0,Transactions!I1378)</f>
        <v>0.15</v>
      </c>
      <c r="J1378" s="9">
        <f t="shared" si="21"/>
        <v>4.3264999999999993</v>
      </c>
      <c r="K1378" t="s">
        <v>16</v>
      </c>
      <c r="L1378" t="s">
        <v>17</v>
      </c>
      <c r="M1378" t="str">
        <f>REPLACE(Transactions!M1378,1,4,"")</f>
        <v>4</v>
      </c>
    </row>
    <row r="1379" spans="1:13" x14ac:dyDescent="0.2">
      <c r="A1379">
        <v>328806</v>
      </c>
      <c r="B1379" s="5">
        <v>45645</v>
      </c>
      <c r="C1379">
        <v>67139</v>
      </c>
      <c r="D1379" t="str">
        <f>PROPER(Transactions!D1379)</f>
        <v>Electronics</v>
      </c>
      <c r="E1379" t="s">
        <v>159</v>
      </c>
      <c r="F1379" t="s">
        <v>160</v>
      </c>
      <c r="G1379">
        <v>2</v>
      </c>
      <c r="H1379">
        <v>59.99</v>
      </c>
      <c r="I1379" s="7">
        <f>IF(Transactions!I1379="",0,Transactions!I1379)</f>
        <v>0</v>
      </c>
      <c r="J1379" s="9">
        <f t="shared" si="21"/>
        <v>119.98</v>
      </c>
      <c r="K1379" t="s">
        <v>32</v>
      </c>
      <c r="L1379" t="s">
        <v>17</v>
      </c>
      <c r="M1379" t="str">
        <f>REPLACE(Transactions!M1379,1,4,"")</f>
        <v>11</v>
      </c>
    </row>
    <row r="1380" spans="1:13" x14ac:dyDescent="0.2">
      <c r="A1380">
        <v>328867</v>
      </c>
      <c r="B1380" s="5">
        <v>45456</v>
      </c>
      <c r="C1380">
        <v>17202</v>
      </c>
      <c r="D1380" t="str">
        <f>PROPER(Transactions!D1380)</f>
        <v>Automotive</v>
      </c>
      <c r="E1380" t="s">
        <v>68</v>
      </c>
      <c r="F1380" t="s">
        <v>69</v>
      </c>
      <c r="G1380">
        <v>1</v>
      </c>
      <c r="H1380">
        <v>19.989999999999998</v>
      </c>
      <c r="I1380" s="7">
        <f>IF(Transactions!I1380="",0,Transactions!I1380)</f>
        <v>0.2</v>
      </c>
      <c r="J1380" s="9">
        <f t="shared" si="21"/>
        <v>15.991999999999999</v>
      </c>
      <c r="K1380" t="s">
        <v>36</v>
      </c>
      <c r="L1380" t="s">
        <v>37</v>
      </c>
      <c r="M1380" t="str">
        <f>REPLACE(Transactions!M1380,1,4,"")</f>
        <v>19</v>
      </c>
    </row>
    <row r="1381" spans="1:13" x14ac:dyDescent="0.2">
      <c r="A1381">
        <v>328903</v>
      </c>
      <c r="B1381" s="5">
        <v>45549</v>
      </c>
      <c r="D1381" t="str">
        <f>PROPER(Transactions!D1381)</f>
        <v>Pharmacy</v>
      </c>
      <c r="E1381" t="s">
        <v>58</v>
      </c>
      <c r="F1381" t="s">
        <v>59</v>
      </c>
      <c r="G1381">
        <v>1</v>
      </c>
      <c r="H1381">
        <v>3.99</v>
      </c>
      <c r="I1381" s="7">
        <f>IF(Transactions!I1381="",0,Transactions!I1381)</f>
        <v>0</v>
      </c>
      <c r="J1381" s="9">
        <f t="shared" si="21"/>
        <v>3.99</v>
      </c>
      <c r="K1381" t="s">
        <v>16</v>
      </c>
      <c r="L1381" t="s">
        <v>37</v>
      </c>
      <c r="M1381" t="str">
        <f>REPLACE(Transactions!M1381,1,4,"")</f>
        <v>18</v>
      </c>
    </row>
    <row r="1382" spans="1:13" x14ac:dyDescent="0.2">
      <c r="A1382">
        <v>328970</v>
      </c>
      <c r="B1382" s="5">
        <v>45187</v>
      </c>
      <c r="C1382">
        <v>27367</v>
      </c>
      <c r="D1382" t="str">
        <f>PROPER(Transactions!D1382)</f>
        <v>Home &amp; Garden</v>
      </c>
      <c r="E1382" t="s">
        <v>153</v>
      </c>
      <c r="F1382" t="s">
        <v>154</v>
      </c>
      <c r="G1382">
        <v>3</v>
      </c>
      <c r="H1382">
        <v>25.49</v>
      </c>
      <c r="I1382" s="7">
        <f>IF(Transactions!I1382="",0,Transactions!I1382)</f>
        <v>0.15</v>
      </c>
      <c r="J1382" s="9">
        <f t="shared" si="21"/>
        <v>64.999499999999998</v>
      </c>
      <c r="K1382" t="s">
        <v>32</v>
      </c>
      <c r="L1382" t="s">
        <v>17</v>
      </c>
      <c r="M1382" t="str">
        <f>REPLACE(Transactions!M1382,1,4,"")</f>
        <v>4</v>
      </c>
    </row>
    <row r="1383" spans="1:13" x14ac:dyDescent="0.2">
      <c r="A1383">
        <v>328983</v>
      </c>
      <c r="B1383" s="5">
        <v>45008</v>
      </c>
      <c r="C1383">
        <v>86438</v>
      </c>
      <c r="D1383" t="str">
        <f>PROPER(Transactions!D1383)</f>
        <v>Clothing</v>
      </c>
      <c r="E1383" t="s">
        <v>121</v>
      </c>
      <c r="F1383" t="s">
        <v>122</v>
      </c>
      <c r="G1383">
        <v>1</v>
      </c>
      <c r="H1383">
        <v>9.74</v>
      </c>
      <c r="I1383" s="7">
        <f>IF(Transactions!I1383="",0,Transactions!I1383)</f>
        <v>0.25</v>
      </c>
      <c r="J1383" s="9">
        <f t="shared" si="21"/>
        <v>7.3049999999999997</v>
      </c>
      <c r="K1383" t="s">
        <v>53</v>
      </c>
      <c r="L1383" t="s">
        <v>17</v>
      </c>
      <c r="M1383" t="str">
        <f>REPLACE(Transactions!M1383,1,4,"")</f>
        <v>16</v>
      </c>
    </row>
    <row r="1384" spans="1:13" x14ac:dyDescent="0.2">
      <c r="A1384">
        <v>329136</v>
      </c>
      <c r="B1384" s="5">
        <v>44819</v>
      </c>
      <c r="C1384">
        <v>53704</v>
      </c>
      <c r="D1384" t="str">
        <f>PROPER(Transactions!D1384)</f>
        <v>Sports</v>
      </c>
      <c r="E1384" t="s">
        <v>83</v>
      </c>
      <c r="F1384" t="s">
        <v>84</v>
      </c>
      <c r="G1384">
        <v>2</v>
      </c>
      <c r="H1384">
        <v>13.59</v>
      </c>
      <c r="I1384" s="7">
        <f>IF(Transactions!I1384="",0,Transactions!I1384)</f>
        <v>0.2</v>
      </c>
      <c r="J1384" s="9">
        <f t="shared" si="21"/>
        <v>21.744</v>
      </c>
      <c r="K1384" t="s">
        <v>16</v>
      </c>
      <c r="L1384" t="s">
        <v>17</v>
      </c>
      <c r="M1384" t="str">
        <f>REPLACE(Transactions!M1384,1,4,"")</f>
        <v>18</v>
      </c>
    </row>
    <row r="1385" spans="1:13" x14ac:dyDescent="0.2">
      <c r="A1385">
        <v>329403</v>
      </c>
      <c r="B1385" s="5">
        <v>44625</v>
      </c>
      <c r="C1385">
        <v>19162</v>
      </c>
      <c r="D1385" t="str">
        <f>PROPER(Transactions!D1385)</f>
        <v>Beauty</v>
      </c>
      <c r="E1385" t="s">
        <v>179</v>
      </c>
      <c r="F1385" t="s">
        <v>180</v>
      </c>
      <c r="G1385">
        <v>1</v>
      </c>
      <c r="H1385">
        <v>11.99</v>
      </c>
      <c r="I1385" s="7">
        <f>IF(Transactions!I1385="",0,Transactions!I1385)</f>
        <v>0</v>
      </c>
      <c r="J1385" s="9">
        <f t="shared" si="21"/>
        <v>11.99</v>
      </c>
      <c r="K1385" t="s">
        <v>32</v>
      </c>
      <c r="L1385" t="s">
        <v>17</v>
      </c>
      <c r="M1385" t="str">
        <f>REPLACE(Transactions!M1385,1,4,"")</f>
        <v>9</v>
      </c>
    </row>
    <row r="1386" spans="1:13" x14ac:dyDescent="0.2">
      <c r="A1386">
        <v>329412</v>
      </c>
      <c r="B1386" s="5">
        <v>45536</v>
      </c>
      <c r="D1386" t="str">
        <f>PROPER(Transactions!D1386)</f>
        <v>Clothing</v>
      </c>
      <c r="E1386" t="s">
        <v>141</v>
      </c>
      <c r="F1386" t="s">
        <v>142</v>
      </c>
      <c r="G1386">
        <v>3</v>
      </c>
      <c r="H1386">
        <v>19.54</v>
      </c>
      <c r="I1386" s="7">
        <f>IF(Transactions!I1386="",0,Transactions!I1386)</f>
        <v>0.15</v>
      </c>
      <c r="J1386" s="9">
        <f t="shared" si="21"/>
        <v>49.826999999999998</v>
      </c>
      <c r="K1386" t="s">
        <v>36</v>
      </c>
      <c r="L1386" t="s">
        <v>17</v>
      </c>
      <c r="M1386" t="str">
        <f>REPLACE(Transactions!M1386,1,4,"")</f>
        <v>3</v>
      </c>
    </row>
    <row r="1387" spans="1:13" x14ac:dyDescent="0.2">
      <c r="A1387">
        <v>329673</v>
      </c>
      <c r="B1387" s="5">
        <v>44953</v>
      </c>
      <c r="C1387">
        <v>19737</v>
      </c>
      <c r="D1387" t="str">
        <f>PROPER(Transactions!D1387)</f>
        <v>Furniture</v>
      </c>
      <c r="E1387" t="s">
        <v>26</v>
      </c>
      <c r="F1387" t="s">
        <v>27</v>
      </c>
      <c r="G1387">
        <v>2</v>
      </c>
      <c r="H1387">
        <v>29.74</v>
      </c>
      <c r="I1387" s="7">
        <f>IF(Transactions!I1387="",0,Transactions!I1387)</f>
        <v>0</v>
      </c>
      <c r="J1387" s="9">
        <f t="shared" si="21"/>
        <v>59.48</v>
      </c>
      <c r="K1387" t="s">
        <v>22</v>
      </c>
      <c r="L1387" t="s">
        <v>37</v>
      </c>
      <c r="M1387" t="str">
        <f>REPLACE(Transactions!M1387,1,4,"")</f>
        <v>11</v>
      </c>
    </row>
    <row r="1388" spans="1:13" x14ac:dyDescent="0.2">
      <c r="A1388">
        <v>329674</v>
      </c>
      <c r="B1388" s="5">
        <v>45336</v>
      </c>
      <c r="C1388">
        <v>48508</v>
      </c>
      <c r="D1388" t="str">
        <f>PROPER(Transactions!D1388)</f>
        <v>Automotive</v>
      </c>
      <c r="E1388" t="s">
        <v>64</v>
      </c>
      <c r="F1388" t="s">
        <v>65</v>
      </c>
      <c r="G1388">
        <v>1</v>
      </c>
      <c r="H1388">
        <v>3.74</v>
      </c>
      <c r="I1388" s="7">
        <f>IF(Transactions!I1388="",0,Transactions!I1388)</f>
        <v>0.25</v>
      </c>
      <c r="J1388" s="9">
        <f t="shared" si="21"/>
        <v>2.8050000000000002</v>
      </c>
      <c r="K1388" t="s">
        <v>16</v>
      </c>
      <c r="L1388" t="s">
        <v>17</v>
      </c>
      <c r="M1388" t="str">
        <f>REPLACE(Transactions!M1388,1,4,"")</f>
        <v>19</v>
      </c>
    </row>
    <row r="1389" spans="1:13" x14ac:dyDescent="0.2">
      <c r="A1389">
        <v>329787</v>
      </c>
      <c r="B1389" s="5">
        <v>45418</v>
      </c>
      <c r="C1389">
        <v>74481</v>
      </c>
      <c r="D1389" t="str">
        <f>PROPER(Transactions!D1389)</f>
        <v>Automotive</v>
      </c>
      <c r="E1389" t="s">
        <v>111</v>
      </c>
      <c r="F1389" t="s">
        <v>112</v>
      </c>
      <c r="G1389">
        <v>3</v>
      </c>
      <c r="H1389">
        <v>11.99</v>
      </c>
      <c r="I1389" s="7">
        <f>IF(Transactions!I1389="",0,Transactions!I1389)</f>
        <v>0.2</v>
      </c>
      <c r="J1389" s="9">
        <f t="shared" si="21"/>
        <v>28.776</v>
      </c>
      <c r="K1389" t="s">
        <v>16</v>
      </c>
      <c r="L1389" t="s">
        <v>37</v>
      </c>
      <c r="M1389" t="str">
        <f>REPLACE(Transactions!M1389,1,4,"")</f>
        <v>14</v>
      </c>
    </row>
    <row r="1390" spans="1:13" x14ac:dyDescent="0.2">
      <c r="A1390">
        <v>329789</v>
      </c>
      <c r="B1390" s="5">
        <v>45349</v>
      </c>
      <c r="C1390">
        <v>80358</v>
      </c>
      <c r="D1390" t="str">
        <f>PROPER(Transactions!D1390)</f>
        <v>Automotive</v>
      </c>
      <c r="E1390" t="s">
        <v>125</v>
      </c>
      <c r="F1390" t="s">
        <v>126</v>
      </c>
      <c r="G1390">
        <v>2</v>
      </c>
      <c r="H1390">
        <v>25.49</v>
      </c>
      <c r="I1390" s="7">
        <f>IF(Transactions!I1390="",0,Transactions!I1390)</f>
        <v>0.15</v>
      </c>
      <c r="J1390" s="9">
        <f t="shared" si="21"/>
        <v>43.332999999999998</v>
      </c>
      <c r="K1390" t="s">
        <v>36</v>
      </c>
      <c r="L1390" t="s">
        <v>17</v>
      </c>
      <c r="M1390" t="str">
        <f>REPLACE(Transactions!M1390,1,4,"")</f>
        <v>20</v>
      </c>
    </row>
    <row r="1391" spans="1:13" x14ac:dyDescent="0.2">
      <c r="A1391">
        <v>329796</v>
      </c>
      <c r="B1391" s="5">
        <v>44771</v>
      </c>
      <c r="C1391">
        <v>10557</v>
      </c>
      <c r="D1391" t="str">
        <f>PROPER(Transactions!D1391)</f>
        <v>Electronics</v>
      </c>
      <c r="E1391" t="s">
        <v>104</v>
      </c>
      <c r="F1391" t="s">
        <v>105</v>
      </c>
      <c r="G1391">
        <v>1</v>
      </c>
      <c r="H1391">
        <v>22.49</v>
      </c>
      <c r="I1391" s="7">
        <f>IF(Transactions!I1391="",0,Transactions!I1391)</f>
        <v>0.25</v>
      </c>
      <c r="J1391" s="9">
        <f t="shared" si="21"/>
        <v>16.8675</v>
      </c>
      <c r="K1391" t="s">
        <v>36</v>
      </c>
      <c r="L1391" t="s">
        <v>23</v>
      </c>
      <c r="M1391" t="str">
        <f>REPLACE(Transactions!M1391,1,4,"")</f>
        <v>3</v>
      </c>
    </row>
    <row r="1392" spans="1:13" x14ac:dyDescent="0.2">
      <c r="A1392">
        <v>329883</v>
      </c>
      <c r="B1392" s="5">
        <v>45625</v>
      </c>
      <c r="C1392">
        <v>93570</v>
      </c>
      <c r="D1392" t="str">
        <f>PROPER(Transactions!D1392)</f>
        <v>Furniture</v>
      </c>
      <c r="E1392" t="s">
        <v>26</v>
      </c>
      <c r="F1392" t="s">
        <v>27</v>
      </c>
      <c r="G1392">
        <v>5</v>
      </c>
      <c r="H1392">
        <v>31.49</v>
      </c>
      <c r="I1392" s="7">
        <f>IF(Transactions!I1392="",0,Transactions!I1392)</f>
        <v>0.1</v>
      </c>
      <c r="J1392" s="9">
        <f t="shared" si="21"/>
        <v>141.70499999999998</v>
      </c>
      <c r="K1392" t="s">
        <v>16</v>
      </c>
      <c r="L1392" t="s">
        <v>17</v>
      </c>
      <c r="M1392" t="str">
        <f>REPLACE(Transactions!M1392,1,4,"")</f>
        <v>7</v>
      </c>
    </row>
    <row r="1393" spans="1:13" x14ac:dyDescent="0.2">
      <c r="A1393">
        <v>330120</v>
      </c>
      <c r="B1393" s="5">
        <v>45375</v>
      </c>
      <c r="C1393">
        <v>60547</v>
      </c>
      <c r="D1393" t="str">
        <f>PROPER(Transactions!D1393)</f>
        <v>Toys</v>
      </c>
      <c r="E1393" t="s">
        <v>175</v>
      </c>
      <c r="F1393" t="s">
        <v>176</v>
      </c>
      <c r="G1393">
        <v>1</v>
      </c>
      <c r="H1393">
        <v>8.39</v>
      </c>
      <c r="I1393" s="7">
        <f>IF(Transactions!I1393="",0,Transactions!I1393)</f>
        <v>0.3</v>
      </c>
      <c r="J1393" s="9">
        <f t="shared" si="21"/>
        <v>5.8730000000000002</v>
      </c>
      <c r="K1393" t="s">
        <v>36</v>
      </c>
      <c r="L1393" t="s">
        <v>37</v>
      </c>
      <c r="M1393" t="str">
        <f>REPLACE(Transactions!M1393,1,4,"")</f>
        <v>4</v>
      </c>
    </row>
    <row r="1394" spans="1:13" x14ac:dyDescent="0.2">
      <c r="A1394">
        <v>330314</v>
      </c>
      <c r="B1394" s="5">
        <v>45204</v>
      </c>
      <c r="C1394">
        <v>90633</v>
      </c>
      <c r="D1394" t="str">
        <f>PROPER(Transactions!D1394)</f>
        <v>Clothing</v>
      </c>
      <c r="E1394" t="s">
        <v>141</v>
      </c>
      <c r="F1394" t="s">
        <v>142</v>
      </c>
      <c r="G1394">
        <v>1</v>
      </c>
      <c r="H1394">
        <v>22.99</v>
      </c>
      <c r="I1394" s="7">
        <f>IF(Transactions!I1394="",0,Transactions!I1394)</f>
        <v>0</v>
      </c>
      <c r="J1394" s="9">
        <f t="shared" si="21"/>
        <v>22.99</v>
      </c>
      <c r="K1394" t="s">
        <v>22</v>
      </c>
      <c r="L1394" t="s">
        <v>37</v>
      </c>
      <c r="M1394" t="str">
        <f>REPLACE(Transactions!M1394,1,4,"")</f>
        <v>17</v>
      </c>
    </row>
    <row r="1395" spans="1:13" x14ac:dyDescent="0.2">
      <c r="A1395">
        <v>330530</v>
      </c>
      <c r="B1395" s="5">
        <v>45567</v>
      </c>
      <c r="C1395">
        <v>48794</v>
      </c>
      <c r="D1395" t="str">
        <f>PROPER(Transactions!D1395)</f>
        <v>Home &amp; Garden</v>
      </c>
      <c r="E1395" t="s">
        <v>149</v>
      </c>
      <c r="F1395" t="s">
        <v>150</v>
      </c>
      <c r="G1395">
        <v>4</v>
      </c>
      <c r="H1395">
        <v>19.989999999999998</v>
      </c>
      <c r="I1395" s="7">
        <f>IF(Transactions!I1395="",0,Transactions!I1395)</f>
        <v>0</v>
      </c>
      <c r="J1395" s="9">
        <f t="shared" si="21"/>
        <v>79.959999999999994</v>
      </c>
      <c r="K1395" t="s">
        <v>16</v>
      </c>
      <c r="L1395" t="s">
        <v>17</v>
      </c>
      <c r="M1395" t="str">
        <f>REPLACE(Transactions!M1395,1,4,"")</f>
        <v>12</v>
      </c>
    </row>
    <row r="1396" spans="1:13" x14ac:dyDescent="0.2">
      <c r="A1396">
        <v>330570</v>
      </c>
      <c r="B1396" s="5">
        <v>44568</v>
      </c>
      <c r="C1396">
        <v>62633</v>
      </c>
      <c r="D1396" t="str">
        <f>PROPER(Transactions!D1396)</f>
        <v>Automotive</v>
      </c>
      <c r="E1396" t="s">
        <v>125</v>
      </c>
      <c r="F1396" t="s">
        <v>126</v>
      </c>
      <c r="G1396">
        <v>1</v>
      </c>
      <c r="H1396">
        <v>29.99</v>
      </c>
      <c r="I1396" s="7">
        <f>IF(Transactions!I1396="",0,Transactions!I1396)</f>
        <v>0</v>
      </c>
      <c r="J1396" s="9">
        <f t="shared" si="21"/>
        <v>29.99</v>
      </c>
      <c r="K1396" t="s">
        <v>36</v>
      </c>
      <c r="L1396" t="s">
        <v>17</v>
      </c>
      <c r="M1396" t="str">
        <f>REPLACE(Transactions!M1396,1,4,"")</f>
        <v>9</v>
      </c>
    </row>
    <row r="1397" spans="1:13" x14ac:dyDescent="0.2">
      <c r="A1397">
        <v>331158</v>
      </c>
      <c r="B1397" s="5">
        <v>45655</v>
      </c>
      <c r="C1397">
        <v>59366</v>
      </c>
      <c r="D1397" t="str">
        <f>PROPER(Transactions!D1397)</f>
        <v>Clothing</v>
      </c>
      <c r="E1397" t="s">
        <v>165</v>
      </c>
      <c r="F1397" t="s">
        <v>166</v>
      </c>
      <c r="G1397">
        <v>1</v>
      </c>
      <c r="H1397">
        <v>89.99</v>
      </c>
      <c r="I1397" s="7">
        <f>IF(Transactions!I1397="",0,Transactions!I1397)</f>
        <v>0</v>
      </c>
      <c r="J1397" s="9">
        <f t="shared" si="21"/>
        <v>89.99</v>
      </c>
      <c r="K1397" t="s">
        <v>36</v>
      </c>
      <c r="L1397" t="s">
        <v>37</v>
      </c>
      <c r="M1397" t="str">
        <f>REPLACE(Transactions!M1397,1,4,"")</f>
        <v>10</v>
      </c>
    </row>
    <row r="1398" spans="1:13" x14ac:dyDescent="0.2">
      <c r="A1398">
        <v>331400</v>
      </c>
      <c r="B1398" s="5">
        <v>45387</v>
      </c>
      <c r="C1398">
        <v>82129</v>
      </c>
      <c r="D1398" t="str">
        <f>PROPER(Transactions!D1398)</f>
        <v>Grocery</v>
      </c>
      <c r="E1398" t="s">
        <v>133</v>
      </c>
      <c r="F1398" t="s">
        <v>134</v>
      </c>
      <c r="G1398">
        <v>1</v>
      </c>
      <c r="H1398">
        <v>3.41</v>
      </c>
      <c r="I1398" s="7">
        <f>IF(Transactions!I1398="",0,Transactions!I1398)</f>
        <v>0.1</v>
      </c>
      <c r="J1398" s="9">
        <f t="shared" si="21"/>
        <v>3.0690000000000004</v>
      </c>
      <c r="K1398" t="s">
        <v>16</v>
      </c>
      <c r="L1398" t="s">
        <v>37</v>
      </c>
      <c r="M1398" t="str">
        <f>REPLACE(Transactions!M1398,1,4,"")</f>
        <v>20</v>
      </c>
    </row>
    <row r="1399" spans="1:13" x14ac:dyDescent="0.2">
      <c r="A1399">
        <v>331771</v>
      </c>
      <c r="B1399" s="5">
        <v>45309</v>
      </c>
      <c r="C1399">
        <v>64040</v>
      </c>
      <c r="D1399" t="str">
        <f>PROPER(Transactions!D1399)</f>
        <v>Pharmacy</v>
      </c>
      <c r="E1399" t="s">
        <v>115</v>
      </c>
      <c r="F1399" t="s">
        <v>116</v>
      </c>
      <c r="G1399">
        <v>1</v>
      </c>
      <c r="H1399">
        <v>12.34</v>
      </c>
      <c r="I1399" s="7">
        <f>IF(Transactions!I1399="",0,Transactions!I1399)</f>
        <v>0.05</v>
      </c>
      <c r="J1399" s="9">
        <f t="shared" si="21"/>
        <v>11.722999999999999</v>
      </c>
      <c r="K1399" t="s">
        <v>16</v>
      </c>
      <c r="L1399" t="s">
        <v>17</v>
      </c>
      <c r="M1399" t="str">
        <f>REPLACE(Transactions!M1399,1,4,"")</f>
        <v>6</v>
      </c>
    </row>
    <row r="1400" spans="1:13" x14ac:dyDescent="0.2">
      <c r="A1400">
        <v>331772</v>
      </c>
      <c r="B1400" s="5">
        <v>44908</v>
      </c>
      <c r="C1400">
        <v>81599</v>
      </c>
      <c r="D1400" t="str">
        <f>PROPER(Transactions!D1400)</f>
        <v>Pharmacy</v>
      </c>
      <c r="E1400" t="s">
        <v>197</v>
      </c>
      <c r="F1400" t="s">
        <v>198</v>
      </c>
      <c r="G1400">
        <v>1</v>
      </c>
      <c r="H1400">
        <v>13.49</v>
      </c>
      <c r="I1400" s="7">
        <f>IF(Transactions!I1400="",0,Transactions!I1400)</f>
        <v>0.1</v>
      </c>
      <c r="J1400" s="9">
        <f t="shared" si="21"/>
        <v>12.141</v>
      </c>
      <c r="K1400" t="s">
        <v>36</v>
      </c>
      <c r="L1400" t="s">
        <v>17</v>
      </c>
      <c r="M1400" t="str">
        <f>REPLACE(Transactions!M1400,1,4,"")</f>
        <v>14</v>
      </c>
    </row>
    <row r="1401" spans="1:13" x14ac:dyDescent="0.2">
      <c r="A1401">
        <v>331856</v>
      </c>
      <c r="B1401" s="5">
        <v>45153</v>
      </c>
      <c r="D1401" t="str">
        <f>PROPER(Transactions!D1401)</f>
        <v>Furniture</v>
      </c>
      <c r="E1401" t="s">
        <v>51</v>
      </c>
      <c r="F1401" t="s">
        <v>52</v>
      </c>
      <c r="G1401">
        <v>2</v>
      </c>
      <c r="H1401">
        <v>25.19</v>
      </c>
      <c r="I1401" s="7">
        <f>IF(Transactions!I1401="",0,Transactions!I1401)</f>
        <v>0.1</v>
      </c>
      <c r="J1401" s="9">
        <f t="shared" si="21"/>
        <v>45.342000000000006</v>
      </c>
      <c r="K1401" t="s">
        <v>36</v>
      </c>
      <c r="L1401" t="s">
        <v>17</v>
      </c>
      <c r="M1401" t="str">
        <f>REPLACE(Transactions!M1401,1,4,"")</f>
        <v>3</v>
      </c>
    </row>
    <row r="1402" spans="1:13" x14ac:dyDescent="0.2">
      <c r="A1402">
        <v>331936</v>
      </c>
      <c r="B1402" s="5">
        <v>45186</v>
      </c>
      <c r="C1402">
        <v>91037</v>
      </c>
      <c r="D1402" t="str">
        <f>PROPER(Transactions!D1402)</f>
        <v>Sports</v>
      </c>
      <c r="E1402" t="s">
        <v>155</v>
      </c>
      <c r="F1402" t="s">
        <v>156</v>
      </c>
      <c r="G1402">
        <v>2</v>
      </c>
      <c r="H1402">
        <v>19.989999999999998</v>
      </c>
      <c r="I1402" s="7">
        <f>IF(Transactions!I1402="",0,Transactions!I1402)</f>
        <v>0</v>
      </c>
      <c r="J1402" s="9">
        <f t="shared" si="21"/>
        <v>39.979999999999997</v>
      </c>
      <c r="K1402" t="s">
        <v>36</v>
      </c>
      <c r="L1402" t="s">
        <v>37</v>
      </c>
      <c r="M1402" t="str">
        <f>REPLACE(Transactions!M1402,1,4,"")</f>
        <v>12</v>
      </c>
    </row>
    <row r="1403" spans="1:13" x14ac:dyDescent="0.2">
      <c r="A1403">
        <v>331947</v>
      </c>
      <c r="B1403" s="5">
        <v>45233</v>
      </c>
      <c r="D1403" t="str">
        <f>PROPER(Transactions!D1403)</f>
        <v>Toys</v>
      </c>
      <c r="E1403" t="s">
        <v>175</v>
      </c>
      <c r="F1403" t="s">
        <v>176</v>
      </c>
      <c r="G1403">
        <v>3</v>
      </c>
      <c r="H1403">
        <v>11.99</v>
      </c>
      <c r="I1403" s="7">
        <f>IF(Transactions!I1403="",0,Transactions!I1403)</f>
        <v>0</v>
      </c>
      <c r="J1403" s="9">
        <f t="shared" si="21"/>
        <v>35.97</v>
      </c>
      <c r="K1403" t="s">
        <v>36</v>
      </c>
      <c r="L1403" t="s">
        <v>17</v>
      </c>
      <c r="M1403" t="str">
        <f>REPLACE(Transactions!M1403,1,4,"")</f>
        <v>8</v>
      </c>
    </row>
    <row r="1404" spans="1:13" x14ac:dyDescent="0.2">
      <c r="A1404">
        <v>332219</v>
      </c>
      <c r="B1404" s="5">
        <v>45469</v>
      </c>
      <c r="C1404">
        <v>39137</v>
      </c>
      <c r="D1404" t="str">
        <f>PROPER(Transactions!D1404)</f>
        <v>Electronics</v>
      </c>
      <c r="E1404" t="s">
        <v>34</v>
      </c>
      <c r="F1404" t="s">
        <v>35</v>
      </c>
      <c r="G1404">
        <v>4</v>
      </c>
      <c r="H1404">
        <v>31.49</v>
      </c>
      <c r="I1404" s="7">
        <f>IF(Transactions!I1404="",0,Transactions!I1404)</f>
        <v>0.1</v>
      </c>
      <c r="J1404" s="9">
        <f t="shared" si="21"/>
        <v>113.36399999999999</v>
      </c>
      <c r="K1404" t="s">
        <v>16</v>
      </c>
      <c r="L1404" t="s">
        <v>23</v>
      </c>
      <c r="M1404" t="str">
        <f>REPLACE(Transactions!M1404,1,4,"")</f>
        <v>18</v>
      </c>
    </row>
    <row r="1405" spans="1:13" x14ac:dyDescent="0.2">
      <c r="A1405">
        <v>332641</v>
      </c>
      <c r="B1405" s="5">
        <v>44934</v>
      </c>
      <c r="C1405">
        <v>93441</v>
      </c>
      <c r="D1405" t="str">
        <f>PROPER(Transactions!D1405)</f>
        <v>Clothing</v>
      </c>
      <c r="E1405" t="s">
        <v>151</v>
      </c>
      <c r="F1405" t="s">
        <v>152</v>
      </c>
      <c r="G1405">
        <v>1</v>
      </c>
      <c r="H1405">
        <v>24.49</v>
      </c>
      <c r="I1405" s="7">
        <f>IF(Transactions!I1405="",0,Transactions!I1405)</f>
        <v>0.3</v>
      </c>
      <c r="J1405" s="9">
        <f t="shared" si="21"/>
        <v>17.142999999999997</v>
      </c>
      <c r="K1405" t="s">
        <v>32</v>
      </c>
      <c r="L1405" t="s">
        <v>17</v>
      </c>
      <c r="M1405" t="str">
        <f>REPLACE(Transactions!M1405,1,4,"")</f>
        <v>7</v>
      </c>
    </row>
    <row r="1406" spans="1:13" x14ac:dyDescent="0.2">
      <c r="A1406">
        <v>332892</v>
      </c>
      <c r="B1406" s="5">
        <v>44831</v>
      </c>
      <c r="D1406" t="str">
        <f>PROPER(Transactions!D1406)</f>
        <v>Toys</v>
      </c>
      <c r="E1406" t="s">
        <v>88</v>
      </c>
      <c r="F1406" t="s">
        <v>89</v>
      </c>
      <c r="G1406">
        <v>1</v>
      </c>
      <c r="H1406">
        <v>47.49</v>
      </c>
      <c r="I1406" s="7">
        <f>IF(Transactions!I1406="",0,Transactions!I1406)</f>
        <v>0.05</v>
      </c>
      <c r="J1406" s="9">
        <f t="shared" si="21"/>
        <v>45.115499999999997</v>
      </c>
      <c r="K1406" t="s">
        <v>36</v>
      </c>
      <c r="L1406" t="s">
        <v>17</v>
      </c>
      <c r="M1406" t="str">
        <f>REPLACE(Transactions!M1406,1,4,"")</f>
        <v>11</v>
      </c>
    </row>
    <row r="1407" spans="1:13" x14ac:dyDescent="0.2">
      <c r="A1407">
        <v>333243</v>
      </c>
      <c r="B1407" s="5">
        <v>45049</v>
      </c>
      <c r="C1407">
        <v>98186</v>
      </c>
      <c r="D1407" t="str">
        <f>PROPER(Transactions!D1407)</f>
        <v>Sports</v>
      </c>
      <c r="E1407" t="s">
        <v>83</v>
      </c>
      <c r="F1407" t="s">
        <v>84</v>
      </c>
      <c r="G1407">
        <v>5</v>
      </c>
      <c r="H1407">
        <v>13.59</v>
      </c>
      <c r="I1407" s="7">
        <f>IF(Transactions!I1407="",0,Transactions!I1407)</f>
        <v>0.2</v>
      </c>
      <c r="J1407" s="9">
        <f t="shared" si="21"/>
        <v>54.360000000000007</v>
      </c>
      <c r="K1407" t="s">
        <v>95</v>
      </c>
      <c r="L1407" t="s">
        <v>17</v>
      </c>
      <c r="M1407" t="str">
        <f>REPLACE(Transactions!M1407,1,4,"")</f>
        <v>3</v>
      </c>
    </row>
    <row r="1408" spans="1:13" x14ac:dyDescent="0.2">
      <c r="A1408">
        <v>333468</v>
      </c>
      <c r="B1408" s="5">
        <v>45091</v>
      </c>
      <c r="C1408">
        <v>66974</v>
      </c>
      <c r="D1408" t="str">
        <f>PROPER(Transactions!D1408)</f>
        <v>Home &amp; Garden</v>
      </c>
      <c r="E1408" t="s">
        <v>137</v>
      </c>
      <c r="F1408" t="s">
        <v>138</v>
      </c>
      <c r="G1408">
        <v>2</v>
      </c>
      <c r="H1408">
        <v>6.39</v>
      </c>
      <c r="I1408" s="7">
        <f>IF(Transactions!I1408="",0,Transactions!I1408)</f>
        <v>0.2</v>
      </c>
      <c r="J1408" s="9">
        <f t="shared" si="21"/>
        <v>10.224</v>
      </c>
      <c r="K1408" t="s">
        <v>36</v>
      </c>
      <c r="L1408" t="s">
        <v>17</v>
      </c>
      <c r="M1408" t="str">
        <f>REPLACE(Transactions!M1408,1,4,"")</f>
        <v>8</v>
      </c>
    </row>
    <row r="1409" spans="1:13" x14ac:dyDescent="0.2">
      <c r="A1409">
        <v>333602</v>
      </c>
      <c r="B1409" s="5">
        <v>44592</v>
      </c>
      <c r="C1409">
        <v>59266</v>
      </c>
      <c r="D1409" t="str">
        <f>PROPER(Transactions!D1409)</f>
        <v>Clothing</v>
      </c>
      <c r="E1409" t="s">
        <v>141</v>
      </c>
      <c r="F1409" t="s">
        <v>142</v>
      </c>
      <c r="G1409">
        <v>4</v>
      </c>
      <c r="H1409">
        <v>16.09</v>
      </c>
      <c r="I1409" s="7">
        <f>IF(Transactions!I1409="",0,Transactions!I1409)</f>
        <v>0.3</v>
      </c>
      <c r="J1409" s="9">
        <f t="shared" si="21"/>
        <v>45.052</v>
      </c>
      <c r="K1409" t="s">
        <v>32</v>
      </c>
      <c r="L1409" t="s">
        <v>37</v>
      </c>
      <c r="M1409" t="str">
        <f>REPLACE(Transactions!M1409,1,4,"")</f>
        <v>15</v>
      </c>
    </row>
    <row r="1410" spans="1:13" x14ac:dyDescent="0.2">
      <c r="A1410">
        <v>333665</v>
      </c>
      <c r="B1410" s="5">
        <v>44698</v>
      </c>
      <c r="C1410">
        <v>88649</v>
      </c>
      <c r="D1410" t="str">
        <f>PROPER(Transactions!D1410)</f>
        <v>Toys</v>
      </c>
      <c r="E1410" t="s">
        <v>175</v>
      </c>
      <c r="F1410" t="s">
        <v>176</v>
      </c>
      <c r="G1410">
        <v>2</v>
      </c>
      <c r="H1410">
        <v>9.59</v>
      </c>
      <c r="I1410" s="7">
        <f>IF(Transactions!I1410="",0,Transactions!I1410)</f>
        <v>0.2</v>
      </c>
      <c r="J1410" s="9">
        <f t="shared" si="21"/>
        <v>15.344000000000001</v>
      </c>
      <c r="K1410" t="s">
        <v>36</v>
      </c>
      <c r="L1410" t="s">
        <v>23</v>
      </c>
      <c r="M1410" t="str">
        <f>REPLACE(Transactions!M1410,1,4,"")</f>
        <v>3</v>
      </c>
    </row>
    <row r="1411" spans="1:13" x14ac:dyDescent="0.2">
      <c r="A1411">
        <v>333750</v>
      </c>
      <c r="B1411" s="5">
        <v>45527</v>
      </c>
      <c r="C1411">
        <v>82353</v>
      </c>
      <c r="D1411" t="str">
        <f>PROPER(Transactions!D1411)</f>
        <v>Sports</v>
      </c>
      <c r="E1411" t="s">
        <v>155</v>
      </c>
      <c r="F1411" t="s">
        <v>156</v>
      </c>
      <c r="G1411">
        <v>1</v>
      </c>
      <c r="H1411">
        <v>16.989999999999998</v>
      </c>
      <c r="I1411" s="7">
        <f>IF(Transactions!I1411="",0,Transactions!I1411)</f>
        <v>0.15</v>
      </c>
      <c r="J1411" s="9">
        <f t="shared" ref="J1411:J1474" si="22">(H1411*G1411)*(1-I1411)</f>
        <v>14.441499999999998</v>
      </c>
      <c r="K1411" t="s">
        <v>36</v>
      </c>
      <c r="L1411" t="s">
        <v>17</v>
      </c>
      <c r="M1411" t="str">
        <f>REPLACE(Transactions!M1411,1,4,"")</f>
        <v>6</v>
      </c>
    </row>
    <row r="1412" spans="1:13" x14ac:dyDescent="0.2">
      <c r="A1412">
        <v>333885</v>
      </c>
      <c r="B1412" s="5">
        <v>45095</v>
      </c>
      <c r="C1412">
        <v>74561</v>
      </c>
      <c r="D1412" t="str">
        <f>PROPER(Transactions!D1412)</f>
        <v>Electronics</v>
      </c>
      <c r="E1412" t="s">
        <v>55</v>
      </c>
      <c r="F1412" t="s">
        <v>56</v>
      </c>
      <c r="G1412">
        <v>2</v>
      </c>
      <c r="H1412">
        <v>230.99</v>
      </c>
      <c r="I1412" s="7">
        <f>IF(Transactions!I1412="",0,Transactions!I1412)</f>
        <v>0.3</v>
      </c>
      <c r="J1412" s="9">
        <f t="shared" si="22"/>
        <v>323.38599999999997</v>
      </c>
      <c r="K1412" t="s">
        <v>36</v>
      </c>
      <c r="L1412" t="s">
        <v>17</v>
      </c>
      <c r="M1412" t="str">
        <f>REPLACE(Transactions!M1412,1,4,"")</f>
        <v>20</v>
      </c>
    </row>
    <row r="1413" spans="1:13" x14ac:dyDescent="0.2">
      <c r="A1413">
        <v>334050</v>
      </c>
      <c r="B1413" s="5">
        <v>45005</v>
      </c>
      <c r="C1413">
        <v>27779</v>
      </c>
      <c r="D1413" t="str">
        <f>PROPER(Transactions!D1413)</f>
        <v>Beauty</v>
      </c>
      <c r="E1413" t="s">
        <v>179</v>
      </c>
      <c r="F1413" t="s">
        <v>180</v>
      </c>
      <c r="G1413">
        <v>2</v>
      </c>
      <c r="H1413">
        <v>11.99</v>
      </c>
      <c r="I1413" s="7">
        <f>IF(Transactions!I1413="",0,Transactions!I1413)</f>
        <v>0</v>
      </c>
      <c r="J1413" s="9">
        <f t="shared" si="22"/>
        <v>23.98</v>
      </c>
      <c r="K1413" t="s">
        <v>36</v>
      </c>
      <c r="L1413" t="s">
        <v>37</v>
      </c>
      <c r="M1413" t="str">
        <f>REPLACE(Transactions!M1413,1,4,"")</f>
        <v>8</v>
      </c>
    </row>
    <row r="1414" spans="1:13" x14ac:dyDescent="0.2">
      <c r="A1414">
        <v>334431</v>
      </c>
      <c r="B1414" s="5">
        <v>45132</v>
      </c>
      <c r="C1414">
        <v>64621</v>
      </c>
      <c r="D1414" t="str">
        <f>PROPER(Transactions!D1414)</f>
        <v>Toys</v>
      </c>
      <c r="E1414" t="s">
        <v>38</v>
      </c>
      <c r="F1414" t="s">
        <v>39</v>
      </c>
      <c r="G1414">
        <v>1</v>
      </c>
      <c r="H1414">
        <v>25.49</v>
      </c>
      <c r="I1414" s="7">
        <f>IF(Transactions!I1414="",0,Transactions!I1414)</f>
        <v>0.15</v>
      </c>
      <c r="J1414" s="9">
        <f t="shared" si="22"/>
        <v>21.666499999999999</v>
      </c>
      <c r="K1414" t="s">
        <v>36</v>
      </c>
      <c r="L1414" t="s">
        <v>17</v>
      </c>
      <c r="M1414" t="str">
        <f>REPLACE(Transactions!M1414,1,4,"")</f>
        <v>16</v>
      </c>
    </row>
    <row r="1415" spans="1:13" x14ac:dyDescent="0.2">
      <c r="A1415">
        <v>335299</v>
      </c>
      <c r="B1415" s="5">
        <v>44566</v>
      </c>
      <c r="C1415">
        <v>30683</v>
      </c>
      <c r="D1415" t="str">
        <f>PROPER(Transactions!D1415)</f>
        <v>Home &amp; Garden</v>
      </c>
      <c r="E1415" t="s">
        <v>149</v>
      </c>
      <c r="F1415" t="s">
        <v>150</v>
      </c>
      <c r="G1415">
        <v>2</v>
      </c>
      <c r="H1415">
        <v>19.989999999999998</v>
      </c>
      <c r="I1415" s="7">
        <f>IF(Transactions!I1415="",0,Transactions!I1415)</f>
        <v>0</v>
      </c>
      <c r="J1415" s="9">
        <f t="shared" si="22"/>
        <v>39.979999999999997</v>
      </c>
      <c r="K1415" t="s">
        <v>95</v>
      </c>
      <c r="L1415" t="s">
        <v>17</v>
      </c>
      <c r="M1415" t="str">
        <f>REPLACE(Transactions!M1415,1,4,"")</f>
        <v>15</v>
      </c>
    </row>
    <row r="1416" spans="1:13" x14ac:dyDescent="0.2">
      <c r="A1416">
        <v>335364</v>
      </c>
      <c r="B1416" s="5">
        <v>45199</v>
      </c>
      <c r="C1416">
        <v>85296</v>
      </c>
      <c r="D1416" t="str">
        <f>PROPER(Transactions!D1416)</f>
        <v>Beauty</v>
      </c>
      <c r="E1416" t="s">
        <v>143</v>
      </c>
      <c r="F1416" t="s">
        <v>144</v>
      </c>
      <c r="G1416">
        <v>1</v>
      </c>
      <c r="H1416">
        <v>14.99</v>
      </c>
      <c r="I1416" s="7">
        <f>IF(Transactions!I1416="",0,Transactions!I1416)</f>
        <v>0</v>
      </c>
      <c r="J1416" s="9">
        <f t="shared" si="22"/>
        <v>14.99</v>
      </c>
      <c r="K1416" t="s">
        <v>36</v>
      </c>
      <c r="L1416" t="s">
        <v>17</v>
      </c>
      <c r="M1416" t="str">
        <f>REPLACE(Transactions!M1416,1,4,"")</f>
        <v>3</v>
      </c>
    </row>
    <row r="1417" spans="1:13" x14ac:dyDescent="0.2">
      <c r="A1417">
        <v>335426</v>
      </c>
      <c r="B1417" s="5">
        <v>45573</v>
      </c>
      <c r="C1417">
        <v>93958</v>
      </c>
      <c r="D1417" t="str">
        <f>PROPER(Transactions!D1417)</f>
        <v>Toys</v>
      </c>
      <c r="E1417" t="s">
        <v>175</v>
      </c>
      <c r="F1417" t="s">
        <v>176</v>
      </c>
      <c r="G1417">
        <v>3</v>
      </c>
      <c r="H1417">
        <v>8.39</v>
      </c>
      <c r="I1417" s="7">
        <f>IF(Transactions!I1417="",0,Transactions!I1417)</f>
        <v>0.3</v>
      </c>
      <c r="J1417" s="9">
        <f t="shared" si="22"/>
        <v>17.619</v>
      </c>
      <c r="K1417" t="s">
        <v>16</v>
      </c>
      <c r="L1417" t="s">
        <v>17</v>
      </c>
      <c r="M1417" t="str">
        <f>REPLACE(Transactions!M1417,1,4,"")</f>
        <v>9</v>
      </c>
    </row>
    <row r="1418" spans="1:13" x14ac:dyDescent="0.2">
      <c r="A1418">
        <v>335455</v>
      </c>
      <c r="B1418" s="5">
        <v>45621</v>
      </c>
      <c r="D1418" t="str">
        <f>PROPER(Transactions!D1418)</f>
        <v>Pharmacy</v>
      </c>
      <c r="E1418" t="s">
        <v>41</v>
      </c>
      <c r="F1418" t="s">
        <v>42</v>
      </c>
      <c r="G1418">
        <v>5</v>
      </c>
      <c r="H1418">
        <v>5.99</v>
      </c>
      <c r="I1418" s="7">
        <f>IF(Transactions!I1418="",0,Transactions!I1418)</f>
        <v>0</v>
      </c>
      <c r="J1418" s="9">
        <f t="shared" si="22"/>
        <v>29.950000000000003</v>
      </c>
      <c r="K1418" t="s">
        <v>36</v>
      </c>
      <c r="L1418" t="s">
        <v>23</v>
      </c>
      <c r="M1418" t="str">
        <f>REPLACE(Transactions!M1418,1,4,"")</f>
        <v>19</v>
      </c>
    </row>
    <row r="1419" spans="1:13" x14ac:dyDescent="0.2">
      <c r="A1419">
        <v>335477</v>
      </c>
      <c r="B1419" s="5">
        <v>45597</v>
      </c>
      <c r="C1419">
        <v>41210</v>
      </c>
      <c r="D1419" t="str">
        <f>PROPER(Transactions!D1419)</f>
        <v>Grocery</v>
      </c>
      <c r="E1419" t="s">
        <v>74</v>
      </c>
      <c r="F1419" t="s">
        <v>75</v>
      </c>
      <c r="G1419">
        <v>1</v>
      </c>
      <c r="H1419">
        <v>2.99</v>
      </c>
      <c r="I1419" s="7">
        <f>IF(Transactions!I1419="",0,Transactions!I1419)</f>
        <v>0</v>
      </c>
      <c r="J1419" s="9">
        <f t="shared" si="22"/>
        <v>2.99</v>
      </c>
      <c r="K1419" t="s">
        <v>16</v>
      </c>
      <c r="L1419" t="s">
        <v>37</v>
      </c>
      <c r="M1419" t="str">
        <f>REPLACE(Transactions!M1419,1,4,"")</f>
        <v>14</v>
      </c>
    </row>
    <row r="1420" spans="1:13" x14ac:dyDescent="0.2">
      <c r="A1420">
        <v>335709</v>
      </c>
      <c r="B1420" s="5">
        <v>44631</v>
      </c>
      <c r="C1420">
        <v>38721</v>
      </c>
      <c r="D1420" t="str">
        <f>PROPER(Transactions!D1420)</f>
        <v>Toys</v>
      </c>
      <c r="E1420" t="s">
        <v>175</v>
      </c>
      <c r="F1420" t="s">
        <v>176</v>
      </c>
      <c r="G1420">
        <v>4</v>
      </c>
      <c r="H1420">
        <v>11.99</v>
      </c>
      <c r="I1420" s="7">
        <f>IF(Transactions!I1420="",0,Transactions!I1420)</f>
        <v>0</v>
      </c>
      <c r="J1420" s="9">
        <f t="shared" si="22"/>
        <v>47.96</v>
      </c>
      <c r="K1420" t="s">
        <v>16</v>
      </c>
      <c r="L1420" t="s">
        <v>37</v>
      </c>
      <c r="M1420" t="str">
        <f>REPLACE(Transactions!M1420,1,4,"")</f>
        <v>17</v>
      </c>
    </row>
    <row r="1421" spans="1:13" x14ac:dyDescent="0.2">
      <c r="A1421">
        <v>335728</v>
      </c>
      <c r="B1421" s="5">
        <v>45399</v>
      </c>
      <c r="C1421">
        <v>14048</v>
      </c>
      <c r="D1421" t="str">
        <f>PROPER(Transactions!D1421)</f>
        <v>Grocery</v>
      </c>
      <c r="E1421" t="s">
        <v>93</v>
      </c>
      <c r="F1421" t="s">
        <v>94</v>
      </c>
      <c r="G1421">
        <v>1</v>
      </c>
      <c r="H1421">
        <v>1.29</v>
      </c>
      <c r="I1421" s="7">
        <f>IF(Transactions!I1421="",0,Transactions!I1421)</f>
        <v>0</v>
      </c>
      <c r="J1421" s="9">
        <f t="shared" si="22"/>
        <v>1.29</v>
      </c>
      <c r="K1421" t="s">
        <v>36</v>
      </c>
      <c r="L1421" t="s">
        <v>17</v>
      </c>
      <c r="M1421" t="str">
        <f>REPLACE(Transactions!M1421,1,4,"")</f>
        <v>14</v>
      </c>
    </row>
    <row r="1422" spans="1:13" x14ac:dyDescent="0.2">
      <c r="A1422">
        <v>336081</v>
      </c>
      <c r="B1422" s="5">
        <v>44573</v>
      </c>
      <c r="D1422" t="str">
        <f>PROPER(Transactions!D1422)</f>
        <v>Furniture</v>
      </c>
      <c r="E1422" t="s">
        <v>70</v>
      </c>
      <c r="F1422" t="s">
        <v>71</v>
      </c>
      <c r="G1422">
        <v>2</v>
      </c>
      <c r="H1422">
        <v>80.989999999999995</v>
      </c>
      <c r="I1422" s="7">
        <f>IF(Transactions!I1422="",0,Transactions!I1422)</f>
        <v>0.1</v>
      </c>
      <c r="J1422" s="9">
        <f t="shared" si="22"/>
        <v>145.78199999999998</v>
      </c>
      <c r="K1422" t="s">
        <v>22</v>
      </c>
      <c r="L1422" t="s">
        <v>17</v>
      </c>
      <c r="M1422" t="str">
        <f>REPLACE(Transactions!M1422,1,4,"")</f>
        <v>11</v>
      </c>
    </row>
    <row r="1423" spans="1:13" x14ac:dyDescent="0.2">
      <c r="A1423">
        <v>336293</v>
      </c>
      <c r="B1423" s="5">
        <v>44567</v>
      </c>
      <c r="C1423">
        <v>75888</v>
      </c>
      <c r="D1423" t="str">
        <f>PROPER(Transactions!D1423)</f>
        <v>Grocery</v>
      </c>
      <c r="E1423" t="s">
        <v>93</v>
      </c>
      <c r="F1423" t="s">
        <v>94</v>
      </c>
      <c r="G1423">
        <v>1</v>
      </c>
      <c r="H1423">
        <v>1.03</v>
      </c>
      <c r="I1423" s="7">
        <f>IF(Transactions!I1423="",0,Transactions!I1423)</f>
        <v>0.2</v>
      </c>
      <c r="J1423" s="9">
        <f t="shared" si="22"/>
        <v>0.82400000000000007</v>
      </c>
      <c r="K1423" t="s">
        <v>16</v>
      </c>
      <c r="L1423" t="s">
        <v>17</v>
      </c>
      <c r="M1423" t="str">
        <f>REPLACE(Transactions!M1423,1,4,"")</f>
        <v>10</v>
      </c>
    </row>
    <row r="1424" spans="1:13" x14ac:dyDescent="0.2">
      <c r="A1424">
        <v>337018</v>
      </c>
      <c r="B1424" s="5">
        <v>45566</v>
      </c>
      <c r="C1424">
        <v>46719</v>
      </c>
      <c r="D1424" t="str">
        <f>PROPER(Transactions!D1424)</f>
        <v>Furniture</v>
      </c>
      <c r="E1424" t="s">
        <v>70</v>
      </c>
      <c r="F1424" t="s">
        <v>71</v>
      </c>
      <c r="G1424">
        <v>4</v>
      </c>
      <c r="H1424">
        <v>62.99</v>
      </c>
      <c r="I1424" s="7">
        <f>IF(Transactions!I1424="",0,Transactions!I1424)</f>
        <v>0.3</v>
      </c>
      <c r="J1424" s="9">
        <f t="shared" si="22"/>
        <v>176.37199999999999</v>
      </c>
      <c r="K1424" t="s">
        <v>16</v>
      </c>
      <c r="L1424" t="s">
        <v>17</v>
      </c>
      <c r="M1424" t="str">
        <f>REPLACE(Transactions!M1424,1,4,"")</f>
        <v>9</v>
      </c>
    </row>
    <row r="1425" spans="1:13" x14ac:dyDescent="0.2">
      <c r="A1425">
        <v>337130</v>
      </c>
      <c r="B1425" s="5">
        <v>45410</v>
      </c>
      <c r="C1425">
        <v>38919</v>
      </c>
      <c r="D1425" t="str">
        <f>PROPER(Transactions!D1425)</f>
        <v>Automotive</v>
      </c>
      <c r="E1425" t="s">
        <v>68</v>
      </c>
      <c r="F1425" t="s">
        <v>69</v>
      </c>
      <c r="G1425">
        <v>5</v>
      </c>
      <c r="H1425">
        <v>23.74</v>
      </c>
      <c r="I1425" s="7">
        <f>IF(Transactions!I1425="",0,Transactions!I1425)</f>
        <v>0.05</v>
      </c>
      <c r="J1425" s="9">
        <f t="shared" si="22"/>
        <v>112.76499999999999</v>
      </c>
      <c r="K1425" t="s">
        <v>22</v>
      </c>
      <c r="L1425" t="s">
        <v>37</v>
      </c>
      <c r="M1425" t="str">
        <f>REPLACE(Transactions!M1425,1,4,"")</f>
        <v>2</v>
      </c>
    </row>
    <row r="1426" spans="1:13" x14ac:dyDescent="0.2">
      <c r="A1426">
        <v>337175</v>
      </c>
      <c r="B1426" s="5">
        <v>44858</v>
      </c>
      <c r="C1426">
        <v>59152</v>
      </c>
      <c r="D1426" t="str">
        <f>PROPER(Transactions!D1426)</f>
        <v>Automotive</v>
      </c>
      <c r="E1426" t="s">
        <v>111</v>
      </c>
      <c r="F1426" t="s">
        <v>112</v>
      </c>
      <c r="G1426">
        <v>5</v>
      </c>
      <c r="H1426">
        <v>14.99</v>
      </c>
      <c r="I1426" s="7">
        <f>IF(Transactions!I1426="",0,Transactions!I1426)</f>
        <v>0</v>
      </c>
      <c r="J1426" s="9">
        <f t="shared" si="22"/>
        <v>74.95</v>
      </c>
      <c r="K1426" t="s">
        <v>16</v>
      </c>
      <c r="L1426" t="s">
        <v>17</v>
      </c>
      <c r="M1426" t="str">
        <f>REPLACE(Transactions!M1426,1,4,"")</f>
        <v>17</v>
      </c>
    </row>
    <row r="1427" spans="1:13" x14ac:dyDescent="0.2">
      <c r="A1427">
        <v>337262</v>
      </c>
      <c r="B1427" s="5">
        <v>44958</v>
      </c>
      <c r="C1427">
        <v>79397</v>
      </c>
      <c r="D1427" t="str">
        <f>PROPER(Transactions!D1427)</f>
        <v>Electronics</v>
      </c>
      <c r="E1427" t="s">
        <v>77</v>
      </c>
      <c r="F1427" t="s">
        <v>78</v>
      </c>
      <c r="G1427">
        <v>2</v>
      </c>
      <c r="H1427">
        <v>474.99</v>
      </c>
      <c r="I1427" s="7">
        <f>IF(Transactions!I1427="",0,Transactions!I1427)</f>
        <v>0.05</v>
      </c>
      <c r="J1427" s="9">
        <f t="shared" si="22"/>
        <v>902.48099999999999</v>
      </c>
      <c r="K1427" t="s">
        <v>16</v>
      </c>
      <c r="L1427" t="s">
        <v>17</v>
      </c>
      <c r="M1427" t="str">
        <f>REPLACE(Transactions!M1427,1,4,"")</f>
        <v>13</v>
      </c>
    </row>
    <row r="1428" spans="1:13" x14ac:dyDescent="0.2">
      <c r="A1428">
        <v>337408</v>
      </c>
      <c r="B1428" s="5">
        <v>45512</v>
      </c>
      <c r="C1428">
        <v>62703</v>
      </c>
      <c r="D1428" t="str">
        <f>PROPER(Transactions!D1428)</f>
        <v>Furniture</v>
      </c>
      <c r="E1428" t="s">
        <v>70</v>
      </c>
      <c r="F1428" t="s">
        <v>71</v>
      </c>
      <c r="G1428">
        <v>5</v>
      </c>
      <c r="H1428">
        <v>85.49</v>
      </c>
      <c r="I1428" s="7">
        <f>IF(Transactions!I1428="",0,Transactions!I1428)</f>
        <v>0.05</v>
      </c>
      <c r="J1428" s="9">
        <f t="shared" si="22"/>
        <v>406.07749999999999</v>
      </c>
      <c r="K1428" t="s">
        <v>22</v>
      </c>
      <c r="L1428" t="s">
        <v>37</v>
      </c>
      <c r="M1428" t="str">
        <f>REPLACE(Transactions!M1428,1,4,"")</f>
        <v>12</v>
      </c>
    </row>
    <row r="1429" spans="1:13" x14ac:dyDescent="0.2">
      <c r="A1429">
        <v>337425</v>
      </c>
      <c r="B1429" s="5">
        <v>44868</v>
      </c>
      <c r="C1429">
        <v>81959</v>
      </c>
      <c r="D1429" t="str">
        <f>PROPER(Transactions!D1429)</f>
        <v>Automotive</v>
      </c>
      <c r="E1429" t="s">
        <v>64</v>
      </c>
      <c r="F1429" t="s">
        <v>65</v>
      </c>
      <c r="G1429">
        <v>4</v>
      </c>
      <c r="H1429">
        <v>4.49</v>
      </c>
      <c r="I1429" s="7">
        <f>IF(Transactions!I1429="",0,Transactions!I1429)</f>
        <v>0.1</v>
      </c>
      <c r="J1429" s="9">
        <f t="shared" si="22"/>
        <v>16.164000000000001</v>
      </c>
      <c r="K1429" t="s">
        <v>16</v>
      </c>
      <c r="L1429" t="s">
        <v>37</v>
      </c>
      <c r="M1429" t="str">
        <f>REPLACE(Transactions!M1429,1,4,"")</f>
        <v>14</v>
      </c>
    </row>
    <row r="1430" spans="1:13" x14ac:dyDescent="0.2">
      <c r="A1430">
        <v>337721</v>
      </c>
      <c r="B1430" s="5">
        <v>45066</v>
      </c>
      <c r="C1430">
        <v>45194</v>
      </c>
      <c r="D1430" t="str">
        <f>PROPER(Transactions!D1430)</f>
        <v>Beauty</v>
      </c>
      <c r="E1430" t="s">
        <v>139</v>
      </c>
      <c r="F1430" t="s">
        <v>140</v>
      </c>
      <c r="G1430">
        <v>2</v>
      </c>
      <c r="H1430">
        <v>7.99</v>
      </c>
      <c r="I1430" s="7">
        <f>IF(Transactions!I1430="",0,Transactions!I1430)</f>
        <v>0</v>
      </c>
      <c r="J1430" s="9">
        <f t="shared" si="22"/>
        <v>15.98</v>
      </c>
      <c r="K1430" t="s">
        <v>22</v>
      </c>
      <c r="L1430" t="s">
        <v>37</v>
      </c>
      <c r="M1430" t="str">
        <f>REPLACE(Transactions!M1430,1,4,"")</f>
        <v>11</v>
      </c>
    </row>
    <row r="1431" spans="1:13" x14ac:dyDescent="0.2">
      <c r="A1431">
        <v>337805</v>
      </c>
      <c r="B1431" s="5">
        <v>44970</v>
      </c>
      <c r="C1431">
        <v>73187</v>
      </c>
      <c r="D1431" t="str">
        <f>PROPER(Transactions!D1431)</f>
        <v>Electronics</v>
      </c>
      <c r="E1431" t="s">
        <v>104</v>
      </c>
      <c r="F1431" t="s">
        <v>105</v>
      </c>
      <c r="G1431">
        <v>3</v>
      </c>
      <c r="H1431">
        <v>29.99</v>
      </c>
      <c r="I1431" s="7">
        <f>IF(Transactions!I1431="",0,Transactions!I1431)</f>
        <v>0</v>
      </c>
      <c r="J1431" s="9">
        <f t="shared" si="22"/>
        <v>89.97</v>
      </c>
      <c r="K1431" t="s">
        <v>95</v>
      </c>
      <c r="L1431" t="s">
        <v>37</v>
      </c>
      <c r="M1431" t="str">
        <f>REPLACE(Transactions!M1431,1,4,"")</f>
        <v/>
      </c>
    </row>
    <row r="1432" spans="1:13" x14ac:dyDescent="0.2">
      <c r="A1432">
        <v>337863</v>
      </c>
      <c r="B1432" s="5">
        <v>45148</v>
      </c>
      <c r="C1432">
        <v>66443</v>
      </c>
      <c r="D1432" t="str">
        <f>PROPER(Transactions!D1432)</f>
        <v>Automotive</v>
      </c>
      <c r="E1432" t="s">
        <v>68</v>
      </c>
      <c r="F1432" t="s">
        <v>69</v>
      </c>
      <c r="G1432">
        <v>3</v>
      </c>
      <c r="H1432">
        <v>17.489999999999998</v>
      </c>
      <c r="I1432" s="7">
        <f>IF(Transactions!I1432="",0,Transactions!I1432)</f>
        <v>0.3</v>
      </c>
      <c r="J1432" s="9">
        <f t="shared" si="22"/>
        <v>36.728999999999999</v>
      </c>
      <c r="K1432" t="s">
        <v>32</v>
      </c>
      <c r="L1432" t="s">
        <v>23</v>
      </c>
      <c r="M1432" t="str">
        <f>REPLACE(Transactions!M1432,1,4,"")</f>
        <v>7</v>
      </c>
    </row>
    <row r="1433" spans="1:13" x14ac:dyDescent="0.2">
      <c r="A1433">
        <v>338096</v>
      </c>
      <c r="B1433" s="5">
        <v>44602</v>
      </c>
      <c r="C1433">
        <v>18042</v>
      </c>
      <c r="D1433" t="str">
        <f>PROPER(Transactions!D1433)</f>
        <v>Automotive</v>
      </c>
      <c r="E1433" t="s">
        <v>131</v>
      </c>
      <c r="F1433" t="s">
        <v>132</v>
      </c>
      <c r="G1433">
        <v>4</v>
      </c>
      <c r="H1433">
        <v>3.49</v>
      </c>
      <c r="I1433" s="7">
        <f>IF(Transactions!I1433="",0,Transactions!I1433)</f>
        <v>0</v>
      </c>
      <c r="J1433" s="9">
        <f t="shared" si="22"/>
        <v>13.96</v>
      </c>
      <c r="K1433" t="s">
        <v>16</v>
      </c>
      <c r="L1433" t="s">
        <v>17</v>
      </c>
      <c r="M1433" t="str">
        <f>REPLACE(Transactions!M1433,1,4,"")</f>
        <v>12</v>
      </c>
    </row>
    <row r="1434" spans="1:13" x14ac:dyDescent="0.2">
      <c r="A1434">
        <v>338140</v>
      </c>
      <c r="B1434" s="5">
        <v>45066</v>
      </c>
      <c r="D1434" t="str">
        <f>PROPER(Transactions!D1434)</f>
        <v>Clothing</v>
      </c>
      <c r="E1434" t="s">
        <v>121</v>
      </c>
      <c r="F1434" t="s">
        <v>122</v>
      </c>
      <c r="G1434">
        <v>1</v>
      </c>
      <c r="H1434">
        <v>12.99</v>
      </c>
      <c r="I1434" s="7">
        <f>IF(Transactions!I1434="",0,Transactions!I1434)</f>
        <v>0</v>
      </c>
      <c r="J1434" s="9">
        <f t="shared" si="22"/>
        <v>12.99</v>
      </c>
      <c r="K1434" t="s">
        <v>66</v>
      </c>
      <c r="L1434" t="s">
        <v>37</v>
      </c>
      <c r="M1434" t="str">
        <f>REPLACE(Transactions!M1434,1,4,"")</f>
        <v>2</v>
      </c>
    </row>
    <row r="1435" spans="1:13" x14ac:dyDescent="0.2">
      <c r="A1435">
        <v>338338</v>
      </c>
      <c r="B1435" s="5">
        <v>45113</v>
      </c>
      <c r="C1435">
        <v>52328</v>
      </c>
      <c r="D1435" t="str">
        <f>PROPER(Transactions!D1435)</f>
        <v>Automotive</v>
      </c>
      <c r="E1435" t="s">
        <v>68</v>
      </c>
      <c r="F1435" t="s">
        <v>69</v>
      </c>
      <c r="G1435">
        <v>5</v>
      </c>
      <c r="H1435">
        <v>24.99</v>
      </c>
      <c r="I1435" s="7">
        <f>IF(Transactions!I1435="",0,Transactions!I1435)</f>
        <v>0</v>
      </c>
      <c r="J1435" s="9">
        <f t="shared" si="22"/>
        <v>124.94999999999999</v>
      </c>
      <c r="K1435" t="s">
        <v>16</v>
      </c>
      <c r="L1435" t="s">
        <v>23</v>
      </c>
      <c r="M1435" t="str">
        <f>REPLACE(Transactions!M1435,1,4,"")</f>
        <v>16</v>
      </c>
    </row>
    <row r="1436" spans="1:13" x14ac:dyDescent="0.2">
      <c r="A1436">
        <v>338904</v>
      </c>
      <c r="B1436" s="5">
        <v>44695</v>
      </c>
      <c r="C1436">
        <v>71997</v>
      </c>
      <c r="D1436" t="str">
        <f>PROPER(Transactions!D1436)</f>
        <v>Home &amp; Garden</v>
      </c>
      <c r="E1436" t="s">
        <v>86</v>
      </c>
      <c r="F1436" t="s">
        <v>87</v>
      </c>
      <c r="G1436">
        <v>2</v>
      </c>
      <c r="H1436">
        <v>12.99</v>
      </c>
      <c r="I1436" s="7">
        <f>IF(Transactions!I1436="",0,Transactions!I1436)</f>
        <v>0</v>
      </c>
      <c r="J1436" s="9">
        <f t="shared" si="22"/>
        <v>25.98</v>
      </c>
      <c r="K1436" t="s">
        <v>16</v>
      </c>
      <c r="L1436" t="s">
        <v>37</v>
      </c>
      <c r="M1436" t="str">
        <f>REPLACE(Transactions!M1436,1,4,"")</f>
        <v>13</v>
      </c>
    </row>
    <row r="1437" spans="1:13" x14ac:dyDescent="0.2">
      <c r="A1437">
        <v>339025</v>
      </c>
      <c r="B1437" s="5">
        <v>45211</v>
      </c>
      <c r="D1437" t="str">
        <f>PROPER(Transactions!D1437)</f>
        <v>Automotive</v>
      </c>
      <c r="E1437" t="s">
        <v>111</v>
      </c>
      <c r="F1437" t="s">
        <v>112</v>
      </c>
      <c r="G1437">
        <v>2</v>
      </c>
      <c r="H1437">
        <v>14.99</v>
      </c>
      <c r="I1437" s="7">
        <f>IF(Transactions!I1437="",0,Transactions!I1437)</f>
        <v>0</v>
      </c>
      <c r="J1437" s="9">
        <f t="shared" si="22"/>
        <v>29.98</v>
      </c>
      <c r="K1437" t="s">
        <v>16</v>
      </c>
      <c r="L1437" t="s">
        <v>37</v>
      </c>
      <c r="M1437" t="str">
        <f>REPLACE(Transactions!M1437,1,4,"")</f>
        <v/>
      </c>
    </row>
    <row r="1438" spans="1:13" x14ac:dyDescent="0.2">
      <c r="A1438">
        <v>339357</v>
      </c>
      <c r="B1438" s="5">
        <v>45480</v>
      </c>
      <c r="C1438">
        <v>68675</v>
      </c>
      <c r="D1438" t="str">
        <f>PROPER(Transactions!D1438)</f>
        <v>Grocery</v>
      </c>
      <c r="E1438" t="s">
        <v>91</v>
      </c>
      <c r="F1438" t="s">
        <v>92</v>
      </c>
      <c r="G1438">
        <v>3</v>
      </c>
      <c r="H1438">
        <v>6.29</v>
      </c>
      <c r="I1438" s="7">
        <f>IF(Transactions!I1438="",0,Transactions!I1438)</f>
        <v>0</v>
      </c>
      <c r="J1438" s="9">
        <f t="shared" si="22"/>
        <v>18.87</v>
      </c>
      <c r="K1438" t="s">
        <v>36</v>
      </c>
      <c r="L1438" t="s">
        <v>17</v>
      </c>
      <c r="M1438" t="str">
        <f>REPLACE(Transactions!M1438,1,4,"")</f>
        <v>7</v>
      </c>
    </row>
    <row r="1439" spans="1:13" x14ac:dyDescent="0.2">
      <c r="A1439">
        <v>339612</v>
      </c>
      <c r="B1439" s="5">
        <v>44691</v>
      </c>
      <c r="C1439">
        <v>10652</v>
      </c>
      <c r="D1439" t="str">
        <f>PROPER(Transactions!D1439)</f>
        <v>Grocery</v>
      </c>
      <c r="E1439" t="s">
        <v>133</v>
      </c>
      <c r="F1439" t="s">
        <v>134</v>
      </c>
      <c r="G1439">
        <v>4</v>
      </c>
      <c r="H1439">
        <v>3.41</v>
      </c>
      <c r="I1439" s="7">
        <f>IF(Transactions!I1439="",0,Transactions!I1439)</f>
        <v>0</v>
      </c>
      <c r="J1439" s="9">
        <f t="shared" si="22"/>
        <v>13.64</v>
      </c>
      <c r="K1439" t="s">
        <v>32</v>
      </c>
      <c r="L1439" t="s">
        <v>17</v>
      </c>
      <c r="M1439" t="str">
        <f>REPLACE(Transactions!M1439,1,4,"")</f>
        <v>5</v>
      </c>
    </row>
    <row r="1440" spans="1:13" x14ac:dyDescent="0.2">
      <c r="A1440">
        <v>339846</v>
      </c>
      <c r="B1440" s="5">
        <v>44882</v>
      </c>
      <c r="C1440">
        <v>26819</v>
      </c>
      <c r="D1440" t="str">
        <f>PROPER(Transactions!D1440)</f>
        <v>Clothing</v>
      </c>
      <c r="E1440" t="s">
        <v>151</v>
      </c>
      <c r="F1440" t="s">
        <v>152</v>
      </c>
      <c r="G1440">
        <v>5</v>
      </c>
      <c r="H1440">
        <v>29.74</v>
      </c>
      <c r="I1440" s="7">
        <f>IF(Transactions!I1440="",0,Transactions!I1440)</f>
        <v>0.15</v>
      </c>
      <c r="J1440" s="9">
        <f t="shared" si="22"/>
        <v>126.39499999999998</v>
      </c>
      <c r="K1440" t="s">
        <v>36</v>
      </c>
      <c r="L1440" t="s">
        <v>17</v>
      </c>
      <c r="M1440" t="str">
        <f>REPLACE(Transactions!M1440,1,4,"")</f>
        <v>12</v>
      </c>
    </row>
    <row r="1441" spans="1:13" x14ac:dyDescent="0.2">
      <c r="A1441">
        <v>339926</v>
      </c>
      <c r="B1441" s="5">
        <v>45263</v>
      </c>
      <c r="C1441">
        <v>13475</v>
      </c>
      <c r="D1441" t="str">
        <f>PROPER(Transactions!D1441)</f>
        <v>Furniture</v>
      </c>
      <c r="E1441" t="s">
        <v>60</v>
      </c>
      <c r="F1441" t="s">
        <v>61</v>
      </c>
      <c r="G1441">
        <v>5</v>
      </c>
      <c r="H1441">
        <v>46.74</v>
      </c>
      <c r="I1441" s="7">
        <f>IF(Transactions!I1441="",0,Transactions!I1441)</f>
        <v>0.15</v>
      </c>
      <c r="J1441" s="9">
        <f t="shared" si="22"/>
        <v>198.64500000000001</v>
      </c>
      <c r="K1441" t="s">
        <v>22</v>
      </c>
      <c r="L1441" t="s">
        <v>17</v>
      </c>
      <c r="M1441" t="str">
        <f>REPLACE(Transactions!M1441,1,4,"")</f>
        <v>16</v>
      </c>
    </row>
    <row r="1442" spans="1:13" x14ac:dyDescent="0.2">
      <c r="A1442">
        <v>340007</v>
      </c>
      <c r="B1442" s="5">
        <v>45005</v>
      </c>
      <c r="C1442">
        <v>96827</v>
      </c>
      <c r="D1442" t="str">
        <f>PROPER(Transactions!D1442)</f>
        <v>Home &amp; Garden</v>
      </c>
      <c r="E1442" t="s">
        <v>86</v>
      </c>
      <c r="F1442" t="s">
        <v>87</v>
      </c>
      <c r="G1442">
        <v>2</v>
      </c>
      <c r="H1442">
        <v>12.99</v>
      </c>
      <c r="I1442" s="7">
        <f>IF(Transactions!I1442="",0,Transactions!I1442)</f>
        <v>0</v>
      </c>
      <c r="J1442" s="9">
        <f t="shared" si="22"/>
        <v>25.98</v>
      </c>
      <c r="K1442" t="s">
        <v>16</v>
      </c>
      <c r="L1442" t="s">
        <v>17</v>
      </c>
      <c r="M1442" t="str">
        <f>REPLACE(Transactions!M1442,1,4,"")</f>
        <v>16</v>
      </c>
    </row>
    <row r="1443" spans="1:13" x14ac:dyDescent="0.2">
      <c r="A1443">
        <v>340377</v>
      </c>
      <c r="B1443" s="5">
        <v>45553</v>
      </c>
      <c r="D1443" t="str">
        <f>PROPER(Transactions!D1443)</f>
        <v>Sports</v>
      </c>
      <c r="E1443" t="s">
        <v>188</v>
      </c>
      <c r="F1443" t="s">
        <v>189</v>
      </c>
      <c r="G1443">
        <v>1</v>
      </c>
      <c r="H1443">
        <v>44.99</v>
      </c>
      <c r="I1443" s="7">
        <f>IF(Transactions!I1443="",0,Transactions!I1443)</f>
        <v>0</v>
      </c>
      <c r="J1443" s="9">
        <f t="shared" si="22"/>
        <v>44.99</v>
      </c>
      <c r="K1443" t="s">
        <v>32</v>
      </c>
      <c r="L1443" t="s">
        <v>17</v>
      </c>
      <c r="M1443" t="str">
        <f>REPLACE(Transactions!M1443,1,4,"")</f>
        <v>11</v>
      </c>
    </row>
    <row r="1444" spans="1:13" x14ac:dyDescent="0.2">
      <c r="A1444">
        <v>340569</v>
      </c>
      <c r="B1444" s="5">
        <v>44760</v>
      </c>
      <c r="C1444">
        <v>24880</v>
      </c>
      <c r="D1444" t="str">
        <f>PROPER(Transactions!D1444)</f>
        <v>Home &amp; Garden</v>
      </c>
      <c r="E1444" t="s">
        <v>157</v>
      </c>
      <c r="F1444" t="s">
        <v>158</v>
      </c>
      <c r="G1444">
        <v>4</v>
      </c>
      <c r="H1444">
        <v>9.44</v>
      </c>
      <c r="I1444" s="7">
        <f>IF(Transactions!I1444="",0,Transactions!I1444)</f>
        <v>0.3</v>
      </c>
      <c r="J1444" s="9">
        <f t="shared" si="22"/>
        <v>26.431999999999999</v>
      </c>
      <c r="K1444" t="s">
        <v>16</v>
      </c>
      <c r="L1444" t="s">
        <v>17</v>
      </c>
      <c r="M1444" t="str">
        <f>REPLACE(Transactions!M1444,1,4,"")</f>
        <v>9</v>
      </c>
    </row>
    <row r="1445" spans="1:13" x14ac:dyDescent="0.2">
      <c r="A1445">
        <v>340613</v>
      </c>
      <c r="B1445" s="5">
        <v>45302</v>
      </c>
      <c r="C1445">
        <v>63953</v>
      </c>
      <c r="D1445" t="str">
        <f>PROPER(Transactions!D1445)</f>
        <v>Sports</v>
      </c>
      <c r="E1445" t="s">
        <v>188</v>
      </c>
      <c r="F1445" t="s">
        <v>189</v>
      </c>
      <c r="G1445">
        <v>2</v>
      </c>
      <c r="H1445">
        <v>44.99</v>
      </c>
      <c r="I1445" s="7">
        <f>IF(Transactions!I1445="",0,Transactions!I1445)</f>
        <v>0</v>
      </c>
      <c r="J1445" s="9">
        <f t="shared" si="22"/>
        <v>89.98</v>
      </c>
      <c r="K1445" t="s">
        <v>16</v>
      </c>
      <c r="L1445" t="s">
        <v>37</v>
      </c>
      <c r="M1445" t="str">
        <f>REPLACE(Transactions!M1445,1,4,"")</f>
        <v>17</v>
      </c>
    </row>
    <row r="1446" spans="1:13" x14ac:dyDescent="0.2">
      <c r="A1446">
        <v>340698</v>
      </c>
      <c r="B1446" s="5">
        <v>45225</v>
      </c>
      <c r="C1446">
        <v>80809</v>
      </c>
      <c r="D1446" t="str">
        <f>PROPER(Transactions!D1446)</f>
        <v>Automotive</v>
      </c>
      <c r="E1446" t="s">
        <v>111</v>
      </c>
      <c r="F1446" t="s">
        <v>112</v>
      </c>
      <c r="G1446">
        <v>4</v>
      </c>
      <c r="H1446">
        <v>11.99</v>
      </c>
      <c r="I1446" s="7">
        <f>IF(Transactions!I1446="",0,Transactions!I1446)</f>
        <v>0.2</v>
      </c>
      <c r="J1446" s="9">
        <f t="shared" si="22"/>
        <v>38.368000000000002</v>
      </c>
      <c r="K1446" t="s">
        <v>53</v>
      </c>
      <c r="L1446" t="s">
        <v>17</v>
      </c>
      <c r="M1446" t="str">
        <f>REPLACE(Transactions!M1446,1,4,"")</f>
        <v>8</v>
      </c>
    </row>
    <row r="1447" spans="1:13" x14ac:dyDescent="0.2">
      <c r="A1447">
        <v>340702</v>
      </c>
      <c r="B1447" s="5">
        <v>45123</v>
      </c>
      <c r="C1447">
        <v>17181</v>
      </c>
      <c r="D1447" t="str">
        <f>PROPER(Transactions!D1447)</f>
        <v>Home &amp; Garden</v>
      </c>
      <c r="E1447" t="s">
        <v>153</v>
      </c>
      <c r="F1447" t="s">
        <v>154</v>
      </c>
      <c r="G1447">
        <v>3</v>
      </c>
      <c r="H1447">
        <v>29.99</v>
      </c>
      <c r="I1447" s="7">
        <f>IF(Transactions!I1447="",0,Transactions!I1447)</f>
        <v>0</v>
      </c>
      <c r="J1447" s="9">
        <f t="shared" si="22"/>
        <v>89.97</v>
      </c>
      <c r="K1447" t="s">
        <v>22</v>
      </c>
      <c r="L1447" t="s">
        <v>17</v>
      </c>
      <c r="M1447" t="str">
        <f>REPLACE(Transactions!M1447,1,4,"")</f>
        <v>7</v>
      </c>
    </row>
    <row r="1448" spans="1:13" x14ac:dyDescent="0.2">
      <c r="A1448">
        <v>340761</v>
      </c>
      <c r="B1448" s="5">
        <v>45110</v>
      </c>
      <c r="C1448">
        <v>77520</v>
      </c>
      <c r="D1448" t="str">
        <f>PROPER(Transactions!D1448)</f>
        <v>Pharmacy</v>
      </c>
      <c r="E1448" t="s">
        <v>58</v>
      </c>
      <c r="F1448" t="s">
        <v>59</v>
      </c>
      <c r="G1448">
        <v>1</v>
      </c>
      <c r="H1448">
        <v>3.99</v>
      </c>
      <c r="I1448" s="7">
        <f>IF(Transactions!I1448="",0,Transactions!I1448)</f>
        <v>0</v>
      </c>
      <c r="J1448" s="9">
        <f t="shared" si="22"/>
        <v>3.99</v>
      </c>
      <c r="K1448" t="s">
        <v>16</v>
      </c>
      <c r="L1448" t="s">
        <v>17</v>
      </c>
      <c r="M1448" t="str">
        <f>REPLACE(Transactions!M1448,1,4,"")</f>
        <v>6</v>
      </c>
    </row>
    <row r="1449" spans="1:13" x14ac:dyDescent="0.2">
      <c r="A1449">
        <v>340943</v>
      </c>
      <c r="B1449" s="5">
        <v>44702</v>
      </c>
      <c r="C1449">
        <v>87086</v>
      </c>
      <c r="D1449" t="str">
        <f>PROPER(Transactions!D1449)</f>
        <v>Sports</v>
      </c>
      <c r="E1449" t="s">
        <v>188</v>
      </c>
      <c r="F1449" t="s">
        <v>189</v>
      </c>
      <c r="G1449">
        <v>2</v>
      </c>
      <c r="H1449">
        <v>31.49</v>
      </c>
      <c r="I1449" s="7">
        <f>IF(Transactions!I1449="",0,Transactions!I1449)</f>
        <v>0.3</v>
      </c>
      <c r="J1449" s="9">
        <f t="shared" si="22"/>
        <v>44.085999999999999</v>
      </c>
      <c r="K1449" t="s">
        <v>16</v>
      </c>
      <c r="L1449" t="s">
        <v>37</v>
      </c>
      <c r="M1449" t="str">
        <f>REPLACE(Transactions!M1449,1,4,"")</f>
        <v/>
      </c>
    </row>
    <row r="1450" spans="1:13" x14ac:dyDescent="0.2">
      <c r="A1450">
        <v>340972</v>
      </c>
      <c r="B1450" s="5">
        <v>44959</v>
      </c>
      <c r="C1450">
        <v>58388</v>
      </c>
      <c r="D1450" t="str">
        <f>PROPER(Transactions!D1450)</f>
        <v>Electronics</v>
      </c>
      <c r="E1450" t="s">
        <v>34</v>
      </c>
      <c r="F1450" t="s">
        <v>35</v>
      </c>
      <c r="G1450">
        <v>4</v>
      </c>
      <c r="H1450">
        <v>34.99</v>
      </c>
      <c r="I1450" s="7">
        <f>IF(Transactions!I1450="",0,Transactions!I1450)</f>
        <v>0</v>
      </c>
      <c r="J1450" s="9">
        <f t="shared" si="22"/>
        <v>139.96</v>
      </c>
      <c r="K1450" t="s">
        <v>16</v>
      </c>
      <c r="L1450" t="s">
        <v>37</v>
      </c>
      <c r="M1450" t="str">
        <f>REPLACE(Transactions!M1450,1,4,"")</f>
        <v>4</v>
      </c>
    </row>
    <row r="1451" spans="1:13" x14ac:dyDescent="0.2">
      <c r="A1451">
        <v>341323</v>
      </c>
      <c r="B1451" s="5">
        <v>45121</v>
      </c>
      <c r="C1451">
        <v>60055</v>
      </c>
      <c r="D1451" t="str">
        <f>PROPER(Transactions!D1451)</f>
        <v>Beauty</v>
      </c>
      <c r="E1451" t="s">
        <v>109</v>
      </c>
      <c r="F1451" t="s">
        <v>110</v>
      </c>
      <c r="G1451">
        <v>3</v>
      </c>
      <c r="H1451">
        <v>4.8899999999999997</v>
      </c>
      <c r="I1451" s="7">
        <f>IF(Transactions!I1451="",0,Transactions!I1451)</f>
        <v>0.3</v>
      </c>
      <c r="J1451" s="9">
        <f t="shared" si="22"/>
        <v>10.268999999999998</v>
      </c>
      <c r="K1451" t="s">
        <v>16</v>
      </c>
      <c r="L1451" t="s">
        <v>17</v>
      </c>
      <c r="M1451" t="str">
        <f>REPLACE(Transactions!M1451,1,4,"")</f>
        <v>6</v>
      </c>
    </row>
    <row r="1452" spans="1:13" x14ac:dyDescent="0.2">
      <c r="A1452">
        <v>341512</v>
      </c>
      <c r="B1452" s="5">
        <v>44985</v>
      </c>
      <c r="C1452">
        <v>89117</v>
      </c>
      <c r="D1452" t="str">
        <f>PROPER(Transactions!D1452)</f>
        <v>Automotive</v>
      </c>
      <c r="E1452" t="s">
        <v>111</v>
      </c>
      <c r="F1452" t="s">
        <v>112</v>
      </c>
      <c r="G1452">
        <v>2</v>
      </c>
      <c r="H1452">
        <v>11.24</v>
      </c>
      <c r="I1452" s="7">
        <f>IF(Transactions!I1452="",0,Transactions!I1452)</f>
        <v>0.25</v>
      </c>
      <c r="J1452" s="9">
        <f t="shared" si="22"/>
        <v>16.86</v>
      </c>
      <c r="K1452" t="s">
        <v>22</v>
      </c>
      <c r="L1452" t="s">
        <v>17</v>
      </c>
      <c r="M1452" t="str">
        <f>REPLACE(Transactions!M1452,1,4,"")</f>
        <v>11</v>
      </c>
    </row>
    <row r="1453" spans="1:13" x14ac:dyDescent="0.2">
      <c r="A1453">
        <v>341644</v>
      </c>
      <c r="B1453" s="5">
        <v>45166</v>
      </c>
      <c r="C1453">
        <v>36714</v>
      </c>
      <c r="D1453" t="str">
        <f>PROPER(Transactions!D1453)</f>
        <v>Automotive</v>
      </c>
      <c r="E1453" t="s">
        <v>111</v>
      </c>
      <c r="F1453" t="s">
        <v>112</v>
      </c>
      <c r="G1453">
        <v>1</v>
      </c>
      <c r="H1453">
        <v>11.99</v>
      </c>
      <c r="I1453" s="7">
        <f>IF(Transactions!I1453="",0,Transactions!I1453)</f>
        <v>0</v>
      </c>
      <c r="J1453" s="9">
        <f t="shared" si="22"/>
        <v>11.99</v>
      </c>
      <c r="K1453" t="s">
        <v>36</v>
      </c>
      <c r="L1453" t="s">
        <v>17</v>
      </c>
      <c r="M1453" t="str">
        <f>REPLACE(Transactions!M1453,1,4,"")</f>
        <v>6</v>
      </c>
    </row>
    <row r="1454" spans="1:13" x14ac:dyDescent="0.2">
      <c r="A1454">
        <v>341856</v>
      </c>
      <c r="B1454" s="5">
        <v>45337</v>
      </c>
      <c r="C1454">
        <v>88088</v>
      </c>
      <c r="D1454" t="str">
        <f>PROPER(Transactions!D1454)</f>
        <v>Furniture</v>
      </c>
      <c r="E1454" t="s">
        <v>113</v>
      </c>
      <c r="F1454" t="s">
        <v>114</v>
      </c>
      <c r="G1454">
        <v>4</v>
      </c>
      <c r="H1454">
        <v>113.99</v>
      </c>
      <c r="I1454" s="7">
        <f>IF(Transactions!I1454="",0,Transactions!I1454)</f>
        <v>0.05</v>
      </c>
      <c r="J1454" s="9">
        <f t="shared" si="22"/>
        <v>433.16199999999998</v>
      </c>
      <c r="K1454" t="s">
        <v>36</v>
      </c>
      <c r="L1454" t="s">
        <v>37</v>
      </c>
      <c r="M1454" t="str">
        <f>REPLACE(Transactions!M1454,1,4,"")</f>
        <v>19</v>
      </c>
    </row>
    <row r="1455" spans="1:13" x14ac:dyDescent="0.2">
      <c r="A1455">
        <v>341883</v>
      </c>
      <c r="B1455" s="5">
        <v>44821</v>
      </c>
      <c r="C1455">
        <v>26726</v>
      </c>
      <c r="D1455" t="str">
        <f>PROPER(Transactions!D1455)</f>
        <v>Toys</v>
      </c>
      <c r="E1455" t="s">
        <v>88</v>
      </c>
      <c r="F1455" t="s">
        <v>89</v>
      </c>
      <c r="G1455">
        <v>2</v>
      </c>
      <c r="H1455">
        <v>49.99</v>
      </c>
      <c r="I1455" s="7">
        <f>IF(Transactions!I1455="",0,Transactions!I1455)</f>
        <v>0</v>
      </c>
      <c r="J1455" s="9">
        <f t="shared" si="22"/>
        <v>99.98</v>
      </c>
      <c r="K1455" t="s">
        <v>66</v>
      </c>
      <c r="L1455" t="s">
        <v>17</v>
      </c>
      <c r="M1455" t="str">
        <f>REPLACE(Transactions!M1455,1,4,"")</f>
        <v>4</v>
      </c>
    </row>
    <row r="1456" spans="1:13" x14ac:dyDescent="0.2">
      <c r="A1456">
        <v>341902</v>
      </c>
      <c r="B1456" s="5">
        <v>44731</v>
      </c>
      <c r="C1456">
        <v>89604</v>
      </c>
      <c r="D1456" t="str">
        <f>PROPER(Transactions!D1456)</f>
        <v>Beauty</v>
      </c>
      <c r="E1456" t="s">
        <v>139</v>
      </c>
      <c r="F1456" t="s">
        <v>140</v>
      </c>
      <c r="G1456">
        <v>2</v>
      </c>
      <c r="H1456">
        <v>7.99</v>
      </c>
      <c r="I1456" s="7">
        <f>IF(Transactions!I1456="",0,Transactions!I1456)</f>
        <v>0</v>
      </c>
      <c r="J1456" s="9">
        <f t="shared" si="22"/>
        <v>15.98</v>
      </c>
      <c r="K1456" t="s">
        <v>16</v>
      </c>
      <c r="L1456" t="s">
        <v>17</v>
      </c>
      <c r="M1456" t="str">
        <f>REPLACE(Transactions!M1456,1,4,"")</f>
        <v>14</v>
      </c>
    </row>
    <row r="1457" spans="1:13" x14ac:dyDescent="0.2">
      <c r="A1457">
        <v>342129</v>
      </c>
      <c r="B1457" s="5">
        <v>45108</v>
      </c>
      <c r="C1457">
        <v>72469</v>
      </c>
      <c r="D1457" t="str">
        <f>PROPER(Transactions!D1457)</f>
        <v>Grocery</v>
      </c>
      <c r="E1457" t="s">
        <v>184</v>
      </c>
      <c r="F1457" t="s">
        <v>185</v>
      </c>
      <c r="G1457">
        <v>2</v>
      </c>
      <c r="H1457">
        <v>5.22</v>
      </c>
      <c r="I1457" s="7">
        <f>IF(Transactions!I1457="",0,Transactions!I1457)</f>
        <v>0.05</v>
      </c>
      <c r="J1457" s="9">
        <f t="shared" si="22"/>
        <v>9.9179999999999993</v>
      </c>
      <c r="K1457" t="s">
        <v>22</v>
      </c>
      <c r="L1457" t="s">
        <v>17</v>
      </c>
      <c r="M1457" t="str">
        <f>REPLACE(Transactions!M1457,1,4,"")</f>
        <v>7</v>
      </c>
    </row>
    <row r="1458" spans="1:13" x14ac:dyDescent="0.2">
      <c r="A1458">
        <v>342280</v>
      </c>
      <c r="B1458" s="5">
        <v>45391</v>
      </c>
      <c r="C1458">
        <v>13660</v>
      </c>
      <c r="D1458" t="str">
        <f>PROPER(Transactions!D1458)</f>
        <v>Automotive</v>
      </c>
      <c r="E1458" t="s">
        <v>131</v>
      </c>
      <c r="F1458" t="s">
        <v>132</v>
      </c>
      <c r="G1458">
        <v>5</v>
      </c>
      <c r="H1458">
        <v>3.32</v>
      </c>
      <c r="I1458" s="7">
        <f>IF(Transactions!I1458="",0,Transactions!I1458)</f>
        <v>0.05</v>
      </c>
      <c r="J1458" s="9">
        <f t="shared" si="22"/>
        <v>15.769999999999998</v>
      </c>
      <c r="K1458" t="s">
        <v>22</v>
      </c>
      <c r="L1458" t="s">
        <v>17</v>
      </c>
      <c r="M1458" t="str">
        <f>REPLACE(Transactions!M1458,1,4,"")</f>
        <v>18</v>
      </c>
    </row>
    <row r="1459" spans="1:13" x14ac:dyDescent="0.2">
      <c r="A1459">
        <v>342282</v>
      </c>
      <c r="B1459" s="5">
        <v>45085</v>
      </c>
      <c r="C1459">
        <v>66068</v>
      </c>
      <c r="D1459" t="str">
        <f>PROPER(Transactions!D1459)</f>
        <v>Pharmacy</v>
      </c>
      <c r="E1459" t="s">
        <v>197</v>
      </c>
      <c r="F1459" t="s">
        <v>198</v>
      </c>
      <c r="G1459">
        <v>1</v>
      </c>
      <c r="H1459">
        <v>14.99</v>
      </c>
      <c r="I1459" s="7">
        <f>IF(Transactions!I1459="",0,Transactions!I1459)</f>
        <v>0</v>
      </c>
      <c r="J1459" s="9">
        <f t="shared" si="22"/>
        <v>14.99</v>
      </c>
      <c r="K1459" t="s">
        <v>36</v>
      </c>
      <c r="L1459" t="s">
        <v>37</v>
      </c>
      <c r="M1459" t="str">
        <f>REPLACE(Transactions!M1459,1,4,"")</f>
        <v>19</v>
      </c>
    </row>
    <row r="1460" spans="1:13" x14ac:dyDescent="0.2">
      <c r="A1460">
        <v>342291</v>
      </c>
      <c r="B1460" s="5">
        <v>45599</v>
      </c>
      <c r="C1460">
        <v>83652</v>
      </c>
      <c r="D1460" t="str">
        <f>PROPER(Transactions!D1460)</f>
        <v>Pharmacy</v>
      </c>
      <c r="E1460" t="s">
        <v>197</v>
      </c>
      <c r="F1460" t="s">
        <v>198</v>
      </c>
      <c r="G1460">
        <v>3</v>
      </c>
      <c r="H1460">
        <v>10.49</v>
      </c>
      <c r="I1460" s="7">
        <f>IF(Transactions!I1460="",0,Transactions!I1460)</f>
        <v>0.3</v>
      </c>
      <c r="J1460" s="9">
        <f t="shared" si="22"/>
        <v>22.028999999999996</v>
      </c>
      <c r="K1460" t="s">
        <v>95</v>
      </c>
      <c r="L1460" t="s">
        <v>37</v>
      </c>
      <c r="M1460" t="str">
        <f>REPLACE(Transactions!M1460,1,4,"")</f>
        <v>1</v>
      </c>
    </row>
    <row r="1461" spans="1:13" x14ac:dyDescent="0.2">
      <c r="A1461">
        <v>342335</v>
      </c>
      <c r="B1461" s="5">
        <v>45405</v>
      </c>
      <c r="C1461">
        <v>91139</v>
      </c>
      <c r="D1461" t="str">
        <f>PROPER(Transactions!D1461)</f>
        <v>Furniture</v>
      </c>
      <c r="E1461" t="s">
        <v>51</v>
      </c>
      <c r="F1461" t="s">
        <v>52</v>
      </c>
      <c r="G1461">
        <v>5</v>
      </c>
      <c r="H1461">
        <v>27.99</v>
      </c>
      <c r="I1461" s="7">
        <f>IF(Transactions!I1461="",0,Transactions!I1461)</f>
        <v>0</v>
      </c>
      <c r="J1461" s="9">
        <f t="shared" si="22"/>
        <v>139.94999999999999</v>
      </c>
      <c r="K1461" t="s">
        <v>95</v>
      </c>
      <c r="L1461" t="s">
        <v>37</v>
      </c>
      <c r="M1461" t="str">
        <f>REPLACE(Transactions!M1461,1,4,"")</f>
        <v>3</v>
      </c>
    </row>
    <row r="1462" spans="1:13" x14ac:dyDescent="0.2">
      <c r="A1462">
        <v>342465</v>
      </c>
      <c r="B1462" s="5">
        <v>44638</v>
      </c>
      <c r="C1462">
        <v>30443</v>
      </c>
      <c r="D1462" t="str">
        <f>PROPER(Transactions!D1462)</f>
        <v>Grocery</v>
      </c>
      <c r="E1462" t="s">
        <v>184</v>
      </c>
      <c r="F1462" t="s">
        <v>185</v>
      </c>
      <c r="G1462">
        <v>2</v>
      </c>
      <c r="H1462">
        <v>4.12</v>
      </c>
      <c r="I1462" s="7">
        <f>IF(Transactions!I1462="",0,Transactions!I1462)</f>
        <v>0.25</v>
      </c>
      <c r="J1462" s="9">
        <f t="shared" si="22"/>
        <v>6.18</v>
      </c>
      <c r="K1462" t="s">
        <v>36</v>
      </c>
      <c r="L1462" t="s">
        <v>17</v>
      </c>
      <c r="M1462" t="str">
        <f>REPLACE(Transactions!M1462,1,4,"")</f>
        <v>13</v>
      </c>
    </row>
    <row r="1463" spans="1:13" x14ac:dyDescent="0.2">
      <c r="A1463">
        <v>342525</v>
      </c>
      <c r="B1463" s="5">
        <v>45018</v>
      </c>
      <c r="C1463">
        <v>91151</v>
      </c>
      <c r="D1463" t="str">
        <f>PROPER(Transactions!D1463)</f>
        <v>Beauty</v>
      </c>
      <c r="E1463" t="s">
        <v>49</v>
      </c>
      <c r="F1463" t="s">
        <v>50</v>
      </c>
      <c r="G1463">
        <v>2</v>
      </c>
      <c r="H1463">
        <v>6.29</v>
      </c>
      <c r="I1463" s="7">
        <f>IF(Transactions!I1463="",0,Transactions!I1463)</f>
        <v>0.3</v>
      </c>
      <c r="J1463" s="9">
        <f t="shared" si="22"/>
        <v>8.8059999999999992</v>
      </c>
      <c r="K1463" t="s">
        <v>66</v>
      </c>
      <c r="L1463" t="s">
        <v>17</v>
      </c>
      <c r="M1463" t="str">
        <f>REPLACE(Transactions!M1463,1,4,"")</f>
        <v>6</v>
      </c>
    </row>
    <row r="1464" spans="1:13" x14ac:dyDescent="0.2">
      <c r="A1464">
        <v>342849</v>
      </c>
      <c r="B1464" s="5">
        <v>45145</v>
      </c>
      <c r="C1464">
        <v>85356</v>
      </c>
      <c r="D1464" t="str">
        <f>PROPER(Transactions!D1464)</f>
        <v>Grocery</v>
      </c>
      <c r="E1464" t="s">
        <v>74</v>
      </c>
      <c r="F1464" t="s">
        <v>75</v>
      </c>
      <c r="G1464">
        <v>1</v>
      </c>
      <c r="H1464">
        <v>2.99</v>
      </c>
      <c r="I1464" s="7">
        <f>IF(Transactions!I1464="",0,Transactions!I1464)</f>
        <v>0</v>
      </c>
      <c r="J1464" s="9">
        <f t="shared" si="22"/>
        <v>2.99</v>
      </c>
      <c r="K1464" t="s">
        <v>22</v>
      </c>
      <c r="L1464" t="s">
        <v>17</v>
      </c>
      <c r="M1464" t="str">
        <f>REPLACE(Transactions!M1464,1,4,"")</f>
        <v>16</v>
      </c>
    </row>
    <row r="1465" spans="1:13" x14ac:dyDescent="0.2">
      <c r="A1465">
        <v>343085</v>
      </c>
      <c r="B1465" s="5">
        <v>45049</v>
      </c>
      <c r="C1465">
        <v>89576</v>
      </c>
      <c r="D1465" t="str">
        <f>PROPER(Transactions!D1465)</f>
        <v>Furniture</v>
      </c>
      <c r="E1465" t="s">
        <v>60</v>
      </c>
      <c r="F1465" t="s">
        <v>61</v>
      </c>
      <c r="G1465">
        <v>1</v>
      </c>
      <c r="H1465">
        <v>43.99</v>
      </c>
      <c r="I1465" s="7">
        <f>IF(Transactions!I1465="",0,Transactions!I1465)</f>
        <v>0.2</v>
      </c>
      <c r="J1465" s="9">
        <f t="shared" si="22"/>
        <v>35.192</v>
      </c>
      <c r="K1465" t="s">
        <v>16</v>
      </c>
      <c r="L1465" t="s">
        <v>23</v>
      </c>
      <c r="M1465" t="str">
        <f>REPLACE(Transactions!M1465,1,4,"")</f>
        <v>8</v>
      </c>
    </row>
    <row r="1466" spans="1:13" x14ac:dyDescent="0.2">
      <c r="A1466">
        <v>343167</v>
      </c>
      <c r="B1466" s="5">
        <v>45162</v>
      </c>
      <c r="C1466">
        <v>49080</v>
      </c>
      <c r="D1466" t="str">
        <f>PROPER(Transactions!D1466)</f>
        <v>Beauty</v>
      </c>
      <c r="E1466" t="s">
        <v>118</v>
      </c>
      <c r="F1466" t="s">
        <v>119</v>
      </c>
      <c r="G1466">
        <v>5</v>
      </c>
      <c r="H1466">
        <v>4.99</v>
      </c>
      <c r="I1466" s="7">
        <f>IF(Transactions!I1466="",0,Transactions!I1466)</f>
        <v>0</v>
      </c>
      <c r="J1466" s="9">
        <f t="shared" si="22"/>
        <v>24.950000000000003</v>
      </c>
      <c r="K1466" t="s">
        <v>53</v>
      </c>
      <c r="L1466" t="s">
        <v>17</v>
      </c>
      <c r="M1466" t="str">
        <f>REPLACE(Transactions!M1466,1,4,"")</f>
        <v>5</v>
      </c>
    </row>
    <row r="1467" spans="1:13" x14ac:dyDescent="0.2">
      <c r="A1467">
        <v>343243</v>
      </c>
      <c r="B1467" s="5">
        <v>45468</v>
      </c>
      <c r="C1467">
        <v>84837</v>
      </c>
      <c r="D1467" t="str">
        <f>PROPER(Transactions!D1467)</f>
        <v>Pharmacy</v>
      </c>
      <c r="E1467" t="s">
        <v>58</v>
      </c>
      <c r="F1467" t="s">
        <v>59</v>
      </c>
      <c r="G1467">
        <v>2</v>
      </c>
      <c r="H1467">
        <v>3.99</v>
      </c>
      <c r="I1467" s="7">
        <f>IF(Transactions!I1467="",0,Transactions!I1467)</f>
        <v>0</v>
      </c>
      <c r="J1467" s="9">
        <f t="shared" si="22"/>
        <v>7.98</v>
      </c>
      <c r="K1467" t="s">
        <v>32</v>
      </c>
      <c r="L1467" t="s">
        <v>17</v>
      </c>
      <c r="M1467" t="str">
        <f>REPLACE(Transactions!M1467,1,4,"")</f>
        <v>18</v>
      </c>
    </row>
    <row r="1468" spans="1:13" x14ac:dyDescent="0.2">
      <c r="A1468">
        <v>343718</v>
      </c>
      <c r="B1468" s="5">
        <v>45360</v>
      </c>
      <c r="C1468">
        <v>31412</v>
      </c>
      <c r="D1468" t="str">
        <f>PROPER(Transactions!D1468)</f>
        <v>Clothing</v>
      </c>
      <c r="E1468" t="s">
        <v>151</v>
      </c>
      <c r="F1468" t="s">
        <v>152</v>
      </c>
      <c r="G1468">
        <v>1</v>
      </c>
      <c r="H1468">
        <v>29.74</v>
      </c>
      <c r="I1468" s="7">
        <f>IF(Transactions!I1468="",0,Transactions!I1468)</f>
        <v>0.15</v>
      </c>
      <c r="J1468" s="9">
        <f t="shared" si="22"/>
        <v>25.278999999999996</v>
      </c>
      <c r="K1468" t="s">
        <v>22</v>
      </c>
      <c r="L1468" t="s">
        <v>17</v>
      </c>
      <c r="M1468" t="str">
        <f>REPLACE(Transactions!M1468,1,4,"")</f>
        <v>4</v>
      </c>
    </row>
    <row r="1469" spans="1:13" x14ac:dyDescent="0.2">
      <c r="A1469">
        <v>343779</v>
      </c>
      <c r="B1469" s="5">
        <v>45632</v>
      </c>
      <c r="C1469">
        <v>10958</v>
      </c>
      <c r="D1469" t="str">
        <f>PROPER(Transactions!D1469)</f>
        <v>Furniture</v>
      </c>
      <c r="E1469" t="s">
        <v>113</v>
      </c>
      <c r="F1469" t="s">
        <v>114</v>
      </c>
      <c r="G1469">
        <v>3</v>
      </c>
      <c r="H1469">
        <v>107.99</v>
      </c>
      <c r="I1469" s="7">
        <f>IF(Transactions!I1469="",0,Transactions!I1469)</f>
        <v>0.1</v>
      </c>
      <c r="J1469" s="9">
        <f t="shared" si="22"/>
        <v>291.57299999999998</v>
      </c>
      <c r="K1469" t="s">
        <v>22</v>
      </c>
      <c r="L1469" t="s">
        <v>17</v>
      </c>
      <c r="M1469" t="str">
        <f>REPLACE(Transactions!M1469,1,4,"")</f>
        <v>15</v>
      </c>
    </row>
    <row r="1470" spans="1:13" x14ac:dyDescent="0.2">
      <c r="A1470">
        <v>343813</v>
      </c>
      <c r="B1470" s="5">
        <v>45493</v>
      </c>
      <c r="C1470">
        <v>55456</v>
      </c>
      <c r="D1470" t="str">
        <f>PROPER(Transactions!D1470)</f>
        <v>Toys</v>
      </c>
      <c r="E1470" t="s">
        <v>30</v>
      </c>
      <c r="F1470" t="s">
        <v>31</v>
      </c>
      <c r="G1470">
        <v>2</v>
      </c>
      <c r="H1470">
        <v>23.74</v>
      </c>
      <c r="I1470" s="7">
        <f>IF(Transactions!I1470="",0,Transactions!I1470)</f>
        <v>0.05</v>
      </c>
      <c r="J1470" s="9">
        <f t="shared" si="22"/>
        <v>45.105999999999995</v>
      </c>
      <c r="K1470" t="s">
        <v>22</v>
      </c>
      <c r="L1470" t="s">
        <v>37</v>
      </c>
      <c r="M1470" t="str">
        <f>REPLACE(Transactions!M1470,1,4,"")</f>
        <v>6</v>
      </c>
    </row>
    <row r="1471" spans="1:13" x14ac:dyDescent="0.2">
      <c r="A1471">
        <v>344003</v>
      </c>
      <c r="B1471" s="5">
        <v>45613</v>
      </c>
      <c r="C1471">
        <v>31252</v>
      </c>
      <c r="D1471" t="str">
        <f>PROPER(Transactions!D1471)</f>
        <v>Toys</v>
      </c>
      <c r="E1471" t="s">
        <v>72</v>
      </c>
      <c r="F1471" t="s">
        <v>73</v>
      </c>
      <c r="G1471">
        <v>1</v>
      </c>
      <c r="H1471">
        <v>39.99</v>
      </c>
      <c r="I1471" s="7">
        <f>IF(Transactions!I1471="",0,Transactions!I1471)</f>
        <v>0</v>
      </c>
      <c r="J1471" s="9">
        <f t="shared" si="22"/>
        <v>39.99</v>
      </c>
      <c r="K1471" t="s">
        <v>16</v>
      </c>
      <c r="L1471" t="s">
        <v>17</v>
      </c>
      <c r="M1471" t="str">
        <f>REPLACE(Transactions!M1471,1,4,"")</f>
        <v>20</v>
      </c>
    </row>
    <row r="1472" spans="1:13" x14ac:dyDescent="0.2">
      <c r="A1472">
        <v>344703</v>
      </c>
      <c r="B1472" s="5">
        <v>45376</v>
      </c>
      <c r="C1472">
        <v>65834</v>
      </c>
      <c r="D1472" t="str">
        <f>PROPER(Transactions!D1472)</f>
        <v>Automotive</v>
      </c>
      <c r="E1472" t="s">
        <v>68</v>
      </c>
      <c r="F1472" t="s">
        <v>69</v>
      </c>
      <c r="G1472">
        <v>5</v>
      </c>
      <c r="H1472">
        <v>19.989999999999998</v>
      </c>
      <c r="I1472" s="7">
        <f>IF(Transactions!I1472="",0,Transactions!I1472)</f>
        <v>0.2</v>
      </c>
      <c r="J1472" s="9">
        <f t="shared" si="22"/>
        <v>79.959999999999994</v>
      </c>
      <c r="K1472" t="s">
        <v>36</v>
      </c>
      <c r="L1472" t="s">
        <v>37</v>
      </c>
      <c r="M1472" t="str">
        <f>REPLACE(Transactions!M1472,1,4,"")</f>
        <v>13</v>
      </c>
    </row>
    <row r="1473" spans="1:13" x14ac:dyDescent="0.2">
      <c r="A1473">
        <v>344944</v>
      </c>
      <c r="B1473" s="5">
        <v>45551</v>
      </c>
      <c r="D1473" t="str">
        <f>PROPER(Transactions!D1473)</f>
        <v>Electronics</v>
      </c>
      <c r="E1473" t="s">
        <v>159</v>
      </c>
      <c r="F1473" t="s">
        <v>160</v>
      </c>
      <c r="G1473">
        <v>3</v>
      </c>
      <c r="H1473">
        <v>59.99</v>
      </c>
      <c r="I1473" s="7">
        <f>IF(Transactions!I1473="",0,Transactions!I1473)</f>
        <v>0</v>
      </c>
      <c r="J1473" s="9">
        <f t="shared" si="22"/>
        <v>179.97</v>
      </c>
      <c r="K1473" t="s">
        <v>36</v>
      </c>
      <c r="L1473" t="s">
        <v>23</v>
      </c>
      <c r="M1473" t="str">
        <f>REPLACE(Transactions!M1473,1,4,"")</f>
        <v>1</v>
      </c>
    </row>
    <row r="1474" spans="1:13" x14ac:dyDescent="0.2">
      <c r="A1474">
        <v>345013</v>
      </c>
      <c r="B1474" s="5">
        <v>45280</v>
      </c>
      <c r="C1474">
        <v>88326</v>
      </c>
      <c r="D1474" t="str">
        <f>PROPER(Transactions!D1474)</f>
        <v>Pharmacy</v>
      </c>
      <c r="E1474" t="s">
        <v>20</v>
      </c>
      <c r="F1474" t="s">
        <v>21</v>
      </c>
      <c r="G1474">
        <v>3</v>
      </c>
      <c r="H1474">
        <v>9.99</v>
      </c>
      <c r="I1474" s="7">
        <f>IF(Transactions!I1474="",0,Transactions!I1474)</f>
        <v>0</v>
      </c>
      <c r="J1474" s="9">
        <f t="shared" si="22"/>
        <v>29.97</v>
      </c>
      <c r="K1474" t="s">
        <v>36</v>
      </c>
      <c r="L1474" t="s">
        <v>37</v>
      </c>
      <c r="M1474" t="str">
        <f>REPLACE(Transactions!M1474,1,4,"")</f>
        <v>2</v>
      </c>
    </row>
    <row r="1475" spans="1:13" x14ac:dyDescent="0.2">
      <c r="A1475">
        <v>345022</v>
      </c>
      <c r="B1475" s="5">
        <v>45341</v>
      </c>
      <c r="C1475">
        <v>27999</v>
      </c>
      <c r="D1475" t="str">
        <f>PROPER(Transactions!D1475)</f>
        <v>Grocery</v>
      </c>
      <c r="E1475" t="s">
        <v>74</v>
      </c>
      <c r="F1475" t="s">
        <v>75</v>
      </c>
      <c r="G1475">
        <v>1</v>
      </c>
      <c r="H1475">
        <v>2.84</v>
      </c>
      <c r="I1475" s="7">
        <f>IF(Transactions!I1475="",0,Transactions!I1475)</f>
        <v>0.05</v>
      </c>
      <c r="J1475" s="9">
        <f t="shared" ref="J1475:J1538" si="23">(H1475*G1475)*(1-I1475)</f>
        <v>2.698</v>
      </c>
      <c r="K1475" t="s">
        <v>22</v>
      </c>
      <c r="L1475" t="s">
        <v>17</v>
      </c>
      <c r="M1475" t="str">
        <f>REPLACE(Transactions!M1475,1,4,"")</f>
        <v>6</v>
      </c>
    </row>
    <row r="1476" spans="1:13" x14ac:dyDescent="0.2">
      <c r="A1476">
        <v>345226</v>
      </c>
      <c r="B1476" s="5">
        <v>44910</v>
      </c>
      <c r="C1476">
        <v>89214</v>
      </c>
      <c r="D1476" t="str">
        <f>PROPER(Transactions!D1476)</f>
        <v>Toys</v>
      </c>
      <c r="E1476" t="s">
        <v>88</v>
      </c>
      <c r="F1476" t="s">
        <v>89</v>
      </c>
      <c r="G1476">
        <v>2</v>
      </c>
      <c r="H1476">
        <v>37.49</v>
      </c>
      <c r="I1476" s="7">
        <f>IF(Transactions!I1476="",0,Transactions!I1476)</f>
        <v>0.25</v>
      </c>
      <c r="J1476" s="9">
        <f t="shared" si="23"/>
        <v>56.234999999999999</v>
      </c>
      <c r="K1476" t="s">
        <v>22</v>
      </c>
      <c r="L1476" t="s">
        <v>17</v>
      </c>
      <c r="M1476" t="str">
        <f>REPLACE(Transactions!M1476,1,4,"")</f>
        <v>19</v>
      </c>
    </row>
    <row r="1477" spans="1:13" x14ac:dyDescent="0.2">
      <c r="A1477">
        <v>345334</v>
      </c>
      <c r="B1477" s="5">
        <v>45378</v>
      </c>
      <c r="C1477">
        <v>84575</v>
      </c>
      <c r="D1477" t="str">
        <f>PROPER(Transactions!D1477)</f>
        <v>Grocery</v>
      </c>
      <c r="E1477" t="s">
        <v>91</v>
      </c>
      <c r="F1477" t="s">
        <v>92</v>
      </c>
      <c r="G1477">
        <v>5</v>
      </c>
      <c r="H1477">
        <v>4.72</v>
      </c>
      <c r="I1477" s="7">
        <f>IF(Transactions!I1477="",0,Transactions!I1477)</f>
        <v>0.25</v>
      </c>
      <c r="J1477" s="9">
        <f t="shared" si="23"/>
        <v>17.7</v>
      </c>
      <c r="K1477" t="s">
        <v>22</v>
      </c>
      <c r="L1477" t="s">
        <v>17</v>
      </c>
      <c r="M1477" t="str">
        <f>REPLACE(Transactions!M1477,1,4,"")</f>
        <v>15</v>
      </c>
    </row>
    <row r="1478" spans="1:13" x14ac:dyDescent="0.2">
      <c r="A1478">
        <v>345386</v>
      </c>
      <c r="B1478" s="5">
        <v>45036</v>
      </c>
      <c r="C1478">
        <v>57349</v>
      </c>
      <c r="D1478" t="str">
        <f>PROPER(Transactions!D1478)</f>
        <v>Electronics</v>
      </c>
      <c r="E1478" t="s">
        <v>34</v>
      </c>
      <c r="F1478" t="s">
        <v>35</v>
      </c>
      <c r="G1478">
        <v>1</v>
      </c>
      <c r="H1478">
        <v>34.99</v>
      </c>
      <c r="I1478" s="7">
        <f>IF(Transactions!I1478="",0,Transactions!I1478)</f>
        <v>0</v>
      </c>
      <c r="J1478" s="9">
        <f t="shared" si="23"/>
        <v>34.99</v>
      </c>
      <c r="K1478" t="s">
        <v>95</v>
      </c>
      <c r="L1478" t="s">
        <v>17</v>
      </c>
      <c r="M1478" t="str">
        <f>REPLACE(Transactions!M1478,1,4,"")</f>
        <v>3</v>
      </c>
    </row>
    <row r="1479" spans="1:13" x14ac:dyDescent="0.2">
      <c r="A1479">
        <v>345406</v>
      </c>
      <c r="B1479" s="5">
        <v>44814</v>
      </c>
      <c r="C1479">
        <v>65743</v>
      </c>
      <c r="D1479" t="str">
        <f>PROPER(Transactions!D1479)</f>
        <v>Pharmacy</v>
      </c>
      <c r="E1479" t="s">
        <v>20</v>
      </c>
      <c r="F1479" t="s">
        <v>21</v>
      </c>
      <c r="G1479">
        <v>1</v>
      </c>
      <c r="H1479">
        <v>7.99</v>
      </c>
      <c r="I1479" s="7">
        <f>IF(Transactions!I1479="",0,Transactions!I1479)</f>
        <v>0.2</v>
      </c>
      <c r="J1479" s="9">
        <f t="shared" si="23"/>
        <v>6.3920000000000003</v>
      </c>
      <c r="K1479" t="s">
        <v>22</v>
      </c>
      <c r="L1479" t="s">
        <v>37</v>
      </c>
      <c r="M1479" t="str">
        <f>REPLACE(Transactions!M1479,1,4,"")</f>
        <v>2</v>
      </c>
    </row>
    <row r="1480" spans="1:13" x14ac:dyDescent="0.2">
      <c r="A1480">
        <v>345645</v>
      </c>
      <c r="B1480" s="5">
        <v>45058</v>
      </c>
      <c r="C1480">
        <v>53471</v>
      </c>
      <c r="D1480" t="str">
        <f>PROPER(Transactions!D1480)</f>
        <v>Toys</v>
      </c>
      <c r="E1480" t="s">
        <v>30</v>
      </c>
      <c r="F1480" t="s">
        <v>31</v>
      </c>
      <c r="G1480">
        <v>2</v>
      </c>
      <c r="H1480">
        <v>17.489999999999998</v>
      </c>
      <c r="I1480" s="7">
        <f>IF(Transactions!I1480="",0,Transactions!I1480)</f>
        <v>0.3</v>
      </c>
      <c r="J1480" s="9">
        <f t="shared" si="23"/>
        <v>24.485999999999997</v>
      </c>
      <c r="K1480" t="s">
        <v>22</v>
      </c>
      <c r="L1480" t="s">
        <v>17</v>
      </c>
      <c r="M1480" t="str">
        <f>REPLACE(Transactions!M1480,1,4,"")</f>
        <v>18</v>
      </c>
    </row>
    <row r="1481" spans="1:13" x14ac:dyDescent="0.2">
      <c r="A1481">
        <v>345660</v>
      </c>
      <c r="B1481" s="5">
        <v>45297</v>
      </c>
      <c r="C1481">
        <v>20172</v>
      </c>
      <c r="D1481" t="str">
        <f>PROPER(Transactions!D1481)</f>
        <v>Home &amp; Garden</v>
      </c>
      <c r="E1481" t="s">
        <v>145</v>
      </c>
      <c r="F1481" t="s">
        <v>146</v>
      </c>
      <c r="G1481">
        <v>1</v>
      </c>
      <c r="H1481">
        <v>11.89</v>
      </c>
      <c r="I1481" s="7">
        <f>IF(Transactions!I1481="",0,Transactions!I1481)</f>
        <v>0.3</v>
      </c>
      <c r="J1481" s="9">
        <f t="shared" si="23"/>
        <v>8.3230000000000004</v>
      </c>
      <c r="K1481" t="s">
        <v>22</v>
      </c>
      <c r="L1481" t="s">
        <v>37</v>
      </c>
      <c r="M1481" t="str">
        <f>REPLACE(Transactions!M1481,1,4,"")</f>
        <v>11</v>
      </c>
    </row>
    <row r="1482" spans="1:13" x14ac:dyDescent="0.2">
      <c r="A1482">
        <v>345770</v>
      </c>
      <c r="B1482" s="5">
        <v>44810</v>
      </c>
      <c r="C1482">
        <v>36555</v>
      </c>
      <c r="D1482" t="str">
        <f>PROPER(Transactions!D1482)</f>
        <v>Automotive</v>
      </c>
      <c r="E1482" t="s">
        <v>131</v>
      </c>
      <c r="F1482" t="s">
        <v>132</v>
      </c>
      <c r="G1482">
        <v>5</v>
      </c>
      <c r="H1482">
        <v>3.14</v>
      </c>
      <c r="I1482" s="7">
        <f>IF(Transactions!I1482="",0,Transactions!I1482)</f>
        <v>0.1</v>
      </c>
      <c r="J1482" s="9">
        <f t="shared" si="23"/>
        <v>14.13</v>
      </c>
      <c r="K1482" t="s">
        <v>53</v>
      </c>
      <c r="L1482" t="s">
        <v>37</v>
      </c>
      <c r="M1482" t="str">
        <f>REPLACE(Transactions!M1482,1,4,"")</f>
        <v>19</v>
      </c>
    </row>
    <row r="1483" spans="1:13" x14ac:dyDescent="0.2">
      <c r="A1483">
        <v>345801</v>
      </c>
      <c r="B1483" s="5">
        <v>45625</v>
      </c>
      <c r="C1483">
        <v>72067</v>
      </c>
      <c r="D1483" t="str">
        <f>PROPER(Transactions!D1483)</f>
        <v>Automotive</v>
      </c>
      <c r="E1483" t="s">
        <v>125</v>
      </c>
      <c r="F1483" t="s">
        <v>126</v>
      </c>
      <c r="G1483">
        <v>2</v>
      </c>
      <c r="H1483">
        <v>22.49</v>
      </c>
      <c r="I1483" s="7">
        <f>IF(Transactions!I1483="",0,Transactions!I1483)</f>
        <v>0.25</v>
      </c>
      <c r="J1483" s="9">
        <f t="shared" si="23"/>
        <v>33.734999999999999</v>
      </c>
      <c r="K1483" t="s">
        <v>22</v>
      </c>
      <c r="L1483" t="s">
        <v>37</v>
      </c>
      <c r="M1483" t="str">
        <f>REPLACE(Transactions!M1483,1,4,"")</f>
        <v>19</v>
      </c>
    </row>
    <row r="1484" spans="1:13" x14ac:dyDescent="0.2">
      <c r="A1484">
        <v>345945</v>
      </c>
      <c r="B1484" s="5">
        <v>45274</v>
      </c>
      <c r="C1484">
        <v>22048</v>
      </c>
      <c r="D1484" t="str">
        <f>PROPER(Transactions!D1484)</f>
        <v>Beauty</v>
      </c>
      <c r="E1484" t="s">
        <v>109</v>
      </c>
      <c r="F1484" t="s">
        <v>110</v>
      </c>
      <c r="G1484">
        <v>4</v>
      </c>
      <c r="H1484">
        <v>5.59</v>
      </c>
      <c r="I1484" s="7">
        <f>IF(Transactions!I1484="",0,Transactions!I1484)</f>
        <v>0.2</v>
      </c>
      <c r="J1484" s="9">
        <f t="shared" si="23"/>
        <v>17.888000000000002</v>
      </c>
      <c r="K1484" t="s">
        <v>36</v>
      </c>
      <c r="L1484" t="s">
        <v>17</v>
      </c>
      <c r="M1484" t="str">
        <f>REPLACE(Transactions!M1484,1,4,"")</f>
        <v>17</v>
      </c>
    </row>
    <row r="1485" spans="1:13" x14ac:dyDescent="0.2">
      <c r="A1485">
        <v>346004</v>
      </c>
      <c r="B1485" s="5">
        <v>45545</v>
      </c>
      <c r="C1485">
        <v>83099</v>
      </c>
      <c r="D1485" t="str">
        <f>PROPER(Transactions!D1485)</f>
        <v>Home &amp; Garden</v>
      </c>
      <c r="E1485" t="s">
        <v>157</v>
      </c>
      <c r="F1485" t="s">
        <v>158</v>
      </c>
      <c r="G1485">
        <v>5</v>
      </c>
      <c r="H1485">
        <v>13.49</v>
      </c>
      <c r="I1485" s="7">
        <f>IF(Transactions!I1485="",0,Transactions!I1485)</f>
        <v>0</v>
      </c>
      <c r="J1485" s="9">
        <f t="shared" si="23"/>
        <v>67.45</v>
      </c>
      <c r="K1485" t="s">
        <v>32</v>
      </c>
      <c r="L1485" t="s">
        <v>23</v>
      </c>
      <c r="M1485" t="str">
        <f>REPLACE(Transactions!M1485,1,4,"")</f>
        <v>2</v>
      </c>
    </row>
    <row r="1486" spans="1:13" x14ac:dyDescent="0.2">
      <c r="A1486">
        <v>346106</v>
      </c>
      <c r="B1486" s="5">
        <v>44706</v>
      </c>
      <c r="C1486">
        <v>19656</v>
      </c>
      <c r="D1486" t="str">
        <f>PROPER(Transactions!D1486)</f>
        <v>Beauty</v>
      </c>
      <c r="E1486" t="s">
        <v>143</v>
      </c>
      <c r="F1486" t="s">
        <v>144</v>
      </c>
      <c r="G1486">
        <v>4</v>
      </c>
      <c r="H1486">
        <v>14.24</v>
      </c>
      <c r="I1486" s="7">
        <f>IF(Transactions!I1486="",0,Transactions!I1486)</f>
        <v>0.05</v>
      </c>
      <c r="J1486" s="9">
        <f t="shared" si="23"/>
        <v>54.111999999999995</v>
      </c>
      <c r="K1486" t="s">
        <v>16</v>
      </c>
      <c r="L1486" t="s">
        <v>17</v>
      </c>
      <c r="M1486" t="str">
        <f>REPLACE(Transactions!M1486,1,4,"")</f>
        <v>3</v>
      </c>
    </row>
    <row r="1487" spans="1:13" x14ac:dyDescent="0.2">
      <c r="A1487">
        <v>346456</v>
      </c>
      <c r="B1487" s="5">
        <v>44980</v>
      </c>
      <c r="C1487">
        <v>27733</v>
      </c>
      <c r="D1487" t="str">
        <f>PROPER(Transactions!D1487)</f>
        <v>Electronics</v>
      </c>
      <c r="E1487" t="s">
        <v>127</v>
      </c>
      <c r="F1487" t="s">
        <v>128</v>
      </c>
      <c r="G1487">
        <v>1</v>
      </c>
      <c r="H1487">
        <v>16.989999999999998</v>
      </c>
      <c r="I1487" s="7">
        <f>IF(Transactions!I1487="",0,Transactions!I1487)</f>
        <v>0</v>
      </c>
      <c r="J1487" s="9">
        <f t="shared" si="23"/>
        <v>16.989999999999998</v>
      </c>
      <c r="K1487" t="s">
        <v>22</v>
      </c>
      <c r="L1487" t="s">
        <v>17</v>
      </c>
      <c r="M1487" t="str">
        <f>REPLACE(Transactions!M1487,1,4,"")</f>
        <v>5</v>
      </c>
    </row>
    <row r="1488" spans="1:13" x14ac:dyDescent="0.2">
      <c r="A1488">
        <v>346622</v>
      </c>
      <c r="B1488" s="5">
        <v>44564</v>
      </c>
      <c r="C1488">
        <v>82472</v>
      </c>
      <c r="D1488" t="str">
        <f>PROPER(Transactions!D1488)</f>
        <v>Furniture</v>
      </c>
      <c r="E1488" t="s">
        <v>26</v>
      </c>
      <c r="F1488" t="s">
        <v>27</v>
      </c>
      <c r="G1488">
        <v>1</v>
      </c>
      <c r="H1488">
        <v>34.99</v>
      </c>
      <c r="I1488" s="7">
        <f>IF(Transactions!I1488="",0,Transactions!I1488)</f>
        <v>0</v>
      </c>
      <c r="J1488" s="9">
        <f t="shared" si="23"/>
        <v>34.99</v>
      </c>
      <c r="K1488" t="s">
        <v>66</v>
      </c>
      <c r="L1488" t="s">
        <v>17</v>
      </c>
      <c r="M1488" t="str">
        <f>REPLACE(Transactions!M1488,1,4,"")</f>
        <v>1</v>
      </c>
    </row>
    <row r="1489" spans="1:13" x14ac:dyDescent="0.2">
      <c r="A1489">
        <v>346712</v>
      </c>
      <c r="B1489" s="5">
        <v>45571</v>
      </c>
      <c r="C1489">
        <v>63003</v>
      </c>
      <c r="D1489" t="str">
        <f>PROPER(Transactions!D1489)</f>
        <v>Electronics</v>
      </c>
      <c r="E1489" t="s">
        <v>186</v>
      </c>
      <c r="F1489" t="s">
        <v>187</v>
      </c>
      <c r="G1489">
        <v>5</v>
      </c>
      <c r="H1489">
        <v>49.99</v>
      </c>
      <c r="I1489" s="7">
        <f>IF(Transactions!I1489="",0,Transactions!I1489)</f>
        <v>0</v>
      </c>
      <c r="J1489" s="9">
        <f t="shared" si="23"/>
        <v>249.95000000000002</v>
      </c>
      <c r="K1489" t="s">
        <v>16</v>
      </c>
      <c r="L1489" t="s">
        <v>17</v>
      </c>
      <c r="M1489" t="str">
        <f>REPLACE(Transactions!M1489,1,4,"")</f>
        <v>16</v>
      </c>
    </row>
    <row r="1490" spans="1:13" x14ac:dyDescent="0.2">
      <c r="A1490">
        <v>346899</v>
      </c>
      <c r="B1490" s="5">
        <v>45419</v>
      </c>
      <c r="C1490">
        <v>76494</v>
      </c>
      <c r="D1490" t="str">
        <f>PROPER(Transactions!D1490)</f>
        <v>Toys</v>
      </c>
      <c r="E1490" t="s">
        <v>72</v>
      </c>
      <c r="F1490" t="s">
        <v>73</v>
      </c>
      <c r="G1490">
        <v>1</v>
      </c>
      <c r="H1490">
        <v>35.99</v>
      </c>
      <c r="I1490" s="7">
        <f>IF(Transactions!I1490="",0,Transactions!I1490)</f>
        <v>0.1</v>
      </c>
      <c r="J1490" s="9">
        <f t="shared" si="23"/>
        <v>32.391000000000005</v>
      </c>
      <c r="K1490" t="s">
        <v>32</v>
      </c>
      <c r="L1490" t="s">
        <v>17</v>
      </c>
      <c r="M1490" t="str">
        <f>REPLACE(Transactions!M1490,1,4,"")</f>
        <v>1</v>
      </c>
    </row>
    <row r="1491" spans="1:13" x14ac:dyDescent="0.2">
      <c r="A1491">
        <v>347255</v>
      </c>
      <c r="B1491" s="5">
        <v>44926</v>
      </c>
      <c r="C1491">
        <v>13069</v>
      </c>
      <c r="D1491" t="str">
        <f>PROPER(Transactions!D1491)</f>
        <v>Automotive</v>
      </c>
      <c r="E1491" t="s">
        <v>64</v>
      </c>
      <c r="F1491" t="s">
        <v>65</v>
      </c>
      <c r="G1491">
        <v>2</v>
      </c>
      <c r="H1491">
        <v>3.74</v>
      </c>
      <c r="I1491" s="7">
        <f>IF(Transactions!I1491="",0,Transactions!I1491)</f>
        <v>0.25</v>
      </c>
      <c r="J1491" s="9">
        <f t="shared" si="23"/>
        <v>5.61</v>
      </c>
      <c r="K1491" t="s">
        <v>95</v>
      </c>
      <c r="L1491" t="s">
        <v>17</v>
      </c>
      <c r="M1491" t="str">
        <f>REPLACE(Transactions!M1491,1,4,"")</f>
        <v>5</v>
      </c>
    </row>
    <row r="1492" spans="1:13" x14ac:dyDescent="0.2">
      <c r="A1492">
        <v>347349</v>
      </c>
      <c r="B1492" s="5">
        <v>45076</v>
      </c>
      <c r="C1492">
        <v>64337</v>
      </c>
      <c r="D1492" t="str">
        <f>PROPER(Transactions!D1492)</f>
        <v>Beauty</v>
      </c>
      <c r="E1492" t="s">
        <v>49</v>
      </c>
      <c r="F1492" t="s">
        <v>50</v>
      </c>
      <c r="G1492">
        <v>1</v>
      </c>
      <c r="H1492">
        <v>8.99</v>
      </c>
      <c r="I1492" s="7">
        <f>IF(Transactions!I1492="",0,Transactions!I1492)</f>
        <v>0</v>
      </c>
      <c r="J1492" s="9">
        <f t="shared" si="23"/>
        <v>8.99</v>
      </c>
      <c r="K1492" t="s">
        <v>16</v>
      </c>
      <c r="L1492" t="s">
        <v>17</v>
      </c>
      <c r="M1492" t="str">
        <f>REPLACE(Transactions!M1492,1,4,"")</f>
        <v>10</v>
      </c>
    </row>
    <row r="1493" spans="1:13" x14ac:dyDescent="0.2">
      <c r="A1493">
        <v>347403</v>
      </c>
      <c r="B1493" s="5">
        <v>45190</v>
      </c>
      <c r="C1493">
        <v>32600</v>
      </c>
      <c r="D1493" t="str">
        <f>PROPER(Transactions!D1493)</f>
        <v>Home &amp; Garden</v>
      </c>
      <c r="E1493" t="s">
        <v>86</v>
      </c>
      <c r="F1493" t="s">
        <v>87</v>
      </c>
      <c r="G1493">
        <v>1</v>
      </c>
      <c r="H1493">
        <v>12.99</v>
      </c>
      <c r="I1493" s="7">
        <f>IF(Transactions!I1493="",0,Transactions!I1493)</f>
        <v>0</v>
      </c>
      <c r="J1493" s="9">
        <f t="shared" si="23"/>
        <v>12.99</v>
      </c>
      <c r="K1493" t="s">
        <v>16</v>
      </c>
      <c r="L1493" t="s">
        <v>23</v>
      </c>
      <c r="M1493" t="str">
        <f>REPLACE(Transactions!M1493,1,4,"")</f>
        <v>10</v>
      </c>
    </row>
    <row r="1494" spans="1:13" x14ac:dyDescent="0.2">
      <c r="A1494">
        <v>347428</v>
      </c>
      <c r="B1494" s="5">
        <v>44668</v>
      </c>
      <c r="C1494">
        <v>46188</v>
      </c>
      <c r="D1494" t="str">
        <f>PROPER(Transactions!D1494)</f>
        <v>Toys</v>
      </c>
      <c r="E1494" t="s">
        <v>170</v>
      </c>
      <c r="F1494" t="s">
        <v>171</v>
      </c>
      <c r="G1494">
        <v>5</v>
      </c>
      <c r="H1494">
        <v>14.24</v>
      </c>
      <c r="I1494" s="7">
        <f>IF(Transactions!I1494="",0,Transactions!I1494)</f>
        <v>0.05</v>
      </c>
      <c r="J1494" s="9">
        <f t="shared" si="23"/>
        <v>67.64</v>
      </c>
      <c r="K1494" t="s">
        <v>16</v>
      </c>
      <c r="L1494" t="s">
        <v>17</v>
      </c>
      <c r="M1494" t="str">
        <f>REPLACE(Transactions!M1494,1,4,"")</f>
        <v>2</v>
      </c>
    </row>
    <row r="1495" spans="1:13" x14ac:dyDescent="0.2">
      <c r="A1495">
        <v>347496</v>
      </c>
      <c r="B1495" s="5">
        <v>45600</v>
      </c>
      <c r="C1495">
        <v>76649</v>
      </c>
      <c r="D1495" t="str">
        <f>PROPER(Transactions!D1495)</f>
        <v>Clothing</v>
      </c>
      <c r="E1495" t="s">
        <v>141</v>
      </c>
      <c r="F1495" t="s">
        <v>142</v>
      </c>
      <c r="G1495">
        <v>2</v>
      </c>
      <c r="H1495">
        <v>18.39</v>
      </c>
      <c r="I1495" s="7">
        <f>IF(Transactions!I1495="",0,Transactions!I1495)</f>
        <v>0.2</v>
      </c>
      <c r="J1495" s="9">
        <f t="shared" si="23"/>
        <v>29.424000000000003</v>
      </c>
      <c r="K1495" t="s">
        <v>16</v>
      </c>
      <c r="L1495" t="s">
        <v>17</v>
      </c>
      <c r="M1495" t="str">
        <f>REPLACE(Transactions!M1495,1,4,"")</f>
        <v>15</v>
      </c>
    </row>
    <row r="1496" spans="1:13" x14ac:dyDescent="0.2">
      <c r="A1496">
        <v>347582</v>
      </c>
      <c r="B1496" s="5">
        <v>45320</v>
      </c>
      <c r="C1496">
        <v>81364</v>
      </c>
      <c r="D1496" t="str">
        <f>PROPER(Transactions!D1496)</f>
        <v>Toys</v>
      </c>
      <c r="E1496" t="s">
        <v>88</v>
      </c>
      <c r="F1496" t="s">
        <v>89</v>
      </c>
      <c r="G1496">
        <v>2</v>
      </c>
      <c r="H1496">
        <v>47.49</v>
      </c>
      <c r="I1496" s="7">
        <f>IF(Transactions!I1496="",0,Transactions!I1496)</f>
        <v>0.05</v>
      </c>
      <c r="J1496" s="9">
        <f t="shared" si="23"/>
        <v>90.230999999999995</v>
      </c>
      <c r="K1496" t="s">
        <v>22</v>
      </c>
      <c r="L1496" t="s">
        <v>17</v>
      </c>
      <c r="M1496" t="str">
        <f>REPLACE(Transactions!M1496,1,4,"")</f>
        <v>18</v>
      </c>
    </row>
    <row r="1497" spans="1:13" x14ac:dyDescent="0.2">
      <c r="A1497">
        <v>347705</v>
      </c>
      <c r="B1497" s="5">
        <v>44993</v>
      </c>
      <c r="C1497">
        <v>52184</v>
      </c>
      <c r="D1497" t="str">
        <f>PROPER(Transactions!D1497)</f>
        <v>Furniture</v>
      </c>
      <c r="E1497" t="s">
        <v>26</v>
      </c>
      <c r="F1497" t="s">
        <v>27</v>
      </c>
      <c r="G1497">
        <v>1</v>
      </c>
      <c r="H1497">
        <v>29.74</v>
      </c>
      <c r="I1497" s="7">
        <f>IF(Transactions!I1497="",0,Transactions!I1497)</f>
        <v>0.15</v>
      </c>
      <c r="J1497" s="9">
        <f t="shared" si="23"/>
        <v>25.278999999999996</v>
      </c>
      <c r="K1497" t="s">
        <v>36</v>
      </c>
      <c r="L1497" t="s">
        <v>17</v>
      </c>
      <c r="M1497" t="str">
        <f>REPLACE(Transactions!M1497,1,4,"")</f>
        <v>6</v>
      </c>
    </row>
    <row r="1498" spans="1:13" x14ac:dyDescent="0.2">
      <c r="A1498">
        <v>347721</v>
      </c>
      <c r="B1498" s="5">
        <v>45525</v>
      </c>
      <c r="C1498">
        <v>20098</v>
      </c>
      <c r="D1498" t="str">
        <f>PROPER(Transactions!D1498)</f>
        <v>Furniture</v>
      </c>
      <c r="E1498" t="s">
        <v>70</v>
      </c>
      <c r="F1498" t="s">
        <v>71</v>
      </c>
      <c r="G1498">
        <v>5</v>
      </c>
      <c r="H1498">
        <v>71.989999999999995</v>
      </c>
      <c r="I1498" s="7">
        <f>IF(Transactions!I1498="",0,Transactions!I1498)</f>
        <v>0.2</v>
      </c>
      <c r="J1498" s="9">
        <f t="shared" si="23"/>
        <v>287.95999999999998</v>
      </c>
      <c r="K1498" t="s">
        <v>36</v>
      </c>
      <c r="L1498" t="s">
        <v>23</v>
      </c>
      <c r="M1498" t="str">
        <f>REPLACE(Transactions!M1498,1,4,"")</f>
        <v>17</v>
      </c>
    </row>
    <row r="1499" spans="1:13" x14ac:dyDescent="0.2">
      <c r="A1499">
        <v>347864</v>
      </c>
      <c r="B1499" s="5">
        <v>45305</v>
      </c>
      <c r="C1499">
        <v>61508</v>
      </c>
      <c r="D1499" t="str">
        <f>PROPER(Transactions!D1499)</f>
        <v>Beauty</v>
      </c>
      <c r="E1499" t="s">
        <v>49</v>
      </c>
      <c r="F1499" t="s">
        <v>50</v>
      </c>
      <c r="G1499">
        <v>2</v>
      </c>
      <c r="H1499">
        <v>8.99</v>
      </c>
      <c r="I1499" s="7">
        <f>IF(Transactions!I1499="",0,Transactions!I1499)</f>
        <v>0</v>
      </c>
      <c r="J1499" s="9">
        <f t="shared" si="23"/>
        <v>17.98</v>
      </c>
      <c r="K1499" t="s">
        <v>95</v>
      </c>
      <c r="L1499" t="s">
        <v>17</v>
      </c>
      <c r="M1499" t="str">
        <f>REPLACE(Transactions!M1499,1,4,"")</f>
        <v>16</v>
      </c>
    </row>
    <row r="1500" spans="1:13" x14ac:dyDescent="0.2">
      <c r="A1500">
        <v>347873</v>
      </c>
      <c r="B1500" s="5">
        <v>45403</v>
      </c>
      <c r="C1500">
        <v>83443</v>
      </c>
      <c r="D1500" t="str">
        <f>PROPER(Transactions!D1500)</f>
        <v>Clothing</v>
      </c>
      <c r="E1500" t="s">
        <v>181</v>
      </c>
      <c r="F1500" t="s">
        <v>182</v>
      </c>
      <c r="G1500">
        <v>5</v>
      </c>
      <c r="H1500">
        <v>13.49</v>
      </c>
      <c r="I1500" s="7">
        <f>IF(Transactions!I1500="",0,Transactions!I1500)</f>
        <v>0.1</v>
      </c>
      <c r="J1500" s="9">
        <f t="shared" si="23"/>
        <v>60.705000000000005</v>
      </c>
      <c r="K1500" t="s">
        <v>36</v>
      </c>
      <c r="L1500" t="s">
        <v>17</v>
      </c>
      <c r="M1500" t="str">
        <f>REPLACE(Transactions!M1500,1,4,"")</f>
        <v>9</v>
      </c>
    </row>
    <row r="1501" spans="1:13" x14ac:dyDescent="0.2">
      <c r="A1501">
        <v>348053</v>
      </c>
      <c r="B1501" s="5">
        <v>45273</v>
      </c>
      <c r="C1501">
        <v>58569</v>
      </c>
      <c r="D1501" t="str">
        <f>PROPER(Transactions!D1501)</f>
        <v>Toys</v>
      </c>
      <c r="E1501" t="s">
        <v>72</v>
      </c>
      <c r="F1501" t="s">
        <v>73</v>
      </c>
      <c r="G1501">
        <v>5</v>
      </c>
      <c r="H1501">
        <v>31.99</v>
      </c>
      <c r="I1501" s="7">
        <f>IF(Transactions!I1501="",0,Transactions!I1501)</f>
        <v>0.2</v>
      </c>
      <c r="J1501" s="9">
        <f t="shared" si="23"/>
        <v>127.96</v>
      </c>
      <c r="K1501" t="s">
        <v>36</v>
      </c>
      <c r="L1501" t="s">
        <v>23</v>
      </c>
      <c r="M1501" t="str">
        <f>REPLACE(Transactions!M1501,1,4,"")</f>
        <v>18</v>
      </c>
    </row>
    <row r="1502" spans="1:13" x14ac:dyDescent="0.2">
      <c r="A1502">
        <v>348089</v>
      </c>
      <c r="B1502" s="5">
        <v>45395</v>
      </c>
      <c r="C1502">
        <v>97347</v>
      </c>
      <c r="D1502" t="str">
        <f>PROPER(Transactions!D1502)</f>
        <v>Pharmacy</v>
      </c>
      <c r="E1502" t="s">
        <v>115</v>
      </c>
      <c r="F1502" t="s">
        <v>116</v>
      </c>
      <c r="G1502">
        <v>2</v>
      </c>
      <c r="H1502">
        <v>9.09</v>
      </c>
      <c r="I1502" s="7">
        <f>IF(Transactions!I1502="",0,Transactions!I1502)</f>
        <v>0.3</v>
      </c>
      <c r="J1502" s="9">
        <f t="shared" si="23"/>
        <v>12.725999999999999</v>
      </c>
      <c r="K1502" t="s">
        <v>32</v>
      </c>
      <c r="L1502" t="s">
        <v>37</v>
      </c>
      <c r="M1502" t="str">
        <f>REPLACE(Transactions!M1502,1,4,"")</f>
        <v>18</v>
      </c>
    </row>
    <row r="1503" spans="1:13" x14ac:dyDescent="0.2">
      <c r="A1503">
        <v>348537</v>
      </c>
      <c r="B1503" s="5">
        <v>45091</v>
      </c>
      <c r="C1503">
        <v>14264</v>
      </c>
      <c r="D1503" t="str">
        <f>PROPER(Transactions!D1503)</f>
        <v>Sports</v>
      </c>
      <c r="E1503" t="s">
        <v>188</v>
      </c>
      <c r="F1503" t="s">
        <v>189</v>
      </c>
      <c r="G1503">
        <v>5</v>
      </c>
      <c r="H1503">
        <v>38.24</v>
      </c>
      <c r="I1503" s="7">
        <f>IF(Transactions!I1503="",0,Transactions!I1503)</f>
        <v>0.15</v>
      </c>
      <c r="J1503" s="9">
        <f t="shared" si="23"/>
        <v>162.52000000000001</v>
      </c>
      <c r="K1503" t="s">
        <v>16</v>
      </c>
      <c r="L1503" t="s">
        <v>37</v>
      </c>
      <c r="M1503" t="str">
        <f>REPLACE(Transactions!M1503,1,4,"")</f>
        <v>9</v>
      </c>
    </row>
    <row r="1504" spans="1:13" x14ac:dyDescent="0.2">
      <c r="A1504">
        <v>348558</v>
      </c>
      <c r="B1504" s="5">
        <v>45409</v>
      </c>
      <c r="C1504">
        <v>77724</v>
      </c>
      <c r="D1504" t="str">
        <f>PROPER(Transactions!D1504)</f>
        <v>Home &amp; Garden</v>
      </c>
      <c r="E1504" t="s">
        <v>145</v>
      </c>
      <c r="F1504" t="s">
        <v>146</v>
      </c>
      <c r="G1504">
        <v>2</v>
      </c>
      <c r="H1504">
        <v>11.89</v>
      </c>
      <c r="I1504" s="7">
        <f>IF(Transactions!I1504="",0,Transactions!I1504)</f>
        <v>0.3</v>
      </c>
      <c r="J1504" s="9">
        <f t="shared" si="23"/>
        <v>16.646000000000001</v>
      </c>
      <c r="K1504" t="s">
        <v>22</v>
      </c>
      <c r="L1504" t="s">
        <v>37</v>
      </c>
      <c r="M1504" t="str">
        <f>REPLACE(Transactions!M1504,1,4,"")</f>
        <v>7</v>
      </c>
    </row>
    <row r="1505" spans="1:13" x14ac:dyDescent="0.2">
      <c r="A1505">
        <v>349563</v>
      </c>
      <c r="B1505" s="5">
        <v>45636</v>
      </c>
      <c r="D1505" t="str">
        <f>PROPER(Transactions!D1505)</f>
        <v>Automotive</v>
      </c>
      <c r="E1505" t="s">
        <v>111</v>
      </c>
      <c r="F1505" t="s">
        <v>112</v>
      </c>
      <c r="G1505">
        <v>5</v>
      </c>
      <c r="H1505">
        <v>14.99</v>
      </c>
      <c r="I1505" s="7">
        <f>IF(Transactions!I1505="",0,Transactions!I1505)</f>
        <v>0</v>
      </c>
      <c r="J1505" s="9">
        <f t="shared" si="23"/>
        <v>74.95</v>
      </c>
      <c r="K1505" t="s">
        <v>36</v>
      </c>
      <c r="L1505" t="s">
        <v>17</v>
      </c>
      <c r="M1505" t="str">
        <f>REPLACE(Transactions!M1505,1,4,"")</f>
        <v>16</v>
      </c>
    </row>
    <row r="1506" spans="1:13" x14ac:dyDescent="0.2">
      <c r="A1506">
        <v>349628</v>
      </c>
      <c r="B1506" s="5">
        <v>45331</v>
      </c>
      <c r="C1506">
        <v>53082</v>
      </c>
      <c r="D1506" t="str">
        <f>PROPER(Transactions!D1506)</f>
        <v>Toys</v>
      </c>
      <c r="E1506" t="s">
        <v>170</v>
      </c>
      <c r="F1506" t="s">
        <v>171</v>
      </c>
      <c r="G1506">
        <v>3</v>
      </c>
      <c r="H1506">
        <v>14.24</v>
      </c>
      <c r="I1506" s="7">
        <f>IF(Transactions!I1506="",0,Transactions!I1506)</f>
        <v>0.05</v>
      </c>
      <c r="J1506" s="9">
        <f t="shared" si="23"/>
        <v>40.583999999999996</v>
      </c>
      <c r="K1506" t="s">
        <v>95</v>
      </c>
      <c r="L1506" t="s">
        <v>17</v>
      </c>
      <c r="M1506" t="str">
        <f>REPLACE(Transactions!M1506,1,4,"")</f>
        <v>8</v>
      </c>
    </row>
    <row r="1507" spans="1:13" x14ac:dyDescent="0.2">
      <c r="A1507">
        <v>349854</v>
      </c>
      <c r="B1507" s="5">
        <v>45540</v>
      </c>
      <c r="C1507">
        <v>81634</v>
      </c>
      <c r="D1507" t="str">
        <f>PROPER(Transactions!D1507)</f>
        <v>Electronics</v>
      </c>
      <c r="E1507" t="s">
        <v>104</v>
      </c>
      <c r="F1507" t="s">
        <v>105</v>
      </c>
      <c r="G1507">
        <v>2</v>
      </c>
      <c r="H1507">
        <v>29.99</v>
      </c>
      <c r="I1507" s="7">
        <f>IF(Transactions!I1507="",0,Transactions!I1507)</f>
        <v>0</v>
      </c>
      <c r="J1507" s="9">
        <f t="shared" si="23"/>
        <v>59.98</v>
      </c>
      <c r="K1507" t="s">
        <v>36</v>
      </c>
      <c r="L1507" t="s">
        <v>23</v>
      </c>
      <c r="M1507" t="str">
        <f>REPLACE(Transactions!M1507,1,4,"")</f>
        <v>7</v>
      </c>
    </row>
    <row r="1508" spans="1:13" x14ac:dyDescent="0.2">
      <c r="A1508">
        <v>349913</v>
      </c>
      <c r="B1508" s="5">
        <v>44802</v>
      </c>
      <c r="C1508">
        <v>93634</v>
      </c>
      <c r="D1508" t="str">
        <f>PROPER(Transactions!D1508)</f>
        <v>Grocery</v>
      </c>
      <c r="E1508" t="s">
        <v>162</v>
      </c>
      <c r="F1508" t="s">
        <v>163</v>
      </c>
      <c r="G1508">
        <v>2</v>
      </c>
      <c r="H1508">
        <v>7.59</v>
      </c>
      <c r="I1508" s="7">
        <f>IF(Transactions!I1508="",0,Transactions!I1508)</f>
        <v>0.05</v>
      </c>
      <c r="J1508" s="9">
        <f t="shared" si="23"/>
        <v>14.420999999999999</v>
      </c>
      <c r="K1508" t="s">
        <v>22</v>
      </c>
      <c r="L1508" t="s">
        <v>37</v>
      </c>
      <c r="M1508" t="str">
        <f>REPLACE(Transactions!M1508,1,4,"")</f>
        <v>12</v>
      </c>
    </row>
    <row r="1509" spans="1:13" x14ac:dyDescent="0.2">
      <c r="A1509">
        <v>350090</v>
      </c>
      <c r="B1509" s="5">
        <v>45278</v>
      </c>
      <c r="C1509">
        <v>11647</v>
      </c>
      <c r="D1509" t="str">
        <f>PROPER(Transactions!D1509)</f>
        <v>Toys</v>
      </c>
      <c r="E1509" t="s">
        <v>38</v>
      </c>
      <c r="F1509" t="s">
        <v>39</v>
      </c>
      <c r="G1509">
        <v>2</v>
      </c>
      <c r="H1509">
        <v>22.49</v>
      </c>
      <c r="I1509" s="7">
        <f>IF(Transactions!I1509="",0,Transactions!I1509)</f>
        <v>0.25</v>
      </c>
      <c r="J1509" s="9">
        <f t="shared" si="23"/>
        <v>33.734999999999999</v>
      </c>
      <c r="K1509" t="s">
        <v>32</v>
      </c>
      <c r="L1509" t="s">
        <v>17</v>
      </c>
      <c r="M1509" t="str">
        <f>REPLACE(Transactions!M1509,1,4,"")</f>
        <v>9</v>
      </c>
    </row>
    <row r="1510" spans="1:13" x14ac:dyDescent="0.2">
      <c r="A1510">
        <v>350133</v>
      </c>
      <c r="B1510" s="5">
        <v>45486</v>
      </c>
      <c r="C1510">
        <v>54674</v>
      </c>
      <c r="D1510" t="str">
        <f>PROPER(Transactions!D1510)</f>
        <v>Toys</v>
      </c>
      <c r="E1510" t="s">
        <v>38</v>
      </c>
      <c r="F1510" t="s">
        <v>39</v>
      </c>
      <c r="G1510">
        <v>4</v>
      </c>
      <c r="H1510">
        <v>25.49</v>
      </c>
      <c r="I1510" s="7">
        <f>IF(Transactions!I1510="",0,Transactions!I1510)</f>
        <v>0.15</v>
      </c>
      <c r="J1510" s="9">
        <f t="shared" si="23"/>
        <v>86.665999999999997</v>
      </c>
      <c r="K1510" t="s">
        <v>16</v>
      </c>
      <c r="L1510" t="s">
        <v>17</v>
      </c>
      <c r="M1510" t="str">
        <f>REPLACE(Transactions!M1510,1,4,"")</f>
        <v>1</v>
      </c>
    </row>
    <row r="1511" spans="1:13" x14ac:dyDescent="0.2">
      <c r="A1511">
        <v>350262</v>
      </c>
      <c r="B1511" s="5">
        <v>45104</v>
      </c>
      <c r="C1511">
        <v>86672</v>
      </c>
      <c r="D1511" t="str">
        <f>PROPER(Transactions!D1511)</f>
        <v>Sports</v>
      </c>
      <c r="E1511" t="s">
        <v>83</v>
      </c>
      <c r="F1511" t="s">
        <v>84</v>
      </c>
      <c r="G1511">
        <v>4</v>
      </c>
      <c r="H1511">
        <v>14.44</v>
      </c>
      <c r="I1511" s="7">
        <f>IF(Transactions!I1511="",0,Transactions!I1511)</f>
        <v>0.15</v>
      </c>
      <c r="J1511" s="9">
        <f t="shared" si="23"/>
        <v>49.095999999999997</v>
      </c>
      <c r="K1511" t="s">
        <v>16</v>
      </c>
      <c r="L1511" t="s">
        <v>17</v>
      </c>
      <c r="M1511" t="str">
        <f>REPLACE(Transactions!M1511,1,4,"")</f>
        <v>3</v>
      </c>
    </row>
    <row r="1512" spans="1:13" x14ac:dyDescent="0.2">
      <c r="A1512">
        <v>350356</v>
      </c>
      <c r="B1512" s="5">
        <v>45233</v>
      </c>
      <c r="C1512">
        <v>59244</v>
      </c>
      <c r="D1512" t="str">
        <f>PROPER(Transactions!D1512)</f>
        <v>Automotive</v>
      </c>
      <c r="E1512" t="s">
        <v>131</v>
      </c>
      <c r="F1512" t="s">
        <v>132</v>
      </c>
      <c r="G1512">
        <v>2</v>
      </c>
      <c r="H1512">
        <v>3.14</v>
      </c>
      <c r="I1512" s="7">
        <f>IF(Transactions!I1512="",0,Transactions!I1512)</f>
        <v>0.1</v>
      </c>
      <c r="J1512" s="9">
        <f t="shared" si="23"/>
        <v>5.6520000000000001</v>
      </c>
      <c r="K1512" t="s">
        <v>95</v>
      </c>
      <c r="L1512" t="s">
        <v>17</v>
      </c>
      <c r="M1512" t="str">
        <f>REPLACE(Transactions!M1512,1,4,"")</f>
        <v>17</v>
      </c>
    </row>
    <row r="1513" spans="1:13" x14ac:dyDescent="0.2">
      <c r="A1513">
        <v>350503</v>
      </c>
      <c r="B1513" s="5">
        <v>45000</v>
      </c>
      <c r="C1513">
        <v>73006</v>
      </c>
      <c r="D1513" t="str">
        <f>PROPER(Transactions!D1513)</f>
        <v>Clothing</v>
      </c>
      <c r="E1513" t="s">
        <v>165</v>
      </c>
      <c r="F1513" t="s">
        <v>166</v>
      </c>
      <c r="G1513">
        <v>1</v>
      </c>
      <c r="H1513">
        <v>71.989999999999995</v>
      </c>
      <c r="I1513" s="7">
        <f>IF(Transactions!I1513="",0,Transactions!I1513)</f>
        <v>0.2</v>
      </c>
      <c r="J1513" s="9">
        <f t="shared" si="23"/>
        <v>57.591999999999999</v>
      </c>
      <c r="K1513" t="s">
        <v>32</v>
      </c>
      <c r="L1513" t="s">
        <v>17</v>
      </c>
      <c r="M1513" t="str">
        <f>REPLACE(Transactions!M1513,1,4,"")</f>
        <v>19</v>
      </c>
    </row>
    <row r="1514" spans="1:13" x14ac:dyDescent="0.2">
      <c r="A1514">
        <v>350822</v>
      </c>
      <c r="B1514" s="5">
        <v>45451</v>
      </c>
      <c r="C1514">
        <v>80299</v>
      </c>
      <c r="D1514" t="str">
        <f>PROPER(Transactions!D1514)</f>
        <v>Sports</v>
      </c>
      <c r="E1514" t="s">
        <v>100</v>
      </c>
      <c r="F1514" t="s">
        <v>101</v>
      </c>
      <c r="G1514">
        <v>2</v>
      </c>
      <c r="H1514">
        <v>16.09</v>
      </c>
      <c r="I1514" s="7">
        <f>IF(Transactions!I1514="",0,Transactions!I1514)</f>
        <v>0.3</v>
      </c>
      <c r="J1514" s="9">
        <f t="shared" si="23"/>
        <v>22.526</v>
      </c>
      <c r="K1514" t="s">
        <v>16</v>
      </c>
      <c r="L1514" t="s">
        <v>37</v>
      </c>
      <c r="M1514" t="str">
        <f>REPLACE(Transactions!M1514,1,4,"")</f>
        <v/>
      </c>
    </row>
    <row r="1515" spans="1:13" x14ac:dyDescent="0.2">
      <c r="A1515">
        <v>350959</v>
      </c>
      <c r="B1515" s="5">
        <v>44573</v>
      </c>
      <c r="C1515">
        <v>11262</v>
      </c>
      <c r="D1515" t="str">
        <f>PROPER(Transactions!D1515)</f>
        <v>Home &amp; Garden</v>
      </c>
      <c r="E1515" t="s">
        <v>149</v>
      </c>
      <c r="F1515" t="s">
        <v>150</v>
      </c>
      <c r="G1515">
        <v>1</v>
      </c>
      <c r="H1515">
        <v>13.99</v>
      </c>
      <c r="I1515" s="7">
        <f>IF(Transactions!I1515="",0,Transactions!I1515)</f>
        <v>0.3</v>
      </c>
      <c r="J1515" s="9">
        <f t="shared" si="23"/>
        <v>9.7929999999999993</v>
      </c>
      <c r="K1515" t="s">
        <v>22</v>
      </c>
      <c r="L1515" t="s">
        <v>17</v>
      </c>
      <c r="M1515" t="str">
        <f>REPLACE(Transactions!M1515,1,4,"")</f>
        <v>10</v>
      </c>
    </row>
    <row r="1516" spans="1:13" x14ac:dyDescent="0.2">
      <c r="A1516">
        <v>351044</v>
      </c>
      <c r="B1516" s="5">
        <v>44626</v>
      </c>
      <c r="C1516">
        <v>50705</v>
      </c>
      <c r="D1516" t="str">
        <f>PROPER(Transactions!D1516)</f>
        <v>Furniture</v>
      </c>
      <c r="E1516" t="s">
        <v>60</v>
      </c>
      <c r="F1516" t="s">
        <v>61</v>
      </c>
      <c r="G1516">
        <v>2</v>
      </c>
      <c r="H1516">
        <v>54.99</v>
      </c>
      <c r="I1516" s="7">
        <f>IF(Transactions!I1516="",0,Transactions!I1516)</f>
        <v>0</v>
      </c>
      <c r="J1516" s="9">
        <f t="shared" si="23"/>
        <v>109.98</v>
      </c>
      <c r="K1516" t="s">
        <v>32</v>
      </c>
      <c r="L1516" t="s">
        <v>37</v>
      </c>
      <c r="M1516" t="str">
        <f>REPLACE(Transactions!M1516,1,4,"")</f>
        <v>13</v>
      </c>
    </row>
    <row r="1517" spans="1:13" x14ac:dyDescent="0.2">
      <c r="A1517">
        <v>351187</v>
      </c>
      <c r="B1517" s="5">
        <v>45472</v>
      </c>
      <c r="C1517">
        <v>51803</v>
      </c>
      <c r="D1517" t="str">
        <f>PROPER(Transactions!D1517)</f>
        <v>Clothing</v>
      </c>
      <c r="E1517" t="s">
        <v>193</v>
      </c>
      <c r="F1517" t="s">
        <v>194</v>
      </c>
      <c r="G1517">
        <v>5</v>
      </c>
      <c r="H1517">
        <v>58.49</v>
      </c>
      <c r="I1517" s="7">
        <f>IF(Transactions!I1517="",0,Transactions!I1517)</f>
        <v>0.1</v>
      </c>
      <c r="J1517" s="9">
        <f t="shared" si="23"/>
        <v>263.20499999999998</v>
      </c>
      <c r="K1517" t="s">
        <v>36</v>
      </c>
      <c r="L1517" t="s">
        <v>17</v>
      </c>
      <c r="M1517" t="str">
        <f>REPLACE(Transactions!M1517,1,4,"")</f>
        <v>10</v>
      </c>
    </row>
    <row r="1518" spans="1:13" x14ac:dyDescent="0.2">
      <c r="A1518">
        <v>351396</v>
      </c>
      <c r="B1518" s="5">
        <v>45600</v>
      </c>
      <c r="C1518">
        <v>73472</v>
      </c>
      <c r="D1518" t="str">
        <f>PROPER(Transactions!D1518)</f>
        <v>Home &amp; Garden</v>
      </c>
      <c r="E1518" t="s">
        <v>153</v>
      </c>
      <c r="F1518" t="s">
        <v>154</v>
      </c>
      <c r="G1518">
        <v>5</v>
      </c>
      <c r="H1518">
        <v>22.49</v>
      </c>
      <c r="I1518" s="7">
        <f>IF(Transactions!I1518="",0,Transactions!I1518)</f>
        <v>0.25</v>
      </c>
      <c r="J1518" s="9">
        <f t="shared" si="23"/>
        <v>84.337499999999991</v>
      </c>
      <c r="K1518" t="s">
        <v>36</v>
      </c>
      <c r="L1518" t="s">
        <v>23</v>
      </c>
      <c r="M1518" t="str">
        <f>REPLACE(Transactions!M1518,1,4,"")</f>
        <v>8</v>
      </c>
    </row>
    <row r="1519" spans="1:13" x14ac:dyDescent="0.2">
      <c r="A1519">
        <v>351402</v>
      </c>
      <c r="B1519" s="5">
        <v>44688</v>
      </c>
      <c r="C1519">
        <v>67384</v>
      </c>
      <c r="D1519" t="str">
        <f>PROPER(Transactions!D1519)</f>
        <v>Toys</v>
      </c>
      <c r="E1519" t="s">
        <v>170</v>
      </c>
      <c r="F1519" t="s">
        <v>171</v>
      </c>
      <c r="G1519">
        <v>4</v>
      </c>
      <c r="H1519">
        <v>14.99</v>
      </c>
      <c r="I1519" s="7">
        <f>IF(Transactions!I1519="",0,Transactions!I1519)</f>
        <v>0</v>
      </c>
      <c r="J1519" s="9">
        <f t="shared" si="23"/>
        <v>59.96</v>
      </c>
      <c r="K1519" t="s">
        <v>36</v>
      </c>
      <c r="L1519" t="s">
        <v>37</v>
      </c>
      <c r="M1519" t="str">
        <f>REPLACE(Transactions!M1519,1,4,"")</f>
        <v>18</v>
      </c>
    </row>
    <row r="1520" spans="1:13" x14ac:dyDescent="0.2">
      <c r="A1520">
        <v>351438</v>
      </c>
      <c r="B1520" s="5">
        <v>45171</v>
      </c>
      <c r="C1520">
        <v>72173</v>
      </c>
      <c r="D1520" t="str">
        <f>PROPER(Transactions!D1520)</f>
        <v>Beauty</v>
      </c>
      <c r="E1520" t="s">
        <v>49</v>
      </c>
      <c r="F1520" t="s">
        <v>50</v>
      </c>
      <c r="G1520">
        <v>1</v>
      </c>
      <c r="H1520">
        <v>8.5399999999999991</v>
      </c>
      <c r="I1520" s="7">
        <f>IF(Transactions!I1520="",0,Transactions!I1520)</f>
        <v>0.05</v>
      </c>
      <c r="J1520" s="9">
        <f t="shared" si="23"/>
        <v>8.1129999999999995</v>
      </c>
      <c r="K1520" t="s">
        <v>95</v>
      </c>
      <c r="L1520" t="s">
        <v>17</v>
      </c>
      <c r="M1520" t="str">
        <f>REPLACE(Transactions!M1520,1,4,"")</f>
        <v>7</v>
      </c>
    </row>
    <row r="1521" spans="1:13" x14ac:dyDescent="0.2">
      <c r="A1521">
        <v>351681</v>
      </c>
      <c r="B1521" s="5">
        <v>44694</v>
      </c>
      <c r="C1521">
        <v>96620</v>
      </c>
      <c r="D1521" t="str">
        <f>PROPER(Transactions!D1521)</f>
        <v>Toys</v>
      </c>
      <c r="E1521" t="s">
        <v>88</v>
      </c>
      <c r="F1521" t="s">
        <v>89</v>
      </c>
      <c r="G1521">
        <v>3</v>
      </c>
      <c r="H1521">
        <v>42.49</v>
      </c>
      <c r="I1521" s="7">
        <f>IF(Transactions!I1521="",0,Transactions!I1521)</f>
        <v>0.15</v>
      </c>
      <c r="J1521" s="9">
        <f t="shared" si="23"/>
        <v>108.34949999999999</v>
      </c>
      <c r="K1521" t="s">
        <v>16</v>
      </c>
      <c r="L1521" t="s">
        <v>37</v>
      </c>
      <c r="M1521" t="str">
        <f>REPLACE(Transactions!M1521,1,4,"")</f>
        <v>5</v>
      </c>
    </row>
    <row r="1522" spans="1:13" x14ac:dyDescent="0.2">
      <c r="A1522">
        <v>351717</v>
      </c>
      <c r="B1522" s="5">
        <v>44843</v>
      </c>
      <c r="C1522">
        <v>23789</v>
      </c>
      <c r="D1522" t="str">
        <f>PROPER(Transactions!D1522)</f>
        <v>Pharmacy</v>
      </c>
      <c r="E1522" t="s">
        <v>20</v>
      </c>
      <c r="F1522" t="s">
        <v>21</v>
      </c>
      <c r="G1522">
        <v>1</v>
      </c>
      <c r="H1522">
        <v>8.49</v>
      </c>
      <c r="I1522" s="7">
        <f>IF(Transactions!I1522="",0,Transactions!I1522)</f>
        <v>0.15</v>
      </c>
      <c r="J1522" s="9">
        <f t="shared" si="23"/>
        <v>7.2164999999999999</v>
      </c>
      <c r="K1522" t="s">
        <v>22</v>
      </c>
      <c r="L1522" t="s">
        <v>23</v>
      </c>
      <c r="M1522" t="str">
        <f>REPLACE(Transactions!M1522,1,4,"")</f>
        <v>17</v>
      </c>
    </row>
    <row r="1523" spans="1:13" x14ac:dyDescent="0.2">
      <c r="A1523">
        <v>351726</v>
      </c>
      <c r="B1523" s="5">
        <v>45355</v>
      </c>
      <c r="C1523">
        <v>74861</v>
      </c>
      <c r="D1523" t="str">
        <f>PROPER(Transactions!D1523)</f>
        <v>Automotive</v>
      </c>
      <c r="E1523" t="s">
        <v>111</v>
      </c>
      <c r="F1523" t="s">
        <v>112</v>
      </c>
      <c r="G1523">
        <v>3</v>
      </c>
      <c r="H1523">
        <v>13.49</v>
      </c>
      <c r="I1523" s="7">
        <f>IF(Transactions!I1523="",0,Transactions!I1523)</f>
        <v>0</v>
      </c>
      <c r="J1523" s="9">
        <f t="shared" si="23"/>
        <v>40.47</v>
      </c>
      <c r="K1523" t="s">
        <v>16</v>
      </c>
      <c r="L1523" t="s">
        <v>17</v>
      </c>
      <c r="M1523" t="str">
        <f>REPLACE(Transactions!M1523,1,4,"")</f>
        <v/>
      </c>
    </row>
    <row r="1524" spans="1:13" x14ac:dyDescent="0.2">
      <c r="A1524">
        <v>351981</v>
      </c>
      <c r="B1524" s="5">
        <v>45359</v>
      </c>
      <c r="C1524">
        <v>41079</v>
      </c>
      <c r="D1524" t="str">
        <f>PROPER(Transactions!D1524)</f>
        <v>Automotive</v>
      </c>
      <c r="E1524" t="s">
        <v>125</v>
      </c>
      <c r="F1524" t="s">
        <v>126</v>
      </c>
      <c r="G1524">
        <v>5</v>
      </c>
      <c r="H1524">
        <v>20.99</v>
      </c>
      <c r="I1524" s="7">
        <f>IF(Transactions!I1524="",0,Transactions!I1524)</f>
        <v>0.3</v>
      </c>
      <c r="J1524" s="9">
        <f t="shared" si="23"/>
        <v>73.464999999999989</v>
      </c>
      <c r="K1524" t="s">
        <v>36</v>
      </c>
      <c r="L1524" t="s">
        <v>37</v>
      </c>
      <c r="M1524" t="str">
        <f>REPLACE(Transactions!M1524,1,4,"")</f>
        <v>3</v>
      </c>
    </row>
    <row r="1525" spans="1:13" x14ac:dyDescent="0.2">
      <c r="A1525">
        <v>352190</v>
      </c>
      <c r="B1525" s="5">
        <v>44714</v>
      </c>
      <c r="C1525">
        <v>71744</v>
      </c>
      <c r="D1525" t="str">
        <f>PROPER(Transactions!D1525)</f>
        <v>Clothing</v>
      </c>
      <c r="E1525" t="s">
        <v>121</v>
      </c>
      <c r="F1525" t="s">
        <v>122</v>
      </c>
      <c r="G1525">
        <v>1</v>
      </c>
      <c r="H1525">
        <v>10.39</v>
      </c>
      <c r="I1525" s="7">
        <f>IF(Transactions!I1525="",0,Transactions!I1525)</f>
        <v>0.2</v>
      </c>
      <c r="J1525" s="9">
        <f t="shared" si="23"/>
        <v>8.3120000000000012</v>
      </c>
      <c r="K1525" t="s">
        <v>36</v>
      </c>
      <c r="L1525" t="s">
        <v>17</v>
      </c>
      <c r="M1525" t="str">
        <f>REPLACE(Transactions!M1525,1,4,"")</f>
        <v>7</v>
      </c>
    </row>
    <row r="1526" spans="1:13" x14ac:dyDescent="0.2">
      <c r="A1526">
        <v>352528</v>
      </c>
      <c r="B1526" s="5">
        <v>45603</v>
      </c>
      <c r="C1526">
        <v>46259</v>
      </c>
      <c r="D1526" t="str">
        <f>PROPER(Transactions!D1526)</f>
        <v>Automotive</v>
      </c>
      <c r="E1526" t="s">
        <v>111</v>
      </c>
      <c r="F1526" t="s">
        <v>112</v>
      </c>
      <c r="G1526">
        <v>5</v>
      </c>
      <c r="H1526">
        <v>11.99</v>
      </c>
      <c r="I1526" s="7">
        <f>IF(Transactions!I1526="",0,Transactions!I1526)</f>
        <v>0.2</v>
      </c>
      <c r="J1526" s="9">
        <f t="shared" si="23"/>
        <v>47.960000000000008</v>
      </c>
      <c r="K1526" t="s">
        <v>22</v>
      </c>
      <c r="L1526" t="s">
        <v>23</v>
      </c>
      <c r="M1526" t="str">
        <f>REPLACE(Transactions!M1526,1,4,"")</f>
        <v>10</v>
      </c>
    </row>
    <row r="1527" spans="1:13" x14ac:dyDescent="0.2">
      <c r="A1527">
        <v>352587</v>
      </c>
      <c r="B1527" s="5">
        <v>44869</v>
      </c>
      <c r="C1527">
        <v>42882</v>
      </c>
      <c r="D1527" t="str">
        <f>PROPER(Transactions!D1527)</f>
        <v>Toys</v>
      </c>
      <c r="E1527" t="s">
        <v>175</v>
      </c>
      <c r="F1527" t="s">
        <v>176</v>
      </c>
      <c r="G1527">
        <v>1</v>
      </c>
      <c r="H1527">
        <v>11.99</v>
      </c>
      <c r="I1527" s="7">
        <f>IF(Transactions!I1527="",0,Transactions!I1527)</f>
        <v>0</v>
      </c>
      <c r="J1527" s="9">
        <f t="shared" si="23"/>
        <v>11.99</v>
      </c>
      <c r="K1527" t="s">
        <v>36</v>
      </c>
      <c r="L1527" t="s">
        <v>17</v>
      </c>
      <c r="M1527" t="str">
        <f>REPLACE(Transactions!M1527,1,4,"")</f>
        <v>14</v>
      </c>
    </row>
    <row r="1528" spans="1:13" x14ac:dyDescent="0.2">
      <c r="A1528">
        <v>352866</v>
      </c>
      <c r="B1528" s="5">
        <v>45488</v>
      </c>
      <c r="C1528">
        <v>20770</v>
      </c>
      <c r="D1528" t="str">
        <f>PROPER(Transactions!D1528)</f>
        <v>Beauty</v>
      </c>
      <c r="E1528" t="s">
        <v>49</v>
      </c>
      <c r="F1528" t="s">
        <v>50</v>
      </c>
      <c r="G1528">
        <v>1</v>
      </c>
      <c r="H1528">
        <v>8.5399999999999991</v>
      </c>
      <c r="I1528" s="7">
        <f>IF(Transactions!I1528="",0,Transactions!I1528)</f>
        <v>0.05</v>
      </c>
      <c r="J1528" s="9">
        <f t="shared" si="23"/>
        <v>8.1129999999999995</v>
      </c>
      <c r="K1528" t="s">
        <v>36</v>
      </c>
      <c r="L1528" t="s">
        <v>17</v>
      </c>
      <c r="M1528" t="str">
        <f>REPLACE(Transactions!M1528,1,4,"")</f>
        <v>14</v>
      </c>
    </row>
    <row r="1529" spans="1:13" x14ac:dyDescent="0.2">
      <c r="A1529">
        <v>353025</v>
      </c>
      <c r="B1529" s="5">
        <v>45340</v>
      </c>
      <c r="C1529">
        <v>47559</v>
      </c>
      <c r="D1529" t="str">
        <f>PROPER(Transactions!D1529)</f>
        <v>Beauty</v>
      </c>
      <c r="E1529" t="s">
        <v>118</v>
      </c>
      <c r="F1529" t="s">
        <v>119</v>
      </c>
      <c r="G1529">
        <v>2</v>
      </c>
      <c r="H1529">
        <v>4.49</v>
      </c>
      <c r="I1529" s="7">
        <f>IF(Transactions!I1529="",0,Transactions!I1529)</f>
        <v>0.1</v>
      </c>
      <c r="J1529" s="9">
        <f t="shared" si="23"/>
        <v>8.0820000000000007</v>
      </c>
      <c r="K1529" t="s">
        <v>36</v>
      </c>
      <c r="L1529" t="s">
        <v>17</v>
      </c>
      <c r="M1529" t="str">
        <f>REPLACE(Transactions!M1529,1,4,"")</f>
        <v>9</v>
      </c>
    </row>
    <row r="1530" spans="1:13" x14ac:dyDescent="0.2">
      <c r="A1530">
        <v>353617</v>
      </c>
      <c r="B1530" s="5">
        <v>45211</v>
      </c>
      <c r="D1530" t="str">
        <f>PROPER(Transactions!D1530)</f>
        <v>Pharmacy</v>
      </c>
      <c r="E1530" t="s">
        <v>41</v>
      </c>
      <c r="F1530" t="s">
        <v>42</v>
      </c>
      <c r="G1530">
        <v>3</v>
      </c>
      <c r="H1530">
        <v>4.49</v>
      </c>
      <c r="I1530" s="7">
        <f>IF(Transactions!I1530="",0,Transactions!I1530)</f>
        <v>0.25</v>
      </c>
      <c r="J1530" s="9">
        <f t="shared" si="23"/>
        <v>10.102500000000001</v>
      </c>
      <c r="K1530" t="s">
        <v>95</v>
      </c>
      <c r="L1530" t="s">
        <v>17</v>
      </c>
      <c r="M1530" t="str">
        <f>REPLACE(Transactions!M1530,1,4,"")</f>
        <v>2</v>
      </c>
    </row>
    <row r="1531" spans="1:13" x14ac:dyDescent="0.2">
      <c r="A1531">
        <v>353671</v>
      </c>
      <c r="B1531" s="5">
        <v>44886</v>
      </c>
      <c r="C1531">
        <v>47609</v>
      </c>
      <c r="D1531" t="str">
        <f>PROPER(Transactions!D1531)</f>
        <v>Electronics</v>
      </c>
      <c r="E1531" t="s">
        <v>34</v>
      </c>
      <c r="F1531" t="s">
        <v>35</v>
      </c>
      <c r="G1531">
        <v>1</v>
      </c>
      <c r="H1531">
        <v>27.99</v>
      </c>
      <c r="I1531" s="7">
        <f>IF(Transactions!I1531="",0,Transactions!I1531)</f>
        <v>0.2</v>
      </c>
      <c r="J1531" s="9">
        <f t="shared" si="23"/>
        <v>22.391999999999999</v>
      </c>
      <c r="K1531" t="s">
        <v>36</v>
      </c>
      <c r="L1531" t="s">
        <v>37</v>
      </c>
      <c r="M1531" t="str">
        <f>REPLACE(Transactions!M1531,1,4,"")</f>
        <v>9</v>
      </c>
    </row>
    <row r="1532" spans="1:13" x14ac:dyDescent="0.2">
      <c r="A1532">
        <v>353685</v>
      </c>
      <c r="B1532" s="5">
        <v>45115</v>
      </c>
      <c r="C1532">
        <v>40192</v>
      </c>
      <c r="D1532" t="str">
        <f>PROPER(Transactions!D1532)</f>
        <v>Pharmacy</v>
      </c>
      <c r="E1532" t="s">
        <v>115</v>
      </c>
      <c r="F1532" t="s">
        <v>116</v>
      </c>
      <c r="G1532">
        <v>2</v>
      </c>
      <c r="H1532">
        <v>11.69</v>
      </c>
      <c r="I1532" s="7">
        <f>IF(Transactions!I1532="",0,Transactions!I1532)</f>
        <v>0.1</v>
      </c>
      <c r="J1532" s="9">
        <f t="shared" si="23"/>
        <v>21.041999999999998</v>
      </c>
      <c r="K1532" t="s">
        <v>22</v>
      </c>
      <c r="L1532" t="s">
        <v>17</v>
      </c>
      <c r="M1532" t="str">
        <f>REPLACE(Transactions!M1532,1,4,"")</f>
        <v>3</v>
      </c>
    </row>
    <row r="1533" spans="1:13" x14ac:dyDescent="0.2">
      <c r="A1533">
        <v>353721</v>
      </c>
      <c r="B1533" s="5">
        <v>44979</v>
      </c>
      <c r="C1533">
        <v>40169</v>
      </c>
      <c r="D1533" t="str">
        <f>PROPER(Transactions!D1533)</f>
        <v>Clothing</v>
      </c>
      <c r="E1533" t="s">
        <v>193</v>
      </c>
      <c r="F1533" t="s">
        <v>194</v>
      </c>
      <c r="G1533">
        <v>1</v>
      </c>
      <c r="H1533">
        <v>48.74</v>
      </c>
      <c r="I1533" s="7">
        <f>IF(Transactions!I1533="",0,Transactions!I1533)</f>
        <v>0.25</v>
      </c>
      <c r="J1533" s="9">
        <f t="shared" si="23"/>
        <v>36.555</v>
      </c>
      <c r="K1533" t="s">
        <v>36</v>
      </c>
      <c r="L1533" t="s">
        <v>37</v>
      </c>
      <c r="M1533" t="str">
        <f>REPLACE(Transactions!M1533,1,4,"")</f>
        <v>12</v>
      </c>
    </row>
    <row r="1534" spans="1:13" x14ac:dyDescent="0.2">
      <c r="A1534">
        <v>353767</v>
      </c>
      <c r="B1534" s="5">
        <v>45131</v>
      </c>
      <c r="C1534">
        <v>59161</v>
      </c>
      <c r="D1534" t="str">
        <f>PROPER(Transactions!D1534)</f>
        <v>Beauty</v>
      </c>
      <c r="E1534" t="s">
        <v>118</v>
      </c>
      <c r="F1534" t="s">
        <v>119</v>
      </c>
      <c r="G1534">
        <v>2</v>
      </c>
      <c r="H1534">
        <v>4.99</v>
      </c>
      <c r="I1534" s="7">
        <f>IF(Transactions!I1534="",0,Transactions!I1534)</f>
        <v>0</v>
      </c>
      <c r="J1534" s="9">
        <f t="shared" si="23"/>
        <v>9.98</v>
      </c>
      <c r="K1534" t="s">
        <v>36</v>
      </c>
      <c r="L1534" t="s">
        <v>17</v>
      </c>
      <c r="M1534" t="str">
        <f>REPLACE(Transactions!M1534,1,4,"")</f>
        <v>5</v>
      </c>
    </row>
    <row r="1535" spans="1:13" x14ac:dyDescent="0.2">
      <c r="A1535">
        <v>353991</v>
      </c>
      <c r="B1535" s="5">
        <v>45313</v>
      </c>
      <c r="C1535">
        <v>56292</v>
      </c>
      <c r="D1535" t="str">
        <f>PROPER(Transactions!D1535)</f>
        <v>Home &amp; Garden</v>
      </c>
      <c r="E1535" t="s">
        <v>153</v>
      </c>
      <c r="F1535" t="s">
        <v>154</v>
      </c>
      <c r="G1535">
        <v>4</v>
      </c>
      <c r="H1535">
        <v>28.49</v>
      </c>
      <c r="I1535" s="7">
        <f>IF(Transactions!I1535="",0,Transactions!I1535)</f>
        <v>0.05</v>
      </c>
      <c r="J1535" s="9">
        <f t="shared" si="23"/>
        <v>108.26199999999999</v>
      </c>
      <c r="K1535" t="s">
        <v>16</v>
      </c>
      <c r="L1535" t="s">
        <v>17</v>
      </c>
      <c r="M1535" t="str">
        <f>REPLACE(Transactions!M1535,1,4,"")</f>
        <v>17</v>
      </c>
    </row>
    <row r="1536" spans="1:13" x14ac:dyDescent="0.2">
      <c r="A1536">
        <v>354173</v>
      </c>
      <c r="B1536" s="5">
        <v>45416</v>
      </c>
      <c r="C1536">
        <v>86998</v>
      </c>
      <c r="D1536" t="str">
        <f>PROPER(Transactions!D1536)</f>
        <v>Clothing</v>
      </c>
      <c r="E1536" t="s">
        <v>121</v>
      </c>
      <c r="F1536" t="s">
        <v>122</v>
      </c>
      <c r="G1536">
        <v>3</v>
      </c>
      <c r="H1536">
        <v>9.09</v>
      </c>
      <c r="I1536" s="7">
        <f>IF(Transactions!I1536="",0,Transactions!I1536)</f>
        <v>0.3</v>
      </c>
      <c r="J1536" s="9">
        <f t="shared" si="23"/>
        <v>19.088999999999999</v>
      </c>
      <c r="K1536" t="s">
        <v>22</v>
      </c>
      <c r="L1536" t="s">
        <v>37</v>
      </c>
      <c r="M1536" t="str">
        <f>REPLACE(Transactions!M1536,1,4,"")</f>
        <v>9</v>
      </c>
    </row>
    <row r="1537" spans="1:13" x14ac:dyDescent="0.2">
      <c r="A1537">
        <v>354180</v>
      </c>
      <c r="B1537" s="5">
        <v>45069</v>
      </c>
      <c r="C1537">
        <v>39094</v>
      </c>
      <c r="D1537" t="str">
        <f>PROPER(Transactions!D1537)</f>
        <v>Furniture</v>
      </c>
      <c r="E1537" t="s">
        <v>26</v>
      </c>
      <c r="F1537" t="s">
        <v>27</v>
      </c>
      <c r="G1537">
        <v>4</v>
      </c>
      <c r="H1537">
        <v>27.99</v>
      </c>
      <c r="I1537" s="7">
        <f>IF(Transactions!I1537="",0,Transactions!I1537)</f>
        <v>0.2</v>
      </c>
      <c r="J1537" s="9">
        <f t="shared" si="23"/>
        <v>89.567999999999998</v>
      </c>
      <c r="K1537" t="s">
        <v>36</v>
      </c>
      <c r="L1537" t="s">
        <v>37</v>
      </c>
      <c r="M1537" t="str">
        <f>REPLACE(Transactions!M1537,1,4,"")</f>
        <v>1</v>
      </c>
    </row>
    <row r="1538" spans="1:13" x14ac:dyDescent="0.2">
      <c r="A1538">
        <v>354315</v>
      </c>
      <c r="B1538" s="5">
        <v>45472</v>
      </c>
      <c r="C1538">
        <v>68688</v>
      </c>
      <c r="D1538" t="str">
        <f>PROPER(Transactions!D1538)</f>
        <v>Clothing</v>
      </c>
      <c r="E1538" t="s">
        <v>141</v>
      </c>
      <c r="F1538" t="s">
        <v>142</v>
      </c>
      <c r="G1538">
        <v>2</v>
      </c>
      <c r="H1538">
        <v>22.99</v>
      </c>
      <c r="I1538" s="7">
        <f>IF(Transactions!I1538="",0,Transactions!I1538)</f>
        <v>0</v>
      </c>
      <c r="J1538" s="9">
        <f t="shared" si="23"/>
        <v>45.98</v>
      </c>
      <c r="K1538" t="s">
        <v>16</v>
      </c>
      <c r="L1538" t="s">
        <v>17</v>
      </c>
      <c r="M1538" t="str">
        <f>REPLACE(Transactions!M1538,1,4,"")</f>
        <v>5</v>
      </c>
    </row>
    <row r="1539" spans="1:13" x14ac:dyDescent="0.2">
      <c r="A1539">
        <v>354406</v>
      </c>
      <c r="B1539" s="5">
        <v>44643</v>
      </c>
      <c r="C1539">
        <v>75350</v>
      </c>
      <c r="D1539" t="str">
        <f>PROPER(Transactions!D1539)</f>
        <v>Beauty</v>
      </c>
      <c r="E1539" t="s">
        <v>49</v>
      </c>
      <c r="F1539" t="s">
        <v>50</v>
      </c>
      <c r="G1539">
        <v>5</v>
      </c>
      <c r="H1539">
        <v>8.09</v>
      </c>
      <c r="I1539" s="7">
        <f>IF(Transactions!I1539="",0,Transactions!I1539)</f>
        <v>0.1</v>
      </c>
      <c r="J1539" s="9">
        <f t="shared" ref="J1539:J1602" si="24">(H1539*G1539)*(1-I1539)</f>
        <v>36.405000000000001</v>
      </c>
      <c r="K1539" t="s">
        <v>53</v>
      </c>
      <c r="L1539" t="s">
        <v>37</v>
      </c>
      <c r="M1539" t="str">
        <f>REPLACE(Transactions!M1539,1,4,"")</f>
        <v>12</v>
      </c>
    </row>
    <row r="1540" spans="1:13" x14ac:dyDescent="0.2">
      <c r="A1540">
        <v>354447</v>
      </c>
      <c r="B1540" s="5">
        <v>45080</v>
      </c>
      <c r="D1540" t="str">
        <f>PROPER(Transactions!D1540)</f>
        <v>Furniture</v>
      </c>
      <c r="E1540" t="s">
        <v>51</v>
      </c>
      <c r="F1540" t="s">
        <v>52</v>
      </c>
      <c r="G1540">
        <v>3</v>
      </c>
      <c r="H1540">
        <v>27.99</v>
      </c>
      <c r="I1540" s="7">
        <f>IF(Transactions!I1540="",0,Transactions!I1540)</f>
        <v>0</v>
      </c>
      <c r="J1540" s="9">
        <f t="shared" si="24"/>
        <v>83.97</v>
      </c>
      <c r="K1540" t="s">
        <v>16</v>
      </c>
      <c r="L1540" t="s">
        <v>17</v>
      </c>
      <c r="M1540" t="str">
        <f>REPLACE(Transactions!M1540,1,4,"")</f>
        <v>10</v>
      </c>
    </row>
    <row r="1541" spans="1:13" x14ac:dyDescent="0.2">
      <c r="A1541">
        <v>354456</v>
      </c>
      <c r="B1541" s="5">
        <v>44768</v>
      </c>
      <c r="C1541">
        <v>54075</v>
      </c>
      <c r="D1541" t="str">
        <f>PROPER(Transactions!D1541)</f>
        <v>Home &amp; Garden</v>
      </c>
      <c r="E1541" t="s">
        <v>86</v>
      </c>
      <c r="F1541" t="s">
        <v>87</v>
      </c>
      <c r="G1541">
        <v>2</v>
      </c>
      <c r="H1541">
        <v>12.99</v>
      </c>
      <c r="I1541" s="7">
        <f>IF(Transactions!I1541="",0,Transactions!I1541)</f>
        <v>0</v>
      </c>
      <c r="J1541" s="9">
        <f t="shared" si="24"/>
        <v>25.98</v>
      </c>
      <c r="K1541" t="s">
        <v>22</v>
      </c>
      <c r="L1541" t="s">
        <v>17</v>
      </c>
      <c r="M1541" t="str">
        <f>REPLACE(Transactions!M1541,1,4,"")</f>
        <v>17</v>
      </c>
    </row>
    <row r="1542" spans="1:13" x14ac:dyDescent="0.2">
      <c r="A1542">
        <v>354630</v>
      </c>
      <c r="B1542" s="5">
        <v>45616</v>
      </c>
      <c r="C1542">
        <v>66264</v>
      </c>
      <c r="D1542" t="str">
        <f>PROPER(Transactions!D1542)</f>
        <v>Clothing</v>
      </c>
      <c r="E1542" t="s">
        <v>121</v>
      </c>
      <c r="F1542" t="s">
        <v>122</v>
      </c>
      <c r="G1542">
        <v>1</v>
      </c>
      <c r="H1542">
        <v>12.99</v>
      </c>
      <c r="I1542" s="7">
        <f>IF(Transactions!I1542="",0,Transactions!I1542)</f>
        <v>0</v>
      </c>
      <c r="J1542" s="9">
        <f t="shared" si="24"/>
        <v>12.99</v>
      </c>
      <c r="K1542" t="s">
        <v>22</v>
      </c>
      <c r="L1542" t="s">
        <v>17</v>
      </c>
      <c r="M1542" t="str">
        <f>REPLACE(Transactions!M1542,1,4,"")</f>
        <v>20</v>
      </c>
    </row>
    <row r="1543" spans="1:13" x14ac:dyDescent="0.2">
      <c r="A1543">
        <v>355020</v>
      </c>
      <c r="B1543" s="5">
        <v>44667</v>
      </c>
      <c r="C1543">
        <v>70122</v>
      </c>
      <c r="D1543" t="str">
        <f>PROPER(Transactions!D1543)</f>
        <v>Furniture</v>
      </c>
      <c r="E1543" t="s">
        <v>60</v>
      </c>
      <c r="F1543" t="s">
        <v>61</v>
      </c>
      <c r="G1543">
        <v>2</v>
      </c>
      <c r="H1543">
        <v>46.74</v>
      </c>
      <c r="I1543" s="7">
        <f>IF(Transactions!I1543="",0,Transactions!I1543)</f>
        <v>0.15</v>
      </c>
      <c r="J1543" s="9">
        <f t="shared" si="24"/>
        <v>79.457999999999998</v>
      </c>
      <c r="K1543" t="s">
        <v>36</v>
      </c>
      <c r="L1543" t="s">
        <v>17</v>
      </c>
      <c r="M1543" t="str">
        <f>REPLACE(Transactions!M1543,1,4,"")</f>
        <v>16</v>
      </c>
    </row>
    <row r="1544" spans="1:13" x14ac:dyDescent="0.2">
      <c r="A1544">
        <v>355111</v>
      </c>
      <c r="B1544" s="5">
        <v>44938</v>
      </c>
      <c r="C1544">
        <v>79835</v>
      </c>
      <c r="D1544" t="str">
        <f>PROPER(Transactions!D1544)</f>
        <v>Beauty</v>
      </c>
      <c r="E1544" t="s">
        <v>49</v>
      </c>
      <c r="F1544" t="s">
        <v>50</v>
      </c>
      <c r="G1544">
        <v>5</v>
      </c>
      <c r="H1544">
        <v>8.99</v>
      </c>
      <c r="I1544" s="7">
        <f>IF(Transactions!I1544="",0,Transactions!I1544)</f>
        <v>0</v>
      </c>
      <c r="J1544" s="9">
        <f t="shared" si="24"/>
        <v>44.95</v>
      </c>
      <c r="K1544" t="s">
        <v>16</v>
      </c>
      <c r="L1544" t="s">
        <v>17</v>
      </c>
      <c r="M1544" t="str">
        <f>REPLACE(Transactions!M1544,1,4,"")</f>
        <v>18</v>
      </c>
    </row>
    <row r="1545" spans="1:13" x14ac:dyDescent="0.2">
      <c r="A1545">
        <v>355130</v>
      </c>
      <c r="B1545" s="5">
        <v>45328</v>
      </c>
      <c r="C1545">
        <v>77306</v>
      </c>
      <c r="D1545" t="str">
        <f>PROPER(Transactions!D1545)</f>
        <v>Toys</v>
      </c>
      <c r="E1545" t="s">
        <v>30</v>
      </c>
      <c r="F1545" t="s">
        <v>31</v>
      </c>
      <c r="G1545">
        <v>5</v>
      </c>
      <c r="H1545">
        <v>23.74</v>
      </c>
      <c r="I1545" s="7">
        <f>IF(Transactions!I1545="",0,Transactions!I1545)</f>
        <v>0.05</v>
      </c>
      <c r="J1545" s="9">
        <f t="shared" si="24"/>
        <v>112.76499999999999</v>
      </c>
      <c r="K1545" t="s">
        <v>22</v>
      </c>
      <c r="L1545" t="s">
        <v>17</v>
      </c>
      <c r="M1545" t="str">
        <f>REPLACE(Transactions!M1545,1,4,"")</f>
        <v>7</v>
      </c>
    </row>
    <row r="1546" spans="1:13" x14ac:dyDescent="0.2">
      <c r="A1546">
        <v>355449</v>
      </c>
      <c r="B1546" s="5">
        <v>45196</v>
      </c>
      <c r="C1546">
        <v>68669</v>
      </c>
      <c r="D1546" t="str">
        <f>PROPER(Transactions!D1546)</f>
        <v>Sports</v>
      </c>
      <c r="E1546" t="s">
        <v>147</v>
      </c>
      <c r="F1546" t="s">
        <v>148</v>
      </c>
      <c r="G1546">
        <v>2</v>
      </c>
      <c r="H1546">
        <v>12.99</v>
      </c>
      <c r="I1546" s="7">
        <f>IF(Transactions!I1546="",0,Transactions!I1546)</f>
        <v>0</v>
      </c>
      <c r="J1546" s="9">
        <f t="shared" si="24"/>
        <v>25.98</v>
      </c>
      <c r="K1546" t="s">
        <v>36</v>
      </c>
      <c r="L1546" t="s">
        <v>17</v>
      </c>
      <c r="M1546" t="str">
        <f>REPLACE(Transactions!M1546,1,4,"")</f>
        <v>6</v>
      </c>
    </row>
    <row r="1547" spans="1:13" x14ac:dyDescent="0.2">
      <c r="A1547">
        <v>355538</v>
      </c>
      <c r="B1547" s="5">
        <v>45281</v>
      </c>
      <c r="C1547">
        <v>37059</v>
      </c>
      <c r="D1547" t="str">
        <f>PROPER(Transactions!D1547)</f>
        <v>Sports</v>
      </c>
      <c r="E1547" t="s">
        <v>83</v>
      </c>
      <c r="F1547" t="s">
        <v>84</v>
      </c>
      <c r="G1547">
        <v>4</v>
      </c>
      <c r="H1547">
        <v>14.44</v>
      </c>
      <c r="I1547" s="7">
        <f>IF(Transactions!I1547="",0,Transactions!I1547)</f>
        <v>0.15</v>
      </c>
      <c r="J1547" s="9">
        <f t="shared" si="24"/>
        <v>49.095999999999997</v>
      </c>
      <c r="K1547" t="s">
        <v>22</v>
      </c>
      <c r="L1547" t="s">
        <v>17</v>
      </c>
      <c r="M1547" t="str">
        <f>REPLACE(Transactions!M1547,1,4,"")</f>
        <v>6</v>
      </c>
    </row>
    <row r="1548" spans="1:13" x14ac:dyDescent="0.2">
      <c r="A1548">
        <v>355822</v>
      </c>
      <c r="B1548" s="5">
        <v>45205</v>
      </c>
      <c r="C1548">
        <v>53988</v>
      </c>
      <c r="D1548" t="str">
        <f>PROPER(Transactions!D1548)</f>
        <v>Pharmacy</v>
      </c>
      <c r="E1548" t="s">
        <v>115</v>
      </c>
      <c r="F1548" t="s">
        <v>116</v>
      </c>
      <c r="G1548">
        <v>3</v>
      </c>
      <c r="H1548">
        <v>12.99</v>
      </c>
      <c r="I1548" s="7">
        <f>IF(Transactions!I1548="",0,Transactions!I1548)</f>
        <v>0</v>
      </c>
      <c r="J1548" s="9">
        <f t="shared" si="24"/>
        <v>38.97</v>
      </c>
      <c r="K1548" t="s">
        <v>16</v>
      </c>
      <c r="L1548" t="s">
        <v>17</v>
      </c>
      <c r="M1548" t="str">
        <f>REPLACE(Transactions!M1548,1,4,"")</f>
        <v>4</v>
      </c>
    </row>
    <row r="1549" spans="1:13" x14ac:dyDescent="0.2">
      <c r="A1549">
        <v>356282</v>
      </c>
      <c r="B1549" s="5">
        <v>44594</v>
      </c>
      <c r="C1549">
        <v>28265</v>
      </c>
      <c r="D1549" t="str">
        <f>PROPER(Transactions!D1549)</f>
        <v>Home &amp; Garden</v>
      </c>
      <c r="E1549" t="s">
        <v>153</v>
      </c>
      <c r="F1549" t="s">
        <v>154</v>
      </c>
      <c r="G1549">
        <v>2</v>
      </c>
      <c r="H1549">
        <v>25.49</v>
      </c>
      <c r="I1549" s="7">
        <f>IF(Transactions!I1549="",0,Transactions!I1549)</f>
        <v>0.15</v>
      </c>
      <c r="J1549" s="9">
        <f t="shared" si="24"/>
        <v>43.332999999999998</v>
      </c>
      <c r="K1549" t="s">
        <v>16</v>
      </c>
      <c r="L1549" t="s">
        <v>17</v>
      </c>
      <c r="M1549" t="str">
        <f>REPLACE(Transactions!M1549,1,4,"")</f>
        <v>20</v>
      </c>
    </row>
    <row r="1550" spans="1:13" x14ac:dyDescent="0.2">
      <c r="A1550">
        <v>356449</v>
      </c>
      <c r="B1550" s="5">
        <v>45410</v>
      </c>
      <c r="C1550">
        <v>48056</v>
      </c>
      <c r="D1550" t="str">
        <f>PROPER(Transactions!D1550)</f>
        <v>Automotive</v>
      </c>
      <c r="E1550" t="s">
        <v>64</v>
      </c>
      <c r="F1550" t="s">
        <v>65</v>
      </c>
      <c r="G1550">
        <v>5</v>
      </c>
      <c r="H1550">
        <v>3.74</v>
      </c>
      <c r="I1550" s="7">
        <f>IF(Transactions!I1550="",0,Transactions!I1550)</f>
        <v>0.25</v>
      </c>
      <c r="J1550" s="9">
        <f t="shared" si="24"/>
        <v>14.025000000000002</v>
      </c>
      <c r="K1550" t="s">
        <v>16</v>
      </c>
      <c r="L1550" t="s">
        <v>17</v>
      </c>
      <c r="M1550" t="str">
        <f>REPLACE(Transactions!M1550,1,4,"")</f>
        <v>17</v>
      </c>
    </row>
    <row r="1551" spans="1:13" x14ac:dyDescent="0.2">
      <c r="A1551">
        <v>356661</v>
      </c>
      <c r="B1551" s="5">
        <v>45546</v>
      </c>
      <c r="C1551">
        <v>21753</v>
      </c>
      <c r="D1551" t="str">
        <f>PROPER(Transactions!D1551)</f>
        <v>Automotive</v>
      </c>
      <c r="E1551" t="s">
        <v>64</v>
      </c>
      <c r="F1551" t="s">
        <v>65</v>
      </c>
      <c r="G1551">
        <v>5</v>
      </c>
      <c r="H1551">
        <v>4.49</v>
      </c>
      <c r="I1551" s="7">
        <f>IF(Transactions!I1551="",0,Transactions!I1551)</f>
        <v>0.1</v>
      </c>
      <c r="J1551" s="9">
        <f t="shared" si="24"/>
        <v>20.205000000000002</v>
      </c>
      <c r="K1551" t="s">
        <v>22</v>
      </c>
      <c r="L1551" t="s">
        <v>17</v>
      </c>
      <c r="M1551" t="str">
        <f>REPLACE(Transactions!M1551,1,4,"")</f>
        <v/>
      </c>
    </row>
    <row r="1552" spans="1:13" x14ac:dyDescent="0.2">
      <c r="A1552">
        <v>356721</v>
      </c>
      <c r="B1552" s="5">
        <v>44595</v>
      </c>
      <c r="C1552">
        <v>40528</v>
      </c>
      <c r="D1552" t="str">
        <f>PROPER(Transactions!D1552)</f>
        <v>Beauty</v>
      </c>
      <c r="E1552" t="s">
        <v>49</v>
      </c>
      <c r="F1552" t="s">
        <v>50</v>
      </c>
      <c r="G1552">
        <v>2</v>
      </c>
      <c r="H1552">
        <v>7.19</v>
      </c>
      <c r="I1552" s="7">
        <f>IF(Transactions!I1552="",0,Transactions!I1552)</f>
        <v>0.2</v>
      </c>
      <c r="J1552" s="9">
        <f t="shared" si="24"/>
        <v>11.504000000000001</v>
      </c>
      <c r="K1552" t="s">
        <v>16</v>
      </c>
      <c r="L1552" t="s">
        <v>37</v>
      </c>
      <c r="M1552" t="str">
        <f>REPLACE(Transactions!M1552,1,4,"")</f>
        <v>20</v>
      </c>
    </row>
    <row r="1553" spans="1:13" x14ac:dyDescent="0.2">
      <c r="A1553">
        <v>357120</v>
      </c>
      <c r="B1553" s="5">
        <v>44736</v>
      </c>
      <c r="C1553">
        <v>40330</v>
      </c>
      <c r="D1553" t="str">
        <f>PROPER(Transactions!D1553)</f>
        <v>Furniture</v>
      </c>
      <c r="E1553" t="s">
        <v>26</v>
      </c>
      <c r="F1553" t="s">
        <v>27</v>
      </c>
      <c r="G1553">
        <v>1</v>
      </c>
      <c r="H1553">
        <v>27.99</v>
      </c>
      <c r="I1553" s="7">
        <f>IF(Transactions!I1553="",0,Transactions!I1553)</f>
        <v>0.2</v>
      </c>
      <c r="J1553" s="9">
        <f t="shared" si="24"/>
        <v>22.391999999999999</v>
      </c>
      <c r="K1553" t="s">
        <v>32</v>
      </c>
      <c r="L1553" t="s">
        <v>37</v>
      </c>
      <c r="M1553" t="str">
        <f>REPLACE(Transactions!M1553,1,4,"")</f>
        <v>2</v>
      </c>
    </row>
    <row r="1554" spans="1:13" x14ac:dyDescent="0.2">
      <c r="A1554">
        <v>357306</v>
      </c>
      <c r="B1554" s="5">
        <v>44907</v>
      </c>
      <c r="C1554">
        <v>28026</v>
      </c>
      <c r="D1554" t="str">
        <f>PROPER(Transactions!D1554)</f>
        <v>Pharmacy</v>
      </c>
      <c r="E1554" t="s">
        <v>58</v>
      </c>
      <c r="F1554" t="s">
        <v>59</v>
      </c>
      <c r="G1554">
        <v>2</v>
      </c>
      <c r="H1554">
        <v>2.79</v>
      </c>
      <c r="I1554" s="7">
        <f>IF(Transactions!I1554="",0,Transactions!I1554)</f>
        <v>0.3</v>
      </c>
      <c r="J1554" s="9">
        <f t="shared" si="24"/>
        <v>3.9059999999999997</v>
      </c>
      <c r="K1554" t="s">
        <v>36</v>
      </c>
      <c r="L1554" t="s">
        <v>17</v>
      </c>
      <c r="M1554" t="str">
        <f>REPLACE(Transactions!M1554,1,4,"")</f>
        <v>16</v>
      </c>
    </row>
    <row r="1555" spans="1:13" x14ac:dyDescent="0.2">
      <c r="A1555">
        <v>357309</v>
      </c>
      <c r="B1555" s="5">
        <v>45078</v>
      </c>
      <c r="C1555">
        <v>69596</v>
      </c>
      <c r="D1555" t="str">
        <f>PROPER(Transactions!D1555)</f>
        <v>Pharmacy</v>
      </c>
      <c r="E1555" t="s">
        <v>20</v>
      </c>
      <c r="F1555" t="s">
        <v>21</v>
      </c>
      <c r="G1555">
        <v>1</v>
      </c>
      <c r="H1555">
        <v>6.99</v>
      </c>
      <c r="I1555" s="7">
        <f>IF(Transactions!I1555="",0,Transactions!I1555)</f>
        <v>0.3</v>
      </c>
      <c r="J1555" s="9">
        <f t="shared" si="24"/>
        <v>4.8929999999999998</v>
      </c>
      <c r="K1555" t="s">
        <v>95</v>
      </c>
      <c r="L1555" t="s">
        <v>37</v>
      </c>
      <c r="M1555" t="str">
        <f>REPLACE(Transactions!M1555,1,4,"")</f>
        <v>3</v>
      </c>
    </row>
    <row r="1556" spans="1:13" x14ac:dyDescent="0.2">
      <c r="A1556">
        <v>357570</v>
      </c>
      <c r="B1556" s="5">
        <v>45230</v>
      </c>
      <c r="C1556">
        <v>28620</v>
      </c>
      <c r="D1556" t="str">
        <f>PROPER(Transactions!D1556)</f>
        <v>Home &amp; Garden</v>
      </c>
      <c r="E1556" t="s">
        <v>86</v>
      </c>
      <c r="F1556" t="s">
        <v>87</v>
      </c>
      <c r="G1556">
        <v>1</v>
      </c>
      <c r="H1556">
        <v>9.74</v>
      </c>
      <c r="I1556" s="7">
        <f>IF(Transactions!I1556="",0,Transactions!I1556)</f>
        <v>0.25</v>
      </c>
      <c r="J1556" s="9">
        <f t="shared" si="24"/>
        <v>7.3049999999999997</v>
      </c>
      <c r="K1556" t="s">
        <v>16</v>
      </c>
      <c r="L1556" t="s">
        <v>17</v>
      </c>
      <c r="M1556" t="str">
        <f>REPLACE(Transactions!M1556,1,4,"")</f>
        <v>2</v>
      </c>
    </row>
    <row r="1557" spans="1:13" x14ac:dyDescent="0.2">
      <c r="A1557">
        <v>357903</v>
      </c>
      <c r="B1557" s="5">
        <v>44834</v>
      </c>
      <c r="C1557">
        <v>51778</v>
      </c>
      <c r="D1557" t="str">
        <f>PROPER(Transactions!D1557)</f>
        <v>Clothing</v>
      </c>
      <c r="E1557" t="s">
        <v>193</v>
      </c>
      <c r="F1557" t="s">
        <v>194</v>
      </c>
      <c r="G1557">
        <v>3</v>
      </c>
      <c r="H1557">
        <v>45.49</v>
      </c>
      <c r="I1557" s="7">
        <f>IF(Transactions!I1557="",0,Transactions!I1557)</f>
        <v>0</v>
      </c>
      <c r="J1557" s="9">
        <f t="shared" si="24"/>
        <v>136.47</v>
      </c>
      <c r="K1557" t="s">
        <v>22</v>
      </c>
      <c r="L1557" t="s">
        <v>17</v>
      </c>
      <c r="M1557" t="str">
        <f>REPLACE(Transactions!M1557,1,4,"")</f>
        <v>9</v>
      </c>
    </row>
    <row r="1558" spans="1:13" x14ac:dyDescent="0.2">
      <c r="A1558">
        <v>357915</v>
      </c>
      <c r="B1558" s="5">
        <v>44605</v>
      </c>
      <c r="C1558">
        <v>77124</v>
      </c>
      <c r="D1558" t="str">
        <f>PROPER(Transactions!D1558)</f>
        <v>Pharmacy</v>
      </c>
      <c r="E1558" t="s">
        <v>20</v>
      </c>
      <c r="F1558" t="s">
        <v>21</v>
      </c>
      <c r="G1558">
        <v>1</v>
      </c>
      <c r="H1558">
        <v>7.49</v>
      </c>
      <c r="I1558" s="7">
        <f>IF(Transactions!I1558="",0,Transactions!I1558)</f>
        <v>0.25</v>
      </c>
      <c r="J1558" s="9">
        <f t="shared" si="24"/>
        <v>5.6174999999999997</v>
      </c>
      <c r="K1558" t="s">
        <v>36</v>
      </c>
      <c r="L1558" t="s">
        <v>37</v>
      </c>
      <c r="M1558" t="str">
        <f>REPLACE(Transactions!M1558,1,4,"")</f>
        <v>14</v>
      </c>
    </row>
    <row r="1559" spans="1:13" x14ac:dyDescent="0.2">
      <c r="A1559">
        <v>357958</v>
      </c>
      <c r="B1559" s="5">
        <v>45347</v>
      </c>
      <c r="D1559" t="str">
        <f>PROPER(Transactions!D1559)</f>
        <v>Furniture</v>
      </c>
      <c r="E1559" t="s">
        <v>26</v>
      </c>
      <c r="F1559" t="s">
        <v>27</v>
      </c>
      <c r="G1559">
        <v>4</v>
      </c>
      <c r="H1559">
        <v>34.99</v>
      </c>
      <c r="I1559" s="7">
        <f>IF(Transactions!I1559="",0,Transactions!I1559)</f>
        <v>0</v>
      </c>
      <c r="J1559" s="9">
        <f t="shared" si="24"/>
        <v>139.96</v>
      </c>
      <c r="K1559" t="s">
        <v>32</v>
      </c>
      <c r="L1559" t="s">
        <v>17</v>
      </c>
      <c r="M1559" t="str">
        <f>REPLACE(Transactions!M1559,1,4,"")</f>
        <v>14</v>
      </c>
    </row>
    <row r="1560" spans="1:13" x14ac:dyDescent="0.2">
      <c r="A1560">
        <v>357963</v>
      </c>
      <c r="B1560" s="5">
        <v>45593</v>
      </c>
      <c r="C1560">
        <v>45258</v>
      </c>
      <c r="D1560" t="str">
        <f>PROPER(Transactions!D1560)</f>
        <v>Toys</v>
      </c>
      <c r="E1560" t="s">
        <v>72</v>
      </c>
      <c r="F1560" t="s">
        <v>73</v>
      </c>
      <c r="G1560">
        <v>1</v>
      </c>
      <c r="H1560">
        <v>33.99</v>
      </c>
      <c r="I1560" s="7">
        <f>IF(Transactions!I1560="",0,Transactions!I1560)</f>
        <v>0.15</v>
      </c>
      <c r="J1560" s="9">
        <f t="shared" si="24"/>
        <v>28.891500000000001</v>
      </c>
      <c r="K1560" t="s">
        <v>66</v>
      </c>
      <c r="L1560" t="s">
        <v>17</v>
      </c>
      <c r="M1560" t="str">
        <f>REPLACE(Transactions!M1560,1,4,"")</f>
        <v>6</v>
      </c>
    </row>
    <row r="1561" spans="1:13" x14ac:dyDescent="0.2">
      <c r="A1561">
        <v>358191</v>
      </c>
      <c r="B1561" s="5">
        <v>45380</v>
      </c>
      <c r="C1561">
        <v>75478</v>
      </c>
      <c r="D1561" t="str">
        <f>PROPER(Transactions!D1561)</f>
        <v>Grocery</v>
      </c>
      <c r="E1561" t="s">
        <v>45</v>
      </c>
      <c r="F1561" t="s">
        <v>46</v>
      </c>
      <c r="G1561">
        <v>1</v>
      </c>
      <c r="H1561">
        <v>1.7</v>
      </c>
      <c r="I1561" s="7">
        <f>IF(Transactions!I1561="",0,Transactions!I1561)</f>
        <v>0.05</v>
      </c>
      <c r="J1561" s="9">
        <f t="shared" si="24"/>
        <v>1.615</v>
      </c>
      <c r="K1561" t="s">
        <v>36</v>
      </c>
      <c r="L1561" t="s">
        <v>17</v>
      </c>
      <c r="M1561" t="str">
        <f>REPLACE(Transactions!M1561,1,4,"")</f>
        <v>11</v>
      </c>
    </row>
    <row r="1562" spans="1:13" x14ac:dyDescent="0.2">
      <c r="A1562">
        <v>358358</v>
      </c>
      <c r="B1562" s="5">
        <v>44855</v>
      </c>
      <c r="C1562">
        <v>51550</v>
      </c>
      <c r="D1562" t="str">
        <f>PROPER(Transactions!D1562)</f>
        <v>Toys</v>
      </c>
      <c r="E1562" t="s">
        <v>30</v>
      </c>
      <c r="F1562" t="s">
        <v>31</v>
      </c>
      <c r="G1562">
        <v>1</v>
      </c>
      <c r="H1562">
        <v>17.489999999999998</v>
      </c>
      <c r="I1562" s="7">
        <f>IF(Transactions!I1562="",0,Transactions!I1562)</f>
        <v>0.3</v>
      </c>
      <c r="J1562" s="9">
        <f t="shared" si="24"/>
        <v>12.242999999999999</v>
      </c>
      <c r="K1562" t="s">
        <v>16</v>
      </c>
      <c r="L1562" t="s">
        <v>17</v>
      </c>
      <c r="M1562" t="str">
        <f>REPLACE(Transactions!M1562,1,4,"")</f>
        <v>4</v>
      </c>
    </row>
    <row r="1563" spans="1:13" x14ac:dyDescent="0.2">
      <c r="A1563">
        <v>358372</v>
      </c>
      <c r="B1563" s="5">
        <v>45410</v>
      </c>
      <c r="C1563">
        <v>84255</v>
      </c>
      <c r="D1563" t="str">
        <f>PROPER(Transactions!D1563)</f>
        <v>Furniture</v>
      </c>
      <c r="E1563" t="s">
        <v>51</v>
      </c>
      <c r="F1563" t="s">
        <v>52</v>
      </c>
      <c r="G1563">
        <v>1</v>
      </c>
      <c r="H1563">
        <v>27.99</v>
      </c>
      <c r="I1563" s="7">
        <f>IF(Transactions!I1563="",0,Transactions!I1563)</f>
        <v>0</v>
      </c>
      <c r="J1563" s="9">
        <f t="shared" si="24"/>
        <v>27.99</v>
      </c>
      <c r="K1563" t="s">
        <v>36</v>
      </c>
      <c r="L1563" t="s">
        <v>17</v>
      </c>
      <c r="M1563" t="str">
        <f>REPLACE(Transactions!M1563,1,4,"")</f>
        <v>6</v>
      </c>
    </row>
    <row r="1564" spans="1:13" x14ac:dyDescent="0.2">
      <c r="A1564">
        <v>358431</v>
      </c>
      <c r="B1564" s="5">
        <v>44689</v>
      </c>
      <c r="C1564">
        <v>62341</v>
      </c>
      <c r="D1564" t="str">
        <f>PROPER(Transactions!D1564)</f>
        <v>Grocery</v>
      </c>
      <c r="E1564" t="s">
        <v>74</v>
      </c>
      <c r="F1564" t="s">
        <v>75</v>
      </c>
      <c r="G1564">
        <v>1</v>
      </c>
      <c r="H1564">
        <v>2.99</v>
      </c>
      <c r="I1564" s="7">
        <f>IF(Transactions!I1564="",0,Transactions!I1564)</f>
        <v>0</v>
      </c>
      <c r="J1564" s="9">
        <f t="shared" si="24"/>
        <v>2.99</v>
      </c>
      <c r="K1564" t="s">
        <v>95</v>
      </c>
      <c r="L1564" t="s">
        <v>37</v>
      </c>
      <c r="M1564" t="str">
        <f>REPLACE(Transactions!M1564,1,4,"")</f>
        <v>17</v>
      </c>
    </row>
    <row r="1565" spans="1:13" x14ac:dyDescent="0.2">
      <c r="A1565">
        <v>358567</v>
      </c>
      <c r="B1565" s="5">
        <v>45073</v>
      </c>
      <c r="C1565">
        <v>83405</v>
      </c>
      <c r="D1565" t="str">
        <f>PROPER(Transactions!D1565)</f>
        <v>Grocery</v>
      </c>
      <c r="E1565" t="s">
        <v>133</v>
      </c>
      <c r="F1565" t="s">
        <v>134</v>
      </c>
      <c r="G1565">
        <v>1</v>
      </c>
      <c r="H1565">
        <v>3.22</v>
      </c>
      <c r="I1565" s="7">
        <f>IF(Transactions!I1565="",0,Transactions!I1565)</f>
        <v>0.15</v>
      </c>
      <c r="J1565" s="9">
        <f t="shared" si="24"/>
        <v>2.7370000000000001</v>
      </c>
      <c r="K1565" t="s">
        <v>53</v>
      </c>
      <c r="L1565" t="s">
        <v>17</v>
      </c>
      <c r="M1565" t="str">
        <f>REPLACE(Transactions!M1565,1,4,"")</f>
        <v>11</v>
      </c>
    </row>
    <row r="1566" spans="1:13" x14ac:dyDescent="0.2">
      <c r="A1566">
        <v>358740</v>
      </c>
      <c r="B1566" s="5">
        <v>44867</v>
      </c>
      <c r="C1566">
        <v>80753</v>
      </c>
      <c r="D1566" t="str">
        <f>PROPER(Transactions!D1566)</f>
        <v>Home &amp; Garden</v>
      </c>
      <c r="E1566" t="s">
        <v>149</v>
      </c>
      <c r="F1566" t="s">
        <v>150</v>
      </c>
      <c r="G1566">
        <v>2</v>
      </c>
      <c r="H1566">
        <v>19.989999999999998</v>
      </c>
      <c r="I1566" s="7">
        <f>IF(Transactions!I1566="",0,Transactions!I1566)</f>
        <v>0</v>
      </c>
      <c r="J1566" s="9">
        <f t="shared" si="24"/>
        <v>39.979999999999997</v>
      </c>
      <c r="K1566" t="s">
        <v>36</v>
      </c>
      <c r="L1566" t="s">
        <v>23</v>
      </c>
      <c r="M1566" t="str">
        <f>REPLACE(Transactions!M1566,1,4,"")</f>
        <v>6</v>
      </c>
    </row>
    <row r="1567" spans="1:13" x14ac:dyDescent="0.2">
      <c r="A1567">
        <v>358801</v>
      </c>
      <c r="B1567" s="5">
        <v>44743</v>
      </c>
      <c r="C1567">
        <v>91137</v>
      </c>
      <c r="D1567" t="str">
        <f>PROPER(Transactions!D1567)</f>
        <v>Toys</v>
      </c>
      <c r="E1567" t="s">
        <v>72</v>
      </c>
      <c r="F1567" t="s">
        <v>73</v>
      </c>
      <c r="G1567">
        <v>5</v>
      </c>
      <c r="H1567">
        <v>35.99</v>
      </c>
      <c r="I1567" s="7">
        <f>IF(Transactions!I1567="",0,Transactions!I1567)</f>
        <v>0.1</v>
      </c>
      <c r="J1567" s="9">
        <f t="shared" si="24"/>
        <v>161.95500000000001</v>
      </c>
      <c r="K1567" t="s">
        <v>22</v>
      </c>
      <c r="L1567" t="s">
        <v>37</v>
      </c>
      <c r="M1567" t="str">
        <f>REPLACE(Transactions!M1567,1,4,"")</f>
        <v>4</v>
      </c>
    </row>
    <row r="1568" spans="1:13" x14ac:dyDescent="0.2">
      <c r="A1568">
        <v>358938</v>
      </c>
      <c r="B1568" s="5">
        <v>45243</v>
      </c>
      <c r="C1568">
        <v>27936</v>
      </c>
      <c r="D1568" t="str">
        <f>PROPER(Transactions!D1568)</f>
        <v>Beauty</v>
      </c>
      <c r="E1568" t="s">
        <v>143</v>
      </c>
      <c r="F1568" t="s">
        <v>144</v>
      </c>
      <c r="G1568">
        <v>3</v>
      </c>
      <c r="H1568">
        <v>14.99</v>
      </c>
      <c r="I1568" s="7">
        <f>IF(Transactions!I1568="",0,Transactions!I1568)</f>
        <v>0</v>
      </c>
      <c r="J1568" s="9">
        <f t="shared" si="24"/>
        <v>44.97</v>
      </c>
      <c r="K1568" t="s">
        <v>36</v>
      </c>
      <c r="L1568" t="s">
        <v>17</v>
      </c>
      <c r="M1568" t="str">
        <f>REPLACE(Transactions!M1568,1,4,"")</f>
        <v/>
      </c>
    </row>
    <row r="1569" spans="1:13" x14ac:dyDescent="0.2">
      <c r="A1569">
        <v>359015</v>
      </c>
      <c r="B1569" s="5">
        <v>44956</v>
      </c>
      <c r="C1569">
        <v>36560</v>
      </c>
      <c r="D1569" t="str">
        <f>PROPER(Transactions!D1569)</f>
        <v>Clothing</v>
      </c>
      <c r="E1569" t="s">
        <v>141</v>
      </c>
      <c r="F1569" t="s">
        <v>142</v>
      </c>
      <c r="G1569">
        <v>5</v>
      </c>
      <c r="H1569">
        <v>22.99</v>
      </c>
      <c r="I1569" s="7">
        <f>IF(Transactions!I1569="",0,Transactions!I1569)</f>
        <v>0</v>
      </c>
      <c r="J1569" s="9">
        <f t="shared" si="24"/>
        <v>114.94999999999999</v>
      </c>
      <c r="K1569" t="s">
        <v>32</v>
      </c>
      <c r="L1569" t="s">
        <v>17</v>
      </c>
      <c r="M1569" t="str">
        <f>REPLACE(Transactions!M1569,1,4,"")</f>
        <v>11</v>
      </c>
    </row>
    <row r="1570" spans="1:13" x14ac:dyDescent="0.2">
      <c r="A1570">
        <v>359163</v>
      </c>
      <c r="B1570" s="5">
        <v>44765</v>
      </c>
      <c r="C1570">
        <v>87615</v>
      </c>
      <c r="D1570" t="str">
        <f>PROPER(Transactions!D1570)</f>
        <v>Home &amp; Garden</v>
      </c>
      <c r="E1570" t="s">
        <v>86</v>
      </c>
      <c r="F1570" t="s">
        <v>87</v>
      </c>
      <c r="G1570">
        <v>1</v>
      </c>
      <c r="H1570">
        <v>10.39</v>
      </c>
      <c r="I1570" s="7">
        <f>IF(Transactions!I1570="",0,Transactions!I1570)</f>
        <v>0.2</v>
      </c>
      <c r="J1570" s="9">
        <f t="shared" si="24"/>
        <v>8.3120000000000012</v>
      </c>
      <c r="K1570" t="s">
        <v>32</v>
      </c>
      <c r="L1570" t="s">
        <v>17</v>
      </c>
      <c r="M1570" t="str">
        <f>REPLACE(Transactions!M1570,1,4,"")</f>
        <v>11</v>
      </c>
    </row>
    <row r="1571" spans="1:13" x14ac:dyDescent="0.2">
      <c r="A1571">
        <v>359208</v>
      </c>
      <c r="B1571" s="5">
        <v>45556</v>
      </c>
      <c r="C1571">
        <v>86486</v>
      </c>
      <c r="D1571" t="str">
        <f>PROPER(Transactions!D1571)</f>
        <v>Pharmacy</v>
      </c>
      <c r="E1571" t="s">
        <v>115</v>
      </c>
      <c r="F1571" t="s">
        <v>116</v>
      </c>
      <c r="G1571">
        <v>4</v>
      </c>
      <c r="H1571">
        <v>10.39</v>
      </c>
      <c r="I1571" s="7">
        <f>IF(Transactions!I1571="",0,Transactions!I1571)</f>
        <v>0.2</v>
      </c>
      <c r="J1571" s="9">
        <f t="shared" si="24"/>
        <v>33.248000000000005</v>
      </c>
      <c r="K1571" t="s">
        <v>16</v>
      </c>
      <c r="L1571" t="s">
        <v>17</v>
      </c>
      <c r="M1571" t="str">
        <f>REPLACE(Transactions!M1571,1,4,"")</f>
        <v>6</v>
      </c>
    </row>
    <row r="1572" spans="1:13" x14ac:dyDescent="0.2">
      <c r="A1572">
        <v>359402</v>
      </c>
      <c r="B1572" s="5">
        <v>44733</v>
      </c>
      <c r="C1572">
        <v>69524</v>
      </c>
      <c r="D1572" t="str">
        <f>PROPER(Transactions!D1572)</f>
        <v>Clothing</v>
      </c>
      <c r="E1572" t="s">
        <v>193</v>
      </c>
      <c r="F1572" t="s">
        <v>194</v>
      </c>
      <c r="G1572">
        <v>1</v>
      </c>
      <c r="H1572">
        <v>51.99</v>
      </c>
      <c r="I1572" s="7">
        <f>IF(Transactions!I1572="",0,Transactions!I1572)</f>
        <v>0.2</v>
      </c>
      <c r="J1572" s="9">
        <f t="shared" si="24"/>
        <v>41.592000000000006</v>
      </c>
      <c r="K1572" t="s">
        <v>16</v>
      </c>
      <c r="L1572" t="s">
        <v>37</v>
      </c>
      <c r="M1572" t="str">
        <f>REPLACE(Transactions!M1572,1,4,"")</f>
        <v>14</v>
      </c>
    </row>
    <row r="1573" spans="1:13" x14ac:dyDescent="0.2">
      <c r="A1573">
        <v>359462</v>
      </c>
      <c r="B1573" s="5">
        <v>45430</v>
      </c>
      <c r="C1573">
        <v>85388</v>
      </c>
      <c r="D1573" t="str">
        <f>PROPER(Transactions!D1573)</f>
        <v>Sports</v>
      </c>
      <c r="E1573" t="s">
        <v>83</v>
      </c>
      <c r="F1573" t="s">
        <v>84</v>
      </c>
      <c r="G1573">
        <v>5</v>
      </c>
      <c r="H1573">
        <v>13.59</v>
      </c>
      <c r="I1573" s="7">
        <f>IF(Transactions!I1573="",0,Transactions!I1573)</f>
        <v>0.2</v>
      </c>
      <c r="J1573" s="9">
        <f t="shared" si="24"/>
        <v>54.360000000000007</v>
      </c>
      <c r="K1573" t="s">
        <v>32</v>
      </c>
      <c r="L1573" t="s">
        <v>17</v>
      </c>
      <c r="M1573" t="str">
        <f>REPLACE(Transactions!M1573,1,4,"")</f>
        <v>9</v>
      </c>
    </row>
    <row r="1574" spans="1:13" x14ac:dyDescent="0.2">
      <c r="A1574">
        <v>359688</v>
      </c>
      <c r="B1574" s="5">
        <v>44639</v>
      </c>
      <c r="C1574">
        <v>91250</v>
      </c>
      <c r="D1574" t="str">
        <f>PROPER(Transactions!D1574)</f>
        <v>Toys</v>
      </c>
      <c r="E1574" t="s">
        <v>170</v>
      </c>
      <c r="F1574" t="s">
        <v>171</v>
      </c>
      <c r="G1574">
        <v>5</v>
      </c>
      <c r="H1574">
        <v>14.99</v>
      </c>
      <c r="I1574" s="7">
        <f>IF(Transactions!I1574="",0,Transactions!I1574)</f>
        <v>0</v>
      </c>
      <c r="J1574" s="9">
        <f t="shared" si="24"/>
        <v>74.95</v>
      </c>
      <c r="K1574" t="s">
        <v>16</v>
      </c>
      <c r="L1574" t="s">
        <v>23</v>
      </c>
      <c r="M1574" t="str">
        <f>REPLACE(Transactions!M1574,1,4,"")</f>
        <v>13</v>
      </c>
    </row>
    <row r="1575" spans="1:13" x14ac:dyDescent="0.2">
      <c r="A1575">
        <v>360017</v>
      </c>
      <c r="B1575" s="5">
        <v>44676</v>
      </c>
      <c r="C1575">
        <v>95302</v>
      </c>
      <c r="D1575" t="str">
        <f>PROPER(Transactions!D1575)</f>
        <v>Automotive</v>
      </c>
      <c r="E1575" t="s">
        <v>125</v>
      </c>
      <c r="F1575" t="s">
        <v>126</v>
      </c>
      <c r="G1575">
        <v>2</v>
      </c>
      <c r="H1575">
        <v>22.49</v>
      </c>
      <c r="I1575" s="7">
        <f>IF(Transactions!I1575="",0,Transactions!I1575)</f>
        <v>0.25</v>
      </c>
      <c r="J1575" s="9">
        <f t="shared" si="24"/>
        <v>33.734999999999999</v>
      </c>
      <c r="K1575" t="s">
        <v>16</v>
      </c>
      <c r="L1575" t="s">
        <v>37</v>
      </c>
      <c r="M1575" t="str">
        <f>REPLACE(Transactions!M1575,1,4,"")</f>
        <v>19</v>
      </c>
    </row>
    <row r="1576" spans="1:13" x14ac:dyDescent="0.2">
      <c r="A1576">
        <v>360048</v>
      </c>
      <c r="B1576" s="5">
        <v>44722</v>
      </c>
      <c r="C1576">
        <v>12177</v>
      </c>
      <c r="D1576" t="str">
        <f>PROPER(Transactions!D1576)</f>
        <v>Pharmacy</v>
      </c>
      <c r="E1576" t="s">
        <v>197</v>
      </c>
      <c r="F1576" t="s">
        <v>198</v>
      </c>
      <c r="G1576">
        <v>2</v>
      </c>
      <c r="H1576">
        <v>11.99</v>
      </c>
      <c r="I1576" s="7">
        <f>IF(Transactions!I1576="",0,Transactions!I1576)</f>
        <v>0.2</v>
      </c>
      <c r="J1576" s="9">
        <f t="shared" si="24"/>
        <v>19.184000000000001</v>
      </c>
      <c r="K1576" t="s">
        <v>36</v>
      </c>
      <c r="L1576" t="s">
        <v>17</v>
      </c>
      <c r="M1576" t="str">
        <f>REPLACE(Transactions!M1576,1,4,"")</f>
        <v>14</v>
      </c>
    </row>
    <row r="1577" spans="1:13" x14ac:dyDescent="0.2">
      <c r="A1577">
        <v>360246</v>
      </c>
      <c r="B1577" s="5">
        <v>45114</v>
      </c>
      <c r="C1577">
        <v>11648</v>
      </c>
      <c r="D1577" t="str">
        <f>PROPER(Transactions!D1577)</f>
        <v>Electronics</v>
      </c>
      <c r="E1577" t="s">
        <v>55</v>
      </c>
      <c r="F1577" t="s">
        <v>56</v>
      </c>
      <c r="G1577">
        <v>1</v>
      </c>
      <c r="H1577">
        <v>263.99</v>
      </c>
      <c r="I1577" s="7">
        <f>IF(Transactions!I1577="",0,Transactions!I1577)</f>
        <v>0.2</v>
      </c>
      <c r="J1577" s="9">
        <f t="shared" si="24"/>
        <v>211.19200000000001</v>
      </c>
      <c r="K1577" t="s">
        <v>22</v>
      </c>
      <c r="L1577" t="s">
        <v>17</v>
      </c>
      <c r="M1577" t="str">
        <f>REPLACE(Transactions!M1577,1,4,"")</f>
        <v>18</v>
      </c>
    </row>
    <row r="1578" spans="1:13" x14ac:dyDescent="0.2">
      <c r="A1578">
        <v>360320</v>
      </c>
      <c r="B1578" s="5">
        <v>44866</v>
      </c>
      <c r="C1578">
        <v>44302</v>
      </c>
      <c r="D1578" t="str">
        <f>PROPER(Transactions!D1578)</f>
        <v>Beauty</v>
      </c>
      <c r="E1578" t="s">
        <v>109</v>
      </c>
      <c r="F1578" t="s">
        <v>110</v>
      </c>
      <c r="G1578">
        <v>4</v>
      </c>
      <c r="H1578">
        <v>5.59</v>
      </c>
      <c r="I1578" s="7">
        <f>IF(Transactions!I1578="",0,Transactions!I1578)</f>
        <v>0.2</v>
      </c>
      <c r="J1578" s="9">
        <f t="shared" si="24"/>
        <v>17.888000000000002</v>
      </c>
      <c r="K1578" t="s">
        <v>32</v>
      </c>
      <c r="L1578" t="s">
        <v>17</v>
      </c>
      <c r="M1578" t="str">
        <f>REPLACE(Transactions!M1578,1,4,"")</f>
        <v>9</v>
      </c>
    </row>
    <row r="1579" spans="1:13" x14ac:dyDescent="0.2">
      <c r="A1579">
        <v>360485</v>
      </c>
      <c r="B1579" s="5">
        <v>45304</v>
      </c>
      <c r="C1579">
        <v>11825</v>
      </c>
      <c r="D1579" t="str">
        <f>PROPER(Transactions!D1579)</f>
        <v>Clothing</v>
      </c>
      <c r="E1579" t="s">
        <v>193</v>
      </c>
      <c r="F1579" t="s">
        <v>194</v>
      </c>
      <c r="G1579">
        <v>4</v>
      </c>
      <c r="H1579">
        <v>55.24</v>
      </c>
      <c r="I1579" s="7">
        <f>IF(Transactions!I1579="",0,Transactions!I1579)</f>
        <v>0.15</v>
      </c>
      <c r="J1579" s="9">
        <f t="shared" si="24"/>
        <v>187.816</v>
      </c>
      <c r="K1579" t="s">
        <v>36</v>
      </c>
      <c r="L1579" t="s">
        <v>23</v>
      </c>
      <c r="M1579" t="str">
        <f>REPLACE(Transactions!M1579,1,4,"")</f>
        <v>16</v>
      </c>
    </row>
    <row r="1580" spans="1:13" x14ac:dyDescent="0.2">
      <c r="A1580">
        <v>360747</v>
      </c>
      <c r="B1580" s="5">
        <v>45641</v>
      </c>
      <c r="C1580">
        <v>65581</v>
      </c>
      <c r="D1580" t="str">
        <f>PROPER(Transactions!D1580)</f>
        <v>Automotive</v>
      </c>
      <c r="E1580" t="s">
        <v>125</v>
      </c>
      <c r="F1580" t="s">
        <v>126</v>
      </c>
      <c r="G1580">
        <v>5</v>
      </c>
      <c r="H1580">
        <v>29.99</v>
      </c>
      <c r="I1580" s="7">
        <f>IF(Transactions!I1580="",0,Transactions!I1580)</f>
        <v>0</v>
      </c>
      <c r="J1580" s="9">
        <f t="shared" si="24"/>
        <v>149.94999999999999</v>
      </c>
      <c r="K1580" t="s">
        <v>16</v>
      </c>
      <c r="L1580" t="s">
        <v>37</v>
      </c>
      <c r="M1580" t="str">
        <f>REPLACE(Transactions!M1580,1,4,"")</f>
        <v>14</v>
      </c>
    </row>
    <row r="1581" spans="1:13" x14ac:dyDescent="0.2">
      <c r="A1581">
        <v>360849</v>
      </c>
      <c r="B1581" s="5">
        <v>45205</v>
      </c>
      <c r="C1581">
        <v>71566</v>
      </c>
      <c r="D1581" t="str">
        <f>PROPER(Transactions!D1581)</f>
        <v>Beauty</v>
      </c>
      <c r="E1581" t="s">
        <v>143</v>
      </c>
      <c r="F1581" t="s">
        <v>144</v>
      </c>
      <c r="G1581">
        <v>2</v>
      </c>
      <c r="H1581">
        <v>12.74</v>
      </c>
      <c r="I1581" s="7">
        <f>IF(Transactions!I1581="",0,Transactions!I1581)</f>
        <v>0.15</v>
      </c>
      <c r="J1581" s="9">
        <f t="shared" si="24"/>
        <v>21.658000000000001</v>
      </c>
      <c r="K1581" t="s">
        <v>36</v>
      </c>
      <c r="L1581" t="s">
        <v>37</v>
      </c>
      <c r="M1581" t="str">
        <f>REPLACE(Transactions!M1581,1,4,"")</f>
        <v>9</v>
      </c>
    </row>
    <row r="1582" spans="1:13" x14ac:dyDescent="0.2">
      <c r="A1582">
        <v>360859</v>
      </c>
      <c r="B1582" s="5">
        <v>44666</v>
      </c>
      <c r="C1582">
        <v>43380</v>
      </c>
      <c r="D1582" t="str">
        <f>PROPER(Transactions!D1582)</f>
        <v>Beauty</v>
      </c>
      <c r="E1582" t="s">
        <v>49</v>
      </c>
      <c r="F1582" t="s">
        <v>50</v>
      </c>
      <c r="G1582">
        <v>4</v>
      </c>
      <c r="H1582">
        <v>7.64</v>
      </c>
      <c r="I1582" s="7">
        <f>IF(Transactions!I1582="",0,Transactions!I1582)</f>
        <v>0.15</v>
      </c>
      <c r="J1582" s="9">
        <f t="shared" si="24"/>
        <v>25.975999999999999</v>
      </c>
      <c r="K1582" t="s">
        <v>16</v>
      </c>
      <c r="L1582" t="s">
        <v>17</v>
      </c>
      <c r="M1582" t="str">
        <f>REPLACE(Transactions!M1582,1,4,"")</f>
        <v>10</v>
      </c>
    </row>
    <row r="1583" spans="1:13" x14ac:dyDescent="0.2">
      <c r="A1583">
        <v>360926</v>
      </c>
      <c r="B1583" s="5">
        <v>45299</v>
      </c>
      <c r="C1583">
        <v>32042</v>
      </c>
      <c r="D1583" t="str">
        <f>PROPER(Transactions!D1583)</f>
        <v>Grocery</v>
      </c>
      <c r="E1583" t="s">
        <v>93</v>
      </c>
      <c r="F1583" t="s">
        <v>94</v>
      </c>
      <c r="G1583">
        <v>4</v>
      </c>
      <c r="H1583">
        <v>0.9</v>
      </c>
      <c r="I1583" s="7">
        <f>IF(Transactions!I1583="",0,Transactions!I1583)</f>
        <v>0.3</v>
      </c>
      <c r="J1583" s="9">
        <f t="shared" si="24"/>
        <v>2.52</v>
      </c>
      <c r="K1583" t="s">
        <v>36</v>
      </c>
      <c r="L1583" t="s">
        <v>23</v>
      </c>
      <c r="M1583" t="str">
        <f>REPLACE(Transactions!M1583,1,4,"")</f>
        <v>1</v>
      </c>
    </row>
    <row r="1584" spans="1:13" x14ac:dyDescent="0.2">
      <c r="A1584">
        <v>361092</v>
      </c>
      <c r="B1584" s="5">
        <v>45586</v>
      </c>
      <c r="C1584">
        <v>15504</v>
      </c>
      <c r="D1584" t="str">
        <f>PROPER(Transactions!D1584)</f>
        <v>Toys</v>
      </c>
      <c r="E1584" t="s">
        <v>30</v>
      </c>
      <c r="F1584" t="s">
        <v>31</v>
      </c>
      <c r="G1584">
        <v>4</v>
      </c>
      <c r="H1584">
        <v>22.49</v>
      </c>
      <c r="I1584" s="7">
        <f>IF(Transactions!I1584="",0,Transactions!I1584)</f>
        <v>0.1</v>
      </c>
      <c r="J1584" s="9">
        <f t="shared" si="24"/>
        <v>80.963999999999999</v>
      </c>
      <c r="K1584" t="s">
        <v>16</v>
      </c>
      <c r="L1584" t="s">
        <v>17</v>
      </c>
      <c r="M1584" t="str">
        <f>REPLACE(Transactions!M1584,1,4,"")</f>
        <v>20</v>
      </c>
    </row>
    <row r="1585" spans="1:13" x14ac:dyDescent="0.2">
      <c r="A1585">
        <v>361111</v>
      </c>
      <c r="B1585" s="5">
        <v>44983</v>
      </c>
      <c r="D1585" t="str">
        <f>PROPER(Transactions!D1585)</f>
        <v>Electronics</v>
      </c>
      <c r="E1585" t="s">
        <v>14</v>
      </c>
      <c r="F1585" t="s">
        <v>15</v>
      </c>
      <c r="G1585">
        <v>1</v>
      </c>
      <c r="H1585">
        <v>79.989999999999995</v>
      </c>
      <c r="I1585" s="7">
        <f>IF(Transactions!I1585="",0,Transactions!I1585)</f>
        <v>0</v>
      </c>
      <c r="J1585" s="9">
        <f t="shared" si="24"/>
        <v>79.989999999999995</v>
      </c>
      <c r="K1585" t="s">
        <v>36</v>
      </c>
      <c r="L1585" t="s">
        <v>37</v>
      </c>
      <c r="M1585" t="str">
        <f>REPLACE(Transactions!M1585,1,4,"")</f>
        <v>7</v>
      </c>
    </row>
    <row r="1586" spans="1:13" x14ac:dyDescent="0.2">
      <c r="A1586">
        <v>361118</v>
      </c>
      <c r="B1586" s="5">
        <v>45175</v>
      </c>
      <c r="C1586">
        <v>92040</v>
      </c>
      <c r="D1586" t="str">
        <f>PROPER(Transactions!D1586)</f>
        <v>Pharmacy</v>
      </c>
      <c r="E1586" t="s">
        <v>58</v>
      </c>
      <c r="F1586" t="s">
        <v>59</v>
      </c>
      <c r="G1586">
        <v>4</v>
      </c>
      <c r="H1586">
        <v>3.59</v>
      </c>
      <c r="I1586" s="7">
        <f>IF(Transactions!I1586="",0,Transactions!I1586)</f>
        <v>0.1</v>
      </c>
      <c r="J1586" s="9">
        <f t="shared" si="24"/>
        <v>12.923999999999999</v>
      </c>
      <c r="K1586" t="s">
        <v>36</v>
      </c>
      <c r="L1586" t="s">
        <v>37</v>
      </c>
      <c r="M1586" t="str">
        <f>REPLACE(Transactions!M1586,1,4,"")</f>
        <v>4</v>
      </c>
    </row>
    <row r="1587" spans="1:13" x14ac:dyDescent="0.2">
      <c r="A1587">
        <v>361161</v>
      </c>
      <c r="B1587" s="5">
        <v>45532</v>
      </c>
      <c r="C1587">
        <v>38828</v>
      </c>
      <c r="D1587" t="str">
        <f>PROPER(Transactions!D1587)</f>
        <v>Grocery</v>
      </c>
      <c r="E1587" t="s">
        <v>45</v>
      </c>
      <c r="F1587" t="s">
        <v>46</v>
      </c>
      <c r="G1587">
        <v>1</v>
      </c>
      <c r="H1587">
        <v>1.7</v>
      </c>
      <c r="I1587" s="7">
        <f>IF(Transactions!I1587="",0,Transactions!I1587)</f>
        <v>0.05</v>
      </c>
      <c r="J1587" s="9">
        <f t="shared" si="24"/>
        <v>1.615</v>
      </c>
      <c r="K1587" t="s">
        <v>16</v>
      </c>
      <c r="L1587" t="s">
        <v>37</v>
      </c>
      <c r="M1587" t="str">
        <f>REPLACE(Transactions!M1587,1,4,"")</f>
        <v>14</v>
      </c>
    </row>
    <row r="1588" spans="1:13" x14ac:dyDescent="0.2">
      <c r="A1588">
        <v>361301</v>
      </c>
      <c r="B1588" s="5">
        <v>45538</v>
      </c>
      <c r="C1588">
        <v>66528</v>
      </c>
      <c r="D1588" t="str">
        <f>PROPER(Transactions!D1588)</f>
        <v>Beauty</v>
      </c>
      <c r="E1588" t="s">
        <v>179</v>
      </c>
      <c r="F1588" t="s">
        <v>180</v>
      </c>
      <c r="G1588">
        <v>5</v>
      </c>
      <c r="H1588">
        <v>11.99</v>
      </c>
      <c r="I1588" s="7">
        <f>IF(Transactions!I1588="",0,Transactions!I1588)</f>
        <v>0</v>
      </c>
      <c r="J1588" s="9">
        <f t="shared" si="24"/>
        <v>59.95</v>
      </c>
      <c r="K1588" t="s">
        <v>16</v>
      </c>
      <c r="L1588" t="s">
        <v>17</v>
      </c>
      <c r="M1588" t="str">
        <f>REPLACE(Transactions!M1588,1,4,"")</f>
        <v>3</v>
      </c>
    </row>
    <row r="1589" spans="1:13" x14ac:dyDescent="0.2">
      <c r="A1589">
        <v>361742</v>
      </c>
      <c r="B1589" s="5">
        <v>45431</v>
      </c>
      <c r="C1589">
        <v>89201</v>
      </c>
      <c r="D1589" t="str">
        <f>PROPER(Transactions!D1589)</f>
        <v>Toys</v>
      </c>
      <c r="E1589" t="s">
        <v>72</v>
      </c>
      <c r="F1589" t="s">
        <v>73</v>
      </c>
      <c r="G1589">
        <v>1</v>
      </c>
      <c r="H1589">
        <v>29.99</v>
      </c>
      <c r="I1589" s="7">
        <f>IF(Transactions!I1589="",0,Transactions!I1589)</f>
        <v>0.25</v>
      </c>
      <c r="J1589" s="9">
        <f t="shared" si="24"/>
        <v>22.4925</v>
      </c>
      <c r="K1589" t="s">
        <v>95</v>
      </c>
      <c r="L1589" t="s">
        <v>37</v>
      </c>
      <c r="M1589" t="str">
        <f>REPLACE(Transactions!M1589,1,4,"")</f>
        <v>7</v>
      </c>
    </row>
    <row r="1590" spans="1:13" x14ac:dyDescent="0.2">
      <c r="A1590">
        <v>361768</v>
      </c>
      <c r="B1590" s="5">
        <v>44905</v>
      </c>
      <c r="C1590">
        <v>20056</v>
      </c>
      <c r="D1590" t="str">
        <f>PROPER(Transactions!D1590)</f>
        <v>Grocery</v>
      </c>
      <c r="E1590" t="s">
        <v>184</v>
      </c>
      <c r="F1590" t="s">
        <v>185</v>
      </c>
      <c r="G1590">
        <v>1</v>
      </c>
      <c r="H1590">
        <v>5.49</v>
      </c>
      <c r="I1590" s="7">
        <f>IF(Transactions!I1590="",0,Transactions!I1590)</f>
        <v>0</v>
      </c>
      <c r="J1590" s="9">
        <f t="shared" si="24"/>
        <v>5.49</v>
      </c>
      <c r="K1590" t="s">
        <v>53</v>
      </c>
      <c r="L1590" t="s">
        <v>17</v>
      </c>
      <c r="M1590" t="str">
        <f>REPLACE(Transactions!M1590,1,4,"")</f>
        <v>16</v>
      </c>
    </row>
    <row r="1591" spans="1:13" x14ac:dyDescent="0.2">
      <c r="A1591">
        <v>361991</v>
      </c>
      <c r="B1591" s="5">
        <v>45394</v>
      </c>
      <c r="C1591">
        <v>58402</v>
      </c>
      <c r="D1591" t="str">
        <f>PROPER(Transactions!D1591)</f>
        <v>Toys</v>
      </c>
      <c r="E1591" t="s">
        <v>175</v>
      </c>
      <c r="F1591" t="s">
        <v>176</v>
      </c>
      <c r="G1591">
        <v>1</v>
      </c>
      <c r="H1591">
        <v>11.99</v>
      </c>
      <c r="I1591" s="7">
        <f>IF(Transactions!I1591="",0,Transactions!I1591)</f>
        <v>0</v>
      </c>
      <c r="J1591" s="9">
        <f t="shared" si="24"/>
        <v>11.99</v>
      </c>
      <c r="K1591" t="s">
        <v>36</v>
      </c>
      <c r="L1591" t="s">
        <v>17</v>
      </c>
      <c r="M1591" t="str">
        <f>REPLACE(Transactions!M1591,1,4,"")</f>
        <v>20</v>
      </c>
    </row>
    <row r="1592" spans="1:13" x14ac:dyDescent="0.2">
      <c r="A1592">
        <v>362028</v>
      </c>
      <c r="B1592" s="5">
        <v>45283</v>
      </c>
      <c r="C1592">
        <v>15196</v>
      </c>
      <c r="D1592" t="str">
        <f>PROPER(Transactions!D1592)</f>
        <v>Home &amp; Garden</v>
      </c>
      <c r="E1592" t="s">
        <v>153</v>
      </c>
      <c r="F1592" t="s">
        <v>154</v>
      </c>
      <c r="G1592">
        <v>2</v>
      </c>
      <c r="H1592">
        <v>23.99</v>
      </c>
      <c r="I1592" s="7">
        <f>IF(Transactions!I1592="",0,Transactions!I1592)</f>
        <v>0.2</v>
      </c>
      <c r="J1592" s="9">
        <f t="shared" si="24"/>
        <v>38.384</v>
      </c>
      <c r="K1592" t="s">
        <v>16</v>
      </c>
      <c r="L1592" t="s">
        <v>37</v>
      </c>
      <c r="M1592" t="str">
        <f>REPLACE(Transactions!M1592,1,4,"")</f>
        <v>8</v>
      </c>
    </row>
    <row r="1593" spans="1:13" x14ac:dyDescent="0.2">
      <c r="A1593">
        <v>362108</v>
      </c>
      <c r="B1593" s="5">
        <v>44889</v>
      </c>
      <c r="C1593">
        <v>38465</v>
      </c>
      <c r="D1593" t="str">
        <f>PROPER(Transactions!D1593)</f>
        <v>Electronics</v>
      </c>
      <c r="E1593" t="s">
        <v>77</v>
      </c>
      <c r="F1593" t="s">
        <v>78</v>
      </c>
      <c r="G1593">
        <v>1</v>
      </c>
      <c r="H1593">
        <v>499.99</v>
      </c>
      <c r="I1593" s="7">
        <f>IF(Transactions!I1593="",0,Transactions!I1593)</f>
        <v>0</v>
      </c>
      <c r="J1593" s="9">
        <f t="shared" si="24"/>
        <v>499.99</v>
      </c>
      <c r="K1593" t="s">
        <v>22</v>
      </c>
      <c r="L1593" t="s">
        <v>17</v>
      </c>
      <c r="M1593" t="str">
        <f>REPLACE(Transactions!M1593,1,4,"")</f>
        <v>9</v>
      </c>
    </row>
    <row r="1594" spans="1:13" x14ac:dyDescent="0.2">
      <c r="A1594">
        <v>362127</v>
      </c>
      <c r="B1594" s="5">
        <v>45242</v>
      </c>
      <c r="C1594">
        <v>19262</v>
      </c>
      <c r="D1594" t="str">
        <f>PROPER(Transactions!D1594)</f>
        <v>Beauty</v>
      </c>
      <c r="E1594" t="s">
        <v>143</v>
      </c>
      <c r="F1594" t="s">
        <v>144</v>
      </c>
      <c r="G1594">
        <v>4</v>
      </c>
      <c r="H1594">
        <v>14.99</v>
      </c>
      <c r="I1594" s="7">
        <f>IF(Transactions!I1594="",0,Transactions!I1594)</f>
        <v>0</v>
      </c>
      <c r="J1594" s="9">
        <f t="shared" si="24"/>
        <v>59.96</v>
      </c>
      <c r="K1594" t="s">
        <v>53</v>
      </c>
      <c r="L1594" t="s">
        <v>23</v>
      </c>
      <c r="M1594" t="str">
        <f>REPLACE(Transactions!M1594,1,4,"")</f>
        <v>3</v>
      </c>
    </row>
    <row r="1595" spans="1:13" x14ac:dyDescent="0.2">
      <c r="A1595">
        <v>362293</v>
      </c>
      <c r="B1595" s="5">
        <v>45398</v>
      </c>
      <c r="C1595">
        <v>16247</v>
      </c>
      <c r="D1595" t="str">
        <f>PROPER(Transactions!D1595)</f>
        <v>Clothing</v>
      </c>
      <c r="E1595" t="s">
        <v>141</v>
      </c>
      <c r="F1595" t="s">
        <v>142</v>
      </c>
      <c r="G1595">
        <v>2</v>
      </c>
      <c r="H1595">
        <v>21.84</v>
      </c>
      <c r="I1595" s="7">
        <f>IF(Transactions!I1595="",0,Transactions!I1595)</f>
        <v>0.05</v>
      </c>
      <c r="J1595" s="9">
        <f t="shared" si="24"/>
        <v>41.495999999999995</v>
      </c>
      <c r="K1595" t="s">
        <v>22</v>
      </c>
      <c r="L1595" t="s">
        <v>17</v>
      </c>
      <c r="M1595" t="str">
        <f>REPLACE(Transactions!M1595,1,4,"")</f>
        <v>10</v>
      </c>
    </row>
    <row r="1596" spans="1:13" x14ac:dyDescent="0.2">
      <c r="A1596">
        <v>362355</v>
      </c>
      <c r="B1596" s="5">
        <v>45549</v>
      </c>
      <c r="D1596" t="str">
        <f>PROPER(Transactions!D1596)</f>
        <v>Furniture</v>
      </c>
      <c r="E1596" t="s">
        <v>70</v>
      </c>
      <c r="F1596" t="s">
        <v>71</v>
      </c>
      <c r="G1596">
        <v>1</v>
      </c>
      <c r="H1596">
        <v>89.99</v>
      </c>
      <c r="I1596" s="7">
        <f>IF(Transactions!I1596="",0,Transactions!I1596)</f>
        <v>0</v>
      </c>
      <c r="J1596" s="9">
        <f t="shared" si="24"/>
        <v>89.99</v>
      </c>
      <c r="K1596" t="s">
        <v>32</v>
      </c>
      <c r="L1596" t="s">
        <v>17</v>
      </c>
      <c r="M1596" t="str">
        <f>REPLACE(Transactions!M1596,1,4,"")</f>
        <v>14</v>
      </c>
    </row>
    <row r="1597" spans="1:13" x14ac:dyDescent="0.2">
      <c r="A1597">
        <v>362372</v>
      </c>
      <c r="B1597" s="5">
        <v>45173</v>
      </c>
      <c r="C1597">
        <v>59157</v>
      </c>
      <c r="D1597" t="str">
        <f>PROPER(Transactions!D1597)</f>
        <v>Furniture</v>
      </c>
      <c r="E1597" t="s">
        <v>51</v>
      </c>
      <c r="F1597" t="s">
        <v>52</v>
      </c>
      <c r="G1597">
        <v>5</v>
      </c>
      <c r="H1597">
        <v>19.59</v>
      </c>
      <c r="I1597" s="7">
        <f>IF(Transactions!I1597="",0,Transactions!I1597)</f>
        <v>0.3</v>
      </c>
      <c r="J1597" s="9">
        <f t="shared" si="24"/>
        <v>68.564999999999998</v>
      </c>
      <c r="K1597" t="s">
        <v>36</v>
      </c>
      <c r="L1597" t="s">
        <v>17</v>
      </c>
      <c r="M1597" t="str">
        <f>REPLACE(Transactions!M1597,1,4,"")</f>
        <v>15</v>
      </c>
    </row>
    <row r="1598" spans="1:13" x14ac:dyDescent="0.2">
      <c r="A1598">
        <v>362470</v>
      </c>
      <c r="B1598" s="5">
        <v>45210</v>
      </c>
      <c r="C1598">
        <v>34888</v>
      </c>
      <c r="D1598" t="str">
        <f>PROPER(Transactions!D1598)</f>
        <v>Pharmacy</v>
      </c>
      <c r="E1598" t="s">
        <v>115</v>
      </c>
      <c r="F1598" t="s">
        <v>116</v>
      </c>
      <c r="G1598">
        <v>3</v>
      </c>
      <c r="H1598">
        <v>12.99</v>
      </c>
      <c r="I1598" s="7">
        <f>IF(Transactions!I1598="",0,Transactions!I1598)</f>
        <v>0</v>
      </c>
      <c r="J1598" s="9">
        <f t="shared" si="24"/>
        <v>38.97</v>
      </c>
      <c r="K1598" t="s">
        <v>16</v>
      </c>
      <c r="L1598" t="s">
        <v>37</v>
      </c>
      <c r="M1598" t="str">
        <f>REPLACE(Transactions!M1598,1,4,"")</f>
        <v>2</v>
      </c>
    </row>
    <row r="1599" spans="1:13" x14ac:dyDescent="0.2">
      <c r="A1599">
        <v>362481</v>
      </c>
      <c r="B1599" s="5">
        <v>44813</v>
      </c>
      <c r="C1599">
        <v>24727</v>
      </c>
      <c r="D1599" t="str">
        <f>PROPER(Transactions!D1599)</f>
        <v>Clothing</v>
      </c>
      <c r="E1599" t="s">
        <v>98</v>
      </c>
      <c r="F1599" t="s">
        <v>99</v>
      </c>
      <c r="G1599">
        <v>5</v>
      </c>
      <c r="H1599">
        <v>26.59</v>
      </c>
      <c r="I1599" s="7">
        <f>IF(Transactions!I1599="",0,Transactions!I1599)</f>
        <v>0.05</v>
      </c>
      <c r="J1599" s="9">
        <f t="shared" si="24"/>
        <v>126.30249999999998</v>
      </c>
      <c r="K1599" t="s">
        <v>36</v>
      </c>
      <c r="L1599" t="s">
        <v>37</v>
      </c>
      <c r="M1599" t="str">
        <f>REPLACE(Transactions!M1599,1,4,"")</f>
        <v>16</v>
      </c>
    </row>
    <row r="1600" spans="1:13" x14ac:dyDescent="0.2">
      <c r="A1600">
        <v>362674</v>
      </c>
      <c r="B1600" s="5">
        <v>45080</v>
      </c>
      <c r="C1600">
        <v>17759</v>
      </c>
      <c r="D1600" t="str">
        <f>PROPER(Transactions!D1600)</f>
        <v>Electronics</v>
      </c>
      <c r="E1600" t="s">
        <v>14</v>
      </c>
      <c r="F1600" t="s">
        <v>15</v>
      </c>
      <c r="G1600">
        <v>4</v>
      </c>
      <c r="H1600">
        <v>79.989999999999995</v>
      </c>
      <c r="I1600" s="7">
        <f>IF(Transactions!I1600="",0,Transactions!I1600)</f>
        <v>0</v>
      </c>
      <c r="J1600" s="9">
        <f t="shared" si="24"/>
        <v>319.95999999999998</v>
      </c>
      <c r="K1600" t="s">
        <v>36</v>
      </c>
      <c r="L1600" t="s">
        <v>37</v>
      </c>
      <c r="M1600" t="str">
        <f>REPLACE(Transactions!M1600,1,4,"")</f>
        <v>12</v>
      </c>
    </row>
    <row r="1601" spans="1:13" x14ac:dyDescent="0.2">
      <c r="A1601">
        <v>362865</v>
      </c>
      <c r="B1601" s="5">
        <v>44711</v>
      </c>
      <c r="C1601">
        <v>53365</v>
      </c>
      <c r="D1601" t="str">
        <f>PROPER(Transactions!D1601)</f>
        <v>Automotive</v>
      </c>
      <c r="E1601" t="s">
        <v>111</v>
      </c>
      <c r="F1601" t="s">
        <v>112</v>
      </c>
      <c r="G1601">
        <v>3</v>
      </c>
      <c r="H1601">
        <v>13.49</v>
      </c>
      <c r="I1601" s="7">
        <f>IF(Transactions!I1601="",0,Transactions!I1601)</f>
        <v>0.1</v>
      </c>
      <c r="J1601" s="9">
        <f t="shared" si="24"/>
        <v>36.423000000000002</v>
      </c>
      <c r="K1601" t="s">
        <v>36</v>
      </c>
      <c r="L1601" t="s">
        <v>37</v>
      </c>
      <c r="M1601" t="str">
        <f>REPLACE(Transactions!M1601,1,4,"")</f>
        <v>8</v>
      </c>
    </row>
    <row r="1602" spans="1:13" x14ac:dyDescent="0.2">
      <c r="A1602">
        <v>362867</v>
      </c>
      <c r="B1602" s="5">
        <v>44863</v>
      </c>
      <c r="C1602">
        <v>13895</v>
      </c>
      <c r="D1602" t="str">
        <f>PROPER(Transactions!D1602)</f>
        <v>Pharmacy</v>
      </c>
      <c r="E1602" t="s">
        <v>58</v>
      </c>
      <c r="F1602" t="s">
        <v>59</v>
      </c>
      <c r="G1602">
        <v>1</v>
      </c>
      <c r="H1602">
        <v>2.99</v>
      </c>
      <c r="I1602" s="7">
        <f>IF(Transactions!I1602="",0,Transactions!I1602)</f>
        <v>0.25</v>
      </c>
      <c r="J1602" s="9">
        <f t="shared" si="24"/>
        <v>2.2425000000000002</v>
      </c>
      <c r="K1602" t="s">
        <v>95</v>
      </c>
      <c r="L1602" t="s">
        <v>17</v>
      </c>
      <c r="M1602" t="str">
        <f>REPLACE(Transactions!M1602,1,4,"")</f>
        <v>16</v>
      </c>
    </row>
    <row r="1603" spans="1:13" x14ac:dyDescent="0.2">
      <c r="A1603">
        <v>362978</v>
      </c>
      <c r="B1603" s="5">
        <v>45587</v>
      </c>
      <c r="C1603">
        <v>50187</v>
      </c>
      <c r="D1603" t="str">
        <f>PROPER(Transactions!D1603)</f>
        <v>Pharmacy</v>
      </c>
      <c r="E1603" t="s">
        <v>197</v>
      </c>
      <c r="F1603" t="s">
        <v>198</v>
      </c>
      <c r="G1603">
        <v>5</v>
      </c>
      <c r="H1603">
        <v>14.24</v>
      </c>
      <c r="I1603" s="7">
        <f>IF(Transactions!I1603="",0,Transactions!I1603)</f>
        <v>0.05</v>
      </c>
      <c r="J1603" s="9">
        <f t="shared" ref="J1603:J1666" si="25">(H1603*G1603)*(1-I1603)</f>
        <v>67.64</v>
      </c>
      <c r="K1603" t="s">
        <v>16</v>
      </c>
      <c r="L1603" t="s">
        <v>17</v>
      </c>
      <c r="M1603" t="str">
        <f>REPLACE(Transactions!M1603,1,4,"")</f>
        <v>2</v>
      </c>
    </row>
    <row r="1604" spans="1:13" x14ac:dyDescent="0.2">
      <c r="A1604">
        <v>363072</v>
      </c>
      <c r="B1604" s="5">
        <v>44738</v>
      </c>
      <c r="C1604">
        <v>53914</v>
      </c>
      <c r="D1604" t="str">
        <f>PROPER(Transactions!D1604)</f>
        <v>Pharmacy</v>
      </c>
      <c r="E1604" t="s">
        <v>20</v>
      </c>
      <c r="F1604" t="s">
        <v>21</v>
      </c>
      <c r="G1604">
        <v>2</v>
      </c>
      <c r="H1604">
        <v>9.99</v>
      </c>
      <c r="I1604" s="7">
        <f>IF(Transactions!I1604="",0,Transactions!I1604)</f>
        <v>0</v>
      </c>
      <c r="J1604" s="9">
        <f t="shared" si="25"/>
        <v>19.98</v>
      </c>
      <c r="K1604" t="s">
        <v>36</v>
      </c>
      <c r="L1604" t="s">
        <v>17</v>
      </c>
      <c r="M1604" t="str">
        <f>REPLACE(Transactions!M1604,1,4,"")</f>
        <v>20</v>
      </c>
    </row>
    <row r="1605" spans="1:13" x14ac:dyDescent="0.2">
      <c r="A1605">
        <v>363269</v>
      </c>
      <c r="B1605" s="5">
        <v>45215</v>
      </c>
      <c r="C1605">
        <v>52041</v>
      </c>
      <c r="D1605" t="str">
        <f>PROPER(Transactions!D1605)</f>
        <v>Electronics</v>
      </c>
      <c r="E1605" t="s">
        <v>14</v>
      </c>
      <c r="F1605" t="s">
        <v>15</v>
      </c>
      <c r="G1605">
        <v>4</v>
      </c>
      <c r="H1605">
        <v>67.989999999999995</v>
      </c>
      <c r="I1605" s="7">
        <f>IF(Transactions!I1605="",0,Transactions!I1605)</f>
        <v>0.15</v>
      </c>
      <c r="J1605" s="9">
        <f t="shared" si="25"/>
        <v>231.16599999999997</v>
      </c>
      <c r="K1605" t="s">
        <v>53</v>
      </c>
      <c r="L1605" t="s">
        <v>17</v>
      </c>
      <c r="M1605" t="str">
        <f>REPLACE(Transactions!M1605,1,4,"")</f>
        <v>8</v>
      </c>
    </row>
    <row r="1606" spans="1:13" x14ac:dyDescent="0.2">
      <c r="A1606">
        <v>363387</v>
      </c>
      <c r="B1606" s="5">
        <v>45515</v>
      </c>
      <c r="C1606">
        <v>41501</v>
      </c>
      <c r="D1606" t="str">
        <f>PROPER(Transactions!D1606)</f>
        <v>Beauty</v>
      </c>
      <c r="E1606" t="s">
        <v>139</v>
      </c>
      <c r="F1606" t="s">
        <v>140</v>
      </c>
      <c r="G1606">
        <v>4</v>
      </c>
      <c r="H1606">
        <v>7.99</v>
      </c>
      <c r="I1606" s="7">
        <f>IF(Transactions!I1606="",0,Transactions!I1606)</f>
        <v>0</v>
      </c>
      <c r="J1606" s="9">
        <f t="shared" si="25"/>
        <v>31.96</v>
      </c>
      <c r="K1606" t="s">
        <v>16</v>
      </c>
      <c r="L1606" t="s">
        <v>17</v>
      </c>
      <c r="M1606" t="str">
        <f>REPLACE(Transactions!M1606,1,4,"")</f>
        <v>1</v>
      </c>
    </row>
    <row r="1607" spans="1:13" x14ac:dyDescent="0.2">
      <c r="A1607">
        <v>363440</v>
      </c>
      <c r="B1607" s="5">
        <v>44983</v>
      </c>
      <c r="C1607">
        <v>49785</v>
      </c>
      <c r="D1607" t="str">
        <f>PROPER(Transactions!D1607)</f>
        <v>Clothing</v>
      </c>
      <c r="E1607" t="s">
        <v>98</v>
      </c>
      <c r="F1607" t="s">
        <v>99</v>
      </c>
      <c r="G1607">
        <v>5</v>
      </c>
      <c r="H1607">
        <v>25.19</v>
      </c>
      <c r="I1607" s="7">
        <f>IF(Transactions!I1607="",0,Transactions!I1607)</f>
        <v>0.1</v>
      </c>
      <c r="J1607" s="9">
        <f t="shared" si="25"/>
        <v>113.355</v>
      </c>
      <c r="K1607" t="s">
        <v>22</v>
      </c>
      <c r="L1607" t="s">
        <v>17</v>
      </c>
      <c r="M1607" t="str">
        <f>REPLACE(Transactions!M1607,1,4,"")</f>
        <v>16</v>
      </c>
    </row>
    <row r="1608" spans="1:13" x14ac:dyDescent="0.2">
      <c r="A1608">
        <v>363449</v>
      </c>
      <c r="B1608" s="5">
        <v>45519</v>
      </c>
      <c r="D1608" t="str">
        <f>PROPER(Transactions!D1608)</f>
        <v>Home &amp; Garden</v>
      </c>
      <c r="E1608" t="s">
        <v>129</v>
      </c>
      <c r="F1608" t="s">
        <v>130</v>
      </c>
      <c r="G1608">
        <v>1</v>
      </c>
      <c r="H1608">
        <v>8.99</v>
      </c>
      <c r="I1608" s="7">
        <f>IF(Transactions!I1608="",0,Transactions!I1608)</f>
        <v>0</v>
      </c>
      <c r="J1608" s="9">
        <f t="shared" si="25"/>
        <v>8.99</v>
      </c>
      <c r="K1608" t="s">
        <v>16</v>
      </c>
      <c r="L1608" t="s">
        <v>37</v>
      </c>
      <c r="M1608" t="str">
        <f>REPLACE(Transactions!M1608,1,4,"")</f>
        <v>18</v>
      </c>
    </row>
    <row r="1609" spans="1:13" x14ac:dyDescent="0.2">
      <c r="A1609">
        <v>363983</v>
      </c>
      <c r="B1609" s="5">
        <v>44734</v>
      </c>
      <c r="C1609">
        <v>54371</v>
      </c>
      <c r="D1609" t="str">
        <f>PROPER(Transactions!D1609)</f>
        <v>Grocery</v>
      </c>
      <c r="E1609" t="s">
        <v>91</v>
      </c>
      <c r="F1609" t="s">
        <v>92</v>
      </c>
      <c r="G1609">
        <v>1</v>
      </c>
      <c r="H1609">
        <v>6.29</v>
      </c>
      <c r="I1609" s="7">
        <f>IF(Transactions!I1609="",0,Transactions!I1609)</f>
        <v>0</v>
      </c>
      <c r="J1609" s="9">
        <f t="shared" si="25"/>
        <v>6.29</v>
      </c>
      <c r="K1609" t="s">
        <v>36</v>
      </c>
      <c r="L1609" t="s">
        <v>17</v>
      </c>
      <c r="M1609" t="str">
        <f>REPLACE(Transactions!M1609,1,4,"")</f>
        <v>18</v>
      </c>
    </row>
    <row r="1610" spans="1:13" x14ac:dyDescent="0.2">
      <c r="A1610">
        <v>364040</v>
      </c>
      <c r="B1610" s="5">
        <v>44582</v>
      </c>
      <c r="C1610">
        <v>28659</v>
      </c>
      <c r="D1610" t="str">
        <f>PROPER(Transactions!D1610)</f>
        <v>Sports</v>
      </c>
      <c r="E1610" t="s">
        <v>155</v>
      </c>
      <c r="F1610" t="s">
        <v>156</v>
      </c>
      <c r="G1610">
        <v>3</v>
      </c>
      <c r="H1610">
        <v>16.989999999999998</v>
      </c>
      <c r="I1610" s="7">
        <f>IF(Transactions!I1610="",0,Transactions!I1610)</f>
        <v>0.15</v>
      </c>
      <c r="J1610" s="9">
        <f t="shared" si="25"/>
        <v>43.3245</v>
      </c>
      <c r="K1610" t="s">
        <v>53</v>
      </c>
      <c r="L1610" t="s">
        <v>17</v>
      </c>
      <c r="M1610" t="str">
        <f>REPLACE(Transactions!M1610,1,4,"")</f>
        <v>15</v>
      </c>
    </row>
    <row r="1611" spans="1:13" x14ac:dyDescent="0.2">
      <c r="A1611">
        <v>364065</v>
      </c>
      <c r="B1611" s="5">
        <v>45522</v>
      </c>
      <c r="C1611">
        <v>22189</v>
      </c>
      <c r="D1611" t="str">
        <f>PROPER(Transactions!D1611)</f>
        <v>Clothing</v>
      </c>
      <c r="E1611" t="s">
        <v>181</v>
      </c>
      <c r="F1611" t="s">
        <v>182</v>
      </c>
      <c r="G1611">
        <v>4</v>
      </c>
      <c r="H1611">
        <v>14.99</v>
      </c>
      <c r="I1611" s="7">
        <f>IF(Transactions!I1611="",0,Transactions!I1611)</f>
        <v>0</v>
      </c>
      <c r="J1611" s="9">
        <f t="shared" si="25"/>
        <v>59.96</v>
      </c>
      <c r="K1611" t="s">
        <v>16</v>
      </c>
      <c r="L1611" t="s">
        <v>17</v>
      </c>
      <c r="M1611" t="str">
        <f>REPLACE(Transactions!M1611,1,4,"")</f>
        <v>10</v>
      </c>
    </row>
    <row r="1612" spans="1:13" x14ac:dyDescent="0.2">
      <c r="A1612">
        <v>364073</v>
      </c>
      <c r="B1612" s="5">
        <v>45613</v>
      </c>
      <c r="C1612">
        <v>82522</v>
      </c>
      <c r="D1612" t="str">
        <f>PROPER(Transactions!D1612)</f>
        <v>Beauty</v>
      </c>
      <c r="E1612" t="s">
        <v>49</v>
      </c>
      <c r="F1612" t="s">
        <v>50</v>
      </c>
      <c r="G1612">
        <v>1</v>
      </c>
      <c r="H1612">
        <v>7.64</v>
      </c>
      <c r="I1612" s="7">
        <f>IF(Transactions!I1612="",0,Transactions!I1612)</f>
        <v>0.15</v>
      </c>
      <c r="J1612" s="9">
        <f t="shared" si="25"/>
        <v>6.4939999999999998</v>
      </c>
      <c r="K1612" t="s">
        <v>16</v>
      </c>
      <c r="L1612" t="s">
        <v>17</v>
      </c>
      <c r="M1612" t="str">
        <f>REPLACE(Transactions!M1612,1,4,"")</f>
        <v>19</v>
      </c>
    </row>
    <row r="1613" spans="1:13" x14ac:dyDescent="0.2">
      <c r="A1613">
        <v>364174</v>
      </c>
      <c r="B1613" s="5">
        <v>44924</v>
      </c>
      <c r="C1613">
        <v>17802</v>
      </c>
      <c r="D1613" t="str">
        <f>PROPER(Transactions!D1613)</f>
        <v>Grocery</v>
      </c>
      <c r="E1613" t="s">
        <v>107</v>
      </c>
      <c r="F1613" t="s">
        <v>108</v>
      </c>
      <c r="G1613">
        <v>3</v>
      </c>
      <c r="H1613">
        <v>2.97</v>
      </c>
      <c r="I1613" s="7">
        <f>IF(Transactions!I1613="",0,Transactions!I1613)</f>
        <v>0.15</v>
      </c>
      <c r="J1613" s="9">
        <f t="shared" si="25"/>
        <v>7.5735000000000001</v>
      </c>
      <c r="K1613" t="s">
        <v>16</v>
      </c>
      <c r="L1613" t="s">
        <v>37</v>
      </c>
      <c r="M1613" t="str">
        <f>REPLACE(Transactions!M1613,1,4,"")</f>
        <v>6</v>
      </c>
    </row>
    <row r="1614" spans="1:13" x14ac:dyDescent="0.2">
      <c r="A1614">
        <v>364248</v>
      </c>
      <c r="B1614" s="5">
        <v>44677</v>
      </c>
      <c r="C1614">
        <v>81866</v>
      </c>
      <c r="D1614" t="str">
        <f>PROPER(Transactions!D1614)</f>
        <v>Clothing</v>
      </c>
      <c r="E1614" t="s">
        <v>141</v>
      </c>
      <c r="F1614" t="s">
        <v>142</v>
      </c>
      <c r="G1614">
        <v>2</v>
      </c>
      <c r="H1614">
        <v>16.09</v>
      </c>
      <c r="I1614" s="7">
        <f>IF(Transactions!I1614="",0,Transactions!I1614)</f>
        <v>0.3</v>
      </c>
      <c r="J1614" s="9">
        <f t="shared" si="25"/>
        <v>22.526</v>
      </c>
      <c r="K1614" t="s">
        <v>36</v>
      </c>
      <c r="L1614" t="s">
        <v>17</v>
      </c>
      <c r="M1614" t="str">
        <f>REPLACE(Transactions!M1614,1,4,"")</f>
        <v>11</v>
      </c>
    </row>
    <row r="1615" spans="1:13" x14ac:dyDescent="0.2">
      <c r="A1615">
        <v>364991</v>
      </c>
      <c r="B1615" s="5">
        <v>45417</v>
      </c>
      <c r="C1615">
        <v>13072</v>
      </c>
      <c r="D1615" t="str">
        <f>PROPER(Transactions!D1615)</f>
        <v>Pharmacy</v>
      </c>
      <c r="E1615" t="s">
        <v>20</v>
      </c>
      <c r="F1615" t="s">
        <v>21</v>
      </c>
      <c r="G1615">
        <v>1</v>
      </c>
      <c r="H1615">
        <v>9.99</v>
      </c>
      <c r="I1615" s="7">
        <f>IF(Transactions!I1615="",0,Transactions!I1615)</f>
        <v>0</v>
      </c>
      <c r="J1615" s="9">
        <f t="shared" si="25"/>
        <v>9.99</v>
      </c>
      <c r="K1615" t="s">
        <v>36</v>
      </c>
      <c r="L1615" t="s">
        <v>17</v>
      </c>
      <c r="M1615" t="str">
        <f>REPLACE(Transactions!M1615,1,4,"")</f>
        <v>1</v>
      </c>
    </row>
    <row r="1616" spans="1:13" x14ac:dyDescent="0.2">
      <c r="A1616">
        <v>365024</v>
      </c>
      <c r="B1616" s="5">
        <v>44708</v>
      </c>
      <c r="C1616">
        <v>27655</v>
      </c>
      <c r="D1616" t="str">
        <f>PROPER(Transactions!D1616)</f>
        <v>Sports</v>
      </c>
      <c r="E1616" t="s">
        <v>155</v>
      </c>
      <c r="F1616" t="s">
        <v>156</v>
      </c>
      <c r="G1616">
        <v>3</v>
      </c>
      <c r="H1616">
        <v>17.989999999999998</v>
      </c>
      <c r="I1616" s="7">
        <f>IF(Transactions!I1616="",0,Transactions!I1616)</f>
        <v>0.1</v>
      </c>
      <c r="J1616" s="9">
        <f t="shared" si="25"/>
        <v>48.573</v>
      </c>
      <c r="K1616" t="s">
        <v>16</v>
      </c>
      <c r="L1616" t="s">
        <v>17</v>
      </c>
      <c r="M1616" t="str">
        <f>REPLACE(Transactions!M1616,1,4,"")</f>
        <v>11</v>
      </c>
    </row>
    <row r="1617" spans="1:13" x14ac:dyDescent="0.2">
      <c r="A1617">
        <v>365309</v>
      </c>
      <c r="B1617" s="5">
        <v>45110</v>
      </c>
      <c r="C1617">
        <v>98308</v>
      </c>
      <c r="D1617" t="str">
        <f>PROPER(Transactions!D1617)</f>
        <v>Electronics</v>
      </c>
      <c r="E1617" t="s">
        <v>159</v>
      </c>
      <c r="F1617" t="s">
        <v>160</v>
      </c>
      <c r="G1617">
        <v>3</v>
      </c>
      <c r="H1617">
        <v>53.99</v>
      </c>
      <c r="I1617" s="7">
        <f>IF(Transactions!I1617="",0,Transactions!I1617)</f>
        <v>0.1</v>
      </c>
      <c r="J1617" s="9">
        <f t="shared" si="25"/>
        <v>145.773</v>
      </c>
      <c r="K1617" t="s">
        <v>16</v>
      </c>
      <c r="L1617" t="s">
        <v>37</v>
      </c>
      <c r="M1617" t="str">
        <f>REPLACE(Transactions!M1617,1,4,"")</f>
        <v>17</v>
      </c>
    </row>
    <row r="1618" spans="1:13" x14ac:dyDescent="0.2">
      <c r="A1618">
        <v>365631</v>
      </c>
      <c r="B1618" s="5">
        <v>45330</v>
      </c>
      <c r="C1618">
        <v>97861</v>
      </c>
      <c r="D1618" t="str">
        <f>PROPER(Transactions!D1618)</f>
        <v>Pharmacy</v>
      </c>
      <c r="E1618" t="s">
        <v>197</v>
      </c>
      <c r="F1618" t="s">
        <v>198</v>
      </c>
      <c r="G1618">
        <v>1</v>
      </c>
      <c r="H1618">
        <v>14.99</v>
      </c>
      <c r="I1618" s="7">
        <f>IF(Transactions!I1618="",0,Transactions!I1618)</f>
        <v>0</v>
      </c>
      <c r="J1618" s="9">
        <f t="shared" si="25"/>
        <v>14.99</v>
      </c>
      <c r="K1618" t="s">
        <v>36</v>
      </c>
      <c r="L1618" t="s">
        <v>17</v>
      </c>
      <c r="M1618" t="str">
        <f>REPLACE(Transactions!M1618,1,4,"")</f>
        <v>11</v>
      </c>
    </row>
    <row r="1619" spans="1:13" x14ac:dyDescent="0.2">
      <c r="A1619">
        <v>365704</v>
      </c>
      <c r="B1619" s="5">
        <v>45113</v>
      </c>
      <c r="C1619">
        <v>38604</v>
      </c>
      <c r="D1619" t="str">
        <f>PROPER(Transactions!D1619)</f>
        <v>Toys</v>
      </c>
      <c r="E1619" t="s">
        <v>175</v>
      </c>
      <c r="F1619" t="s">
        <v>176</v>
      </c>
      <c r="G1619">
        <v>1</v>
      </c>
      <c r="H1619">
        <v>8.39</v>
      </c>
      <c r="I1619" s="7">
        <f>IF(Transactions!I1619="",0,Transactions!I1619)</f>
        <v>0.3</v>
      </c>
      <c r="J1619" s="9">
        <f t="shared" si="25"/>
        <v>5.8730000000000002</v>
      </c>
      <c r="K1619" t="s">
        <v>22</v>
      </c>
      <c r="L1619" t="s">
        <v>17</v>
      </c>
      <c r="M1619" t="str">
        <f>REPLACE(Transactions!M1619,1,4,"")</f>
        <v>16</v>
      </c>
    </row>
    <row r="1620" spans="1:13" x14ac:dyDescent="0.2">
      <c r="A1620">
        <v>365970</v>
      </c>
      <c r="B1620" s="5">
        <v>44678</v>
      </c>
      <c r="C1620">
        <v>22218</v>
      </c>
      <c r="D1620" t="str">
        <f>PROPER(Transactions!D1620)</f>
        <v>Beauty</v>
      </c>
      <c r="E1620" t="s">
        <v>139</v>
      </c>
      <c r="F1620" t="s">
        <v>140</v>
      </c>
      <c r="G1620">
        <v>1</v>
      </c>
      <c r="H1620">
        <v>7.19</v>
      </c>
      <c r="I1620" s="7">
        <f>IF(Transactions!I1620="",0,Transactions!I1620)</f>
        <v>0.1</v>
      </c>
      <c r="J1620" s="9">
        <f t="shared" si="25"/>
        <v>6.4710000000000001</v>
      </c>
      <c r="K1620" t="s">
        <v>16</v>
      </c>
      <c r="L1620" t="s">
        <v>37</v>
      </c>
      <c r="M1620" t="str">
        <f>REPLACE(Transactions!M1620,1,4,"")</f>
        <v>1</v>
      </c>
    </row>
    <row r="1621" spans="1:13" x14ac:dyDescent="0.2">
      <c r="A1621">
        <v>366039</v>
      </c>
      <c r="B1621" s="5">
        <v>44912</v>
      </c>
      <c r="D1621" t="str">
        <f>PROPER(Transactions!D1621)</f>
        <v>Automotive</v>
      </c>
      <c r="E1621" t="s">
        <v>131</v>
      </c>
      <c r="F1621" t="s">
        <v>132</v>
      </c>
      <c r="G1621">
        <v>1</v>
      </c>
      <c r="H1621">
        <v>2.62</v>
      </c>
      <c r="I1621" s="7">
        <f>IF(Transactions!I1621="",0,Transactions!I1621)</f>
        <v>0.25</v>
      </c>
      <c r="J1621" s="9">
        <f t="shared" si="25"/>
        <v>1.9650000000000001</v>
      </c>
      <c r="K1621" t="s">
        <v>16</v>
      </c>
      <c r="L1621" t="s">
        <v>17</v>
      </c>
      <c r="M1621" t="str">
        <f>REPLACE(Transactions!M1621,1,4,"")</f>
        <v>16</v>
      </c>
    </row>
    <row r="1622" spans="1:13" x14ac:dyDescent="0.2">
      <c r="A1622">
        <v>366218</v>
      </c>
      <c r="B1622" s="5">
        <v>44807</v>
      </c>
      <c r="C1622">
        <v>63413</v>
      </c>
      <c r="D1622" t="str">
        <f>PROPER(Transactions!D1622)</f>
        <v>Pharmacy</v>
      </c>
      <c r="E1622" t="s">
        <v>115</v>
      </c>
      <c r="F1622" t="s">
        <v>116</v>
      </c>
      <c r="G1622">
        <v>4</v>
      </c>
      <c r="H1622">
        <v>12.99</v>
      </c>
      <c r="I1622" s="7">
        <f>IF(Transactions!I1622="",0,Transactions!I1622)</f>
        <v>0</v>
      </c>
      <c r="J1622" s="9">
        <f t="shared" si="25"/>
        <v>51.96</v>
      </c>
      <c r="K1622" t="s">
        <v>22</v>
      </c>
      <c r="L1622" t="s">
        <v>23</v>
      </c>
      <c r="M1622" t="str">
        <f>REPLACE(Transactions!M1622,1,4,"")</f>
        <v>5</v>
      </c>
    </row>
    <row r="1623" spans="1:13" x14ac:dyDescent="0.2">
      <c r="A1623">
        <v>366263</v>
      </c>
      <c r="B1623" s="5">
        <v>45019</v>
      </c>
      <c r="C1623">
        <v>71662</v>
      </c>
      <c r="D1623" t="str">
        <f>PROPER(Transactions!D1623)</f>
        <v>Sports</v>
      </c>
      <c r="E1623" t="s">
        <v>155</v>
      </c>
      <c r="F1623" t="s">
        <v>156</v>
      </c>
      <c r="G1623">
        <v>2</v>
      </c>
      <c r="H1623">
        <v>17.989999999999998</v>
      </c>
      <c r="I1623" s="7">
        <f>IF(Transactions!I1623="",0,Transactions!I1623)</f>
        <v>0.1</v>
      </c>
      <c r="J1623" s="9">
        <f t="shared" si="25"/>
        <v>32.381999999999998</v>
      </c>
      <c r="K1623" t="s">
        <v>36</v>
      </c>
      <c r="L1623" t="s">
        <v>23</v>
      </c>
      <c r="M1623" t="str">
        <f>REPLACE(Transactions!M1623,1,4,"")</f>
        <v>4</v>
      </c>
    </row>
    <row r="1624" spans="1:13" x14ac:dyDescent="0.2">
      <c r="A1624">
        <v>366298</v>
      </c>
      <c r="B1624" s="5">
        <v>45136</v>
      </c>
      <c r="C1624">
        <v>74914</v>
      </c>
      <c r="D1624" t="str">
        <f>PROPER(Transactions!D1624)</f>
        <v>Home &amp; Garden</v>
      </c>
      <c r="E1624" t="s">
        <v>86</v>
      </c>
      <c r="F1624" t="s">
        <v>87</v>
      </c>
      <c r="G1624">
        <v>1</v>
      </c>
      <c r="H1624">
        <v>9.09</v>
      </c>
      <c r="I1624" s="7">
        <f>IF(Transactions!I1624="",0,Transactions!I1624)</f>
        <v>0.3</v>
      </c>
      <c r="J1624" s="9">
        <f t="shared" si="25"/>
        <v>6.3629999999999995</v>
      </c>
      <c r="K1624" t="s">
        <v>36</v>
      </c>
      <c r="L1624" t="s">
        <v>37</v>
      </c>
      <c r="M1624" t="str">
        <f>REPLACE(Transactions!M1624,1,4,"")</f>
        <v>18</v>
      </c>
    </row>
    <row r="1625" spans="1:13" x14ac:dyDescent="0.2">
      <c r="A1625">
        <v>366628</v>
      </c>
      <c r="B1625" s="5">
        <v>44962</v>
      </c>
      <c r="C1625">
        <v>43319</v>
      </c>
      <c r="D1625" t="str">
        <f>PROPER(Transactions!D1625)</f>
        <v>Sports</v>
      </c>
      <c r="E1625" t="s">
        <v>83</v>
      </c>
      <c r="F1625" t="s">
        <v>84</v>
      </c>
      <c r="G1625">
        <v>2</v>
      </c>
      <c r="H1625">
        <v>14.44</v>
      </c>
      <c r="I1625" s="7">
        <f>IF(Transactions!I1625="",0,Transactions!I1625)</f>
        <v>0.15</v>
      </c>
      <c r="J1625" s="9">
        <f t="shared" si="25"/>
        <v>24.547999999999998</v>
      </c>
      <c r="K1625" t="s">
        <v>16</v>
      </c>
      <c r="L1625" t="s">
        <v>17</v>
      </c>
      <c r="M1625" t="str">
        <f>REPLACE(Transactions!M1625,1,4,"")</f>
        <v>4</v>
      </c>
    </row>
    <row r="1626" spans="1:13" x14ac:dyDescent="0.2">
      <c r="A1626">
        <v>367034</v>
      </c>
      <c r="B1626" s="5">
        <v>44710</v>
      </c>
      <c r="C1626">
        <v>84603</v>
      </c>
      <c r="D1626" t="str">
        <f>PROPER(Transactions!D1626)</f>
        <v>Toys</v>
      </c>
      <c r="E1626" t="s">
        <v>38</v>
      </c>
      <c r="F1626" t="s">
        <v>39</v>
      </c>
      <c r="G1626">
        <v>3</v>
      </c>
      <c r="H1626">
        <v>26.99</v>
      </c>
      <c r="I1626" s="7">
        <f>IF(Transactions!I1626="",0,Transactions!I1626)</f>
        <v>0.1</v>
      </c>
      <c r="J1626" s="9">
        <f t="shared" si="25"/>
        <v>72.873000000000005</v>
      </c>
      <c r="K1626" t="s">
        <v>36</v>
      </c>
      <c r="L1626" t="s">
        <v>17</v>
      </c>
      <c r="M1626" t="str">
        <f>REPLACE(Transactions!M1626,1,4,"")</f>
        <v>1</v>
      </c>
    </row>
    <row r="1627" spans="1:13" x14ac:dyDescent="0.2">
      <c r="A1627">
        <v>367198</v>
      </c>
      <c r="B1627" s="5">
        <v>44915</v>
      </c>
      <c r="C1627">
        <v>81782</v>
      </c>
      <c r="D1627" t="str">
        <f>PROPER(Transactions!D1627)</f>
        <v>Furniture</v>
      </c>
      <c r="E1627" t="s">
        <v>113</v>
      </c>
      <c r="F1627" t="s">
        <v>114</v>
      </c>
      <c r="G1627">
        <v>1</v>
      </c>
      <c r="H1627">
        <v>95.99</v>
      </c>
      <c r="I1627" s="7">
        <f>IF(Transactions!I1627="",0,Transactions!I1627)</f>
        <v>0.2</v>
      </c>
      <c r="J1627" s="9">
        <f t="shared" si="25"/>
        <v>76.792000000000002</v>
      </c>
      <c r="K1627" t="s">
        <v>22</v>
      </c>
      <c r="L1627" t="s">
        <v>17</v>
      </c>
      <c r="M1627" t="str">
        <f>REPLACE(Transactions!M1627,1,4,"")</f>
        <v>4</v>
      </c>
    </row>
    <row r="1628" spans="1:13" x14ac:dyDescent="0.2">
      <c r="A1628">
        <v>367432</v>
      </c>
      <c r="B1628" s="5">
        <v>45533</v>
      </c>
      <c r="C1628">
        <v>70043</v>
      </c>
      <c r="D1628" t="str">
        <f>PROPER(Transactions!D1628)</f>
        <v>Electronics</v>
      </c>
      <c r="E1628" t="s">
        <v>127</v>
      </c>
      <c r="F1628" t="s">
        <v>128</v>
      </c>
      <c r="G1628">
        <v>2</v>
      </c>
      <c r="H1628">
        <v>19.989999999999998</v>
      </c>
      <c r="I1628" s="7">
        <f>IF(Transactions!I1628="",0,Transactions!I1628)</f>
        <v>0</v>
      </c>
      <c r="J1628" s="9">
        <f t="shared" si="25"/>
        <v>39.979999999999997</v>
      </c>
      <c r="K1628" t="s">
        <v>16</v>
      </c>
      <c r="L1628" t="s">
        <v>37</v>
      </c>
      <c r="M1628" t="str">
        <f>REPLACE(Transactions!M1628,1,4,"")</f>
        <v>18</v>
      </c>
    </row>
    <row r="1629" spans="1:13" x14ac:dyDescent="0.2">
      <c r="A1629">
        <v>367457</v>
      </c>
      <c r="B1629" s="5">
        <v>44705</v>
      </c>
      <c r="C1629">
        <v>98732</v>
      </c>
      <c r="D1629" t="str">
        <f>PROPER(Transactions!D1629)</f>
        <v>Automotive</v>
      </c>
      <c r="E1629" t="s">
        <v>68</v>
      </c>
      <c r="F1629" t="s">
        <v>69</v>
      </c>
      <c r="G1629">
        <v>1</v>
      </c>
      <c r="H1629">
        <v>24.99</v>
      </c>
      <c r="I1629" s="7">
        <f>IF(Transactions!I1629="",0,Transactions!I1629)</f>
        <v>0</v>
      </c>
      <c r="J1629" s="9">
        <f t="shared" si="25"/>
        <v>24.99</v>
      </c>
      <c r="K1629" t="s">
        <v>22</v>
      </c>
      <c r="L1629" t="s">
        <v>37</v>
      </c>
      <c r="M1629" t="str">
        <f>REPLACE(Transactions!M1629,1,4,"")</f>
        <v>7</v>
      </c>
    </row>
    <row r="1630" spans="1:13" x14ac:dyDescent="0.2">
      <c r="A1630">
        <v>367541</v>
      </c>
      <c r="B1630" s="5">
        <v>44714</v>
      </c>
      <c r="C1630">
        <v>26795</v>
      </c>
      <c r="D1630" t="str">
        <f>PROPER(Transactions!D1630)</f>
        <v>Grocery</v>
      </c>
      <c r="E1630" t="s">
        <v>74</v>
      </c>
      <c r="F1630" t="s">
        <v>75</v>
      </c>
      <c r="G1630">
        <v>1</v>
      </c>
      <c r="H1630">
        <v>2.99</v>
      </c>
      <c r="I1630" s="7">
        <f>IF(Transactions!I1630="",0,Transactions!I1630)</f>
        <v>0</v>
      </c>
      <c r="J1630" s="9">
        <f t="shared" si="25"/>
        <v>2.99</v>
      </c>
      <c r="K1630" t="s">
        <v>22</v>
      </c>
      <c r="L1630" t="s">
        <v>17</v>
      </c>
      <c r="M1630" t="str">
        <f>REPLACE(Transactions!M1630,1,4,"")</f>
        <v/>
      </c>
    </row>
    <row r="1631" spans="1:13" x14ac:dyDescent="0.2">
      <c r="A1631">
        <v>367761</v>
      </c>
      <c r="B1631" s="5">
        <v>44884</v>
      </c>
      <c r="C1631">
        <v>72659</v>
      </c>
      <c r="D1631" t="str">
        <f>PROPER(Transactions!D1631)</f>
        <v>Automotive</v>
      </c>
      <c r="E1631" t="s">
        <v>68</v>
      </c>
      <c r="F1631" t="s">
        <v>69</v>
      </c>
      <c r="G1631">
        <v>2</v>
      </c>
      <c r="H1631">
        <v>18.739999999999998</v>
      </c>
      <c r="I1631" s="7">
        <f>IF(Transactions!I1631="",0,Transactions!I1631)</f>
        <v>0.25</v>
      </c>
      <c r="J1631" s="9">
        <f t="shared" si="25"/>
        <v>28.11</v>
      </c>
      <c r="K1631" t="s">
        <v>36</v>
      </c>
      <c r="L1631" t="s">
        <v>17</v>
      </c>
      <c r="M1631" t="str">
        <f>REPLACE(Transactions!M1631,1,4,"")</f>
        <v>20</v>
      </c>
    </row>
    <row r="1632" spans="1:13" x14ac:dyDescent="0.2">
      <c r="A1632">
        <v>367840</v>
      </c>
      <c r="B1632" s="5">
        <v>44704</v>
      </c>
      <c r="C1632">
        <v>38869</v>
      </c>
      <c r="D1632" t="str">
        <f>PROPER(Transactions!D1632)</f>
        <v>Electronics</v>
      </c>
      <c r="E1632" t="s">
        <v>79</v>
      </c>
      <c r="F1632" t="s">
        <v>80</v>
      </c>
      <c r="G1632">
        <v>3</v>
      </c>
      <c r="H1632">
        <v>89.99</v>
      </c>
      <c r="I1632" s="7">
        <f>IF(Transactions!I1632="",0,Transactions!I1632)</f>
        <v>0</v>
      </c>
      <c r="J1632" s="9">
        <f t="shared" si="25"/>
        <v>269.96999999999997</v>
      </c>
      <c r="K1632" t="s">
        <v>22</v>
      </c>
      <c r="L1632" t="s">
        <v>17</v>
      </c>
      <c r="M1632" t="str">
        <f>REPLACE(Transactions!M1632,1,4,"")</f>
        <v>8</v>
      </c>
    </row>
    <row r="1633" spans="1:13" x14ac:dyDescent="0.2">
      <c r="A1633">
        <v>367865</v>
      </c>
      <c r="B1633" s="5">
        <v>45496</v>
      </c>
      <c r="C1633">
        <v>84435</v>
      </c>
      <c r="D1633" t="str">
        <f>PROPER(Transactions!D1633)</f>
        <v>Furniture</v>
      </c>
      <c r="E1633" t="s">
        <v>26</v>
      </c>
      <c r="F1633" t="s">
        <v>27</v>
      </c>
      <c r="G1633">
        <v>2</v>
      </c>
      <c r="H1633">
        <v>24.49</v>
      </c>
      <c r="I1633" s="7">
        <f>IF(Transactions!I1633="",0,Transactions!I1633)</f>
        <v>0.3</v>
      </c>
      <c r="J1633" s="9">
        <f t="shared" si="25"/>
        <v>34.285999999999994</v>
      </c>
      <c r="K1633" t="s">
        <v>32</v>
      </c>
      <c r="L1633" t="s">
        <v>37</v>
      </c>
      <c r="M1633" t="str">
        <f>REPLACE(Transactions!M1633,1,4,"")</f>
        <v>3</v>
      </c>
    </row>
    <row r="1634" spans="1:13" x14ac:dyDescent="0.2">
      <c r="A1634">
        <v>367879</v>
      </c>
      <c r="B1634" s="5">
        <v>44974</v>
      </c>
      <c r="C1634">
        <v>12127</v>
      </c>
      <c r="D1634" t="str">
        <f>PROPER(Transactions!D1634)</f>
        <v>Toys</v>
      </c>
      <c r="E1634" t="s">
        <v>72</v>
      </c>
      <c r="F1634" t="s">
        <v>73</v>
      </c>
      <c r="G1634">
        <v>4</v>
      </c>
      <c r="H1634">
        <v>39.99</v>
      </c>
      <c r="I1634" s="7">
        <f>IF(Transactions!I1634="",0,Transactions!I1634)</f>
        <v>0</v>
      </c>
      <c r="J1634" s="9">
        <f t="shared" si="25"/>
        <v>159.96</v>
      </c>
      <c r="K1634" t="s">
        <v>16</v>
      </c>
      <c r="L1634" t="s">
        <v>17</v>
      </c>
      <c r="M1634" t="str">
        <f>REPLACE(Transactions!M1634,1,4,"")</f>
        <v>2</v>
      </c>
    </row>
    <row r="1635" spans="1:13" x14ac:dyDescent="0.2">
      <c r="A1635">
        <v>367968</v>
      </c>
      <c r="B1635" s="5">
        <v>44906</v>
      </c>
      <c r="C1635">
        <v>98946</v>
      </c>
      <c r="D1635" t="str">
        <f>PROPER(Transactions!D1635)</f>
        <v>Clothing</v>
      </c>
      <c r="E1635" t="s">
        <v>121</v>
      </c>
      <c r="F1635" t="s">
        <v>122</v>
      </c>
      <c r="G1635">
        <v>1</v>
      </c>
      <c r="H1635">
        <v>11.69</v>
      </c>
      <c r="I1635" s="7">
        <f>IF(Transactions!I1635="",0,Transactions!I1635)</f>
        <v>0.1</v>
      </c>
      <c r="J1635" s="9">
        <f t="shared" si="25"/>
        <v>10.520999999999999</v>
      </c>
      <c r="K1635" t="s">
        <v>95</v>
      </c>
      <c r="L1635" t="s">
        <v>17</v>
      </c>
      <c r="M1635" t="str">
        <f>REPLACE(Transactions!M1635,1,4,"")</f>
        <v>17</v>
      </c>
    </row>
    <row r="1636" spans="1:13" x14ac:dyDescent="0.2">
      <c r="A1636">
        <v>368191</v>
      </c>
      <c r="B1636" s="5">
        <v>45582</v>
      </c>
      <c r="D1636" t="str">
        <f>PROPER(Transactions!D1636)</f>
        <v>Furniture</v>
      </c>
      <c r="E1636" t="s">
        <v>51</v>
      </c>
      <c r="F1636" t="s">
        <v>52</v>
      </c>
      <c r="G1636">
        <v>1</v>
      </c>
      <c r="H1636">
        <v>27.99</v>
      </c>
      <c r="I1636" s="7">
        <f>IF(Transactions!I1636="",0,Transactions!I1636)</f>
        <v>0</v>
      </c>
      <c r="J1636" s="9">
        <f t="shared" si="25"/>
        <v>27.99</v>
      </c>
      <c r="K1636" t="s">
        <v>36</v>
      </c>
      <c r="L1636" t="s">
        <v>17</v>
      </c>
      <c r="M1636" t="str">
        <f>REPLACE(Transactions!M1636,1,4,"")</f>
        <v>15</v>
      </c>
    </row>
    <row r="1637" spans="1:13" x14ac:dyDescent="0.2">
      <c r="A1637">
        <v>368402</v>
      </c>
      <c r="B1637" s="5">
        <v>44864</v>
      </c>
      <c r="C1637">
        <v>95918</v>
      </c>
      <c r="D1637" t="str">
        <f>PROPER(Transactions!D1637)</f>
        <v>Sports</v>
      </c>
      <c r="E1637" t="s">
        <v>83</v>
      </c>
      <c r="F1637" t="s">
        <v>84</v>
      </c>
      <c r="G1637">
        <v>1</v>
      </c>
      <c r="H1637">
        <v>16.14</v>
      </c>
      <c r="I1637" s="7">
        <f>IF(Transactions!I1637="",0,Transactions!I1637)</f>
        <v>0.05</v>
      </c>
      <c r="J1637" s="9">
        <f t="shared" si="25"/>
        <v>15.333</v>
      </c>
      <c r="K1637" t="s">
        <v>22</v>
      </c>
      <c r="L1637" t="s">
        <v>17</v>
      </c>
      <c r="M1637" t="str">
        <f>REPLACE(Transactions!M1637,1,4,"")</f>
        <v>15</v>
      </c>
    </row>
    <row r="1638" spans="1:13" x14ac:dyDescent="0.2">
      <c r="A1638">
        <v>369008</v>
      </c>
      <c r="B1638" s="5">
        <v>44911</v>
      </c>
      <c r="C1638">
        <v>21718</v>
      </c>
      <c r="D1638" t="str">
        <f>PROPER(Transactions!D1638)</f>
        <v>Beauty</v>
      </c>
      <c r="E1638" t="s">
        <v>139</v>
      </c>
      <c r="F1638" t="s">
        <v>140</v>
      </c>
      <c r="G1638">
        <v>2</v>
      </c>
      <c r="H1638">
        <v>5.99</v>
      </c>
      <c r="I1638" s="7">
        <f>IF(Transactions!I1638="",0,Transactions!I1638)</f>
        <v>0.25</v>
      </c>
      <c r="J1638" s="9">
        <f t="shared" si="25"/>
        <v>8.9849999999999994</v>
      </c>
      <c r="K1638" t="s">
        <v>22</v>
      </c>
      <c r="L1638" t="s">
        <v>23</v>
      </c>
      <c r="M1638" t="str">
        <f>REPLACE(Transactions!M1638,1,4,"")</f>
        <v>10</v>
      </c>
    </row>
    <row r="1639" spans="1:13" x14ac:dyDescent="0.2">
      <c r="A1639">
        <v>369028</v>
      </c>
      <c r="B1639" s="5">
        <v>44611</v>
      </c>
      <c r="C1639">
        <v>72180</v>
      </c>
      <c r="D1639" t="str">
        <f>PROPER(Transactions!D1639)</f>
        <v>Clothing</v>
      </c>
      <c r="E1639" t="s">
        <v>165</v>
      </c>
      <c r="F1639" t="s">
        <v>166</v>
      </c>
      <c r="G1639">
        <v>4</v>
      </c>
      <c r="H1639">
        <v>80.989999999999995</v>
      </c>
      <c r="I1639" s="7">
        <f>IF(Transactions!I1639="",0,Transactions!I1639)</f>
        <v>0.1</v>
      </c>
      <c r="J1639" s="9">
        <f t="shared" si="25"/>
        <v>291.56399999999996</v>
      </c>
      <c r="K1639" t="s">
        <v>36</v>
      </c>
      <c r="L1639" t="s">
        <v>17</v>
      </c>
      <c r="M1639" t="str">
        <f>REPLACE(Transactions!M1639,1,4,"")</f>
        <v>2</v>
      </c>
    </row>
    <row r="1640" spans="1:13" x14ac:dyDescent="0.2">
      <c r="A1640">
        <v>369053</v>
      </c>
      <c r="B1640" s="5">
        <v>44948</v>
      </c>
      <c r="C1640">
        <v>12063</v>
      </c>
      <c r="D1640" t="str">
        <f>PROPER(Transactions!D1640)</f>
        <v>Sports</v>
      </c>
      <c r="E1640" t="s">
        <v>100</v>
      </c>
      <c r="F1640" t="s">
        <v>101</v>
      </c>
      <c r="G1640">
        <v>2</v>
      </c>
      <c r="H1640">
        <v>16.09</v>
      </c>
      <c r="I1640" s="7">
        <f>IF(Transactions!I1640="",0,Transactions!I1640)</f>
        <v>0.3</v>
      </c>
      <c r="J1640" s="9">
        <f t="shared" si="25"/>
        <v>22.526</v>
      </c>
      <c r="K1640" t="s">
        <v>16</v>
      </c>
      <c r="L1640" t="s">
        <v>17</v>
      </c>
      <c r="M1640" t="str">
        <f>REPLACE(Transactions!M1640,1,4,"")</f>
        <v>1</v>
      </c>
    </row>
    <row r="1641" spans="1:13" x14ac:dyDescent="0.2">
      <c r="A1641">
        <v>369181</v>
      </c>
      <c r="B1641" s="5">
        <v>44794</v>
      </c>
      <c r="C1641">
        <v>76317</v>
      </c>
      <c r="D1641" t="str">
        <f>PROPER(Transactions!D1641)</f>
        <v>Electronics</v>
      </c>
      <c r="E1641" t="s">
        <v>127</v>
      </c>
      <c r="F1641" t="s">
        <v>128</v>
      </c>
      <c r="G1641">
        <v>5</v>
      </c>
      <c r="H1641">
        <v>19.989999999999998</v>
      </c>
      <c r="I1641" s="7">
        <f>IF(Transactions!I1641="",0,Transactions!I1641)</f>
        <v>0</v>
      </c>
      <c r="J1641" s="9">
        <f t="shared" si="25"/>
        <v>99.949999999999989</v>
      </c>
      <c r="K1641" t="s">
        <v>36</v>
      </c>
      <c r="L1641" t="s">
        <v>23</v>
      </c>
      <c r="M1641" t="str">
        <f>REPLACE(Transactions!M1641,1,4,"")</f>
        <v>5</v>
      </c>
    </row>
    <row r="1642" spans="1:13" x14ac:dyDescent="0.2">
      <c r="A1642">
        <v>369233</v>
      </c>
      <c r="B1642" s="5">
        <v>44836</v>
      </c>
      <c r="C1642">
        <v>10015</v>
      </c>
      <c r="D1642" t="str">
        <f>PROPER(Transactions!D1642)</f>
        <v>Electronics</v>
      </c>
      <c r="E1642" t="s">
        <v>127</v>
      </c>
      <c r="F1642" t="s">
        <v>128</v>
      </c>
      <c r="G1642">
        <v>5</v>
      </c>
      <c r="H1642">
        <v>15.99</v>
      </c>
      <c r="I1642" s="7">
        <f>IF(Transactions!I1642="",0,Transactions!I1642)</f>
        <v>0.2</v>
      </c>
      <c r="J1642" s="9">
        <f t="shared" si="25"/>
        <v>63.960000000000008</v>
      </c>
      <c r="K1642" t="s">
        <v>16</v>
      </c>
      <c r="L1642" t="s">
        <v>17</v>
      </c>
      <c r="M1642" t="str">
        <f>REPLACE(Transactions!M1642,1,4,"")</f>
        <v>6</v>
      </c>
    </row>
    <row r="1643" spans="1:13" x14ac:dyDescent="0.2">
      <c r="A1643">
        <v>369347</v>
      </c>
      <c r="B1643" s="5">
        <v>44710</v>
      </c>
      <c r="C1643">
        <v>67143</v>
      </c>
      <c r="D1643" t="str">
        <f>PROPER(Transactions!D1643)</f>
        <v>Toys</v>
      </c>
      <c r="E1643" t="s">
        <v>170</v>
      </c>
      <c r="F1643" t="s">
        <v>171</v>
      </c>
      <c r="G1643">
        <v>4</v>
      </c>
      <c r="H1643">
        <v>11.99</v>
      </c>
      <c r="I1643" s="7">
        <f>IF(Transactions!I1643="",0,Transactions!I1643)</f>
        <v>0.2</v>
      </c>
      <c r="J1643" s="9">
        <f t="shared" si="25"/>
        <v>38.368000000000002</v>
      </c>
      <c r="K1643" t="s">
        <v>36</v>
      </c>
      <c r="L1643" t="s">
        <v>37</v>
      </c>
      <c r="M1643" t="str">
        <f>REPLACE(Transactions!M1643,1,4,"")</f>
        <v>11</v>
      </c>
    </row>
    <row r="1644" spans="1:13" x14ac:dyDescent="0.2">
      <c r="A1644">
        <v>369372</v>
      </c>
      <c r="B1644" s="5">
        <v>44626</v>
      </c>
      <c r="C1644">
        <v>27688</v>
      </c>
      <c r="D1644" t="str">
        <f>PROPER(Transactions!D1644)</f>
        <v>Sports</v>
      </c>
      <c r="E1644" t="s">
        <v>147</v>
      </c>
      <c r="F1644" t="s">
        <v>148</v>
      </c>
      <c r="G1644">
        <v>1</v>
      </c>
      <c r="H1644">
        <v>12.99</v>
      </c>
      <c r="I1644" s="7">
        <f>IF(Transactions!I1644="",0,Transactions!I1644)</f>
        <v>0</v>
      </c>
      <c r="J1644" s="9">
        <f t="shared" si="25"/>
        <v>12.99</v>
      </c>
      <c r="K1644" t="s">
        <v>22</v>
      </c>
      <c r="L1644" t="s">
        <v>17</v>
      </c>
      <c r="M1644" t="str">
        <f>REPLACE(Transactions!M1644,1,4,"")</f>
        <v>15</v>
      </c>
    </row>
    <row r="1645" spans="1:13" x14ac:dyDescent="0.2">
      <c r="A1645">
        <v>369593</v>
      </c>
      <c r="B1645" s="5">
        <v>45527</v>
      </c>
      <c r="C1645">
        <v>22740</v>
      </c>
      <c r="D1645" t="str">
        <f>PROPER(Transactions!D1645)</f>
        <v>Grocery</v>
      </c>
      <c r="E1645" t="s">
        <v>177</v>
      </c>
      <c r="F1645" t="s">
        <v>178</v>
      </c>
      <c r="G1645">
        <v>1</v>
      </c>
      <c r="H1645">
        <v>10.79</v>
      </c>
      <c r="I1645" s="7">
        <f>IF(Transactions!I1645="",0,Transactions!I1645)</f>
        <v>0.1</v>
      </c>
      <c r="J1645" s="9">
        <f t="shared" si="25"/>
        <v>9.7110000000000003</v>
      </c>
      <c r="K1645" t="s">
        <v>36</v>
      </c>
      <c r="L1645" t="s">
        <v>23</v>
      </c>
      <c r="M1645" t="str">
        <f>REPLACE(Transactions!M1645,1,4,"")</f>
        <v>9</v>
      </c>
    </row>
    <row r="1646" spans="1:13" x14ac:dyDescent="0.2">
      <c r="A1646">
        <v>369847</v>
      </c>
      <c r="B1646" s="5">
        <v>44595</v>
      </c>
      <c r="C1646">
        <v>23699</v>
      </c>
      <c r="D1646" t="str">
        <f>PROPER(Transactions!D1646)</f>
        <v>Toys</v>
      </c>
      <c r="E1646" t="s">
        <v>175</v>
      </c>
      <c r="F1646" t="s">
        <v>176</v>
      </c>
      <c r="G1646">
        <v>5</v>
      </c>
      <c r="H1646">
        <v>11.99</v>
      </c>
      <c r="I1646" s="7">
        <f>IF(Transactions!I1646="",0,Transactions!I1646)</f>
        <v>0</v>
      </c>
      <c r="J1646" s="9">
        <f t="shared" si="25"/>
        <v>59.95</v>
      </c>
      <c r="K1646" t="s">
        <v>53</v>
      </c>
      <c r="L1646" t="s">
        <v>37</v>
      </c>
      <c r="M1646" t="str">
        <f>REPLACE(Transactions!M1646,1,4,"")</f>
        <v>16</v>
      </c>
    </row>
    <row r="1647" spans="1:13" x14ac:dyDescent="0.2">
      <c r="A1647">
        <v>369945</v>
      </c>
      <c r="B1647" s="5">
        <v>44724</v>
      </c>
      <c r="C1647">
        <v>49763</v>
      </c>
      <c r="D1647" t="str">
        <f>PROPER(Transactions!D1647)</f>
        <v>Clothing</v>
      </c>
      <c r="E1647" t="s">
        <v>193</v>
      </c>
      <c r="F1647" t="s">
        <v>194</v>
      </c>
      <c r="G1647">
        <v>1</v>
      </c>
      <c r="H1647">
        <v>51.99</v>
      </c>
      <c r="I1647" s="7">
        <f>IF(Transactions!I1647="",0,Transactions!I1647)</f>
        <v>0.2</v>
      </c>
      <c r="J1647" s="9">
        <f t="shared" si="25"/>
        <v>41.592000000000006</v>
      </c>
      <c r="K1647" t="s">
        <v>32</v>
      </c>
      <c r="L1647" t="s">
        <v>23</v>
      </c>
      <c r="M1647" t="str">
        <f>REPLACE(Transactions!M1647,1,4,"")</f>
        <v>3</v>
      </c>
    </row>
    <row r="1648" spans="1:13" x14ac:dyDescent="0.2">
      <c r="A1648">
        <v>370093</v>
      </c>
      <c r="B1648" s="5">
        <v>45054</v>
      </c>
      <c r="C1648">
        <v>96163</v>
      </c>
      <c r="D1648" t="str">
        <f>PROPER(Transactions!D1648)</f>
        <v>Sports</v>
      </c>
      <c r="E1648" t="s">
        <v>168</v>
      </c>
      <c r="F1648" t="s">
        <v>169</v>
      </c>
      <c r="G1648">
        <v>3</v>
      </c>
      <c r="H1648">
        <v>6.74</v>
      </c>
      <c r="I1648" s="7">
        <f>IF(Transactions!I1648="",0,Transactions!I1648)</f>
        <v>0.25</v>
      </c>
      <c r="J1648" s="9">
        <f t="shared" si="25"/>
        <v>15.164999999999999</v>
      </c>
      <c r="K1648" t="s">
        <v>16</v>
      </c>
      <c r="L1648" t="s">
        <v>17</v>
      </c>
      <c r="M1648" t="str">
        <f>REPLACE(Transactions!M1648,1,4,"")</f>
        <v>18</v>
      </c>
    </row>
    <row r="1649" spans="1:13" x14ac:dyDescent="0.2">
      <c r="A1649">
        <v>370198</v>
      </c>
      <c r="B1649" s="5">
        <v>45104</v>
      </c>
      <c r="C1649">
        <v>94535</v>
      </c>
      <c r="D1649" t="str">
        <f>PROPER(Transactions!D1649)</f>
        <v>Grocery</v>
      </c>
      <c r="E1649" t="s">
        <v>91</v>
      </c>
      <c r="F1649" t="s">
        <v>92</v>
      </c>
      <c r="G1649">
        <v>3</v>
      </c>
      <c r="H1649">
        <v>5.98</v>
      </c>
      <c r="I1649" s="7">
        <f>IF(Transactions!I1649="",0,Transactions!I1649)</f>
        <v>0.05</v>
      </c>
      <c r="J1649" s="9">
        <f t="shared" si="25"/>
        <v>17.042999999999999</v>
      </c>
      <c r="K1649" t="s">
        <v>16</v>
      </c>
      <c r="L1649" t="s">
        <v>37</v>
      </c>
      <c r="M1649" t="str">
        <f>REPLACE(Transactions!M1649,1,4,"")</f>
        <v/>
      </c>
    </row>
    <row r="1650" spans="1:13" x14ac:dyDescent="0.2">
      <c r="A1650">
        <v>370546</v>
      </c>
      <c r="B1650" s="5">
        <v>44632</v>
      </c>
      <c r="C1650">
        <v>71153</v>
      </c>
      <c r="D1650" t="str">
        <f>PROPER(Transactions!D1650)</f>
        <v>Pharmacy</v>
      </c>
      <c r="E1650" t="s">
        <v>20</v>
      </c>
      <c r="F1650" t="s">
        <v>21</v>
      </c>
      <c r="G1650">
        <v>5</v>
      </c>
      <c r="H1650">
        <v>6.99</v>
      </c>
      <c r="I1650" s="7">
        <f>IF(Transactions!I1650="",0,Transactions!I1650)</f>
        <v>0.3</v>
      </c>
      <c r="J1650" s="9">
        <f t="shared" si="25"/>
        <v>24.465</v>
      </c>
      <c r="K1650" t="s">
        <v>32</v>
      </c>
      <c r="L1650" t="s">
        <v>17</v>
      </c>
      <c r="M1650" t="str">
        <f>REPLACE(Transactions!M1650,1,4,"")</f>
        <v>15</v>
      </c>
    </row>
    <row r="1651" spans="1:13" x14ac:dyDescent="0.2">
      <c r="A1651">
        <v>370548</v>
      </c>
      <c r="B1651" s="5">
        <v>44651</v>
      </c>
      <c r="C1651">
        <v>35689</v>
      </c>
      <c r="D1651" t="str">
        <f>PROPER(Transactions!D1651)</f>
        <v>Furniture</v>
      </c>
      <c r="E1651" t="s">
        <v>60</v>
      </c>
      <c r="F1651" t="s">
        <v>61</v>
      </c>
      <c r="G1651">
        <v>5</v>
      </c>
      <c r="H1651">
        <v>41.24</v>
      </c>
      <c r="I1651" s="7">
        <f>IF(Transactions!I1651="",0,Transactions!I1651)</f>
        <v>0.25</v>
      </c>
      <c r="J1651" s="9">
        <f t="shared" si="25"/>
        <v>154.65</v>
      </c>
      <c r="K1651" t="s">
        <v>16</v>
      </c>
      <c r="L1651" t="s">
        <v>17</v>
      </c>
      <c r="M1651" t="str">
        <f>REPLACE(Transactions!M1651,1,4,"")</f>
        <v>8</v>
      </c>
    </row>
    <row r="1652" spans="1:13" x14ac:dyDescent="0.2">
      <c r="A1652">
        <v>370677</v>
      </c>
      <c r="B1652" s="5">
        <v>44940</v>
      </c>
      <c r="C1652">
        <v>42546</v>
      </c>
      <c r="D1652" t="str">
        <f>PROPER(Transactions!D1652)</f>
        <v>Grocery</v>
      </c>
      <c r="E1652" t="s">
        <v>177</v>
      </c>
      <c r="F1652" t="s">
        <v>178</v>
      </c>
      <c r="G1652">
        <v>4</v>
      </c>
      <c r="H1652">
        <v>9.59</v>
      </c>
      <c r="I1652" s="7">
        <f>IF(Transactions!I1652="",0,Transactions!I1652)</f>
        <v>0.2</v>
      </c>
      <c r="J1652" s="9">
        <f t="shared" si="25"/>
        <v>30.688000000000002</v>
      </c>
      <c r="K1652" t="s">
        <v>22</v>
      </c>
      <c r="L1652" t="s">
        <v>17</v>
      </c>
      <c r="M1652" t="str">
        <f>REPLACE(Transactions!M1652,1,4,"")</f>
        <v>16</v>
      </c>
    </row>
    <row r="1653" spans="1:13" x14ac:dyDescent="0.2">
      <c r="A1653">
        <v>370821</v>
      </c>
      <c r="B1653" s="5">
        <v>45174</v>
      </c>
      <c r="C1653">
        <v>80417</v>
      </c>
      <c r="D1653" t="str">
        <f>PROPER(Transactions!D1653)</f>
        <v>Pharmacy</v>
      </c>
      <c r="E1653" t="s">
        <v>197</v>
      </c>
      <c r="F1653" t="s">
        <v>198</v>
      </c>
      <c r="G1653">
        <v>3</v>
      </c>
      <c r="H1653">
        <v>11.99</v>
      </c>
      <c r="I1653" s="7">
        <f>IF(Transactions!I1653="",0,Transactions!I1653)</f>
        <v>0.2</v>
      </c>
      <c r="J1653" s="9">
        <f t="shared" si="25"/>
        <v>28.776</v>
      </c>
      <c r="K1653" t="s">
        <v>16</v>
      </c>
      <c r="L1653" t="s">
        <v>17</v>
      </c>
      <c r="M1653" t="str">
        <f>REPLACE(Transactions!M1653,1,4,"")</f>
        <v>10</v>
      </c>
    </row>
    <row r="1654" spans="1:13" x14ac:dyDescent="0.2">
      <c r="A1654">
        <v>371101</v>
      </c>
      <c r="B1654" s="5">
        <v>45050</v>
      </c>
      <c r="C1654">
        <v>94368</v>
      </c>
      <c r="D1654" t="str">
        <f>PROPER(Transactions!D1654)</f>
        <v>Home &amp; Garden</v>
      </c>
      <c r="E1654" t="s">
        <v>137</v>
      </c>
      <c r="F1654" t="s">
        <v>138</v>
      </c>
      <c r="G1654">
        <v>2</v>
      </c>
      <c r="H1654">
        <v>7.99</v>
      </c>
      <c r="I1654" s="7">
        <f>IF(Transactions!I1654="",0,Transactions!I1654)</f>
        <v>0</v>
      </c>
      <c r="J1654" s="9">
        <f t="shared" si="25"/>
        <v>15.98</v>
      </c>
      <c r="K1654" t="s">
        <v>22</v>
      </c>
      <c r="L1654" t="s">
        <v>17</v>
      </c>
      <c r="M1654" t="str">
        <f>REPLACE(Transactions!M1654,1,4,"")</f>
        <v>3</v>
      </c>
    </row>
    <row r="1655" spans="1:13" x14ac:dyDescent="0.2">
      <c r="A1655">
        <v>371417</v>
      </c>
      <c r="B1655" s="5">
        <v>45475</v>
      </c>
      <c r="C1655">
        <v>71549</v>
      </c>
      <c r="D1655" t="str">
        <f>PROPER(Transactions!D1655)</f>
        <v>Home &amp; Garden</v>
      </c>
      <c r="E1655" t="s">
        <v>137</v>
      </c>
      <c r="F1655" t="s">
        <v>138</v>
      </c>
      <c r="G1655">
        <v>1</v>
      </c>
      <c r="H1655">
        <v>6.39</v>
      </c>
      <c r="I1655" s="7">
        <f>IF(Transactions!I1655="",0,Transactions!I1655)</f>
        <v>0.2</v>
      </c>
      <c r="J1655" s="9">
        <f t="shared" si="25"/>
        <v>5.1120000000000001</v>
      </c>
      <c r="K1655" t="s">
        <v>36</v>
      </c>
      <c r="L1655" t="s">
        <v>17</v>
      </c>
      <c r="M1655" t="str">
        <f>REPLACE(Transactions!M1655,1,4,"")</f>
        <v>9</v>
      </c>
    </row>
    <row r="1656" spans="1:13" x14ac:dyDescent="0.2">
      <c r="A1656">
        <v>371752</v>
      </c>
      <c r="B1656" s="5">
        <v>45604</v>
      </c>
      <c r="C1656">
        <v>85892</v>
      </c>
      <c r="D1656" t="str">
        <f>PROPER(Transactions!D1656)</f>
        <v>Home &amp; Garden</v>
      </c>
      <c r="E1656" t="s">
        <v>137</v>
      </c>
      <c r="F1656" t="s">
        <v>138</v>
      </c>
      <c r="G1656">
        <v>1</v>
      </c>
      <c r="H1656">
        <v>7.99</v>
      </c>
      <c r="I1656" s="7">
        <f>IF(Transactions!I1656="",0,Transactions!I1656)</f>
        <v>0</v>
      </c>
      <c r="J1656" s="9">
        <f t="shared" si="25"/>
        <v>7.99</v>
      </c>
      <c r="K1656" t="s">
        <v>36</v>
      </c>
      <c r="L1656" t="s">
        <v>17</v>
      </c>
      <c r="M1656" t="str">
        <f>REPLACE(Transactions!M1656,1,4,"")</f>
        <v>18</v>
      </c>
    </row>
    <row r="1657" spans="1:13" x14ac:dyDescent="0.2">
      <c r="A1657">
        <v>371797</v>
      </c>
      <c r="B1657" s="5">
        <v>44891</v>
      </c>
      <c r="C1657">
        <v>46466</v>
      </c>
      <c r="D1657" t="str">
        <f>PROPER(Transactions!D1657)</f>
        <v>Home &amp; Garden</v>
      </c>
      <c r="E1657" t="s">
        <v>157</v>
      </c>
      <c r="F1657" t="s">
        <v>158</v>
      </c>
      <c r="G1657">
        <v>3</v>
      </c>
      <c r="H1657">
        <v>13.49</v>
      </c>
      <c r="I1657" s="7">
        <f>IF(Transactions!I1657="",0,Transactions!I1657)</f>
        <v>0</v>
      </c>
      <c r="J1657" s="9">
        <f t="shared" si="25"/>
        <v>40.47</v>
      </c>
      <c r="K1657" t="s">
        <v>36</v>
      </c>
      <c r="L1657" t="s">
        <v>17</v>
      </c>
      <c r="M1657" t="str">
        <f>REPLACE(Transactions!M1657,1,4,"")</f>
        <v>16</v>
      </c>
    </row>
    <row r="1658" spans="1:13" x14ac:dyDescent="0.2">
      <c r="A1658">
        <v>372077</v>
      </c>
      <c r="B1658" s="5">
        <v>45195</v>
      </c>
      <c r="C1658">
        <v>74378</v>
      </c>
      <c r="D1658" t="str">
        <f>PROPER(Transactions!D1658)</f>
        <v>Pharmacy</v>
      </c>
      <c r="E1658" t="s">
        <v>115</v>
      </c>
      <c r="F1658" t="s">
        <v>116</v>
      </c>
      <c r="G1658">
        <v>4</v>
      </c>
      <c r="H1658">
        <v>9.74</v>
      </c>
      <c r="I1658" s="7">
        <f>IF(Transactions!I1658="",0,Transactions!I1658)</f>
        <v>0.25</v>
      </c>
      <c r="J1658" s="9">
        <f t="shared" si="25"/>
        <v>29.22</v>
      </c>
      <c r="K1658" t="s">
        <v>36</v>
      </c>
      <c r="L1658" t="s">
        <v>17</v>
      </c>
      <c r="M1658" t="str">
        <f>REPLACE(Transactions!M1658,1,4,"")</f>
        <v>13</v>
      </c>
    </row>
    <row r="1659" spans="1:13" x14ac:dyDescent="0.2">
      <c r="A1659">
        <v>372376</v>
      </c>
      <c r="B1659" s="5">
        <v>44950</v>
      </c>
      <c r="C1659">
        <v>10059</v>
      </c>
      <c r="D1659" t="str">
        <f>PROPER(Transactions!D1659)</f>
        <v>Sports</v>
      </c>
      <c r="E1659" t="s">
        <v>100</v>
      </c>
      <c r="F1659" t="s">
        <v>101</v>
      </c>
      <c r="G1659">
        <v>1</v>
      </c>
      <c r="H1659">
        <v>19.54</v>
      </c>
      <c r="I1659" s="7">
        <f>IF(Transactions!I1659="",0,Transactions!I1659)</f>
        <v>0.15</v>
      </c>
      <c r="J1659" s="9">
        <f t="shared" si="25"/>
        <v>16.608999999999998</v>
      </c>
      <c r="K1659" t="s">
        <v>22</v>
      </c>
      <c r="L1659" t="s">
        <v>37</v>
      </c>
      <c r="M1659" t="str">
        <f>REPLACE(Transactions!M1659,1,4,"")</f>
        <v>7</v>
      </c>
    </row>
    <row r="1660" spans="1:13" x14ac:dyDescent="0.2">
      <c r="A1660">
        <v>372480</v>
      </c>
      <c r="B1660" s="5">
        <v>45165</v>
      </c>
      <c r="C1660">
        <v>39736</v>
      </c>
      <c r="D1660" t="str">
        <f>PROPER(Transactions!D1660)</f>
        <v>Pharmacy</v>
      </c>
      <c r="E1660" t="s">
        <v>58</v>
      </c>
      <c r="F1660" t="s">
        <v>59</v>
      </c>
      <c r="G1660">
        <v>1</v>
      </c>
      <c r="H1660">
        <v>2.79</v>
      </c>
      <c r="I1660" s="7">
        <f>IF(Transactions!I1660="",0,Transactions!I1660)</f>
        <v>0.3</v>
      </c>
      <c r="J1660" s="9">
        <f t="shared" si="25"/>
        <v>1.9529999999999998</v>
      </c>
      <c r="K1660" t="s">
        <v>22</v>
      </c>
      <c r="L1660" t="s">
        <v>17</v>
      </c>
      <c r="M1660" t="str">
        <f>REPLACE(Transactions!M1660,1,4,"")</f>
        <v>3</v>
      </c>
    </row>
    <row r="1661" spans="1:13" x14ac:dyDescent="0.2">
      <c r="A1661">
        <v>372594</v>
      </c>
      <c r="B1661" s="5">
        <v>44630</v>
      </c>
      <c r="C1661">
        <v>36330</v>
      </c>
      <c r="D1661" t="str">
        <f>PROPER(Transactions!D1661)</f>
        <v>Electronics</v>
      </c>
      <c r="E1661" t="s">
        <v>186</v>
      </c>
      <c r="F1661" t="s">
        <v>187</v>
      </c>
      <c r="G1661">
        <v>1</v>
      </c>
      <c r="H1661">
        <v>42.49</v>
      </c>
      <c r="I1661" s="7">
        <f>IF(Transactions!I1661="",0,Transactions!I1661)</f>
        <v>0.15</v>
      </c>
      <c r="J1661" s="9">
        <f t="shared" si="25"/>
        <v>36.116500000000002</v>
      </c>
      <c r="K1661" t="s">
        <v>36</v>
      </c>
      <c r="L1661" t="s">
        <v>17</v>
      </c>
      <c r="M1661" t="str">
        <f>REPLACE(Transactions!M1661,1,4,"")</f>
        <v>15</v>
      </c>
    </row>
    <row r="1662" spans="1:13" x14ac:dyDescent="0.2">
      <c r="A1662">
        <v>372858</v>
      </c>
      <c r="B1662" s="5">
        <v>44775</v>
      </c>
      <c r="D1662" t="str">
        <f>PROPER(Transactions!D1662)</f>
        <v>Beauty</v>
      </c>
      <c r="E1662" t="s">
        <v>118</v>
      </c>
      <c r="F1662" t="s">
        <v>119</v>
      </c>
      <c r="G1662">
        <v>1</v>
      </c>
      <c r="H1662">
        <v>4.49</v>
      </c>
      <c r="I1662" s="7">
        <f>IF(Transactions!I1662="",0,Transactions!I1662)</f>
        <v>0.1</v>
      </c>
      <c r="J1662" s="9">
        <f t="shared" si="25"/>
        <v>4.0410000000000004</v>
      </c>
      <c r="K1662" t="s">
        <v>36</v>
      </c>
      <c r="L1662" t="s">
        <v>17</v>
      </c>
      <c r="M1662" t="str">
        <f>REPLACE(Transactions!M1662,1,4,"")</f>
        <v>19</v>
      </c>
    </row>
    <row r="1663" spans="1:13" x14ac:dyDescent="0.2">
      <c r="A1663">
        <v>373072</v>
      </c>
      <c r="B1663" s="5">
        <v>45258</v>
      </c>
      <c r="C1663">
        <v>24712</v>
      </c>
      <c r="D1663" t="str">
        <f>PROPER(Transactions!D1663)</f>
        <v>Automotive</v>
      </c>
      <c r="E1663" t="s">
        <v>64</v>
      </c>
      <c r="F1663" t="s">
        <v>65</v>
      </c>
      <c r="G1663">
        <v>1</v>
      </c>
      <c r="H1663">
        <v>3.99</v>
      </c>
      <c r="I1663" s="7">
        <f>IF(Transactions!I1663="",0,Transactions!I1663)</f>
        <v>0.2</v>
      </c>
      <c r="J1663" s="9">
        <f t="shared" si="25"/>
        <v>3.1920000000000002</v>
      </c>
      <c r="K1663" t="s">
        <v>36</v>
      </c>
      <c r="L1663" t="s">
        <v>17</v>
      </c>
      <c r="M1663" t="str">
        <f>REPLACE(Transactions!M1663,1,4,"")</f>
        <v>15</v>
      </c>
    </row>
    <row r="1664" spans="1:13" x14ac:dyDescent="0.2">
      <c r="A1664">
        <v>373235</v>
      </c>
      <c r="B1664" s="5">
        <v>44914</v>
      </c>
      <c r="C1664">
        <v>19222</v>
      </c>
      <c r="D1664" t="str">
        <f>PROPER(Transactions!D1664)</f>
        <v>Furniture</v>
      </c>
      <c r="E1664" t="s">
        <v>70</v>
      </c>
      <c r="F1664" t="s">
        <v>71</v>
      </c>
      <c r="G1664">
        <v>1</v>
      </c>
      <c r="H1664">
        <v>71.989999999999995</v>
      </c>
      <c r="I1664" s="7">
        <f>IF(Transactions!I1664="",0,Transactions!I1664)</f>
        <v>0.2</v>
      </c>
      <c r="J1664" s="9">
        <f t="shared" si="25"/>
        <v>57.591999999999999</v>
      </c>
      <c r="K1664" t="s">
        <v>36</v>
      </c>
      <c r="L1664" t="s">
        <v>17</v>
      </c>
      <c r="M1664" t="str">
        <f>REPLACE(Transactions!M1664,1,4,"")</f>
        <v>12</v>
      </c>
    </row>
    <row r="1665" spans="1:13" x14ac:dyDescent="0.2">
      <c r="A1665">
        <v>373335</v>
      </c>
      <c r="B1665" s="5">
        <v>45333</v>
      </c>
      <c r="C1665">
        <v>35212</v>
      </c>
      <c r="D1665" t="str">
        <f>PROPER(Transactions!D1665)</f>
        <v>Clothing</v>
      </c>
      <c r="E1665" t="s">
        <v>135</v>
      </c>
      <c r="F1665" t="s">
        <v>136</v>
      </c>
      <c r="G1665">
        <v>3</v>
      </c>
      <c r="H1665">
        <v>8.49</v>
      </c>
      <c r="I1665" s="7">
        <f>IF(Transactions!I1665="",0,Transactions!I1665)</f>
        <v>0.15</v>
      </c>
      <c r="J1665" s="9">
        <f t="shared" si="25"/>
        <v>21.6495</v>
      </c>
      <c r="K1665" t="s">
        <v>32</v>
      </c>
      <c r="L1665" t="s">
        <v>17</v>
      </c>
      <c r="M1665" t="str">
        <f>REPLACE(Transactions!M1665,1,4,"")</f>
        <v>1</v>
      </c>
    </row>
    <row r="1666" spans="1:13" x14ac:dyDescent="0.2">
      <c r="A1666">
        <v>373393</v>
      </c>
      <c r="B1666" s="5">
        <v>44773</v>
      </c>
      <c r="C1666">
        <v>79866</v>
      </c>
      <c r="D1666" t="str">
        <f>PROPER(Transactions!D1666)</f>
        <v>Home &amp; Garden</v>
      </c>
      <c r="E1666" t="s">
        <v>157</v>
      </c>
      <c r="F1666" t="s">
        <v>158</v>
      </c>
      <c r="G1666">
        <v>2</v>
      </c>
      <c r="H1666">
        <v>11.47</v>
      </c>
      <c r="I1666" s="7">
        <f>IF(Transactions!I1666="",0,Transactions!I1666)</f>
        <v>0.15</v>
      </c>
      <c r="J1666" s="9">
        <f t="shared" si="25"/>
        <v>19.499000000000002</v>
      </c>
      <c r="K1666" t="s">
        <v>16</v>
      </c>
      <c r="L1666" t="s">
        <v>37</v>
      </c>
      <c r="M1666" t="str">
        <f>REPLACE(Transactions!M1666,1,4,"")</f>
        <v>18</v>
      </c>
    </row>
    <row r="1667" spans="1:13" x14ac:dyDescent="0.2">
      <c r="A1667">
        <v>373832</v>
      </c>
      <c r="B1667" s="5">
        <v>45128</v>
      </c>
      <c r="C1667">
        <v>34688</v>
      </c>
      <c r="D1667" t="str">
        <f>PROPER(Transactions!D1667)</f>
        <v>Pharmacy</v>
      </c>
      <c r="E1667" t="s">
        <v>20</v>
      </c>
      <c r="F1667" t="s">
        <v>21</v>
      </c>
      <c r="G1667">
        <v>4</v>
      </c>
      <c r="H1667">
        <v>8.49</v>
      </c>
      <c r="I1667" s="7">
        <f>IF(Transactions!I1667="",0,Transactions!I1667)</f>
        <v>0.15</v>
      </c>
      <c r="J1667" s="9">
        <f t="shared" ref="J1667:J1730" si="26">(H1667*G1667)*(1-I1667)</f>
        <v>28.866</v>
      </c>
      <c r="K1667" t="s">
        <v>22</v>
      </c>
      <c r="L1667" t="s">
        <v>23</v>
      </c>
      <c r="M1667" t="str">
        <f>REPLACE(Transactions!M1667,1,4,"")</f>
        <v>19</v>
      </c>
    </row>
    <row r="1668" spans="1:13" x14ac:dyDescent="0.2">
      <c r="A1668">
        <v>374312</v>
      </c>
      <c r="B1668" s="5">
        <v>44686</v>
      </c>
      <c r="C1668">
        <v>65731</v>
      </c>
      <c r="D1668" t="str">
        <f>PROPER(Transactions!D1668)</f>
        <v>Automotive</v>
      </c>
      <c r="E1668" t="s">
        <v>131</v>
      </c>
      <c r="F1668" t="s">
        <v>132</v>
      </c>
      <c r="G1668">
        <v>4</v>
      </c>
      <c r="H1668">
        <v>2.44</v>
      </c>
      <c r="I1668" s="7">
        <f>IF(Transactions!I1668="",0,Transactions!I1668)</f>
        <v>0.3</v>
      </c>
      <c r="J1668" s="9">
        <f t="shared" si="26"/>
        <v>6.8319999999999999</v>
      </c>
      <c r="K1668" t="s">
        <v>32</v>
      </c>
      <c r="L1668" t="s">
        <v>17</v>
      </c>
      <c r="M1668" t="str">
        <f>REPLACE(Transactions!M1668,1,4,"")</f>
        <v>1</v>
      </c>
    </row>
    <row r="1669" spans="1:13" x14ac:dyDescent="0.2">
      <c r="A1669">
        <v>374496</v>
      </c>
      <c r="B1669" s="5">
        <v>44905</v>
      </c>
      <c r="C1669">
        <v>61862</v>
      </c>
      <c r="D1669" t="str">
        <f>PROPER(Transactions!D1669)</f>
        <v>Home &amp; Garden</v>
      </c>
      <c r="E1669" t="s">
        <v>86</v>
      </c>
      <c r="F1669" t="s">
        <v>87</v>
      </c>
      <c r="G1669">
        <v>3</v>
      </c>
      <c r="H1669">
        <v>9.74</v>
      </c>
      <c r="I1669" s="7">
        <f>IF(Transactions!I1669="",0,Transactions!I1669)</f>
        <v>0.25</v>
      </c>
      <c r="J1669" s="9">
        <f t="shared" si="26"/>
        <v>21.914999999999999</v>
      </c>
      <c r="K1669" t="s">
        <v>36</v>
      </c>
      <c r="L1669" t="s">
        <v>37</v>
      </c>
      <c r="M1669" t="str">
        <f>REPLACE(Transactions!M1669,1,4,"")</f>
        <v>3</v>
      </c>
    </row>
    <row r="1670" spans="1:13" x14ac:dyDescent="0.2">
      <c r="A1670">
        <v>374674</v>
      </c>
      <c r="B1670" s="5">
        <v>45283</v>
      </c>
      <c r="C1670">
        <v>29843</v>
      </c>
      <c r="D1670" t="str">
        <f>PROPER(Transactions!D1670)</f>
        <v>Sports</v>
      </c>
      <c r="E1670" t="s">
        <v>168</v>
      </c>
      <c r="F1670" t="s">
        <v>169</v>
      </c>
      <c r="G1670">
        <v>3</v>
      </c>
      <c r="H1670">
        <v>8.09</v>
      </c>
      <c r="I1670" s="7">
        <f>IF(Transactions!I1670="",0,Transactions!I1670)</f>
        <v>0.1</v>
      </c>
      <c r="J1670" s="9">
        <f t="shared" si="26"/>
        <v>21.843</v>
      </c>
      <c r="K1670" t="s">
        <v>16</v>
      </c>
      <c r="L1670" t="s">
        <v>37</v>
      </c>
      <c r="M1670" t="str">
        <f>REPLACE(Transactions!M1670,1,4,"")</f>
        <v>8</v>
      </c>
    </row>
    <row r="1671" spans="1:13" x14ac:dyDescent="0.2">
      <c r="A1671">
        <v>374887</v>
      </c>
      <c r="B1671" s="5">
        <v>45189</v>
      </c>
      <c r="C1671">
        <v>12608</v>
      </c>
      <c r="D1671" t="str">
        <f>PROPER(Transactions!D1671)</f>
        <v>Pharmacy</v>
      </c>
      <c r="E1671" t="s">
        <v>20</v>
      </c>
      <c r="F1671" t="s">
        <v>21</v>
      </c>
      <c r="G1671">
        <v>2</v>
      </c>
      <c r="H1671">
        <v>8.49</v>
      </c>
      <c r="I1671" s="7">
        <f>IF(Transactions!I1671="",0,Transactions!I1671)</f>
        <v>0.15</v>
      </c>
      <c r="J1671" s="9">
        <f t="shared" si="26"/>
        <v>14.433</v>
      </c>
      <c r="K1671" t="s">
        <v>36</v>
      </c>
      <c r="L1671" t="s">
        <v>37</v>
      </c>
      <c r="M1671" t="str">
        <f>REPLACE(Transactions!M1671,1,4,"")</f>
        <v>19</v>
      </c>
    </row>
    <row r="1672" spans="1:13" x14ac:dyDescent="0.2">
      <c r="A1672">
        <v>375065</v>
      </c>
      <c r="B1672" s="5">
        <v>45035</v>
      </c>
      <c r="D1672" t="str">
        <f>PROPER(Transactions!D1672)</f>
        <v>Furniture</v>
      </c>
      <c r="E1672" t="s">
        <v>60</v>
      </c>
      <c r="F1672" t="s">
        <v>61</v>
      </c>
      <c r="G1672">
        <v>2</v>
      </c>
      <c r="H1672">
        <v>52.24</v>
      </c>
      <c r="I1672" s="7">
        <f>IF(Transactions!I1672="",0,Transactions!I1672)</f>
        <v>0.05</v>
      </c>
      <c r="J1672" s="9">
        <f t="shared" si="26"/>
        <v>99.256</v>
      </c>
      <c r="K1672" t="s">
        <v>36</v>
      </c>
      <c r="L1672" t="s">
        <v>17</v>
      </c>
      <c r="M1672" t="str">
        <f>REPLACE(Transactions!M1672,1,4,"")</f>
        <v>17</v>
      </c>
    </row>
    <row r="1673" spans="1:13" x14ac:dyDescent="0.2">
      <c r="A1673">
        <v>375080</v>
      </c>
      <c r="B1673" s="5">
        <v>44866</v>
      </c>
      <c r="C1673">
        <v>38045</v>
      </c>
      <c r="D1673" t="str">
        <f>PROPER(Transactions!D1673)</f>
        <v>Pharmacy</v>
      </c>
      <c r="E1673" t="s">
        <v>115</v>
      </c>
      <c r="F1673" t="s">
        <v>116</v>
      </c>
      <c r="G1673">
        <v>2</v>
      </c>
      <c r="H1673">
        <v>12.34</v>
      </c>
      <c r="I1673" s="7">
        <f>IF(Transactions!I1673="",0,Transactions!I1673)</f>
        <v>0.05</v>
      </c>
      <c r="J1673" s="9">
        <f t="shared" si="26"/>
        <v>23.445999999999998</v>
      </c>
      <c r="K1673" t="s">
        <v>22</v>
      </c>
      <c r="L1673" t="s">
        <v>17</v>
      </c>
      <c r="M1673" t="str">
        <f>REPLACE(Transactions!M1673,1,4,"")</f>
        <v/>
      </c>
    </row>
    <row r="1674" spans="1:13" x14ac:dyDescent="0.2">
      <c r="A1674">
        <v>375131</v>
      </c>
      <c r="B1674" s="5">
        <v>44755</v>
      </c>
      <c r="C1674">
        <v>32924</v>
      </c>
      <c r="D1674" t="str">
        <f>PROPER(Transactions!D1674)</f>
        <v>Sports</v>
      </c>
      <c r="E1674" t="s">
        <v>83</v>
      </c>
      <c r="F1674" t="s">
        <v>84</v>
      </c>
      <c r="G1674">
        <v>2</v>
      </c>
      <c r="H1674">
        <v>16.989999999999998</v>
      </c>
      <c r="I1674" s="7">
        <f>IF(Transactions!I1674="",0,Transactions!I1674)</f>
        <v>0</v>
      </c>
      <c r="J1674" s="9">
        <f t="shared" si="26"/>
        <v>33.979999999999997</v>
      </c>
      <c r="K1674" t="s">
        <v>22</v>
      </c>
      <c r="L1674" t="s">
        <v>17</v>
      </c>
      <c r="M1674" t="str">
        <f>REPLACE(Transactions!M1674,1,4,"")</f>
        <v>10</v>
      </c>
    </row>
    <row r="1675" spans="1:13" x14ac:dyDescent="0.2">
      <c r="A1675">
        <v>375592</v>
      </c>
      <c r="B1675" s="5">
        <v>44667</v>
      </c>
      <c r="C1675">
        <v>42215</v>
      </c>
      <c r="D1675" t="str">
        <f>PROPER(Transactions!D1675)</f>
        <v>Sports</v>
      </c>
      <c r="E1675" t="s">
        <v>188</v>
      </c>
      <c r="F1675" t="s">
        <v>189</v>
      </c>
      <c r="G1675">
        <v>1</v>
      </c>
      <c r="H1675">
        <v>35.99</v>
      </c>
      <c r="I1675" s="7">
        <f>IF(Transactions!I1675="",0,Transactions!I1675)</f>
        <v>0.2</v>
      </c>
      <c r="J1675" s="9">
        <f t="shared" si="26"/>
        <v>28.792000000000002</v>
      </c>
      <c r="K1675" t="s">
        <v>22</v>
      </c>
      <c r="L1675" t="s">
        <v>37</v>
      </c>
      <c r="M1675" t="str">
        <f>REPLACE(Transactions!M1675,1,4,"")</f>
        <v>8</v>
      </c>
    </row>
    <row r="1676" spans="1:13" x14ac:dyDescent="0.2">
      <c r="A1676">
        <v>375632</v>
      </c>
      <c r="B1676" s="5">
        <v>44759</v>
      </c>
      <c r="C1676">
        <v>81213</v>
      </c>
      <c r="D1676" t="str">
        <f>PROPER(Transactions!D1676)</f>
        <v>Pharmacy</v>
      </c>
      <c r="E1676" t="s">
        <v>58</v>
      </c>
      <c r="F1676" t="s">
        <v>59</v>
      </c>
      <c r="G1676">
        <v>4</v>
      </c>
      <c r="H1676">
        <v>3.39</v>
      </c>
      <c r="I1676" s="7">
        <f>IF(Transactions!I1676="",0,Transactions!I1676)</f>
        <v>0.15</v>
      </c>
      <c r="J1676" s="9">
        <f t="shared" si="26"/>
        <v>11.526</v>
      </c>
      <c r="K1676" t="s">
        <v>36</v>
      </c>
      <c r="L1676" t="s">
        <v>17</v>
      </c>
      <c r="M1676" t="str">
        <f>REPLACE(Transactions!M1676,1,4,"")</f>
        <v>17</v>
      </c>
    </row>
    <row r="1677" spans="1:13" x14ac:dyDescent="0.2">
      <c r="A1677">
        <v>376115</v>
      </c>
      <c r="B1677" s="5">
        <v>45229</v>
      </c>
      <c r="C1677">
        <v>50097</v>
      </c>
      <c r="D1677" t="str">
        <f>PROPER(Transactions!D1677)</f>
        <v>Pharmacy</v>
      </c>
      <c r="E1677" t="s">
        <v>20</v>
      </c>
      <c r="F1677" t="s">
        <v>21</v>
      </c>
      <c r="G1677">
        <v>3</v>
      </c>
      <c r="H1677">
        <v>8.99</v>
      </c>
      <c r="I1677" s="7">
        <f>IF(Transactions!I1677="",0,Transactions!I1677)</f>
        <v>0.1</v>
      </c>
      <c r="J1677" s="9">
        <f t="shared" si="26"/>
        <v>24.273</v>
      </c>
      <c r="K1677" t="s">
        <v>36</v>
      </c>
      <c r="L1677" t="s">
        <v>37</v>
      </c>
      <c r="M1677" t="str">
        <f>REPLACE(Transactions!M1677,1,4,"")</f>
        <v>4</v>
      </c>
    </row>
    <row r="1678" spans="1:13" x14ac:dyDescent="0.2">
      <c r="A1678">
        <v>376216</v>
      </c>
      <c r="B1678" s="5">
        <v>45022</v>
      </c>
      <c r="C1678">
        <v>47437</v>
      </c>
      <c r="D1678" t="str">
        <f>PROPER(Transactions!D1678)</f>
        <v>Automotive</v>
      </c>
      <c r="E1678" t="s">
        <v>131</v>
      </c>
      <c r="F1678" t="s">
        <v>132</v>
      </c>
      <c r="G1678">
        <v>3</v>
      </c>
      <c r="H1678">
        <v>3.32</v>
      </c>
      <c r="I1678" s="7">
        <f>IF(Transactions!I1678="",0,Transactions!I1678)</f>
        <v>0</v>
      </c>
      <c r="J1678" s="9">
        <f t="shared" si="26"/>
        <v>9.9599999999999991</v>
      </c>
      <c r="K1678" t="s">
        <v>36</v>
      </c>
      <c r="L1678" t="s">
        <v>37</v>
      </c>
      <c r="M1678" t="str">
        <f>REPLACE(Transactions!M1678,1,4,"")</f>
        <v>5</v>
      </c>
    </row>
    <row r="1679" spans="1:13" x14ac:dyDescent="0.2">
      <c r="A1679">
        <v>376377</v>
      </c>
      <c r="B1679" s="5">
        <v>44812</v>
      </c>
      <c r="C1679">
        <v>40130</v>
      </c>
      <c r="D1679" t="str">
        <f>PROPER(Transactions!D1679)</f>
        <v>Electronics</v>
      </c>
      <c r="E1679" t="s">
        <v>159</v>
      </c>
      <c r="F1679" t="s">
        <v>160</v>
      </c>
      <c r="G1679">
        <v>2</v>
      </c>
      <c r="H1679">
        <v>50.99</v>
      </c>
      <c r="I1679" s="7">
        <f>IF(Transactions!I1679="",0,Transactions!I1679)</f>
        <v>0.15</v>
      </c>
      <c r="J1679" s="9">
        <f t="shared" si="26"/>
        <v>86.683000000000007</v>
      </c>
      <c r="K1679" t="s">
        <v>66</v>
      </c>
      <c r="L1679" t="s">
        <v>17</v>
      </c>
      <c r="M1679" t="str">
        <f>REPLACE(Transactions!M1679,1,4,"")</f>
        <v>6</v>
      </c>
    </row>
    <row r="1680" spans="1:13" x14ac:dyDescent="0.2">
      <c r="A1680">
        <v>376472</v>
      </c>
      <c r="B1680" s="5">
        <v>45026</v>
      </c>
      <c r="C1680">
        <v>33183</v>
      </c>
      <c r="D1680" t="str">
        <f>PROPER(Transactions!D1680)</f>
        <v>Electronics</v>
      </c>
      <c r="E1680" t="s">
        <v>79</v>
      </c>
      <c r="F1680" t="s">
        <v>80</v>
      </c>
      <c r="G1680">
        <v>1</v>
      </c>
      <c r="H1680">
        <v>89.99</v>
      </c>
      <c r="I1680" s="7">
        <f>IF(Transactions!I1680="",0,Transactions!I1680)</f>
        <v>0</v>
      </c>
      <c r="J1680" s="9">
        <f t="shared" si="26"/>
        <v>89.99</v>
      </c>
      <c r="K1680" t="s">
        <v>36</v>
      </c>
      <c r="L1680" t="s">
        <v>37</v>
      </c>
      <c r="M1680" t="str">
        <f>REPLACE(Transactions!M1680,1,4,"")</f>
        <v>14</v>
      </c>
    </row>
    <row r="1681" spans="1:13" x14ac:dyDescent="0.2">
      <c r="A1681">
        <v>376545</v>
      </c>
      <c r="B1681" s="5">
        <v>45102</v>
      </c>
      <c r="C1681">
        <v>54482</v>
      </c>
      <c r="D1681" t="str">
        <f>PROPER(Transactions!D1681)</f>
        <v>Furniture</v>
      </c>
      <c r="E1681" t="s">
        <v>60</v>
      </c>
      <c r="F1681" t="s">
        <v>61</v>
      </c>
      <c r="G1681">
        <v>1</v>
      </c>
      <c r="H1681">
        <v>41.24</v>
      </c>
      <c r="I1681" s="7">
        <f>IF(Transactions!I1681="",0,Transactions!I1681)</f>
        <v>0.25</v>
      </c>
      <c r="J1681" s="9">
        <f t="shared" si="26"/>
        <v>30.93</v>
      </c>
      <c r="K1681" t="s">
        <v>53</v>
      </c>
      <c r="L1681" t="s">
        <v>17</v>
      </c>
      <c r="M1681" t="str">
        <f>REPLACE(Transactions!M1681,1,4,"")</f>
        <v/>
      </c>
    </row>
    <row r="1682" spans="1:13" x14ac:dyDescent="0.2">
      <c r="A1682">
        <v>376859</v>
      </c>
      <c r="B1682" s="5">
        <v>44584</v>
      </c>
      <c r="C1682">
        <v>64526</v>
      </c>
      <c r="D1682" t="str">
        <f>PROPER(Transactions!D1682)</f>
        <v>Furniture</v>
      </c>
      <c r="E1682" t="s">
        <v>26</v>
      </c>
      <c r="F1682" t="s">
        <v>27</v>
      </c>
      <c r="G1682">
        <v>1</v>
      </c>
      <c r="H1682">
        <v>29.74</v>
      </c>
      <c r="I1682" s="7">
        <f>IF(Transactions!I1682="",0,Transactions!I1682)</f>
        <v>0.15</v>
      </c>
      <c r="J1682" s="9">
        <f t="shared" si="26"/>
        <v>25.278999999999996</v>
      </c>
      <c r="K1682" t="s">
        <v>22</v>
      </c>
      <c r="L1682" t="s">
        <v>17</v>
      </c>
      <c r="M1682" t="str">
        <f>REPLACE(Transactions!M1682,1,4,"")</f>
        <v>15</v>
      </c>
    </row>
    <row r="1683" spans="1:13" x14ac:dyDescent="0.2">
      <c r="A1683">
        <v>376891</v>
      </c>
      <c r="B1683" s="5">
        <v>45360</v>
      </c>
      <c r="C1683">
        <v>37444</v>
      </c>
      <c r="D1683" t="str">
        <f>PROPER(Transactions!D1683)</f>
        <v>Home &amp; Garden</v>
      </c>
      <c r="E1683" t="s">
        <v>157</v>
      </c>
      <c r="F1683" t="s">
        <v>158</v>
      </c>
      <c r="G1683">
        <v>4</v>
      </c>
      <c r="H1683">
        <v>10.79</v>
      </c>
      <c r="I1683" s="7">
        <f>IF(Transactions!I1683="",0,Transactions!I1683)</f>
        <v>0.2</v>
      </c>
      <c r="J1683" s="9">
        <f t="shared" si="26"/>
        <v>34.527999999999999</v>
      </c>
      <c r="K1683" t="s">
        <v>22</v>
      </c>
      <c r="L1683" t="s">
        <v>17</v>
      </c>
      <c r="M1683" t="str">
        <f>REPLACE(Transactions!M1683,1,4,"")</f>
        <v>6</v>
      </c>
    </row>
    <row r="1684" spans="1:13" x14ac:dyDescent="0.2">
      <c r="A1684">
        <v>377309</v>
      </c>
      <c r="B1684" s="5">
        <v>45132</v>
      </c>
      <c r="C1684">
        <v>61375</v>
      </c>
      <c r="D1684" t="str">
        <f>PROPER(Transactions!D1684)</f>
        <v>Electronics</v>
      </c>
      <c r="E1684" t="s">
        <v>77</v>
      </c>
      <c r="F1684" t="s">
        <v>78</v>
      </c>
      <c r="G1684">
        <v>2</v>
      </c>
      <c r="H1684">
        <v>499.99</v>
      </c>
      <c r="I1684" s="7">
        <f>IF(Transactions!I1684="",0,Transactions!I1684)</f>
        <v>0</v>
      </c>
      <c r="J1684" s="9">
        <f t="shared" si="26"/>
        <v>999.98</v>
      </c>
      <c r="K1684" t="s">
        <v>36</v>
      </c>
      <c r="L1684" t="s">
        <v>37</v>
      </c>
      <c r="M1684" t="str">
        <f>REPLACE(Transactions!M1684,1,4,"")</f>
        <v>13</v>
      </c>
    </row>
    <row r="1685" spans="1:13" x14ac:dyDescent="0.2">
      <c r="A1685">
        <v>377484</v>
      </c>
      <c r="B1685" s="5">
        <v>45249</v>
      </c>
      <c r="C1685">
        <v>82031</v>
      </c>
      <c r="D1685" t="str">
        <f>PROPER(Transactions!D1685)</f>
        <v>Pharmacy</v>
      </c>
      <c r="E1685" t="s">
        <v>58</v>
      </c>
      <c r="F1685" t="s">
        <v>59</v>
      </c>
      <c r="G1685">
        <v>2</v>
      </c>
      <c r="H1685">
        <v>3.99</v>
      </c>
      <c r="I1685" s="7">
        <f>IF(Transactions!I1685="",0,Transactions!I1685)</f>
        <v>0</v>
      </c>
      <c r="J1685" s="9">
        <f t="shared" si="26"/>
        <v>7.98</v>
      </c>
      <c r="K1685" t="s">
        <v>16</v>
      </c>
      <c r="L1685" t="s">
        <v>17</v>
      </c>
      <c r="M1685" t="str">
        <f>REPLACE(Transactions!M1685,1,4,"")</f>
        <v>12</v>
      </c>
    </row>
    <row r="1686" spans="1:13" x14ac:dyDescent="0.2">
      <c r="A1686">
        <v>377491</v>
      </c>
      <c r="B1686" s="5">
        <v>45388</v>
      </c>
      <c r="C1686">
        <v>37610</v>
      </c>
      <c r="D1686" t="str">
        <f>PROPER(Transactions!D1686)</f>
        <v>Sports</v>
      </c>
      <c r="E1686" t="s">
        <v>83</v>
      </c>
      <c r="F1686" t="s">
        <v>84</v>
      </c>
      <c r="G1686">
        <v>4</v>
      </c>
      <c r="H1686">
        <v>15.29</v>
      </c>
      <c r="I1686" s="7">
        <f>IF(Transactions!I1686="",0,Transactions!I1686)</f>
        <v>0.1</v>
      </c>
      <c r="J1686" s="9">
        <f t="shared" si="26"/>
        <v>55.043999999999997</v>
      </c>
      <c r="K1686" t="s">
        <v>95</v>
      </c>
      <c r="L1686" t="s">
        <v>23</v>
      </c>
      <c r="M1686" t="str">
        <f>REPLACE(Transactions!M1686,1,4,"")</f>
        <v>14</v>
      </c>
    </row>
    <row r="1687" spans="1:13" x14ac:dyDescent="0.2">
      <c r="A1687">
        <v>377695</v>
      </c>
      <c r="B1687" s="5">
        <v>45347</v>
      </c>
      <c r="C1687">
        <v>77069</v>
      </c>
      <c r="D1687" t="str">
        <f>PROPER(Transactions!D1687)</f>
        <v>Toys</v>
      </c>
      <c r="E1687" t="s">
        <v>175</v>
      </c>
      <c r="F1687" t="s">
        <v>176</v>
      </c>
      <c r="G1687">
        <v>1</v>
      </c>
      <c r="H1687">
        <v>8.39</v>
      </c>
      <c r="I1687" s="7">
        <f>IF(Transactions!I1687="",0,Transactions!I1687)</f>
        <v>0.3</v>
      </c>
      <c r="J1687" s="9">
        <f t="shared" si="26"/>
        <v>5.8730000000000002</v>
      </c>
      <c r="K1687" t="s">
        <v>16</v>
      </c>
      <c r="L1687" t="s">
        <v>17</v>
      </c>
      <c r="M1687" t="str">
        <f>REPLACE(Transactions!M1687,1,4,"")</f>
        <v>8</v>
      </c>
    </row>
    <row r="1688" spans="1:13" x14ac:dyDescent="0.2">
      <c r="A1688">
        <v>377835</v>
      </c>
      <c r="B1688" s="5">
        <v>45475</v>
      </c>
      <c r="C1688">
        <v>21239</v>
      </c>
      <c r="D1688" t="str">
        <f>PROPER(Transactions!D1688)</f>
        <v>Clothing</v>
      </c>
      <c r="E1688" t="s">
        <v>135</v>
      </c>
      <c r="F1688" t="s">
        <v>136</v>
      </c>
      <c r="G1688">
        <v>5</v>
      </c>
      <c r="H1688">
        <v>7.49</v>
      </c>
      <c r="I1688" s="7">
        <f>IF(Transactions!I1688="",0,Transactions!I1688)</f>
        <v>0.25</v>
      </c>
      <c r="J1688" s="9">
        <f t="shared" si="26"/>
        <v>28.087500000000002</v>
      </c>
      <c r="K1688" t="s">
        <v>22</v>
      </c>
      <c r="L1688" t="s">
        <v>37</v>
      </c>
      <c r="M1688" t="str">
        <f>REPLACE(Transactions!M1688,1,4,"")</f>
        <v>8</v>
      </c>
    </row>
    <row r="1689" spans="1:13" x14ac:dyDescent="0.2">
      <c r="A1689">
        <v>378112</v>
      </c>
      <c r="B1689" s="5">
        <v>44658</v>
      </c>
      <c r="C1689">
        <v>13262</v>
      </c>
      <c r="D1689" t="str">
        <f>PROPER(Transactions!D1689)</f>
        <v>Electronics</v>
      </c>
      <c r="E1689" t="s">
        <v>79</v>
      </c>
      <c r="F1689" t="s">
        <v>80</v>
      </c>
      <c r="G1689">
        <v>4</v>
      </c>
      <c r="H1689">
        <v>67.489999999999995</v>
      </c>
      <c r="I1689" s="7">
        <f>IF(Transactions!I1689="",0,Transactions!I1689)</f>
        <v>0.25</v>
      </c>
      <c r="J1689" s="9">
        <f t="shared" si="26"/>
        <v>202.46999999999997</v>
      </c>
      <c r="K1689" t="s">
        <v>36</v>
      </c>
      <c r="L1689" t="s">
        <v>23</v>
      </c>
      <c r="M1689" t="str">
        <f>REPLACE(Transactions!M1689,1,4,"")</f>
        <v>10</v>
      </c>
    </row>
    <row r="1690" spans="1:13" x14ac:dyDescent="0.2">
      <c r="A1690">
        <v>378431</v>
      </c>
      <c r="B1690" s="5">
        <v>44654</v>
      </c>
      <c r="C1690">
        <v>67243</v>
      </c>
      <c r="D1690" t="str">
        <f>PROPER(Transactions!D1690)</f>
        <v>Grocery</v>
      </c>
      <c r="E1690" t="s">
        <v>172</v>
      </c>
      <c r="F1690" t="s">
        <v>173</v>
      </c>
      <c r="G1690">
        <v>2</v>
      </c>
      <c r="H1690">
        <v>3.82</v>
      </c>
      <c r="I1690" s="7">
        <f>IF(Transactions!I1690="",0,Transactions!I1690)</f>
        <v>0.15</v>
      </c>
      <c r="J1690" s="9">
        <f t="shared" si="26"/>
        <v>6.4939999999999998</v>
      </c>
      <c r="K1690" t="s">
        <v>36</v>
      </c>
      <c r="L1690" t="s">
        <v>17</v>
      </c>
      <c r="M1690" t="str">
        <f>REPLACE(Transactions!M1690,1,4,"")</f>
        <v>9</v>
      </c>
    </row>
    <row r="1691" spans="1:13" x14ac:dyDescent="0.2">
      <c r="A1691">
        <v>378533</v>
      </c>
      <c r="B1691" s="5">
        <v>45095</v>
      </c>
      <c r="C1691">
        <v>14285</v>
      </c>
      <c r="D1691" t="str">
        <f>PROPER(Transactions!D1691)</f>
        <v>Pharmacy</v>
      </c>
      <c r="E1691" t="s">
        <v>41</v>
      </c>
      <c r="F1691" t="s">
        <v>42</v>
      </c>
      <c r="G1691">
        <v>2</v>
      </c>
      <c r="H1691">
        <v>5.09</v>
      </c>
      <c r="I1691" s="7">
        <f>IF(Transactions!I1691="",0,Transactions!I1691)</f>
        <v>0.15</v>
      </c>
      <c r="J1691" s="9">
        <f t="shared" si="26"/>
        <v>8.6529999999999987</v>
      </c>
      <c r="K1691" t="s">
        <v>53</v>
      </c>
      <c r="L1691" t="s">
        <v>17</v>
      </c>
      <c r="M1691" t="str">
        <f>REPLACE(Transactions!M1691,1,4,"")</f>
        <v>15</v>
      </c>
    </row>
    <row r="1692" spans="1:13" x14ac:dyDescent="0.2">
      <c r="A1692">
        <v>378546</v>
      </c>
      <c r="B1692" s="5">
        <v>44785</v>
      </c>
      <c r="C1692">
        <v>40273</v>
      </c>
      <c r="D1692" t="str">
        <f>PROPER(Transactions!D1692)</f>
        <v>Beauty</v>
      </c>
      <c r="E1692" t="s">
        <v>179</v>
      </c>
      <c r="F1692" t="s">
        <v>180</v>
      </c>
      <c r="G1692">
        <v>2</v>
      </c>
      <c r="H1692">
        <v>10.79</v>
      </c>
      <c r="I1692" s="7">
        <f>IF(Transactions!I1692="",0,Transactions!I1692)</f>
        <v>0.1</v>
      </c>
      <c r="J1692" s="9">
        <f t="shared" si="26"/>
        <v>19.422000000000001</v>
      </c>
      <c r="K1692" t="s">
        <v>16</v>
      </c>
      <c r="L1692" t="s">
        <v>17</v>
      </c>
      <c r="M1692" t="str">
        <f>REPLACE(Transactions!M1692,1,4,"")</f>
        <v/>
      </c>
    </row>
    <row r="1693" spans="1:13" x14ac:dyDescent="0.2">
      <c r="A1693">
        <v>378886</v>
      </c>
      <c r="B1693" s="5">
        <v>45599</v>
      </c>
      <c r="C1693">
        <v>94449</v>
      </c>
      <c r="D1693" t="str">
        <f>PROPER(Transactions!D1693)</f>
        <v>Furniture</v>
      </c>
      <c r="E1693" t="s">
        <v>60</v>
      </c>
      <c r="F1693" t="s">
        <v>61</v>
      </c>
      <c r="G1693">
        <v>2</v>
      </c>
      <c r="H1693">
        <v>54.99</v>
      </c>
      <c r="I1693" s="7">
        <f>IF(Transactions!I1693="",0,Transactions!I1693)</f>
        <v>0</v>
      </c>
      <c r="J1693" s="9">
        <f t="shared" si="26"/>
        <v>109.98</v>
      </c>
      <c r="K1693" t="s">
        <v>95</v>
      </c>
      <c r="L1693" t="s">
        <v>37</v>
      </c>
      <c r="M1693" t="str">
        <f>REPLACE(Transactions!M1693,1,4,"")</f>
        <v>14</v>
      </c>
    </row>
    <row r="1694" spans="1:13" x14ac:dyDescent="0.2">
      <c r="A1694">
        <v>378925</v>
      </c>
      <c r="B1694" s="5">
        <v>44600</v>
      </c>
      <c r="C1694">
        <v>53297</v>
      </c>
      <c r="D1694" t="str">
        <f>PROPER(Transactions!D1694)</f>
        <v>Grocery</v>
      </c>
      <c r="E1694" t="s">
        <v>190</v>
      </c>
      <c r="F1694" t="s">
        <v>191</v>
      </c>
      <c r="G1694">
        <v>1</v>
      </c>
      <c r="H1694">
        <v>4.29</v>
      </c>
      <c r="I1694" s="7">
        <f>IF(Transactions!I1694="",0,Transactions!I1694)</f>
        <v>0</v>
      </c>
      <c r="J1694" s="9">
        <f t="shared" si="26"/>
        <v>4.29</v>
      </c>
      <c r="K1694" t="s">
        <v>16</v>
      </c>
      <c r="L1694" t="s">
        <v>17</v>
      </c>
      <c r="M1694" t="str">
        <f>REPLACE(Transactions!M1694,1,4,"")</f>
        <v>9</v>
      </c>
    </row>
    <row r="1695" spans="1:13" x14ac:dyDescent="0.2">
      <c r="A1695">
        <v>379026</v>
      </c>
      <c r="B1695" s="5">
        <v>45646</v>
      </c>
      <c r="C1695">
        <v>83206</v>
      </c>
      <c r="D1695" t="str">
        <f>PROPER(Transactions!D1695)</f>
        <v>Automotive</v>
      </c>
      <c r="E1695" t="s">
        <v>131</v>
      </c>
      <c r="F1695" t="s">
        <v>132</v>
      </c>
      <c r="G1695">
        <v>1</v>
      </c>
      <c r="H1695">
        <v>2.44</v>
      </c>
      <c r="I1695" s="7">
        <f>IF(Transactions!I1695="",0,Transactions!I1695)</f>
        <v>0.3</v>
      </c>
      <c r="J1695" s="9">
        <f t="shared" si="26"/>
        <v>1.708</v>
      </c>
      <c r="K1695" t="s">
        <v>66</v>
      </c>
      <c r="L1695" t="s">
        <v>37</v>
      </c>
      <c r="M1695" t="str">
        <f>REPLACE(Transactions!M1695,1,4,"")</f>
        <v>13</v>
      </c>
    </row>
    <row r="1696" spans="1:13" x14ac:dyDescent="0.2">
      <c r="A1696">
        <v>379083</v>
      </c>
      <c r="B1696" s="5">
        <v>45226</v>
      </c>
      <c r="C1696">
        <v>85399</v>
      </c>
      <c r="D1696" t="str">
        <f>PROPER(Transactions!D1696)</f>
        <v>Grocery</v>
      </c>
      <c r="E1696" t="s">
        <v>107</v>
      </c>
      <c r="F1696" t="s">
        <v>108</v>
      </c>
      <c r="G1696">
        <v>3</v>
      </c>
      <c r="H1696">
        <v>3.49</v>
      </c>
      <c r="I1696" s="7">
        <f>IF(Transactions!I1696="",0,Transactions!I1696)</f>
        <v>0</v>
      </c>
      <c r="J1696" s="9">
        <f t="shared" si="26"/>
        <v>10.47</v>
      </c>
      <c r="K1696" t="s">
        <v>36</v>
      </c>
      <c r="L1696" t="s">
        <v>17</v>
      </c>
      <c r="M1696" t="str">
        <f>REPLACE(Transactions!M1696,1,4,"")</f>
        <v>17</v>
      </c>
    </row>
    <row r="1697" spans="1:13" x14ac:dyDescent="0.2">
      <c r="A1697">
        <v>379516</v>
      </c>
      <c r="B1697" s="5">
        <v>44896</v>
      </c>
      <c r="C1697">
        <v>46495</v>
      </c>
      <c r="D1697" t="str">
        <f>PROPER(Transactions!D1697)</f>
        <v>Clothing</v>
      </c>
      <c r="E1697" t="s">
        <v>141</v>
      </c>
      <c r="F1697" t="s">
        <v>142</v>
      </c>
      <c r="G1697">
        <v>3</v>
      </c>
      <c r="H1697">
        <v>21.84</v>
      </c>
      <c r="I1697" s="7">
        <f>IF(Transactions!I1697="",0,Transactions!I1697)</f>
        <v>0.05</v>
      </c>
      <c r="J1697" s="9">
        <f t="shared" si="26"/>
        <v>62.243999999999993</v>
      </c>
      <c r="K1697" t="s">
        <v>22</v>
      </c>
      <c r="L1697" t="s">
        <v>17</v>
      </c>
      <c r="M1697" t="str">
        <f>REPLACE(Transactions!M1697,1,4,"")</f>
        <v>19</v>
      </c>
    </row>
    <row r="1698" spans="1:13" x14ac:dyDescent="0.2">
      <c r="A1698">
        <v>379664</v>
      </c>
      <c r="B1698" s="5">
        <v>44620</v>
      </c>
      <c r="C1698">
        <v>56994</v>
      </c>
      <c r="D1698" t="str">
        <f>PROPER(Transactions!D1698)</f>
        <v>Pharmacy</v>
      </c>
      <c r="E1698" t="s">
        <v>58</v>
      </c>
      <c r="F1698" t="s">
        <v>59</v>
      </c>
      <c r="G1698">
        <v>1</v>
      </c>
      <c r="H1698">
        <v>3.79</v>
      </c>
      <c r="I1698" s="7">
        <f>IF(Transactions!I1698="",0,Transactions!I1698)</f>
        <v>0.05</v>
      </c>
      <c r="J1698" s="9">
        <f t="shared" si="26"/>
        <v>3.6004999999999998</v>
      </c>
      <c r="K1698" t="s">
        <v>36</v>
      </c>
      <c r="L1698" t="s">
        <v>23</v>
      </c>
      <c r="M1698" t="str">
        <f>REPLACE(Transactions!M1698,1,4,"")</f>
        <v>14</v>
      </c>
    </row>
    <row r="1699" spans="1:13" x14ac:dyDescent="0.2">
      <c r="A1699">
        <v>379702</v>
      </c>
      <c r="B1699" s="5">
        <v>44747</v>
      </c>
      <c r="C1699">
        <v>82977</v>
      </c>
      <c r="D1699" t="str">
        <f>PROPER(Transactions!D1699)</f>
        <v>Grocery</v>
      </c>
      <c r="E1699" t="s">
        <v>74</v>
      </c>
      <c r="F1699" t="s">
        <v>75</v>
      </c>
      <c r="G1699">
        <v>2</v>
      </c>
      <c r="H1699">
        <v>2.99</v>
      </c>
      <c r="I1699" s="7">
        <f>IF(Transactions!I1699="",0,Transactions!I1699)</f>
        <v>0</v>
      </c>
      <c r="J1699" s="9">
        <f t="shared" si="26"/>
        <v>5.98</v>
      </c>
      <c r="K1699" t="s">
        <v>16</v>
      </c>
      <c r="L1699" t="s">
        <v>37</v>
      </c>
      <c r="M1699" t="str">
        <f>REPLACE(Transactions!M1699,1,4,"")</f>
        <v>9</v>
      </c>
    </row>
    <row r="1700" spans="1:13" x14ac:dyDescent="0.2">
      <c r="A1700">
        <v>379855</v>
      </c>
      <c r="B1700" s="5">
        <v>45496</v>
      </c>
      <c r="C1700">
        <v>64688</v>
      </c>
      <c r="D1700" t="str">
        <f>PROPER(Transactions!D1700)</f>
        <v>Clothing</v>
      </c>
      <c r="E1700" t="s">
        <v>98</v>
      </c>
      <c r="F1700" t="s">
        <v>99</v>
      </c>
      <c r="G1700">
        <v>2</v>
      </c>
      <c r="H1700">
        <v>23.79</v>
      </c>
      <c r="I1700" s="7">
        <f>IF(Transactions!I1700="",0,Transactions!I1700)</f>
        <v>0.15</v>
      </c>
      <c r="J1700" s="9">
        <f t="shared" si="26"/>
        <v>40.442999999999998</v>
      </c>
      <c r="K1700" t="s">
        <v>36</v>
      </c>
      <c r="L1700" t="s">
        <v>17</v>
      </c>
      <c r="M1700" t="str">
        <f>REPLACE(Transactions!M1700,1,4,"")</f>
        <v>15</v>
      </c>
    </row>
    <row r="1701" spans="1:13" x14ac:dyDescent="0.2">
      <c r="A1701">
        <v>380042</v>
      </c>
      <c r="B1701" s="5">
        <v>44763</v>
      </c>
      <c r="C1701">
        <v>82253</v>
      </c>
      <c r="D1701" t="str">
        <f>PROPER(Transactions!D1701)</f>
        <v>Automotive</v>
      </c>
      <c r="E1701" t="s">
        <v>111</v>
      </c>
      <c r="F1701" t="s">
        <v>112</v>
      </c>
      <c r="G1701">
        <v>2</v>
      </c>
      <c r="H1701">
        <v>14.99</v>
      </c>
      <c r="I1701" s="7">
        <f>IF(Transactions!I1701="",0,Transactions!I1701)</f>
        <v>0</v>
      </c>
      <c r="J1701" s="9">
        <f t="shared" si="26"/>
        <v>29.98</v>
      </c>
      <c r="K1701" t="s">
        <v>22</v>
      </c>
      <c r="L1701" t="s">
        <v>37</v>
      </c>
      <c r="M1701" t="str">
        <f>REPLACE(Transactions!M1701,1,4,"")</f>
        <v>19</v>
      </c>
    </row>
    <row r="1702" spans="1:13" x14ac:dyDescent="0.2">
      <c r="A1702">
        <v>380248</v>
      </c>
      <c r="B1702" s="5">
        <v>44707</v>
      </c>
      <c r="C1702">
        <v>23695</v>
      </c>
      <c r="D1702" t="str">
        <f>PROPER(Transactions!D1702)</f>
        <v>Toys</v>
      </c>
      <c r="E1702" t="s">
        <v>38</v>
      </c>
      <c r="F1702" t="s">
        <v>39</v>
      </c>
      <c r="G1702">
        <v>2</v>
      </c>
      <c r="H1702">
        <v>26.99</v>
      </c>
      <c r="I1702" s="7">
        <f>IF(Transactions!I1702="",0,Transactions!I1702)</f>
        <v>0.1</v>
      </c>
      <c r="J1702" s="9">
        <f t="shared" si="26"/>
        <v>48.582000000000001</v>
      </c>
      <c r="K1702" t="s">
        <v>36</v>
      </c>
      <c r="L1702" t="s">
        <v>17</v>
      </c>
      <c r="M1702" t="str">
        <f>REPLACE(Transactions!M1702,1,4,"")</f>
        <v>20</v>
      </c>
    </row>
    <row r="1703" spans="1:13" x14ac:dyDescent="0.2">
      <c r="A1703">
        <v>380428</v>
      </c>
      <c r="B1703" s="5">
        <v>45603</v>
      </c>
      <c r="C1703">
        <v>30354</v>
      </c>
      <c r="D1703" t="str">
        <f>PROPER(Transactions!D1703)</f>
        <v>Furniture</v>
      </c>
      <c r="E1703" t="s">
        <v>51</v>
      </c>
      <c r="F1703" t="s">
        <v>52</v>
      </c>
      <c r="G1703">
        <v>1</v>
      </c>
      <c r="H1703">
        <v>19.59</v>
      </c>
      <c r="I1703" s="7">
        <f>IF(Transactions!I1703="",0,Transactions!I1703)</f>
        <v>0.3</v>
      </c>
      <c r="J1703" s="9">
        <f t="shared" si="26"/>
        <v>13.712999999999999</v>
      </c>
      <c r="K1703" t="s">
        <v>36</v>
      </c>
      <c r="L1703" t="s">
        <v>17</v>
      </c>
      <c r="M1703" t="str">
        <f>REPLACE(Transactions!M1703,1,4,"")</f>
        <v>4</v>
      </c>
    </row>
    <row r="1704" spans="1:13" x14ac:dyDescent="0.2">
      <c r="A1704">
        <v>380632</v>
      </c>
      <c r="B1704" s="5">
        <v>45254</v>
      </c>
      <c r="C1704">
        <v>40151</v>
      </c>
      <c r="D1704" t="str">
        <f>PROPER(Transactions!D1704)</f>
        <v>Automotive</v>
      </c>
      <c r="E1704" t="s">
        <v>68</v>
      </c>
      <c r="F1704" t="s">
        <v>69</v>
      </c>
      <c r="G1704">
        <v>2</v>
      </c>
      <c r="H1704">
        <v>23.74</v>
      </c>
      <c r="I1704" s="7">
        <f>IF(Transactions!I1704="",0,Transactions!I1704)</f>
        <v>0.05</v>
      </c>
      <c r="J1704" s="9">
        <f t="shared" si="26"/>
        <v>45.105999999999995</v>
      </c>
      <c r="K1704" t="s">
        <v>95</v>
      </c>
      <c r="L1704" t="s">
        <v>37</v>
      </c>
      <c r="M1704" t="str">
        <f>REPLACE(Transactions!M1704,1,4,"")</f>
        <v>15</v>
      </c>
    </row>
    <row r="1705" spans="1:13" x14ac:dyDescent="0.2">
      <c r="A1705">
        <v>380641</v>
      </c>
      <c r="B1705" s="5">
        <v>45080</v>
      </c>
      <c r="C1705">
        <v>91117</v>
      </c>
      <c r="D1705" t="str">
        <f>PROPER(Transactions!D1705)</f>
        <v>Pharmacy</v>
      </c>
      <c r="E1705" t="s">
        <v>41</v>
      </c>
      <c r="F1705" t="s">
        <v>42</v>
      </c>
      <c r="G1705">
        <v>1</v>
      </c>
      <c r="H1705">
        <v>5.99</v>
      </c>
      <c r="I1705" s="7">
        <f>IF(Transactions!I1705="",0,Transactions!I1705)</f>
        <v>0</v>
      </c>
      <c r="J1705" s="9">
        <f t="shared" si="26"/>
        <v>5.99</v>
      </c>
      <c r="K1705" t="s">
        <v>16</v>
      </c>
      <c r="L1705" t="s">
        <v>17</v>
      </c>
      <c r="M1705" t="str">
        <f>REPLACE(Transactions!M1705,1,4,"")</f>
        <v>8</v>
      </c>
    </row>
    <row r="1706" spans="1:13" x14ac:dyDescent="0.2">
      <c r="A1706">
        <v>381003</v>
      </c>
      <c r="B1706" s="5">
        <v>45089</v>
      </c>
      <c r="C1706">
        <v>28870</v>
      </c>
      <c r="D1706" t="str">
        <f>PROPER(Transactions!D1706)</f>
        <v>Pharmacy</v>
      </c>
      <c r="E1706" t="s">
        <v>197</v>
      </c>
      <c r="F1706" t="s">
        <v>198</v>
      </c>
      <c r="G1706">
        <v>5</v>
      </c>
      <c r="H1706">
        <v>14.99</v>
      </c>
      <c r="I1706" s="7">
        <f>IF(Transactions!I1706="",0,Transactions!I1706)</f>
        <v>0</v>
      </c>
      <c r="J1706" s="9">
        <f t="shared" si="26"/>
        <v>74.95</v>
      </c>
      <c r="K1706" t="s">
        <v>95</v>
      </c>
      <c r="L1706" t="s">
        <v>17</v>
      </c>
      <c r="M1706" t="str">
        <f>REPLACE(Transactions!M1706,1,4,"")</f>
        <v>19</v>
      </c>
    </row>
    <row r="1707" spans="1:13" x14ac:dyDescent="0.2">
      <c r="A1707">
        <v>381085</v>
      </c>
      <c r="B1707" s="5">
        <v>45225</v>
      </c>
      <c r="C1707">
        <v>95725</v>
      </c>
      <c r="D1707" t="str">
        <f>PROPER(Transactions!D1707)</f>
        <v>Toys</v>
      </c>
      <c r="E1707" t="s">
        <v>38</v>
      </c>
      <c r="F1707" t="s">
        <v>39</v>
      </c>
      <c r="G1707">
        <v>5</v>
      </c>
      <c r="H1707">
        <v>20.99</v>
      </c>
      <c r="I1707" s="7">
        <f>IF(Transactions!I1707="",0,Transactions!I1707)</f>
        <v>0.3</v>
      </c>
      <c r="J1707" s="9">
        <f t="shared" si="26"/>
        <v>73.464999999999989</v>
      </c>
      <c r="K1707" t="s">
        <v>32</v>
      </c>
      <c r="L1707" t="s">
        <v>17</v>
      </c>
      <c r="M1707" t="str">
        <f>REPLACE(Transactions!M1707,1,4,"")</f>
        <v>18</v>
      </c>
    </row>
    <row r="1708" spans="1:13" x14ac:dyDescent="0.2">
      <c r="A1708">
        <v>381291</v>
      </c>
      <c r="B1708" s="5">
        <v>45527</v>
      </c>
      <c r="C1708">
        <v>41860</v>
      </c>
      <c r="D1708" t="str">
        <f>PROPER(Transactions!D1708)</f>
        <v>Furniture</v>
      </c>
      <c r="E1708" t="s">
        <v>113</v>
      </c>
      <c r="F1708" t="s">
        <v>114</v>
      </c>
      <c r="G1708">
        <v>1</v>
      </c>
      <c r="H1708">
        <v>89.99</v>
      </c>
      <c r="I1708" s="7">
        <f>IF(Transactions!I1708="",0,Transactions!I1708)</f>
        <v>0.25</v>
      </c>
      <c r="J1708" s="9">
        <f t="shared" si="26"/>
        <v>67.492499999999993</v>
      </c>
      <c r="K1708" t="s">
        <v>36</v>
      </c>
      <c r="L1708" t="s">
        <v>17</v>
      </c>
      <c r="M1708" t="str">
        <f>REPLACE(Transactions!M1708,1,4,"")</f>
        <v>9</v>
      </c>
    </row>
    <row r="1709" spans="1:13" x14ac:dyDescent="0.2">
      <c r="A1709">
        <v>381328</v>
      </c>
      <c r="B1709" s="5">
        <v>45154</v>
      </c>
      <c r="C1709">
        <v>57622</v>
      </c>
      <c r="D1709" t="str">
        <f>PROPER(Transactions!D1709)</f>
        <v>Furniture</v>
      </c>
      <c r="E1709" t="s">
        <v>113</v>
      </c>
      <c r="F1709" t="s">
        <v>114</v>
      </c>
      <c r="G1709">
        <v>1</v>
      </c>
      <c r="H1709">
        <v>107.99</v>
      </c>
      <c r="I1709" s="7">
        <f>IF(Transactions!I1709="",0,Transactions!I1709)</f>
        <v>0.1</v>
      </c>
      <c r="J1709" s="9">
        <f t="shared" si="26"/>
        <v>97.191000000000003</v>
      </c>
      <c r="K1709" t="s">
        <v>66</v>
      </c>
      <c r="L1709" t="s">
        <v>17</v>
      </c>
      <c r="M1709" t="str">
        <f>REPLACE(Transactions!M1709,1,4,"")</f>
        <v>4</v>
      </c>
    </row>
    <row r="1710" spans="1:13" x14ac:dyDescent="0.2">
      <c r="A1710">
        <v>381393</v>
      </c>
      <c r="B1710" s="5">
        <v>45130</v>
      </c>
      <c r="C1710">
        <v>44399</v>
      </c>
      <c r="D1710" t="str">
        <f>PROPER(Transactions!D1710)</f>
        <v>Home &amp; Garden</v>
      </c>
      <c r="E1710" t="s">
        <v>129</v>
      </c>
      <c r="F1710" t="s">
        <v>130</v>
      </c>
      <c r="G1710">
        <v>3</v>
      </c>
      <c r="H1710">
        <v>8.09</v>
      </c>
      <c r="I1710" s="7">
        <f>IF(Transactions!I1710="",0,Transactions!I1710)</f>
        <v>0.1</v>
      </c>
      <c r="J1710" s="9">
        <f t="shared" si="26"/>
        <v>21.843</v>
      </c>
      <c r="K1710" t="s">
        <v>32</v>
      </c>
      <c r="L1710" t="s">
        <v>17</v>
      </c>
      <c r="M1710" t="str">
        <f>REPLACE(Transactions!M1710,1,4,"")</f>
        <v>15</v>
      </c>
    </row>
    <row r="1711" spans="1:13" x14ac:dyDescent="0.2">
      <c r="A1711">
        <v>381444</v>
      </c>
      <c r="B1711" s="5">
        <v>45593</v>
      </c>
      <c r="C1711">
        <v>25624</v>
      </c>
      <c r="D1711" t="str">
        <f>PROPER(Transactions!D1711)</f>
        <v>Furniture</v>
      </c>
      <c r="E1711" t="s">
        <v>60</v>
      </c>
      <c r="F1711" t="s">
        <v>61</v>
      </c>
      <c r="G1711">
        <v>1</v>
      </c>
      <c r="H1711">
        <v>46.74</v>
      </c>
      <c r="I1711" s="7">
        <f>IF(Transactions!I1711="",0,Transactions!I1711)</f>
        <v>0.15</v>
      </c>
      <c r="J1711" s="9">
        <f t="shared" si="26"/>
        <v>39.728999999999999</v>
      </c>
      <c r="K1711" t="s">
        <v>36</v>
      </c>
      <c r="L1711" t="s">
        <v>23</v>
      </c>
      <c r="M1711" t="str">
        <f>REPLACE(Transactions!M1711,1,4,"")</f>
        <v>6</v>
      </c>
    </row>
    <row r="1712" spans="1:13" x14ac:dyDescent="0.2">
      <c r="A1712">
        <v>381739</v>
      </c>
      <c r="B1712" s="5">
        <v>45628</v>
      </c>
      <c r="C1712">
        <v>70322</v>
      </c>
      <c r="D1712" t="str">
        <f>PROPER(Transactions!D1712)</f>
        <v>Electronics</v>
      </c>
      <c r="E1712" t="s">
        <v>186</v>
      </c>
      <c r="F1712" t="s">
        <v>187</v>
      </c>
      <c r="G1712">
        <v>2</v>
      </c>
      <c r="H1712">
        <v>49.99</v>
      </c>
      <c r="I1712" s="7">
        <f>IF(Transactions!I1712="",0,Transactions!I1712)</f>
        <v>0</v>
      </c>
      <c r="J1712" s="9">
        <f t="shared" si="26"/>
        <v>99.98</v>
      </c>
      <c r="K1712" t="s">
        <v>36</v>
      </c>
      <c r="L1712" t="s">
        <v>17</v>
      </c>
      <c r="M1712" t="str">
        <f>REPLACE(Transactions!M1712,1,4,"")</f>
        <v>12</v>
      </c>
    </row>
    <row r="1713" spans="1:13" x14ac:dyDescent="0.2">
      <c r="A1713">
        <v>381888</v>
      </c>
      <c r="B1713" s="5">
        <v>44657</v>
      </c>
      <c r="C1713">
        <v>44062</v>
      </c>
      <c r="D1713" t="str">
        <f>PROPER(Transactions!D1713)</f>
        <v>Furniture</v>
      </c>
      <c r="E1713" t="s">
        <v>60</v>
      </c>
      <c r="F1713" t="s">
        <v>61</v>
      </c>
      <c r="G1713">
        <v>3</v>
      </c>
      <c r="H1713">
        <v>43.99</v>
      </c>
      <c r="I1713" s="7">
        <f>IF(Transactions!I1713="",0,Transactions!I1713)</f>
        <v>0.2</v>
      </c>
      <c r="J1713" s="9">
        <f t="shared" si="26"/>
        <v>105.57600000000001</v>
      </c>
      <c r="K1713" t="s">
        <v>36</v>
      </c>
      <c r="L1713" t="s">
        <v>37</v>
      </c>
      <c r="M1713" t="str">
        <f>REPLACE(Transactions!M1713,1,4,"")</f>
        <v>2</v>
      </c>
    </row>
    <row r="1714" spans="1:13" x14ac:dyDescent="0.2">
      <c r="A1714">
        <v>381911</v>
      </c>
      <c r="B1714" s="5">
        <v>45391</v>
      </c>
      <c r="C1714">
        <v>30667</v>
      </c>
      <c r="D1714" t="str">
        <f>PROPER(Transactions!D1714)</f>
        <v>Toys</v>
      </c>
      <c r="E1714" t="s">
        <v>72</v>
      </c>
      <c r="F1714" t="s">
        <v>73</v>
      </c>
      <c r="G1714">
        <v>1</v>
      </c>
      <c r="H1714">
        <v>39.99</v>
      </c>
      <c r="I1714" s="7">
        <f>IF(Transactions!I1714="",0,Transactions!I1714)</f>
        <v>0</v>
      </c>
      <c r="J1714" s="9">
        <f t="shared" si="26"/>
        <v>39.99</v>
      </c>
      <c r="K1714" t="s">
        <v>36</v>
      </c>
      <c r="L1714" t="s">
        <v>17</v>
      </c>
      <c r="M1714" t="str">
        <f>REPLACE(Transactions!M1714,1,4,"")</f>
        <v/>
      </c>
    </row>
    <row r="1715" spans="1:13" x14ac:dyDescent="0.2">
      <c r="A1715">
        <v>381928</v>
      </c>
      <c r="B1715" s="5">
        <v>44844</v>
      </c>
      <c r="D1715" t="str">
        <f>PROPER(Transactions!D1715)</f>
        <v>Home &amp; Garden</v>
      </c>
      <c r="E1715" t="s">
        <v>86</v>
      </c>
      <c r="F1715" t="s">
        <v>87</v>
      </c>
      <c r="G1715">
        <v>1</v>
      </c>
      <c r="H1715">
        <v>11.69</v>
      </c>
      <c r="I1715" s="7">
        <f>IF(Transactions!I1715="",0,Transactions!I1715)</f>
        <v>0.1</v>
      </c>
      <c r="J1715" s="9">
        <f t="shared" si="26"/>
        <v>10.520999999999999</v>
      </c>
      <c r="K1715" t="s">
        <v>66</v>
      </c>
      <c r="L1715" t="s">
        <v>37</v>
      </c>
      <c r="M1715" t="str">
        <f>REPLACE(Transactions!M1715,1,4,"")</f>
        <v>6</v>
      </c>
    </row>
    <row r="1716" spans="1:13" x14ac:dyDescent="0.2">
      <c r="A1716">
        <v>382110</v>
      </c>
      <c r="B1716" s="5">
        <v>45526</v>
      </c>
      <c r="C1716">
        <v>58625</v>
      </c>
      <c r="D1716" t="str">
        <f>PROPER(Transactions!D1716)</f>
        <v>Home &amp; Garden</v>
      </c>
      <c r="E1716" t="s">
        <v>157</v>
      </c>
      <c r="F1716" t="s">
        <v>158</v>
      </c>
      <c r="G1716">
        <v>4</v>
      </c>
      <c r="H1716">
        <v>10.119999999999999</v>
      </c>
      <c r="I1716" s="7">
        <f>IF(Transactions!I1716="",0,Transactions!I1716)</f>
        <v>0.25</v>
      </c>
      <c r="J1716" s="9">
        <f t="shared" si="26"/>
        <v>30.36</v>
      </c>
      <c r="K1716" t="s">
        <v>36</v>
      </c>
      <c r="L1716" t="s">
        <v>17</v>
      </c>
      <c r="M1716" t="str">
        <f>REPLACE(Transactions!M1716,1,4,"")</f>
        <v>4</v>
      </c>
    </row>
    <row r="1717" spans="1:13" x14ac:dyDescent="0.2">
      <c r="A1717">
        <v>382127</v>
      </c>
      <c r="B1717" s="5">
        <v>45637</v>
      </c>
      <c r="C1717">
        <v>78553</v>
      </c>
      <c r="D1717" t="str">
        <f>PROPER(Transactions!D1717)</f>
        <v>Pharmacy</v>
      </c>
      <c r="E1717" t="s">
        <v>115</v>
      </c>
      <c r="F1717" t="s">
        <v>116</v>
      </c>
      <c r="G1717">
        <v>2</v>
      </c>
      <c r="H1717">
        <v>9.74</v>
      </c>
      <c r="I1717" s="7">
        <f>IF(Transactions!I1717="",0,Transactions!I1717)</f>
        <v>0</v>
      </c>
      <c r="J1717" s="9">
        <f t="shared" si="26"/>
        <v>19.48</v>
      </c>
      <c r="K1717" t="s">
        <v>53</v>
      </c>
      <c r="L1717" t="s">
        <v>17</v>
      </c>
      <c r="M1717" t="str">
        <f>REPLACE(Transactions!M1717,1,4,"")</f>
        <v/>
      </c>
    </row>
    <row r="1718" spans="1:13" x14ac:dyDescent="0.2">
      <c r="A1718">
        <v>382253</v>
      </c>
      <c r="B1718" s="5">
        <v>45025</v>
      </c>
      <c r="C1718">
        <v>19428</v>
      </c>
      <c r="D1718" t="str">
        <f>PROPER(Transactions!D1718)</f>
        <v>Beauty</v>
      </c>
      <c r="E1718" t="s">
        <v>179</v>
      </c>
      <c r="F1718" t="s">
        <v>180</v>
      </c>
      <c r="G1718">
        <v>2</v>
      </c>
      <c r="H1718">
        <v>11.39</v>
      </c>
      <c r="I1718" s="7">
        <f>IF(Transactions!I1718="",0,Transactions!I1718)</f>
        <v>0.05</v>
      </c>
      <c r="J1718" s="9">
        <f t="shared" si="26"/>
        <v>21.641000000000002</v>
      </c>
      <c r="K1718" t="s">
        <v>16</v>
      </c>
      <c r="L1718" t="s">
        <v>37</v>
      </c>
      <c r="M1718" t="str">
        <f>REPLACE(Transactions!M1718,1,4,"")</f>
        <v>11</v>
      </c>
    </row>
    <row r="1719" spans="1:13" x14ac:dyDescent="0.2">
      <c r="A1719">
        <v>382400</v>
      </c>
      <c r="B1719" s="5">
        <v>45504</v>
      </c>
      <c r="C1719">
        <v>96005</v>
      </c>
      <c r="D1719" t="str">
        <f>PROPER(Transactions!D1719)</f>
        <v>Grocery</v>
      </c>
      <c r="E1719" t="s">
        <v>184</v>
      </c>
      <c r="F1719" t="s">
        <v>185</v>
      </c>
      <c r="G1719">
        <v>2</v>
      </c>
      <c r="H1719">
        <v>4.12</v>
      </c>
      <c r="I1719" s="7">
        <f>IF(Transactions!I1719="",0,Transactions!I1719)</f>
        <v>0.25</v>
      </c>
      <c r="J1719" s="9">
        <f t="shared" si="26"/>
        <v>6.18</v>
      </c>
      <c r="K1719" t="s">
        <v>95</v>
      </c>
      <c r="L1719" t="s">
        <v>17</v>
      </c>
      <c r="M1719" t="str">
        <f>REPLACE(Transactions!M1719,1,4,"")</f>
        <v>13</v>
      </c>
    </row>
    <row r="1720" spans="1:13" x14ac:dyDescent="0.2">
      <c r="A1720">
        <v>382460</v>
      </c>
      <c r="B1720" s="5">
        <v>45209</v>
      </c>
      <c r="C1720">
        <v>23717</v>
      </c>
      <c r="D1720" t="str">
        <f>PROPER(Transactions!D1720)</f>
        <v>Toys</v>
      </c>
      <c r="E1720" t="s">
        <v>72</v>
      </c>
      <c r="F1720" t="s">
        <v>73</v>
      </c>
      <c r="G1720">
        <v>3</v>
      </c>
      <c r="H1720">
        <v>39.99</v>
      </c>
      <c r="I1720" s="7">
        <f>IF(Transactions!I1720="",0,Transactions!I1720)</f>
        <v>0</v>
      </c>
      <c r="J1720" s="9">
        <f t="shared" si="26"/>
        <v>119.97</v>
      </c>
      <c r="K1720" t="s">
        <v>95</v>
      </c>
      <c r="L1720" t="s">
        <v>37</v>
      </c>
      <c r="M1720" t="str">
        <f>REPLACE(Transactions!M1720,1,4,"")</f>
        <v>15</v>
      </c>
    </row>
    <row r="1721" spans="1:13" x14ac:dyDescent="0.2">
      <c r="A1721">
        <v>382463</v>
      </c>
      <c r="B1721" s="5">
        <v>44932</v>
      </c>
      <c r="C1721">
        <v>79008</v>
      </c>
      <c r="D1721" t="str">
        <f>PROPER(Transactions!D1721)</f>
        <v>Automotive</v>
      </c>
      <c r="E1721" t="s">
        <v>68</v>
      </c>
      <c r="F1721" t="s">
        <v>69</v>
      </c>
      <c r="G1721">
        <v>2</v>
      </c>
      <c r="H1721">
        <v>24.99</v>
      </c>
      <c r="I1721" s="7">
        <f>IF(Transactions!I1721="",0,Transactions!I1721)</f>
        <v>0</v>
      </c>
      <c r="J1721" s="9">
        <f t="shared" si="26"/>
        <v>49.98</v>
      </c>
      <c r="K1721" t="s">
        <v>36</v>
      </c>
      <c r="L1721" t="s">
        <v>17</v>
      </c>
      <c r="M1721" t="str">
        <f>REPLACE(Transactions!M1721,1,4,"")</f>
        <v>7</v>
      </c>
    </row>
    <row r="1722" spans="1:13" x14ac:dyDescent="0.2">
      <c r="A1722">
        <v>382504</v>
      </c>
      <c r="B1722" s="5">
        <v>44978</v>
      </c>
      <c r="C1722">
        <v>28174</v>
      </c>
      <c r="D1722" t="str">
        <f>PROPER(Transactions!D1722)</f>
        <v>Electronics</v>
      </c>
      <c r="E1722" t="s">
        <v>159</v>
      </c>
      <c r="F1722" t="s">
        <v>160</v>
      </c>
      <c r="G1722">
        <v>4</v>
      </c>
      <c r="H1722">
        <v>53.99</v>
      </c>
      <c r="I1722" s="7">
        <f>IF(Transactions!I1722="",0,Transactions!I1722)</f>
        <v>0.1</v>
      </c>
      <c r="J1722" s="9">
        <f t="shared" si="26"/>
        <v>194.364</v>
      </c>
      <c r="K1722" t="s">
        <v>36</v>
      </c>
      <c r="L1722" t="s">
        <v>17</v>
      </c>
      <c r="M1722" t="str">
        <f>REPLACE(Transactions!M1722,1,4,"")</f>
        <v>20</v>
      </c>
    </row>
    <row r="1723" spans="1:13" x14ac:dyDescent="0.2">
      <c r="A1723">
        <v>382629</v>
      </c>
      <c r="B1723" s="5">
        <v>45044</v>
      </c>
      <c r="C1723">
        <v>89211</v>
      </c>
      <c r="D1723" t="str">
        <f>PROPER(Transactions!D1723)</f>
        <v>Furniture</v>
      </c>
      <c r="E1723" t="s">
        <v>51</v>
      </c>
      <c r="F1723" t="s">
        <v>52</v>
      </c>
      <c r="G1723">
        <v>2</v>
      </c>
      <c r="H1723">
        <v>22.39</v>
      </c>
      <c r="I1723" s="7">
        <f>IF(Transactions!I1723="",0,Transactions!I1723)</f>
        <v>0.2</v>
      </c>
      <c r="J1723" s="9">
        <f t="shared" si="26"/>
        <v>35.824000000000005</v>
      </c>
      <c r="K1723" t="s">
        <v>32</v>
      </c>
      <c r="L1723" t="s">
        <v>17</v>
      </c>
      <c r="M1723" t="str">
        <f>REPLACE(Transactions!M1723,1,4,"")</f>
        <v>10</v>
      </c>
    </row>
    <row r="1724" spans="1:13" x14ac:dyDescent="0.2">
      <c r="A1724">
        <v>382705</v>
      </c>
      <c r="B1724" s="5">
        <v>45653</v>
      </c>
      <c r="C1724">
        <v>84843</v>
      </c>
      <c r="D1724" t="str">
        <f>PROPER(Transactions!D1724)</f>
        <v>Home &amp; Garden</v>
      </c>
      <c r="E1724" t="s">
        <v>145</v>
      </c>
      <c r="F1724" t="s">
        <v>146</v>
      </c>
      <c r="G1724">
        <v>2</v>
      </c>
      <c r="H1724">
        <v>11.89</v>
      </c>
      <c r="I1724" s="7">
        <f>IF(Transactions!I1724="",0,Transactions!I1724)</f>
        <v>0.3</v>
      </c>
      <c r="J1724" s="9">
        <f t="shared" si="26"/>
        <v>16.646000000000001</v>
      </c>
      <c r="K1724" t="s">
        <v>95</v>
      </c>
      <c r="L1724" t="s">
        <v>17</v>
      </c>
      <c r="M1724" t="str">
        <f>REPLACE(Transactions!M1724,1,4,"")</f>
        <v>5</v>
      </c>
    </row>
    <row r="1725" spans="1:13" x14ac:dyDescent="0.2">
      <c r="A1725">
        <v>382792</v>
      </c>
      <c r="B1725" s="5">
        <v>45147</v>
      </c>
      <c r="D1725" t="str">
        <f>PROPER(Transactions!D1725)</f>
        <v>Pharmacy</v>
      </c>
      <c r="E1725" t="s">
        <v>58</v>
      </c>
      <c r="F1725" t="s">
        <v>59</v>
      </c>
      <c r="G1725">
        <v>5</v>
      </c>
      <c r="H1725">
        <v>2.79</v>
      </c>
      <c r="I1725" s="7">
        <f>IF(Transactions!I1725="",0,Transactions!I1725)</f>
        <v>0.3</v>
      </c>
      <c r="J1725" s="9">
        <f t="shared" si="26"/>
        <v>9.7649999999999988</v>
      </c>
      <c r="K1725" t="s">
        <v>36</v>
      </c>
      <c r="L1725" t="s">
        <v>17</v>
      </c>
      <c r="M1725" t="str">
        <f>REPLACE(Transactions!M1725,1,4,"")</f>
        <v>10</v>
      </c>
    </row>
    <row r="1726" spans="1:13" x14ac:dyDescent="0.2">
      <c r="A1726">
        <v>382813</v>
      </c>
      <c r="B1726" s="5">
        <v>45317</v>
      </c>
      <c r="C1726">
        <v>50756</v>
      </c>
      <c r="D1726" t="str">
        <f>PROPER(Transactions!D1726)</f>
        <v>Beauty</v>
      </c>
      <c r="E1726" t="s">
        <v>139</v>
      </c>
      <c r="F1726" t="s">
        <v>140</v>
      </c>
      <c r="G1726">
        <v>2</v>
      </c>
      <c r="H1726">
        <v>7.99</v>
      </c>
      <c r="I1726" s="7">
        <f>IF(Transactions!I1726="",0,Transactions!I1726)</f>
        <v>0</v>
      </c>
      <c r="J1726" s="9">
        <f t="shared" si="26"/>
        <v>15.98</v>
      </c>
      <c r="K1726" t="s">
        <v>53</v>
      </c>
      <c r="L1726" t="s">
        <v>17</v>
      </c>
      <c r="M1726" t="str">
        <f>REPLACE(Transactions!M1726,1,4,"")</f>
        <v/>
      </c>
    </row>
    <row r="1727" spans="1:13" x14ac:dyDescent="0.2">
      <c r="A1727">
        <v>382919</v>
      </c>
      <c r="B1727" s="5">
        <v>44794</v>
      </c>
      <c r="C1727">
        <v>36066</v>
      </c>
      <c r="D1727" t="str">
        <f>PROPER(Transactions!D1727)</f>
        <v>Toys</v>
      </c>
      <c r="E1727" t="s">
        <v>175</v>
      </c>
      <c r="F1727" t="s">
        <v>176</v>
      </c>
      <c r="G1727">
        <v>1</v>
      </c>
      <c r="H1727">
        <v>11.99</v>
      </c>
      <c r="I1727" s="7">
        <f>IF(Transactions!I1727="",0,Transactions!I1727)</f>
        <v>0</v>
      </c>
      <c r="J1727" s="9">
        <f t="shared" si="26"/>
        <v>11.99</v>
      </c>
      <c r="K1727" t="s">
        <v>22</v>
      </c>
      <c r="L1727" t="s">
        <v>17</v>
      </c>
      <c r="M1727" t="str">
        <f>REPLACE(Transactions!M1727,1,4,"")</f>
        <v>7</v>
      </c>
    </row>
    <row r="1728" spans="1:13" x14ac:dyDescent="0.2">
      <c r="A1728">
        <v>382992</v>
      </c>
      <c r="B1728" s="5">
        <v>45528</v>
      </c>
      <c r="C1728">
        <v>66036</v>
      </c>
      <c r="D1728" t="str">
        <f>PROPER(Transactions!D1728)</f>
        <v>Electronics</v>
      </c>
      <c r="E1728" t="s">
        <v>14</v>
      </c>
      <c r="F1728" t="s">
        <v>15</v>
      </c>
      <c r="G1728">
        <v>2</v>
      </c>
      <c r="H1728">
        <v>79.989999999999995</v>
      </c>
      <c r="I1728" s="7">
        <f>IF(Transactions!I1728="",0,Transactions!I1728)</f>
        <v>0</v>
      </c>
      <c r="J1728" s="9">
        <f t="shared" si="26"/>
        <v>159.97999999999999</v>
      </c>
      <c r="K1728" t="s">
        <v>16</v>
      </c>
      <c r="L1728" t="s">
        <v>37</v>
      </c>
      <c r="M1728" t="str">
        <f>REPLACE(Transactions!M1728,1,4,"")</f>
        <v>3</v>
      </c>
    </row>
    <row r="1729" spans="1:13" x14ac:dyDescent="0.2">
      <c r="A1729">
        <v>383034</v>
      </c>
      <c r="B1729" s="5">
        <v>45593</v>
      </c>
      <c r="C1729">
        <v>78761</v>
      </c>
      <c r="D1729" t="str">
        <f>PROPER(Transactions!D1729)</f>
        <v>Beauty</v>
      </c>
      <c r="E1729" t="s">
        <v>143</v>
      </c>
      <c r="F1729" t="s">
        <v>144</v>
      </c>
      <c r="G1729">
        <v>1</v>
      </c>
      <c r="H1729">
        <v>12.74</v>
      </c>
      <c r="I1729" s="7">
        <f>IF(Transactions!I1729="",0,Transactions!I1729)</f>
        <v>0.15</v>
      </c>
      <c r="J1729" s="9">
        <f t="shared" si="26"/>
        <v>10.829000000000001</v>
      </c>
      <c r="K1729" t="s">
        <v>36</v>
      </c>
      <c r="L1729" t="s">
        <v>17</v>
      </c>
      <c r="M1729" t="str">
        <f>REPLACE(Transactions!M1729,1,4,"")</f>
        <v>6</v>
      </c>
    </row>
    <row r="1730" spans="1:13" x14ac:dyDescent="0.2">
      <c r="A1730">
        <v>383229</v>
      </c>
      <c r="B1730" s="5">
        <v>44850</v>
      </c>
      <c r="C1730">
        <v>69680</v>
      </c>
      <c r="D1730" t="str">
        <f>PROPER(Transactions!D1730)</f>
        <v>Automotive</v>
      </c>
      <c r="E1730" t="s">
        <v>125</v>
      </c>
      <c r="F1730" t="s">
        <v>126</v>
      </c>
      <c r="G1730">
        <v>5</v>
      </c>
      <c r="H1730">
        <v>26.99</v>
      </c>
      <c r="I1730" s="7">
        <f>IF(Transactions!I1730="",0,Transactions!I1730)</f>
        <v>0.1</v>
      </c>
      <c r="J1730" s="9">
        <f t="shared" si="26"/>
        <v>121.455</v>
      </c>
      <c r="K1730" t="s">
        <v>36</v>
      </c>
      <c r="L1730" t="s">
        <v>17</v>
      </c>
      <c r="M1730" t="str">
        <f>REPLACE(Transactions!M1730,1,4,"")</f>
        <v>19</v>
      </c>
    </row>
    <row r="1731" spans="1:13" x14ac:dyDescent="0.2">
      <c r="A1731">
        <v>383242</v>
      </c>
      <c r="B1731" s="5">
        <v>45235</v>
      </c>
      <c r="C1731">
        <v>53404</v>
      </c>
      <c r="D1731" t="str">
        <f>PROPER(Transactions!D1731)</f>
        <v>Toys</v>
      </c>
      <c r="E1731" t="s">
        <v>175</v>
      </c>
      <c r="F1731" t="s">
        <v>176</v>
      </c>
      <c r="G1731">
        <v>1</v>
      </c>
      <c r="H1731">
        <v>11.99</v>
      </c>
      <c r="I1731" s="7">
        <f>IF(Transactions!I1731="",0,Transactions!I1731)</f>
        <v>0</v>
      </c>
      <c r="J1731" s="9">
        <f t="shared" ref="J1731:J1794" si="27">(H1731*G1731)*(1-I1731)</f>
        <v>11.99</v>
      </c>
      <c r="K1731" t="s">
        <v>16</v>
      </c>
      <c r="L1731" t="s">
        <v>17</v>
      </c>
      <c r="M1731" t="str">
        <f>REPLACE(Transactions!M1731,1,4,"")</f>
        <v>8</v>
      </c>
    </row>
    <row r="1732" spans="1:13" x14ac:dyDescent="0.2">
      <c r="A1732">
        <v>383309</v>
      </c>
      <c r="B1732" s="5">
        <v>44755</v>
      </c>
      <c r="C1732">
        <v>86403</v>
      </c>
      <c r="D1732" t="str">
        <f>PROPER(Transactions!D1732)</f>
        <v>Pharmacy</v>
      </c>
      <c r="E1732" t="s">
        <v>115</v>
      </c>
      <c r="F1732" t="s">
        <v>116</v>
      </c>
      <c r="G1732">
        <v>3</v>
      </c>
      <c r="H1732">
        <v>12.99</v>
      </c>
      <c r="I1732" s="7">
        <f>IF(Transactions!I1732="",0,Transactions!I1732)</f>
        <v>0</v>
      </c>
      <c r="J1732" s="9">
        <f t="shared" si="27"/>
        <v>38.97</v>
      </c>
      <c r="K1732" t="s">
        <v>16</v>
      </c>
      <c r="L1732" t="s">
        <v>17</v>
      </c>
      <c r="M1732" t="str">
        <f>REPLACE(Transactions!M1732,1,4,"")</f>
        <v>12</v>
      </c>
    </row>
    <row r="1733" spans="1:13" x14ac:dyDescent="0.2">
      <c r="A1733">
        <v>383996</v>
      </c>
      <c r="B1733" s="5">
        <v>45074</v>
      </c>
      <c r="C1733">
        <v>59523</v>
      </c>
      <c r="D1733" t="str">
        <f>PROPER(Transactions!D1733)</f>
        <v>Sports</v>
      </c>
      <c r="E1733" t="s">
        <v>147</v>
      </c>
      <c r="F1733" t="s">
        <v>148</v>
      </c>
      <c r="G1733">
        <v>2</v>
      </c>
      <c r="H1733">
        <v>10.39</v>
      </c>
      <c r="I1733" s="7">
        <f>IF(Transactions!I1733="",0,Transactions!I1733)</f>
        <v>0.2</v>
      </c>
      <c r="J1733" s="9">
        <f t="shared" si="27"/>
        <v>16.624000000000002</v>
      </c>
      <c r="K1733" t="s">
        <v>16</v>
      </c>
      <c r="L1733" t="s">
        <v>17</v>
      </c>
      <c r="M1733" t="str">
        <f>REPLACE(Transactions!M1733,1,4,"")</f>
        <v>1</v>
      </c>
    </row>
    <row r="1734" spans="1:13" x14ac:dyDescent="0.2">
      <c r="A1734">
        <v>384298</v>
      </c>
      <c r="B1734" s="5">
        <v>44660</v>
      </c>
      <c r="C1734">
        <v>72534</v>
      </c>
      <c r="D1734" t="str">
        <f>PROPER(Transactions!D1734)</f>
        <v>Toys</v>
      </c>
      <c r="E1734" t="s">
        <v>170</v>
      </c>
      <c r="F1734" t="s">
        <v>171</v>
      </c>
      <c r="G1734">
        <v>3</v>
      </c>
      <c r="H1734">
        <v>12.74</v>
      </c>
      <c r="I1734" s="7">
        <f>IF(Transactions!I1734="",0,Transactions!I1734)</f>
        <v>0.15</v>
      </c>
      <c r="J1734" s="9">
        <f t="shared" si="27"/>
        <v>32.486999999999995</v>
      </c>
      <c r="K1734" t="s">
        <v>16</v>
      </c>
      <c r="L1734" t="s">
        <v>17</v>
      </c>
      <c r="M1734" t="str">
        <f>REPLACE(Transactions!M1734,1,4,"")</f>
        <v>2</v>
      </c>
    </row>
    <row r="1735" spans="1:13" x14ac:dyDescent="0.2">
      <c r="A1735">
        <v>384608</v>
      </c>
      <c r="B1735" s="5">
        <v>44686</v>
      </c>
      <c r="C1735">
        <v>53390</v>
      </c>
      <c r="D1735" t="str">
        <f>PROPER(Transactions!D1735)</f>
        <v>Clothing</v>
      </c>
      <c r="E1735" t="s">
        <v>121</v>
      </c>
      <c r="F1735" t="s">
        <v>122</v>
      </c>
      <c r="G1735">
        <v>4</v>
      </c>
      <c r="H1735">
        <v>11.04</v>
      </c>
      <c r="I1735" s="7">
        <f>IF(Transactions!I1735="",0,Transactions!I1735)</f>
        <v>0.15</v>
      </c>
      <c r="J1735" s="9">
        <f t="shared" si="27"/>
        <v>37.535999999999994</v>
      </c>
      <c r="K1735" t="s">
        <v>36</v>
      </c>
      <c r="L1735" t="s">
        <v>37</v>
      </c>
      <c r="M1735" t="str">
        <f>REPLACE(Transactions!M1735,1,4,"")</f>
        <v>3</v>
      </c>
    </row>
    <row r="1736" spans="1:13" x14ac:dyDescent="0.2">
      <c r="A1736">
        <v>384664</v>
      </c>
      <c r="B1736" s="5">
        <v>45031</v>
      </c>
      <c r="C1736">
        <v>61395</v>
      </c>
      <c r="D1736" t="str">
        <f>PROPER(Transactions!D1736)</f>
        <v>Pharmacy</v>
      </c>
      <c r="E1736" t="s">
        <v>197</v>
      </c>
      <c r="F1736" t="s">
        <v>198</v>
      </c>
      <c r="G1736">
        <v>1</v>
      </c>
      <c r="H1736">
        <v>11.99</v>
      </c>
      <c r="I1736" s="7">
        <f>IF(Transactions!I1736="",0,Transactions!I1736)</f>
        <v>0.2</v>
      </c>
      <c r="J1736" s="9">
        <f t="shared" si="27"/>
        <v>9.5920000000000005</v>
      </c>
      <c r="K1736" t="s">
        <v>16</v>
      </c>
      <c r="L1736" t="s">
        <v>37</v>
      </c>
      <c r="M1736" t="str">
        <f>REPLACE(Transactions!M1736,1,4,"")</f>
        <v>10</v>
      </c>
    </row>
    <row r="1737" spans="1:13" x14ac:dyDescent="0.2">
      <c r="A1737">
        <v>384751</v>
      </c>
      <c r="B1737" s="5">
        <v>45225</v>
      </c>
      <c r="C1737">
        <v>37094</v>
      </c>
      <c r="D1737" t="str">
        <f>PROPER(Transactions!D1737)</f>
        <v>Automotive</v>
      </c>
      <c r="E1737" t="s">
        <v>68</v>
      </c>
      <c r="F1737" t="s">
        <v>69</v>
      </c>
      <c r="G1737">
        <v>2</v>
      </c>
      <c r="H1737">
        <v>24.99</v>
      </c>
      <c r="I1737" s="7">
        <f>IF(Transactions!I1737="",0,Transactions!I1737)</f>
        <v>0</v>
      </c>
      <c r="J1737" s="9">
        <f t="shared" si="27"/>
        <v>49.98</v>
      </c>
      <c r="K1737" t="s">
        <v>36</v>
      </c>
      <c r="L1737" t="s">
        <v>17</v>
      </c>
      <c r="M1737" t="str">
        <f>REPLACE(Transactions!M1737,1,4,"")</f>
        <v>9</v>
      </c>
    </row>
    <row r="1738" spans="1:13" x14ac:dyDescent="0.2">
      <c r="A1738">
        <v>384893</v>
      </c>
      <c r="B1738" s="5">
        <v>45478</v>
      </c>
      <c r="C1738">
        <v>83853</v>
      </c>
      <c r="D1738" t="str">
        <f>PROPER(Transactions!D1738)</f>
        <v>Clothing</v>
      </c>
      <c r="E1738" t="s">
        <v>141</v>
      </c>
      <c r="F1738" t="s">
        <v>142</v>
      </c>
      <c r="G1738">
        <v>1</v>
      </c>
      <c r="H1738">
        <v>21.84</v>
      </c>
      <c r="I1738" s="7">
        <f>IF(Transactions!I1738="",0,Transactions!I1738)</f>
        <v>0.05</v>
      </c>
      <c r="J1738" s="9">
        <f t="shared" si="27"/>
        <v>20.747999999999998</v>
      </c>
      <c r="K1738" t="s">
        <v>16</v>
      </c>
      <c r="L1738" t="s">
        <v>37</v>
      </c>
      <c r="M1738" t="str">
        <f>REPLACE(Transactions!M1738,1,4,"")</f>
        <v>18</v>
      </c>
    </row>
    <row r="1739" spans="1:13" x14ac:dyDescent="0.2">
      <c r="A1739">
        <v>384964</v>
      </c>
      <c r="B1739" s="5">
        <v>45264</v>
      </c>
      <c r="C1739">
        <v>26402</v>
      </c>
      <c r="D1739" t="str">
        <f>PROPER(Transactions!D1739)</f>
        <v>Clothing</v>
      </c>
      <c r="E1739" t="s">
        <v>135</v>
      </c>
      <c r="F1739" t="s">
        <v>136</v>
      </c>
      <c r="G1739">
        <v>3</v>
      </c>
      <c r="H1739">
        <v>9.99</v>
      </c>
      <c r="I1739" s="7">
        <f>IF(Transactions!I1739="",0,Transactions!I1739)</f>
        <v>0</v>
      </c>
      <c r="J1739" s="9">
        <f t="shared" si="27"/>
        <v>29.97</v>
      </c>
      <c r="K1739" t="s">
        <v>36</v>
      </c>
      <c r="L1739" t="s">
        <v>37</v>
      </c>
      <c r="M1739" t="str">
        <f>REPLACE(Transactions!M1739,1,4,"")</f>
        <v>8</v>
      </c>
    </row>
    <row r="1740" spans="1:13" x14ac:dyDescent="0.2">
      <c r="A1740">
        <v>385006</v>
      </c>
      <c r="B1740" s="5">
        <v>44919</v>
      </c>
      <c r="C1740">
        <v>14795</v>
      </c>
      <c r="D1740" t="str">
        <f>PROPER(Transactions!D1740)</f>
        <v>Pharmacy</v>
      </c>
      <c r="E1740" t="s">
        <v>58</v>
      </c>
      <c r="F1740" t="s">
        <v>59</v>
      </c>
      <c r="G1740">
        <v>3</v>
      </c>
      <c r="H1740">
        <v>3.79</v>
      </c>
      <c r="I1740" s="7">
        <f>IF(Transactions!I1740="",0,Transactions!I1740)</f>
        <v>0.05</v>
      </c>
      <c r="J1740" s="9">
        <f t="shared" si="27"/>
        <v>10.801500000000001</v>
      </c>
      <c r="K1740" t="s">
        <v>36</v>
      </c>
      <c r="L1740" t="s">
        <v>17</v>
      </c>
      <c r="M1740" t="str">
        <f>REPLACE(Transactions!M1740,1,4,"")</f>
        <v>9</v>
      </c>
    </row>
    <row r="1741" spans="1:13" x14ac:dyDescent="0.2">
      <c r="A1741">
        <v>385022</v>
      </c>
      <c r="B1741" s="5">
        <v>45079</v>
      </c>
      <c r="C1741">
        <v>16831</v>
      </c>
      <c r="D1741" t="str">
        <f>PROPER(Transactions!D1741)</f>
        <v>Beauty</v>
      </c>
      <c r="E1741" t="s">
        <v>143</v>
      </c>
      <c r="F1741" t="s">
        <v>144</v>
      </c>
      <c r="G1741">
        <v>1</v>
      </c>
      <c r="H1741">
        <v>11.24</v>
      </c>
      <c r="I1741" s="7">
        <f>IF(Transactions!I1741="",0,Transactions!I1741)</f>
        <v>0.25</v>
      </c>
      <c r="J1741" s="9">
        <f t="shared" si="27"/>
        <v>8.43</v>
      </c>
      <c r="K1741" t="s">
        <v>36</v>
      </c>
      <c r="L1741" t="s">
        <v>17</v>
      </c>
      <c r="M1741" t="str">
        <f>REPLACE(Transactions!M1741,1,4,"")</f>
        <v>18</v>
      </c>
    </row>
    <row r="1742" spans="1:13" x14ac:dyDescent="0.2">
      <c r="A1742">
        <v>385037</v>
      </c>
      <c r="B1742" s="5">
        <v>45020</v>
      </c>
      <c r="C1742">
        <v>13060</v>
      </c>
      <c r="D1742" t="str">
        <f>PROPER(Transactions!D1742)</f>
        <v>Grocery</v>
      </c>
      <c r="E1742" t="s">
        <v>195</v>
      </c>
      <c r="F1742" t="s">
        <v>196</v>
      </c>
      <c r="G1742">
        <v>1</v>
      </c>
      <c r="H1742">
        <v>4.49</v>
      </c>
      <c r="I1742" s="7">
        <f>IF(Transactions!I1742="",0,Transactions!I1742)</f>
        <v>0.1</v>
      </c>
      <c r="J1742" s="9">
        <f t="shared" si="27"/>
        <v>4.0410000000000004</v>
      </c>
      <c r="K1742" t="s">
        <v>36</v>
      </c>
      <c r="L1742" t="s">
        <v>17</v>
      </c>
      <c r="M1742" t="str">
        <f>REPLACE(Transactions!M1742,1,4,"")</f>
        <v>19</v>
      </c>
    </row>
    <row r="1743" spans="1:13" x14ac:dyDescent="0.2">
      <c r="A1743">
        <v>385043</v>
      </c>
      <c r="B1743" s="5">
        <v>44970</v>
      </c>
      <c r="C1743">
        <v>93194</v>
      </c>
      <c r="D1743" t="str">
        <f>PROPER(Transactions!D1743)</f>
        <v>Pharmacy</v>
      </c>
      <c r="E1743" t="s">
        <v>41</v>
      </c>
      <c r="F1743" t="s">
        <v>42</v>
      </c>
      <c r="G1743">
        <v>1</v>
      </c>
      <c r="H1743">
        <v>5.99</v>
      </c>
      <c r="I1743" s="7">
        <f>IF(Transactions!I1743="",0,Transactions!I1743)</f>
        <v>0</v>
      </c>
      <c r="J1743" s="9">
        <f t="shared" si="27"/>
        <v>5.99</v>
      </c>
      <c r="K1743" t="s">
        <v>32</v>
      </c>
      <c r="L1743" t="s">
        <v>17</v>
      </c>
      <c r="M1743" t="str">
        <f>REPLACE(Transactions!M1743,1,4,"")</f>
        <v>1</v>
      </c>
    </row>
    <row r="1744" spans="1:13" x14ac:dyDescent="0.2">
      <c r="A1744">
        <v>385631</v>
      </c>
      <c r="B1744" s="5">
        <v>44840</v>
      </c>
      <c r="C1744">
        <v>27797</v>
      </c>
      <c r="D1744" t="str">
        <f>PROPER(Transactions!D1744)</f>
        <v>Furniture</v>
      </c>
      <c r="E1744" t="s">
        <v>26</v>
      </c>
      <c r="F1744" t="s">
        <v>27</v>
      </c>
      <c r="G1744">
        <v>2</v>
      </c>
      <c r="H1744">
        <v>26.24</v>
      </c>
      <c r="I1744" s="7">
        <f>IF(Transactions!I1744="",0,Transactions!I1744)</f>
        <v>0.25</v>
      </c>
      <c r="J1744" s="9">
        <f t="shared" si="27"/>
        <v>39.36</v>
      </c>
      <c r="K1744" t="s">
        <v>32</v>
      </c>
      <c r="L1744" t="s">
        <v>23</v>
      </c>
      <c r="M1744" t="str">
        <f>REPLACE(Transactions!M1744,1,4,"")</f>
        <v>10</v>
      </c>
    </row>
    <row r="1745" spans="1:13" x14ac:dyDescent="0.2">
      <c r="A1745">
        <v>385704</v>
      </c>
      <c r="B1745" s="5">
        <v>45618</v>
      </c>
      <c r="C1745">
        <v>16976</v>
      </c>
      <c r="D1745" t="str">
        <f>PROPER(Transactions!D1745)</f>
        <v>Sports</v>
      </c>
      <c r="E1745" t="s">
        <v>147</v>
      </c>
      <c r="F1745" t="s">
        <v>148</v>
      </c>
      <c r="G1745">
        <v>5</v>
      </c>
      <c r="H1745">
        <v>11.04</v>
      </c>
      <c r="I1745" s="7">
        <f>IF(Transactions!I1745="",0,Transactions!I1745)</f>
        <v>0.15</v>
      </c>
      <c r="J1745" s="9">
        <f t="shared" si="27"/>
        <v>46.919999999999995</v>
      </c>
      <c r="K1745" t="s">
        <v>36</v>
      </c>
      <c r="L1745" t="s">
        <v>23</v>
      </c>
      <c r="M1745" t="str">
        <f>REPLACE(Transactions!M1745,1,4,"")</f>
        <v>17</v>
      </c>
    </row>
    <row r="1746" spans="1:13" x14ac:dyDescent="0.2">
      <c r="A1746">
        <v>385868</v>
      </c>
      <c r="B1746" s="5">
        <v>44624</v>
      </c>
      <c r="C1746">
        <v>89214</v>
      </c>
      <c r="D1746" t="str">
        <f>PROPER(Transactions!D1746)</f>
        <v>Pharmacy</v>
      </c>
      <c r="E1746" t="s">
        <v>115</v>
      </c>
      <c r="F1746" t="s">
        <v>116</v>
      </c>
      <c r="G1746">
        <v>1</v>
      </c>
      <c r="H1746">
        <v>9.74</v>
      </c>
      <c r="I1746" s="7">
        <f>IF(Transactions!I1746="",0,Transactions!I1746)</f>
        <v>0.25</v>
      </c>
      <c r="J1746" s="9">
        <f t="shared" si="27"/>
        <v>7.3049999999999997</v>
      </c>
      <c r="K1746" t="s">
        <v>16</v>
      </c>
      <c r="L1746" t="s">
        <v>17</v>
      </c>
      <c r="M1746" t="str">
        <f>REPLACE(Transactions!M1746,1,4,"")</f>
        <v>19</v>
      </c>
    </row>
    <row r="1747" spans="1:13" x14ac:dyDescent="0.2">
      <c r="A1747">
        <v>385875</v>
      </c>
      <c r="B1747" s="5">
        <v>45086</v>
      </c>
      <c r="C1747">
        <v>18810</v>
      </c>
      <c r="D1747" t="str">
        <f>PROPER(Transactions!D1747)</f>
        <v>Automotive</v>
      </c>
      <c r="E1747" t="s">
        <v>68</v>
      </c>
      <c r="F1747" t="s">
        <v>69</v>
      </c>
      <c r="G1747">
        <v>2</v>
      </c>
      <c r="H1747">
        <v>17.489999999999998</v>
      </c>
      <c r="I1747" s="7">
        <f>IF(Transactions!I1747="",0,Transactions!I1747)</f>
        <v>0.3</v>
      </c>
      <c r="J1747" s="9">
        <f t="shared" si="27"/>
        <v>24.485999999999997</v>
      </c>
      <c r="K1747" t="s">
        <v>53</v>
      </c>
      <c r="L1747" t="s">
        <v>37</v>
      </c>
      <c r="M1747" t="str">
        <f>REPLACE(Transactions!M1747,1,4,"")</f>
        <v>19</v>
      </c>
    </row>
    <row r="1748" spans="1:13" x14ac:dyDescent="0.2">
      <c r="A1748">
        <v>385949</v>
      </c>
      <c r="B1748" s="5">
        <v>44640</v>
      </c>
      <c r="C1748">
        <v>97710</v>
      </c>
      <c r="D1748" t="str">
        <f>PROPER(Transactions!D1748)</f>
        <v>Pharmacy</v>
      </c>
      <c r="E1748" t="s">
        <v>197</v>
      </c>
      <c r="F1748" t="s">
        <v>198</v>
      </c>
      <c r="G1748">
        <v>5</v>
      </c>
      <c r="H1748">
        <v>14.99</v>
      </c>
      <c r="I1748" s="7">
        <f>IF(Transactions!I1748="",0,Transactions!I1748)</f>
        <v>0</v>
      </c>
      <c r="J1748" s="9">
        <f t="shared" si="27"/>
        <v>74.95</v>
      </c>
      <c r="K1748" t="s">
        <v>36</v>
      </c>
      <c r="L1748" t="s">
        <v>17</v>
      </c>
      <c r="M1748" t="str">
        <f>REPLACE(Transactions!M1748,1,4,"")</f>
        <v>2</v>
      </c>
    </row>
    <row r="1749" spans="1:13" x14ac:dyDescent="0.2">
      <c r="A1749">
        <v>385984</v>
      </c>
      <c r="B1749" s="5">
        <v>45554</v>
      </c>
      <c r="C1749">
        <v>37491</v>
      </c>
      <c r="D1749" t="str">
        <f>PROPER(Transactions!D1749)</f>
        <v>Clothing</v>
      </c>
      <c r="E1749" t="s">
        <v>181</v>
      </c>
      <c r="F1749" t="s">
        <v>182</v>
      </c>
      <c r="G1749">
        <v>1</v>
      </c>
      <c r="H1749">
        <v>11.24</v>
      </c>
      <c r="I1749" s="7">
        <f>IF(Transactions!I1749="",0,Transactions!I1749)</f>
        <v>0.25</v>
      </c>
      <c r="J1749" s="9">
        <f t="shared" si="27"/>
        <v>8.43</v>
      </c>
      <c r="K1749" t="s">
        <v>16</v>
      </c>
      <c r="L1749" t="s">
        <v>17</v>
      </c>
      <c r="M1749" t="str">
        <f>REPLACE(Transactions!M1749,1,4,"")</f>
        <v>8</v>
      </c>
    </row>
    <row r="1750" spans="1:13" x14ac:dyDescent="0.2">
      <c r="A1750">
        <v>386509</v>
      </c>
      <c r="B1750" s="5">
        <v>44594</v>
      </c>
      <c r="C1750">
        <v>91996</v>
      </c>
      <c r="D1750" t="str">
        <f>PROPER(Transactions!D1750)</f>
        <v>Pharmacy</v>
      </c>
      <c r="E1750" t="s">
        <v>41</v>
      </c>
      <c r="F1750" t="s">
        <v>42</v>
      </c>
      <c r="G1750">
        <v>4</v>
      </c>
      <c r="H1750">
        <v>5.99</v>
      </c>
      <c r="I1750" s="7">
        <f>IF(Transactions!I1750="",0,Transactions!I1750)</f>
        <v>0</v>
      </c>
      <c r="J1750" s="9">
        <f t="shared" si="27"/>
        <v>23.96</v>
      </c>
      <c r="K1750" t="s">
        <v>16</v>
      </c>
      <c r="L1750" t="s">
        <v>17</v>
      </c>
      <c r="M1750" t="str">
        <f>REPLACE(Transactions!M1750,1,4,"")</f>
        <v>13</v>
      </c>
    </row>
    <row r="1751" spans="1:13" x14ac:dyDescent="0.2">
      <c r="A1751">
        <v>386656</v>
      </c>
      <c r="B1751" s="5">
        <v>45134</v>
      </c>
      <c r="C1751">
        <v>85350</v>
      </c>
      <c r="D1751" t="str">
        <f>PROPER(Transactions!D1751)</f>
        <v>Furniture</v>
      </c>
      <c r="E1751" t="s">
        <v>26</v>
      </c>
      <c r="F1751" t="s">
        <v>27</v>
      </c>
      <c r="G1751">
        <v>2</v>
      </c>
      <c r="H1751">
        <v>31.49</v>
      </c>
      <c r="I1751" s="7">
        <f>IF(Transactions!I1751="",0,Transactions!I1751)</f>
        <v>0.1</v>
      </c>
      <c r="J1751" s="9">
        <f t="shared" si="27"/>
        <v>56.681999999999995</v>
      </c>
      <c r="K1751" t="s">
        <v>16</v>
      </c>
      <c r="L1751" t="s">
        <v>17</v>
      </c>
      <c r="M1751" t="str">
        <f>REPLACE(Transactions!M1751,1,4,"")</f>
        <v>9</v>
      </c>
    </row>
    <row r="1752" spans="1:13" x14ac:dyDescent="0.2">
      <c r="A1752">
        <v>386675</v>
      </c>
      <c r="B1752" s="5">
        <v>44668</v>
      </c>
      <c r="C1752">
        <v>42250</v>
      </c>
      <c r="D1752" t="str">
        <f>PROPER(Transactions!D1752)</f>
        <v>Beauty</v>
      </c>
      <c r="E1752" t="s">
        <v>139</v>
      </c>
      <c r="F1752" t="s">
        <v>140</v>
      </c>
      <c r="G1752">
        <v>2</v>
      </c>
      <c r="H1752">
        <v>5.59</v>
      </c>
      <c r="I1752" s="7">
        <f>IF(Transactions!I1752="",0,Transactions!I1752)</f>
        <v>0</v>
      </c>
      <c r="J1752" s="9">
        <f t="shared" si="27"/>
        <v>11.18</v>
      </c>
      <c r="K1752" t="s">
        <v>22</v>
      </c>
      <c r="L1752" t="s">
        <v>23</v>
      </c>
      <c r="M1752" t="str">
        <f>REPLACE(Transactions!M1752,1,4,"")</f>
        <v>20</v>
      </c>
    </row>
    <row r="1753" spans="1:13" x14ac:dyDescent="0.2">
      <c r="A1753">
        <v>386993</v>
      </c>
      <c r="B1753" s="5">
        <v>45395</v>
      </c>
      <c r="C1753">
        <v>54126</v>
      </c>
      <c r="D1753" t="str">
        <f>PROPER(Transactions!D1753)</f>
        <v>Beauty</v>
      </c>
      <c r="E1753" t="s">
        <v>139</v>
      </c>
      <c r="F1753" t="s">
        <v>140</v>
      </c>
      <c r="G1753">
        <v>1</v>
      </c>
      <c r="H1753">
        <v>5.59</v>
      </c>
      <c r="I1753" s="7">
        <f>IF(Transactions!I1753="",0,Transactions!I1753)</f>
        <v>0.3</v>
      </c>
      <c r="J1753" s="9">
        <f t="shared" si="27"/>
        <v>3.9129999999999998</v>
      </c>
      <c r="K1753" t="s">
        <v>36</v>
      </c>
      <c r="L1753" t="s">
        <v>17</v>
      </c>
      <c r="M1753" t="str">
        <f>REPLACE(Transactions!M1753,1,4,"")</f>
        <v/>
      </c>
    </row>
    <row r="1754" spans="1:13" x14ac:dyDescent="0.2">
      <c r="A1754">
        <v>386998</v>
      </c>
      <c r="B1754" s="5">
        <v>45069</v>
      </c>
      <c r="C1754">
        <v>44800</v>
      </c>
      <c r="D1754" t="str">
        <f>PROPER(Transactions!D1754)</f>
        <v>Clothing</v>
      </c>
      <c r="E1754" t="s">
        <v>151</v>
      </c>
      <c r="F1754" t="s">
        <v>152</v>
      </c>
      <c r="G1754">
        <v>1</v>
      </c>
      <c r="H1754">
        <v>24.49</v>
      </c>
      <c r="I1754" s="7">
        <f>IF(Transactions!I1754="",0,Transactions!I1754)</f>
        <v>0.3</v>
      </c>
      <c r="J1754" s="9">
        <f t="shared" si="27"/>
        <v>17.142999999999997</v>
      </c>
      <c r="K1754" t="s">
        <v>36</v>
      </c>
      <c r="L1754" t="s">
        <v>17</v>
      </c>
      <c r="M1754" t="str">
        <f>REPLACE(Transactions!M1754,1,4,"")</f>
        <v>18</v>
      </c>
    </row>
    <row r="1755" spans="1:13" x14ac:dyDescent="0.2">
      <c r="A1755">
        <v>387164</v>
      </c>
      <c r="B1755" s="5">
        <v>44808</v>
      </c>
      <c r="C1755">
        <v>90801</v>
      </c>
      <c r="D1755" t="str">
        <f>PROPER(Transactions!D1755)</f>
        <v>Furniture</v>
      </c>
      <c r="E1755" t="s">
        <v>70</v>
      </c>
      <c r="F1755" t="s">
        <v>71</v>
      </c>
      <c r="G1755">
        <v>2</v>
      </c>
      <c r="H1755">
        <v>89.99</v>
      </c>
      <c r="I1755" s="7">
        <f>IF(Transactions!I1755="",0,Transactions!I1755)</f>
        <v>0</v>
      </c>
      <c r="J1755" s="9">
        <f t="shared" si="27"/>
        <v>179.98</v>
      </c>
      <c r="K1755" t="s">
        <v>36</v>
      </c>
      <c r="L1755" t="s">
        <v>23</v>
      </c>
      <c r="M1755" t="str">
        <f>REPLACE(Transactions!M1755,1,4,"")</f>
        <v>2</v>
      </c>
    </row>
    <row r="1756" spans="1:13" x14ac:dyDescent="0.2">
      <c r="A1756">
        <v>387198</v>
      </c>
      <c r="B1756" s="5">
        <v>44917</v>
      </c>
      <c r="C1756">
        <v>82536</v>
      </c>
      <c r="D1756" t="str">
        <f>PROPER(Transactions!D1756)</f>
        <v>Sports</v>
      </c>
      <c r="E1756" t="s">
        <v>188</v>
      </c>
      <c r="F1756" t="s">
        <v>189</v>
      </c>
      <c r="G1756">
        <v>1</v>
      </c>
      <c r="H1756">
        <v>38.24</v>
      </c>
      <c r="I1756" s="7">
        <f>IF(Transactions!I1756="",0,Transactions!I1756)</f>
        <v>0.15</v>
      </c>
      <c r="J1756" s="9">
        <f t="shared" si="27"/>
        <v>32.503999999999998</v>
      </c>
      <c r="K1756" t="s">
        <v>22</v>
      </c>
      <c r="L1756" t="s">
        <v>17</v>
      </c>
      <c r="M1756" t="str">
        <f>REPLACE(Transactions!M1756,1,4,"")</f>
        <v>5</v>
      </c>
    </row>
    <row r="1757" spans="1:13" x14ac:dyDescent="0.2">
      <c r="A1757">
        <v>387880</v>
      </c>
      <c r="B1757" s="5">
        <v>45490</v>
      </c>
      <c r="C1757">
        <v>19891</v>
      </c>
      <c r="D1757" t="str">
        <f>PROPER(Transactions!D1757)</f>
        <v>Toys</v>
      </c>
      <c r="E1757" t="s">
        <v>88</v>
      </c>
      <c r="F1757" t="s">
        <v>89</v>
      </c>
      <c r="G1757">
        <v>5</v>
      </c>
      <c r="H1757">
        <v>34.99</v>
      </c>
      <c r="I1757" s="7">
        <f>IF(Transactions!I1757="",0,Transactions!I1757)</f>
        <v>0.3</v>
      </c>
      <c r="J1757" s="9">
        <f t="shared" si="27"/>
        <v>122.465</v>
      </c>
      <c r="K1757" t="s">
        <v>36</v>
      </c>
      <c r="L1757" t="s">
        <v>17</v>
      </c>
      <c r="M1757" t="str">
        <f>REPLACE(Transactions!M1757,1,4,"")</f>
        <v>8</v>
      </c>
    </row>
    <row r="1758" spans="1:13" x14ac:dyDescent="0.2">
      <c r="A1758">
        <v>388050</v>
      </c>
      <c r="B1758" s="5">
        <v>45126</v>
      </c>
      <c r="C1758">
        <v>38321</v>
      </c>
      <c r="D1758" t="str">
        <f>PROPER(Transactions!D1758)</f>
        <v>Sports</v>
      </c>
      <c r="E1758" t="s">
        <v>188</v>
      </c>
      <c r="F1758" t="s">
        <v>189</v>
      </c>
      <c r="G1758">
        <v>5</v>
      </c>
      <c r="H1758">
        <v>31.49</v>
      </c>
      <c r="I1758" s="7">
        <f>IF(Transactions!I1758="",0,Transactions!I1758)</f>
        <v>0.3</v>
      </c>
      <c r="J1758" s="9">
        <f t="shared" si="27"/>
        <v>110.21499999999999</v>
      </c>
      <c r="K1758" t="s">
        <v>32</v>
      </c>
      <c r="L1758" t="s">
        <v>17</v>
      </c>
      <c r="M1758" t="str">
        <f>REPLACE(Transactions!M1758,1,4,"")</f>
        <v>12</v>
      </c>
    </row>
    <row r="1759" spans="1:13" x14ac:dyDescent="0.2">
      <c r="A1759">
        <v>388084</v>
      </c>
      <c r="B1759" s="5">
        <v>44938</v>
      </c>
      <c r="C1759">
        <v>55542</v>
      </c>
      <c r="D1759" t="str">
        <f>PROPER(Transactions!D1759)</f>
        <v>Beauty</v>
      </c>
      <c r="E1759" t="s">
        <v>109</v>
      </c>
      <c r="F1759" t="s">
        <v>110</v>
      </c>
      <c r="G1759">
        <v>1</v>
      </c>
      <c r="H1759">
        <v>6.99</v>
      </c>
      <c r="I1759" s="7">
        <f>IF(Transactions!I1759="",0,Transactions!I1759)</f>
        <v>0</v>
      </c>
      <c r="J1759" s="9">
        <f t="shared" si="27"/>
        <v>6.99</v>
      </c>
      <c r="K1759" t="s">
        <v>36</v>
      </c>
      <c r="L1759" t="s">
        <v>17</v>
      </c>
      <c r="M1759" t="str">
        <f>REPLACE(Transactions!M1759,1,4,"")</f>
        <v>9</v>
      </c>
    </row>
    <row r="1760" spans="1:13" x14ac:dyDescent="0.2">
      <c r="A1760">
        <v>388176</v>
      </c>
      <c r="B1760" s="5">
        <v>44937</v>
      </c>
      <c r="C1760">
        <v>60447</v>
      </c>
      <c r="D1760" t="str">
        <f>PROPER(Transactions!D1760)</f>
        <v>Pharmacy</v>
      </c>
      <c r="E1760" t="s">
        <v>20</v>
      </c>
      <c r="F1760" t="s">
        <v>21</v>
      </c>
      <c r="G1760">
        <v>2</v>
      </c>
      <c r="H1760">
        <v>9.99</v>
      </c>
      <c r="I1760" s="7">
        <f>IF(Transactions!I1760="",0,Transactions!I1760)</f>
        <v>0</v>
      </c>
      <c r="J1760" s="9">
        <f t="shared" si="27"/>
        <v>19.98</v>
      </c>
      <c r="K1760" t="s">
        <v>22</v>
      </c>
      <c r="L1760" t="s">
        <v>17</v>
      </c>
      <c r="M1760" t="str">
        <f>REPLACE(Transactions!M1760,1,4,"")</f>
        <v>1</v>
      </c>
    </row>
    <row r="1761" spans="1:13" x14ac:dyDescent="0.2">
      <c r="A1761">
        <v>388379</v>
      </c>
      <c r="B1761" s="5">
        <v>44864</v>
      </c>
      <c r="C1761">
        <v>14781</v>
      </c>
      <c r="D1761" t="str">
        <f>PROPER(Transactions!D1761)</f>
        <v>Furniture</v>
      </c>
      <c r="E1761" t="s">
        <v>113</v>
      </c>
      <c r="F1761" t="s">
        <v>114</v>
      </c>
      <c r="G1761">
        <v>1</v>
      </c>
      <c r="H1761">
        <v>119.99</v>
      </c>
      <c r="I1761" s="7">
        <f>IF(Transactions!I1761="",0,Transactions!I1761)</f>
        <v>0</v>
      </c>
      <c r="J1761" s="9">
        <f t="shared" si="27"/>
        <v>119.99</v>
      </c>
      <c r="K1761" t="s">
        <v>16</v>
      </c>
      <c r="L1761" t="s">
        <v>17</v>
      </c>
      <c r="M1761" t="str">
        <f>REPLACE(Transactions!M1761,1,4,"")</f>
        <v>4</v>
      </c>
    </row>
    <row r="1762" spans="1:13" x14ac:dyDescent="0.2">
      <c r="A1762">
        <v>388666</v>
      </c>
      <c r="B1762" s="5">
        <v>45479</v>
      </c>
      <c r="C1762">
        <v>68041</v>
      </c>
      <c r="D1762" t="str">
        <f>PROPER(Transactions!D1762)</f>
        <v>Electronics</v>
      </c>
      <c r="E1762" t="s">
        <v>104</v>
      </c>
      <c r="F1762" t="s">
        <v>105</v>
      </c>
      <c r="G1762">
        <v>4</v>
      </c>
      <c r="H1762">
        <v>29.99</v>
      </c>
      <c r="I1762" s="7">
        <f>IF(Transactions!I1762="",0,Transactions!I1762)</f>
        <v>0</v>
      </c>
      <c r="J1762" s="9">
        <f t="shared" si="27"/>
        <v>119.96</v>
      </c>
      <c r="K1762" t="s">
        <v>16</v>
      </c>
      <c r="L1762" t="s">
        <v>37</v>
      </c>
      <c r="M1762" t="str">
        <f>REPLACE(Transactions!M1762,1,4,"")</f>
        <v>2</v>
      </c>
    </row>
    <row r="1763" spans="1:13" x14ac:dyDescent="0.2">
      <c r="A1763">
        <v>388805</v>
      </c>
      <c r="B1763" s="5">
        <v>45312</v>
      </c>
      <c r="D1763" t="str">
        <f>PROPER(Transactions!D1763)</f>
        <v>Pharmacy</v>
      </c>
      <c r="E1763" t="s">
        <v>197</v>
      </c>
      <c r="F1763" t="s">
        <v>198</v>
      </c>
      <c r="G1763">
        <v>1</v>
      </c>
      <c r="H1763">
        <v>13.49</v>
      </c>
      <c r="I1763" s="7">
        <f>IF(Transactions!I1763="",0,Transactions!I1763)</f>
        <v>0.1</v>
      </c>
      <c r="J1763" s="9">
        <f t="shared" si="27"/>
        <v>12.141</v>
      </c>
      <c r="K1763" t="s">
        <v>22</v>
      </c>
      <c r="L1763" t="s">
        <v>17</v>
      </c>
      <c r="M1763" t="str">
        <f>REPLACE(Transactions!M1763,1,4,"")</f>
        <v>18</v>
      </c>
    </row>
    <row r="1764" spans="1:13" x14ac:dyDescent="0.2">
      <c r="A1764">
        <v>389360</v>
      </c>
      <c r="B1764" s="5">
        <v>45002</v>
      </c>
      <c r="C1764">
        <v>21693</v>
      </c>
      <c r="D1764" t="str">
        <f>PROPER(Transactions!D1764)</f>
        <v>Electronics</v>
      </c>
      <c r="E1764" t="s">
        <v>186</v>
      </c>
      <c r="F1764" t="s">
        <v>187</v>
      </c>
      <c r="G1764">
        <v>4</v>
      </c>
      <c r="H1764">
        <v>39.99</v>
      </c>
      <c r="I1764" s="7">
        <f>IF(Transactions!I1764="",0,Transactions!I1764)</f>
        <v>0.2</v>
      </c>
      <c r="J1764" s="9">
        <f t="shared" si="27"/>
        <v>127.96800000000002</v>
      </c>
      <c r="K1764" t="s">
        <v>16</v>
      </c>
      <c r="L1764" t="s">
        <v>17</v>
      </c>
      <c r="M1764" t="str">
        <f>REPLACE(Transactions!M1764,1,4,"")</f>
        <v>13</v>
      </c>
    </row>
    <row r="1765" spans="1:13" x14ac:dyDescent="0.2">
      <c r="A1765">
        <v>389511</v>
      </c>
      <c r="B1765" s="5">
        <v>45236</v>
      </c>
      <c r="C1765">
        <v>92926</v>
      </c>
      <c r="D1765" t="str">
        <f>PROPER(Transactions!D1765)</f>
        <v>Pharmacy</v>
      </c>
      <c r="E1765" t="s">
        <v>58</v>
      </c>
      <c r="F1765" t="s">
        <v>59</v>
      </c>
      <c r="G1765">
        <v>1</v>
      </c>
      <c r="H1765">
        <v>3.19</v>
      </c>
      <c r="I1765" s="7">
        <f>IF(Transactions!I1765="",0,Transactions!I1765)</f>
        <v>0.2</v>
      </c>
      <c r="J1765" s="9">
        <f t="shared" si="27"/>
        <v>2.552</v>
      </c>
      <c r="K1765" t="s">
        <v>36</v>
      </c>
      <c r="L1765" t="s">
        <v>17</v>
      </c>
      <c r="M1765" t="str">
        <f>REPLACE(Transactions!M1765,1,4,"")</f>
        <v>19</v>
      </c>
    </row>
    <row r="1766" spans="1:13" x14ac:dyDescent="0.2">
      <c r="A1766">
        <v>389511</v>
      </c>
      <c r="B1766" s="5">
        <v>44824</v>
      </c>
      <c r="C1766">
        <v>29297</v>
      </c>
      <c r="D1766" t="str">
        <f>PROPER(Transactions!D1766)</f>
        <v>Home &amp; Garden</v>
      </c>
      <c r="E1766" t="s">
        <v>86</v>
      </c>
      <c r="F1766" t="s">
        <v>87</v>
      </c>
      <c r="G1766">
        <v>1</v>
      </c>
      <c r="H1766">
        <v>11.04</v>
      </c>
      <c r="I1766" s="7">
        <f>IF(Transactions!I1766="",0,Transactions!I1766)</f>
        <v>0.15</v>
      </c>
      <c r="J1766" s="9">
        <f t="shared" si="27"/>
        <v>9.3839999999999986</v>
      </c>
      <c r="K1766" t="s">
        <v>16</v>
      </c>
      <c r="L1766" t="s">
        <v>17</v>
      </c>
      <c r="M1766" t="str">
        <f>REPLACE(Transactions!M1766,1,4,"")</f>
        <v>8</v>
      </c>
    </row>
    <row r="1767" spans="1:13" x14ac:dyDescent="0.2">
      <c r="A1767">
        <v>389643</v>
      </c>
      <c r="B1767" s="5">
        <v>44640</v>
      </c>
      <c r="C1767">
        <v>73374</v>
      </c>
      <c r="D1767" t="str">
        <f>PROPER(Transactions!D1767)</f>
        <v>Furniture</v>
      </c>
      <c r="E1767" t="s">
        <v>26</v>
      </c>
      <c r="F1767" t="s">
        <v>27</v>
      </c>
      <c r="G1767">
        <v>1</v>
      </c>
      <c r="H1767">
        <v>34.99</v>
      </c>
      <c r="I1767" s="7">
        <f>IF(Transactions!I1767="",0,Transactions!I1767)</f>
        <v>0</v>
      </c>
      <c r="J1767" s="9">
        <f t="shared" si="27"/>
        <v>34.99</v>
      </c>
      <c r="K1767" t="s">
        <v>36</v>
      </c>
      <c r="L1767" t="s">
        <v>17</v>
      </c>
      <c r="M1767" t="str">
        <f>REPLACE(Transactions!M1767,1,4,"")</f>
        <v>18</v>
      </c>
    </row>
    <row r="1768" spans="1:13" x14ac:dyDescent="0.2">
      <c r="A1768">
        <v>389797</v>
      </c>
      <c r="B1768" s="5">
        <v>44755</v>
      </c>
      <c r="C1768">
        <v>26403</v>
      </c>
      <c r="D1768" t="str">
        <f>PROPER(Transactions!D1768)</f>
        <v>Home &amp; Garden</v>
      </c>
      <c r="E1768" t="s">
        <v>153</v>
      </c>
      <c r="F1768" t="s">
        <v>154</v>
      </c>
      <c r="G1768">
        <v>1</v>
      </c>
      <c r="H1768">
        <v>29.99</v>
      </c>
      <c r="I1768" s="7">
        <f>IF(Transactions!I1768="",0,Transactions!I1768)</f>
        <v>0</v>
      </c>
      <c r="J1768" s="9">
        <f t="shared" si="27"/>
        <v>29.99</v>
      </c>
      <c r="K1768" t="s">
        <v>36</v>
      </c>
      <c r="L1768" t="s">
        <v>37</v>
      </c>
      <c r="M1768" t="str">
        <f>REPLACE(Transactions!M1768,1,4,"")</f>
        <v>3</v>
      </c>
    </row>
    <row r="1769" spans="1:13" x14ac:dyDescent="0.2">
      <c r="A1769">
        <v>389847</v>
      </c>
      <c r="B1769" s="5">
        <v>45054</v>
      </c>
      <c r="C1769">
        <v>87425</v>
      </c>
      <c r="D1769" t="str">
        <f>PROPER(Transactions!D1769)</f>
        <v>Sports</v>
      </c>
      <c r="E1769" t="s">
        <v>147</v>
      </c>
      <c r="F1769" t="s">
        <v>148</v>
      </c>
      <c r="G1769">
        <v>1</v>
      </c>
      <c r="H1769">
        <v>11.04</v>
      </c>
      <c r="I1769" s="7">
        <f>IF(Transactions!I1769="",0,Transactions!I1769)</f>
        <v>0.15</v>
      </c>
      <c r="J1769" s="9">
        <f t="shared" si="27"/>
        <v>9.3839999999999986</v>
      </c>
      <c r="K1769" t="s">
        <v>36</v>
      </c>
      <c r="L1769" t="s">
        <v>17</v>
      </c>
      <c r="M1769" t="str">
        <f>REPLACE(Transactions!M1769,1,4,"")</f>
        <v>11</v>
      </c>
    </row>
    <row r="1770" spans="1:13" x14ac:dyDescent="0.2">
      <c r="A1770">
        <v>390253</v>
      </c>
      <c r="B1770" s="5">
        <v>44642</v>
      </c>
      <c r="C1770">
        <v>62133</v>
      </c>
      <c r="D1770" t="str">
        <f>PROPER(Transactions!D1770)</f>
        <v>Automotive</v>
      </c>
      <c r="E1770" t="s">
        <v>111</v>
      </c>
      <c r="F1770" t="s">
        <v>112</v>
      </c>
      <c r="G1770">
        <v>2</v>
      </c>
      <c r="H1770">
        <v>13.49</v>
      </c>
      <c r="I1770" s="7">
        <f>IF(Transactions!I1770="",0,Transactions!I1770)</f>
        <v>0.1</v>
      </c>
      <c r="J1770" s="9">
        <f t="shared" si="27"/>
        <v>24.282</v>
      </c>
      <c r="K1770" t="s">
        <v>32</v>
      </c>
      <c r="L1770" t="s">
        <v>17</v>
      </c>
      <c r="M1770" t="str">
        <f>REPLACE(Transactions!M1770,1,4,"")</f>
        <v>20</v>
      </c>
    </row>
    <row r="1771" spans="1:13" x14ac:dyDescent="0.2">
      <c r="A1771">
        <v>391137</v>
      </c>
      <c r="B1771" s="5">
        <v>44941</v>
      </c>
      <c r="C1771">
        <v>97906</v>
      </c>
      <c r="D1771" t="str">
        <f>PROPER(Transactions!D1771)</f>
        <v>Clothing</v>
      </c>
      <c r="E1771" t="s">
        <v>165</v>
      </c>
      <c r="F1771" t="s">
        <v>166</v>
      </c>
      <c r="G1771">
        <v>1</v>
      </c>
      <c r="H1771">
        <v>85.49</v>
      </c>
      <c r="I1771" s="7">
        <f>IF(Transactions!I1771="",0,Transactions!I1771)</f>
        <v>0.05</v>
      </c>
      <c r="J1771" s="9">
        <f t="shared" si="27"/>
        <v>81.215499999999992</v>
      </c>
      <c r="K1771" t="s">
        <v>16</v>
      </c>
      <c r="L1771" t="s">
        <v>17</v>
      </c>
      <c r="M1771" t="str">
        <f>REPLACE(Transactions!M1771,1,4,"")</f>
        <v>1</v>
      </c>
    </row>
    <row r="1772" spans="1:13" x14ac:dyDescent="0.2">
      <c r="A1772">
        <v>391208</v>
      </c>
      <c r="B1772" s="5">
        <v>44879</v>
      </c>
      <c r="C1772">
        <v>56912</v>
      </c>
      <c r="D1772" t="str">
        <f>PROPER(Transactions!D1772)</f>
        <v>Grocery</v>
      </c>
      <c r="E1772" t="s">
        <v>177</v>
      </c>
      <c r="F1772" t="s">
        <v>178</v>
      </c>
      <c r="G1772">
        <v>1</v>
      </c>
      <c r="H1772">
        <v>10.79</v>
      </c>
      <c r="I1772" s="7">
        <f>IF(Transactions!I1772="",0,Transactions!I1772)</f>
        <v>0.1</v>
      </c>
      <c r="J1772" s="9">
        <f t="shared" si="27"/>
        <v>9.7110000000000003</v>
      </c>
      <c r="K1772" t="s">
        <v>36</v>
      </c>
      <c r="L1772" t="s">
        <v>37</v>
      </c>
      <c r="M1772" t="str">
        <f>REPLACE(Transactions!M1772,1,4,"")</f>
        <v>11</v>
      </c>
    </row>
    <row r="1773" spans="1:13" x14ac:dyDescent="0.2">
      <c r="A1773">
        <v>391625</v>
      </c>
      <c r="B1773" s="5">
        <v>44866</v>
      </c>
      <c r="C1773">
        <v>86935</v>
      </c>
      <c r="D1773" t="str">
        <f>PROPER(Transactions!D1773)</f>
        <v>Clothing</v>
      </c>
      <c r="E1773" t="s">
        <v>151</v>
      </c>
      <c r="F1773" t="s">
        <v>152</v>
      </c>
      <c r="G1773">
        <v>4</v>
      </c>
      <c r="H1773">
        <v>29.74</v>
      </c>
      <c r="I1773" s="7">
        <f>IF(Transactions!I1773="",0,Transactions!I1773)</f>
        <v>0.15</v>
      </c>
      <c r="J1773" s="9">
        <f t="shared" si="27"/>
        <v>101.11599999999999</v>
      </c>
      <c r="K1773" t="s">
        <v>32</v>
      </c>
      <c r="L1773" t="s">
        <v>17</v>
      </c>
      <c r="M1773" t="str">
        <f>REPLACE(Transactions!M1773,1,4,"")</f>
        <v>4</v>
      </c>
    </row>
    <row r="1774" spans="1:13" x14ac:dyDescent="0.2">
      <c r="A1774">
        <v>391761</v>
      </c>
      <c r="B1774" s="5">
        <v>45402</v>
      </c>
      <c r="C1774">
        <v>13046</v>
      </c>
      <c r="D1774" t="str">
        <f>PROPER(Transactions!D1774)</f>
        <v>Toys</v>
      </c>
      <c r="E1774" t="s">
        <v>170</v>
      </c>
      <c r="F1774" t="s">
        <v>171</v>
      </c>
      <c r="G1774">
        <v>1</v>
      </c>
      <c r="H1774">
        <v>14.24</v>
      </c>
      <c r="I1774" s="7">
        <f>IF(Transactions!I1774="",0,Transactions!I1774)</f>
        <v>0.05</v>
      </c>
      <c r="J1774" s="9">
        <f t="shared" si="27"/>
        <v>13.527999999999999</v>
      </c>
      <c r="K1774" t="s">
        <v>36</v>
      </c>
      <c r="L1774" t="s">
        <v>17</v>
      </c>
      <c r="M1774" t="str">
        <f>REPLACE(Transactions!M1774,1,4,"")</f>
        <v>6</v>
      </c>
    </row>
    <row r="1775" spans="1:13" x14ac:dyDescent="0.2">
      <c r="A1775">
        <v>392003</v>
      </c>
      <c r="B1775" s="5">
        <v>44793</v>
      </c>
      <c r="C1775">
        <v>60465</v>
      </c>
      <c r="D1775" t="str">
        <f>PROPER(Transactions!D1775)</f>
        <v>Pharmacy</v>
      </c>
      <c r="E1775" t="s">
        <v>41</v>
      </c>
      <c r="F1775" t="s">
        <v>42</v>
      </c>
      <c r="G1775">
        <v>5</v>
      </c>
      <c r="H1775">
        <v>4.79</v>
      </c>
      <c r="I1775" s="7">
        <f>IF(Transactions!I1775="",0,Transactions!I1775)</f>
        <v>0.2</v>
      </c>
      <c r="J1775" s="9">
        <f t="shared" si="27"/>
        <v>19.16</v>
      </c>
      <c r="K1775" t="s">
        <v>16</v>
      </c>
      <c r="L1775" t="s">
        <v>17</v>
      </c>
      <c r="M1775" t="str">
        <f>REPLACE(Transactions!M1775,1,4,"")</f>
        <v>14</v>
      </c>
    </row>
    <row r="1776" spans="1:13" x14ac:dyDescent="0.2">
      <c r="A1776">
        <v>392080</v>
      </c>
      <c r="B1776" s="5">
        <v>44711</v>
      </c>
      <c r="C1776">
        <v>26603</v>
      </c>
      <c r="D1776" t="str">
        <f>PROPER(Transactions!D1776)</f>
        <v>Toys</v>
      </c>
      <c r="E1776" t="s">
        <v>72</v>
      </c>
      <c r="F1776" t="s">
        <v>73</v>
      </c>
      <c r="G1776">
        <v>2</v>
      </c>
      <c r="H1776">
        <v>37.99</v>
      </c>
      <c r="I1776" s="7">
        <f>IF(Transactions!I1776="",0,Transactions!I1776)</f>
        <v>0.05</v>
      </c>
      <c r="J1776" s="9">
        <f t="shared" si="27"/>
        <v>72.180999999999997</v>
      </c>
      <c r="K1776" t="s">
        <v>22</v>
      </c>
      <c r="L1776" t="s">
        <v>23</v>
      </c>
      <c r="M1776" t="str">
        <f>REPLACE(Transactions!M1776,1,4,"")</f>
        <v>7</v>
      </c>
    </row>
    <row r="1777" spans="1:13" x14ac:dyDescent="0.2">
      <c r="A1777">
        <v>392476</v>
      </c>
      <c r="B1777" s="5">
        <v>45363</v>
      </c>
      <c r="C1777">
        <v>86484</v>
      </c>
      <c r="D1777" t="str">
        <f>PROPER(Transactions!D1777)</f>
        <v>Automotive</v>
      </c>
      <c r="E1777" t="s">
        <v>64</v>
      </c>
      <c r="F1777" t="s">
        <v>65</v>
      </c>
      <c r="G1777">
        <v>1</v>
      </c>
      <c r="H1777">
        <v>4.99</v>
      </c>
      <c r="I1777" s="7">
        <f>IF(Transactions!I1777="",0,Transactions!I1777)</f>
        <v>0</v>
      </c>
      <c r="J1777" s="9">
        <f t="shared" si="27"/>
        <v>4.99</v>
      </c>
      <c r="K1777" t="s">
        <v>22</v>
      </c>
      <c r="L1777" t="s">
        <v>17</v>
      </c>
      <c r="M1777" t="str">
        <f>REPLACE(Transactions!M1777,1,4,"")</f>
        <v>18</v>
      </c>
    </row>
    <row r="1778" spans="1:13" x14ac:dyDescent="0.2">
      <c r="A1778">
        <v>392583</v>
      </c>
      <c r="B1778" s="5">
        <v>44829</v>
      </c>
      <c r="C1778">
        <v>64619</v>
      </c>
      <c r="D1778" t="str">
        <f>PROPER(Transactions!D1778)</f>
        <v>Electronics</v>
      </c>
      <c r="E1778" t="s">
        <v>127</v>
      </c>
      <c r="F1778" t="s">
        <v>128</v>
      </c>
      <c r="G1778">
        <v>1</v>
      </c>
      <c r="H1778">
        <v>16.989999999999998</v>
      </c>
      <c r="I1778" s="7">
        <f>IF(Transactions!I1778="",0,Transactions!I1778)</f>
        <v>0.15</v>
      </c>
      <c r="J1778" s="9">
        <f t="shared" si="27"/>
        <v>14.441499999999998</v>
      </c>
      <c r="K1778" t="s">
        <v>36</v>
      </c>
      <c r="L1778" t="s">
        <v>37</v>
      </c>
      <c r="M1778" t="str">
        <f>REPLACE(Transactions!M1778,1,4,"")</f>
        <v>2</v>
      </c>
    </row>
    <row r="1779" spans="1:13" x14ac:dyDescent="0.2">
      <c r="A1779">
        <v>392792</v>
      </c>
      <c r="B1779" s="5">
        <v>45093</v>
      </c>
      <c r="C1779">
        <v>54477</v>
      </c>
      <c r="D1779" t="str">
        <f>PROPER(Transactions!D1779)</f>
        <v>Toys</v>
      </c>
      <c r="E1779" t="s">
        <v>30</v>
      </c>
      <c r="F1779" t="s">
        <v>31</v>
      </c>
      <c r="G1779">
        <v>1</v>
      </c>
      <c r="H1779">
        <v>17.489999999999998</v>
      </c>
      <c r="I1779" s="7">
        <f>IF(Transactions!I1779="",0,Transactions!I1779)</f>
        <v>0.3</v>
      </c>
      <c r="J1779" s="9">
        <f t="shared" si="27"/>
        <v>12.242999999999999</v>
      </c>
      <c r="K1779" t="s">
        <v>16</v>
      </c>
      <c r="L1779" t="s">
        <v>37</v>
      </c>
      <c r="M1779" t="str">
        <f>REPLACE(Transactions!M1779,1,4,"")</f>
        <v>13</v>
      </c>
    </row>
    <row r="1780" spans="1:13" x14ac:dyDescent="0.2">
      <c r="A1780">
        <v>393033</v>
      </c>
      <c r="B1780" s="5">
        <v>44766</v>
      </c>
      <c r="C1780">
        <v>97917</v>
      </c>
      <c r="D1780" t="str">
        <f>PROPER(Transactions!D1780)</f>
        <v>Beauty</v>
      </c>
      <c r="E1780" t="s">
        <v>139</v>
      </c>
      <c r="F1780" t="s">
        <v>140</v>
      </c>
      <c r="G1780">
        <v>4</v>
      </c>
      <c r="H1780">
        <v>5.59</v>
      </c>
      <c r="I1780" s="7">
        <f>IF(Transactions!I1780="",0,Transactions!I1780)</f>
        <v>0.3</v>
      </c>
      <c r="J1780" s="9">
        <f t="shared" si="27"/>
        <v>15.651999999999999</v>
      </c>
      <c r="K1780" t="s">
        <v>16</v>
      </c>
      <c r="L1780" t="s">
        <v>23</v>
      </c>
      <c r="M1780" t="str">
        <f>REPLACE(Transactions!M1780,1,4,"")</f>
        <v>13</v>
      </c>
    </row>
    <row r="1781" spans="1:13" x14ac:dyDescent="0.2">
      <c r="A1781">
        <v>393116</v>
      </c>
      <c r="B1781" s="5">
        <v>45412</v>
      </c>
      <c r="C1781">
        <v>54287</v>
      </c>
      <c r="D1781" t="str">
        <f>PROPER(Transactions!D1781)</f>
        <v>Sports</v>
      </c>
      <c r="E1781" t="s">
        <v>168</v>
      </c>
      <c r="F1781" t="s">
        <v>169</v>
      </c>
      <c r="G1781">
        <v>2</v>
      </c>
      <c r="H1781">
        <v>6.74</v>
      </c>
      <c r="I1781" s="7">
        <f>IF(Transactions!I1781="",0,Transactions!I1781)</f>
        <v>0.25</v>
      </c>
      <c r="J1781" s="9">
        <f t="shared" si="27"/>
        <v>10.11</v>
      </c>
      <c r="K1781" t="s">
        <v>36</v>
      </c>
      <c r="L1781" t="s">
        <v>17</v>
      </c>
      <c r="M1781" t="str">
        <f>REPLACE(Transactions!M1781,1,4,"")</f>
        <v>14</v>
      </c>
    </row>
    <row r="1782" spans="1:13" x14ac:dyDescent="0.2">
      <c r="A1782">
        <v>393201</v>
      </c>
      <c r="B1782" s="5">
        <v>45091</v>
      </c>
      <c r="C1782">
        <v>29843</v>
      </c>
      <c r="D1782" t="str">
        <f>PROPER(Transactions!D1782)</f>
        <v>Pharmacy</v>
      </c>
      <c r="E1782" t="s">
        <v>197</v>
      </c>
      <c r="F1782" t="s">
        <v>198</v>
      </c>
      <c r="G1782">
        <v>2</v>
      </c>
      <c r="H1782">
        <v>14.99</v>
      </c>
      <c r="I1782" s="7">
        <f>IF(Transactions!I1782="",0,Transactions!I1782)</f>
        <v>0</v>
      </c>
      <c r="J1782" s="9">
        <f t="shared" si="27"/>
        <v>29.98</v>
      </c>
      <c r="K1782" t="s">
        <v>16</v>
      </c>
      <c r="L1782" t="s">
        <v>17</v>
      </c>
      <c r="M1782" t="str">
        <f>REPLACE(Transactions!M1782,1,4,"")</f>
        <v>2</v>
      </c>
    </row>
    <row r="1783" spans="1:13" x14ac:dyDescent="0.2">
      <c r="A1783">
        <v>393333</v>
      </c>
      <c r="B1783" s="5">
        <v>44750</v>
      </c>
      <c r="C1783">
        <v>95239</v>
      </c>
      <c r="D1783" t="str">
        <f>PROPER(Transactions!D1783)</f>
        <v>Pharmacy</v>
      </c>
      <c r="E1783" t="s">
        <v>58</v>
      </c>
      <c r="F1783" t="s">
        <v>59</v>
      </c>
      <c r="G1783">
        <v>2</v>
      </c>
      <c r="H1783">
        <v>2.99</v>
      </c>
      <c r="I1783" s="7">
        <f>IF(Transactions!I1783="",0,Transactions!I1783)</f>
        <v>0.25</v>
      </c>
      <c r="J1783" s="9">
        <f t="shared" si="27"/>
        <v>4.4850000000000003</v>
      </c>
      <c r="K1783" t="s">
        <v>16</v>
      </c>
      <c r="L1783" t="s">
        <v>17</v>
      </c>
      <c r="M1783" t="str">
        <f>REPLACE(Transactions!M1783,1,4,"")</f>
        <v>17</v>
      </c>
    </row>
    <row r="1784" spans="1:13" x14ac:dyDescent="0.2">
      <c r="A1784">
        <v>393355</v>
      </c>
      <c r="B1784" s="5">
        <v>45474</v>
      </c>
      <c r="C1784">
        <v>14108</v>
      </c>
      <c r="D1784" t="str">
        <f>PROPER(Transactions!D1784)</f>
        <v>Clothing</v>
      </c>
      <c r="E1784" t="s">
        <v>121</v>
      </c>
      <c r="F1784" t="s">
        <v>122</v>
      </c>
      <c r="G1784">
        <v>1</v>
      </c>
      <c r="H1784">
        <v>9.09</v>
      </c>
      <c r="I1784" s="7">
        <f>IF(Transactions!I1784="",0,Transactions!I1784)</f>
        <v>0</v>
      </c>
      <c r="J1784" s="9">
        <f t="shared" si="27"/>
        <v>9.09</v>
      </c>
      <c r="K1784" t="s">
        <v>32</v>
      </c>
      <c r="L1784" t="s">
        <v>17</v>
      </c>
      <c r="M1784" t="str">
        <f>REPLACE(Transactions!M1784,1,4,"")</f>
        <v>5</v>
      </c>
    </row>
    <row r="1785" spans="1:13" x14ac:dyDescent="0.2">
      <c r="A1785">
        <v>393631</v>
      </c>
      <c r="B1785" s="5">
        <v>45212</v>
      </c>
      <c r="C1785">
        <v>14548</v>
      </c>
      <c r="D1785" t="str">
        <f>PROPER(Transactions!D1785)</f>
        <v>Electronics</v>
      </c>
      <c r="E1785" t="s">
        <v>186</v>
      </c>
      <c r="F1785" t="s">
        <v>187</v>
      </c>
      <c r="G1785">
        <v>1</v>
      </c>
      <c r="H1785">
        <v>34.99</v>
      </c>
      <c r="I1785" s="7">
        <f>IF(Transactions!I1785="",0,Transactions!I1785)</f>
        <v>0.3</v>
      </c>
      <c r="J1785" s="9">
        <f t="shared" si="27"/>
        <v>24.492999999999999</v>
      </c>
      <c r="K1785" t="s">
        <v>36</v>
      </c>
      <c r="L1785" t="s">
        <v>37</v>
      </c>
      <c r="M1785" t="str">
        <f>REPLACE(Transactions!M1785,1,4,"")</f>
        <v>2</v>
      </c>
    </row>
    <row r="1786" spans="1:13" x14ac:dyDescent="0.2">
      <c r="A1786">
        <v>393768</v>
      </c>
      <c r="B1786" s="5">
        <v>45220</v>
      </c>
      <c r="C1786">
        <v>74393</v>
      </c>
      <c r="D1786" t="str">
        <f>PROPER(Transactions!D1786)</f>
        <v>Electronics</v>
      </c>
      <c r="E1786" t="s">
        <v>77</v>
      </c>
      <c r="F1786" t="s">
        <v>78</v>
      </c>
      <c r="G1786">
        <v>1</v>
      </c>
      <c r="H1786">
        <v>474.99</v>
      </c>
      <c r="I1786" s="7">
        <f>IF(Transactions!I1786="",0,Transactions!I1786)</f>
        <v>0.05</v>
      </c>
      <c r="J1786" s="9">
        <f t="shared" si="27"/>
        <v>451.2405</v>
      </c>
      <c r="K1786" t="s">
        <v>16</v>
      </c>
      <c r="L1786" t="s">
        <v>17</v>
      </c>
      <c r="M1786" t="str">
        <f>REPLACE(Transactions!M1786,1,4,"")</f>
        <v>5</v>
      </c>
    </row>
    <row r="1787" spans="1:13" x14ac:dyDescent="0.2">
      <c r="A1787">
        <v>393777</v>
      </c>
      <c r="B1787" s="5">
        <v>44685</v>
      </c>
      <c r="C1787">
        <v>65015</v>
      </c>
      <c r="D1787" t="str">
        <f>PROPER(Transactions!D1787)</f>
        <v>Automotive</v>
      </c>
      <c r="E1787" t="s">
        <v>64</v>
      </c>
      <c r="F1787" t="s">
        <v>65</v>
      </c>
      <c r="G1787">
        <v>2</v>
      </c>
      <c r="H1787">
        <v>4.74</v>
      </c>
      <c r="I1787" s="7">
        <f>IF(Transactions!I1787="",0,Transactions!I1787)</f>
        <v>0.05</v>
      </c>
      <c r="J1787" s="9">
        <f t="shared" si="27"/>
        <v>9.0060000000000002</v>
      </c>
      <c r="K1787" t="s">
        <v>16</v>
      </c>
      <c r="L1787" t="s">
        <v>37</v>
      </c>
      <c r="M1787" t="str">
        <f>REPLACE(Transactions!M1787,1,4,"")</f>
        <v>19</v>
      </c>
    </row>
    <row r="1788" spans="1:13" x14ac:dyDescent="0.2">
      <c r="A1788">
        <v>393780</v>
      </c>
      <c r="B1788" s="5">
        <v>45157</v>
      </c>
      <c r="C1788">
        <v>57192</v>
      </c>
      <c r="D1788" t="str">
        <f>PROPER(Transactions!D1788)</f>
        <v>Pharmacy</v>
      </c>
      <c r="E1788" t="s">
        <v>20</v>
      </c>
      <c r="F1788" t="s">
        <v>21</v>
      </c>
      <c r="G1788">
        <v>4</v>
      </c>
      <c r="H1788">
        <v>9.99</v>
      </c>
      <c r="I1788" s="7">
        <f>IF(Transactions!I1788="",0,Transactions!I1788)</f>
        <v>0</v>
      </c>
      <c r="J1788" s="9">
        <f t="shared" si="27"/>
        <v>39.96</v>
      </c>
      <c r="K1788" t="s">
        <v>22</v>
      </c>
      <c r="L1788" t="s">
        <v>23</v>
      </c>
      <c r="M1788" t="str">
        <f>REPLACE(Transactions!M1788,1,4,"")</f>
        <v>8</v>
      </c>
    </row>
    <row r="1789" spans="1:13" x14ac:dyDescent="0.2">
      <c r="A1789">
        <v>393827</v>
      </c>
      <c r="B1789" s="5">
        <v>45329</v>
      </c>
      <c r="C1789">
        <v>74430</v>
      </c>
      <c r="D1789" t="str">
        <f>PROPER(Transactions!D1789)</f>
        <v>Toys</v>
      </c>
      <c r="E1789" t="s">
        <v>38</v>
      </c>
      <c r="F1789" t="s">
        <v>39</v>
      </c>
      <c r="G1789">
        <v>5</v>
      </c>
      <c r="H1789">
        <v>22.49</v>
      </c>
      <c r="I1789" s="7">
        <f>IF(Transactions!I1789="",0,Transactions!I1789)</f>
        <v>0.25</v>
      </c>
      <c r="J1789" s="9">
        <f t="shared" si="27"/>
        <v>84.337499999999991</v>
      </c>
      <c r="K1789" t="s">
        <v>16</v>
      </c>
      <c r="L1789" t="s">
        <v>17</v>
      </c>
      <c r="M1789" t="str">
        <f>REPLACE(Transactions!M1789,1,4,"")</f>
        <v>13</v>
      </c>
    </row>
    <row r="1790" spans="1:13" x14ac:dyDescent="0.2">
      <c r="A1790">
        <v>393897</v>
      </c>
      <c r="B1790" s="5">
        <v>44735</v>
      </c>
      <c r="C1790">
        <v>39623</v>
      </c>
      <c r="D1790" t="str">
        <f>PROPER(Transactions!D1790)</f>
        <v>Electronics</v>
      </c>
      <c r="E1790" t="s">
        <v>34</v>
      </c>
      <c r="F1790" t="s">
        <v>35</v>
      </c>
      <c r="G1790">
        <v>1</v>
      </c>
      <c r="H1790">
        <v>34.99</v>
      </c>
      <c r="I1790" s="7">
        <f>IF(Transactions!I1790="",0,Transactions!I1790)</f>
        <v>0</v>
      </c>
      <c r="J1790" s="9">
        <f t="shared" si="27"/>
        <v>34.99</v>
      </c>
      <c r="K1790" t="s">
        <v>16</v>
      </c>
      <c r="L1790" t="s">
        <v>17</v>
      </c>
      <c r="M1790" t="str">
        <f>REPLACE(Transactions!M1790,1,4,"")</f>
        <v>10</v>
      </c>
    </row>
    <row r="1791" spans="1:13" x14ac:dyDescent="0.2">
      <c r="A1791">
        <v>393997</v>
      </c>
      <c r="B1791" s="5">
        <v>44779</v>
      </c>
      <c r="D1791" t="str">
        <f>PROPER(Transactions!D1791)</f>
        <v>Automotive</v>
      </c>
      <c r="E1791" t="s">
        <v>125</v>
      </c>
      <c r="F1791" t="s">
        <v>126</v>
      </c>
      <c r="G1791">
        <v>1</v>
      </c>
      <c r="H1791">
        <v>25.49</v>
      </c>
      <c r="I1791" s="7">
        <f>IF(Transactions!I1791="",0,Transactions!I1791)</f>
        <v>0.15</v>
      </c>
      <c r="J1791" s="9">
        <f t="shared" si="27"/>
        <v>21.666499999999999</v>
      </c>
      <c r="K1791" t="s">
        <v>95</v>
      </c>
      <c r="L1791" t="s">
        <v>17</v>
      </c>
      <c r="M1791" t="str">
        <f>REPLACE(Transactions!M1791,1,4,"")</f>
        <v>19</v>
      </c>
    </row>
    <row r="1792" spans="1:13" x14ac:dyDescent="0.2">
      <c r="A1792">
        <v>394095</v>
      </c>
      <c r="B1792" s="5">
        <v>44697</v>
      </c>
      <c r="C1792">
        <v>39018</v>
      </c>
      <c r="D1792" t="str">
        <f>PROPER(Transactions!D1792)</f>
        <v>Automotive</v>
      </c>
      <c r="E1792" t="s">
        <v>125</v>
      </c>
      <c r="F1792" t="s">
        <v>126</v>
      </c>
      <c r="G1792">
        <v>3</v>
      </c>
      <c r="H1792">
        <v>29.99</v>
      </c>
      <c r="I1792" s="7">
        <f>IF(Transactions!I1792="",0,Transactions!I1792)</f>
        <v>0</v>
      </c>
      <c r="J1792" s="9">
        <f t="shared" si="27"/>
        <v>89.97</v>
      </c>
      <c r="K1792" t="s">
        <v>53</v>
      </c>
      <c r="L1792" t="s">
        <v>17</v>
      </c>
      <c r="M1792" t="str">
        <f>REPLACE(Transactions!M1792,1,4,"")</f>
        <v>14</v>
      </c>
    </row>
    <row r="1793" spans="1:13" x14ac:dyDescent="0.2">
      <c r="A1793">
        <v>394238</v>
      </c>
      <c r="B1793" s="5">
        <v>45229</v>
      </c>
      <c r="C1793">
        <v>61584</v>
      </c>
      <c r="D1793" t="str">
        <f>PROPER(Transactions!D1793)</f>
        <v>Sports</v>
      </c>
      <c r="E1793" t="s">
        <v>155</v>
      </c>
      <c r="F1793" t="s">
        <v>156</v>
      </c>
      <c r="G1793">
        <v>2</v>
      </c>
      <c r="H1793">
        <v>15.99</v>
      </c>
      <c r="I1793" s="7">
        <f>IF(Transactions!I1793="",0,Transactions!I1793)</f>
        <v>0</v>
      </c>
      <c r="J1793" s="9">
        <f t="shared" si="27"/>
        <v>31.98</v>
      </c>
      <c r="K1793" t="s">
        <v>16</v>
      </c>
      <c r="L1793" t="s">
        <v>37</v>
      </c>
      <c r="M1793" t="str">
        <f>REPLACE(Transactions!M1793,1,4,"")</f>
        <v>3</v>
      </c>
    </row>
    <row r="1794" spans="1:13" x14ac:dyDescent="0.2">
      <c r="A1794">
        <v>394351</v>
      </c>
      <c r="B1794" s="5">
        <v>44872</v>
      </c>
      <c r="C1794">
        <v>19073</v>
      </c>
      <c r="D1794" t="str">
        <f>PROPER(Transactions!D1794)</f>
        <v>Clothing</v>
      </c>
      <c r="E1794" t="s">
        <v>151</v>
      </c>
      <c r="F1794" t="s">
        <v>152</v>
      </c>
      <c r="G1794">
        <v>1</v>
      </c>
      <c r="H1794">
        <v>34.99</v>
      </c>
      <c r="I1794" s="7">
        <f>IF(Transactions!I1794="",0,Transactions!I1794)</f>
        <v>0</v>
      </c>
      <c r="J1794" s="9">
        <f t="shared" si="27"/>
        <v>34.99</v>
      </c>
      <c r="K1794" t="s">
        <v>22</v>
      </c>
      <c r="L1794" t="s">
        <v>17</v>
      </c>
      <c r="M1794" t="str">
        <f>REPLACE(Transactions!M1794,1,4,"")</f>
        <v>14</v>
      </c>
    </row>
    <row r="1795" spans="1:13" x14ac:dyDescent="0.2">
      <c r="A1795">
        <v>394368</v>
      </c>
      <c r="B1795" s="5">
        <v>44806</v>
      </c>
      <c r="C1795">
        <v>14068</v>
      </c>
      <c r="D1795" t="str">
        <f>PROPER(Transactions!D1795)</f>
        <v>Furniture</v>
      </c>
      <c r="E1795" t="s">
        <v>60</v>
      </c>
      <c r="F1795" t="s">
        <v>61</v>
      </c>
      <c r="G1795">
        <v>2</v>
      </c>
      <c r="H1795">
        <v>49.49</v>
      </c>
      <c r="I1795" s="7">
        <f>IF(Transactions!I1795="",0,Transactions!I1795)</f>
        <v>0.1</v>
      </c>
      <c r="J1795" s="9">
        <f t="shared" ref="J1795:J1858" si="28">(H1795*G1795)*(1-I1795)</f>
        <v>89.082000000000008</v>
      </c>
      <c r="K1795" t="s">
        <v>22</v>
      </c>
      <c r="L1795" t="s">
        <v>23</v>
      </c>
      <c r="M1795" t="str">
        <f>REPLACE(Transactions!M1795,1,4,"")</f>
        <v>12</v>
      </c>
    </row>
    <row r="1796" spans="1:13" x14ac:dyDescent="0.2">
      <c r="A1796">
        <v>394523</v>
      </c>
      <c r="B1796" s="5">
        <v>44898</v>
      </c>
      <c r="C1796">
        <v>12830</v>
      </c>
      <c r="D1796" t="str">
        <f>PROPER(Transactions!D1796)</f>
        <v>Pharmacy</v>
      </c>
      <c r="E1796" t="s">
        <v>20</v>
      </c>
      <c r="F1796" t="s">
        <v>21</v>
      </c>
      <c r="G1796">
        <v>1</v>
      </c>
      <c r="H1796">
        <v>9.99</v>
      </c>
      <c r="I1796" s="7">
        <f>IF(Transactions!I1796="",0,Transactions!I1796)</f>
        <v>0</v>
      </c>
      <c r="J1796" s="9">
        <f t="shared" si="28"/>
        <v>9.99</v>
      </c>
      <c r="K1796" t="s">
        <v>32</v>
      </c>
      <c r="L1796" t="s">
        <v>37</v>
      </c>
      <c r="M1796" t="str">
        <f>REPLACE(Transactions!M1796,1,4,"")</f>
        <v>4</v>
      </c>
    </row>
    <row r="1797" spans="1:13" x14ac:dyDescent="0.2">
      <c r="A1797">
        <v>394695</v>
      </c>
      <c r="B1797" s="5">
        <v>45569</v>
      </c>
      <c r="C1797">
        <v>35076</v>
      </c>
      <c r="D1797" t="str">
        <f>PROPER(Transactions!D1797)</f>
        <v>Furniture</v>
      </c>
      <c r="E1797" t="s">
        <v>26</v>
      </c>
      <c r="F1797" t="s">
        <v>27</v>
      </c>
      <c r="G1797">
        <v>3</v>
      </c>
      <c r="H1797">
        <v>31.49</v>
      </c>
      <c r="I1797" s="7">
        <f>IF(Transactions!I1797="",0,Transactions!I1797)</f>
        <v>0.1</v>
      </c>
      <c r="J1797" s="9">
        <f t="shared" si="28"/>
        <v>85.022999999999996</v>
      </c>
      <c r="K1797" t="s">
        <v>22</v>
      </c>
      <c r="L1797" t="s">
        <v>37</v>
      </c>
      <c r="M1797" t="str">
        <f>REPLACE(Transactions!M1797,1,4,"")</f>
        <v>18</v>
      </c>
    </row>
    <row r="1798" spans="1:13" x14ac:dyDescent="0.2">
      <c r="A1798">
        <v>394804</v>
      </c>
      <c r="B1798" s="5">
        <v>44887</v>
      </c>
      <c r="C1798">
        <v>23119</v>
      </c>
      <c r="D1798" t="str">
        <f>PROPER(Transactions!D1798)</f>
        <v>Grocery</v>
      </c>
      <c r="E1798" t="s">
        <v>45</v>
      </c>
      <c r="F1798" t="s">
        <v>46</v>
      </c>
      <c r="G1798">
        <v>2</v>
      </c>
      <c r="H1798">
        <v>1.79</v>
      </c>
      <c r="I1798" s="7">
        <f>IF(Transactions!I1798="",0,Transactions!I1798)</f>
        <v>0</v>
      </c>
      <c r="J1798" s="9">
        <f t="shared" si="28"/>
        <v>3.58</v>
      </c>
      <c r="K1798" t="s">
        <v>36</v>
      </c>
      <c r="L1798" t="s">
        <v>37</v>
      </c>
      <c r="M1798" t="str">
        <f>REPLACE(Transactions!M1798,1,4,"")</f>
        <v>1</v>
      </c>
    </row>
    <row r="1799" spans="1:13" x14ac:dyDescent="0.2">
      <c r="A1799">
        <v>394914</v>
      </c>
      <c r="B1799" s="5">
        <v>45361</v>
      </c>
      <c r="C1799">
        <v>52057</v>
      </c>
      <c r="D1799" t="str">
        <f>PROPER(Transactions!D1799)</f>
        <v>Automotive</v>
      </c>
      <c r="E1799" t="s">
        <v>111</v>
      </c>
      <c r="F1799" t="s">
        <v>112</v>
      </c>
      <c r="G1799">
        <v>3</v>
      </c>
      <c r="H1799">
        <v>12.74</v>
      </c>
      <c r="I1799" s="7">
        <f>IF(Transactions!I1799="",0,Transactions!I1799)</f>
        <v>0.15</v>
      </c>
      <c r="J1799" s="9">
        <f t="shared" si="28"/>
        <v>32.486999999999995</v>
      </c>
      <c r="K1799" t="s">
        <v>22</v>
      </c>
      <c r="L1799" t="s">
        <v>17</v>
      </c>
      <c r="M1799" t="str">
        <f>REPLACE(Transactions!M1799,1,4,"")</f>
        <v>18</v>
      </c>
    </row>
    <row r="1800" spans="1:13" x14ac:dyDescent="0.2">
      <c r="A1800">
        <v>394954</v>
      </c>
      <c r="B1800" s="5">
        <v>45136</v>
      </c>
      <c r="C1800">
        <v>99966</v>
      </c>
      <c r="D1800" t="str">
        <f>PROPER(Transactions!D1800)</f>
        <v>Home &amp; Garden</v>
      </c>
      <c r="E1800" t="s">
        <v>153</v>
      </c>
      <c r="F1800" t="s">
        <v>154</v>
      </c>
      <c r="G1800">
        <v>2</v>
      </c>
      <c r="H1800">
        <v>28.49</v>
      </c>
      <c r="I1800" s="7">
        <f>IF(Transactions!I1800="",0,Transactions!I1800)</f>
        <v>0.05</v>
      </c>
      <c r="J1800" s="9">
        <f t="shared" si="28"/>
        <v>54.130999999999993</v>
      </c>
      <c r="K1800" t="s">
        <v>36</v>
      </c>
      <c r="L1800" t="s">
        <v>17</v>
      </c>
      <c r="M1800" t="str">
        <f>REPLACE(Transactions!M1800,1,4,"")</f>
        <v>18</v>
      </c>
    </row>
    <row r="1801" spans="1:13" x14ac:dyDescent="0.2">
      <c r="A1801">
        <v>395019</v>
      </c>
      <c r="B1801" s="5">
        <v>45279</v>
      </c>
      <c r="C1801">
        <v>33175</v>
      </c>
      <c r="D1801" t="str">
        <f>PROPER(Transactions!D1801)</f>
        <v>Grocery</v>
      </c>
      <c r="E1801" t="s">
        <v>107</v>
      </c>
      <c r="F1801" t="s">
        <v>108</v>
      </c>
      <c r="G1801">
        <v>5</v>
      </c>
      <c r="H1801">
        <v>3.49</v>
      </c>
      <c r="I1801" s="7">
        <f>IF(Transactions!I1801="",0,Transactions!I1801)</f>
        <v>0</v>
      </c>
      <c r="J1801" s="9">
        <f t="shared" si="28"/>
        <v>17.450000000000003</v>
      </c>
      <c r="K1801" t="s">
        <v>32</v>
      </c>
      <c r="L1801" t="s">
        <v>37</v>
      </c>
      <c r="M1801" t="str">
        <f>REPLACE(Transactions!M1801,1,4,"")</f>
        <v>16</v>
      </c>
    </row>
    <row r="1802" spans="1:13" x14ac:dyDescent="0.2">
      <c r="A1802">
        <v>395647</v>
      </c>
      <c r="B1802" s="5">
        <v>45564</v>
      </c>
      <c r="C1802">
        <v>59433</v>
      </c>
      <c r="D1802" t="str">
        <f>PROPER(Transactions!D1802)</f>
        <v>Clothing</v>
      </c>
      <c r="E1802" t="s">
        <v>121</v>
      </c>
      <c r="F1802" t="s">
        <v>122</v>
      </c>
      <c r="G1802">
        <v>2</v>
      </c>
      <c r="H1802">
        <v>11.04</v>
      </c>
      <c r="I1802" s="7">
        <f>IF(Transactions!I1802="",0,Transactions!I1802)</f>
        <v>0.15</v>
      </c>
      <c r="J1802" s="9">
        <f t="shared" si="28"/>
        <v>18.767999999999997</v>
      </c>
      <c r="K1802" t="s">
        <v>16</v>
      </c>
      <c r="L1802" t="s">
        <v>17</v>
      </c>
      <c r="M1802" t="str">
        <f>REPLACE(Transactions!M1802,1,4,"")</f>
        <v>8</v>
      </c>
    </row>
    <row r="1803" spans="1:13" x14ac:dyDescent="0.2">
      <c r="A1803">
        <v>395648</v>
      </c>
      <c r="B1803" s="5">
        <v>44691</v>
      </c>
      <c r="C1803">
        <v>62925</v>
      </c>
      <c r="D1803" t="str">
        <f>PROPER(Transactions!D1803)</f>
        <v>Furniture</v>
      </c>
      <c r="E1803" t="s">
        <v>26</v>
      </c>
      <c r="F1803" t="s">
        <v>27</v>
      </c>
      <c r="G1803">
        <v>2</v>
      </c>
      <c r="H1803">
        <v>27.99</v>
      </c>
      <c r="I1803" s="7">
        <f>IF(Transactions!I1803="",0,Transactions!I1803)</f>
        <v>0.2</v>
      </c>
      <c r="J1803" s="9">
        <f t="shared" si="28"/>
        <v>44.783999999999999</v>
      </c>
      <c r="K1803" t="s">
        <v>36</v>
      </c>
      <c r="L1803" t="s">
        <v>17</v>
      </c>
      <c r="M1803" t="str">
        <f>REPLACE(Transactions!M1803,1,4,"")</f>
        <v>15</v>
      </c>
    </row>
    <row r="1804" spans="1:13" x14ac:dyDescent="0.2">
      <c r="A1804">
        <v>395694</v>
      </c>
      <c r="B1804" s="5">
        <v>45181</v>
      </c>
      <c r="D1804" t="str">
        <f>PROPER(Transactions!D1804)</f>
        <v>Clothing</v>
      </c>
      <c r="E1804" t="s">
        <v>165</v>
      </c>
      <c r="F1804" t="s">
        <v>166</v>
      </c>
      <c r="G1804">
        <v>1</v>
      </c>
      <c r="H1804">
        <v>80.989999999999995</v>
      </c>
      <c r="I1804" s="7">
        <f>IF(Transactions!I1804="",0,Transactions!I1804)</f>
        <v>0.1</v>
      </c>
      <c r="J1804" s="9">
        <f t="shared" si="28"/>
        <v>72.890999999999991</v>
      </c>
      <c r="K1804" t="s">
        <v>36</v>
      </c>
      <c r="L1804" t="s">
        <v>17</v>
      </c>
      <c r="M1804" t="str">
        <f>REPLACE(Transactions!M1804,1,4,"")</f>
        <v>19</v>
      </c>
    </row>
    <row r="1805" spans="1:13" x14ac:dyDescent="0.2">
      <c r="A1805">
        <v>395746</v>
      </c>
      <c r="B1805" s="5">
        <v>44641</v>
      </c>
      <c r="C1805">
        <v>61752</v>
      </c>
      <c r="D1805" t="str">
        <f>PROPER(Transactions!D1805)</f>
        <v>Beauty</v>
      </c>
      <c r="E1805" t="s">
        <v>109</v>
      </c>
      <c r="F1805" t="s">
        <v>110</v>
      </c>
      <c r="G1805">
        <v>3</v>
      </c>
      <c r="H1805">
        <v>6.99</v>
      </c>
      <c r="I1805" s="7">
        <f>IF(Transactions!I1805="",0,Transactions!I1805)</f>
        <v>0</v>
      </c>
      <c r="J1805" s="9">
        <f t="shared" si="28"/>
        <v>20.97</v>
      </c>
      <c r="K1805" t="s">
        <v>16</v>
      </c>
      <c r="L1805" t="s">
        <v>37</v>
      </c>
      <c r="M1805" t="str">
        <f>REPLACE(Transactions!M1805,1,4,"")</f>
        <v>3</v>
      </c>
    </row>
    <row r="1806" spans="1:13" x14ac:dyDescent="0.2">
      <c r="A1806">
        <v>395968</v>
      </c>
      <c r="B1806" s="5">
        <v>45542</v>
      </c>
      <c r="C1806">
        <v>23491</v>
      </c>
      <c r="D1806" t="str">
        <f>PROPER(Transactions!D1806)</f>
        <v>Pharmacy</v>
      </c>
      <c r="E1806" t="s">
        <v>20</v>
      </c>
      <c r="F1806" t="s">
        <v>21</v>
      </c>
      <c r="G1806">
        <v>4</v>
      </c>
      <c r="H1806">
        <v>7.49</v>
      </c>
      <c r="I1806" s="7">
        <f>IF(Transactions!I1806="",0,Transactions!I1806)</f>
        <v>0.25</v>
      </c>
      <c r="J1806" s="9">
        <f t="shared" si="28"/>
        <v>22.47</v>
      </c>
      <c r="K1806" t="s">
        <v>16</v>
      </c>
      <c r="L1806" t="s">
        <v>17</v>
      </c>
      <c r="M1806" t="str">
        <f>REPLACE(Transactions!M1806,1,4,"")</f>
        <v>14</v>
      </c>
    </row>
    <row r="1807" spans="1:13" x14ac:dyDescent="0.2">
      <c r="A1807">
        <v>396080</v>
      </c>
      <c r="B1807" s="5">
        <v>44709</v>
      </c>
      <c r="C1807">
        <v>61612</v>
      </c>
      <c r="D1807" t="str">
        <f>PROPER(Transactions!D1807)</f>
        <v>Sports</v>
      </c>
      <c r="E1807" t="s">
        <v>147</v>
      </c>
      <c r="F1807" t="s">
        <v>148</v>
      </c>
      <c r="G1807">
        <v>3</v>
      </c>
      <c r="H1807">
        <v>9.09</v>
      </c>
      <c r="I1807" s="7">
        <f>IF(Transactions!I1807="",0,Transactions!I1807)</f>
        <v>0</v>
      </c>
      <c r="J1807" s="9">
        <f t="shared" si="28"/>
        <v>27.27</v>
      </c>
      <c r="K1807" t="s">
        <v>53</v>
      </c>
      <c r="L1807" t="s">
        <v>17</v>
      </c>
      <c r="M1807" t="str">
        <f>REPLACE(Transactions!M1807,1,4,"")</f>
        <v>19</v>
      </c>
    </row>
    <row r="1808" spans="1:13" x14ac:dyDescent="0.2">
      <c r="A1808">
        <v>396191</v>
      </c>
      <c r="B1808" s="5">
        <v>45012</v>
      </c>
      <c r="C1808">
        <v>45673</v>
      </c>
      <c r="D1808" t="str">
        <f>PROPER(Transactions!D1808)</f>
        <v>Toys</v>
      </c>
      <c r="E1808" t="s">
        <v>38</v>
      </c>
      <c r="F1808" t="s">
        <v>39</v>
      </c>
      <c r="G1808">
        <v>3</v>
      </c>
      <c r="H1808">
        <v>29.99</v>
      </c>
      <c r="I1808" s="7">
        <f>IF(Transactions!I1808="",0,Transactions!I1808)</f>
        <v>0</v>
      </c>
      <c r="J1808" s="9">
        <f t="shared" si="28"/>
        <v>89.97</v>
      </c>
      <c r="K1808" t="s">
        <v>16</v>
      </c>
      <c r="L1808" t="s">
        <v>17</v>
      </c>
      <c r="M1808" t="str">
        <f>REPLACE(Transactions!M1808,1,4,"")</f>
        <v>16</v>
      </c>
    </row>
    <row r="1809" spans="1:13" x14ac:dyDescent="0.2">
      <c r="A1809">
        <v>396251</v>
      </c>
      <c r="B1809" s="5">
        <v>45051</v>
      </c>
      <c r="C1809">
        <v>66885</v>
      </c>
      <c r="D1809" t="str">
        <f>PROPER(Transactions!D1809)</f>
        <v>Home &amp; Garden</v>
      </c>
      <c r="E1809" t="s">
        <v>157</v>
      </c>
      <c r="F1809" t="s">
        <v>158</v>
      </c>
      <c r="G1809">
        <v>2</v>
      </c>
      <c r="H1809">
        <v>12.14</v>
      </c>
      <c r="I1809" s="7">
        <f>IF(Transactions!I1809="",0,Transactions!I1809)</f>
        <v>0.1</v>
      </c>
      <c r="J1809" s="9">
        <f t="shared" si="28"/>
        <v>21.852</v>
      </c>
      <c r="K1809" t="s">
        <v>22</v>
      </c>
      <c r="L1809" t="s">
        <v>23</v>
      </c>
      <c r="M1809" t="str">
        <f>REPLACE(Transactions!M1809,1,4,"")</f>
        <v>7</v>
      </c>
    </row>
    <row r="1810" spans="1:13" x14ac:dyDescent="0.2">
      <c r="A1810">
        <v>396742</v>
      </c>
      <c r="B1810" s="5">
        <v>44566</v>
      </c>
      <c r="C1810">
        <v>71150</v>
      </c>
      <c r="D1810" t="str">
        <f>PROPER(Transactions!D1810)</f>
        <v>Pharmacy</v>
      </c>
      <c r="E1810" t="s">
        <v>197</v>
      </c>
      <c r="F1810" t="s">
        <v>198</v>
      </c>
      <c r="G1810">
        <v>3</v>
      </c>
      <c r="H1810">
        <v>14.99</v>
      </c>
      <c r="I1810" s="7">
        <f>IF(Transactions!I1810="",0,Transactions!I1810)</f>
        <v>0</v>
      </c>
      <c r="J1810" s="9">
        <f t="shared" si="28"/>
        <v>44.97</v>
      </c>
      <c r="K1810" t="s">
        <v>95</v>
      </c>
      <c r="L1810" t="s">
        <v>37</v>
      </c>
      <c r="M1810" t="str">
        <f>REPLACE(Transactions!M1810,1,4,"")</f>
        <v>15</v>
      </c>
    </row>
    <row r="1811" spans="1:13" x14ac:dyDescent="0.2">
      <c r="A1811">
        <v>397167</v>
      </c>
      <c r="B1811" s="5">
        <v>45623</v>
      </c>
      <c r="D1811" t="str">
        <f>PROPER(Transactions!D1811)</f>
        <v>Furniture</v>
      </c>
      <c r="E1811" t="s">
        <v>51</v>
      </c>
      <c r="F1811" t="s">
        <v>52</v>
      </c>
      <c r="G1811">
        <v>2</v>
      </c>
      <c r="H1811">
        <v>26.59</v>
      </c>
      <c r="I1811" s="7">
        <f>IF(Transactions!I1811="",0,Transactions!I1811)</f>
        <v>0.05</v>
      </c>
      <c r="J1811" s="9">
        <f t="shared" si="28"/>
        <v>50.521000000000001</v>
      </c>
      <c r="K1811" t="s">
        <v>16</v>
      </c>
      <c r="L1811" t="s">
        <v>37</v>
      </c>
      <c r="M1811" t="str">
        <f>REPLACE(Transactions!M1811,1,4,"")</f>
        <v>20</v>
      </c>
    </row>
    <row r="1812" spans="1:13" x14ac:dyDescent="0.2">
      <c r="A1812">
        <v>397459</v>
      </c>
      <c r="B1812" s="5">
        <v>44794</v>
      </c>
      <c r="C1812">
        <v>39627</v>
      </c>
      <c r="D1812" t="str">
        <f>PROPER(Transactions!D1812)</f>
        <v>Sports</v>
      </c>
      <c r="E1812" t="s">
        <v>83</v>
      </c>
      <c r="F1812" t="s">
        <v>84</v>
      </c>
      <c r="G1812">
        <v>5</v>
      </c>
      <c r="H1812">
        <v>16.14</v>
      </c>
      <c r="I1812" s="7">
        <f>IF(Transactions!I1812="",0,Transactions!I1812)</f>
        <v>0.05</v>
      </c>
      <c r="J1812" s="9">
        <f t="shared" si="28"/>
        <v>76.664999999999992</v>
      </c>
      <c r="K1812" t="s">
        <v>53</v>
      </c>
      <c r="L1812" t="s">
        <v>37</v>
      </c>
      <c r="M1812" t="str">
        <f>REPLACE(Transactions!M1812,1,4,"")</f>
        <v>1</v>
      </c>
    </row>
    <row r="1813" spans="1:13" x14ac:dyDescent="0.2">
      <c r="A1813">
        <v>397721</v>
      </c>
      <c r="B1813" s="5">
        <v>45319</v>
      </c>
      <c r="C1813">
        <v>92951</v>
      </c>
      <c r="D1813" t="str">
        <f>PROPER(Transactions!D1813)</f>
        <v>Toys</v>
      </c>
      <c r="E1813" t="s">
        <v>30</v>
      </c>
      <c r="F1813" t="s">
        <v>31</v>
      </c>
      <c r="G1813">
        <v>2</v>
      </c>
      <c r="H1813">
        <v>24.99</v>
      </c>
      <c r="I1813" s="7">
        <f>IF(Transactions!I1813="",0,Transactions!I1813)</f>
        <v>0</v>
      </c>
      <c r="J1813" s="9">
        <f t="shared" si="28"/>
        <v>49.98</v>
      </c>
      <c r="K1813" t="s">
        <v>36</v>
      </c>
      <c r="L1813" t="s">
        <v>37</v>
      </c>
      <c r="M1813" t="str">
        <f>REPLACE(Transactions!M1813,1,4,"")</f>
        <v>14</v>
      </c>
    </row>
    <row r="1814" spans="1:13" x14ac:dyDescent="0.2">
      <c r="A1814">
        <v>398194</v>
      </c>
      <c r="B1814" s="5">
        <v>45415</v>
      </c>
      <c r="C1814">
        <v>83685</v>
      </c>
      <c r="D1814" t="str">
        <f>PROPER(Transactions!D1814)</f>
        <v>Clothing</v>
      </c>
      <c r="E1814" t="s">
        <v>151</v>
      </c>
      <c r="F1814" t="s">
        <v>152</v>
      </c>
      <c r="G1814">
        <v>1</v>
      </c>
      <c r="H1814">
        <v>34.99</v>
      </c>
      <c r="I1814" s="7">
        <f>IF(Transactions!I1814="",0,Transactions!I1814)</f>
        <v>0</v>
      </c>
      <c r="J1814" s="9">
        <f t="shared" si="28"/>
        <v>34.99</v>
      </c>
      <c r="K1814" t="s">
        <v>36</v>
      </c>
      <c r="L1814" t="s">
        <v>37</v>
      </c>
      <c r="M1814" t="str">
        <f>REPLACE(Transactions!M1814,1,4,"")</f>
        <v>14</v>
      </c>
    </row>
    <row r="1815" spans="1:13" x14ac:dyDescent="0.2">
      <c r="A1815">
        <v>398221</v>
      </c>
      <c r="B1815" s="5">
        <v>44695</v>
      </c>
      <c r="C1815">
        <v>45205</v>
      </c>
      <c r="D1815" t="str">
        <f>PROPER(Transactions!D1815)</f>
        <v>Sports</v>
      </c>
      <c r="E1815" t="s">
        <v>147</v>
      </c>
      <c r="F1815" t="s">
        <v>148</v>
      </c>
      <c r="G1815">
        <v>1</v>
      </c>
      <c r="H1815">
        <v>9.74</v>
      </c>
      <c r="I1815" s="7">
        <f>IF(Transactions!I1815="",0,Transactions!I1815)</f>
        <v>0.25</v>
      </c>
      <c r="J1815" s="9">
        <f t="shared" si="28"/>
        <v>7.3049999999999997</v>
      </c>
      <c r="K1815" t="s">
        <v>16</v>
      </c>
      <c r="L1815" t="s">
        <v>17</v>
      </c>
      <c r="M1815" t="str">
        <f>REPLACE(Transactions!M1815,1,4,"")</f>
        <v>15</v>
      </c>
    </row>
    <row r="1816" spans="1:13" x14ac:dyDescent="0.2">
      <c r="A1816">
        <v>398254</v>
      </c>
      <c r="B1816" s="5">
        <v>45335</v>
      </c>
      <c r="C1816">
        <v>58026</v>
      </c>
      <c r="D1816" t="str">
        <f>PROPER(Transactions!D1816)</f>
        <v>Beauty</v>
      </c>
      <c r="E1816" t="s">
        <v>49</v>
      </c>
      <c r="F1816" t="s">
        <v>50</v>
      </c>
      <c r="G1816">
        <v>4</v>
      </c>
      <c r="H1816">
        <v>7.64</v>
      </c>
      <c r="I1816" s="7">
        <f>IF(Transactions!I1816="",0,Transactions!I1816)</f>
        <v>0.15</v>
      </c>
      <c r="J1816" s="9">
        <f t="shared" si="28"/>
        <v>25.975999999999999</v>
      </c>
      <c r="K1816" t="s">
        <v>16</v>
      </c>
      <c r="L1816" t="s">
        <v>17</v>
      </c>
      <c r="M1816" t="str">
        <f>REPLACE(Transactions!M1816,1,4,"")</f>
        <v>11</v>
      </c>
    </row>
    <row r="1817" spans="1:13" x14ac:dyDescent="0.2">
      <c r="A1817">
        <v>398357</v>
      </c>
      <c r="B1817" s="5">
        <v>45654</v>
      </c>
      <c r="C1817">
        <v>28346</v>
      </c>
      <c r="D1817" t="str">
        <f>PROPER(Transactions!D1817)</f>
        <v>Furniture</v>
      </c>
      <c r="E1817" t="s">
        <v>113</v>
      </c>
      <c r="F1817" t="s">
        <v>114</v>
      </c>
      <c r="G1817">
        <v>1</v>
      </c>
      <c r="H1817">
        <v>113.99</v>
      </c>
      <c r="I1817" s="7">
        <f>IF(Transactions!I1817="",0,Transactions!I1817)</f>
        <v>0.05</v>
      </c>
      <c r="J1817" s="9">
        <f t="shared" si="28"/>
        <v>108.29049999999999</v>
      </c>
      <c r="K1817" t="s">
        <v>36</v>
      </c>
      <c r="L1817" t="s">
        <v>37</v>
      </c>
      <c r="M1817" t="str">
        <f>REPLACE(Transactions!M1817,1,4,"")</f>
        <v>12</v>
      </c>
    </row>
    <row r="1818" spans="1:13" x14ac:dyDescent="0.2">
      <c r="A1818">
        <v>398539</v>
      </c>
      <c r="B1818" s="5">
        <v>44571</v>
      </c>
      <c r="C1818">
        <v>89986</v>
      </c>
      <c r="D1818" t="str">
        <f>PROPER(Transactions!D1818)</f>
        <v>Electronics</v>
      </c>
      <c r="E1818" t="s">
        <v>77</v>
      </c>
      <c r="F1818" t="s">
        <v>78</v>
      </c>
      <c r="G1818">
        <v>2</v>
      </c>
      <c r="H1818">
        <v>399.99</v>
      </c>
      <c r="I1818" s="7">
        <f>IF(Transactions!I1818="",0,Transactions!I1818)</f>
        <v>0.2</v>
      </c>
      <c r="J1818" s="9">
        <f t="shared" si="28"/>
        <v>639.98400000000004</v>
      </c>
      <c r="K1818" t="s">
        <v>16</v>
      </c>
      <c r="L1818" t="s">
        <v>23</v>
      </c>
      <c r="M1818" t="str">
        <f>REPLACE(Transactions!M1818,1,4,"")</f>
        <v>20</v>
      </c>
    </row>
    <row r="1819" spans="1:13" x14ac:dyDescent="0.2">
      <c r="A1819">
        <v>398714</v>
      </c>
      <c r="B1819" s="5">
        <v>45602</v>
      </c>
      <c r="C1819">
        <v>30546</v>
      </c>
      <c r="D1819" t="str">
        <f>PROPER(Transactions!D1819)</f>
        <v>Sports</v>
      </c>
      <c r="E1819" t="s">
        <v>83</v>
      </c>
      <c r="F1819" t="s">
        <v>84</v>
      </c>
      <c r="G1819">
        <v>5</v>
      </c>
      <c r="H1819">
        <v>11.89</v>
      </c>
      <c r="I1819" s="7">
        <f>IF(Transactions!I1819="",0,Transactions!I1819)</f>
        <v>0.3</v>
      </c>
      <c r="J1819" s="9">
        <f t="shared" si="28"/>
        <v>41.615000000000002</v>
      </c>
      <c r="K1819" t="s">
        <v>16</v>
      </c>
      <c r="L1819" t="s">
        <v>37</v>
      </c>
      <c r="M1819" t="str">
        <f>REPLACE(Transactions!M1819,1,4,"")</f>
        <v>8</v>
      </c>
    </row>
    <row r="1820" spans="1:13" x14ac:dyDescent="0.2">
      <c r="A1820">
        <v>398803</v>
      </c>
      <c r="B1820" s="5">
        <v>45545</v>
      </c>
      <c r="C1820">
        <v>64922</v>
      </c>
      <c r="D1820" t="str">
        <f>PROPER(Transactions!D1820)</f>
        <v>Furniture</v>
      </c>
      <c r="E1820" t="s">
        <v>113</v>
      </c>
      <c r="F1820" t="s">
        <v>114</v>
      </c>
      <c r="G1820">
        <v>4</v>
      </c>
      <c r="H1820">
        <v>107.99</v>
      </c>
      <c r="I1820" s="7">
        <f>IF(Transactions!I1820="",0,Transactions!I1820)</f>
        <v>0.1</v>
      </c>
      <c r="J1820" s="9">
        <f t="shared" si="28"/>
        <v>388.76400000000001</v>
      </c>
      <c r="K1820" t="s">
        <v>16</v>
      </c>
      <c r="L1820" t="s">
        <v>37</v>
      </c>
      <c r="M1820" t="str">
        <f>REPLACE(Transactions!M1820,1,4,"")</f>
        <v>13</v>
      </c>
    </row>
    <row r="1821" spans="1:13" x14ac:dyDescent="0.2">
      <c r="A1821">
        <v>398876</v>
      </c>
      <c r="B1821" s="5">
        <v>45320</v>
      </c>
      <c r="C1821">
        <v>59834</v>
      </c>
      <c r="D1821" t="str">
        <f>PROPER(Transactions!D1821)</f>
        <v>Electronics</v>
      </c>
      <c r="E1821" t="s">
        <v>127</v>
      </c>
      <c r="F1821" t="s">
        <v>128</v>
      </c>
      <c r="G1821">
        <v>5</v>
      </c>
      <c r="H1821">
        <v>15.99</v>
      </c>
      <c r="I1821" s="7">
        <f>IF(Transactions!I1821="",0,Transactions!I1821)</f>
        <v>0.2</v>
      </c>
      <c r="J1821" s="9">
        <f t="shared" si="28"/>
        <v>63.960000000000008</v>
      </c>
      <c r="K1821" t="s">
        <v>22</v>
      </c>
      <c r="L1821" t="s">
        <v>17</v>
      </c>
      <c r="M1821" t="str">
        <f>REPLACE(Transactions!M1821,1,4,"")</f>
        <v>2</v>
      </c>
    </row>
    <row r="1822" spans="1:13" x14ac:dyDescent="0.2">
      <c r="A1822">
        <v>398882</v>
      </c>
      <c r="B1822" s="5">
        <v>45346</v>
      </c>
      <c r="C1822">
        <v>10609</v>
      </c>
      <c r="D1822" t="str">
        <f>PROPER(Transactions!D1822)</f>
        <v>Grocery</v>
      </c>
      <c r="E1822" t="s">
        <v>107</v>
      </c>
      <c r="F1822" t="s">
        <v>108</v>
      </c>
      <c r="G1822">
        <v>2</v>
      </c>
      <c r="H1822">
        <v>3.32</v>
      </c>
      <c r="I1822" s="7">
        <f>IF(Transactions!I1822="",0,Transactions!I1822)</f>
        <v>0.05</v>
      </c>
      <c r="J1822" s="9">
        <f t="shared" si="28"/>
        <v>6.3079999999999998</v>
      </c>
      <c r="K1822" t="s">
        <v>36</v>
      </c>
      <c r="L1822" t="s">
        <v>37</v>
      </c>
      <c r="M1822" t="str">
        <f>REPLACE(Transactions!M1822,1,4,"")</f>
        <v>16</v>
      </c>
    </row>
    <row r="1823" spans="1:13" x14ac:dyDescent="0.2">
      <c r="A1823">
        <v>398910</v>
      </c>
      <c r="B1823" s="5">
        <v>44772</v>
      </c>
      <c r="C1823">
        <v>77286</v>
      </c>
      <c r="D1823" t="str">
        <f>PROPER(Transactions!D1823)</f>
        <v>Electronics</v>
      </c>
      <c r="E1823" t="s">
        <v>55</v>
      </c>
      <c r="F1823" t="s">
        <v>56</v>
      </c>
      <c r="G1823">
        <v>4</v>
      </c>
      <c r="H1823">
        <v>230.99</v>
      </c>
      <c r="I1823" s="7">
        <f>IF(Transactions!I1823="",0,Transactions!I1823)</f>
        <v>0.3</v>
      </c>
      <c r="J1823" s="9">
        <f t="shared" si="28"/>
        <v>646.77199999999993</v>
      </c>
      <c r="K1823" t="s">
        <v>36</v>
      </c>
      <c r="L1823" t="s">
        <v>17</v>
      </c>
      <c r="M1823" t="str">
        <f>REPLACE(Transactions!M1823,1,4,"")</f>
        <v>11</v>
      </c>
    </row>
    <row r="1824" spans="1:13" x14ac:dyDescent="0.2">
      <c r="A1824">
        <v>399006</v>
      </c>
      <c r="B1824" s="5">
        <v>45176</v>
      </c>
      <c r="C1824">
        <v>78806</v>
      </c>
      <c r="D1824" t="str">
        <f>PROPER(Transactions!D1824)</f>
        <v>Pharmacy</v>
      </c>
      <c r="E1824" t="s">
        <v>197</v>
      </c>
      <c r="F1824" t="s">
        <v>198</v>
      </c>
      <c r="G1824">
        <v>1</v>
      </c>
      <c r="H1824">
        <v>11.99</v>
      </c>
      <c r="I1824" s="7">
        <f>IF(Transactions!I1824="",0,Transactions!I1824)</f>
        <v>0.2</v>
      </c>
      <c r="J1824" s="9">
        <f t="shared" si="28"/>
        <v>9.5920000000000005</v>
      </c>
      <c r="K1824" t="s">
        <v>53</v>
      </c>
      <c r="L1824" t="s">
        <v>37</v>
      </c>
      <c r="M1824" t="str">
        <f>REPLACE(Transactions!M1824,1,4,"")</f>
        <v>3</v>
      </c>
    </row>
    <row r="1825" spans="1:13" x14ac:dyDescent="0.2">
      <c r="A1825">
        <v>399346</v>
      </c>
      <c r="B1825" s="5">
        <v>45333</v>
      </c>
      <c r="D1825" t="str">
        <f>PROPER(Transactions!D1825)</f>
        <v>Beauty</v>
      </c>
      <c r="E1825" t="s">
        <v>179</v>
      </c>
      <c r="F1825" t="s">
        <v>180</v>
      </c>
      <c r="G1825">
        <v>1</v>
      </c>
      <c r="H1825">
        <v>11.39</v>
      </c>
      <c r="I1825" s="7">
        <f>IF(Transactions!I1825="",0,Transactions!I1825)</f>
        <v>0.05</v>
      </c>
      <c r="J1825" s="9">
        <f t="shared" si="28"/>
        <v>10.820500000000001</v>
      </c>
      <c r="K1825" t="s">
        <v>16</v>
      </c>
      <c r="L1825" t="s">
        <v>37</v>
      </c>
      <c r="M1825" t="str">
        <f>REPLACE(Transactions!M1825,1,4,"")</f>
        <v>17</v>
      </c>
    </row>
    <row r="1826" spans="1:13" x14ac:dyDescent="0.2">
      <c r="A1826">
        <v>399480</v>
      </c>
      <c r="B1826" s="5">
        <v>45256</v>
      </c>
      <c r="C1826">
        <v>68455</v>
      </c>
      <c r="D1826" t="str">
        <f>PROPER(Transactions!D1826)</f>
        <v>Grocery</v>
      </c>
      <c r="E1826" t="s">
        <v>190</v>
      </c>
      <c r="F1826" t="s">
        <v>191</v>
      </c>
      <c r="G1826">
        <v>2</v>
      </c>
      <c r="H1826">
        <v>3</v>
      </c>
      <c r="I1826" s="7">
        <f>IF(Transactions!I1826="",0,Transactions!I1826)</f>
        <v>0.3</v>
      </c>
      <c r="J1826" s="9">
        <f t="shared" si="28"/>
        <v>4.1999999999999993</v>
      </c>
      <c r="K1826" t="s">
        <v>53</v>
      </c>
      <c r="L1826" t="s">
        <v>37</v>
      </c>
      <c r="M1826" t="str">
        <f>REPLACE(Transactions!M1826,1,4,"")</f>
        <v>2</v>
      </c>
    </row>
    <row r="1827" spans="1:13" x14ac:dyDescent="0.2">
      <c r="A1827">
        <v>399549</v>
      </c>
      <c r="B1827" s="5">
        <v>44656</v>
      </c>
      <c r="D1827" t="str">
        <f>PROPER(Transactions!D1827)</f>
        <v>Beauty</v>
      </c>
      <c r="E1827" t="s">
        <v>143</v>
      </c>
      <c r="F1827" t="s">
        <v>144</v>
      </c>
      <c r="G1827">
        <v>1</v>
      </c>
      <c r="H1827">
        <v>12.74</v>
      </c>
      <c r="I1827" s="7">
        <f>IF(Transactions!I1827="",0,Transactions!I1827)</f>
        <v>0.15</v>
      </c>
      <c r="J1827" s="9">
        <f t="shared" si="28"/>
        <v>10.829000000000001</v>
      </c>
      <c r="K1827" t="s">
        <v>66</v>
      </c>
      <c r="L1827" t="s">
        <v>23</v>
      </c>
      <c r="M1827" t="str">
        <f>REPLACE(Transactions!M1827,1,4,"")</f>
        <v>16</v>
      </c>
    </row>
    <row r="1828" spans="1:13" x14ac:dyDescent="0.2">
      <c r="A1828">
        <v>399577</v>
      </c>
      <c r="B1828" s="5">
        <v>45532</v>
      </c>
      <c r="C1828">
        <v>16540</v>
      </c>
      <c r="D1828" t="str">
        <f>PROPER(Transactions!D1828)</f>
        <v>Furniture</v>
      </c>
      <c r="E1828" t="s">
        <v>113</v>
      </c>
      <c r="F1828" t="s">
        <v>114</v>
      </c>
      <c r="G1828">
        <v>1</v>
      </c>
      <c r="H1828">
        <v>83.99</v>
      </c>
      <c r="I1828" s="7">
        <f>IF(Transactions!I1828="",0,Transactions!I1828)</f>
        <v>0.3</v>
      </c>
      <c r="J1828" s="9">
        <f t="shared" si="28"/>
        <v>58.792999999999992</v>
      </c>
      <c r="K1828" t="s">
        <v>16</v>
      </c>
      <c r="L1828" t="s">
        <v>17</v>
      </c>
      <c r="M1828" t="str">
        <f>REPLACE(Transactions!M1828,1,4,"")</f>
        <v>16</v>
      </c>
    </row>
    <row r="1829" spans="1:13" x14ac:dyDescent="0.2">
      <c r="A1829">
        <v>399900</v>
      </c>
      <c r="B1829" s="5">
        <v>44950</v>
      </c>
      <c r="C1829">
        <v>55378</v>
      </c>
      <c r="D1829" t="str">
        <f>PROPER(Transactions!D1829)</f>
        <v>Grocery</v>
      </c>
      <c r="E1829" t="s">
        <v>172</v>
      </c>
      <c r="F1829" t="s">
        <v>173</v>
      </c>
      <c r="G1829">
        <v>5</v>
      </c>
      <c r="H1829">
        <v>4.04</v>
      </c>
      <c r="I1829" s="7">
        <f>IF(Transactions!I1829="",0,Transactions!I1829)</f>
        <v>0.1</v>
      </c>
      <c r="J1829" s="9">
        <f t="shared" si="28"/>
        <v>18.18</v>
      </c>
      <c r="K1829" t="s">
        <v>16</v>
      </c>
      <c r="L1829" t="s">
        <v>17</v>
      </c>
      <c r="M1829" t="str">
        <f>REPLACE(Transactions!M1829,1,4,"")</f>
        <v>7</v>
      </c>
    </row>
    <row r="1830" spans="1:13" x14ac:dyDescent="0.2">
      <c r="A1830">
        <v>399950</v>
      </c>
      <c r="B1830" s="5">
        <v>45022</v>
      </c>
      <c r="C1830">
        <v>28585</v>
      </c>
      <c r="D1830" t="str">
        <f>PROPER(Transactions!D1830)</f>
        <v>Electronics</v>
      </c>
      <c r="E1830" t="s">
        <v>159</v>
      </c>
      <c r="F1830" t="s">
        <v>160</v>
      </c>
      <c r="G1830">
        <v>1</v>
      </c>
      <c r="H1830">
        <v>56.99</v>
      </c>
      <c r="I1830" s="7">
        <f>IF(Transactions!I1830="",0,Transactions!I1830)</f>
        <v>0.05</v>
      </c>
      <c r="J1830" s="9">
        <f t="shared" si="28"/>
        <v>54.140499999999996</v>
      </c>
      <c r="K1830" t="s">
        <v>53</v>
      </c>
      <c r="L1830" t="s">
        <v>17</v>
      </c>
      <c r="M1830" t="str">
        <f>REPLACE(Transactions!M1830,1,4,"")</f>
        <v>15</v>
      </c>
    </row>
    <row r="1831" spans="1:13" x14ac:dyDescent="0.2">
      <c r="A1831">
        <v>400527</v>
      </c>
      <c r="B1831" s="5">
        <v>45373</v>
      </c>
      <c r="C1831">
        <v>32577</v>
      </c>
      <c r="D1831" t="str">
        <f>PROPER(Transactions!D1831)</f>
        <v>Clothing</v>
      </c>
      <c r="E1831" t="s">
        <v>121</v>
      </c>
      <c r="F1831" t="s">
        <v>122</v>
      </c>
      <c r="G1831">
        <v>2</v>
      </c>
      <c r="H1831">
        <v>9.74</v>
      </c>
      <c r="I1831" s="7">
        <f>IF(Transactions!I1831="",0,Transactions!I1831)</f>
        <v>0.25</v>
      </c>
      <c r="J1831" s="9">
        <f t="shared" si="28"/>
        <v>14.61</v>
      </c>
      <c r="K1831" t="s">
        <v>36</v>
      </c>
      <c r="L1831" t="s">
        <v>17</v>
      </c>
      <c r="M1831" t="str">
        <f>REPLACE(Transactions!M1831,1,4,"")</f>
        <v>11</v>
      </c>
    </row>
    <row r="1832" spans="1:13" x14ac:dyDescent="0.2">
      <c r="A1832">
        <v>400551</v>
      </c>
      <c r="B1832" s="5">
        <v>45217</v>
      </c>
      <c r="C1832">
        <v>97389</v>
      </c>
      <c r="D1832" t="str">
        <f>PROPER(Transactions!D1832)</f>
        <v>Pharmacy</v>
      </c>
      <c r="E1832" t="s">
        <v>41</v>
      </c>
      <c r="F1832" t="s">
        <v>42</v>
      </c>
      <c r="G1832">
        <v>3</v>
      </c>
      <c r="H1832">
        <v>4.79</v>
      </c>
      <c r="I1832" s="7">
        <f>IF(Transactions!I1832="",0,Transactions!I1832)</f>
        <v>0.2</v>
      </c>
      <c r="J1832" s="9">
        <f t="shared" si="28"/>
        <v>11.496000000000002</v>
      </c>
      <c r="K1832" t="s">
        <v>22</v>
      </c>
      <c r="L1832" t="s">
        <v>17</v>
      </c>
      <c r="M1832" t="str">
        <f>REPLACE(Transactions!M1832,1,4,"")</f>
        <v>11</v>
      </c>
    </row>
    <row r="1833" spans="1:13" x14ac:dyDescent="0.2">
      <c r="A1833">
        <v>400676</v>
      </c>
      <c r="B1833" s="5">
        <v>44728</v>
      </c>
      <c r="C1833">
        <v>92438</v>
      </c>
      <c r="D1833" t="str">
        <f>PROPER(Transactions!D1833)</f>
        <v>Beauty</v>
      </c>
      <c r="E1833" t="s">
        <v>49</v>
      </c>
      <c r="F1833" t="s">
        <v>50</v>
      </c>
      <c r="G1833">
        <v>2</v>
      </c>
      <c r="H1833">
        <v>6.74</v>
      </c>
      <c r="I1833" s="7">
        <f>IF(Transactions!I1833="",0,Transactions!I1833)</f>
        <v>0.25</v>
      </c>
      <c r="J1833" s="9">
        <f t="shared" si="28"/>
        <v>10.11</v>
      </c>
      <c r="K1833" t="s">
        <v>16</v>
      </c>
      <c r="L1833" t="s">
        <v>17</v>
      </c>
      <c r="M1833" t="str">
        <f>REPLACE(Transactions!M1833,1,4,"")</f>
        <v>12</v>
      </c>
    </row>
    <row r="1834" spans="1:13" x14ac:dyDescent="0.2">
      <c r="A1834">
        <v>400681</v>
      </c>
      <c r="B1834" s="5">
        <v>45513</v>
      </c>
      <c r="C1834">
        <v>81847</v>
      </c>
      <c r="D1834" t="str">
        <f>PROPER(Transactions!D1834)</f>
        <v>Automotive</v>
      </c>
      <c r="E1834" t="s">
        <v>111</v>
      </c>
      <c r="F1834" t="s">
        <v>112</v>
      </c>
      <c r="G1834">
        <v>1</v>
      </c>
      <c r="H1834">
        <v>10.49</v>
      </c>
      <c r="I1834" s="7">
        <f>IF(Transactions!I1834="",0,Transactions!I1834)</f>
        <v>0.3</v>
      </c>
      <c r="J1834" s="9">
        <f t="shared" si="28"/>
        <v>7.343</v>
      </c>
      <c r="K1834" t="s">
        <v>22</v>
      </c>
      <c r="L1834" t="s">
        <v>37</v>
      </c>
      <c r="M1834" t="str">
        <f>REPLACE(Transactions!M1834,1,4,"")</f>
        <v>10</v>
      </c>
    </row>
    <row r="1835" spans="1:13" x14ac:dyDescent="0.2">
      <c r="A1835">
        <v>400909</v>
      </c>
      <c r="B1835" s="5">
        <v>44827</v>
      </c>
      <c r="C1835">
        <v>23380</v>
      </c>
      <c r="D1835" t="str">
        <f>PROPER(Transactions!D1835)</f>
        <v>Grocery</v>
      </c>
      <c r="E1835" t="s">
        <v>133</v>
      </c>
      <c r="F1835" t="s">
        <v>134</v>
      </c>
      <c r="G1835">
        <v>5</v>
      </c>
      <c r="H1835">
        <v>3.6</v>
      </c>
      <c r="I1835" s="7">
        <f>IF(Transactions!I1835="",0,Transactions!I1835)</f>
        <v>0.05</v>
      </c>
      <c r="J1835" s="9">
        <f t="shared" si="28"/>
        <v>17.099999999999998</v>
      </c>
      <c r="K1835" t="s">
        <v>36</v>
      </c>
      <c r="L1835" t="s">
        <v>17</v>
      </c>
      <c r="M1835" t="str">
        <f>REPLACE(Transactions!M1835,1,4,"")</f>
        <v>4</v>
      </c>
    </row>
    <row r="1836" spans="1:13" x14ac:dyDescent="0.2">
      <c r="A1836">
        <v>401098</v>
      </c>
      <c r="B1836" s="5">
        <v>44852</v>
      </c>
      <c r="C1836">
        <v>23136</v>
      </c>
      <c r="D1836" t="str">
        <f>PROPER(Transactions!D1836)</f>
        <v>Furniture</v>
      </c>
      <c r="E1836" t="s">
        <v>70</v>
      </c>
      <c r="F1836" t="s">
        <v>71</v>
      </c>
      <c r="G1836">
        <v>4</v>
      </c>
      <c r="H1836">
        <v>85.49</v>
      </c>
      <c r="I1836" s="7">
        <f>IF(Transactions!I1836="",0,Transactions!I1836)</f>
        <v>0.05</v>
      </c>
      <c r="J1836" s="9">
        <f t="shared" si="28"/>
        <v>324.86199999999997</v>
      </c>
      <c r="K1836" t="s">
        <v>53</v>
      </c>
      <c r="L1836" t="s">
        <v>17</v>
      </c>
      <c r="M1836" t="str">
        <f>REPLACE(Transactions!M1836,1,4,"")</f>
        <v>9</v>
      </c>
    </row>
    <row r="1837" spans="1:13" x14ac:dyDescent="0.2">
      <c r="A1837">
        <v>401421</v>
      </c>
      <c r="B1837" s="5">
        <v>45436</v>
      </c>
      <c r="C1837">
        <v>62002</v>
      </c>
      <c r="D1837" t="str">
        <f>PROPER(Transactions!D1837)</f>
        <v>Beauty</v>
      </c>
      <c r="E1837" t="s">
        <v>49</v>
      </c>
      <c r="F1837" t="s">
        <v>50</v>
      </c>
      <c r="G1837">
        <v>5</v>
      </c>
      <c r="H1837">
        <v>8.99</v>
      </c>
      <c r="I1837" s="7">
        <f>IF(Transactions!I1837="",0,Transactions!I1837)</f>
        <v>0</v>
      </c>
      <c r="J1837" s="9">
        <f t="shared" si="28"/>
        <v>44.95</v>
      </c>
      <c r="K1837" t="s">
        <v>16</v>
      </c>
      <c r="L1837" t="s">
        <v>17</v>
      </c>
      <c r="M1837" t="str">
        <f>REPLACE(Transactions!M1837,1,4,"")</f>
        <v>20</v>
      </c>
    </row>
    <row r="1838" spans="1:13" x14ac:dyDescent="0.2">
      <c r="A1838">
        <v>401488</v>
      </c>
      <c r="B1838" s="5">
        <v>44899</v>
      </c>
      <c r="C1838">
        <v>52250</v>
      </c>
      <c r="D1838" t="str">
        <f>PROPER(Transactions!D1838)</f>
        <v>Automotive</v>
      </c>
      <c r="E1838" t="s">
        <v>131</v>
      </c>
      <c r="F1838" t="s">
        <v>132</v>
      </c>
      <c r="G1838">
        <v>1</v>
      </c>
      <c r="H1838">
        <v>2.97</v>
      </c>
      <c r="I1838" s="7">
        <f>IF(Transactions!I1838="",0,Transactions!I1838)</f>
        <v>0.15</v>
      </c>
      <c r="J1838" s="9">
        <f t="shared" si="28"/>
        <v>2.5245000000000002</v>
      </c>
      <c r="K1838" t="s">
        <v>95</v>
      </c>
      <c r="L1838" t="s">
        <v>17</v>
      </c>
      <c r="M1838" t="str">
        <f>REPLACE(Transactions!M1838,1,4,"")</f>
        <v>14</v>
      </c>
    </row>
    <row r="1839" spans="1:13" x14ac:dyDescent="0.2">
      <c r="A1839">
        <v>401716</v>
      </c>
      <c r="B1839" s="5">
        <v>45422</v>
      </c>
      <c r="C1839">
        <v>52937</v>
      </c>
      <c r="D1839" t="str">
        <f>PROPER(Transactions!D1839)</f>
        <v>Grocery</v>
      </c>
      <c r="E1839" t="s">
        <v>133</v>
      </c>
      <c r="F1839" t="s">
        <v>134</v>
      </c>
      <c r="G1839">
        <v>1</v>
      </c>
      <c r="H1839">
        <v>3.79</v>
      </c>
      <c r="I1839" s="7">
        <f>IF(Transactions!I1839="",0,Transactions!I1839)</f>
        <v>0</v>
      </c>
      <c r="J1839" s="9">
        <f t="shared" si="28"/>
        <v>3.79</v>
      </c>
      <c r="K1839" t="s">
        <v>36</v>
      </c>
      <c r="L1839" t="s">
        <v>17</v>
      </c>
      <c r="M1839" t="str">
        <f>REPLACE(Transactions!M1839,1,4,"")</f>
        <v>17</v>
      </c>
    </row>
    <row r="1840" spans="1:13" x14ac:dyDescent="0.2">
      <c r="A1840">
        <v>401936</v>
      </c>
      <c r="B1840" s="5">
        <v>45284</v>
      </c>
      <c r="C1840">
        <v>41533</v>
      </c>
      <c r="D1840" t="str">
        <f>PROPER(Transactions!D1840)</f>
        <v>Home &amp; Garden</v>
      </c>
      <c r="E1840" t="s">
        <v>145</v>
      </c>
      <c r="F1840" t="s">
        <v>146</v>
      </c>
      <c r="G1840">
        <v>2</v>
      </c>
      <c r="H1840">
        <v>16.989999999999998</v>
      </c>
      <c r="I1840" s="7">
        <f>IF(Transactions!I1840="",0,Transactions!I1840)</f>
        <v>0</v>
      </c>
      <c r="J1840" s="9">
        <f t="shared" si="28"/>
        <v>33.979999999999997</v>
      </c>
      <c r="K1840" t="s">
        <v>16</v>
      </c>
      <c r="L1840" t="s">
        <v>17</v>
      </c>
      <c r="M1840" t="str">
        <f>REPLACE(Transactions!M1840,1,4,"")</f>
        <v>17</v>
      </c>
    </row>
    <row r="1841" spans="1:13" x14ac:dyDescent="0.2">
      <c r="A1841">
        <v>401982</v>
      </c>
      <c r="B1841" s="5">
        <v>44912</v>
      </c>
      <c r="C1841">
        <v>34258</v>
      </c>
      <c r="D1841" t="str">
        <f>PROPER(Transactions!D1841)</f>
        <v>Toys</v>
      </c>
      <c r="E1841" t="s">
        <v>38</v>
      </c>
      <c r="F1841" t="s">
        <v>39</v>
      </c>
      <c r="G1841">
        <v>1</v>
      </c>
      <c r="H1841">
        <v>28.49</v>
      </c>
      <c r="I1841" s="7">
        <f>IF(Transactions!I1841="",0,Transactions!I1841)</f>
        <v>0.05</v>
      </c>
      <c r="J1841" s="9">
        <f t="shared" si="28"/>
        <v>27.065499999999997</v>
      </c>
      <c r="K1841" t="s">
        <v>16</v>
      </c>
      <c r="L1841" t="s">
        <v>17</v>
      </c>
      <c r="M1841" t="str">
        <f>REPLACE(Transactions!M1841,1,4,"")</f>
        <v>3</v>
      </c>
    </row>
    <row r="1842" spans="1:13" x14ac:dyDescent="0.2">
      <c r="A1842">
        <v>402144</v>
      </c>
      <c r="B1842" s="5">
        <v>45146</v>
      </c>
      <c r="C1842">
        <v>88245</v>
      </c>
      <c r="D1842" t="str">
        <f>PROPER(Transactions!D1842)</f>
        <v>Grocery</v>
      </c>
      <c r="E1842" t="s">
        <v>91</v>
      </c>
      <c r="F1842" t="s">
        <v>92</v>
      </c>
      <c r="G1842">
        <v>2</v>
      </c>
      <c r="H1842">
        <v>6.29</v>
      </c>
      <c r="I1842" s="7">
        <f>IF(Transactions!I1842="",0,Transactions!I1842)</f>
        <v>0</v>
      </c>
      <c r="J1842" s="9">
        <f t="shared" si="28"/>
        <v>12.58</v>
      </c>
      <c r="K1842" t="s">
        <v>36</v>
      </c>
      <c r="L1842" t="s">
        <v>17</v>
      </c>
      <c r="M1842" t="str">
        <f>REPLACE(Transactions!M1842,1,4,"")</f>
        <v>3</v>
      </c>
    </row>
    <row r="1843" spans="1:13" x14ac:dyDescent="0.2">
      <c r="A1843">
        <v>402154</v>
      </c>
      <c r="B1843" s="5">
        <v>44882</v>
      </c>
      <c r="C1843">
        <v>44238</v>
      </c>
      <c r="D1843" t="str">
        <f>PROPER(Transactions!D1843)</f>
        <v>Electronics</v>
      </c>
      <c r="E1843" t="s">
        <v>79</v>
      </c>
      <c r="F1843" t="s">
        <v>80</v>
      </c>
      <c r="G1843">
        <v>3</v>
      </c>
      <c r="H1843">
        <v>80.989999999999995</v>
      </c>
      <c r="I1843" s="7">
        <f>IF(Transactions!I1843="",0,Transactions!I1843)</f>
        <v>0.1</v>
      </c>
      <c r="J1843" s="9">
        <f t="shared" si="28"/>
        <v>218.67299999999997</v>
      </c>
      <c r="K1843" t="s">
        <v>16</v>
      </c>
      <c r="L1843" t="s">
        <v>37</v>
      </c>
      <c r="M1843" t="str">
        <f>REPLACE(Transactions!M1843,1,4,"")</f>
        <v>10</v>
      </c>
    </row>
    <row r="1844" spans="1:13" x14ac:dyDescent="0.2">
      <c r="A1844">
        <v>402217</v>
      </c>
      <c r="B1844" s="5">
        <v>44834</v>
      </c>
      <c r="C1844">
        <v>85147</v>
      </c>
      <c r="D1844" t="str">
        <f>PROPER(Transactions!D1844)</f>
        <v>Pharmacy</v>
      </c>
      <c r="E1844" t="s">
        <v>41</v>
      </c>
      <c r="F1844" t="s">
        <v>42</v>
      </c>
      <c r="G1844">
        <v>3</v>
      </c>
      <c r="H1844">
        <v>5.39</v>
      </c>
      <c r="I1844" s="7">
        <f>IF(Transactions!I1844="",0,Transactions!I1844)</f>
        <v>0</v>
      </c>
      <c r="J1844" s="9">
        <f t="shared" si="28"/>
        <v>16.169999999999998</v>
      </c>
      <c r="K1844" t="s">
        <v>36</v>
      </c>
      <c r="L1844" t="s">
        <v>37</v>
      </c>
      <c r="M1844" t="str">
        <f>REPLACE(Transactions!M1844,1,4,"")</f>
        <v>7</v>
      </c>
    </row>
    <row r="1845" spans="1:13" x14ac:dyDescent="0.2">
      <c r="A1845">
        <v>402276</v>
      </c>
      <c r="B1845" s="5">
        <v>44917</v>
      </c>
      <c r="C1845">
        <v>67954</v>
      </c>
      <c r="D1845" t="str">
        <f>PROPER(Transactions!D1845)</f>
        <v>Beauty</v>
      </c>
      <c r="E1845" t="s">
        <v>49</v>
      </c>
      <c r="F1845" t="s">
        <v>50</v>
      </c>
      <c r="G1845">
        <v>3</v>
      </c>
      <c r="H1845">
        <v>8.09</v>
      </c>
      <c r="I1845" s="7">
        <f>IF(Transactions!I1845="",0,Transactions!I1845)</f>
        <v>0.1</v>
      </c>
      <c r="J1845" s="9">
        <f t="shared" si="28"/>
        <v>21.843</v>
      </c>
      <c r="K1845" t="s">
        <v>36</v>
      </c>
      <c r="L1845" t="s">
        <v>17</v>
      </c>
      <c r="M1845" t="str">
        <f>REPLACE(Transactions!M1845,1,4,"")</f>
        <v>3</v>
      </c>
    </row>
    <row r="1846" spans="1:13" x14ac:dyDescent="0.2">
      <c r="A1846">
        <v>402295</v>
      </c>
      <c r="B1846" s="5">
        <v>45047</v>
      </c>
      <c r="C1846">
        <v>30403</v>
      </c>
      <c r="D1846" t="str">
        <f>PROPER(Transactions!D1846)</f>
        <v>Furniture</v>
      </c>
      <c r="E1846" t="s">
        <v>70</v>
      </c>
      <c r="F1846" t="s">
        <v>71</v>
      </c>
      <c r="G1846">
        <v>2</v>
      </c>
      <c r="H1846">
        <v>62.99</v>
      </c>
      <c r="I1846" s="7">
        <f>IF(Transactions!I1846="",0,Transactions!I1846)</f>
        <v>0.3</v>
      </c>
      <c r="J1846" s="9">
        <f t="shared" si="28"/>
        <v>88.185999999999993</v>
      </c>
      <c r="K1846" t="s">
        <v>16</v>
      </c>
      <c r="L1846" t="s">
        <v>37</v>
      </c>
      <c r="M1846" t="str">
        <f>REPLACE(Transactions!M1846,1,4,"")</f>
        <v>16</v>
      </c>
    </row>
    <row r="1847" spans="1:13" x14ac:dyDescent="0.2">
      <c r="A1847">
        <v>402624</v>
      </c>
      <c r="B1847" s="5">
        <v>44581</v>
      </c>
      <c r="C1847">
        <v>23233</v>
      </c>
      <c r="D1847" t="str">
        <f>PROPER(Transactions!D1847)</f>
        <v>Beauty</v>
      </c>
      <c r="E1847" t="s">
        <v>118</v>
      </c>
      <c r="F1847" t="s">
        <v>119</v>
      </c>
      <c r="G1847">
        <v>4</v>
      </c>
      <c r="H1847">
        <v>4.99</v>
      </c>
      <c r="I1847" s="7">
        <f>IF(Transactions!I1847="",0,Transactions!I1847)</f>
        <v>0</v>
      </c>
      <c r="J1847" s="9">
        <f t="shared" si="28"/>
        <v>19.96</v>
      </c>
      <c r="K1847" t="s">
        <v>36</v>
      </c>
      <c r="L1847" t="s">
        <v>17</v>
      </c>
      <c r="M1847" t="str">
        <f>REPLACE(Transactions!M1847,1,4,"")</f>
        <v>2</v>
      </c>
    </row>
    <row r="1848" spans="1:13" x14ac:dyDescent="0.2">
      <c r="A1848">
        <v>402769</v>
      </c>
      <c r="B1848" s="5">
        <v>45372</v>
      </c>
      <c r="C1848">
        <v>80505</v>
      </c>
      <c r="D1848" t="str">
        <f>PROPER(Transactions!D1848)</f>
        <v>Home &amp; Garden</v>
      </c>
      <c r="E1848" t="s">
        <v>129</v>
      </c>
      <c r="F1848" t="s">
        <v>130</v>
      </c>
      <c r="G1848">
        <v>3</v>
      </c>
      <c r="H1848">
        <v>8.99</v>
      </c>
      <c r="I1848" s="7">
        <f>IF(Transactions!I1848="",0,Transactions!I1848)</f>
        <v>0</v>
      </c>
      <c r="J1848" s="9">
        <f t="shared" si="28"/>
        <v>26.97</v>
      </c>
      <c r="K1848" t="s">
        <v>22</v>
      </c>
      <c r="L1848" t="s">
        <v>17</v>
      </c>
      <c r="M1848" t="str">
        <f>REPLACE(Transactions!M1848,1,4,"")</f>
        <v>3</v>
      </c>
    </row>
    <row r="1849" spans="1:13" x14ac:dyDescent="0.2">
      <c r="A1849">
        <v>402806</v>
      </c>
      <c r="B1849" s="5">
        <v>44897</v>
      </c>
      <c r="C1849">
        <v>18990</v>
      </c>
      <c r="D1849" t="str">
        <f>PROPER(Transactions!D1849)</f>
        <v>Beauty</v>
      </c>
      <c r="E1849" t="s">
        <v>143</v>
      </c>
      <c r="F1849" t="s">
        <v>144</v>
      </c>
      <c r="G1849">
        <v>1</v>
      </c>
      <c r="H1849">
        <v>12.74</v>
      </c>
      <c r="I1849" s="7">
        <f>IF(Transactions!I1849="",0,Transactions!I1849)</f>
        <v>0.15</v>
      </c>
      <c r="J1849" s="9">
        <f t="shared" si="28"/>
        <v>10.829000000000001</v>
      </c>
      <c r="K1849" t="s">
        <v>36</v>
      </c>
      <c r="L1849" t="s">
        <v>17</v>
      </c>
      <c r="M1849" t="str">
        <f>REPLACE(Transactions!M1849,1,4,"")</f>
        <v>17</v>
      </c>
    </row>
    <row r="1850" spans="1:13" x14ac:dyDescent="0.2">
      <c r="A1850">
        <v>403504</v>
      </c>
      <c r="B1850" s="5">
        <v>45230</v>
      </c>
      <c r="C1850">
        <v>90205</v>
      </c>
      <c r="D1850" t="str">
        <f>PROPER(Transactions!D1850)</f>
        <v>Toys</v>
      </c>
      <c r="E1850" t="s">
        <v>72</v>
      </c>
      <c r="F1850" t="s">
        <v>73</v>
      </c>
      <c r="G1850">
        <v>2</v>
      </c>
      <c r="H1850">
        <v>31.99</v>
      </c>
      <c r="I1850" s="7">
        <f>IF(Transactions!I1850="",0,Transactions!I1850)</f>
        <v>0.2</v>
      </c>
      <c r="J1850" s="9">
        <f t="shared" si="28"/>
        <v>51.183999999999997</v>
      </c>
      <c r="K1850" t="s">
        <v>22</v>
      </c>
      <c r="L1850" t="s">
        <v>17</v>
      </c>
      <c r="M1850" t="str">
        <f>REPLACE(Transactions!M1850,1,4,"")</f>
        <v>14</v>
      </c>
    </row>
    <row r="1851" spans="1:13" x14ac:dyDescent="0.2">
      <c r="A1851">
        <v>403593</v>
      </c>
      <c r="B1851" s="5">
        <v>44571</v>
      </c>
      <c r="C1851">
        <v>85712</v>
      </c>
      <c r="D1851" t="str">
        <f>PROPER(Transactions!D1851)</f>
        <v>Clothing</v>
      </c>
      <c r="E1851" t="s">
        <v>121</v>
      </c>
      <c r="F1851" t="s">
        <v>122</v>
      </c>
      <c r="G1851">
        <v>2</v>
      </c>
      <c r="H1851">
        <v>12.99</v>
      </c>
      <c r="I1851" s="7">
        <f>IF(Transactions!I1851="",0,Transactions!I1851)</f>
        <v>0</v>
      </c>
      <c r="J1851" s="9">
        <f t="shared" si="28"/>
        <v>25.98</v>
      </c>
      <c r="K1851" t="s">
        <v>36</v>
      </c>
      <c r="L1851" t="s">
        <v>17</v>
      </c>
      <c r="M1851" t="str">
        <f>REPLACE(Transactions!M1851,1,4,"")</f>
        <v>9</v>
      </c>
    </row>
    <row r="1852" spans="1:13" x14ac:dyDescent="0.2">
      <c r="A1852">
        <v>403815</v>
      </c>
      <c r="B1852" s="5">
        <v>45534</v>
      </c>
      <c r="C1852">
        <v>29925</v>
      </c>
      <c r="D1852" t="str">
        <f>PROPER(Transactions!D1852)</f>
        <v>Sports</v>
      </c>
      <c r="E1852" t="s">
        <v>168</v>
      </c>
      <c r="F1852" t="s">
        <v>169</v>
      </c>
      <c r="G1852">
        <v>3</v>
      </c>
      <c r="H1852">
        <v>7.64</v>
      </c>
      <c r="I1852" s="7">
        <f>IF(Transactions!I1852="",0,Transactions!I1852)</f>
        <v>0.15</v>
      </c>
      <c r="J1852" s="9">
        <f t="shared" si="28"/>
        <v>19.481999999999999</v>
      </c>
      <c r="K1852" t="s">
        <v>16</v>
      </c>
      <c r="L1852" t="s">
        <v>37</v>
      </c>
      <c r="M1852" t="str">
        <f>REPLACE(Transactions!M1852,1,4,"")</f>
        <v>16</v>
      </c>
    </row>
    <row r="1853" spans="1:13" x14ac:dyDescent="0.2">
      <c r="A1853">
        <v>403859</v>
      </c>
      <c r="B1853" s="5">
        <v>45595</v>
      </c>
      <c r="C1853">
        <v>72371</v>
      </c>
      <c r="D1853" t="str">
        <f>PROPER(Transactions!D1853)</f>
        <v>Beauty</v>
      </c>
      <c r="E1853" t="s">
        <v>118</v>
      </c>
      <c r="F1853" t="s">
        <v>119</v>
      </c>
      <c r="G1853">
        <v>1</v>
      </c>
      <c r="H1853">
        <v>4.99</v>
      </c>
      <c r="I1853" s="7">
        <f>IF(Transactions!I1853="",0,Transactions!I1853)</f>
        <v>0</v>
      </c>
      <c r="J1853" s="9">
        <f t="shared" si="28"/>
        <v>4.99</v>
      </c>
      <c r="K1853" t="s">
        <v>16</v>
      </c>
      <c r="L1853" t="s">
        <v>17</v>
      </c>
      <c r="M1853" t="str">
        <f>REPLACE(Transactions!M1853,1,4,"")</f>
        <v>3</v>
      </c>
    </row>
    <row r="1854" spans="1:13" x14ac:dyDescent="0.2">
      <c r="A1854">
        <v>403924</v>
      </c>
      <c r="B1854" s="5">
        <v>45392</v>
      </c>
      <c r="C1854">
        <v>76447</v>
      </c>
      <c r="D1854" t="str">
        <f>PROPER(Transactions!D1854)</f>
        <v>Automotive</v>
      </c>
      <c r="E1854" t="s">
        <v>111</v>
      </c>
      <c r="F1854" t="s">
        <v>112</v>
      </c>
      <c r="G1854">
        <v>1</v>
      </c>
      <c r="H1854">
        <v>14.24</v>
      </c>
      <c r="I1854" s="7">
        <f>IF(Transactions!I1854="",0,Transactions!I1854)</f>
        <v>0.05</v>
      </c>
      <c r="J1854" s="9">
        <f t="shared" si="28"/>
        <v>13.527999999999999</v>
      </c>
      <c r="K1854" t="s">
        <v>53</v>
      </c>
      <c r="L1854" t="s">
        <v>37</v>
      </c>
      <c r="M1854" t="str">
        <f>REPLACE(Transactions!M1854,1,4,"")</f>
        <v>10</v>
      </c>
    </row>
    <row r="1855" spans="1:13" x14ac:dyDescent="0.2">
      <c r="A1855">
        <v>403941</v>
      </c>
      <c r="B1855" s="5">
        <v>45574</v>
      </c>
      <c r="C1855">
        <v>71773</v>
      </c>
      <c r="D1855" t="str">
        <f>PROPER(Transactions!D1855)</f>
        <v>Automotive</v>
      </c>
      <c r="E1855" t="s">
        <v>68</v>
      </c>
      <c r="F1855" t="s">
        <v>69</v>
      </c>
      <c r="G1855">
        <v>3</v>
      </c>
      <c r="H1855">
        <v>17.489999999999998</v>
      </c>
      <c r="I1855" s="7">
        <f>IF(Transactions!I1855="",0,Transactions!I1855)</f>
        <v>0.3</v>
      </c>
      <c r="J1855" s="9">
        <f t="shared" si="28"/>
        <v>36.728999999999999</v>
      </c>
      <c r="K1855" t="s">
        <v>36</v>
      </c>
      <c r="L1855" t="s">
        <v>17</v>
      </c>
      <c r="M1855" t="str">
        <f>REPLACE(Transactions!M1855,1,4,"")</f>
        <v>2</v>
      </c>
    </row>
    <row r="1856" spans="1:13" x14ac:dyDescent="0.2">
      <c r="A1856">
        <v>404012</v>
      </c>
      <c r="B1856" s="5">
        <v>44935</v>
      </c>
      <c r="C1856">
        <v>86582</v>
      </c>
      <c r="D1856" t="str">
        <f>PROPER(Transactions!D1856)</f>
        <v>Toys</v>
      </c>
      <c r="E1856" t="s">
        <v>170</v>
      </c>
      <c r="F1856" t="s">
        <v>171</v>
      </c>
      <c r="G1856">
        <v>5</v>
      </c>
      <c r="H1856">
        <v>14.99</v>
      </c>
      <c r="I1856" s="7">
        <f>IF(Transactions!I1856="",0,Transactions!I1856)</f>
        <v>0</v>
      </c>
      <c r="J1856" s="9">
        <f t="shared" si="28"/>
        <v>74.95</v>
      </c>
      <c r="K1856" t="s">
        <v>32</v>
      </c>
      <c r="L1856" t="s">
        <v>17</v>
      </c>
      <c r="M1856" t="str">
        <f>REPLACE(Transactions!M1856,1,4,"")</f>
        <v>5</v>
      </c>
    </row>
    <row r="1857" spans="1:13" x14ac:dyDescent="0.2">
      <c r="A1857">
        <v>404265</v>
      </c>
      <c r="B1857" s="5">
        <v>44563</v>
      </c>
      <c r="C1857">
        <v>47787</v>
      </c>
      <c r="D1857" t="str">
        <f>PROPER(Transactions!D1857)</f>
        <v>Furniture</v>
      </c>
      <c r="E1857" t="s">
        <v>26</v>
      </c>
      <c r="F1857" t="s">
        <v>27</v>
      </c>
      <c r="G1857">
        <v>1</v>
      </c>
      <c r="H1857">
        <v>34.99</v>
      </c>
      <c r="I1857" s="7">
        <f>IF(Transactions!I1857="",0,Transactions!I1857)</f>
        <v>0</v>
      </c>
      <c r="J1857" s="9">
        <f t="shared" si="28"/>
        <v>34.99</v>
      </c>
      <c r="K1857" t="s">
        <v>36</v>
      </c>
      <c r="L1857" t="s">
        <v>37</v>
      </c>
      <c r="M1857" t="str">
        <f>REPLACE(Transactions!M1857,1,4,"")</f>
        <v>9</v>
      </c>
    </row>
    <row r="1858" spans="1:13" x14ac:dyDescent="0.2">
      <c r="A1858">
        <v>404465</v>
      </c>
      <c r="B1858" s="5">
        <v>45262</v>
      </c>
      <c r="D1858" t="str">
        <f>PROPER(Transactions!D1858)</f>
        <v>Pharmacy</v>
      </c>
      <c r="E1858" t="s">
        <v>58</v>
      </c>
      <c r="F1858" t="s">
        <v>59</v>
      </c>
      <c r="G1858">
        <v>1</v>
      </c>
      <c r="H1858">
        <v>3.99</v>
      </c>
      <c r="I1858" s="7">
        <f>IF(Transactions!I1858="",0,Transactions!I1858)</f>
        <v>0</v>
      </c>
      <c r="J1858" s="9">
        <f t="shared" si="28"/>
        <v>3.99</v>
      </c>
      <c r="K1858" t="s">
        <v>95</v>
      </c>
      <c r="L1858" t="s">
        <v>37</v>
      </c>
      <c r="M1858" t="str">
        <f>REPLACE(Transactions!M1858,1,4,"")</f>
        <v>18</v>
      </c>
    </row>
    <row r="1859" spans="1:13" x14ac:dyDescent="0.2">
      <c r="A1859">
        <v>405051</v>
      </c>
      <c r="B1859" s="5">
        <v>45639</v>
      </c>
      <c r="C1859">
        <v>73179</v>
      </c>
      <c r="D1859" t="str">
        <f>PROPER(Transactions!D1859)</f>
        <v>Pharmacy</v>
      </c>
      <c r="E1859" t="s">
        <v>20</v>
      </c>
      <c r="F1859" t="s">
        <v>21</v>
      </c>
      <c r="G1859">
        <v>1</v>
      </c>
      <c r="H1859">
        <v>7.49</v>
      </c>
      <c r="I1859" s="7">
        <f>IF(Transactions!I1859="",0,Transactions!I1859)</f>
        <v>0.25</v>
      </c>
      <c r="J1859" s="9">
        <f t="shared" ref="J1859:J1922" si="29">(H1859*G1859)*(1-I1859)</f>
        <v>5.6174999999999997</v>
      </c>
      <c r="K1859" t="s">
        <v>22</v>
      </c>
      <c r="L1859" t="s">
        <v>17</v>
      </c>
      <c r="M1859" t="str">
        <f>REPLACE(Transactions!M1859,1,4,"")</f>
        <v>7</v>
      </c>
    </row>
    <row r="1860" spans="1:13" x14ac:dyDescent="0.2">
      <c r="A1860">
        <v>405156</v>
      </c>
      <c r="B1860" s="5">
        <v>45130</v>
      </c>
      <c r="C1860">
        <v>46052</v>
      </c>
      <c r="D1860" t="str">
        <f>PROPER(Transactions!D1860)</f>
        <v>Home &amp; Garden</v>
      </c>
      <c r="E1860" t="s">
        <v>129</v>
      </c>
      <c r="F1860" t="s">
        <v>130</v>
      </c>
      <c r="G1860">
        <v>2</v>
      </c>
      <c r="H1860">
        <v>7.64</v>
      </c>
      <c r="I1860" s="7">
        <f>IF(Transactions!I1860="",0,Transactions!I1860)</f>
        <v>0.15</v>
      </c>
      <c r="J1860" s="9">
        <f t="shared" si="29"/>
        <v>12.988</v>
      </c>
      <c r="K1860" t="s">
        <v>66</v>
      </c>
      <c r="L1860" t="s">
        <v>17</v>
      </c>
      <c r="M1860" t="str">
        <f>REPLACE(Transactions!M1860,1,4,"")</f>
        <v>16</v>
      </c>
    </row>
    <row r="1861" spans="1:13" x14ac:dyDescent="0.2">
      <c r="A1861">
        <v>405318</v>
      </c>
      <c r="B1861" s="5">
        <v>45143</v>
      </c>
      <c r="C1861">
        <v>52451</v>
      </c>
      <c r="D1861" t="str">
        <f>PROPER(Transactions!D1861)</f>
        <v>Sports</v>
      </c>
      <c r="E1861" t="s">
        <v>100</v>
      </c>
      <c r="F1861" t="s">
        <v>101</v>
      </c>
      <c r="G1861">
        <v>1</v>
      </c>
      <c r="H1861">
        <v>21.84</v>
      </c>
      <c r="I1861" s="7">
        <f>IF(Transactions!I1861="",0,Transactions!I1861)</f>
        <v>0.05</v>
      </c>
      <c r="J1861" s="9">
        <f t="shared" si="29"/>
        <v>20.747999999999998</v>
      </c>
      <c r="K1861" t="s">
        <v>16</v>
      </c>
      <c r="L1861" t="s">
        <v>17</v>
      </c>
      <c r="M1861" t="str">
        <f>REPLACE(Transactions!M1861,1,4,"")</f>
        <v>10</v>
      </c>
    </row>
    <row r="1862" spans="1:13" x14ac:dyDescent="0.2">
      <c r="A1862">
        <v>405457</v>
      </c>
      <c r="B1862" s="5">
        <v>45327</v>
      </c>
      <c r="C1862">
        <v>40169</v>
      </c>
      <c r="D1862" t="str">
        <f>PROPER(Transactions!D1862)</f>
        <v>Furniture</v>
      </c>
      <c r="E1862" t="s">
        <v>60</v>
      </c>
      <c r="F1862" t="s">
        <v>61</v>
      </c>
      <c r="G1862">
        <v>4</v>
      </c>
      <c r="H1862">
        <v>54.99</v>
      </c>
      <c r="I1862" s="7">
        <f>IF(Transactions!I1862="",0,Transactions!I1862)</f>
        <v>0</v>
      </c>
      <c r="J1862" s="9">
        <f t="shared" si="29"/>
        <v>219.96</v>
      </c>
      <c r="K1862" t="s">
        <v>16</v>
      </c>
      <c r="L1862" t="s">
        <v>17</v>
      </c>
      <c r="M1862" t="str">
        <f>REPLACE(Transactions!M1862,1,4,"")</f>
        <v>16</v>
      </c>
    </row>
    <row r="1863" spans="1:13" x14ac:dyDescent="0.2">
      <c r="A1863">
        <v>405936</v>
      </c>
      <c r="B1863" s="5">
        <v>45642</v>
      </c>
      <c r="C1863">
        <v>19878</v>
      </c>
      <c r="D1863" t="str">
        <f>PROPER(Transactions!D1863)</f>
        <v>Pharmacy</v>
      </c>
      <c r="E1863" t="s">
        <v>20</v>
      </c>
      <c r="F1863" t="s">
        <v>21</v>
      </c>
      <c r="G1863">
        <v>1</v>
      </c>
      <c r="H1863">
        <v>7.49</v>
      </c>
      <c r="I1863" s="7">
        <f>IF(Transactions!I1863="",0,Transactions!I1863)</f>
        <v>0.25</v>
      </c>
      <c r="J1863" s="9">
        <f t="shared" si="29"/>
        <v>5.6174999999999997</v>
      </c>
      <c r="K1863" t="s">
        <v>16</v>
      </c>
      <c r="L1863" t="s">
        <v>17</v>
      </c>
      <c r="M1863" t="str">
        <f>REPLACE(Transactions!M1863,1,4,"")</f>
        <v>6</v>
      </c>
    </row>
    <row r="1864" spans="1:13" x14ac:dyDescent="0.2">
      <c r="A1864">
        <v>406199</v>
      </c>
      <c r="B1864" s="5">
        <v>45576</v>
      </c>
      <c r="C1864">
        <v>17601</v>
      </c>
      <c r="D1864" t="str">
        <f>PROPER(Transactions!D1864)</f>
        <v>Home &amp; Garden</v>
      </c>
      <c r="E1864" t="s">
        <v>86</v>
      </c>
      <c r="F1864" t="s">
        <v>87</v>
      </c>
      <c r="G1864">
        <v>1</v>
      </c>
      <c r="H1864">
        <v>12.99</v>
      </c>
      <c r="I1864" s="7">
        <f>IF(Transactions!I1864="",0,Transactions!I1864)</f>
        <v>0</v>
      </c>
      <c r="J1864" s="9">
        <f t="shared" si="29"/>
        <v>12.99</v>
      </c>
      <c r="K1864" t="s">
        <v>16</v>
      </c>
      <c r="L1864" t="s">
        <v>17</v>
      </c>
      <c r="M1864" t="str">
        <f>REPLACE(Transactions!M1864,1,4,"")</f>
        <v>13</v>
      </c>
    </row>
    <row r="1865" spans="1:13" x14ac:dyDescent="0.2">
      <c r="A1865">
        <v>406536</v>
      </c>
      <c r="B1865" s="5">
        <v>44584</v>
      </c>
      <c r="C1865">
        <v>28415</v>
      </c>
      <c r="D1865" t="str">
        <f>PROPER(Transactions!D1865)</f>
        <v>Automotive</v>
      </c>
      <c r="E1865" t="s">
        <v>64</v>
      </c>
      <c r="F1865" t="s">
        <v>65</v>
      </c>
      <c r="G1865">
        <v>3</v>
      </c>
      <c r="H1865">
        <v>4.99</v>
      </c>
      <c r="I1865" s="7">
        <f>IF(Transactions!I1865="",0,Transactions!I1865)</f>
        <v>0</v>
      </c>
      <c r="J1865" s="9">
        <f t="shared" si="29"/>
        <v>14.97</v>
      </c>
      <c r="K1865" t="s">
        <v>16</v>
      </c>
      <c r="L1865" t="s">
        <v>17</v>
      </c>
      <c r="M1865" t="str">
        <f>REPLACE(Transactions!M1865,1,4,"")</f>
        <v>13</v>
      </c>
    </row>
    <row r="1866" spans="1:13" x14ac:dyDescent="0.2">
      <c r="A1866">
        <v>406552</v>
      </c>
      <c r="B1866" s="5">
        <v>44922</v>
      </c>
      <c r="C1866">
        <v>72625</v>
      </c>
      <c r="D1866" t="str">
        <f>PROPER(Transactions!D1866)</f>
        <v>Furniture</v>
      </c>
      <c r="E1866" t="s">
        <v>70</v>
      </c>
      <c r="F1866" t="s">
        <v>71</v>
      </c>
      <c r="G1866">
        <v>1</v>
      </c>
      <c r="H1866">
        <v>89.99</v>
      </c>
      <c r="I1866" s="7">
        <f>IF(Transactions!I1866="",0,Transactions!I1866)</f>
        <v>0</v>
      </c>
      <c r="J1866" s="9">
        <f t="shared" si="29"/>
        <v>89.99</v>
      </c>
      <c r="K1866" t="s">
        <v>16</v>
      </c>
      <c r="L1866" t="s">
        <v>17</v>
      </c>
      <c r="M1866" t="str">
        <f>REPLACE(Transactions!M1866,1,4,"")</f>
        <v>13</v>
      </c>
    </row>
    <row r="1867" spans="1:13" x14ac:dyDescent="0.2">
      <c r="A1867">
        <v>406665</v>
      </c>
      <c r="B1867" s="5">
        <v>45052</v>
      </c>
      <c r="C1867">
        <v>95959</v>
      </c>
      <c r="D1867" t="str">
        <f>PROPER(Transactions!D1867)</f>
        <v>Home &amp; Garden</v>
      </c>
      <c r="E1867" t="s">
        <v>129</v>
      </c>
      <c r="F1867" t="s">
        <v>130</v>
      </c>
      <c r="G1867">
        <v>2</v>
      </c>
      <c r="H1867">
        <v>7.64</v>
      </c>
      <c r="I1867" s="7">
        <f>IF(Transactions!I1867="",0,Transactions!I1867)</f>
        <v>0.15</v>
      </c>
      <c r="J1867" s="9">
        <f t="shared" si="29"/>
        <v>12.988</v>
      </c>
      <c r="K1867" t="s">
        <v>36</v>
      </c>
      <c r="L1867" t="s">
        <v>23</v>
      </c>
      <c r="M1867" t="str">
        <f>REPLACE(Transactions!M1867,1,4,"")</f>
        <v>9</v>
      </c>
    </row>
    <row r="1868" spans="1:13" x14ac:dyDescent="0.2">
      <c r="A1868">
        <v>406740</v>
      </c>
      <c r="B1868" s="5">
        <v>44686</v>
      </c>
      <c r="C1868">
        <v>67946</v>
      </c>
      <c r="D1868" t="str">
        <f>PROPER(Transactions!D1868)</f>
        <v>Sports</v>
      </c>
      <c r="E1868" t="s">
        <v>100</v>
      </c>
      <c r="F1868" t="s">
        <v>101</v>
      </c>
      <c r="G1868">
        <v>4</v>
      </c>
      <c r="H1868">
        <v>17.239999999999998</v>
      </c>
      <c r="I1868" s="7">
        <f>IF(Transactions!I1868="",0,Transactions!I1868)</f>
        <v>0.25</v>
      </c>
      <c r="J1868" s="9">
        <f t="shared" si="29"/>
        <v>51.72</v>
      </c>
      <c r="K1868" t="s">
        <v>22</v>
      </c>
      <c r="L1868" t="s">
        <v>17</v>
      </c>
      <c r="M1868" t="str">
        <f>REPLACE(Transactions!M1868,1,4,"")</f>
        <v>16</v>
      </c>
    </row>
    <row r="1869" spans="1:13" x14ac:dyDescent="0.2">
      <c r="A1869">
        <v>406741</v>
      </c>
      <c r="B1869" s="5">
        <v>44758</v>
      </c>
      <c r="C1869">
        <v>36792</v>
      </c>
      <c r="D1869" t="str">
        <f>PROPER(Transactions!D1869)</f>
        <v>Automotive</v>
      </c>
      <c r="E1869" t="s">
        <v>111</v>
      </c>
      <c r="F1869" t="s">
        <v>112</v>
      </c>
      <c r="G1869">
        <v>2</v>
      </c>
      <c r="H1869">
        <v>11.99</v>
      </c>
      <c r="I1869" s="7">
        <f>IF(Transactions!I1869="",0,Transactions!I1869)</f>
        <v>0.2</v>
      </c>
      <c r="J1869" s="9">
        <f t="shared" si="29"/>
        <v>19.184000000000001</v>
      </c>
      <c r="K1869" t="s">
        <v>22</v>
      </c>
      <c r="L1869" t="s">
        <v>37</v>
      </c>
      <c r="M1869" t="str">
        <f>REPLACE(Transactions!M1869,1,4,"")</f>
        <v>19</v>
      </c>
    </row>
    <row r="1870" spans="1:13" x14ac:dyDescent="0.2">
      <c r="A1870">
        <v>406873</v>
      </c>
      <c r="B1870" s="5">
        <v>45340</v>
      </c>
      <c r="C1870">
        <v>38475</v>
      </c>
      <c r="D1870" t="str">
        <f>PROPER(Transactions!D1870)</f>
        <v>Electronics</v>
      </c>
      <c r="E1870" t="s">
        <v>77</v>
      </c>
      <c r="F1870" t="s">
        <v>78</v>
      </c>
      <c r="G1870">
        <v>5</v>
      </c>
      <c r="H1870">
        <v>449.99</v>
      </c>
      <c r="I1870" s="7">
        <f>IF(Transactions!I1870="",0,Transactions!I1870)</f>
        <v>0.1</v>
      </c>
      <c r="J1870" s="9">
        <f t="shared" si="29"/>
        <v>2024.9549999999999</v>
      </c>
      <c r="K1870" t="s">
        <v>36</v>
      </c>
      <c r="L1870" t="s">
        <v>17</v>
      </c>
      <c r="M1870" t="str">
        <f>REPLACE(Transactions!M1870,1,4,"")</f>
        <v>16</v>
      </c>
    </row>
    <row r="1871" spans="1:13" x14ac:dyDescent="0.2">
      <c r="A1871">
        <v>406940</v>
      </c>
      <c r="B1871" s="5">
        <v>44854</v>
      </c>
      <c r="C1871">
        <v>37036</v>
      </c>
      <c r="D1871" t="str">
        <f>PROPER(Transactions!D1871)</f>
        <v>Furniture</v>
      </c>
      <c r="E1871" t="s">
        <v>113</v>
      </c>
      <c r="F1871" t="s">
        <v>114</v>
      </c>
      <c r="G1871">
        <v>2</v>
      </c>
      <c r="H1871">
        <v>95.99</v>
      </c>
      <c r="I1871" s="7">
        <f>IF(Transactions!I1871="",0,Transactions!I1871)</f>
        <v>0.2</v>
      </c>
      <c r="J1871" s="9">
        <f t="shared" si="29"/>
        <v>153.584</v>
      </c>
      <c r="K1871" t="s">
        <v>36</v>
      </c>
      <c r="L1871" t="s">
        <v>17</v>
      </c>
      <c r="M1871" t="str">
        <f>REPLACE(Transactions!M1871,1,4,"")</f>
        <v>12</v>
      </c>
    </row>
    <row r="1872" spans="1:13" x14ac:dyDescent="0.2">
      <c r="A1872">
        <v>407059</v>
      </c>
      <c r="B1872" s="5">
        <v>44842</v>
      </c>
      <c r="C1872">
        <v>24042</v>
      </c>
      <c r="D1872" t="str">
        <f>PROPER(Transactions!D1872)</f>
        <v>Clothing</v>
      </c>
      <c r="E1872" t="s">
        <v>193</v>
      </c>
      <c r="F1872" t="s">
        <v>194</v>
      </c>
      <c r="G1872">
        <v>2</v>
      </c>
      <c r="H1872">
        <v>58.49</v>
      </c>
      <c r="I1872" s="7">
        <f>IF(Transactions!I1872="",0,Transactions!I1872)</f>
        <v>0.1</v>
      </c>
      <c r="J1872" s="9">
        <f t="shared" si="29"/>
        <v>105.28200000000001</v>
      </c>
      <c r="K1872" t="s">
        <v>16</v>
      </c>
      <c r="L1872" t="s">
        <v>17</v>
      </c>
      <c r="M1872" t="str">
        <f>REPLACE(Transactions!M1872,1,4,"")</f>
        <v>8</v>
      </c>
    </row>
    <row r="1873" spans="1:13" x14ac:dyDescent="0.2">
      <c r="A1873">
        <v>407211</v>
      </c>
      <c r="B1873" s="5">
        <v>45447</v>
      </c>
      <c r="C1873">
        <v>72984</v>
      </c>
      <c r="D1873" t="str">
        <f>PROPER(Transactions!D1873)</f>
        <v>Grocery</v>
      </c>
      <c r="E1873" t="s">
        <v>184</v>
      </c>
      <c r="F1873" t="s">
        <v>185</v>
      </c>
      <c r="G1873">
        <v>2</v>
      </c>
      <c r="H1873">
        <v>4.3899999999999997</v>
      </c>
      <c r="I1873" s="7">
        <f>IF(Transactions!I1873="",0,Transactions!I1873)</f>
        <v>0.2</v>
      </c>
      <c r="J1873" s="9">
        <f t="shared" si="29"/>
        <v>7.024</v>
      </c>
      <c r="K1873" t="s">
        <v>53</v>
      </c>
      <c r="L1873" t="s">
        <v>17</v>
      </c>
      <c r="M1873" t="str">
        <f>REPLACE(Transactions!M1873,1,4,"")</f>
        <v>9</v>
      </c>
    </row>
    <row r="1874" spans="1:13" x14ac:dyDescent="0.2">
      <c r="A1874">
        <v>407572</v>
      </c>
      <c r="B1874" s="5">
        <v>44759</v>
      </c>
      <c r="C1874">
        <v>67614</v>
      </c>
      <c r="D1874" t="str">
        <f>PROPER(Transactions!D1874)</f>
        <v>Pharmacy</v>
      </c>
      <c r="E1874" t="s">
        <v>197</v>
      </c>
      <c r="F1874" t="s">
        <v>198</v>
      </c>
      <c r="G1874">
        <v>1</v>
      </c>
      <c r="H1874">
        <v>14.99</v>
      </c>
      <c r="I1874" s="7">
        <f>IF(Transactions!I1874="",0,Transactions!I1874)</f>
        <v>0</v>
      </c>
      <c r="J1874" s="9">
        <f t="shared" si="29"/>
        <v>14.99</v>
      </c>
      <c r="K1874" t="s">
        <v>36</v>
      </c>
      <c r="L1874" t="s">
        <v>17</v>
      </c>
      <c r="M1874" t="str">
        <f>REPLACE(Transactions!M1874,1,4,"")</f>
        <v>18</v>
      </c>
    </row>
    <row r="1875" spans="1:13" x14ac:dyDescent="0.2">
      <c r="A1875">
        <v>408347</v>
      </c>
      <c r="B1875" s="5">
        <v>45397</v>
      </c>
      <c r="C1875">
        <v>29669</v>
      </c>
      <c r="D1875" t="str">
        <f>PROPER(Transactions!D1875)</f>
        <v>Furniture</v>
      </c>
      <c r="E1875" t="s">
        <v>51</v>
      </c>
      <c r="F1875" t="s">
        <v>52</v>
      </c>
      <c r="G1875">
        <v>2</v>
      </c>
      <c r="H1875">
        <v>23.79</v>
      </c>
      <c r="I1875" s="7">
        <f>IF(Transactions!I1875="",0,Transactions!I1875)</f>
        <v>0.15</v>
      </c>
      <c r="J1875" s="9">
        <f t="shared" si="29"/>
        <v>40.442999999999998</v>
      </c>
      <c r="K1875" t="s">
        <v>16</v>
      </c>
      <c r="L1875" t="s">
        <v>17</v>
      </c>
      <c r="M1875" t="str">
        <f>REPLACE(Transactions!M1875,1,4,"")</f>
        <v>19</v>
      </c>
    </row>
    <row r="1876" spans="1:13" x14ac:dyDescent="0.2">
      <c r="A1876">
        <v>408545</v>
      </c>
      <c r="B1876" s="5">
        <v>44809</v>
      </c>
      <c r="C1876">
        <v>33296</v>
      </c>
      <c r="D1876" t="str">
        <f>PROPER(Transactions!D1876)</f>
        <v>Sports</v>
      </c>
      <c r="E1876" t="s">
        <v>100</v>
      </c>
      <c r="F1876" t="s">
        <v>101</v>
      </c>
      <c r="G1876">
        <v>1</v>
      </c>
      <c r="H1876">
        <v>22.99</v>
      </c>
      <c r="I1876" s="7">
        <f>IF(Transactions!I1876="",0,Transactions!I1876)</f>
        <v>0</v>
      </c>
      <c r="J1876" s="9">
        <f t="shared" si="29"/>
        <v>22.99</v>
      </c>
      <c r="K1876" t="s">
        <v>36</v>
      </c>
      <c r="L1876" t="s">
        <v>17</v>
      </c>
      <c r="M1876" t="str">
        <f>REPLACE(Transactions!M1876,1,4,"")</f>
        <v>7</v>
      </c>
    </row>
    <row r="1877" spans="1:13" x14ac:dyDescent="0.2">
      <c r="A1877">
        <v>408719</v>
      </c>
      <c r="B1877" s="5">
        <v>45346</v>
      </c>
      <c r="C1877">
        <v>97540</v>
      </c>
      <c r="D1877" t="str">
        <f>PROPER(Transactions!D1877)</f>
        <v>Toys</v>
      </c>
      <c r="E1877" t="s">
        <v>170</v>
      </c>
      <c r="F1877" t="s">
        <v>171</v>
      </c>
      <c r="G1877">
        <v>4</v>
      </c>
      <c r="H1877">
        <v>14.99</v>
      </c>
      <c r="I1877" s="7">
        <f>IF(Transactions!I1877="",0,Transactions!I1877)</f>
        <v>0</v>
      </c>
      <c r="J1877" s="9">
        <f t="shared" si="29"/>
        <v>59.96</v>
      </c>
      <c r="K1877" t="s">
        <v>16</v>
      </c>
      <c r="L1877" t="s">
        <v>17</v>
      </c>
      <c r="M1877" t="str">
        <f>REPLACE(Transactions!M1877,1,4,"")</f>
        <v>12</v>
      </c>
    </row>
    <row r="1878" spans="1:13" x14ac:dyDescent="0.2">
      <c r="A1878">
        <v>408721</v>
      </c>
      <c r="B1878" s="5">
        <v>45147</v>
      </c>
      <c r="C1878">
        <v>28643</v>
      </c>
      <c r="D1878" t="str">
        <f>PROPER(Transactions!D1878)</f>
        <v>Pharmacy</v>
      </c>
      <c r="E1878" t="s">
        <v>41</v>
      </c>
      <c r="F1878" t="s">
        <v>42</v>
      </c>
      <c r="G1878">
        <v>1</v>
      </c>
      <c r="H1878">
        <v>4.49</v>
      </c>
      <c r="I1878" s="7">
        <f>IF(Transactions!I1878="",0,Transactions!I1878)</f>
        <v>0.25</v>
      </c>
      <c r="J1878" s="9">
        <f t="shared" si="29"/>
        <v>3.3675000000000002</v>
      </c>
      <c r="K1878" t="s">
        <v>36</v>
      </c>
      <c r="L1878" t="s">
        <v>17</v>
      </c>
      <c r="M1878" t="str">
        <f>REPLACE(Transactions!M1878,1,4,"")</f>
        <v>6</v>
      </c>
    </row>
    <row r="1879" spans="1:13" x14ac:dyDescent="0.2">
      <c r="A1879">
        <v>408949</v>
      </c>
      <c r="B1879" s="5">
        <v>45578</v>
      </c>
      <c r="C1879">
        <v>75554</v>
      </c>
      <c r="D1879" t="str">
        <f>PROPER(Transactions!D1879)</f>
        <v>Toys</v>
      </c>
      <c r="E1879" t="s">
        <v>38</v>
      </c>
      <c r="F1879" t="s">
        <v>39</v>
      </c>
      <c r="G1879">
        <v>2</v>
      </c>
      <c r="H1879">
        <v>20.99</v>
      </c>
      <c r="I1879" s="7">
        <f>IF(Transactions!I1879="",0,Transactions!I1879)</f>
        <v>0.3</v>
      </c>
      <c r="J1879" s="9">
        <f t="shared" si="29"/>
        <v>29.385999999999996</v>
      </c>
      <c r="K1879" t="s">
        <v>36</v>
      </c>
      <c r="L1879" t="s">
        <v>37</v>
      </c>
      <c r="M1879" t="str">
        <f>REPLACE(Transactions!M1879,1,4,"")</f>
        <v>1</v>
      </c>
    </row>
    <row r="1880" spans="1:13" x14ac:dyDescent="0.2">
      <c r="A1880">
        <v>409060</v>
      </c>
      <c r="B1880" s="5">
        <v>45131</v>
      </c>
      <c r="C1880">
        <v>17217</v>
      </c>
      <c r="D1880" t="str">
        <f>PROPER(Transactions!D1880)</f>
        <v>Toys</v>
      </c>
      <c r="E1880" t="s">
        <v>30</v>
      </c>
      <c r="F1880" t="s">
        <v>31</v>
      </c>
      <c r="G1880">
        <v>1</v>
      </c>
      <c r="H1880">
        <v>18.739999999999998</v>
      </c>
      <c r="I1880" s="7">
        <f>IF(Transactions!I1880="",0,Transactions!I1880)</f>
        <v>0.25</v>
      </c>
      <c r="J1880" s="9">
        <f t="shared" si="29"/>
        <v>14.055</v>
      </c>
      <c r="K1880" t="s">
        <v>53</v>
      </c>
      <c r="L1880" t="s">
        <v>17</v>
      </c>
      <c r="M1880" t="str">
        <f>REPLACE(Transactions!M1880,1,4,"")</f>
        <v>14</v>
      </c>
    </row>
    <row r="1881" spans="1:13" x14ac:dyDescent="0.2">
      <c r="A1881">
        <v>409079</v>
      </c>
      <c r="B1881" s="5">
        <v>45593</v>
      </c>
      <c r="C1881">
        <v>75125</v>
      </c>
      <c r="D1881" t="str">
        <f>PROPER(Transactions!D1881)</f>
        <v>Automotive</v>
      </c>
      <c r="E1881" t="s">
        <v>111</v>
      </c>
      <c r="F1881" t="s">
        <v>112</v>
      </c>
      <c r="G1881">
        <v>1</v>
      </c>
      <c r="H1881">
        <v>11.24</v>
      </c>
      <c r="I1881" s="7">
        <f>IF(Transactions!I1881="",0,Transactions!I1881)</f>
        <v>0.25</v>
      </c>
      <c r="J1881" s="9">
        <f t="shared" si="29"/>
        <v>8.43</v>
      </c>
      <c r="K1881" t="s">
        <v>16</v>
      </c>
      <c r="L1881" t="s">
        <v>37</v>
      </c>
      <c r="M1881" t="str">
        <f>REPLACE(Transactions!M1881,1,4,"")</f>
        <v>8</v>
      </c>
    </row>
    <row r="1882" spans="1:13" x14ac:dyDescent="0.2">
      <c r="A1882">
        <v>409143</v>
      </c>
      <c r="B1882" s="5">
        <v>45180</v>
      </c>
      <c r="C1882">
        <v>27612</v>
      </c>
      <c r="D1882" t="str">
        <f>PROPER(Transactions!D1882)</f>
        <v>Grocery</v>
      </c>
      <c r="E1882" t="s">
        <v>162</v>
      </c>
      <c r="F1882" t="s">
        <v>163</v>
      </c>
      <c r="G1882">
        <v>2</v>
      </c>
      <c r="H1882">
        <v>6.39</v>
      </c>
      <c r="I1882" s="7">
        <f>IF(Transactions!I1882="",0,Transactions!I1882)</f>
        <v>0.2</v>
      </c>
      <c r="J1882" s="9">
        <f t="shared" si="29"/>
        <v>10.224</v>
      </c>
      <c r="K1882" t="s">
        <v>95</v>
      </c>
      <c r="L1882" t="s">
        <v>17</v>
      </c>
      <c r="M1882" t="str">
        <f>REPLACE(Transactions!M1882,1,4,"")</f>
        <v>17</v>
      </c>
    </row>
    <row r="1883" spans="1:13" x14ac:dyDescent="0.2">
      <c r="A1883">
        <v>409253</v>
      </c>
      <c r="B1883" s="5">
        <v>44872</v>
      </c>
      <c r="C1883">
        <v>21389</v>
      </c>
      <c r="D1883" t="str">
        <f>PROPER(Transactions!D1883)</f>
        <v>Clothing</v>
      </c>
      <c r="E1883" t="s">
        <v>121</v>
      </c>
      <c r="F1883" t="s">
        <v>122</v>
      </c>
      <c r="G1883">
        <v>1</v>
      </c>
      <c r="H1883">
        <v>12.99</v>
      </c>
      <c r="I1883" s="7">
        <f>IF(Transactions!I1883="",0,Transactions!I1883)</f>
        <v>0</v>
      </c>
      <c r="J1883" s="9">
        <f t="shared" si="29"/>
        <v>12.99</v>
      </c>
      <c r="K1883" t="s">
        <v>16</v>
      </c>
      <c r="L1883" t="s">
        <v>17</v>
      </c>
      <c r="M1883" t="str">
        <f>REPLACE(Transactions!M1883,1,4,"")</f>
        <v>4</v>
      </c>
    </row>
    <row r="1884" spans="1:13" x14ac:dyDescent="0.2">
      <c r="A1884">
        <v>409405</v>
      </c>
      <c r="B1884" s="5">
        <v>45047</v>
      </c>
      <c r="C1884">
        <v>64869</v>
      </c>
      <c r="D1884" t="str">
        <f>PROPER(Transactions!D1884)</f>
        <v>Grocery</v>
      </c>
      <c r="E1884" t="s">
        <v>162</v>
      </c>
      <c r="F1884" t="s">
        <v>163</v>
      </c>
      <c r="G1884">
        <v>1</v>
      </c>
      <c r="H1884">
        <v>7.99</v>
      </c>
      <c r="I1884" s="7">
        <f>IF(Transactions!I1884="",0,Transactions!I1884)</f>
        <v>0</v>
      </c>
      <c r="J1884" s="9">
        <f t="shared" si="29"/>
        <v>7.99</v>
      </c>
      <c r="K1884" t="s">
        <v>16</v>
      </c>
      <c r="L1884" t="s">
        <v>37</v>
      </c>
      <c r="M1884" t="str">
        <f>REPLACE(Transactions!M1884,1,4,"")</f>
        <v>6</v>
      </c>
    </row>
    <row r="1885" spans="1:13" x14ac:dyDescent="0.2">
      <c r="A1885">
        <v>409458</v>
      </c>
      <c r="B1885" s="5">
        <v>45070</v>
      </c>
      <c r="C1885">
        <v>32539</v>
      </c>
      <c r="D1885" t="str">
        <f>PROPER(Transactions!D1885)</f>
        <v>Toys</v>
      </c>
      <c r="E1885" t="s">
        <v>30</v>
      </c>
      <c r="F1885" t="s">
        <v>31</v>
      </c>
      <c r="G1885">
        <v>2</v>
      </c>
      <c r="H1885">
        <v>17.489999999999998</v>
      </c>
      <c r="I1885" s="7">
        <f>IF(Transactions!I1885="",0,Transactions!I1885)</f>
        <v>0.3</v>
      </c>
      <c r="J1885" s="9">
        <f t="shared" si="29"/>
        <v>24.485999999999997</v>
      </c>
      <c r="K1885" t="s">
        <v>36</v>
      </c>
      <c r="L1885" t="s">
        <v>17</v>
      </c>
      <c r="M1885" t="str">
        <f>REPLACE(Transactions!M1885,1,4,"")</f>
        <v>7</v>
      </c>
    </row>
    <row r="1886" spans="1:13" x14ac:dyDescent="0.2">
      <c r="A1886">
        <v>409502</v>
      </c>
      <c r="B1886" s="5">
        <v>44827</v>
      </c>
      <c r="C1886">
        <v>95858</v>
      </c>
      <c r="D1886" t="str">
        <f>PROPER(Transactions!D1886)</f>
        <v>Electronics</v>
      </c>
      <c r="E1886" t="s">
        <v>55</v>
      </c>
      <c r="F1886" t="s">
        <v>56</v>
      </c>
      <c r="G1886">
        <v>3</v>
      </c>
      <c r="H1886">
        <v>247.49</v>
      </c>
      <c r="I1886" s="7">
        <f>IF(Transactions!I1886="",0,Transactions!I1886)</f>
        <v>0.25</v>
      </c>
      <c r="J1886" s="9">
        <f t="shared" si="29"/>
        <v>556.85249999999996</v>
      </c>
      <c r="K1886" t="s">
        <v>22</v>
      </c>
      <c r="L1886" t="s">
        <v>23</v>
      </c>
      <c r="M1886" t="str">
        <f>REPLACE(Transactions!M1886,1,4,"")</f>
        <v/>
      </c>
    </row>
    <row r="1887" spans="1:13" x14ac:dyDescent="0.2">
      <c r="A1887">
        <v>409871</v>
      </c>
      <c r="B1887" s="5">
        <v>45370</v>
      </c>
      <c r="C1887">
        <v>22944</v>
      </c>
      <c r="D1887" t="str">
        <f>PROPER(Transactions!D1887)</f>
        <v>Automotive</v>
      </c>
      <c r="E1887" t="s">
        <v>131</v>
      </c>
      <c r="F1887" t="s">
        <v>132</v>
      </c>
      <c r="G1887">
        <v>3</v>
      </c>
      <c r="H1887">
        <v>2.79</v>
      </c>
      <c r="I1887" s="7">
        <f>IF(Transactions!I1887="",0,Transactions!I1887)</f>
        <v>0.2</v>
      </c>
      <c r="J1887" s="9">
        <f t="shared" si="29"/>
        <v>6.6960000000000015</v>
      </c>
      <c r="K1887" t="s">
        <v>36</v>
      </c>
      <c r="L1887" t="s">
        <v>17</v>
      </c>
      <c r="M1887" t="str">
        <f>REPLACE(Transactions!M1887,1,4,"")</f>
        <v>2</v>
      </c>
    </row>
    <row r="1888" spans="1:13" x14ac:dyDescent="0.2">
      <c r="A1888">
        <v>409898</v>
      </c>
      <c r="B1888" s="5">
        <v>45605</v>
      </c>
      <c r="C1888">
        <v>41370</v>
      </c>
      <c r="D1888" t="str">
        <f>PROPER(Transactions!D1888)</f>
        <v>Toys</v>
      </c>
      <c r="E1888" t="s">
        <v>170</v>
      </c>
      <c r="F1888" t="s">
        <v>171</v>
      </c>
      <c r="G1888">
        <v>3</v>
      </c>
      <c r="H1888">
        <v>14.24</v>
      </c>
      <c r="I1888" s="7">
        <f>IF(Transactions!I1888="",0,Transactions!I1888)</f>
        <v>0.05</v>
      </c>
      <c r="J1888" s="9">
        <f t="shared" si="29"/>
        <v>40.583999999999996</v>
      </c>
      <c r="K1888" t="s">
        <v>22</v>
      </c>
      <c r="L1888" t="s">
        <v>37</v>
      </c>
      <c r="M1888" t="str">
        <f>REPLACE(Transactions!M1888,1,4,"")</f>
        <v>1</v>
      </c>
    </row>
    <row r="1889" spans="1:13" x14ac:dyDescent="0.2">
      <c r="A1889">
        <v>410397</v>
      </c>
      <c r="B1889" s="5">
        <v>45373</v>
      </c>
      <c r="C1889">
        <v>25346</v>
      </c>
      <c r="D1889" t="str">
        <f>PROPER(Transactions!D1889)</f>
        <v>Pharmacy</v>
      </c>
      <c r="E1889" t="s">
        <v>197</v>
      </c>
      <c r="F1889" t="s">
        <v>198</v>
      </c>
      <c r="G1889">
        <v>2</v>
      </c>
      <c r="H1889">
        <v>14.99</v>
      </c>
      <c r="I1889" s="7">
        <f>IF(Transactions!I1889="",0,Transactions!I1889)</f>
        <v>0</v>
      </c>
      <c r="J1889" s="9">
        <f t="shared" si="29"/>
        <v>29.98</v>
      </c>
      <c r="K1889" t="s">
        <v>16</v>
      </c>
      <c r="L1889" t="s">
        <v>23</v>
      </c>
      <c r="M1889" t="str">
        <f>REPLACE(Transactions!M1889,1,4,"")</f>
        <v>10</v>
      </c>
    </row>
    <row r="1890" spans="1:13" x14ac:dyDescent="0.2">
      <c r="A1890">
        <v>410533</v>
      </c>
      <c r="B1890" s="5">
        <v>45624</v>
      </c>
      <c r="C1890">
        <v>24438</v>
      </c>
      <c r="D1890" t="str">
        <f>PROPER(Transactions!D1890)</f>
        <v>Grocery</v>
      </c>
      <c r="E1890" t="s">
        <v>172</v>
      </c>
      <c r="F1890" t="s">
        <v>173</v>
      </c>
      <c r="G1890">
        <v>1</v>
      </c>
      <c r="H1890">
        <v>4.2699999999999996</v>
      </c>
      <c r="I1890" s="7">
        <f>IF(Transactions!I1890="",0,Transactions!I1890)</f>
        <v>0.05</v>
      </c>
      <c r="J1890" s="9">
        <f t="shared" si="29"/>
        <v>4.0564999999999998</v>
      </c>
      <c r="K1890" t="s">
        <v>36</v>
      </c>
      <c r="L1890" t="s">
        <v>17</v>
      </c>
      <c r="M1890" t="str">
        <f>REPLACE(Transactions!M1890,1,4,"")</f>
        <v>15</v>
      </c>
    </row>
    <row r="1891" spans="1:13" x14ac:dyDescent="0.2">
      <c r="A1891">
        <v>410657</v>
      </c>
      <c r="B1891" s="5">
        <v>45120</v>
      </c>
      <c r="C1891">
        <v>79707</v>
      </c>
      <c r="D1891" t="str">
        <f>PROPER(Transactions!D1891)</f>
        <v>Electronics</v>
      </c>
      <c r="E1891" t="s">
        <v>55</v>
      </c>
      <c r="F1891" t="s">
        <v>56</v>
      </c>
      <c r="G1891">
        <v>3</v>
      </c>
      <c r="H1891">
        <v>280.49</v>
      </c>
      <c r="I1891" s="7">
        <f>IF(Transactions!I1891="",0,Transactions!I1891)</f>
        <v>0.15</v>
      </c>
      <c r="J1891" s="9">
        <f t="shared" si="29"/>
        <v>715.24950000000001</v>
      </c>
      <c r="K1891" t="s">
        <v>22</v>
      </c>
      <c r="L1891" t="s">
        <v>37</v>
      </c>
      <c r="M1891" t="str">
        <f>REPLACE(Transactions!M1891,1,4,"")</f>
        <v>5</v>
      </c>
    </row>
    <row r="1892" spans="1:13" x14ac:dyDescent="0.2">
      <c r="A1892">
        <v>410668</v>
      </c>
      <c r="B1892" s="5">
        <v>44985</v>
      </c>
      <c r="C1892">
        <v>59827</v>
      </c>
      <c r="D1892" t="str">
        <f>PROPER(Transactions!D1892)</f>
        <v>Sports</v>
      </c>
      <c r="E1892" t="s">
        <v>168</v>
      </c>
      <c r="F1892" t="s">
        <v>169</v>
      </c>
      <c r="G1892">
        <v>1</v>
      </c>
      <c r="H1892">
        <v>8.09</v>
      </c>
      <c r="I1892" s="7">
        <f>IF(Transactions!I1892="",0,Transactions!I1892)</f>
        <v>0.1</v>
      </c>
      <c r="J1892" s="9">
        <f t="shared" si="29"/>
        <v>7.2809999999999997</v>
      </c>
      <c r="K1892" t="s">
        <v>53</v>
      </c>
      <c r="L1892" t="s">
        <v>17</v>
      </c>
      <c r="M1892" t="str">
        <f>REPLACE(Transactions!M1892,1,4,"")</f>
        <v>16</v>
      </c>
    </row>
    <row r="1893" spans="1:13" x14ac:dyDescent="0.2">
      <c r="A1893">
        <v>411038</v>
      </c>
      <c r="B1893" s="5">
        <v>45391</v>
      </c>
      <c r="C1893">
        <v>41618</v>
      </c>
      <c r="D1893" t="str">
        <f>PROPER(Transactions!D1893)</f>
        <v>Furniture</v>
      </c>
      <c r="E1893" t="s">
        <v>51</v>
      </c>
      <c r="F1893" t="s">
        <v>52</v>
      </c>
      <c r="G1893">
        <v>3</v>
      </c>
      <c r="H1893">
        <v>22.39</v>
      </c>
      <c r="I1893" s="7">
        <f>IF(Transactions!I1893="",0,Transactions!I1893)</f>
        <v>0.2</v>
      </c>
      <c r="J1893" s="9">
        <f t="shared" si="29"/>
        <v>53.736000000000004</v>
      </c>
      <c r="K1893" t="s">
        <v>36</v>
      </c>
      <c r="L1893" t="s">
        <v>17</v>
      </c>
      <c r="M1893" t="str">
        <f>REPLACE(Transactions!M1893,1,4,"")</f>
        <v>20</v>
      </c>
    </row>
    <row r="1894" spans="1:13" x14ac:dyDescent="0.2">
      <c r="A1894">
        <v>411178</v>
      </c>
      <c r="B1894" s="5">
        <v>45418</v>
      </c>
      <c r="C1894">
        <v>23710</v>
      </c>
      <c r="D1894" t="str">
        <f>PROPER(Transactions!D1894)</f>
        <v>Grocery</v>
      </c>
      <c r="E1894" t="s">
        <v>91</v>
      </c>
      <c r="F1894" t="s">
        <v>92</v>
      </c>
      <c r="G1894">
        <v>1</v>
      </c>
      <c r="H1894">
        <v>4.72</v>
      </c>
      <c r="I1894" s="7">
        <f>IF(Transactions!I1894="",0,Transactions!I1894)</f>
        <v>0.25</v>
      </c>
      <c r="J1894" s="9">
        <f t="shared" si="29"/>
        <v>3.54</v>
      </c>
      <c r="K1894" t="s">
        <v>16</v>
      </c>
      <c r="L1894" t="s">
        <v>17</v>
      </c>
      <c r="M1894" t="str">
        <f>REPLACE(Transactions!M1894,1,4,"")</f>
        <v>9</v>
      </c>
    </row>
    <row r="1895" spans="1:13" x14ac:dyDescent="0.2">
      <c r="A1895">
        <v>411733</v>
      </c>
      <c r="B1895" s="5">
        <v>45195</v>
      </c>
      <c r="C1895">
        <v>71823</v>
      </c>
      <c r="D1895" t="str">
        <f>PROPER(Transactions!D1895)</f>
        <v>Furniture</v>
      </c>
      <c r="E1895" t="s">
        <v>51</v>
      </c>
      <c r="F1895" t="s">
        <v>52</v>
      </c>
      <c r="G1895">
        <v>1</v>
      </c>
      <c r="H1895">
        <v>26.59</v>
      </c>
      <c r="I1895" s="7">
        <f>IF(Transactions!I1895="",0,Transactions!I1895)</f>
        <v>0.05</v>
      </c>
      <c r="J1895" s="9">
        <f t="shared" si="29"/>
        <v>25.2605</v>
      </c>
      <c r="K1895" t="s">
        <v>36</v>
      </c>
      <c r="L1895" t="s">
        <v>17</v>
      </c>
      <c r="M1895" t="str">
        <f>REPLACE(Transactions!M1895,1,4,"")</f>
        <v>18</v>
      </c>
    </row>
    <row r="1896" spans="1:13" x14ac:dyDescent="0.2">
      <c r="A1896">
        <v>411823</v>
      </c>
      <c r="B1896" s="5">
        <v>44810</v>
      </c>
      <c r="C1896">
        <v>83657</v>
      </c>
      <c r="D1896" t="str">
        <f>PROPER(Transactions!D1896)</f>
        <v>Toys</v>
      </c>
      <c r="E1896" t="s">
        <v>88</v>
      </c>
      <c r="F1896" t="s">
        <v>89</v>
      </c>
      <c r="G1896">
        <v>5</v>
      </c>
      <c r="H1896">
        <v>39.99</v>
      </c>
      <c r="I1896" s="7">
        <f>IF(Transactions!I1896="",0,Transactions!I1896)</f>
        <v>0.2</v>
      </c>
      <c r="J1896" s="9">
        <f t="shared" si="29"/>
        <v>159.96000000000004</v>
      </c>
      <c r="K1896" t="s">
        <v>36</v>
      </c>
      <c r="L1896" t="s">
        <v>17</v>
      </c>
      <c r="M1896" t="str">
        <f>REPLACE(Transactions!M1896,1,4,"")</f>
        <v>4</v>
      </c>
    </row>
    <row r="1897" spans="1:13" x14ac:dyDescent="0.2">
      <c r="A1897">
        <v>411974</v>
      </c>
      <c r="B1897" s="5">
        <v>45494</v>
      </c>
      <c r="D1897" t="str">
        <f>PROPER(Transactions!D1897)</f>
        <v>Grocery</v>
      </c>
      <c r="E1897" t="s">
        <v>177</v>
      </c>
      <c r="F1897" t="s">
        <v>178</v>
      </c>
      <c r="G1897">
        <v>1</v>
      </c>
      <c r="H1897">
        <v>11.99</v>
      </c>
      <c r="I1897" s="7">
        <f>IF(Transactions!I1897="",0,Transactions!I1897)</f>
        <v>0</v>
      </c>
      <c r="J1897" s="9">
        <f t="shared" si="29"/>
        <v>11.99</v>
      </c>
      <c r="K1897" t="s">
        <v>16</v>
      </c>
      <c r="L1897" t="s">
        <v>17</v>
      </c>
      <c r="M1897" t="str">
        <f>REPLACE(Transactions!M1897,1,4,"")</f>
        <v>18</v>
      </c>
    </row>
    <row r="1898" spans="1:13" x14ac:dyDescent="0.2">
      <c r="A1898">
        <v>412053</v>
      </c>
      <c r="B1898" s="5">
        <v>45397</v>
      </c>
      <c r="C1898">
        <v>41469</v>
      </c>
      <c r="D1898" t="str">
        <f>PROPER(Transactions!D1898)</f>
        <v>Furniture</v>
      </c>
      <c r="E1898" t="s">
        <v>70</v>
      </c>
      <c r="F1898" t="s">
        <v>71</v>
      </c>
      <c r="G1898">
        <v>3</v>
      </c>
      <c r="H1898">
        <v>67.489999999999995</v>
      </c>
      <c r="I1898" s="7">
        <f>IF(Transactions!I1898="",0,Transactions!I1898)</f>
        <v>0</v>
      </c>
      <c r="J1898" s="9">
        <f t="shared" si="29"/>
        <v>202.46999999999997</v>
      </c>
      <c r="K1898" t="s">
        <v>22</v>
      </c>
      <c r="L1898" t="s">
        <v>17</v>
      </c>
      <c r="M1898" t="str">
        <f>REPLACE(Transactions!M1898,1,4,"")</f>
        <v>8</v>
      </c>
    </row>
    <row r="1899" spans="1:13" x14ac:dyDescent="0.2">
      <c r="A1899">
        <v>412143</v>
      </c>
      <c r="B1899" s="5">
        <v>45416</v>
      </c>
      <c r="C1899">
        <v>14798</v>
      </c>
      <c r="D1899" t="str">
        <f>PROPER(Transactions!D1899)</f>
        <v>Grocery</v>
      </c>
      <c r="E1899" t="s">
        <v>172</v>
      </c>
      <c r="F1899" t="s">
        <v>173</v>
      </c>
      <c r="G1899">
        <v>2</v>
      </c>
      <c r="H1899">
        <v>4.49</v>
      </c>
      <c r="I1899" s="7">
        <f>IF(Transactions!I1899="",0,Transactions!I1899)</f>
        <v>0</v>
      </c>
      <c r="J1899" s="9">
        <f t="shared" si="29"/>
        <v>8.98</v>
      </c>
      <c r="K1899" t="s">
        <v>36</v>
      </c>
      <c r="L1899" t="s">
        <v>17</v>
      </c>
      <c r="M1899" t="str">
        <f>REPLACE(Transactions!M1899,1,4,"")</f>
        <v>15</v>
      </c>
    </row>
    <row r="1900" spans="1:13" x14ac:dyDescent="0.2">
      <c r="A1900">
        <v>412298</v>
      </c>
      <c r="B1900" s="5">
        <v>44670</v>
      </c>
      <c r="C1900">
        <v>59698</v>
      </c>
      <c r="D1900" t="str">
        <f>PROPER(Transactions!D1900)</f>
        <v>Electronics</v>
      </c>
      <c r="E1900" t="s">
        <v>14</v>
      </c>
      <c r="F1900" t="s">
        <v>15</v>
      </c>
      <c r="G1900">
        <v>2</v>
      </c>
      <c r="H1900">
        <v>59.99</v>
      </c>
      <c r="I1900" s="7">
        <f>IF(Transactions!I1900="",0,Transactions!I1900)</f>
        <v>0.25</v>
      </c>
      <c r="J1900" s="9">
        <f t="shared" si="29"/>
        <v>89.984999999999999</v>
      </c>
      <c r="K1900" t="s">
        <v>36</v>
      </c>
      <c r="L1900" t="s">
        <v>17</v>
      </c>
      <c r="M1900" t="str">
        <f>REPLACE(Transactions!M1900,1,4,"")</f>
        <v>14</v>
      </c>
    </row>
    <row r="1901" spans="1:13" x14ac:dyDescent="0.2">
      <c r="A1901">
        <v>412442</v>
      </c>
      <c r="B1901" s="5">
        <v>45195</v>
      </c>
      <c r="C1901">
        <v>38454</v>
      </c>
      <c r="D1901" t="str">
        <f>PROPER(Transactions!D1901)</f>
        <v>Grocery</v>
      </c>
      <c r="E1901" t="s">
        <v>107</v>
      </c>
      <c r="F1901" t="s">
        <v>108</v>
      </c>
      <c r="G1901">
        <v>1</v>
      </c>
      <c r="H1901">
        <v>3.49</v>
      </c>
      <c r="I1901" s="7">
        <f>IF(Transactions!I1901="",0,Transactions!I1901)</f>
        <v>0</v>
      </c>
      <c r="J1901" s="9">
        <f t="shared" si="29"/>
        <v>3.49</v>
      </c>
      <c r="K1901" t="s">
        <v>22</v>
      </c>
      <c r="L1901" t="s">
        <v>37</v>
      </c>
      <c r="M1901" t="str">
        <f>REPLACE(Transactions!M1901,1,4,"")</f>
        <v>11</v>
      </c>
    </row>
    <row r="1902" spans="1:13" x14ac:dyDescent="0.2">
      <c r="A1902">
        <v>412758</v>
      </c>
      <c r="B1902" s="5">
        <v>44992</v>
      </c>
      <c r="C1902">
        <v>50699</v>
      </c>
      <c r="D1902" t="str">
        <f>PROPER(Transactions!D1902)</f>
        <v>Automotive</v>
      </c>
      <c r="E1902" t="s">
        <v>111</v>
      </c>
      <c r="F1902" t="s">
        <v>112</v>
      </c>
      <c r="G1902">
        <v>1</v>
      </c>
      <c r="H1902">
        <v>11.24</v>
      </c>
      <c r="I1902" s="7">
        <f>IF(Transactions!I1902="",0,Transactions!I1902)</f>
        <v>0.25</v>
      </c>
      <c r="J1902" s="9">
        <f t="shared" si="29"/>
        <v>8.43</v>
      </c>
      <c r="K1902" t="s">
        <v>53</v>
      </c>
      <c r="L1902" t="s">
        <v>37</v>
      </c>
      <c r="M1902" t="str">
        <f>REPLACE(Transactions!M1902,1,4,"")</f>
        <v>16</v>
      </c>
    </row>
    <row r="1903" spans="1:13" x14ac:dyDescent="0.2">
      <c r="A1903">
        <v>412865</v>
      </c>
      <c r="B1903" s="5">
        <v>44699</v>
      </c>
      <c r="C1903">
        <v>37230</v>
      </c>
      <c r="D1903" t="str">
        <f>PROPER(Transactions!D1903)</f>
        <v>Home &amp; Garden</v>
      </c>
      <c r="E1903" t="s">
        <v>153</v>
      </c>
      <c r="F1903" t="s">
        <v>154</v>
      </c>
      <c r="G1903">
        <v>5</v>
      </c>
      <c r="H1903">
        <v>26.99</v>
      </c>
      <c r="I1903" s="7">
        <f>IF(Transactions!I1903="",0,Transactions!I1903)</f>
        <v>0.1</v>
      </c>
      <c r="J1903" s="9">
        <f t="shared" si="29"/>
        <v>121.455</v>
      </c>
      <c r="K1903" t="s">
        <v>95</v>
      </c>
      <c r="L1903" t="s">
        <v>37</v>
      </c>
      <c r="M1903" t="str">
        <f>REPLACE(Transactions!M1903,1,4,"")</f>
        <v>3</v>
      </c>
    </row>
    <row r="1904" spans="1:13" x14ac:dyDescent="0.2">
      <c r="A1904">
        <v>412941</v>
      </c>
      <c r="B1904" s="5">
        <v>44585</v>
      </c>
      <c r="D1904" t="str">
        <f>PROPER(Transactions!D1904)</f>
        <v>Sports</v>
      </c>
      <c r="E1904" t="s">
        <v>168</v>
      </c>
      <c r="F1904" t="s">
        <v>169</v>
      </c>
      <c r="G1904">
        <v>4</v>
      </c>
      <c r="H1904">
        <v>8.99</v>
      </c>
      <c r="I1904" s="7">
        <f>IF(Transactions!I1904="",0,Transactions!I1904)</f>
        <v>0</v>
      </c>
      <c r="J1904" s="9">
        <f t="shared" si="29"/>
        <v>35.96</v>
      </c>
      <c r="K1904" t="s">
        <v>36</v>
      </c>
      <c r="L1904" t="s">
        <v>17</v>
      </c>
      <c r="M1904" t="str">
        <f>REPLACE(Transactions!M1904,1,4,"")</f>
        <v>10</v>
      </c>
    </row>
    <row r="1905" spans="1:13" x14ac:dyDescent="0.2">
      <c r="A1905">
        <v>413054</v>
      </c>
      <c r="B1905" s="5">
        <v>45184</v>
      </c>
      <c r="C1905">
        <v>66045</v>
      </c>
      <c r="D1905" t="str">
        <f>PROPER(Transactions!D1905)</f>
        <v>Sports</v>
      </c>
      <c r="E1905" t="s">
        <v>168</v>
      </c>
      <c r="F1905" t="s">
        <v>169</v>
      </c>
      <c r="G1905">
        <v>1</v>
      </c>
      <c r="H1905">
        <v>8.09</v>
      </c>
      <c r="I1905" s="7">
        <f>IF(Transactions!I1905="",0,Transactions!I1905)</f>
        <v>0.1</v>
      </c>
      <c r="J1905" s="9">
        <f t="shared" si="29"/>
        <v>7.2809999999999997</v>
      </c>
      <c r="K1905" t="s">
        <v>22</v>
      </c>
      <c r="L1905" t="s">
        <v>23</v>
      </c>
      <c r="M1905" t="str">
        <f>REPLACE(Transactions!M1905,1,4,"")</f>
        <v>11</v>
      </c>
    </row>
    <row r="1906" spans="1:13" x14ac:dyDescent="0.2">
      <c r="A1906">
        <v>413685</v>
      </c>
      <c r="B1906" s="5">
        <v>45466</v>
      </c>
      <c r="C1906">
        <v>49599</v>
      </c>
      <c r="D1906" t="str">
        <f>PROPER(Transactions!D1906)</f>
        <v>Automotive</v>
      </c>
      <c r="E1906" t="s">
        <v>131</v>
      </c>
      <c r="F1906" t="s">
        <v>132</v>
      </c>
      <c r="G1906">
        <v>5</v>
      </c>
      <c r="H1906">
        <v>2.97</v>
      </c>
      <c r="I1906" s="7">
        <f>IF(Transactions!I1906="",0,Transactions!I1906)</f>
        <v>0.15</v>
      </c>
      <c r="J1906" s="9">
        <f t="shared" si="29"/>
        <v>12.6225</v>
      </c>
      <c r="K1906" t="s">
        <v>16</v>
      </c>
      <c r="L1906" t="s">
        <v>17</v>
      </c>
      <c r="M1906" t="str">
        <f>REPLACE(Transactions!M1906,1,4,"")</f>
        <v>20</v>
      </c>
    </row>
    <row r="1907" spans="1:13" x14ac:dyDescent="0.2">
      <c r="A1907">
        <v>413814</v>
      </c>
      <c r="B1907" s="5">
        <v>44857</v>
      </c>
      <c r="C1907">
        <v>61007</v>
      </c>
      <c r="D1907" t="str">
        <f>PROPER(Transactions!D1907)</f>
        <v>Sports</v>
      </c>
      <c r="E1907" t="s">
        <v>100</v>
      </c>
      <c r="F1907" t="s">
        <v>101</v>
      </c>
      <c r="G1907">
        <v>5</v>
      </c>
      <c r="H1907">
        <v>18.39</v>
      </c>
      <c r="I1907" s="7">
        <f>IF(Transactions!I1907="",0,Transactions!I1907)</f>
        <v>0.2</v>
      </c>
      <c r="J1907" s="9">
        <f t="shared" si="29"/>
        <v>73.56</v>
      </c>
      <c r="K1907" t="s">
        <v>32</v>
      </c>
      <c r="L1907" t="s">
        <v>17</v>
      </c>
      <c r="M1907" t="str">
        <f>REPLACE(Transactions!M1907,1,4,"")</f>
        <v>1</v>
      </c>
    </row>
    <row r="1908" spans="1:13" x14ac:dyDescent="0.2">
      <c r="A1908">
        <v>414007</v>
      </c>
      <c r="B1908" s="5">
        <v>44796</v>
      </c>
      <c r="C1908">
        <v>29340</v>
      </c>
      <c r="D1908" t="str">
        <f>PROPER(Transactions!D1908)</f>
        <v>Sports</v>
      </c>
      <c r="E1908" t="s">
        <v>83</v>
      </c>
      <c r="F1908" t="s">
        <v>84</v>
      </c>
      <c r="G1908">
        <v>4</v>
      </c>
      <c r="H1908">
        <v>16.14</v>
      </c>
      <c r="I1908" s="7">
        <f>IF(Transactions!I1908="",0,Transactions!I1908)</f>
        <v>0.05</v>
      </c>
      <c r="J1908" s="9">
        <f t="shared" si="29"/>
        <v>61.332000000000001</v>
      </c>
      <c r="K1908" t="s">
        <v>16</v>
      </c>
      <c r="L1908" t="s">
        <v>17</v>
      </c>
      <c r="M1908" t="str">
        <f>REPLACE(Transactions!M1908,1,4,"")</f>
        <v>15</v>
      </c>
    </row>
    <row r="1909" spans="1:13" x14ac:dyDescent="0.2">
      <c r="A1909">
        <v>414075</v>
      </c>
      <c r="B1909" s="5">
        <v>45606</v>
      </c>
      <c r="C1909">
        <v>24735</v>
      </c>
      <c r="D1909" t="str">
        <f>PROPER(Transactions!D1909)</f>
        <v>Sports</v>
      </c>
      <c r="E1909" t="s">
        <v>83</v>
      </c>
      <c r="F1909" t="s">
        <v>84</v>
      </c>
      <c r="G1909">
        <v>1</v>
      </c>
      <c r="H1909">
        <v>15.29</v>
      </c>
      <c r="I1909" s="7">
        <f>IF(Transactions!I1909="",0,Transactions!I1909)</f>
        <v>0.1</v>
      </c>
      <c r="J1909" s="9">
        <f t="shared" si="29"/>
        <v>13.760999999999999</v>
      </c>
      <c r="K1909" t="s">
        <v>16</v>
      </c>
      <c r="L1909" t="s">
        <v>17</v>
      </c>
      <c r="M1909" t="str">
        <f>REPLACE(Transactions!M1909,1,4,"")</f>
        <v>10</v>
      </c>
    </row>
    <row r="1910" spans="1:13" x14ac:dyDescent="0.2">
      <c r="A1910">
        <v>414134</v>
      </c>
      <c r="B1910" s="5">
        <v>45353</v>
      </c>
      <c r="C1910">
        <v>50331</v>
      </c>
      <c r="D1910" t="str">
        <f>PROPER(Transactions!D1910)</f>
        <v>Home &amp; Garden</v>
      </c>
      <c r="E1910" t="s">
        <v>157</v>
      </c>
      <c r="F1910" t="s">
        <v>158</v>
      </c>
      <c r="G1910">
        <v>2</v>
      </c>
      <c r="H1910">
        <v>13.49</v>
      </c>
      <c r="I1910" s="7">
        <f>IF(Transactions!I1910="",0,Transactions!I1910)</f>
        <v>0</v>
      </c>
      <c r="J1910" s="9">
        <f t="shared" si="29"/>
        <v>26.98</v>
      </c>
      <c r="K1910" t="s">
        <v>16</v>
      </c>
      <c r="L1910" t="s">
        <v>17</v>
      </c>
      <c r="M1910" t="str">
        <f>REPLACE(Transactions!M1910,1,4,"")</f>
        <v>9</v>
      </c>
    </row>
    <row r="1911" spans="1:13" x14ac:dyDescent="0.2">
      <c r="A1911">
        <v>414135</v>
      </c>
      <c r="B1911" s="5">
        <v>45144</v>
      </c>
      <c r="C1911">
        <v>66813</v>
      </c>
      <c r="D1911" t="str">
        <f>PROPER(Transactions!D1911)</f>
        <v>Electronics</v>
      </c>
      <c r="E1911" t="s">
        <v>77</v>
      </c>
      <c r="F1911" t="s">
        <v>78</v>
      </c>
      <c r="G1911">
        <v>2</v>
      </c>
      <c r="H1911">
        <v>349.99</v>
      </c>
      <c r="I1911" s="7">
        <f>IF(Transactions!I1911="",0,Transactions!I1911)</f>
        <v>0.3</v>
      </c>
      <c r="J1911" s="9">
        <f t="shared" si="29"/>
        <v>489.98599999999999</v>
      </c>
      <c r="K1911" t="s">
        <v>16</v>
      </c>
      <c r="L1911" t="s">
        <v>37</v>
      </c>
      <c r="M1911" t="str">
        <f>REPLACE(Transactions!M1911,1,4,"")</f>
        <v>5</v>
      </c>
    </row>
    <row r="1912" spans="1:13" x14ac:dyDescent="0.2">
      <c r="A1912">
        <v>414423</v>
      </c>
      <c r="B1912" s="5">
        <v>45315</v>
      </c>
      <c r="C1912">
        <v>80975</v>
      </c>
      <c r="D1912" t="str">
        <f>PROPER(Transactions!D1912)</f>
        <v>Beauty</v>
      </c>
      <c r="E1912" t="s">
        <v>49</v>
      </c>
      <c r="F1912" t="s">
        <v>50</v>
      </c>
      <c r="G1912">
        <v>2</v>
      </c>
      <c r="H1912">
        <v>8.99</v>
      </c>
      <c r="I1912" s="7">
        <f>IF(Transactions!I1912="",0,Transactions!I1912)</f>
        <v>0</v>
      </c>
      <c r="J1912" s="9">
        <f t="shared" si="29"/>
        <v>17.98</v>
      </c>
      <c r="K1912" t="s">
        <v>22</v>
      </c>
      <c r="L1912" t="s">
        <v>17</v>
      </c>
      <c r="M1912" t="str">
        <f>REPLACE(Transactions!M1912,1,4,"")</f>
        <v>7</v>
      </c>
    </row>
    <row r="1913" spans="1:13" x14ac:dyDescent="0.2">
      <c r="A1913">
        <v>414492</v>
      </c>
      <c r="B1913" s="5">
        <v>45362</v>
      </c>
      <c r="C1913">
        <v>81659</v>
      </c>
      <c r="D1913" t="str">
        <f>PROPER(Transactions!D1913)</f>
        <v>Electronics</v>
      </c>
      <c r="E1913" t="s">
        <v>159</v>
      </c>
      <c r="F1913" t="s">
        <v>160</v>
      </c>
      <c r="G1913">
        <v>5</v>
      </c>
      <c r="H1913">
        <v>59.99</v>
      </c>
      <c r="I1913" s="7">
        <f>IF(Transactions!I1913="",0,Transactions!I1913)</f>
        <v>0</v>
      </c>
      <c r="J1913" s="9">
        <f t="shared" si="29"/>
        <v>299.95</v>
      </c>
      <c r="K1913" t="s">
        <v>32</v>
      </c>
      <c r="L1913" t="s">
        <v>23</v>
      </c>
      <c r="M1913" t="str">
        <f>REPLACE(Transactions!M1913,1,4,"")</f>
        <v>16</v>
      </c>
    </row>
    <row r="1914" spans="1:13" x14ac:dyDescent="0.2">
      <c r="A1914">
        <v>414687</v>
      </c>
      <c r="B1914" s="5">
        <v>45583</v>
      </c>
      <c r="C1914">
        <v>17276</v>
      </c>
      <c r="D1914" t="str">
        <f>PROPER(Transactions!D1914)</f>
        <v>Clothing</v>
      </c>
      <c r="E1914" t="s">
        <v>141</v>
      </c>
      <c r="F1914" t="s">
        <v>142</v>
      </c>
      <c r="G1914">
        <v>4</v>
      </c>
      <c r="H1914">
        <v>22.99</v>
      </c>
      <c r="I1914" s="7">
        <f>IF(Transactions!I1914="",0,Transactions!I1914)</f>
        <v>0</v>
      </c>
      <c r="J1914" s="9">
        <f t="shared" si="29"/>
        <v>91.96</v>
      </c>
      <c r="K1914" t="s">
        <v>16</v>
      </c>
      <c r="L1914" t="s">
        <v>37</v>
      </c>
      <c r="M1914" t="str">
        <f>REPLACE(Transactions!M1914,1,4,"")</f>
        <v>3</v>
      </c>
    </row>
    <row r="1915" spans="1:13" x14ac:dyDescent="0.2">
      <c r="A1915">
        <v>414752</v>
      </c>
      <c r="B1915" s="5">
        <v>45649</v>
      </c>
      <c r="C1915">
        <v>54696</v>
      </c>
      <c r="D1915" t="str">
        <f>PROPER(Transactions!D1915)</f>
        <v>Home &amp; Garden</v>
      </c>
      <c r="E1915" t="s">
        <v>157</v>
      </c>
      <c r="F1915" t="s">
        <v>158</v>
      </c>
      <c r="G1915">
        <v>5</v>
      </c>
      <c r="H1915">
        <v>12.14</v>
      </c>
      <c r="I1915" s="7">
        <f>IF(Transactions!I1915="",0,Transactions!I1915)</f>
        <v>0.1</v>
      </c>
      <c r="J1915" s="9">
        <f t="shared" si="29"/>
        <v>54.63</v>
      </c>
      <c r="K1915" t="s">
        <v>36</v>
      </c>
      <c r="L1915" t="s">
        <v>37</v>
      </c>
      <c r="M1915" t="str">
        <f>REPLACE(Transactions!M1915,1,4,"")</f>
        <v>2</v>
      </c>
    </row>
    <row r="1916" spans="1:13" x14ac:dyDescent="0.2">
      <c r="A1916">
        <v>415109</v>
      </c>
      <c r="B1916" s="5">
        <v>44649</v>
      </c>
      <c r="C1916">
        <v>21206</v>
      </c>
      <c r="D1916" t="str">
        <f>PROPER(Transactions!D1916)</f>
        <v>Grocery</v>
      </c>
      <c r="E1916" t="s">
        <v>133</v>
      </c>
      <c r="F1916" t="s">
        <v>134</v>
      </c>
      <c r="G1916">
        <v>1</v>
      </c>
      <c r="H1916">
        <v>2.84</v>
      </c>
      <c r="I1916" s="7">
        <f>IF(Transactions!I1916="",0,Transactions!I1916)</f>
        <v>0.25</v>
      </c>
      <c r="J1916" s="9">
        <f t="shared" si="29"/>
        <v>2.13</v>
      </c>
      <c r="K1916" t="s">
        <v>53</v>
      </c>
      <c r="L1916" t="s">
        <v>17</v>
      </c>
      <c r="M1916" t="str">
        <f>REPLACE(Transactions!M1916,1,4,"")</f>
        <v>1</v>
      </c>
    </row>
    <row r="1917" spans="1:13" x14ac:dyDescent="0.2">
      <c r="A1917">
        <v>415275</v>
      </c>
      <c r="B1917" s="5">
        <v>44617</v>
      </c>
      <c r="C1917">
        <v>41394</v>
      </c>
      <c r="D1917" t="str">
        <f>PROPER(Transactions!D1917)</f>
        <v>Automotive</v>
      </c>
      <c r="E1917" t="s">
        <v>131</v>
      </c>
      <c r="F1917" t="s">
        <v>132</v>
      </c>
      <c r="G1917">
        <v>5</v>
      </c>
      <c r="H1917">
        <v>2.79</v>
      </c>
      <c r="I1917" s="7">
        <f>IF(Transactions!I1917="",0,Transactions!I1917)</f>
        <v>0.2</v>
      </c>
      <c r="J1917" s="9">
        <f t="shared" si="29"/>
        <v>11.16</v>
      </c>
      <c r="K1917" t="s">
        <v>16</v>
      </c>
      <c r="L1917" t="s">
        <v>17</v>
      </c>
      <c r="M1917" t="str">
        <f>REPLACE(Transactions!M1917,1,4,"")</f>
        <v>15</v>
      </c>
    </row>
    <row r="1918" spans="1:13" x14ac:dyDescent="0.2">
      <c r="A1918">
        <v>415382</v>
      </c>
      <c r="B1918" s="5">
        <v>44567</v>
      </c>
      <c r="C1918">
        <v>97275</v>
      </c>
      <c r="D1918" t="str">
        <f>PROPER(Transactions!D1918)</f>
        <v>Pharmacy</v>
      </c>
      <c r="E1918" t="s">
        <v>58</v>
      </c>
      <c r="F1918" t="s">
        <v>59</v>
      </c>
      <c r="G1918">
        <v>5</v>
      </c>
      <c r="H1918">
        <v>3.39</v>
      </c>
      <c r="I1918" s="7">
        <f>IF(Transactions!I1918="",0,Transactions!I1918)</f>
        <v>0.15</v>
      </c>
      <c r="J1918" s="9">
        <f t="shared" si="29"/>
        <v>14.407499999999999</v>
      </c>
      <c r="K1918" t="s">
        <v>16</v>
      </c>
      <c r="L1918" t="s">
        <v>17</v>
      </c>
      <c r="M1918" t="str">
        <f>REPLACE(Transactions!M1918,1,4,"")</f>
        <v>19</v>
      </c>
    </row>
    <row r="1919" spans="1:13" x14ac:dyDescent="0.2">
      <c r="A1919">
        <v>415588</v>
      </c>
      <c r="B1919" s="5">
        <v>45380</v>
      </c>
      <c r="C1919">
        <v>55455</v>
      </c>
      <c r="D1919" t="str">
        <f>PROPER(Transactions!D1919)</f>
        <v>Grocery</v>
      </c>
      <c r="E1919" t="s">
        <v>172</v>
      </c>
      <c r="F1919" t="s">
        <v>173</v>
      </c>
      <c r="G1919">
        <v>1</v>
      </c>
      <c r="H1919">
        <v>3.59</v>
      </c>
      <c r="I1919" s="7">
        <f>IF(Transactions!I1919="",0,Transactions!I1919)</f>
        <v>0.2</v>
      </c>
      <c r="J1919" s="9">
        <f t="shared" si="29"/>
        <v>2.8719999999999999</v>
      </c>
      <c r="K1919" t="s">
        <v>16</v>
      </c>
      <c r="L1919" t="s">
        <v>37</v>
      </c>
      <c r="M1919" t="str">
        <f>REPLACE(Transactions!M1919,1,4,"")</f>
        <v>19</v>
      </c>
    </row>
    <row r="1920" spans="1:13" x14ac:dyDescent="0.2">
      <c r="A1920">
        <v>415636</v>
      </c>
      <c r="B1920" s="5">
        <v>45470</v>
      </c>
      <c r="C1920">
        <v>54188</v>
      </c>
      <c r="D1920" t="str">
        <f>PROPER(Transactions!D1920)</f>
        <v>Sports</v>
      </c>
      <c r="E1920" t="s">
        <v>147</v>
      </c>
      <c r="F1920" t="s">
        <v>148</v>
      </c>
      <c r="G1920">
        <v>1</v>
      </c>
      <c r="H1920">
        <v>11.69</v>
      </c>
      <c r="I1920" s="7">
        <f>IF(Transactions!I1920="",0,Transactions!I1920)</f>
        <v>0.1</v>
      </c>
      <c r="J1920" s="9">
        <f t="shared" si="29"/>
        <v>10.520999999999999</v>
      </c>
      <c r="K1920" t="s">
        <v>16</v>
      </c>
      <c r="L1920" t="s">
        <v>17</v>
      </c>
      <c r="M1920" t="str">
        <f>REPLACE(Transactions!M1920,1,4,"")</f>
        <v>17</v>
      </c>
    </row>
    <row r="1921" spans="1:13" x14ac:dyDescent="0.2">
      <c r="A1921">
        <v>415641</v>
      </c>
      <c r="B1921" s="5">
        <v>44683</v>
      </c>
      <c r="C1921">
        <v>86546</v>
      </c>
      <c r="D1921" t="str">
        <f>PROPER(Transactions!D1921)</f>
        <v>Home &amp; Garden</v>
      </c>
      <c r="E1921" t="s">
        <v>145</v>
      </c>
      <c r="F1921" t="s">
        <v>146</v>
      </c>
      <c r="G1921">
        <v>1</v>
      </c>
      <c r="H1921">
        <v>13.59</v>
      </c>
      <c r="I1921" s="7">
        <f>IF(Transactions!I1921="",0,Transactions!I1921)</f>
        <v>0.2</v>
      </c>
      <c r="J1921" s="9">
        <f t="shared" si="29"/>
        <v>10.872</v>
      </c>
      <c r="K1921" t="s">
        <v>36</v>
      </c>
      <c r="L1921" t="s">
        <v>17</v>
      </c>
      <c r="M1921" t="str">
        <f>REPLACE(Transactions!M1921,1,4,"")</f>
        <v>16</v>
      </c>
    </row>
    <row r="1922" spans="1:13" x14ac:dyDescent="0.2">
      <c r="A1922">
        <v>415929</v>
      </c>
      <c r="B1922" s="5">
        <v>44891</v>
      </c>
      <c r="C1922">
        <v>33638</v>
      </c>
      <c r="D1922" t="str">
        <f>PROPER(Transactions!D1922)</f>
        <v>Pharmacy</v>
      </c>
      <c r="E1922" t="s">
        <v>41</v>
      </c>
      <c r="F1922" t="s">
        <v>42</v>
      </c>
      <c r="G1922">
        <v>1</v>
      </c>
      <c r="H1922">
        <v>4.79</v>
      </c>
      <c r="I1922" s="7">
        <f>IF(Transactions!I1922="",0,Transactions!I1922)</f>
        <v>0.2</v>
      </c>
      <c r="J1922" s="9">
        <f t="shared" si="29"/>
        <v>3.8320000000000003</v>
      </c>
      <c r="K1922" t="s">
        <v>53</v>
      </c>
      <c r="L1922" t="s">
        <v>37</v>
      </c>
      <c r="M1922" t="str">
        <f>REPLACE(Transactions!M1922,1,4,"")</f>
        <v>13</v>
      </c>
    </row>
    <row r="1923" spans="1:13" x14ac:dyDescent="0.2">
      <c r="A1923">
        <v>416062</v>
      </c>
      <c r="B1923" s="5">
        <v>45323</v>
      </c>
      <c r="C1923">
        <v>63841</v>
      </c>
      <c r="D1923" t="str">
        <f>PROPER(Transactions!D1923)</f>
        <v>Furniture</v>
      </c>
      <c r="E1923" t="s">
        <v>113</v>
      </c>
      <c r="F1923" t="s">
        <v>114</v>
      </c>
      <c r="G1923">
        <v>5</v>
      </c>
      <c r="H1923">
        <v>113.99</v>
      </c>
      <c r="I1923" s="7">
        <f>IF(Transactions!I1923="",0,Transactions!I1923)</f>
        <v>0.05</v>
      </c>
      <c r="J1923" s="9">
        <f t="shared" ref="J1923:J1986" si="30">(H1923*G1923)*(1-I1923)</f>
        <v>541.45249999999987</v>
      </c>
      <c r="K1923" t="s">
        <v>16</v>
      </c>
      <c r="L1923" t="s">
        <v>17</v>
      </c>
      <c r="M1923" t="str">
        <f>REPLACE(Transactions!M1923,1,4,"")</f>
        <v>2</v>
      </c>
    </row>
    <row r="1924" spans="1:13" x14ac:dyDescent="0.2">
      <c r="A1924">
        <v>416127</v>
      </c>
      <c r="B1924" s="5">
        <v>44868</v>
      </c>
      <c r="C1924">
        <v>79393</v>
      </c>
      <c r="D1924" t="str">
        <f>PROPER(Transactions!D1924)</f>
        <v>Pharmacy</v>
      </c>
      <c r="E1924" t="s">
        <v>115</v>
      </c>
      <c r="F1924" t="s">
        <v>116</v>
      </c>
      <c r="G1924">
        <v>1</v>
      </c>
      <c r="H1924">
        <v>9.09</v>
      </c>
      <c r="I1924" s="7">
        <f>IF(Transactions!I1924="",0,Transactions!I1924)</f>
        <v>0.3</v>
      </c>
      <c r="J1924" s="9">
        <f t="shared" si="30"/>
        <v>6.3629999999999995</v>
      </c>
      <c r="K1924" t="s">
        <v>36</v>
      </c>
      <c r="L1924" t="s">
        <v>17</v>
      </c>
      <c r="M1924" t="str">
        <f>REPLACE(Transactions!M1924,1,4,"")</f>
        <v>6</v>
      </c>
    </row>
    <row r="1925" spans="1:13" x14ac:dyDescent="0.2">
      <c r="A1925">
        <v>416437</v>
      </c>
      <c r="B1925" s="5">
        <v>44774</v>
      </c>
      <c r="C1925">
        <v>30221</v>
      </c>
      <c r="D1925" t="str">
        <f>PROPER(Transactions!D1925)</f>
        <v>Pharmacy</v>
      </c>
      <c r="E1925" t="s">
        <v>20</v>
      </c>
      <c r="F1925" t="s">
        <v>21</v>
      </c>
      <c r="G1925">
        <v>4</v>
      </c>
      <c r="H1925">
        <v>7.99</v>
      </c>
      <c r="I1925" s="7">
        <f>IF(Transactions!I1925="",0,Transactions!I1925)</f>
        <v>0.2</v>
      </c>
      <c r="J1925" s="9">
        <f t="shared" si="30"/>
        <v>25.568000000000001</v>
      </c>
      <c r="K1925" t="s">
        <v>16</v>
      </c>
      <c r="L1925" t="s">
        <v>17</v>
      </c>
      <c r="M1925" t="str">
        <f>REPLACE(Transactions!M1925,1,4,"")</f>
        <v>9</v>
      </c>
    </row>
    <row r="1926" spans="1:13" x14ac:dyDescent="0.2">
      <c r="A1926">
        <v>416464</v>
      </c>
      <c r="B1926" s="5">
        <v>44938</v>
      </c>
      <c r="C1926">
        <v>15331</v>
      </c>
      <c r="D1926" t="str">
        <f>PROPER(Transactions!D1926)</f>
        <v>Electronics</v>
      </c>
      <c r="E1926" t="s">
        <v>159</v>
      </c>
      <c r="F1926" t="s">
        <v>160</v>
      </c>
      <c r="G1926">
        <v>3</v>
      </c>
      <c r="H1926">
        <v>50.99</v>
      </c>
      <c r="I1926" s="7">
        <f>IF(Transactions!I1926="",0,Transactions!I1926)</f>
        <v>0.15</v>
      </c>
      <c r="J1926" s="9">
        <f t="shared" si="30"/>
        <v>130.02449999999999</v>
      </c>
      <c r="K1926" t="s">
        <v>16</v>
      </c>
      <c r="L1926" t="s">
        <v>17</v>
      </c>
      <c r="M1926" t="str">
        <f>REPLACE(Transactions!M1926,1,4,"")</f>
        <v>12</v>
      </c>
    </row>
    <row r="1927" spans="1:13" x14ac:dyDescent="0.2">
      <c r="A1927">
        <v>416638</v>
      </c>
      <c r="B1927" s="5">
        <v>44601</v>
      </c>
      <c r="C1927">
        <v>45829</v>
      </c>
      <c r="D1927" t="str">
        <f>PROPER(Transactions!D1927)</f>
        <v>Sports</v>
      </c>
      <c r="E1927" t="s">
        <v>100</v>
      </c>
      <c r="F1927" t="s">
        <v>101</v>
      </c>
      <c r="G1927">
        <v>4</v>
      </c>
      <c r="H1927">
        <v>22.99</v>
      </c>
      <c r="I1927" s="7">
        <f>IF(Transactions!I1927="",0,Transactions!I1927)</f>
        <v>0</v>
      </c>
      <c r="J1927" s="9">
        <f t="shared" si="30"/>
        <v>91.96</v>
      </c>
      <c r="K1927" t="s">
        <v>36</v>
      </c>
      <c r="L1927" t="s">
        <v>17</v>
      </c>
      <c r="M1927" t="str">
        <f>REPLACE(Transactions!M1927,1,4,"")</f>
        <v>11</v>
      </c>
    </row>
    <row r="1928" spans="1:13" x14ac:dyDescent="0.2">
      <c r="A1928">
        <v>416772</v>
      </c>
      <c r="B1928" s="5">
        <v>45101</v>
      </c>
      <c r="C1928">
        <v>80328</v>
      </c>
      <c r="D1928" t="str">
        <f>PROPER(Transactions!D1928)</f>
        <v>Toys</v>
      </c>
      <c r="E1928" t="s">
        <v>88</v>
      </c>
      <c r="F1928" t="s">
        <v>89</v>
      </c>
      <c r="G1928">
        <v>5</v>
      </c>
      <c r="H1928">
        <v>47.49</v>
      </c>
      <c r="I1928" s="7">
        <f>IF(Transactions!I1928="",0,Transactions!I1928)</f>
        <v>0.05</v>
      </c>
      <c r="J1928" s="9">
        <f t="shared" si="30"/>
        <v>225.57750000000001</v>
      </c>
      <c r="K1928" t="s">
        <v>16</v>
      </c>
      <c r="L1928" t="s">
        <v>17</v>
      </c>
      <c r="M1928" t="str">
        <f>REPLACE(Transactions!M1928,1,4,"")</f>
        <v/>
      </c>
    </row>
    <row r="1929" spans="1:13" x14ac:dyDescent="0.2">
      <c r="A1929">
        <v>417034</v>
      </c>
      <c r="B1929" s="5">
        <v>44857</v>
      </c>
      <c r="C1929">
        <v>38332</v>
      </c>
      <c r="D1929" t="str">
        <f>PROPER(Transactions!D1929)</f>
        <v>Beauty</v>
      </c>
      <c r="E1929" t="s">
        <v>179</v>
      </c>
      <c r="F1929" t="s">
        <v>180</v>
      </c>
      <c r="G1929">
        <v>5</v>
      </c>
      <c r="H1929">
        <v>8.39</v>
      </c>
      <c r="I1929" s="7">
        <f>IF(Transactions!I1929="",0,Transactions!I1929)</f>
        <v>0.3</v>
      </c>
      <c r="J1929" s="9">
        <f t="shared" si="30"/>
        <v>29.364999999999998</v>
      </c>
      <c r="K1929" t="s">
        <v>16</v>
      </c>
      <c r="L1929" t="s">
        <v>17</v>
      </c>
      <c r="M1929" t="str">
        <f>REPLACE(Transactions!M1929,1,4,"")</f>
        <v>14</v>
      </c>
    </row>
    <row r="1930" spans="1:13" x14ac:dyDescent="0.2">
      <c r="A1930">
        <v>417612</v>
      </c>
      <c r="B1930" s="5">
        <v>45519</v>
      </c>
      <c r="C1930">
        <v>25261</v>
      </c>
      <c r="D1930" t="str">
        <f>PROPER(Transactions!D1930)</f>
        <v>Clothing</v>
      </c>
      <c r="E1930" t="s">
        <v>141</v>
      </c>
      <c r="F1930" t="s">
        <v>142</v>
      </c>
      <c r="G1930">
        <v>1</v>
      </c>
      <c r="H1930">
        <v>17.239999999999998</v>
      </c>
      <c r="I1930" s="7">
        <f>IF(Transactions!I1930="",0,Transactions!I1930)</f>
        <v>0.25</v>
      </c>
      <c r="J1930" s="9">
        <f t="shared" si="30"/>
        <v>12.93</v>
      </c>
      <c r="K1930" t="s">
        <v>16</v>
      </c>
      <c r="L1930" t="s">
        <v>17</v>
      </c>
      <c r="M1930" t="str">
        <f>REPLACE(Transactions!M1930,1,4,"")</f>
        <v>13</v>
      </c>
    </row>
    <row r="1931" spans="1:13" x14ac:dyDescent="0.2">
      <c r="A1931">
        <v>417734</v>
      </c>
      <c r="B1931" s="5">
        <v>45212</v>
      </c>
      <c r="C1931">
        <v>59926</v>
      </c>
      <c r="D1931" t="str">
        <f>PROPER(Transactions!D1931)</f>
        <v>Grocery</v>
      </c>
      <c r="E1931" t="s">
        <v>177</v>
      </c>
      <c r="F1931" t="s">
        <v>178</v>
      </c>
      <c r="G1931">
        <v>5</v>
      </c>
      <c r="H1931">
        <v>11.99</v>
      </c>
      <c r="I1931" s="7">
        <f>IF(Transactions!I1931="",0,Transactions!I1931)</f>
        <v>0</v>
      </c>
      <c r="J1931" s="9">
        <f t="shared" si="30"/>
        <v>59.95</v>
      </c>
      <c r="K1931" t="s">
        <v>22</v>
      </c>
      <c r="L1931" t="s">
        <v>23</v>
      </c>
      <c r="M1931" t="str">
        <f>REPLACE(Transactions!M1931,1,4,"")</f>
        <v>10</v>
      </c>
    </row>
    <row r="1932" spans="1:13" x14ac:dyDescent="0.2">
      <c r="A1932">
        <v>417768</v>
      </c>
      <c r="B1932" s="5">
        <v>45224</v>
      </c>
      <c r="C1932">
        <v>53170</v>
      </c>
      <c r="D1932" t="str">
        <f>PROPER(Transactions!D1932)</f>
        <v>Beauty</v>
      </c>
      <c r="E1932" t="s">
        <v>109</v>
      </c>
      <c r="F1932" t="s">
        <v>110</v>
      </c>
      <c r="G1932">
        <v>2</v>
      </c>
      <c r="H1932">
        <v>5.24</v>
      </c>
      <c r="I1932" s="7">
        <f>IF(Transactions!I1932="",0,Transactions!I1932)</f>
        <v>0.25</v>
      </c>
      <c r="J1932" s="9">
        <f t="shared" si="30"/>
        <v>7.86</v>
      </c>
      <c r="K1932" t="s">
        <v>22</v>
      </c>
      <c r="L1932" t="s">
        <v>17</v>
      </c>
      <c r="M1932" t="str">
        <f>REPLACE(Transactions!M1932,1,4,"")</f>
        <v>18</v>
      </c>
    </row>
    <row r="1933" spans="1:13" x14ac:dyDescent="0.2">
      <c r="A1933">
        <v>418178</v>
      </c>
      <c r="B1933" s="5">
        <v>45492</v>
      </c>
      <c r="C1933">
        <v>76396</v>
      </c>
      <c r="D1933" t="str">
        <f>PROPER(Transactions!D1933)</f>
        <v>Pharmacy</v>
      </c>
      <c r="E1933" t="s">
        <v>115</v>
      </c>
      <c r="F1933" t="s">
        <v>116</v>
      </c>
      <c r="G1933">
        <v>5</v>
      </c>
      <c r="H1933">
        <v>12.34</v>
      </c>
      <c r="I1933" s="7">
        <f>IF(Transactions!I1933="",0,Transactions!I1933)</f>
        <v>0.05</v>
      </c>
      <c r="J1933" s="9">
        <f t="shared" si="30"/>
        <v>58.615000000000002</v>
      </c>
      <c r="K1933" t="s">
        <v>16</v>
      </c>
      <c r="L1933" t="s">
        <v>37</v>
      </c>
      <c r="M1933" t="str">
        <f>REPLACE(Transactions!M1933,1,4,"")</f>
        <v>9</v>
      </c>
    </row>
    <row r="1934" spans="1:13" x14ac:dyDescent="0.2">
      <c r="A1934">
        <v>418362</v>
      </c>
      <c r="B1934" s="5">
        <v>45176</v>
      </c>
      <c r="C1934">
        <v>12554</v>
      </c>
      <c r="D1934" t="str">
        <f>PROPER(Transactions!D1934)</f>
        <v>Pharmacy</v>
      </c>
      <c r="E1934" t="s">
        <v>115</v>
      </c>
      <c r="F1934" t="s">
        <v>116</v>
      </c>
      <c r="G1934">
        <v>1</v>
      </c>
      <c r="H1934">
        <v>11.04</v>
      </c>
      <c r="I1934" s="7">
        <f>IF(Transactions!I1934="",0,Transactions!I1934)</f>
        <v>0.15</v>
      </c>
      <c r="J1934" s="9">
        <f t="shared" si="30"/>
        <v>9.3839999999999986</v>
      </c>
      <c r="K1934" t="s">
        <v>16</v>
      </c>
      <c r="L1934" t="s">
        <v>17</v>
      </c>
      <c r="M1934" t="str">
        <f>REPLACE(Transactions!M1934,1,4,"")</f>
        <v>17</v>
      </c>
    </row>
    <row r="1935" spans="1:13" x14ac:dyDescent="0.2">
      <c r="A1935">
        <v>418912</v>
      </c>
      <c r="B1935" s="5">
        <v>44664</v>
      </c>
      <c r="C1935">
        <v>29138</v>
      </c>
      <c r="D1935" t="str">
        <f>PROPER(Transactions!D1935)</f>
        <v>Toys</v>
      </c>
      <c r="E1935" t="s">
        <v>30</v>
      </c>
      <c r="F1935" t="s">
        <v>31</v>
      </c>
      <c r="G1935">
        <v>4</v>
      </c>
      <c r="H1935">
        <v>22.49</v>
      </c>
      <c r="I1935" s="7">
        <f>IF(Transactions!I1935="",0,Transactions!I1935)</f>
        <v>0.1</v>
      </c>
      <c r="J1935" s="9">
        <f t="shared" si="30"/>
        <v>80.963999999999999</v>
      </c>
      <c r="K1935" t="s">
        <v>16</v>
      </c>
      <c r="L1935" t="s">
        <v>17</v>
      </c>
      <c r="M1935" t="str">
        <f>REPLACE(Transactions!M1935,1,4,"")</f>
        <v>2</v>
      </c>
    </row>
    <row r="1936" spans="1:13" x14ac:dyDescent="0.2">
      <c r="A1936">
        <v>419190</v>
      </c>
      <c r="B1936" s="5">
        <v>44991</v>
      </c>
      <c r="C1936">
        <v>19202</v>
      </c>
      <c r="D1936" t="str">
        <f>PROPER(Transactions!D1936)</f>
        <v>Clothing</v>
      </c>
      <c r="E1936" t="s">
        <v>193</v>
      </c>
      <c r="F1936" t="s">
        <v>194</v>
      </c>
      <c r="G1936">
        <v>1</v>
      </c>
      <c r="H1936">
        <v>58.49</v>
      </c>
      <c r="I1936" s="7">
        <f>IF(Transactions!I1936="",0,Transactions!I1936)</f>
        <v>0.1</v>
      </c>
      <c r="J1936" s="9">
        <f t="shared" si="30"/>
        <v>52.641000000000005</v>
      </c>
      <c r="K1936" t="s">
        <v>16</v>
      </c>
      <c r="L1936" t="s">
        <v>17</v>
      </c>
      <c r="M1936" t="str">
        <f>REPLACE(Transactions!M1936,1,4,"")</f>
        <v>16</v>
      </c>
    </row>
    <row r="1937" spans="1:13" x14ac:dyDescent="0.2">
      <c r="A1937">
        <v>419231</v>
      </c>
      <c r="B1937" s="5">
        <v>45502</v>
      </c>
      <c r="C1937">
        <v>41896</v>
      </c>
      <c r="D1937" t="str">
        <f>PROPER(Transactions!D1937)</f>
        <v>Electronics</v>
      </c>
      <c r="E1937" t="s">
        <v>127</v>
      </c>
      <c r="F1937" t="s">
        <v>128</v>
      </c>
      <c r="G1937">
        <v>2</v>
      </c>
      <c r="H1937">
        <v>19.989999999999998</v>
      </c>
      <c r="I1937" s="7">
        <f>IF(Transactions!I1937="",0,Transactions!I1937)</f>
        <v>0</v>
      </c>
      <c r="J1937" s="9">
        <f t="shared" si="30"/>
        <v>39.979999999999997</v>
      </c>
      <c r="K1937" t="s">
        <v>16</v>
      </c>
      <c r="L1937" t="s">
        <v>17</v>
      </c>
      <c r="M1937" t="str">
        <f>REPLACE(Transactions!M1937,1,4,"")</f>
        <v>11</v>
      </c>
    </row>
    <row r="1938" spans="1:13" x14ac:dyDescent="0.2">
      <c r="A1938">
        <v>419317</v>
      </c>
      <c r="B1938" s="5">
        <v>45153</v>
      </c>
      <c r="C1938">
        <v>29144</v>
      </c>
      <c r="D1938" t="str">
        <f>PROPER(Transactions!D1938)</f>
        <v>Automotive</v>
      </c>
      <c r="E1938" t="s">
        <v>125</v>
      </c>
      <c r="F1938" t="s">
        <v>126</v>
      </c>
      <c r="G1938">
        <v>4</v>
      </c>
      <c r="H1938">
        <v>20.99</v>
      </c>
      <c r="I1938" s="7">
        <f>IF(Transactions!I1938="",0,Transactions!I1938)</f>
        <v>0.3</v>
      </c>
      <c r="J1938" s="9">
        <f t="shared" si="30"/>
        <v>58.771999999999991</v>
      </c>
      <c r="K1938" t="s">
        <v>36</v>
      </c>
      <c r="L1938" t="s">
        <v>37</v>
      </c>
      <c r="M1938" t="str">
        <f>REPLACE(Transactions!M1938,1,4,"")</f>
        <v>18</v>
      </c>
    </row>
    <row r="1939" spans="1:13" x14ac:dyDescent="0.2">
      <c r="A1939">
        <v>419700</v>
      </c>
      <c r="B1939" s="5">
        <v>45207</v>
      </c>
      <c r="C1939">
        <v>11776</v>
      </c>
      <c r="D1939" t="str">
        <f>PROPER(Transactions!D1939)</f>
        <v>Home &amp; Garden</v>
      </c>
      <c r="E1939" t="s">
        <v>129</v>
      </c>
      <c r="F1939" t="s">
        <v>130</v>
      </c>
      <c r="G1939">
        <v>4</v>
      </c>
      <c r="H1939">
        <v>8.5399999999999991</v>
      </c>
      <c r="I1939" s="7">
        <f>IF(Transactions!I1939="",0,Transactions!I1939)</f>
        <v>0.05</v>
      </c>
      <c r="J1939" s="9">
        <f t="shared" si="30"/>
        <v>32.451999999999998</v>
      </c>
      <c r="K1939" t="s">
        <v>16</v>
      </c>
      <c r="L1939" t="s">
        <v>37</v>
      </c>
      <c r="M1939" t="str">
        <f>REPLACE(Transactions!M1939,1,4,"")</f>
        <v>12</v>
      </c>
    </row>
    <row r="1940" spans="1:13" x14ac:dyDescent="0.2">
      <c r="A1940">
        <v>419747</v>
      </c>
      <c r="B1940" s="5">
        <v>45314</v>
      </c>
      <c r="C1940">
        <v>10905</v>
      </c>
      <c r="D1940" t="str">
        <f>PROPER(Transactions!D1940)</f>
        <v>Sports</v>
      </c>
      <c r="E1940" t="s">
        <v>168</v>
      </c>
      <c r="F1940" t="s">
        <v>169</v>
      </c>
      <c r="G1940">
        <v>1</v>
      </c>
      <c r="H1940">
        <v>8.5399999999999991</v>
      </c>
      <c r="I1940" s="7">
        <f>IF(Transactions!I1940="",0,Transactions!I1940)</f>
        <v>0.05</v>
      </c>
      <c r="J1940" s="9">
        <f t="shared" si="30"/>
        <v>8.1129999999999995</v>
      </c>
      <c r="K1940" t="s">
        <v>36</v>
      </c>
      <c r="L1940" t="s">
        <v>37</v>
      </c>
      <c r="M1940" t="str">
        <f>REPLACE(Transactions!M1940,1,4,"")</f>
        <v>11</v>
      </c>
    </row>
    <row r="1941" spans="1:13" x14ac:dyDescent="0.2">
      <c r="A1941">
        <v>419837</v>
      </c>
      <c r="B1941" s="5">
        <v>45597</v>
      </c>
      <c r="C1941">
        <v>55994</v>
      </c>
      <c r="D1941" t="str">
        <f>PROPER(Transactions!D1941)</f>
        <v>Grocery</v>
      </c>
      <c r="E1941" t="s">
        <v>172</v>
      </c>
      <c r="F1941" t="s">
        <v>173</v>
      </c>
      <c r="G1941">
        <v>5</v>
      </c>
      <c r="H1941">
        <v>4.49</v>
      </c>
      <c r="I1941" s="7">
        <f>IF(Transactions!I1941="",0,Transactions!I1941)</f>
        <v>0</v>
      </c>
      <c r="J1941" s="9">
        <f t="shared" si="30"/>
        <v>22.450000000000003</v>
      </c>
      <c r="K1941" t="s">
        <v>53</v>
      </c>
      <c r="L1941" t="s">
        <v>17</v>
      </c>
      <c r="M1941" t="str">
        <f>REPLACE(Transactions!M1941,1,4,"")</f>
        <v>3</v>
      </c>
    </row>
    <row r="1942" spans="1:13" x14ac:dyDescent="0.2">
      <c r="A1942">
        <v>419891</v>
      </c>
      <c r="B1942" s="5">
        <v>44789</v>
      </c>
      <c r="C1942">
        <v>32460</v>
      </c>
      <c r="D1942" t="str">
        <f>PROPER(Transactions!D1942)</f>
        <v>Electronics</v>
      </c>
      <c r="E1942" t="s">
        <v>127</v>
      </c>
      <c r="F1942" t="s">
        <v>128</v>
      </c>
      <c r="G1942">
        <v>5</v>
      </c>
      <c r="H1942">
        <v>16.989999999999998</v>
      </c>
      <c r="I1942" s="7">
        <f>IF(Transactions!I1942="",0,Transactions!I1942)</f>
        <v>0.15</v>
      </c>
      <c r="J1942" s="9">
        <f t="shared" si="30"/>
        <v>72.207499999999982</v>
      </c>
      <c r="K1942" t="s">
        <v>36</v>
      </c>
      <c r="L1942" t="s">
        <v>17</v>
      </c>
      <c r="M1942" t="str">
        <f>REPLACE(Transactions!M1942,1,4,"")</f>
        <v>18</v>
      </c>
    </row>
    <row r="1943" spans="1:13" x14ac:dyDescent="0.2">
      <c r="A1943">
        <v>420526</v>
      </c>
      <c r="B1943" s="5">
        <v>45352</v>
      </c>
      <c r="C1943">
        <v>10406</v>
      </c>
      <c r="D1943" t="str">
        <f>PROPER(Transactions!D1943)</f>
        <v>Clothing</v>
      </c>
      <c r="E1943" t="s">
        <v>165</v>
      </c>
      <c r="F1943" t="s">
        <v>166</v>
      </c>
      <c r="G1943">
        <v>1</v>
      </c>
      <c r="H1943">
        <v>71.989999999999995</v>
      </c>
      <c r="I1943" s="7">
        <f>IF(Transactions!I1943="",0,Transactions!I1943)</f>
        <v>0.2</v>
      </c>
      <c r="J1943" s="9">
        <f t="shared" si="30"/>
        <v>57.591999999999999</v>
      </c>
      <c r="K1943" t="s">
        <v>22</v>
      </c>
      <c r="L1943" t="s">
        <v>17</v>
      </c>
      <c r="M1943" t="str">
        <f>REPLACE(Transactions!M1943,1,4,"")</f>
        <v>13</v>
      </c>
    </row>
    <row r="1944" spans="1:13" x14ac:dyDescent="0.2">
      <c r="A1944">
        <v>420711</v>
      </c>
      <c r="B1944" s="5">
        <v>44656</v>
      </c>
      <c r="C1944">
        <v>27774</v>
      </c>
      <c r="D1944" t="str">
        <f>PROPER(Transactions!D1944)</f>
        <v>Automotive</v>
      </c>
      <c r="E1944" t="s">
        <v>64</v>
      </c>
      <c r="F1944" t="s">
        <v>65</v>
      </c>
      <c r="G1944">
        <v>3</v>
      </c>
      <c r="H1944">
        <v>3.99</v>
      </c>
      <c r="I1944" s="7">
        <f>IF(Transactions!I1944="",0,Transactions!I1944)</f>
        <v>0.2</v>
      </c>
      <c r="J1944" s="9">
        <f t="shared" si="30"/>
        <v>9.5760000000000005</v>
      </c>
      <c r="K1944" t="s">
        <v>36</v>
      </c>
      <c r="L1944" t="s">
        <v>37</v>
      </c>
      <c r="M1944" t="str">
        <f>REPLACE(Transactions!M1944,1,4,"")</f>
        <v>7</v>
      </c>
    </row>
    <row r="1945" spans="1:13" x14ac:dyDescent="0.2">
      <c r="A1945">
        <v>420739</v>
      </c>
      <c r="B1945" s="5">
        <v>44630</v>
      </c>
      <c r="C1945">
        <v>56810</v>
      </c>
      <c r="D1945" t="str">
        <f>PROPER(Transactions!D1945)</f>
        <v>Toys</v>
      </c>
      <c r="E1945" t="s">
        <v>88</v>
      </c>
      <c r="F1945" t="s">
        <v>89</v>
      </c>
      <c r="G1945">
        <v>2</v>
      </c>
      <c r="H1945">
        <v>39.99</v>
      </c>
      <c r="I1945" s="7">
        <f>IF(Transactions!I1945="",0,Transactions!I1945)</f>
        <v>0.2</v>
      </c>
      <c r="J1945" s="9">
        <f t="shared" si="30"/>
        <v>63.984000000000009</v>
      </c>
      <c r="K1945" t="s">
        <v>36</v>
      </c>
      <c r="L1945" t="s">
        <v>17</v>
      </c>
      <c r="M1945" t="str">
        <f>REPLACE(Transactions!M1945,1,4,"")</f>
        <v>6</v>
      </c>
    </row>
    <row r="1946" spans="1:13" x14ac:dyDescent="0.2">
      <c r="A1946">
        <v>420775</v>
      </c>
      <c r="B1946" s="5">
        <v>45200</v>
      </c>
      <c r="C1946">
        <v>70721</v>
      </c>
      <c r="D1946" t="str">
        <f>PROPER(Transactions!D1946)</f>
        <v>Sports</v>
      </c>
      <c r="E1946" t="s">
        <v>83</v>
      </c>
      <c r="F1946" t="s">
        <v>84</v>
      </c>
      <c r="G1946">
        <v>1</v>
      </c>
      <c r="H1946">
        <v>15.29</v>
      </c>
      <c r="I1946" s="7">
        <f>IF(Transactions!I1946="",0,Transactions!I1946)</f>
        <v>0.1</v>
      </c>
      <c r="J1946" s="9">
        <f t="shared" si="30"/>
        <v>13.760999999999999</v>
      </c>
      <c r="K1946" t="s">
        <v>95</v>
      </c>
      <c r="L1946" t="s">
        <v>23</v>
      </c>
      <c r="M1946" t="str">
        <f>REPLACE(Transactions!M1946,1,4,"")</f>
        <v>16</v>
      </c>
    </row>
    <row r="1947" spans="1:13" x14ac:dyDescent="0.2">
      <c r="A1947">
        <v>420863</v>
      </c>
      <c r="B1947" s="5">
        <v>45487</v>
      </c>
      <c r="C1947">
        <v>59034</v>
      </c>
      <c r="D1947" t="str">
        <f>PROPER(Transactions!D1947)</f>
        <v>Home &amp; Garden</v>
      </c>
      <c r="E1947" t="s">
        <v>153</v>
      </c>
      <c r="F1947" t="s">
        <v>154</v>
      </c>
      <c r="G1947">
        <v>2</v>
      </c>
      <c r="H1947">
        <v>28.49</v>
      </c>
      <c r="I1947" s="7">
        <f>IF(Transactions!I1947="",0,Transactions!I1947)</f>
        <v>0</v>
      </c>
      <c r="J1947" s="9">
        <f t="shared" si="30"/>
        <v>56.98</v>
      </c>
      <c r="K1947" t="s">
        <v>16</v>
      </c>
      <c r="L1947" t="s">
        <v>17</v>
      </c>
      <c r="M1947" t="str">
        <f>REPLACE(Transactions!M1947,1,4,"")</f>
        <v>15</v>
      </c>
    </row>
    <row r="1948" spans="1:13" x14ac:dyDescent="0.2">
      <c r="A1948">
        <v>421000</v>
      </c>
      <c r="B1948" s="5">
        <v>45028</v>
      </c>
      <c r="C1948">
        <v>77662</v>
      </c>
      <c r="D1948" t="str">
        <f>PROPER(Transactions!D1948)</f>
        <v>Toys</v>
      </c>
      <c r="E1948" t="s">
        <v>38</v>
      </c>
      <c r="F1948" t="s">
        <v>39</v>
      </c>
      <c r="G1948">
        <v>1</v>
      </c>
      <c r="H1948">
        <v>25.49</v>
      </c>
      <c r="I1948" s="7">
        <f>IF(Transactions!I1948="",0,Transactions!I1948)</f>
        <v>0.15</v>
      </c>
      <c r="J1948" s="9">
        <f t="shared" si="30"/>
        <v>21.666499999999999</v>
      </c>
      <c r="K1948" t="s">
        <v>22</v>
      </c>
      <c r="L1948" t="s">
        <v>17</v>
      </c>
      <c r="M1948" t="str">
        <f>REPLACE(Transactions!M1948,1,4,"")</f>
        <v>5</v>
      </c>
    </row>
    <row r="1949" spans="1:13" x14ac:dyDescent="0.2">
      <c r="A1949">
        <v>421153</v>
      </c>
      <c r="B1949" s="5">
        <v>44767</v>
      </c>
      <c r="C1949">
        <v>67541</v>
      </c>
      <c r="D1949" t="str">
        <f>PROPER(Transactions!D1949)</f>
        <v>Sports</v>
      </c>
      <c r="E1949" t="s">
        <v>83</v>
      </c>
      <c r="F1949" t="s">
        <v>84</v>
      </c>
      <c r="G1949">
        <v>5</v>
      </c>
      <c r="H1949">
        <v>16.989999999999998</v>
      </c>
      <c r="I1949" s="7">
        <f>IF(Transactions!I1949="",0,Transactions!I1949)</f>
        <v>0</v>
      </c>
      <c r="J1949" s="9">
        <f t="shared" si="30"/>
        <v>84.949999999999989</v>
      </c>
      <c r="K1949" t="s">
        <v>22</v>
      </c>
      <c r="L1949" t="s">
        <v>17</v>
      </c>
      <c r="M1949" t="str">
        <f>REPLACE(Transactions!M1949,1,4,"")</f>
        <v>17</v>
      </c>
    </row>
    <row r="1950" spans="1:13" x14ac:dyDescent="0.2">
      <c r="A1950">
        <v>421451</v>
      </c>
      <c r="B1950" s="5">
        <v>45484</v>
      </c>
      <c r="C1950">
        <v>22772</v>
      </c>
      <c r="D1950" t="str">
        <f>PROPER(Transactions!D1950)</f>
        <v>Toys</v>
      </c>
      <c r="E1950" t="s">
        <v>30</v>
      </c>
      <c r="F1950" t="s">
        <v>31</v>
      </c>
      <c r="G1950">
        <v>5</v>
      </c>
      <c r="H1950">
        <v>19.989999999999998</v>
      </c>
      <c r="I1950" s="7">
        <f>IF(Transactions!I1950="",0,Transactions!I1950)</f>
        <v>0.2</v>
      </c>
      <c r="J1950" s="9">
        <f t="shared" si="30"/>
        <v>79.959999999999994</v>
      </c>
      <c r="K1950" t="s">
        <v>36</v>
      </c>
      <c r="L1950" t="s">
        <v>23</v>
      </c>
      <c r="M1950" t="str">
        <f>REPLACE(Transactions!M1950,1,4,"")</f>
        <v>6</v>
      </c>
    </row>
    <row r="1951" spans="1:13" x14ac:dyDescent="0.2">
      <c r="A1951">
        <v>421647</v>
      </c>
      <c r="B1951" s="5">
        <v>44795</v>
      </c>
      <c r="C1951">
        <v>94114</v>
      </c>
      <c r="D1951" t="str">
        <f>PROPER(Transactions!D1951)</f>
        <v>Clothing</v>
      </c>
      <c r="E1951" t="s">
        <v>151</v>
      </c>
      <c r="F1951" t="s">
        <v>152</v>
      </c>
      <c r="G1951">
        <v>1</v>
      </c>
      <c r="H1951">
        <v>33.24</v>
      </c>
      <c r="I1951" s="7">
        <f>IF(Transactions!I1951="",0,Transactions!I1951)</f>
        <v>0.05</v>
      </c>
      <c r="J1951" s="9">
        <f t="shared" si="30"/>
        <v>31.577999999999999</v>
      </c>
      <c r="K1951" t="s">
        <v>16</v>
      </c>
      <c r="L1951" t="s">
        <v>17</v>
      </c>
      <c r="M1951" t="str">
        <f>REPLACE(Transactions!M1951,1,4,"")</f>
        <v>10</v>
      </c>
    </row>
    <row r="1952" spans="1:13" x14ac:dyDescent="0.2">
      <c r="A1952">
        <v>421739</v>
      </c>
      <c r="B1952" s="5">
        <v>44717</v>
      </c>
      <c r="C1952">
        <v>59015</v>
      </c>
      <c r="D1952" t="str">
        <f>PROPER(Transactions!D1952)</f>
        <v>Clothing</v>
      </c>
      <c r="E1952" t="s">
        <v>98</v>
      </c>
      <c r="F1952" t="s">
        <v>99</v>
      </c>
      <c r="G1952">
        <v>4</v>
      </c>
      <c r="H1952">
        <v>19.59</v>
      </c>
      <c r="I1952" s="7">
        <f>IF(Transactions!I1952="",0,Transactions!I1952)</f>
        <v>0.3</v>
      </c>
      <c r="J1952" s="9">
        <f t="shared" si="30"/>
        <v>54.851999999999997</v>
      </c>
      <c r="K1952" t="s">
        <v>16</v>
      </c>
      <c r="L1952" t="s">
        <v>17</v>
      </c>
      <c r="M1952" t="str">
        <f>REPLACE(Transactions!M1952,1,4,"")</f>
        <v>1</v>
      </c>
    </row>
    <row r="1953" spans="1:13" x14ac:dyDescent="0.2">
      <c r="A1953">
        <v>421746</v>
      </c>
      <c r="B1953" s="5">
        <v>44642</v>
      </c>
      <c r="C1953">
        <v>40420</v>
      </c>
      <c r="D1953" t="str">
        <f>PROPER(Transactions!D1953)</f>
        <v>Electronics</v>
      </c>
      <c r="E1953" t="s">
        <v>127</v>
      </c>
      <c r="F1953" t="s">
        <v>128</v>
      </c>
      <c r="G1953">
        <v>1</v>
      </c>
      <c r="H1953">
        <v>19.989999999999998</v>
      </c>
      <c r="I1953" s="7">
        <f>IF(Transactions!I1953="",0,Transactions!I1953)</f>
        <v>0</v>
      </c>
      <c r="J1953" s="9">
        <f t="shared" si="30"/>
        <v>19.989999999999998</v>
      </c>
      <c r="K1953" t="s">
        <v>36</v>
      </c>
      <c r="L1953" t="s">
        <v>17</v>
      </c>
      <c r="M1953" t="str">
        <f>REPLACE(Transactions!M1953,1,4,"")</f>
        <v>10</v>
      </c>
    </row>
    <row r="1954" spans="1:13" x14ac:dyDescent="0.2">
      <c r="A1954">
        <v>421844</v>
      </c>
      <c r="B1954" s="5">
        <v>45041</v>
      </c>
      <c r="C1954">
        <v>92125</v>
      </c>
      <c r="D1954" t="str">
        <f>PROPER(Transactions!D1954)</f>
        <v>Sports</v>
      </c>
      <c r="E1954" t="s">
        <v>155</v>
      </c>
      <c r="F1954" t="s">
        <v>156</v>
      </c>
      <c r="G1954">
        <v>4</v>
      </c>
      <c r="H1954">
        <v>18.989999999999998</v>
      </c>
      <c r="I1954" s="7">
        <f>IF(Transactions!I1954="",0,Transactions!I1954)</f>
        <v>0.05</v>
      </c>
      <c r="J1954" s="9">
        <f t="shared" si="30"/>
        <v>72.161999999999992</v>
      </c>
      <c r="K1954" t="s">
        <v>95</v>
      </c>
      <c r="L1954" t="s">
        <v>17</v>
      </c>
      <c r="M1954" t="str">
        <f>REPLACE(Transactions!M1954,1,4,"")</f>
        <v>12</v>
      </c>
    </row>
    <row r="1955" spans="1:13" x14ac:dyDescent="0.2">
      <c r="A1955">
        <v>422066</v>
      </c>
      <c r="B1955" s="5">
        <v>45131</v>
      </c>
      <c r="C1955">
        <v>70418</v>
      </c>
      <c r="D1955" t="str">
        <f>PROPER(Transactions!D1955)</f>
        <v>Beauty</v>
      </c>
      <c r="E1955" t="s">
        <v>143</v>
      </c>
      <c r="F1955" t="s">
        <v>144</v>
      </c>
      <c r="G1955">
        <v>1</v>
      </c>
      <c r="H1955">
        <v>11.99</v>
      </c>
      <c r="I1955" s="7">
        <f>IF(Transactions!I1955="",0,Transactions!I1955)</f>
        <v>0.2</v>
      </c>
      <c r="J1955" s="9">
        <f t="shared" si="30"/>
        <v>9.5920000000000005</v>
      </c>
      <c r="K1955" t="s">
        <v>16</v>
      </c>
      <c r="L1955" t="s">
        <v>17</v>
      </c>
      <c r="M1955" t="str">
        <f>REPLACE(Transactions!M1955,1,4,"")</f>
        <v>15</v>
      </c>
    </row>
    <row r="1956" spans="1:13" x14ac:dyDescent="0.2">
      <c r="A1956">
        <v>422130</v>
      </c>
      <c r="B1956" s="5">
        <v>45033</v>
      </c>
      <c r="C1956">
        <v>51963</v>
      </c>
      <c r="D1956" t="str">
        <f>PROPER(Transactions!D1956)</f>
        <v>Automotive</v>
      </c>
      <c r="E1956" t="s">
        <v>125</v>
      </c>
      <c r="F1956" t="s">
        <v>126</v>
      </c>
      <c r="G1956">
        <v>5</v>
      </c>
      <c r="H1956">
        <v>25.49</v>
      </c>
      <c r="I1956" s="7">
        <f>IF(Transactions!I1956="",0,Transactions!I1956)</f>
        <v>0.15</v>
      </c>
      <c r="J1956" s="9">
        <f t="shared" si="30"/>
        <v>108.33249999999998</v>
      </c>
      <c r="K1956" t="s">
        <v>53</v>
      </c>
      <c r="L1956" t="s">
        <v>37</v>
      </c>
      <c r="M1956" t="str">
        <f>REPLACE(Transactions!M1956,1,4,"")</f>
        <v>18</v>
      </c>
    </row>
    <row r="1957" spans="1:13" x14ac:dyDescent="0.2">
      <c r="A1957">
        <v>422457</v>
      </c>
      <c r="B1957" s="5">
        <v>45250</v>
      </c>
      <c r="C1957">
        <v>46183</v>
      </c>
      <c r="D1957" t="str">
        <f>PROPER(Transactions!D1957)</f>
        <v>Sports</v>
      </c>
      <c r="E1957" t="s">
        <v>155</v>
      </c>
      <c r="F1957" t="s">
        <v>156</v>
      </c>
      <c r="G1957">
        <v>4</v>
      </c>
      <c r="H1957">
        <v>19.989999999999998</v>
      </c>
      <c r="I1957" s="7">
        <f>IF(Transactions!I1957="",0,Transactions!I1957)</f>
        <v>0</v>
      </c>
      <c r="J1957" s="9">
        <f t="shared" si="30"/>
        <v>79.959999999999994</v>
      </c>
      <c r="K1957" t="s">
        <v>16</v>
      </c>
      <c r="L1957" t="s">
        <v>17</v>
      </c>
      <c r="M1957" t="str">
        <f>REPLACE(Transactions!M1957,1,4,"")</f>
        <v>4</v>
      </c>
    </row>
    <row r="1958" spans="1:13" x14ac:dyDescent="0.2">
      <c r="A1958">
        <v>422532</v>
      </c>
      <c r="B1958" s="5">
        <v>44990</v>
      </c>
      <c r="C1958">
        <v>44631</v>
      </c>
      <c r="D1958" t="str">
        <f>PROPER(Transactions!D1958)</f>
        <v>Toys</v>
      </c>
      <c r="E1958" t="s">
        <v>30</v>
      </c>
      <c r="F1958" t="s">
        <v>31</v>
      </c>
      <c r="G1958">
        <v>2</v>
      </c>
      <c r="H1958">
        <v>23.74</v>
      </c>
      <c r="I1958" s="7">
        <f>IF(Transactions!I1958="",0,Transactions!I1958)</f>
        <v>0.05</v>
      </c>
      <c r="J1958" s="9">
        <f t="shared" si="30"/>
        <v>45.105999999999995</v>
      </c>
      <c r="K1958" t="s">
        <v>22</v>
      </c>
      <c r="L1958" t="s">
        <v>17</v>
      </c>
      <c r="M1958" t="str">
        <f>REPLACE(Transactions!M1958,1,4,"")</f>
        <v>10</v>
      </c>
    </row>
    <row r="1959" spans="1:13" x14ac:dyDescent="0.2">
      <c r="A1959">
        <v>422648</v>
      </c>
      <c r="B1959" s="5">
        <v>44837</v>
      </c>
      <c r="C1959">
        <v>17269</v>
      </c>
      <c r="D1959" t="str">
        <f>PROPER(Transactions!D1959)</f>
        <v>Electronics</v>
      </c>
      <c r="E1959" t="s">
        <v>34</v>
      </c>
      <c r="F1959" t="s">
        <v>35</v>
      </c>
      <c r="G1959">
        <v>5</v>
      </c>
      <c r="H1959">
        <v>34.99</v>
      </c>
      <c r="I1959" s="7">
        <f>IF(Transactions!I1959="",0,Transactions!I1959)</f>
        <v>0</v>
      </c>
      <c r="J1959" s="9">
        <f t="shared" si="30"/>
        <v>174.95000000000002</v>
      </c>
      <c r="K1959" t="s">
        <v>95</v>
      </c>
      <c r="L1959" t="s">
        <v>17</v>
      </c>
      <c r="M1959" t="str">
        <f>REPLACE(Transactions!M1959,1,4,"")</f>
        <v>18</v>
      </c>
    </row>
    <row r="1960" spans="1:13" x14ac:dyDescent="0.2">
      <c r="A1960">
        <v>422820</v>
      </c>
      <c r="B1960" s="5">
        <v>44851</v>
      </c>
      <c r="C1960">
        <v>53872</v>
      </c>
      <c r="D1960" t="str">
        <f>PROPER(Transactions!D1960)</f>
        <v>Automotive</v>
      </c>
      <c r="E1960" t="s">
        <v>131</v>
      </c>
      <c r="F1960" t="s">
        <v>132</v>
      </c>
      <c r="G1960">
        <v>4</v>
      </c>
      <c r="H1960">
        <v>3.14</v>
      </c>
      <c r="I1960" s="7">
        <f>IF(Transactions!I1960="",0,Transactions!I1960)</f>
        <v>0.1</v>
      </c>
      <c r="J1960" s="9">
        <f t="shared" si="30"/>
        <v>11.304</v>
      </c>
      <c r="K1960" t="s">
        <v>16</v>
      </c>
      <c r="L1960" t="s">
        <v>17</v>
      </c>
      <c r="M1960" t="str">
        <f>REPLACE(Transactions!M1960,1,4,"")</f>
        <v>18</v>
      </c>
    </row>
    <row r="1961" spans="1:13" x14ac:dyDescent="0.2">
      <c r="A1961">
        <v>422902</v>
      </c>
      <c r="B1961" s="5">
        <v>44604</v>
      </c>
      <c r="C1961">
        <v>55457</v>
      </c>
      <c r="D1961" t="str">
        <f>PROPER(Transactions!D1961)</f>
        <v>Toys</v>
      </c>
      <c r="E1961" t="s">
        <v>30</v>
      </c>
      <c r="F1961" t="s">
        <v>31</v>
      </c>
      <c r="G1961">
        <v>2</v>
      </c>
      <c r="H1961">
        <v>22.49</v>
      </c>
      <c r="I1961" s="7">
        <f>IF(Transactions!I1961="",0,Transactions!I1961)</f>
        <v>0.1</v>
      </c>
      <c r="J1961" s="9">
        <f t="shared" si="30"/>
        <v>40.481999999999999</v>
      </c>
      <c r="K1961" t="s">
        <v>32</v>
      </c>
      <c r="L1961" t="s">
        <v>17</v>
      </c>
      <c r="M1961" t="str">
        <f>REPLACE(Transactions!M1961,1,4,"")</f>
        <v>3</v>
      </c>
    </row>
    <row r="1962" spans="1:13" x14ac:dyDescent="0.2">
      <c r="A1962">
        <v>422983</v>
      </c>
      <c r="B1962" s="5">
        <v>45529</v>
      </c>
      <c r="C1962">
        <v>90855</v>
      </c>
      <c r="D1962" t="str">
        <f>PROPER(Transactions!D1962)</f>
        <v>Home &amp; Garden</v>
      </c>
      <c r="E1962" t="s">
        <v>149</v>
      </c>
      <c r="F1962" t="s">
        <v>150</v>
      </c>
      <c r="G1962">
        <v>1</v>
      </c>
      <c r="H1962">
        <v>19.989999999999998</v>
      </c>
      <c r="I1962" s="7">
        <f>IF(Transactions!I1962="",0,Transactions!I1962)</f>
        <v>0</v>
      </c>
      <c r="J1962" s="9">
        <f t="shared" si="30"/>
        <v>19.989999999999998</v>
      </c>
      <c r="K1962" t="s">
        <v>16</v>
      </c>
      <c r="L1962" t="s">
        <v>17</v>
      </c>
      <c r="M1962" t="str">
        <f>REPLACE(Transactions!M1962,1,4,"")</f>
        <v>8</v>
      </c>
    </row>
    <row r="1963" spans="1:13" x14ac:dyDescent="0.2">
      <c r="A1963">
        <v>423040</v>
      </c>
      <c r="B1963" s="5">
        <v>44760</v>
      </c>
      <c r="C1963">
        <v>53533</v>
      </c>
      <c r="D1963" t="str">
        <f>PROPER(Transactions!D1963)</f>
        <v>Pharmacy</v>
      </c>
      <c r="E1963" t="s">
        <v>58</v>
      </c>
      <c r="F1963" t="s">
        <v>59</v>
      </c>
      <c r="G1963">
        <v>2</v>
      </c>
      <c r="H1963">
        <v>3.99</v>
      </c>
      <c r="I1963" s="7">
        <f>IF(Transactions!I1963="",0,Transactions!I1963)</f>
        <v>0</v>
      </c>
      <c r="J1963" s="9">
        <f t="shared" si="30"/>
        <v>7.98</v>
      </c>
      <c r="K1963" t="s">
        <v>36</v>
      </c>
      <c r="L1963" t="s">
        <v>17</v>
      </c>
      <c r="M1963" t="str">
        <f>REPLACE(Transactions!M1963,1,4,"")</f>
        <v>6</v>
      </c>
    </row>
    <row r="1964" spans="1:13" x14ac:dyDescent="0.2">
      <c r="A1964">
        <v>423143</v>
      </c>
      <c r="B1964" s="5">
        <v>45467</v>
      </c>
      <c r="C1964">
        <v>14480</v>
      </c>
      <c r="D1964" t="str">
        <f>PROPER(Transactions!D1964)</f>
        <v>Grocery</v>
      </c>
      <c r="E1964" t="s">
        <v>133</v>
      </c>
      <c r="F1964" t="s">
        <v>134</v>
      </c>
      <c r="G1964">
        <v>1</v>
      </c>
      <c r="H1964">
        <v>3.79</v>
      </c>
      <c r="I1964" s="7">
        <f>IF(Transactions!I1964="",0,Transactions!I1964)</f>
        <v>0</v>
      </c>
      <c r="J1964" s="9">
        <f t="shared" si="30"/>
        <v>3.79</v>
      </c>
      <c r="K1964" t="s">
        <v>36</v>
      </c>
      <c r="L1964" t="s">
        <v>17</v>
      </c>
      <c r="M1964" t="str">
        <f>REPLACE(Transactions!M1964,1,4,"")</f>
        <v>6</v>
      </c>
    </row>
    <row r="1965" spans="1:13" x14ac:dyDescent="0.2">
      <c r="A1965">
        <v>423312</v>
      </c>
      <c r="B1965" s="5">
        <v>45234</v>
      </c>
      <c r="C1965">
        <v>14128</v>
      </c>
      <c r="D1965" t="str">
        <f>PROPER(Transactions!D1965)</f>
        <v>Furniture</v>
      </c>
      <c r="E1965" t="s">
        <v>26</v>
      </c>
      <c r="F1965" t="s">
        <v>27</v>
      </c>
      <c r="G1965">
        <v>2</v>
      </c>
      <c r="H1965">
        <v>26.24</v>
      </c>
      <c r="I1965" s="7">
        <f>IF(Transactions!I1965="",0,Transactions!I1965)</f>
        <v>0.25</v>
      </c>
      <c r="J1965" s="9">
        <f t="shared" si="30"/>
        <v>39.36</v>
      </c>
      <c r="K1965" t="s">
        <v>32</v>
      </c>
      <c r="L1965" t="s">
        <v>37</v>
      </c>
      <c r="M1965" t="str">
        <f>REPLACE(Transactions!M1965,1,4,"")</f>
        <v>12</v>
      </c>
    </row>
    <row r="1966" spans="1:13" x14ac:dyDescent="0.2">
      <c r="A1966">
        <v>423327</v>
      </c>
      <c r="B1966" s="5">
        <v>44804</v>
      </c>
      <c r="C1966">
        <v>55118</v>
      </c>
      <c r="D1966" t="str">
        <f>PROPER(Transactions!D1966)</f>
        <v>Pharmacy</v>
      </c>
      <c r="E1966" t="s">
        <v>58</v>
      </c>
      <c r="F1966" t="s">
        <v>59</v>
      </c>
      <c r="G1966">
        <v>2</v>
      </c>
      <c r="H1966">
        <v>3.99</v>
      </c>
      <c r="I1966" s="7">
        <f>IF(Transactions!I1966="",0,Transactions!I1966)</f>
        <v>0</v>
      </c>
      <c r="J1966" s="9">
        <f t="shared" si="30"/>
        <v>7.98</v>
      </c>
      <c r="K1966" t="s">
        <v>16</v>
      </c>
      <c r="L1966" t="s">
        <v>17</v>
      </c>
      <c r="M1966" t="str">
        <f>REPLACE(Transactions!M1966,1,4,"")</f>
        <v>6</v>
      </c>
    </row>
    <row r="1967" spans="1:13" x14ac:dyDescent="0.2">
      <c r="A1967">
        <v>423335</v>
      </c>
      <c r="B1967" s="5">
        <v>44592</v>
      </c>
      <c r="C1967">
        <v>64156</v>
      </c>
      <c r="D1967" t="str">
        <f>PROPER(Transactions!D1967)</f>
        <v>Electronics</v>
      </c>
      <c r="E1967" t="s">
        <v>77</v>
      </c>
      <c r="F1967" t="s">
        <v>78</v>
      </c>
      <c r="G1967">
        <v>5</v>
      </c>
      <c r="H1967">
        <v>499.99</v>
      </c>
      <c r="I1967" s="7">
        <f>IF(Transactions!I1967="",0,Transactions!I1967)</f>
        <v>0</v>
      </c>
      <c r="J1967" s="9">
        <f t="shared" si="30"/>
        <v>2499.9499999999998</v>
      </c>
      <c r="K1967" t="s">
        <v>22</v>
      </c>
      <c r="L1967" t="s">
        <v>37</v>
      </c>
      <c r="M1967" t="str">
        <f>REPLACE(Transactions!M1967,1,4,"")</f>
        <v>9</v>
      </c>
    </row>
    <row r="1968" spans="1:13" x14ac:dyDescent="0.2">
      <c r="A1968">
        <v>423402</v>
      </c>
      <c r="B1968" s="5">
        <v>44595</v>
      </c>
      <c r="C1968">
        <v>94337</v>
      </c>
      <c r="D1968" t="str">
        <f>PROPER(Transactions!D1968)</f>
        <v>Pharmacy</v>
      </c>
      <c r="E1968" t="s">
        <v>197</v>
      </c>
      <c r="F1968" t="s">
        <v>198</v>
      </c>
      <c r="G1968">
        <v>5</v>
      </c>
      <c r="H1968">
        <v>14.99</v>
      </c>
      <c r="I1968" s="7">
        <f>IF(Transactions!I1968="",0,Transactions!I1968)</f>
        <v>0</v>
      </c>
      <c r="J1968" s="9">
        <f t="shared" si="30"/>
        <v>74.95</v>
      </c>
      <c r="K1968" t="s">
        <v>16</v>
      </c>
      <c r="L1968" t="s">
        <v>17</v>
      </c>
      <c r="M1968" t="str">
        <f>REPLACE(Transactions!M1968,1,4,"")</f>
        <v>12</v>
      </c>
    </row>
    <row r="1969" spans="1:13" x14ac:dyDescent="0.2">
      <c r="A1969">
        <v>423452</v>
      </c>
      <c r="B1969" s="5">
        <v>45657</v>
      </c>
      <c r="C1969">
        <v>99446</v>
      </c>
      <c r="D1969" t="str">
        <f>PROPER(Transactions!D1969)</f>
        <v>Automotive</v>
      </c>
      <c r="E1969" t="s">
        <v>131</v>
      </c>
      <c r="F1969" t="s">
        <v>132</v>
      </c>
      <c r="G1969">
        <v>1</v>
      </c>
      <c r="H1969">
        <v>2.44</v>
      </c>
      <c r="I1969" s="7">
        <f>IF(Transactions!I1969="",0,Transactions!I1969)</f>
        <v>0.3</v>
      </c>
      <c r="J1969" s="9">
        <f t="shared" si="30"/>
        <v>1.708</v>
      </c>
      <c r="K1969" t="s">
        <v>16</v>
      </c>
      <c r="L1969" t="s">
        <v>17</v>
      </c>
      <c r="M1969" t="str">
        <f>REPLACE(Transactions!M1969,1,4,"")</f>
        <v>16</v>
      </c>
    </row>
    <row r="1970" spans="1:13" x14ac:dyDescent="0.2">
      <c r="A1970">
        <v>423595</v>
      </c>
      <c r="B1970" s="5">
        <v>44660</v>
      </c>
      <c r="C1970">
        <v>62184</v>
      </c>
      <c r="D1970" t="str">
        <f>PROPER(Transactions!D1970)</f>
        <v>Furniture</v>
      </c>
      <c r="E1970" t="s">
        <v>60</v>
      </c>
      <c r="F1970" t="s">
        <v>61</v>
      </c>
      <c r="G1970">
        <v>1</v>
      </c>
      <c r="H1970">
        <v>46.74</v>
      </c>
      <c r="I1970" s="7">
        <f>IF(Transactions!I1970="",0,Transactions!I1970)</f>
        <v>0</v>
      </c>
      <c r="J1970" s="9">
        <f t="shared" si="30"/>
        <v>46.74</v>
      </c>
      <c r="K1970" t="s">
        <v>16</v>
      </c>
      <c r="L1970" t="s">
        <v>17</v>
      </c>
      <c r="M1970" t="str">
        <f>REPLACE(Transactions!M1970,1,4,"")</f>
        <v>6</v>
      </c>
    </row>
    <row r="1971" spans="1:13" x14ac:dyDescent="0.2">
      <c r="A1971">
        <v>423694</v>
      </c>
      <c r="B1971" s="5">
        <v>45215</v>
      </c>
      <c r="C1971">
        <v>22948</v>
      </c>
      <c r="D1971" t="str">
        <f>PROPER(Transactions!D1971)</f>
        <v>Home &amp; Garden</v>
      </c>
      <c r="E1971" t="s">
        <v>153</v>
      </c>
      <c r="F1971" t="s">
        <v>154</v>
      </c>
      <c r="G1971">
        <v>1</v>
      </c>
      <c r="H1971">
        <v>25.49</v>
      </c>
      <c r="I1971" s="7">
        <f>IF(Transactions!I1971="",0,Transactions!I1971)</f>
        <v>0.15</v>
      </c>
      <c r="J1971" s="9">
        <f t="shared" si="30"/>
        <v>21.666499999999999</v>
      </c>
      <c r="K1971" t="s">
        <v>22</v>
      </c>
      <c r="L1971" t="s">
        <v>17</v>
      </c>
      <c r="M1971" t="str">
        <f>REPLACE(Transactions!M1971,1,4,"")</f>
        <v>1</v>
      </c>
    </row>
    <row r="1972" spans="1:13" x14ac:dyDescent="0.2">
      <c r="A1972">
        <v>424072</v>
      </c>
      <c r="B1972" s="5">
        <v>45419</v>
      </c>
      <c r="C1972">
        <v>95717</v>
      </c>
      <c r="D1972" t="str">
        <f>PROPER(Transactions!D1972)</f>
        <v>Sports</v>
      </c>
      <c r="E1972" t="s">
        <v>147</v>
      </c>
      <c r="F1972" t="s">
        <v>148</v>
      </c>
      <c r="G1972">
        <v>4</v>
      </c>
      <c r="H1972">
        <v>9.09</v>
      </c>
      <c r="I1972" s="7">
        <f>IF(Transactions!I1972="",0,Transactions!I1972)</f>
        <v>0.3</v>
      </c>
      <c r="J1972" s="9">
        <f t="shared" si="30"/>
        <v>25.451999999999998</v>
      </c>
      <c r="K1972" t="s">
        <v>36</v>
      </c>
      <c r="L1972" t="s">
        <v>17</v>
      </c>
      <c r="M1972" t="str">
        <f>REPLACE(Transactions!M1972,1,4,"")</f>
        <v>7</v>
      </c>
    </row>
    <row r="1973" spans="1:13" x14ac:dyDescent="0.2">
      <c r="A1973">
        <v>424557</v>
      </c>
      <c r="B1973" s="5">
        <v>45631</v>
      </c>
      <c r="C1973">
        <v>77094</v>
      </c>
      <c r="D1973" t="str">
        <f>PROPER(Transactions!D1973)</f>
        <v>Grocery</v>
      </c>
      <c r="E1973" t="s">
        <v>195</v>
      </c>
      <c r="F1973" t="s">
        <v>196</v>
      </c>
      <c r="G1973">
        <v>1</v>
      </c>
      <c r="H1973">
        <v>3.74</v>
      </c>
      <c r="I1973" s="7">
        <f>IF(Transactions!I1973="",0,Transactions!I1973)</f>
        <v>0.25</v>
      </c>
      <c r="J1973" s="9">
        <f t="shared" si="30"/>
        <v>2.8050000000000002</v>
      </c>
      <c r="K1973" t="s">
        <v>53</v>
      </c>
      <c r="L1973" t="s">
        <v>23</v>
      </c>
      <c r="M1973" t="str">
        <f>REPLACE(Transactions!M1973,1,4,"")</f>
        <v>14</v>
      </c>
    </row>
    <row r="1974" spans="1:13" x14ac:dyDescent="0.2">
      <c r="A1974">
        <v>424773</v>
      </c>
      <c r="B1974" s="5">
        <v>45321</v>
      </c>
      <c r="C1974">
        <v>87927</v>
      </c>
      <c r="D1974" t="str">
        <f>PROPER(Transactions!D1974)</f>
        <v>Clothing</v>
      </c>
      <c r="E1974" t="s">
        <v>121</v>
      </c>
      <c r="F1974" t="s">
        <v>122</v>
      </c>
      <c r="G1974">
        <v>5</v>
      </c>
      <c r="H1974">
        <v>12.99</v>
      </c>
      <c r="I1974" s="7">
        <f>IF(Transactions!I1974="",0,Transactions!I1974)</f>
        <v>0</v>
      </c>
      <c r="J1974" s="9">
        <f t="shared" si="30"/>
        <v>64.95</v>
      </c>
      <c r="K1974" t="s">
        <v>22</v>
      </c>
      <c r="L1974" t="s">
        <v>17</v>
      </c>
      <c r="M1974" t="str">
        <f>REPLACE(Transactions!M1974,1,4,"")</f>
        <v>10</v>
      </c>
    </row>
    <row r="1975" spans="1:13" x14ac:dyDescent="0.2">
      <c r="A1975">
        <v>424863</v>
      </c>
      <c r="B1975" s="5">
        <v>44695</v>
      </c>
      <c r="C1975">
        <v>28089</v>
      </c>
      <c r="D1975" t="str">
        <f>PROPER(Transactions!D1975)</f>
        <v>Toys</v>
      </c>
      <c r="E1975" t="s">
        <v>88</v>
      </c>
      <c r="F1975" t="s">
        <v>89</v>
      </c>
      <c r="G1975">
        <v>4</v>
      </c>
      <c r="H1975">
        <v>47.49</v>
      </c>
      <c r="I1975" s="7">
        <f>IF(Transactions!I1975="",0,Transactions!I1975)</f>
        <v>0.05</v>
      </c>
      <c r="J1975" s="9">
        <f t="shared" si="30"/>
        <v>180.46199999999999</v>
      </c>
      <c r="K1975" t="s">
        <v>16</v>
      </c>
      <c r="L1975" t="s">
        <v>17</v>
      </c>
      <c r="M1975" t="str">
        <f>REPLACE(Transactions!M1975,1,4,"")</f>
        <v>7</v>
      </c>
    </row>
    <row r="1976" spans="1:13" x14ac:dyDescent="0.2">
      <c r="A1976">
        <v>425142</v>
      </c>
      <c r="B1976" s="5">
        <v>45310</v>
      </c>
      <c r="C1976">
        <v>30306</v>
      </c>
      <c r="D1976" t="str">
        <f>PROPER(Transactions!D1976)</f>
        <v>Home &amp; Garden</v>
      </c>
      <c r="E1976" t="s">
        <v>149</v>
      </c>
      <c r="F1976" t="s">
        <v>150</v>
      </c>
      <c r="G1976">
        <v>1</v>
      </c>
      <c r="H1976">
        <v>14.99</v>
      </c>
      <c r="I1976" s="7">
        <f>IF(Transactions!I1976="",0,Transactions!I1976)</f>
        <v>0.25</v>
      </c>
      <c r="J1976" s="9">
        <f t="shared" si="30"/>
        <v>11.2425</v>
      </c>
      <c r="K1976" t="s">
        <v>36</v>
      </c>
      <c r="L1976" t="s">
        <v>17</v>
      </c>
      <c r="M1976" t="str">
        <f>REPLACE(Transactions!M1976,1,4,"")</f>
        <v>14</v>
      </c>
    </row>
    <row r="1977" spans="1:13" x14ac:dyDescent="0.2">
      <c r="A1977">
        <v>425166</v>
      </c>
      <c r="B1977" s="5">
        <v>45086</v>
      </c>
      <c r="C1977">
        <v>74924</v>
      </c>
      <c r="D1977" t="str">
        <f>PROPER(Transactions!D1977)</f>
        <v>Sports</v>
      </c>
      <c r="E1977" t="s">
        <v>147</v>
      </c>
      <c r="F1977" t="s">
        <v>148</v>
      </c>
      <c r="G1977">
        <v>1</v>
      </c>
      <c r="H1977">
        <v>11.04</v>
      </c>
      <c r="I1977" s="7">
        <f>IF(Transactions!I1977="",0,Transactions!I1977)</f>
        <v>0.15</v>
      </c>
      <c r="J1977" s="9">
        <f t="shared" si="30"/>
        <v>9.3839999999999986</v>
      </c>
      <c r="K1977" t="s">
        <v>36</v>
      </c>
      <c r="L1977" t="s">
        <v>17</v>
      </c>
      <c r="M1977" t="str">
        <f>REPLACE(Transactions!M1977,1,4,"")</f>
        <v>5</v>
      </c>
    </row>
    <row r="1978" spans="1:13" x14ac:dyDescent="0.2">
      <c r="A1978">
        <v>425818</v>
      </c>
      <c r="B1978" s="5">
        <v>45379</v>
      </c>
      <c r="C1978">
        <v>91230</v>
      </c>
      <c r="D1978" t="str">
        <f>PROPER(Transactions!D1978)</f>
        <v>Sports</v>
      </c>
      <c r="E1978" t="s">
        <v>83</v>
      </c>
      <c r="F1978" t="s">
        <v>84</v>
      </c>
      <c r="G1978">
        <v>1</v>
      </c>
      <c r="H1978">
        <v>15.29</v>
      </c>
      <c r="I1978" s="7">
        <f>IF(Transactions!I1978="",0,Transactions!I1978)</f>
        <v>0.1</v>
      </c>
      <c r="J1978" s="9">
        <f t="shared" si="30"/>
        <v>13.760999999999999</v>
      </c>
      <c r="K1978" t="s">
        <v>36</v>
      </c>
      <c r="L1978" t="s">
        <v>17</v>
      </c>
      <c r="M1978" t="str">
        <f>REPLACE(Transactions!M1978,1,4,"")</f>
        <v>20</v>
      </c>
    </row>
    <row r="1979" spans="1:13" x14ac:dyDescent="0.2">
      <c r="A1979">
        <v>426088</v>
      </c>
      <c r="B1979" s="5">
        <v>45290</v>
      </c>
      <c r="C1979">
        <v>72202</v>
      </c>
      <c r="D1979" t="str">
        <f>PROPER(Transactions!D1979)</f>
        <v>Clothing</v>
      </c>
      <c r="E1979" t="s">
        <v>135</v>
      </c>
      <c r="F1979" t="s">
        <v>136</v>
      </c>
      <c r="G1979">
        <v>1</v>
      </c>
      <c r="H1979">
        <v>8.49</v>
      </c>
      <c r="I1979" s="7">
        <f>IF(Transactions!I1979="",0,Transactions!I1979)</f>
        <v>0.15</v>
      </c>
      <c r="J1979" s="9">
        <f t="shared" si="30"/>
        <v>7.2164999999999999</v>
      </c>
      <c r="K1979" t="s">
        <v>16</v>
      </c>
      <c r="L1979" t="s">
        <v>17</v>
      </c>
      <c r="M1979" t="str">
        <f>REPLACE(Transactions!M1979,1,4,"")</f>
        <v>18</v>
      </c>
    </row>
    <row r="1980" spans="1:13" x14ac:dyDescent="0.2">
      <c r="A1980">
        <v>426126</v>
      </c>
      <c r="B1980" s="5">
        <v>44903</v>
      </c>
      <c r="C1980">
        <v>42450</v>
      </c>
      <c r="D1980" t="str">
        <f>PROPER(Transactions!D1980)</f>
        <v>Clothing</v>
      </c>
      <c r="E1980" t="s">
        <v>151</v>
      </c>
      <c r="F1980" t="s">
        <v>152</v>
      </c>
      <c r="G1980">
        <v>1</v>
      </c>
      <c r="H1980">
        <v>29.74</v>
      </c>
      <c r="I1980" s="7">
        <f>IF(Transactions!I1980="",0,Transactions!I1980)</f>
        <v>0.15</v>
      </c>
      <c r="J1980" s="9">
        <f t="shared" si="30"/>
        <v>25.278999999999996</v>
      </c>
      <c r="K1980" t="s">
        <v>16</v>
      </c>
      <c r="L1980" t="s">
        <v>17</v>
      </c>
      <c r="M1980" t="str">
        <f>REPLACE(Transactions!M1980,1,4,"")</f>
        <v>19</v>
      </c>
    </row>
    <row r="1981" spans="1:13" x14ac:dyDescent="0.2">
      <c r="A1981">
        <v>426305</v>
      </c>
      <c r="B1981" s="5">
        <v>44577</v>
      </c>
      <c r="C1981">
        <v>31356</v>
      </c>
      <c r="D1981" t="str">
        <f>PROPER(Transactions!D1981)</f>
        <v>Pharmacy</v>
      </c>
      <c r="E1981" t="s">
        <v>20</v>
      </c>
      <c r="F1981" t="s">
        <v>21</v>
      </c>
      <c r="G1981">
        <v>1</v>
      </c>
      <c r="H1981">
        <v>6.99</v>
      </c>
      <c r="I1981" s="7">
        <f>IF(Transactions!I1981="",0,Transactions!I1981)</f>
        <v>0.3</v>
      </c>
      <c r="J1981" s="9">
        <f t="shared" si="30"/>
        <v>4.8929999999999998</v>
      </c>
      <c r="K1981" t="s">
        <v>53</v>
      </c>
      <c r="L1981" t="s">
        <v>17</v>
      </c>
      <c r="M1981" t="str">
        <f>REPLACE(Transactions!M1981,1,4,"")</f>
        <v>9</v>
      </c>
    </row>
    <row r="1982" spans="1:13" x14ac:dyDescent="0.2">
      <c r="A1982">
        <v>426369</v>
      </c>
      <c r="B1982" s="5">
        <v>45172</v>
      </c>
      <c r="C1982">
        <v>22928</v>
      </c>
      <c r="D1982" t="str">
        <f>PROPER(Transactions!D1982)</f>
        <v>Grocery</v>
      </c>
      <c r="E1982" t="s">
        <v>177</v>
      </c>
      <c r="F1982" t="s">
        <v>178</v>
      </c>
      <c r="G1982">
        <v>3</v>
      </c>
      <c r="H1982">
        <v>11.39</v>
      </c>
      <c r="I1982" s="7">
        <f>IF(Transactions!I1982="",0,Transactions!I1982)</f>
        <v>0.05</v>
      </c>
      <c r="J1982" s="9">
        <f t="shared" si="30"/>
        <v>32.461500000000001</v>
      </c>
      <c r="K1982" t="s">
        <v>36</v>
      </c>
      <c r="L1982" t="s">
        <v>17</v>
      </c>
      <c r="M1982" t="str">
        <f>REPLACE(Transactions!M1982,1,4,"")</f>
        <v>8</v>
      </c>
    </row>
    <row r="1983" spans="1:13" x14ac:dyDescent="0.2">
      <c r="A1983">
        <v>426769</v>
      </c>
      <c r="B1983" s="5">
        <v>45148</v>
      </c>
      <c r="C1983">
        <v>25961</v>
      </c>
      <c r="D1983" t="str">
        <f>PROPER(Transactions!D1983)</f>
        <v>Furniture</v>
      </c>
      <c r="E1983" t="s">
        <v>113</v>
      </c>
      <c r="F1983" t="s">
        <v>114</v>
      </c>
      <c r="G1983">
        <v>1</v>
      </c>
      <c r="H1983">
        <v>83.99</v>
      </c>
      <c r="I1983" s="7">
        <f>IF(Transactions!I1983="",0,Transactions!I1983)</f>
        <v>0.3</v>
      </c>
      <c r="J1983" s="9">
        <f t="shared" si="30"/>
        <v>58.792999999999992</v>
      </c>
      <c r="K1983" t="s">
        <v>22</v>
      </c>
      <c r="L1983" t="s">
        <v>17</v>
      </c>
      <c r="M1983" t="str">
        <f>REPLACE(Transactions!M1983,1,4,"")</f>
        <v>13</v>
      </c>
    </row>
    <row r="1984" spans="1:13" x14ac:dyDescent="0.2">
      <c r="A1984">
        <v>427100</v>
      </c>
      <c r="B1984" s="5">
        <v>44902</v>
      </c>
      <c r="C1984">
        <v>34934</v>
      </c>
      <c r="D1984" t="str">
        <f>PROPER(Transactions!D1984)</f>
        <v>Pharmacy</v>
      </c>
      <c r="E1984" t="s">
        <v>20</v>
      </c>
      <c r="F1984" t="s">
        <v>21</v>
      </c>
      <c r="G1984">
        <v>2</v>
      </c>
      <c r="H1984">
        <v>8.49</v>
      </c>
      <c r="I1984" s="7">
        <f>IF(Transactions!I1984="",0,Transactions!I1984)</f>
        <v>0.15</v>
      </c>
      <c r="J1984" s="9">
        <f t="shared" si="30"/>
        <v>14.433</v>
      </c>
      <c r="K1984" t="s">
        <v>16</v>
      </c>
      <c r="L1984" t="s">
        <v>17</v>
      </c>
      <c r="M1984" t="str">
        <f>REPLACE(Transactions!M1984,1,4,"")</f>
        <v>17</v>
      </c>
    </row>
    <row r="1985" spans="1:13" x14ac:dyDescent="0.2">
      <c r="A1985">
        <v>427115</v>
      </c>
      <c r="B1985" s="5">
        <v>45302</v>
      </c>
      <c r="C1985">
        <v>58038</v>
      </c>
      <c r="D1985" t="str">
        <f>PROPER(Transactions!D1985)</f>
        <v>Furniture</v>
      </c>
      <c r="E1985" t="s">
        <v>51</v>
      </c>
      <c r="F1985" t="s">
        <v>52</v>
      </c>
      <c r="G1985">
        <v>1</v>
      </c>
      <c r="H1985">
        <v>23.79</v>
      </c>
      <c r="I1985" s="7">
        <f>IF(Transactions!I1985="",0,Transactions!I1985)</f>
        <v>0.15</v>
      </c>
      <c r="J1985" s="9">
        <f t="shared" si="30"/>
        <v>20.221499999999999</v>
      </c>
      <c r="K1985" t="s">
        <v>36</v>
      </c>
      <c r="L1985" t="s">
        <v>37</v>
      </c>
      <c r="M1985" t="str">
        <f>REPLACE(Transactions!M1985,1,4,"")</f>
        <v>7</v>
      </c>
    </row>
    <row r="1986" spans="1:13" x14ac:dyDescent="0.2">
      <c r="A1986">
        <v>427556</v>
      </c>
      <c r="B1986" s="5">
        <v>44599</v>
      </c>
      <c r="C1986">
        <v>36200</v>
      </c>
      <c r="D1986" t="str">
        <f>PROPER(Transactions!D1986)</f>
        <v>Furniture</v>
      </c>
      <c r="E1986" t="s">
        <v>60</v>
      </c>
      <c r="F1986" t="s">
        <v>61</v>
      </c>
      <c r="G1986">
        <v>1</v>
      </c>
      <c r="H1986">
        <v>54.99</v>
      </c>
      <c r="I1986" s="7">
        <f>IF(Transactions!I1986="",0,Transactions!I1986)</f>
        <v>0</v>
      </c>
      <c r="J1986" s="9">
        <f t="shared" si="30"/>
        <v>54.99</v>
      </c>
      <c r="K1986" t="s">
        <v>36</v>
      </c>
      <c r="L1986" t="s">
        <v>17</v>
      </c>
      <c r="M1986" t="str">
        <f>REPLACE(Transactions!M1986,1,4,"")</f>
        <v>8</v>
      </c>
    </row>
    <row r="1987" spans="1:13" x14ac:dyDescent="0.2">
      <c r="A1987">
        <v>427819</v>
      </c>
      <c r="B1987" s="5">
        <v>45144</v>
      </c>
      <c r="C1987">
        <v>50593</v>
      </c>
      <c r="D1987" t="str">
        <f>PROPER(Transactions!D1987)</f>
        <v>Pharmacy</v>
      </c>
      <c r="E1987" t="s">
        <v>115</v>
      </c>
      <c r="F1987" t="s">
        <v>116</v>
      </c>
      <c r="G1987">
        <v>4</v>
      </c>
      <c r="H1987">
        <v>11.69</v>
      </c>
      <c r="I1987" s="7">
        <f>IF(Transactions!I1987="",0,Transactions!I1987)</f>
        <v>0.1</v>
      </c>
      <c r="J1987" s="9">
        <f t="shared" ref="J1987:J2050" si="31">(H1987*G1987)*(1-I1987)</f>
        <v>42.083999999999996</v>
      </c>
      <c r="K1987" t="s">
        <v>22</v>
      </c>
      <c r="L1987" t="s">
        <v>23</v>
      </c>
      <c r="M1987" t="str">
        <f>REPLACE(Transactions!M1987,1,4,"")</f>
        <v>9</v>
      </c>
    </row>
    <row r="1988" spans="1:13" x14ac:dyDescent="0.2">
      <c r="A1988">
        <v>428154</v>
      </c>
      <c r="B1988" s="5">
        <v>45587</v>
      </c>
      <c r="C1988">
        <v>61224</v>
      </c>
      <c r="D1988" t="str">
        <f>PROPER(Transactions!D1988)</f>
        <v>Electronics</v>
      </c>
      <c r="E1988" t="s">
        <v>104</v>
      </c>
      <c r="F1988" t="s">
        <v>105</v>
      </c>
      <c r="G1988">
        <v>3</v>
      </c>
      <c r="H1988">
        <v>25.49</v>
      </c>
      <c r="I1988" s="7">
        <f>IF(Transactions!I1988="",0,Transactions!I1988)</f>
        <v>0.15</v>
      </c>
      <c r="J1988" s="9">
        <f t="shared" si="31"/>
        <v>64.999499999999998</v>
      </c>
      <c r="K1988" t="s">
        <v>16</v>
      </c>
      <c r="L1988" t="s">
        <v>23</v>
      </c>
      <c r="M1988" t="str">
        <f>REPLACE(Transactions!M1988,1,4,"")</f>
        <v>15</v>
      </c>
    </row>
    <row r="1989" spans="1:13" x14ac:dyDescent="0.2">
      <c r="A1989">
        <v>428201</v>
      </c>
      <c r="B1989" s="5">
        <v>45478</v>
      </c>
      <c r="C1989">
        <v>64397</v>
      </c>
      <c r="D1989" t="str">
        <f>PROPER(Transactions!D1989)</f>
        <v>Furniture</v>
      </c>
      <c r="E1989" t="s">
        <v>51</v>
      </c>
      <c r="F1989" t="s">
        <v>52</v>
      </c>
      <c r="G1989">
        <v>3</v>
      </c>
      <c r="H1989">
        <v>23.79</v>
      </c>
      <c r="I1989" s="7">
        <f>IF(Transactions!I1989="",0,Transactions!I1989)</f>
        <v>0.15</v>
      </c>
      <c r="J1989" s="9">
        <f t="shared" si="31"/>
        <v>60.664500000000004</v>
      </c>
      <c r="K1989" t="s">
        <v>36</v>
      </c>
      <c r="L1989" t="s">
        <v>17</v>
      </c>
      <c r="M1989" t="str">
        <f>REPLACE(Transactions!M1989,1,4,"")</f>
        <v>10</v>
      </c>
    </row>
    <row r="1990" spans="1:13" x14ac:dyDescent="0.2">
      <c r="A1990">
        <v>428914</v>
      </c>
      <c r="B1990" s="5">
        <v>45451</v>
      </c>
      <c r="C1990">
        <v>85574</v>
      </c>
      <c r="D1990" t="str">
        <f>PROPER(Transactions!D1990)</f>
        <v>Toys</v>
      </c>
      <c r="E1990" t="s">
        <v>88</v>
      </c>
      <c r="F1990" t="s">
        <v>89</v>
      </c>
      <c r="G1990">
        <v>3</v>
      </c>
      <c r="H1990">
        <v>42.49</v>
      </c>
      <c r="I1990" s="7">
        <f>IF(Transactions!I1990="",0,Transactions!I1990)</f>
        <v>0.15</v>
      </c>
      <c r="J1990" s="9">
        <f t="shared" si="31"/>
        <v>108.34949999999999</v>
      </c>
      <c r="K1990" t="s">
        <v>16</v>
      </c>
      <c r="L1990" t="s">
        <v>23</v>
      </c>
      <c r="M1990" t="str">
        <f>REPLACE(Transactions!M1990,1,4,"")</f>
        <v>13</v>
      </c>
    </row>
    <row r="1991" spans="1:13" x14ac:dyDescent="0.2">
      <c r="A1991">
        <v>428915</v>
      </c>
      <c r="B1991" s="5">
        <v>45636</v>
      </c>
      <c r="C1991">
        <v>93598</v>
      </c>
      <c r="D1991" t="str">
        <f>PROPER(Transactions!D1991)</f>
        <v>Pharmacy</v>
      </c>
      <c r="E1991" t="s">
        <v>41</v>
      </c>
      <c r="F1991" t="s">
        <v>42</v>
      </c>
      <c r="G1991">
        <v>1</v>
      </c>
      <c r="H1991">
        <v>4.49</v>
      </c>
      <c r="I1991" s="7">
        <f>IF(Transactions!I1991="",0,Transactions!I1991)</f>
        <v>0</v>
      </c>
      <c r="J1991" s="9">
        <f t="shared" si="31"/>
        <v>4.49</v>
      </c>
      <c r="K1991" t="s">
        <v>95</v>
      </c>
      <c r="L1991" t="s">
        <v>37</v>
      </c>
      <c r="M1991" t="str">
        <f>REPLACE(Transactions!M1991,1,4,"")</f>
        <v>3</v>
      </c>
    </row>
    <row r="1992" spans="1:13" x14ac:dyDescent="0.2">
      <c r="A1992">
        <v>428987</v>
      </c>
      <c r="B1992" s="5">
        <v>44838</v>
      </c>
      <c r="D1992" t="str">
        <f>PROPER(Transactions!D1992)</f>
        <v>Electronics</v>
      </c>
      <c r="E1992" t="s">
        <v>14</v>
      </c>
      <c r="F1992" t="s">
        <v>15</v>
      </c>
      <c r="G1992">
        <v>2</v>
      </c>
      <c r="H1992">
        <v>79.989999999999995</v>
      </c>
      <c r="I1992" s="7">
        <f>IF(Transactions!I1992="",0,Transactions!I1992)</f>
        <v>0</v>
      </c>
      <c r="J1992" s="9">
        <f t="shared" si="31"/>
        <v>159.97999999999999</v>
      </c>
      <c r="K1992" t="s">
        <v>36</v>
      </c>
      <c r="L1992" t="s">
        <v>23</v>
      </c>
      <c r="M1992" t="str">
        <f>REPLACE(Transactions!M1992,1,4,"")</f>
        <v>20</v>
      </c>
    </row>
    <row r="1993" spans="1:13" x14ac:dyDescent="0.2">
      <c r="A1993">
        <v>429160</v>
      </c>
      <c r="B1993" s="5">
        <v>44628</v>
      </c>
      <c r="C1993">
        <v>21134</v>
      </c>
      <c r="D1993" t="str">
        <f>PROPER(Transactions!D1993)</f>
        <v>Automotive</v>
      </c>
      <c r="E1993" t="s">
        <v>68</v>
      </c>
      <c r="F1993" t="s">
        <v>69</v>
      </c>
      <c r="G1993">
        <v>2</v>
      </c>
      <c r="H1993">
        <v>18.739999999999998</v>
      </c>
      <c r="I1993" s="7">
        <f>IF(Transactions!I1993="",0,Transactions!I1993)</f>
        <v>0.25</v>
      </c>
      <c r="J1993" s="9">
        <f t="shared" si="31"/>
        <v>28.11</v>
      </c>
      <c r="K1993" t="s">
        <v>95</v>
      </c>
      <c r="L1993" t="s">
        <v>23</v>
      </c>
      <c r="M1993" t="str">
        <f>REPLACE(Transactions!M1993,1,4,"")</f>
        <v>11</v>
      </c>
    </row>
    <row r="1994" spans="1:13" x14ac:dyDescent="0.2">
      <c r="A1994">
        <v>429221</v>
      </c>
      <c r="B1994" s="5">
        <v>45655</v>
      </c>
      <c r="C1994">
        <v>46282</v>
      </c>
      <c r="D1994" t="str">
        <f>PROPER(Transactions!D1994)</f>
        <v>Toys</v>
      </c>
      <c r="E1994" t="s">
        <v>88</v>
      </c>
      <c r="F1994" t="s">
        <v>89</v>
      </c>
      <c r="G1994">
        <v>2</v>
      </c>
      <c r="H1994">
        <v>47.49</v>
      </c>
      <c r="I1994" s="7">
        <f>IF(Transactions!I1994="",0,Transactions!I1994)</f>
        <v>0.05</v>
      </c>
      <c r="J1994" s="9">
        <f t="shared" si="31"/>
        <v>90.230999999999995</v>
      </c>
      <c r="K1994" t="s">
        <v>36</v>
      </c>
      <c r="L1994" t="s">
        <v>17</v>
      </c>
      <c r="M1994" t="str">
        <f>REPLACE(Transactions!M1994,1,4,"")</f>
        <v>20</v>
      </c>
    </row>
    <row r="1995" spans="1:13" x14ac:dyDescent="0.2">
      <c r="A1995">
        <v>429329</v>
      </c>
      <c r="B1995" s="5">
        <v>45532</v>
      </c>
      <c r="C1995">
        <v>38519</v>
      </c>
      <c r="D1995" t="str">
        <f>PROPER(Transactions!D1995)</f>
        <v>Home &amp; Garden</v>
      </c>
      <c r="E1995" t="s">
        <v>153</v>
      </c>
      <c r="F1995" t="s">
        <v>154</v>
      </c>
      <c r="G1995">
        <v>1</v>
      </c>
      <c r="H1995">
        <v>29.99</v>
      </c>
      <c r="I1995" s="7">
        <f>IF(Transactions!I1995="",0,Transactions!I1995)</f>
        <v>0</v>
      </c>
      <c r="J1995" s="9">
        <f t="shared" si="31"/>
        <v>29.99</v>
      </c>
      <c r="K1995" t="s">
        <v>16</v>
      </c>
      <c r="L1995" t="s">
        <v>23</v>
      </c>
      <c r="M1995" t="str">
        <f>REPLACE(Transactions!M1995,1,4,"")</f>
        <v>9</v>
      </c>
    </row>
    <row r="1996" spans="1:13" x14ac:dyDescent="0.2">
      <c r="A1996">
        <v>429657</v>
      </c>
      <c r="B1996" s="5">
        <v>44843</v>
      </c>
      <c r="C1996">
        <v>34385</v>
      </c>
      <c r="D1996" t="str">
        <f>PROPER(Transactions!D1996)</f>
        <v>Sports</v>
      </c>
      <c r="E1996" t="s">
        <v>147</v>
      </c>
      <c r="F1996" t="s">
        <v>148</v>
      </c>
      <c r="G1996">
        <v>1</v>
      </c>
      <c r="H1996">
        <v>9.09</v>
      </c>
      <c r="I1996" s="7">
        <f>IF(Transactions!I1996="",0,Transactions!I1996)</f>
        <v>0.3</v>
      </c>
      <c r="J1996" s="9">
        <f t="shared" si="31"/>
        <v>6.3629999999999995</v>
      </c>
      <c r="K1996" t="s">
        <v>16</v>
      </c>
      <c r="L1996" t="s">
        <v>17</v>
      </c>
      <c r="M1996" t="str">
        <f>REPLACE(Transactions!M1996,1,4,"")</f>
        <v>11</v>
      </c>
    </row>
    <row r="1997" spans="1:13" x14ac:dyDescent="0.2">
      <c r="A1997">
        <v>429776</v>
      </c>
      <c r="B1997" s="5">
        <v>44801</v>
      </c>
      <c r="C1997">
        <v>41148</v>
      </c>
      <c r="D1997" t="str">
        <f>PROPER(Transactions!D1997)</f>
        <v>Beauty</v>
      </c>
      <c r="E1997" t="s">
        <v>143</v>
      </c>
      <c r="F1997" t="s">
        <v>144</v>
      </c>
      <c r="G1997">
        <v>3</v>
      </c>
      <c r="H1997">
        <v>13.49</v>
      </c>
      <c r="I1997" s="7">
        <f>IF(Transactions!I1997="",0,Transactions!I1997)</f>
        <v>0.1</v>
      </c>
      <c r="J1997" s="9">
        <f t="shared" si="31"/>
        <v>36.423000000000002</v>
      </c>
      <c r="K1997" t="s">
        <v>16</v>
      </c>
      <c r="L1997" t="s">
        <v>17</v>
      </c>
      <c r="M1997" t="str">
        <f>REPLACE(Transactions!M1997,1,4,"")</f>
        <v>11</v>
      </c>
    </row>
    <row r="1998" spans="1:13" x14ac:dyDescent="0.2">
      <c r="A1998">
        <v>429798</v>
      </c>
      <c r="B1998" s="5">
        <v>45228</v>
      </c>
      <c r="C1998">
        <v>22510</v>
      </c>
      <c r="D1998" t="str">
        <f>PROPER(Transactions!D1998)</f>
        <v>Automotive</v>
      </c>
      <c r="E1998" t="s">
        <v>64</v>
      </c>
      <c r="F1998" t="s">
        <v>65</v>
      </c>
      <c r="G1998">
        <v>2</v>
      </c>
      <c r="H1998">
        <v>4.99</v>
      </c>
      <c r="I1998" s="7">
        <f>IF(Transactions!I1998="",0,Transactions!I1998)</f>
        <v>0</v>
      </c>
      <c r="J1998" s="9">
        <f t="shared" si="31"/>
        <v>9.98</v>
      </c>
      <c r="K1998" t="s">
        <v>22</v>
      </c>
      <c r="L1998" t="s">
        <v>17</v>
      </c>
      <c r="M1998" t="str">
        <f>REPLACE(Transactions!M1998,1,4,"")</f>
        <v>18</v>
      </c>
    </row>
    <row r="1999" spans="1:13" x14ac:dyDescent="0.2">
      <c r="A1999">
        <v>430210</v>
      </c>
      <c r="B1999" s="5">
        <v>44869</v>
      </c>
      <c r="C1999">
        <v>36130</v>
      </c>
      <c r="D1999" t="str">
        <f>PROPER(Transactions!D1999)</f>
        <v>Toys</v>
      </c>
      <c r="E1999" t="s">
        <v>170</v>
      </c>
      <c r="F1999" t="s">
        <v>171</v>
      </c>
      <c r="G1999">
        <v>1</v>
      </c>
      <c r="H1999">
        <v>14.99</v>
      </c>
      <c r="I1999" s="7">
        <f>IF(Transactions!I1999="",0,Transactions!I1999)</f>
        <v>0</v>
      </c>
      <c r="J1999" s="9">
        <f t="shared" si="31"/>
        <v>14.99</v>
      </c>
      <c r="K1999" t="s">
        <v>95</v>
      </c>
      <c r="L1999" t="s">
        <v>17</v>
      </c>
      <c r="M1999" t="str">
        <f>REPLACE(Transactions!M1999,1,4,"")</f>
        <v>13</v>
      </c>
    </row>
    <row r="2000" spans="1:13" x14ac:dyDescent="0.2">
      <c r="A2000">
        <v>430463</v>
      </c>
      <c r="B2000" s="5">
        <v>45655</v>
      </c>
      <c r="C2000">
        <v>64046</v>
      </c>
      <c r="D2000" t="str">
        <f>PROPER(Transactions!D2000)</f>
        <v>Sports</v>
      </c>
      <c r="E2000" t="s">
        <v>155</v>
      </c>
      <c r="F2000" t="s">
        <v>156</v>
      </c>
      <c r="G2000">
        <v>5</v>
      </c>
      <c r="H2000">
        <v>14.99</v>
      </c>
      <c r="I2000" s="7">
        <f>IF(Transactions!I2000="",0,Transactions!I2000)</f>
        <v>0</v>
      </c>
      <c r="J2000" s="9">
        <f t="shared" si="31"/>
        <v>74.95</v>
      </c>
      <c r="K2000" t="s">
        <v>32</v>
      </c>
      <c r="L2000" t="s">
        <v>23</v>
      </c>
      <c r="M2000" t="str">
        <f>REPLACE(Transactions!M2000,1,4,"")</f>
        <v>5</v>
      </c>
    </row>
    <row r="2001" spans="1:13" x14ac:dyDescent="0.2">
      <c r="A2001">
        <v>430623</v>
      </c>
      <c r="B2001" s="5">
        <v>45569</v>
      </c>
      <c r="C2001">
        <v>46175</v>
      </c>
      <c r="D2001" t="str">
        <f>PROPER(Transactions!D2001)</f>
        <v>Home &amp; Garden</v>
      </c>
      <c r="E2001" t="s">
        <v>86</v>
      </c>
      <c r="F2001" t="s">
        <v>87</v>
      </c>
      <c r="G2001">
        <v>1</v>
      </c>
      <c r="H2001">
        <v>10.39</v>
      </c>
      <c r="I2001" s="7">
        <f>IF(Transactions!I2001="",0,Transactions!I2001)</f>
        <v>0.2</v>
      </c>
      <c r="J2001" s="9">
        <f t="shared" si="31"/>
        <v>8.3120000000000012</v>
      </c>
      <c r="K2001" t="s">
        <v>16</v>
      </c>
      <c r="L2001" t="s">
        <v>23</v>
      </c>
      <c r="M2001" t="str">
        <f>REPLACE(Transactions!M2001,1,4,"")</f>
        <v>2</v>
      </c>
    </row>
    <row r="2002" spans="1:13" x14ac:dyDescent="0.2">
      <c r="A2002">
        <v>430768</v>
      </c>
      <c r="B2002" s="5">
        <v>45539</v>
      </c>
      <c r="C2002">
        <v>59635</v>
      </c>
      <c r="D2002" t="str">
        <f>PROPER(Transactions!D2002)</f>
        <v>Pharmacy</v>
      </c>
      <c r="E2002" t="s">
        <v>197</v>
      </c>
      <c r="F2002" t="s">
        <v>198</v>
      </c>
      <c r="G2002">
        <v>2</v>
      </c>
      <c r="H2002">
        <v>13.49</v>
      </c>
      <c r="I2002" s="7">
        <f>IF(Transactions!I2002="",0,Transactions!I2002)</f>
        <v>0.1</v>
      </c>
      <c r="J2002" s="9">
        <f t="shared" si="31"/>
        <v>24.282</v>
      </c>
      <c r="K2002" t="s">
        <v>36</v>
      </c>
      <c r="L2002" t="s">
        <v>17</v>
      </c>
      <c r="M2002" t="str">
        <f>REPLACE(Transactions!M2002,1,4,"")</f>
        <v>5</v>
      </c>
    </row>
    <row r="2003" spans="1:13" x14ac:dyDescent="0.2">
      <c r="A2003">
        <v>430868</v>
      </c>
      <c r="B2003" s="5">
        <v>44926</v>
      </c>
      <c r="C2003">
        <v>36112</v>
      </c>
      <c r="D2003" t="str">
        <f>PROPER(Transactions!D2003)</f>
        <v>Beauty</v>
      </c>
      <c r="E2003" t="s">
        <v>179</v>
      </c>
      <c r="F2003" t="s">
        <v>180</v>
      </c>
      <c r="G2003">
        <v>1</v>
      </c>
      <c r="H2003">
        <v>10.79</v>
      </c>
      <c r="I2003" s="7">
        <f>IF(Transactions!I2003="",0,Transactions!I2003)</f>
        <v>0.1</v>
      </c>
      <c r="J2003" s="9">
        <f t="shared" si="31"/>
        <v>9.7110000000000003</v>
      </c>
      <c r="K2003" t="s">
        <v>16</v>
      </c>
      <c r="L2003" t="s">
        <v>37</v>
      </c>
      <c r="M2003" t="str">
        <f>REPLACE(Transactions!M2003,1,4,"")</f>
        <v>7</v>
      </c>
    </row>
    <row r="2004" spans="1:13" x14ac:dyDescent="0.2">
      <c r="A2004">
        <v>430909</v>
      </c>
      <c r="B2004" s="5">
        <v>45036</v>
      </c>
      <c r="C2004">
        <v>72477</v>
      </c>
      <c r="D2004" t="str">
        <f>PROPER(Transactions!D2004)</f>
        <v>Sports</v>
      </c>
      <c r="E2004" t="s">
        <v>168</v>
      </c>
      <c r="F2004" t="s">
        <v>169</v>
      </c>
      <c r="G2004">
        <v>1</v>
      </c>
      <c r="H2004">
        <v>8.99</v>
      </c>
      <c r="I2004" s="7">
        <f>IF(Transactions!I2004="",0,Transactions!I2004)</f>
        <v>0</v>
      </c>
      <c r="J2004" s="9">
        <f t="shared" si="31"/>
        <v>8.99</v>
      </c>
      <c r="K2004" t="s">
        <v>36</v>
      </c>
      <c r="L2004" t="s">
        <v>17</v>
      </c>
      <c r="M2004" t="str">
        <f>REPLACE(Transactions!M2004,1,4,"")</f>
        <v>3</v>
      </c>
    </row>
    <row r="2005" spans="1:13" x14ac:dyDescent="0.2">
      <c r="A2005">
        <v>431442</v>
      </c>
      <c r="B2005" s="5">
        <v>44638</v>
      </c>
      <c r="C2005">
        <v>39268</v>
      </c>
      <c r="D2005" t="str">
        <f>PROPER(Transactions!D2005)</f>
        <v>Toys</v>
      </c>
      <c r="E2005" t="s">
        <v>88</v>
      </c>
      <c r="F2005" t="s">
        <v>89</v>
      </c>
      <c r="G2005">
        <v>2</v>
      </c>
      <c r="H2005">
        <v>37.49</v>
      </c>
      <c r="I2005" s="7">
        <f>IF(Transactions!I2005="",0,Transactions!I2005)</f>
        <v>0.25</v>
      </c>
      <c r="J2005" s="9">
        <f t="shared" si="31"/>
        <v>56.234999999999999</v>
      </c>
      <c r="K2005" t="s">
        <v>36</v>
      </c>
      <c r="L2005" t="s">
        <v>17</v>
      </c>
      <c r="M2005" t="str">
        <f>REPLACE(Transactions!M2005,1,4,"")</f>
        <v>14</v>
      </c>
    </row>
    <row r="2006" spans="1:13" x14ac:dyDescent="0.2">
      <c r="A2006">
        <v>431836</v>
      </c>
      <c r="B2006" s="5">
        <v>45290</v>
      </c>
      <c r="C2006">
        <v>96423</v>
      </c>
      <c r="D2006" t="str">
        <f>PROPER(Transactions!D2006)</f>
        <v>Electronics</v>
      </c>
      <c r="E2006" t="s">
        <v>127</v>
      </c>
      <c r="F2006" t="s">
        <v>128</v>
      </c>
      <c r="G2006">
        <v>2</v>
      </c>
      <c r="H2006">
        <v>14.99</v>
      </c>
      <c r="I2006" s="7">
        <f>IF(Transactions!I2006="",0,Transactions!I2006)</f>
        <v>0.25</v>
      </c>
      <c r="J2006" s="9">
        <f t="shared" si="31"/>
        <v>22.484999999999999</v>
      </c>
      <c r="K2006" t="s">
        <v>16</v>
      </c>
      <c r="L2006" t="s">
        <v>17</v>
      </c>
      <c r="M2006" t="str">
        <f>REPLACE(Transactions!M2006,1,4,"")</f>
        <v>20</v>
      </c>
    </row>
    <row r="2007" spans="1:13" x14ac:dyDescent="0.2">
      <c r="A2007">
        <v>431864</v>
      </c>
      <c r="B2007" s="5">
        <v>45385</v>
      </c>
      <c r="C2007">
        <v>73790</v>
      </c>
      <c r="D2007" t="str">
        <f>PROPER(Transactions!D2007)</f>
        <v>Furniture</v>
      </c>
      <c r="E2007" t="s">
        <v>70</v>
      </c>
      <c r="F2007" t="s">
        <v>71</v>
      </c>
      <c r="G2007">
        <v>1</v>
      </c>
      <c r="H2007">
        <v>85.49</v>
      </c>
      <c r="I2007" s="7">
        <f>IF(Transactions!I2007="",0,Transactions!I2007)</f>
        <v>0.05</v>
      </c>
      <c r="J2007" s="9">
        <f t="shared" si="31"/>
        <v>81.215499999999992</v>
      </c>
      <c r="K2007" t="s">
        <v>16</v>
      </c>
      <c r="L2007" t="s">
        <v>37</v>
      </c>
      <c r="M2007" t="str">
        <f>REPLACE(Transactions!M2007,1,4,"")</f>
        <v>3</v>
      </c>
    </row>
    <row r="2008" spans="1:13" x14ac:dyDescent="0.2">
      <c r="A2008">
        <v>431964</v>
      </c>
      <c r="B2008" s="5">
        <v>45510</v>
      </c>
      <c r="C2008">
        <v>23836</v>
      </c>
      <c r="D2008" t="str">
        <f>PROPER(Transactions!D2008)</f>
        <v>Home &amp; Garden</v>
      </c>
      <c r="E2008" t="s">
        <v>86</v>
      </c>
      <c r="F2008" t="s">
        <v>87</v>
      </c>
      <c r="G2008">
        <v>3</v>
      </c>
      <c r="H2008">
        <v>12.34</v>
      </c>
      <c r="I2008" s="7">
        <f>IF(Transactions!I2008="",0,Transactions!I2008)</f>
        <v>0.05</v>
      </c>
      <c r="J2008" s="9">
        <f t="shared" si="31"/>
        <v>35.168999999999997</v>
      </c>
      <c r="K2008" t="s">
        <v>36</v>
      </c>
      <c r="L2008" t="s">
        <v>37</v>
      </c>
      <c r="M2008" t="str">
        <f>REPLACE(Transactions!M2008,1,4,"")</f>
        <v>14</v>
      </c>
    </row>
    <row r="2009" spans="1:13" x14ac:dyDescent="0.2">
      <c r="A2009">
        <v>432095</v>
      </c>
      <c r="B2009" s="5">
        <v>44956</v>
      </c>
      <c r="C2009">
        <v>64134</v>
      </c>
      <c r="D2009" t="str">
        <f>PROPER(Transactions!D2009)</f>
        <v>Clothing</v>
      </c>
      <c r="E2009" t="s">
        <v>151</v>
      </c>
      <c r="F2009" t="s">
        <v>152</v>
      </c>
      <c r="G2009">
        <v>1</v>
      </c>
      <c r="H2009">
        <v>27.99</v>
      </c>
      <c r="I2009" s="7">
        <f>IF(Transactions!I2009="",0,Transactions!I2009)</f>
        <v>0.2</v>
      </c>
      <c r="J2009" s="9">
        <f t="shared" si="31"/>
        <v>22.391999999999999</v>
      </c>
      <c r="K2009" t="s">
        <v>22</v>
      </c>
      <c r="L2009" t="s">
        <v>17</v>
      </c>
      <c r="M2009" t="str">
        <f>REPLACE(Transactions!M2009,1,4,"")</f>
        <v>2</v>
      </c>
    </row>
    <row r="2010" spans="1:13" x14ac:dyDescent="0.2">
      <c r="A2010">
        <v>432125</v>
      </c>
      <c r="B2010" s="5">
        <v>44781</v>
      </c>
      <c r="C2010">
        <v>67503</v>
      </c>
      <c r="D2010" t="str">
        <f>PROPER(Transactions!D2010)</f>
        <v>Grocery</v>
      </c>
      <c r="E2010" t="s">
        <v>190</v>
      </c>
      <c r="F2010" t="s">
        <v>191</v>
      </c>
      <c r="G2010">
        <v>2</v>
      </c>
      <c r="H2010">
        <v>4.29</v>
      </c>
      <c r="I2010" s="7">
        <f>IF(Transactions!I2010="",0,Transactions!I2010)</f>
        <v>0</v>
      </c>
      <c r="J2010" s="9">
        <f t="shared" si="31"/>
        <v>8.58</v>
      </c>
      <c r="K2010" t="s">
        <v>22</v>
      </c>
      <c r="L2010" t="s">
        <v>37</v>
      </c>
      <c r="M2010" t="str">
        <f>REPLACE(Transactions!M2010,1,4,"")</f>
        <v>18</v>
      </c>
    </row>
    <row r="2011" spans="1:13" x14ac:dyDescent="0.2">
      <c r="A2011">
        <v>432185</v>
      </c>
      <c r="B2011" s="5">
        <v>44811</v>
      </c>
      <c r="C2011">
        <v>25827</v>
      </c>
      <c r="D2011" t="str">
        <f>PROPER(Transactions!D2011)</f>
        <v>Clothing</v>
      </c>
      <c r="E2011" t="s">
        <v>181</v>
      </c>
      <c r="F2011" t="s">
        <v>182</v>
      </c>
      <c r="G2011">
        <v>4</v>
      </c>
      <c r="H2011">
        <v>14.24</v>
      </c>
      <c r="I2011" s="7">
        <f>IF(Transactions!I2011="",0,Transactions!I2011)</f>
        <v>0.05</v>
      </c>
      <c r="J2011" s="9">
        <f t="shared" si="31"/>
        <v>54.111999999999995</v>
      </c>
      <c r="K2011" t="s">
        <v>22</v>
      </c>
      <c r="L2011" t="s">
        <v>37</v>
      </c>
      <c r="M2011" t="str">
        <f>REPLACE(Transactions!M2011,1,4,"")</f>
        <v>3</v>
      </c>
    </row>
    <row r="2012" spans="1:13" x14ac:dyDescent="0.2">
      <c r="A2012">
        <v>432583</v>
      </c>
      <c r="B2012" s="5">
        <v>45581</v>
      </c>
      <c r="C2012">
        <v>57361</v>
      </c>
      <c r="D2012" t="str">
        <f>PROPER(Transactions!D2012)</f>
        <v>Grocery</v>
      </c>
      <c r="E2012" t="s">
        <v>172</v>
      </c>
      <c r="F2012" t="s">
        <v>173</v>
      </c>
      <c r="G2012">
        <v>1</v>
      </c>
      <c r="H2012">
        <v>4.49</v>
      </c>
      <c r="I2012" s="7">
        <f>IF(Transactions!I2012="",0,Transactions!I2012)</f>
        <v>0</v>
      </c>
      <c r="J2012" s="9">
        <f t="shared" si="31"/>
        <v>4.49</v>
      </c>
      <c r="K2012" t="s">
        <v>36</v>
      </c>
      <c r="L2012" t="s">
        <v>17</v>
      </c>
      <c r="M2012" t="str">
        <f>REPLACE(Transactions!M2012,1,4,"")</f>
        <v>19</v>
      </c>
    </row>
    <row r="2013" spans="1:13" x14ac:dyDescent="0.2">
      <c r="A2013">
        <v>432802</v>
      </c>
      <c r="B2013" s="5">
        <v>45012</v>
      </c>
      <c r="C2013">
        <v>71815</v>
      </c>
      <c r="D2013" t="str">
        <f>PROPER(Transactions!D2013)</f>
        <v>Home &amp; Garden</v>
      </c>
      <c r="E2013" t="s">
        <v>145</v>
      </c>
      <c r="F2013" t="s">
        <v>146</v>
      </c>
      <c r="G2013">
        <v>2</v>
      </c>
      <c r="H2013">
        <v>13.59</v>
      </c>
      <c r="I2013" s="7">
        <f>IF(Transactions!I2013="",0,Transactions!I2013)</f>
        <v>0.2</v>
      </c>
      <c r="J2013" s="9">
        <f t="shared" si="31"/>
        <v>21.744</v>
      </c>
      <c r="K2013" t="s">
        <v>22</v>
      </c>
      <c r="L2013" t="s">
        <v>23</v>
      </c>
      <c r="M2013" t="str">
        <f>REPLACE(Transactions!M2013,1,4,"")</f>
        <v>19</v>
      </c>
    </row>
    <row r="2014" spans="1:13" x14ac:dyDescent="0.2">
      <c r="A2014">
        <v>432901</v>
      </c>
      <c r="B2014" s="5">
        <v>45219</v>
      </c>
      <c r="C2014">
        <v>10644</v>
      </c>
      <c r="D2014" t="str">
        <f>PROPER(Transactions!D2014)</f>
        <v>Electronics</v>
      </c>
      <c r="E2014" t="s">
        <v>79</v>
      </c>
      <c r="F2014" t="s">
        <v>80</v>
      </c>
      <c r="G2014">
        <v>5</v>
      </c>
      <c r="H2014">
        <v>80.989999999999995</v>
      </c>
      <c r="I2014" s="7">
        <f>IF(Transactions!I2014="",0,Transactions!I2014)</f>
        <v>0.1</v>
      </c>
      <c r="J2014" s="9">
        <f t="shared" si="31"/>
        <v>364.45499999999998</v>
      </c>
      <c r="K2014" t="s">
        <v>36</v>
      </c>
      <c r="L2014" t="s">
        <v>17</v>
      </c>
      <c r="M2014" t="str">
        <f>REPLACE(Transactions!M2014,1,4,"")</f>
        <v>3</v>
      </c>
    </row>
    <row r="2015" spans="1:13" x14ac:dyDescent="0.2">
      <c r="A2015">
        <v>433053</v>
      </c>
      <c r="B2015" s="5">
        <v>45620</v>
      </c>
      <c r="C2015">
        <v>32240</v>
      </c>
      <c r="D2015" t="str">
        <f>PROPER(Transactions!D2015)</f>
        <v>Automotive</v>
      </c>
      <c r="E2015" t="s">
        <v>131</v>
      </c>
      <c r="F2015" t="s">
        <v>132</v>
      </c>
      <c r="G2015">
        <v>3</v>
      </c>
      <c r="H2015">
        <v>3.14</v>
      </c>
      <c r="I2015" s="7">
        <f>IF(Transactions!I2015="",0,Transactions!I2015)</f>
        <v>0.1</v>
      </c>
      <c r="J2015" s="9">
        <f t="shared" si="31"/>
        <v>8.4779999999999998</v>
      </c>
      <c r="K2015" t="s">
        <v>53</v>
      </c>
      <c r="L2015" t="s">
        <v>23</v>
      </c>
      <c r="M2015" t="str">
        <f>REPLACE(Transactions!M2015,1,4,"")</f>
        <v>4</v>
      </c>
    </row>
    <row r="2016" spans="1:13" x14ac:dyDescent="0.2">
      <c r="A2016">
        <v>433343</v>
      </c>
      <c r="B2016" s="5">
        <v>44894</v>
      </c>
      <c r="C2016">
        <v>65298</v>
      </c>
      <c r="D2016" t="str">
        <f>PROPER(Transactions!D2016)</f>
        <v>Automotive</v>
      </c>
      <c r="E2016" t="s">
        <v>68</v>
      </c>
      <c r="F2016" t="s">
        <v>69</v>
      </c>
      <c r="G2016">
        <v>5</v>
      </c>
      <c r="H2016">
        <v>24.99</v>
      </c>
      <c r="I2016" s="7">
        <f>IF(Transactions!I2016="",0,Transactions!I2016)</f>
        <v>0</v>
      </c>
      <c r="J2016" s="9">
        <f t="shared" si="31"/>
        <v>124.94999999999999</v>
      </c>
      <c r="K2016" t="s">
        <v>95</v>
      </c>
      <c r="L2016" t="s">
        <v>17</v>
      </c>
      <c r="M2016" t="str">
        <f>REPLACE(Transactions!M2016,1,4,"")</f>
        <v>9</v>
      </c>
    </row>
    <row r="2017" spans="1:13" x14ac:dyDescent="0.2">
      <c r="A2017">
        <v>433508</v>
      </c>
      <c r="B2017" s="5">
        <v>44958</v>
      </c>
      <c r="C2017">
        <v>94555</v>
      </c>
      <c r="D2017" t="str">
        <f>PROPER(Transactions!D2017)</f>
        <v>Toys</v>
      </c>
      <c r="E2017" t="s">
        <v>170</v>
      </c>
      <c r="F2017" t="s">
        <v>171</v>
      </c>
      <c r="G2017">
        <v>3</v>
      </c>
      <c r="H2017">
        <v>12.74</v>
      </c>
      <c r="I2017" s="7">
        <f>IF(Transactions!I2017="",0,Transactions!I2017)</f>
        <v>0.15</v>
      </c>
      <c r="J2017" s="9">
        <f t="shared" si="31"/>
        <v>32.486999999999995</v>
      </c>
      <c r="K2017" t="s">
        <v>16</v>
      </c>
      <c r="L2017" t="s">
        <v>17</v>
      </c>
      <c r="M2017" t="str">
        <f>REPLACE(Transactions!M2017,1,4,"")</f>
        <v>5</v>
      </c>
    </row>
    <row r="2018" spans="1:13" x14ac:dyDescent="0.2">
      <c r="A2018">
        <v>433702</v>
      </c>
      <c r="B2018" s="5">
        <v>45243</v>
      </c>
      <c r="C2018">
        <v>28849</v>
      </c>
      <c r="D2018" t="str">
        <f>PROPER(Transactions!D2018)</f>
        <v>Toys</v>
      </c>
      <c r="E2018" t="s">
        <v>72</v>
      </c>
      <c r="F2018" t="s">
        <v>73</v>
      </c>
      <c r="G2018">
        <v>3</v>
      </c>
      <c r="H2018">
        <v>33.99</v>
      </c>
      <c r="I2018" s="7">
        <f>IF(Transactions!I2018="",0,Transactions!I2018)</f>
        <v>0.15</v>
      </c>
      <c r="J2018" s="9">
        <f t="shared" si="31"/>
        <v>86.674499999999995</v>
      </c>
      <c r="K2018" t="s">
        <v>16</v>
      </c>
      <c r="L2018" t="s">
        <v>37</v>
      </c>
      <c r="M2018" t="str">
        <f>REPLACE(Transactions!M2018,1,4,"")</f>
        <v>16</v>
      </c>
    </row>
    <row r="2019" spans="1:13" x14ac:dyDescent="0.2">
      <c r="A2019">
        <v>433804</v>
      </c>
      <c r="B2019" s="5">
        <v>44758</v>
      </c>
      <c r="C2019">
        <v>43965</v>
      </c>
      <c r="D2019" t="str">
        <f>PROPER(Transactions!D2019)</f>
        <v>Home &amp; Garden</v>
      </c>
      <c r="E2019" t="s">
        <v>137</v>
      </c>
      <c r="F2019" t="s">
        <v>138</v>
      </c>
      <c r="G2019">
        <v>5</v>
      </c>
      <c r="H2019">
        <v>5.59</v>
      </c>
      <c r="I2019" s="7">
        <f>IF(Transactions!I2019="",0,Transactions!I2019)</f>
        <v>0.3</v>
      </c>
      <c r="J2019" s="9">
        <f t="shared" si="31"/>
        <v>19.564999999999998</v>
      </c>
      <c r="K2019" t="s">
        <v>36</v>
      </c>
      <c r="L2019" t="s">
        <v>17</v>
      </c>
      <c r="M2019" t="str">
        <f>REPLACE(Transactions!M2019,1,4,"")</f>
        <v>19</v>
      </c>
    </row>
    <row r="2020" spans="1:13" x14ac:dyDescent="0.2">
      <c r="A2020">
        <v>433879</v>
      </c>
      <c r="B2020" s="5">
        <v>45034</v>
      </c>
      <c r="C2020">
        <v>37579</v>
      </c>
      <c r="D2020" t="str">
        <f>PROPER(Transactions!D2020)</f>
        <v>Toys</v>
      </c>
      <c r="E2020" t="s">
        <v>175</v>
      </c>
      <c r="F2020" t="s">
        <v>176</v>
      </c>
      <c r="G2020">
        <v>2</v>
      </c>
      <c r="H2020">
        <v>9.59</v>
      </c>
      <c r="I2020" s="7">
        <f>IF(Transactions!I2020="",0,Transactions!I2020)</f>
        <v>0.2</v>
      </c>
      <c r="J2020" s="9">
        <f t="shared" si="31"/>
        <v>15.344000000000001</v>
      </c>
      <c r="K2020" t="s">
        <v>16</v>
      </c>
      <c r="L2020" t="s">
        <v>17</v>
      </c>
      <c r="M2020" t="str">
        <f>REPLACE(Transactions!M2020,1,4,"")</f>
        <v>3</v>
      </c>
    </row>
    <row r="2021" spans="1:13" x14ac:dyDescent="0.2">
      <c r="A2021">
        <v>433888</v>
      </c>
      <c r="B2021" s="5">
        <v>44771</v>
      </c>
      <c r="D2021" t="str">
        <f>PROPER(Transactions!D2021)</f>
        <v>Sports</v>
      </c>
      <c r="E2021" t="s">
        <v>168</v>
      </c>
      <c r="F2021" t="s">
        <v>169</v>
      </c>
      <c r="G2021">
        <v>5</v>
      </c>
      <c r="H2021">
        <v>8.99</v>
      </c>
      <c r="I2021" s="7">
        <f>IF(Transactions!I2021="",0,Transactions!I2021)</f>
        <v>0</v>
      </c>
      <c r="J2021" s="9">
        <f t="shared" si="31"/>
        <v>44.95</v>
      </c>
      <c r="K2021" t="s">
        <v>16</v>
      </c>
      <c r="L2021" t="s">
        <v>37</v>
      </c>
      <c r="M2021" t="str">
        <f>REPLACE(Transactions!M2021,1,4,"")</f>
        <v>13</v>
      </c>
    </row>
    <row r="2022" spans="1:13" x14ac:dyDescent="0.2">
      <c r="A2022">
        <v>434136</v>
      </c>
      <c r="B2022" s="5">
        <v>45177</v>
      </c>
      <c r="C2022">
        <v>56218</v>
      </c>
      <c r="D2022" t="str">
        <f>PROPER(Transactions!D2022)</f>
        <v>Beauty</v>
      </c>
      <c r="E2022" t="s">
        <v>143</v>
      </c>
      <c r="F2022" t="s">
        <v>144</v>
      </c>
      <c r="G2022">
        <v>5</v>
      </c>
      <c r="H2022">
        <v>14.24</v>
      </c>
      <c r="I2022" s="7">
        <f>IF(Transactions!I2022="",0,Transactions!I2022)</f>
        <v>0.05</v>
      </c>
      <c r="J2022" s="9">
        <f t="shared" si="31"/>
        <v>67.64</v>
      </c>
      <c r="K2022" t="s">
        <v>22</v>
      </c>
      <c r="L2022" t="s">
        <v>17</v>
      </c>
      <c r="M2022" t="str">
        <f>REPLACE(Transactions!M2022,1,4,"")</f>
        <v>19</v>
      </c>
    </row>
    <row r="2023" spans="1:13" x14ac:dyDescent="0.2">
      <c r="A2023">
        <v>434164</v>
      </c>
      <c r="B2023" s="5">
        <v>45219</v>
      </c>
      <c r="C2023">
        <v>60303</v>
      </c>
      <c r="D2023" t="str">
        <f>PROPER(Transactions!D2023)</f>
        <v>Sports</v>
      </c>
      <c r="E2023" t="s">
        <v>100</v>
      </c>
      <c r="F2023" t="s">
        <v>101</v>
      </c>
      <c r="G2023">
        <v>5</v>
      </c>
      <c r="H2023">
        <v>21.84</v>
      </c>
      <c r="I2023" s="7">
        <f>IF(Transactions!I2023="",0,Transactions!I2023)</f>
        <v>0.05</v>
      </c>
      <c r="J2023" s="9">
        <f t="shared" si="31"/>
        <v>103.74</v>
      </c>
      <c r="K2023" t="s">
        <v>36</v>
      </c>
      <c r="L2023" t="s">
        <v>23</v>
      </c>
      <c r="M2023" t="str">
        <f>REPLACE(Transactions!M2023,1,4,"")</f>
        <v>14</v>
      </c>
    </row>
    <row r="2024" spans="1:13" x14ac:dyDescent="0.2">
      <c r="A2024">
        <v>434443</v>
      </c>
      <c r="B2024" s="5">
        <v>44659</v>
      </c>
      <c r="C2024">
        <v>76932</v>
      </c>
      <c r="D2024" t="str">
        <f>PROPER(Transactions!D2024)</f>
        <v>Automotive</v>
      </c>
      <c r="E2024" t="s">
        <v>111</v>
      </c>
      <c r="F2024" t="s">
        <v>112</v>
      </c>
      <c r="G2024">
        <v>2</v>
      </c>
      <c r="H2024">
        <v>11.99</v>
      </c>
      <c r="I2024" s="7">
        <f>IF(Transactions!I2024="",0,Transactions!I2024)</f>
        <v>0.2</v>
      </c>
      <c r="J2024" s="9">
        <f t="shared" si="31"/>
        <v>19.184000000000001</v>
      </c>
      <c r="K2024" t="s">
        <v>36</v>
      </c>
      <c r="L2024" t="s">
        <v>17</v>
      </c>
      <c r="M2024" t="str">
        <f>REPLACE(Transactions!M2024,1,4,"")</f>
        <v>18</v>
      </c>
    </row>
    <row r="2025" spans="1:13" x14ac:dyDescent="0.2">
      <c r="A2025">
        <v>434535</v>
      </c>
      <c r="B2025" s="5">
        <v>44898</v>
      </c>
      <c r="C2025">
        <v>37371</v>
      </c>
      <c r="D2025" t="str">
        <f>PROPER(Transactions!D2025)</f>
        <v>Clothing</v>
      </c>
      <c r="E2025" t="s">
        <v>181</v>
      </c>
      <c r="F2025" t="s">
        <v>182</v>
      </c>
      <c r="G2025">
        <v>5</v>
      </c>
      <c r="H2025">
        <v>13.49</v>
      </c>
      <c r="I2025" s="7">
        <f>IF(Transactions!I2025="",0,Transactions!I2025)</f>
        <v>0.1</v>
      </c>
      <c r="J2025" s="9">
        <f t="shared" si="31"/>
        <v>60.705000000000005</v>
      </c>
      <c r="K2025" t="s">
        <v>36</v>
      </c>
      <c r="L2025" t="s">
        <v>37</v>
      </c>
      <c r="M2025" t="str">
        <f>REPLACE(Transactions!M2025,1,4,"")</f>
        <v>16</v>
      </c>
    </row>
    <row r="2026" spans="1:13" x14ac:dyDescent="0.2">
      <c r="A2026">
        <v>434697</v>
      </c>
      <c r="B2026" s="5">
        <v>44946</v>
      </c>
      <c r="C2026">
        <v>83700</v>
      </c>
      <c r="D2026" t="str">
        <f>PROPER(Transactions!D2026)</f>
        <v>Sports</v>
      </c>
      <c r="E2026" t="s">
        <v>147</v>
      </c>
      <c r="F2026" t="s">
        <v>148</v>
      </c>
      <c r="G2026">
        <v>3</v>
      </c>
      <c r="H2026">
        <v>9.09</v>
      </c>
      <c r="I2026" s="7">
        <f>IF(Transactions!I2026="",0,Transactions!I2026)</f>
        <v>0.3</v>
      </c>
      <c r="J2026" s="9">
        <f t="shared" si="31"/>
        <v>19.088999999999999</v>
      </c>
      <c r="K2026" t="s">
        <v>53</v>
      </c>
      <c r="L2026" t="s">
        <v>17</v>
      </c>
      <c r="M2026" t="str">
        <f>REPLACE(Transactions!M2026,1,4,"")</f>
        <v>20</v>
      </c>
    </row>
    <row r="2027" spans="1:13" x14ac:dyDescent="0.2">
      <c r="A2027">
        <v>434708</v>
      </c>
      <c r="B2027" s="5">
        <v>44672</v>
      </c>
      <c r="C2027">
        <v>36380</v>
      </c>
      <c r="D2027" t="str">
        <f>PROPER(Transactions!D2027)</f>
        <v>Electronics</v>
      </c>
      <c r="E2027" t="s">
        <v>159</v>
      </c>
      <c r="F2027" t="s">
        <v>160</v>
      </c>
      <c r="G2027">
        <v>1</v>
      </c>
      <c r="H2027">
        <v>41.99</v>
      </c>
      <c r="I2027" s="7">
        <f>IF(Transactions!I2027="",0,Transactions!I2027)</f>
        <v>0.3</v>
      </c>
      <c r="J2027" s="9">
        <f t="shared" si="31"/>
        <v>29.393000000000001</v>
      </c>
      <c r="K2027" t="s">
        <v>16</v>
      </c>
      <c r="L2027" t="s">
        <v>17</v>
      </c>
      <c r="M2027" t="str">
        <f>REPLACE(Transactions!M2027,1,4,"")</f>
        <v>6</v>
      </c>
    </row>
    <row r="2028" spans="1:13" x14ac:dyDescent="0.2">
      <c r="A2028">
        <v>434776</v>
      </c>
      <c r="B2028" s="5">
        <v>44985</v>
      </c>
      <c r="C2028">
        <v>87690</v>
      </c>
      <c r="D2028" t="str">
        <f>PROPER(Transactions!D2028)</f>
        <v>Pharmacy</v>
      </c>
      <c r="E2028" t="s">
        <v>41</v>
      </c>
      <c r="F2028" t="s">
        <v>42</v>
      </c>
      <c r="G2028">
        <v>2</v>
      </c>
      <c r="H2028">
        <v>4.49</v>
      </c>
      <c r="I2028" s="7">
        <f>IF(Transactions!I2028="",0,Transactions!I2028)</f>
        <v>0.25</v>
      </c>
      <c r="J2028" s="9">
        <f t="shared" si="31"/>
        <v>6.7350000000000003</v>
      </c>
      <c r="K2028" t="s">
        <v>22</v>
      </c>
      <c r="L2028" t="s">
        <v>37</v>
      </c>
      <c r="M2028" t="str">
        <f>REPLACE(Transactions!M2028,1,4,"")</f>
        <v>10</v>
      </c>
    </row>
    <row r="2029" spans="1:13" x14ac:dyDescent="0.2">
      <c r="A2029">
        <v>434836</v>
      </c>
      <c r="B2029" s="5">
        <v>45043</v>
      </c>
      <c r="C2029">
        <v>76890</v>
      </c>
      <c r="D2029" t="str">
        <f>PROPER(Transactions!D2029)</f>
        <v>Clothing</v>
      </c>
      <c r="E2029" t="s">
        <v>165</v>
      </c>
      <c r="F2029" t="s">
        <v>166</v>
      </c>
      <c r="G2029">
        <v>1</v>
      </c>
      <c r="H2029">
        <v>62.99</v>
      </c>
      <c r="I2029" s="7">
        <f>IF(Transactions!I2029="",0,Transactions!I2029)</f>
        <v>0</v>
      </c>
      <c r="J2029" s="9">
        <f t="shared" si="31"/>
        <v>62.99</v>
      </c>
      <c r="K2029" t="s">
        <v>16</v>
      </c>
      <c r="L2029" t="s">
        <v>17</v>
      </c>
      <c r="M2029" t="str">
        <f>REPLACE(Transactions!M2029,1,4,"")</f>
        <v>13</v>
      </c>
    </row>
    <row r="2030" spans="1:13" x14ac:dyDescent="0.2">
      <c r="A2030">
        <v>434896</v>
      </c>
      <c r="B2030" s="5">
        <v>45261</v>
      </c>
      <c r="C2030">
        <v>37420</v>
      </c>
      <c r="D2030" t="str">
        <f>PROPER(Transactions!D2030)</f>
        <v>Electronics</v>
      </c>
      <c r="E2030" t="s">
        <v>55</v>
      </c>
      <c r="F2030" t="s">
        <v>56</v>
      </c>
      <c r="G2030">
        <v>1</v>
      </c>
      <c r="H2030">
        <v>263.99</v>
      </c>
      <c r="I2030" s="7">
        <f>IF(Transactions!I2030="",0,Transactions!I2030)</f>
        <v>0.2</v>
      </c>
      <c r="J2030" s="9">
        <f t="shared" si="31"/>
        <v>211.19200000000001</v>
      </c>
      <c r="K2030" t="s">
        <v>36</v>
      </c>
      <c r="L2030" t="s">
        <v>17</v>
      </c>
      <c r="M2030" t="str">
        <f>REPLACE(Transactions!M2030,1,4,"")</f>
        <v>5</v>
      </c>
    </row>
    <row r="2031" spans="1:13" x14ac:dyDescent="0.2">
      <c r="A2031">
        <v>434967</v>
      </c>
      <c r="B2031" s="5">
        <v>45568</v>
      </c>
      <c r="C2031">
        <v>29333</v>
      </c>
      <c r="D2031" t="str">
        <f>PROPER(Transactions!D2031)</f>
        <v>Electronics</v>
      </c>
      <c r="E2031" t="s">
        <v>79</v>
      </c>
      <c r="F2031" t="s">
        <v>80</v>
      </c>
      <c r="G2031">
        <v>2</v>
      </c>
      <c r="H2031">
        <v>62.99</v>
      </c>
      <c r="I2031" s="7">
        <f>IF(Transactions!I2031="",0,Transactions!I2031)</f>
        <v>0.3</v>
      </c>
      <c r="J2031" s="9">
        <f t="shared" si="31"/>
        <v>88.185999999999993</v>
      </c>
      <c r="K2031" t="s">
        <v>16</v>
      </c>
      <c r="L2031" t="s">
        <v>37</v>
      </c>
      <c r="M2031" t="str">
        <f>REPLACE(Transactions!M2031,1,4,"")</f>
        <v>1</v>
      </c>
    </row>
    <row r="2032" spans="1:13" x14ac:dyDescent="0.2">
      <c r="A2032">
        <v>435297</v>
      </c>
      <c r="B2032" s="5">
        <v>45389</v>
      </c>
      <c r="C2032">
        <v>51570</v>
      </c>
      <c r="D2032" t="str">
        <f>PROPER(Transactions!D2032)</f>
        <v>Furniture</v>
      </c>
      <c r="E2032" t="s">
        <v>26</v>
      </c>
      <c r="F2032" t="s">
        <v>27</v>
      </c>
      <c r="G2032">
        <v>3</v>
      </c>
      <c r="H2032">
        <v>34.99</v>
      </c>
      <c r="I2032" s="7">
        <f>IF(Transactions!I2032="",0,Transactions!I2032)</f>
        <v>0</v>
      </c>
      <c r="J2032" s="9">
        <f t="shared" si="31"/>
        <v>104.97</v>
      </c>
      <c r="K2032" t="s">
        <v>16</v>
      </c>
      <c r="L2032" t="s">
        <v>17</v>
      </c>
      <c r="M2032" t="str">
        <f>REPLACE(Transactions!M2032,1,4,"")</f>
        <v>12</v>
      </c>
    </row>
    <row r="2033" spans="1:13" x14ac:dyDescent="0.2">
      <c r="A2033">
        <v>435362</v>
      </c>
      <c r="B2033" s="5">
        <v>45463</v>
      </c>
      <c r="C2033">
        <v>50069</v>
      </c>
      <c r="D2033" t="str">
        <f>PROPER(Transactions!D2033)</f>
        <v>Beauty</v>
      </c>
      <c r="E2033" t="s">
        <v>109</v>
      </c>
      <c r="F2033" t="s">
        <v>110</v>
      </c>
      <c r="G2033">
        <v>3</v>
      </c>
      <c r="H2033">
        <v>6.29</v>
      </c>
      <c r="I2033" s="7">
        <f>IF(Transactions!I2033="",0,Transactions!I2033)</f>
        <v>0.1</v>
      </c>
      <c r="J2033" s="9">
        <f t="shared" si="31"/>
        <v>16.983000000000001</v>
      </c>
      <c r="K2033" t="s">
        <v>32</v>
      </c>
      <c r="L2033" t="s">
        <v>17</v>
      </c>
      <c r="M2033" t="str">
        <f>REPLACE(Transactions!M2033,1,4,"")</f>
        <v>19</v>
      </c>
    </row>
    <row r="2034" spans="1:13" x14ac:dyDescent="0.2">
      <c r="A2034">
        <v>435781</v>
      </c>
      <c r="B2034" s="5">
        <v>45290</v>
      </c>
      <c r="C2034">
        <v>93249</v>
      </c>
      <c r="D2034" t="str">
        <f>PROPER(Transactions!D2034)</f>
        <v>Automotive</v>
      </c>
      <c r="E2034" t="s">
        <v>64</v>
      </c>
      <c r="F2034" t="s">
        <v>65</v>
      </c>
      <c r="G2034">
        <v>1</v>
      </c>
      <c r="H2034">
        <v>4.99</v>
      </c>
      <c r="I2034" s="7">
        <f>IF(Transactions!I2034="",0,Transactions!I2034)</f>
        <v>0</v>
      </c>
      <c r="J2034" s="9">
        <f t="shared" si="31"/>
        <v>4.99</v>
      </c>
      <c r="K2034" t="s">
        <v>36</v>
      </c>
      <c r="L2034" t="s">
        <v>17</v>
      </c>
      <c r="M2034" t="str">
        <f>REPLACE(Transactions!M2034,1,4,"")</f>
        <v>13</v>
      </c>
    </row>
    <row r="2035" spans="1:13" x14ac:dyDescent="0.2">
      <c r="A2035">
        <v>435820</v>
      </c>
      <c r="B2035" s="5">
        <v>45104</v>
      </c>
      <c r="C2035">
        <v>98767</v>
      </c>
      <c r="D2035" t="str">
        <f>PROPER(Transactions!D2035)</f>
        <v>Toys</v>
      </c>
      <c r="E2035" t="s">
        <v>38</v>
      </c>
      <c r="F2035" t="s">
        <v>39</v>
      </c>
      <c r="G2035">
        <v>1</v>
      </c>
      <c r="H2035">
        <v>29.99</v>
      </c>
      <c r="I2035" s="7">
        <f>IF(Transactions!I2035="",0,Transactions!I2035)</f>
        <v>0</v>
      </c>
      <c r="J2035" s="9">
        <f t="shared" si="31"/>
        <v>29.99</v>
      </c>
      <c r="K2035" t="s">
        <v>16</v>
      </c>
      <c r="L2035" t="s">
        <v>17</v>
      </c>
      <c r="M2035" t="str">
        <f>REPLACE(Transactions!M2035,1,4,"")</f>
        <v>15</v>
      </c>
    </row>
    <row r="2036" spans="1:13" x14ac:dyDescent="0.2">
      <c r="A2036">
        <v>435983</v>
      </c>
      <c r="B2036" s="5">
        <v>44715</v>
      </c>
      <c r="C2036">
        <v>24003</v>
      </c>
      <c r="D2036" t="str">
        <f>PROPER(Transactions!D2036)</f>
        <v>Electronics</v>
      </c>
      <c r="E2036" t="s">
        <v>104</v>
      </c>
      <c r="F2036" t="s">
        <v>105</v>
      </c>
      <c r="G2036">
        <v>1</v>
      </c>
      <c r="H2036">
        <v>20.99</v>
      </c>
      <c r="I2036" s="7">
        <f>IF(Transactions!I2036="",0,Transactions!I2036)</f>
        <v>0.3</v>
      </c>
      <c r="J2036" s="9">
        <f t="shared" si="31"/>
        <v>14.692999999999998</v>
      </c>
      <c r="K2036" t="s">
        <v>95</v>
      </c>
      <c r="L2036" t="s">
        <v>17</v>
      </c>
      <c r="M2036" t="str">
        <f>REPLACE(Transactions!M2036,1,4,"")</f>
        <v>18</v>
      </c>
    </row>
    <row r="2037" spans="1:13" x14ac:dyDescent="0.2">
      <c r="A2037">
        <v>436264</v>
      </c>
      <c r="B2037" s="5">
        <v>45591</v>
      </c>
      <c r="C2037">
        <v>90337</v>
      </c>
      <c r="D2037" t="str">
        <f>PROPER(Transactions!D2037)</f>
        <v>Automotive</v>
      </c>
      <c r="E2037" t="s">
        <v>64</v>
      </c>
      <c r="F2037" t="s">
        <v>65</v>
      </c>
      <c r="G2037">
        <v>2</v>
      </c>
      <c r="H2037">
        <v>4.74</v>
      </c>
      <c r="I2037" s="7">
        <f>IF(Transactions!I2037="",0,Transactions!I2037)</f>
        <v>0.05</v>
      </c>
      <c r="J2037" s="9">
        <f t="shared" si="31"/>
        <v>9.0060000000000002</v>
      </c>
      <c r="K2037" t="s">
        <v>36</v>
      </c>
      <c r="L2037" t="s">
        <v>17</v>
      </c>
      <c r="M2037" t="str">
        <f>REPLACE(Transactions!M2037,1,4,"")</f>
        <v>16</v>
      </c>
    </row>
    <row r="2038" spans="1:13" x14ac:dyDescent="0.2">
      <c r="A2038">
        <v>436296</v>
      </c>
      <c r="B2038" s="5">
        <v>45153</v>
      </c>
      <c r="C2038">
        <v>30407</v>
      </c>
      <c r="D2038" t="str">
        <f>PROPER(Transactions!D2038)</f>
        <v>Clothing</v>
      </c>
      <c r="E2038" t="s">
        <v>181</v>
      </c>
      <c r="F2038" t="s">
        <v>182</v>
      </c>
      <c r="G2038">
        <v>1</v>
      </c>
      <c r="H2038">
        <v>10.49</v>
      </c>
      <c r="I2038" s="7">
        <f>IF(Transactions!I2038="",0,Transactions!I2038)</f>
        <v>0.3</v>
      </c>
      <c r="J2038" s="9">
        <f t="shared" si="31"/>
        <v>7.343</v>
      </c>
      <c r="K2038" t="s">
        <v>16</v>
      </c>
      <c r="L2038" t="s">
        <v>37</v>
      </c>
      <c r="M2038" t="str">
        <f>REPLACE(Transactions!M2038,1,4,"")</f>
        <v>2</v>
      </c>
    </row>
    <row r="2039" spans="1:13" x14ac:dyDescent="0.2">
      <c r="A2039">
        <v>436451</v>
      </c>
      <c r="B2039" s="5">
        <v>45414</v>
      </c>
      <c r="C2039">
        <v>74625</v>
      </c>
      <c r="D2039" t="str">
        <f>PROPER(Transactions!D2039)</f>
        <v>Toys</v>
      </c>
      <c r="E2039" t="s">
        <v>170</v>
      </c>
      <c r="F2039" t="s">
        <v>171</v>
      </c>
      <c r="G2039">
        <v>1</v>
      </c>
      <c r="H2039">
        <v>14.24</v>
      </c>
      <c r="I2039" s="7">
        <f>IF(Transactions!I2039="",0,Transactions!I2039)</f>
        <v>0.05</v>
      </c>
      <c r="J2039" s="9">
        <f t="shared" si="31"/>
        <v>13.527999999999999</v>
      </c>
      <c r="K2039" t="s">
        <v>36</v>
      </c>
      <c r="L2039" t="s">
        <v>17</v>
      </c>
      <c r="M2039" t="str">
        <f>REPLACE(Transactions!M2039,1,4,"")</f>
        <v>4</v>
      </c>
    </row>
    <row r="2040" spans="1:13" x14ac:dyDescent="0.2">
      <c r="A2040">
        <v>436452</v>
      </c>
      <c r="B2040" s="5">
        <v>44963</v>
      </c>
      <c r="C2040">
        <v>39711</v>
      </c>
      <c r="D2040" t="str">
        <f>PROPER(Transactions!D2040)</f>
        <v>Beauty</v>
      </c>
      <c r="E2040" t="s">
        <v>143</v>
      </c>
      <c r="F2040" t="s">
        <v>144</v>
      </c>
      <c r="G2040">
        <v>1</v>
      </c>
      <c r="H2040">
        <v>12.74</v>
      </c>
      <c r="I2040" s="7">
        <f>IF(Transactions!I2040="",0,Transactions!I2040)</f>
        <v>0.15</v>
      </c>
      <c r="J2040" s="9">
        <f t="shared" si="31"/>
        <v>10.829000000000001</v>
      </c>
      <c r="K2040" t="s">
        <v>16</v>
      </c>
      <c r="L2040" t="s">
        <v>17</v>
      </c>
      <c r="M2040" t="str">
        <f>REPLACE(Transactions!M2040,1,4,"")</f>
        <v>2</v>
      </c>
    </row>
    <row r="2041" spans="1:13" x14ac:dyDescent="0.2">
      <c r="A2041">
        <v>436679</v>
      </c>
      <c r="B2041" s="5">
        <v>44580</v>
      </c>
      <c r="C2041">
        <v>54839</v>
      </c>
      <c r="D2041" t="str">
        <f>PROPER(Transactions!D2041)</f>
        <v>Automotive</v>
      </c>
      <c r="E2041" t="s">
        <v>131</v>
      </c>
      <c r="F2041" t="s">
        <v>132</v>
      </c>
      <c r="G2041">
        <v>1</v>
      </c>
      <c r="H2041">
        <v>2.62</v>
      </c>
      <c r="I2041" s="7">
        <f>IF(Transactions!I2041="",0,Transactions!I2041)</f>
        <v>0.25</v>
      </c>
      <c r="J2041" s="9">
        <f t="shared" si="31"/>
        <v>1.9650000000000001</v>
      </c>
      <c r="K2041" t="s">
        <v>16</v>
      </c>
      <c r="L2041" t="s">
        <v>17</v>
      </c>
      <c r="M2041" t="str">
        <f>REPLACE(Transactions!M2041,1,4,"")</f>
        <v>5</v>
      </c>
    </row>
    <row r="2042" spans="1:13" x14ac:dyDescent="0.2">
      <c r="A2042">
        <v>436840</v>
      </c>
      <c r="B2042" s="5">
        <v>45150</v>
      </c>
      <c r="C2042">
        <v>55547</v>
      </c>
      <c r="D2042" t="str">
        <f>PROPER(Transactions!D2042)</f>
        <v>Automotive</v>
      </c>
      <c r="E2042" t="s">
        <v>64</v>
      </c>
      <c r="F2042" t="s">
        <v>65</v>
      </c>
      <c r="G2042">
        <v>1</v>
      </c>
      <c r="H2042">
        <v>3.74</v>
      </c>
      <c r="I2042" s="7">
        <f>IF(Transactions!I2042="",0,Transactions!I2042)</f>
        <v>0.25</v>
      </c>
      <c r="J2042" s="9">
        <f t="shared" si="31"/>
        <v>2.8050000000000002</v>
      </c>
      <c r="K2042" t="s">
        <v>16</v>
      </c>
      <c r="L2042" t="s">
        <v>17</v>
      </c>
      <c r="M2042" t="str">
        <f>REPLACE(Transactions!M2042,1,4,"")</f>
        <v/>
      </c>
    </row>
    <row r="2043" spans="1:13" x14ac:dyDescent="0.2">
      <c r="A2043">
        <v>436901</v>
      </c>
      <c r="B2043" s="5">
        <v>45646</v>
      </c>
      <c r="C2043">
        <v>14841</v>
      </c>
      <c r="D2043" t="str">
        <f>PROPER(Transactions!D2043)</f>
        <v>Grocery</v>
      </c>
      <c r="E2043" t="s">
        <v>177</v>
      </c>
      <c r="F2043" t="s">
        <v>178</v>
      </c>
      <c r="G2043">
        <v>1</v>
      </c>
      <c r="H2043">
        <v>10.19</v>
      </c>
      <c r="I2043" s="7">
        <f>IF(Transactions!I2043="",0,Transactions!I2043)</f>
        <v>0</v>
      </c>
      <c r="J2043" s="9">
        <f t="shared" si="31"/>
        <v>10.19</v>
      </c>
      <c r="K2043" t="s">
        <v>16</v>
      </c>
      <c r="L2043" t="s">
        <v>37</v>
      </c>
      <c r="M2043" t="str">
        <f>REPLACE(Transactions!M2043,1,4,"")</f>
        <v>1</v>
      </c>
    </row>
    <row r="2044" spans="1:13" x14ac:dyDescent="0.2">
      <c r="A2044">
        <v>436920</v>
      </c>
      <c r="B2044" s="5">
        <v>45157</v>
      </c>
      <c r="D2044" t="str">
        <f>PROPER(Transactions!D2044)</f>
        <v>Automotive</v>
      </c>
      <c r="E2044" t="s">
        <v>111</v>
      </c>
      <c r="F2044" t="s">
        <v>112</v>
      </c>
      <c r="G2044">
        <v>1</v>
      </c>
      <c r="H2044">
        <v>10.49</v>
      </c>
      <c r="I2044" s="7">
        <f>IF(Transactions!I2044="",0,Transactions!I2044)</f>
        <v>0.3</v>
      </c>
      <c r="J2044" s="9">
        <f t="shared" si="31"/>
        <v>7.343</v>
      </c>
      <c r="K2044" t="s">
        <v>53</v>
      </c>
      <c r="L2044" t="s">
        <v>17</v>
      </c>
      <c r="M2044" t="str">
        <f>REPLACE(Transactions!M2044,1,4,"")</f>
        <v>7</v>
      </c>
    </row>
    <row r="2045" spans="1:13" x14ac:dyDescent="0.2">
      <c r="A2045">
        <v>437161</v>
      </c>
      <c r="B2045" s="5">
        <v>44988</v>
      </c>
      <c r="C2045">
        <v>79936</v>
      </c>
      <c r="D2045" t="str">
        <f>PROPER(Transactions!D2045)</f>
        <v>Grocery</v>
      </c>
      <c r="E2045" t="s">
        <v>195</v>
      </c>
      <c r="F2045" t="s">
        <v>196</v>
      </c>
      <c r="G2045">
        <v>3</v>
      </c>
      <c r="H2045">
        <v>4.99</v>
      </c>
      <c r="I2045" s="7">
        <f>IF(Transactions!I2045="",0,Transactions!I2045)</f>
        <v>0</v>
      </c>
      <c r="J2045" s="9">
        <f t="shared" si="31"/>
        <v>14.97</v>
      </c>
      <c r="K2045" t="s">
        <v>32</v>
      </c>
      <c r="L2045" t="s">
        <v>17</v>
      </c>
      <c r="M2045" t="str">
        <f>REPLACE(Transactions!M2045,1,4,"")</f>
        <v>12</v>
      </c>
    </row>
    <row r="2046" spans="1:13" x14ac:dyDescent="0.2">
      <c r="A2046">
        <v>437792</v>
      </c>
      <c r="B2046" s="5">
        <v>45545</v>
      </c>
      <c r="C2046">
        <v>51411</v>
      </c>
      <c r="D2046" t="str">
        <f>PROPER(Transactions!D2046)</f>
        <v>Grocery</v>
      </c>
      <c r="E2046" t="s">
        <v>93</v>
      </c>
      <c r="F2046" t="s">
        <v>94</v>
      </c>
      <c r="G2046">
        <v>2</v>
      </c>
      <c r="H2046">
        <v>1.29</v>
      </c>
      <c r="I2046" s="7">
        <f>IF(Transactions!I2046="",0,Transactions!I2046)</f>
        <v>0</v>
      </c>
      <c r="J2046" s="9">
        <f t="shared" si="31"/>
        <v>2.58</v>
      </c>
      <c r="K2046" t="s">
        <v>16</v>
      </c>
      <c r="L2046" t="s">
        <v>23</v>
      </c>
      <c r="M2046" t="str">
        <f>REPLACE(Transactions!M2046,1,4,"")</f>
        <v/>
      </c>
    </row>
    <row r="2047" spans="1:13" x14ac:dyDescent="0.2">
      <c r="A2047">
        <v>437895</v>
      </c>
      <c r="B2047" s="5">
        <v>44800</v>
      </c>
      <c r="C2047">
        <v>32880</v>
      </c>
      <c r="D2047" t="str">
        <f>PROPER(Transactions!D2047)</f>
        <v>Pharmacy</v>
      </c>
      <c r="E2047" t="s">
        <v>58</v>
      </c>
      <c r="F2047" t="s">
        <v>59</v>
      </c>
      <c r="G2047">
        <v>1</v>
      </c>
      <c r="H2047">
        <v>3.79</v>
      </c>
      <c r="I2047" s="7">
        <f>IF(Transactions!I2047="",0,Transactions!I2047)</f>
        <v>0.05</v>
      </c>
      <c r="J2047" s="9">
        <f t="shared" si="31"/>
        <v>3.6004999999999998</v>
      </c>
      <c r="K2047" t="s">
        <v>36</v>
      </c>
      <c r="L2047" t="s">
        <v>17</v>
      </c>
      <c r="M2047" t="str">
        <f>REPLACE(Transactions!M2047,1,4,"")</f>
        <v>2</v>
      </c>
    </row>
    <row r="2048" spans="1:13" x14ac:dyDescent="0.2">
      <c r="A2048">
        <v>438016</v>
      </c>
      <c r="B2048" s="5">
        <v>45414</v>
      </c>
      <c r="C2048">
        <v>12766</v>
      </c>
      <c r="D2048" t="str">
        <f>PROPER(Transactions!D2048)</f>
        <v>Pharmacy</v>
      </c>
      <c r="E2048" t="s">
        <v>20</v>
      </c>
      <c r="F2048" t="s">
        <v>21</v>
      </c>
      <c r="G2048">
        <v>2</v>
      </c>
      <c r="H2048">
        <v>8.99</v>
      </c>
      <c r="I2048" s="7">
        <f>IF(Transactions!I2048="",0,Transactions!I2048)</f>
        <v>0.1</v>
      </c>
      <c r="J2048" s="9">
        <f t="shared" si="31"/>
        <v>16.182000000000002</v>
      </c>
      <c r="K2048" t="s">
        <v>16</v>
      </c>
      <c r="L2048" t="s">
        <v>17</v>
      </c>
      <c r="M2048" t="str">
        <f>REPLACE(Transactions!M2048,1,4,"")</f>
        <v>17</v>
      </c>
    </row>
    <row r="2049" spans="1:13" x14ac:dyDescent="0.2">
      <c r="A2049">
        <v>438260</v>
      </c>
      <c r="B2049" s="5">
        <v>44594</v>
      </c>
      <c r="C2049">
        <v>18542</v>
      </c>
      <c r="D2049" t="str">
        <f>PROPER(Transactions!D2049)</f>
        <v>Grocery</v>
      </c>
      <c r="E2049" t="s">
        <v>172</v>
      </c>
      <c r="F2049" t="s">
        <v>173</v>
      </c>
      <c r="G2049">
        <v>1</v>
      </c>
      <c r="H2049">
        <v>3.37</v>
      </c>
      <c r="I2049" s="7">
        <f>IF(Transactions!I2049="",0,Transactions!I2049)</f>
        <v>0.25</v>
      </c>
      <c r="J2049" s="9">
        <f t="shared" si="31"/>
        <v>2.5274999999999999</v>
      </c>
      <c r="K2049" t="s">
        <v>16</v>
      </c>
      <c r="L2049" t="s">
        <v>17</v>
      </c>
      <c r="M2049" t="str">
        <f>REPLACE(Transactions!M2049,1,4,"")</f>
        <v>3</v>
      </c>
    </row>
    <row r="2050" spans="1:13" x14ac:dyDescent="0.2">
      <c r="A2050">
        <v>438276</v>
      </c>
      <c r="B2050" s="5">
        <v>45439</v>
      </c>
      <c r="C2050">
        <v>49153</v>
      </c>
      <c r="D2050" t="str">
        <f>PROPER(Transactions!D2050)</f>
        <v>Grocery</v>
      </c>
      <c r="E2050" t="s">
        <v>177</v>
      </c>
      <c r="F2050" t="s">
        <v>178</v>
      </c>
      <c r="G2050">
        <v>2</v>
      </c>
      <c r="H2050">
        <v>11.99</v>
      </c>
      <c r="I2050" s="7">
        <f>IF(Transactions!I2050="",0,Transactions!I2050)</f>
        <v>0</v>
      </c>
      <c r="J2050" s="9">
        <f t="shared" si="31"/>
        <v>23.98</v>
      </c>
      <c r="K2050" t="s">
        <v>36</v>
      </c>
      <c r="L2050" t="s">
        <v>17</v>
      </c>
      <c r="M2050" t="str">
        <f>REPLACE(Transactions!M2050,1,4,"")</f>
        <v>18</v>
      </c>
    </row>
    <row r="2051" spans="1:13" x14ac:dyDescent="0.2">
      <c r="A2051">
        <v>438302</v>
      </c>
      <c r="B2051" s="5">
        <v>44879</v>
      </c>
      <c r="C2051">
        <v>96755</v>
      </c>
      <c r="D2051" t="str">
        <f>PROPER(Transactions!D2051)</f>
        <v>Electronics</v>
      </c>
      <c r="E2051" t="s">
        <v>104</v>
      </c>
      <c r="F2051" t="s">
        <v>105</v>
      </c>
      <c r="G2051">
        <v>1</v>
      </c>
      <c r="H2051">
        <v>29.99</v>
      </c>
      <c r="I2051" s="7">
        <f>IF(Transactions!I2051="",0,Transactions!I2051)</f>
        <v>0</v>
      </c>
      <c r="J2051" s="9">
        <f t="shared" ref="J2051:J2114" si="32">(H2051*G2051)*(1-I2051)</f>
        <v>29.99</v>
      </c>
      <c r="K2051" t="s">
        <v>36</v>
      </c>
      <c r="L2051" t="s">
        <v>37</v>
      </c>
      <c r="M2051" t="str">
        <f>REPLACE(Transactions!M2051,1,4,"")</f>
        <v>20</v>
      </c>
    </row>
    <row r="2052" spans="1:13" x14ac:dyDescent="0.2">
      <c r="A2052">
        <v>438595</v>
      </c>
      <c r="B2052" s="5">
        <v>45012</v>
      </c>
      <c r="C2052">
        <v>30197</v>
      </c>
      <c r="D2052" t="str">
        <f>PROPER(Transactions!D2052)</f>
        <v>Automotive</v>
      </c>
      <c r="E2052" t="s">
        <v>111</v>
      </c>
      <c r="F2052" t="s">
        <v>112</v>
      </c>
      <c r="G2052">
        <v>2</v>
      </c>
      <c r="H2052">
        <v>14.99</v>
      </c>
      <c r="I2052" s="7">
        <f>IF(Transactions!I2052="",0,Transactions!I2052)</f>
        <v>0</v>
      </c>
      <c r="J2052" s="9">
        <f t="shared" si="32"/>
        <v>29.98</v>
      </c>
      <c r="K2052" t="s">
        <v>53</v>
      </c>
      <c r="L2052" t="s">
        <v>37</v>
      </c>
      <c r="M2052" t="str">
        <f>REPLACE(Transactions!M2052,1,4,"")</f>
        <v>16</v>
      </c>
    </row>
    <row r="2053" spans="1:13" x14ac:dyDescent="0.2">
      <c r="A2053">
        <v>438606</v>
      </c>
      <c r="B2053" s="5">
        <v>45516</v>
      </c>
      <c r="C2053">
        <v>51371</v>
      </c>
      <c r="D2053" t="str">
        <f>PROPER(Transactions!D2053)</f>
        <v>Electronics</v>
      </c>
      <c r="E2053" t="s">
        <v>55</v>
      </c>
      <c r="F2053" t="s">
        <v>56</v>
      </c>
      <c r="G2053">
        <v>1</v>
      </c>
      <c r="H2053">
        <v>313.49</v>
      </c>
      <c r="I2053" s="7">
        <f>IF(Transactions!I2053="",0,Transactions!I2053)</f>
        <v>0.05</v>
      </c>
      <c r="J2053" s="9">
        <f t="shared" si="32"/>
        <v>297.81549999999999</v>
      </c>
      <c r="K2053" t="s">
        <v>16</v>
      </c>
      <c r="L2053" t="s">
        <v>37</v>
      </c>
      <c r="M2053" t="str">
        <f>REPLACE(Transactions!M2053,1,4,"")</f>
        <v>9</v>
      </c>
    </row>
    <row r="2054" spans="1:13" x14ac:dyDescent="0.2">
      <c r="A2054">
        <v>438690</v>
      </c>
      <c r="B2054" s="5">
        <v>44917</v>
      </c>
      <c r="C2054">
        <v>34668</v>
      </c>
      <c r="D2054" t="str">
        <f>PROPER(Transactions!D2054)</f>
        <v>Beauty</v>
      </c>
      <c r="E2054" t="s">
        <v>109</v>
      </c>
      <c r="F2054" t="s">
        <v>110</v>
      </c>
      <c r="G2054">
        <v>1</v>
      </c>
      <c r="H2054">
        <v>5.94</v>
      </c>
      <c r="I2054" s="7">
        <f>IF(Transactions!I2054="",0,Transactions!I2054)</f>
        <v>0</v>
      </c>
      <c r="J2054" s="9">
        <f t="shared" si="32"/>
        <v>5.94</v>
      </c>
      <c r="K2054" t="s">
        <v>22</v>
      </c>
      <c r="L2054" t="s">
        <v>17</v>
      </c>
      <c r="M2054" t="str">
        <f>REPLACE(Transactions!M2054,1,4,"")</f>
        <v>18</v>
      </c>
    </row>
    <row r="2055" spans="1:13" x14ac:dyDescent="0.2">
      <c r="A2055">
        <v>438835</v>
      </c>
      <c r="B2055" s="5">
        <v>45651</v>
      </c>
      <c r="C2055">
        <v>89107</v>
      </c>
      <c r="D2055" t="str">
        <f>PROPER(Transactions!D2055)</f>
        <v>Toys</v>
      </c>
      <c r="E2055" t="s">
        <v>72</v>
      </c>
      <c r="F2055" t="s">
        <v>73</v>
      </c>
      <c r="G2055">
        <v>5</v>
      </c>
      <c r="H2055">
        <v>39.99</v>
      </c>
      <c r="I2055" s="7">
        <f>IF(Transactions!I2055="",0,Transactions!I2055)</f>
        <v>0</v>
      </c>
      <c r="J2055" s="9">
        <f t="shared" si="32"/>
        <v>199.95000000000002</v>
      </c>
      <c r="K2055" t="s">
        <v>32</v>
      </c>
      <c r="L2055" t="s">
        <v>17</v>
      </c>
      <c r="M2055" t="str">
        <f>REPLACE(Transactions!M2055,1,4,"")</f>
        <v>10</v>
      </c>
    </row>
    <row r="2056" spans="1:13" x14ac:dyDescent="0.2">
      <c r="A2056">
        <v>439479</v>
      </c>
      <c r="B2056" s="5">
        <v>44702</v>
      </c>
      <c r="D2056" t="str">
        <f>PROPER(Transactions!D2056)</f>
        <v>Clothing</v>
      </c>
      <c r="E2056" t="s">
        <v>135</v>
      </c>
      <c r="F2056" t="s">
        <v>136</v>
      </c>
      <c r="G2056">
        <v>5</v>
      </c>
      <c r="H2056">
        <v>9.49</v>
      </c>
      <c r="I2056" s="7">
        <f>IF(Transactions!I2056="",0,Transactions!I2056)</f>
        <v>0.05</v>
      </c>
      <c r="J2056" s="9">
        <f t="shared" si="32"/>
        <v>45.077500000000001</v>
      </c>
      <c r="K2056" t="s">
        <v>22</v>
      </c>
      <c r="L2056" t="s">
        <v>17</v>
      </c>
      <c r="M2056" t="str">
        <f>REPLACE(Transactions!M2056,1,4,"")</f>
        <v>17</v>
      </c>
    </row>
    <row r="2057" spans="1:13" x14ac:dyDescent="0.2">
      <c r="A2057">
        <v>439694</v>
      </c>
      <c r="B2057" s="5">
        <v>45300</v>
      </c>
      <c r="C2057">
        <v>42338</v>
      </c>
      <c r="D2057" t="str">
        <f>PROPER(Transactions!D2057)</f>
        <v>Grocery</v>
      </c>
      <c r="E2057" t="s">
        <v>195</v>
      </c>
      <c r="F2057" t="s">
        <v>196</v>
      </c>
      <c r="G2057">
        <v>1</v>
      </c>
      <c r="H2057">
        <v>4.99</v>
      </c>
      <c r="I2057" s="7">
        <f>IF(Transactions!I2057="",0,Transactions!I2057)</f>
        <v>0</v>
      </c>
      <c r="J2057" s="9">
        <f t="shared" si="32"/>
        <v>4.99</v>
      </c>
      <c r="K2057" t="s">
        <v>16</v>
      </c>
      <c r="L2057" t="s">
        <v>17</v>
      </c>
      <c r="M2057" t="str">
        <f>REPLACE(Transactions!M2057,1,4,"")</f>
        <v>11</v>
      </c>
    </row>
    <row r="2058" spans="1:13" x14ac:dyDescent="0.2">
      <c r="A2058">
        <v>439784</v>
      </c>
      <c r="B2058" s="5">
        <v>45420</v>
      </c>
      <c r="C2058">
        <v>11722</v>
      </c>
      <c r="D2058" t="str">
        <f>PROPER(Transactions!D2058)</f>
        <v>Toys</v>
      </c>
      <c r="E2058" t="s">
        <v>30</v>
      </c>
      <c r="F2058" t="s">
        <v>31</v>
      </c>
      <c r="G2058">
        <v>2</v>
      </c>
      <c r="H2058">
        <v>21.24</v>
      </c>
      <c r="I2058" s="7">
        <f>IF(Transactions!I2058="",0,Transactions!I2058)</f>
        <v>0.15</v>
      </c>
      <c r="J2058" s="9">
        <f t="shared" si="32"/>
        <v>36.107999999999997</v>
      </c>
      <c r="K2058" t="s">
        <v>36</v>
      </c>
      <c r="L2058" t="s">
        <v>37</v>
      </c>
      <c r="M2058" t="str">
        <f>REPLACE(Transactions!M2058,1,4,"")</f>
        <v>18</v>
      </c>
    </row>
    <row r="2059" spans="1:13" x14ac:dyDescent="0.2">
      <c r="A2059">
        <v>440134</v>
      </c>
      <c r="B2059" s="5">
        <v>44834</v>
      </c>
      <c r="C2059">
        <v>94924</v>
      </c>
      <c r="D2059" t="str">
        <f>PROPER(Transactions!D2059)</f>
        <v>Home &amp; Garden</v>
      </c>
      <c r="E2059" t="s">
        <v>149</v>
      </c>
      <c r="F2059" t="s">
        <v>150</v>
      </c>
      <c r="G2059">
        <v>5</v>
      </c>
      <c r="H2059">
        <v>13.99</v>
      </c>
      <c r="I2059" s="7">
        <f>IF(Transactions!I2059="",0,Transactions!I2059)</f>
        <v>0.3</v>
      </c>
      <c r="J2059" s="9">
        <f t="shared" si="32"/>
        <v>48.964999999999996</v>
      </c>
      <c r="K2059" t="s">
        <v>66</v>
      </c>
      <c r="L2059" t="s">
        <v>17</v>
      </c>
      <c r="M2059" t="str">
        <f>REPLACE(Transactions!M2059,1,4,"")</f>
        <v>6</v>
      </c>
    </row>
    <row r="2060" spans="1:13" x14ac:dyDescent="0.2">
      <c r="A2060">
        <v>440218</v>
      </c>
      <c r="B2060" s="5">
        <v>45230</v>
      </c>
      <c r="D2060" t="str">
        <f>PROPER(Transactions!D2060)</f>
        <v>Automotive</v>
      </c>
      <c r="E2060" t="s">
        <v>125</v>
      </c>
      <c r="F2060" t="s">
        <v>126</v>
      </c>
      <c r="G2060">
        <v>4</v>
      </c>
      <c r="H2060">
        <v>20.99</v>
      </c>
      <c r="I2060" s="7">
        <f>IF(Transactions!I2060="",0,Transactions!I2060)</f>
        <v>0.3</v>
      </c>
      <c r="J2060" s="9">
        <f t="shared" si="32"/>
        <v>58.771999999999991</v>
      </c>
      <c r="K2060" t="s">
        <v>36</v>
      </c>
      <c r="L2060" t="s">
        <v>37</v>
      </c>
      <c r="M2060" t="str">
        <f>REPLACE(Transactions!M2060,1,4,"")</f>
        <v>15</v>
      </c>
    </row>
    <row r="2061" spans="1:13" x14ac:dyDescent="0.2">
      <c r="A2061">
        <v>440567</v>
      </c>
      <c r="B2061" s="5">
        <v>45432</v>
      </c>
      <c r="C2061">
        <v>85488</v>
      </c>
      <c r="D2061" t="str">
        <f>PROPER(Transactions!D2061)</f>
        <v>Clothing</v>
      </c>
      <c r="E2061" t="s">
        <v>135</v>
      </c>
      <c r="F2061" t="s">
        <v>136</v>
      </c>
      <c r="G2061">
        <v>4</v>
      </c>
      <c r="H2061">
        <v>8.99</v>
      </c>
      <c r="I2061" s="7">
        <f>IF(Transactions!I2061="",0,Transactions!I2061)</f>
        <v>0.1</v>
      </c>
      <c r="J2061" s="9">
        <f t="shared" si="32"/>
        <v>32.364000000000004</v>
      </c>
      <c r="K2061" t="s">
        <v>22</v>
      </c>
      <c r="L2061" t="s">
        <v>17</v>
      </c>
      <c r="M2061" t="str">
        <f>REPLACE(Transactions!M2061,1,4,"")</f>
        <v>20</v>
      </c>
    </row>
    <row r="2062" spans="1:13" x14ac:dyDescent="0.2">
      <c r="A2062">
        <v>440945</v>
      </c>
      <c r="B2062" s="5">
        <v>45111</v>
      </c>
      <c r="C2062">
        <v>11776</v>
      </c>
      <c r="D2062" t="str">
        <f>PROPER(Transactions!D2062)</f>
        <v>Clothing</v>
      </c>
      <c r="E2062" t="s">
        <v>151</v>
      </c>
      <c r="F2062" t="s">
        <v>152</v>
      </c>
      <c r="G2062">
        <v>1</v>
      </c>
      <c r="H2062">
        <v>34.99</v>
      </c>
      <c r="I2062" s="7">
        <f>IF(Transactions!I2062="",0,Transactions!I2062)</f>
        <v>0</v>
      </c>
      <c r="J2062" s="9">
        <f t="shared" si="32"/>
        <v>34.99</v>
      </c>
      <c r="K2062" t="s">
        <v>32</v>
      </c>
      <c r="L2062" t="s">
        <v>17</v>
      </c>
      <c r="M2062" t="str">
        <f>REPLACE(Transactions!M2062,1,4,"")</f>
        <v>19</v>
      </c>
    </row>
    <row r="2063" spans="1:13" x14ac:dyDescent="0.2">
      <c r="A2063">
        <v>441053</v>
      </c>
      <c r="B2063" s="5">
        <v>45342</v>
      </c>
      <c r="C2063">
        <v>98736</v>
      </c>
      <c r="D2063" t="str">
        <f>PROPER(Transactions!D2063)</f>
        <v>Toys</v>
      </c>
      <c r="E2063" t="s">
        <v>170</v>
      </c>
      <c r="F2063" t="s">
        <v>171</v>
      </c>
      <c r="G2063">
        <v>1</v>
      </c>
      <c r="H2063">
        <v>14.99</v>
      </c>
      <c r="I2063" s="7">
        <f>IF(Transactions!I2063="",0,Transactions!I2063)</f>
        <v>0</v>
      </c>
      <c r="J2063" s="9">
        <f t="shared" si="32"/>
        <v>14.99</v>
      </c>
      <c r="K2063" t="s">
        <v>16</v>
      </c>
      <c r="L2063" t="s">
        <v>37</v>
      </c>
      <c r="M2063" t="str">
        <f>REPLACE(Transactions!M2063,1,4,"")</f>
        <v>12</v>
      </c>
    </row>
    <row r="2064" spans="1:13" x14ac:dyDescent="0.2">
      <c r="A2064">
        <v>441390</v>
      </c>
      <c r="B2064" s="5">
        <v>45476</v>
      </c>
      <c r="C2064">
        <v>10188</v>
      </c>
      <c r="D2064" t="str">
        <f>PROPER(Transactions!D2064)</f>
        <v>Sports</v>
      </c>
      <c r="E2064" t="s">
        <v>100</v>
      </c>
      <c r="F2064" t="s">
        <v>101</v>
      </c>
      <c r="G2064">
        <v>1</v>
      </c>
      <c r="H2064">
        <v>20.69</v>
      </c>
      <c r="I2064" s="7">
        <f>IF(Transactions!I2064="",0,Transactions!I2064)</f>
        <v>0.1</v>
      </c>
      <c r="J2064" s="9">
        <f t="shared" si="32"/>
        <v>18.621000000000002</v>
      </c>
      <c r="K2064" t="s">
        <v>32</v>
      </c>
      <c r="L2064" t="s">
        <v>37</v>
      </c>
      <c r="M2064" t="str">
        <f>REPLACE(Transactions!M2064,1,4,"")</f>
        <v>3</v>
      </c>
    </row>
    <row r="2065" spans="1:13" x14ac:dyDescent="0.2">
      <c r="A2065">
        <v>441403</v>
      </c>
      <c r="B2065" s="5">
        <v>45280</v>
      </c>
      <c r="C2065">
        <v>95152</v>
      </c>
      <c r="D2065" t="str">
        <f>PROPER(Transactions!D2065)</f>
        <v>Pharmacy</v>
      </c>
      <c r="E2065" t="s">
        <v>20</v>
      </c>
      <c r="F2065" t="s">
        <v>21</v>
      </c>
      <c r="G2065">
        <v>3</v>
      </c>
      <c r="H2065">
        <v>9.99</v>
      </c>
      <c r="I2065" s="7">
        <f>IF(Transactions!I2065="",0,Transactions!I2065)</f>
        <v>0</v>
      </c>
      <c r="J2065" s="9">
        <f t="shared" si="32"/>
        <v>29.97</v>
      </c>
      <c r="K2065" t="s">
        <v>16</v>
      </c>
      <c r="L2065" t="s">
        <v>37</v>
      </c>
      <c r="M2065" t="str">
        <f>REPLACE(Transactions!M2065,1,4,"")</f>
        <v>16</v>
      </c>
    </row>
    <row r="2066" spans="1:13" x14ac:dyDescent="0.2">
      <c r="A2066">
        <v>441423</v>
      </c>
      <c r="B2066" s="5">
        <v>44873</v>
      </c>
      <c r="C2066">
        <v>84255</v>
      </c>
      <c r="D2066" t="str">
        <f>PROPER(Transactions!D2066)</f>
        <v>Toys</v>
      </c>
      <c r="E2066" t="s">
        <v>170</v>
      </c>
      <c r="F2066" t="s">
        <v>171</v>
      </c>
      <c r="G2066">
        <v>3</v>
      </c>
      <c r="H2066">
        <v>14.99</v>
      </c>
      <c r="I2066" s="7">
        <f>IF(Transactions!I2066="",0,Transactions!I2066)</f>
        <v>0</v>
      </c>
      <c r="J2066" s="9">
        <f t="shared" si="32"/>
        <v>44.97</v>
      </c>
      <c r="K2066" t="s">
        <v>22</v>
      </c>
      <c r="L2066" t="s">
        <v>17</v>
      </c>
      <c r="M2066" t="str">
        <f>REPLACE(Transactions!M2066,1,4,"")</f>
        <v>3</v>
      </c>
    </row>
    <row r="2067" spans="1:13" x14ac:dyDescent="0.2">
      <c r="A2067">
        <v>441426</v>
      </c>
      <c r="B2067" s="5">
        <v>44823</v>
      </c>
      <c r="C2067">
        <v>65842</v>
      </c>
      <c r="D2067" t="str">
        <f>PROPER(Transactions!D2067)</f>
        <v>Toys</v>
      </c>
      <c r="E2067" t="s">
        <v>38</v>
      </c>
      <c r="F2067" t="s">
        <v>39</v>
      </c>
      <c r="G2067">
        <v>4</v>
      </c>
      <c r="H2067">
        <v>29.99</v>
      </c>
      <c r="I2067" s="7">
        <f>IF(Transactions!I2067="",0,Transactions!I2067)</f>
        <v>0</v>
      </c>
      <c r="J2067" s="9">
        <f t="shared" si="32"/>
        <v>119.96</v>
      </c>
      <c r="K2067" t="s">
        <v>36</v>
      </c>
      <c r="L2067" t="s">
        <v>17</v>
      </c>
      <c r="M2067" t="str">
        <f>REPLACE(Transactions!M2067,1,4,"")</f>
        <v>12</v>
      </c>
    </row>
    <row r="2068" spans="1:13" x14ac:dyDescent="0.2">
      <c r="A2068">
        <v>441802</v>
      </c>
      <c r="B2068" s="5">
        <v>45588</v>
      </c>
      <c r="C2068">
        <v>64334</v>
      </c>
      <c r="D2068" t="str">
        <f>PROPER(Transactions!D2068)</f>
        <v>Clothing</v>
      </c>
      <c r="E2068" t="s">
        <v>151</v>
      </c>
      <c r="F2068" t="s">
        <v>152</v>
      </c>
      <c r="G2068">
        <v>4</v>
      </c>
      <c r="H2068">
        <v>31.49</v>
      </c>
      <c r="I2068" s="7">
        <f>IF(Transactions!I2068="",0,Transactions!I2068)</f>
        <v>0.1</v>
      </c>
      <c r="J2068" s="9">
        <f t="shared" si="32"/>
        <v>113.36399999999999</v>
      </c>
      <c r="K2068" t="s">
        <v>22</v>
      </c>
      <c r="L2068" t="s">
        <v>23</v>
      </c>
      <c r="M2068" t="str">
        <f>REPLACE(Transactions!M2068,1,4,"")</f>
        <v>17</v>
      </c>
    </row>
    <row r="2069" spans="1:13" x14ac:dyDescent="0.2">
      <c r="A2069">
        <v>442211</v>
      </c>
      <c r="B2069" s="5">
        <v>44753</v>
      </c>
      <c r="C2069">
        <v>97071</v>
      </c>
      <c r="D2069" t="str">
        <f>PROPER(Transactions!D2069)</f>
        <v>Furniture</v>
      </c>
      <c r="E2069" t="s">
        <v>51</v>
      </c>
      <c r="F2069" t="s">
        <v>52</v>
      </c>
      <c r="G2069">
        <v>5</v>
      </c>
      <c r="H2069">
        <v>19.59</v>
      </c>
      <c r="I2069" s="7">
        <f>IF(Transactions!I2069="",0,Transactions!I2069)</f>
        <v>0.3</v>
      </c>
      <c r="J2069" s="9">
        <f t="shared" si="32"/>
        <v>68.564999999999998</v>
      </c>
      <c r="K2069" t="s">
        <v>16</v>
      </c>
      <c r="L2069" t="s">
        <v>17</v>
      </c>
      <c r="M2069" t="str">
        <f>REPLACE(Transactions!M2069,1,4,"")</f>
        <v>12</v>
      </c>
    </row>
    <row r="2070" spans="1:13" x14ac:dyDescent="0.2">
      <c r="A2070">
        <v>442219</v>
      </c>
      <c r="B2070" s="5">
        <v>45570</v>
      </c>
      <c r="C2070">
        <v>80026</v>
      </c>
      <c r="D2070" t="str">
        <f>PROPER(Transactions!D2070)</f>
        <v>Grocery</v>
      </c>
      <c r="E2070" t="s">
        <v>195</v>
      </c>
      <c r="F2070" t="s">
        <v>196</v>
      </c>
      <c r="G2070">
        <v>2</v>
      </c>
      <c r="H2070">
        <v>4.49</v>
      </c>
      <c r="I2070" s="7">
        <f>IF(Transactions!I2070="",0,Transactions!I2070)</f>
        <v>0.1</v>
      </c>
      <c r="J2070" s="9">
        <f t="shared" si="32"/>
        <v>8.0820000000000007</v>
      </c>
      <c r="K2070" t="s">
        <v>36</v>
      </c>
      <c r="L2070" t="s">
        <v>17</v>
      </c>
      <c r="M2070" t="str">
        <f>REPLACE(Transactions!M2070,1,4,"")</f>
        <v>2</v>
      </c>
    </row>
    <row r="2071" spans="1:13" x14ac:dyDescent="0.2">
      <c r="A2071">
        <v>442373</v>
      </c>
      <c r="B2071" s="5">
        <v>45527</v>
      </c>
      <c r="C2071">
        <v>69206</v>
      </c>
      <c r="D2071" t="str">
        <f>PROPER(Transactions!D2071)</f>
        <v>Pharmacy</v>
      </c>
      <c r="E2071" t="s">
        <v>41</v>
      </c>
      <c r="F2071" t="s">
        <v>42</v>
      </c>
      <c r="G2071">
        <v>1</v>
      </c>
      <c r="H2071">
        <v>5.99</v>
      </c>
      <c r="I2071" s="7">
        <f>IF(Transactions!I2071="",0,Transactions!I2071)</f>
        <v>0</v>
      </c>
      <c r="J2071" s="9">
        <f t="shared" si="32"/>
        <v>5.99</v>
      </c>
      <c r="K2071" t="s">
        <v>16</v>
      </c>
      <c r="L2071" t="s">
        <v>37</v>
      </c>
      <c r="M2071" t="str">
        <f>REPLACE(Transactions!M2071,1,4,"")</f>
        <v>11</v>
      </c>
    </row>
    <row r="2072" spans="1:13" x14ac:dyDescent="0.2">
      <c r="A2072">
        <v>442418</v>
      </c>
      <c r="B2072" s="5">
        <v>44779</v>
      </c>
      <c r="C2072">
        <v>53474</v>
      </c>
      <c r="D2072" t="str">
        <f>PROPER(Transactions!D2072)</f>
        <v>Home &amp; Garden</v>
      </c>
      <c r="E2072" t="s">
        <v>137</v>
      </c>
      <c r="F2072" t="s">
        <v>138</v>
      </c>
      <c r="G2072">
        <v>3</v>
      </c>
      <c r="H2072">
        <v>7.99</v>
      </c>
      <c r="I2072" s="7">
        <f>IF(Transactions!I2072="",0,Transactions!I2072)</f>
        <v>0</v>
      </c>
      <c r="J2072" s="9">
        <f t="shared" si="32"/>
        <v>23.97</v>
      </c>
      <c r="K2072" t="s">
        <v>16</v>
      </c>
      <c r="L2072" t="s">
        <v>17</v>
      </c>
      <c r="M2072" t="str">
        <f>REPLACE(Transactions!M2072,1,4,"")</f>
        <v>12</v>
      </c>
    </row>
    <row r="2073" spans="1:13" x14ac:dyDescent="0.2">
      <c r="A2073">
        <v>442704</v>
      </c>
      <c r="B2073" s="5">
        <v>45144</v>
      </c>
      <c r="C2073">
        <v>52361</v>
      </c>
      <c r="D2073" t="str">
        <f>PROPER(Transactions!D2073)</f>
        <v>Clothing</v>
      </c>
      <c r="E2073" t="s">
        <v>151</v>
      </c>
      <c r="F2073" t="s">
        <v>152</v>
      </c>
      <c r="G2073">
        <v>1</v>
      </c>
      <c r="H2073">
        <v>29.74</v>
      </c>
      <c r="I2073" s="7">
        <f>IF(Transactions!I2073="",0,Transactions!I2073)</f>
        <v>0.15</v>
      </c>
      <c r="J2073" s="9">
        <f t="shared" si="32"/>
        <v>25.278999999999996</v>
      </c>
      <c r="K2073" t="s">
        <v>36</v>
      </c>
      <c r="L2073" t="s">
        <v>37</v>
      </c>
      <c r="M2073" t="str">
        <f>REPLACE(Transactions!M2073,1,4,"")</f>
        <v>4</v>
      </c>
    </row>
    <row r="2074" spans="1:13" x14ac:dyDescent="0.2">
      <c r="A2074">
        <v>443225</v>
      </c>
      <c r="B2074" s="5">
        <v>45305</v>
      </c>
      <c r="C2074">
        <v>94187</v>
      </c>
      <c r="D2074" t="str">
        <f>PROPER(Transactions!D2074)</f>
        <v>Clothing</v>
      </c>
      <c r="E2074" t="s">
        <v>135</v>
      </c>
      <c r="F2074" t="s">
        <v>136</v>
      </c>
      <c r="G2074">
        <v>2</v>
      </c>
      <c r="H2074">
        <v>8.99</v>
      </c>
      <c r="I2074" s="7">
        <f>IF(Transactions!I2074="",0,Transactions!I2074)</f>
        <v>0.1</v>
      </c>
      <c r="J2074" s="9">
        <f t="shared" si="32"/>
        <v>16.182000000000002</v>
      </c>
      <c r="K2074" t="s">
        <v>36</v>
      </c>
      <c r="L2074" t="s">
        <v>17</v>
      </c>
      <c r="M2074" t="str">
        <f>REPLACE(Transactions!M2074,1,4,"")</f>
        <v>16</v>
      </c>
    </row>
    <row r="2075" spans="1:13" x14ac:dyDescent="0.2">
      <c r="A2075">
        <v>443235</v>
      </c>
      <c r="B2075" s="5">
        <v>45457</v>
      </c>
      <c r="C2075">
        <v>59286</v>
      </c>
      <c r="D2075" t="str">
        <f>PROPER(Transactions!D2075)</f>
        <v>Toys</v>
      </c>
      <c r="E2075" t="s">
        <v>38</v>
      </c>
      <c r="F2075" t="s">
        <v>39</v>
      </c>
      <c r="G2075">
        <v>1</v>
      </c>
      <c r="H2075">
        <v>23.99</v>
      </c>
      <c r="I2075" s="7">
        <f>IF(Transactions!I2075="",0,Transactions!I2075)</f>
        <v>0.2</v>
      </c>
      <c r="J2075" s="9">
        <f t="shared" si="32"/>
        <v>19.192</v>
      </c>
      <c r="K2075" t="s">
        <v>53</v>
      </c>
      <c r="L2075" t="s">
        <v>17</v>
      </c>
      <c r="M2075" t="str">
        <f>REPLACE(Transactions!M2075,1,4,"")</f>
        <v>11</v>
      </c>
    </row>
    <row r="2076" spans="1:13" x14ac:dyDescent="0.2">
      <c r="A2076">
        <v>443252</v>
      </c>
      <c r="B2076" s="5">
        <v>44751</v>
      </c>
      <c r="C2076">
        <v>45514</v>
      </c>
      <c r="D2076" t="str">
        <f>PROPER(Transactions!D2076)</f>
        <v>Furniture</v>
      </c>
      <c r="E2076" t="s">
        <v>26</v>
      </c>
      <c r="F2076" t="s">
        <v>27</v>
      </c>
      <c r="G2076">
        <v>3</v>
      </c>
      <c r="H2076">
        <v>33.24</v>
      </c>
      <c r="I2076" s="7">
        <f>IF(Transactions!I2076="",0,Transactions!I2076)</f>
        <v>0.05</v>
      </c>
      <c r="J2076" s="9">
        <f t="shared" si="32"/>
        <v>94.733999999999995</v>
      </c>
      <c r="K2076" t="s">
        <v>36</v>
      </c>
      <c r="L2076" t="s">
        <v>17</v>
      </c>
      <c r="M2076" t="str">
        <f>REPLACE(Transactions!M2076,1,4,"")</f>
        <v>4</v>
      </c>
    </row>
    <row r="2077" spans="1:13" x14ac:dyDescent="0.2">
      <c r="A2077">
        <v>443261</v>
      </c>
      <c r="B2077" s="5">
        <v>45439</v>
      </c>
      <c r="C2077">
        <v>72634</v>
      </c>
      <c r="D2077" t="str">
        <f>PROPER(Transactions!D2077)</f>
        <v>Electronics</v>
      </c>
      <c r="E2077" t="s">
        <v>77</v>
      </c>
      <c r="F2077" t="s">
        <v>78</v>
      </c>
      <c r="G2077">
        <v>2</v>
      </c>
      <c r="H2077">
        <v>399.99</v>
      </c>
      <c r="I2077" s="7">
        <f>IF(Transactions!I2077="",0,Transactions!I2077)</f>
        <v>0.2</v>
      </c>
      <c r="J2077" s="9">
        <f t="shared" si="32"/>
        <v>639.98400000000004</v>
      </c>
      <c r="K2077" t="s">
        <v>36</v>
      </c>
      <c r="L2077" t="s">
        <v>17</v>
      </c>
      <c r="M2077" t="str">
        <f>REPLACE(Transactions!M2077,1,4,"")</f>
        <v>18</v>
      </c>
    </row>
    <row r="2078" spans="1:13" x14ac:dyDescent="0.2">
      <c r="A2078">
        <v>443281</v>
      </c>
      <c r="B2078" s="5">
        <v>45562</v>
      </c>
      <c r="C2078">
        <v>62193</v>
      </c>
      <c r="D2078" t="str">
        <f>PROPER(Transactions!D2078)</f>
        <v>Clothing</v>
      </c>
      <c r="E2078" t="s">
        <v>121</v>
      </c>
      <c r="F2078" t="s">
        <v>122</v>
      </c>
      <c r="G2078">
        <v>1</v>
      </c>
      <c r="H2078">
        <v>12.99</v>
      </c>
      <c r="I2078" s="7">
        <f>IF(Transactions!I2078="",0,Transactions!I2078)</f>
        <v>0</v>
      </c>
      <c r="J2078" s="9">
        <f t="shared" si="32"/>
        <v>12.99</v>
      </c>
      <c r="K2078" t="s">
        <v>95</v>
      </c>
      <c r="L2078" t="s">
        <v>37</v>
      </c>
      <c r="M2078" t="str">
        <f>REPLACE(Transactions!M2078,1,4,"")</f>
        <v>2</v>
      </c>
    </row>
    <row r="2079" spans="1:13" x14ac:dyDescent="0.2">
      <c r="A2079">
        <v>443963</v>
      </c>
      <c r="B2079" s="5">
        <v>45228</v>
      </c>
      <c r="C2079">
        <v>18472</v>
      </c>
      <c r="D2079" t="str">
        <f>PROPER(Transactions!D2079)</f>
        <v>Clothing</v>
      </c>
      <c r="E2079" t="s">
        <v>193</v>
      </c>
      <c r="F2079" t="s">
        <v>194</v>
      </c>
      <c r="G2079">
        <v>4</v>
      </c>
      <c r="H2079">
        <v>58.49</v>
      </c>
      <c r="I2079" s="7">
        <f>IF(Transactions!I2079="",0,Transactions!I2079)</f>
        <v>0.1</v>
      </c>
      <c r="J2079" s="9">
        <f t="shared" si="32"/>
        <v>210.56400000000002</v>
      </c>
      <c r="K2079" t="s">
        <v>22</v>
      </c>
      <c r="L2079" t="s">
        <v>17</v>
      </c>
      <c r="M2079" t="str">
        <f>REPLACE(Transactions!M2079,1,4,"")</f>
        <v>13</v>
      </c>
    </row>
    <row r="2080" spans="1:13" x14ac:dyDescent="0.2">
      <c r="A2080">
        <v>444204</v>
      </c>
      <c r="B2080" s="5">
        <v>45198</v>
      </c>
      <c r="C2080">
        <v>11510</v>
      </c>
      <c r="D2080" t="str">
        <f>PROPER(Transactions!D2080)</f>
        <v>Grocery</v>
      </c>
      <c r="E2080" t="s">
        <v>177</v>
      </c>
      <c r="F2080" t="s">
        <v>178</v>
      </c>
      <c r="G2080">
        <v>1</v>
      </c>
      <c r="H2080">
        <v>11.99</v>
      </c>
      <c r="I2080" s="7">
        <f>IF(Transactions!I2080="",0,Transactions!I2080)</f>
        <v>0</v>
      </c>
      <c r="J2080" s="9">
        <f t="shared" si="32"/>
        <v>11.99</v>
      </c>
      <c r="K2080" t="s">
        <v>16</v>
      </c>
      <c r="L2080" t="s">
        <v>23</v>
      </c>
      <c r="M2080" t="str">
        <f>REPLACE(Transactions!M2080,1,4,"")</f>
        <v>11</v>
      </c>
    </row>
    <row r="2081" spans="1:13" x14ac:dyDescent="0.2">
      <c r="A2081">
        <v>444236</v>
      </c>
      <c r="B2081" s="5">
        <v>45526</v>
      </c>
      <c r="C2081">
        <v>69006</v>
      </c>
      <c r="D2081" t="str">
        <f>PROPER(Transactions!D2081)</f>
        <v>Home &amp; Garden</v>
      </c>
      <c r="E2081" t="s">
        <v>157</v>
      </c>
      <c r="F2081" t="s">
        <v>158</v>
      </c>
      <c r="G2081">
        <v>1</v>
      </c>
      <c r="H2081">
        <v>13.49</v>
      </c>
      <c r="I2081" s="7">
        <f>IF(Transactions!I2081="",0,Transactions!I2081)</f>
        <v>0</v>
      </c>
      <c r="J2081" s="9">
        <f t="shared" si="32"/>
        <v>13.49</v>
      </c>
      <c r="K2081" t="s">
        <v>16</v>
      </c>
      <c r="L2081" t="s">
        <v>17</v>
      </c>
      <c r="M2081" t="str">
        <f>REPLACE(Transactions!M2081,1,4,"")</f>
        <v>1</v>
      </c>
    </row>
    <row r="2082" spans="1:13" x14ac:dyDescent="0.2">
      <c r="A2082">
        <v>444432</v>
      </c>
      <c r="B2082" s="5">
        <v>45012</v>
      </c>
      <c r="C2082">
        <v>57771</v>
      </c>
      <c r="D2082" t="str">
        <f>PROPER(Transactions!D2082)</f>
        <v>Grocery</v>
      </c>
      <c r="E2082" t="s">
        <v>177</v>
      </c>
      <c r="F2082" t="s">
        <v>178</v>
      </c>
      <c r="G2082">
        <v>5</v>
      </c>
      <c r="H2082">
        <v>10.19</v>
      </c>
      <c r="I2082" s="7">
        <f>IF(Transactions!I2082="",0,Transactions!I2082)</f>
        <v>0.15</v>
      </c>
      <c r="J2082" s="9">
        <f t="shared" si="32"/>
        <v>43.307499999999997</v>
      </c>
      <c r="K2082" t="s">
        <v>22</v>
      </c>
      <c r="L2082" t="s">
        <v>37</v>
      </c>
      <c r="M2082" t="str">
        <f>REPLACE(Transactions!M2082,1,4,"")</f>
        <v>10</v>
      </c>
    </row>
    <row r="2083" spans="1:13" x14ac:dyDescent="0.2">
      <c r="A2083">
        <v>445366</v>
      </c>
      <c r="B2083" s="5">
        <v>44914</v>
      </c>
      <c r="C2083">
        <v>59102</v>
      </c>
      <c r="D2083" t="str">
        <f>PROPER(Transactions!D2083)</f>
        <v>Pharmacy</v>
      </c>
      <c r="E2083" t="s">
        <v>115</v>
      </c>
      <c r="F2083" t="s">
        <v>116</v>
      </c>
      <c r="G2083">
        <v>5</v>
      </c>
      <c r="H2083">
        <v>9.74</v>
      </c>
      <c r="I2083" s="7">
        <f>IF(Transactions!I2083="",0,Transactions!I2083)</f>
        <v>0.25</v>
      </c>
      <c r="J2083" s="9">
        <f t="shared" si="32"/>
        <v>36.525000000000006</v>
      </c>
      <c r="K2083" t="s">
        <v>22</v>
      </c>
      <c r="L2083" t="s">
        <v>37</v>
      </c>
      <c r="M2083" t="str">
        <f>REPLACE(Transactions!M2083,1,4,"")</f>
        <v>4</v>
      </c>
    </row>
    <row r="2084" spans="1:13" x14ac:dyDescent="0.2">
      <c r="A2084">
        <v>445752</v>
      </c>
      <c r="B2084" s="5">
        <v>44863</v>
      </c>
      <c r="C2084">
        <v>46253</v>
      </c>
      <c r="D2084" t="str">
        <f>PROPER(Transactions!D2084)</f>
        <v>Sports</v>
      </c>
      <c r="E2084" t="s">
        <v>188</v>
      </c>
      <c r="F2084" t="s">
        <v>189</v>
      </c>
      <c r="G2084">
        <v>1</v>
      </c>
      <c r="H2084">
        <v>31.49</v>
      </c>
      <c r="I2084" s="7">
        <f>IF(Transactions!I2084="",0,Transactions!I2084)</f>
        <v>0.3</v>
      </c>
      <c r="J2084" s="9">
        <f t="shared" si="32"/>
        <v>22.042999999999999</v>
      </c>
      <c r="K2084" t="s">
        <v>36</v>
      </c>
      <c r="L2084" t="s">
        <v>17</v>
      </c>
      <c r="M2084" t="str">
        <f>REPLACE(Transactions!M2084,1,4,"")</f>
        <v>2</v>
      </c>
    </row>
    <row r="2085" spans="1:13" x14ac:dyDescent="0.2">
      <c r="A2085">
        <v>445761</v>
      </c>
      <c r="B2085" s="5">
        <v>45537</v>
      </c>
      <c r="C2085">
        <v>73189</v>
      </c>
      <c r="D2085" t="str">
        <f>PROPER(Transactions!D2085)</f>
        <v>Electronics</v>
      </c>
      <c r="E2085" t="s">
        <v>127</v>
      </c>
      <c r="F2085" t="s">
        <v>128</v>
      </c>
      <c r="G2085">
        <v>1</v>
      </c>
      <c r="H2085">
        <v>15.99</v>
      </c>
      <c r="I2085" s="7">
        <f>IF(Transactions!I2085="",0,Transactions!I2085)</f>
        <v>0.2</v>
      </c>
      <c r="J2085" s="9">
        <f t="shared" si="32"/>
        <v>12.792000000000002</v>
      </c>
      <c r="K2085" t="s">
        <v>32</v>
      </c>
      <c r="L2085" t="s">
        <v>17</v>
      </c>
      <c r="M2085" t="str">
        <f>REPLACE(Transactions!M2085,1,4,"")</f>
        <v>1</v>
      </c>
    </row>
    <row r="2086" spans="1:13" x14ac:dyDescent="0.2">
      <c r="A2086">
        <v>445842</v>
      </c>
      <c r="B2086" s="5">
        <v>45586</v>
      </c>
      <c r="C2086">
        <v>94234</v>
      </c>
      <c r="D2086" t="str">
        <f>PROPER(Transactions!D2086)</f>
        <v>Pharmacy</v>
      </c>
      <c r="E2086" t="s">
        <v>41</v>
      </c>
      <c r="F2086" t="s">
        <v>42</v>
      </c>
      <c r="G2086">
        <v>1</v>
      </c>
      <c r="H2086">
        <v>5.09</v>
      </c>
      <c r="I2086" s="7">
        <f>IF(Transactions!I2086="",0,Transactions!I2086)</f>
        <v>0.15</v>
      </c>
      <c r="J2086" s="9">
        <f t="shared" si="32"/>
        <v>4.3264999999999993</v>
      </c>
      <c r="K2086" t="s">
        <v>95</v>
      </c>
      <c r="L2086" t="s">
        <v>17</v>
      </c>
      <c r="M2086" t="str">
        <f>REPLACE(Transactions!M2086,1,4,"")</f>
        <v>17</v>
      </c>
    </row>
    <row r="2087" spans="1:13" x14ac:dyDescent="0.2">
      <c r="A2087">
        <v>445890</v>
      </c>
      <c r="B2087" s="5">
        <v>45043</v>
      </c>
      <c r="C2087">
        <v>99118</v>
      </c>
      <c r="D2087" t="str">
        <f>PROPER(Transactions!D2087)</f>
        <v>Furniture</v>
      </c>
      <c r="E2087" t="s">
        <v>113</v>
      </c>
      <c r="F2087" t="s">
        <v>114</v>
      </c>
      <c r="G2087">
        <v>1</v>
      </c>
      <c r="H2087">
        <v>107.99</v>
      </c>
      <c r="I2087" s="7">
        <f>IF(Transactions!I2087="",0,Transactions!I2087)</f>
        <v>0.1</v>
      </c>
      <c r="J2087" s="9">
        <f t="shared" si="32"/>
        <v>97.191000000000003</v>
      </c>
      <c r="K2087" t="s">
        <v>32</v>
      </c>
      <c r="L2087" t="s">
        <v>17</v>
      </c>
      <c r="M2087" t="str">
        <f>REPLACE(Transactions!M2087,1,4,"")</f>
        <v>15</v>
      </c>
    </row>
    <row r="2088" spans="1:13" x14ac:dyDescent="0.2">
      <c r="A2088">
        <v>445999</v>
      </c>
      <c r="B2088" s="5">
        <v>44612</v>
      </c>
      <c r="C2088">
        <v>68371</v>
      </c>
      <c r="D2088" t="str">
        <f>PROPER(Transactions!D2088)</f>
        <v>Pharmacy</v>
      </c>
      <c r="E2088" t="s">
        <v>115</v>
      </c>
      <c r="F2088" t="s">
        <v>116</v>
      </c>
      <c r="G2088">
        <v>2</v>
      </c>
      <c r="H2088">
        <v>10.39</v>
      </c>
      <c r="I2088" s="7">
        <f>IF(Transactions!I2088="",0,Transactions!I2088)</f>
        <v>0.2</v>
      </c>
      <c r="J2088" s="9">
        <f t="shared" si="32"/>
        <v>16.624000000000002</v>
      </c>
      <c r="K2088" t="s">
        <v>16</v>
      </c>
      <c r="L2088" t="s">
        <v>37</v>
      </c>
      <c r="M2088" t="str">
        <f>REPLACE(Transactions!M2088,1,4,"")</f>
        <v>17</v>
      </c>
    </row>
    <row r="2089" spans="1:13" x14ac:dyDescent="0.2">
      <c r="A2089">
        <v>446511</v>
      </c>
      <c r="B2089" s="5">
        <v>44990</v>
      </c>
      <c r="C2089">
        <v>24848</v>
      </c>
      <c r="D2089" t="str">
        <f>PROPER(Transactions!D2089)</f>
        <v>Grocery</v>
      </c>
      <c r="E2089" t="s">
        <v>74</v>
      </c>
      <c r="F2089" t="s">
        <v>75</v>
      </c>
      <c r="G2089">
        <v>4</v>
      </c>
      <c r="H2089">
        <v>2.69</v>
      </c>
      <c r="I2089" s="7">
        <f>IF(Transactions!I2089="",0,Transactions!I2089)</f>
        <v>0.1</v>
      </c>
      <c r="J2089" s="9">
        <f t="shared" si="32"/>
        <v>9.6839999999999993</v>
      </c>
      <c r="K2089" t="s">
        <v>53</v>
      </c>
      <c r="L2089" t="s">
        <v>37</v>
      </c>
      <c r="M2089" t="str">
        <f>REPLACE(Transactions!M2089,1,4,"")</f>
        <v>4</v>
      </c>
    </row>
    <row r="2090" spans="1:13" x14ac:dyDescent="0.2">
      <c r="A2090">
        <v>446526</v>
      </c>
      <c r="B2090" s="5">
        <v>44974</v>
      </c>
      <c r="C2090">
        <v>34403</v>
      </c>
      <c r="D2090" t="str">
        <f>PROPER(Transactions!D2090)</f>
        <v>Toys</v>
      </c>
      <c r="E2090" t="s">
        <v>72</v>
      </c>
      <c r="F2090" t="s">
        <v>73</v>
      </c>
      <c r="G2090">
        <v>2</v>
      </c>
      <c r="H2090">
        <v>31.99</v>
      </c>
      <c r="I2090" s="7">
        <f>IF(Transactions!I2090="",0,Transactions!I2090)</f>
        <v>0.2</v>
      </c>
      <c r="J2090" s="9">
        <f t="shared" si="32"/>
        <v>51.183999999999997</v>
      </c>
      <c r="K2090" t="s">
        <v>16</v>
      </c>
      <c r="L2090" t="s">
        <v>17</v>
      </c>
      <c r="M2090" t="str">
        <f>REPLACE(Transactions!M2090,1,4,"")</f>
        <v/>
      </c>
    </row>
    <row r="2091" spans="1:13" x14ac:dyDescent="0.2">
      <c r="A2091">
        <v>446700</v>
      </c>
      <c r="B2091" s="5">
        <v>45212</v>
      </c>
      <c r="C2091">
        <v>71400</v>
      </c>
      <c r="D2091" t="str">
        <f>PROPER(Transactions!D2091)</f>
        <v>Home &amp; Garden</v>
      </c>
      <c r="E2091" t="s">
        <v>157</v>
      </c>
      <c r="F2091" t="s">
        <v>158</v>
      </c>
      <c r="G2091">
        <v>1</v>
      </c>
      <c r="H2091">
        <v>9.44</v>
      </c>
      <c r="I2091" s="7">
        <f>IF(Transactions!I2091="",0,Transactions!I2091)</f>
        <v>0.3</v>
      </c>
      <c r="J2091" s="9">
        <f t="shared" si="32"/>
        <v>6.6079999999999997</v>
      </c>
      <c r="K2091" t="s">
        <v>36</v>
      </c>
      <c r="L2091" t="s">
        <v>37</v>
      </c>
      <c r="M2091" t="str">
        <f>REPLACE(Transactions!M2091,1,4,"")</f>
        <v>11</v>
      </c>
    </row>
    <row r="2092" spans="1:13" x14ac:dyDescent="0.2">
      <c r="A2092">
        <v>446995</v>
      </c>
      <c r="B2092" s="5">
        <v>44608</v>
      </c>
      <c r="C2092">
        <v>23148</v>
      </c>
      <c r="D2092" t="str">
        <f>PROPER(Transactions!D2092)</f>
        <v>Toys</v>
      </c>
      <c r="E2092" t="s">
        <v>170</v>
      </c>
      <c r="F2092" t="s">
        <v>171</v>
      </c>
      <c r="G2092">
        <v>1</v>
      </c>
      <c r="H2092">
        <v>12.74</v>
      </c>
      <c r="I2092" s="7">
        <f>IF(Transactions!I2092="",0,Transactions!I2092)</f>
        <v>0.15</v>
      </c>
      <c r="J2092" s="9">
        <f t="shared" si="32"/>
        <v>10.829000000000001</v>
      </c>
      <c r="K2092" t="s">
        <v>16</v>
      </c>
      <c r="L2092" t="s">
        <v>37</v>
      </c>
      <c r="M2092" t="str">
        <f>REPLACE(Transactions!M2092,1,4,"")</f>
        <v>11</v>
      </c>
    </row>
    <row r="2093" spans="1:13" x14ac:dyDescent="0.2">
      <c r="A2093">
        <v>447294</v>
      </c>
      <c r="B2093" s="5">
        <v>45140</v>
      </c>
      <c r="C2093">
        <v>22259</v>
      </c>
      <c r="D2093" t="str">
        <f>PROPER(Transactions!D2093)</f>
        <v>Toys</v>
      </c>
      <c r="E2093" t="s">
        <v>72</v>
      </c>
      <c r="F2093" t="s">
        <v>73</v>
      </c>
      <c r="G2093">
        <v>5</v>
      </c>
      <c r="H2093">
        <v>29.99</v>
      </c>
      <c r="I2093" s="7">
        <f>IF(Transactions!I2093="",0,Transactions!I2093)</f>
        <v>0.25</v>
      </c>
      <c r="J2093" s="9">
        <f t="shared" si="32"/>
        <v>112.46249999999999</v>
      </c>
      <c r="K2093" t="s">
        <v>32</v>
      </c>
      <c r="L2093" t="s">
        <v>37</v>
      </c>
      <c r="M2093" t="str">
        <f>REPLACE(Transactions!M2093,1,4,"")</f>
        <v>20</v>
      </c>
    </row>
    <row r="2094" spans="1:13" x14ac:dyDescent="0.2">
      <c r="A2094">
        <v>447478</v>
      </c>
      <c r="B2094" s="5">
        <v>45002</v>
      </c>
      <c r="D2094" t="str">
        <f>PROPER(Transactions!D2094)</f>
        <v>Clothing</v>
      </c>
      <c r="E2094" t="s">
        <v>135</v>
      </c>
      <c r="F2094" t="s">
        <v>136</v>
      </c>
      <c r="G2094">
        <v>4</v>
      </c>
      <c r="H2094">
        <v>9.99</v>
      </c>
      <c r="I2094" s="7">
        <f>IF(Transactions!I2094="",0,Transactions!I2094)</f>
        <v>0</v>
      </c>
      <c r="J2094" s="9">
        <f t="shared" si="32"/>
        <v>39.96</v>
      </c>
      <c r="K2094" t="s">
        <v>22</v>
      </c>
      <c r="L2094" t="s">
        <v>17</v>
      </c>
      <c r="M2094" t="str">
        <f>REPLACE(Transactions!M2094,1,4,"")</f>
        <v>6</v>
      </c>
    </row>
    <row r="2095" spans="1:13" x14ac:dyDescent="0.2">
      <c r="A2095">
        <v>447608</v>
      </c>
      <c r="B2095" s="5">
        <v>45059</v>
      </c>
      <c r="C2095">
        <v>95467</v>
      </c>
      <c r="D2095" t="str">
        <f>PROPER(Transactions!D2095)</f>
        <v>Sports</v>
      </c>
      <c r="E2095" t="s">
        <v>188</v>
      </c>
      <c r="F2095" t="s">
        <v>189</v>
      </c>
      <c r="G2095">
        <v>1</v>
      </c>
      <c r="H2095">
        <v>33.74</v>
      </c>
      <c r="I2095" s="7">
        <f>IF(Transactions!I2095="",0,Transactions!I2095)</f>
        <v>0.25</v>
      </c>
      <c r="J2095" s="9">
        <f t="shared" si="32"/>
        <v>25.305</v>
      </c>
      <c r="K2095" t="s">
        <v>16</v>
      </c>
      <c r="L2095" t="s">
        <v>17</v>
      </c>
      <c r="M2095" t="str">
        <f>REPLACE(Transactions!M2095,1,4,"")</f>
        <v>3</v>
      </c>
    </row>
    <row r="2096" spans="1:13" x14ac:dyDescent="0.2">
      <c r="A2096">
        <v>447829</v>
      </c>
      <c r="B2096" s="5">
        <v>45525</v>
      </c>
      <c r="C2096">
        <v>36315</v>
      </c>
      <c r="D2096" t="str">
        <f>PROPER(Transactions!D2096)</f>
        <v>Clothing</v>
      </c>
      <c r="E2096" t="s">
        <v>151</v>
      </c>
      <c r="F2096" t="s">
        <v>152</v>
      </c>
      <c r="G2096">
        <v>2</v>
      </c>
      <c r="H2096">
        <v>34.99</v>
      </c>
      <c r="I2096" s="7">
        <f>IF(Transactions!I2096="",0,Transactions!I2096)</f>
        <v>0</v>
      </c>
      <c r="J2096" s="9">
        <f t="shared" si="32"/>
        <v>69.98</v>
      </c>
      <c r="K2096" t="s">
        <v>32</v>
      </c>
      <c r="L2096" t="s">
        <v>17</v>
      </c>
      <c r="M2096" t="str">
        <f>REPLACE(Transactions!M2096,1,4,"")</f>
        <v>20</v>
      </c>
    </row>
    <row r="2097" spans="1:13" x14ac:dyDescent="0.2">
      <c r="A2097">
        <v>447976</v>
      </c>
      <c r="B2097" s="5">
        <v>45613</v>
      </c>
      <c r="C2097">
        <v>54940</v>
      </c>
      <c r="D2097" t="str">
        <f>PROPER(Transactions!D2097)</f>
        <v>Pharmacy</v>
      </c>
      <c r="E2097" t="s">
        <v>115</v>
      </c>
      <c r="F2097" t="s">
        <v>116</v>
      </c>
      <c r="G2097">
        <v>2</v>
      </c>
      <c r="H2097">
        <v>12.99</v>
      </c>
      <c r="I2097" s="7">
        <f>IF(Transactions!I2097="",0,Transactions!I2097)</f>
        <v>0</v>
      </c>
      <c r="J2097" s="9">
        <f t="shared" si="32"/>
        <v>25.98</v>
      </c>
      <c r="K2097" t="s">
        <v>36</v>
      </c>
      <c r="L2097" t="s">
        <v>17</v>
      </c>
      <c r="M2097" t="str">
        <f>REPLACE(Transactions!M2097,1,4,"")</f>
        <v/>
      </c>
    </row>
    <row r="2098" spans="1:13" x14ac:dyDescent="0.2">
      <c r="A2098">
        <v>448142</v>
      </c>
      <c r="B2098" s="5">
        <v>45007</v>
      </c>
      <c r="C2098">
        <v>56408</v>
      </c>
      <c r="D2098" t="str">
        <f>PROPER(Transactions!D2098)</f>
        <v>Grocery</v>
      </c>
      <c r="E2098" t="s">
        <v>74</v>
      </c>
      <c r="F2098" t="s">
        <v>75</v>
      </c>
      <c r="G2098">
        <v>5</v>
      </c>
      <c r="H2098">
        <v>2.84</v>
      </c>
      <c r="I2098" s="7">
        <f>IF(Transactions!I2098="",0,Transactions!I2098)</f>
        <v>0.05</v>
      </c>
      <c r="J2098" s="9">
        <f t="shared" si="32"/>
        <v>13.489999999999998</v>
      </c>
      <c r="K2098" t="s">
        <v>36</v>
      </c>
      <c r="L2098" t="s">
        <v>17</v>
      </c>
      <c r="M2098" t="str">
        <f>REPLACE(Transactions!M2098,1,4,"")</f>
        <v>15</v>
      </c>
    </row>
    <row r="2099" spans="1:13" x14ac:dyDescent="0.2">
      <c r="A2099">
        <v>448284</v>
      </c>
      <c r="B2099" s="5">
        <v>44912</v>
      </c>
      <c r="C2099">
        <v>67732</v>
      </c>
      <c r="D2099" t="str">
        <f>PROPER(Transactions!D2099)</f>
        <v>Clothing</v>
      </c>
      <c r="E2099" t="s">
        <v>193</v>
      </c>
      <c r="F2099" t="s">
        <v>194</v>
      </c>
      <c r="G2099">
        <v>1</v>
      </c>
      <c r="H2099">
        <v>51.99</v>
      </c>
      <c r="I2099" s="7">
        <f>IF(Transactions!I2099="",0,Transactions!I2099)</f>
        <v>0.2</v>
      </c>
      <c r="J2099" s="9">
        <f t="shared" si="32"/>
        <v>41.592000000000006</v>
      </c>
      <c r="K2099" t="s">
        <v>95</v>
      </c>
      <c r="L2099" t="s">
        <v>17</v>
      </c>
      <c r="M2099" t="str">
        <f>REPLACE(Transactions!M2099,1,4,"")</f>
        <v>6</v>
      </c>
    </row>
    <row r="2100" spans="1:13" x14ac:dyDescent="0.2">
      <c r="A2100">
        <v>448491</v>
      </c>
      <c r="B2100" s="5">
        <v>45011</v>
      </c>
      <c r="C2100">
        <v>41876</v>
      </c>
      <c r="D2100" t="str">
        <f>PROPER(Transactions!D2100)</f>
        <v>Sports</v>
      </c>
      <c r="E2100" t="s">
        <v>155</v>
      </c>
      <c r="F2100" t="s">
        <v>156</v>
      </c>
      <c r="G2100">
        <v>2</v>
      </c>
      <c r="H2100">
        <v>16.989999999999998</v>
      </c>
      <c r="I2100" s="7">
        <f>IF(Transactions!I2100="",0,Transactions!I2100)</f>
        <v>0.15</v>
      </c>
      <c r="J2100" s="9">
        <f t="shared" si="32"/>
        <v>28.882999999999996</v>
      </c>
      <c r="K2100" t="s">
        <v>16</v>
      </c>
      <c r="L2100" t="s">
        <v>23</v>
      </c>
      <c r="M2100" t="str">
        <f>REPLACE(Transactions!M2100,1,4,"")</f>
        <v>1</v>
      </c>
    </row>
    <row r="2101" spans="1:13" x14ac:dyDescent="0.2">
      <c r="A2101">
        <v>448670</v>
      </c>
      <c r="B2101" s="5">
        <v>45588</v>
      </c>
      <c r="C2101">
        <v>45841</v>
      </c>
      <c r="D2101" t="str">
        <f>PROPER(Transactions!D2101)</f>
        <v>Electronics</v>
      </c>
      <c r="E2101" t="s">
        <v>14</v>
      </c>
      <c r="F2101" t="s">
        <v>15</v>
      </c>
      <c r="G2101">
        <v>1</v>
      </c>
      <c r="H2101">
        <v>75.989999999999995</v>
      </c>
      <c r="I2101" s="7">
        <f>IF(Transactions!I2101="",0,Transactions!I2101)</f>
        <v>0</v>
      </c>
      <c r="J2101" s="9">
        <f t="shared" si="32"/>
        <v>75.989999999999995</v>
      </c>
      <c r="K2101" t="s">
        <v>22</v>
      </c>
      <c r="L2101" t="s">
        <v>37</v>
      </c>
      <c r="M2101" t="str">
        <f>REPLACE(Transactions!M2101,1,4,"")</f>
        <v>19</v>
      </c>
    </row>
    <row r="2102" spans="1:13" x14ac:dyDescent="0.2">
      <c r="A2102">
        <v>449082</v>
      </c>
      <c r="B2102" s="5">
        <v>44891</v>
      </c>
      <c r="C2102">
        <v>22567</v>
      </c>
      <c r="D2102" t="str">
        <f>PROPER(Transactions!D2102)</f>
        <v>Furniture</v>
      </c>
      <c r="E2102" t="s">
        <v>70</v>
      </c>
      <c r="F2102" t="s">
        <v>71</v>
      </c>
      <c r="G2102">
        <v>3</v>
      </c>
      <c r="H2102">
        <v>80.989999999999995</v>
      </c>
      <c r="I2102" s="7">
        <f>IF(Transactions!I2102="",0,Transactions!I2102)</f>
        <v>0.1</v>
      </c>
      <c r="J2102" s="9">
        <f t="shared" si="32"/>
        <v>218.67299999999997</v>
      </c>
      <c r="K2102" t="s">
        <v>36</v>
      </c>
      <c r="L2102" t="s">
        <v>17</v>
      </c>
      <c r="M2102" t="str">
        <f>REPLACE(Transactions!M2102,1,4,"")</f>
        <v>2</v>
      </c>
    </row>
    <row r="2103" spans="1:13" x14ac:dyDescent="0.2">
      <c r="A2103">
        <v>449707</v>
      </c>
      <c r="B2103" s="5">
        <v>45316</v>
      </c>
      <c r="D2103" t="str">
        <f>PROPER(Transactions!D2103)</f>
        <v>Pharmacy</v>
      </c>
      <c r="E2103" t="s">
        <v>58</v>
      </c>
      <c r="F2103" t="s">
        <v>59</v>
      </c>
      <c r="G2103">
        <v>2</v>
      </c>
      <c r="H2103">
        <v>3.79</v>
      </c>
      <c r="I2103" s="7">
        <f>IF(Transactions!I2103="",0,Transactions!I2103)</f>
        <v>0.05</v>
      </c>
      <c r="J2103" s="9">
        <f t="shared" si="32"/>
        <v>7.2009999999999996</v>
      </c>
      <c r="K2103" t="s">
        <v>16</v>
      </c>
      <c r="L2103" t="s">
        <v>17</v>
      </c>
      <c r="M2103" t="str">
        <f>REPLACE(Transactions!M2103,1,4,"")</f>
        <v>13</v>
      </c>
    </row>
    <row r="2104" spans="1:13" x14ac:dyDescent="0.2">
      <c r="A2104">
        <v>449850</v>
      </c>
      <c r="B2104" s="5">
        <v>44572</v>
      </c>
      <c r="C2104">
        <v>79072</v>
      </c>
      <c r="D2104" t="str">
        <f>PROPER(Transactions!D2104)</f>
        <v>Home &amp; Garden</v>
      </c>
      <c r="E2104" t="s">
        <v>153</v>
      </c>
      <c r="F2104" t="s">
        <v>154</v>
      </c>
      <c r="G2104">
        <v>4</v>
      </c>
      <c r="H2104">
        <v>29.99</v>
      </c>
      <c r="I2104" s="7">
        <f>IF(Transactions!I2104="",0,Transactions!I2104)</f>
        <v>0</v>
      </c>
      <c r="J2104" s="9">
        <f t="shared" si="32"/>
        <v>119.96</v>
      </c>
      <c r="K2104" t="s">
        <v>16</v>
      </c>
      <c r="L2104" t="s">
        <v>17</v>
      </c>
      <c r="M2104" t="str">
        <f>REPLACE(Transactions!M2104,1,4,"")</f>
        <v>5</v>
      </c>
    </row>
    <row r="2105" spans="1:13" x14ac:dyDescent="0.2">
      <c r="A2105">
        <v>450110</v>
      </c>
      <c r="B2105" s="5">
        <v>45335</v>
      </c>
      <c r="C2105">
        <v>37341</v>
      </c>
      <c r="D2105" t="str">
        <f>PROPER(Transactions!D2105)</f>
        <v>Automotive</v>
      </c>
      <c r="E2105" t="s">
        <v>131</v>
      </c>
      <c r="F2105" t="s">
        <v>132</v>
      </c>
      <c r="G2105">
        <v>1</v>
      </c>
      <c r="H2105">
        <v>3.49</v>
      </c>
      <c r="I2105" s="7">
        <f>IF(Transactions!I2105="",0,Transactions!I2105)</f>
        <v>0</v>
      </c>
      <c r="J2105" s="9">
        <f t="shared" si="32"/>
        <v>3.49</v>
      </c>
      <c r="K2105" t="s">
        <v>36</v>
      </c>
      <c r="L2105" t="s">
        <v>17</v>
      </c>
      <c r="M2105" t="str">
        <f>REPLACE(Transactions!M2105,1,4,"")</f>
        <v>15</v>
      </c>
    </row>
    <row r="2106" spans="1:13" x14ac:dyDescent="0.2">
      <c r="A2106">
        <v>450232</v>
      </c>
      <c r="B2106" s="5">
        <v>45343</v>
      </c>
      <c r="C2106">
        <v>10769</v>
      </c>
      <c r="D2106" t="str">
        <f>PROPER(Transactions!D2106)</f>
        <v>Home &amp; Garden</v>
      </c>
      <c r="E2106" t="s">
        <v>86</v>
      </c>
      <c r="F2106" t="s">
        <v>87</v>
      </c>
      <c r="G2106">
        <v>3</v>
      </c>
      <c r="H2106">
        <v>12.99</v>
      </c>
      <c r="I2106" s="7">
        <f>IF(Transactions!I2106="",0,Transactions!I2106)</f>
        <v>0</v>
      </c>
      <c r="J2106" s="9">
        <f t="shared" si="32"/>
        <v>38.97</v>
      </c>
      <c r="K2106" t="s">
        <v>53</v>
      </c>
      <c r="L2106" t="s">
        <v>37</v>
      </c>
      <c r="M2106" t="str">
        <f>REPLACE(Transactions!M2106,1,4,"")</f>
        <v>6</v>
      </c>
    </row>
    <row r="2107" spans="1:13" x14ac:dyDescent="0.2">
      <c r="A2107">
        <v>450713</v>
      </c>
      <c r="B2107" s="5">
        <v>45404</v>
      </c>
      <c r="C2107">
        <v>74130</v>
      </c>
      <c r="D2107" t="str">
        <f>PROPER(Transactions!D2107)</f>
        <v>Home &amp; Garden</v>
      </c>
      <c r="E2107" t="s">
        <v>153</v>
      </c>
      <c r="F2107" t="s">
        <v>154</v>
      </c>
      <c r="G2107">
        <v>2</v>
      </c>
      <c r="H2107">
        <v>20.99</v>
      </c>
      <c r="I2107" s="7">
        <f>IF(Transactions!I2107="",0,Transactions!I2107)</f>
        <v>0.3</v>
      </c>
      <c r="J2107" s="9">
        <f t="shared" si="32"/>
        <v>29.385999999999996</v>
      </c>
      <c r="K2107" t="s">
        <v>95</v>
      </c>
      <c r="L2107" t="s">
        <v>17</v>
      </c>
      <c r="M2107" t="str">
        <f>REPLACE(Transactions!M2107,1,4,"")</f>
        <v>9</v>
      </c>
    </row>
    <row r="2108" spans="1:13" x14ac:dyDescent="0.2">
      <c r="A2108">
        <v>450778</v>
      </c>
      <c r="B2108" s="5">
        <v>45326</v>
      </c>
      <c r="C2108">
        <v>30906</v>
      </c>
      <c r="D2108" t="str">
        <f>PROPER(Transactions!D2108)</f>
        <v>Home &amp; Garden</v>
      </c>
      <c r="E2108" t="s">
        <v>145</v>
      </c>
      <c r="F2108" t="s">
        <v>146</v>
      </c>
      <c r="G2108">
        <v>1</v>
      </c>
      <c r="H2108">
        <v>16.989999999999998</v>
      </c>
      <c r="I2108" s="7">
        <f>IF(Transactions!I2108="",0,Transactions!I2108)</f>
        <v>0</v>
      </c>
      <c r="J2108" s="9">
        <f t="shared" si="32"/>
        <v>16.989999999999998</v>
      </c>
      <c r="K2108" t="s">
        <v>16</v>
      </c>
      <c r="L2108" t="s">
        <v>17</v>
      </c>
      <c r="M2108" t="str">
        <f>REPLACE(Transactions!M2108,1,4,"")</f>
        <v>2</v>
      </c>
    </row>
    <row r="2109" spans="1:13" x14ac:dyDescent="0.2">
      <c r="A2109">
        <v>450867</v>
      </c>
      <c r="B2109" s="5">
        <v>45230</v>
      </c>
      <c r="C2109">
        <v>54190</v>
      </c>
      <c r="D2109" t="str">
        <f>PROPER(Transactions!D2109)</f>
        <v>Furniture</v>
      </c>
      <c r="E2109" t="s">
        <v>51</v>
      </c>
      <c r="F2109" t="s">
        <v>52</v>
      </c>
      <c r="G2109">
        <v>4</v>
      </c>
      <c r="H2109">
        <v>27.99</v>
      </c>
      <c r="I2109" s="7">
        <f>IF(Transactions!I2109="",0,Transactions!I2109)</f>
        <v>0</v>
      </c>
      <c r="J2109" s="9">
        <f t="shared" si="32"/>
        <v>111.96</v>
      </c>
      <c r="K2109" t="s">
        <v>36</v>
      </c>
      <c r="L2109" t="s">
        <v>17</v>
      </c>
      <c r="M2109" t="str">
        <f>REPLACE(Transactions!M2109,1,4,"")</f>
        <v>18</v>
      </c>
    </row>
    <row r="2110" spans="1:13" x14ac:dyDescent="0.2">
      <c r="A2110">
        <v>450900</v>
      </c>
      <c r="B2110" s="5">
        <v>44803</v>
      </c>
      <c r="C2110">
        <v>51719</v>
      </c>
      <c r="D2110" t="str">
        <f>PROPER(Transactions!D2110)</f>
        <v>Sports</v>
      </c>
      <c r="E2110" t="s">
        <v>100</v>
      </c>
      <c r="F2110" t="s">
        <v>101</v>
      </c>
      <c r="G2110">
        <v>2</v>
      </c>
      <c r="H2110">
        <v>17.239999999999998</v>
      </c>
      <c r="I2110" s="7">
        <f>IF(Transactions!I2110="",0,Transactions!I2110)</f>
        <v>0.25</v>
      </c>
      <c r="J2110" s="9">
        <f t="shared" si="32"/>
        <v>25.86</v>
      </c>
      <c r="K2110" t="s">
        <v>36</v>
      </c>
      <c r="L2110" t="s">
        <v>17</v>
      </c>
      <c r="M2110" t="str">
        <f>REPLACE(Transactions!M2110,1,4,"")</f>
        <v>4</v>
      </c>
    </row>
    <row r="2111" spans="1:13" x14ac:dyDescent="0.2">
      <c r="A2111">
        <v>451323</v>
      </c>
      <c r="B2111" s="5">
        <v>44722</v>
      </c>
      <c r="C2111">
        <v>55144</v>
      </c>
      <c r="D2111" t="str">
        <f>PROPER(Transactions!D2111)</f>
        <v>Clothing</v>
      </c>
      <c r="E2111" t="s">
        <v>121</v>
      </c>
      <c r="F2111" t="s">
        <v>122</v>
      </c>
      <c r="G2111">
        <v>1</v>
      </c>
      <c r="H2111">
        <v>10.39</v>
      </c>
      <c r="I2111" s="7">
        <f>IF(Transactions!I2111="",0,Transactions!I2111)</f>
        <v>0.2</v>
      </c>
      <c r="J2111" s="9">
        <f t="shared" si="32"/>
        <v>8.3120000000000012</v>
      </c>
      <c r="K2111" t="s">
        <v>22</v>
      </c>
      <c r="L2111" t="s">
        <v>23</v>
      </c>
      <c r="M2111" t="str">
        <f>REPLACE(Transactions!M2111,1,4,"")</f>
        <v>8</v>
      </c>
    </row>
    <row r="2112" spans="1:13" x14ac:dyDescent="0.2">
      <c r="A2112">
        <v>451329</v>
      </c>
      <c r="B2112" s="5">
        <v>44956</v>
      </c>
      <c r="C2112">
        <v>34445</v>
      </c>
      <c r="D2112" t="str">
        <f>PROPER(Transactions!D2112)</f>
        <v>Automotive</v>
      </c>
      <c r="E2112" t="s">
        <v>125</v>
      </c>
      <c r="F2112" t="s">
        <v>126</v>
      </c>
      <c r="G2112">
        <v>1</v>
      </c>
      <c r="H2112">
        <v>29.99</v>
      </c>
      <c r="I2112" s="7">
        <f>IF(Transactions!I2112="",0,Transactions!I2112)</f>
        <v>0</v>
      </c>
      <c r="J2112" s="9">
        <f t="shared" si="32"/>
        <v>29.99</v>
      </c>
      <c r="K2112" t="s">
        <v>36</v>
      </c>
      <c r="L2112" t="s">
        <v>17</v>
      </c>
      <c r="M2112" t="str">
        <f>REPLACE(Transactions!M2112,1,4,"")</f>
        <v>7</v>
      </c>
    </row>
    <row r="2113" spans="1:13" x14ac:dyDescent="0.2">
      <c r="A2113">
        <v>451382</v>
      </c>
      <c r="B2113" s="5">
        <v>44841</v>
      </c>
      <c r="D2113" t="str">
        <f>PROPER(Transactions!D2113)</f>
        <v>Clothing</v>
      </c>
      <c r="E2113" t="s">
        <v>121</v>
      </c>
      <c r="F2113" t="s">
        <v>122</v>
      </c>
      <c r="G2113">
        <v>1</v>
      </c>
      <c r="H2113">
        <v>12.99</v>
      </c>
      <c r="I2113" s="7">
        <f>IF(Transactions!I2113="",0,Transactions!I2113)</f>
        <v>0</v>
      </c>
      <c r="J2113" s="9">
        <f t="shared" si="32"/>
        <v>12.99</v>
      </c>
      <c r="K2113" t="s">
        <v>16</v>
      </c>
      <c r="L2113" t="s">
        <v>17</v>
      </c>
      <c r="M2113" t="str">
        <f>REPLACE(Transactions!M2113,1,4,"")</f>
        <v>16</v>
      </c>
    </row>
    <row r="2114" spans="1:13" x14ac:dyDescent="0.2">
      <c r="A2114">
        <v>451446</v>
      </c>
      <c r="B2114" s="5">
        <v>45090</v>
      </c>
      <c r="C2114">
        <v>29309</v>
      </c>
      <c r="D2114" t="str">
        <f>PROPER(Transactions!D2114)</f>
        <v>Grocery</v>
      </c>
      <c r="E2114" t="s">
        <v>190</v>
      </c>
      <c r="F2114" t="s">
        <v>191</v>
      </c>
      <c r="G2114">
        <v>5</v>
      </c>
      <c r="H2114">
        <v>3</v>
      </c>
      <c r="I2114" s="7">
        <f>IF(Transactions!I2114="",0,Transactions!I2114)</f>
        <v>0.3</v>
      </c>
      <c r="J2114" s="9">
        <f t="shared" si="32"/>
        <v>10.5</v>
      </c>
      <c r="K2114" t="s">
        <v>95</v>
      </c>
      <c r="L2114" t="s">
        <v>17</v>
      </c>
      <c r="M2114" t="str">
        <f>REPLACE(Transactions!M2114,1,4,"")</f>
        <v>8</v>
      </c>
    </row>
    <row r="2115" spans="1:13" x14ac:dyDescent="0.2">
      <c r="A2115">
        <v>451525</v>
      </c>
      <c r="B2115" s="5">
        <v>45112</v>
      </c>
      <c r="C2115">
        <v>43492</v>
      </c>
      <c r="D2115" t="str">
        <f>PROPER(Transactions!D2115)</f>
        <v>Pharmacy</v>
      </c>
      <c r="E2115" t="s">
        <v>115</v>
      </c>
      <c r="F2115" t="s">
        <v>116</v>
      </c>
      <c r="G2115">
        <v>2</v>
      </c>
      <c r="H2115">
        <v>11.04</v>
      </c>
      <c r="I2115" s="7">
        <f>IF(Transactions!I2115="",0,Transactions!I2115)</f>
        <v>0.15</v>
      </c>
      <c r="J2115" s="9">
        <f t="shared" ref="J2115:J2178" si="33">(H2115*G2115)*(1-I2115)</f>
        <v>18.767999999999997</v>
      </c>
      <c r="K2115" t="s">
        <v>36</v>
      </c>
      <c r="L2115" t="s">
        <v>17</v>
      </c>
      <c r="M2115" t="str">
        <f>REPLACE(Transactions!M2115,1,4,"")</f>
        <v>3</v>
      </c>
    </row>
    <row r="2116" spans="1:13" x14ac:dyDescent="0.2">
      <c r="A2116">
        <v>451630</v>
      </c>
      <c r="B2116" s="5">
        <v>44589</v>
      </c>
      <c r="C2116">
        <v>38070</v>
      </c>
      <c r="D2116" t="str">
        <f>PROPER(Transactions!D2116)</f>
        <v>Electronics</v>
      </c>
      <c r="E2116" t="s">
        <v>104</v>
      </c>
      <c r="F2116" t="s">
        <v>105</v>
      </c>
      <c r="G2116">
        <v>1</v>
      </c>
      <c r="H2116">
        <v>29.99</v>
      </c>
      <c r="I2116" s="7">
        <f>IF(Transactions!I2116="",0,Transactions!I2116)</f>
        <v>0</v>
      </c>
      <c r="J2116" s="9">
        <f t="shared" si="33"/>
        <v>29.99</v>
      </c>
      <c r="K2116" t="s">
        <v>36</v>
      </c>
      <c r="L2116" t="s">
        <v>17</v>
      </c>
      <c r="M2116" t="str">
        <f>REPLACE(Transactions!M2116,1,4,"")</f>
        <v>6</v>
      </c>
    </row>
    <row r="2117" spans="1:13" x14ac:dyDescent="0.2">
      <c r="A2117">
        <v>451637</v>
      </c>
      <c r="B2117" s="5">
        <v>44882</v>
      </c>
      <c r="C2117">
        <v>77672</v>
      </c>
      <c r="D2117" t="str">
        <f>PROPER(Transactions!D2117)</f>
        <v>Grocery</v>
      </c>
      <c r="E2117" t="s">
        <v>172</v>
      </c>
      <c r="F2117" t="s">
        <v>173</v>
      </c>
      <c r="G2117">
        <v>2</v>
      </c>
      <c r="H2117">
        <v>3.14</v>
      </c>
      <c r="I2117" s="7">
        <f>IF(Transactions!I2117="",0,Transactions!I2117)</f>
        <v>0.3</v>
      </c>
      <c r="J2117" s="9">
        <f t="shared" si="33"/>
        <v>4.3959999999999999</v>
      </c>
      <c r="K2117" t="s">
        <v>95</v>
      </c>
      <c r="L2117" t="s">
        <v>37</v>
      </c>
      <c r="M2117" t="str">
        <f>REPLACE(Transactions!M2117,1,4,"")</f>
        <v>3</v>
      </c>
    </row>
    <row r="2118" spans="1:13" x14ac:dyDescent="0.2">
      <c r="A2118">
        <v>451706</v>
      </c>
      <c r="B2118" s="5">
        <v>45456</v>
      </c>
      <c r="C2118">
        <v>58264</v>
      </c>
      <c r="D2118" t="str">
        <f>PROPER(Transactions!D2118)</f>
        <v>Pharmacy</v>
      </c>
      <c r="E2118" t="s">
        <v>115</v>
      </c>
      <c r="F2118" t="s">
        <v>116</v>
      </c>
      <c r="G2118">
        <v>4</v>
      </c>
      <c r="H2118">
        <v>12.34</v>
      </c>
      <c r="I2118" s="7">
        <f>IF(Transactions!I2118="",0,Transactions!I2118)</f>
        <v>0.05</v>
      </c>
      <c r="J2118" s="9">
        <f t="shared" si="33"/>
        <v>46.891999999999996</v>
      </c>
      <c r="K2118" t="s">
        <v>16</v>
      </c>
      <c r="L2118" t="s">
        <v>17</v>
      </c>
      <c r="M2118" t="str">
        <f>REPLACE(Transactions!M2118,1,4,"")</f>
        <v>9</v>
      </c>
    </row>
    <row r="2119" spans="1:13" x14ac:dyDescent="0.2">
      <c r="A2119">
        <v>451724</v>
      </c>
      <c r="B2119" s="5">
        <v>45478</v>
      </c>
      <c r="C2119">
        <v>29663</v>
      </c>
      <c r="D2119" t="str">
        <f>PROPER(Transactions!D2119)</f>
        <v>Grocery</v>
      </c>
      <c r="E2119" t="s">
        <v>162</v>
      </c>
      <c r="F2119" t="s">
        <v>163</v>
      </c>
      <c r="G2119">
        <v>3</v>
      </c>
      <c r="H2119">
        <v>7.19</v>
      </c>
      <c r="I2119" s="7">
        <f>IF(Transactions!I2119="",0,Transactions!I2119)</f>
        <v>0.1</v>
      </c>
      <c r="J2119" s="9">
        <f t="shared" si="33"/>
        <v>19.413</v>
      </c>
      <c r="K2119" t="s">
        <v>16</v>
      </c>
      <c r="L2119" t="s">
        <v>37</v>
      </c>
      <c r="M2119" t="str">
        <f>REPLACE(Transactions!M2119,1,4,"")</f>
        <v>18</v>
      </c>
    </row>
    <row r="2120" spans="1:13" x14ac:dyDescent="0.2">
      <c r="A2120">
        <v>451962</v>
      </c>
      <c r="B2120" s="5">
        <v>44807</v>
      </c>
      <c r="C2120">
        <v>94267</v>
      </c>
      <c r="D2120" t="str">
        <f>PROPER(Transactions!D2120)</f>
        <v>Automotive</v>
      </c>
      <c r="E2120" t="s">
        <v>111</v>
      </c>
      <c r="F2120" t="s">
        <v>112</v>
      </c>
      <c r="G2120">
        <v>1</v>
      </c>
      <c r="H2120">
        <v>13.49</v>
      </c>
      <c r="I2120" s="7">
        <f>IF(Transactions!I2120="",0,Transactions!I2120)</f>
        <v>0.1</v>
      </c>
      <c r="J2120" s="9">
        <f t="shared" si="33"/>
        <v>12.141</v>
      </c>
      <c r="K2120" t="s">
        <v>53</v>
      </c>
      <c r="L2120" t="s">
        <v>23</v>
      </c>
      <c r="M2120" t="str">
        <f>REPLACE(Transactions!M2120,1,4,"")</f>
        <v>14</v>
      </c>
    </row>
    <row r="2121" spans="1:13" x14ac:dyDescent="0.2">
      <c r="A2121">
        <v>452457</v>
      </c>
      <c r="B2121" s="5">
        <v>45454</v>
      </c>
      <c r="C2121">
        <v>71261</v>
      </c>
      <c r="D2121" t="str">
        <f>PROPER(Transactions!D2121)</f>
        <v>Pharmacy</v>
      </c>
      <c r="E2121" t="s">
        <v>115</v>
      </c>
      <c r="F2121" t="s">
        <v>116</v>
      </c>
      <c r="G2121">
        <v>1</v>
      </c>
      <c r="H2121">
        <v>9.74</v>
      </c>
      <c r="I2121" s="7">
        <f>IF(Transactions!I2121="",0,Transactions!I2121)</f>
        <v>0.25</v>
      </c>
      <c r="J2121" s="9">
        <f t="shared" si="33"/>
        <v>7.3049999999999997</v>
      </c>
      <c r="K2121" t="s">
        <v>22</v>
      </c>
      <c r="L2121" t="s">
        <v>37</v>
      </c>
      <c r="M2121" t="str">
        <f>REPLACE(Transactions!M2121,1,4,"")</f>
        <v>14</v>
      </c>
    </row>
    <row r="2122" spans="1:13" x14ac:dyDescent="0.2">
      <c r="A2122">
        <v>452555</v>
      </c>
      <c r="B2122" s="5">
        <v>44772</v>
      </c>
      <c r="C2122">
        <v>20982</v>
      </c>
      <c r="D2122" t="str">
        <f>PROPER(Transactions!D2122)</f>
        <v>Electronics</v>
      </c>
      <c r="E2122" t="s">
        <v>186</v>
      </c>
      <c r="F2122" t="s">
        <v>187</v>
      </c>
      <c r="G2122">
        <v>4</v>
      </c>
      <c r="H2122">
        <v>44.99</v>
      </c>
      <c r="I2122" s="7">
        <f>IF(Transactions!I2122="",0,Transactions!I2122)</f>
        <v>0</v>
      </c>
      <c r="J2122" s="9">
        <f t="shared" si="33"/>
        <v>179.96</v>
      </c>
      <c r="K2122" t="s">
        <v>95</v>
      </c>
      <c r="L2122" t="s">
        <v>17</v>
      </c>
      <c r="M2122" t="str">
        <f>REPLACE(Transactions!M2122,1,4,"")</f>
        <v>5</v>
      </c>
    </row>
    <row r="2123" spans="1:13" x14ac:dyDescent="0.2">
      <c r="A2123">
        <v>452612</v>
      </c>
      <c r="B2123" s="5">
        <v>44748</v>
      </c>
      <c r="C2123">
        <v>74957</v>
      </c>
      <c r="D2123" t="str">
        <f>PROPER(Transactions!D2123)</f>
        <v>Electronics</v>
      </c>
      <c r="E2123" t="s">
        <v>55</v>
      </c>
      <c r="F2123" t="s">
        <v>56</v>
      </c>
      <c r="G2123">
        <v>2</v>
      </c>
      <c r="H2123">
        <v>263.99</v>
      </c>
      <c r="I2123" s="7">
        <f>IF(Transactions!I2123="",0,Transactions!I2123)</f>
        <v>0.2</v>
      </c>
      <c r="J2123" s="9">
        <f t="shared" si="33"/>
        <v>422.38400000000001</v>
      </c>
      <c r="K2123" t="s">
        <v>36</v>
      </c>
      <c r="L2123" t="s">
        <v>17</v>
      </c>
      <c r="M2123" t="str">
        <f>REPLACE(Transactions!M2123,1,4,"")</f>
        <v>2</v>
      </c>
    </row>
    <row r="2124" spans="1:13" x14ac:dyDescent="0.2">
      <c r="A2124">
        <v>452810</v>
      </c>
      <c r="B2124" s="5">
        <v>44716</v>
      </c>
      <c r="C2124">
        <v>46955</v>
      </c>
      <c r="D2124" t="str">
        <f>PROPER(Transactions!D2124)</f>
        <v>Beauty</v>
      </c>
      <c r="E2124" t="s">
        <v>143</v>
      </c>
      <c r="F2124" t="s">
        <v>144</v>
      </c>
      <c r="G2124">
        <v>2</v>
      </c>
      <c r="H2124">
        <v>10.49</v>
      </c>
      <c r="I2124" s="7">
        <f>IF(Transactions!I2124="",0,Transactions!I2124)</f>
        <v>0.3</v>
      </c>
      <c r="J2124" s="9">
        <f t="shared" si="33"/>
        <v>14.686</v>
      </c>
      <c r="K2124" t="s">
        <v>16</v>
      </c>
      <c r="L2124" t="s">
        <v>17</v>
      </c>
      <c r="M2124" t="str">
        <f>REPLACE(Transactions!M2124,1,4,"")</f>
        <v>4</v>
      </c>
    </row>
    <row r="2125" spans="1:13" x14ac:dyDescent="0.2">
      <c r="A2125">
        <v>452833</v>
      </c>
      <c r="B2125" s="5">
        <v>45533</v>
      </c>
      <c r="C2125">
        <v>96197</v>
      </c>
      <c r="D2125" t="str">
        <f>PROPER(Transactions!D2125)</f>
        <v>Sports</v>
      </c>
      <c r="E2125" t="s">
        <v>168</v>
      </c>
      <c r="F2125" t="s">
        <v>169</v>
      </c>
      <c r="G2125">
        <v>5</v>
      </c>
      <c r="H2125">
        <v>8.99</v>
      </c>
      <c r="I2125" s="7">
        <f>IF(Transactions!I2125="",0,Transactions!I2125)</f>
        <v>0</v>
      </c>
      <c r="J2125" s="9">
        <f t="shared" si="33"/>
        <v>44.95</v>
      </c>
      <c r="K2125" t="s">
        <v>95</v>
      </c>
      <c r="L2125" t="s">
        <v>17</v>
      </c>
      <c r="M2125" t="str">
        <f>REPLACE(Transactions!M2125,1,4,"")</f>
        <v>8</v>
      </c>
    </row>
    <row r="2126" spans="1:13" x14ac:dyDescent="0.2">
      <c r="A2126">
        <v>453096</v>
      </c>
      <c r="B2126" s="5">
        <v>44786</v>
      </c>
      <c r="D2126" t="str">
        <f>PROPER(Transactions!D2126)</f>
        <v>Beauty</v>
      </c>
      <c r="E2126" t="s">
        <v>179</v>
      </c>
      <c r="F2126" t="s">
        <v>180</v>
      </c>
      <c r="G2126">
        <v>2</v>
      </c>
      <c r="H2126">
        <v>11.39</v>
      </c>
      <c r="I2126" s="7">
        <f>IF(Transactions!I2126="",0,Transactions!I2126)</f>
        <v>0.05</v>
      </c>
      <c r="J2126" s="9">
        <f t="shared" si="33"/>
        <v>21.641000000000002</v>
      </c>
      <c r="K2126" t="s">
        <v>16</v>
      </c>
      <c r="L2126" t="s">
        <v>37</v>
      </c>
      <c r="M2126" t="str">
        <f>REPLACE(Transactions!M2126,1,4,"")</f>
        <v>9</v>
      </c>
    </row>
    <row r="2127" spans="1:13" x14ac:dyDescent="0.2">
      <c r="A2127">
        <v>453140</v>
      </c>
      <c r="B2127" s="5">
        <v>44776</v>
      </c>
      <c r="C2127">
        <v>88795</v>
      </c>
      <c r="D2127" t="str">
        <f>PROPER(Transactions!D2127)</f>
        <v>Toys</v>
      </c>
      <c r="E2127" t="s">
        <v>175</v>
      </c>
      <c r="F2127" t="s">
        <v>176</v>
      </c>
      <c r="G2127">
        <v>2</v>
      </c>
      <c r="H2127">
        <v>8.39</v>
      </c>
      <c r="I2127" s="7">
        <f>IF(Transactions!I2127="",0,Transactions!I2127)</f>
        <v>0.3</v>
      </c>
      <c r="J2127" s="9">
        <f t="shared" si="33"/>
        <v>11.746</v>
      </c>
      <c r="K2127" t="s">
        <v>22</v>
      </c>
      <c r="L2127" t="s">
        <v>17</v>
      </c>
      <c r="M2127" t="str">
        <f>REPLACE(Transactions!M2127,1,4,"")</f>
        <v>18</v>
      </c>
    </row>
    <row r="2128" spans="1:13" x14ac:dyDescent="0.2">
      <c r="A2128">
        <v>453338</v>
      </c>
      <c r="B2128" s="5">
        <v>45382</v>
      </c>
      <c r="C2128">
        <v>10418</v>
      </c>
      <c r="D2128" t="str">
        <f>PROPER(Transactions!D2128)</f>
        <v>Clothing</v>
      </c>
      <c r="E2128" t="s">
        <v>193</v>
      </c>
      <c r="F2128" t="s">
        <v>194</v>
      </c>
      <c r="G2128">
        <v>1</v>
      </c>
      <c r="H2128">
        <v>64.989999999999995</v>
      </c>
      <c r="I2128" s="7">
        <f>IF(Transactions!I2128="",0,Transactions!I2128)</f>
        <v>0</v>
      </c>
      <c r="J2128" s="9">
        <f t="shared" si="33"/>
        <v>64.989999999999995</v>
      </c>
      <c r="K2128" t="s">
        <v>16</v>
      </c>
      <c r="L2128" t="s">
        <v>17</v>
      </c>
      <c r="M2128" t="str">
        <f>REPLACE(Transactions!M2128,1,4,"")</f>
        <v>6</v>
      </c>
    </row>
    <row r="2129" spans="1:13" x14ac:dyDescent="0.2">
      <c r="A2129">
        <v>453393</v>
      </c>
      <c r="B2129" s="5">
        <v>44865</v>
      </c>
      <c r="C2129">
        <v>60307</v>
      </c>
      <c r="D2129" t="str">
        <f>PROPER(Transactions!D2129)</f>
        <v>Toys</v>
      </c>
      <c r="E2129" t="s">
        <v>170</v>
      </c>
      <c r="F2129" t="s">
        <v>171</v>
      </c>
      <c r="G2129">
        <v>3</v>
      </c>
      <c r="H2129">
        <v>14.99</v>
      </c>
      <c r="I2129" s="7">
        <f>IF(Transactions!I2129="",0,Transactions!I2129)</f>
        <v>0</v>
      </c>
      <c r="J2129" s="9">
        <f t="shared" si="33"/>
        <v>44.97</v>
      </c>
      <c r="K2129" t="s">
        <v>53</v>
      </c>
      <c r="L2129" t="s">
        <v>37</v>
      </c>
      <c r="M2129" t="str">
        <f>REPLACE(Transactions!M2129,1,4,"")</f>
        <v>11</v>
      </c>
    </row>
    <row r="2130" spans="1:13" x14ac:dyDescent="0.2">
      <c r="A2130">
        <v>453440</v>
      </c>
      <c r="B2130" s="5">
        <v>45268</v>
      </c>
      <c r="C2130">
        <v>95406</v>
      </c>
      <c r="D2130" t="str">
        <f>PROPER(Transactions!D2130)</f>
        <v>Sports</v>
      </c>
      <c r="E2130" t="s">
        <v>83</v>
      </c>
      <c r="F2130" t="s">
        <v>84</v>
      </c>
      <c r="G2130">
        <v>1</v>
      </c>
      <c r="H2130">
        <v>16.989999999999998</v>
      </c>
      <c r="I2130" s="7">
        <f>IF(Transactions!I2130="",0,Transactions!I2130)</f>
        <v>0</v>
      </c>
      <c r="J2130" s="9">
        <f t="shared" si="33"/>
        <v>16.989999999999998</v>
      </c>
      <c r="K2130" t="s">
        <v>36</v>
      </c>
      <c r="L2130" t="s">
        <v>37</v>
      </c>
      <c r="M2130" t="str">
        <f>REPLACE(Transactions!M2130,1,4,"")</f>
        <v>13</v>
      </c>
    </row>
    <row r="2131" spans="1:13" x14ac:dyDescent="0.2">
      <c r="A2131">
        <v>453509</v>
      </c>
      <c r="B2131" s="5">
        <v>44958</v>
      </c>
      <c r="C2131">
        <v>19534</v>
      </c>
      <c r="D2131" t="str">
        <f>PROPER(Transactions!D2131)</f>
        <v>Clothing</v>
      </c>
      <c r="E2131" t="s">
        <v>121</v>
      </c>
      <c r="F2131" t="s">
        <v>122</v>
      </c>
      <c r="G2131">
        <v>2</v>
      </c>
      <c r="H2131">
        <v>12.99</v>
      </c>
      <c r="I2131" s="7">
        <f>IF(Transactions!I2131="",0,Transactions!I2131)</f>
        <v>0</v>
      </c>
      <c r="J2131" s="9">
        <f t="shared" si="33"/>
        <v>25.98</v>
      </c>
      <c r="K2131" t="s">
        <v>16</v>
      </c>
      <c r="L2131" t="s">
        <v>17</v>
      </c>
      <c r="M2131" t="str">
        <f>REPLACE(Transactions!M2131,1,4,"")</f>
        <v>18</v>
      </c>
    </row>
    <row r="2132" spans="1:13" x14ac:dyDescent="0.2">
      <c r="A2132">
        <v>453719</v>
      </c>
      <c r="B2132" s="5">
        <v>44973</v>
      </c>
      <c r="C2132">
        <v>29006</v>
      </c>
      <c r="D2132" t="str">
        <f>PROPER(Transactions!D2132)</f>
        <v>Sports</v>
      </c>
      <c r="E2132" t="s">
        <v>188</v>
      </c>
      <c r="F2132" t="s">
        <v>189</v>
      </c>
      <c r="G2132">
        <v>2</v>
      </c>
      <c r="H2132">
        <v>44.99</v>
      </c>
      <c r="I2132" s="7">
        <f>IF(Transactions!I2132="",0,Transactions!I2132)</f>
        <v>0</v>
      </c>
      <c r="J2132" s="9">
        <f t="shared" si="33"/>
        <v>89.98</v>
      </c>
      <c r="K2132" t="s">
        <v>16</v>
      </c>
      <c r="L2132" t="s">
        <v>37</v>
      </c>
      <c r="M2132" t="str">
        <f>REPLACE(Transactions!M2132,1,4,"")</f>
        <v>16</v>
      </c>
    </row>
    <row r="2133" spans="1:13" x14ac:dyDescent="0.2">
      <c r="A2133">
        <v>453911</v>
      </c>
      <c r="B2133" s="5">
        <v>44826</v>
      </c>
      <c r="C2133">
        <v>22415</v>
      </c>
      <c r="D2133" t="str">
        <f>PROPER(Transactions!D2133)</f>
        <v>Sports</v>
      </c>
      <c r="E2133" t="s">
        <v>83</v>
      </c>
      <c r="F2133" t="s">
        <v>84</v>
      </c>
      <c r="G2133">
        <v>2</v>
      </c>
      <c r="H2133">
        <v>16.989999999999998</v>
      </c>
      <c r="I2133" s="7">
        <f>IF(Transactions!I2133="",0,Transactions!I2133)</f>
        <v>0</v>
      </c>
      <c r="J2133" s="9">
        <f t="shared" si="33"/>
        <v>33.979999999999997</v>
      </c>
      <c r="K2133" t="s">
        <v>53</v>
      </c>
      <c r="L2133" t="s">
        <v>17</v>
      </c>
      <c r="M2133" t="str">
        <f>REPLACE(Transactions!M2133,1,4,"")</f>
        <v>7</v>
      </c>
    </row>
    <row r="2134" spans="1:13" x14ac:dyDescent="0.2">
      <c r="A2134">
        <v>454026</v>
      </c>
      <c r="B2134" s="5">
        <v>45325</v>
      </c>
      <c r="C2134">
        <v>49888</v>
      </c>
      <c r="D2134" t="str">
        <f>PROPER(Transactions!D2134)</f>
        <v>Automotive</v>
      </c>
      <c r="E2134" t="s">
        <v>111</v>
      </c>
      <c r="F2134" t="s">
        <v>112</v>
      </c>
      <c r="G2134">
        <v>4</v>
      </c>
      <c r="H2134">
        <v>14.99</v>
      </c>
      <c r="I2134" s="7">
        <f>IF(Transactions!I2134="",0,Transactions!I2134)</f>
        <v>0</v>
      </c>
      <c r="J2134" s="9">
        <f t="shared" si="33"/>
        <v>59.96</v>
      </c>
      <c r="K2134" t="s">
        <v>16</v>
      </c>
      <c r="L2134" t="s">
        <v>37</v>
      </c>
      <c r="M2134" t="str">
        <f>REPLACE(Transactions!M2134,1,4,"")</f>
        <v>5</v>
      </c>
    </row>
    <row r="2135" spans="1:13" x14ac:dyDescent="0.2">
      <c r="A2135">
        <v>454462</v>
      </c>
      <c r="B2135" s="5">
        <v>44715</v>
      </c>
      <c r="C2135">
        <v>12682</v>
      </c>
      <c r="D2135" t="str">
        <f>PROPER(Transactions!D2135)</f>
        <v>Pharmacy</v>
      </c>
      <c r="E2135" t="s">
        <v>41</v>
      </c>
      <c r="F2135" t="s">
        <v>42</v>
      </c>
      <c r="G2135">
        <v>2</v>
      </c>
      <c r="H2135">
        <v>5.99</v>
      </c>
      <c r="I2135" s="7">
        <f>IF(Transactions!I2135="",0,Transactions!I2135)</f>
        <v>0</v>
      </c>
      <c r="J2135" s="9">
        <f t="shared" si="33"/>
        <v>11.98</v>
      </c>
      <c r="K2135" t="s">
        <v>22</v>
      </c>
      <c r="L2135" t="s">
        <v>17</v>
      </c>
      <c r="M2135" t="str">
        <f>REPLACE(Transactions!M2135,1,4,"")</f>
        <v>9</v>
      </c>
    </row>
    <row r="2136" spans="1:13" x14ac:dyDescent="0.2">
      <c r="A2136">
        <v>454806</v>
      </c>
      <c r="B2136" s="5">
        <v>44968</v>
      </c>
      <c r="C2136">
        <v>36021</v>
      </c>
      <c r="D2136" t="str">
        <f>PROPER(Transactions!D2136)</f>
        <v>Furniture</v>
      </c>
      <c r="E2136" t="s">
        <v>60</v>
      </c>
      <c r="F2136" t="s">
        <v>61</v>
      </c>
      <c r="G2136">
        <v>3</v>
      </c>
      <c r="H2136">
        <v>49.49</v>
      </c>
      <c r="I2136" s="7">
        <f>IF(Transactions!I2136="",0,Transactions!I2136)</f>
        <v>0.1</v>
      </c>
      <c r="J2136" s="9">
        <f t="shared" si="33"/>
        <v>133.62299999999999</v>
      </c>
      <c r="K2136" t="s">
        <v>22</v>
      </c>
      <c r="L2136" t="s">
        <v>37</v>
      </c>
      <c r="M2136" t="str">
        <f>REPLACE(Transactions!M2136,1,4,"")</f>
        <v>2</v>
      </c>
    </row>
    <row r="2137" spans="1:13" x14ac:dyDescent="0.2">
      <c r="A2137">
        <v>454808</v>
      </c>
      <c r="B2137" s="5">
        <v>45075</v>
      </c>
      <c r="C2137">
        <v>17096</v>
      </c>
      <c r="D2137" t="str">
        <f>PROPER(Transactions!D2137)</f>
        <v>Electronics</v>
      </c>
      <c r="E2137" t="s">
        <v>79</v>
      </c>
      <c r="F2137" t="s">
        <v>80</v>
      </c>
      <c r="G2137">
        <v>1</v>
      </c>
      <c r="H2137">
        <v>67.489999999999995</v>
      </c>
      <c r="I2137" s="7">
        <f>IF(Transactions!I2137="",0,Transactions!I2137)</f>
        <v>0.25</v>
      </c>
      <c r="J2137" s="9">
        <f t="shared" si="33"/>
        <v>50.617499999999993</v>
      </c>
      <c r="K2137" t="s">
        <v>16</v>
      </c>
      <c r="L2137" t="s">
        <v>17</v>
      </c>
      <c r="M2137" t="str">
        <f>REPLACE(Transactions!M2137,1,4,"")</f>
        <v/>
      </c>
    </row>
    <row r="2138" spans="1:13" x14ac:dyDescent="0.2">
      <c r="A2138">
        <v>454984</v>
      </c>
      <c r="B2138" s="5">
        <v>45314</v>
      </c>
      <c r="C2138">
        <v>20053</v>
      </c>
      <c r="D2138" t="str">
        <f>PROPER(Transactions!D2138)</f>
        <v>Beauty</v>
      </c>
      <c r="E2138" t="s">
        <v>49</v>
      </c>
      <c r="F2138" t="s">
        <v>50</v>
      </c>
      <c r="G2138">
        <v>3</v>
      </c>
      <c r="H2138">
        <v>8.09</v>
      </c>
      <c r="I2138" s="7">
        <f>IF(Transactions!I2138="",0,Transactions!I2138)</f>
        <v>0.1</v>
      </c>
      <c r="J2138" s="9">
        <f t="shared" si="33"/>
        <v>21.843</v>
      </c>
      <c r="K2138" t="s">
        <v>32</v>
      </c>
      <c r="L2138" t="s">
        <v>37</v>
      </c>
      <c r="M2138" t="str">
        <f>REPLACE(Transactions!M2138,1,4,"")</f>
        <v>6</v>
      </c>
    </row>
    <row r="2139" spans="1:13" x14ac:dyDescent="0.2">
      <c r="A2139">
        <v>455035</v>
      </c>
      <c r="B2139" s="5">
        <v>44831</v>
      </c>
      <c r="C2139">
        <v>71781</v>
      </c>
      <c r="D2139" t="str">
        <f>PROPER(Transactions!D2139)</f>
        <v>Beauty</v>
      </c>
      <c r="E2139" t="s">
        <v>139</v>
      </c>
      <c r="F2139" t="s">
        <v>140</v>
      </c>
      <c r="G2139">
        <v>2</v>
      </c>
      <c r="H2139">
        <v>5.99</v>
      </c>
      <c r="I2139" s="7">
        <f>IF(Transactions!I2139="",0,Transactions!I2139)</f>
        <v>0</v>
      </c>
      <c r="J2139" s="9">
        <f t="shared" si="33"/>
        <v>11.98</v>
      </c>
      <c r="K2139" t="s">
        <v>95</v>
      </c>
      <c r="L2139" t="s">
        <v>37</v>
      </c>
      <c r="M2139" t="str">
        <f>REPLACE(Transactions!M2139,1,4,"")</f>
        <v>1</v>
      </c>
    </row>
    <row r="2140" spans="1:13" x14ac:dyDescent="0.2">
      <c r="A2140">
        <v>455162</v>
      </c>
      <c r="B2140" s="5">
        <v>45480</v>
      </c>
      <c r="C2140">
        <v>53331</v>
      </c>
      <c r="D2140" t="str">
        <f>PROPER(Transactions!D2140)</f>
        <v>Beauty</v>
      </c>
      <c r="E2140" t="s">
        <v>179</v>
      </c>
      <c r="F2140" t="s">
        <v>180</v>
      </c>
      <c r="G2140">
        <v>4</v>
      </c>
      <c r="H2140">
        <v>11.99</v>
      </c>
      <c r="I2140" s="7">
        <f>IF(Transactions!I2140="",0,Transactions!I2140)</f>
        <v>0</v>
      </c>
      <c r="J2140" s="9">
        <f t="shared" si="33"/>
        <v>47.96</v>
      </c>
      <c r="K2140" t="s">
        <v>95</v>
      </c>
      <c r="L2140" t="s">
        <v>37</v>
      </c>
      <c r="M2140" t="str">
        <f>REPLACE(Transactions!M2140,1,4,"")</f>
        <v>14</v>
      </c>
    </row>
    <row r="2141" spans="1:13" x14ac:dyDescent="0.2">
      <c r="A2141">
        <v>455193</v>
      </c>
      <c r="B2141" s="5">
        <v>45521</v>
      </c>
      <c r="C2141">
        <v>57260</v>
      </c>
      <c r="D2141" t="str">
        <f>PROPER(Transactions!D2141)</f>
        <v>Grocery</v>
      </c>
      <c r="E2141" t="s">
        <v>190</v>
      </c>
      <c r="F2141" t="s">
        <v>191</v>
      </c>
      <c r="G2141">
        <v>2</v>
      </c>
      <c r="H2141">
        <v>3.22</v>
      </c>
      <c r="I2141" s="7">
        <f>IF(Transactions!I2141="",0,Transactions!I2141)</f>
        <v>0.25</v>
      </c>
      <c r="J2141" s="9">
        <f t="shared" si="33"/>
        <v>4.83</v>
      </c>
      <c r="K2141" t="s">
        <v>95</v>
      </c>
      <c r="L2141" t="s">
        <v>17</v>
      </c>
      <c r="M2141" t="str">
        <f>REPLACE(Transactions!M2141,1,4,"")</f>
        <v>6</v>
      </c>
    </row>
    <row r="2142" spans="1:13" x14ac:dyDescent="0.2">
      <c r="A2142">
        <v>455479</v>
      </c>
      <c r="B2142" s="5">
        <v>45612</v>
      </c>
      <c r="C2142">
        <v>74766</v>
      </c>
      <c r="D2142" t="str">
        <f>PROPER(Transactions!D2142)</f>
        <v>Grocery</v>
      </c>
      <c r="E2142" t="s">
        <v>45</v>
      </c>
      <c r="F2142" t="s">
        <v>46</v>
      </c>
      <c r="G2142">
        <v>3</v>
      </c>
      <c r="H2142">
        <v>1.34</v>
      </c>
      <c r="I2142" s="7">
        <f>IF(Transactions!I2142="",0,Transactions!I2142)</f>
        <v>0.25</v>
      </c>
      <c r="J2142" s="9">
        <f t="shared" si="33"/>
        <v>3.0150000000000006</v>
      </c>
      <c r="K2142" t="s">
        <v>36</v>
      </c>
      <c r="L2142" t="s">
        <v>17</v>
      </c>
      <c r="M2142" t="str">
        <f>REPLACE(Transactions!M2142,1,4,"")</f>
        <v>7</v>
      </c>
    </row>
    <row r="2143" spans="1:13" x14ac:dyDescent="0.2">
      <c r="A2143">
        <v>455589</v>
      </c>
      <c r="B2143" s="5">
        <v>44926</v>
      </c>
      <c r="D2143" t="str">
        <f>PROPER(Transactions!D2143)</f>
        <v>Beauty</v>
      </c>
      <c r="E2143" t="s">
        <v>143</v>
      </c>
      <c r="F2143" t="s">
        <v>144</v>
      </c>
      <c r="G2143">
        <v>2</v>
      </c>
      <c r="H2143">
        <v>10.49</v>
      </c>
      <c r="I2143" s="7">
        <f>IF(Transactions!I2143="",0,Transactions!I2143)</f>
        <v>0.3</v>
      </c>
      <c r="J2143" s="9">
        <f t="shared" si="33"/>
        <v>14.686</v>
      </c>
      <c r="K2143" t="s">
        <v>16</v>
      </c>
      <c r="L2143" t="s">
        <v>23</v>
      </c>
      <c r="M2143" t="str">
        <f>REPLACE(Transactions!M2143,1,4,"")</f>
        <v>19</v>
      </c>
    </row>
    <row r="2144" spans="1:13" x14ac:dyDescent="0.2">
      <c r="A2144">
        <v>456209</v>
      </c>
      <c r="B2144" s="5">
        <v>45618</v>
      </c>
      <c r="C2144">
        <v>22200</v>
      </c>
      <c r="D2144" t="str">
        <f>PROPER(Transactions!D2144)</f>
        <v>Toys</v>
      </c>
      <c r="E2144" t="s">
        <v>38</v>
      </c>
      <c r="F2144" t="s">
        <v>39</v>
      </c>
      <c r="G2144">
        <v>3</v>
      </c>
      <c r="H2144">
        <v>23.99</v>
      </c>
      <c r="I2144" s="7">
        <f>IF(Transactions!I2144="",0,Transactions!I2144)</f>
        <v>0.2</v>
      </c>
      <c r="J2144" s="9">
        <f t="shared" si="33"/>
        <v>57.576000000000001</v>
      </c>
      <c r="K2144" t="s">
        <v>36</v>
      </c>
      <c r="L2144" t="s">
        <v>37</v>
      </c>
      <c r="M2144" t="str">
        <f>REPLACE(Transactions!M2144,1,4,"")</f>
        <v>11</v>
      </c>
    </row>
    <row r="2145" spans="1:13" x14ac:dyDescent="0.2">
      <c r="A2145">
        <v>456263</v>
      </c>
      <c r="B2145" s="5">
        <v>45639</v>
      </c>
      <c r="C2145">
        <v>81879</v>
      </c>
      <c r="D2145" t="str">
        <f>PROPER(Transactions!D2145)</f>
        <v>Sports</v>
      </c>
      <c r="E2145" t="s">
        <v>83</v>
      </c>
      <c r="F2145" t="s">
        <v>84</v>
      </c>
      <c r="G2145">
        <v>3</v>
      </c>
      <c r="H2145">
        <v>16.989999999999998</v>
      </c>
      <c r="I2145" s="7">
        <f>IF(Transactions!I2145="",0,Transactions!I2145)</f>
        <v>0</v>
      </c>
      <c r="J2145" s="9">
        <f t="shared" si="33"/>
        <v>50.97</v>
      </c>
      <c r="K2145" t="s">
        <v>36</v>
      </c>
      <c r="L2145" t="s">
        <v>17</v>
      </c>
      <c r="M2145" t="str">
        <f>REPLACE(Transactions!M2145,1,4,"")</f>
        <v>9</v>
      </c>
    </row>
    <row r="2146" spans="1:13" x14ac:dyDescent="0.2">
      <c r="A2146">
        <v>456489</v>
      </c>
      <c r="B2146" s="5">
        <v>44960</v>
      </c>
      <c r="C2146">
        <v>90758</v>
      </c>
      <c r="D2146" t="str">
        <f>PROPER(Transactions!D2146)</f>
        <v>Beauty</v>
      </c>
      <c r="E2146" t="s">
        <v>109</v>
      </c>
      <c r="F2146" t="s">
        <v>110</v>
      </c>
      <c r="G2146">
        <v>1</v>
      </c>
      <c r="H2146">
        <v>5.59</v>
      </c>
      <c r="I2146" s="7">
        <f>IF(Transactions!I2146="",0,Transactions!I2146)</f>
        <v>0.2</v>
      </c>
      <c r="J2146" s="9">
        <f t="shared" si="33"/>
        <v>4.4720000000000004</v>
      </c>
      <c r="K2146" t="s">
        <v>16</v>
      </c>
      <c r="L2146" t="s">
        <v>17</v>
      </c>
      <c r="M2146" t="str">
        <f>REPLACE(Transactions!M2146,1,4,"")</f>
        <v>4</v>
      </c>
    </row>
    <row r="2147" spans="1:13" x14ac:dyDescent="0.2">
      <c r="A2147">
        <v>456705</v>
      </c>
      <c r="B2147" s="5">
        <v>44657</v>
      </c>
      <c r="C2147">
        <v>54856</v>
      </c>
      <c r="D2147" t="str">
        <f>PROPER(Transactions!D2147)</f>
        <v>Sports</v>
      </c>
      <c r="E2147" t="s">
        <v>83</v>
      </c>
      <c r="F2147" t="s">
        <v>84</v>
      </c>
      <c r="G2147">
        <v>1</v>
      </c>
      <c r="H2147">
        <v>16.989999999999998</v>
      </c>
      <c r="I2147" s="7">
        <f>IF(Transactions!I2147="",0,Transactions!I2147)</f>
        <v>0</v>
      </c>
      <c r="J2147" s="9">
        <f t="shared" si="33"/>
        <v>16.989999999999998</v>
      </c>
      <c r="K2147" t="s">
        <v>16</v>
      </c>
      <c r="L2147" t="s">
        <v>17</v>
      </c>
      <c r="M2147" t="str">
        <f>REPLACE(Transactions!M2147,1,4,"")</f>
        <v>5</v>
      </c>
    </row>
    <row r="2148" spans="1:13" x14ac:dyDescent="0.2">
      <c r="A2148">
        <v>456792</v>
      </c>
      <c r="B2148" s="5">
        <v>45008</v>
      </c>
      <c r="C2148">
        <v>67668</v>
      </c>
      <c r="D2148" t="str">
        <f>PROPER(Transactions!D2148)</f>
        <v>Clothing</v>
      </c>
      <c r="E2148" t="s">
        <v>141</v>
      </c>
      <c r="F2148" t="s">
        <v>142</v>
      </c>
      <c r="G2148">
        <v>1</v>
      </c>
      <c r="H2148">
        <v>22.99</v>
      </c>
      <c r="I2148" s="7">
        <f>IF(Transactions!I2148="",0,Transactions!I2148)</f>
        <v>0</v>
      </c>
      <c r="J2148" s="9">
        <f t="shared" si="33"/>
        <v>22.99</v>
      </c>
      <c r="K2148" t="s">
        <v>22</v>
      </c>
      <c r="L2148" t="s">
        <v>37</v>
      </c>
      <c r="M2148" t="str">
        <f>REPLACE(Transactions!M2148,1,4,"")</f>
        <v>16</v>
      </c>
    </row>
    <row r="2149" spans="1:13" x14ac:dyDescent="0.2">
      <c r="A2149">
        <v>456982</v>
      </c>
      <c r="B2149" s="5">
        <v>44592</v>
      </c>
      <c r="C2149">
        <v>31562</v>
      </c>
      <c r="D2149" t="str">
        <f>PROPER(Transactions!D2149)</f>
        <v>Beauty</v>
      </c>
      <c r="E2149" t="s">
        <v>179</v>
      </c>
      <c r="F2149" t="s">
        <v>180</v>
      </c>
      <c r="G2149">
        <v>3</v>
      </c>
      <c r="H2149">
        <v>11.99</v>
      </c>
      <c r="I2149" s="7">
        <f>IF(Transactions!I2149="",0,Transactions!I2149)</f>
        <v>0</v>
      </c>
      <c r="J2149" s="9">
        <f t="shared" si="33"/>
        <v>35.97</v>
      </c>
      <c r="K2149" t="s">
        <v>36</v>
      </c>
      <c r="L2149" t="s">
        <v>17</v>
      </c>
      <c r="M2149" t="str">
        <f>REPLACE(Transactions!M2149,1,4,"")</f>
        <v>13</v>
      </c>
    </row>
    <row r="2150" spans="1:13" x14ac:dyDescent="0.2">
      <c r="A2150">
        <v>457144</v>
      </c>
      <c r="B2150" s="5">
        <v>45300</v>
      </c>
      <c r="C2150">
        <v>64775</v>
      </c>
      <c r="D2150" t="str">
        <f>PROPER(Transactions!D2150)</f>
        <v>Electronics</v>
      </c>
      <c r="E2150" t="s">
        <v>55</v>
      </c>
      <c r="F2150" t="s">
        <v>56</v>
      </c>
      <c r="G2150">
        <v>1</v>
      </c>
      <c r="H2150">
        <v>247.49</v>
      </c>
      <c r="I2150" s="7">
        <f>IF(Transactions!I2150="",0,Transactions!I2150)</f>
        <v>0.25</v>
      </c>
      <c r="J2150" s="9">
        <f t="shared" si="33"/>
        <v>185.61750000000001</v>
      </c>
      <c r="K2150" t="s">
        <v>36</v>
      </c>
      <c r="L2150" t="s">
        <v>17</v>
      </c>
      <c r="M2150" t="str">
        <f>REPLACE(Transactions!M2150,1,4,"")</f>
        <v>17</v>
      </c>
    </row>
    <row r="2151" spans="1:13" x14ac:dyDescent="0.2">
      <c r="A2151">
        <v>457356</v>
      </c>
      <c r="B2151" s="5">
        <v>44782</v>
      </c>
      <c r="C2151">
        <v>41030</v>
      </c>
      <c r="D2151" t="str">
        <f>PROPER(Transactions!D2151)</f>
        <v>Sports</v>
      </c>
      <c r="E2151" t="s">
        <v>83</v>
      </c>
      <c r="F2151" t="s">
        <v>84</v>
      </c>
      <c r="G2151">
        <v>1</v>
      </c>
      <c r="H2151">
        <v>12.74</v>
      </c>
      <c r="I2151" s="7">
        <f>IF(Transactions!I2151="",0,Transactions!I2151)</f>
        <v>0.25</v>
      </c>
      <c r="J2151" s="9">
        <f t="shared" si="33"/>
        <v>9.5549999999999997</v>
      </c>
      <c r="K2151" t="s">
        <v>36</v>
      </c>
      <c r="L2151" t="s">
        <v>37</v>
      </c>
      <c r="M2151" t="str">
        <f>REPLACE(Transactions!M2151,1,4,"")</f>
        <v>14</v>
      </c>
    </row>
    <row r="2152" spans="1:13" x14ac:dyDescent="0.2">
      <c r="A2152">
        <v>457505</v>
      </c>
      <c r="B2152" s="5">
        <v>44665</v>
      </c>
      <c r="C2152">
        <v>72498</v>
      </c>
      <c r="D2152" t="str">
        <f>PROPER(Transactions!D2152)</f>
        <v>Toys</v>
      </c>
      <c r="E2152" t="s">
        <v>38</v>
      </c>
      <c r="F2152" t="s">
        <v>39</v>
      </c>
      <c r="G2152">
        <v>1</v>
      </c>
      <c r="H2152">
        <v>22.49</v>
      </c>
      <c r="I2152" s="7">
        <f>IF(Transactions!I2152="",0,Transactions!I2152)</f>
        <v>0.25</v>
      </c>
      <c r="J2152" s="9">
        <f t="shared" si="33"/>
        <v>16.8675</v>
      </c>
      <c r="K2152" t="s">
        <v>16</v>
      </c>
      <c r="L2152" t="s">
        <v>17</v>
      </c>
      <c r="M2152" t="str">
        <f>REPLACE(Transactions!M2152,1,4,"")</f>
        <v>9</v>
      </c>
    </row>
    <row r="2153" spans="1:13" x14ac:dyDescent="0.2">
      <c r="A2153">
        <v>457875</v>
      </c>
      <c r="B2153" s="5">
        <v>45232</v>
      </c>
      <c r="C2153">
        <v>50152</v>
      </c>
      <c r="D2153" t="str">
        <f>PROPER(Transactions!D2153)</f>
        <v>Electronics</v>
      </c>
      <c r="E2153" t="s">
        <v>127</v>
      </c>
      <c r="F2153" t="s">
        <v>128</v>
      </c>
      <c r="G2153">
        <v>2</v>
      </c>
      <c r="H2153">
        <v>13.99</v>
      </c>
      <c r="I2153" s="7">
        <f>IF(Transactions!I2153="",0,Transactions!I2153)</f>
        <v>0.3</v>
      </c>
      <c r="J2153" s="9">
        <f t="shared" si="33"/>
        <v>19.585999999999999</v>
      </c>
      <c r="K2153" t="s">
        <v>16</v>
      </c>
      <c r="L2153" t="s">
        <v>17</v>
      </c>
      <c r="M2153" t="str">
        <f>REPLACE(Transactions!M2153,1,4,"")</f>
        <v>8</v>
      </c>
    </row>
    <row r="2154" spans="1:13" x14ac:dyDescent="0.2">
      <c r="A2154">
        <v>457948</v>
      </c>
      <c r="B2154" s="5">
        <v>45324</v>
      </c>
      <c r="D2154" t="str">
        <f>PROPER(Transactions!D2154)</f>
        <v>Clothing</v>
      </c>
      <c r="E2154" t="s">
        <v>141</v>
      </c>
      <c r="F2154" t="s">
        <v>142</v>
      </c>
      <c r="G2154">
        <v>2</v>
      </c>
      <c r="H2154">
        <v>17.239999999999998</v>
      </c>
      <c r="I2154" s="7">
        <f>IF(Transactions!I2154="",0,Transactions!I2154)</f>
        <v>0.25</v>
      </c>
      <c r="J2154" s="9">
        <f t="shared" si="33"/>
        <v>25.86</v>
      </c>
      <c r="K2154" t="s">
        <v>53</v>
      </c>
      <c r="L2154" t="s">
        <v>17</v>
      </c>
      <c r="M2154" t="str">
        <f>REPLACE(Transactions!M2154,1,4,"")</f>
        <v>1</v>
      </c>
    </row>
    <row r="2155" spans="1:13" x14ac:dyDescent="0.2">
      <c r="A2155">
        <v>457953</v>
      </c>
      <c r="B2155" s="5">
        <v>44738</v>
      </c>
      <c r="C2155">
        <v>98742</v>
      </c>
      <c r="D2155" t="str">
        <f>PROPER(Transactions!D2155)</f>
        <v>Automotive</v>
      </c>
      <c r="E2155" t="s">
        <v>131</v>
      </c>
      <c r="F2155" t="s">
        <v>132</v>
      </c>
      <c r="G2155">
        <v>1</v>
      </c>
      <c r="H2155">
        <v>3.49</v>
      </c>
      <c r="I2155" s="7">
        <f>IF(Transactions!I2155="",0,Transactions!I2155)</f>
        <v>0</v>
      </c>
      <c r="J2155" s="9">
        <f t="shared" si="33"/>
        <v>3.49</v>
      </c>
      <c r="K2155" t="s">
        <v>16</v>
      </c>
      <c r="L2155" t="s">
        <v>37</v>
      </c>
      <c r="M2155" t="str">
        <f>REPLACE(Transactions!M2155,1,4,"")</f>
        <v>6</v>
      </c>
    </row>
    <row r="2156" spans="1:13" x14ac:dyDescent="0.2">
      <c r="A2156">
        <v>458100</v>
      </c>
      <c r="B2156" s="5">
        <v>45466</v>
      </c>
      <c r="C2156">
        <v>81095</v>
      </c>
      <c r="D2156" t="str">
        <f>PROPER(Transactions!D2156)</f>
        <v>Grocery</v>
      </c>
      <c r="E2156" t="s">
        <v>162</v>
      </c>
      <c r="F2156" t="s">
        <v>163</v>
      </c>
      <c r="G2156">
        <v>2</v>
      </c>
      <c r="H2156">
        <v>6.39</v>
      </c>
      <c r="I2156" s="7">
        <f>IF(Transactions!I2156="",0,Transactions!I2156)</f>
        <v>0.2</v>
      </c>
      <c r="J2156" s="9">
        <f t="shared" si="33"/>
        <v>10.224</v>
      </c>
      <c r="K2156" t="s">
        <v>16</v>
      </c>
      <c r="L2156" t="s">
        <v>17</v>
      </c>
      <c r="M2156" t="str">
        <f>REPLACE(Transactions!M2156,1,4,"")</f>
        <v>20</v>
      </c>
    </row>
    <row r="2157" spans="1:13" x14ac:dyDescent="0.2">
      <c r="A2157">
        <v>458328</v>
      </c>
      <c r="B2157" s="5">
        <v>45535</v>
      </c>
      <c r="C2157">
        <v>52102</v>
      </c>
      <c r="D2157" t="str">
        <f>PROPER(Transactions!D2157)</f>
        <v>Clothing</v>
      </c>
      <c r="E2157" t="s">
        <v>193</v>
      </c>
      <c r="F2157" t="s">
        <v>194</v>
      </c>
      <c r="G2157">
        <v>5</v>
      </c>
      <c r="H2157">
        <v>51.99</v>
      </c>
      <c r="I2157" s="7">
        <f>IF(Transactions!I2157="",0,Transactions!I2157)</f>
        <v>0.2</v>
      </c>
      <c r="J2157" s="9">
        <f t="shared" si="33"/>
        <v>207.96</v>
      </c>
      <c r="K2157" t="s">
        <v>95</v>
      </c>
      <c r="L2157" t="s">
        <v>17</v>
      </c>
      <c r="M2157" t="str">
        <f>REPLACE(Transactions!M2157,1,4,"")</f>
        <v/>
      </c>
    </row>
    <row r="2158" spans="1:13" x14ac:dyDescent="0.2">
      <c r="A2158">
        <v>458792</v>
      </c>
      <c r="B2158" s="5">
        <v>45379</v>
      </c>
      <c r="C2158">
        <v>37691</v>
      </c>
      <c r="D2158" t="str">
        <f>PROPER(Transactions!D2158)</f>
        <v>Electronics</v>
      </c>
      <c r="E2158" t="s">
        <v>14</v>
      </c>
      <c r="F2158" t="s">
        <v>15</v>
      </c>
      <c r="G2158">
        <v>5</v>
      </c>
      <c r="H2158">
        <v>75.989999999999995</v>
      </c>
      <c r="I2158" s="7">
        <f>IF(Transactions!I2158="",0,Transactions!I2158)</f>
        <v>0.05</v>
      </c>
      <c r="J2158" s="9">
        <f t="shared" si="33"/>
        <v>360.95249999999999</v>
      </c>
      <c r="K2158" t="s">
        <v>36</v>
      </c>
      <c r="L2158" t="s">
        <v>23</v>
      </c>
      <c r="M2158" t="str">
        <f>REPLACE(Transactions!M2158,1,4,"")</f>
        <v>6</v>
      </c>
    </row>
    <row r="2159" spans="1:13" x14ac:dyDescent="0.2">
      <c r="A2159">
        <v>458995</v>
      </c>
      <c r="B2159" s="5">
        <v>44701</v>
      </c>
      <c r="D2159" t="str">
        <f>PROPER(Transactions!D2159)</f>
        <v>Clothing</v>
      </c>
      <c r="E2159" t="s">
        <v>135</v>
      </c>
      <c r="F2159" t="s">
        <v>136</v>
      </c>
      <c r="G2159">
        <v>1</v>
      </c>
      <c r="H2159">
        <v>7.99</v>
      </c>
      <c r="I2159" s="7">
        <f>IF(Transactions!I2159="",0,Transactions!I2159)</f>
        <v>0.2</v>
      </c>
      <c r="J2159" s="9">
        <f t="shared" si="33"/>
        <v>6.3920000000000003</v>
      </c>
      <c r="K2159" t="s">
        <v>16</v>
      </c>
      <c r="L2159" t="s">
        <v>37</v>
      </c>
      <c r="M2159" t="str">
        <f>REPLACE(Transactions!M2159,1,4,"")</f>
        <v>10</v>
      </c>
    </row>
    <row r="2160" spans="1:13" x14ac:dyDescent="0.2">
      <c r="A2160">
        <v>459113</v>
      </c>
      <c r="B2160" s="5">
        <v>45295</v>
      </c>
      <c r="C2160">
        <v>27141</v>
      </c>
      <c r="D2160" t="str">
        <f>PROPER(Transactions!D2160)</f>
        <v>Home &amp; Garden</v>
      </c>
      <c r="E2160" t="s">
        <v>149</v>
      </c>
      <c r="F2160" t="s">
        <v>150</v>
      </c>
      <c r="G2160">
        <v>5</v>
      </c>
      <c r="H2160">
        <v>13.99</v>
      </c>
      <c r="I2160" s="7">
        <f>IF(Transactions!I2160="",0,Transactions!I2160)</f>
        <v>0.3</v>
      </c>
      <c r="J2160" s="9">
        <f t="shared" si="33"/>
        <v>48.964999999999996</v>
      </c>
      <c r="K2160" t="s">
        <v>22</v>
      </c>
      <c r="L2160" t="s">
        <v>37</v>
      </c>
      <c r="M2160" t="str">
        <f>REPLACE(Transactions!M2160,1,4,"")</f>
        <v/>
      </c>
    </row>
    <row r="2161" spans="1:13" x14ac:dyDescent="0.2">
      <c r="A2161">
        <v>459434</v>
      </c>
      <c r="B2161" s="5">
        <v>45468</v>
      </c>
      <c r="C2161">
        <v>35167</v>
      </c>
      <c r="D2161" t="str">
        <f>PROPER(Transactions!D2161)</f>
        <v>Automotive</v>
      </c>
      <c r="E2161" t="s">
        <v>131</v>
      </c>
      <c r="F2161" t="s">
        <v>132</v>
      </c>
      <c r="G2161">
        <v>4</v>
      </c>
      <c r="H2161">
        <v>2.97</v>
      </c>
      <c r="I2161" s="7">
        <f>IF(Transactions!I2161="",0,Transactions!I2161)</f>
        <v>0.15</v>
      </c>
      <c r="J2161" s="9">
        <f t="shared" si="33"/>
        <v>10.098000000000001</v>
      </c>
      <c r="K2161" t="s">
        <v>95</v>
      </c>
      <c r="L2161" t="s">
        <v>17</v>
      </c>
      <c r="M2161" t="str">
        <f>REPLACE(Transactions!M2161,1,4,"")</f>
        <v>6</v>
      </c>
    </row>
    <row r="2162" spans="1:13" x14ac:dyDescent="0.2">
      <c r="A2162">
        <v>459462</v>
      </c>
      <c r="B2162" s="5">
        <v>44927</v>
      </c>
      <c r="D2162" t="str">
        <f>PROPER(Transactions!D2162)</f>
        <v>Grocery</v>
      </c>
      <c r="E2162" t="s">
        <v>172</v>
      </c>
      <c r="F2162" t="s">
        <v>173</v>
      </c>
      <c r="G2162">
        <v>1</v>
      </c>
      <c r="H2162">
        <v>4.49</v>
      </c>
      <c r="I2162" s="7">
        <f>IF(Transactions!I2162="",0,Transactions!I2162)</f>
        <v>0</v>
      </c>
      <c r="J2162" s="9">
        <f t="shared" si="33"/>
        <v>4.49</v>
      </c>
      <c r="K2162" t="s">
        <v>36</v>
      </c>
      <c r="L2162" t="s">
        <v>17</v>
      </c>
      <c r="M2162" t="str">
        <f>REPLACE(Transactions!M2162,1,4,"")</f>
        <v>5</v>
      </c>
    </row>
    <row r="2163" spans="1:13" x14ac:dyDescent="0.2">
      <c r="A2163">
        <v>459653</v>
      </c>
      <c r="B2163" s="5">
        <v>45057</v>
      </c>
      <c r="C2163">
        <v>23027</v>
      </c>
      <c r="D2163" t="str">
        <f>PROPER(Transactions!D2163)</f>
        <v>Electronics</v>
      </c>
      <c r="E2163" t="s">
        <v>127</v>
      </c>
      <c r="F2163" t="s">
        <v>128</v>
      </c>
      <c r="G2163">
        <v>1</v>
      </c>
      <c r="H2163">
        <v>19.989999999999998</v>
      </c>
      <c r="I2163" s="7">
        <f>IF(Transactions!I2163="",0,Transactions!I2163)</f>
        <v>0</v>
      </c>
      <c r="J2163" s="9">
        <f t="shared" si="33"/>
        <v>19.989999999999998</v>
      </c>
      <c r="K2163" t="s">
        <v>36</v>
      </c>
      <c r="L2163" t="s">
        <v>37</v>
      </c>
      <c r="M2163" t="str">
        <f>REPLACE(Transactions!M2163,1,4,"")</f>
        <v>15</v>
      </c>
    </row>
    <row r="2164" spans="1:13" x14ac:dyDescent="0.2">
      <c r="A2164">
        <v>459724</v>
      </c>
      <c r="B2164" s="5">
        <v>45306</v>
      </c>
      <c r="C2164">
        <v>25368</v>
      </c>
      <c r="D2164" t="str">
        <f>PROPER(Transactions!D2164)</f>
        <v>Toys</v>
      </c>
      <c r="E2164" t="s">
        <v>175</v>
      </c>
      <c r="F2164" t="s">
        <v>176</v>
      </c>
      <c r="G2164">
        <v>1</v>
      </c>
      <c r="H2164">
        <v>8.39</v>
      </c>
      <c r="I2164" s="7">
        <f>IF(Transactions!I2164="",0,Transactions!I2164)</f>
        <v>0</v>
      </c>
      <c r="J2164" s="9">
        <f t="shared" si="33"/>
        <v>8.39</v>
      </c>
      <c r="K2164" t="s">
        <v>22</v>
      </c>
      <c r="L2164" t="s">
        <v>37</v>
      </c>
      <c r="M2164" t="str">
        <f>REPLACE(Transactions!M2164,1,4,"")</f>
        <v>14</v>
      </c>
    </row>
    <row r="2165" spans="1:13" x14ac:dyDescent="0.2">
      <c r="A2165">
        <v>459806</v>
      </c>
      <c r="B2165" s="5">
        <v>45077</v>
      </c>
      <c r="C2165">
        <v>47951</v>
      </c>
      <c r="D2165" t="str">
        <f>PROPER(Transactions!D2165)</f>
        <v>Electronics</v>
      </c>
      <c r="E2165" t="s">
        <v>79</v>
      </c>
      <c r="F2165" t="s">
        <v>80</v>
      </c>
      <c r="G2165">
        <v>2</v>
      </c>
      <c r="H2165">
        <v>62.99</v>
      </c>
      <c r="I2165" s="7">
        <f>IF(Transactions!I2165="",0,Transactions!I2165)</f>
        <v>0.3</v>
      </c>
      <c r="J2165" s="9">
        <f t="shared" si="33"/>
        <v>88.185999999999993</v>
      </c>
      <c r="K2165" t="s">
        <v>16</v>
      </c>
      <c r="L2165" t="s">
        <v>17</v>
      </c>
      <c r="M2165" t="str">
        <f>REPLACE(Transactions!M2165,1,4,"")</f>
        <v>3</v>
      </c>
    </row>
    <row r="2166" spans="1:13" x14ac:dyDescent="0.2">
      <c r="A2166">
        <v>460175</v>
      </c>
      <c r="B2166" s="5">
        <v>45211</v>
      </c>
      <c r="C2166">
        <v>26550</v>
      </c>
      <c r="D2166" t="str">
        <f>PROPER(Transactions!D2166)</f>
        <v>Grocery</v>
      </c>
      <c r="E2166" t="s">
        <v>195</v>
      </c>
      <c r="F2166" t="s">
        <v>196</v>
      </c>
      <c r="G2166">
        <v>2</v>
      </c>
      <c r="H2166">
        <v>4.49</v>
      </c>
      <c r="I2166" s="7">
        <f>IF(Transactions!I2166="",0,Transactions!I2166)</f>
        <v>0.1</v>
      </c>
      <c r="J2166" s="9">
        <f t="shared" si="33"/>
        <v>8.0820000000000007</v>
      </c>
      <c r="K2166" t="s">
        <v>16</v>
      </c>
      <c r="L2166" t="s">
        <v>17</v>
      </c>
      <c r="M2166" t="str">
        <f>REPLACE(Transactions!M2166,1,4,"")</f>
        <v>9</v>
      </c>
    </row>
    <row r="2167" spans="1:13" x14ac:dyDescent="0.2">
      <c r="A2167">
        <v>460232</v>
      </c>
      <c r="B2167" s="5">
        <v>44622</v>
      </c>
      <c r="C2167">
        <v>13210</v>
      </c>
      <c r="D2167" t="str">
        <f>PROPER(Transactions!D2167)</f>
        <v>Sports</v>
      </c>
      <c r="E2167" t="s">
        <v>168</v>
      </c>
      <c r="F2167" t="s">
        <v>169</v>
      </c>
      <c r="G2167">
        <v>1</v>
      </c>
      <c r="H2167">
        <v>6.74</v>
      </c>
      <c r="I2167" s="7">
        <f>IF(Transactions!I2167="",0,Transactions!I2167)</f>
        <v>0.25</v>
      </c>
      <c r="J2167" s="9">
        <f t="shared" si="33"/>
        <v>5.0549999999999997</v>
      </c>
      <c r="K2167" t="s">
        <v>22</v>
      </c>
      <c r="L2167" t="s">
        <v>17</v>
      </c>
      <c r="M2167" t="str">
        <f>REPLACE(Transactions!M2167,1,4,"")</f>
        <v>5</v>
      </c>
    </row>
    <row r="2168" spans="1:13" x14ac:dyDescent="0.2">
      <c r="A2168">
        <v>460323</v>
      </c>
      <c r="B2168" s="5">
        <v>45292</v>
      </c>
      <c r="C2168">
        <v>87114</v>
      </c>
      <c r="D2168" t="str">
        <f>PROPER(Transactions!D2168)</f>
        <v>Electronics</v>
      </c>
      <c r="E2168" t="s">
        <v>186</v>
      </c>
      <c r="F2168" t="s">
        <v>187</v>
      </c>
      <c r="G2168">
        <v>5</v>
      </c>
      <c r="H2168">
        <v>49.99</v>
      </c>
      <c r="I2168" s="7">
        <f>IF(Transactions!I2168="",0,Transactions!I2168)</f>
        <v>0</v>
      </c>
      <c r="J2168" s="9">
        <f t="shared" si="33"/>
        <v>249.95000000000002</v>
      </c>
      <c r="K2168" t="s">
        <v>16</v>
      </c>
      <c r="L2168" t="s">
        <v>17</v>
      </c>
      <c r="M2168" t="str">
        <f>REPLACE(Transactions!M2168,1,4,"")</f>
        <v>7</v>
      </c>
    </row>
    <row r="2169" spans="1:13" x14ac:dyDescent="0.2">
      <c r="A2169">
        <v>460663</v>
      </c>
      <c r="B2169" s="5">
        <v>45340</v>
      </c>
      <c r="C2169">
        <v>80284</v>
      </c>
      <c r="D2169" t="str">
        <f>PROPER(Transactions!D2169)</f>
        <v>Sports</v>
      </c>
      <c r="E2169" t="s">
        <v>100</v>
      </c>
      <c r="F2169" t="s">
        <v>101</v>
      </c>
      <c r="G2169">
        <v>1</v>
      </c>
      <c r="H2169">
        <v>22.99</v>
      </c>
      <c r="I2169" s="7">
        <f>IF(Transactions!I2169="",0,Transactions!I2169)</f>
        <v>0</v>
      </c>
      <c r="J2169" s="9">
        <f t="shared" si="33"/>
        <v>22.99</v>
      </c>
      <c r="K2169" t="s">
        <v>22</v>
      </c>
      <c r="L2169" t="s">
        <v>37</v>
      </c>
      <c r="M2169" t="str">
        <f>REPLACE(Transactions!M2169,1,4,"")</f>
        <v>12</v>
      </c>
    </row>
    <row r="2170" spans="1:13" x14ac:dyDescent="0.2">
      <c r="A2170">
        <v>460959</v>
      </c>
      <c r="B2170" s="5">
        <v>44876</v>
      </c>
      <c r="C2170">
        <v>74028</v>
      </c>
      <c r="D2170" t="str">
        <f>PROPER(Transactions!D2170)</f>
        <v>Electronics</v>
      </c>
      <c r="E2170" t="s">
        <v>79</v>
      </c>
      <c r="F2170" t="s">
        <v>80</v>
      </c>
      <c r="G2170">
        <v>1</v>
      </c>
      <c r="H2170">
        <v>71.989999999999995</v>
      </c>
      <c r="I2170" s="7">
        <f>IF(Transactions!I2170="",0,Transactions!I2170)</f>
        <v>0.2</v>
      </c>
      <c r="J2170" s="9">
        <f t="shared" si="33"/>
        <v>57.591999999999999</v>
      </c>
      <c r="K2170" t="s">
        <v>16</v>
      </c>
      <c r="L2170" t="s">
        <v>17</v>
      </c>
      <c r="M2170" t="str">
        <f>REPLACE(Transactions!M2170,1,4,"")</f>
        <v>12</v>
      </c>
    </row>
    <row r="2171" spans="1:13" x14ac:dyDescent="0.2">
      <c r="A2171">
        <v>460987</v>
      </c>
      <c r="B2171" s="5">
        <v>45546</v>
      </c>
      <c r="C2171">
        <v>59173</v>
      </c>
      <c r="D2171" t="str">
        <f>PROPER(Transactions!D2171)</f>
        <v>Home &amp; Garden</v>
      </c>
      <c r="E2171" t="s">
        <v>145</v>
      </c>
      <c r="F2171" t="s">
        <v>146</v>
      </c>
      <c r="G2171">
        <v>3</v>
      </c>
      <c r="H2171">
        <v>13.59</v>
      </c>
      <c r="I2171" s="7">
        <f>IF(Transactions!I2171="",0,Transactions!I2171)</f>
        <v>0.2</v>
      </c>
      <c r="J2171" s="9">
        <f t="shared" si="33"/>
        <v>32.616</v>
      </c>
      <c r="K2171" t="s">
        <v>16</v>
      </c>
      <c r="L2171" t="s">
        <v>17</v>
      </c>
      <c r="M2171" t="str">
        <f>REPLACE(Transactions!M2171,1,4,"")</f>
        <v>19</v>
      </c>
    </row>
    <row r="2172" spans="1:13" x14ac:dyDescent="0.2">
      <c r="A2172">
        <v>460996</v>
      </c>
      <c r="B2172" s="5">
        <v>45186</v>
      </c>
      <c r="C2172">
        <v>24350</v>
      </c>
      <c r="D2172" t="str">
        <f>PROPER(Transactions!D2172)</f>
        <v>Electronics</v>
      </c>
      <c r="E2172" t="s">
        <v>34</v>
      </c>
      <c r="F2172" t="s">
        <v>35</v>
      </c>
      <c r="G2172">
        <v>3</v>
      </c>
      <c r="H2172">
        <v>31.49</v>
      </c>
      <c r="I2172" s="7">
        <f>IF(Transactions!I2172="",0,Transactions!I2172)</f>
        <v>0.1</v>
      </c>
      <c r="J2172" s="9">
        <f t="shared" si="33"/>
        <v>85.022999999999996</v>
      </c>
      <c r="K2172" t="s">
        <v>22</v>
      </c>
      <c r="L2172" t="s">
        <v>17</v>
      </c>
      <c r="M2172" t="str">
        <f>REPLACE(Transactions!M2172,1,4,"")</f>
        <v>16</v>
      </c>
    </row>
    <row r="2173" spans="1:13" x14ac:dyDescent="0.2">
      <c r="A2173">
        <v>461018</v>
      </c>
      <c r="B2173" s="5">
        <v>45017</v>
      </c>
      <c r="C2173">
        <v>53318</v>
      </c>
      <c r="D2173" t="str">
        <f>PROPER(Transactions!D2173)</f>
        <v>Clothing</v>
      </c>
      <c r="E2173" t="s">
        <v>165</v>
      </c>
      <c r="F2173" t="s">
        <v>166</v>
      </c>
      <c r="G2173">
        <v>3</v>
      </c>
      <c r="H2173">
        <v>62.99</v>
      </c>
      <c r="I2173" s="7">
        <f>IF(Transactions!I2173="",0,Transactions!I2173)</f>
        <v>0.3</v>
      </c>
      <c r="J2173" s="9">
        <f t="shared" si="33"/>
        <v>132.279</v>
      </c>
      <c r="K2173" t="s">
        <v>36</v>
      </c>
      <c r="L2173" t="s">
        <v>17</v>
      </c>
      <c r="M2173" t="str">
        <f>REPLACE(Transactions!M2173,1,4,"")</f>
        <v>8</v>
      </c>
    </row>
    <row r="2174" spans="1:13" x14ac:dyDescent="0.2">
      <c r="A2174">
        <v>461264</v>
      </c>
      <c r="B2174" s="5">
        <v>45008</v>
      </c>
      <c r="C2174">
        <v>19046</v>
      </c>
      <c r="D2174" t="str">
        <f>PROPER(Transactions!D2174)</f>
        <v>Beauty</v>
      </c>
      <c r="E2174" t="s">
        <v>49</v>
      </c>
      <c r="F2174" t="s">
        <v>50</v>
      </c>
      <c r="G2174">
        <v>1</v>
      </c>
      <c r="H2174">
        <v>8.99</v>
      </c>
      <c r="I2174" s="7">
        <f>IF(Transactions!I2174="",0,Transactions!I2174)</f>
        <v>0</v>
      </c>
      <c r="J2174" s="9">
        <f t="shared" si="33"/>
        <v>8.99</v>
      </c>
      <c r="K2174" t="s">
        <v>16</v>
      </c>
      <c r="L2174" t="s">
        <v>17</v>
      </c>
      <c r="M2174" t="str">
        <f>REPLACE(Transactions!M2174,1,4,"")</f>
        <v>4</v>
      </c>
    </row>
    <row r="2175" spans="1:13" x14ac:dyDescent="0.2">
      <c r="A2175">
        <v>461325</v>
      </c>
      <c r="B2175" s="5">
        <v>45353</v>
      </c>
      <c r="C2175">
        <v>43501</v>
      </c>
      <c r="D2175" t="str">
        <f>PROPER(Transactions!D2175)</f>
        <v>Home &amp; Garden</v>
      </c>
      <c r="E2175" t="s">
        <v>149</v>
      </c>
      <c r="F2175" t="s">
        <v>150</v>
      </c>
      <c r="G2175">
        <v>5</v>
      </c>
      <c r="H2175">
        <v>18.989999999999998</v>
      </c>
      <c r="I2175" s="7">
        <f>IF(Transactions!I2175="",0,Transactions!I2175)</f>
        <v>0.05</v>
      </c>
      <c r="J2175" s="9">
        <f t="shared" si="33"/>
        <v>90.202499999999986</v>
      </c>
      <c r="K2175" t="s">
        <v>16</v>
      </c>
      <c r="L2175" t="s">
        <v>17</v>
      </c>
      <c r="M2175" t="str">
        <f>REPLACE(Transactions!M2175,1,4,"")</f>
        <v>17</v>
      </c>
    </row>
    <row r="2176" spans="1:13" x14ac:dyDescent="0.2">
      <c r="A2176">
        <v>461518</v>
      </c>
      <c r="B2176" s="5">
        <v>44623</v>
      </c>
      <c r="C2176">
        <v>81083</v>
      </c>
      <c r="D2176" t="str">
        <f>PROPER(Transactions!D2176)</f>
        <v>Sports</v>
      </c>
      <c r="E2176" t="s">
        <v>188</v>
      </c>
      <c r="F2176" t="s">
        <v>189</v>
      </c>
      <c r="G2176">
        <v>2</v>
      </c>
      <c r="H2176">
        <v>38.24</v>
      </c>
      <c r="I2176" s="7">
        <f>IF(Transactions!I2176="",0,Transactions!I2176)</f>
        <v>0.15</v>
      </c>
      <c r="J2176" s="9">
        <f t="shared" si="33"/>
        <v>65.007999999999996</v>
      </c>
      <c r="K2176" t="s">
        <v>16</v>
      </c>
      <c r="L2176" t="s">
        <v>17</v>
      </c>
      <c r="M2176" t="str">
        <f>REPLACE(Transactions!M2176,1,4,"")</f>
        <v>11</v>
      </c>
    </row>
    <row r="2177" spans="1:13" x14ac:dyDescent="0.2">
      <c r="A2177">
        <v>461702</v>
      </c>
      <c r="B2177" s="5">
        <v>44611</v>
      </c>
      <c r="C2177">
        <v>24673</v>
      </c>
      <c r="D2177" t="str">
        <f>PROPER(Transactions!D2177)</f>
        <v>Toys</v>
      </c>
      <c r="E2177" t="s">
        <v>72</v>
      </c>
      <c r="F2177" t="s">
        <v>73</v>
      </c>
      <c r="G2177">
        <v>1</v>
      </c>
      <c r="H2177">
        <v>39.99</v>
      </c>
      <c r="I2177" s="7">
        <f>IF(Transactions!I2177="",0,Transactions!I2177)</f>
        <v>0</v>
      </c>
      <c r="J2177" s="9">
        <f t="shared" si="33"/>
        <v>39.99</v>
      </c>
      <c r="K2177" t="s">
        <v>36</v>
      </c>
      <c r="L2177" t="s">
        <v>17</v>
      </c>
      <c r="M2177" t="str">
        <f>REPLACE(Transactions!M2177,1,4,"")</f>
        <v>17</v>
      </c>
    </row>
    <row r="2178" spans="1:13" x14ac:dyDescent="0.2">
      <c r="A2178">
        <v>461722</v>
      </c>
      <c r="B2178" s="5">
        <v>45519</v>
      </c>
      <c r="C2178">
        <v>97539</v>
      </c>
      <c r="D2178" t="str">
        <f>PROPER(Transactions!D2178)</f>
        <v>Automotive</v>
      </c>
      <c r="E2178" t="s">
        <v>64</v>
      </c>
      <c r="F2178" t="s">
        <v>65</v>
      </c>
      <c r="G2178">
        <v>2</v>
      </c>
      <c r="H2178">
        <v>3.74</v>
      </c>
      <c r="I2178" s="7">
        <f>IF(Transactions!I2178="",0,Transactions!I2178)</f>
        <v>0.25</v>
      </c>
      <c r="J2178" s="9">
        <f t="shared" si="33"/>
        <v>5.61</v>
      </c>
      <c r="K2178" t="s">
        <v>36</v>
      </c>
      <c r="L2178" t="s">
        <v>17</v>
      </c>
      <c r="M2178" t="str">
        <f>REPLACE(Transactions!M2178,1,4,"")</f>
        <v>4</v>
      </c>
    </row>
    <row r="2179" spans="1:13" x14ac:dyDescent="0.2">
      <c r="A2179">
        <v>461792</v>
      </c>
      <c r="B2179" s="5">
        <v>45393</v>
      </c>
      <c r="C2179">
        <v>75776</v>
      </c>
      <c r="D2179" t="str">
        <f>PROPER(Transactions!D2179)</f>
        <v>Beauty</v>
      </c>
      <c r="E2179" t="s">
        <v>143</v>
      </c>
      <c r="F2179" t="s">
        <v>144</v>
      </c>
      <c r="G2179">
        <v>4</v>
      </c>
      <c r="H2179">
        <v>12.74</v>
      </c>
      <c r="I2179" s="7">
        <f>IF(Transactions!I2179="",0,Transactions!I2179)</f>
        <v>0.15</v>
      </c>
      <c r="J2179" s="9">
        <f t="shared" ref="J2179:J2242" si="34">(H2179*G2179)*(1-I2179)</f>
        <v>43.316000000000003</v>
      </c>
      <c r="K2179" t="s">
        <v>36</v>
      </c>
      <c r="L2179" t="s">
        <v>17</v>
      </c>
      <c r="M2179" t="str">
        <f>REPLACE(Transactions!M2179,1,4,"")</f>
        <v>19</v>
      </c>
    </row>
    <row r="2180" spans="1:13" x14ac:dyDescent="0.2">
      <c r="A2180">
        <v>461855</v>
      </c>
      <c r="B2180" s="5">
        <v>44789</v>
      </c>
      <c r="C2180">
        <v>38878</v>
      </c>
      <c r="D2180" t="str">
        <f>PROPER(Transactions!D2180)</f>
        <v>Pharmacy</v>
      </c>
      <c r="E2180" t="s">
        <v>41</v>
      </c>
      <c r="F2180" t="s">
        <v>42</v>
      </c>
      <c r="G2180">
        <v>4</v>
      </c>
      <c r="H2180">
        <v>5.99</v>
      </c>
      <c r="I2180" s="7">
        <f>IF(Transactions!I2180="",0,Transactions!I2180)</f>
        <v>0</v>
      </c>
      <c r="J2180" s="9">
        <f t="shared" si="34"/>
        <v>23.96</v>
      </c>
      <c r="K2180" t="s">
        <v>32</v>
      </c>
      <c r="L2180" t="s">
        <v>37</v>
      </c>
      <c r="M2180" t="str">
        <f>REPLACE(Transactions!M2180,1,4,"")</f>
        <v>4</v>
      </c>
    </row>
    <row r="2181" spans="1:13" x14ac:dyDescent="0.2">
      <c r="A2181">
        <v>461876</v>
      </c>
      <c r="B2181" s="5">
        <v>44908</v>
      </c>
      <c r="C2181">
        <v>66898</v>
      </c>
      <c r="D2181" t="str">
        <f>PROPER(Transactions!D2181)</f>
        <v>Grocery</v>
      </c>
      <c r="E2181" t="s">
        <v>172</v>
      </c>
      <c r="F2181" t="s">
        <v>173</v>
      </c>
      <c r="G2181">
        <v>2</v>
      </c>
      <c r="H2181">
        <v>3.37</v>
      </c>
      <c r="I2181" s="7">
        <f>IF(Transactions!I2181="",0,Transactions!I2181)</f>
        <v>0.25</v>
      </c>
      <c r="J2181" s="9">
        <f t="shared" si="34"/>
        <v>5.0549999999999997</v>
      </c>
      <c r="K2181" t="s">
        <v>22</v>
      </c>
      <c r="L2181" t="s">
        <v>37</v>
      </c>
      <c r="M2181" t="str">
        <f>REPLACE(Transactions!M2181,1,4,"")</f>
        <v>5</v>
      </c>
    </row>
    <row r="2182" spans="1:13" x14ac:dyDescent="0.2">
      <c r="A2182">
        <v>462420</v>
      </c>
      <c r="B2182" s="5">
        <v>44668</v>
      </c>
      <c r="C2182">
        <v>34211</v>
      </c>
      <c r="D2182" t="str">
        <f>PROPER(Transactions!D2182)</f>
        <v>Automotive</v>
      </c>
      <c r="E2182" t="s">
        <v>64</v>
      </c>
      <c r="F2182" t="s">
        <v>65</v>
      </c>
      <c r="G2182">
        <v>2</v>
      </c>
      <c r="H2182">
        <v>3.74</v>
      </c>
      <c r="I2182" s="7">
        <f>IF(Transactions!I2182="",0,Transactions!I2182)</f>
        <v>0.25</v>
      </c>
      <c r="J2182" s="9">
        <f t="shared" si="34"/>
        <v>5.61</v>
      </c>
      <c r="K2182" t="s">
        <v>16</v>
      </c>
      <c r="L2182" t="s">
        <v>17</v>
      </c>
      <c r="M2182" t="str">
        <f>REPLACE(Transactions!M2182,1,4,"")</f>
        <v>12</v>
      </c>
    </row>
    <row r="2183" spans="1:13" x14ac:dyDescent="0.2">
      <c r="A2183">
        <v>462512</v>
      </c>
      <c r="B2183" s="5">
        <v>45542</v>
      </c>
      <c r="D2183" t="str">
        <f>PROPER(Transactions!D2183)</f>
        <v>Automotive</v>
      </c>
      <c r="E2183" t="s">
        <v>64</v>
      </c>
      <c r="F2183" t="s">
        <v>65</v>
      </c>
      <c r="G2183">
        <v>1</v>
      </c>
      <c r="H2183">
        <v>4.24</v>
      </c>
      <c r="I2183" s="7">
        <f>IF(Transactions!I2183="",0,Transactions!I2183)</f>
        <v>0.15</v>
      </c>
      <c r="J2183" s="9">
        <f t="shared" si="34"/>
        <v>3.6040000000000001</v>
      </c>
      <c r="K2183" t="s">
        <v>53</v>
      </c>
      <c r="L2183" t="s">
        <v>37</v>
      </c>
      <c r="M2183" t="str">
        <f>REPLACE(Transactions!M2183,1,4,"")</f>
        <v>9</v>
      </c>
    </row>
    <row r="2184" spans="1:13" x14ac:dyDescent="0.2">
      <c r="A2184">
        <v>462611</v>
      </c>
      <c r="B2184" s="5">
        <v>45458</v>
      </c>
      <c r="C2184">
        <v>39159</v>
      </c>
      <c r="D2184" t="str">
        <f>PROPER(Transactions!D2184)</f>
        <v>Clothing</v>
      </c>
      <c r="E2184" t="s">
        <v>141</v>
      </c>
      <c r="F2184" t="s">
        <v>142</v>
      </c>
      <c r="G2184">
        <v>1</v>
      </c>
      <c r="H2184">
        <v>18.39</v>
      </c>
      <c r="I2184" s="7">
        <f>IF(Transactions!I2184="",0,Transactions!I2184)</f>
        <v>0.2</v>
      </c>
      <c r="J2184" s="9">
        <f t="shared" si="34"/>
        <v>14.712000000000002</v>
      </c>
      <c r="K2184" t="s">
        <v>36</v>
      </c>
      <c r="L2184" t="s">
        <v>23</v>
      </c>
      <c r="M2184" t="str">
        <f>REPLACE(Transactions!M2184,1,4,"")</f>
        <v>11</v>
      </c>
    </row>
    <row r="2185" spans="1:13" x14ac:dyDescent="0.2">
      <c r="A2185">
        <v>463108</v>
      </c>
      <c r="B2185" s="5">
        <v>44779</v>
      </c>
      <c r="C2185">
        <v>11602</v>
      </c>
      <c r="D2185" t="str">
        <f>PROPER(Transactions!D2185)</f>
        <v>Beauty</v>
      </c>
      <c r="E2185" t="s">
        <v>179</v>
      </c>
      <c r="F2185" t="s">
        <v>180</v>
      </c>
      <c r="G2185">
        <v>4</v>
      </c>
      <c r="H2185">
        <v>8.99</v>
      </c>
      <c r="I2185" s="7">
        <f>IF(Transactions!I2185="",0,Transactions!I2185)</f>
        <v>0.25</v>
      </c>
      <c r="J2185" s="9">
        <f t="shared" si="34"/>
        <v>26.97</v>
      </c>
      <c r="K2185" t="s">
        <v>53</v>
      </c>
      <c r="L2185" t="s">
        <v>17</v>
      </c>
      <c r="M2185" t="str">
        <f>REPLACE(Transactions!M2185,1,4,"")</f>
        <v>16</v>
      </c>
    </row>
    <row r="2186" spans="1:13" x14ac:dyDescent="0.2">
      <c r="A2186">
        <v>463175</v>
      </c>
      <c r="B2186" s="5">
        <v>45563</v>
      </c>
      <c r="C2186">
        <v>35277</v>
      </c>
      <c r="D2186" t="str">
        <f>PROPER(Transactions!D2186)</f>
        <v>Grocery</v>
      </c>
      <c r="E2186" t="s">
        <v>45</v>
      </c>
      <c r="F2186" t="s">
        <v>46</v>
      </c>
      <c r="G2186">
        <v>4</v>
      </c>
      <c r="H2186">
        <v>1.79</v>
      </c>
      <c r="I2186" s="7">
        <f>IF(Transactions!I2186="",0,Transactions!I2186)</f>
        <v>0</v>
      </c>
      <c r="J2186" s="9">
        <f t="shared" si="34"/>
        <v>7.16</v>
      </c>
      <c r="K2186" t="s">
        <v>16</v>
      </c>
      <c r="L2186" t="s">
        <v>17</v>
      </c>
      <c r="M2186" t="str">
        <f>REPLACE(Transactions!M2186,1,4,"")</f>
        <v>14</v>
      </c>
    </row>
    <row r="2187" spans="1:13" x14ac:dyDescent="0.2">
      <c r="A2187">
        <v>463402</v>
      </c>
      <c r="B2187" s="5">
        <v>44749</v>
      </c>
      <c r="C2187">
        <v>52025</v>
      </c>
      <c r="D2187" t="str">
        <f>PROPER(Transactions!D2187)</f>
        <v>Grocery</v>
      </c>
      <c r="E2187" t="s">
        <v>177</v>
      </c>
      <c r="F2187" t="s">
        <v>178</v>
      </c>
      <c r="G2187">
        <v>1</v>
      </c>
      <c r="H2187">
        <v>10.19</v>
      </c>
      <c r="I2187" s="7">
        <f>IF(Transactions!I2187="",0,Transactions!I2187)</f>
        <v>0.15</v>
      </c>
      <c r="J2187" s="9">
        <f t="shared" si="34"/>
        <v>8.6615000000000002</v>
      </c>
      <c r="K2187" t="s">
        <v>36</v>
      </c>
      <c r="L2187" t="s">
        <v>17</v>
      </c>
      <c r="M2187" t="str">
        <f>REPLACE(Transactions!M2187,1,4,"")</f>
        <v>18</v>
      </c>
    </row>
    <row r="2188" spans="1:13" x14ac:dyDescent="0.2">
      <c r="A2188">
        <v>463488</v>
      </c>
      <c r="B2188" s="5">
        <v>45524</v>
      </c>
      <c r="C2188">
        <v>59250</v>
      </c>
      <c r="D2188" t="str">
        <f>PROPER(Transactions!D2188)</f>
        <v>Electronics</v>
      </c>
      <c r="E2188" t="s">
        <v>14</v>
      </c>
      <c r="F2188" t="s">
        <v>15</v>
      </c>
      <c r="G2188">
        <v>2</v>
      </c>
      <c r="H2188">
        <v>59.99</v>
      </c>
      <c r="I2188" s="7">
        <f>IF(Transactions!I2188="",0,Transactions!I2188)</f>
        <v>0.25</v>
      </c>
      <c r="J2188" s="9">
        <f t="shared" si="34"/>
        <v>89.984999999999999</v>
      </c>
      <c r="K2188" t="s">
        <v>22</v>
      </c>
      <c r="L2188" t="s">
        <v>17</v>
      </c>
      <c r="M2188" t="str">
        <f>REPLACE(Transactions!M2188,1,4,"")</f>
        <v>15</v>
      </c>
    </row>
    <row r="2189" spans="1:13" x14ac:dyDescent="0.2">
      <c r="A2189">
        <v>463949</v>
      </c>
      <c r="B2189" s="5">
        <v>44609</v>
      </c>
      <c r="C2189">
        <v>84237</v>
      </c>
      <c r="D2189" t="str">
        <f>PROPER(Transactions!D2189)</f>
        <v>Clothing</v>
      </c>
      <c r="E2189" t="s">
        <v>181</v>
      </c>
      <c r="F2189" t="s">
        <v>182</v>
      </c>
      <c r="G2189">
        <v>2</v>
      </c>
      <c r="H2189">
        <v>14.99</v>
      </c>
      <c r="I2189" s="7">
        <f>IF(Transactions!I2189="",0,Transactions!I2189)</f>
        <v>0</v>
      </c>
      <c r="J2189" s="9">
        <f t="shared" si="34"/>
        <v>29.98</v>
      </c>
      <c r="K2189" t="s">
        <v>36</v>
      </c>
      <c r="L2189" t="s">
        <v>37</v>
      </c>
      <c r="M2189" t="str">
        <f>REPLACE(Transactions!M2189,1,4,"")</f>
        <v>17</v>
      </c>
    </row>
    <row r="2190" spans="1:13" x14ac:dyDescent="0.2">
      <c r="A2190">
        <v>464210</v>
      </c>
      <c r="B2190" s="5">
        <v>45059</v>
      </c>
      <c r="C2190">
        <v>89617</v>
      </c>
      <c r="D2190" t="str">
        <f>PROPER(Transactions!D2190)</f>
        <v>Sports</v>
      </c>
      <c r="E2190" t="s">
        <v>147</v>
      </c>
      <c r="F2190" t="s">
        <v>148</v>
      </c>
      <c r="G2190">
        <v>3</v>
      </c>
      <c r="H2190">
        <v>12.99</v>
      </c>
      <c r="I2190" s="7">
        <f>IF(Transactions!I2190="",0,Transactions!I2190)</f>
        <v>0</v>
      </c>
      <c r="J2190" s="9">
        <f t="shared" si="34"/>
        <v>38.97</v>
      </c>
      <c r="K2190" t="s">
        <v>16</v>
      </c>
      <c r="L2190" t="s">
        <v>17</v>
      </c>
      <c r="M2190" t="str">
        <f>REPLACE(Transactions!M2190,1,4,"")</f>
        <v>7</v>
      </c>
    </row>
    <row r="2191" spans="1:13" x14ac:dyDescent="0.2">
      <c r="A2191">
        <v>464252</v>
      </c>
      <c r="B2191" s="5">
        <v>44641</v>
      </c>
      <c r="C2191">
        <v>40067</v>
      </c>
      <c r="D2191" t="str">
        <f>PROPER(Transactions!D2191)</f>
        <v>Home &amp; Garden</v>
      </c>
      <c r="E2191" t="s">
        <v>129</v>
      </c>
      <c r="F2191" t="s">
        <v>130</v>
      </c>
      <c r="G2191">
        <v>5</v>
      </c>
      <c r="H2191">
        <v>7.19</v>
      </c>
      <c r="I2191" s="7">
        <f>IF(Transactions!I2191="",0,Transactions!I2191)</f>
        <v>0.2</v>
      </c>
      <c r="J2191" s="9">
        <f t="shared" si="34"/>
        <v>28.760000000000005</v>
      </c>
      <c r="K2191" t="s">
        <v>16</v>
      </c>
      <c r="L2191" t="s">
        <v>17</v>
      </c>
      <c r="M2191" t="str">
        <f>REPLACE(Transactions!M2191,1,4,"")</f>
        <v>18</v>
      </c>
    </row>
    <row r="2192" spans="1:13" x14ac:dyDescent="0.2">
      <c r="A2192">
        <v>464375</v>
      </c>
      <c r="B2192" s="5">
        <v>45276</v>
      </c>
      <c r="C2192">
        <v>14567</v>
      </c>
      <c r="D2192" t="str">
        <f>PROPER(Transactions!D2192)</f>
        <v>Sports</v>
      </c>
      <c r="E2192" t="s">
        <v>147</v>
      </c>
      <c r="F2192" t="s">
        <v>148</v>
      </c>
      <c r="G2192">
        <v>2</v>
      </c>
      <c r="H2192">
        <v>11.04</v>
      </c>
      <c r="I2192" s="7">
        <f>IF(Transactions!I2192="",0,Transactions!I2192)</f>
        <v>0.15</v>
      </c>
      <c r="J2192" s="9">
        <f t="shared" si="34"/>
        <v>18.767999999999997</v>
      </c>
      <c r="K2192" t="s">
        <v>32</v>
      </c>
      <c r="L2192" t="s">
        <v>17</v>
      </c>
      <c r="M2192" t="str">
        <f>REPLACE(Transactions!M2192,1,4,"")</f>
        <v>6</v>
      </c>
    </row>
    <row r="2193" spans="1:13" x14ac:dyDescent="0.2">
      <c r="A2193">
        <v>464498</v>
      </c>
      <c r="B2193" s="5">
        <v>45400</v>
      </c>
      <c r="C2193">
        <v>45261</v>
      </c>
      <c r="D2193" t="str">
        <f>PROPER(Transactions!D2193)</f>
        <v>Toys</v>
      </c>
      <c r="E2193" t="s">
        <v>175</v>
      </c>
      <c r="F2193" t="s">
        <v>176</v>
      </c>
      <c r="G2193">
        <v>2</v>
      </c>
      <c r="H2193">
        <v>11.99</v>
      </c>
      <c r="I2193" s="7">
        <f>IF(Transactions!I2193="",0,Transactions!I2193)</f>
        <v>0</v>
      </c>
      <c r="J2193" s="9">
        <f t="shared" si="34"/>
        <v>23.98</v>
      </c>
      <c r="K2193" t="s">
        <v>16</v>
      </c>
      <c r="L2193" t="s">
        <v>17</v>
      </c>
      <c r="M2193" t="str">
        <f>REPLACE(Transactions!M2193,1,4,"")</f>
        <v>2</v>
      </c>
    </row>
    <row r="2194" spans="1:13" x14ac:dyDescent="0.2">
      <c r="A2194">
        <v>464528</v>
      </c>
      <c r="B2194" s="5">
        <v>44738</v>
      </c>
      <c r="C2194">
        <v>12472</v>
      </c>
      <c r="D2194" t="str">
        <f>PROPER(Transactions!D2194)</f>
        <v>Furniture</v>
      </c>
      <c r="E2194" t="s">
        <v>60</v>
      </c>
      <c r="F2194" t="s">
        <v>61</v>
      </c>
      <c r="G2194">
        <v>5</v>
      </c>
      <c r="H2194">
        <v>46.74</v>
      </c>
      <c r="I2194" s="7">
        <f>IF(Transactions!I2194="",0,Transactions!I2194)</f>
        <v>0.15</v>
      </c>
      <c r="J2194" s="9">
        <f t="shared" si="34"/>
        <v>198.64500000000001</v>
      </c>
      <c r="K2194" t="s">
        <v>16</v>
      </c>
      <c r="L2194" t="s">
        <v>37</v>
      </c>
      <c r="M2194" t="str">
        <f>REPLACE(Transactions!M2194,1,4,"")</f>
        <v>18</v>
      </c>
    </row>
    <row r="2195" spans="1:13" x14ac:dyDescent="0.2">
      <c r="A2195">
        <v>464699</v>
      </c>
      <c r="B2195" s="5">
        <v>45186</v>
      </c>
      <c r="C2195">
        <v>54068</v>
      </c>
      <c r="D2195" t="str">
        <f>PROPER(Transactions!D2195)</f>
        <v>Beauty</v>
      </c>
      <c r="E2195" t="s">
        <v>139</v>
      </c>
      <c r="F2195" t="s">
        <v>140</v>
      </c>
      <c r="G2195">
        <v>2</v>
      </c>
      <c r="H2195">
        <v>7.99</v>
      </c>
      <c r="I2195" s="7">
        <f>IF(Transactions!I2195="",0,Transactions!I2195)</f>
        <v>0</v>
      </c>
      <c r="J2195" s="9">
        <f t="shared" si="34"/>
        <v>15.98</v>
      </c>
      <c r="K2195" t="s">
        <v>22</v>
      </c>
      <c r="L2195" t="s">
        <v>23</v>
      </c>
      <c r="M2195" t="str">
        <f>REPLACE(Transactions!M2195,1,4,"")</f>
        <v>10</v>
      </c>
    </row>
    <row r="2196" spans="1:13" x14ac:dyDescent="0.2">
      <c r="A2196">
        <v>464731</v>
      </c>
      <c r="B2196" s="5">
        <v>44906</v>
      </c>
      <c r="C2196">
        <v>35348</v>
      </c>
      <c r="D2196" t="str">
        <f>PROPER(Transactions!D2196)</f>
        <v>Beauty</v>
      </c>
      <c r="E2196" t="s">
        <v>118</v>
      </c>
      <c r="F2196" t="s">
        <v>119</v>
      </c>
      <c r="G2196">
        <v>1</v>
      </c>
      <c r="H2196">
        <v>4.99</v>
      </c>
      <c r="I2196" s="7">
        <f>IF(Transactions!I2196="",0,Transactions!I2196)</f>
        <v>0</v>
      </c>
      <c r="J2196" s="9">
        <f t="shared" si="34"/>
        <v>4.99</v>
      </c>
      <c r="K2196" t="s">
        <v>36</v>
      </c>
      <c r="L2196" t="s">
        <v>37</v>
      </c>
      <c r="M2196" t="str">
        <f>REPLACE(Transactions!M2196,1,4,"")</f>
        <v>20</v>
      </c>
    </row>
    <row r="2197" spans="1:13" x14ac:dyDescent="0.2">
      <c r="A2197">
        <v>464793</v>
      </c>
      <c r="B2197" s="5">
        <v>45183</v>
      </c>
      <c r="C2197">
        <v>80763</v>
      </c>
      <c r="D2197" t="str">
        <f>PROPER(Transactions!D2197)</f>
        <v>Automotive</v>
      </c>
      <c r="E2197" t="s">
        <v>125</v>
      </c>
      <c r="F2197" t="s">
        <v>126</v>
      </c>
      <c r="G2197">
        <v>4</v>
      </c>
      <c r="H2197">
        <v>22.49</v>
      </c>
      <c r="I2197" s="7">
        <f>IF(Transactions!I2197="",0,Transactions!I2197)</f>
        <v>0.25</v>
      </c>
      <c r="J2197" s="9">
        <f t="shared" si="34"/>
        <v>67.47</v>
      </c>
      <c r="K2197" t="s">
        <v>22</v>
      </c>
      <c r="L2197" t="s">
        <v>17</v>
      </c>
      <c r="M2197" t="str">
        <f>REPLACE(Transactions!M2197,1,4,"")</f>
        <v>16</v>
      </c>
    </row>
    <row r="2198" spans="1:13" x14ac:dyDescent="0.2">
      <c r="A2198">
        <v>465032</v>
      </c>
      <c r="B2198" s="5">
        <v>45426</v>
      </c>
      <c r="C2198">
        <v>88904</v>
      </c>
      <c r="D2198" t="str">
        <f>PROPER(Transactions!D2198)</f>
        <v>Toys</v>
      </c>
      <c r="E2198" t="s">
        <v>88</v>
      </c>
      <c r="F2198" t="s">
        <v>89</v>
      </c>
      <c r="G2198">
        <v>2</v>
      </c>
      <c r="H2198">
        <v>49.99</v>
      </c>
      <c r="I2198" s="7">
        <f>IF(Transactions!I2198="",0,Transactions!I2198)</f>
        <v>0</v>
      </c>
      <c r="J2198" s="9">
        <f t="shared" si="34"/>
        <v>99.98</v>
      </c>
      <c r="K2198" t="s">
        <v>16</v>
      </c>
      <c r="L2198" t="s">
        <v>37</v>
      </c>
      <c r="M2198" t="str">
        <f>REPLACE(Transactions!M2198,1,4,"")</f>
        <v>12</v>
      </c>
    </row>
    <row r="2199" spans="1:13" x14ac:dyDescent="0.2">
      <c r="A2199">
        <v>465068</v>
      </c>
      <c r="B2199" s="5">
        <v>44868</v>
      </c>
      <c r="C2199">
        <v>20663</v>
      </c>
      <c r="D2199" t="str">
        <f>PROPER(Transactions!D2199)</f>
        <v>Pharmacy</v>
      </c>
      <c r="E2199" t="s">
        <v>197</v>
      </c>
      <c r="F2199" t="s">
        <v>198</v>
      </c>
      <c r="G2199">
        <v>4</v>
      </c>
      <c r="H2199">
        <v>14.24</v>
      </c>
      <c r="I2199" s="7">
        <f>IF(Transactions!I2199="",0,Transactions!I2199)</f>
        <v>0.05</v>
      </c>
      <c r="J2199" s="9">
        <f t="shared" si="34"/>
        <v>54.111999999999995</v>
      </c>
      <c r="K2199" t="s">
        <v>66</v>
      </c>
      <c r="L2199" t="s">
        <v>23</v>
      </c>
      <c r="M2199" t="str">
        <f>REPLACE(Transactions!M2199,1,4,"")</f>
        <v>18</v>
      </c>
    </row>
    <row r="2200" spans="1:13" x14ac:dyDescent="0.2">
      <c r="A2200">
        <v>465108</v>
      </c>
      <c r="B2200" s="5">
        <v>44622</v>
      </c>
      <c r="C2200">
        <v>41888</v>
      </c>
      <c r="D2200" t="str">
        <f>PROPER(Transactions!D2200)</f>
        <v>Pharmacy</v>
      </c>
      <c r="E2200" t="s">
        <v>58</v>
      </c>
      <c r="F2200" t="s">
        <v>59</v>
      </c>
      <c r="G2200">
        <v>2</v>
      </c>
      <c r="H2200">
        <v>3.59</v>
      </c>
      <c r="I2200" s="7">
        <f>IF(Transactions!I2200="",0,Transactions!I2200)</f>
        <v>0.1</v>
      </c>
      <c r="J2200" s="9">
        <f t="shared" si="34"/>
        <v>6.4619999999999997</v>
      </c>
      <c r="K2200" t="s">
        <v>16</v>
      </c>
      <c r="L2200" t="s">
        <v>37</v>
      </c>
      <c r="M2200" t="str">
        <f>REPLACE(Transactions!M2200,1,4,"")</f>
        <v>12</v>
      </c>
    </row>
    <row r="2201" spans="1:13" x14ac:dyDescent="0.2">
      <c r="A2201">
        <v>465158</v>
      </c>
      <c r="B2201" s="5">
        <v>45271</v>
      </c>
      <c r="C2201">
        <v>44993</v>
      </c>
      <c r="D2201" t="str">
        <f>PROPER(Transactions!D2201)</f>
        <v>Grocery</v>
      </c>
      <c r="E2201" t="s">
        <v>184</v>
      </c>
      <c r="F2201" t="s">
        <v>185</v>
      </c>
      <c r="G2201">
        <v>3</v>
      </c>
      <c r="H2201">
        <v>4.67</v>
      </c>
      <c r="I2201" s="7">
        <f>IF(Transactions!I2201="",0,Transactions!I2201)</f>
        <v>0.15</v>
      </c>
      <c r="J2201" s="9">
        <f t="shared" si="34"/>
        <v>11.9085</v>
      </c>
      <c r="K2201" t="s">
        <v>22</v>
      </c>
      <c r="L2201" t="s">
        <v>37</v>
      </c>
      <c r="M2201" t="str">
        <f>REPLACE(Transactions!M2201,1,4,"")</f>
        <v>4</v>
      </c>
    </row>
    <row r="2202" spans="1:13" x14ac:dyDescent="0.2">
      <c r="A2202">
        <v>465226</v>
      </c>
      <c r="B2202" s="5">
        <v>44920</v>
      </c>
      <c r="C2202">
        <v>91865</v>
      </c>
      <c r="D2202" t="str">
        <f>PROPER(Transactions!D2202)</f>
        <v>Clothing</v>
      </c>
      <c r="E2202" t="s">
        <v>165</v>
      </c>
      <c r="F2202" t="s">
        <v>166</v>
      </c>
      <c r="G2202">
        <v>2</v>
      </c>
      <c r="H2202">
        <v>89.99</v>
      </c>
      <c r="I2202" s="7">
        <f>IF(Transactions!I2202="",0,Transactions!I2202)</f>
        <v>0</v>
      </c>
      <c r="J2202" s="9">
        <f t="shared" si="34"/>
        <v>179.98</v>
      </c>
      <c r="K2202" t="s">
        <v>22</v>
      </c>
      <c r="L2202" t="s">
        <v>23</v>
      </c>
      <c r="M2202" t="str">
        <f>REPLACE(Transactions!M2202,1,4,"")</f>
        <v>7</v>
      </c>
    </row>
    <row r="2203" spans="1:13" x14ac:dyDescent="0.2">
      <c r="A2203">
        <v>465924</v>
      </c>
      <c r="B2203" s="5">
        <v>44751</v>
      </c>
      <c r="C2203">
        <v>49673</v>
      </c>
      <c r="D2203" t="str">
        <f>PROPER(Transactions!D2203)</f>
        <v>Beauty</v>
      </c>
      <c r="E2203" t="s">
        <v>143</v>
      </c>
      <c r="F2203" t="s">
        <v>144</v>
      </c>
      <c r="G2203">
        <v>1</v>
      </c>
      <c r="H2203">
        <v>14.99</v>
      </c>
      <c r="I2203" s="7">
        <f>IF(Transactions!I2203="",0,Transactions!I2203)</f>
        <v>0</v>
      </c>
      <c r="J2203" s="9">
        <f t="shared" si="34"/>
        <v>14.99</v>
      </c>
      <c r="K2203" t="s">
        <v>22</v>
      </c>
      <c r="L2203" t="s">
        <v>17</v>
      </c>
      <c r="M2203" t="str">
        <f>REPLACE(Transactions!M2203,1,4,"")</f>
        <v>12</v>
      </c>
    </row>
    <row r="2204" spans="1:13" x14ac:dyDescent="0.2">
      <c r="A2204">
        <v>466220</v>
      </c>
      <c r="B2204" s="5">
        <v>45317</v>
      </c>
      <c r="C2204">
        <v>27826</v>
      </c>
      <c r="D2204" t="str">
        <f>PROPER(Transactions!D2204)</f>
        <v>Grocery</v>
      </c>
      <c r="E2204" t="s">
        <v>177</v>
      </c>
      <c r="F2204" t="s">
        <v>178</v>
      </c>
      <c r="G2204">
        <v>5</v>
      </c>
      <c r="H2204">
        <v>11.99</v>
      </c>
      <c r="I2204" s="7">
        <f>IF(Transactions!I2204="",0,Transactions!I2204)</f>
        <v>0</v>
      </c>
      <c r="J2204" s="9">
        <f t="shared" si="34"/>
        <v>59.95</v>
      </c>
      <c r="K2204" t="s">
        <v>36</v>
      </c>
      <c r="L2204" t="s">
        <v>17</v>
      </c>
      <c r="M2204" t="str">
        <f>REPLACE(Transactions!M2204,1,4,"")</f>
        <v>18</v>
      </c>
    </row>
    <row r="2205" spans="1:13" x14ac:dyDescent="0.2">
      <c r="A2205">
        <v>466634</v>
      </c>
      <c r="B2205" s="5">
        <v>45411</v>
      </c>
      <c r="C2205">
        <v>36370</v>
      </c>
      <c r="D2205" t="str">
        <f>PROPER(Transactions!D2205)</f>
        <v>Clothing</v>
      </c>
      <c r="E2205" t="s">
        <v>193</v>
      </c>
      <c r="F2205" t="s">
        <v>194</v>
      </c>
      <c r="G2205">
        <v>1</v>
      </c>
      <c r="H2205">
        <v>51.99</v>
      </c>
      <c r="I2205" s="7">
        <f>IF(Transactions!I2205="",0,Transactions!I2205)</f>
        <v>0.2</v>
      </c>
      <c r="J2205" s="9">
        <f t="shared" si="34"/>
        <v>41.592000000000006</v>
      </c>
      <c r="K2205" t="s">
        <v>16</v>
      </c>
      <c r="L2205" t="s">
        <v>17</v>
      </c>
      <c r="M2205" t="str">
        <f>REPLACE(Transactions!M2205,1,4,"")</f>
        <v>16</v>
      </c>
    </row>
    <row r="2206" spans="1:13" x14ac:dyDescent="0.2">
      <c r="A2206">
        <v>466719</v>
      </c>
      <c r="B2206" s="5">
        <v>45585</v>
      </c>
      <c r="C2206">
        <v>36874</v>
      </c>
      <c r="D2206" t="str">
        <f>PROPER(Transactions!D2206)</f>
        <v>Clothing</v>
      </c>
      <c r="E2206" t="s">
        <v>165</v>
      </c>
      <c r="F2206" t="s">
        <v>166</v>
      </c>
      <c r="G2206">
        <v>1</v>
      </c>
      <c r="H2206">
        <v>89.99</v>
      </c>
      <c r="I2206" s="7">
        <f>IF(Transactions!I2206="",0,Transactions!I2206)</f>
        <v>0</v>
      </c>
      <c r="J2206" s="9">
        <f t="shared" si="34"/>
        <v>89.99</v>
      </c>
      <c r="K2206" t="s">
        <v>36</v>
      </c>
      <c r="L2206" t="s">
        <v>17</v>
      </c>
      <c r="M2206" t="str">
        <f>REPLACE(Transactions!M2206,1,4,"")</f>
        <v>3</v>
      </c>
    </row>
    <row r="2207" spans="1:13" x14ac:dyDescent="0.2">
      <c r="A2207">
        <v>467872</v>
      </c>
      <c r="B2207" s="5">
        <v>45450</v>
      </c>
      <c r="C2207">
        <v>24684</v>
      </c>
      <c r="D2207" t="str">
        <f>PROPER(Transactions!D2207)</f>
        <v>Furniture</v>
      </c>
      <c r="E2207" t="s">
        <v>113</v>
      </c>
      <c r="F2207" t="s">
        <v>114</v>
      </c>
      <c r="G2207">
        <v>3</v>
      </c>
      <c r="H2207">
        <v>113.99</v>
      </c>
      <c r="I2207" s="7">
        <f>IF(Transactions!I2207="",0,Transactions!I2207)</f>
        <v>0.05</v>
      </c>
      <c r="J2207" s="9">
        <f t="shared" si="34"/>
        <v>324.87149999999997</v>
      </c>
      <c r="K2207" t="s">
        <v>36</v>
      </c>
      <c r="L2207" t="s">
        <v>23</v>
      </c>
      <c r="M2207" t="str">
        <f>REPLACE(Transactions!M2207,1,4,"")</f>
        <v>7</v>
      </c>
    </row>
    <row r="2208" spans="1:13" x14ac:dyDescent="0.2">
      <c r="A2208">
        <v>468081</v>
      </c>
      <c r="B2208" s="5">
        <v>44984</v>
      </c>
      <c r="C2208">
        <v>11089</v>
      </c>
      <c r="D2208" t="str">
        <f>PROPER(Transactions!D2208)</f>
        <v>Automotive</v>
      </c>
      <c r="E2208" t="s">
        <v>131</v>
      </c>
      <c r="F2208" t="s">
        <v>132</v>
      </c>
      <c r="G2208">
        <v>1</v>
      </c>
      <c r="H2208">
        <v>2.97</v>
      </c>
      <c r="I2208" s="7">
        <f>IF(Transactions!I2208="",0,Transactions!I2208)</f>
        <v>0.15</v>
      </c>
      <c r="J2208" s="9">
        <f t="shared" si="34"/>
        <v>2.5245000000000002</v>
      </c>
      <c r="K2208" t="s">
        <v>16</v>
      </c>
      <c r="L2208" t="s">
        <v>37</v>
      </c>
      <c r="M2208" t="str">
        <f>REPLACE(Transactions!M2208,1,4,"")</f>
        <v>13</v>
      </c>
    </row>
    <row r="2209" spans="1:13" x14ac:dyDescent="0.2">
      <c r="A2209">
        <v>468470</v>
      </c>
      <c r="B2209" s="5">
        <v>45207</v>
      </c>
      <c r="C2209">
        <v>37897</v>
      </c>
      <c r="D2209" t="str">
        <f>PROPER(Transactions!D2209)</f>
        <v>Grocery</v>
      </c>
      <c r="E2209" t="s">
        <v>93</v>
      </c>
      <c r="F2209" t="s">
        <v>94</v>
      </c>
      <c r="G2209">
        <v>3</v>
      </c>
      <c r="H2209">
        <v>1.03</v>
      </c>
      <c r="I2209" s="7">
        <f>IF(Transactions!I2209="",0,Transactions!I2209)</f>
        <v>0.2</v>
      </c>
      <c r="J2209" s="9">
        <f t="shared" si="34"/>
        <v>2.472</v>
      </c>
      <c r="K2209" t="s">
        <v>36</v>
      </c>
      <c r="L2209" t="s">
        <v>17</v>
      </c>
      <c r="M2209" t="str">
        <f>REPLACE(Transactions!M2209,1,4,"")</f>
        <v>7</v>
      </c>
    </row>
    <row r="2210" spans="1:13" x14ac:dyDescent="0.2">
      <c r="A2210">
        <v>468543</v>
      </c>
      <c r="B2210" s="5">
        <v>45385</v>
      </c>
      <c r="C2210">
        <v>40121</v>
      </c>
      <c r="D2210" t="str">
        <f>PROPER(Transactions!D2210)</f>
        <v>Sports</v>
      </c>
      <c r="E2210" t="s">
        <v>100</v>
      </c>
      <c r="F2210" t="s">
        <v>101</v>
      </c>
      <c r="G2210">
        <v>1</v>
      </c>
      <c r="H2210">
        <v>21.84</v>
      </c>
      <c r="I2210" s="7">
        <f>IF(Transactions!I2210="",0,Transactions!I2210)</f>
        <v>0.05</v>
      </c>
      <c r="J2210" s="9">
        <f t="shared" si="34"/>
        <v>20.747999999999998</v>
      </c>
      <c r="K2210" t="s">
        <v>36</v>
      </c>
      <c r="L2210" t="s">
        <v>37</v>
      </c>
      <c r="M2210" t="str">
        <f>REPLACE(Transactions!M2210,1,4,"")</f>
        <v>13</v>
      </c>
    </row>
    <row r="2211" spans="1:13" x14ac:dyDescent="0.2">
      <c r="A2211">
        <v>468710</v>
      </c>
      <c r="B2211" s="5">
        <v>45304</v>
      </c>
      <c r="C2211">
        <v>58891</v>
      </c>
      <c r="D2211" t="str">
        <f>PROPER(Transactions!D2211)</f>
        <v>Toys</v>
      </c>
      <c r="E2211" t="s">
        <v>30</v>
      </c>
      <c r="F2211" t="s">
        <v>31</v>
      </c>
      <c r="G2211">
        <v>2</v>
      </c>
      <c r="H2211">
        <v>24.99</v>
      </c>
      <c r="I2211" s="7">
        <f>IF(Transactions!I2211="",0,Transactions!I2211)</f>
        <v>0</v>
      </c>
      <c r="J2211" s="9">
        <f t="shared" si="34"/>
        <v>49.98</v>
      </c>
      <c r="K2211" t="s">
        <v>36</v>
      </c>
      <c r="L2211" t="s">
        <v>17</v>
      </c>
      <c r="M2211" t="str">
        <f>REPLACE(Transactions!M2211,1,4,"")</f>
        <v>14</v>
      </c>
    </row>
    <row r="2212" spans="1:13" x14ac:dyDescent="0.2">
      <c r="A2212">
        <v>468959</v>
      </c>
      <c r="B2212" s="5">
        <v>44690</v>
      </c>
      <c r="C2212">
        <v>28355</v>
      </c>
      <c r="D2212" t="str">
        <f>PROPER(Transactions!D2212)</f>
        <v>Automotive</v>
      </c>
      <c r="E2212" t="s">
        <v>111</v>
      </c>
      <c r="F2212" t="s">
        <v>112</v>
      </c>
      <c r="G2212">
        <v>3</v>
      </c>
      <c r="H2212">
        <v>14.99</v>
      </c>
      <c r="I2212" s="7">
        <f>IF(Transactions!I2212="",0,Transactions!I2212)</f>
        <v>0</v>
      </c>
      <c r="J2212" s="9">
        <f t="shared" si="34"/>
        <v>44.97</v>
      </c>
      <c r="K2212" t="s">
        <v>36</v>
      </c>
      <c r="L2212" t="s">
        <v>17</v>
      </c>
      <c r="M2212" t="str">
        <f>REPLACE(Transactions!M2212,1,4,"")</f>
        <v>12</v>
      </c>
    </row>
    <row r="2213" spans="1:13" x14ac:dyDescent="0.2">
      <c r="A2213">
        <v>469198</v>
      </c>
      <c r="B2213" s="5">
        <v>44632</v>
      </c>
      <c r="C2213">
        <v>99378</v>
      </c>
      <c r="D2213" t="str">
        <f>PROPER(Transactions!D2213)</f>
        <v>Beauty</v>
      </c>
      <c r="E2213" t="s">
        <v>49</v>
      </c>
      <c r="F2213" t="s">
        <v>50</v>
      </c>
      <c r="G2213">
        <v>4</v>
      </c>
      <c r="H2213">
        <v>7.64</v>
      </c>
      <c r="I2213" s="7">
        <f>IF(Transactions!I2213="",0,Transactions!I2213)</f>
        <v>0.15</v>
      </c>
      <c r="J2213" s="9">
        <f t="shared" si="34"/>
        <v>25.975999999999999</v>
      </c>
      <c r="K2213" t="s">
        <v>32</v>
      </c>
      <c r="L2213" t="s">
        <v>17</v>
      </c>
      <c r="M2213" t="str">
        <f>REPLACE(Transactions!M2213,1,4,"")</f>
        <v>6</v>
      </c>
    </row>
    <row r="2214" spans="1:13" x14ac:dyDescent="0.2">
      <c r="A2214">
        <v>469390</v>
      </c>
      <c r="B2214" s="5">
        <v>45606</v>
      </c>
      <c r="C2214">
        <v>42606</v>
      </c>
      <c r="D2214" t="str">
        <f>PROPER(Transactions!D2214)</f>
        <v>Beauty</v>
      </c>
      <c r="E2214" t="s">
        <v>179</v>
      </c>
      <c r="F2214" t="s">
        <v>180</v>
      </c>
      <c r="G2214">
        <v>1</v>
      </c>
      <c r="H2214">
        <v>8.39</v>
      </c>
      <c r="I2214" s="7">
        <f>IF(Transactions!I2214="",0,Transactions!I2214)</f>
        <v>0.3</v>
      </c>
      <c r="J2214" s="9">
        <f t="shared" si="34"/>
        <v>5.8730000000000002</v>
      </c>
      <c r="K2214" t="s">
        <v>66</v>
      </c>
      <c r="L2214" t="s">
        <v>17</v>
      </c>
      <c r="M2214" t="str">
        <f>REPLACE(Transactions!M2214,1,4,"")</f>
        <v>19</v>
      </c>
    </row>
    <row r="2215" spans="1:13" x14ac:dyDescent="0.2">
      <c r="A2215">
        <v>469722</v>
      </c>
      <c r="B2215" s="5">
        <v>44921</v>
      </c>
      <c r="C2215">
        <v>26699</v>
      </c>
      <c r="D2215" t="str">
        <f>PROPER(Transactions!D2215)</f>
        <v>Electronics</v>
      </c>
      <c r="E2215" t="s">
        <v>79</v>
      </c>
      <c r="F2215" t="s">
        <v>80</v>
      </c>
      <c r="G2215">
        <v>1</v>
      </c>
      <c r="H2215">
        <v>80.989999999999995</v>
      </c>
      <c r="I2215" s="7">
        <f>IF(Transactions!I2215="",0,Transactions!I2215)</f>
        <v>0.1</v>
      </c>
      <c r="J2215" s="9">
        <f t="shared" si="34"/>
        <v>72.890999999999991</v>
      </c>
      <c r="K2215" t="s">
        <v>16</v>
      </c>
      <c r="L2215" t="s">
        <v>17</v>
      </c>
      <c r="M2215" t="str">
        <f>REPLACE(Transactions!M2215,1,4,"")</f>
        <v>9</v>
      </c>
    </row>
    <row r="2216" spans="1:13" x14ac:dyDescent="0.2">
      <c r="A2216">
        <v>469787</v>
      </c>
      <c r="B2216" s="5">
        <v>44910</v>
      </c>
      <c r="C2216">
        <v>49844</v>
      </c>
      <c r="D2216" t="str">
        <f>PROPER(Transactions!D2216)</f>
        <v>Beauty</v>
      </c>
      <c r="E2216" t="s">
        <v>139</v>
      </c>
      <c r="F2216" t="s">
        <v>140</v>
      </c>
      <c r="G2216">
        <v>1</v>
      </c>
      <c r="H2216">
        <v>5.99</v>
      </c>
      <c r="I2216" s="7">
        <f>IF(Transactions!I2216="",0,Transactions!I2216)</f>
        <v>0.25</v>
      </c>
      <c r="J2216" s="9">
        <f t="shared" si="34"/>
        <v>4.4924999999999997</v>
      </c>
      <c r="K2216" t="s">
        <v>36</v>
      </c>
      <c r="L2216" t="s">
        <v>23</v>
      </c>
      <c r="M2216" t="str">
        <f>REPLACE(Transactions!M2216,1,4,"")</f>
        <v>6</v>
      </c>
    </row>
    <row r="2217" spans="1:13" x14ac:dyDescent="0.2">
      <c r="A2217">
        <v>470037</v>
      </c>
      <c r="B2217" s="5">
        <v>45498</v>
      </c>
      <c r="C2217">
        <v>95755</v>
      </c>
      <c r="D2217" t="str">
        <f>PROPER(Transactions!D2217)</f>
        <v>Clothing</v>
      </c>
      <c r="E2217" t="s">
        <v>135</v>
      </c>
      <c r="F2217" t="s">
        <v>136</v>
      </c>
      <c r="G2217">
        <v>1</v>
      </c>
      <c r="H2217">
        <v>9.49</v>
      </c>
      <c r="I2217" s="7">
        <f>IF(Transactions!I2217="",0,Transactions!I2217)</f>
        <v>0.05</v>
      </c>
      <c r="J2217" s="9">
        <f t="shared" si="34"/>
        <v>9.0154999999999994</v>
      </c>
      <c r="K2217" t="s">
        <v>36</v>
      </c>
      <c r="L2217" t="s">
        <v>17</v>
      </c>
      <c r="M2217" t="str">
        <f>REPLACE(Transactions!M2217,1,4,"")</f>
        <v>9</v>
      </c>
    </row>
    <row r="2218" spans="1:13" x14ac:dyDescent="0.2">
      <c r="A2218">
        <v>470058</v>
      </c>
      <c r="B2218" s="5">
        <v>45346</v>
      </c>
      <c r="C2218">
        <v>31921</v>
      </c>
      <c r="D2218" t="str">
        <f>PROPER(Transactions!D2218)</f>
        <v>Furniture</v>
      </c>
      <c r="E2218" t="s">
        <v>26</v>
      </c>
      <c r="F2218" t="s">
        <v>27</v>
      </c>
      <c r="G2218">
        <v>1</v>
      </c>
      <c r="H2218">
        <v>27.99</v>
      </c>
      <c r="I2218" s="7">
        <f>IF(Transactions!I2218="",0,Transactions!I2218)</f>
        <v>0.2</v>
      </c>
      <c r="J2218" s="9">
        <f t="shared" si="34"/>
        <v>22.391999999999999</v>
      </c>
      <c r="K2218" t="s">
        <v>16</v>
      </c>
      <c r="L2218" t="s">
        <v>17</v>
      </c>
      <c r="M2218" t="str">
        <f>REPLACE(Transactions!M2218,1,4,"")</f>
        <v>1</v>
      </c>
    </row>
    <row r="2219" spans="1:13" x14ac:dyDescent="0.2">
      <c r="A2219">
        <v>470248</v>
      </c>
      <c r="B2219" s="5">
        <v>45032</v>
      </c>
      <c r="C2219">
        <v>42539</v>
      </c>
      <c r="D2219" t="str">
        <f>PROPER(Transactions!D2219)</f>
        <v>Home &amp; Garden</v>
      </c>
      <c r="E2219" t="s">
        <v>149</v>
      </c>
      <c r="F2219" t="s">
        <v>150</v>
      </c>
      <c r="G2219">
        <v>2</v>
      </c>
      <c r="H2219">
        <v>16.989999999999998</v>
      </c>
      <c r="I2219" s="7">
        <f>IF(Transactions!I2219="",0,Transactions!I2219)</f>
        <v>0.15</v>
      </c>
      <c r="J2219" s="9">
        <f t="shared" si="34"/>
        <v>28.882999999999996</v>
      </c>
      <c r="K2219" t="s">
        <v>32</v>
      </c>
      <c r="L2219" t="s">
        <v>17</v>
      </c>
      <c r="M2219" t="str">
        <f>REPLACE(Transactions!M2219,1,4,"")</f>
        <v>9</v>
      </c>
    </row>
    <row r="2220" spans="1:13" x14ac:dyDescent="0.2">
      <c r="A2220">
        <v>470350</v>
      </c>
      <c r="B2220" s="5">
        <v>45328</v>
      </c>
      <c r="C2220">
        <v>97350</v>
      </c>
      <c r="D2220" t="str">
        <f>PROPER(Transactions!D2220)</f>
        <v>Grocery</v>
      </c>
      <c r="E2220" t="s">
        <v>190</v>
      </c>
      <c r="F2220" t="s">
        <v>191</v>
      </c>
      <c r="G2220">
        <v>3</v>
      </c>
      <c r="H2220">
        <v>4.29</v>
      </c>
      <c r="I2220" s="7">
        <f>IF(Transactions!I2220="",0,Transactions!I2220)</f>
        <v>0</v>
      </c>
      <c r="J2220" s="9">
        <f t="shared" si="34"/>
        <v>12.870000000000001</v>
      </c>
      <c r="K2220" t="s">
        <v>36</v>
      </c>
      <c r="L2220" t="s">
        <v>37</v>
      </c>
      <c r="M2220" t="str">
        <f>REPLACE(Transactions!M2220,1,4,"")</f>
        <v>5</v>
      </c>
    </row>
    <row r="2221" spans="1:13" x14ac:dyDescent="0.2">
      <c r="A2221">
        <v>470378</v>
      </c>
      <c r="B2221" s="5">
        <v>45506</v>
      </c>
      <c r="C2221">
        <v>92831</v>
      </c>
      <c r="D2221" t="str">
        <f>PROPER(Transactions!D2221)</f>
        <v>Toys</v>
      </c>
      <c r="E2221" t="s">
        <v>30</v>
      </c>
      <c r="F2221" t="s">
        <v>31</v>
      </c>
      <c r="G2221">
        <v>5</v>
      </c>
      <c r="H2221">
        <v>19.989999999999998</v>
      </c>
      <c r="I2221" s="7">
        <f>IF(Transactions!I2221="",0,Transactions!I2221)</f>
        <v>0.2</v>
      </c>
      <c r="J2221" s="9">
        <f t="shared" si="34"/>
        <v>79.959999999999994</v>
      </c>
      <c r="K2221" t="s">
        <v>36</v>
      </c>
      <c r="L2221" t="s">
        <v>17</v>
      </c>
      <c r="M2221" t="str">
        <f>REPLACE(Transactions!M2221,1,4,"")</f>
        <v>5</v>
      </c>
    </row>
    <row r="2222" spans="1:13" x14ac:dyDescent="0.2">
      <c r="A2222">
        <v>470410</v>
      </c>
      <c r="B2222" s="5">
        <v>44647</v>
      </c>
      <c r="C2222">
        <v>56094</v>
      </c>
      <c r="D2222" t="str">
        <f>PROPER(Transactions!D2222)</f>
        <v>Grocery</v>
      </c>
      <c r="E2222" t="s">
        <v>195</v>
      </c>
      <c r="F2222" t="s">
        <v>196</v>
      </c>
      <c r="G2222">
        <v>2</v>
      </c>
      <c r="H2222">
        <v>4.49</v>
      </c>
      <c r="I2222" s="7">
        <f>IF(Transactions!I2222="",0,Transactions!I2222)</f>
        <v>0.1</v>
      </c>
      <c r="J2222" s="9">
        <f t="shared" si="34"/>
        <v>8.0820000000000007</v>
      </c>
      <c r="K2222" t="s">
        <v>32</v>
      </c>
      <c r="L2222" t="s">
        <v>17</v>
      </c>
      <c r="M2222" t="str">
        <f>REPLACE(Transactions!M2222,1,4,"")</f>
        <v>13</v>
      </c>
    </row>
    <row r="2223" spans="1:13" x14ac:dyDescent="0.2">
      <c r="A2223">
        <v>470576</v>
      </c>
      <c r="B2223" s="5">
        <v>45375</v>
      </c>
      <c r="C2223">
        <v>79452</v>
      </c>
      <c r="D2223" t="str">
        <f>PROPER(Transactions!D2223)</f>
        <v>Sports</v>
      </c>
      <c r="E2223" t="s">
        <v>168</v>
      </c>
      <c r="F2223" t="s">
        <v>169</v>
      </c>
      <c r="G2223">
        <v>1</v>
      </c>
      <c r="H2223">
        <v>7.19</v>
      </c>
      <c r="I2223" s="7">
        <f>IF(Transactions!I2223="",0,Transactions!I2223)</f>
        <v>0.2</v>
      </c>
      <c r="J2223" s="9">
        <f t="shared" si="34"/>
        <v>5.7520000000000007</v>
      </c>
      <c r="K2223" t="s">
        <v>22</v>
      </c>
      <c r="L2223" t="s">
        <v>37</v>
      </c>
      <c r="M2223" t="str">
        <f>REPLACE(Transactions!M2223,1,4,"")</f>
        <v>1</v>
      </c>
    </row>
    <row r="2224" spans="1:13" x14ac:dyDescent="0.2">
      <c r="A2224">
        <v>470764</v>
      </c>
      <c r="B2224" s="5">
        <v>44939</v>
      </c>
      <c r="C2224">
        <v>16600</v>
      </c>
      <c r="D2224" t="str">
        <f>PROPER(Transactions!D2224)</f>
        <v>Pharmacy</v>
      </c>
      <c r="E2224" t="s">
        <v>41</v>
      </c>
      <c r="F2224" t="s">
        <v>42</v>
      </c>
      <c r="G2224">
        <v>1</v>
      </c>
      <c r="H2224">
        <v>5.99</v>
      </c>
      <c r="I2224" s="7">
        <f>IF(Transactions!I2224="",0,Transactions!I2224)</f>
        <v>0</v>
      </c>
      <c r="J2224" s="9">
        <f t="shared" si="34"/>
        <v>5.99</v>
      </c>
      <c r="K2224" t="s">
        <v>22</v>
      </c>
      <c r="L2224" t="s">
        <v>17</v>
      </c>
      <c r="M2224" t="str">
        <f>REPLACE(Transactions!M2224,1,4,"")</f>
        <v>19</v>
      </c>
    </row>
    <row r="2225" spans="1:13" x14ac:dyDescent="0.2">
      <c r="A2225">
        <v>470922</v>
      </c>
      <c r="B2225" s="5">
        <v>44877</v>
      </c>
      <c r="C2225">
        <v>90993</v>
      </c>
      <c r="D2225" t="str">
        <f>PROPER(Transactions!D2225)</f>
        <v>Grocery</v>
      </c>
      <c r="E2225" t="s">
        <v>91</v>
      </c>
      <c r="F2225" t="s">
        <v>92</v>
      </c>
      <c r="G2225">
        <v>1</v>
      </c>
      <c r="H2225">
        <v>6.29</v>
      </c>
      <c r="I2225" s="7">
        <f>IF(Transactions!I2225="",0,Transactions!I2225)</f>
        <v>0</v>
      </c>
      <c r="J2225" s="9">
        <f t="shared" si="34"/>
        <v>6.29</v>
      </c>
      <c r="K2225" t="s">
        <v>32</v>
      </c>
      <c r="L2225" t="s">
        <v>17</v>
      </c>
      <c r="M2225" t="str">
        <f>REPLACE(Transactions!M2225,1,4,"")</f>
        <v>9</v>
      </c>
    </row>
    <row r="2226" spans="1:13" x14ac:dyDescent="0.2">
      <c r="A2226">
        <v>471781</v>
      </c>
      <c r="B2226" s="5">
        <v>44937</v>
      </c>
      <c r="C2226">
        <v>86579</v>
      </c>
      <c r="D2226" t="str">
        <f>PROPER(Transactions!D2226)</f>
        <v>Toys</v>
      </c>
      <c r="E2226" t="s">
        <v>38</v>
      </c>
      <c r="F2226" t="s">
        <v>39</v>
      </c>
      <c r="G2226">
        <v>1</v>
      </c>
      <c r="H2226">
        <v>22.49</v>
      </c>
      <c r="I2226" s="7">
        <f>IF(Transactions!I2226="",0,Transactions!I2226)</f>
        <v>0.25</v>
      </c>
      <c r="J2226" s="9">
        <f t="shared" si="34"/>
        <v>16.8675</v>
      </c>
      <c r="K2226" t="s">
        <v>36</v>
      </c>
      <c r="L2226" t="s">
        <v>17</v>
      </c>
      <c r="M2226" t="str">
        <f>REPLACE(Transactions!M2226,1,4,"")</f>
        <v>9</v>
      </c>
    </row>
    <row r="2227" spans="1:13" x14ac:dyDescent="0.2">
      <c r="A2227">
        <v>472209</v>
      </c>
      <c r="B2227" s="5">
        <v>45386</v>
      </c>
      <c r="C2227">
        <v>90018</v>
      </c>
      <c r="D2227" t="str">
        <f>PROPER(Transactions!D2227)</f>
        <v>Clothing</v>
      </c>
      <c r="E2227" t="s">
        <v>98</v>
      </c>
      <c r="F2227" t="s">
        <v>99</v>
      </c>
      <c r="G2227">
        <v>2</v>
      </c>
      <c r="H2227">
        <v>25.19</v>
      </c>
      <c r="I2227" s="7">
        <f>IF(Transactions!I2227="",0,Transactions!I2227)</f>
        <v>0.1</v>
      </c>
      <c r="J2227" s="9">
        <f t="shared" si="34"/>
        <v>45.342000000000006</v>
      </c>
      <c r="K2227" t="s">
        <v>16</v>
      </c>
      <c r="L2227" t="s">
        <v>37</v>
      </c>
      <c r="M2227" t="str">
        <f>REPLACE(Transactions!M2227,1,4,"")</f>
        <v>18</v>
      </c>
    </row>
    <row r="2228" spans="1:13" x14ac:dyDescent="0.2">
      <c r="A2228">
        <v>472244</v>
      </c>
      <c r="B2228" s="5">
        <v>44984</v>
      </c>
      <c r="C2228">
        <v>30782</v>
      </c>
      <c r="D2228" t="str">
        <f>PROPER(Transactions!D2228)</f>
        <v>Sports</v>
      </c>
      <c r="E2228" t="s">
        <v>168</v>
      </c>
      <c r="F2228" t="s">
        <v>169</v>
      </c>
      <c r="G2228">
        <v>1</v>
      </c>
      <c r="H2228">
        <v>7.19</v>
      </c>
      <c r="I2228" s="7">
        <f>IF(Transactions!I2228="",0,Transactions!I2228)</f>
        <v>0</v>
      </c>
      <c r="J2228" s="9">
        <f t="shared" si="34"/>
        <v>7.19</v>
      </c>
      <c r="K2228" t="s">
        <v>53</v>
      </c>
      <c r="L2228" t="s">
        <v>23</v>
      </c>
      <c r="M2228" t="str">
        <f>REPLACE(Transactions!M2228,1,4,"")</f>
        <v>12</v>
      </c>
    </row>
    <row r="2229" spans="1:13" x14ac:dyDescent="0.2">
      <c r="A2229">
        <v>472501</v>
      </c>
      <c r="B2229" s="5">
        <v>44858</v>
      </c>
      <c r="C2229">
        <v>74370</v>
      </c>
      <c r="D2229" t="str">
        <f>PROPER(Transactions!D2229)</f>
        <v>Electronics</v>
      </c>
      <c r="E2229" t="s">
        <v>14</v>
      </c>
      <c r="F2229" t="s">
        <v>15</v>
      </c>
      <c r="G2229">
        <v>4</v>
      </c>
      <c r="H2229">
        <v>79.989999999999995</v>
      </c>
      <c r="I2229" s="7">
        <f>IF(Transactions!I2229="",0,Transactions!I2229)</f>
        <v>0</v>
      </c>
      <c r="J2229" s="9">
        <f t="shared" si="34"/>
        <v>319.95999999999998</v>
      </c>
      <c r="K2229" t="s">
        <v>16</v>
      </c>
      <c r="L2229" t="s">
        <v>37</v>
      </c>
      <c r="M2229" t="str">
        <f>REPLACE(Transactions!M2229,1,4,"")</f>
        <v>4</v>
      </c>
    </row>
    <row r="2230" spans="1:13" x14ac:dyDescent="0.2">
      <c r="A2230">
        <v>472521</v>
      </c>
      <c r="B2230" s="5">
        <v>44772</v>
      </c>
      <c r="C2230">
        <v>96887</v>
      </c>
      <c r="D2230" t="str">
        <f>PROPER(Transactions!D2230)</f>
        <v>Clothing</v>
      </c>
      <c r="E2230" t="s">
        <v>135</v>
      </c>
      <c r="F2230" t="s">
        <v>136</v>
      </c>
      <c r="G2230">
        <v>4</v>
      </c>
      <c r="H2230">
        <v>8.49</v>
      </c>
      <c r="I2230" s="7">
        <f>IF(Transactions!I2230="",0,Transactions!I2230)</f>
        <v>0.15</v>
      </c>
      <c r="J2230" s="9">
        <f t="shared" si="34"/>
        <v>28.866</v>
      </c>
      <c r="K2230" t="s">
        <v>16</v>
      </c>
      <c r="L2230" t="s">
        <v>37</v>
      </c>
      <c r="M2230" t="str">
        <f>REPLACE(Transactions!M2230,1,4,"")</f>
        <v>13</v>
      </c>
    </row>
    <row r="2231" spans="1:13" x14ac:dyDescent="0.2">
      <c r="A2231">
        <v>472625</v>
      </c>
      <c r="B2231" s="5">
        <v>45484</v>
      </c>
      <c r="C2231">
        <v>80888</v>
      </c>
      <c r="D2231" t="str">
        <f>PROPER(Transactions!D2231)</f>
        <v>Beauty</v>
      </c>
      <c r="E2231" t="s">
        <v>109</v>
      </c>
      <c r="F2231" t="s">
        <v>110</v>
      </c>
      <c r="G2231">
        <v>1</v>
      </c>
      <c r="H2231">
        <v>6.99</v>
      </c>
      <c r="I2231" s="7">
        <f>IF(Transactions!I2231="",0,Transactions!I2231)</f>
        <v>0</v>
      </c>
      <c r="J2231" s="9">
        <f t="shared" si="34"/>
        <v>6.99</v>
      </c>
      <c r="K2231" t="s">
        <v>36</v>
      </c>
      <c r="L2231" t="s">
        <v>17</v>
      </c>
      <c r="M2231" t="str">
        <f>REPLACE(Transactions!M2231,1,4,"")</f>
        <v>17</v>
      </c>
    </row>
    <row r="2232" spans="1:13" x14ac:dyDescent="0.2">
      <c r="A2232">
        <v>472851</v>
      </c>
      <c r="B2232" s="5">
        <v>44930</v>
      </c>
      <c r="C2232">
        <v>20919</v>
      </c>
      <c r="D2232" t="str">
        <f>PROPER(Transactions!D2232)</f>
        <v>Home &amp; Garden</v>
      </c>
      <c r="E2232" t="s">
        <v>145</v>
      </c>
      <c r="F2232" t="s">
        <v>146</v>
      </c>
      <c r="G2232">
        <v>1</v>
      </c>
      <c r="H2232">
        <v>15.29</v>
      </c>
      <c r="I2232" s="7">
        <f>IF(Transactions!I2232="",0,Transactions!I2232)</f>
        <v>0.1</v>
      </c>
      <c r="J2232" s="9">
        <f t="shared" si="34"/>
        <v>13.760999999999999</v>
      </c>
      <c r="K2232" t="s">
        <v>22</v>
      </c>
      <c r="L2232" t="s">
        <v>37</v>
      </c>
      <c r="M2232" t="str">
        <f>REPLACE(Transactions!M2232,1,4,"")</f>
        <v>13</v>
      </c>
    </row>
    <row r="2233" spans="1:13" x14ac:dyDescent="0.2">
      <c r="A2233">
        <v>473145</v>
      </c>
      <c r="B2233" s="5">
        <v>45034</v>
      </c>
      <c r="C2233">
        <v>39392</v>
      </c>
      <c r="D2233" t="str">
        <f>PROPER(Transactions!D2233)</f>
        <v>Electronics</v>
      </c>
      <c r="E2233" t="s">
        <v>104</v>
      </c>
      <c r="F2233" t="s">
        <v>105</v>
      </c>
      <c r="G2233">
        <v>2</v>
      </c>
      <c r="H2233">
        <v>22.49</v>
      </c>
      <c r="I2233" s="7">
        <f>IF(Transactions!I2233="",0,Transactions!I2233)</f>
        <v>0.25</v>
      </c>
      <c r="J2233" s="9">
        <f t="shared" si="34"/>
        <v>33.734999999999999</v>
      </c>
      <c r="K2233" t="s">
        <v>36</v>
      </c>
      <c r="L2233" t="s">
        <v>17</v>
      </c>
      <c r="M2233" t="str">
        <f>REPLACE(Transactions!M2233,1,4,"")</f>
        <v>17</v>
      </c>
    </row>
    <row r="2234" spans="1:13" x14ac:dyDescent="0.2">
      <c r="A2234">
        <v>473231</v>
      </c>
      <c r="B2234" s="5">
        <v>45222</v>
      </c>
      <c r="C2234">
        <v>59311</v>
      </c>
      <c r="D2234" t="str">
        <f>PROPER(Transactions!D2234)</f>
        <v>Automotive</v>
      </c>
      <c r="E2234" t="s">
        <v>111</v>
      </c>
      <c r="F2234" t="s">
        <v>112</v>
      </c>
      <c r="G2234">
        <v>3</v>
      </c>
      <c r="H2234">
        <v>10.49</v>
      </c>
      <c r="I2234" s="7">
        <f>IF(Transactions!I2234="",0,Transactions!I2234)</f>
        <v>0.3</v>
      </c>
      <c r="J2234" s="9">
        <f t="shared" si="34"/>
        <v>22.028999999999996</v>
      </c>
      <c r="K2234" t="s">
        <v>16</v>
      </c>
      <c r="L2234" t="s">
        <v>23</v>
      </c>
      <c r="M2234" t="str">
        <f>REPLACE(Transactions!M2234,1,4,"")</f>
        <v>3</v>
      </c>
    </row>
    <row r="2235" spans="1:13" x14ac:dyDescent="0.2">
      <c r="A2235">
        <v>473446</v>
      </c>
      <c r="B2235" s="5">
        <v>45432</v>
      </c>
      <c r="C2235">
        <v>56447</v>
      </c>
      <c r="D2235" t="str">
        <f>PROPER(Transactions!D2235)</f>
        <v>Pharmacy</v>
      </c>
      <c r="E2235" t="s">
        <v>58</v>
      </c>
      <c r="F2235" t="s">
        <v>59</v>
      </c>
      <c r="G2235">
        <v>1</v>
      </c>
      <c r="H2235">
        <v>3.39</v>
      </c>
      <c r="I2235" s="7">
        <f>IF(Transactions!I2235="",0,Transactions!I2235)</f>
        <v>0.15</v>
      </c>
      <c r="J2235" s="9">
        <f t="shared" si="34"/>
        <v>2.8815</v>
      </c>
      <c r="K2235" t="s">
        <v>16</v>
      </c>
      <c r="L2235" t="s">
        <v>37</v>
      </c>
      <c r="M2235" t="str">
        <f>REPLACE(Transactions!M2235,1,4,"")</f>
        <v>17</v>
      </c>
    </row>
    <row r="2236" spans="1:13" x14ac:dyDescent="0.2">
      <c r="A2236">
        <v>473482</v>
      </c>
      <c r="B2236" s="5">
        <v>44759</v>
      </c>
      <c r="C2236">
        <v>61278</v>
      </c>
      <c r="D2236" t="str">
        <f>PROPER(Transactions!D2236)</f>
        <v>Beauty</v>
      </c>
      <c r="E2236" t="s">
        <v>179</v>
      </c>
      <c r="F2236" t="s">
        <v>180</v>
      </c>
      <c r="G2236">
        <v>5</v>
      </c>
      <c r="H2236">
        <v>8.39</v>
      </c>
      <c r="I2236" s="7">
        <f>IF(Transactions!I2236="",0,Transactions!I2236)</f>
        <v>0.3</v>
      </c>
      <c r="J2236" s="9">
        <f t="shared" si="34"/>
        <v>29.364999999999998</v>
      </c>
      <c r="K2236" t="s">
        <v>22</v>
      </c>
      <c r="L2236" t="s">
        <v>17</v>
      </c>
      <c r="M2236" t="str">
        <f>REPLACE(Transactions!M2236,1,4,"")</f>
        <v>17</v>
      </c>
    </row>
    <row r="2237" spans="1:13" x14ac:dyDescent="0.2">
      <c r="A2237">
        <v>473492</v>
      </c>
      <c r="B2237" s="5">
        <v>45439</v>
      </c>
      <c r="C2237">
        <v>68171</v>
      </c>
      <c r="D2237" t="str">
        <f>PROPER(Transactions!D2237)</f>
        <v>Home &amp; Garden</v>
      </c>
      <c r="E2237" t="s">
        <v>157</v>
      </c>
      <c r="F2237" t="s">
        <v>158</v>
      </c>
      <c r="G2237">
        <v>4</v>
      </c>
      <c r="H2237">
        <v>12.14</v>
      </c>
      <c r="I2237" s="7">
        <f>IF(Transactions!I2237="",0,Transactions!I2237)</f>
        <v>0.1</v>
      </c>
      <c r="J2237" s="9">
        <f t="shared" si="34"/>
        <v>43.704000000000001</v>
      </c>
      <c r="K2237" t="s">
        <v>36</v>
      </c>
      <c r="L2237" t="s">
        <v>37</v>
      </c>
      <c r="M2237" t="str">
        <f>REPLACE(Transactions!M2237,1,4,"")</f>
        <v>20</v>
      </c>
    </row>
    <row r="2238" spans="1:13" x14ac:dyDescent="0.2">
      <c r="A2238">
        <v>473504</v>
      </c>
      <c r="B2238" s="5">
        <v>44911</v>
      </c>
      <c r="C2238">
        <v>77207</v>
      </c>
      <c r="D2238" t="str">
        <f>PROPER(Transactions!D2238)</f>
        <v>Grocery</v>
      </c>
      <c r="E2238" t="s">
        <v>172</v>
      </c>
      <c r="F2238" t="s">
        <v>173</v>
      </c>
      <c r="G2238">
        <v>5</v>
      </c>
      <c r="H2238">
        <v>3.59</v>
      </c>
      <c r="I2238" s="7">
        <f>IF(Transactions!I2238="",0,Transactions!I2238)</f>
        <v>0.2</v>
      </c>
      <c r="J2238" s="9">
        <f t="shared" si="34"/>
        <v>14.36</v>
      </c>
      <c r="K2238" t="s">
        <v>16</v>
      </c>
      <c r="L2238" t="s">
        <v>17</v>
      </c>
      <c r="M2238" t="str">
        <f>REPLACE(Transactions!M2238,1,4,"")</f>
        <v>9</v>
      </c>
    </row>
    <row r="2239" spans="1:13" x14ac:dyDescent="0.2">
      <c r="A2239">
        <v>473577</v>
      </c>
      <c r="B2239" s="5">
        <v>44844</v>
      </c>
      <c r="C2239">
        <v>87928</v>
      </c>
      <c r="D2239" t="str">
        <f>PROPER(Transactions!D2239)</f>
        <v>Pharmacy</v>
      </c>
      <c r="E2239" t="s">
        <v>115</v>
      </c>
      <c r="F2239" t="s">
        <v>116</v>
      </c>
      <c r="G2239">
        <v>2</v>
      </c>
      <c r="H2239">
        <v>12.99</v>
      </c>
      <c r="I2239" s="7">
        <f>IF(Transactions!I2239="",0,Transactions!I2239)</f>
        <v>0</v>
      </c>
      <c r="J2239" s="9">
        <f t="shared" si="34"/>
        <v>25.98</v>
      </c>
      <c r="K2239" t="s">
        <v>22</v>
      </c>
      <c r="L2239" t="s">
        <v>37</v>
      </c>
      <c r="M2239" t="str">
        <f>REPLACE(Transactions!M2239,1,4,"")</f>
        <v>12</v>
      </c>
    </row>
    <row r="2240" spans="1:13" x14ac:dyDescent="0.2">
      <c r="A2240">
        <v>473637</v>
      </c>
      <c r="B2240" s="5">
        <v>44577</v>
      </c>
      <c r="C2240">
        <v>63261</v>
      </c>
      <c r="D2240" t="str">
        <f>PROPER(Transactions!D2240)</f>
        <v>Beauty</v>
      </c>
      <c r="E2240" t="s">
        <v>118</v>
      </c>
      <c r="F2240" t="s">
        <v>119</v>
      </c>
      <c r="G2240">
        <v>2</v>
      </c>
      <c r="H2240">
        <v>4.99</v>
      </c>
      <c r="I2240" s="7">
        <f>IF(Transactions!I2240="",0,Transactions!I2240)</f>
        <v>0</v>
      </c>
      <c r="J2240" s="9">
        <f t="shared" si="34"/>
        <v>9.98</v>
      </c>
      <c r="K2240" t="s">
        <v>22</v>
      </c>
      <c r="L2240" t="s">
        <v>37</v>
      </c>
      <c r="M2240" t="str">
        <f>REPLACE(Transactions!M2240,1,4,"")</f>
        <v>15</v>
      </c>
    </row>
    <row r="2241" spans="1:13" x14ac:dyDescent="0.2">
      <c r="A2241">
        <v>473657</v>
      </c>
      <c r="B2241" s="5">
        <v>45301</v>
      </c>
      <c r="C2241">
        <v>90921</v>
      </c>
      <c r="D2241" t="str">
        <f>PROPER(Transactions!D2241)</f>
        <v>Beauty</v>
      </c>
      <c r="E2241" t="s">
        <v>118</v>
      </c>
      <c r="F2241" t="s">
        <v>119</v>
      </c>
      <c r="G2241">
        <v>1</v>
      </c>
      <c r="H2241">
        <v>4.99</v>
      </c>
      <c r="I2241" s="7">
        <f>IF(Transactions!I2241="",0,Transactions!I2241)</f>
        <v>0</v>
      </c>
      <c r="J2241" s="9">
        <f t="shared" si="34"/>
        <v>4.99</v>
      </c>
      <c r="K2241" t="s">
        <v>32</v>
      </c>
      <c r="L2241" t="s">
        <v>17</v>
      </c>
      <c r="M2241" t="str">
        <f>REPLACE(Transactions!M2241,1,4,"")</f>
        <v>8</v>
      </c>
    </row>
    <row r="2242" spans="1:13" x14ac:dyDescent="0.2">
      <c r="A2242">
        <v>474413</v>
      </c>
      <c r="B2242" s="5">
        <v>45052</v>
      </c>
      <c r="C2242">
        <v>48034</v>
      </c>
      <c r="D2242" t="str">
        <f>PROPER(Transactions!D2242)</f>
        <v>Sports</v>
      </c>
      <c r="E2242" t="s">
        <v>147</v>
      </c>
      <c r="F2242" t="s">
        <v>148</v>
      </c>
      <c r="G2242">
        <v>2</v>
      </c>
      <c r="H2242">
        <v>9.74</v>
      </c>
      <c r="I2242" s="7">
        <f>IF(Transactions!I2242="",0,Transactions!I2242)</f>
        <v>0.25</v>
      </c>
      <c r="J2242" s="9">
        <f t="shared" si="34"/>
        <v>14.61</v>
      </c>
      <c r="K2242" t="s">
        <v>16</v>
      </c>
      <c r="L2242" t="s">
        <v>37</v>
      </c>
      <c r="M2242" t="str">
        <f>REPLACE(Transactions!M2242,1,4,"")</f>
        <v>17</v>
      </c>
    </row>
    <row r="2243" spans="1:13" x14ac:dyDescent="0.2">
      <c r="A2243">
        <v>474628</v>
      </c>
      <c r="B2243" s="5">
        <v>45068</v>
      </c>
      <c r="C2243">
        <v>26344</v>
      </c>
      <c r="D2243" t="str">
        <f>PROPER(Transactions!D2243)</f>
        <v>Toys</v>
      </c>
      <c r="E2243" t="s">
        <v>170</v>
      </c>
      <c r="F2243" t="s">
        <v>171</v>
      </c>
      <c r="G2243">
        <v>4</v>
      </c>
      <c r="H2243">
        <v>14.99</v>
      </c>
      <c r="I2243" s="7">
        <f>IF(Transactions!I2243="",0,Transactions!I2243)</f>
        <v>0</v>
      </c>
      <c r="J2243" s="9">
        <f t="shared" ref="J2243:J2306" si="35">(H2243*G2243)*(1-I2243)</f>
        <v>59.96</v>
      </c>
      <c r="K2243" t="s">
        <v>16</v>
      </c>
      <c r="L2243" t="s">
        <v>37</v>
      </c>
      <c r="M2243" t="str">
        <f>REPLACE(Transactions!M2243,1,4,"")</f>
        <v>11</v>
      </c>
    </row>
    <row r="2244" spans="1:13" x14ac:dyDescent="0.2">
      <c r="A2244">
        <v>474635</v>
      </c>
      <c r="B2244" s="5">
        <v>44631</v>
      </c>
      <c r="C2244">
        <v>31818</v>
      </c>
      <c r="D2244" t="str">
        <f>PROPER(Transactions!D2244)</f>
        <v>Clothing</v>
      </c>
      <c r="E2244" t="s">
        <v>121</v>
      </c>
      <c r="F2244" t="s">
        <v>122</v>
      </c>
      <c r="G2244">
        <v>4</v>
      </c>
      <c r="H2244">
        <v>9.09</v>
      </c>
      <c r="I2244" s="7">
        <f>IF(Transactions!I2244="",0,Transactions!I2244)</f>
        <v>0.3</v>
      </c>
      <c r="J2244" s="9">
        <f t="shared" si="35"/>
        <v>25.451999999999998</v>
      </c>
      <c r="K2244" t="s">
        <v>95</v>
      </c>
      <c r="L2244" t="s">
        <v>37</v>
      </c>
      <c r="M2244" t="str">
        <f>REPLACE(Transactions!M2244,1,4,"")</f>
        <v>15</v>
      </c>
    </row>
    <row r="2245" spans="1:13" x14ac:dyDescent="0.2">
      <c r="A2245">
        <v>475018</v>
      </c>
      <c r="B2245" s="5">
        <v>45326</v>
      </c>
      <c r="C2245">
        <v>24153</v>
      </c>
      <c r="D2245" t="str">
        <f>PROPER(Transactions!D2245)</f>
        <v>Furniture</v>
      </c>
      <c r="E2245" t="s">
        <v>51</v>
      </c>
      <c r="F2245" t="s">
        <v>52</v>
      </c>
      <c r="G2245">
        <v>3</v>
      </c>
      <c r="H2245">
        <v>25.19</v>
      </c>
      <c r="I2245" s="7">
        <f>IF(Transactions!I2245="",0,Transactions!I2245)</f>
        <v>0.1</v>
      </c>
      <c r="J2245" s="9">
        <f t="shared" si="35"/>
        <v>68.013000000000005</v>
      </c>
      <c r="K2245" t="s">
        <v>16</v>
      </c>
      <c r="L2245" t="s">
        <v>37</v>
      </c>
      <c r="M2245" t="str">
        <f>REPLACE(Transactions!M2245,1,4,"")</f>
        <v>15</v>
      </c>
    </row>
    <row r="2246" spans="1:13" x14ac:dyDescent="0.2">
      <c r="A2246">
        <v>475103</v>
      </c>
      <c r="B2246" s="5">
        <v>44994</v>
      </c>
      <c r="C2246">
        <v>24119</v>
      </c>
      <c r="D2246" t="str">
        <f>PROPER(Transactions!D2246)</f>
        <v>Home &amp; Garden</v>
      </c>
      <c r="E2246" t="s">
        <v>129</v>
      </c>
      <c r="F2246" t="s">
        <v>130</v>
      </c>
      <c r="G2246">
        <v>2</v>
      </c>
      <c r="H2246">
        <v>8.5399999999999991</v>
      </c>
      <c r="I2246" s="7">
        <f>IF(Transactions!I2246="",0,Transactions!I2246)</f>
        <v>0.05</v>
      </c>
      <c r="J2246" s="9">
        <f t="shared" si="35"/>
        <v>16.225999999999999</v>
      </c>
      <c r="K2246" t="s">
        <v>16</v>
      </c>
      <c r="L2246" t="s">
        <v>17</v>
      </c>
      <c r="M2246" t="str">
        <f>REPLACE(Transactions!M2246,1,4,"")</f>
        <v>3</v>
      </c>
    </row>
    <row r="2247" spans="1:13" x14ac:dyDescent="0.2">
      <c r="A2247">
        <v>475187</v>
      </c>
      <c r="B2247" s="5">
        <v>44692</v>
      </c>
      <c r="C2247">
        <v>94545</v>
      </c>
      <c r="D2247" t="str">
        <f>PROPER(Transactions!D2247)</f>
        <v>Automotive</v>
      </c>
      <c r="E2247" t="s">
        <v>125</v>
      </c>
      <c r="F2247" t="s">
        <v>126</v>
      </c>
      <c r="G2247">
        <v>1</v>
      </c>
      <c r="H2247">
        <v>25.49</v>
      </c>
      <c r="I2247" s="7">
        <f>IF(Transactions!I2247="",0,Transactions!I2247)</f>
        <v>0.15</v>
      </c>
      <c r="J2247" s="9">
        <f t="shared" si="35"/>
        <v>21.666499999999999</v>
      </c>
      <c r="K2247" t="s">
        <v>16</v>
      </c>
      <c r="L2247" t="s">
        <v>37</v>
      </c>
      <c r="M2247" t="str">
        <f>REPLACE(Transactions!M2247,1,4,"")</f>
        <v>8</v>
      </c>
    </row>
    <row r="2248" spans="1:13" x14ac:dyDescent="0.2">
      <c r="A2248">
        <v>475325</v>
      </c>
      <c r="B2248" s="5">
        <v>44872</v>
      </c>
      <c r="C2248">
        <v>12252</v>
      </c>
      <c r="D2248" t="str">
        <f>PROPER(Transactions!D2248)</f>
        <v>Beauty</v>
      </c>
      <c r="E2248" t="s">
        <v>139</v>
      </c>
      <c r="F2248" t="s">
        <v>140</v>
      </c>
      <c r="G2248">
        <v>2</v>
      </c>
      <c r="H2248">
        <v>7.19</v>
      </c>
      <c r="I2248" s="7">
        <f>IF(Transactions!I2248="",0,Transactions!I2248)</f>
        <v>0.1</v>
      </c>
      <c r="J2248" s="9">
        <f t="shared" si="35"/>
        <v>12.942</v>
      </c>
      <c r="K2248" t="s">
        <v>53</v>
      </c>
      <c r="L2248" t="s">
        <v>17</v>
      </c>
      <c r="M2248" t="str">
        <f>REPLACE(Transactions!M2248,1,4,"")</f>
        <v>5</v>
      </c>
    </row>
    <row r="2249" spans="1:13" x14ac:dyDescent="0.2">
      <c r="A2249">
        <v>475331</v>
      </c>
      <c r="B2249" s="5">
        <v>45220</v>
      </c>
      <c r="C2249">
        <v>76477</v>
      </c>
      <c r="D2249" t="str">
        <f>PROPER(Transactions!D2249)</f>
        <v>Clothing</v>
      </c>
      <c r="E2249" t="s">
        <v>141</v>
      </c>
      <c r="F2249" t="s">
        <v>142</v>
      </c>
      <c r="G2249">
        <v>2</v>
      </c>
      <c r="H2249">
        <v>16.09</v>
      </c>
      <c r="I2249" s="7">
        <f>IF(Transactions!I2249="",0,Transactions!I2249)</f>
        <v>0.3</v>
      </c>
      <c r="J2249" s="9">
        <f t="shared" si="35"/>
        <v>22.526</v>
      </c>
      <c r="K2249" t="s">
        <v>36</v>
      </c>
      <c r="L2249" t="s">
        <v>17</v>
      </c>
      <c r="M2249" t="str">
        <f>REPLACE(Transactions!M2249,1,4,"")</f>
        <v>2</v>
      </c>
    </row>
    <row r="2250" spans="1:13" x14ac:dyDescent="0.2">
      <c r="A2250">
        <v>475670</v>
      </c>
      <c r="B2250" s="5">
        <v>45392</v>
      </c>
      <c r="C2250">
        <v>19373</v>
      </c>
      <c r="D2250" t="str">
        <f>PROPER(Transactions!D2250)</f>
        <v>Sports</v>
      </c>
      <c r="E2250" t="s">
        <v>100</v>
      </c>
      <c r="F2250" t="s">
        <v>101</v>
      </c>
      <c r="G2250">
        <v>5</v>
      </c>
      <c r="H2250">
        <v>22.99</v>
      </c>
      <c r="I2250" s="7">
        <f>IF(Transactions!I2250="",0,Transactions!I2250)</f>
        <v>0</v>
      </c>
      <c r="J2250" s="9">
        <f t="shared" si="35"/>
        <v>114.94999999999999</v>
      </c>
      <c r="K2250" t="s">
        <v>36</v>
      </c>
      <c r="L2250" t="s">
        <v>17</v>
      </c>
      <c r="M2250" t="str">
        <f>REPLACE(Transactions!M2250,1,4,"")</f>
        <v>19</v>
      </c>
    </row>
    <row r="2251" spans="1:13" x14ac:dyDescent="0.2">
      <c r="A2251">
        <v>475841</v>
      </c>
      <c r="B2251" s="5">
        <v>44946</v>
      </c>
      <c r="C2251">
        <v>41239</v>
      </c>
      <c r="D2251" t="str">
        <f>PROPER(Transactions!D2251)</f>
        <v>Electronics</v>
      </c>
      <c r="E2251" t="s">
        <v>104</v>
      </c>
      <c r="F2251" t="s">
        <v>105</v>
      </c>
      <c r="G2251">
        <v>2</v>
      </c>
      <c r="H2251">
        <v>29.99</v>
      </c>
      <c r="I2251" s="7">
        <f>IF(Transactions!I2251="",0,Transactions!I2251)</f>
        <v>0</v>
      </c>
      <c r="J2251" s="9">
        <f t="shared" si="35"/>
        <v>59.98</v>
      </c>
      <c r="K2251" t="s">
        <v>53</v>
      </c>
      <c r="L2251" t="s">
        <v>37</v>
      </c>
      <c r="M2251" t="str">
        <f>REPLACE(Transactions!M2251,1,4,"")</f>
        <v>11</v>
      </c>
    </row>
    <row r="2252" spans="1:13" x14ac:dyDescent="0.2">
      <c r="A2252">
        <v>475918</v>
      </c>
      <c r="B2252" s="5">
        <v>44950</v>
      </c>
      <c r="C2252">
        <v>23751</v>
      </c>
      <c r="D2252" t="str">
        <f>PROPER(Transactions!D2252)</f>
        <v>Grocery</v>
      </c>
      <c r="E2252" t="s">
        <v>45</v>
      </c>
      <c r="F2252" t="s">
        <v>46</v>
      </c>
      <c r="G2252">
        <v>5</v>
      </c>
      <c r="H2252">
        <v>1.25</v>
      </c>
      <c r="I2252" s="7">
        <f>IF(Transactions!I2252="",0,Transactions!I2252)</f>
        <v>0.3</v>
      </c>
      <c r="J2252" s="9">
        <f t="shared" si="35"/>
        <v>4.375</v>
      </c>
      <c r="K2252" t="s">
        <v>36</v>
      </c>
      <c r="L2252" t="s">
        <v>37</v>
      </c>
      <c r="M2252" t="str">
        <f>REPLACE(Transactions!M2252,1,4,"")</f>
        <v>16</v>
      </c>
    </row>
    <row r="2253" spans="1:13" x14ac:dyDescent="0.2">
      <c r="A2253">
        <v>476149</v>
      </c>
      <c r="B2253" s="5">
        <v>45462</v>
      </c>
      <c r="C2253">
        <v>17678</v>
      </c>
      <c r="D2253" t="str">
        <f>PROPER(Transactions!D2253)</f>
        <v>Pharmacy</v>
      </c>
      <c r="E2253" t="s">
        <v>41</v>
      </c>
      <c r="F2253" t="s">
        <v>42</v>
      </c>
      <c r="G2253">
        <v>2</v>
      </c>
      <c r="H2253">
        <v>5.99</v>
      </c>
      <c r="I2253" s="7">
        <f>IF(Transactions!I2253="",0,Transactions!I2253)</f>
        <v>0</v>
      </c>
      <c r="J2253" s="9">
        <f t="shared" si="35"/>
        <v>11.98</v>
      </c>
      <c r="K2253" t="s">
        <v>16</v>
      </c>
      <c r="L2253" t="s">
        <v>37</v>
      </c>
      <c r="M2253" t="str">
        <f>REPLACE(Transactions!M2253,1,4,"")</f>
        <v>2</v>
      </c>
    </row>
    <row r="2254" spans="1:13" x14ac:dyDescent="0.2">
      <c r="A2254">
        <v>476353</v>
      </c>
      <c r="B2254" s="5">
        <v>45549</v>
      </c>
      <c r="C2254">
        <v>94813</v>
      </c>
      <c r="D2254" t="str">
        <f>PROPER(Transactions!D2254)</f>
        <v>Electronics</v>
      </c>
      <c r="E2254" t="s">
        <v>79</v>
      </c>
      <c r="F2254" t="s">
        <v>80</v>
      </c>
      <c r="G2254">
        <v>2</v>
      </c>
      <c r="H2254">
        <v>89.99</v>
      </c>
      <c r="I2254" s="7">
        <f>IF(Transactions!I2254="",0,Transactions!I2254)</f>
        <v>0</v>
      </c>
      <c r="J2254" s="9">
        <f t="shared" si="35"/>
        <v>179.98</v>
      </c>
      <c r="K2254" t="s">
        <v>16</v>
      </c>
      <c r="L2254" t="s">
        <v>17</v>
      </c>
      <c r="M2254" t="str">
        <f>REPLACE(Transactions!M2254,1,4,"")</f>
        <v>15</v>
      </c>
    </row>
    <row r="2255" spans="1:13" x14ac:dyDescent="0.2">
      <c r="A2255">
        <v>477031</v>
      </c>
      <c r="B2255" s="5">
        <v>44870</v>
      </c>
      <c r="C2255">
        <v>54433</v>
      </c>
      <c r="D2255" t="str">
        <f>PROPER(Transactions!D2255)</f>
        <v>Home &amp; Garden</v>
      </c>
      <c r="E2255" t="s">
        <v>157</v>
      </c>
      <c r="F2255" t="s">
        <v>158</v>
      </c>
      <c r="G2255">
        <v>1</v>
      </c>
      <c r="H2255">
        <v>12.82</v>
      </c>
      <c r="I2255" s="7">
        <f>IF(Transactions!I2255="",0,Transactions!I2255)</f>
        <v>0.05</v>
      </c>
      <c r="J2255" s="9">
        <f t="shared" si="35"/>
        <v>12.179</v>
      </c>
      <c r="K2255" t="s">
        <v>36</v>
      </c>
      <c r="L2255" t="s">
        <v>37</v>
      </c>
      <c r="M2255" t="str">
        <f>REPLACE(Transactions!M2255,1,4,"")</f>
        <v>13</v>
      </c>
    </row>
    <row r="2256" spans="1:13" x14ac:dyDescent="0.2">
      <c r="A2256">
        <v>477174</v>
      </c>
      <c r="B2256" s="5">
        <v>45639</v>
      </c>
      <c r="C2256">
        <v>21703</v>
      </c>
      <c r="D2256" t="str">
        <f>PROPER(Transactions!D2256)</f>
        <v>Clothing</v>
      </c>
      <c r="E2256" t="s">
        <v>181</v>
      </c>
      <c r="F2256" t="s">
        <v>182</v>
      </c>
      <c r="G2256">
        <v>1</v>
      </c>
      <c r="H2256">
        <v>14.24</v>
      </c>
      <c r="I2256" s="7">
        <f>IF(Transactions!I2256="",0,Transactions!I2256)</f>
        <v>0.05</v>
      </c>
      <c r="J2256" s="9">
        <f t="shared" si="35"/>
        <v>13.527999999999999</v>
      </c>
      <c r="K2256" t="s">
        <v>36</v>
      </c>
      <c r="L2256" t="s">
        <v>17</v>
      </c>
      <c r="M2256" t="str">
        <f>REPLACE(Transactions!M2256,1,4,"")</f>
        <v>18</v>
      </c>
    </row>
    <row r="2257" spans="1:13" x14ac:dyDescent="0.2">
      <c r="A2257">
        <v>477196</v>
      </c>
      <c r="B2257" s="5">
        <v>45213</v>
      </c>
      <c r="C2257">
        <v>38253</v>
      </c>
      <c r="D2257" t="str">
        <f>PROPER(Transactions!D2257)</f>
        <v>Automotive</v>
      </c>
      <c r="E2257" t="s">
        <v>64</v>
      </c>
      <c r="F2257" t="s">
        <v>65</v>
      </c>
      <c r="G2257">
        <v>2</v>
      </c>
      <c r="H2257">
        <v>3.49</v>
      </c>
      <c r="I2257" s="7">
        <f>IF(Transactions!I2257="",0,Transactions!I2257)</f>
        <v>0.3</v>
      </c>
      <c r="J2257" s="9">
        <f t="shared" si="35"/>
        <v>4.8860000000000001</v>
      </c>
      <c r="K2257" t="s">
        <v>22</v>
      </c>
      <c r="L2257" t="s">
        <v>23</v>
      </c>
      <c r="M2257" t="str">
        <f>REPLACE(Transactions!M2257,1,4,"")</f>
        <v>17</v>
      </c>
    </row>
    <row r="2258" spans="1:13" x14ac:dyDescent="0.2">
      <c r="A2258">
        <v>477214</v>
      </c>
      <c r="B2258" s="5">
        <v>45036</v>
      </c>
      <c r="C2258">
        <v>46167</v>
      </c>
      <c r="D2258" t="str">
        <f>PROPER(Transactions!D2258)</f>
        <v>Electronics</v>
      </c>
      <c r="E2258" t="s">
        <v>159</v>
      </c>
      <c r="F2258" t="s">
        <v>160</v>
      </c>
      <c r="G2258">
        <v>3</v>
      </c>
      <c r="H2258">
        <v>59.99</v>
      </c>
      <c r="I2258" s="7">
        <f>IF(Transactions!I2258="",0,Transactions!I2258)</f>
        <v>0</v>
      </c>
      <c r="J2258" s="9">
        <f t="shared" si="35"/>
        <v>179.97</v>
      </c>
      <c r="K2258" t="s">
        <v>16</v>
      </c>
      <c r="L2258" t="s">
        <v>17</v>
      </c>
      <c r="M2258" t="str">
        <f>REPLACE(Transactions!M2258,1,4,"")</f>
        <v>7</v>
      </c>
    </row>
    <row r="2259" spans="1:13" x14ac:dyDescent="0.2">
      <c r="A2259">
        <v>477351</v>
      </c>
      <c r="B2259" s="5">
        <v>45234</v>
      </c>
      <c r="C2259">
        <v>99033</v>
      </c>
      <c r="D2259" t="str">
        <f>PROPER(Transactions!D2259)</f>
        <v>Pharmacy</v>
      </c>
      <c r="E2259" t="s">
        <v>197</v>
      </c>
      <c r="F2259" t="s">
        <v>198</v>
      </c>
      <c r="G2259">
        <v>2</v>
      </c>
      <c r="H2259">
        <v>10.49</v>
      </c>
      <c r="I2259" s="7">
        <f>IF(Transactions!I2259="",0,Transactions!I2259)</f>
        <v>0.3</v>
      </c>
      <c r="J2259" s="9">
        <f t="shared" si="35"/>
        <v>14.686</v>
      </c>
      <c r="K2259" t="s">
        <v>16</v>
      </c>
      <c r="L2259" t="s">
        <v>17</v>
      </c>
      <c r="M2259" t="str">
        <f>REPLACE(Transactions!M2259,1,4,"")</f>
        <v/>
      </c>
    </row>
    <row r="2260" spans="1:13" x14ac:dyDescent="0.2">
      <c r="A2260">
        <v>477403</v>
      </c>
      <c r="B2260" s="5">
        <v>45336</v>
      </c>
      <c r="C2260">
        <v>64214</v>
      </c>
      <c r="D2260" t="str">
        <f>PROPER(Transactions!D2260)</f>
        <v>Grocery</v>
      </c>
      <c r="E2260" t="s">
        <v>162</v>
      </c>
      <c r="F2260" t="s">
        <v>163</v>
      </c>
      <c r="G2260">
        <v>5</v>
      </c>
      <c r="H2260">
        <v>6.79</v>
      </c>
      <c r="I2260" s="7">
        <f>IF(Transactions!I2260="",0,Transactions!I2260)</f>
        <v>0.15</v>
      </c>
      <c r="J2260" s="9">
        <f t="shared" si="35"/>
        <v>28.857500000000002</v>
      </c>
      <c r="K2260" t="s">
        <v>16</v>
      </c>
      <c r="L2260" t="s">
        <v>17</v>
      </c>
      <c r="M2260" t="str">
        <f>REPLACE(Transactions!M2260,1,4,"")</f>
        <v>2</v>
      </c>
    </row>
    <row r="2261" spans="1:13" x14ac:dyDescent="0.2">
      <c r="A2261">
        <v>477510</v>
      </c>
      <c r="B2261" s="5">
        <v>45164</v>
      </c>
      <c r="C2261">
        <v>29309</v>
      </c>
      <c r="D2261" t="str">
        <f>PROPER(Transactions!D2261)</f>
        <v>Sports</v>
      </c>
      <c r="E2261" t="s">
        <v>188</v>
      </c>
      <c r="F2261" t="s">
        <v>189</v>
      </c>
      <c r="G2261">
        <v>3</v>
      </c>
      <c r="H2261">
        <v>44.99</v>
      </c>
      <c r="I2261" s="7">
        <f>IF(Transactions!I2261="",0,Transactions!I2261)</f>
        <v>0</v>
      </c>
      <c r="J2261" s="9">
        <f t="shared" si="35"/>
        <v>134.97</v>
      </c>
      <c r="K2261" t="s">
        <v>95</v>
      </c>
      <c r="L2261" t="s">
        <v>17</v>
      </c>
      <c r="M2261" t="str">
        <f>REPLACE(Transactions!M2261,1,4,"")</f>
        <v>8</v>
      </c>
    </row>
    <row r="2262" spans="1:13" x14ac:dyDescent="0.2">
      <c r="A2262">
        <v>477609</v>
      </c>
      <c r="B2262" s="5">
        <v>44866</v>
      </c>
      <c r="C2262">
        <v>56133</v>
      </c>
      <c r="D2262" t="str">
        <f>PROPER(Transactions!D2262)</f>
        <v>Beauty</v>
      </c>
      <c r="E2262" t="s">
        <v>118</v>
      </c>
      <c r="F2262" t="s">
        <v>119</v>
      </c>
      <c r="G2262">
        <v>4</v>
      </c>
      <c r="H2262">
        <v>4.74</v>
      </c>
      <c r="I2262" s="7">
        <f>IF(Transactions!I2262="",0,Transactions!I2262)</f>
        <v>0.05</v>
      </c>
      <c r="J2262" s="9">
        <f t="shared" si="35"/>
        <v>18.012</v>
      </c>
      <c r="K2262" t="s">
        <v>16</v>
      </c>
      <c r="L2262" t="s">
        <v>17</v>
      </c>
      <c r="M2262" t="str">
        <f>REPLACE(Transactions!M2262,1,4,"")</f>
        <v>8</v>
      </c>
    </row>
    <row r="2263" spans="1:13" x14ac:dyDescent="0.2">
      <c r="A2263">
        <v>477722</v>
      </c>
      <c r="B2263" s="5">
        <v>45555</v>
      </c>
      <c r="C2263">
        <v>88186</v>
      </c>
      <c r="D2263" t="str">
        <f>PROPER(Transactions!D2263)</f>
        <v>Clothing</v>
      </c>
      <c r="E2263" t="s">
        <v>181</v>
      </c>
      <c r="F2263" t="s">
        <v>182</v>
      </c>
      <c r="G2263">
        <v>1</v>
      </c>
      <c r="H2263">
        <v>14.24</v>
      </c>
      <c r="I2263" s="7">
        <f>IF(Transactions!I2263="",0,Transactions!I2263)</f>
        <v>0.05</v>
      </c>
      <c r="J2263" s="9">
        <f t="shared" si="35"/>
        <v>13.527999999999999</v>
      </c>
      <c r="K2263" t="s">
        <v>22</v>
      </c>
      <c r="L2263" t="s">
        <v>17</v>
      </c>
      <c r="M2263" t="str">
        <f>REPLACE(Transactions!M2263,1,4,"")</f>
        <v>15</v>
      </c>
    </row>
    <row r="2264" spans="1:13" x14ac:dyDescent="0.2">
      <c r="A2264">
        <v>477769</v>
      </c>
      <c r="B2264" s="5">
        <v>45071</v>
      </c>
      <c r="C2264">
        <v>76379</v>
      </c>
      <c r="D2264" t="str">
        <f>PROPER(Transactions!D2264)</f>
        <v>Electronics</v>
      </c>
      <c r="E2264" t="s">
        <v>14</v>
      </c>
      <c r="F2264" t="s">
        <v>15</v>
      </c>
      <c r="G2264">
        <v>5</v>
      </c>
      <c r="H2264">
        <v>55.99</v>
      </c>
      <c r="I2264" s="7">
        <f>IF(Transactions!I2264="",0,Transactions!I2264)</f>
        <v>0.3</v>
      </c>
      <c r="J2264" s="9">
        <f t="shared" si="35"/>
        <v>195.96499999999997</v>
      </c>
      <c r="K2264" t="s">
        <v>36</v>
      </c>
      <c r="L2264" t="s">
        <v>17</v>
      </c>
      <c r="M2264" t="str">
        <f>REPLACE(Transactions!M2264,1,4,"")</f>
        <v>14</v>
      </c>
    </row>
    <row r="2265" spans="1:13" x14ac:dyDescent="0.2">
      <c r="A2265">
        <v>478007</v>
      </c>
      <c r="B2265" s="5">
        <v>45009</v>
      </c>
      <c r="C2265">
        <v>61976</v>
      </c>
      <c r="D2265" t="str">
        <f>PROPER(Transactions!D2265)</f>
        <v>Automotive</v>
      </c>
      <c r="E2265" t="s">
        <v>111</v>
      </c>
      <c r="F2265" t="s">
        <v>112</v>
      </c>
      <c r="G2265">
        <v>1</v>
      </c>
      <c r="H2265">
        <v>14.99</v>
      </c>
      <c r="I2265" s="7">
        <f>IF(Transactions!I2265="",0,Transactions!I2265)</f>
        <v>0</v>
      </c>
      <c r="J2265" s="9">
        <f t="shared" si="35"/>
        <v>14.99</v>
      </c>
      <c r="K2265" t="s">
        <v>22</v>
      </c>
      <c r="L2265" t="s">
        <v>17</v>
      </c>
      <c r="M2265" t="str">
        <f>REPLACE(Transactions!M2265,1,4,"")</f>
        <v>6</v>
      </c>
    </row>
    <row r="2266" spans="1:13" x14ac:dyDescent="0.2">
      <c r="A2266">
        <v>478015</v>
      </c>
      <c r="B2266" s="5">
        <v>45249</v>
      </c>
      <c r="C2266">
        <v>75654</v>
      </c>
      <c r="D2266" t="str">
        <f>PROPER(Transactions!D2266)</f>
        <v>Pharmacy</v>
      </c>
      <c r="E2266" t="s">
        <v>58</v>
      </c>
      <c r="F2266" t="s">
        <v>59</v>
      </c>
      <c r="G2266">
        <v>1</v>
      </c>
      <c r="H2266">
        <v>3.79</v>
      </c>
      <c r="I2266" s="7">
        <f>IF(Transactions!I2266="",0,Transactions!I2266)</f>
        <v>0.05</v>
      </c>
      <c r="J2266" s="9">
        <f t="shared" si="35"/>
        <v>3.6004999999999998</v>
      </c>
      <c r="K2266" t="s">
        <v>36</v>
      </c>
      <c r="L2266" t="s">
        <v>17</v>
      </c>
      <c r="M2266" t="str">
        <f>REPLACE(Transactions!M2266,1,4,"")</f>
        <v>15</v>
      </c>
    </row>
    <row r="2267" spans="1:13" x14ac:dyDescent="0.2">
      <c r="A2267">
        <v>478412</v>
      </c>
      <c r="B2267" s="5">
        <v>44987</v>
      </c>
      <c r="C2267">
        <v>88346</v>
      </c>
      <c r="D2267" t="str">
        <f>PROPER(Transactions!D2267)</f>
        <v>Toys</v>
      </c>
      <c r="E2267" t="s">
        <v>88</v>
      </c>
      <c r="F2267" t="s">
        <v>89</v>
      </c>
      <c r="G2267">
        <v>1</v>
      </c>
      <c r="H2267">
        <v>49.99</v>
      </c>
      <c r="I2267" s="7">
        <f>IF(Transactions!I2267="",0,Transactions!I2267)</f>
        <v>0</v>
      </c>
      <c r="J2267" s="9">
        <f t="shared" si="35"/>
        <v>49.99</v>
      </c>
      <c r="K2267" t="s">
        <v>36</v>
      </c>
      <c r="L2267" t="s">
        <v>17</v>
      </c>
      <c r="M2267" t="str">
        <f>REPLACE(Transactions!M2267,1,4,"")</f>
        <v>4</v>
      </c>
    </row>
    <row r="2268" spans="1:13" x14ac:dyDescent="0.2">
      <c r="A2268">
        <v>478504</v>
      </c>
      <c r="B2268" s="5">
        <v>44642</v>
      </c>
      <c r="C2268">
        <v>83643</v>
      </c>
      <c r="D2268" t="str">
        <f>PROPER(Transactions!D2268)</f>
        <v>Grocery</v>
      </c>
      <c r="E2268" t="s">
        <v>74</v>
      </c>
      <c r="F2268" t="s">
        <v>75</v>
      </c>
      <c r="G2268">
        <v>1</v>
      </c>
      <c r="H2268">
        <v>2.09</v>
      </c>
      <c r="I2268" s="7">
        <f>IF(Transactions!I2268="",0,Transactions!I2268)</f>
        <v>0.3</v>
      </c>
      <c r="J2268" s="9">
        <f t="shared" si="35"/>
        <v>1.4629999999999999</v>
      </c>
      <c r="K2268" t="s">
        <v>22</v>
      </c>
      <c r="L2268" t="s">
        <v>23</v>
      </c>
      <c r="M2268" t="str">
        <f>REPLACE(Transactions!M2268,1,4,"")</f>
        <v>19</v>
      </c>
    </row>
    <row r="2269" spans="1:13" x14ac:dyDescent="0.2">
      <c r="A2269">
        <v>478510</v>
      </c>
      <c r="B2269" s="5">
        <v>45250</v>
      </c>
      <c r="C2269">
        <v>36214</v>
      </c>
      <c r="D2269" t="str">
        <f>PROPER(Transactions!D2269)</f>
        <v>Beauty</v>
      </c>
      <c r="E2269" t="s">
        <v>49</v>
      </c>
      <c r="F2269" t="s">
        <v>50</v>
      </c>
      <c r="G2269">
        <v>1</v>
      </c>
      <c r="H2269">
        <v>8.99</v>
      </c>
      <c r="I2269" s="7">
        <f>IF(Transactions!I2269="",0,Transactions!I2269)</f>
        <v>0</v>
      </c>
      <c r="J2269" s="9">
        <f t="shared" si="35"/>
        <v>8.99</v>
      </c>
      <c r="K2269" t="s">
        <v>16</v>
      </c>
      <c r="L2269" t="s">
        <v>17</v>
      </c>
      <c r="M2269" t="str">
        <f>REPLACE(Transactions!M2269,1,4,"")</f>
        <v>7</v>
      </c>
    </row>
    <row r="2270" spans="1:13" x14ac:dyDescent="0.2">
      <c r="A2270">
        <v>478800</v>
      </c>
      <c r="B2270" s="5">
        <v>45243</v>
      </c>
      <c r="C2270">
        <v>16083</v>
      </c>
      <c r="D2270" t="str">
        <f>PROPER(Transactions!D2270)</f>
        <v>Electronics</v>
      </c>
      <c r="E2270" t="s">
        <v>79</v>
      </c>
      <c r="F2270" t="s">
        <v>80</v>
      </c>
      <c r="G2270">
        <v>1</v>
      </c>
      <c r="H2270">
        <v>62.99</v>
      </c>
      <c r="I2270" s="7">
        <f>IF(Transactions!I2270="",0,Transactions!I2270)</f>
        <v>0.3</v>
      </c>
      <c r="J2270" s="9">
        <f t="shared" si="35"/>
        <v>44.092999999999996</v>
      </c>
      <c r="K2270" t="s">
        <v>32</v>
      </c>
      <c r="L2270" t="s">
        <v>17</v>
      </c>
      <c r="M2270" t="str">
        <f>REPLACE(Transactions!M2270,1,4,"")</f>
        <v>8</v>
      </c>
    </row>
    <row r="2271" spans="1:13" x14ac:dyDescent="0.2">
      <c r="A2271">
        <v>478949</v>
      </c>
      <c r="B2271" s="5">
        <v>44612</v>
      </c>
      <c r="C2271">
        <v>36638</v>
      </c>
      <c r="D2271" t="str">
        <f>PROPER(Transactions!D2271)</f>
        <v>Electronics</v>
      </c>
      <c r="E2271" t="s">
        <v>55</v>
      </c>
      <c r="F2271" t="s">
        <v>56</v>
      </c>
      <c r="G2271">
        <v>2</v>
      </c>
      <c r="H2271">
        <v>263.99</v>
      </c>
      <c r="I2271" s="7">
        <f>IF(Transactions!I2271="",0,Transactions!I2271)</f>
        <v>0.2</v>
      </c>
      <c r="J2271" s="9">
        <f t="shared" si="35"/>
        <v>422.38400000000001</v>
      </c>
      <c r="K2271" t="s">
        <v>36</v>
      </c>
      <c r="L2271" t="s">
        <v>17</v>
      </c>
      <c r="M2271" t="str">
        <f>REPLACE(Transactions!M2271,1,4,"")</f>
        <v>16</v>
      </c>
    </row>
    <row r="2272" spans="1:13" x14ac:dyDescent="0.2">
      <c r="A2272">
        <v>479076</v>
      </c>
      <c r="B2272" s="5">
        <v>45331</v>
      </c>
      <c r="C2272">
        <v>61890</v>
      </c>
      <c r="D2272" t="str">
        <f>PROPER(Transactions!D2272)</f>
        <v>Automotive</v>
      </c>
      <c r="E2272" t="s">
        <v>131</v>
      </c>
      <c r="F2272" t="s">
        <v>132</v>
      </c>
      <c r="G2272">
        <v>3</v>
      </c>
      <c r="H2272">
        <v>3.49</v>
      </c>
      <c r="I2272" s="7">
        <f>IF(Transactions!I2272="",0,Transactions!I2272)</f>
        <v>0</v>
      </c>
      <c r="J2272" s="9">
        <f t="shared" si="35"/>
        <v>10.47</v>
      </c>
      <c r="K2272" t="s">
        <v>22</v>
      </c>
      <c r="L2272" t="s">
        <v>17</v>
      </c>
      <c r="M2272" t="str">
        <f>REPLACE(Transactions!M2272,1,4,"")</f>
        <v>17</v>
      </c>
    </row>
    <row r="2273" spans="1:13" x14ac:dyDescent="0.2">
      <c r="A2273">
        <v>479357</v>
      </c>
      <c r="B2273" s="5">
        <v>45654</v>
      </c>
      <c r="C2273">
        <v>63706</v>
      </c>
      <c r="D2273" t="str">
        <f>PROPER(Transactions!D2273)</f>
        <v>Home &amp; Garden</v>
      </c>
      <c r="E2273" t="s">
        <v>129</v>
      </c>
      <c r="F2273" t="s">
        <v>130</v>
      </c>
      <c r="G2273">
        <v>2</v>
      </c>
      <c r="H2273">
        <v>8.99</v>
      </c>
      <c r="I2273" s="7">
        <f>IF(Transactions!I2273="",0,Transactions!I2273)</f>
        <v>0</v>
      </c>
      <c r="J2273" s="9">
        <f t="shared" si="35"/>
        <v>17.98</v>
      </c>
      <c r="K2273" t="s">
        <v>16</v>
      </c>
      <c r="L2273" t="s">
        <v>37</v>
      </c>
      <c r="M2273" t="str">
        <f>REPLACE(Transactions!M2273,1,4,"")</f>
        <v>14</v>
      </c>
    </row>
    <row r="2274" spans="1:13" x14ac:dyDescent="0.2">
      <c r="A2274">
        <v>479572</v>
      </c>
      <c r="B2274" s="5">
        <v>45112</v>
      </c>
      <c r="C2274">
        <v>31890</v>
      </c>
      <c r="D2274" t="str">
        <f>PROPER(Transactions!D2274)</f>
        <v>Sports</v>
      </c>
      <c r="E2274" t="s">
        <v>188</v>
      </c>
      <c r="F2274" t="s">
        <v>189</v>
      </c>
      <c r="G2274">
        <v>5</v>
      </c>
      <c r="H2274">
        <v>38.24</v>
      </c>
      <c r="I2274" s="7">
        <f>IF(Transactions!I2274="",0,Transactions!I2274)</f>
        <v>0.15</v>
      </c>
      <c r="J2274" s="9">
        <f t="shared" si="35"/>
        <v>162.52000000000001</v>
      </c>
      <c r="K2274" t="s">
        <v>95</v>
      </c>
      <c r="L2274" t="s">
        <v>17</v>
      </c>
      <c r="M2274" t="str">
        <f>REPLACE(Transactions!M2274,1,4,"")</f>
        <v>17</v>
      </c>
    </row>
    <row r="2275" spans="1:13" x14ac:dyDescent="0.2">
      <c r="A2275">
        <v>479856</v>
      </c>
      <c r="B2275" s="5">
        <v>45485</v>
      </c>
      <c r="C2275">
        <v>74865</v>
      </c>
      <c r="D2275" t="str">
        <f>PROPER(Transactions!D2275)</f>
        <v>Furniture</v>
      </c>
      <c r="E2275" t="s">
        <v>113</v>
      </c>
      <c r="F2275" t="s">
        <v>114</v>
      </c>
      <c r="G2275">
        <v>3</v>
      </c>
      <c r="H2275">
        <v>119.99</v>
      </c>
      <c r="I2275" s="7">
        <f>IF(Transactions!I2275="",0,Transactions!I2275)</f>
        <v>0</v>
      </c>
      <c r="J2275" s="9">
        <f t="shared" si="35"/>
        <v>359.96999999999997</v>
      </c>
      <c r="K2275" t="s">
        <v>32</v>
      </c>
      <c r="L2275" t="s">
        <v>17</v>
      </c>
      <c r="M2275" t="str">
        <f>REPLACE(Transactions!M2275,1,4,"")</f>
        <v>4</v>
      </c>
    </row>
    <row r="2276" spans="1:13" x14ac:dyDescent="0.2">
      <c r="A2276">
        <v>479907</v>
      </c>
      <c r="B2276" s="5">
        <v>44923</v>
      </c>
      <c r="C2276">
        <v>80920</v>
      </c>
      <c r="D2276" t="str">
        <f>PROPER(Transactions!D2276)</f>
        <v>Furniture</v>
      </c>
      <c r="E2276" t="s">
        <v>51</v>
      </c>
      <c r="F2276" t="s">
        <v>52</v>
      </c>
      <c r="G2276">
        <v>5</v>
      </c>
      <c r="H2276">
        <v>27.99</v>
      </c>
      <c r="I2276" s="7">
        <f>IF(Transactions!I2276="",0,Transactions!I2276)</f>
        <v>0</v>
      </c>
      <c r="J2276" s="9">
        <f t="shared" si="35"/>
        <v>139.94999999999999</v>
      </c>
      <c r="K2276" t="s">
        <v>32</v>
      </c>
      <c r="L2276" t="s">
        <v>37</v>
      </c>
      <c r="M2276" t="str">
        <f>REPLACE(Transactions!M2276,1,4,"")</f>
        <v>4</v>
      </c>
    </row>
    <row r="2277" spans="1:13" x14ac:dyDescent="0.2">
      <c r="A2277">
        <v>479937</v>
      </c>
      <c r="B2277" s="5">
        <v>45595</v>
      </c>
      <c r="C2277">
        <v>79188</v>
      </c>
      <c r="D2277" t="str">
        <f>PROPER(Transactions!D2277)</f>
        <v>Furniture</v>
      </c>
      <c r="E2277" t="s">
        <v>51</v>
      </c>
      <c r="F2277" t="s">
        <v>52</v>
      </c>
      <c r="G2277">
        <v>1</v>
      </c>
      <c r="H2277">
        <v>23.79</v>
      </c>
      <c r="I2277" s="7">
        <f>IF(Transactions!I2277="",0,Transactions!I2277)</f>
        <v>0.15</v>
      </c>
      <c r="J2277" s="9">
        <f t="shared" si="35"/>
        <v>20.221499999999999</v>
      </c>
      <c r="K2277" t="s">
        <v>36</v>
      </c>
      <c r="L2277" t="s">
        <v>17</v>
      </c>
      <c r="M2277" t="str">
        <f>REPLACE(Transactions!M2277,1,4,"")</f>
        <v/>
      </c>
    </row>
    <row r="2278" spans="1:13" x14ac:dyDescent="0.2">
      <c r="A2278">
        <v>479983</v>
      </c>
      <c r="B2278" s="5">
        <v>45343</v>
      </c>
      <c r="C2278">
        <v>32765</v>
      </c>
      <c r="D2278" t="str">
        <f>PROPER(Transactions!D2278)</f>
        <v>Furniture</v>
      </c>
      <c r="E2278" t="s">
        <v>70</v>
      </c>
      <c r="F2278" t="s">
        <v>71</v>
      </c>
      <c r="G2278">
        <v>2</v>
      </c>
      <c r="H2278">
        <v>62.99</v>
      </c>
      <c r="I2278" s="7">
        <f>IF(Transactions!I2278="",0,Transactions!I2278)</f>
        <v>0.3</v>
      </c>
      <c r="J2278" s="9">
        <f t="shared" si="35"/>
        <v>88.185999999999993</v>
      </c>
      <c r="K2278" t="s">
        <v>16</v>
      </c>
      <c r="L2278" t="s">
        <v>23</v>
      </c>
      <c r="M2278" t="str">
        <f>REPLACE(Transactions!M2278,1,4,"")</f>
        <v>17</v>
      </c>
    </row>
    <row r="2279" spans="1:13" x14ac:dyDescent="0.2">
      <c r="A2279">
        <v>480740</v>
      </c>
      <c r="B2279" s="5">
        <v>45620</v>
      </c>
      <c r="C2279">
        <v>68853</v>
      </c>
      <c r="D2279" t="str">
        <f>PROPER(Transactions!D2279)</f>
        <v>Toys</v>
      </c>
      <c r="E2279" t="s">
        <v>88</v>
      </c>
      <c r="F2279" t="s">
        <v>89</v>
      </c>
      <c r="G2279">
        <v>5</v>
      </c>
      <c r="H2279">
        <v>34.99</v>
      </c>
      <c r="I2279" s="7">
        <f>IF(Transactions!I2279="",0,Transactions!I2279)</f>
        <v>0.3</v>
      </c>
      <c r="J2279" s="9">
        <f t="shared" si="35"/>
        <v>122.465</v>
      </c>
      <c r="K2279" t="s">
        <v>16</v>
      </c>
      <c r="L2279" t="s">
        <v>17</v>
      </c>
      <c r="M2279" t="str">
        <f>REPLACE(Transactions!M2279,1,4,"")</f>
        <v>8</v>
      </c>
    </row>
    <row r="2280" spans="1:13" x14ac:dyDescent="0.2">
      <c r="A2280">
        <v>480776</v>
      </c>
      <c r="B2280" s="5">
        <v>45070</v>
      </c>
      <c r="C2280">
        <v>52989</v>
      </c>
      <c r="D2280" t="str">
        <f>PROPER(Transactions!D2280)</f>
        <v>Furniture</v>
      </c>
      <c r="E2280" t="s">
        <v>70</v>
      </c>
      <c r="F2280" t="s">
        <v>71</v>
      </c>
      <c r="G2280">
        <v>3</v>
      </c>
      <c r="H2280">
        <v>67.489999999999995</v>
      </c>
      <c r="I2280" s="7">
        <f>IF(Transactions!I2280="",0,Transactions!I2280)</f>
        <v>0.25</v>
      </c>
      <c r="J2280" s="9">
        <f t="shared" si="35"/>
        <v>151.85249999999996</v>
      </c>
      <c r="K2280" t="s">
        <v>95</v>
      </c>
      <c r="L2280" t="s">
        <v>17</v>
      </c>
      <c r="M2280" t="str">
        <f>REPLACE(Transactions!M2280,1,4,"")</f>
        <v>5</v>
      </c>
    </row>
    <row r="2281" spans="1:13" x14ac:dyDescent="0.2">
      <c r="A2281">
        <v>480987</v>
      </c>
      <c r="B2281" s="5">
        <v>45056</v>
      </c>
      <c r="C2281">
        <v>85137</v>
      </c>
      <c r="D2281" t="str">
        <f>PROPER(Transactions!D2281)</f>
        <v>Grocery</v>
      </c>
      <c r="E2281" t="s">
        <v>133</v>
      </c>
      <c r="F2281" t="s">
        <v>134</v>
      </c>
      <c r="G2281">
        <v>3</v>
      </c>
      <c r="H2281">
        <v>3.79</v>
      </c>
      <c r="I2281" s="7">
        <f>IF(Transactions!I2281="",0,Transactions!I2281)</f>
        <v>0</v>
      </c>
      <c r="J2281" s="9">
        <f t="shared" si="35"/>
        <v>11.370000000000001</v>
      </c>
      <c r="K2281" t="s">
        <v>16</v>
      </c>
      <c r="L2281" t="s">
        <v>37</v>
      </c>
      <c r="M2281" t="str">
        <f>REPLACE(Transactions!M2281,1,4,"")</f>
        <v>20</v>
      </c>
    </row>
    <row r="2282" spans="1:13" x14ac:dyDescent="0.2">
      <c r="A2282">
        <v>481019</v>
      </c>
      <c r="B2282" s="5">
        <v>45184</v>
      </c>
      <c r="C2282">
        <v>55104</v>
      </c>
      <c r="D2282" t="str">
        <f>PROPER(Transactions!D2282)</f>
        <v>Furniture</v>
      </c>
      <c r="E2282" t="s">
        <v>51</v>
      </c>
      <c r="F2282" t="s">
        <v>52</v>
      </c>
      <c r="G2282">
        <v>1</v>
      </c>
      <c r="H2282">
        <v>23.79</v>
      </c>
      <c r="I2282" s="7">
        <f>IF(Transactions!I2282="",0,Transactions!I2282)</f>
        <v>0.15</v>
      </c>
      <c r="J2282" s="9">
        <f t="shared" si="35"/>
        <v>20.221499999999999</v>
      </c>
      <c r="K2282" t="s">
        <v>36</v>
      </c>
      <c r="L2282" t="s">
        <v>17</v>
      </c>
      <c r="M2282" t="str">
        <f>REPLACE(Transactions!M2282,1,4,"")</f>
        <v>4</v>
      </c>
    </row>
    <row r="2283" spans="1:13" x14ac:dyDescent="0.2">
      <c r="A2283">
        <v>481395</v>
      </c>
      <c r="B2283" s="5">
        <v>44708</v>
      </c>
      <c r="C2283">
        <v>79309</v>
      </c>
      <c r="D2283" t="str">
        <f>PROPER(Transactions!D2283)</f>
        <v>Grocery</v>
      </c>
      <c r="E2283" t="s">
        <v>172</v>
      </c>
      <c r="F2283" t="s">
        <v>173</v>
      </c>
      <c r="G2283">
        <v>1</v>
      </c>
      <c r="H2283">
        <v>4.49</v>
      </c>
      <c r="I2283" s="7">
        <f>IF(Transactions!I2283="",0,Transactions!I2283)</f>
        <v>0</v>
      </c>
      <c r="J2283" s="9">
        <f t="shared" si="35"/>
        <v>4.49</v>
      </c>
      <c r="K2283" t="s">
        <v>16</v>
      </c>
      <c r="L2283" t="s">
        <v>17</v>
      </c>
      <c r="M2283" t="str">
        <f>REPLACE(Transactions!M2283,1,4,"")</f>
        <v>1</v>
      </c>
    </row>
    <row r="2284" spans="1:13" x14ac:dyDescent="0.2">
      <c r="A2284">
        <v>481434</v>
      </c>
      <c r="B2284" s="5">
        <v>44744</v>
      </c>
      <c r="C2284">
        <v>57584</v>
      </c>
      <c r="D2284" t="str">
        <f>PROPER(Transactions!D2284)</f>
        <v>Automotive</v>
      </c>
      <c r="E2284" t="s">
        <v>68</v>
      </c>
      <c r="F2284" t="s">
        <v>69</v>
      </c>
      <c r="G2284">
        <v>1</v>
      </c>
      <c r="H2284">
        <v>24.99</v>
      </c>
      <c r="I2284" s="7">
        <f>IF(Transactions!I2284="",0,Transactions!I2284)</f>
        <v>0</v>
      </c>
      <c r="J2284" s="9">
        <f t="shared" si="35"/>
        <v>24.99</v>
      </c>
      <c r="K2284" t="s">
        <v>16</v>
      </c>
      <c r="L2284" t="s">
        <v>17</v>
      </c>
      <c r="M2284" t="str">
        <f>REPLACE(Transactions!M2284,1,4,"")</f>
        <v>18</v>
      </c>
    </row>
    <row r="2285" spans="1:13" x14ac:dyDescent="0.2">
      <c r="A2285">
        <v>481558</v>
      </c>
      <c r="B2285" s="5">
        <v>45409</v>
      </c>
      <c r="C2285">
        <v>30232</v>
      </c>
      <c r="D2285" t="str">
        <f>PROPER(Transactions!D2285)</f>
        <v>Grocery</v>
      </c>
      <c r="E2285" t="s">
        <v>177</v>
      </c>
      <c r="F2285" t="s">
        <v>178</v>
      </c>
      <c r="G2285">
        <v>2</v>
      </c>
      <c r="H2285">
        <v>11.39</v>
      </c>
      <c r="I2285" s="7">
        <f>IF(Transactions!I2285="",0,Transactions!I2285)</f>
        <v>0.05</v>
      </c>
      <c r="J2285" s="9">
        <f t="shared" si="35"/>
        <v>21.641000000000002</v>
      </c>
      <c r="K2285" t="s">
        <v>16</v>
      </c>
      <c r="L2285" t="s">
        <v>17</v>
      </c>
      <c r="M2285" t="str">
        <f>REPLACE(Transactions!M2285,1,4,"")</f>
        <v>5</v>
      </c>
    </row>
    <row r="2286" spans="1:13" x14ac:dyDescent="0.2">
      <c r="A2286">
        <v>482051</v>
      </c>
      <c r="B2286" s="5">
        <v>44785</v>
      </c>
      <c r="C2286">
        <v>33801</v>
      </c>
      <c r="D2286" t="str">
        <f>PROPER(Transactions!D2286)</f>
        <v>Home &amp; Garden</v>
      </c>
      <c r="E2286" t="s">
        <v>149</v>
      </c>
      <c r="F2286" t="s">
        <v>150</v>
      </c>
      <c r="G2286">
        <v>1</v>
      </c>
      <c r="H2286">
        <v>16.989999999999998</v>
      </c>
      <c r="I2286" s="7">
        <f>IF(Transactions!I2286="",0,Transactions!I2286)</f>
        <v>0.15</v>
      </c>
      <c r="J2286" s="9">
        <f t="shared" si="35"/>
        <v>14.441499999999998</v>
      </c>
      <c r="K2286" t="s">
        <v>16</v>
      </c>
      <c r="L2286" t="s">
        <v>37</v>
      </c>
      <c r="M2286" t="str">
        <f>REPLACE(Transactions!M2286,1,4,"")</f>
        <v>2</v>
      </c>
    </row>
    <row r="2287" spans="1:13" x14ac:dyDescent="0.2">
      <c r="A2287">
        <v>482221</v>
      </c>
      <c r="B2287" s="5">
        <v>45307</v>
      </c>
      <c r="C2287">
        <v>56802</v>
      </c>
      <c r="D2287" t="str">
        <f>PROPER(Transactions!D2287)</f>
        <v>Beauty</v>
      </c>
      <c r="E2287" t="s">
        <v>179</v>
      </c>
      <c r="F2287" t="s">
        <v>180</v>
      </c>
      <c r="G2287">
        <v>2</v>
      </c>
      <c r="H2287">
        <v>10.79</v>
      </c>
      <c r="I2287" s="7">
        <f>IF(Transactions!I2287="",0,Transactions!I2287)</f>
        <v>0.1</v>
      </c>
      <c r="J2287" s="9">
        <f t="shared" si="35"/>
        <v>19.422000000000001</v>
      </c>
      <c r="K2287" t="s">
        <v>16</v>
      </c>
      <c r="L2287" t="s">
        <v>23</v>
      </c>
      <c r="M2287" t="str">
        <f>REPLACE(Transactions!M2287,1,4,"")</f>
        <v>18</v>
      </c>
    </row>
    <row r="2288" spans="1:13" x14ac:dyDescent="0.2">
      <c r="A2288">
        <v>482391</v>
      </c>
      <c r="B2288" s="5">
        <v>44804</v>
      </c>
      <c r="C2288">
        <v>21723</v>
      </c>
      <c r="D2288" t="str">
        <f>PROPER(Transactions!D2288)</f>
        <v>Sports</v>
      </c>
      <c r="E2288" t="s">
        <v>100</v>
      </c>
      <c r="F2288" t="s">
        <v>101</v>
      </c>
      <c r="G2288">
        <v>2</v>
      </c>
      <c r="H2288">
        <v>21.84</v>
      </c>
      <c r="I2288" s="7">
        <f>IF(Transactions!I2288="",0,Transactions!I2288)</f>
        <v>0.05</v>
      </c>
      <c r="J2288" s="9">
        <f t="shared" si="35"/>
        <v>41.495999999999995</v>
      </c>
      <c r="K2288" t="s">
        <v>95</v>
      </c>
      <c r="L2288" t="s">
        <v>23</v>
      </c>
      <c r="M2288" t="str">
        <f>REPLACE(Transactions!M2288,1,4,"")</f>
        <v>10</v>
      </c>
    </row>
    <row r="2289" spans="1:13" x14ac:dyDescent="0.2">
      <c r="A2289">
        <v>482500</v>
      </c>
      <c r="B2289" s="5">
        <v>44729</v>
      </c>
      <c r="C2289">
        <v>85610</v>
      </c>
      <c r="D2289" t="str">
        <f>PROPER(Transactions!D2289)</f>
        <v>Beauty</v>
      </c>
      <c r="E2289" t="s">
        <v>109</v>
      </c>
      <c r="F2289" t="s">
        <v>110</v>
      </c>
      <c r="G2289">
        <v>2</v>
      </c>
      <c r="H2289">
        <v>6.99</v>
      </c>
      <c r="I2289" s="7">
        <f>IF(Transactions!I2289="",0,Transactions!I2289)</f>
        <v>0</v>
      </c>
      <c r="J2289" s="9">
        <f t="shared" si="35"/>
        <v>13.98</v>
      </c>
      <c r="K2289" t="s">
        <v>16</v>
      </c>
      <c r="L2289" t="s">
        <v>37</v>
      </c>
      <c r="M2289" t="str">
        <f>REPLACE(Transactions!M2289,1,4,"")</f>
        <v>19</v>
      </c>
    </row>
    <row r="2290" spans="1:13" x14ac:dyDescent="0.2">
      <c r="A2290">
        <v>482522</v>
      </c>
      <c r="B2290" s="5">
        <v>44884</v>
      </c>
      <c r="C2290">
        <v>41277</v>
      </c>
      <c r="D2290" t="str">
        <f>PROPER(Transactions!D2290)</f>
        <v>Home &amp; Garden</v>
      </c>
      <c r="E2290" t="s">
        <v>149</v>
      </c>
      <c r="F2290" t="s">
        <v>150</v>
      </c>
      <c r="G2290">
        <v>5</v>
      </c>
      <c r="H2290">
        <v>15.99</v>
      </c>
      <c r="I2290" s="7">
        <f>IF(Transactions!I2290="",0,Transactions!I2290)</f>
        <v>0.2</v>
      </c>
      <c r="J2290" s="9">
        <f t="shared" si="35"/>
        <v>63.960000000000008</v>
      </c>
      <c r="K2290" t="s">
        <v>22</v>
      </c>
      <c r="L2290" t="s">
        <v>17</v>
      </c>
      <c r="M2290" t="str">
        <f>REPLACE(Transactions!M2290,1,4,"")</f>
        <v>6</v>
      </c>
    </row>
    <row r="2291" spans="1:13" x14ac:dyDescent="0.2">
      <c r="A2291">
        <v>482523</v>
      </c>
      <c r="B2291" s="5">
        <v>45409</v>
      </c>
      <c r="C2291">
        <v>51885</v>
      </c>
      <c r="D2291" t="str">
        <f>PROPER(Transactions!D2291)</f>
        <v>Electronics</v>
      </c>
      <c r="E2291" t="s">
        <v>186</v>
      </c>
      <c r="F2291" t="s">
        <v>187</v>
      </c>
      <c r="G2291">
        <v>2</v>
      </c>
      <c r="H2291">
        <v>49.99</v>
      </c>
      <c r="I2291" s="7">
        <f>IF(Transactions!I2291="",0,Transactions!I2291)</f>
        <v>0</v>
      </c>
      <c r="J2291" s="9">
        <f t="shared" si="35"/>
        <v>99.98</v>
      </c>
      <c r="K2291" t="s">
        <v>95</v>
      </c>
      <c r="L2291" t="s">
        <v>17</v>
      </c>
      <c r="M2291" t="str">
        <f>REPLACE(Transactions!M2291,1,4,"")</f>
        <v>11</v>
      </c>
    </row>
    <row r="2292" spans="1:13" x14ac:dyDescent="0.2">
      <c r="A2292">
        <v>482615</v>
      </c>
      <c r="B2292" s="5">
        <v>45537</v>
      </c>
      <c r="C2292">
        <v>31389</v>
      </c>
      <c r="D2292" t="str">
        <f>PROPER(Transactions!D2292)</f>
        <v>Sports</v>
      </c>
      <c r="E2292" t="s">
        <v>188</v>
      </c>
      <c r="F2292" t="s">
        <v>189</v>
      </c>
      <c r="G2292">
        <v>2</v>
      </c>
      <c r="H2292">
        <v>42.74</v>
      </c>
      <c r="I2292" s="7">
        <f>IF(Transactions!I2292="",0,Transactions!I2292)</f>
        <v>0.05</v>
      </c>
      <c r="J2292" s="9">
        <f t="shared" si="35"/>
        <v>81.206000000000003</v>
      </c>
      <c r="K2292" t="s">
        <v>36</v>
      </c>
      <c r="L2292" t="s">
        <v>17</v>
      </c>
      <c r="M2292" t="str">
        <f>REPLACE(Transactions!M2292,1,4,"")</f>
        <v>20</v>
      </c>
    </row>
    <row r="2293" spans="1:13" x14ac:dyDescent="0.2">
      <c r="A2293">
        <v>482944</v>
      </c>
      <c r="B2293" s="5">
        <v>45291</v>
      </c>
      <c r="C2293">
        <v>60408</v>
      </c>
      <c r="D2293" t="str">
        <f>PROPER(Transactions!D2293)</f>
        <v>Beauty</v>
      </c>
      <c r="E2293" t="s">
        <v>118</v>
      </c>
      <c r="F2293" t="s">
        <v>119</v>
      </c>
      <c r="G2293">
        <v>1</v>
      </c>
      <c r="H2293">
        <v>4.99</v>
      </c>
      <c r="I2293" s="7">
        <f>IF(Transactions!I2293="",0,Transactions!I2293)</f>
        <v>0</v>
      </c>
      <c r="J2293" s="9">
        <f t="shared" si="35"/>
        <v>4.99</v>
      </c>
      <c r="K2293" t="s">
        <v>22</v>
      </c>
      <c r="L2293" t="s">
        <v>37</v>
      </c>
      <c r="M2293" t="str">
        <f>REPLACE(Transactions!M2293,1,4,"")</f>
        <v>6</v>
      </c>
    </row>
    <row r="2294" spans="1:13" x14ac:dyDescent="0.2">
      <c r="A2294">
        <v>483004</v>
      </c>
      <c r="B2294" s="5">
        <v>44597</v>
      </c>
      <c r="C2294">
        <v>78983</v>
      </c>
      <c r="D2294" t="str">
        <f>PROPER(Transactions!D2294)</f>
        <v>Furniture</v>
      </c>
      <c r="E2294" t="s">
        <v>70</v>
      </c>
      <c r="F2294" t="s">
        <v>71</v>
      </c>
      <c r="G2294">
        <v>1</v>
      </c>
      <c r="H2294">
        <v>76.489999999999995</v>
      </c>
      <c r="I2294" s="7">
        <f>IF(Transactions!I2294="",0,Transactions!I2294)</f>
        <v>0.15</v>
      </c>
      <c r="J2294" s="9">
        <f t="shared" si="35"/>
        <v>65.016499999999994</v>
      </c>
      <c r="K2294" t="s">
        <v>16</v>
      </c>
      <c r="L2294" t="s">
        <v>17</v>
      </c>
      <c r="M2294" t="str">
        <f>REPLACE(Transactions!M2294,1,4,"")</f>
        <v>15</v>
      </c>
    </row>
    <row r="2295" spans="1:13" x14ac:dyDescent="0.2">
      <c r="A2295">
        <v>483103</v>
      </c>
      <c r="B2295" s="5">
        <v>44802</v>
      </c>
      <c r="C2295">
        <v>86162</v>
      </c>
      <c r="D2295" t="str">
        <f>PROPER(Transactions!D2295)</f>
        <v>Pharmacy</v>
      </c>
      <c r="E2295" t="s">
        <v>20</v>
      </c>
      <c r="F2295" t="s">
        <v>21</v>
      </c>
      <c r="G2295">
        <v>2</v>
      </c>
      <c r="H2295">
        <v>6.99</v>
      </c>
      <c r="I2295" s="7">
        <f>IF(Transactions!I2295="",0,Transactions!I2295)</f>
        <v>0.3</v>
      </c>
      <c r="J2295" s="9">
        <f t="shared" si="35"/>
        <v>9.7859999999999996</v>
      </c>
      <c r="K2295" t="s">
        <v>36</v>
      </c>
      <c r="L2295" t="s">
        <v>17</v>
      </c>
      <c r="M2295" t="str">
        <f>REPLACE(Transactions!M2295,1,4,"")</f>
        <v>20</v>
      </c>
    </row>
    <row r="2296" spans="1:13" x14ac:dyDescent="0.2">
      <c r="A2296">
        <v>483279</v>
      </c>
      <c r="B2296" s="5">
        <v>44656</v>
      </c>
      <c r="C2296">
        <v>71830</v>
      </c>
      <c r="D2296" t="str">
        <f>PROPER(Transactions!D2296)</f>
        <v>Automotive</v>
      </c>
      <c r="E2296" t="s">
        <v>68</v>
      </c>
      <c r="F2296" t="s">
        <v>69</v>
      </c>
      <c r="G2296">
        <v>1</v>
      </c>
      <c r="H2296">
        <v>23.74</v>
      </c>
      <c r="I2296" s="7">
        <f>IF(Transactions!I2296="",0,Transactions!I2296)</f>
        <v>0.05</v>
      </c>
      <c r="J2296" s="9">
        <f t="shared" si="35"/>
        <v>22.552999999999997</v>
      </c>
      <c r="K2296" t="s">
        <v>16</v>
      </c>
      <c r="L2296" t="s">
        <v>37</v>
      </c>
      <c r="M2296" t="str">
        <f>REPLACE(Transactions!M2296,1,4,"")</f>
        <v>16</v>
      </c>
    </row>
    <row r="2297" spans="1:13" x14ac:dyDescent="0.2">
      <c r="A2297">
        <v>483450</v>
      </c>
      <c r="B2297" s="5">
        <v>45453</v>
      </c>
      <c r="C2297">
        <v>65584</v>
      </c>
      <c r="D2297" t="str">
        <f>PROPER(Transactions!D2297)</f>
        <v>Toys</v>
      </c>
      <c r="E2297" t="s">
        <v>72</v>
      </c>
      <c r="F2297" t="s">
        <v>73</v>
      </c>
      <c r="G2297">
        <v>1</v>
      </c>
      <c r="H2297">
        <v>33.99</v>
      </c>
      <c r="I2297" s="7">
        <f>IF(Transactions!I2297="",0,Transactions!I2297)</f>
        <v>0.15</v>
      </c>
      <c r="J2297" s="9">
        <f t="shared" si="35"/>
        <v>28.891500000000001</v>
      </c>
      <c r="K2297" t="s">
        <v>16</v>
      </c>
      <c r="L2297" t="s">
        <v>37</v>
      </c>
      <c r="M2297" t="str">
        <f>REPLACE(Transactions!M2297,1,4,"")</f>
        <v>9</v>
      </c>
    </row>
    <row r="2298" spans="1:13" x14ac:dyDescent="0.2">
      <c r="A2298">
        <v>483461</v>
      </c>
      <c r="B2298" s="5">
        <v>44972</v>
      </c>
      <c r="C2298">
        <v>49580</v>
      </c>
      <c r="D2298" t="str">
        <f>PROPER(Transactions!D2298)</f>
        <v>Home &amp; Garden</v>
      </c>
      <c r="E2298" t="s">
        <v>86</v>
      </c>
      <c r="F2298" t="s">
        <v>87</v>
      </c>
      <c r="G2298">
        <v>1</v>
      </c>
      <c r="H2298">
        <v>9.09</v>
      </c>
      <c r="I2298" s="7">
        <f>IF(Transactions!I2298="",0,Transactions!I2298)</f>
        <v>0.3</v>
      </c>
      <c r="J2298" s="9">
        <f t="shared" si="35"/>
        <v>6.3629999999999995</v>
      </c>
      <c r="K2298" t="s">
        <v>16</v>
      </c>
      <c r="L2298" t="s">
        <v>37</v>
      </c>
      <c r="M2298" t="str">
        <f>REPLACE(Transactions!M2298,1,4,"")</f>
        <v>12</v>
      </c>
    </row>
    <row r="2299" spans="1:13" x14ac:dyDescent="0.2">
      <c r="A2299">
        <v>483683</v>
      </c>
      <c r="B2299" s="5">
        <v>45314</v>
      </c>
      <c r="C2299">
        <v>54193</v>
      </c>
      <c r="D2299" t="str">
        <f>PROPER(Transactions!D2299)</f>
        <v>Electronics</v>
      </c>
      <c r="E2299" t="s">
        <v>34</v>
      </c>
      <c r="F2299" t="s">
        <v>35</v>
      </c>
      <c r="G2299">
        <v>3</v>
      </c>
      <c r="H2299">
        <v>34.99</v>
      </c>
      <c r="I2299" s="7">
        <f>IF(Transactions!I2299="",0,Transactions!I2299)</f>
        <v>0</v>
      </c>
      <c r="J2299" s="9">
        <f t="shared" si="35"/>
        <v>104.97</v>
      </c>
      <c r="K2299" t="s">
        <v>16</v>
      </c>
      <c r="L2299" t="s">
        <v>17</v>
      </c>
      <c r="M2299" t="str">
        <f>REPLACE(Transactions!M2299,1,4,"")</f>
        <v>18</v>
      </c>
    </row>
    <row r="2300" spans="1:13" x14ac:dyDescent="0.2">
      <c r="A2300">
        <v>483791</v>
      </c>
      <c r="B2300" s="5">
        <v>44729</v>
      </c>
      <c r="C2300">
        <v>73215</v>
      </c>
      <c r="D2300" t="str">
        <f>PROPER(Transactions!D2300)</f>
        <v>Home &amp; Garden</v>
      </c>
      <c r="E2300" t="s">
        <v>86</v>
      </c>
      <c r="F2300" t="s">
        <v>87</v>
      </c>
      <c r="G2300">
        <v>1</v>
      </c>
      <c r="H2300">
        <v>12.99</v>
      </c>
      <c r="I2300" s="7">
        <f>IF(Transactions!I2300="",0,Transactions!I2300)</f>
        <v>0</v>
      </c>
      <c r="J2300" s="9">
        <f t="shared" si="35"/>
        <v>12.99</v>
      </c>
      <c r="K2300" t="s">
        <v>16</v>
      </c>
      <c r="L2300" t="s">
        <v>17</v>
      </c>
      <c r="M2300" t="str">
        <f>REPLACE(Transactions!M2300,1,4,"")</f>
        <v>5</v>
      </c>
    </row>
    <row r="2301" spans="1:13" x14ac:dyDescent="0.2">
      <c r="A2301">
        <v>483947</v>
      </c>
      <c r="B2301" s="5">
        <v>45495</v>
      </c>
      <c r="C2301">
        <v>97838</v>
      </c>
      <c r="D2301" t="str">
        <f>PROPER(Transactions!D2301)</f>
        <v>Beauty</v>
      </c>
      <c r="E2301" t="s">
        <v>109</v>
      </c>
      <c r="F2301" t="s">
        <v>110</v>
      </c>
      <c r="G2301">
        <v>2</v>
      </c>
      <c r="H2301">
        <v>6.99</v>
      </c>
      <c r="I2301" s="7">
        <f>IF(Transactions!I2301="",0,Transactions!I2301)</f>
        <v>0</v>
      </c>
      <c r="J2301" s="9">
        <f t="shared" si="35"/>
        <v>13.98</v>
      </c>
      <c r="K2301" t="s">
        <v>16</v>
      </c>
      <c r="L2301" t="s">
        <v>23</v>
      </c>
      <c r="M2301" t="str">
        <f>REPLACE(Transactions!M2301,1,4,"")</f>
        <v>16</v>
      </c>
    </row>
    <row r="2302" spans="1:13" x14ac:dyDescent="0.2">
      <c r="A2302">
        <v>484163</v>
      </c>
      <c r="B2302" s="5">
        <v>44932</v>
      </c>
      <c r="C2302">
        <v>48686</v>
      </c>
      <c r="D2302" t="str">
        <f>PROPER(Transactions!D2302)</f>
        <v>Sports</v>
      </c>
      <c r="E2302" t="s">
        <v>147</v>
      </c>
      <c r="F2302" t="s">
        <v>148</v>
      </c>
      <c r="G2302">
        <v>1</v>
      </c>
      <c r="H2302">
        <v>11.69</v>
      </c>
      <c r="I2302" s="7">
        <f>IF(Transactions!I2302="",0,Transactions!I2302)</f>
        <v>0.1</v>
      </c>
      <c r="J2302" s="9">
        <f t="shared" si="35"/>
        <v>10.520999999999999</v>
      </c>
      <c r="K2302" t="s">
        <v>36</v>
      </c>
      <c r="L2302" t="s">
        <v>23</v>
      </c>
      <c r="M2302" t="str">
        <f>REPLACE(Transactions!M2302,1,4,"")</f>
        <v>9</v>
      </c>
    </row>
    <row r="2303" spans="1:13" x14ac:dyDescent="0.2">
      <c r="A2303">
        <v>484189</v>
      </c>
      <c r="B2303" s="5">
        <v>44947</v>
      </c>
      <c r="C2303">
        <v>60455</v>
      </c>
      <c r="D2303" t="str">
        <f>PROPER(Transactions!D2303)</f>
        <v>Home &amp; Garden</v>
      </c>
      <c r="E2303" t="s">
        <v>157</v>
      </c>
      <c r="F2303" t="s">
        <v>158</v>
      </c>
      <c r="G2303">
        <v>4</v>
      </c>
      <c r="H2303">
        <v>12.14</v>
      </c>
      <c r="I2303" s="7">
        <f>IF(Transactions!I2303="",0,Transactions!I2303)</f>
        <v>0.1</v>
      </c>
      <c r="J2303" s="9">
        <f t="shared" si="35"/>
        <v>43.704000000000001</v>
      </c>
      <c r="K2303" t="s">
        <v>16</v>
      </c>
      <c r="L2303" t="s">
        <v>17</v>
      </c>
      <c r="M2303" t="str">
        <f>REPLACE(Transactions!M2303,1,4,"")</f>
        <v>6</v>
      </c>
    </row>
    <row r="2304" spans="1:13" x14ac:dyDescent="0.2">
      <c r="A2304">
        <v>484327</v>
      </c>
      <c r="B2304" s="5">
        <v>44906</v>
      </c>
      <c r="C2304">
        <v>64318</v>
      </c>
      <c r="D2304" t="str">
        <f>PROPER(Transactions!D2304)</f>
        <v>Home &amp; Garden</v>
      </c>
      <c r="E2304" t="s">
        <v>157</v>
      </c>
      <c r="F2304" t="s">
        <v>158</v>
      </c>
      <c r="G2304">
        <v>5</v>
      </c>
      <c r="H2304">
        <v>10.119999999999999</v>
      </c>
      <c r="I2304" s="7">
        <f>IF(Transactions!I2304="",0,Transactions!I2304)</f>
        <v>0.25</v>
      </c>
      <c r="J2304" s="9">
        <f t="shared" si="35"/>
        <v>37.949999999999996</v>
      </c>
      <c r="K2304" t="s">
        <v>16</v>
      </c>
      <c r="L2304" t="s">
        <v>17</v>
      </c>
      <c r="M2304" t="str">
        <f>REPLACE(Transactions!M2304,1,4,"")</f>
        <v>2</v>
      </c>
    </row>
    <row r="2305" spans="1:13" x14ac:dyDescent="0.2">
      <c r="A2305">
        <v>484612</v>
      </c>
      <c r="B2305" s="5">
        <v>44609</v>
      </c>
      <c r="C2305">
        <v>50034</v>
      </c>
      <c r="D2305" t="str">
        <f>PROPER(Transactions!D2305)</f>
        <v>Clothing</v>
      </c>
      <c r="E2305" t="s">
        <v>181</v>
      </c>
      <c r="F2305" t="s">
        <v>182</v>
      </c>
      <c r="G2305">
        <v>4</v>
      </c>
      <c r="H2305">
        <v>13.49</v>
      </c>
      <c r="I2305" s="7">
        <f>IF(Transactions!I2305="",0,Transactions!I2305)</f>
        <v>0.1</v>
      </c>
      <c r="J2305" s="9">
        <f t="shared" si="35"/>
        <v>48.564</v>
      </c>
      <c r="K2305" t="s">
        <v>16</v>
      </c>
      <c r="L2305" t="s">
        <v>17</v>
      </c>
      <c r="M2305" t="str">
        <f>REPLACE(Transactions!M2305,1,4,"")</f>
        <v>5</v>
      </c>
    </row>
    <row r="2306" spans="1:13" x14ac:dyDescent="0.2">
      <c r="A2306">
        <v>484731</v>
      </c>
      <c r="B2306" s="5">
        <v>45547</v>
      </c>
      <c r="C2306">
        <v>92013</v>
      </c>
      <c r="D2306" t="str">
        <f>PROPER(Transactions!D2306)</f>
        <v>Home &amp; Garden</v>
      </c>
      <c r="E2306" t="s">
        <v>137</v>
      </c>
      <c r="F2306" t="s">
        <v>138</v>
      </c>
      <c r="G2306">
        <v>5</v>
      </c>
      <c r="H2306">
        <v>7.19</v>
      </c>
      <c r="I2306" s="7">
        <f>IF(Transactions!I2306="",0,Transactions!I2306)</f>
        <v>0.1</v>
      </c>
      <c r="J2306" s="9">
        <f t="shared" si="35"/>
        <v>32.355000000000004</v>
      </c>
      <c r="K2306" t="s">
        <v>36</v>
      </c>
      <c r="L2306" t="s">
        <v>17</v>
      </c>
      <c r="M2306" t="str">
        <f>REPLACE(Transactions!M2306,1,4,"")</f>
        <v>16</v>
      </c>
    </row>
    <row r="2307" spans="1:13" x14ac:dyDescent="0.2">
      <c r="A2307">
        <v>484848</v>
      </c>
      <c r="B2307" s="5">
        <v>45430</v>
      </c>
      <c r="C2307">
        <v>85119</v>
      </c>
      <c r="D2307" t="str">
        <f>PROPER(Transactions!D2307)</f>
        <v>Grocery</v>
      </c>
      <c r="E2307" t="s">
        <v>133</v>
      </c>
      <c r="F2307" t="s">
        <v>134</v>
      </c>
      <c r="G2307">
        <v>1</v>
      </c>
      <c r="H2307">
        <v>3.03</v>
      </c>
      <c r="I2307" s="7">
        <f>IF(Transactions!I2307="",0,Transactions!I2307)</f>
        <v>0.2</v>
      </c>
      <c r="J2307" s="9">
        <f t="shared" ref="J2307:J2370" si="36">(H2307*G2307)*(1-I2307)</f>
        <v>2.4239999999999999</v>
      </c>
      <c r="K2307" t="s">
        <v>66</v>
      </c>
      <c r="L2307" t="s">
        <v>17</v>
      </c>
      <c r="M2307" t="str">
        <f>REPLACE(Transactions!M2307,1,4,"")</f>
        <v>6</v>
      </c>
    </row>
    <row r="2308" spans="1:13" x14ac:dyDescent="0.2">
      <c r="A2308">
        <v>485298</v>
      </c>
      <c r="B2308" s="5">
        <v>45480</v>
      </c>
      <c r="C2308">
        <v>97105</v>
      </c>
      <c r="D2308" t="str">
        <f>PROPER(Transactions!D2308)</f>
        <v>Beauty</v>
      </c>
      <c r="E2308" t="s">
        <v>118</v>
      </c>
      <c r="F2308" t="s">
        <v>119</v>
      </c>
      <c r="G2308">
        <v>5</v>
      </c>
      <c r="H2308">
        <v>4.99</v>
      </c>
      <c r="I2308" s="7">
        <f>IF(Transactions!I2308="",0,Transactions!I2308)</f>
        <v>0</v>
      </c>
      <c r="J2308" s="9">
        <f t="shared" si="36"/>
        <v>24.950000000000003</v>
      </c>
      <c r="K2308" t="s">
        <v>16</v>
      </c>
      <c r="L2308" t="s">
        <v>17</v>
      </c>
      <c r="M2308" t="str">
        <f>REPLACE(Transactions!M2308,1,4,"")</f>
        <v>14</v>
      </c>
    </row>
    <row r="2309" spans="1:13" x14ac:dyDescent="0.2">
      <c r="A2309">
        <v>485303</v>
      </c>
      <c r="B2309" s="5">
        <v>44728</v>
      </c>
      <c r="D2309" t="str">
        <f>PROPER(Transactions!D2309)</f>
        <v>Furniture</v>
      </c>
      <c r="E2309" t="s">
        <v>113</v>
      </c>
      <c r="F2309" t="s">
        <v>114</v>
      </c>
      <c r="G2309">
        <v>1</v>
      </c>
      <c r="H2309">
        <v>83.99</v>
      </c>
      <c r="I2309" s="7">
        <f>IF(Transactions!I2309="",0,Transactions!I2309)</f>
        <v>0.3</v>
      </c>
      <c r="J2309" s="9">
        <f t="shared" si="36"/>
        <v>58.792999999999992</v>
      </c>
      <c r="K2309" t="s">
        <v>36</v>
      </c>
      <c r="L2309" t="s">
        <v>23</v>
      </c>
      <c r="M2309" t="str">
        <f>REPLACE(Transactions!M2309,1,4,"")</f>
        <v>18</v>
      </c>
    </row>
    <row r="2310" spans="1:13" x14ac:dyDescent="0.2">
      <c r="A2310">
        <v>485501</v>
      </c>
      <c r="B2310" s="5">
        <v>44859</v>
      </c>
      <c r="C2310">
        <v>97607</v>
      </c>
      <c r="D2310" t="str">
        <f>PROPER(Transactions!D2310)</f>
        <v>Pharmacy</v>
      </c>
      <c r="E2310" t="s">
        <v>197</v>
      </c>
      <c r="F2310" t="s">
        <v>198</v>
      </c>
      <c r="G2310">
        <v>3</v>
      </c>
      <c r="H2310">
        <v>11.24</v>
      </c>
      <c r="I2310" s="7">
        <f>IF(Transactions!I2310="",0,Transactions!I2310)</f>
        <v>0.25</v>
      </c>
      <c r="J2310" s="9">
        <f t="shared" si="36"/>
        <v>25.29</v>
      </c>
      <c r="K2310" t="s">
        <v>36</v>
      </c>
      <c r="L2310" t="s">
        <v>17</v>
      </c>
      <c r="M2310" t="str">
        <f>REPLACE(Transactions!M2310,1,4,"")</f>
        <v>18</v>
      </c>
    </row>
    <row r="2311" spans="1:13" x14ac:dyDescent="0.2">
      <c r="A2311">
        <v>485536</v>
      </c>
      <c r="B2311" s="5">
        <v>45567</v>
      </c>
      <c r="C2311">
        <v>18056</v>
      </c>
      <c r="D2311" t="str">
        <f>PROPER(Transactions!D2311)</f>
        <v>Furniture</v>
      </c>
      <c r="E2311" t="s">
        <v>60</v>
      </c>
      <c r="F2311" t="s">
        <v>61</v>
      </c>
      <c r="G2311">
        <v>3</v>
      </c>
      <c r="H2311">
        <v>46.74</v>
      </c>
      <c r="I2311" s="7">
        <f>IF(Transactions!I2311="",0,Transactions!I2311)</f>
        <v>0.15</v>
      </c>
      <c r="J2311" s="9">
        <f t="shared" si="36"/>
        <v>119.187</v>
      </c>
      <c r="K2311" t="s">
        <v>22</v>
      </c>
      <c r="L2311" t="s">
        <v>17</v>
      </c>
      <c r="M2311" t="str">
        <f>REPLACE(Transactions!M2311,1,4,"")</f>
        <v>12</v>
      </c>
    </row>
    <row r="2312" spans="1:13" x14ac:dyDescent="0.2">
      <c r="A2312">
        <v>485695</v>
      </c>
      <c r="B2312" s="5">
        <v>45167</v>
      </c>
      <c r="C2312">
        <v>62667</v>
      </c>
      <c r="D2312" t="str">
        <f>PROPER(Transactions!D2312)</f>
        <v>Furniture</v>
      </c>
      <c r="E2312" t="s">
        <v>70</v>
      </c>
      <c r="F2312" t="s">
        <v>71</v>
      </c>
      <c r="G2312">
        <v>4</v>
      </c>
      <c r="H2312">
        <v>67.489999999999995</v>
      </c>
      <c r="I2312" s="7">
        <f>IF(Transactions!I2312="",0,Transactions!I2312)</f>
        <v>0.25</v>
      </c>
      <c r="J2312" s="9">
        <f t="shared" si="36"/>
        <v>202.46999999999997</v>
      </c>
      <c r="K2312" t="s">
        <v>36</v>
      </c>
      <c r="L2312" t="s">
        <v>17</v>
      </c>
      <c r="M2312" t="str">
        <f>REPLACE(Transactions!M2312,1,4,"")</f>
        <v>12</v>
      </c>
    </row>
    <row r="2313" spans="1:13" x14ac:dyDescent="0.2">
      <c r="A2313">
        <v>486251</v>
      </c>
      <c r="B2313" s="5">
        <v>45175</v>
      </c>
      <c r="C2313">
        <v>50327</v>
      </c>
      <c r="D2313" t="str">
        <f>PROPER(Transactions!D2313)</f>
        <v>Automotive</v>
      </c>
      <c r="E2313" t="s">
        <v>125</v>
      </c>
      <c r="F2313" t="s">
        <v>126</v>
      </c>
      <c r="G2313">
        <v>4</v>
      </c>
      <c r="H2313">
        <v>22.49</v>
      </c>
      <c r="I2313" s="7">
        <f>IF(Transactions!I2313="",0,Transactions!I2313)</f>
        <v>0.25</v>
      </c>
      <c r="J2313" s="9">
        <f t="shared" si="36"/>
        <v>67.47</v>
      </c>
      <c r="K2313" t="s">
        <v>36</v>
      </c>
      <c r="L2313" t="s">
        <v>17</v>
      </c>
      <c r="M2313" t="str">
        <f>REPLACE(Transactions!M2313,1,4,"")</f>
        <v>4</v>
      </c>
    </row>
    <row r="2314" spans="1:13" x14ac:dyDescent="0.2">
      <c r="A2314">
        <v>486322</v>
      </c>
      <c r="B2314" s="5">
        <v>44800</v>
      </c>
      <c r="C2314">
        <v>30482</v>
      </c>
      <c r="D2314" t="str">
        <f>PROPER(Transactions!D2314)</f>
        <v>Clothing</v>
      </c>
      <c r="E2314" t="s">
        <v>141</v>
      </c>
      <c r="F2314" t="s">
        <v>142</v>
      </c>
      <c r="G2314">
        <v>5</v>
      </c>
      <c r="H2314">
        <v>19.54</v>
      </c>
      <c r="I2314" s="7">
        <f>IF(Transactions!I2314="",0,Transactions!I2314)</f>
        <v>0.15</v>
      </c>
      <c r="J2314" s="9">
        <f t="shared" si="36"/>
        <v>83.044999999999987</v>
      </c>
      <c r="K2314" t="s">
        <v>36</v>
      </c>
      <c r="L2314" t="s">
        <v>17</v>
      </c>
      <c r="M2314" t="str">
        <f>REPLACE(Transactions!M2314,1,4,"")</f>
        <v>2</v>
      </c>
    </row>
    <row r="2315" spans="1:13" x14ac:dyDescent="0.2">
      <c r="A2315">
        <v>486513</v>
      </c>
      <c r="B2315" s="5">
        <v>45246</v>
      </c>
      <c r="C2315">
        <v>60095</v>
      </c>
      <c r="D2315" t="str">
        <f>PROPER(Transactions!D2315)</f>
        <v>Sports</v>
      </c>
      <c r="E2315" t="s">
        <v>188</v>
      </c>
      <c r="F2315" t="s">
        <v>189</v>
      </c>
      <c r="G2315">
        <v>5</v>
      </c>
      <c r="H2315">
        <v>42.74</v>
      </c>
      <c r="I2315" s="7">
        <f>IF(Transactions!I2315="",0,Transactions!I2315)</f>
        <v>0.05</v>
      </c>
      <c r="J2315" s="9">
        <f t="shared" si="36"/>
        <v>203.01500000000001</v>
      </c>
      <c r="K2315" t="s">
        <v>53</v>
      </c>
      <c r="L2315" t="s">
        <v>37</v>
      </c>
      <c r="M2315" t="str">
        <f>REPLACE(Transactions!M2315,1,4,"")</f>
        <v>13</v>
      </c>
    </row>
    <row r="2316" spans="1:13" x14ac:dyDescent="0.2">
      <c r="A2316">
        <v>486566</v>
      </c>
      <c r="B2316" s="5">
        <v>45074</v>
      </c>
      <c r="C2316">
        <v>85292</v>
      </c>
      <c r="D2316" t="str">
        <f>PROPER(Transactions!D2316)</f>
        <v>Automotive</v>
      </c>
      <c r="E2316" t="s">
        <v>111</v>
      </c>
      <c r="F2316" t="s">
        <v>112</v>
      </c>
      <c r="G2316">
        <v>3</v>
      </c>
      <c r="H2316">
        <v>11.24</v>
      </c>
      <c r="I2316" s="7">
        <f>IF(Transactions!I2316="",0,Transactions!I2316)</f>
        <v>0.25</v>
      </c>
      <c r="J2316" s="9">
        <f t="shared" si="36"/>
        <v>25.29</v>
      </c>
      <c r="K2316" t="s">
        <v>16</v>
      </c>
      <c r="L2316" t="s">
        <v>17</v>
      </c>
      <c r="M2316" t="str">
        <f>REPLACE(Transactions!M2316,1,4,"")</f>
        <v>6</v>
      </c>
    </row>
    <row r="2317" spans="1:13" x14ac:dyDescent="0.2">
      <c r="A2317">
        <v>486667</v>
      </c>
      <c r="B2317" s="5">
        <v>45266</v>
      </c>
      <c r="C2317">
        <v>13507</v>
      </c>
      <c r="D2317" t="str">
        <f>PROPER(Transactions!D2317)</f>
        <v>Toys</v>
      </c>
      <c r="E2317" t="s">
        <v>38</v>
      </c>
      <c r="F2317" t="s">
        <v>39</v>
      </c>
      <c r="G2317">
        <v>3</v>
      </c>
      <c r="H2317">
        <v>20.99</v>
      </c>
      <c r="I2317" s="7">
        <f>IF(Transactions!I2317="",0,Transactions!I2317)</f>
        <v>0.3</v>
      </c>
      <c r="J2317" s="9">
        <f t="shared" si="36"/>
        <v>44.078999999999994</v>
      </c>
      <c r="K2317" t="s">
        <v>36</v>
      </c>
      <c r="L2317" t="s">
        <v>17</v>
      </c>
      <c r="M2317" t="str">
        <f>REPLACE(Transactions!M2317,1,4,"")</f>
        <v>18</v>
      </c>
    </row>
    <row r="2318" spans="1:13" x14ac:dyDescent="0.2">
      <c r="A2318">
        <v>486749</v>
      </c>
      <c r="B2318" s="5">
        <v>44974</v>
      </c>
      <c r="C2318">
        <v>19284</v>
      </c>
      <c r="D2318" t="str">
        <f>PROPER(Transactions!D2318)</f>
        <v>Automotive</v>
      </c>
      <c r="E2318" t="s">
        <v>64</v>
      </c>
      <c r="F2318" t="s">
        <v>65</v>
      </c>
      <c r="G2318">
        <v>2</v>
      </c>
      <c r="H2318">
        <v>3.49</v>
      </c>
      <c r="I2318" s="7">
        <f>IF(Transactions!I2318="",0,Transactions!I2318)</f>
        <v>0.3</v>
      </c>
      <c r="J2318" s="9">
        <f t="shared" si="36"/>
        <v>4.8860000000000001</v>
      </c>
      <c r="K2318" t="s">
        <v>36</v>
      </c>
      <c r="L2318" t="s">
        <v>17</v>
      </c>
      <c r="M2318" t="str">
        <f>REPLACE(Transactions!M2318,1,4,"")</f>
        <v>15</v>
      </c>
    </row>
    <row r="2319" spans="1:13" x14ac:dyDescent="0.2">
      <c r="A2319">
        <v>486854</v>
      </c>
      <c r="B2319" s="5">
        <v>45087</v>
      </c>
      <c r="C2319">
        <v>49314</v>
      </c>
      <c r="D2319" t="str">
        <f>PROPER(Transactions!D2319)</f>
        <v>Clothing</v>
      </c>
      <c r="E2319" t="s">
        <v>141</v>
      </c>
      <c r="F2319" t="s">
        <v>142</v>
      </c>
      <c r="G2319">
        <v>2</v>
      </c>
      <c r="H2319">
        <v>20.69</v>
      </c>
      <c r="I2319" s="7">
        <f>IF(Transactions!I2319="",0,Transactions!I2319)</f>
        <v>0.1</v>
      </c>
      <c r="J2319" s="9">
        <f t="shared" si="36"/>
        <v>37.242000000000004</v>
      </c>
      <c r="K2319" t="s">
        <v>36</v>
      </c>
      <c r="L2319" t="s">
        <v>17</v>
      </c>
      <c r="M2319" t="str">
        <f>REPLACE(Transactions!M2319,1,4,"")</f>
        <v>9</v>
      </c>
    </row>
    <row r="2320" spans="1:13" x14ac:dyDescent="0.2">
      <c r="A2320">
        <v>486947</v>
      </c>
      <c r="B2320" s="5">
        <v>45497</v>
      </c>
      <c r="C2320">
        <v>85279</v>
      </c>
      <c r="D2320" t="str">
        <f>PROPER(Transactions!D2320)</f>
        <v>Sports</v>
      </c>
      <c r="E2320" t="s">
        <v>188</v>
      </c>
      <c r="F2320" t="s">
        <v>189</v>
      </c>
      <c r="G2320">
        <v>3</v>
      </c>
      <c r="H2320">
        <v>44.99</v>
      </c>
      <c r="I2320" s="7">
        <f>IF(Transactions!I2320="",0,Transactions!I2320)</f>
        <v>0</v>
      </c>
      <c r="J2320" s="9">
        <f t="shared" si="36"/>
        <v>134.97</v>
      </c>
      <c r="K2320" t="s">
        <v>36</v>
      </c>
      <c r="L2320" t="s">
        <v>17</v>
      </c>
      <c r="M2320" t="str">
        <f>REPLACE(Transactions!M2320,1,4,"")</f>
        <v>3</v>
      </c>
    </row>
    <row r="2321" spans="1:13" x14ac:dyDescent="0.2">
      <c r="A2321">
        <v>487168</v>
      </c>
      <c r="B2321" s="5">
        <v>45247</v>
      </c>
      <c r="C2321">
        <v>73896</v>
      </c>
      <c r="D2321" t="str">
        <f>PROPER(Transactions!D2321)</f>
        <v>Sports</v>
      </c>
      <c r="E2321" t="s">
        <v>188</v>
      </c>
      <c r="F2321" t="s">
        <v>189</v>
      </c>
      <c r="G2321">
        <v>4</v>
      </c>
      <c r="H2321">
        <v>44.99</v>
      </c>
      <c r="I2321" s="7">
        <f>IF(Transactions!I2321="",0,Transactions!I2321)</f>
        <v>0</v>
      </c>
      <c r="J2321" s="9">
        <f t="shared" si="36"/>
        <v>179.96</v>
      </c>
      <c r="K2321" t="s">
        <v>32</v>
      </c>
      <c r="L2321" t="s">
        <v>17</v>
      </c>
      <c r="M2321" t="str">
        <f>REPLACE(Transactions!M2321,1,4,"")</f>
        <v>7</v>
      </c>
    </row>
    <row r="2322" spans="1:13" x14ac:dyDescent="0.2">
      <c r="A2322">
        <v>487205</v>
      </c>
      <c r="B2322" s="5">
        <v>45613</v>
      </c>
      <c r="C2322">
        <v>27161</v>
      </c>
      <c r="D2322" t="str">
        <f>PROPER(Transactions!D2322)</f>
        <v>Furniture</v>
      </c>
      <c r="E2322" t="s">
        <v>26</v>
      </c>
      <c r="F2322" t="s">
        <v>27</v>
      </c>
      <c r="G2322">
        <v>5</v>
      </c>
      <c r="H2322">
        <v>26.24</v>
      </c>
      <c r="I2322" s="7">
        <f>IF(Transactions!I2322="",0,Transactions!I2322)</f>
        <v>0.25</v>
      </c>
      <c r="J2322" s="9">
        <f t="shared" si="36"/>
        <v>98.399999999999991</v>
      </c>
      <c r="K2322" t="s">
        <v>36</v>
      </c>
      <c r="L2322" t="s">
        <v>37</v>
      </c>
      <c r="M2322" t="str">
        <f>REPLACE(Transactions!M2322,1,4,"")</f>
        <v>17</v>
      </c>
    </row>
    <row r="2323" spans="1:13" x14ac:dyDescent="0.2">
      <c r="A2323">
        <v>487236</v>
      </c>
      <c r="B2323" s="5">
        <v>45159</v>
      </c>
      <c r="C2323">
        <v>16055</v>
      </c>
      <c r="D2323" t="str">
        <f>PROPER(Transactions!D2323)</f>
        <v>Sports</v>
      </c>
      <c r="E2323" t="s">
        <v>100</v>
      </c>
      <c r="F2323" t="s">
        <v>101</v>
      </c>
      <c r="G2323">
        <v>1</v>
      </c>
      <c r="H2323">
        <v>22.99</v>
      </c>
      <c r="I2323" s="7">
        <f>IF(Transactions!I2323="",0,Transactions!I2323)</f>
        <v>0</v>
      </c>
      <c r="J2323" s="9">
        <f t="shared" si="36"/>
        <v>22.99</v>
      </c>
      <c r="K2323" t="s">
        <v>16</v>
      </c>
      <c r="L2323" t="s">
        <v>17</v>
      </c>
      <c r="M2323" t="str">
        <f>REPLACE(Transactions!M2323,1,4,"")</f>
        <v>10</v>
      </c>
    </row>
    <row r="2324" spans="1:13" x14ac:dyDescent="0.2">
      <c r="A2324">
        <v>487392</v>
      </c>
      <c r="B2324" s="5">
        <v>44753</v>
      </c>
      <c r="C2324">
        <v>67631</v>
      </c>
      <c r="D2324" t="str">
        <f>PROPER(Transactions!D2324)</f>
        <v>Electronics</v>
      </c>
      <c r="E2324" t="s">
        <v>55</v>
      </c>
      <c r="F2324" t="s">
        <v>56</v>
      </c>
      <c r="G2324">
        <v>4</v>
      </c>
      <c r="H2324">
        <v>296.99</v>
      </c>
      <c r="I2324" s="7">
        <f>IF(Transactions!I2324="",0,Transactions!I2324)</f>
        <v>0.1</v>
      </c>
      <c r="J2324" s="9">
        <f t="shared" si="36"/>
        <v>1069.164</v>
      </c>
      <c r="K2324" t="s">
        <v>16</v>
      </c>
      <c r="L2324" t="s">
        <v>23</v>
      </c>
      <c r="M2324" t="str">
        <f>REPLACE(Transactions!M2324,1,4,"")</f>
        <v>13</v>
      </c>
    </row>
    <row r="2325" spans="1:13" x14ac:dyDescent="0.2">
      <c r="A2325">
        <v>487547</v>
      </c>
      <c r="B2325" s="5">
        <v>44680</v>
      </c>
      <c r="C2325">
        <v>61197</v>
      </c>
      <c r="D2325" t="str">
        <f>PROPER(Transactions!D2325)</f>
        <v>Sports</v>
      </c>
      <c r="E2325" t="s">
        <v>147</v>
      </c>
      <c r="F2325" t="s">
        <v>148</v>
      </c>
      <c r="G2325">
        <v>2</v>
      </c>
      <c r="H2325">
        <v>9.09</v>
      </c>
      <c r="I2325" s="7">
        <f>IF(Transactions!I2325="",0,Transactions!I2325)</f>
        <v>0.3</v>
      </c>
      <c r="J2325" s="9">
        <f t="shared" si="36"/>
        <v>12.725999999999999</v>
      </c>
      <c r="K2325" t="s">
        <v>22</v>
      </c>
      <c r="L2325" t="s">
        <v>17</v>
      </c>
      <c r="M2325" t="str">
        <f>REPLACE(Transactions!M2325,1,4,"")</f>
        <v/>
      </c>
    </row>
    <row r="2326" spans="1:13" x14ac:dyDescent="0.2">
      <c r="A2326">
        <v>487982</v>
      </c>
      <c r="B2326" s="5">
        <v>45531</v>
      </c>
      <c r="C2326">
        <v>40597</v>
      </c>
      <c r="D2326" t="str">
        <f>PROPER(Transactions!D2326)</f>
        <v>Grocery</v>
      </c>
      <c r="E2326" t="s">
        <v>91</v>
      </c>
      <c r="F2326" t="s">
        <v>92</v>
      </c>
      <c r="G2326">
        <v>1</v>
      </c>
      <c r="H2326">
        <v>6.29</v>
      </c>
      <c r="I2326" s="7">
        <f>IF(Transactions!I2326="",0,Transactions!I2326)</f>
        <v>0</v>
      </c>
      <c r="J2326" s="9">
        <f t="shared" si="36"/>
        <v>6.29</v>
      </c>
      <c r="K2326" t="s">
        <v>16</v>
      </c>
      <c r="L2326" t="s">
        <v>17</v>
      </c>
      <c r="M2326" t="str">
        <f>REPLACE(Transactions!M2326,1,4,"")</f>
        <v>8</v>
      </c>
    </row>
    <row r="2327" spans="1:13" x14ac:dyDescent="0.2">
      <c r="A2327">
        <v>488070</v>
      </c>
      <c r="B2327" s="5">
        <v>44976</v>
      </c>
      <c r="C2327">
        <v>65932</v>
      </c>
      <c r="D2327" t="str">
        <f>PROPER(Transactions!D2327)</f>
        <v>Clothing</v>
      </c>
      <c r="E2327" t="s">
        <v>141</v>
      </c>
      <c r="F2327" t="s">
        <v>142</v>
      </c>
      <c r="G2327">
        <v>1</v>
      </c>
      <c r="H2327">
        <v>22.99</v>
      </c>
      <c r="I2327" s="7">
        <f>IF(Transactions!I2327="",0,Transactions!I2327)</f>
        <v>0</v>
      </c>
      <c r="J2327" s="9">
        <f t="shared" si="36"/>
        <v>22.99</v>
      </c>
      <c r="K2327" t="s">
        <v>36</v>
      </c>
      <c r="L2327" t="s">
        <v>17</v>
      </c>
      <c r="M2327" t="str">
        <f>REPLACE(Transactions!M2327,1,4,"")</f>
        <v>16</v>
      </c>
    </row>
    <row r="2328" spans="1:13" x14ac:dyDescent="0.2">
      <c r="A2328">
        <v>488399</v>
      </c>
      <c r="B2328" s="5">
        <v>45473</v>
      </c>
      <c r="C2328">
        <v>65438</v>
      </c>
      <c r="D2328" t="str">
        <f>PROPER(Transactions!D2328)</f>
        <v>Electronics</v>
      </c>
      <c r="E2328" t="s">
        <v>127</v>
      </c>
      <c r="F2328" t="s">
        <v>128</v>
      </c>
      <c r="G2328">
        <v>2</v>
      </c>
      <c r="H2328">
        <v>14.99</v>
      </c>
      <c r="I2328" s="7">
        <f>IF(Transactions!I2328="",0,Transactions!I2328)</f>
        <v>0.25</v>
      </c>
      <c r="J2328" s="9">
        <f t="shared" si="36"/>
        <v>22.484999999999999</v>
      </c>
      <c r="K2328" t="s">
        <v>36</v>
      </c>
      <c r="L2328" t="s">
        <v>17</v>
      </c>
      <c r="M2328" t="str">
        <f>REPLACE(Transactions!M2328,1,4,"")</f>
        <v>4</v>
      </c>
    </row>
    <row r="2329" spans="1:13" x14ac:dyDescent="0.2">
      <c r="A2329">
        <v>488684</v>
      </c>
      <c r="B2329" s="5">
        <v>45025</v>
      </c>
      <c r="C2329">
        <v>61549</v>
      </c>
      <c r="D2329" t="str">
        <f>PROPER(Transactions!D2329)</f>
        <v>Home &amp; Garden</v>
      </c>
      <c r="E2329" t="s">
        <v>153</v>
      </c>
      <c r="F2329" t="s">
        <v>154</v>
      </c>
      <c r="G2329">
        <v>3</v>
      </c>
      <c r="H2329">
        <v>29.99</v>
      </c>
      <c r="I2329" s="7">
        <f>IF(Transactions!I2329="",0,Transactions!I2329)</f>
        <v>0</v>
      </c>
      <c r="J2329" s="9">
        <f t="shared" si="36"/>
        <v>89.97</v>
      </c>
      <c r="K2329" t="s">
        <v>36</v>
      </c>
      <c r="L2329" t="s">
        <v>23</v>
      </c>
      <c r="M2329" t="str">
        <f>REPLACE(Transactions!M2329,1,4,"")</f>
        <v>5</v>
      </c>
    </row>
    <row r="2330" spans="1:13" x14ac:dyDescent="0.2">
      <c r="A2330">
        <v>488770</v>
      </c>
      <c r="B2330" s="5">
        <v>44903</v>
      </c>
      <c r="C2330">
        <v>10035</v>
      </c>
      <c r="D2330" t="str">
        <f>PROPER(Transactions!D2330)</f>
        <v>Grocery</v>
      </c>
      <c r="E2330" t="s">
        <v>177</v>
      </c>
      <c r="F2330" t="s">
        <v>178</v>
      </c>
      <c r="G2330">
        <v>4</v>
      </c>
      <c r="H2330">
        <v>11.99</v>
      </c>
      <c r="I2330" s="7">
        <f>IF(Transactions!I2330="",0,Transactions!I2330)</f>
        <v>0</v>
      </c>
      <c r="J2330" s="9">
        <f t="shared" si="36"/>
        <v>47.96</v>
      </c>
      <c r="K2330" t="s">
        <v>36</v>
      </c>
      <c r="L2330" t="s">
        <v>17</v>
      </c>
      <c r="M2330" t="str">
        <f>REPLACE(Transactions!M2330,1,4,"")</f>
        <v>5</v>
      </c>
    </row>
    <row r="2331" spans="1:13" x14ac:dyDescent="0.2">
      <c r="A2331">
        <v>488801</v>
      </c>
      <c r="B2331" s="5">
        <v>44598</v>
      </c>
      <c r="C2331">
        <v>19652</v>
      </c>
      <c r="D2331" t="str">
        <f>PROPER(Transactions!D2331)</f>
        <v>Pharmacy</v>
      </c>
      <c r="E2331" t="s">
        <v>20</v>
      </c>
      <c r="F2331" t="s">
        <v>21</v>
      </c>
      <c r="G2331">
        <v>1</v>
      </c>
      <c r="H2331">
        <v>6.99</v>
      </c>
      <c r="I2331" s="7">
        <f>IF(Transactions!I2331="",0,Transactions!I2331)</f>
        <v>0</v>
      </c>
      <c r="J2331" s="9">
        <f t="shared" si="36"/>
        <v>6.99</v>
      </c>
      <c r="K2331" t="s">
        <v>36</v>
      </c>
      <c r="L2331" t="s">
        <v>17</v>
      </c>
      <c r="M2331" t="str">
        <f>REPLACE(Transactions!M2331,1,4,"")</f>
        <v>18</v>
      </c>
    </row>
    <row r="2332" spans="1:13" x14ac:dyDescent="0.2">
      <c r="A2332">
        <v>488918</v>
      </c>
      <c r="B2332" s="5">
        <v>44700</v>
      </c>
      <c r="C2332">
        <v>15380</v>
      </c>
      <c r="D2332" t="str">
        <f>PROPER(Transactions!D2332)</f>
        <v>Grocery</v>
      </c>
      <c r="E2332" t="s">
        <v>74</v>
      </c>
      <c r="F2332" t="s">
        <v>75</v>
      </c>
      <c r="G2332">
        <v>2</v>
      </c>
      <c r="H2332">
        <v>2.84</v>
      </c>
      <c r="I2332" s="7">
        <f>IF(Transactions!I2332="",0,Transactions!I2332)</f>
        <v>0.05</v>
      </c>
      <c r="J2332" s="9">
        <f t="shared" si="36"/>
        <v>5.3959999999999999</v>
      </c>
      <c r="K2332" t="s">
        <v>36</v>
      </c>
      <c r="L2332" t="s">
        <v>17</v>
      </c>
      <c r="M2332" t="str">
        <f>REPLACE(Transactions!M2332,1,4,"")</f>
        <v>10</v>
      </c>
    </row>
    <row r="2333" spans="1:13" x14ac:dyDescent="0.2">
      <c r="A2333">
        <v>489014</v>
      </c>
      <c r="B2333" s="5">
        <v>45498</v>
      </c>
      <c r="C2333">
        <v>71625</v>
      </c>
      <c r="D2333" t="str">
        <f>PROPER(Transactions!D2333)</f>
        <v>Sports</v>
      </c>
      <c r="E2333" t="s">
        <v>168</v>
      </c>
      <c r="F2333" t="s">
        <v>169</v>
      </c>
      <c r="G2333">
        <v>5</v>
      </c>
      <c r="H2333">
        <v>7.19</v>
      </c>
      <c r="I2333" s="7">
        <f>IF(Transactions!I2333="",0,Transactions!I2333)</f>
        <v>0.2</v>
      </c>
      <c r="J2333" s="9">
        <f t="shared" si="36"/>
        <v>28.760000000000005</v>
      </c>
      <c r="K2333" t="s">
        <v>22</v>
      </c>
      <c r="L2333" t="s">
        <v>23</v>
      </c>
      <c r="M2333" t="str">
        <f>REPLACE(Transactions!M2333,1,4,"")</f>
        <v>9</v>
      </c>
    </row>
    <row r="2334" spans="1:13" x14ac:dyDescent="0.2">
      <c r="A2334">
        <v>489176</v>
      </c>
      <c r="B2334" s="5">
        <v>45156</v>
      </c>
      <c r="C2334">
        <v>48511</v>
      </c>
      <c r="D2334" t="str">
        <f>PROPER(Transactions!D2334)</f>
        <v>Sports</v>
      </c>
      <c r="E2334" t="s">
        <v>83</v>
      </c>
      <c r="F2334" t="s">
        <v>84</v>
      </c>
      <c r="G2334">
        <v>5</v>
      </c>
      <c r="H2334">
        <v>16.14</v>
      </c>
      <c r="I2334" s="7">
        <f>IF(Transactions!I2334="",0,Transactions!I2334)</f>
        <v>0</v>
      </c>
      <c r="J2334" s="9">
        <f t="shared" si="36"/>
        <v>80.7</v>
      </c>
      <c r="K2334" t="s">
        <v>22</v>
      </c>
      <c r="L2334" t="s">
        <v>37</v>
      </c>
      <c r="M2334" t="str">
        <f>REPLACE(Transactions!M2334,1,4,"")</f>
        <v>13</v>
      </c>
    </row>
    <row r="2335" spans="1:13" x14ac:dyDescent="0.2">
      <c r="A2335">
        <v>489340</v>
      </c>
      <c r="B2335" s="5">
        <v>44822</v>
      </c>
      <c r="D2335" t="str">
        <f>PROPER(Transactions!D2335)</f>
        <v>Beauty</v>
      </c>
      <c r="E2335" t="s">
        <v>109</v>
      </c>
      <c r="F2335" t="s">
        <v>110</v>
      </c>
      <c r="G2335">
        <v>1</v>
      </c>
      <c r="H2335">
        <v>4.8899999999999997</v>
      </c>
      <c r="I2335" s="7">
        <f>IF(Transactions!I2335="",0,Transactions!I2335)</f>
        <v>0.3</v>
      </c>
      <c r="J2335" s="9">
        <f t="shared" si="36"/>
        <v>3.4229999999999996</v>
      </c>
      <c r="K2335" t="s">
        <v>16</v>
      </c>
      <c r="L2335" t="s">
        <v>37</v>
      </c>
      <c r="M2335" t="str">
        <f>REPLACE(Transactions!M2335,1,4,"")</f>
        <v>9</v>
      </c>
    </row>
    <row r="2336" spans="1:13" x14ac:dyDescent="0.2">
      <c r="A2336">
        <v>489723</v>
      </c>
      <c r="B2336" s="5">
        <v>44638</v>
      </c>
      <c r="C2336">
        <v>85636</v>
      </c>
      <c r="D2336" t="str">
        <f>PROPER(Transactions!D2336)</f>
        <v>Clothing</v>
      </c>
      <c r="E2336" t="s">
        <v>135</v>
      </c>
      <c r="F2336" t="s">
        <v>136</v>
      </c>
      <c r="G2336">
        <v>4</v>
      </c>
      <c r="H2336">
        <v>6.99</v>
      </c>
      <c r="I2336" s="7">
        <f>IF(Transactions!I2336="",0,Transactions!I2336)</f>
        <v>0.3</v>
      </c>
      <c r="J2336" s="9">
        <f t="shared" si="36"/>
        <v>19.571999999999999</v>
      </c>
      <c r="K2336" t="s">
        <v>16</v>
      </c>
      <c r="L2336" t="s">
        <v>17</v>
      </c>
      <c r="M2336" t="str">
        <f>REPLACE(Transactions!M2336,1,4,"")</f>
        <v>4</v>
      </c>
    </row>
    <row r="2337" spans="1:13" x14ac:dyDescent="0.2">
      <c r="A2337">
        <v>490135</v>
      </c>
      <c r="B2337" s="5">
        <v>45216</v>
      </c>
      <c r="C2337">
        <v>83903</v>
      </c>
      <c r="D2337" t="str">
        <f>PROPER(Transactions!D2337)</f>
        <v>Beauty</v>
      </c>
      <c r="E2337" t="s">
        <v>143</v>
      </c>
      <c r="F2337" t="s">
        <v>144</v>
      </c>
      <c r="G2337">
        <v>3</v>
      </c>
      <c r="H2337">
        <v>14.99</v>
      </c>
      <c r="I2337" s="7">
        <f>IF(Transactions!I2337="",0,Transactions!I2337)</f>
        <v>0</v>
      </c>
      <c r="J2337" s="9">
        <f t="shared" si="36"/>
        <v>44.97</v>
      </c>
      <c r="K2337" t="s">
        <v>16</v>
      </c>
      <c r="L2337" t="s">
        <v>17</v>
      </c>
      <c r="M2337" t="str">
        <f>REPLACE(Transactions!M2337,1,4,"")</f>
        <v>9</v>
      </c>
    </row>
    <row r="2338" spans="1:13" x14ac:dyDescent="0.2">
      <c r="A2338">
        <v>490224</v>
      </c>
      <c r="B2338" s="5">
        <v>45118</v>
      </c>
      <c r="C2338">
        <v>46582</v>
      </c>
      <c r="D2338" t="str">
        <f>PROPER(Transactions!D2338)</f>
        <v>Clothing</v>
      </c>
      <c r="E2338" t="s">
        <v>121</v>
      </c>
      <c r="F2338" t="s">
        <v>122</v>
      </c>
      <c r="G2338">
        <v>5</v>
      </c>
      <c r="H2338">
        <v>10.39</v>
      </c>
      <c r="I2338" s="7">
        <f>IF(Transactions!I2338="",0,Transactions!I2338)</f>
        <v>0.2</v>
      </c>
      <c r="J2338" s="9">
        <f t="shared" si="36"/>
        <v>41.56</v>
      </c>
      <c r="K2338" t="s">
        <v>16</v>
      </c>
      <c r="L2338" t="s">
        <v>37</v>
      </c>
      <c r="M2338" t="str">
        <f>REPLACE(Transactions!M2338,1,4,"")</f>
        <v>18</v>
      </c>
    </row>
    <row r="2339" spans="1:13" x14ac:dyDescent="0.2">
      <c r="A2339">
        <v>490358</v>
      </c>
      <c r="B2339" s="5">
        <v>45138</v>
      </c>
      <c r="C2339">
        <v>13649</v>
      </c>
      <c r="D2339" t="str">
        <f>PROPER(Transactions!D2339)</f>
        <v>Automotive</v>
      </c>
      <c r="E2339" t="s">
        <v>64</v>
      </c>
      <c r="F2339" t="s">
        <v>65</v>
      </c>
      <c r="G2339">
        <v>5</v>
      </c>
      <c r="H2339">
        <v>4.49</v>
      </c>
      <c r="I2339" s="7">
        <f>IF(Transactions!I2339="",0,Transactions!I2339)</f>
        <v>0</v>
      </c>
      <c r="J2339" s="9">
        <f t="shared" si="36"/>
        <v>22.450000000000003</v>
      </c>
      <c r="K2339" t="s">
        <v>95</v>
      </c>
      <c r="L2339" t="s">
        <v>17</v>
      </c>
      <c r="M2339" t="str">
        <f>REPLACE(Transactions!M2339,1,4,"")</f>
        <v>12</v>
      </c>
    </row>
    <row r="2340" spans="1:13" x14ac:dyDescent="0.2">
      <c r="A2340">
        <v>490436</v>
      </c>
      <c r="B2340" s="5">
        <v>44992</v>
      </c>
      <c r="C2340">
        <v>38112</v>
      </c>
      <c r="D2340" t="str">
        <f>PROPER(Transactions!D2340)</f>
        <v>Electronics</v>
      </c>
      <c r="E2340" t="s">
        <v>104</v>
      </c>
      <c r="F2340" t="s">
        <v>105</v>
      </c>
      <c r="G2340">
        <v>1</v>
      </c>
      <c r="H2340">
        <v>22.49</v>
      </c>
      <c r="I2340" s="7">
        <f>IF(Transactions!I2340="",0,Transactions!I2340)</f>
        <v>0.25</v>
      </c>
      <c r="J2340" s="9">
        <f t="shared" si="36"/>
        <v>16.8675</v>
      </c>
      <c r="K2340" t="s">
        <v>22</v>
      </c>
      <c r="L2340" t="s">
        <v>17</v>
      </c>
      <c r="M2340" t="str">
        <f>REPLACE(Transactions!M2340,1,4,"")</f>
        <v>20</v>
      </c>
    </row>
    <row r="2341" spans="1:13" x14ac:dyDescent="0.2">
      <c r="A2341">
        <v>490479</v>
      </c>
      <c r="B2341" s="5">
        <v>45186</v>
      </c>
      <c r="C2341">
        <v>40815</v>
      </c>
      <c r="D2341" t="str">
        <f>PROPER(Transactions!D2341)</f>
        <v>Grocery</v>
      </c>
      <c r="E2341" t="s">
        <v>162</v>
      </c>
      <c r="F2341" t="s">
        <v>163</v>
      </c>
      <c r="G2341">
        <v>1</v>
      </c>
      <c r="H2341">
        <v>5.59</v>
      </c>
      <c r="I2341" s="7">
        <f>IF(Transactions!I2341="",0,Transactions!I2341)</f>
        <v>0.3</v>
      </c>
      <c r="J2341" s="9">
        <f t="shared" si="36"/>
        <v>3.9129999999999998</v>
      </c>
      <c r="K2341" t="s">
        <v>16</v>
      </c>
      <c r="L2341" t="s">
        <v>37</v>
      </c>
      <c r="M2341" t="str">
        <f>REPLACE(Transactions!M2341,1,4,"")</f>
        <v>7</v>
      </c>
    </row>
    <row r="2342" spans="1:13" x14ac:dyDescent="0.2">
      <c r="A2342">
        <v>490555</v>
      </c>
      <c r="B2342" s="5">
        <v>44948</v>
      </c>
      <c r="C2342">
        <v>82796</v>
      </c>
      <c r="D2342" t="str">
        <f>PROPER(Transactions!D2342)</f>
        <v>Sports</v>
      </c>
      <c r="E2342" t="s">
        <v>83</v>
      </c>
      <c r="F2342" t="s">
        <v>84</v>
      </c>
      <c r="G2342">
        <v>1</v>
      </c>
      <c r="H2342">
        <v>16.14</v>
      </c>
      <c r="I2342" s="7">
        <f>IF(Transactions!I2342="",0,Transactions!I2342)</f>
        <v>0.05</v>
      </c>
      <c r="J2342" s="9">
        <f t="shared" si="36"/>
        <v>15.333</v>
      </c>
      <c r="K2342" t="s">
        <v>95</v>
      </c>
      <c r="L2342" t="s">
        <v>17</v>
      </c>
      <c r="M2342" t="str">
        <f>REPLACE(Transactions!M2342,1,4,"")</f>
        <v>4</v>
      </c>
    </row>
    <row r="2343" spans="1:13" x14ac:dyDescent="0.2">
      <c r="A2343">
        <v>490827</v>
      </c>
      <c r="B2343" s="5">
        <v>45111</v>
      </c>
      <c r="C2343">
        <v>92529</v>
      </c>
      <c r="D2343" t="str">
        <f>PROPER(Transactions!D2343)</f>
        <v>Beauty</v>
      </c>
      <c r="E2343" t="s">
        <v>139</v>
      </c>
      <c r="F2343" t="s">
        <v>140</v>
      </c>
      <c r="G2343">
        <v>2</v>
      </c>
      <c r="H2343">
        <v>7.99</v>
      </c>
      <c r="I2343" s="7">
        <f>IF(Transactions!I2343="",0,Transactions!I2343)</f>
        <v>0</v>
      </c>
      <c r="J2343" s="9">
        <f t="shared" si="36"/>
        <v>15.98</v>
      </c>
      <c r="K2343" t="s">
        <v>36</v>
      </c>
      <c r="L2343" t="s">
        <v>37</v>
      </c>
      <c r="M2343" t="str">
        <f>REPLACE(Transactions!M2343,1,4,"")</f>
        <v>9</v>
      </c>
    </row>
    <row r="2344" spans="1:13" x14ac:dyDescent="0.2">
      <c r="A2344">
        <v>490924</v>
      </c>
      <c r="B2344" s="5">
        <v>44984</v>
      </c>
      <c r="C2344">
        <v>67708</v>
      </c>
      <c r="D2344" t="str">
        <f>PROPER(Transactions!D2344)</f>
        <v>Home &amp; Garden</v>
      </c>
      <c r="E2344" t="s">
        <v>145</v>
      </c>
      <c r="F2344" t="s">
        <v>146</v>
      </c>
      <c r="G2344">
        <v>1</v>
      </c>
      <c r="H2344">
        <v>13.59</v>
      </c>
      <c r="I2344" s="7">
        <f>IF(Transactions!I2344="",0,Transactions!I2344)</f>
        <v>0.2</v>
      </c>
      <c r="J2344" s="9">
        <f t="shared" si="36"/>
        <v>10.872</v>
      </c>
      <c r="K2344" t="s">
        <v>16</v>
      </c>
      <c r="L2344" t="s">
        <v>17</v>
      </c>
      <c r="M2344" t="str">
        <f>REPLACE(Transactions!M2344,1,4,"")</f>
        <v>8</v>
      </c>
    </row>
    <row r="2345" spans="1:13" x14ac:dyDescent="0.2">
      <c r="A2345">
        <v>491009</v>
      </c>
      <c r="B2345" s="5">
        <v>44919</v>
      </c>
      <c r="C2345">
        <v>91296</v>
      </c>
      <c r="D2345" t="str">
        <f>PROPER(Transactions!D2345)</f>
        <v>Grocery</v>
      </c>
      <c r="E2345" t="s">
        <v>184</v>
      </c>
      <c r="F2345" t="s">
        <v>185</v>
      </c>
      <c r="G2345">
        <v>1</v>
      </c>
      <c r="H2345">
        <v>4.12</v>
      </c>
      <c r="I2345" s="7">
        <f>IF(Transactions!I2345="",0,Transactions!I2345)</f>
        <v>0.25</v>
      </c>
      <c r="J2345" s="9">
        <f t="shared" si="36"/>
        <v>3.09</v>
      </c>
      <c r="K2345" t="s">
        <v>16</v>
      </c>
      <c r="L2345" t="s">
        <v>17</v>
      </c>
      <c r="M2345" t="str">
        <f>REPLACE(Transactions!M2345,1,4,"")</f>
        <v>15</v>
      </c>
    </row>
    <row r="2346" spans="1:13" x14ac:dyDescent="0.2">
      <c r="A2346">
        <v>491283</v>
      </c>
      <c r="B2346" s="5">
        <v>44638</v>
      </c>
      <c r="C2346">
        <v>22858</v>
      </c>
      <c r="D2346" t="str">
        <f>PROPER(Transactions!D2346)</f>
        <v>Beauty</v>
      </c>
      <c r="E2346" t="s">
        <v>109</v>
      </c>
      <c r="F2346" t="s">
        <v>110</v>
      </c>
      <c r="G2346">
        <v>1</v>
      </c>
      <c r="H2346">
        <v>6.99</v>
      </c>
      <c r="I2346" s="7">
        <f>IF(Transactions!I2346="",0,Transactions!I2346)</f>
        <v>0</v>
      </c>
      <c r="J2346" s="9">
        <f t="shared" si="36"/>
        <v>6.99</v>
      </c>
      <c r="K2346" t="s">
        <v>16</v>
      </c>
      <c r="L2346" t="s">
        <v>17</v>
      </c>
      <c r="M2346" t="str">
        <f>REPLACE(Transactions!M2346,1,4,"")</f>
        <v>16</v>
      </c>
    </row>
    <row r="2347" spans="1:13" x14ac:dyDescent="0.2">
      <c r="A2347">
        <v>491413</v>
      </c>
      <c r="B2347" s="5">
        <v>44675</v>
      </c>
      <c r="C2347">
        <v>19337</v>
      </c>
      <c r="D2347" t="str">
        <f>PROPER(Transactions!D2347)</f>
        <v>Electronics</v>
      </c>
      <c r="E2347" t="s">
        <v>55</v>
      </c>
      <c r="F2347" t="s">
        <v>56</v>
      </c>
      <c r="G2347">
        <v>3</v>
      </c>
      <c r="H2347">
        <v>296.99</v>
      </c>
      <c r="I2347" s="7">
        <f>IF(Transactions!I2347="",0,Transactions!I2347)</f>
        <v>0.1</v>
      </c>
      <c r="J2347" s="9">
        <f t="shared" si="36"/>
        <v>801.87300000000005</v>
      </c>
      <c r="K2347" t="s">
        <v>66</v>
      </c>
      <c r="L2347" t="s">
        <v>17</v>
      </c>
      <c r="M2347" t="str">
        <f>REPLACE(Transactions!M2347,1,4,"")</f>
        <v>6</v>
      </c>
    </row>
    <row r="2348" spans="1:13" x14ac:dyDescent="0.2">
      <c r="A2348">
        <v>492026</v>
      </c>
      <c r="B2348" s="5">
        <v>44749</v>
      </c>
      <c r="C2348">
        <v>95764</v>
      </c>
      <c r="D2348" t="str">
        <f>PROPER(Transactions!D2348)</f>
        <v>Furniture</v>
      </c>
      <c r="E2348" t="s">
        <v>60</v>
      </c>
      <c r="F2348" t="s">
        <v>61</v>
      </c>
      <c r="G2348">
        <v>1</v>
      </c>
      <c r="H2348">
        <v>52.24</v>
      </c>
      <c r="I2348" s="7">
        <f>IF(Transactions!I2348="",0,Transactions!I2348)</f>
        <v>0.05</v>
      </c>
      <c r="J2348" s="9">
        <f t="shared" si="36"/>
        <v>49.628</v>
      </c>
      <c r="K2348" t="s">
        <v>16</v>
      </c>
      <c r="L2348" t="s">
        <v>17</v>
      </c>
      <c r="M2348" t="str">
        <f>REPLACE(Transactions!M2348,1,4,"")</f>
        <v>15</v>
      </c>
    </row>
    <row r="2349" spans="1:13" x14ac:dyDescent="0.2">
      <c r="A2349">
        <v>492052</v>
      </c>
      <c r="B2349" s="5">
        <v>45289</v>
      </c>
      <c r="C2349">
        <v>28408</v>
      </c>
      <c r="D2349" t="str">
        <f>PROPER(Transactions!D2349)</f>
        <v>Home &amp; Garden</v>
      </c>
      <c r="E2349" t="s">
        <v>129</v>
      </c>
      <c r="F2349" t="s">
        <v>130</v>
      </c>
      <c r="G2349">
        <v>2</v>
      </c>
      <c r="H2349">
        <v>8.09</v>
      </c>
      <c r="I2349" s="7">
        <f>IF(Transactions!I2349="",0,Transactions!I2349)</f>
        <v>0.1</v>
      </c>
      <c r="J2349" s="9">
        <f t="shared" si="36"/>
        <v>14.561999999999999</v>
      </c>
      <c r="K2349" t="s">
        <v>16</v>
      </c>
      <c r="L2349" t="s">
        <v>17</v>
      </c>
      <c r="M2349" t="str">
        <f>REPLACE(Transactions!M2349,1,4,"")</f>
        <v>15</v>
      </c>
    </row>
    <row r="2350" spans="1:13" x14ac:dyDescent="0.2">
      <c r="A2350">
        <v>492517</v>
      </c>
      <c r="B2350" s="5">
        <v>45104</v>
      </c>
      <c r="C2350">
        <v>47389</v>
      </c>
      <c r="D2350" t="str">
        <f>PROPER(Transactions!D2350)</f>
        <v>Furniture</v>
      </c>
      <c r="E2350" t="s">
        <v>60</v>
      </c>
      <c r="F2350" t="s">
        <v>61</v>
      </c>
      <c r="G2350">
        <v>5</v>
      </c>
      <c r="H2350">
        <v>41.24</v>
      </c>
      <c r="I2350" s="7">
        <f>IF(Transactions!I2350="",0,Transactions!I2350)</f>
        <v>0.25</v>
      </c>
      <c r="J2350" s="9">
        <f t="shared" si="36"/>
        <v>154.65</v>
      </c>
      <c r="K2350" t="s">
        <v>22</v>
      </c>
      <c r="L2350" t="s">
        <v>37</v>
      </c>
      <c r="M2350" t="str">
        <f>REPLACE(Transactions!M2350,1,4,"")</f>
        <v/>
      </c>
    </row>
    <row r="2351" spans="1:13" x14ac:dyDescent="0.2">
      <c r="A2351">
        <v>492753</v>
      </c>
      <c r="B2351" s="5">
        <v>44686</v>
      </c>
      <c r="C2351">
        <v>78599</v>
      </c>
      <c r="D2351" t="str">
        <f>PROPER(Transactions!D2351)</f>
        <v>Clothing</v>
      </c>
      <c r="E2351" t="s">
        <v>135</v>
      </c>
      <c r="F2351" t="s">
        <v>136</v>
      </c>
      <c r="G2351">
        <v>1</v>
      </c>
      <c r="H2351">
        <v>8.99</v>
      </c>
      <c r="I2351" s="7">
        <f>IF(Transactions!I2351="",0,Transactions!I2351)</f>
        <v>0.1</v>
      </c>
      <c r="J2351" s="9">
        <f t="shared" si="36"/>
        <v>8.0910000000000011</v>
      </c>
      <c r="K2351" t="s">
        <v>53</v>
      </c>
      <c r="L2351" t="s">
        <v>37</v>
      </c>
      <c r="M2351" t="str">
        <f>REPLACE(Transactions!M2351,1,4,"")</f>
        <v>20</v>
      </c>
    </row>
    <row r="2352" spans="1:13" x14ac:dyDescent="0.2">
      <c r="A2352">
        <v>492937</v>
      </c>
      <c r="B2352" s="5">
        <v>45446</v>
      </c>
      <c r="C2352">
        <v>42673</v>
      </c>
      <c r="D2352" t="str">
        <f>PROPER(Transactions!D2352)</f>
        <v>Toys</v>
      </c>
      <c r="E2352" t="s">
        <v>175</v>
      </c>
      <c r="F2352" t="s">
        <v>176</v>
      </c>
      <c r="G2352">
        <v>5</v>
      </c>
      <c r="H2352">
        <v>10.19</v>
      </c>
      <c r="I2352" s="7">
        <f>IF(Transactions!I2352="",0,Transactions!I2352)</f>
        <v>0.15</v>
      </c>
      <c r="J2352" s="9">
        <f t="shared" si="36"/>
        <v>43.307499999999997</v>
      </c>
      <c r="K2352" t="s">
        <v>16</v>
      </c>
      <c r="L2352" t="s">
        <v>23</v>
      </c>
      <c r="M2352" t="str">
        <f>REPLACE(Transactions!M2352,1,4,"")</f>
        <v>3</v>
      </c>
    </row>
    <row r="2353" spans="1:13" x14ac:dyDescent="0.2">
      <c r="A2353">
        <v>492987</v>
      </c>
      <c r="B2353" s="5">
        <v>44755</v>
      </c>
      <c r="C2353">
        <v>21877</v>
      </c>
      <c r="D2353" t="str">
        <f>PROPER(Transactions!D2353)</f>
        <v>Toys</v>
      </c>
      <c r="E2353" t="s">
        <v>30</v>
      </c>
      <c r="F2353" t="s">
        <v>31</v>
      </c>
      <c r="G2353">
        <v>1</v>
      </c>
      <c r="H2353">
        <v>17.489999999999998</v>
      </c>
      <c r="I2353" s="7">
        <f>IF(Transactions!I2353="",0,Transactions!I2353)</f>
        <v>0.3</v>
      </c>
      <c r="J2353" s="9">
        <f t="shared" si="36"/>
        <v>12.242999999999999</v>
      </c>
      <c r="K2353" t="s">
        <v>95</v>
      </c>
      <c r="L2353" t="s">
        <v>17</v>
      </c>
      <c r="M2353" t="str">
        <f>REPLACE(Transactions!M2353,1,4,"")</f>
        <v>17</v>
      </c>
    </row>
    <row r="2354" spans="1:13" x14ac:dyDescent="0.2">
      <c r="A2354">
        <v>493301</v>
      </c>
      <c r="B2354" s="5">
        <v>45310</v>
      </c>
      <c r="C2354">
        <v>79451</v>
      </c>
      <c r="D2354" t="str">
        <f>PROPER(Transactions!D2354)</f>
        <v>Grocery</v>
      </c>
      <c r="E2354" t="s">
        <v>184</v>
      </c>
      <c r="F2354" t="s">
        <v>185</v>
      </c>
      <c r="G2354">
        <v>4</v>
      </c>
      <c r="H2354">
        <v>5.49</v>
      </c>
      <c r="I2354" s="7">
        <f>IF(Transactions!I2354="",0,Transactions!I2354)</f>
        <v>0</v>
      </c>
      <c r="J2354" s="9">
        <f t="shared" si="36"/>
        <v>21.96</v>
      </c>
      <c r="K2354" t="s">
        <v>36</v>
      </c>
      <c r="L2354" t="s">
        <v>17</v>
      </c>
      <c r="M2354" t="str">
        <f>REPLACE(Transactions!M2354,1,4,"")</f>
        <v/>
      </c>
    </row>
    <row r="2355" spans="1:13" x14ac:dyDescent="0.2">
      <c r="A2355">
        <v>493332</v>
      </c>
      <c r="B2355" s="5">
        <v>45090</v>
      </c>
      <c r="C2355">
        <v>72869</v>
      </c>
      <c r="D2355" t="str">
        <f>PROPER(Transactions!D2355)</f>
        <v>Furniture</v>
      </c>
      <c r="E2355" t="s">
        <v>26</v>
      </c>
      <c r="F2355" t="s">
        <v>27</v>
      </c>
      <c r="G2355">
        <v>1</v>
      </c>
      <c r="H2355">
        <v>34.99</v>
      </c>
      <c r="I2355" s="7">
        <f>IF(Transactions!I2355="",0,Transactions!I2355)</f>
        <v>0</v>
      </c>
      <c r="J2355" s="9">
        <f t="shared" si="36"/>
        <v>34.99</v>
      </c>
      <c r="K2355" t="s">
        <v>36</v>
      </c>
      <c r="L2355" t="s">
        <v>17</v>
      </c>
      <c r="M2355" t="str">
        <f>REPLACE(Transactions!M2355,1,4,"")</f>
        <v>9</v>
      </c>
    </row>
    <row r="2356" spans="1:13" x14ac:dyDescent="0.2">
      <c r="A2356">
        <v>493347</v>
      </c>
      <c r="B2356" s="5">
        <v>44842</v>
      </c>
      <c r="C2356">
        <v>78040</v>
      </c>
      <c r="D2356" t="str">
        <f>PROPER(Transactions!D2356)</f>
        <v>Toys</v>
      </c>
      <c r="E2356" t="s">
        <v>72</v>
      </c>
      <c r="F2356" t="s">
        <v>73</v>
      </c>
      <c r="G2356">
        <v>4</v>
      </c>
      <c r="H2356">
        <v>37.99</v>
      </c>
      <c r="I2356" s="7">
        <f>IF(Transactions!I2356="",0,Transactions!I2356)</f>
        <v>0.05</v>
      </c>
      <c r="J2356" s="9">
        <f t="shared" si="36"/>
        <v>144.36199999999999</v>
      </c>
      <c r="K2356" t="s">
        <v>16</v>
      </c>
      <c r="L2356" t="s">
        <v>17</v>
      </c>
      <c r="M2356" t="str">
        <f>REPLACE(Transactions!M2356,1,4,"")</f>
        <v>13</v>
      </c>
    </row>
    <row r="2357" spans="1:13" x14ac:dyDescent="0.2">
      <c r="A2357">
        <v>493513</v>
      </c>
      <c r="B2357" s="5">
        <v>45126</v>
      </c>
      <c r="C2357">
        <v>48514</v>
      </c>
      <c r="D2357" t="str">
        <f>PROPER(Transactions!D2357)</f>
        <v>Grocery</v>
      </c>
      <c r="E2357" t="s">
        <v>177</v>
      </c>
      <c r="F2357" t="s">
        <v>178</v>
      </c>
      <c r="G2357">
        <v>1</v>
      </c>
      <c r="H2357">
        <v>11.39</v>
      </c>
      <c r="I2357" s="7">
        <f>IF(Transactions!I2357="",0,Transactions!I2357)</f>
        <v>0.05</v>
      </c>
      <c r="J2357" s="9">
        <f t="shared" si="36"/>
        <v>10.820500000000001</v>
      </c>
      <c r="K2357" t="s">
        <v>22</v>
      </c>
      <c r="L2357" t="s">
        <v>17</v>
      </c>
      <c r="M2357" t="str">
        <f>REPLACE(Transactions!M2357,1,4,"")</f>
        <v>18</v>
      </c>
    </row>
    <row r="2358" spans="1:13" x14ac:dyDescent="0.2">
      <c r="A2358">
        <v>493731</v>
      </c>
      <c r="B2358" s="5">
        <v>44871</v>
      </c>
      <c r="C2358">
        <v>67497</v>
      </c>
      <c r="D2358" t="str">
        <f>PROPER(Transactions!D2358)</f>
        <v>Automotive</v>
      </c>
      <c r="E2358" t="s">
        <v>125</v>
      </c>
      <c r="F2358" t="s">
        <v>126</v>
      </c>
      <c r="G2358">
        <v>2</v>
      </c>
      <c r="H2358">
        <v>29.99</v>
      </c>
      <c r="I2358" s="7">
        <f>IF(Transactions!I2358="",0,Transactions!I2358)</f>
        <v>0</v>
      </c>
      <c r="J2358" s="9">
        <f t="shared" si="36"/>
        <v>59.98</v>
      </c>
      <c r="K2358" t="s">
        <v>16</v>
      </c>
      <c r="L2358" t="s">
        <v>17</v>
      </c>
      <c r="M2358" t="str">
        <f>REPLACE(Transactions!M2358,1,4,"")</f>
        <v>2</v>
      </c>
    </row>
    <row r="2359" spans="1:13" x14ac:dyDescent="0.2">
      <c r="A2359">
        <v>493740</v>
      </c>
      <c r="B2359" s="5">
        <v>45286</v>
      </c>
      <c r="C2359">
        <v>26833</v>
      </c>
      <c r="D2359" t="str">
        <f>PROPER(Transactions!D2359)</f>
        <v>Furniture</v>
      </c>
      <c r="E2359" t="s">
        <v>60</v>
      </c>
      <c r="F2359" t="s">
        <v>61</v>
      </c>
      <c r="G2359">
        <v>4</v>
      </c>
      <c r="H2359">
        <v>54.99</v>
      </c>
      <c r="I2359" s="7">
        <f>IF(Transactions!I2359="",0,Transactions!I2359)</f>
        <v>0</v>
      </c>
      <c r="J2359" s="9">
        <f t="shared" si="36"/>
        <v>219.96</v>
      </c>
      <c r="K2359" t="s">
        <v>95</v>
      </c>
      <c r="L2359" t="s">
        <v>17</v>
      </c>
      <c r="M2359" t="str">
        <f>REPLACE(Transactions!M2359,1,4,"")</f>
        <v>18</v>
      </c>
    </row>
    <row r="2360" spans="1:13" x14ac:dyDescent="0.2">
      <c r="A2360">
        <v>493774</v>
      </c>
      <c r="B2360" s="5">
        <v>45047</v>
      </c>
      <c r="C2360">
        <v>17122</v>
      </c>
      <c r="D2360" t="str">
        <f>PROPER(Transactions!D2360)</f>
        <v>Sports</v>
      </c>
      <c r="E2360" t="s">
        <v>188</v>
      </c>
      <c r="F2360" t="s">
        <v>189</v>
      </c>
      <c r="G2360">
        <v>4</v>
      </c>
      <c r="H2360">
        <v>35.99</v>
      </c>
      <c r="I2360" s="7">
        <f>IF(Transactions!I2360="",0,Transactions!I2360)</f>
        <v>0.2</v>
      </c>
      <c r="J2360" s="9">
        <f t="shared" si="36"/>
        <v>115.16800000000001</v>
      </c>
      <c r="K2360" t="s">
        <v>36</v>
      </c>
      <c r="L2360" t="s">
        <v>17</v>
      </c>
      <c r="M2360" t="str">
        <f>REPLACE(Transactions!M2360,1,4,"")</f>
        <v>15</v>
      </c>
    </row>
    <row r="2361" spans="1:13" x14ac:dyDescent="0.2">
      <c r="A2361">
        <v>493869</v>
      </c>
      <c r="B2361" s="5">
        <v>45241</v>
      </c>
      <c r="C2361">
        <v>30836</v>
      </c>
      <c r="D2361" t="str">
        <f>PROPER(Transactions!D2361)</f>
        <v>Pharmacy</v>
      </c>
      <c r="E2361" t="s">
        <v>197</v>
      </c>
      <c r="F2361" t="s">
        <v>198</v>
      </c>
      <c r="G2361">
        <v>2</v>
      </c>
      <c r="H2361">
        <v>14.99</v>
      </c>
      <c r="I2361" s="7">
        <f>IF(Transactions!I2361="",0,Transactions!I2361)</f>
        <v>0</v>
      </c>
      <c r="J2361" s="9">
        <f t="shared" si="36"/>
        <v>29.98</v>
      </c>
      <c r="K2361" t="s">
        <v>16</v>
      </c>
      <c r="L2361" t="s">
        <v>17</v>
      </c>
      <c r="M2361" t="str">
        <f>REPLACE(Transactions!M2361,1,4,"")</f>
        <v>19</v>
      </c>
    </row>
    <row r="2362" spans="1:13" x14ac:dyDescent="0.2">
      <c r="A2362">
        <v>493917</v>
      </c>
      <c r="B2362" s="5">
        <v>45462</v>
      </c>
      <c r="C2362">
        <v>19444</v>
      </c>
      <c r="D2362" t="str">
        <f>PROPER(Transactions!D2362)</f>
        <v>Automotive</v>
      </c>
      <c r="E2362" t="s">
        <v>111</v>
      </c>
      <c r="F2362" t="s">
        <v>112</v>
      </c>
      <c r="G2362">
        <v>3</v>
      </c>
      <c r="H2362">
        <v>10.49</v>
      </c>
      <c r="I2362" s="7">
        <f>IF(Transactions!I2362="",0,Transactions!I2362)</f>
        <v>0.3</v>
      </c>
      <c r="J2362" s="9">
        <f t="shared" si="36"/>
        <v>22.028999999999996</v>
      </c>
      <c r="K2362" t="s">
        <v>36</v>
      </c>
      <c r="L2362" t="s">
        <v>17</v>
      </c>
      <c r="M2362" t="str">
        <f>REPLACE(Transactions!M2362,1,4,"")</f>
        <v>8</v>
      </c>
    </row>
    <row r="2363" spans="1:13" x14ac:dyDescent="0.2">
      <c r="A2363">
        <v>494297</v>
      </c>
      <c r="B2363" s="5">
        <v>44836</v>
      </c>
      <c r="C2363">
        <v>16778</v>
      </c>
      <c r="D2363" t="str">
        <f>PROPER(Transactions!D2363)</f>
        <v>Sports</v>
      </c>
      <c r="E2363" t="s">
        <v>155</v>
      </c>
      <c r="F2363" t="s">
        <v>156</v>
      </c>
      <c r="G2363">
        <v>1</v>
      </c>
      <c r="H2363">
        <v>16.989999999999998</v>
      </c>
      <c r="I2363" s="7">
        <f>IF(Transactions!I2363="",0,Transactions!I2363)</f>
        <v>0.15</v>
      </c>
      <c r="J2363" s="9">
        <f t="shared" si="36"/>
        <v>14.441499999999998</v>
      </c>
      <c r="K2363" t="s">
        <v>36</v>
      </c>
      <c r="L2363" t="s">
        <v>17</v>
      </c>
      <c r="M2363" t="str">
        <f>REPLACE(Transactions!M2363,1,4,"")</f>
        <v>16</v>
      </c>
    </row>
    <row r="2364" spans="1:13" x14ac:dyDescent="0.2">
      <c r="A2364">
        <v>494302</v>
      </c>
      <c r="B2364" s="5">
        <v>45170</v>
      </c>
      <c r="C2364">
        <v>45487</v>
      </c>
      <c r="D2364" t="str">
        <f>PROPER(Transactions!D2364)</f>
        <v>Automotive</v>
      </c>
      <c r="E2364" t="s">
        <v>64</v>
      </c>
      <c r="F2364" t="s">
        <v>65</v>
      </c>
      <c r="G2364">
        <v>1</v>
      </c>
      <c r="H2364">
        <v>4.99</v>
      </c>
      <c r="I2364" s="7">
        <f>IF(Transactions!I2364="",0,Transactions!I2364)</f>
        <v>0</v>
      </c>
      <c r="J2364" s="9">
        <f t="shared" si="36"/>
        <v>4.99</v>
      </c>
      <c r="K2364" t="s">
        <v>16</v>
      </c>
      <c r="L2364" t="s">
        <v>17</v>
      </c>
      <c r="M2364" t="str">
        <f>REPLACE(Transactions!M2364,1,4,"")</f>
        <v>19</v>
      </c>
    </row>
    <row r="2365" spans="1:13" x14ac:dyDescent="0.2">
      <c r="A2365">
        <v>494508</v>
      </c>
      <c r="B2365" s="5">
        <v>45510</v>
      </c>
      <c r="C2365">
        <v>73209</v>
      </c>
      <c r="D2365" t="str">
        <f>PROPER(Transactions!D2365)</f>
        <v>Grocery</v>
      </c>
      <c r="E2365" t="s">
        <v>177</v>
      </c>
      <c r="F2365" t="s">
        <v>178</v>
      </c>
      <c r="G2365">
        <v>1</v>
      </c>
      <c r="H2365">
        <v>8.99</v>
      </c>
      <c r="I2365" s="7">
        <f>IF(Transactions!I2365="",0,Transactions!I2365)</f>
        <v>0.25</v>
      </c>
      <c r="J2365" s="9">
        <f t="shared" si="36"/>
        <v>6.7424999999999997</v>
      </c>
      <c r="K2365" t="s">
        <v>22</v>
      </c>
      <c r="L2365" t="s">
        <v>17</v>
      </c>
      <c r="M2365" t="str">
        <f>REPLACE(Transactions!M2365,1,4,"")</f>
        <v>18</v>
      </c>
    </row>
    <row r="2366" spans="1:13" x14ac:dyDescent="0.2">
      <c r="A2366">
        <v>494559</v>
      </c>
      <c r="B2366" s="5">
        <v>44636</v>
      </c>
      <c r="C2366">
        <v>73575</v>
      </c>
      <c r="D2366" t="str">
        <f>PROPER(Transactions!D2366)</f>
        <v>Home &amp; Garden</v>
      </c>
      <c r="E2366" t="s">
        <v>153</v>
      </c>
      <c r="F2366" t="s">
        <v>154</v>
      </c>
      <c r="G2366">
        <v>1</v>
      </c>
      <c r="H2366">
        <v>29.99</v>
      </c>
      <c r="I2366" s="7">
        <f>IF(Transactions!I2366="",0,Transactions!I2366)</f>
        <v>0</v>
      </c>
      <c r="J2366" s="9">
        <f t="shared" si="36"/>
        <v>29.99</v>
      </c>
      <c r="K2366" t="s">
        <v>32</v>
      </c>
      <c r="L2366" t="s">
        <v>17</v>
      </c>
      <c r="M2366" t="str">
        <f>REPLACE(Transactions!M2366,1,4,"")</f>
        <v>17</v>
      </c>
    </row>
    <row r="2367" spans="1:13" x14ac:dyDescent="0.2">
      <c r="A2367">
        <v>494562</v>
      </c>
      <c r="B2367" s="5">
        <v>44603</v>
      </c>
      <c r="C2367">
        <v>65731</v>
      </c>
      <c r="D2367" t="str">
        <f>PROPER(Transactions!D2367)</f>
        <v>Beauty</v>
      </c>
      <c r="E2367" t="s">
        <v>179</v>
      </c>
      <c r="F2367" t="s">
        <v>180</v>
      </c>
      <c r="G2367">
        <v>1</v>
      </c>
      <c r="H2367">
        <v>9.59</v>
      </c>
      <c r="I2367" s="7">
        <f>IF(Transactions!I2367="",0,Transactions!I2367)</f>
        <v>0.2</v>
      </c>
      <c r="J2367" s="9">
        <f t="shared" si="36"/>
        <v>7.6720000000000006</v>
      </c>
      <c r="K2367" t="s">
        <v>36</v>
      </c>
      <c r="L2367" t="s">
        <v>17</v>
      </c>
      <c r="M2367" t="str">
        <f>REPLACE(Transactions!M2367,1,4,"")</f>
        <v>3</v>
      </c>
    </row>
    <row r="2368" spans="1:13" x14ac:dyDescent="0.2">
      <c r="A2368">
        <v>494675</v>
      </c>
      <c r="B2368" s="5">
        <v>45576</v>
      </c>
      <c r="C2368">
        <v>50289</v>
      </c>
      <c r="D2368" t="str">
        <f>PROPER(Transactions!D2368)</f>
        <v>Furniture</v>
      </c>
      <c r="E2368" t="s">
        <v>60</v>
      </c>
      <c r="F2368" t="s">
        <v>61</v>
      </c>
      <c r="G2368">
        <v>2</v>
      </c>
      <c r="H2368">
        <v>54.99</v>
      </c>
      <c r="I2368" s="7">
        <f>IF(Transactions!I2368="",0,Transactions!I2368)</f>
        <v>0</v>
      </c>
      <c r="J2368" s="9">
        <f t="shared" si="36"/>
        <v>109.98</v>
      </c>
      <c r="K2368" t="s">
        <v>95</v>
      </c>
      <c r="L2368" t="s">
        <v>17</v>
      </c>
      <c r="M2368" t="str">
        <f>REPLACE(Transactions!M2368,1,4,"")</f>
        <v>2</v>
      </c>
    </row>
    <row r="2369" spans="1:13" x14ac:dyDescent="0.2">
      <c r="A2369">
        <v>495006</v>
      </c>
      <c r="B2369" s="5">
        <v>45512</v>
      </c>
      <c r="C2369">
        <v>69154</v>
      </c>
      <c r="D2369" t="str">
        <f>PROPER(Transactions!D2369)</f>
        <v>Sports</v>
      </c>
      <c r="E2369" t="s">
        <v>155</v>
      </c>
      <c r="F2369" t="s">
        <v>156</v>
      </c>
      <c r="G2369">
        <v>5</v>
      </c>
      <c r="H2369">
        <v>19.989999999999998</v>
      </c>
      <c r="I2369" s="7">
        <f>IF(Transactions!I2369="",0,Transactions!I2369)</f>
        <v>0</v>
      </c>
      <c r="J2369" s="9">
        <f t="shared" si="36"/>
        <v>99.949999999999989</v>
      </c>
      <c r="K2369" t="s">
        <v>16</v>
      </c>
      <c r="L2369" t="s">
        <v>17</v>
      </c>
      <c r="M2369" t="str">
        <f>REPLACE(Transactions!M2369,1,4,"")</f>
        <v>9</v>
      </c>
    </row>
    <row r="2370" spans="1:13" x14ac:dyDescent="0.2">
      <c r="A2370">
        <v>495022</v>
      </c>
      <c r="B2370" s="5">
        <v>45391</v>
      </c>
      <c r="C2370">
        <v>48488</v>
      </c>
      <c r="D2370" t="str">
        <f>PROPER(Transactions!D2370)</f>
        <v>Toys</v>
      </c>
      <c r="E2370" t="s">
        <v>175</v>
      </c>
      <c r="F2370" t="s">
        <v>176</v>
      </c>
      <c r="G2370">
        <v>1</v>
      </c>
      <c r="H2370">
        <v>11.99</v>
      </c>
      <c r="I2370" s="7">
        <f>IF(Transactions!I2370="",0,Transactions!I2370)</f>
        <v>0</v>
      </c>
      <c r="J2370" s="9">
        <f t="shared" si="36"/>
        <v>11.99</v>
      </c>
      <c r="K2370" t="s">
        <v>16</v>
      </c>
      <c r="L2370" t="s">
        <v>17</v>
      </c>
      <c r="M2370" t="str">
        <f>REPLACE(Transactions!M2370,1,4,"")</f>
        <v>1</v>
      </c>
    </row>
    <row r="2371" spans="1:13" x14ac:dyDescent="0.2">
      <c r="A2371">
        <v>495023</v>
      </c>
      <c r="B2371" s="5">
        <v>45654</v>
      </c>
      <c r="C2371">
        <v>55023</v>
      </c>
      <c r="D2371" t="str">
        <f>PROPER(Transactions!D2371)</f>
        <v>Furniture</v>
      </c>
      <c r="E2371" t="s">
        <v>60</v>
      </c>
      <c r="F2371" t="s">
        <v>61</v>
      </c>
      <c r="G2371">
        <v>3</v>
      </c>
      <c r="H2371">
        <v>54.99</v>
      </c>
      <c r="I2371" s="7">
        <f>IF(Transactions!I2371="",0,Transactions!I2371)</f>
        <v>0</v>
      </c>
      <c r="J2371" s="9">
        <f t="shared" ref="J2371:J2434" si="37">(H2371*G2371)*(1-I2371)</f>
        <v>164.97</v>
      </c>
      <c r="K2371" t="s">
        <v>36</v>
      </c>
      <c r="L2371" t="s">
        <v>17</v>
      </c>
      <c r="M2371" t="str">
        <f>REPLACE(Transactions!M2371,1,4,"")</f>
        <v>11</v>
      </c>
    </row>
    <row r="2372" spans="1:13" x14ac:dyDescent="0.2">
      <c r="A2372">
        <v>495048</v>
      </c>
      <c r="B2372" s="5">
        <v>45438</v>
      </c>
      <c r="C2372">
        <v>11777</v>
      </c>
      <c r="D2372" t="str">
        <f>PROPER(Transactions!D2372)</f>
        <v>Toys</v>
      </c>
      <c r="E2372" t="s">
        <v>88</v>
      </c>
      <c r="F2372" t="s">
        <v>89</v>
      </c>
      <c r="G2372">
        <v>1</v>
      </c>
      <c r="H2372">
        <v>44.99</v>
      </c>
      <c r="I2372" s="7">
        <f>IF(Transactions!I2372="",0,Transactions!I2372)</f>
        <v>0.1</v>
      </c>
      <c r="J2372" s="9">
        <f t="shared" si="37"/>
        <v>40.491</v>
      </c>
      <c r="K2372" t="s">
        <v>53</v>
      </c>
      <c r="L2372" t="s">
        <v>17</v>
      </c>
      <c r="M2372" t="str">
        <f>REPLACE(Transactions!M2372,1,4,"")</f>
        <v>2</v>
      </c>
    </row>
    <row r="2373" spans="1:13" x14ac:dyDescent="0.2">
      <c r="A2373">
        <v>495166</v>
      </c>
      <c r="B2373" s="5">
        <v>44935</v>
      </c>
      <c r="C2373">
        <v>13600</v>
      </c>
      <c r="D2373" t="str">
        <f>PROPER(Transactions!D2373)</f>
        <v>Toys</v>
      </c>
      <c r="E2373" t="s">
        <v>72</v>
      </c>
      <c r="F2373" t="s">
        <v>73</v>
      </c>
      <c r="G2373">
        <v>3</v>
      </c>
      <c r="H2373">
        <v>27.99</v>
      </c>
      <c r="I2373" s="7">
        <f>IF(Transactions!I2373="",0,Transactions!I2373)</f>
        <v>0.3</v>
      </c>
      <c r="J2373" s="9">
        <f t="shared" si="37"/>
        <v>58.778999999999996</v>
      </c>
      <c r="K2373" t="s">
        <v>36</v>
      </c>
      <c r="L2373" t="s">
        <v>17</v>
      </c>
      <c r="M2373" t="str">
        <f>REPLACE(Transactions!M2373,1,4,"")</f>
        <v>11</v>
      </c>
    </row>
    <row r="2374" spans="1:13" x14ac:dyDescent="0.2">
      <c r="A2374">
        <v>495237</v>
      </c>
      <c r="B2374" s="5">
        <v>45650</v>
      </c>
      <c r="C2374">
        <v>60942</v>
      </c>
      <c r="D2374" t="str">
        <f>PROPER(Transactions!D2374)</f>
        <v>Furniture</v>
      </c>
      <c r="E2374" t="s">
        <v>70</v>
      </c>
      <c r="F2374" t="s">
        <v>71</v>
      </c>
      <c r="G2374">
        <v>5</v>
      </c>
      <c r="H2374">
        <v>62.99</v>
      </c>
      <c r="I2374" s="7">
        <f>IF(Transactions!I2374="",0,Transactions!I2374)</f>
        <v>0.3</v>
      </c>
      <c r="J2374" s="9">
        <f t="shared" si="37"/>
        <v>220.46499999999997</v>
      </c>
      <c r="K2374" t="s">
        <v>36</v>
      </c>
      <c r="L2374" t="s">
        <v>17</v>
      </c>
      <c r="M2374" t="str">
        <f>REPLACE(Transactions!M2374,1,4,"")</f>
        <v>6</v>
      </c>
    </row>
    <row r="2375" spans="1:13" x14ac:dyDescent="0.2">
      <c r="A2375">
        <v>495302</v>
      </c>
      <c r="B2375" s="5">
        <v>44738</v>
      </c>
      <c r="C2375">
        <v>83331</v>
      </c>
      <c r="D2375" t="str">
        <f>PROPER(Transactions!D2375)</f>
        <v>Beauty</v>
      </c>
      <c r="E2375" t="s">
        <v>179</v>
      </c>
      <c r="F2375" t="s">
        <v>180</v>
      </c>
      <c r="G2375">
        <v>3</v>
      </c>
      <c r="H2375">
        <v>10.79</v>
      </c>
      <c r="I2375" s="7">
        <f>IF(Transactions!I2375="",0,Transactions!I2375)</f>
        <v>0.1</v>
      </c>
      <c r="J2375" s="9">
        <f t="shared" si="37"/>
        <v>29.132999999999999</v>
      </c>
      <c r="K2375" t="s">
        <v>36</v>
      </c>
      <c r="L2375" t="s">
        <v>17</v>
      </c>
      <c r="M2375" t="str">
        <f>REPLACE(Transactions!M2375,1,4,"")</f>
        <v>20</v>
      </c>
    </row>
    <row r="2376" spans="1:13" x14ac:dyDescent="0.2">
      <c r="A2376">
        <v>495364</v>
      </c>
      <c r="B2376" s="5">
        <v>45438</v>
      </c>
      <c r="C2376">
        <v>88578</v>
      </c>
      <c r="D2376" t="str">
        <f>PROPER(Transactions!D2376)</f>
        <v>Sports</v>
      </c>
      <c r="E2376" t="s">
        <v>147</v>
      </c>
      <c r="F2376" t="s">
        <v>148</v>
      </c>
      <c r="G2376">
        <v>3</v>
      </c>
      <c r="H2376">
        <v>12.34</v>
      </c>
      <c r="I2376" s="7">
        <f>IF(Transactions!I2376="",0,Transactions!I2376)</f>
        <v>0.05</v>
      </c>
      <c r="J2376" s="9">
        <f t="shared" si="37"/>
        <v>35.168999999999997</v>
      </c>
      <c r="K2376" t="s">
        <v>36</v>
      </c>
      <c r="L2376" t="s">
        <v>17</v>
      </c>
      <c r="M2376" t="str">
        <f>REPLACE(Transactions!M2376,1,4,"")</f>
        <v>14</v>
      </c>
    </row>
    <row r="2377" spans="1:13" x14ac:dyDescent="0.2">
      <c r="A2377">
        <v>495483</v>
      </c>
      <c r="B2377" s="5">
        <v>45633</v>
      </c>
      <c r="C2377">
        <v>57623</v>
      </c>
      <c r="D2377" t="str">
        <f>PROPER(Transactions!D2377)</f>
        <v>Furniture</v>
      </c>
      <c r="E2377" t="s">
        <v>113</v>
      </c>
      <c r="F2377" t="s">
        <v>114</v>
      </c>
      <c r="G2377">
        <v>1</v>
      </c>
      <c r="H2377">
        <v>119.99</v>
      </c>
      <c r="I2377" s="7">
        <f>IF(Transactions!I2377="",0,Transactions!I2377)</f>
        <v>0</v>
      </c>
      <c r="J2377" s="9">
        <f t="shared" si="37"/>
        <v>119.99</v>
      </c>
      <c r="K2377" t="s">
        <v>16</v>
      </c>
      <c r="L2377" t="s">
        <v>17</v>
      </c>
      <c r="M2377" t="str">
        <f>REPLACE(Transactions!M2377,1,4,"")</f>
        <v>4</v>
      </c>
    </row>
    <row r="2378" spans="1:13" x14ac:dyDescent="0.2">
      <c r="A2378">
        <v>495958</v>
      </c>
      <c r="B2378" s="5">
        <v>44925</v>
      </c>
      <c r="C2378">
        <v>69897</v>
      </c>
      <c r="D2378" t="str">
        <f>PROPER(Transactions!D2378)</f>
        <v>Home &amp; Garden</v>
      </c>
      <c r="E2378" t="s">
        <v>129</v>
      </c>
      <c r="F2378" t="s">
        <v>130</v>
      </c>
      <c r="G2378">
        <v>3</v>
      </c>
      <c r="H2378">
        <v>6.74</v>
      </c>
      <c r="I2378" s="7">
        <f>IF(Transactions!I2378="",0,Transactions!I2378)</f>
        <v>0.25</v>
      </c>
      <c r="J2378" s="9">
        <f t="shared" si="37"/>
        <v>15.164999999999999</v>
      </c>
      <c r="K2378" t="s">
        <v>32</v>
      </c>
      <c r="L2378" t="s">
        <v>23</v>
      </c>
      <c r="M2378" t="str">
        <f>REPLACE(Transactions!M2378,1,4,"")</f>
        <v>5</v>
      </c>
    </row>
    <row r="2379" spans="1:13" x14ac:dyDescent="0.2">
      <c r="A2379">
        <v>496037</v>
      </c>
      <c r="B2379" s="5">
        <v>45437</v>
      </c>
      <c r="C2379">
        <v>35992</v>
      </c>
      <c r="D2379" t="str">
        <f>PROPER(Transactions!D2379)</f>
        <v>Sports</v>
      </c>
      <c r="E2379" t="s">
        <v>100</v>
      </c>
      <c r="F2379" t="s">
        <v>101</v>
      </c>
      <c r="G2379">
        <v>2</v>
      </c>
      <c r="H2379">
        <v>22.99</v>
      </c>
      <c r="I2379" s="7">
        <f>IF(Transactions!I2379="",0,Transactions!I2379)</f>
        <v>0</v>
      </c>
      <c r="J2379" s="9">
        <f t="shared" si="37"/>
        <v>45.98</v>
      </c>
      <c r="K2379" t="s">
        <v>53</v>
      </c>
      <c r="L2379" t="s">
        <v>17</v>
      </c>
      <c r="M2379" t="str">
        <f>REPLACE(Transactions!M2379,1,4,"")</f>
        <v>19</v>
      </c>
    </row>
    <row r="2380" spans="1:13" x14ac:dyDescent="0.2">
      <c r="A2380">
        <v>496213</v>
      </c>
      <c r="B2380" s="5">
        <v>45287</v>
      </c>
      <c r="C2380">
        <v>97940</v>
      </c>
      <c r="D2380" t="str">
        <f>PROPER(Transactions!D2380)</f>
        <v>Sports</v>
      </c>
      <c r="E2380" t="s">
        <v>100</v>
      </c>
      <c r="F2380" t="s">
        <v>101</v>
      </c>
      <c r="G2380">
        <v>1</v>
      </c>
      <c r="H2380">
        <v>22.99</v>
      </c>
      <c r="I2380" s="7">
        <f>IF(Transactions!I2380="",0,Transactions!I2380)</f>
        <v>0</v>
      </c>
      <c r="J2380" s="9">
        <f t="shared" si="37"/>
        <v>22.99</v>
      </c>
      <c r="K2380" t="s">
        <v>16</v>
      </c>
      <c r="L2380" t="s">
        <v>17</v>
      </c>
      <c r="M2380" t="str">
        <f>REPLACE(Transactions!M2380,1,4,"")</f>
        <v>2</v>
      </c>
    </row>
    <row r="2381" spans="1:13" x14ac:dyDescent="0.2">
      <c r="A2381">
        <v>496283</v>
      </c>
      <c r="B2381" s="5">
        <v>44699</v>
      </c>
      <c r="C2381">
        <v>93257</v>
      </c>
      <c r="D2381" t="str">
        <f>PROPER(Transactions!D2381)</f>
        <v>Automotive</v>
      </c>
      <c r="E2381" t="s">
        <v>125</v>
      </c>
      <c r="F2381" t="s">
        <v>126</v>
      </c>
      <c r="G2381">
        <v>5</v>
      </c>
      <c r="H2381">
        <v>29.99</v>
      </c>
      <c r="I2381" s="7">
        <f>IF(Transactions!I2381="",0,Transactions!I2381)</f>
        <v>0</v>
      </c>
      <c r="J2381" s="9">
        <f t="shared" si="37"/>
        <v>149.94999999999999</v>
      </c>
      <c r="K2381" t="s">
        <v>22</v>
      </c>
      <c r="L2381" t="s">
        <v>37</v>
      </c>
      <c r="M2381" t="str">
        <f>REPLACE(Transactions!M2381,1,4,"")</f>
        <v>9</v>
      </c>
    </row>
    <row r="2382" spans="1:13" x14ac:dyDescent="0.2">
      <c r="A2382">
        <v>496396</v>
      </c>
      <c r="B2382" s="5">
        <v>45344</v>
      </c>
      <c r="C2382">
        <v>48488</v>
      </c>
      <c r="D2382" t="str">
        <f>PROPER(Transactions!D2382)</f>
        <v>Furniture</v>
      </c>
      <c r="E2382" t="s">
        <v>51</v>
      </c>
      <c r="F2382" t="s">
        <v>52</v>
      </c>
      <c r="G2382">
        <v>5</v>
      </c>
      <c r="H2382">
        <v>27.99</v>
      </c>
      <c r="I2382" s="7">
        <f>IF(Transactions!I2382="",0,Transactions!I2382)</f>
        <v>0</v>
      </c>
      <c r="J2382" s="9">
        <f t="shared" si="37"/>
        <v>139.94999999999999</v>
      </c>
      <c r="K2382" t="s">
        <v>16</v>
      </c>
      <c r="L2382" t="s">
        <v>23</v>
      </c>
      <c r="M2382" t="str">
        <f>REPLACE(Transactions!M2382,1,4,"")</f>
        <v>8</v>
      </c>
    </row>
    <row r="2383" spans="1:13" x14ac:dyDescent="0.2">
      <c r="A2383">
        <v>496452</v>
      </c>
      <c r="B2383" s="5">
        <v>45523</v>
      </c>
      <c r="C2383">
        <v>52015</v>
      </c>
      <c r="D2383" t="str">
        <f>PROPER(Transactions!D2383)</f>
        <v>Beauty</v>
      </c>
      <c r="E2383" t="s">
        <v>109</v>
      </c>
      <c r="F2383" t="s">
        <v>110</v>
      </c>
      <c r="G2383">
        <v>1</v>
      </c>
      <c r="H2383">
        <v>6.99</v>
      </c>
      <c r="I2383" s="7">
        <f>IF(Transactions!I2383="",0,Transactions!I2383)</f>
        <v>0</v>
      </c>
      <c r="J2383" s="9">
        <f t="shared" si="37"/>
        <v>6.99</v>
      </c>
      <c r="K2383" t="s">
        <v>16</v>
      </c>
      <c r="L2383" t="s">
        <v>17</v>
      </c>
      <c r="M2383" t="str">
        <f>REPLACE(Transactions!M2383,1,4,"")</f>
        <v>11</v>
      </c>
    </row>
    <row r="2384" spans="1:13" x14ac:dyDescent="0.2">
      <c r="A2384">
        <v>496744</v>
      </c>
      <c r="B2384" s="5">
        <v>44818</v>
      </c>
      <c r="C2384">
        <v>49816</v>
      </c>
      <c r="D2384" t="str">
        <f>PROPER(Transactions!D2384)</f>
        <v>Furniture</v>
      </c>
      <c r="E2384" t="s">
        <v>26</v>
      </c>
      <c r="F2384" t="s">
        <v>27</v>
      </c>
      <c r="G2384">
        <v>4</v>
      </c>
      <c r="H2384">
        <v>29.74</v>
      </c>
      <c r="I2384" s="7">
        <f>IF(Transactions!I2384="",0,Transactions!I2384)</f>
        <v>0.15</v>
      </c>
      <c r="J2384" s="9">
        <f t="shared" si="37"/>
        <v>101.11599999999999</v>
      </c>
      <c r="K2384" t="s">
        <v>16</v>
      </c>
      <c r="L2384" t="s">
        <v>37</v>
      </c>
      <c r="M2384" t="str">
        <f>REPLACE(Transactions!M2384,1,4,"")</f>
        <v/>
      </c>
    </row>
    <row r="2385" spans="1:13" x14ac:dyDescent="0.2">
      <c r="A2385">
        <v>497123</v>
      </c>
      <c r="B2385" s="5">
        <v>45254</v>
      </c>
      <c r="C2385">
        <v>20397</v>
      </c>
      <c r="D2385" t="str">
        <f>PROPER(Transactions!D2385)</f>
        <v>Automotive</v>
      </c>
      <c r="E2385" t="s">
        <v>125</v>
      </c>
      <c r="F2385" t="s">
        <v>126</v>
      </c>
      <c r="G2385">
        <v>4</v>
      </c>
      <c r="H2385">
        <v>23.99</v>
      </c>
      <c r="I2385" s="7">
        <f>IF(Transactions!I2385="",0,Transactions!I2385)</f>
        <v>0.2</v>
      </c>
      <c r="J2385" s="9">
        <f t="shared" si="37"/>
        <v>76.768000000000001</v>
      </c>
      <c r="K2385" t="s">
        <v>22</v>
      </c>
      <c r="L2385" t="s">
        <v>17</v>
      </c>
      <c r="M2385" t="str">
        <f>REPLACE(Transactions!M2385,1,4,"")</f>
        <v>2</v>
      </c>
    </row>
    <row r="2386" spans="1:13" x14ac:dyDescent="0.2">
      <c r="A2386">
        <v>497184</v>
      </c>
      <c r="B2386" s="5">
        <v>44814</v>
      </c>
      <c r="C2386">
        <v>85044</v>
      </c>
      <c r="D2386" t="str">
        <f>PROPER(Transactions!D2386)</f>
        <v>Furniture</v>
      </c>
      <c r="E2386" t="s">
        <v>26</v>
      </c>
      <c r="F2386" t="s">
        <v>27</v>
      </c>
      <c r="G2386">
        <v>2</v>
      </c>
      <c r="H2386">
        <v>27.99</v>
      </c>
      <c r="I2386" s="7">
        <f>IF(Transactions!I2386="",0,Transactions!I2386)</f>
        <v>0.2</v>
      </c>
      <c r="J2386" s="9">
        <f t="shared" si="37"/>
        <v>44.783999999999999</v>
      </c>
      <c r="K2386" t="s">
        <v>36</v>
      </c>
      <c r="L2386" t="s">
        <v>17</v>
      </c>
      <c r="M2386" t="str">
        <f>REPLACE(Transactions!M2386,1,4,"")</f>
        <v>6</v>
      </c>
    </row>
    <row r="2387" spans="1:13" x14ac:dyDescent="0.2">
      <c r="A2387">
        <v>497305</v>
      </c>
      <c r="B2387" s="5">
        <v>44741</v>
      </c>
      <c r="C2387">
        <v>18559</v>
      </c>
      <c r="D2387" t="str">
        <f>PROPER(Transactions!D2387)</f>
        <v>Toys</v>
      </c>
      <c r="E2387" t="s">
        <v>38</v>
      </c>
      <c r="F2387" t="s">
        <v>39</v>
      </c>
      <c r="G2387">
        <v>2</v>
      </c>
      <c r="H2387">
        <v>22.49</v>
      </c>
      <c r="I2387" s="7">
        <f>IF(Transactions!I2387="",0,Transactions!I2387)</f>
        <v>0.25</v>
      </c>
      <c r="J2387" s="9">
        <f t="shared" si="37"/>
        <v>33.734999999999999</v>
      </c>
      <c r="K2387" t="s">
        <v>36</v>
      </c>
      <c r="L2387" t="s">
        <v>17</v>
      </c>
      <c r="M2387" t="str">
        <f>REPLACE(Transactions!M2387,1,4,"")</f>
        <v>18</v>
      </c>
    </row>
    <row r="2388" spans="1:13" x14ac:dyDescent="0.2">
      <c r="A2388">
        <v>497384</v>
      </c>
      <c r="B2388" s="5">
        <v>45182</v>
      </c>
      <c r="C2388">
        <v>99198</v>
      </c>
      <c r="D2388" t="str">
        <f>PROPER(Transactions!D2388)</f>
        <v>Electronics</v>
      </c>
      <c r="E2388" t="s">
        <v>55</v>
      </c>
      <c r="F2388" t="s">
        <v>56</v>
      </c>
      <c r="G2388">
        <v>1</v>
      </c>
      <c r="H2388">
        <v>313.49</v>
      </c>
      <c r="I2388" s="7">
        <f>IF(Transactions!I2388="",0,Transactions!I2388)</f>
        <v>0.05</v>
      </c>
      <c r="J2388" s="9">
        <f t="shared" si="37"/>
        <v>297.81549999999999</v>
      </c>
      <c r="K2388" t="s">
        <v>36</v>
      </c>
      <c r="L2388" t="s">
        <v>37</v>
      </c>
      <c r="M2388" t="str">
        <f>REPLACE(Transactions!M2388,1,4,"")</f>
        <v>2</v>
      </c>
    </row>
    <row r="2389" spans="1:13" x14ac:dyDescent="0.2">
      <c r="A2389">
        <v>497473</v>
      </c>
      <c r="B2389" s="5">
        <v>45397</v>
      </c>
      <c r="C2389">
        <v>26485</v>
      </c>
      <c r="D2389" t="str">
        <f>PROPER(Transactions!D2389)</f>
        <v>Sports</v>
      </c>
      <c r="E2389" t="s">
        <v>100</v>
      </c>
      <c r="F2389" t="s">
        <v>101</v>
      </c>
      <c r="G2389">
        <v>2</v>
      </c>
      <c r="H2389">
        <v>19.54</v>
      </c>
      <c r="I2389" s="7">
        <f>IF(Transactions!I2389="",0,Transactions!I2389)</f>
        <v>0.15</v>
      </c>
      <c r="J2389" s="9">
        <f t="shared" si="37"/>
        <v>33.217999999999996</v>
      </c>
      <c r="K2389" t="s">
        <v>16</v>
      </c>
      <c r="L2389" t="s">
        <v>17</v>
      </c>
      <c r="M2389" t="str">
        <f>REPLACE(Transactions!M2389,1,4,"")</f>
        <v>5</v>
      </c>
    </row>
    <row r="2390" spans="1:13" x14ac:dyDescent="0.2">
      <c r="A2390">
        <v>497561</v>
      </c>
      <c r="B2390" s="5">
        <v>45085</v>
      </c>
      <c r="C2390">
        <v>57411</v>
      </c>
      <c r="D2390" t="str">
        <f>PROPER(Transactions!D2390)</f>
        <v>Pharmacy</v>
      </c>
      <c r="E2390" t="s">
        <v>115</v>
      </c>
      <c r="F2390" t="s">
        <v>116</v>
      </c>
      <c r="G2390">
        <v>5</v>
      </c>
      <c r="H2390">
        <v>12.99</v>
      </c>
      <c r="I2390" s="7">
        <f>IF(Transactions!I2390="",0,Transactions!I2390)</f>
        <v>0</v>
      </c>
      <c r="J2390" s="9">
        <f t="shared" si="37"/>
        <v>64.95</v>
      </c>
      <c r="K2390" t="s">
        <v>36</v>
      </c>
      <c r="L2390" t="s">
        <v>23</v>
      </c>
      <c r="M2390" t="str">
        <f>REPLACE(Transactions!M2390,1,4,"")</f>
        <v>16</v>
      </c>
    </row>
    <row r="2391" spans="1:13" x14ac:dyDescent="0.2">
      <c r="A2391">
        <v>497602</v>
      </c>
      <c r="B2391" s="5">
        <v>45546</v>
      </c>
      <c r="C2391">
        <v>90896</v>
      </c>
      <c r="D2391" t="str">
        <f>PROPER(Transactions!D2391)</f>
        <v>Furniture</v>
      </c>
      <c r="E2391" t="s">
        <v>113</v>
      </c>
      <c r="F2391" t="s">
        <v>114</v>
      </c>
      <c r="G2391">
        <v>3</v>
      </c>
      <c r="H2391">
        <v>89.99</v>
      </c>
      <c r="I2391" s="7">
        <f>IF(Transactions!I2391="",0,Transactions!I2391)</f>
        <v>0.25</v>
      </c>
      <c r="J2391" s="9">
        <f t="shared" si="37"/>
        <v>202.47749999999996</v>
      </c>
      <c r="K2391" t="s">
        <v>95</v>
      </c>
      <c r="L2391" t="s">
        <v>17</v>
      </c>
      <c r="M2391" t="str">
        <f>REPLACE(Transactions!M2391,1,4,"")</f>
        <v>8</v>
      </c>
    </row>
    <row r="2392" spans="1:13" x14ac:dyDescent="0.2">
      <c r="A2392">
        <v>497865</v>
      </c>
      <c r="B2392" s="5">
        <v>45350</v>
      </c>
      <c r="C2392">
        <v>26910</v>
      </c>
      <c r="D2392" t="str">
        <f>PROPER(Transactions!D2392)</f>
        <v>Electronics</v>
      </c>
      <c r="E2392" t="s">
        <v>55</v>
      </c>
      <c r="F2392" t="s">
        <v>56</v>
      </c>
      <c r="G2392">
        <v>2</v>
      </c>
      <c r="H2392">
        <v>329.99</v>
      </c>
      <c r="I2392" s="7">
        <f>IF(Transactions!I2392="",0,Transactions!I2392)</f>
        <v>0</v>
      </c>
      <c r="J2392" s="9">
        <f t="shared" si="37"/>
        <v>659.98</v>
      </c>
      <c r="K2392" t="s">
        <v>16</v>
      </c>
      <c r="L2392" t="s">
        <v>37</v>
      </c>
      <c r="M2392" t="str">
        <f>REPLACE(Transactions!M2392,1,4,"")</f>
        <v>14</v>
      </c>
    </row>
    <row r="2393" spans="1:13" x14ac:dyDescent="0.2">
      <c r="A2393">
        <v>498070</v>
      </c>
      <c r="B2393" s="5">
        <v>45558</v>
      </c>
      <c r="C2393">
        <v>23612</v>
      </c>
      <c r="D2393" t="str">
        <f>PROPER(Transactions!D2393)</f>
        <v>Toys</v>
      </c>
      <c r="E2393" t="s">
        <v>30</v>
      </c>
      <c r="F2393" t="s">
        <v>31</v>
      </c>
      <c r="G2393">
        <v>3</v>
      </c>
      <c r="H2393">
        <v>23.74</v>
      </c>
      <c r="I2393" s="7">
        <f>IF(Transactions!I2393="",0,Transactions!I2393)</f>
        <v>0.05</v>
      </c>
      <c r="J2393" s="9">
        <f t="shared" si="37"/>
        <v>67.658999999999992</v>
      </c>
      <c r="K2393" t="s">
        <v>36</v>
      </c>
      <c r="L2393" t="s">
        <v>17</v>
      </c>
      <c r="M2393" t="str">
        <f>REPLACE(Transactions!M2393,1,4,"")</f>
        <v>18</v>
      </c>
    </row>
    <row r="2394" spans="1:13" x14ac:dyDescent="0.2">
      <c r="A2394">
        <v>498216</v>
      </c>
      <c r="B2394" s="5">
        <v>45275</v>
      </c>
      <c r="C2394">
        <v>60397</v>
      </c>
      <c r="D2394" t="str">
        <f>PROPER(Transactions!D2394)</f>
        <v>Electronics</v>
      </c>
      <c r="E2394" t="s">
        <v>34</v>
      </c>
      <c r="F2394" t="s">
        <v>35</v>
      </c>
      <c r="G2394">
        <v>1</v>
      </c>
      <c r="H2394">
        <v>34.99</v>
      </c>
      <c r="I2394" s="7">
        <f>IF(Transactions!I2394="",0,Transactions!I2394)</f>
        <v>0</v>
      </c>
      <c r="J2394" s="9">
        <f t="shared" si="37"/>
        <v>34.99</v>
      </c>
      <c r="K2394" t="s">
        <v>36</v>
      </c>
      <c r="L2394" t="s">
        <v>37</v>
      </c>
      <c r="M2394" t="str">
        <f>REPLACE(Transactions!M2394,1,4,"")</f>
        <v>12</v>
      </c>
    </row>
    <row r="2395" spans="1:13" x14ac:dyDescent="0.2">
      <c r="A2395">
        <v>498242</v>
      </c>
      <c r="B2395" s="5">
        <v>44774</v>
      </c>
      <c r="C2395">
        <v>73480</v>
      </c>
      <c r="D2395" t="str">
        <f>PROPER(Transactions!D2395)</f>
        <v>Clothing</v>
      </c>
      <c r="E2395" t="s">
        <v>135</v>
      </c>
      <c r="F2395" t="s">
        <v>136</v>
      </c>
      <c r="G2395">
        <v>2</v>
      </c>
      <c r="H2395">
        <v>9.49</v>
      </c>
      <c r="I2395" s="7">
        <f>IF(Transactions!I2395="",0,Transactions!I2395)</f>
        <v>0.05</v>
      </c>
      <c r="J2395" s="9">
        <f t="shared" si="37"/>
        <v>18.030999999999999</v>
      </c>
      <c r="K2395" t="s">
        <v>16</v>
      </c>
      <c r="L2395" t="s">
        <v>17</v>
      </c>
      <c r="M2395" t="str">
        <f>REPLACE(Transactions!M2395,1,4,"")</f>
        <v>6</v>
      </c>
    </row>
    <row r="2396" spans="1:13" x14ac:dyDescent="0.2">
      <c r="A2396">
        <v>498281</v>
      </c>
      <c r="B2396" s="5">
        <v>44915</v>
      </c>
      <c r="C2396">
        <v>74397</v>
      </c>
      <c r="D2396" t="str">
        <f>PROPER(Transactions!D2396)</f>
        <v>Toys</v>
      </c>
      <c r="E2396" t="s">
        <v>170</v>
      </c>
      <c r="F2396" t="s">
        <v>171</v>
      </c>
      <c r="G2396">
        <v>2</v>
      </c>
      <c r="H2396">
        <v>12.74</v>
      </c>
      <c r="I2396" s="7">
        <f>IF(Transactions!I2396="",0,Transactions!I2396)</f>
        <v>0.15</v>
      </c>
      <c r="J2396" s="9">
        <f t="shared" si="37"/>
        <v>21.658000000000001</v>
      </c>
      <c r="K2396" t="s">
        <v>36</v>
      </c>
      <c r="L2396" t="s">
        <v>37</v>
      </c>
      <c r="M2396" t="str">
        <f>REPLACE(Transactions!M2396,1,4,"")</f>
        <v>12</v>
      </c>
    </row>
    <row r="2397" spans="1:13" x14ac:dyDescent="0.2">
      <c r="A2397">
        <v>498327</v>
      </c>
      <c r="B2397" s="5">
        <v>45308</v>
      </c>
      <c r="C2397">
        <v>49645</v>
      </c>
      <c r="D2397" t="str">
        <f>PROPER(Transactions!D2397)</f>
        <v>Pharmacy</v>
      </c>
      <c r="E2397" t="s">
        <v>115</v>
      </c>
      <c r="F2397" t="s">
        <v>116</v>
      </c>
      <c r="G2397">
        <v>1</v>
      </c>
      <c r="H2397">
        <v>12.34</v>
      </c>
      <c r="I2397" s="7">
        <f>IF(Transactions!I2397="",0,Transactions!I2397)</f>
        <v>0.05</v>
      </c>
      <c r="J2397" s="9">
        <f t="shared" si="37"/>
        <v>11.722999999999999</v>
      </c>
      <c r="K2397" t="s">
        <v>22</v>
      </c>
      <c r="L2397" t="s">
        <v>17</v>
      </c>
      <c r="M2397" t="str">
        <f>REPLACE(Transactions!M2397,1,4,"")</f>
        <v>13</v>
      </c>
    </row>
    <row r="2398" spans="1:13" x14ac:dyDescent="0.2">
      <c r="A2398">
        <v>498472</v>
      </c>
      <c r="B2398" s="5">
        <v>45310</v>
      </c>
      <c r="C2398">
        <v>40954</v>
      </c>
      <c r="D2398" t="str">
        <f>PROPER(Transactions!D2398)</f>
        <v>Grocery</v>
      </c>
      <c r="E2398" t="s">
        <v>195</v>
      </c>
      <c r="F2398" t="s">
        <v>196</v>
      </c>
      <c r="G2398">
        <v>5</v>
      </c>
      <c r="H2398">
        <v>4.74</v>
      </c>
      <c r="I2398" s="7">
        <f>IF(Transactions!I2398="",0,Transactions!I2398)</f>
        <v>0</v>
      </c>
      <c r="J2398" s="9">
        <f t="shared" si="37"/>
        <v>23.700000000000003</v>
      </c>
      <c r="K2398" t="s">
        <v>95</v>
      </c>
      <c r="L2398" t="s">
        <v>17</v>
      </c>
      <c r="M2398" t="str">
        <f>REPLACE(Transactions!M2398,1,4,"")</f>
        <v>5</v>
      </c>
    </row>
    <row r="2399" spans="1:13" x14ac:dyDescent="0.2">
      <c r="A2399">
        <v>498590</v>
      </c>
      <c r="B2399" s="5">
        <v>44799</v>
      </c>
      <c r="D2399" t="str">
        <f>PROPER(Transactions!D2399)</f>
        <v>Home &amp; Garden</v>
      </c>
      <c r="E2399" t="s">
        <v>145</v>
      </c>
      <c r="F2399" t="s">
        <v>146</v>
      </c>
      <c r="G2399">
        <v>3</v>
      </c>
      <c r="H2399">
        <v>16.989999999999998</v>
      </c>
      <c r="I2399" s="7">
        <f>IF(Transactions!I2399="",0,Transactions!I2399)</f>
        <v>0</v>
      </c>
      <c r="J2399" s="9">
        <f t="shared" si="37"/>
        <v>50.97</v>
      </c>
      <c r="K2399" t="s">
        <v>16</v>
      </c>
      <c r="L2399" t="s">
        <v>17</v>
      </c>
      <c r="M2399" t="str">
        <f>REPLACE(Transactions!M2399,1,4,"")</f>
        <v>8</v>
      </c>
    </row>
    <row r="2400" spans="1:13" x14ac:dyDescent="0.2">
      <c r="A2400">
        <v>498720</v>
      </c>
      <c r="B2400" s="5">
        <v>44753</v>
      </c>
      <c r="C2400">
        <v>94928</v>
      </c>
      <c r="D2400" t="str">
        <f>PROPER(Transactions!D2400)</f>
        <v>Pharmacy</v>
      </c>
      <c r="E2400" t="s">
        <v>197</v>
      </c>
      <c r="F2400" t="s">
        <v>198</v>
      </c>
      <c r="G2400">
        <v>4</v>
      </c>
      <c r="H2400">
        <v>14.99</v>
      </c>
      <c r="I2400" s="7">
        <f>IF(Transactions!I2400="",0,Transactions!I2400)</f>
        <v>0</v>
      </c>
      <c r="J2400" s="9">
        <f t="shared" si="37"/>
        <v>59.96</v>
      </c>
      <c r="K2400" t="s">
        <v>36</v>
      </c>
      <c r="L2400" t="s">
        <v>17</v>
      </c>
      <c r="M2400" t="str">
        <f>REPLACE(Transactions!M2400,1,4,"")</f>
        <v>2</v>
      </c>
    </row>
    <row r="2401" spans="1:13" x14ac:dyDescent="0.2">
      <c r="A2401">
        <v>499279</v>
      </c>
      <c r="B2401" s="5">
        <v>45638</v>
      </c>
      <c r="C2401">
        <v>92070</v>
      </c>
      <c r="D2401" t="str">
        <f>PROPER(Transactions!D2401)</f>
        <v>Electronics</v>
      </c>
      <c r="E2401" t="s">
        <v>14</v>
      </c>
      <c r="F2401" t="s">
        <v>15</v>
      </c>
      <c r="G2401">
        <v>5</v>
      </c>
      <c r="H2401">
        <v>79.989999999999995</v>
      </c>
      <c r="I2401" s="7">
        <f>IF(Transactions!I2401="",0,Transactions!I2401)</f>
        <v>0</v>
      </c>
      <c r="J2401" s="9">
        <f t="shared" si="37"/>
        <v>399.95</v>
      </c>
      <c r="K2401" t="s">
        <v>16</v>
      </c>
      <c r="L2401" t="s">
        <v>23</v>
      </c>
      <c r="M2401" t="str">
        <f>REPLACE(Transactions!M2401,1,4,"")</f>
        <v>14</v>
      </c>
    </row>
    <row r="2402" spans="1:13" x14ac:dyDescent="0.2">
      <c r="A2402">
        <v>499322</v>
      </c>
      <c r="B2402" s="5">
        <v>45073</v>
      </c>
      <c r="C2402">
        <v>59937</v>
      </c>
      <c r="D2402" t="str">
        <f>PROPER(Transactions!D2402)</f>
        <v>Furniture</v>
      </c>
      <c r="E2402" t="s">
        <v>26</v>
      </c>
      <c r="F2402" t="s">
        <v>27</v>
      </c>
      <c r="G2402">
        <v>5</v>
      </c>
      <c r="H2402">
        <v>29.74</v>
      </c>
      <c r="I2402" s="7">
        <f>IF(Transactions!I2402="",0,Transactions!I2402)</f>
        <v>0.15</v>
      </c>
      <c r="J2402" s="9">
        <f t="shared" si="37"/>
        <v>126.39499999999998</v>
      </c>
      <c r="K2402" t="s">
        <v>36</v>
      </c>
      <c r="L2402" t="s">
        <v>17</v>
      </c>
      <c r="M2402" t="str">
        <f>REPLACE(Transactions!M2402,1,4,"")</f>
        <v>2</v>
      </c>
    </row>
    <row r="2403" spans="1:13" x14ac:dyDescent="0.2">
      <c r="A2403">
        <v>499371</v>
      </c>
      <c r="B2403" s="5">
        <v>44588</v>
      </c>
      <c r="C2403">
        <v>31094</v>
      </c>
      <c r="D2403" t="str">
        <f>PROPER(Transactions!D2403)</f>
        <v>Automotive</v>
      </c>
      <c r="E2403" t="s">
        <v>64</v>
      </c>
      <c r="F2403" t="s">
        <v>65</v>
      </c>
      <c r="G2403">
        <v>1</v>
      </c>
      <c r="H2403">
        <v>3.49</v>
      </c>
      <c r="I2403" s="7">
        <f>IF(Transactions!I2403="",0,Transactions!I2403)</f>
        <v>0.3</v>
      </c>
      <c r="J2403" s="9">
        <f t="shared" si="37"/>
        <v>2.4430000000000001</v>
      </c>
      <c r="K2403" t="s">
        <v>16</v>
      </c>
      <c r="L2403" t="s">
        <v>37</v>
      </c>
      <c r="M2403" t="str">
        <f>REPLACE(Transactions!M2403,1,4,"")</f>
        <v>10</v>
      </c>
    </row>
    <row r="2404" spans="1:13" x14ac:dyDescent="0.2">
      <c r="A2404">
        <v>499545</v>
      </c>
      <c r="B2404" s="5">
        <v>45510</v>
      </c>
      <c r="C2404">
        <v>18547</v>
      </c>
      <c r="D2404" t="str">
        <f>PROPER(Transactions!D2404)</f>
        <v>Beauty</v>
      </c>
      <c r="E2404" t="s">
        <v>49</v>
      </c>
      <c r="F2404" t="s">
        <v>50</v>
      </c>
      <c r="G2404">
        <v>5</v>
      </c>
      <c r="H2404">
        <v>8.09</v>
      </c>
      <c r="I2404" s="7">
        <f>IF(Transactions!I2404="",0,Transactions!I2404)</f>
        <v>0.1</v>
      </c>
      <c r="J2404" s="9">
        <f t="shared" si="37"/>
        <v>36.405000000000001</v>
      </c>
      <c r="K2404" t="s">
        <v>32</v>
      </c>
      <c r="L2404" t="s">
        <v>17</v>
      </c>
      <c r="M2404" t="str">
        <f>REPLACE(Transactions!M2404,1,4,"")</f>
        <v/>
      </c>
    </row>
    <row r="2405" spans="1:13" x14ac:dyDescent="0.2">
      <c r="A2405">
        <v>499650</v>
      </c>
      <c r="B2405" s="5">
        <v>45010</v>
      </c>
      <c r="C2405">
        <v>78681</v>
      </c>
      <c r="D2405" t="str">
        <f>PROPER(Transactions!D2405)</f>
        <v>Clothing</v>
      </c>
      <c r="E2405" t="s">
        <v>181</v>
      </c>
      <c r="F2405" t="s">
        <v>182</v>
      </c>
      <c r="G2405">
        <v>5</v>
      </c>
      <c r="H2405">
        <v>10.49</v>
      </c>
      <c r="I2405" s="7">
        <f>IF(Transactions!I2405="",0,Transactions!I2405)</f>
        <v>0.3</v>
      </c>
      <c r="J2405" s="9">
        <f t="shared" si="37"/>
        <v>36.714999999999996</v>
      </c>
      <c r="K2405" t="s">
        <v>66</v>
      </c>
      <c r="L2405" t="s">
        <v>37</v>
      </c>
      <c r="M2405" t="str">
        <f>REPLACE(Transactions!M2405,1,4,"")</f>
        <v>14</v>
      </c>
    </row>
    <row r="2406" spans="1:13" x14ac:dyDescent="0.2">
      <c r="A2406">
        <v>499812</v>
      </c>
      <c r="B2406" s="5">
        <v>45624</v>
      </c>
      <c r="C2406">
        <v>11990</v>
      </c>
      <c r="D2406" t="str">
        <f>PROPER(Transactions!D2406)</f>
        <v>Automotive</v>
      </c>
      <c r="E2406" t="s">
        <v>111</v>
      </c>
      <c r="F2406" t="s">
        <v>112</v>
      </c>
      <c r="G2406">
        <v>1</v>
      </c>
      <c r="H2406">
        <v>13.49</v>
      </c>
      <c r="I2406" s="7">
        <f>IF(Transactions!I2406="",0,Transactions!I2406)</f>
        <v>0.1</v>
      </c>
      <c r="J2406" s="9">
        <f t="shared" si="37"/>
        <v>12.141</v>
      </c>
      <c r="K2406" t="s">
        <v>16</v>
      </c>
      <c r="L2406" t="s">
        <v>23</v>
      </c>
      <c r="M2406" t="str">
        <f>REPLACE(Transactions!M2406,1,4,"")</f>
        <v>9</v>
      </c>
    </row>
    <row r="2407" spans="1:13" x14ac:dyDescent="0.2">
      <c r="A2407">
        <v>500004</v>
      </c>
      <c r="B2407" s="5">
        <v>45216</v>
      </c>
      <c r="C2407">
        <v>24128</v>
      </c>
      <c r="D2407" t="str">
        <f>PROPER(Transactions!D2407)</f>
        <v>Sports</v>
      </c>
      <c r="E2407" t="s">
        <v>100</v>
      </c>
      <c r="F2407" t="s">
        <v>101</v>
      </c>
      <c r="G2407">
        <v>5</v>
      </c>
      <c r="H2407">
        <v>22.99</v>
      </c>
      <c r="I2407" s="7">
        <f>IF(Transactions!I2407="",0,Transactions!I2407)</f>
        <v>0</v>
      </c>
      <c r="J2407" s="9">
        <f t="shared" si="37"/>
        <v>114.94999999999999</v>
      </c>
      <c r="K2407" t="s">
        <v>95</v>
      </c>
      <c r="L2407" t="s">
        <v>37</v>
      </c>
      <c r="M2407" t="str">
        <f>REPLACE(Transactions!M2407,1,4,"")</f>
        <v/>
      </c>
    </row>
    <row r="2408" spans="1:13" x14ac:dyDescent="0.2">
      <c r="A2408">
        <v>500033</v>
      </c>
      <c r="B2408" s="5">
        <v>45131</v>
      </c>
      <c r="D2408" t="str">
        <f>PROPER(Transactions!D2408)</f>
        <v>Electronics</v>
      </c>
      <c r="E2408" t="s">
        <v>77</v>
      </c>
      <c r="F2408" t="s">
        <v>78</v>
      </c>
      <c r="G2408">
        <v>4</v>
      </c>
      <c r="H2408">
        <v>399.99</v>
      </c>
      <c r="I2408" s="7">
        <f>IF(Transactions!I2408="",0,Transactions!I2408)</f>
        <v>0.2</v>
      </c>
      <c r="J2408" s="9">
        <f t="shared" si="37"/>
        <v>1279.9680000000001</v>
      </c>
      <c r="K2408" t="s">
        <v>36</v>
      </c>
      <c r="L2408" t="s">
        <v>17</v>
      </c>
      <c r="M2408" t="str">
        <f>REPLACE(Transactions!M2408,1,4,"")</f>
        <v>16</v>
      </c>
    </row>
    <row r="2409" spans="1:13" x14ac:dyDescent="0.2">
      <c r="A2409">
        <v>500558</v>
      </c>
      <c r="B2409" s="5">
        <v>45117</v>
      </c>
      <c r="C2409">
        <v>84157</v>
      </c>
      <c r="D2409" t="str">
        <f>PROPER(Transactions!D2409)</f>
        <v>Clothing</v>
      </c>
      <c r="E2409" t="s">
        <v>165</v>
      </c>
      <c r="F2409" t="s">
        <v>166</v>
      </c>
      <c r="G2409">
        <v>1</v>
      </c>
      <c r="H2409">
        <v>80.989999999999995</v>
      </c>
      <c r="I2409" s="7">
        <f>IF(Transactions!I2409="",0,Transactions!I2409)</f>
        <v>0.1</v>
      </c>
      <c r="J2409" s="9">
        <f t="shared" si="37"/>
        <v>72.890999999999991</v>
      </c>
      <c r="K2409" t="s">
        <v>16</v>
      </c>
      <c r="L2409" t="s">
        <v>37</v>
      </c>
      <c r="M2409" t="str">
        <f>REPLACE(Transactions!M2409,1,4,"")</f>
        <v>14</v>
      </c>
    </row>
    <row r="2410" spans="1:13" x14ac:dyDescent="0.2">
      <c r="A2410">
        <v>500990</v>
      </c>
      <c r="B2410" s="5">
        <v>45511</v>
      </c>
      <c r="D2410" t="str">
        <f>PROPER(Transactions!D2410)</f>
        <v>Pharmacy</v>
      </c>
      <c r="E2410" t="s">
        <v>41</v>
      </c>
      <c r="F2410" t="s">
        <v>42</v>
      </c>
      <c r="G2410">
        <v>4</v>
      </c>
      <c r="H2410">
        <v>4.1900000000000004</v>
      </c>
      <c r="I2410" s="7">
        <f>IF(Transactions!I2410="",0,Transactions!I2410)</f>
        <v>0.3</v>
      </c>
      <c r="J2410" s="9">
        <f t="shared" si="37"/>
        <v>11.732000000000001</v>
      </c>
      <c r="K2410" t="s">
        <v>36</v>
      </c>
      <c r="L2410" t="s">
        <v>37</v>
      </c>
      <c r="M2410" t="str">
        <f>REPLACE(Transactions!M2410,1,4,"")</f>
        <v>1</v>
      </c>
    </row>
    <row r="2411" spans="1:13" x14ac:dyDescent="0.2">
      <c r="A2411">
        <v>501054</v>
      </c>
      <c r="B2411" s="5">
        <v>44733</v>
      </c>
      <c r="C2411">
        <v>45971</v>
      </c>
      <c r="D2411" t="str">
        <f>PROPER(Transactions!D2411)</f>
        <v>Furniture</v>
      </c>
      <c r="E2411" t="s">
        <v>51</v>
      </c>
      <c r="F2411" t="s">
        <v>52</v>
      </c>
      <c r="G2411">
        <v>1</v>
      </c>
      <c r="H2411">
        <v>20.99</v>
      </c>
      <c r="I2411" s="7">
        <f>IF(Transactions!I2411="",0,Transactions!I2411)</f>
        <v>0.25</v>
      </c>
      <c r="J2411" s="9">
        <f t="shared" si="37"/>
        <v>15.7425</v>
      </c>
      <c r="K2411" t="s">
        <v>22</v>
      </c>
      <c r="L2411" t="s">
        <v>37</v>
      </c>
      <c r="M2411" t="str">
        <f>REPLACE(Transactions!M2411,1,4,"")</f>
        <v>7</v>
      </c>
    </row>
    <row r="2412" spans="1:13" x14ac:dyDescent="0.2">
      <c r="A2412">
        <v>501155</v>
      </c>
      <c r="B2412" s="5">
        <v>44667</v>
      </c>
      <c r="C2412">
        <v>16587</v>
      </c>
      <c r="D2412" t="str">
        <f>PROPER(Transactions!D2412)</f>
        <v>Clothing</v>
      </c>
      <c r="E2412" t="s">
        <v>121</v>
      </c>
      <c r="F2412" t="s">
        <v>122</v>
      </c>
      <c r="G2412">
        <v>1</v>
      </c>
      <c r="H2412">
        <v>12.99</v>
      </c>
      <c r="I2412" s="7">
        <f>IF(Transactions!I2412="",0,Transactions!I2412)</f>
        <v>0</v>
      </c>
      <c r="J2412" s="9">
        <f t="shared" si="37"/>
        <v>12.99</v>
      </c>
      <c r="K2412" t="s">
        <v>36</v>
      </c>
      <c r="L2412" t="s">
        <v>17</v>
      </c>
      <c r="M2412" t="str">
        <f>REPLACE(Transactions!M2412,1,4,"")</f>
        <v>7</v>
      </c>
    </row>
    <row r="2413" spans="1:13" x14ac:dyDescent="0.2">
      <c r="A2413">
        <v>501404</v>
      </c>
      <c r="B2413" s="5">
        <v>44930</v>
      </c>
      <c r="C2413">
        <v>10349</v>
      </c>
      <c r="D2413" t="str">
        <f>PROPER(Transactions!D2413)</f>
        <v>Electronics</v>
      </c>
      <c r="E2413" t="s">
        <v>159</v>
      </c>
      <c r="F2413" t="s">
        <v>160</v>
      </c>
      <c r="G2413">
        <v>1</v>
      </c>
      <c r="H2413">
        <v>44.99</v>
      </c>
      <c r="I2413" s="7">
        <f>IF(Transactions!I2413="",0,Transactions!I2413)</f>
        <v>0.25</v>
      </c>
      <c r="J2413" s="9">
        <f t="shared" si="37"/>
        <v>33.7425</v>
      </c>
      <c r="K2413" t="s">
        <v>16</v>
      </c>
      <c r="L2413" t="s">
        <v>17</v>
      </c>
      <c r="M2413" t="str">
        <f>REPLACE(Transactions!M2413,1,4,"")</f>
        <v>17</v>
      </c>
    </row>
    <row r="2414" spans="1:13" x14ac:dyDescent="0.2">
      <c r="A2414">
        <v>501518</v>
      </c>
      <c r="B2414" s="5">
        <v>44964</v>
      </c>
      <c r="C2414">
        <v>87681</v>
      </c>
      <c r="D2414" t="str">
        <f>PROPER(Transactions!D2414)</f>
        <v>Electronics</v>
      </c>
      <c r="E2414" t="s">
        <v>55</v>
      </c>
      <c r="F2414" t="s">
        <v>56</v>
      </c>
      <c r="G2414">
        <v>3</v>
      </c>
      <c r="H2414">
        <v>263.99</v>
      </c>
      <c r="I2414" s="7">
        <f>IF(Transactions!I2414="",0,Transactions!I2414)</f>
        <v>0.2</v>
      </c>
      <c r="J2414" s="9">
        <f t="shared" si="37"/>
        <v>633.57600000000002</v>
      </c>
      <c r="K2414" t="s">
        <v>16</v>
      </c>
      <c r="L2414" t="s">
        <v>17</v>
      </c>
      <c r="M2414" t="str">
        <f>REPLACE(Transactions!M2414,1,4,"")</f>
        <v>15</v>
      </c>
    </row>
    <row r="2415" spans="1:13" x14ac:dyDescent="0.2">
      <c r="A2415">
        <v>502099</v>
      </c>
      <c r="B2415" s="5">
        <v>44928</v>
      </c>
      <c r="C2415">
        <v>87352</v>
      </c>
      <c r="D2415" t="str">
        <f>PROPER(Transactions!D2415)</f>
        <v>Automotive</v>
      </c>
      <c r="E2415" t="s">
        <v>64</v>
      </c>
      <c r="F2415" t="s">
        <v>65</v>
      </c>
      <c r="G2415">
        <v>2</v>
      </c>
      <c r="H2415">
        <v>3.99</v>
      </c>
      <c r="I2415" s="7">
        <f>IF(Transactions!I2415="",0,Transactions!I2415)</f>
        <v>0.2</v>
      </c>
      <c r="J2415" s="9">
        <f t="shared" si="37"/>
        <v>6.3840000000000003</v>
      </c>
      <c r="K2415" t="s">
        <v>16</v>
      </c>
      <c r="L2415" t="s">
        <v>17</v>
      </c>
      <c r="M2415" t="str">
        <f>REPLACE(Transactions!M2415,1,4,"")</f>
        <v>1</v>
      </c>
    </row>
    <row r="2416" spans="1:13" x14ac:dyDescent="0.2">
      <c r="A2416">
        <v>502175</v>
      </c>
      <c r="B2416" s="5">
        <v>45592</v>
      </c>
      <c r="C2416">
        <v>39409</v>
      </c>
      <c r="D2416" t="str">
        <f>PROPER(Transactions!D2416)</f>
        <v>Furniture</v>
      </c>
      <c r="E2416" t="s">
        <v>113</v>
      </c>
      <c r="F2416" t="s">
        <v>114</v>
      </c>
      <c r="G2416">
        <v>1</v>
      </c>
      <c r="H2416">
        <v>119.99</v>
      </c>
      <c r="I2416" s="7">
        <f>IF(Transactions!I2416="",0,Transactions!I2416)</f>
        <v>0</v>
      </c>
      <c r="J2416" s="9">
        <f t="shared" si="37"/>
        <v>119.99</v>
      </c>
      <c r="K2416" t="s">
        <v>66</v>
      </c>
      <c r="L2416" t="s">
        <v>17</v>
      </c>
      <c r="M2416" t="str">
        <f>REPLACE(Transactions!M2416,1,4,"")</f>
        <v>16</v>
      </c>
    </row>
    <row r="2417" spans="1:13" x14ac:dyDescent="0.2">
      <c r="A2417">
        <v>502295</v>
      </c>
      <c r="B2417" s="5">
        <v>45057</v>
      </c>
      <c r="C2417">
        <v>44369</v>
      </c>
      <c r="D2417" t="str">
        <f>PROPER(Transactions!D2417)</f>
        <v>Clothing</v>
      </c>
      <c r="E2417" t="s">
        <v>98</v>
      </c>
      <c r="F2417" t="s">
        <v>99</v>
      </c>
      <c r="G2417">
        <v>3</v>
      </c>
      <c r="H2417">
        <v>27.99</v>
      </c>
      <c r="I2417" s="7">
        <f>IF(Transactions!I2417="",0,Transactions!I2417)</f>
        <v>0</v>
      </c>
      <c r="J2417" s="9">
        <f t="shared" si="37"/>
        <v>83.97</v>
      </c>
      <c r="K2417" t="s">
        <v>36</v>
      </c>
      <c r="L2417" t="s">
        <v>37</v>
      </c>
      <c r="M2417" t="str">
        <f>REPLACE(Transactions!M2417,1,4,"")</f>
        <v>5</v>
      </c>
    </row>
    <row r="2418" spans="1:13" x14ac:dyDescent="0.2">
      <c r="A2418">
        <v>502338</v>
      </c>
      <c r="B2418" s="5">
        <v>45240</v>
      </c>
      <c r="C2418">
        <v>44077</v>
      </c>
      <c r="D2418" t="str">
        <f>PROPER(Transactions!D2418)</f>
        <v>Furniture</v>
      </c>
      <c r="E2418" t="s">
        <v>60</v>
      </c>
      <c r="F2418" t="s">
        <v>61</v>
      </c>
      <c r="G2418">
        <v>2</v>
      </c>
      <c r="H2418">
        <v>41.24</v>
      </c>
      <c r="I2418" s="7">
        <f>IF(Transactions!I2418="",0,Transactions!I2418)</f>
        <v>0.25</v>
      </c>
      <c r="J2418" s="9">
        <f t="shared" si="37"/>
        <v>61.86</v>
      </c>
      <c r="K2418" t="s">
        <v>16</v>
      </c>
      <c r="L2418" t="s">
        <v>37</v>
      </c>
      <c r="M2418" t="str">
        <f>REPLACE(Transactions!M2418,1,4,"")</f>
        <v>1</v>
      </c>
    </row>
    <row r="2419" spans="1:13" x14ac:dyDescent="0.2">
      <c r="A2419">
        <v>502354</v>
      </c>
      <c r="B2419" s="5">
        <v>45036</v>
      </c>
      <c r="C2419">
        <v>41794</v>
      </c>
      <c r="D2419" t="str">
        <f>PROPER(Transactions!D2419)</f>
        <v>Furniture</v>
      </c>
      <c r="E2419" t="s">
        <v>60</v>
      </c>
      <c r="F2419" t="s">
        <v>61</v>
      </c>
      <c r="G2419">
        <v>2</v>
      </c>
      <c r="H2419">
        <v>52.24</v>
      </c>
      <c r="I2419" s="7">
        <f>IF(Transactions!I2419="",0,Transactions!I2419)</f>
        <v>0.05</v>
      </c>
      <c r="J2419" s="9">
        <f t="shared" si="37"/>
        <v>99.256</v>
      </c>
      <c r="K2419" t="s">
        <v>36</v>
      </c>
      <c r="L2419" t="s">
        <v>37</v>
      </c>
      <c r="M2419" t="str">
        <f>REPLACE(Transactions!M2419,1,4,"")</f>
        <v>2</v>
      </c>
    </row>
    <row r="2420" spans="1:13" x14ac:dyDescent="0.2">
      <c r="A2420">
        <v>502484</v>
      </c>
      <c r="B2420" s="5">
        <v>44908</v>
      </c>
      <c r="C2420">
        <v>57067</v>
      </c>
      <c r="D2420" t="str">
        <f>PROPER(Transactions!D2420)</f>
        <v>Sports</v>
      </c>
      <c r="E2420" t="s">
        <v>100</v>
      </c>
      <c r="F2420" t="s">
        <v>101</v>
      </c>
      <c r="G2420">
        <v>5</v>
      </c>
      <c r="H2420">
        <v>19.54</v>
      </c>
      <c r="I2420" s="7">
        <f>IF(Transactions!I2420="",0,Transactions!I2420)</f>
        <v>0.15</v>
      </c>
      <c r="J2420" s="9">
        <f t="shared" si="37"/>
        <v>83.044999999999987</v>
      </c>
      <c r="K2420" t="s">
        <v>53</v>
      </c>
      <c r="L2420" t="s">
        <v>17</v>
      </c>
      <c r="M2420" t="str">
        <f>REPLACE(Transactions!M2420,1,4,"")</f>
        <v>10</v>
      </c>
    </row>
    <row r="2421" spans="1:13" x14ac:dyDescent="0.2">
      <c r="A2421">
        <v>502887</v>
      </c>
      <c r="B2421" s="5">
        <v>44819</v>
      </c>
      <c r="C2421">
        <v>81981</v>
      </c>
      <c r="D2421" t="str">
        <f>PROPER(Transactions!D2421)</f>
        <v>Grocery</v>
      </c>
      <c r="E2421" t="s">
        <v>172</v>
      </c>
      <c r="F2421" t="s">
        <v>173</v>
      </c>
      <c r="G2421">
        <v>5</v>
      </c>
      <c r="H2421">
        <v>3.82</v>
      </c>
      <c r="I2421" s="7">
        <f>IF(Transactions!I2421="",0,Transactions!I2421)</f>
        <v>0.15</v>
      </c>
      <c r="J2421" s="9">
        <f t="shared" si="37"/>
        <v>16.234999999999999</v>
      </c>
      <c r="K2421" t="s">
        <v>16</v>
      </c>
      <c r="L2421" t="s">
        <v>37</v>
      </c>
      <c r="M2421" t="str">
        <f>REPLACE(Transactions!M2421,1,4,"")</f>
        <v>10</v>
      </c>
    </row>
    <row r="2422" spans="1:13" x14ac:dyDescent="0.2">
      <c r="A2422">
        <v>502890</v>
      </c>
      <c r="B2422" s="5">
        <v>44825</v>
      </c>
      <c r="C2422">
        <v>86445</v>
      </c>
      <c r="D2422" t="str">
        <f>PROPER(Transactions!D2422)</f>
        <v>Grocery</v>
      </c>
      <c r="E2422" t="s">
        <v>190</v>
      </c>
      <c r="F2422" t="s">
        <v>191</v>
      </c>
      <c r="G2422">
        <v>2</v>
      </c>
      <c r="H2422">
        <v>4.29</v>
      </c>
      <c r="I2422" s="7">
        <f>IF(Transactions!I2422="",0,Transactions!I2422)</f>
        <v>0</v>
      </c>
      <c r="J2422" s="9">
        <f t="shared" si="37"/>
        <v>8.58</v>
      </c>
      <c r="K2422" t="s">
        <v>53</v>
      </c>
      <c r="L2422" t="s">
        <v>17</v>
      </c>
      <c r="M2422" t="str">
        <f>REPLACE(Transactions!M2422,1,4,"")</f>
        <v>17</v>
      </c>
    </row>
    <row r="2423" spans="1:13" x14ac:dyDescent="0.2">
      <c r="A2423">
        <v>503234</v>
      </c>
      <c r="B2423" s="5">
        <v>45274</v>
      </c>
      <c r="C2423">
        <v>30942</v>
      </c>
      <c r="D2423" t="str">
        <f>PROPER(Transactions!D2423)</f>
        <v>Beauty</v>
      </c>
      <c r="E2423" t="s">
        <v>143</v>
      </c>
      <c r="F2423" t="s">
        <v>144</v>
      </c>
      <c r="G2423">
        <v>2</v>
      </c>
      <c r="H2423">
        <v>14.99</v>
      </c>
      <c r="I2423" s="7">
        <f>IF(Transactions!I2423="",0,Transactions!I2423)</f>
        <v>0</v>
      </c>
      <c r="J2423" s="9">
        <f t="shared" si="37"/>
        <v>29.98</v>
      </c>
      <c r="K2423" t="s">
        <v>16</v>
      </c>
      <c r="L2423" t="s">
        <v>17</v>
      </c>
      <c r="M2423" t="str">
        <f>REPLACE(Transactions!M2423,1,4,"")</f>
        <v>4</v>
      </c>
    </row>
    <row r="2424" spans="1:13" x14ac:dyDescent="0.2">
      <c r="A2424">
        <v>503268</v>
      </c>
      <c r="B2424" s="5">
        <v>44786</v>
      </c>
      <c r="C2424">
        <v>63613</v>
      </c>
      <c r="D2424" t="str">
        <f>PROPER(Transactions!D2424)</f>
        <v>Beauty</v>
      </c>
      <c r="E2424" t="s">
        <v>49</v>
      </c>
      <c r="F2424" t="s">
        <v>50</v>
      </c>
      <c r="G2424">
        <v>4</v>
      </c>
      <c r="H2424">
        <v>6.29</v>
      </c>
      <c r="I2424" s="7">
        <f>IF(Transactions!I2424="",0,Transactions!I2424)</f>
        <v>0.3</v>
      </c>
      <c r="J2424" s="9">
        <f t="shared" si="37"/>
        <v>17.611999999999998</v>
      </c>
      <c r="K2424" t="s">
        <v>16</v>
      </c>
      <c r="L2424" t="s">
        <v>17</v>
      </c>
      <c r="M2424" t="str">
        <f>REPLACE(Transactions!M2424,1,4,"")</f>
        <v>12</v>
      </c>
    </row>
    <row r="2425" spans="1:13" x14ac:dyDescent="0.2">
      <c r="A2425">
        <v>503772</v>
      </c>
      <c r="B2425" s="5">
        <v>44678</v>
      </c>
      <c r="C2425">
        <v>41002</v>
      </c>
      <c r="D2425" t="str">
        <f>PROPER(Transactions!D2425)</f>
        <v>Automotive</v>
      </c>
      <c r="E2425" t="s">
        <v>64</v>
      </c>
      <c r="F2425" t="s">
        <v>65</v>
      </c>
      <c r="G2425">
        <v>1</v>
      </c>
      <c r="H2425">
        <v>4.24</v>
      </c>
      <c r="I2425" s="7">
        <f>IF(Transactions!I2425="",0,Transactions!I2425)</f>
        <v>0.15</v>
      </c>
      <c r="J2425" s="9">
        <f t="shared" si="37"/>
        <v>3.6040000000000001</v>
      </c>
      <c r="K2425" t="s">
        <v>16</v>
      </c>
      <c r="L2425" t="s">
        <v>17</v>
      </c>
      <c r="M2425" t="str">
        <f>REPLACE(Transactions!M2425,1,4,"")</f>
        <v>4</v>
      </c>
    </row>
    <row r="2426" spans="1:13" x14ac:dyDescent="0.2">
      <c r="A2426">
        <v>503788</v>
      </c>
      <c r="B2426" s="5">
        <v>44936</v>
      </c>
      <c r="C2426">
        <v>81608</v>
      </c>
      <c r="D2426" t="str">
        <f>PROPER(Transactions!D2426)</f>
        <v>Grocery</v>
      </c>
      <c r="E2426" t="s">
        <v>195</v>
      </c>
      <c r="F2426" t="s">
        <v>196</v>
      </c>
      <c r="G2426">
        <v>1</v>
      </c>
      <c r="H2426">
        <v>4.99</v>
      </c>
      <c r="I2426" s="7">
        <f>IF(Transactions!I2426="",0,Transactions!I2426)</f>
        <v>0</v>
      </c>
      <c r="J2426" s="9">
        <f t="shared" si="37"/>
        <v>4.99</v>
      </c>
      <c r="K2426" t="s">
        <v>22</v>
      </c>
      <c r="L2426" t="s">
        <v>37</v>
      </c>
      <c r="M2426" t="str">
        <f>REPLACE(Transactions!M2426,1,4,"")</f>
        <v>14</v>
      </c>
    </row>
    <row r="2427" spans="1:13" x14ac:dyDescent="0.2">
      <c r="A2427">
        <v>503958</v>
      </c>
      <c r="B2427" s="5">
        <v>44892</v>
      </c>
      <c r="C2427">
        <v>88539</v>
      </c>
      <c r="D2427" t="str">
        <f>PROPER(Transactions!D2427)</f>
        <v>Home &amp; Garden</v>
      </c>
      <c r="E2427" t="s">
        <v>86</v>
      </c>
      <c r="F2427" t="s">
        <v>87</v>
      </c>
      <c r="G2427">
        <v>5</v>
      </c>
      <c r="H2427">
        <v>9.74</v>
      </c>
      <c r="I2427" s="7">
        <f>IF(Transactions!I2427="",0,Transactions!I2427)</f>
        <v>0.25</v>
      </c>
      <c r="J2427" s="9">
        <f t="shared" si="37"/>
        <v>36.525000000000006</v>
      </c>
      <c r="K2427" t="s">
        <v>16</v>
      </c>
      <c r="L2427" t="s">
        <v>37</v>
      </c>
      <c r="M2427" t="str">
        <f>REPLACE(Transactions!M2427,1,4,"")</f>
        <v>7</v>
      </c>
    </row>
    <row r="2428" spans="1:13" x14ac:dyDescent="0.2">
      <c r="A2428">
        <v>504025</v>
      </c>
      <c r="B2428" s="5">
        <v>45177</v>
      </c>
      <c r="C2428">
        <v>69103</v>
      </c>
      <c r="D2428" t="str">
        <f>PROPER(Transactions!D2428)</f>
        <v>Grocery</v>
      </c>
      <c r="E2428" t="s">
        <v>195</v>
      </c>
      <c r="F2428" t="s">
        <v>196</v>
      </c>
      <c r="G2428">
        <v>1</v>
      </c>
      <c r="H2428">
        <v>4.99</v>
      </c>
      <c r="I2428" s="7">
        <f>IF(Transactions!I2428="",0,Transactions!I2428)</f>
        <v>0</v>
      </c>
      <c r="J2428" s="9">
        <f t="shared" si="37"/>
        <v>4.99</v>
      </c>
      <c r="K2428" t="s">
        <v>22</v>
      </c>
      <c r="L2428" t="s">
        <v>17</v>
      </c>
      <c r="M2428" t="str">
        <f>REPLACE(Transactions!M2428,1,4,"")</f>
        <v>13</v>
      </c>
    </row>
    <row r="2429" spans="1:13" x14ac:dyDescent="0.2">
      <c r="A2429">
        <v>504036</v>
      </c>
      <c r="B2429" s="5">
        <v>45129</v>
      </c>
      <c r="C2429">
        <v>36269</v>
      </c>
      <c r="D2429" t="str">
        <f>PROPER(Transactions!D2429)</f>
        <v>Electronics</v>
      </c>
      <c r="E2429" t="s">
        <v>127</v>
      </c>
      <c r="F2429" t="s">
        <v>128</v>
      </c>
      <c r="G2429">
        <v>1</v>
      </c>
      <c r="H2429">
        <v>17.989999999999998</v>
      </c>
      <c r="I2429" s="7">
        <f>IF(Transactions!I2429="",0,Transactions!I2429)</f>
        <v>0.1</v>
      </c>
      <c r="J2429" s="9">
        <f t="shared" si="37"/>
        <v>16.190999999999999</v>
      </c>
      <c r="K2429" t="s">
        <v>16</v>
      </c>
      <c r="L2429" t="s">
        <v>17</v>
      </c>
      <c r="M2429" t="str">
        <f>REPLACE(Transactions!M2429,1,4,"")</f>
        <v>18</v>
      </c>
    </row>
    <row r="2430" spans="1:13" x14ac:dyDescent="0.2">
      <c r="A2430">
        <v>504747</v>
      </c>
      <c r="B2430" s="5">
        <v>44688</v>
      </c>
      <c r="C2430">
        <v>83092</v>
      </c>
      <c r="D2430" t="str">
        <f>PROPER(Transactions!D2430)</f>
        <v>Clothing</v>
      </c>
      <c r="E2430" t="s">
        <v>135</v>
      </c>
      <c r="F2430" t="s">
        <v>136</v>
      </c>
      <c r="G2430">
        <v>2</v>
      </c>
      <c r="H2430">
        <v>9.99</v>
      </c>
      <c r="I2430" s="7">
        <f>IF(Transactions!I2430="",0,Transactions!I2430)</f>
        <v>0</v>
      </c>
      <c r="J2430" s="9">
        <f t="shared" si="37"/>
        <v>19.98</v>
      </c>
      <c r="K2430" t="s">
        <v>36</v>
      </c>
      <c r="L2430" t="s">
        <v>37</v>
      </c>
      <c r="M2430" t="str">
        <f>REPLACE(Transactions!M2430,1,4,"")</f>
        <v>20</v>
      </c>
    </row>
    <row r="2431" spans="1:13" x14ac:dyDescent="0.2">
      <c r="A2431">
        <v>504930</v>
      </c>
      <c r="B2431" s="5">
        <v>45544</v>
      </c>
      <c r="C2431">
        <v>59137</v>
      </c>
      <c r="D2431" t="str">
        <f>PROPER(Transactions!D2431)</f>
        <v>Beauty</v>
      </c>
      <c r="E2431" t="s">
        <v>179</v>
      </c>
      <c r="F2431" t="s">
        <v>180</v>
      </c>
      <c r="G2431">
        <v>4</v>
      </c>
      <c r="H2431">
        <v>8.39</v>
      </c>
      <c r="I2431" s="7">
        <f>IF(Transactions!I2431="",0,Transactions!I2431)</f>
        <v>0.3</v>
      </c>
      <c r="J2431" s="9">
        <f t="shared" si="37"/>
        <v>23.492000000000001</v>
      </c>
      <c r="K2431" t="s">
        <v>22</v>
      </c>
      <c r="L2431" t="s">
        <v>37</v>
      </c>
      <c r="M2431" t="str">
        <f>REPLACE(Transactions!M2431,1,4,"")</f>
        <v>14</v>
      </c>
    </row>
    <row r="2432" spans="1:13" x14ac:dyDescent="0.2">
      <c r="A2432">
        <v>505042</v>
      </c>
      <c r="B2432" s="5">
        <v>45564</v>
      </c>
      <c r="C2432">
        <v>52000</v>
      </c>
      <c r="D2432" t="str">
        <f>PROPER(Transactions!D2432)</f>
        <v>Sports</v>
      </c>
      <c r="E2432" t="s">
        <v>83</v>
      </c>
      <c r="F2432" t="s">
        <v>84</v>
      </c>
      <c r="G2432">
        <v>1</v>
      </c>
      <c r="H2432">
        <v>11.89</v>
      </c>
      <c r="I2432" s="7">
        <f>IF(Transactions!I2432="",0,Transactions!I2432)</f>
        <v>0.3</v>
      </c>
      <c r="J2432" s="9">
        <f t="shared" si="37"/>
        <v>8.3230000000000004</v>
      </c>
      <c r="K2432" t="s">
        <v>16</v>
      </c>
      <c r="L2432" t="s">
        <v>17</v>
      </c>
      <c r="M2432" t="str">
        <f>REPLACE(Transactions!M2432,1,4,"")</f>
        <v>11</v>
      </c>
    </row>
    <row r="2433" spans="1:13" x14ac:dyDescent="0.2">
      <c r="A2433">
        <v>505189</v>
      </c>
      <c r="B2433" s="5">
        <v>45575</v>
      </c>
      <c r="D2433" t="str">
        <f>PROPER(Transactions!D2433)</f>
        <v>Automotive</v>
      </c>
      <c r="E2433" t="s">
        <v>68</v>
      </c>
      <c r="F2433" t="s">
        <v>69</v>
      </c>
      <c r="G2433">
        <v>1</v>
      </c>
      <c r="H2433">
        <v>22.49</v>
      </c>
      <c r="I2433" s="7">
        <f>IF(Transactions!I2433="",0,Transactions!I2433)</f>
        <v>0.1</v>
      </c>
      <c r="J2433" s="9">
        <f t="shared" si="37"/>
        <v>20.241</v>
      </c>
      <c r="K2433" t="s">
        <v>22</v>
      </c>
      <c r="L2433" t="s">
        <v>37</v>
      </c>
      <c r="M2433" t="str">
        <f>REPLACE(Transactions!M2433,1,4,"")</f>
        <v>5</v>
      </c>
    </row>
    <row r="2434" spans="1:13" x14ac:dyDescent="0.2">
      <c r="A2434">
        <v>505527</v>
      </c>
      <c r="B2434" s="5">
        <v>45393</v>
      </c>
      <c r="C2434">
        <v>31573</v>
      </c>
      <c r="D2434" t="str">
        <f>PROPER(Transactions!D2434)</f>
        <v>Pharmacy</v>
      </c>
      <c r="E2434" t="s">
        <v>58</v>
      </c>
      <c r="F2434" t="s">
        <v>59</v>
      </c>
      <c r="G2434">
        <v>5</v>
      </c>
      <c r="H2434">
        <v>3.59</v>
      </c>
      <c r="I2434" s="7">
        <f>IF(Transactions!I2434="",0,Transactions!I2434)</f>
        <v>0.1</v>
      </c>
      <c r="J2434" s="9">
        <f t="shared" si="37"/>
        <v>16.155000000000001</v>
      </c>
      <c r="K2434" t="s">
        <v>16</v>
      </c>
      <c r="L2434" t="s">
        <v>17</v>
      </c>
      <c r="M2434" t="str">
        <f>REPLACE(Transactions!M2434,1,4,"")</f>
        <v>19</v>
      </c>
    </row>
    <row r="2435" spans="1:13" x14ac:dyDescent="0.2">
      <c r="A2435">
        <v>505531</v>
      </c>
      <c r="B2435" s="5">
        <v>44968</v>
      </c>
      <c r="C2435">
        <v>12243</v>
      </c>
      <c r="D2435" t="str">
        <f>PROPER(Transactions!D2435)</f>
        <v>Beauty</v>
      </c>
      <c r="E2435" t="s">
        <v>139</v>
      </c>
      <c r="F2435" t="s">
        <v>140</v>
      </c>
      <c r="G2435">
        <v>3</v>
      </c>
      <c r="H2435">
        <v>6.39</v>
      </c>
      <c r="I2435" s="7">
        <f>IF(Transactions!I2435="",0,Transactions!I2435)</f>
        <v>0.2</v>
      </c>
      <c r="J2435" s="9">
        <f t="shared" ref="J2435:J2498" si="38">(H2435*G2435)*(1-I2435)</f>
        <v>15.335999999999999</v>
      </c>
      <c r="K2435" t="s">
        <v>36</v>
      </c>
      <c r="L2435" t="s">
        <v>17</v>
      </c>
      <c r="M2435" t="str">
        <f>REPLACE(Transactions!M2435,1,4,"")</f>
        <v>7</v>
      </c>
    </row>
    <row r="2436" spans="1:13" x14ac:dyDescent="0.2">
      <c r="A2436">
        <v>505908</v>
      </c>
      <c r="B2436" s="5">
        <v>45342</v>
      </c>
      <c r="C2436">
        <v>61695</v>
      </c>
      <c r="D2436" t="str">
        <f>PROPER(Transactions!D2436)</f>
        <v>Electronics</v>
      </c>
      <c r="E2436" t="s">
        <v>79</v>
      </c>
      <c r="F2436" t="s">
        <v>80</v>
      </c>
      <c r="G2436">
        <v>3</v>
      </c>
      <c r="H2436">
        <v>67.489999999999995</v>
      </c>
      <c r="I2436" s="7">
        <f>IF(Transactions!I2436="",0,Transactions!I2436)</f>
        <v>0.25</v>
      </c>
      <c r="J2436" s="9">
        <f t="shared" si="38"/>
        <v>151.85249999999996</v>
      </c>
      <c r="K2436" t="s">
        <v>36</v>
      </c>
      <c r="L2436" t="s">
        <v>23</v>
      </c>
      <c r="M2436" t="str">
        <f>REPLACE(Transactions!M2436,1,4,"")</f>
        <v>12</v>
      </c>
    </row>
    <row r="2437" spans="1:13" x14ac:dyDescent="0.2">
      <c r="A2437">
        <v>506012</v>
      </c>
      <c r="B2437" s="5">
        <v>44646</v>
      </c>
      <c r="C2437">
        <v>66263</v>
      </c>
      <c r="D2437" t="str">
        <f>PROPER(Transactions!D2437)</f>
        <v>Pharmacy</v>
      </c>
      <c r="E2437" t="s">
        <v>115</v>
      </c>
      <c r="F2437" t="s">
        <v>116</v>
      </c>
      <c r="G2437">
        <v>1</v>
      </c>
      <c r="H2437">
        <v>12.99</v>
      </c>
      <c r="I2437" s="7">
        <f>IF(Transactions!I2437="",0,Transactions!I2437)</f>
        <v>0</v>
      </c>
      <c r="J2437" s="9">
        <f t="shared" si="38"/>
        <v>12.99</v>
      </c>
      <c r="K2437" t="s">
        <v>22</v>
      </c>
      <c r="L2437" t="s">
        <v>17</v>
      </c>
      <c r="M2437" t="str">
        <f>REPLACE(Transactions!M2437,1,4,"")</f>
        <v>6</v>
      </c>
    </row>
    <row r="2438" spans="1:13" x14ac:dyDescent="0.2">
      <c r="A2438">
        <v>506299</v>
      </c>
      <c r="B2438" s="5">
        <v>45432</v>
      </c>
      <c r="C2438">
        <v>83730</v>
      </c>
      <c r="D2438" t="str">
        <f>PROPER(Transactions!D2438)</f>
        <v>Clothing</v>
      </c>
      <c r="E2438" t="s">
        <v>181</v>
      </c>
      <c r="F2438" t="s">
        <v>182</v>
      </c>
      <c r="G2438">
        <v>3</v>
      </c>
      <c r="H2438">
        <v>14.99</v>
      </c>
      <c r="I2438" s="7">
        <f>IF(Transactions!I2438="",0,Transactions!I2438)</f>
        <v>0</v>
      </c>
      <c r="J2438" s="9">
        <f t="shared" si="38"/>
        <v>44.97</v>
      </c>
      <c r="K2438" t="s">
        <v>16</v>
      </c>
      <c r="L2438" t="s">
        <v>17</v>
      </c>
      <c r="M2438" t="str">
        <f>REPLACE(Transactions!M2438,1,4,"")</f>
        <v>9</v>
      </c>
    </row>
    <row r="2439" spans="1:13" x14ac:dyDescent="0.2">
      <c r="A2439">
        <v>506465</v>
      </c>
      <c r="B2439" s="5">
        <v>45186</v>
      </c>
      <c r="C2439">
        <v>74743</v>
      </c>
      <c r="D2439" t="str">
        <f>PROPER(Transactions!D2439)</f>
        <v>Furniture</v>
      </c>
      <c r="E2439" t="s">
        <v>26</v>
      </c>
      <c r="F2439" t="s">
        <v>27</v>
      </c>
      <c r="G2439">
        <v>2</v>
      </c>
      <c r="H2439">
        <v>31.49</v>
      </c>
      <c r="I2439" s="7">
        <f>IF(Transactions!I2439="",0,Transactions!I2439)</f>
        <v>0.1</v>
      </c>
      <c r="J2439" s="9">
        <f t="shared" si="38"/>
        <v>56.681999999999995</v>
      </c>
      <c r="K2439" t="s">
        <v>22</v>
      </c>
      <c r="L2439" t="s">
        <v>17</v>
      </c>
      <c r="M2439" t="str">
        <f>REPLACE(Transactions!M2439,1,4,"")</f>
        <v>4</v>
      </c>
    </row>
    <row r="2440" spans="1:13" x14ac:dyDescent="0.2">
      <c r="A2440">
        <v>506722</v>
      </c>
      <c r="B2440" s="5">
        <v>45291</v>
      </c>
      <c r="C2440">
        <v>12389</v>
      </c>
      <c r="D2440" t="str">
        <f>PROPER(Transactions!D2440)</f>
        <v>Furniture</v>
      </c>
      <c r="E2440" t="s">
        <v>51</v>
      </c>
      <c r="F2440" t="s">
        <v>52</v>
      </c>
      <c r="G2440">
        <v>1</v>
      </c>
      <c r="H2440">
        <v>27.99</v>
      </c>
      <c r="I2440" s="7">
        <f>IF(Transactions!I2440="",0,Transactions!I2440)</f>
        <v>0</v>
      </c>
      <c r="J2440" s="9">
        <f t="shared" si="38"/>
        <v>27.99</v>
      </c>
      <c r="K2440" t="s">
        <v>16</v>
      </c>
      <c r="L2440" t="s">
        <v>17</v>
      </c>
      <c r="M2440" t="str">
        <f>REPLACE(Transactions!M2440,1,4,"")</f>
        <v>6</v>
      </c>
    </row>
    <row r="2441" spans="1:13" x14ac:dyDescent="0.2">
      <c r="A2441">
        <v>506773</v>
      </c>
      <c r="B2441" s="5">
        <v>44762</v>
      </c>
      <c r="C2441">
        <v>35336</v>
      </c>
      <c r="D2441" t="str">
        <f>PROPER(Transactions!D2441)</f>
        <v>Home &amp; Garden</v>
      </c>
      <c r="E2441" t="s">
        <v>129</v>
      </c>
      <c r="F2441" t="s">
        <v>130</v>
      </c>
      <c r="G2441">
        <v>2</v>
      </c>
      <c r="H2441">
        <v>6.74</v>
      </c>
      <c r="I2441" s="7">
        <f>IF(Transactions!I2441="",0,Transactions!I2441)</f>
        <v>0.25</v>
      </c>
      <c r="J2441" s="9">
        <f t="shared" si="38"/>
        <v>10.11</v>
      </c>
      <c r="K2441" t="s">
        <v>36</v>
      </c>
      <c r="L2441" t="s">
        <v>23</v>
      </c>
      <c r="M2441" t="str">
        <f>REPLACE(Transactions!M2441,1,4,"")</f>
        <v>5</v>
      </c>
    </row>
    <row r="2442" spans="1:13" x14ac:dyDescent="0.2">
      <c r="A2442">
        <v>506810</v>
      </c>
      <c r="B2442" s="5">
        <v>45227</v>
      </c>
      <c r="C2442">
        <v>80360</v>
      </c>
      <c r="D2442" t="str">
        <f>PROPER(Transactions!D2442)</f>
        <v>Automotive</v>
      </c>
      <c r="E2442" t="s">
        <v>131</v>
      </c>
      <c r="F2442" t="s">
        <v>132</v>
      </c>
      <c r="G2442">
        <v>5</v>
      </c>
      <c r="H2442">
        <v>2.62</v>
      </c>
      <c r="I2442" s="7">
        <f>IF(Transactions!I2442="",0,Transactions!I2442)</f>
        <v>0.25</v>
      </c>
      <c r="J2442" s="9">
        <f t="shared" si="38"/>
        <v>9.8250000000000011</v>
      </c>
      <c r="K2442" t="s">
        <v>36</v>
      </c>
      <c r="L2442" t="s">
        <v>17</v>
      </c>
      <c r="M2442" t="str">
        <f>REPLACE(Transactions!M2442,1,4,"")</f>
        <v>19</v>
      </c>
    </row>
    <row r="2443" spans="1:13" x14ac:dyDescent="0.2">
      <c r="A2443">
        <v>506826</v>
      </c>
      <c r="B2443" s="5">
        <v>45644</v>
      </c>
      <c r="C2443">
        <v>69922</v>
      </c>
      <c r="D2443" t="str">
        <f>PROPER(Transactions!D2443)</f>
        <v>Automotive</v>
      </c>
      <c r="E2443" t="s">
        <v>64</v>
      </c>
      <c r="F2443" t="s">
        <v>65</v>
      </c>
      <c r="G2443">
        <v>1</v>
      </c>
      <c r="H2443">
        <v>3.74</v>
      </c>
      <c r="I2443" s="7">
        <f>IF(Transactions!I2443="",0,Transactions!I2443)</f>
        <v>0.25</v>
      </c>
      <c r="J2443" s="9">
        <f t="shared" si="38"/>
        <v>2.8050000000000002</v>
      </c>
      <c r="K2443" t="s">
        <v>16</v>
      </c>
      <c r="L2443" t="s">
        <v>17</v>
      </c>
      <c r="M2443" t="str">
        <f>REPLACE(Transactions!M2443,1,4,"")</f>
        <v>8</v>
      </c>
    </row>
    <row r="2444" spans="1:13" x14ac:dyDescent="0.2">
      <c r="A2444">
        <v>507101</v>
      </c>
      <c r="B2444" s="5">
        <v>44604</v>
      </c>
      <c r="C2444">
        <v>47532</v>
      </c>
      <c r="D2444" t="str">
        <f>PROPER(Transactions!D2444)</f>
        <v>Beauty</v>
      </c>
      <c r="E2444" t="s">
        <v>143</v>
      </c>
      <c r="F2444" t="s">
        <v>144</v>
      </c>
      <c r="G2444">
        <v>1</v>
      </c>
      <c r="H2444">
        <v>10.49</v>
      </c>
      <c r="I2444" s="7">
        <f>IF(Transactions!I2444="",0,Transactions!I2444)</f>
        <v>0.3</v>
      </c>
      <c r="J2444" s="9">
        <f t="shared" si="38"/>
        <v>7.343</v>
      </c>
      <c r="K2444" t="s">
        <v>36</v>
      </c>
      <c r="L2444" t="s">
        <v>17</v>
      </c>
      <c r="M2444" t="str">
        <f>REPLACE(Transactions!M2444,1,4,"")</f>
        <v>4</v>
      </c>
    </row>
    <row r="2445" spans="1:13" x14ac:dyDescent="0.2">
      <c r="A2445">
        <v>507535</v>
      </c>
      <c r="B2445" s="5">
        <v>45274</v>
      </c>
      <c r="C2445">
        <v>72771</v>
      </c>
      <c r="D2445" t="str">
        <f>PROPER(Transactions!D2445)</f>
        <v>Sports</v>
      </c>
      <c r="E2445" t="s">
        <v>83</v>
      </c>
      <c r="F2445" t="s">
        <v>84</v>
      </c>
      <c r="G2445">
        <v>4</v>
      </c>
      <c r="H2445">
        <v>16.989999999999998</v>
      </c>
      <c r="I2445" s="7">
        <f>IF(Transactions!I2445="",0,Transactions!I2445)</f>
        <v>0</v>
      </c>
      <c r="J2445" s="9">
        <f t="shared" si="38"/>
        <v>67.959999999999994</v>
      </c>
      <c r="K2445" t="s">
        <v>36</v>
      </c>
      <c r="L2445" t="s">
        <v>17</v>
      </c>
      <c r="M2445" t="str">
        <f>REPLACE(Transactions!M2445,1,4,"")</f>
        <v>7</v>
      </c>
    </row>
    <row r="2446" spans="1:13" x14ac:dyDescent="0.2">
      <c r="A2446">
        <v>507560</v>
      </c>
      <c r="B2446" s="5">
        <v>45169</v>
      </c>
      <c r="C2446">
        <v>98510</v>
      </c>
      <c r="D2446" t="str">
        <f>PROPER(Transactions!D2446)</f>
        <v>Electronics</v>
      </c>
      <c r="E2446" t="s">
        <v>186</v>
      </c>
      <c r="F2446" t="s">
        <v>187</v>
      </c>
      <c r="G2446">
        <v>1</v>
      </c>
      <c r="H2446">
        <v>44.99</v>
      </c>
      <c r="I2446" s="7">
        <f>IF(Transactions!I2446="",0,Transactions!I2446)</f>
        <v>0.1</v>
      </c>
      <c r="J2446" s="9">
        <f t="shared" si="38"/>
        <v>40.491</v>
      </c>
      <c r="K2446" t="s">
        <v>36</v>
      </c>
      <c r="L2446" t="s">
        <v>17</v>
      </c>
      <c r="M2446" t="str">
        <f>REPLACE(Transactions!M2446,1,4,"")</f>
        <v>11</v>
      </c>
    </row>
    <row r="2447" spans="1:13" x14ac:dyDescent="0.2">
      <c r="A2447">
        <v>507683</v>
      </c>
      <c r="B2447" s="5">
        <v>45091</v>
      </c>
      <c r="C2447">
        <v>58806</v>
      </c>
      <c r="D2447" t="str">
        <f>PROPER(Transactions!D2447)</f>
        <v>Toys</v>
      </c>
      <c r="E2447" t="s">
        <v>38</v>
      </c>
      <c r="F2447" t="s">
        <v>39</v>
      </c>
      <c r="G2447">
        <v>1</v>
      </c>
      <c r="H2447">
        <v>22.49</v>
      </c>
      <c r="I2447" s="7">
        <f>IF(Transactions!I2447="",0,Transactions!I2447)</f>
        <v>0.25</v>
      </c>
      <c r="J2447" s="9">
        <f t="shared" si="38"/>
        <v>16.8675</v>
      </c>
      <c r="K2447" t="s">
        <v>22</v>
      </c>
      <c r="L2447" t="s">
        <v>17</v>
      </c>
      <c r="M2447" t="str">
        <f>REPLACE(Transactions!M2447,1,4,"")</f>
        <v>20</v>
      </c>
    </row>
    <row r="2448" spans="1:13" x14ac:dyDescent="0.2">
      <c r="A2448">
        <v>507834</v>
      </c>
      <c r="B2448" s="5">
        <v>45491</v>
      </c>
      <c r="D2448" t="str">
        <f>PROPER(Transactions!D2448)</f>
        <v>Grocery</v>
      </c>
      <c r="E2448" t="s">
        <v>74</v>
      </c>
      <c r="F2448" t="s">
        <v>75</v>
      </c>
      <c r="G2448">
        <v>1</v>
      </c>
      <c r="H2448">
        <v>2.69</v>
      </c>
      <c r="I2448" s="7">
        <f>IF(Transactions!I2448="",0,Transactions!I2448)</f>
        <v>0.1</v>
      </c>
      <c r="J2448" s="9">
        <f t="shared" si="38"/>
        <v>2.4209999999999998</v>
      </c>
      <c r="K2448" t="s">
        <v>16</v>
      </c>
      <c r="L2448" t="s">
        <v>17</v>
      </c>
      <c r="M2448" t="str">
        <f>REPLACE(Transactions!M2448,1,4,"")</f>
        <v>18</v>
      </c>
    </row>
    <row r="2449" spans="1:13" x14ac:dyDescent="0.2">
      <c r="A2449">
        <v>507888</v>
      </c>
      <c r="B2449" s="5">
        <v>45418</v>
      </c>
      <c r="C2449">
        <v>36958</v>
      </c>
      <c r="D2449" t="str">
        <f>PROPER(Transactions!D2449)</f>
        <v>Clothing</v>
      </c>
      <c r="E2449" t="s">
        <v>141</v>
      </c>
      <c r="F2449" t="s">
        <v>142</v>
      </c>
      <c r="G2449">
        <v>3</v>
      </c>
      <c r="H2449">
        <v>17.239999999999998</v>
      </c>
      <c r="I2449" s="7">
        <f>IF(Transactions!I2449="",0,Transactions!I2449)</f>
        <v>0.25</v>
      </c>
      <c r="J2449" s="9">
        <f t="shared" si="38"/>
        <v>38.79</v>
      </c>
      <c r="K2449" t="s">
        <v>16</v>
      </c>
      <c r="L2449" t="s">
        <v>37</v>
      </c>
      <c r="M2449" t="str">
        <f>REPLACE(Transactions!M2449,1,4,"")</f>
        <v>15</v>
      </c>
    </row>
    <row r="2450" spans="1:13" x14ac:dyDescent="0.2">
      <c r="A2450">
        <v>508160</v>
      </c>
      <c r="B2450" s="5">
        <v>44632</v>
      </c>
      <c r="C2450">
        <v>41456</v>
      </c>
      <c r="D2450" t="str">
        <f>PROPER(Transactions!D2450)</f>
        <v>Furniture</v>
      </c>
      <c r="E2450" t="s">
        <v>113</v>
      </c>
      <c r="F2450" t="s">
        <v>114</v>
      </c>
      <c r="G2450">
        <v>2</v>
      </c>
      <c r="H2450">
        <v>89.99</v>
      </c>
      <c r="I2450" s="7">
        <f>IF(Transactions!I2450="",0,Transactions!I2450)</f>
        <v>0.25</v>
      </c>
      <c r="J2450" s="9">
        <f t="shared" si="38"/>
        <v>134.98499999999999</v>
      </c>
      <c r="K2450" t="s">
        <v>95</v>
      </c>
      <c r="L2450" t="s">
        <v>23</v>
      </c>
      <c r="M2450" t="str">
        <f>REPLACE(Transactions!M2450,1,4,"")</f>
        <v>20</v>
      </c>
    </row>
    <row r="2451" spans="1:13" x14ac:dyDescent="0.2">
      <c r="A2451">
        <v>508304</v>
      </c>
      <c r="B2451" s="5">
        <v>44963</v>
      </c>
      <c r="C2451">
        <v>65064</v>
      </c>
      <c r="D2451" t="str">
        <f>PROPER(Transactions!D2451)</f>
        <v>Clothing</v>
      </c>
      <c r="E2451" t="s">
        <v>193</v>
      </c>
      <c r="F2451" t="s">
        <v>194</v>
      </c>
      <c r="G2451">
        <v>1</v>
      </c>
      <c r="H2451">
        <v>64.989999999999995</v>
      </c>
      <c r="I2451" s="7">
        <f>IF(Transactions!I2451="",0,Transactions!I2451)</f>
        <v>0</v>
      </c>
      <c r="J2451" s="9">
        <f t="shared" si="38"/>
        <v>64.989999999999995</v>
      </c>
      <c r="K2451" t="s">
        <v>53</v>
      </c>
      <c r="L2451" t="s">
        <v>17</v>
      </c>
      <c r="M2451" t="str">
        <f>REPLACE(Transactions!M2451,1,4,"")</f>
        <v>8</v>
      </c>
    </row>
    <row r="2452" spans="1:13" x14ac:dyDescent="0.2">
      <c r="A2452">
        <v>508379</v>
      </c>
      <c r="B2452" s="5">
        <v>45643</v>
      </c>
      <c r="C2452">
        <v>59817</v>
      </c>
      <c r="D2452" t="str">
        <f>PROPER(Transactions!D2452)</f>
        <v>Home &amp; Garden</v>
      </c>
      <c r="E2452" t="s">
        <v>157</v>
      </c>
      <c r="F2452" t="s">
        <v>158</v>
      </c>
      <c r="G2452">
        <v>3</v>
      </c>
      <c r="H2452">
        <v>13.49</v>
      </c>
      <c r="I2452" s="7">
        <f>IF(Transactions!I2452="",0,Transactions!I2452)</f>
        <v>0</v>
      </c>
      <c r="J2452" s="9">
        <f t="shared" si="38"/>
        <v>40.47</v>
      </c>
      <c r="K2452" t="s">
        <v>22</v>
      </c>
      <c r="L2452" t="s">
        <v>17</v>
      </c>
      <c r="M2452" t="str">
        <f>REPLACE(Transactions!M2452,1,4,"")</f>
        <v>18</v>
      </c>
    </row>
    <row r="2453" spans="1:13" x14ac:dyDescent="0.2">
      <c r="A2453">
        <v>508926</v>
      </c>
      <c r="B2453" s="5">
        <v>44867</v>
      </c>
      <c r="C2453">
        <v>51497</v>
      </c>
      <c r="D2453" t="str">
        <f>PROPER(Transactions!D2453)</f>
        <v>Electronics</v>
      </c>
      <c r="E2453" t="s">
        <v>127</v>
      </c>
      <c r="F2453" t="s">
        <v>128</v>
      </c>
      <c r="G2453">
        <v>2</v>
      </c>
      <c r="H2453">
        <v>14.99</v>
      </c>
      <c r="I2453" s="7">
        <f>IF(Transactions!I2453="",0,Transactions!I2453)</f>
        <v>0</v>
      </c>
      <c r="J2453" s="9">
        <f t="shared" si="38"/>
        <v>29.98</v>
      </c>
      <c r="K2453" t="s">
        <v>16</v>
      </c>
      <c r="L2453" t="s">
        <v>17</v>
      </c>
      <c r="M2453" t="str">
        <f>REPLACE(Transactions!M2453,1,4,"")</f>
        <v>18</v>
      </c>
    </row>
    <row r="2454" spans="1:13" x14ac:dyDescent="0.2">
      <c r="A2454">
        <v>509035</v>
      </c>
      <c r="B2454" s="5">
        <v>44697</v>
      </c>
      <c r="C2454">
        <v>93831</v>
      </c>
      <c r="D2454" t="str">
        <f>PROPER(Transactions!D2454)</f>
        <v>Beauty</v>
      </c>
      <c r="E2454" t="s">
        <v>49</v>
      </c>
      <c r="F2454" t="s">
        <v>50</v>
      </c>
      <c r="G2454">
        <v>2</v>
      </c>
      <c r="H2454">
        <v>8.09</v>
      </c>
      <c r="I2454" s="7">
        <f>IF(Transactions!I2454="",0,Transactions!I2454)</f>
        <v>0.1</v>
      </c>
      <c r="J2454" s="9">
        <f t="shared" si="38"/>
        <v>14.561999999999999</v>
      </c>
      <c r="K2454" t="s">
        <v>16</v>
      </c>
      <c r="L2454" t="s">
        <v>17</v>
      </c>
      <c r="M2454" t="str">
        <f>REPLACE(Transactions!M2454,1,4,"")</f>
        <v>11</v>
      </c>
    </row>
    <row r="2455" spans="1:13" x14ac:dyDescent="0.2">
      <c r="A2455">
        <v>509150</v>
      </c>
      <c r="B2455" s="5">
        <v>45252</v>
      </c>
      <c r="C2455">
        <v>81873</v>
      </c>
      <c r="D2455" t="str">
        <f>PROPER(Transactions!D2455)</f>
        <v>Pharmacy</v>
      </c>
      <c r="E2455" t="s">
        <v>58</v>
      </c>
      <c r="F2455" t="s">
        <v>59</v>
      </c>
      <c r="G2455">
        <v>3</v>
      </c>
      <c r="H2455">
        <v>3.39</v>
      </c>
      <c r="I2455" s="7">
        <f>IF(Transactions!I2455="",0,Transactions!I2455)</f>
        <v>0.15</v>
      </c>
      <c r="J2455" s="9">
        <f t="shared" si="38"/>
        <v>8.644499999999999</v>
      </c>
      <c r="K2455" t="s">
        <v>16</v>
      </c>
      <c r="L2455" t="s">
        <v>23</v>
      </c>
      <c r="M2455" t="str">
        <f>REPLACE(Transactions!M2455,1,4,"")</f>
        <v>19</v>
      </c>
    </row>
    <row r="2456" spans="1:13" x14ac:dyDescent="0.2">
      <c r="A2456">
        <v>509320</v>
      </c>
      <c r="B2456" s="5">
        <v>44867</v>
      </c>
      <c r="C2456">
        <v>63504</v>
      </c>
      <c r="D2456" t="str">
        <f>PROPER(Transactions!D2456)</f>
        <v>Sports</v>
      </c>
      <c r="E2456" t="s">
        <v>188</v>
      </c>
      <c r="F2456" t="s">
        <v>189</v>
      </c>
      <c r="G2456">
        <v>1</v>
      </c>
      <c r="H2456">
        <v>35.99</v>
      </c>
      <c r="I2456" s="7">
        <f>IF(Transactions!I2456="",0,Transactions!I2456)</f>
        <v>0.2</v>
      </c>
      <c r="J2456" s="9">
        <f t="shared" si="38"/>
        <v>28.792000000000002</v>
      </c>
      <c r="K2456" t="s">
        <v>36</v>
      </c>
      <c r="L2456" t="s">
        <v>17</v>
      </c>
      <c r="M2456" t="str">
        <f>REPLACE(Transactions!M2456,1,4,"")</f>
        <v>13</v>
      </c>
    </row>
    <row r="2457" spans="1:13" x14ac:dyDescent="0.2">
      <c r="A2457">
        <v>509409</v>
      </c>
      <c r="B2457" s="5">
        <v>44798</v>
      </c>
      <c r="C2457">
        <v>22609</v>
      </c>
      <c r="D2457" t="str">
        <f>PROPER(Transactions!D2457)</f>
        <v>Furniture</v>
      </c>
      <c r="E2457" t="s">
        <v>26</v>
      </c>
      <c r="F2457" t="s">
        <v>27</v>
      </c>
      <c r="G2457">
        <v>2</v>
      </c>
      <c r="H2457">
        <v>29.74</v>
      </c>
      <c r="I2457" s="7">
        <f>IF(Transactions!I2457="",0,Transactions!I2457)</f>
        <v>0.15</v>
      </c>
      <c r="J2457" s="9">
        <f t="shared" si="38"/>
        <v>50.557999999999993</v>
      </c>
      <c r="K2457" t="s">
        <v>36</v>
      </c>
      <c r="L2457" t="s">
        <v>23</v>
      </c>
      <c r="M2457" t="str">
        <f>REPLACE(Transactions!M2457,1,4,"")</f>
        <v>13</v>
      </c>
    </row>
    <row r="2458" spans="1:13" x14ac:dyDescent="0.2">
      <c r="A2458">
        <v>509600</v>
      </c>
      <c r="B2458" s="5">
        <v>44598</v>
      </c>
      <c r="C2458">
        <v>87317</v>
      </c>
      <c r="D2458" t="str">
        <f>PROPER(Transactions!D2458)</f>
        <v>Clothing</v>
      </c>
      <c r="E2458" t="s">
        <v>121</v>
      </c>
      <c r="F2458" t="s">
        <v>122</v>
      </c>
      <c r="G2458">
        <v>1</v>
      </c>
      <c r="H2458">
        <v>12.34</v>
      </c>
      <c r="I2458" s="7">
        <f>IF(Transactions!I2458="",0,Transactions!I2458)</f>
        <v>0.05</v>
      </c>
      <c r="J2458" s="9">
        <f t="shared" si="38"/>
        <v>11.722999999999999</v>
      </c>
      <c r="K2458" t="s">
        <v>16</v>
      </c>
      <c r="L2458" t="s">
        <v>17</v>
      </c>
      <c r="M2458" t="str">
        <f>REPLACE(Transactions!M2458,1,4,"")</f>
        <v>17</v>
      </c>
    </row>
    <row r="2459" spans="1:13" x14ac:dyDescent="0.2">
      <c r="A2459">
        <v>509718</v>
      </c>
      <c r="B2459" s="5">
        <v>45464</v>
      </c>
      <c r="C2459">
        <v>28314</v>
      </c>
      <c r="D2459" t="str">
        <f>PROPER(Transactions!D2459)</f>
        <v>Toys</v>
      </c>
      <c r="E2459" t="s">
        <v>88</v>
      </c>
      <c r="F2459" t="s">
        <v>89</v>
      </c>
      <c r="G2459">
        <v>2</v>
      </c>
      <c r="H2459">
        <v>37.49</v>
      </c>
      <c r="I2459" s="7">
        <f>IF(Transactions!I2459="",0,Transactions!I2459)</f>
        <v>0.25</v>
      </c>
      <c r="J2459" s="9">
        <f t="shared" si="38"/>
        <v>56.234999999999999</v>
      </c>
      <c r="K2459" t="s">
        <v>36</v>
      </c>
      <c r="L2459" t="s">
        <v>37</v>
      </c>
      <c r="M2459" t="str">
        <f>REPLACE(Transactions!M2459,1,4,"")</f>
        <v/>
      </c>
    </row>
    <row r="2460" spans="1:13" x14ac:dyDescent="0.2">
      <c r="A2460">
        <v>510061</v>
      </c>
      <c r="B2460" s="5">
        <v>44656</v>
      </c>
      <c r="C2460">
        <v>26952</v>
      </c>
      <c r="D2460" t="str">
        <f>PROPER(Transactions!D2460)</f>
        <v>Pharmacy</v>
      </c>
      <c r="E2460" t="s">
        <v>41</v>
      </c>
      <c r="F2460" t="s">
        <v>42</v>
      </c>
      <c r="G2460">
        <v>2</v>
      </c>
      <c r="H2460">
        <v>5.69</v>
      </c>
      <c r="I2460" s="7">
        <f>IF(Transactions!I2460="",0,Transactions!I2460)</f>
        <v>0.05</v>
      </c>
      <c r="J2460" s="9">
        <f t="shared" si="38"/>
        <v>10.811</v>
      </c>
      <c r="K2460" t="s">
        <v>16</v>
      </c>
      <c r="L2460" t="s">
        <v>17</v>
      </c>
      <c r="M2460" t="str">
        <f>REPLACE(Transactions!M2460,1,4,"")</f>
        <v>14</v>
      </c>
    </row>
    <row r="2461" spans="1:13" x14ac:dyDescent="0.2">
      <c r="A2461">
        <v>510372</v>
      </c>
      <c r="B2461" s="5">
        <v>44969</v>
      </c>
      <c r="C2461">
        <v>42420</v>
      </c>
      <c r="D2461" t="str">
        <f>PROPER(Transactions!D2461)</f>
        <v>Pharmacy</v>
      </c>
      <c r="E2461" t="s">
        <v>58</v>
      </c>
      <c r="F2461" t="s">
        <v>59</v>
      </c>
      <c r="G2461">
        <v>2</v>
      </c>
      <c r="H2461">
        <v>2.79</v>
      </c>
      <c r="I2461" s="7">
        <f>IF(Transactions!I2461="",0,Transactions!I2461)</f>
        <v>0.3</v>
      </c>
      <c r="J2461" s="9">
        <f t="shared" si="38"/>
        <v>3.9059999999999997</v>
      </c>
      <c r="K2461" t="s">
        <v>16</v>
      </c>
      <c r="L2461" t="s">
        <v>17</v>
      </c>
      <c r="M2461" t="str">
        <f>REPLACE(Transactions!M2461,1,4,"")</f>
        <v>3</v>
      </c>
    </row>
    <row r="2462" spans="1:13" x14ac:dyDescent="0.2">
      <c r="A2462">
        <v>510661</v>
      </c>
      <c r="B2462" s="5">
        <v>45414</v>
      </c>
      <c r="C2462">
        <v>13840</v>
      </c>
      <c r="D2462" t="str">
        <f>PROPER(Transactions!D2462)</f>
        <v>Beauty</v>
      </c>
      <c r="E2462" t="s">
        <v>179</v>
      </c>
      <c r="F2462" t="s">
        <v>180</v>
      </c>
      <c r="G2462">
        <v>1</v>
      </c>
      <c r="H2462">
        <v>8.99</v>
      </c>
      <c r="I2462" s="7">
        <f>IF(Transactions!I2462="",0,Transactions!I2462)</f>
        <v>0.25</v>
      </c>
      <c r="J2462" s="9">
        <f t="shared" si="38"/>
        <v>6.7424999999999997</v>
      </c>
      <c r="K2462" t="s">
        <v>16</v>
      </c>
      <c r="L2462" t="s">
        <v>17</v>
      </c>
      <c r="M2462" t="str">
        <f>REPLACE(Transactions!M2462,1,4,"")</f>
        <v>14</v>
      </c>
    </row>
    <row r="2463" spans="1:13" x14ac:dyDescent="0.2">
      <c r="A2463">
        <v>510720</v>
      </c>
      <c r="B2463" s="5">
        <v>44865</v>
      </c>
      <c r="C2463">
        <v>54974</v>
      </c>
      <c r="D2463" t="str">
        <f>PROPER(Transactions!D2463)</f>
        <v>Sports</v>
      </c>
      <c r="E2463" t="s">
        <v>168</v>
      </c>
      <c r="F2463" t="s">
        <v>169</v>
      </c>
      <c r="G2463">
        <v>1</v>
      </c>
      <c r="H2463">
        <v>8.99</v>
      </c>
      <c r="I2463" s="7">
        <f>IF(Transactions!I2463="",0,Transactions!I2463)</f>
        <v>0</v>
      </c>
      <c r="J2463" s="9">
        <f t="shared" si="38"/>
        <v>8.99</v>
      </c>
      <c r="K2463" t="s">
        <v>36</v>
      </c>
      <c r="L2463" t="s">
        <v>17</v>
      </c>
      <c r="M2463" t="str">
        <f>REPLACE(Transactions!M2463,1,4,"")</f>
        <v>18</v>
      </c>
    </row>
    <row r="2464" spans="1:13" x14ac:dyDescent="0.2">
      <c r="A2464">
        <v>510918</v>
      </c>
      <c r="B2464" s="5">
        <v>45127</v>
      </c>
      <c r="C2464">
        <v>36610</v>
      </c>
      <c r="D2464" t="str">
        <f>PROPER(Transactions!D2464)</f>
        <v>Electronics</v>
      </c>
      <c r="E2464" t="s">
        <v>186</v>
      </c>
      <c r="F2464" t="s">
        <v>187</v>
      </c>
      <c r="G2464">
        <v>2</v>
      </c>
      <c r="H2464">
        <v>49.99</v>
      </c>
      <c r="I2464" s="7">
        <f>IF(Transactions!I2464="",0,Transactions!I2464)</f>
        <v>0</v>
      </c>
      <c r="J2464" s="9">
        <f t="shared" si="38"/>
        <v>99.98</v>
      </c>
      <c r="K2464" t="s">
        <v>32</v>
      </c>
      <c r="L2464" t="s">
        <v>17</v>
      </c>
      <c r="M2464" t="str">
        <f>REPLACE(Transactions!M2464,1,4,"")</f>
        <v>19</v>
      </c>
    </row>
    <row r="2465" spans="1:13" x14ac:dyDescent="0.2">
      <c r="A2465">
        <v>511016</v>
      </c>
      <c r="B2465" s="5">
        <v>44770</v>
      </c>
      <c r="C2465">
        <v>57729</v>
      </c>
      <c r="D2465" t="str">
        <f>PROPER(Transactions!D2465)</f>
        <v>Toys</v>
      </c>
      <c r="E2465" t="s">
        <v>72</v>
      </c>
      <c r="F2465" t="s">
        <v>73</v>
      </c>
      <c r="G2465">
        <v>2</v>
      </c>
      <c r="H2465">
        <v>27.99</v>
      </c>
      <c r="I2465" s="7">
        <f>IF(Transactions!I2465="",0,Transactions!I2465)</f>
        <v>0.3</v>
      </c>
      <c r="J2465" s="9">
        <f t="shared" si="38"/>
        <v>39.185999999999993</v>
      </c>
      <c r="K2465" t="s">
        <v>95</v>
      </c>
      <c r="L2465" t="s">
        <v>37</v>
      </c>
      <c r="M2465" t="str">
        <f>REPLACE(Transactions!M2465,1,4,"")</f>
        <v>16</v>
      </c>
    </row>
    <row r="2466" spans="1:13" x14ac:dyDescent="0.2">
      <c r="A2466">
        <v>511070</v>
      </c>
      <c r="B2466" s="5">
        <v>45433</v>
      </c>
      <c r="D2466" t="str">
        <f>PROPER(Transactions!D2466)</f>
        <v>Grocery</v>
      </c>
      <c r="E2466" t="s">
        <v>195</v>
      </c>
      <c r="F2466" t="s">
        <v>196</v>
      </c>
      <c r="G2466">
        <v>5</v>
      </c>
      <c r="H2466">
        <v>3.49</v>
      </c>
      <c r="I2466" s="7">
        <f>IF(Transactions!I2466="",0,Transactions!I2466)</f>
        <v>0.3</v>
      </c>
      <c r="J2466" s="9">
        <f t="shared" si="38"/>
        <v>12.215000000000002</v>
      </c>
      <c r="K2466" t="s">
        <v>22</v>
      </c>
      <c r="L2466" t="s">
        <v>37</v>
      </c>
      <c r="M2466" t="str">
        <f>REPLACE(Transactions!M2466,1,4,"")</f>
        <v>9</v>
      </c>
    </row>
    <row r="2467" spans="1:13" x14ac:dyDescent="0.2">
      <c r="A2467">
        <v>511180</v>
      </c>
      <c r="B2467" s="5">
        <v>45198</v>
      </c>
      <c r="C2467">
        <v>66548</v>
      </c>
      <c r="D2467" t="str">
        <f>PROPER(Transactions!D2467)</f>
        <v>Pharmacy</v>
      </c>
      <c r="E2467" t="s">
        <v>58</v>
      </c>
      <c r="F2467" t="s">
        <v>59</v>
      </c>
      <c r="G2467">
        <v>2</v>
      </c>
      <c r="H2467">
        <v>3.59</v>
      </c>
      <c r="I2467" s="7">
        <f>IF(Transactions!I2467="",0,Transactions!I2467)</f>
        <v>0.1</v>
      </c>
      <c r="J2467" s="9">
        <f t="shared" si="38"/>
        <v>6.4619999999999997</v>
      </c>
      <c r="K2467" t="s">
        <v>36</v>
      </c>
      <c r="L2467" t="s">
        <v>17</v>
      </c>
      <c r="M2467" t="str">
        <f>REPLACE(Transactions!M2467,1,4,"")</f>
        <v>16</v>
      </c>
    </row>
    <row r="2468" spans="1:13" x14ac:dyDescent="0.2">
      <c r="A2468">
        <v>511227</v>
      </c>
      <c r="B2468" s="5">
        <v>44955</v>
      </c>
      <c r="C2468">
        <v>32756</v>
      </c>
      <c r="D2468" t="str">
        <f>PROPER(Transactions!D2468)</f>
        <v>Furniture</v>
      </c>
      <c r="E2468" t="s">
        <v>70</v>
      </c>
      <c r="F2468" t="s">
        <v>71</v>
      </c>
      <c r="G2468">
        <v>1</v>
      </c>
      <c r="H2468">
        <v>67.489999999999995</v>
      </c>
      <c r="I2468" s="7">
        <f>IF(Transactions!I2468="",0,Transactions!I2468)</f>
        <v>0.25</v>
      </c>
      <c r="J2468" s="9">
        <f t="shared" si="38"/>
        <v>50.617499999999993</v>
      </c>
      <c r="K2468" t="s">
        <v>16</v>
      </c>
      <c r="L2468" t="s">
        <v>37</v>
      </c>
      <c r="M2468" t="str">
        <f>REPLACE(Transactions!M2468,1,4,"")</f>
        <v>11</v>
      </c>
    </row>
    <row r="2469" spans="1:13" x14ac:dyDescent="0.2">
      <c r="A2469">
        <v>511338</v>
      </c>
      <c r="B2469" s="5">
        <v>45430</v>
      </c>
      <c r="C2469">
        <v>32962</v>
      </c>
      <c r="D2469" t="str">
        <f>PROPER(Transactions!D2469)</f>
        <v>Home &amp; Garden</v>
      </c>
      <c r="E2469" t="s">
        <v>149</v>
      </c>
      <c r="F2469" t="s">
        <v>150</v>
      </c>
      <c r="G2469">
        <v>2</v>
      </c>
      <c r="H2469">
        <v>15.99</v>
      </c>
      <c r="I2469" s="7">
        <f>IF(Transactions!I2469="",0,Transactions!I2469)</f>
        <v>0.2</v>
      </c>
      <c r="J2469" s="9">
        <f t="shared" si="38"/>
        <v>25.584000000000003</v>
      </c>
      <c r="K2469" t="s">
        <v>16</v>
      </c>
      <c r="L2469" t="s">
        <v>23</v>
      </c>
      <c r="M2469" t="str">
        <f>REPLACE(Transactions!M2469,1,4,"")</f>
        <v>16</v>
      </c>
    </row>
    <row r="2470" spans="1:13" x14ac:dyDescent="0.2">
      <c r="A2470">
        <v>511472</v>
      </c>
      <c r="B2470" s="5">
        <v>44583</v>
      </c>
      <c r="C2470">
        <v>83318</v>
      </c>
      <c r="D2470" t="str">
        <f>PROPER(Transactions!D2470)</f>
        <v>Beauty</v>
      </c>
      <c r="E2470" t="s">
        <v>118</v>
      </c>
      <c r="F2470" t="s">
        <v>119</v>
      </c>
      <c r="G2470">
        <v>4</v>
      </c>
      <c r="H2470">
        <v>4.99</v>
      </c>
      <c r="I2470" s="7">
        <f>IF(Transactions!I2470="",0,Transactions!I2470)</f>
        <v>0</v>
      </c>
      <c r="J2470" s="9">
        <f t="shared" si="38"/>
        <v>19.96</v>
      </c>
      <c r="K2470" t="s">
        <v>36</v>
      </c>
      <c r="L2470" t="s">
        <v>37</v>
      </c>
      <c r="M2470" t="str">
        <f>REPLACE(Transactions!M2470,1,4,"")</f>
        <v>10</v>
      </c>
    </row>
    <row r="2471" spans="1:13" x14ac:dyDescent="0.2">
      <c r="A2471">
        <v>511876</v>
      </c>
      <c r="B2471" s="5">
        <v>45191</v>
      </c>
      <c r="C2471">
        <v>32467</v>
      </c>
      <c r="D2471" t="str">
        <f>PROPER(Transactions!D2471)</f>
        <v>Beauty</v>
      </c>
      <c r="E2471" t="s">
        <v>143</v>
      </c>
      <c r="F2471" t="s">
        <v>144</v>
      </c>
      <c r="G2471">
        <v>5</v>
      </c>
      <c r="H2471">
        <v>11.24</v>
      </c>
      <c r="I2471" s="7">
        <f>IF(Transactions!I2471="",0,Transactions!I2471)</f>
        <v>0.25</v>
      </c>
      <c r="J2471" s="9">
        <f t="shared" si="38"/>
        <v>42.150000000000006</v>
      </c>
      <c r="K2471" t="s">
        <v>32</v>
      </c>
      <c r="L2471" t="s">
        <v>17</v>
      </c>
      <c r="M2471" t="str">
        <f>REPLACE(Transactions!M2471,1,4,"")</f>
        <v>20</v>
      </c>
    </row>
    <row r="2472" spans="1:13" x14ac:dyDescent="0.2">
      <c r="A2472">
        <v>511893</v>
      </c>
      <c r="B2472" s="5">
        <v>44958</v>
      </c>
      <c r="C2472">
        <v>17354</v>
      </c>
      <c r="D2472" t="str">
        <f>PROPER(Transactions!D2472)</f>
        <v>Sports</v>
      </c>
      <c r="E2472" t="s">
        <v>83</v>
      </c>
      <c r="F2472" t="s">
        <v>84</v>
      </c>
      <c r="G2472">
        <v>2</v>
      </c>
      <c r="H2472">
        <v>16.14</v>
      </c>
      <c r="I2472" s="7">
        <f>IF(Transactions!I2472="",0,Transactions!I2472)</f>
        <v>0</v>
      </c>
      <c r="J2472" s="9">
        <f t="shared" si="38"/>
        <v>32.28</v>
      </c>
      <c r="K2472" t="s">
        <v>95</v>
      </c>
      <c r="L2472" t="s">
        <v>17</v>
      </c>
      <c r="M2472" t="str">
        <f>REPLACE(Transactions!M2472,1,4,"")</f>
        <v>13</v>
      </c>
    </row>
    <row r="2473" spans="1:13" x14ac:dyDescent="0.2">
      <c r="A2473">
        <v>511999</v>
      </c>
      <c r="B2473" s="5">
        <v>45266</v>
      </c>
      <c r="C2473">
        <v>31715</v>
      </c>
      <c r="D2473" t="str">
        <f>PROPER(Transactions!D2473)</f>
        <v>Automotive</v>
      </c>
      <c r="E2473" t="s">
        <v>68</v>
      </c>
      <c r="F2473" t="s">
        <v>69</v>
      </c>
      <c r="G2473">
        <v>4</v>
      </c>
      <c r="H2473">
        <v>18.739999999999998</v>
      </c>
      <c r="I2473" s="7">
        <f>IF(Transactions!I2473="",0,Transactions!I2473)</f>
        <v>0.25</v>
      </c>
      <c r="J2473" s="9">
        <f t="shared" si="38"/>
        <v>56.22</v>
      </c>
      <c r="K2473" t="s">
        <v>36</v>
      </c>
      <c r="L2473" t="s">
        <v>37</v>
      </c>
      <c r="M2473" t="str">
        <f>REPLACE(Transactions!M2473,1,4,"")</f>
        <v>6</v>
      </c>
    </row>
    <row r="2474" spans="1:13" x14ac:dyDescent="0.2">
      <c r="A2474">
        <v>512279</v>
      </c>
      <c r="B2474" s="5">
        <v>44818</v>
      </c>
      <c r="C2474">
        <v>42181</v>
      </c>
      <c r="D2474" t="str">
        <f>PROPER(Transactions!D2474)</f>
        <v>Electronics</v>
      </c>
      <c r="E2474" t="s">
        <v>127</v>
      </c>
      <c r="F2474" t="s">
        <v>128</v>
      </c>
      <c r="G2474">
        <v>2</v>
      </c>
      <c r="H2474">
        <v>19.989999999999998</v>
      </c>
      <c r="I2474" s="7">
        <f>IF(Transactions!I2474="",0,Transactions!I2474)</f>
        <v>0</v>
      </c>
      <c r="J2474" s="9">
        <f t="shared" si="38"/>
        <v>39.979999999999997</v>
      </c>
      <c r="K2474" t="s">
        <v>16</v>
      </c>
      <c r="L2474" t="s">
        <v>37</v>
      </c>
      <c r="M2474" t="str">
        <f>REPLACE(Transactions!M2474,1,4,"")</f>
        <v>8</v>
      </c>
    </row>
    <row r="2475" spans="1:13" x14ac:dyDescent="0.2">
      <c r="A2475">
        <v>512442</v>
      </c>
      <c r="B2475" s="5">
        <v>44570</v>
      </c>
      <c r="C2475">
        <v>21256</v>
      </c>
      <c r="D2475" t="str">
        <f>PROPER(Transactions!D2475)</f>
        <v>Beauty</v>
      </c>
      <c r="E2475" t="s">
        <v>49</v>
      </c>
      <c r="F2475" t="s">
        <v>50</v>
      </c>
      <c r="G2475">
        <v>1</v>
      </c>
      <c r="H2475">
        <v>6.29</v>
      </c>
      <c r="I2475" s="7">
        <f>IF(Transactions!I2475="",0,Transactions!I2475)</f>
        <v>0.3</v>
      </c>
      <c r="J2475" s="9">
        <f t="shared" si="38"/>
        <v>4.4029999999999996</v>
      </c>
      <c r="K2475" t="s">
        <v>36</v>
      </c>
      <c r="L2475" t="s">
        <v>17</v>
      </c>
      <c r="M2475" t="str">
        <f>REPLACE(Transactions!M2475,1,4,"")</f>
        <v>7</v>
      </c>
    </row>
    <row r="2476" spans="1:13" x14ac:dyDescent="0.2">
      <c r="A2476">
        <v>512529</v>
      </c>
      <c r="B2476" s="5">
        <v>45341</v>
      </c>
      <c r="C2476">
        <v>85797</v>
      </c>
      <c r="D2476" t="str">
        <f>PROPER(Transactions!D2476)</f>
        <v>Home &amp; Garden</v>
      </c>
      <c r="E2476" t="s">
        <v>129</v>
      </c>
      <c r="F2476" t="s">
        <v>130</v>
      </c>
      <c r="G2476">
        <v>1</v>
      </c>
      <c r="H2476">
        <v>8.99</v>
      </c>
      <c r="I2476" s="7">
        <f>IF(Transactions!I2476="",0,Transactions!I2476)</f>
        <v>0</v>
      </c>
      <c r="J2476" s="9">
        <f t="shared" si="38"/>
        <v>8.99</v>
      </c>
      <c r="K2476" t="s">
        <v>16</v>
      </c>
      <c r="L2476" t="s">
        <v>17</v>
      </c>
      <c r="M2476" t="str">
        <f>REPLACE(Transactions!M2476,1,4,"")</f>
        <v>5</v>
      </c>
    </row>
    <row r="2477" spans="1:13" x14ac:dyDescent="0.2">
      <c r="A2477">
        <v>512807</v>
      </c>
      <c r="B2477" s="5">
        <v>45031</v>
      </c>
      <c r="C2477">
        <v>68833</v>
      </c>
      <c r="D2477" t="str">
        <f>PROPER(Transactions!D2477)</f>
        <v>Electronics</v>
      </c>
      <c r="E2477" t="s">
        <v>159</v>
      </c>
      <c r="F2477" t="s">
        <v>160</v>
      </c>
      <c r="G2477">
        <v>3</v>
      </c>
      <c r="H2477">
        <v>47.99</v>
      </c>
      <c r="I2477" s="7">
        <f>IF(Transactions!I2477="",0,Transactions!I2477)</f>
        <v>0.2</v>
      </c>
      <c r="J2477" s="9">
        <f t="shared" si="38"/>
        <v>115.176</v>
      </c>
      <c r="K2477" t="s">
        <v>16</v>
      </c>
      <c r="L2477" t="s">
        <v>37</v>
      </c>
      <c r="M2477" t="str">
        <f>REPLACE(Transactions!M2477,1,4,"")</f>
        <v>12</v>
      </c>
    </row>
    <row r="2478" spans="1:13" x14ac:dyDescent="0.2">
      <c r="A2478">
        <v>513688</v>
      </c>
      <c r="B2478" s="5">
        <v>44905</v>
      </c>
      <c r="C2478">
        <v>97884</v>
      </c>
      <c r="D2478" t="str">
        <f>PROPER(Transactions!D2478)</f>
        <v>Sports</v>
      </c>
      <c r="E2478" t="s">
        <v>100</v>
      </c>
      <c r="F2478" t="s">
        <v>101</v>
      </c>
      <c r="G2478">
        <v>1</v>
      </c>
      <c r="H2478">
        <v>16.09</v>
      </c>
      <c r="I2478" s="7">
        <f>IF(Transactions!I2478="",0,Transactions!I2478)</f>
        <v>0.3</v>
      </c>
      <c r="J2478" s="9">
        <f t="shared" si="38"/>
        <v>11.263</v>
      </c>
      <c r="K2478" t="s">
        <v>16</v>
      </c>
      <c r="L2478" t="s">
        <v>37</v>
      </c>
      <c r="M2478" t="str">
        <f>REPLACE(Transactions!M2478,1,4,"")</f>
        <v>3</v>
      </c>
    </row>
    <row r="2479" spans="1:13" x14ac:dyDescent="0.2">
      <c r="A2479">
        <v>513837</v>
      </c>
      <c r="B2479" s="5">
        <v>45469</v>
      </c>
      <c r="C2479">
        <v>62309</v>
      </c>
      <c r="D2479" t="str">
        <f>PROPER(Transactions!D2479)</f>
        <v>Automotive</v>
      </c>
      <c r="E2479" t="s">
        <v>68</v>
      </c>
      <c r="F2479" t="s">
        <v>69</v>
      </c>
      <c r="G2479">
        <v>1</v>
      </c>
      <c r="H2479">
        <v>24.99</v>
      </c>
      <c r="I2479" s="7">
        <f>IF(Transactions!I2479="",0,Transactions!I2479)</f>
        <v>0</v>
      </c>
      <c r="J2479" s="9">
        <f t="shared" si="38"/>
        <v>24.99</v>
      </c>
      <c r="K2479" t="s">
        <v>16</v>
      </c>
      <c r="L2479" t="s">
        <v>37</v>
      </c>
      <c r="M2479" t="str">
        <f>REPLACE(Transactions!M2479,1,4,"")</f>
        <v>5</v>
      </c>
    </row>
    <row r="2480" spans="1:13" x14ac:dyDescent="0.2">
      <c r="A2480">
        <v>513907</v>
      </c>
      <c r="B2480" s="5">
        <v>45014</v>
      </c>
      <c r="C2480">
        <v>17247</v>
      </c>
      <c r="D2480" t="str">
        <f>PROPER(Transactions!D2480)</f>
        <v>Clothing</v>
      </c>
      <c r="E2480" t="s">
        <v>141</v>
      </c>
      <c r="F2480" t="s">
        <v>142</v>
      </c>
      <c r="G2480">
        <v>1</v>
      </c>
      <c r="H2480">
        <v>19.54</v>
      </c>
      <c r="I2480" s="7">
        <f>IF(Transactions!I2480="",0,Transactions!I2480)</f>
        <v>0.15</v>
      </c>
      <c r="J2480" s="9">
        <f t="shared" si="38"/>
        <v>16.608999999999998</v>
      </c>
      <c r="K2480" t="s">
        <v>36</v>
      </c>
      <c r="L2480" t="s">
        <v>37</v>
      </c>
      <c r="M2480" t="str">
        <f>REPLACE(Transactions!M2480,1,4,"")</f>
        <v>20</v>
      </c>
    </row>
    <row r="2481" spans="1:13" x14ac:dyDescent="0.2">
      <c r="A2481">
        <v>514050</v>
      </c>
      <c r="B2481" s="5">
        <v>45505</v>
      </c>
      <c r="C2481">
        <v>34594</v>
      </c>
      <c r="D2481" t="str">
        <f>PROPER(Transactions!D2481)</f>
        <v>Home &amp; Garden</v>
      </c>
      <c r="E2481" t="s">
        <v>145</v>
      </c>
      <c r="F2481" t="s">
        <v>146</v>
      </c>
      <c r="G2481">
        <v>5</v>
      </c>
      <c r="H2481">
        <v>12.74</v>
      </c>
      <c r="I2481" s="7">
        <f>IF(Transactions!I2481="",0,Transactions!I2481)</f>
        <v>0.25</v>
      </c>
      <c r="J2481" s="9">
        <f t="shared" si="38"/>
        <v>47.775000000000006</v>
      </c>
      <c r="K2481" t="s">
        <v>95</v>
      </c>
      <c r="L2481" t="s">
        <v>23</v>
      </c>
      <c r="M2481" t="str">
        <f>REPLACE(Transactions!M2481,1,4,"")</f>
        <v>9</v>
      </c>
    </row>
    <row r="2482" spans="1:13" x14ac:dyDescent="0.2">
      <c r="A2482">
        <v>514114</v>
      </c>
      <c r="B2482" s="5">
        <v>44576</v>
      </c>
      <c r="C2482">
        <v>85412</v>
      </c>
      <c r="D2482" t="str">
        <f>PROPER(Transactions!D2482)</f>
        <v>Pharmacy</v>
      </c>
      <c r="E2482" t="s">
        <v>58</v>
      </c>
      <c r="F2482" t="s">
        <v>59</v>
      </c>
      <c r="G2482">
        <v>2</v>
      </c>
      <c r="H2482">
        <v>3.59</v>
      </c>
      <c r="I2482" s="7">
        <f>IF(Transactions!I2482="",0,Transactions!I2482)</f>
        <v>0.1</v>
      </c>
      <c r="J2482" s="9">
        <f t="shared" si="38"/>
        <v>6.4619999999999997</v>
      </c>
      <c r="K2482" t="s">
        <v>36</v>
      </c>
      <c r="L2482" t="s">
        <v>17</v>
      </c>
      <c r="M2482" t="str">
        <f>REPLACE(Transactions!M2482,1,4,"")</f>
        <v>16</v>
      </c>
    </row>
    <row r="2483" spans="1:13" x14ac:dyDescent="0.2">
      <c r="A2483">
        <v>514180</v>
      </c>
      <c r="B2483" s="5">
        <v>44811</v>
      </c>
      <c r="C2483">
        <v>30529</v>
      </c>
      <c r="D2483" t="str">
        <f>PROPER(Transactions!D2483)</f>
        <v>Pharmacy</v>
      </c>
      <c r="E2483" t="s">
        <v>20</v>
      </c>
      <c r="F2483" t="s">
        <v>21</v>
      </c>
      <c r="G2483">
        <v>2</v>
      </c>
      <c r="H2483">
        <v>9.49</v>
      </c>
      <c r="I2483" s="7">
        <f>IF(Transactions!I2483="",0,Transactions!I2483)</f>
        <v>0.05</v>
      </c>
      <c r="J2483" s="9">
        <f t="shared" si="38"/>
        <v>18.030999999999999</v>
      </c>
      <c r="K2483" t="s">
        <v>36</v>
      </c>
      <c r="L2483" t="s">
        <v>17</v>
      </c>
      <c r="M2483" t="str">
        <f>REPLACE(Transactions!M2483,1,4,"")</f>
        <v>8</v>
      </c>
    </row>
    <row r="2484" spans="1:13" x14ac:dyDescent="0.2">
      <c r="A2484">
        <v>514328</v>
      </c>
      <c r="B2484" s="5">
        <v>44879</v>
      </c>
      <c r="C2484">
        <v>13548</v>
      </c>
      <c r="D2484" t="str">
        <f>PROPER(Transactions!D2484)</f>
        <v>Beauty</v>
      </c>
      <c r="E2484" t="s">
        <v>49</v>
      </c>
      <c r="F2484" t="s">
        <v>50</v>
      </c>
      <c r="G2484">
        <v>1</v>
      </c>
      <c r="H2484">
        <v>7.19</v>
      </c>
      <c r="I2484" s="7">
        <f>IF(Transactions!I2484="",0,Transactions!I2484)</f>
        <v>0.2</v>
      </c>
      <c r="J2484" s="9">
        <f t="shared" si="38"/>
        <v>5.7520000000000007</v>
      </c>
      <c r="K2484" t="s">
        <v>16</v>
      </c>
      <c r="L2484" t="s">
        <v>17</v>
      </c>
      <c r="M2484" t="str">
        <f>REPLACE(Transactions!M2484,1,4,"")</f>
        <v>20</v>
      </c>
    </row>
    <row r="2485" spans="1:13" x14ac:dyDescent="0.2">
      <c r="A2485">
        <v>514638</v>
      </c>
      <c r="B2485" s="5">
        <v>44686</v>
      </c>
      <c r="D2485" t="str">
        <f>PROPER(Transactions!D2485)</f>
        <v>Furniture</v>
      </c>
      <c r="E2485" t="s">
        <v>60</v>
      </c>
      <c r="F2485" t="s">
        <v>61</v>
      </c>
      <c r="G2485">
        <v>4</v>
      </c>
      <c r="H2485">
        <v>54.99</v>
      </c>
      <c r="I2485" s="7">
        <f>IF(Transactions!I2485="",0,Transactions!I2485)</f>
        <v>0</v>
      </c>
      <c r="J2485" s="9">
        <f t="shared" si="38"/>
        <v>219.96</v>
      </c>
      <c r="K2485" t="s">
        <v>16</v>
      </c>
      <c r="L2485" t="s">
        <v>17</v>
      </c>
      <c r="M2485" t="str">
        <f>REPLACE(Transactions!M2485,1,4,"")</f>
        <v>11</v>
      </c>
    </row>
    <row r="2486" spans="1:13" x14ac:dyDescent="0.2">
      <c r="A2486">
        <v>514727</v>
      </c>
      <c r="B2486" s="5">
        <v>45052</v>
      </c>
      <c r="C2486">
        <v>32219</v>
      </c>
      <c r="D2486" t="str">
        <f>PROPER(Transactions!D2486)</f>
        <v>Furniture</v>
      </c>
      <c r="E2486" t="s">
        <v>70</v>
      </c>
      <c r="F2486" t="s">
        <v>71</v>
      </c>
      <c r="G2486">
        <v>4</v>
      </c>
      <c r="H2486">
        <v>89.99</v>
      </c>
      <c r="I2486" s="7">
        <f>IF(Transactions!I2486="",0,Transactions!I2486)</f>
        <v>0</v>
      </c>
      <c r="J2486" s="9">
        <f t="shared" si="38"/>
        <v>359.96</v>
      </c>
      <c r="K2486" t="s">
        <v>22</v>
      </c>
      <c r="L2486" t="s">
        <v>17</v>
      </c>
      <c r="M2486" t="str">
        <f>REPLACE(Transactions!M2486,1,4,"")</f>
        <v>14</v>
      </c>
    </row>
    <row r="2487" spans="1:13" x14ac:dyDescent="0.2">
      <c r="A2487">
        <v>514853</v>
      </c>
      <c r="B2487" s="5">
        <v>45441</v>
      </c>
      <c r="C2487">
        <v>52597</v>
      </c>
      <c r="D2487" t="str">
        <f>PROPER(Transactions!D2487)</f>
        <v>Beauty</v>
      </c>
      <c r="E2487" t="s">
        <v>118</v>
      </c>
      <c r="F2487" t="s">
        <v>119</v>
      </c>
      <c r="G2487">
        <v>4</v>
      </c>
      <c r="H2487">
        <v>3.74</v>
      </c>
      <c r="I2487" s="7">
        <f>IF(Transactions!I2487="",0,Transactions!I2487)</f>
        <v>0.25</v>
      </c>
      <c r="J2487" s="9">
        <f t="shared" si="38"/>
        <v>11.22</v>
      </c>
      <c r="K2487" t="s">
        <v>16</v>
      </c>
      <c r="L2487" t="s">
        <v>17</v>
      </c>
      <c r="M2487" t="str">
        <f>REPLACE(Transactions!M2487,1,4,"")</f>
        <v>1</v>
      </c>
    </row>
    <row r="2488" spans="1:13" x14ac:dyDescent="0.2">
      <c r="A2488">
        <v>514913</v>
      </c>
      <c r="B2488" s="5">
        <v>44839</v>
      </c>
      <c r="C2488">
        <v>53193</v>
      </c>
      <c r="D2488" t="str">
        <f>PROPER(Transactions!D2488)</f>
        <v>Home &amp; Garden</v>
      </c>
      <c r="E2488" t="s">
        <v>137</v>
      </c>
      <c r="F2488" t="s">
        <v>138</v>
      </c>
      <c r="G2488">
        <v>1</v>
      </c>
      <c r="H2488">
        <v>7.19</v>
      </c>
      <c r="I2488" s="7">
        <f>IF(Transactions!I2488="",0,Transactions!I2488)</f>
        <v>0.1</v>
      </c>
      <c r="J2488" s="9">
        <f t="shared" si="38"/>
        <v>6.4710000000000001</v>
      </c>
      <c r="K2488" t="s">
        <v>32</v>
      </c>
      <c r="L2488" t="s">
        <v>17</v>
      </c>
      <c r="M2488" t="str">
        <f>REPLACE(Transactions!M2488,1,4,"")</f>
        <v>8</v>
      </c>
    </row>
    <row r="2489" spans="1:13" x14ac:dyDescent="0.2">
      <c r="A2489">
        <v>515320</v>
      </c>
      <c r="B2489" s="5">
        <v>44783</v>
      </c>
      <c r="C2489">
        <v>35674</v>
      </c>
      <c r="D2489" t="str">
        <f>PROPER(Transactions!D2489)</f>
        <v>Electronics</v>
      </c>
      <c r="E2489" t="s">
        <v>159</v>
      </c>
      <c r="F2489" t="s">
        <v>160</v>
      </c>
      <c r="G2489">
        <v>2</v>
      </c>
      <c r="H2489">
        <v>44.99</v>
      </c>
      <c r="I2489" s="7">
        <f>IF(Transactions!I2489="",0,Transactions!I2489)</f>
        <v>0.25</v>
      </c>
      <c r="J2489" s="9">
        <f t="shared" si="38"/>
        <v>67.484999999999999</v>
      </c>
      <c r="K2489" t="s">
        <v>36</v>
      </c>
      <c r="L2489" t="s">
        <v>17</v>
      </c>
      <c r="M2489" t="str">
        <f>REPLACE(Transactions!M2489,1,4,"")</f>
        <v>6</v>
      </c>
    </row>
    <row r="2490" spans="1:13" x14ac:dyDescent="0.2">
      <c r="A2490">
        <v>515404</v>
      </c>
      <c r="B2490" s="5">
        <v>45457</v>
      </c>
      <c r="C2490">
        <v>84586</v>
      </c>
      <c r="D2490" t="str">
        <f>PROPER(Transactions!D2490)</f>
        <v>Toys</v>
      </c>
      <c r="E2490" t="s">
        <v>38</v>
      </c>
      <c r="F2490" t="s">
        <v>39</v>
      </c>
      <c r="G2490">
        <v>3</v>
      </c>
      <c r="H2490">
        <v>28.49</v>
      </c>
      <c r="I2490" s="7">
        <f>IF(Transactions!I2490="",0,Transactions!I2490)</f>
        <v>0.05</v>
      </c>
      <c r="J2490" s="9">
        <f t="shared" si="38"/>
        <v>81.1965</v>
      </c>
      <c r="K2490" t="s">
        <v>16</v>
      </c>
      <c r="L2490" t="s">
        <v>37</v>
      </c>
      <c r="M2490" t="str">
        <f>REPLACE(Transactions!M2490,1,4,"")</f>
        <v>6</v>
      </c>
    </row>
    <row r="2491" spans="1:13" x14ac:dyDescent="0.2">
      <c r="A2491">
        <v>515645</v>
      </c>
      <c r="B2491" s="5">
        <v>44917</v>
      </c>
      <c r="C2491">
        <v>82634</v>
      </c>
      <c r="D2491" t="str">
        <f>PROPER(Transactions!D2491)</f>
        <v>Electronics</v>
      </c>
      <c r="E2491" t="s">
        <v>77</v>
      </c>
      <c r="F2491" t="s">
        <v>78</v>
      </c>
      <c r="G2491">
        <v>1</v>
      </c>
      <c r="H2491">
        <v>349.99</v>
      </c>
      <c r="I2491" s="7">
        <f>IF(Transactions!I2491="",0,Transactions!I2491)</f>
        <v>0.3</v>
      </c>
      <c r="J2491" s="9">
        <f t="shared" si="38"/>
        <v>244.99299999999999</v>
      </c>
      <c r="K2491" t="s">
        <v>53</v>
      </c>
      <c r="L2491" t="s">
        <v>37</v>
      </c>
      <c r="M2491" t="str">
        <f>REPLACE(Transactions!M2491,1,4,"")</f>
        <v>18</v>
      </c>
    </row>
    <row r="2492" spans="1:13" x14ac:dyDescent="0.2">
      <c r="A2492">
        <v>516131</v>
      </c>
      <c r="B2492" s="5">
        <v>45423</v>
      </c>
      <c r="C2492">
        <v>50751</v>
      </c>
      <c r="D2492" t="str">
        <f>PROPER(Transactions!D2492)</f>
        <v>Grocery</v>
      </c>
      <c r="E2492" t="s">
        <v>162</v>
      </c>
      <c r="F2492" t="s">
        <v>163</v>
      </c>
      <c r="G2492">
        <v>1</v>
      </c>
      <c r="H2492">
        <v>7.99</v>
      </c>
      <c r="I2492" s="7">
        <f>IF(Transactions!I2492="",0,Transactions!I2492)</f>
        <v>0</v>
      </c>
      <c r="J2492" s="9">
        <f t="shared" si="38"/>
        <v>7.99</v>
      </c>
      <c r="K2492" t="s">
        <v>22</v>
      </c>
      <c r="L2492" t="s">
        <v>17</v>
      </c>
      <c r="M2492" t="str">
        <f>REPLACE(Transactions!M2492,1,4,"")</f>
        <v>15</v>
      </c>
    </row>
    <row r="2493" spans="1:13" x14ac:dyDescent="0.2">
      <c r="A2493">
        <v>516471</v>
      </c>
      <c r="B2493" s="5">
        <v>45340</v>
      </c>
      <c r="C2493">
        <v>95592</v>
      </c>
      <c r="D2493" t="str">
        <f>PROPER(Transactions!D2493)</f>
        <v>Beauty</v>
      </c>
      <c r="E2493" t="s">
        <v>143</v>
      </c>
      <c r="F2493" t="s">
        <v>144</v>
      </c>
      <c r="G2493">
        <v>1</v>
      </c>
      <c r="H2493">
        <v>12.74</v>
      </c>
      <c r="I2493" s="7">
        <f>IF(Transactions!I2493="",0,Transactions!I2493)</f>
        <v>0.15</v>
      </c>
      <c r="J2493" s="9">
        <f t="shared" si="38"/>
        <v>10.829000000000001</v>
      </c>
      <c r="K2493" t="s">
        <v>95</v>
      </c>
      <c r="L2493" t="s">
        <v>17</v>
      </c>
      <c r="M2493" t="str">
        <f>REPLACE(Transactions!M2493,1,4,"")</f>
        <v>8</v>
      </c>
    </row>
    <row r="2494" spans="1:13" x14ac:dyDescent="0.2">
      <c r="A2494">
        <v>516686</v>
      </c>
      <c r="B2494" s="5">
        <v>45538</v>
      </c>
      <c r="C2494">
        <v>70226</v>
      </c>
      <c r="D2494" t="str">
        <f>PROPER(Transactions!D2494)</f>
        <v>Sports</v>
      </c>
      <c r="E2494" t="s">
        <v>83</v>
      </c>
      <c r="F2494" t="s">
        <v>84</v>
      </c>
      <c r="G2494">
        <v>4</v>
      </c>
      <c r="H2494">
        <v>13.59</v>
      </c>
      <c r="I2494" s="7">
        <f>IF(Transactions!I2494="",0,Transactions!I2494)</f>
        <v>0.2</v>
      </c>
      <c r="J2494" s="9">
        <f t="shared" si="38"/>
        <v>43.488</v>
      </c>
      <c r="K2494" t="s">
        <v>22</v>
      </c>
      <c r="L2494" t="s">
        <v>17</v>
      </c>
      <c r="M2494" t="str">
        <f>REPLACE(Transactions!M2494,1,4,"")</f>
        <v>16</v>
      </c>
    </row>
    <row r="2495" spans="1:13" x14ac:dyDescent="0.2">
      <c r="A2495">
        <v>516817</v>
      </c>
      <c r="B2495" s="5">
        <v>45608</v>
      </c>
      <c r="C2495">
        <v>10654</v>
      </c>
      <c r="D2495" t="str">
        <f>PROPER(Transactions!D2495)</f>
        <v>Pharmacy</v>
      </c>
      <c r="E2495" t="s">
        <v>115</v>
      </c>
      <c r="F2495" t="s">
        <v>116</v>
      </c>
      <c r="G2495">
        <v>2</v>
      </c>
      <c r="H2495">
        <v>9.09</v>
      </c>
      <c r="I2495" s="7">
        <f>IF(Transactions!I2495="",0,Transactions!I2495)</f>
        <v>0.3</v>
      </c>
      <c r="J2495" s="9">
        <f t="shared" si="38"/>
        <v>12.725999999999999</v>
      </c>
      <c r="K2495" t="s">
        <v>16</v>
      </c>
      <c r="L2495" t="s">
        <v>17</v>
      </c>
      <c r="M2495" t="str">
        <f>REPLACE(Transactions!M2495,1,4,"")</f>
        <v>5</v>
      </c>
    </row>
    <row r="2496" spans="1:13" x14ac:dyDescent="0.2">
      <c r="A2496">
        <v>516895</v>
      </c>
      <c r="B2496" s="5">
        <v>44598</v>
      </c>
      <c r="C2496">
        <v>32661</v>
      </c>
      <c r="D2496" t="str">
        <f>PROPER(Transactions!D2496)</f>
        <v>Sports</v>
      </c>
      <c r="E2496" t="s">
        <v>83</v>
      </c>
      <c r="F2496" t="s">
        <v>84</v>
      </c>
      <c r="G2496">
        <v>3</v>
      </c>
      <c r="H2496">
        <v>15.29</v>
      </c>
      <c r="I2496" s="7">
        <f>IF(Transactions!I2496="",0,Transactions!I2496)</f>
        <v>0.1</v>
      </c>
      <c r="J2496" s="9">
        <f t="shared" si="38"/>
        <v>41.283000000000001</v>
      </c>
      <c r="K2496" t="s">
        <v>36</v>
      </c>
      <c r="L2496" t="s">
        <v>17</v>
      </c>
      <c r="M2496" t="str">
        <f>REPLACE(Transactions!M2496,1,4,"")</f>
        <v>14</v>
      </c>
    </row>
    <row r="2497" spans="1:13" x14ac:dyDescent="0.2">
      <c r="A2497">
        <v>517153</v>
      </c>
      <c r="B2497" s="5">
        <v>44798</v>
      </c>
      <c r="C2497">
        <v>12339</v>
      </c>
      <c r="D2497" t="str">
        <f>PROPER(Transactions!D2497)</f>
        <v>Electronics</v>
      </c>
      <c r="E2497" t="s">
        <v>14</v>
      </c>
      <c r="F2497" t="s">
        <v>15</v>
      </c>
      <c r="G2497">
        <v>1</v>
      </c>
      <c r="H2497">
        <v>55.99</v>
      </c>
      <c r="I2497" s="7">
        <f>IF(Transactions!I2497="",0,Transactions!I2497)</f>
        <v>0.3</v>
      </c>
      <c r="J2497" s="9">
        <f t="shared" si="38"/>
        <v>39.192999999999998</v>
      </c>
      <c r="K2497" t="s">
        <v>16</v>
      </c>
      <c r="L2497" t="s">
        <v>37</v>
      </c>
      <c r="M2497" t="str">
        <f>REPLACE(Transactions!M2497,1,4,"")</f>
        <v>7</v>
      </c>
    </row>
    <row r="2498" spans="1:13" x14ac:dyDescent="0.2">
      <c r="A2498">
        <v>517162</v>
      </c>
      <c r="B2498" s="5">
        <v>45288</v>
      </c>
      <c r="C2498">
        <v>39522</v>
      </c>
      <c r="D2498" t="str">
        <f>PROPER(Transactions!D2498)</f>
        <v>Home &amp; Garden</v>
      </c>
      <c r="E2498" t="s">
        <v>137</v>
      </c>
      <c r="F2498" t="s">
        <v>138</v>
      </c>
      <c r="G2498">
        <v>1</v>
      </c>
      <c r="H2498">
        <v>6.79</v>
      </c>
      <c r="I2498" s="7">
        <f>IF(Transactions!I2498="",0,Transactions!I2498)</f>
        <v>0.15</v>
      </c>
      <c r="J2498" s="9">
        <f t="shared" si="38"/>
        <v>5.7714999999999996</v>
      </c>
      <c r="K2498" t="s">
        <v>36</v>
      </c>
      <c r="L2498" t="s">
        <v>17</v>
      </c>
      <c r="M2498" t="str">
        <f>REPLACE(Transactions!M2498,1,4,"")</f>
        <v>6</v>
      </c>
    </row>
    <row r="2499" spans="1:13" x14ac:dyDescent="0.2">
      <c r="A2499">
        <v>517307</v>
      </c>
      <c r="B2499" s="5">
        <v>44643</v>
      </c>
      <c r="C2499">
        <v>64451</v>
      </c>
      <c r="D2499" t="str">
        <f>PROPER(Transactions!D2499)</f>
        <v>Electronics</v>
      </c>
      <c r="E2499" t="s">
        <v>186</v>
      </c>
      <c r="F2499" t="s">
        <v>187</v>
      </c>
      <c r="G2499">
        <v>5</v>
      </c>
      <c r="H2499">
        <v>49.99</v>
      </c>
      <c r="I2499" s="7">
        <f>IF(Transactions!I2499="",0,Transactions!I2499)</f>
        <v>0</v>
      </c>
      <c r="J2499" s="9">
        <f t="shared" ref="J2499:J2562" si="39">(H2499*G2499)*(1-I2499)</f>
        <v>249.95000000000002</v>
      </c>
      <c r="K2499" t="s">
        <v>36</v>
      </c>
      <c r="L2499" t="s">
        <v>17</v>
      </c>
      <c r="M2499" t="str">
        <f>REPLACE(Transactions!M2499,1,4,"")</f>
        <v>10</v>
      </c>
    </row>
    <row r="2500" spans="1:13" x14ac:dyDescent="0.2">
      <c r="A2500">
        <v>517480</v>
      </c>
      <c r="B2500" s="5">
        <v>44856</v>
      </c>
      <c r="C2500">
        <v>34660</v>
      </c>
      <c r="D2500" t="str">
        <f>PROPER(Transactions!D2500)</f>
        <v>Home &amp; Garden</v>
      </c>
      <c r="E2500" t="s">
        <v>157</v>
      </c>
      <c r="F2500" t="s">
        <v>158</v>
      </c>
      <c r="G2500">
        <v>2</v>
      </c>
      <c r="H2500">
        <v>10.119999999999999</v>
      </c>
      <c r="I2500" s="7">
        <f>IF(Transactions!I2500="",0,Transactions!I2500)</f>
        <v>0.25</v>
      </c>
      <c r="J2500" s="9">
        <f t="shared" si="39"/>
        <v>15.18</v>
      </c>
      <c r="K2500" t="s">
        <v>36</v>
      </c>
      <c r="L2500" t="s">
        <v>37</v>
      </c>
      <c r="M2500" t="str">
        <f>REPLACE(Transactions!M2500,1,4,"")</f>
        <v>8</v>
      </c>
    </row>
    <row r="2501" spans="1:13" x14ac:dyDescent="0.2">
      <c r="A2501">
        <v>517624</v>
      </c>
      <c r="B2501" s="5">
        <v>45393</v>
      </c>
      <c r="C2501">
        <v>53482</v>
      </c>
      <c r="D2501" t="str">
        <f>PROPER(Transactions!D2501)</f>
        <v>Clothing</v>
      </c>
      <c r="E2501" t="s">
        <v>165</v>
      </c>
      <c r="F2501" t="s">
        <v>166</v>
      </c>
      <c r="G2501">
        <v>2</v>
      </c>
      <c r="H2501">
        <v>71.989999999999995</v>
      </c>
      <c r="I2501" s="7">
        <f>IF(Transactions!I2501="",0,Transactions!I2501)</f>
        <v>0.2</v>
      </c>
      <c r="J2501" s="9">
        <f t="shared" si="39"/>
        <v>115.184</v>
      </c>
      <c r="K2501" t="s">
        <v>16</v>
      </c>
      <c r="L2501" t="s">
        <v>17</v>
      </c>
      <c r="M2501" t="str">
        <f>REPLACE(Transactions!M2501,1,4,"")</f>
        <v>15</v>
      </c>
    </row>
    <row r="2502" spans="1:13" x14ac:dyDescent="0.2">
      <c r="A2502">
        <v>517744</v>
      </c>
      <c r="B2502" s="5">
        <v>45236</v>
      </c>
      <c r="C2502">
        <v>76332</v>
      </c>
      <c r="D2502" t="str">
        <f>PROPER(Transactions!D2502)</f>
        <v>Clothing</v>
      </c>
      <c r="E2502" t="s">
        <v>141</v>
      </c>
      <c r="F2502" t="s">
        <v>142</v>
      </c>
      <c r="G2502">
        <v>1</v>
      </c>
      <c r="H2502">
        <v>22.99</v>
      </c>
      <c r="I2502" s="7">
        <f>IF(Transactions!I2502="",0,Transactions!I2502)</f>
        <v>0</v>
      </c>
      <c r="J2502" s="9">
        <f t="shared" si="39"/>
        <v>22.99</v>
      </c>
      <c r="K2502" t="s">
        <v>32</v>
      </c>
      <c r="L2502" t="s">
        <v>37</v>
      </c>
      <c r="M2502" t="str">
        <f>REPLACE(Transactions!M2502,1,4,"")</f>
        <v>17</v>
      </c>
    </row>
    <row r="2503" spans="1:13" x14ac:dyDescent="0.2">
      <c r="A2503">
        <v>517780</v>
      </c>
      <c r="B2503" s="5">
        <v>44718</v>
      </c>
      <c r="C2503">
        <v>40658</v>
      </c>
      <c r="D2503" t="str">
        <f>PROPER(Transactions!D2503)</f>
        <v>Grocery</v>
      </c>
      <c r="E2503" t="s">
        <v>91</v>
      </c>
      <c r="F2503" t="s">
        <v>92</v>
      </c>
      <c r="G2503">
        <v>2</v>
      </c>
      <c r="H2503">
        <v>4.4000000000000004</v>
      </c>
      <c r="I2503" s="7">
        <f>IF(Transactions!I2503="",0,Transactions!I2503)</f>
        <v>0.3</v>
      </c>
      <c r="J2503" s="9">
        <f t="shared" si="39"/>
        <v>6.16</v>
      </c>
      <c r="K2503" t="s">
        <v>36</v>
      </c>
      <c r="L2503" t="s">
        <v>37</v>
      </c>
      <c r="M2503" t="str">
        <f>REPLACE(Transactions!M2503,1,4,"")</f>
        <v>4</v>
      </c>
    </row>
    <row r="2504" spans="1:13" x14ac:dyDescent="0.2">
      <c r="A2504">
        <v>517917</v>
      </c>
      <c r="B2504" s="5">
        <v>44992</v>
      </c>
      <c r="C2504">
        <v>77203</v>
      </c>
      <c r="D2504" t="str">
        <f>PROPER(Transactions!D2504)</f>
        <v>Beauty</v>
      </c>
      <c r="E2504" t="s">
        <v>139</v>
      </c>
      <c r="F2504" t="s">
        <v>140</v>
      </c>
      <c r="G2504">
        <v>3</v>
      </c>
      <c r="H2504">
        <v>5.59</v>
      </c>
      <c r="I2504" s="7">
        <f>IF(Transactions!I2504="",0,Transactions!I2504)</f>
        <v>0.3</v>
      </c>
      <c r="J2504" s="9">
        <f t="shared" si="39"/>
        <v>11.738999999999999</v>
      </c>
      <c r="K2504" t="s">
        <v>16</v>
      </c>
      <c r="L2504" t="s">
        <v>37</v>
      </c>
      <c r="M2504" t="str">
        <f>REPLACE(Transactions!M2504,1,4,"")</f>
        <v>16</v>
      </c>
    </row>
    <row r="2505" spans="1:13" x14ac:dyDescent="0.2">
      <c r="A2505">
        <v>517992</v>
      </c>
      <c r="B2505" s="5">
        <v>44946</v>
      </c>
      <c r="C2505">
        <v>59905</v>
      </c>
      <c r="D2505" t="str">
        <f>PROPER(Transactions!D2505)</f>
        <v>Pharmacy</v>
      </c>
      <c r="E2505" t="s">
        <v>197</v>
      </c>
      <c r="F2505" t="s">
        <v>198</v>
      </c>
      <c r="G2505">
        <v>2</v>
      </c>
      <c r="H2505">
        <v>10.49</v>
      </c>
      <c r="I2505" s="7">
        <f>IF(Transactions!I2505="",0,Transactions!I2505)</f>
        <v>0.3</v>
      </c>
      <c r="J2505" s="9">
        <f t="shared" si="39"/>
        <v>14.686</v>
      </c>
      <c r="K2505" t="s">
        <v>36</v>
      </c>
      <c r="L2505" t="s">
        <v>17</v>
      </c>
      <c r="M2505" t="str">
        <f>REPLACE(Transactions!M2505,1,4,"")</f>
        <v>12</v>
      </c>
    </row>
    <row r="2506" spans="1:13" x14ac:dyDescent="0.2">
      <c r="A2506">
        <v>518068</v>
      </c>
      <c r="B2506" s="5">
        <v>45199</v>
      </c>
      <c r="C2506">
        <v>36280</v>
      </c>
      <c r="D2506" t="str">
        <f>PROPER(Transactions!D2506)</f>
        <v>Pharmacy</v>
      </c>
      <c r="E2506" t="s">
        <v>58</v>
      </c>
      <c r="F2506" t="s">
        <v>59</v>
      </c>
      <c r="G2506">
        <v>1</v>
      </c>
      <c r="H2506">
        <v>3.99</v>
      </c>
      <c r="I2506" s="7">
        <f>IF(Transactions!I2506="",0,Transactions!I2506)</f>
        <v>0</v>
      </c>
      <c r="J2506" s="9">
        <f t="shared" si="39"/>
        <v>3.99</v>
      </c>
      <c r="K2506" t="s">
        <v>36</v>
      </c>
      <c r="L2506" t="s">
        <v>17</v>
      </c>
      <c r="M2506" t="str">
        <f>REPLACE(Transactions!M2506,1,4,"")</f>
        <v>2</v>
      </c>
    </row>
    <row r="2507" spans="1:13" x14ac:dyDescent="0.2">
      <c r="A2507">
        <v>518097</v>
      </c>
      <c r="B2507" s="5">
        <v>44764</v>
      </c>
      <c r="D2507" t="str">
        <f>PROPER(Transactions!D2507)</f>
        <v>Toys</v>
      </c>
      <c r="E2507" t="s">
        <v>30</v>
      </c>
      <c r="F2507" t="s">
        <v>31</v>
      </c>
      <c r="G2507">
        <v>1</v>
      </c>
      <c r="H2507">
        <v>18.739999999999998</v>
      </c>
      <c r="I2507" s="7">
        <f>IF(Transactions!I2507="",0,Transactions!I2507)</f>
        <v>0.25</v>
      </c>
      <c r="J2507" s="9">
        <f t="shared" si="39"/>
        <v>14.055</v>
      </c>
      <c r="K2507" t="s">
        <v>16</v>
      </c>
      <c r="L2507" t="s">
        <v>17</v>
      </c>
      <c r="M2507" t="str">
        <f>REPLACE(Transactions!M2507,1,4,"")</f>
        <v>8</v>
      </c>
    </row>
    <row r="2508" spans="1:13" x14ac:dyDescent="0.2">
      <c r="A2508">
        <v>518101</v>
      </c>
      <c r="B2508" s="5">
        <v>44588</v>
      </c>
      <c r="C2508">
        <v>26704</v>
      </c>
      <c r="D2508" t="str">
        <f>PROPER(Transactions!D2508)</f>
        <v>Electronics</v>
      </c>
      <c r="E2508" t="s">
        <v>79</v>
      </c>
      <c r="F2508" t="s">
        <v>80</v>
      </c>
      <c r="G2508">
        <v>3</v>
      </c>
      <c r="H2508">
        <v>62.99</v>
      </c>
      <c r="I2508" s="7">
        <f>IF(Transactions!I2508="",0,Transactions!I2508)</f>
        <v>0.3</v>
      </c>
      <c r="J2508" s="9">
        <f t="shared" si="39"/>
        <v>132.279</v>
      </c>
      <c r="K2508" t="s">
        <v>36</v>
      </c>
      <c r="L2508" t="s">
        <v>17</v>
      </c>
      <c r="M2508" t="str">
        <f>REPLACE(Transactions!M2508,1,4,"")</f>
        <v>16</v>
      </c>
    </row>
    <row r="2509" spans="1:13" x14ac:dyDescent="0.2">
      <c r="A2509">
        <v>518505</v>
      </c>
      <c r="B2509" s="5">
        <v>45455</v>
      </c>
      <c r="C2509">
        <v>63283</v>
      </c>
      <c r="D2509" t="str">
        <f>PROPER(Transactions!D2509)</f>
        <v>Pharmacy</v>
      </c>
      <c r="E2509" t="s">
        <v>20</v>
      </c>
      <c r="F2509" t="s">
        <v>21</v>
      </c>
      <c r="G2509">
        <v>4</v>
      </c>
      <c r="H2509">
        <v>8.49</v>
      </c>
      <c r="I2509" s="7">
        <f>IF(Transactions!I2509="",0,Transactions!I2509)</f>
        <v>0.15</v>
      </c>
      <c r="J2509" s="9">
        <f t="shared" si="39"/>
        <v>28.866</v>
      </c>
      <c r="K2509" t="s">
        <v>16</v>
      </c>
      <c r="L2509" t="s">
        <v>17</v>
      </c>
      <c r="M2509" t="str">
        <f>REPLACE(Transactions!M2509,1,4,"")</f>
        <v>4</v>
      </c>
    </row>
    <row r="2510" spans="1:13" x14ac:dyDescent="0.2">
      <c r="A2510">
        <v>518527</v>
      </c>
      <c r="B2510" s="5">
        <v>45101</v>
      </c>
      <c r="D2510" t="str">
        <f>PROPER(Transactions!D2510)</f>
        <v>Sports</v>
      </c>
      <c r="E2510" t="s">
        <v>83</v>
      </c>
      <c r="F2510" t="s">
        <v>84</v>
      </c>
      <c r="G2510">
        <v>5</v>
      </c>
      <c r="H2510">
        <v>12.74</v>
      </c>
      <c r="I2510" s="7">
        <f>IF(Transactions!I2510="",0,Transactions!I2510)</f>
        <v>0.25</v>
      </c>
      <c r="J2510" s="9">
        <f t="shared" si="39"/>
        <v>47.775000000000006</v>
      </c>
      <c r="K2510" t="s">
        <v>16</v>
      </c>
      <c r="L2510" t="s">
        <v>17</v>
      </c>
      <c r="M2510" t="str">
        <f>REPLACE(Transactions!M2510,1,4,"")</f>
        <v>16</v>
      </c>
    </row>
    <row r="2511" spans="1:13" x14ac:dyDescent="0.2">
      <c r="A2511">
        <v>518572</v>
      </c>
      <c r="B2511" s="5">
        <v>45252</v>
      </c>
      <c r="C2511">
        <v>28574</v>
      </c>
      <c r="D2511" t="str">
        <f>PROPER(Transactions!D2511)</f>
        <v>Furniture</v>
      </c>
      <c r="E2511" t="s">
        <v>60</v>
      </c>
      <c r="F2511" t="s">
        <v>61</v>
      </c>
      <c r="G2511">
        <v>1</v>
      </c>
      <c r="H2511">
        <v>38.49</v>
      </c>
      <c r="I2511" s="7">
        <f>IF(Transactions!I2511="",0,Transactions!I2511)</f>
        <v>0.3</v>
      </c>
      <c r="J2511" s="9">
        <f t="shared" si="39"/>
        <v>26.943000000000001</v>
      </c>
      <c r="K2511" t="s">
        <v>95</v>
      </c>
      <c r="L2511" t="s">
        <v>17</v>
      </c>
      <c r="M2511" t="str">
        <f>REPLACE(Transactions!M2511,1,4,"")</f>
        <v>20</v>
      </c>
    </row>
    <row r="2512" spans="1:13" x14ac:dyDescent="0.2">
      <c r="A2512">
        <v>518609</v>
      </c>
      <c r="B2512" s="5">
        <v>45472</v>
      </c>
      <c r="C2512">
        <v>21377</v>
      </c>
      <c r="D2512" t="str">
        <f>PROPER(Transactions!D2512)</f>
        <v>Pharmacy</v>
      </c>
      <c r="E2512" t="s">
        <v>58</v>
      </c>
      <c r="F2512" t="s">
        <v>59</v>
      </c>
      <c r="G2512">
        <v>1</v>
      </c>
      <c r="H2512">
        <v>3.99</v>
      </c>
      <c r="I2512" s="7">
        <f>IF(Transactions!I2512="",0,Transactions!I2512)</f>
        <v>0</v>
      </c>
      <c r="J2512" s="9">
        <f t="shared" si="39"/>
        <v>3.99</v>
      </c>
      <c r="K2512" t="s">
        <v>95</v>
      </c>
      <c r="L2512" t="s">
        <v>37</v>
      </c>
      <c r="M2512" t="str">
        <f>REPLACE(Transactions!M2512,1,4,"")</f>
        <v>14</v>
      </c>
    </row>
    <row r="2513" spans="1:13" x14ac:dyDescent="0.2">
      <c r="A2513">
        <v>518801</v>
      </c>
      <c r="B2513" s="5">
        <v>45100</v>
      </c>
      <c r="C2513">
        <v>74686</v>
      </c>
      <c r="D2513" t="str">
        <f>PROPER(Transactions!D2513)</f>
        <v>Grocery</v>
      </c>
      <c r="E2513" t="s">
        <v>133</v>
      </c>
      <c r="F2513" t="s">
        <v>134</v>
      </c>
      <c r="G2513">
        <v>5</v>
      </c>
      <c r="H2513">
        <v>3.03</v>
      </c>
      <c r="I2513" s="7">
        <f>IF(Transactions!I2513="",0,Transactions!I2513)</f>
        <v>0.2</v>
      </c>
      <c r="J2513" s="9">
        <f t="shared" si="39"/>
        <v>12.12</v>
      </c>
      <c r="K2513" t="s">
        <v>16</v>
      </c>
      <c r="L2513" t="s">
        <v>23</v>
      </c>
      <c r="M2513" t="str">
        <f>REPLACE(Transactions!M2513,1,4,"")</f>
        <v>9</v>
      </c>
    </row>
    <row r="2514" spans="1:13" x14ac:dyDescent="0.2">
      <c r="A2514">
        <v>518898</v>
      </c>
      <c r="B2514" s="5">
        <v>45185</v>
      </c>
      <c r="C2514">
        <v>37628</v>
      </c>
      <c r="D2514" t="str">
        <f>PROPER(Transactions!D2514)</f>
        <v>Sports</v>
      </c>
      <c r="E2514" t="s">
        <v>188</v>
      </c>
      <c r="F2514" t="s">
        <v>189</v>
      </c>
      <c r="G2514">
        <v>2</v>
      </c>
      <c r="H2514">
        <v>40.49</v>
      </c>
      <c r="I2514" s="7">
        <f>IF(Transactions!I2514="",0,Transactions!I2514)</f>
        <v>0.1</v>
      </c>
      <c r="J2514" s="9">
        <f t="shared" si="39"/>
        <v>72.882000000000005</v>
      </c>
      <c r="K2514" t="s">
        <v>36</v>
      </c>
      <c r="L2514" t="s">
        <v>17</v>
      </c>
      <c r="M2514" t="str">
        <f>REPLACE(Transactions!M2514,1,4,"")</f>
        <v>9</v>
      </c>
    </row>
    <row r="2515" spans="1:13" x14ac:dyDescent="0.2">
      <c r="A2515">
        <v>519189</v>
      </c>
      <c r="B2515" s="5">
        <v>45488</v>
      </c>
      <c r="C2515">
        <v>64972</v>
      </c>
      <c r="D2515" t="str">
        <f>PROPER(Transactions!D2515)</f>
        <v>Home &amp; Garden</v>
      </c>
      <c r="E2515" t="s">
        <v>145</v>
      </c>
      <c r="F2515" t="s">
        <v>146</v>
      </c>
      <c r="G2515">
        <v>2</v>
      </c>
      <c r="H2515">
        <v>16.989999999999998</v>
      </c>
      <c r="I2515" s="7">
        <f>IF(Transactions!I2515="",0,Transactions!I2515)</f>
        <v>0</v>
      </c>
      <c r="J2515" s="9">
        <f t="shared" si="39"/>
        <v>33.979999999999997</v>
      </c>
      <c r="K2515" t="s">
        <v>16</v>
      </c>
      <c r="L2515" t="s">
        <v>37</v>
      </c>
      <c r="M2515" t="str">
        <f>REPLACE(Transactions!M2515,1,4,"")</f>
        <v>7</v>
      </c>
    </row>
    <row r="2516" spans="1:13" x14ac:dyDescent="0.2">
      <c r="A2516">
        <v>519453</v>
      </c>
      <c r="B2516" s="5">
        <v>44816</v>
      </c>
      <c r="C2516">
        <v>34486</v>
      </c>
      <c r="D2516" t="str">
        <f>PROPER(Transactions!D2516)</f>
        <v>Electronics</v>
      </c>
      <c r="E2516" t="s">
        <v>104</v>
      </c>
      <c r="F2516" t="s">
        <v>105</v>
      </c>
      <c r="G2516">
        <v>2</v>
      </c>
      <c r="H2516">
        <v>25.49</v>
      </c>
      <c r="I2516" s="7">
        <f>IF(Transactions!I2516="",0,Transactions!I2516)</f>
        <v>0.15</v>
      </c>
      <c r="J2516" s="9">
        <f t="shared" si="39"/>
        <v>43.332999999999998</v>
      </c>
      <c r="K2516" t="s">
        <v>36</v>
      </c>
      <c r="L2516" t="s">
        <v>37</v>
      </c>
      <c r="M2516" t="str">
        <f>REPLACE(Transactions!M2516,1,4,"")</f>
        <v>14</v>
      </c>
    </row>
    <row r="2517" spans="1:13" x14ac:dyDescent="0.2">
      <c r="A2517">
        <v>519482</v>
      </c>
      <c r="B2517" s="5">
        <v>45183</v>
      </c>
      <c r="C2517">
        <v>12584</v>
      </c>
      <c r="D2517" t="str">
        <f>PROPER(Transactions!D2517)</f>
        <v>Grocery</v>
      </c>
      <c r="E2517" t="s">
        <v>172</v>
      </c>
      <c r="F2517" t="s">
        <v>173</v>
      </c>
      <c r="G2517">
        <v>1</v>
      </c>
      <c r="H2517">
        <v>4.2699999999999996</v>
      </c>
      <c r="I2517" s="7">
        <f>IF(Transactions!I2517="",0,Transactions!I2517)</f>
        <v>0.05</v>
      </c>
      <c r="J2517" s="9">
        <f t="shared" si="39"/>
        <v>4.0564999999999998</v>
      </c>
      <c r="K2517" t="s">
        <v>22</v>
      </c>
      <c r="L2517" t="s">
        <v>17</v>
      </c>
      <c r="M2517" t="str">
        <f>REPLACE(Transactions!M2517,1,4,"")</f>
        <v>6</v>
      </c>
    </row>
    <row r="2518" spans="1:13" x14ac:dyDescent="0.2">
      <c r="A2518">
        <v>519497</v>
      </c>
      <c r="B2518" s="5">
        <v>44824</v>
      </c>
      <c r="C2518">
        <v>56476</v>
      </c>
      <c r="D2518" t="str">
        <f>PROPER(Transactions!D2518)</f>
        <v>Clothing</v>
      </c>
      <c r="E2518" t="s">
        <v>193</v>
      </c>
      <c r="F2518" t="s">
        <v>194</v>
      </c>
      <c r="G2518">
        <v>2</v>
      </c>
      <c r="H2518">
        <v>55.24</v>
      </c>
      <c r="I2518" s="7">
        <f>IF(Transactions!I2518="",0,Transactions!I2518)</f>
        <v>0.15</v>
      </c>
      <c r="J2518" s="9">
        <f t="shared" si="39"/>
        <v>93.908000000000001</v>
      </c>
      <c r="K2518" t="s">
        <v>16</v>
      </c>
      <c r="L2518" t="s">
        <v>17</v>
      </c>
      <c r="M2518" t="str">
        <f>REPLACE(Transactions!M2518,1,4,"")</f>
        <v>1</v>
      </c>
    </row>
    <row r="2519" spans="1:13" x14ac:dyDescent="0.2">
      <c r="A2519">
        <v>519530</v>
      </c>
      <c r="B2519" s="5">
        <v>44874</v>
      </c>
      <c r="C2519">
        <v>34787</v>
      </c>
      <c r="D2519" t="str">
        <f>PROPER(Transactions!D2519)</f>
        <v>Electronics</v>
      </c>
      <c r="E2519" t="s">
        <v>159</v>
      </c>
      <c r="F2519" t="s">
        <v>160</v>
      </c>
      <c r="G2519">
        <v>3</v>
      </c>
      <c r="H2519">
        <v>59.99</v>
      </c>
      <c r="I2519" s="7">
        <f>IF(Transactions!I2519="",0,Transactions!I2519)</f>
        <v>0</v>
      </c>
      <c r="J2519" s="9">
        <f t="shared" si="39"/>
        <v>179.97</v>
      </c>
      <c r="K2519" t="s">
        <v>16</v>
      </c>
      <c r="L2519" t="s">
        <v>17</v>
      </c>
      <c r="M2519" t="str">
        <f>REPLACE(Transactions!M2519,1,4,"")</f>
        <v>10</v>
      </c>
    </row>
    <row r="2520" spans="1:13" x14ac:dyDescent="0.2">
      <c r="A2520">
        <v>519809</v>
      </c>
      <c r="B2520" s="5">
        <v>44932</v>
      </c>
      <c r="D2520" t="str">
        <f>PROPER(Transactions!D2520)</f>
        <v>Automotive</v>
      </c>
      <c r="E2520" t="s">
        <v>64</v>
      </c>
      <c r="F2520" t="s">
        <v>65</v>
      </c>
      <c r="G2520">
        <v>2</v>
      </c>
      <c r="H2520">
        <v>4.49</v>
      </c>
      <c r="I2520" s="7">
        <f>IF(Transactions!I2520="",0,Transactions!I2520)</f>
        <v>0.1</v>
      </c>
      <c r="J2520" s="9">
        <f t="shared" si="39"/>
        <v>8.0820000000000007</v>
      </c>
      <c r="K2520" t="s">
        <v>16</v>
      </c>
      <c r="L2520" t="s">
        <v>37</v>
      </c>
      <c r="M2520" t="str">
        <f>REPLACE(Transactions!M2520,1,4,"")</f>
        <v>16</v>
      </c>
    </row>
    <row r="2521" spans="1:13" x14ac:dyDescent="0.2">
      <c r="A2521">
        <v>519960</v>
      </c>
      <c r="B2521" s="5">
        <v>45025</v>
      </c>
      <c r="C2521">
        <v>43041</v>
      </c>
      <c r="D2521" t="str">
        <f>PROPER(Transactions!D2521)</f>
        <v>Furniture</v>
      </c>
      <c r="E2521" t="s">
        <v>26</v>
      </c>
      <c r="F2521" t="s">
        <v>27</v>
      </c>
      <c r="G2521">
        <v>4</v>
      </c>
      <c r="H2521">
        <v>26.24</v>
      </c>
      <c r="I2521" s="7">
        <f>IF(Transactions!I2521="",0,Transactions!I2521)</f>
        <v>0.25</v>
      </c>
      <c r="J2521" s="9">
        <f t="shared" si="39"/>
        <v>78.72</v>
      </c>
      <c r="K2521" t="s">
        <v>36</v>
      </c>
      <c r="L2521" t="s">
        <v>37</v>
      </c>
      <c r="M2521" t="str">
        <f>REPLACE(Transactions!M2521,1,4,"")</f>
        <v>10</v>
      </c>
    </row>
    <row r="2522" spans="1:13" x14ac:dyDescent="0.2">
      <c r="A2522">
        <v>520026</v>
      </c>
      <c r="B2522" s="5">
        <v>44657</v>
      </c>
      <c r="C2522">
        <v>96136</v>
      </c>
      <c r="D2522" t="str">
        <f>PROPER(Transactions!D2522)</f>
        <v>Furniture</v>
      </c>
      <c r="E2522" t="s">
        <v>113</v>
      </c>
      <c r="F2522" t="s">
        <v>114</v>
      </c>
      <c r="G2522">
        <v>3</v>
      </c>
      <c r="H2522">
        <v>83.99</v>
      </c>
      <c r="I2522" s="7">
        <f>IF(Transactions!I2522="",0,Transactions!I2522)</f>
        <v>0.3</v>
      </c>
      <c r="J2522" s="9">
        <f t="shared" si="39"/>
        <v>176.37899999999996</v>
      </c>
      <c r="K2522" t="s">
        <v>16</v>
      </c>
      <c r="L2522" t="s">
        <v>37</v>
      </c>
      <c r="M2522" t="str">
        <f>REPLACE(Transactions!M2522,1,4,"")</f>
        <v>7</v>
      </c>
    </row>
    <row r="2523" spans="1:13" x14ac:dyDescent="0.2">
      <c r="A2523">
        <v>520053</v>
      </c>
      <c r="B2523" s="5">
        <v>45572</v>
      </c>
      <c r="C2523">
        <v>10232</v>
      </c>
      <c r="D2523" t="str">
        <f>PROPER(Transactions!D2523)</f>
        <v>Electronics</v>
      </c>
      <c r="E2523" t="s">
        <v>34</v>
      </c>
      <c r="F2523" t="s">
        <v>35</v>
      </c>
      <c r="G2523">
        <v>2</v>
      </c>
      <c r="H2523">
        <v>31.49</v>
      </c>
      <c r="I2523" s="7">
        <f>IF(Transactions!I2523="",0,Transactions!I2523)</f>
        <v>0.1</v>
      </c>
      <c r="J2523" s="9">
        <f t="shared" si="39"/>
        <v>56.681999999999995</v>
      </c>
      <c r="K2523" t="s">
        <v>36</v>
      </c>
      <c r="L2523" t="s">
        <v>23</v>
      </c>
      <c r="M2523" t="str">
        <f>REPLACE(Transactions!M2523,1,4,"")</f>
        <v>19</v>
      </c>
    </row>
    <row r="2524" spans="1:13" x14ac:dyDescent="0.2">
      <c r="A2524">
        <v>520080</v>
      </c>
      <c r="B2524" s="5">
        <v>45104</v>
      </c>
      <c r="C2524">
        <v>59428</v>
      </c>
      <c r="D2524" t="str">
        <f>PROPER(Transactions!D2524)</f>
        <v>Electronics</v>
      </c>
      <c r="E2524" t="s">
        <v>127</v>
      </c>
      <c r="F2524" t="s">
        <v>128</v>
      </c>
      <c r="G2524">
        <v>1</v>
      </c>
      <c r="H2524">
        <v>18.989999999999998</v>
      </c>
      <c r="I2524" s="7">
        <f>IF(Transactions!I2524="",0,Transactions!I2524)</f>
        <v>0.05</v>
      </c>
      <c r="J2524" s="9">
        <f t="shared" si="39"/>
        <v>18.040499999999998</v>
      </c>
      <c r="K2524" t="s">
        <v>16</v>
      </c>
      <c r="L2524" t="s">
        <v>37</v>
      </c>
      <c r="M2524" t="str">
        <f>REPLACE(Transactions!M2524,1,4,"")</f>
        <v>20</v>
      </c>
    </row>
    <row r="2525" spans="1:13" x14ac:dyDescent="0.2">
      <c r="A2525">
        <v>520134</v>
      </c>
      <c r="B2525" s="5">
        <v>45197</v>
      </c>
      <c r="C2525">
        <v>68998</v>
      </c>
      <c r="D2525" t="str">
        <f>PROPER(Transactions!D2525)</f>
        <v>Clothing</v>
      </c>
      <c r="E2525" t="s">
        <v>135</v>
      </c>
      <c r="F2525" t="s">
        <v>136</v>
      </c>
      <c r="G2525">
        <v>2</v>
      </c>
      <c r="H2525">
        <v>8.49</v>
      </c>
      <c r="I2525" s="7">
        <f>IF(Transactions!I2525="",0,Transactions!I2525)</f>
        <v>0.15</v>
      </c>
      <c r="J2525" s="9">
        <f t="shared" si="39"/>
        <v>14.433</v>
      </c>
      <c r="K2525" t="s">
        <v>22</v>
      </c>
      <c r="L2525" t="s">
        <v>37</v>
      </c>
      <c r="M2525" t="str">
        <f>REPLACE(Transactions!M2525,1,4,"")</f>
        <v>14</v>
      </c>
    </row>
    <row r="2526" spans="1:13" x14ac:dyDescent="0.2">
      <c r="A2526">
        <v>520189</v>
      </c>
      <c r="B2526" s="5">
        <v>45630</v>
      </c>
      <c r="C2526">
        <v>37381</v>
      </c>
      <c r="D2526" t="str">
        <f>PROPER(Transactions!D2526)</f>
        <v>Furniture</v>
      </c>
      <c r="E2526" t="s">
        <v>51</v>
      </c>
      <c r="F2526" t="s">
        <v>52</v>
      </c>
      <c r="G2526">
        <v>1</v>
      </c>
      <c r="H2526">
        <v>27.99</v>
      </c>
      <c r="I2526" s="7">
        <f>IF(Transactions!I2526="",0,Transactions!I2526)</f>
        <v>0</v>
      </c>
      <c r="J2526" s="9">
        <f t="shared" si="39"/>
        <v>27.99</v>
      </c>
      <c r="K2526" t="s">
        <v>16</v>
      </c>
      <c r="L2526" t="s">
        <v>23</v>
      </c>
      <c r="M2526" t="str">
        <f>REPLACE(Transactions!M2526,1,4,"")</f>
        <v>7</v>
      </c>
    </row>
    <row r="2527" spans="1:13" x14ac:dyDescent="0.2">
      <c r="A2527">
        <v>520312</v>
      </c>
      <c r="B2527" s="5">
        <v>45578</v>
      </c>
      <c r="C2527">
        <v>74256</v>
      </c>
      <c r="D2527" t="str">
        <f>PROPER(Transactions!D2527)</f>
        <v>Electronics</v>
      </c>
      <c r="E2527" t="s">
        <v>159</v>
      </c>
      <c r="F2527" t="s">
        <v>160</v>
      </c>
      <c r="G2527">
        <v>2</v>
      </c>
      <c r="H2527">
        <v>59.99</v>
      </c>
      <c r="I2527" s="7">
        <f>IF(Transactions!I2527="",0,Transactions!I2527)</f>
        <v>0</v>
      </c>
      <c r="J2527" s="9">
        <f t="shared" si="39"/>
        <v>119.98</v>
      </c>
      <c r="K2527" t="s">
        <v>16</v>
      </c>
      <c r="L2527" t="s">
        <v>17</v>
      </c>
      <c r="M2527" t="str">
        <f>REPLACE(Transactions!M2527,1,4,"")</f>
        <v>3</v>
      </c>
    </row>
    <row r="2528" spans="1:13" x14ac:dyDescent="0.2">
      <c r="A2528">
        <v>520372</v>
      </c>
      <c r="B2528" s="5">
        <v>45251</v>
      </c>
      <c r="C2528">
        <v>36326</v>
      </c>
      <c r="D2528" t="str">
        <f>PROPER(Transactions!D2528)</f>
        <v>Electronics</v>
      </c>
      <c r="E2528" t="s">
        <v>104</v>
      </c>
      <c r="F2528" t="s">
        <v>105</v>
      </c>
      <c r="G2528">
        <v>5</v>
      </c>
      <c r="H2528">
        <v>23.99</v>
      </c>
      <c r="I2528" s="7">
        <f>IF(Transactions!I2528="",0,Transactions!I2528)</f>
        <v>0.2</v>
      </c>
      <c r="J2528" s="9">
        <f t="shared" si="39"/>
        <v>95.96</v>
      </c>
      <c r="K2528" t="s">
        <v>22</v>
      </c>
      <c r="L2528" t="s">
        <v>17</v>
      </c>
      <c r="M2528" t="str">
        <f>REPLACE(Transactions!M2528,1,4,"")</f>
        <v>3</v>
      </c>
    </row>
    <row r="2529" spans="1:13" x14ac:dyDescent="0.2">
      <c r="A2529">
        <v>520772</v>
      </c>
      <c r="B2529" s="5">
        <v>45249</v>
      </c>
      <c r="C2529">
        <v>84867</v>
      </c>
      <c r="D2529" t="str">
        <f>PROPER(Transactions!D2529)</f>
        <v>Beauty</v>
      </c>
      <c r="E2529" t="s">
        <v>118</v>
      </c>
      <c r="F2529" t="s">
        <v>119</v>
      </c>
      <c r="G2529">
        <v>1</v>
      </c>
      <c r="H2529">
        <v>4.74</v>
      </c>
      <c r="I2529" s="7">
        <f>IF(Transactions!I2529="",0,Transactions!I2529)</f>
        <v>0.05</v>
      </c>
      <c r="J2529" s="9">
        <f t="shared" si="39"/>
        <v>4.5030000000000001</v>
      </c>
      <c r="K2529" t="s">
        <v>16</v>
      </c>
      <c r="L2529" t="s">
        <v>17</v>
      </c>
      <c r="M2529" t="str">
        <f>REPLACE(Transactions!M2529,1,4,"")</f>
        <v>9</v>
      </c>
    </row>
    <row r="2530" spans="1:13" x14ac:dyDescent="0.2">
      <c r="A2530">
        <v>520897</v>
      </c>
      <c r="B2530" s="5">
        <v>44693</v>
      </c>
      <c r="C2530">
        <v>79582</v>
      </c>
      <c r="D2530" t="str">
        <f>PROPER(Transactions!D2530)</f>
        <v>Home &amp; Garden</v>
      </c>
      <c r="E2530" t="s">
        <v>153</v>
      </c>
      <c r="F2530" t="s">
        <v>154</v>
      </c>
      <c r="G2530">
        <v>4</v>
      </c>
      <c r="H2530">
        <v>22.49</v>
      </c>
      <c r="I2530" s="7">
        <f>IF(Transactions!I2530="",0,Transactions!I2530)</f>
        <v>0.25</v>
      </c>
      <c r="J2530" s="9">
        <f t="shared" si="39"/>
        <v>67.47</v>
      </c>
      <c r="K2530" t="s">
        <v>95</v>
      </c>
      <c r="L2530" t="s">
        <v>17</v>
      </c>
      <c r="M2530" t="str">
        <f>REPLACE(Transactions!M2530,1,4,"")</f>
        <v>5</v>
      </c>
    </row>
    <row r="2531" spans="1:13" x14ac:dyDescent="0.2">
      <c r="A2531">
        <v>521326</v>
      </c>
      <c r="B2531" s="5">
        <v>44568</v>
      </c>
      <c r="C2531">
        <v>88893</v>
      </c>
      <c r="D2531" t="str">
        <f>PROPER(Transactions!D2531)</f>
        <v>Sports</v>
      </c>
      <c r="E2531" t="s">
        <v>83</v>
      </c>
      <c r="F2531" t="s">
        <v>84</v>
      </c>
      <c r="G2531">
        <v>4</v>
      </c>
      <c r="H2531">
        <v>12.74</v>
      </c>
      <c r="I2531" s="7">
        <f>IF(Transactions!I2531="",0,Transactions!I2531)</f>
        <v>0.25</v>
      </c>
      <c r="J2531" s="9">
        <f t="shared" si="39"/>
        <v>38.22</v>
      </c>
      <c r="K2531" t="s">
        <v>16</v>
      </c>
      <c r="L2531" t="s">
        <v>37</v>
      </c>
      <c r="M2531" t="str">
        <f>REPLACE(Transactions!M2531,1,4,"")</f>
        <v>2</v>
      </c>
    </row>
    <row r="2532" spans="1:13" x14ac:dyDescent="0.2">
      <c r="A2532">
        <v>521597</v>
      </c>
      <c r="B2532" s="5">
        <v>44965</v>
      </c>
      <c r="C2532">
        <v>42912</v>
      </c>
      <c r="D2532" t="str">
        <f>PROPER(Transactions!D2532)</f>
        <v>Home &amp; Garden</v>
      </c>
      <c r="E2532" t="s">
        <v>145</v>
      </c>
      <c r="F2532" t="s">
        <v>146</v>
      </c>
      <c r="G2532">
        <v>5</v>
      </c>
      <c r="H2532">
        <v>11.89</v>
      </c>
      <c r="I2532" s="7">
        <f>IF(Transactions!I2532="",0,Transactions!I2532)</f>
        <v>0.3</v>
      </c>
      <c r="J2532" s="9">
        <f t="shared" si="39"/>
        <v>41.615000000000002</v>
      </c>
      <c r="K2532" t="s">
        <v>16</v>
      </c>
      <c r="L2532" t="s">
        <v>17</v>
      </c>
      <c r="M2532" t="str">
        <f>REPLACE(Transactions!M2532,1,4,"")</f>
        <v>20</v>
      </c>
    </row>
    <row r="2533" spans="1:13" x14ac:dyDescent="0.2">
      <c r="A2533">
        <v>521644</v>
      </c>
      <c r="B2533" s="5">
        <v>44700</v>
      </c>
      <c r="C2533">
        <v>82877</v>
      </c>
      <c r="D2533" t="str">
        <f>PROPER(Transactions!D2533)</f>
        <v>Beauty</v>
      </c>
      <c r="E2533" t="s">
        <v>109</v>
      </c>
      <c r="F2533" t="s">
        <v>110</v>
      </c>
      <c r="G2533">
        <v>1</v>
      </c>
      <c r="H2533">
        <v>5.59</v>
      </c>
      <c r="I2533" s="7">
        <f>IF(Transactions!I2533="",0,Transactions!I2533)</f>
        <v>0.2</v>
      </c>
      <c r="J2533" s="9">
        <f t="shared" si="39"/>
        <v>4.4720000000000004</v>
      </c>
      <c r="K2533" t="s">
        <v>66</v>
      </c>
      <c r="L2533" t="s">
        <v>17</v>
      </c>
      <c r="M2533" t="str">
        <f>REPLACE(Transactions!M2533,1,4,"")</f>
        <v>17</v>
      </c>
    </row>
    <row r="2534" spans="1:13" x14ac:dyDescent="0.2">
      <c r="A2534">
        <v>521659</v>
      </c>
      <c r="B2534" s="5">
        <v>45402</v>
      </c>
      <c r="C2534">
        <v>64703</v>
      </c>
      <c r="D2534" t="str">
        <f>PROPER(Transactions!D2534)</f>
        <v>Pharmacy</v>
      </c>
      <c r="E2534" t="s">
        <v>41</v>
      </c>
      <c r="F2534" t="s">
        <v>42</v>
      </c>
      <c r="G2534">
        <v>5</v>
      </c>
      <c r="H2534">
        <v>5.39</v>
      </c>
      <c r="I2534" s="7">
        <f>IF(Transactions!I2534="",0,Transactions!I2534)</f>
        <v>0.1</v>
      </c>
      <c r="J2534" s="9">
        <f t="shared" si="39"/>
        <v>24.254999999999999</v>
      </c>
      <c r="K2534" t="s">
        <v>16</v>
      </c>
      <c r="L2534" t="s">
        <v>37</v>
      </c>
      <c r="M2534" t="str">
        <f>REPLACE(Transactions!M2534,1,4,"")</f>
        <v>14</v>
      </c>
    </row>
    <row r="2535" spans="1:13" x14ac:dyDescent="0.2">
      <c r="A2535">
        <v>521947</v>
      </c>
      <c r="B2535" s="5">
        <v>45182</v>
      </c>
      <c r="C2535">
        <v>73767</v>
      </c>
      <c r="D2535" t="str">
        <f>PROPER(Transactions!D2535)</f>
        <v>Furniture</v>
      </c>
      <c r="E2535" t="s">
        <v>113</v>
      </c>
      <c r="F2535" t="s">
        <v>114</v>
      </c>
      <c r="G2535">
        <v>2</v>
      </c>
      <c r="H2535">
        <v>119.99</v>
      </c>
      <c r="I2535" s="7">
        <f>IF(Transactions!I2535="",0,Transactions!I2535)</f>
        <v>0</v>
      </c>
      <c r="J2535" s="9">
        <f t="shared" si="39"/>
        <v>239.98</v>
      </c>
      <c r="K2535" t="s">
        <v>16</v>
      </c>
      <c r="L2535" t="s">
        <v>37</v>
      </c>
      <c r="M2535" t="str">
        <f>REPLACE(Transactions!M2535,1,4,"")</f>
        <v>3</v>
      </c>
    </row>
    <row r="2536" spans="1:13" x14ac:dyDescent="0.2">
      <c r="A2536">
        <v>522286</v>
      </c>
      <c r="B2536" s="5">
        <v>44725</v>
      </c>
      <c r="C2536">
        <v>51044</v>
      </c>
      <c r="D2536" t="str">
        <f>PROPER(Transactions!D2536)</f>
        <v>Electronics</v>
      </c>
      <c r="E2536" t="s">
        <v>186</v>
      </c>
      <c r="F2536" t="s">
        <v>187</v>
      </c>
      <c r="G2536">
        <v>2</v>
      </c>
      <c r="H2536">
        <v>47.49</v>
      </c>
      <c r="I2536" s="7">
        <f>IF(Transactions!I2536="",0,Transactions!I2536)</f>
        <v>0.05</v>
      </c>
      <c r="J2536" s="9">
        <f t="shared" si="39"/>
        <v>90.230999999999995</v>
      </c>
      <c r="K2536" t="s">
        <v>16</v>
      </c>
      <c r="L2536" t="s">
        <v>17</v>
      </c>
      <c r="M2536" t="str">
        <f>REPLACE(Transactions!M2536,1,4,"")</f>
        <v>16</v>
      </c>
    </row>
    <row r="2537" spans="1:13" x14ac:dyDescent="0.2">
      <c r="A2537">
        <v>522465</v>
      </c>
      <c r="B2537" s="5">
        <v>45608</v>
      </c>
      <c r="C2537">
        <v>16648</v>
      </c>
      <c r="D2537" t="str">
        <f>PROPER(Transactions!D2537)</f>
        <v>Automotive</v>
      </c>
      <c r="E2537" t="s">
        <v>64</v>
      </c>
      <c r="F2537" t="s">
        <v>65</v>
      </c>
      <c r="G2537">
        <v>1</v>
      </c>
      <c r="H2537">
        <v>4.49</v>
      </c>
      <c r="I2537" s="7">
        <f>IF(Transactions!I2537="",0,Transactions!I2537)</f>
        <v>0.1</v>
      </c>
      <c r="J2537" s="9">
        <f t="shared" si="39"/>
        <v>4.0410000000000004</v>
      </c>
      <c r="K2537" t="s">
        <v>16</v>
      </c>
      <c r="L2537" t="s">
        <v>17</v>
      </c>
      <c r="M2537" t="str">
        <f>REPLACE(Transactions!M2537,1,4,"")</f>
        <v>12</v>
      </c>
    </row>
    <row r="2538" spans="1:13" x14ac:dyDescent="0.2">
      <c r="A2538">
        <v>522477</v>
      </c>
      <c r="B2538" s="5">
        <v>45325</v>
      </c>
      <c r="C2538">
        <v>98730</v>
      </c>
      <c r="D2538" t="str">
        <f>PROPER(Transactions!D2538)</f>
        <v>Beauty</v>
      </c>
      <c r="E2538" t="s">
        <v>143</v>
      </c>
      <c r="F2538" t="s">
        <v>144</v>
      </c>
      <c r="G2538">
        <v>4</v>
      </c>
      <c r="H2538">
        <v>14.99</v>
      </c>
      <c r="I2538" s="7">
        <f>IF(Transactions!I2538="",0,Transactions!I2538)</f>
        <v>0</v>
      </c>
      <c r="J2538" s="9">
        <f t="shared" si="39"/>
        <v>59.96</v>
      </c>
      <c r="K2538" t="s">
        <v>16</v>
      </c>
      <c r="L2538" t="s">
        <v>17</v>
      </c>
      <c r="M2538" t="str">
        <f>REPLACE(Transactions!M2538,1,4,"")</f>
        <v>1</v>
      </c>
    </row>
    <row r="2539" spans="1:13" x14ac:dyDescent="0.2">
      <c r="A2539">
        <v>522634</v>
      </c>
      <c r="B2539" s="5">
        <v>45656</v>
      </c>
      <c r="C2539">
        <v>45202</v>
      </c>
      <c r="D2539" t="str">
        <f>PROPER(Transactions!D2539)</f>
        <v>Beauty</v>
      </c>
      <c r="E2539" t="s">
        <v>109</v>
      </c>
      <c r="F2539" t="s">
        <v>110</v>
      </c>
      <c r="G2539">
        <v>1</v>
      </c>
      <c r="H2539">
        <v>6.99</v>
      </c>
      <c r="I2539" s="7">
        <f>IF(Transactions!I2539="",0,Transactions!I2539)</f>
        <v>0</v>
      </c>
      <c r="J2539" s="9">
        <f t="shared" si="39"/>
        <v>6.99</v>
      </c>
      <c r="K2539" t="s">
        <v>16</v>
      </c>
      <c r="L2539" t="s">
        <v>17</v>
      </c>
      <c r="M2539" t="str">
        <f>REPLACE(Transactions!M2539,1,4,"")</f>
        <v>7</v>
      </c>
    </row>
    <row r="2540" spans="1:13" x14ac:dyDescent="0.2">
      <c r="A2540">
        <v>522988</v>
      </c>
      <c r="B2540" s="5">
        <v>44827</v>
      </c>
      <c r="C2540">
        <v>79963</v>
      </c>
      <c r="D2540" t="str">
        <f>PROPER(Transactions!D2540)</f>
        <v>Grocery</v>
      </c>
      <c r="E2540" t="s">
        <v>93</v>
      </c>
      <c r="F2540" t="s">
        <v>94</v>
      </c>
      <c r="G2540">
        <v>3</v>
      </c>
      <c r="H2540">
        <v>1.03</v>
      </c>
      <c r="I2540" s="7">
        <f>IF(Transactions!I2540="",0,Transactions!I2540)</f>
        <v>0.2</v>
      </c>
      <c r="J2540" s="9">
        <f t="shared" si="39"/>
        <v>2.472</v>
      </c>
      <c r="K2540" t="s">
        <v>16</v>
      </c>
      <c r="L2540" t="s">
        <v>17</v>
      </c>
      <c r="M2540" t="str">
        <f>REPLACE(Transactions!M2540,1,4,"")</f>
        <v>2</v>
      </c>
    </row>
    <row r="2541" spans="1:13" x14ac:dyDescent="0.2">
      <c r="A2541">
        <v>523849</v>
      </c>
      <c r="B2541" s="5">
        <v>45153</v>
      </c>
      <c r="C2541">
        <v>38148</v>
      </c>
      <c r="D2541" t="str">
        <f>PROPER(Transactions!D2541)</f>
        <v>Electronics</v>
      </c>
      <c r="E2541" t="s">
        <v>127</v>
      </c>
      <c r="F2541" t="s">
        <v>128</v>
      </c>
      <c r="G2541">
        <v>2</v>
      </c>
      <c r="H2541">
        <v>19.989999999999998</v>
      </c>
      <c r="I2541" s="7">
        <f>IF(Transactions!I2541="",0,Transactions!I2541)</f>
        <v>0</v>
      </c>
      <c r="J2541" s="9">
        <f t="shared" si="39"/>
        <v>39.979999999999997</v>
      </c>
      <c r="K2541" t="s">
        <v>36</v>
      </c>
      <c r="L2541" t="s">
        <v>17</v>
      </c>
      <c r="M2541" t="str">
        <f>REPLACE(Transactions!M2541,1,4,"")</f>
        <v>2</v>
      </c>
    </row>
    <row r="2542" spans="1:13" x14ac:dyDescent="0.2">
      <c r="A2542">
        <v>523945</v>
      </c>
      <c r="B2542" s="5">
        <v>44995</v>
      </c>
      <c r="C2542">
        <v>35432</v>
      </c>
      <c r="D2542" t="str">
        <f>PROPER(Transactions!D2542)</f>
        <v>Electronics</v>
      </c>
      <c r="E2542" t="s">
        <v>34</v>
      </c>
      <c r="F2542" t="s">
        <v>35</v>
      </c>
      <c r="G2542">
        <v>1</v>
      </c>
      <c r="H2542">
        <v>31.49</v>
      </c>
      <c r="I2542" s="7">
        <f>IF(Transactions!I2542="",0,Transactions!I2542)</f>
        <v>0.1</v>
      </c>
      <c r="J2542" s="9">
        <f t="shared" si="39"/>
        <v>28.340999999999998</v>
      </c>
      <c r="K2542" t="s">
        <v>16</v>
      </c>
      <c r="L2542" t="s">
        <v>17</v>
      </c>
      <c r="M2542" t="str">
        <f>REPLACE(Transactions!M2542,1,4,"")</f>
        <v>18</v>
      </c>
    </row>
    <row r="2543" spans="1:13" x14ac:dyDescent="0.2">
      <c r="A2543">
        <v>524022</v>
      </c>
      <c r="B2543" s="5">
        <v>45605</v>
      </c>
      <c r="C2543">
        <v>23154</v>
      </c>
      <c r="D2543" t="str">
        <f>PROPER(Transactions!D2543)</f>
        <v>Grocery</v>
      </c>
      <c r="E2543" t="s">
        <v>172</v>
      </c>
      <c r="F2543" t="s">
        <v>173</v>
      </c>
      <c r="G2543">
        <v>1</v>
      </c>
      <c r="H2543">
        <v>4.49</v>
      </c>
      <c r="I2543" s="7">
        <f>IF(Transactions!I2543="",0,Transactions!I2543)</f>
        <v>0</v>
      </c>
      <c r="J2543" s="9">
        <f t="shared" si="39"/>
        <v>4.49</v>
      </c>
      <c r="K2543" t="s">
        <v>36</v>
      </c>
      <c r="L2543" t="s">
        <v>17</v>
      </c>
      <c r="M2543" t="str">
        <f>REPLACE(Transactions!M2543,1,4,"")</f>
        <v>14</v>
      </c>
    </row>
    <row r="2544" spans="1:13" x14ac:dyDescent="0.2">
      <c r="A2544">
        <v>524163</v>
      </c>
      <c r="B2544" s="5">
        <v>44950</v>
      </c>
      <c r="C2544">
        <v>11178</v>
      </c>
      <c r="D2544" t="str">
        <f>PROPER(Transactions!D2544)</f>
        <v>Furniture</v>
      </c>
      <c r="E2544" t="s">
        <v>60</v>
      </c>
      <c r="F2544" t="s">
        <v>61</v>
      </c>
      <c r="G2544">
        <v>1</v>
      </c>
      <c r="H2544">
        <v>41.24</v>
      </c>
      <c r="I2544" s="7">
        <f>IF(Transactions!I2544="",0,Transactions!I2544)</f>
        <v>0.25</v>
      </c>
      <c r="J2544" s="9">
        <f t="shared" si="39"/>
        <v>30.93</v>
      </c>
      <c r="K2544" t="s">
        <v>22</v>
      </c>
      <c r="L2544" t="s">
        <v>17</v>
      </c>
      <c r="M2544" t="str">
        <f>REPLACE(Transactions!M2544,1,4,"")</f>
        <v>3</v>
      </c>
    </row>
    <row r="2545" spans="1:13" x14ac:dyDescent="0.2">
      <c r="A2545">
        <v>524671</v>
      </c>
      <c r="B2545" s="5">
        <v>44726</v>
      </c>
      <c r="C2545">
        <v>16247</v>
      </c>
      <c r="D2545" t="str">
        <f>PROPER(Transactions!D2545)</f>
        <v>Grocery</v>
      </c>
      <c r="E2545" t="s">
        <v>172</v>
      </c>
      <c r="F2545" t="s">
        <v>173</v>
      </c>
      <c r="G2545">
        <v>2</v>
      </c>
      <c r="H2545">
        <v>3.59</v>
      </c>
      <c r="I2545" s="7">
        <f>IF(Transactions!I2545="",0,Transactions!I2545)</f>
        <v>0.2</v>
      </c>
      <c r="J2545" s="9">
        <f t="shared" si="39"/>
        <v>5.7439999999999998</v>
      </c>
      <c r="K2545" t="s">
        <v>36</v>
      </c>
      <c r="L2545" t="s">
        <v>17</v>
      </c>
      <c r="M2545" t="str">
        <f>REPLACE(Transactions!M2545,1,4,"")</f>
        <v>12</v>
      </c>
    </row>
    <row r="2546" spans="1:13" x14ac:dyDescent="0.2">
      <c r="A2546">
        <v>524678</v>
      </c>
      <c r="B2546" s="5">
        <v>44923</v>
      </c>
      <c r="C2546">
        <v>22587</v>
      </c>
      <c r="D2546" t="str">
        <f>PROPER(Transactions!D2546)</f>
        <v>Automotive</v>
      </c>
      <c r="E2546" t="s">
        <v>68</v>
      </c>
      <c r="F2546" t="s">
        <v>69</v>
      </c>
      <c r="G2546">
        <v>1</v>
      </c>
      <c r="H2546">
        <v>24.99</v>
      </c>
      <c r="I2546" s="7">
        <f>IF(Transactions!I2546="",0,Transactions!I2546)</f>
        <v>0</v>
      </c>
      <c r="J2546" s="9">
        <f t="shared" si="39"/>
        <v>24.99</v>
      </c>
      <c r="K2546" t="s">
        <v>16</v>
      </c>
      <c r="L2546" t="s">
        <v>17</v>
      </c>
      <c r="M2546" t="str">
        <f>REPLACE(Transactions!M2546,1,4,"")</f>
        <v>11</v>
      </c>
    </row>
    <row r="2547" spans="1:13" x14ac:dyDescent="0.2">
      <c r="A2547">
        <v>525005</v>
      </c>
      <c r="B2547" s="5">
        <v>45121</v>
      </c>
      <c r="C2547">
        <v>78701</v>
      </c>
      <c r="D2547" t="str">
        <f>PROPER(Transactions!D2547)</f>
        <v>Home &amp; Garden</v>
      </c>
      <c r="E2547" t="s">
        <v>86</v>
      </c>
      <c r="F2547" t="s">
        <v>87</v>
      </c>
      <c r="G2547">
        <v>2</v>
      </c>
      <c r="H2547">
        <v>10.39</v>
      </c>
      <c r="I2547" s="7">
        <f>IF(Transactions!I2547="",0,Transactions!I2547)</f>
        <v>0.2</v>
      </c>
      <c r="J2547" s="9">
        <f t="shared" si="39"/>
        <v>16.624000000000002</v>
      </c>
      <c r="K2547" t="s">
        <v>95</v>
      </c>
      <c r="L2547" t="s">
        <v>17</v>
      </c>
      <c r="M2547" t="str">
        <f>REPLACE(Transactions!M2547,1,4,"")</f>
        <v>16</v>
      </c>
    </row>
    <row r="2548" spans="1:13" x14ac:dyDescent="0.2">
      <c r="A2548">
        <v>525027</v>
      </c>
      <c r="B2548" s="5">
        <v>45149</v>
      </c>
      <c r="C2548">
        <v>75588</v>
      </c>
      <c r="D2548" t="str">
        <f>PROPER(Transactions!D2548)</f>
        <v>Home &amp; Garden</v>
      </c>
      <c r="E2548" t="s">
        <v>149</v>
      </c>
      <c r="F2548" t="s">
        <v>150</v>
      </c>
      <c r="G2548">
        <v>4</v>
      </c>
      <c r="H2548">
        <v>18.989999999999998</v>
      </c>
      <c r="I2548" s="7">
        <f>IF(Transactions!I2548="",0,Transactions!I2548)</f>
        <v>0.05</v>
      </c>
      <c r="J2548" s="9">
        <f t="shared" si="39"/>
        <v>72.161999999999992</v>
      </c>
      <c r="K2548" t="s">
        <v>16</v>
      </c>
      <c r="L2548" t="s">
        <v>17</v>
      </c>
      <c r="M2548" t="str">
        <f>REPLACE(Transactions!M2548,1,4,"")</f>
        <v>16</v>
      </c>
    </row>
    <row r="2549" spans="1:13" x14ac:dyDescent="0.2">
      <c r="A2549">
        <v>525167</v>
      </c>
      <c r="B2549" s="5">
        <v>45616</v>
      </c>
      <c r="C2549">
        <v>10955</v>
      </c>
      <c r="D2549" t="str">
        <f>PROPER(Transactions!D2549)</f>
        <v>Grocery</v>
      </c>
      <c r="E2549" t="s">
        <v>93</v>
      </c>
      <c r="F2549" t="s">
        <v>94</v>
      </c>
      <c r="G2549">
        <v>3</v>
      </c>
      <c r="H2549">
        <v>0.9</v>
      </c>
      <c r="I2549" s="7">
        <f>IF(Transactions!I2549="",0,Transactions!I2549)</f>
        <v>0.3</v>
      </c>
      <c r="J2549" s="9">
        <f t="shared" si="39"/>
        <v>1.89</v>
      </c>
      <c r="K2549" t="s">
        <v>32</v>
      </c>
      <c r="L2549" t="s">
        <v>17</v>
      </c>
      <c r="M2549" t="str">
        <f>REPLACE(Transactions!M2549,1,4,"")</f>
        <v>14</v>
      </c>
    </row>
    <row r="2550" spans="1:13" x14ac:dyDescent="0.2">
      <c r="A2550">
        <v>525197</v>
      </c>
      <c r="B2550" s="5">
        <v>44723</v>
      </c>
      <c r="C2550">
        <v>44807</v>
      </c>
      <c r="D2550" t="str">
        <f>PROPER(Transactions!D2550)</f>
        <v>Home &amp; Garden</v>
      </c>
      <c r="E2550" t="s">
        <v>149</v>
      </c>
      <c r="F2550" t="s">
        <v>150</v>
      </c>
      <c r="G2550">
        <v>1</v>
      </c>
      <c r="H2550">
        <v>19.989999999999998</v>
      </c>
      <c r="I2550" s="7">
        <f>IF(Transactions!I2550="",0,Transactions!I2550)</f>
        <v>0</v>
      </c>
      <c r="J2550" s="9">
        <f t="shared" si="39"/>
        <v>19.989999999999998</v>
      </c>
      <c r="K2550" t="s">
        <v>95</v>
      </c>
      <c r="L2550" t="s">
        <v>37</v>
      </c>
      <c r="M2550" t="str">
        <f>REPLACE(Transactions!M2550,1,4,"")</f>
        <v>3</v>
      </c>
    </row>
    <row r="2551" spans="1:13" x14ac:dyDescent="0.2">
      <c r="A2551">
        <v>525279</v>
      </c>
      <c r="B2551" s="5">
        <v>45348</v>
      </c>
      <c r="D2551" t="str">
        <f>PROPER(Transactions!D2551)</f>
        <v>Toys</v>
      </c>
      <c r="E2551" t="s">
        <v>175</v>
      </c>
      <c r="F2551" t="s">
        <v>176</v>
      </c>
      <c r="G2551">
        <v>5</v>
      </c>
      <c r="H2551">
        <v>11.99</v>
      </c>
      <c r="I2551" s="7">
        <f>IF(Transactions!I2551="",0,Transactions!I2551)</f>
        <v>0</v>
      </c>
      <c r="J2551" s="9">
        <f t="shared" si="39"/>
        <v>59.95</v>
      </c>
      <c r="K2551" t="s">
        <v>16</v>
      </c>
      <c r="L2551" t="s">
        <v>37</v>
      </c>
      <c r="M2551" t="str">
        <f>REPLACE(Transactions!M2551,1,4,"")</f>
        <v>18</v>
      </c>
    </row>
    <row r="2552" spans="1:13" x14ac:dyDescent="0.2">
      <c r="A2552">
        <v>525826</v>
      </c>
      <c r="B2552" s="5">
        <v>44928</v>
      </c>
      <c r="C2552">
        <v>62803</v>
      </c>
      <c r="D2552" t="str">
        <f>PROPER(Transactions!D2552)</f>
        <v>Furniture</v>
      </c>
      <c r="E2552" t="s">
        <v>26</v>
      </c>
      <c r="F2552" t="s">
        <v>27</v>
      </c>
      <c r="G2552">
        <v>1</v>
      </c>
      <c r="H2552">
        <v>29.74</v>
      </c>
      <c r="I2552" s="7">
        <f>IF(Transactions!I2552="",0,Transactions!I2552)</f>
        <v>0.15</v>
      </c>
      <c r="J2552" s="9">
        <f t="shared" si="39"/>
        <v>25.278999999999996</v>
      </c>
      <c r="K2552" t="s">
        <v>36</v>
      </c>
      <c r="L2552" t="s">
        <v>23</v>
      </c>
      <c r="M2552" t="str">
        <f>REPLACE(Transactions!M2552,1,4,"")</f>
        <v>12</v>
      </c>
    </row>
    <row r="2553" spans="1:13" x14ac:dyDescent="0.2">
      <c r="A2553">
        <v>525831</v>
      </c>
      <c r="B2553" s="5">
        <v>44877</v>
      </c>
      <c r="C2553">
        <v>18242</v>
      </c>
      <c r="D2553" t="str">
        <f>PROPER(Transactions!D2553)</f>
        <v>Toys</v>
      </c>
      <c r="E2553" t="s">
        <v>38</v>
      </c>
      <c r="F2553" t="s">
        <v>39</v>
      </c>
      <c r="G2553">
        <v>5</v>
      </c>
      <c r="H2553">
        <v>23.99</v>
      </c>
      <c r="I2553" s="7">
        <f>IF(Transactions!I2553="",0,Transactions!I2553)</f>
        <v>0.2</v>
      </c>
      <c r="J2553" s="9">
        <f t="shared" si="39"/>
        <v>95.96</v>
      </c>
      <c r="K2553" t="s">
        <v>22</v>
      </c>
      <c r="L2553" t="s">
        <v>17</v>
      </c>
      <c r="M2553" t="str">
        <f>REPLACE(Transactions!M2553,1,4,"")</f>
        <v>12</v>
      </c>
    </row>
    <row r="2554" spans="1:13" x14ac:dyDescent="0.2">
      <c r="A2554">
        <v>526067</v>
      </c>
      <c r="B2554" s="5">
        <v>44995</v>
      </c>
      <c r="C2554">
        <v>41444</v>
      </c>
      <c r="D2554" t="str">
        <f>PROPER(Transactions!D2554)</f>
        <v>Furniture</v>
      </c>
      <c r="E2554" t="s">
        <v>60</v>
      </c>
      <c r="F2554" t="s">
        <v>61</v>
      </c>
      <c r="G2554">
        <v>2</v>
      </c>
      <c r="H2554">
        <v>49.49</v>
      </c>
      <c r="I2554" s="7">
        <f>IF(Transactions!I2554="",0,Transactions!I2554)</f>
        <v>0.1</v>
      </c>
      <c r="J2554" s="9">
        <f t="shared" si="39"/>
        <v>89.082000000000008</v>
      </c>
      <c r="K2554" t="s">
        <v>16</v>
      </c>
      <c r="L2554" t="s">
        <v>17</v>
      </c>
      <c r="M2554" t="str">
        <f>REPLACE(Transactions!M2554,1,4,"")</f>
        <v>2</v>
      </c>
    </row>
    <row r="2555" spans="1:13" x14ac:dyDescent="0.2">
      <c r="A2555">
        <v>526105</v>
      </c>
      <c r="B2555" s="5">
        <v>45425</v>
      </c>
      <c r="C2555">
        <v>52070</v>
      </c>
      <c r="D2555" t="str">
        <f>PROPER(Transactions!D2555)</f>
        <v>Pharmacy</v>
      </c>
      <c r="E2555" t="s">
        <v>20</v>
      </c>
      <c r="F2555" t="s">
        <v>21</v>
      </c>
      <c r="G2555">
        <v>2</v>
      </c>
      <c r="H2555">
        <v>9.49</v>
      </c>
      <c r="I2555" s="7">
        <f>IF(Transactions!I2555="",0,Transactions!I2555)</f>
        <v>0.05</v>
      </c>
      <c r="J2555" s="9">
        <f t="shared" si="39"/>
        <v>18.030999999999999</v>
      </c>
      <c r="K2555" t="s">
        <v>95</v>
      </c>
      <c r="L2555" t="s">
        <v>17</v>
      </c>
      <c r="M2555" t="str">
        <f>REPLACE(Transactions!M2555,1,4,"")</f>
        <v>18</v>
      </c>
    </row>
    <row r="2556" spans="1:13" x14ac:dyDescent="0.2">
      <c r="A2556">
        <v>526421</v>
      </c>
      <c r="B2556" s="5">
        <v>44675</v>
      </c>
      <c r="C2556">
        <v>86947</v>
      </c>
      <c r="D2556" t="str">
        <f>PROPER(Transactions!D2556)</f>
        <v>Beauty</v>
      </c>
      <c r="E2556" t="s">
        <v>139</v>
      </c>
      <c r="F2556" t="s">
        <v>140</v>
      </c>
      <c r="G2556">
        <v>1</v>
      </c>
      <c r="H2556">
        <v>7.99</v>
      </c>
      <c r="I2556" s="7">
        <f>IF(Transactions!I2556="",0,Transactions!I2556)</f>
        <v>0</v>
      </c>
      <c r="J2556" s="9">
        <f t="shared" si="39"/>
        <v>7.99</v>
      </c>
      <c r="K2556" t="s">
        <v>36</v>
      </c>
      <c r="L2556" t="s">
        <v>17</v>
      </c>
      <c r="M2556" t="str">
        <f>REPLACE(Transactions!M2556,1,4,"")</f>
        <v>15</v>
      </c>
    </row>
    <row r="2557" spans="1:13" x14ac:dyDescent="0.2">
      <c r="A2557">
        <v>526536</v>
      </c>
      <c r="B2557" s="5">
        <v>45182</v>
      </c>
      <c r="C2557">
        <v>50032</v>
      </c>
      <c r="D2557" t="str">
        <f>PROPER(Transactions!D2557)</f>
        <v>Beauty</v>
      </c>
      <c r="E2557" t="s">
        <v>49</v>
      </c>
      <c r="F2557" t="s">
        <v>50</v>
      </c>
      <c r="G2557">
        <v>1</v>
      </c>
      <c r="H2557">
        <v>7.64</v>
      </c>
      <c r="I2557" s="7">
        <f>IF(Transactions!I2557="",0,Transactions!I2557)</f>
        <v>0.15</v>
      </c>
      <c r="J2557" s="9">
        <f t="shared" si="39"/>
        <v>6.4939999999999998</v>
      </c>
      <c r="K2557" t="s">
        <v>16</v>
      </c>
      <c r="L2557" t="s">
        <v>37</v>
      </c>
      <c r="M2557" t="str">
        <f>REPLACE(Transactions!M2557,1,4,"")</f>
        <v/>
      </c>
    </row>
    <row r="2558" spans="1:13" x14ac:dyDescent="0.2">
      <c r="A2558">
        <v>526673</v>
      </c>
      <c r="B2558" s="5">
        <v>45105</v>
      </c>
      <c r="C2558">
        <v>85907</v>
      </c>
      <c r="D2558" t="str">
        <f>PROPER(Transactions!D2558)</f>
        <v>Sports</v>
      </c>
      <c r="E2558" t="s">
        <v>100</v>
      </c>
      <c r="F2558" t="s">
        <v>101</v>
      </c>
      <c r="G2558">
        <v>5</v>
      </c>
      <c r="H2558">
        <v>22.99</v>
      </c>
      <c r="I2558" s="7">
        <f>IF(Transactions!I2558="",0,Transactions!I2558)</f>
        <v>0</v>
      </c>
      <c r="J2558" s="9">
        <f t="shared" si="39"/>
        <v>114.94999999999999</v>
      </c>
      <c r="K2558" t="s">
        <v>36</v>
      </c>
      <c r="L2558" t="s">
        <v>17</v>
      </c>
      <c r="M2558" t="str">
        <f>REPLACE(Transactions!M2558,1,4,"")</f>
        <v>17</v>
      </c>
    </row>
    <row r="2559" spans="1:13" x14ac:dyDescent="0.2">
      <c r="A2559">
        <v>526757</v>
      </c>
      <c r="B2559" s="5">
        <v>45165</v>
      </c>
      <c r="C2559">
        <v>64015</v>
      </c>
      <c r="D2559" t="str">
        <f>PROPER(Transactions!D2559)</f>
        <v>Pharmacy</v>
      </c>
      <c r="E2559" t="s">
        <v>20</v>
      </c>
      <c r="F2559" t="s">
        <v>21</v>
      </c>
      <c r="G2559">
        <v>5</v>
      </c>
      <c r="H2559">
        <v>8.49</v>
      </c>
      <c r="I2559" s="7">
        <f>IF(Transactions!I2559="",0,Transactions!I2559)</f>
        <v>0.15</v>
      </c>
      <c r="J2559" s="9">
        <f t="shared" si="39"/>
        <v>36.082500000000003</v>
      </c>
      <c r="K2559" t="s">
        <v>22</v>
      </c>
      <c r="L2559" t="s">
        <v>17</v>
      </c>
      <c r="M2559" t="str">
        <f>REPLACE(Transactions!M2559,1,4,"")</f>
        <v>20</v>
      </c>
    </row>
    <row r="2560" spans="1:13" x14ac:dyDescent="0.2">
      <c r="A2560">
        <v>526856</v>
      </c>
      <c r="B2560" s="5">
        <v>45552</v>
      </c>
      <c r="C2560">
        <v>44443</v>
      </c>
      <c r="D2560" t="str">
        <f>PROPER(Transactions!D2560)</f>
        <v>Clothing</v>
      </c>
      <c r="E2560" t="s">
        <v>135</v>
      </c>
      <c r="F2560" t="s">
        <v>136</v>
      </c>
      <c r="G2560">
        <v>5</v>
      </c>
      <c r="H2560">
        <v>9.99</v>
      </c>
      <c r="I2560" s="7">
        <f>IF(Transactions!I2560="",0,Transactions!I2560)</f>
        <v>0</v>
      </c>
      <c r="J2560" s="9">
        <f t="shared" si="39"/>
        <v>49.95</v>
      </c>
      <c r="K2560" t="s">
        <v>36</v>
      </c>
      <c r="L2560" t="s">
        <v>17</v>
      </c>
      <c r="M2560" t="str">
        <f>REPLACE(Transactions!M2560,1,4,"")</f>
        <v/>
      </c>
    </row>
    <row r="2561" spans="1:13" x14ac:dyDescent="0.2">
      <c r="A2561">
        <v>527002</v>
      </c>
      <c r="B2561" s="5">
        <v>44892</v>
      </c>
      <c r="C2561">
        <v>63028</v>
      </c>
      <c r="D2561" t="str">
        <f>PROPER(Transactions!D2561)</f>
        <v>Automotive</v>
      </c>
      <c r="E2561" t="s">
        <v>125</v>
      </c>
      <c r="F2561" t="s">
        <v>126</v>
      </c>
      <c r="G2561">
        <v>2</v>
      </c>
      <c r="H2561">
        <v>29.99</v>
      </c>
      <c r="I2561" s="7">
        <f>IF(Transactions!I2561="",0,Transactions!I2561)</f>
        <v>0</v>
      </c>
      <c r="J2561" s="9">
        <f t="shared" si="39"/>
        <v>59.98</v>
      </c>
      <c r="K2561" t="s">
        <v>36</v>
      </c>
      <c r="L2561" t="s">
        <v>17</v>
      </c>
      <c r="M2561" t="str">
        <f>REPLACE(Transactions!M2561,1,4,"")</f>
        <v>12</v>
      </c>
    </row>
    <row r="2562" spans="1:13" x14ac:dyDescent="0.2">
      <c r="A2562">
        <v>527193</v>
      </c>
      <c r="B2562" s="5">
        <v>45626</v>
      </c>
      <c r="C2562">
        <v>64753</v>
      </c>
      <c r="D2562" t="str">
        <f>PROPER(Transactions!D2562)</f>
        <v>Electronics</v>
      </c>
      <c r="E2562" t="s">
        <v>55</v>
      </c>
      <c r="F2562" t="s">
        <v>56</v>
      </c>
      <c r="G2562">
        <v>1</v>
      </c>
      <c r="H2562">
        <v>230.99</v>
      </c>
      <c r="I2562" s="7">
        <f>IF(Transactions!I2562="",0,Transactions!I2562)</f>
        <v>0.3</v>
      </c>
      <c r="J2562" s="9">
        <f t="shared" si="39"/>
        <v>161.69299999999998</v>
      </c>
      <c r="K2562" t="s">
        <v>36</v>
      </c>
      <c r="L2562" t="s">
        <v>17</v>
      </c>
      <c r="M2562" t="str">
        <f>REPLACE(Transactions!M2562,1,4,"")</f>
        <v>19</v>
      </c>
    </row>
    <row r="2563" spans="1:13" x14ac:dyDescent="0.2">
      <c r="A2563">
        <v>527393</v>
      </c>
      <c r="B2563" s="5">
        <v>45328</v>
      </c>
      <c r="C2563">
        <v>22562</v>
      </c>
      <c r="D2563" t="str">
        <f>PROPER(Transactions!D2563)</f>
        <v>Sports</v>
      </c>
      <c r="E2563" t="s">
        <v>155</v>
      </c>
      <c r="F2563" t="s">
        <v>156</v>
      </c>
      <c r="G2563">
        <v>3</v>
      </c>
      <c r="H2563">
        <v>14.99</v>
      </c>
      <c r="I2563" s="7">
        <f>IF(Transactions!I2563="",0,Transactions!I2563)</f>
        <v>0.25</v>
      </c>
      <c r="J2563" s="9">
        <f t="shared" ref="J2563:J2626" si="40">(H2563*G2563)*(1-I2563)</f>
        <v>33.727499999999999</v>
      </c>
      <c r="K2563" t="s">
        <v>36</v>
      </c>
      <c r="L2563" t="s">
        <v>17</v>
      </c>
      <c r="M2563" t="str">
        <f>REPLACE(Transactions!M2563,1,4,"")</f>
        <v>1</v>
      </c>
    </row>
    <row r="2564" spans="1:13" x14ac:dyDescent="0.2">
      <c r="A2564">
        <v>527478</v>
      </c>
      <c r="B2564" s="5">
        <v>44573</v>
      </c>
      <c r="C2564">
        <v>47587</v>
      </c>
      <c r="D2564" t="str">
        <f>PROPER(Transactions!D2564)</f>
        <v>Furniture</v>
      </c>
      <c r="E2564" t="s">
        <v>113</v>
      </c>
      <c r="F2564" t="s">
        <v>114</v>
      </c>
      <c r="G2564">
        <v>1</v>
      </c>
      <c r="H2564">
        <v>101.99</v>
      </c>
      <c r="I2564" s="7">
        <f>IF(Transactions!I2564="",0,Transactions!I2564)</f>
        <v>0.15</v>
      </c>
      <c r="J2564" s="9">
        <f t="shared" si="40"/>
        <v>86.691499999999991</v>
      </c>
      <c r="K2564" t="s">
        <v>22</v>
      </c>
      <c r="L2564" t="s">
        <v>37</v>
      </c>
      <c r="M2564" t="str">
        <f>REPLACE(Transactions!M2564,1,4,"")</f>
        <v>13</v>
      </c>
    </row>
    <row r="2565" spans="1:13" x14ac:dyDescent="0.2">
      <c r="A2565">
        <v>527481</v>
      </c>
      <c r="B2565" s="5">
        <v>45391</v>
      </c>
      <c r="C2565">
        <v>14773</v>
      </c>
      <c r="D2565" t="str">
        <f>PROPER(Transactions!D2565)</f>
        <v>Pharmacy</v>
      </c>
      <c r="E2565" t="s">
        <v>58</v>
      </c>
      <c r="F2565" t="s">
        <v>59</v>
      </c>
      <c r="G2565">
        <v>2</v>
      </c>
      <c r="H2565">
        <v>3.59</v>
      </c>
      <c r="I2565" s="7">
        <f>IF(Transactions!I2565="",0,Transactions!I2565)</f>
        <v>0.1</v>
      </c>
      <c r="J2565" s="9">
        <f t="shared" si="40"/>
        <v>6.4619999999999997</v>
      </c>
      <c r="K2565" t="s">
        <v>16</v>
      </c>
      <c r="L2565" t="s">
        <v>37</v>
      </c>
      <c r="M2565" t="str">
        <f>REPLACE(Transactions!M2565,1,4,"")</f>
        <v>5</v>
      </c>
    </row>
    <row r="2566" spans="1:13" x14ac:dyDescent="0.2">
      <c r="A2566">
        <v>527550</v>
      </c>
      <c r="B2566" s="5">
        <v>45075</v>
      </c>
      <c r="C2566">
        <v>63416</v>
      </c>
      <c r="D2566" t="str">
        <f>PROPER(Transactions!D2566)</f>
        <v>Grocery</v>
      </c>
      <c r="E2566" t="s">
        <v>107</v>
      </c>
      <c r="F2566" t="s">
        <v>108</v>
      </c>
      <c r="G2566">
        <v>1</v>
      </c>
      <c r="H2566">
        <v>2.97</v>
      </c>
      <c r="I2566" s="7">
        <f>IF(Transactions!I2566="",0,Transactions!I2566)</f>
        <v>0.15</v>
      </c>
      <c r="J2566" s="9">
        <f t="shared" si="40"/>
        <v>2.5245000000000002</v>
      </c>
      <c r="K2566" t="s">
        <v>22</v>
      </c>
      <c r="L2566" t="s">
        <v>37</v>
      </c>
      <c r="M2566" t="str">
        <f>REPLACE(Transactions!M2566,1,4,"")</f>
        <v>10</v>
      </c>
    </row>
    <row r="2567" spans="1:13" x14ac:dyDescent="0.2">
      <c r="A2567">
        <v>527734</v>
      </c>
      <c r="B2567" s="5">
        <v>44959</v>
      </c>
      <c r="C2567">
        <v>41649</v>
      </c>
      <c r="D2567" t="str">
        <f>PROPER(Transactions!D2567)</f>
        <v>Automotive</v>
      </c>
      <c r="E2567" t="s">
        <v>64</v>
      </c>
      <c r="F2567" t="s">
        <v>65</v>
      </c>
      <c r="G2567">
        <v>1</v>
      </c>
      <c r="H2567">
        <v>4.24</v>
      </c>
      <c r="I2567" s="7">
        <f>IF(Transactions!I2567="",0,Transactions!I2567)</f>
        <v>0.15</v>
      </c>
      <c r="J2567" s="9">
        <f t="shared" si="40"/>
        <v>3.6040000000000001</v>
      </c>
      <c r="K2567" t="s">
        <v>22</v>
      </c>
      <c r="L2567" t="s">
        <v>17</v>
      </c>
      <c r="M2567" t="str">
        <f>REPLACE(Transactions!M2567,1,4,"")</f>
        <v>5</v>
      </c>
    </row>
    <row r="2568" spans="1:13" x14ac:dyDescent="0.2">
      <c r="A2568">
        <v>527912</v>
      </c>
      <c r="B2568" s="5">
        <v>44971</v>
      </c>
      <c r="C2568">
        <v>19525</v>
      </c>
      <c r="D2568" t="str">
        <f>PROPER(Transactions!D2568)</f>
        <v>Electronics</v>
      </c>
      <c r="E2568" t="s">
        <v>127</v>
      </c>
      <c r="F2568" t="s">
        <v>128</v>
      </c>
      <c r="G2568">
        <v>2</v>
      </c>
      <c r="H2568">
        <v>15.99</v>
      </c>
      <c r="I2568" s="7">
        <f>IF(Transactions!I2568="",0,Transactions!I2568)</f>
        <v>0.2</v>
      </c>
      <c r="J2568" s="9">
        <f t="shared" si="40"/>
        <v>25.584000000000003</v>
      </c>
      <c r="K2568" t="s">
        <v>36</v>
      </c>
      <c r="L2568" t="s">
        <v>17</v>
      </c>
      <c r="M2568" t="str">
        <f>REPLACE(Transactions!M2568,1,4,"")</f>
        <v>3</v>
      </c>
    </row>
    <row r="2569" spans="1:13" x14ac:dyDescent="0.2">
      <c r="A2569">
        <v>527927</v>
      </c>
      <c r="B2569" s="5">
        <v>45376</v>
      </c>
      <c r="C2569">
        <v>94165</v>
      </c>
      <c r="D2569" t="str">
        <f>PROPER(Transactions!D2569)</f>
        <v>Grocery</v>
      </c>
      <c r="E2569" t="s">
        <v>107</v>
      </c>
      <c r="F2569" t="s">
        <v>108</v>
      </c>
      <c r="G2569">
        <v>4</v>
      </c>
      <c r="H2569">
        <v>3.49</v>
      </c>
      <c r="I2569" s="7">
        <f>IF(Transactions!I2569="",0,Transactions!I2569)</f>
        <v>0</v>
      </c>
      <c r="J2569" s="9">
        <f t="shared" si="40"/>
        <v>13.96</v>
      </c>
      <c r="K2569" t="s">
        <v>36</v>
      </c>
      <c r="L2569" t="s">
        <v>17</v>
      </c>
      <c r="M2569" t="str">
        <f>REPLACE(Transactions!M2569,1,4,"")</f>
        <v>4</v>
      </c>
    </row>
    <row r="2570" spans="1:13" x14ac:dyDescent="0.2">
      <c r="A2570">
        <v>528188</v>
      </c>
      <c r="B2570" s="5">
        <v>45548</v>
      </c>
      <c r="D2570" t="str">
        <f>PROPER(Transactions!D2570)</f>
        <v>Automotive</v>
      </c>
      <c r="E2570" t="s">
        <v>64</v>
      </c>
      <c r="F2570" t="s">
        <v>65</v>
      </c>
      <c r="G2570">
        <v>3</v>
      </c>
      <c r="H2570">
        <v>3.49</v>
      </c>
      <c r="I2570" s="7">
        <f>IF(Transactions!I2570="",0,Transactions!I2570)</f>
        <v>0.3</v>
      </c>
      <c r="J2570" s="9">
        <f t="shared" si="40"/>
        <v>7.3289999999999997</v>
      </c>
      <c r="K2570" t="s">
        <v>36</v>
      </c>
      <c r="L2570" t="s">
        <v>17</v>
      </c>
      <c r="M2570" t="str">
        <f>REPLACE(Transactions!M2570,1,4,"")</f>
        <v>16</v>
      </c>
    </row>
    <row r="2571" spans="1:13" x14ac:dyDescent="0.2">
      <c r="A2571">
        <v>529063</v>
      </c>
      <c r="B2571" s="5">
        <v>45059</v>
      </c>
      <c r="C2571">
        <v>76436</v>
      </c>
      <c r="D2571" t="str">
        <f>PROPER(Transactions!D2571)</f>
        <v>Toys</v>
      </c>
      <c r="E2571" t="s">
        <v>72</v>
      </c>
      <c r="F2571" t="s">
        <v>73</v>
      </c>
      <c r="G2571">
        <v>2</v>
      </c>
      <c r="H2571">
        <v>29.99</v>
      </c>
      <c r="I2571" s="7">
        <f>IF(Transactions!I2571="",0,Transactions!I2571)</f>
        <v>0.25</v>
      </c>
      <c r="J2571" s="9">
        <f t="shared" si="40"/>
        <v>44.984999999999999</v>
      </c>
      <c r="K2571" t="s">
        <v>36</v>
      </c>
      <c r="L2571" t="s">
        <v>17</v>
      </c>
      <c r="M2571" t="str">
        <f>REPLACE(Transactions!M2571,1,4,"")</f>
        <v>9</v>
      </c>
    </row>
    <row r="2572" spans="1:13" x14ac:dyDescent="0.2">
      <c r="A2572">
        <v>529086</v>
      </c>
      <c r="B2572" s="5">
        <v>44609</v>
      </c>
      <c r="C2572">
        <v>31251</v>
      </c>
      <c r="D2572" t="str">
        <f>PROPER(Transactions!D2572)</f>
        <v>Furniture</v>
      </c>
      <c r="E2572" t="s">
        <v>26</v>
      </c>
      <c r="F2572" t="s">
        <v>27</v>
      </c>
      <c r="G2572">
        <v>2</v>
      </c>
      <c r="H2572">
        <v>24.49</v>
      </c>
      <c r="I2572" s="7">
        <f>IF(Transactions!I2572="",0,Transactions!I2572)</f>
        <v>0.3</v>
      </c>
      <c r="J2572" s="9">
        <f t="shared" si="40"/>
        <v>34.285999999999994</v>
      </c>
      <c r="K2572" t="s">
        <v>16</v>
      </c>
      <c r="L2572" t="s">
        <v>37</v>
      </c>
      <c r="M2572" t="str">
        <f>REPLACE(Transactions!M2572,1,4,"")</f>
        <v>8</v>
      </c>
    </row>
    <row r="2573" spans="1:13" x14ac:dyDescent="0.2">
      <c r="A2573">
        <v>529661</v>
      </c>
      <c r="B2573" s="5">
        <v>44658</v>
      </c>
      <c r="C2573">
        <v>27818</v>
      </c>
      <c r="D2573" t="str">
        <f>PROPER(Transactions!D2573)</f>
        <v>Grocery</v>
      </c>
      <c r="E2573" t="s">
        <v>45</v>
      </c>
      <c r="F2573" t="s">
        <v>46</v>
      </c>
      <c r="G2573">
        <v>2</v>
      </c>
      <c r="H2573">
        <v>1.43</v>
      </c>
      <c r="I2573" s="7">
        <f>IF(Transactions!I2573="",0,Transactions!I2573)</f>
        <v>0.2</v>
      </c>
      <c r="J2573" s="9">
        <f t="shared" si="40"/>
        <v>2.2879999999999998</v>
      </c>
      <c r="K2573" t="s">
        <v>22</v>
      </c>
      <c r="L2573" t="s">
        <v>37</v>
      </c>
      <c r="M2573" t="str">
        <f>REPLACE(Transactions!M2573,1,4,"")</f>
        <v>13</v>
      </c>
    </row>
    <row r="2574" spans="1:13" x14ac:dyDescent="0.2">
      <c r="A2574">
        <v>529708</v>
      </c>
      <c r="B2574" s="5">
        <v>44970</v>
      </c>
      <c r="C2574">
        <v>51529</v>
      </c>
      <c r="D2574" t="str">
        <f>PROPER(Transactions!D2574)</f>
        <v>Grocery</v>
      </c>
      <c r="E2574" t="s">
        <v>107</v>
      </c>
      <c r="F2574" t="s">
        <v>108</v>
      </c>
      <c r="G2574">
        <v>2</v>
      </c>
      <c r="H2574">
        <v>2.79</v>
      </c>
      <c r="I2574" s="7">
        <f>IF(Transactions!I2574="",0,Transactions!I2574)</f>
        <v>0.2</v>
      </c>
      <c r="J2574" s="9">
        <f t="shared" si="40"/>
        <v>4.4640000000000004</v>
      </c>
      <c r="K2574" t="s">
        <v>16</v>
      </c>
      <c r="L2574" t="s">
        <v>17</v>
      </c>
      <c r="M2574" t="str">
        <f>REPLACE(Transactions!M2574,1,4,"")</f>
        <v>4</v>
      </c>
    </row>
    <row r="2575" spans="1:13" x14ac:dyDescent="0.2">
      <c r="A2575">
        <v>529893</v>
      </c>
      <c r="B2575" s="5">
        <v>45497</v>
      </c>
      <c r="C2575">
        <v>44737</v>
      </c>
      <c r="D2575" t="str">
        <f>PROPER(Transactions!D2575)</f>
        <v>Pharmacy</v>
      </c>
      <c r="E2575" t="s">
        <v>20</v>
      </c>
      <c r="F2575" t="s">
        <v>21</v>
      </c>
      <c r="G2575">
        <v>3</v>
      </c>
      <c r="H2575">
        <v>9.99</v>
      </c>
      <c r="I2575" s="7">
        <f>IF(Transactions!I2575="",0,Transactions!I2575)</f>
        <v>0</v>
      </c>
      <c r="J2575" s="9">
        <f t="shared" si="40"/>
        <v>29.97</v>
      </c>
      <c r="K2575" t="s">
        <v>16</v>
      </c>
      <c r="L2575" t="s">
        <v>23</v>
      </c>
      <c r="M2575" t="str">
        <f>REPLACE(Transactions!M2575,1,4,"")</f>
        <v>3</v>
      </c>
    </row>
    <row r="2576" spans="1:13" x14ac:dyDescent="0.2">
      <c r="A2576">
        <v>529906</v>
      </c>
      <c r="B2576" s="5">
        <v>45099</v>
      </c>
      <c r="C2576">
        <v>26894</v>
      </c>
      <c r="D2576" t="str">
        <f>PROPER(Transactions!D2576)</f>
        <v>Grocery</v>
      </c>
      <c r="E2576" t="s">
        <v>162</v>
      </c>
      <c r="F2576" t="s">
        <v>163</v>
      </c>
      <c r="G2576">
        <v>2</v>
      </c>
      <c r="H2576">
        <v>7.19</v>
      </c>
      <c r="I2576" s="7">
        <f>IF(Transactions!I2576="",0,Transactions!I2576)</f>
        <v>0.1</v>
      </c>
      <c r="J2576" s="9">
        <f t="shared" si="40"/>
        <v>12.942</v>
      </c>
      <c r="K2576" t="s">
        <v>53</v>
      </c>
      <c r="L2576" t="s">
        <v>17</v>
      </c>
      <c r="M2576" t="str">
        <f>REPLACE(Transactions!M2576,1,4,"")</f>
        <v>4</v>
      </c>
    </row>
    <row r="2577" spans="1:13" x14ac:dyDescent="0.2">
      <c r="A2577">
        <v>530311</v>
      </c>
      <c r="B2577" s="5">
        <v>44872</v>
      </c>
      <c r="C2577">
        <v>18163</v>
      </c>
      <c r="D2577" t="str">
        <f>PROPER(Transactions!D2577)</f>
        <v>Pharmacy</v>
      </c>
      <c r="E2577" t="s">
        <v>197</v>
      </c>
      <c r="F2577" t="s">
        <v>198</v>
      </c>
      <c r="G2577">
        <v>3</v>
      </c>
      <c r="H2577">
        <v>11.99</v>
      </c>
      <c r="I2577" s="7">
        <f>IF(Transactions!I2577="",0,Transactions!I2577)</f>
        <v>0.2</v>
      </c>
      <c r="J2577" s="9">
        <f t="shared" si="40"/>
        <v>28.776</v>
      </c>
      <c r="K2577" t="s">
        <v>36</v>
      </c>
      <c r="L2577" t="s">
        <v>17</v>
      </c>
      <c r="M2577" t="str">
        <f>REPLACE(Transactions!M2577,1,4,"")</f>
        <v>7</v>
      </c>
    </row>
    <row r="2578" spans="1:13" x14ac:dyDescent="0.2">
      <c r="A2578">
        <v>530449</v>
      </c>
      <c r="B2578" s="5">
        <v>45593</v>
      </c>
      <c r="C2578">
        <v>39348</v>
      </c>
      <c r="D2578" t="str">
        <f>PROPER(Transactions!D2578)</f>
        <v>Home &amp; Garden</v>
      </c>
      <c r="E2578" t="s">
        <v>137</v>
      </c>
      <c r="F2578" t="s">
        <v>138</v>
      </c>
      <c r="G2578">
        <v>3</v>
      </c>
      <c r="H2578">
        <v>5.99</v>
      </c>
      <c r="I2578" s="7">
        <f>IF(Transactions!I2578="",0,Transactions!I2578)</f>
        <v>0.25</v>
      </c>
      <c r="J2578" s="9">
        <f t="shared" si="40"/>
        <v>13.477499999999999</v>
      </c>
      <c r="K2578" t="s">
        <v>36</v>
      </c>
      <c r="L2578" t="s">
        <v>37</v>
      </c>
      <c r="M2578" t="str">
        <f>REPLACE(Transactions!M2578,1,4,"")</f>
        <v/>
      </c>
    </row>
    <row r="2579" spans="1:13" x14ac:dyDescent="0.2">
      <c r="A2579">
        <v>530465</v>
      </c>
      <c r="B2579" s="5">
        <v>45302</v>
      </c>
      <c r="C2579">
        <v>49346</v>
      </c>
      <c r="D2579" t="str">
        <f>PROPER(Transactions!D2579)</f>
        <v>Beauty</v>
      </c>
      <c r="E2579" t="s">
        <v>109</v>
      </c>
      <c r="F2579" t="s">
        <v>110</v>
      </c>
      <c r="G2579">
        <v>1</v>
      </c>
      <c r="H2579">
        <v>6.99</v>
      </c>
      <c r="I2579" s="7">
        <f>IF(Transactions!I2579="",0,Transactions!I2579)</f>
        <v>0</v>
      </c>
      <c r="J2579" s="9">
        <f t="shared" si="40"/>
        <v>6.99</v>
      </c>
      <c r="K2579" t="s">
        <v>22</v>
      </c>
      <c r="L2579" t="s">
        <v>37</v>
      </c>
      <c r="M2579" t="str">
        <f>REPLACE(Transactions!M2579,1,4,"")</f>
        <v>13</v>
      </c>
    </row>
    <row r="2580" spans="1:13" x14ac:dyDescent="0.2">
      <c r="A2580">
        <v>530480</v>
      </c>
      <c r="B2580" s="5">
        <v>45108</v>
      </c>
      <c r="C2580">
        <v>24007</v>
      </c>
      <c r="D2580" t="str">
        <f>PROPER(Transactions!D2580)</f>
        <v>Pharmacy</v>
      </c>
      <c r="E2580" t="s">
        <v>41</v>
      </c>
      <c r="F2580" t="s">
        <v>42</v>
      </c>
      <c r="G2580">
        <v>3</v>
      </c>
      <c r="H2580">
        <v>4.1900000000000004</v>
      </c>
      <c r="I2580" s="7">
        <f>IF(Transactions!I2580="",0,Transactions!I2580)</f>
        <v>0.3</v>
      </c>
      <c r="J2580" s="9">
        <f t="shared" si="40"/>
        <v>8.7989999999999995</v>
      </c>
      <c r="K2580" t="s">
        <v>66</v>
      </c>
      <c r="L2580" t="s">
        <v>17</v>
      </c>
      <c r="M2580" t="str">
        <f>REPLACE(Transactions!M2580,1,4,"")</f>
        <v>10</v>
      </c>
    </row>
    <row r="2581" spans="1:13" x14ac:dyDescent="0.2">
      <c r="A2581">
        <v>530798</v>
      </c>
      <c r="B2581" s="5">
        <v>44708</v>
      </c>
      <c r="C2581">
        <v>13916</v>
      </c>
      <c r="D2581" t="str">
        <f>PROPER(Transactions!D2581)</f>
        <v>Home &amp; Garden</v>
      </c>
      <c r="E2581" t="s">
        <v>157</v>
      </c>
      <c r="F2581" t="s">
        <v>158</v>
      </c>
      <c r="G2581">
        <v>5</v>
      </c>
      <c r="H2581">
        <v>12.14</v>
      </c>
      <c r="I2581" s="7">
        <f>IF(Transactions!I2581="",0,Transactions!I2581)</f>
        <v>0.1</v>
      </c>
      <c r="J2581" s="9">
        <f t="shared" si="40"/>
        <v>54.63</v>
      </c>
      <c r="K2581" t="s">
        <v>95</v>
      </c>
      <c r="L2581" t="s">
        <v>17</v>
      </c>
      <c r="M2581" t="str">
        <f>REPLACE(Transactions!M2581,1,4,"")</f>
        <v>7</v>
      </c>
    </row>
    <row r="2582" spans="1:13" x14ac:dyDescent="0.2">
      <c r="A2582">
        <v>530805</v>
      </c>
      <c r="B2582" s="5">
        <v>44712</v>
      </c>
      <c r="C2582">
        <v>25366</v>
      </c>
      <c r="D2582" t="str">
        <f>PROPER(Transactions!D2582)</f>
        <v>Clothing</v>
      </c>
      <c r="E2582" t="s">
        <v>181</v>
      </c>
      <c r="F2582" t="s">
        <v>182</v>
      </c>
      <c r="G2582">
        <v>5</v>
      </c>
      <c r="H2582">
        <v>14.24</v>
      </c>
      <c r="I2582" s="7">
        <f>IF(Transactions!I2582="",0,Transactions!I2582)</f>
        <v>0.05</v>
      </c>
      <c r="J2582" s="9">
        <f t="shared" si="40"/>
        <v>67.64</v>
      </c>
      <c r="K2582" t="s">
        <v>16</v>
      </c>
      <c r="L2582" t="s">
        <v>37</v>
      </c>
      <c r="M2582" t="str">
        <f>REPLACE(Transactions!M2582,1,4,"")</f>
        <v>1</v>
      </c>
    </row>
    <row r="2583" spans="1:13" x14ac:dyDescent="0.2">
      <c r="A2583">
        <v>530807</v>
      </c>
      <c r="B2583" s="5">
        <v>45035</v>
      </c>
      <c r="C2583">
        <v>98742</v>
      </c>
      <c r="D2583" t="str">
        <f>PROPER(Transactions!D2583)</f>
        <v>Electronics</v>
      </c>
      <c r="E2583" t="s">
        <v>186</v>
      </c>
      <c r="F2583" t="s">
        <v>187</v>
      </c>
      <c r="G2583">
        <v>5</v>
      </c>
      <c r="H2583">
        <v>34.99</v>
      </c>
      <c r="I2583" s="7">
        <f>IF(Transactions!I2583="",0,Transactions!I2583)</f>
        <v>0.3</v>
      </c>
      <c r="J2583" s="9">
        <f t="shared" si="40"/>
        <v>122.465</v>
      </c>
      <c r="K2583" t="s">
        <v>36</v>
      </c>
      <c r="L2583" t="s">
        <v>23</v>
      </c>
      <c r="M2583" t="str">
        <f>REPLACE(Transactions!M2583,1,4,"")</f>
        <v>16</v>
      </c>
    </row>
    <row r="2584" spans="1:13" x14ac:dyDescent="0.2">
      <c r="A2584">
        <v>531094</v>
      </c>
      <c r="B2584" s="5">
        <v>45472</v>
      </c>
      <c r="C2584">
        <v>75968</v>
      </c>
      <c r="D2584" t="str">
        <f>PROPER(Transactions!D2584)</f>
        <v>Beauty</v>
      </c>
      <c r="E2584" t="s">
        <v>49</v>
      </c>
      <c r="F2584" t="s">
        <v>50</v>
      </c>
      <c r="G2584">
        <v>1</v>
      </c>
      <c r="H2584">
        <v>6.74</v>
      </c>
      <c r="I2584" s="7">
        <f>IF(Transactions!I2584="",0,Transactions!I2584)</f>
        <v>0.25</v>
      </c>
      <c r="J2584" s="9">
        <f t="shared" si="40"/>
        <v>5.0549999999999997</v>
      </c>
      <c r="K2584" t="s">
        <v>22</v>
      </c>
      <c r="L2584" t="s">
        <v>17</v>
      </c>
      <c r="M2584" t="str">
        <f>REPLACE(Transactions!M2584,1,4,"")</f>
        <v>20</v>
      </c>
    </row>
    <row r="2585" spans="1:13" x14ac:dyDescent="0.2">
      <c r="A2585">
        <v>531171</v>
      </c>
      <c r="B2585" s="5">
        <v>45506</v>
      </c>
      <c r="D2585" t="str">
        <f>PROPER(Transactions!D2585)</f>
        <v>Clothing</v>
      </c>
      <c r="E2585" t="s">
        <v>165</v>
      </c>
      <c r="F2585" t="s">
        <v>166</v>
      </c>
      <c r="G2585">
        <v>1</v>
      </c>
      <c r="H2585">
        <v>71.989999999999995</v>
      </c>
      <c r="I2585" s="7">
        <f>IF(Transactions!I2585="",0,Transactions!I2585)</f>
        <v>0.2</v>
      </c>
      <c r="J2585" s="9">
        <f t="shared" si="40"/>
        <v>57.591999999999999</v>
      </c>
      <c r="K2585" t="s">
        <v>16</v>
      </c>
      <c r="L2585" t="s">
        <v>17</v>
      </c>
      <c r="M2585" t="str">
        <f>REPLACE(Transactions!M2585,1,4,"")</f>
        <v>4</v>
      </c>
    </row>
    <row r="2586" spans="1:13" x14ac:dyDescent="0.2">
      <c r="A2586">
        <v>531353</v>
      </c>
      <c r="B2586" s="5">
        <v>44760</v>
      </c>
      <c r="C2586">
        <v>84165</v>
      </c>
      <c r="D2586" t="str">
        <f>PROPER(Transactions!D2586)</f>
        <v>Electronics</v>
      </c>
      <c r="E2586" t="s">
        <v>77</v>
      </c>
      <c r="F2586" t="s">
        <v>78</v>
      </c>
      <c r="G2586">
        <v>3</v>
      </c>
      <c r="H2586">
        <v>424.99</v>
      </c>
      <c r="I2586" s="7">
        <f>IF(Transactions!I2586="",0,Transactions!I2586)</f>
        <v>0.15</v>
      </c>
      <c r="J2586" s="9">
        <f t="shared" si="40"/>
        <v>1083.7245</v>
      </c>
      <c r="K2586" t="s">
        <v>36</v>
      </c>
      <c r="L2586" t="s">
        <v>17</v>
      </c>
      <c r="M2586" t="str">
        <f>REPLACE(Transactions!M2586,1,4,"")</f>
        <v>11</v>
      </c>
    </row>
    <row r="2587" spans="1:13" x14ac:dyDescent="0.2">
      <c r="A2587">
        <v>531473</v>
      </c>
      <c r="B2587" s="5">
        <v>44837</v>
      </c>
      <c r="C2587">
        <v>81569</v>
      </c>
      <c r="D2587" t="str">
        <f>PROPER(Transactions!D2587)</f>
        <v>Furniture</v>
      </c>
      <c r="E2587" t="s">
        <v>70</v>
      </c>
      <c r="F2587" t="s">
        <v>71</v>
      </c>
      <c r="G2587">
        <v>4</v>
      </c>
      <c r="H2587">
        <v>85.49</v>
      </c>
      <c r="I2587" s="7">
        <f>IF(Transactions!I2587="",0,Transactions!I2587)</f>
        <v>0.05</v>
      </c>
      <c r="J2587" s="9">
        <f t="shared" si="40"/>
        <v>324.86199999999997</v>
      </c>
      <c r="K2587" t="s">
        <v>36</v>
      </c>
      <c r="L2587" t="s">
        <v>37</v>
      </c>
      <c r="M2587" t="str">
        <f>REPLACE(Transactions!M2587,1,4,"")</f>
        <v>13</v>
      </c>
    </row>
    <row r="2588" spans="1:13" x14ac:dyDescent="0.2">
      <c r="A2588">
        <v>531663</v>
      </c>
      <c r="B2588" s="5">
        <v>45584</v>
      </c>
      <c r="C2588">
        <v>62410</v>
      </c>
      <c r="D2588" t="str">
        <f>PROPER(Transactions!D2588)</f>
        <v>Pharmacy</v>
      </c>
      <c r="E2588" t="s">
        <v>115</v>
      </c>
      <c r="F2588" t="s">
        <v>116</v>
      </c>
      <c r="G2588">
        <v>1</v>
      </c>
      <c r="H2588">
        <v>12.34</v>
      </c>
      <c r="I2588" s="7">
        <f>IF(Transactions!I2588="",0,Transactions!I2588)</f>
        <v>0</v>
      </c>
      <c r="J2588" s="9">
        <f t="shared" si="40"/>
        <v>12.34</v>
      </c>
      <c r="K2588" t="s">
        <v>22</v>
      </c>
      <c r="L2588" t="s">
        <v>17</v>
      </c>
      <c r="M2588" t="str">
        <f>REPLACE(Transactions!M2588,1,4,"")</f>
        <v>9</v>
      </c>
    </row>
    <row r="2589" spans="1:13" x14ac:dyDescent="0.2">
      <c r="A2589">
        <v>531761</v>
      </c>
      <c r="B2589" s="5">
        <v>45650</v>
      </c>
      <c r="C2589">
        <v>83588</v>
      </c>
      <c r="D2589" t="str">
        <f>PROPER(Transactions!D2589)</f>
        <v>Electronics</v>
      </c>
      <c r="E2589" t="s">
        <v>159</v>
      </c>
      <c r="F2589" t="s">
        <v>160</v>
      </c>
      <c r="G2589">
        <v>4</v>
      </c>
      <c r="H2589">
        <v>56.99</v>
      </c>
      <c r="I2589" s="7">
        <f>IF(Transactions!I2589="",0,Transactions!I2589)</f>
        <v>0.05</v>
      </c>
      <c r="J2589" s="9">
        <f t="shared" si="40"/>
        <v>216.56199999999998</v>
      </c>
      <c r="K2589" t="s">
        <v>36</v>
      </c>
      <c r="L2589" t="s">
        <v>17</v>
      </c>
      <c r="M2589" t="str">
        <f>REPLACE(Transactions!M2589,1,4,"")</f>
        <v>2</v>
      </c>
    </row>
    <row r="2590" spans="1:13" x14ac:dyDescent="0.2">
      <c r="A2590">
        <v>531804</v>
      </c>
      <c r="B2590" s="5">
        <v>45177</v>
      </c>
      <c r="C2590">
        <v>56697</v>
      </c>
      <c r="D2590" t="str">
        <f>PROPER(Transactions!D2590)</f>
        <v>Automotive</v>
      </c>
      <c r="E2590" t="s">
        <v>125</v>
      </c>
      <c r="F2590" t="s">
        <v>126</v>
      </c>
      <c r="G2590">
        <v>1</v>
      </c>
      <c r="H2590">
        <v>22.49</v>
      </c>
      <c r="I2590" s="7">
        <f>IF(Transactions!I2590="",0,Transactions!I2590)</f>
        <v>0.25</v>
      </c>
      <c r="J2590" s="9">
        <f t="shared" si="40"/>
        <v>16.8675</v>
      </c>
      <c r="K2590" t="s">
        <v>16</v>
      </c>
      <c r="L2590" t="s">
        <v>37</v>
      </c>
      <c r="M2590" t="str">
        <f>REPLACE(Transactions!M2590,1,4,"")</f>
        <v>12</v>
      </c>
    </row>
    <row r="2591" spans="1:13" x14ac:dyDescent="0.2">
      <c r="A2591">
        <v>531830</v>
      </c>
      <c r="B2591" s="5">
        <v>45590</v>
      </c>
      <c r="C2591">
        <v>54005</v>
      </c>
      <c r="D2591" t="str">
        <f>PROPER(Transactions!D2591)</f>
        <v>Furniture</v>
      </c>
      <c r="E2591" t="s">
        <v>51</v>
      </c>
      <c r="F2591" t="s">
        <v>52</v>
      </c>
      <c r="G2591">
        <v>3</v>
      </c>
      <c r="H2591">
        <v>27.99</v>
      </c>
      <c r="I2591" s="7">
        <f>IF(Transactions!I2591="",0,Transactions!I2591)</f>
        <v>0</v>
      </c>
      <c r="J2591" s="9">
        <f t="shared" si="40"/>
        <v>83.97</v>
      </c>
      <c r="K2591" t="s">
        <v>95</v>
      </c>
      <c r="L2591" t="s">
        <v>23</v>
      </c>
      <c r="M2591" t="str">
        <f>REPLACE(Transactions!M2591,1,4,"")</f>
        <v>14</v>
      </c>
    </row>
    <row r="2592" spans="1:13" x14ac:dyDescent="0.2">
      <c r="A2592">
        <v>532065</v>
      </c>
      <c r="B2592" s="5">
        <v>45259</v>
      </c>
      <c r="C2592">
        <v>35228</v>
      </c>
      <c r="D2592" t="str">
        <f>PROPER(Transactions!D2592)</f>
        <v>Automotive</v>
      </c>
      <c r="E2592" t="s">
        <v>111</v>
      </c>
      <c r="F2592" t="s">
        <v>112</v>
      </c>
      <c r="G2592">
        <v>2</v>
      </c>
      <c r="H2592">
        <v>14.99</v>
      </c>
      <c r="I2592" s="7">
        <f>IF(Transactions!I2592="",0,Transactions!I2592)</f>
        <v>0</v>
      </c>
      <c r="J2592" s="9">
        <f t="shared" si="40"/>
        <v>29.98</v>
      </c>
      <c r="K2592" t="s">
        <v>36</v>
      </c>
      <c r="L2592" t="s">
        <v>17</v>
      </c>
      <c r="M2592" t="str">
        <f>REPLACE(Transactions!M2592,1,4,"")</f>
        <v>6</v>
      </c>
    </row>
    <row r="2593" spans="1:13" x14ac:dyDescent="0.2">
      <c r="A2593">
        <v>532126</v>
      </c>
      <c r="B2593" s="5">
        <v>45503</v>
      </c>
      <c r="C2593">
        <v>72402</v>
      </c>
      <c r="D2593" t="str">
        <f>PROPER(Transactions!D2593)</f>
        <v>Pharmacy</v>
      </c>
      <c r="E2593" t="s">
        <v>20</v>
      </c>
      <c r="F2593" t="s">
        <v>21</v>
      </c>
      <c r="G2593">
        <v>2</v>
      </c>
      <c r="H2593">
        <v>9.99</v>
      </c>
      <c r="I2593" s="7">
        <f>IF(Transactions!I2593="",0,Transactions!I2593)</f>
        <v>0</v>
      </c>
      <c r="J2593" s="9">
        <f t="shared" si="40"/>
        <v>19.98</v>
      </c>
      <c r="K2593" t="s">
        <v>36</v>
      </c>
      <c r="L2593" t="s">
        <v>17</v>
      </c>
      <c r="M2593" t="str">
        <f>REPLACE(Transactions!M2593,1,4,"")</f>
        <v>15</v>
      </c>
    </row>
    <row r="2594" spans="1:13" x14ac:dyDescent="0.2">
      <c r="A2594">
        <v>532734</v>
      </c>
      <c r="B2594" s="5">
        <v>45192</v>
      </c>
      <c r="C2594">
        <v>37744</v>
      </c>
      <c r="D2594" t="str">
        <f>PROPER(Transactions!D2594)</f>
        <v>Pharmacy</v>
      </c>
      <c r="E2594" t="s">
        <v>58</v>
      </c>
      <c r="F2594" t="s">
        <v>59</v>
      </c>
      <c r="G2594">
        <v>5</v>
      </c>
      <c r="H2594">
        <v>3.99</v>
      </c>
      <c r="I2594" s="7">
        <f>IF(Transactions!I2594="",0,Transactions!I2594)</f>
        <v>0</v>
      </c>
      <c r="J2594" s="9">
        <f t="shared" si="40"/>
        <v>19.950000000000003</v>
      </c>
      <c r="K2594" t="s">
        <v>16</v>
      </c>
      <c r="L2594" t="s">
        <v>17</v>
      </c>
      <c r="M2594" t="str">
        <f>REPLACE(Transactions!M2594,1,4,"")</f>
        <v>1</v>
      </c>
    </row>
    <row r="2595" spans="1:13" x14ac:dyDescent="0.2">
      <c r="A2595">
        <v>532813</v>
      </c>
      <c r="B2595" s="5">
        <v>45145</v>
      </c>
      <c r="C2595">
        <v>23559</v>
      </c>
      <c r="D2595" t="str">
        <f>PROPER(Transactions!D2595)</f>
        <v>Toys</v>
      </c>
      <c r="E2595" t="s">
        <v>72</v>
      </c>
      <c r="F2595" t="s">
        <v>73</v>
      </c>
      <c r="G2595">
        <v>2</v>
      </c>
      <c r="H2595">
        <v>39.99</v>
      </c>
      <c r="I2595" s="7">
        <f>IF(Transactions!I2595="",0,Transactions!I2595)</f>
        <v>0</v>
      </c>
      <c r="J2595" s="9">
        <f t="shared" si="40"/>
        <v>79.98</v>
      </c>
      <c r="K2595" t="s">
        <v>66</v>
      </c>
      <c r="L2595" t="s">
        <v>17</v>
      </c>
      <c r="M2595" t="str">
        <f>REPLACE(Transactions!M2595,1,4,"")</f>
        <v>5</v>
      </c>
    </row>
    <row r="2596" spans="1:13" x14ac:dyDescent="0.2">
      <c r="A2596">
        <v>533064</v>
      </c>
      <c r="B2596" s="5">
        <v>45043</v>
      </c>
      <c r="C2596">
        <v>20797</v>
      </c>
      <c r="D2596" t="str">
        <f>PROPER(Transactions!D2596)</f>
        <v>Grocery</v>
      </c>
      <c r="E2596" t="s">
        <v>93</v>
      </c>
      <c r="F2596" t="s">
        <v>94</v>
      </c>
      <c r="G2596">
        <v>1</v>
      </c>
      <c r="H2596">
        <v>1.29</v>
      </c>
      <c r="I2596" s="7">
        <f>IF(Transactions!I2596="",0,Transactions!I2596)</f>
        <v>0</v>
      </c>
      <c r="J2596" s="9">
        <f t="shared" si="40"/>
        <v>1.29</v>
      </c>
      <c r="K2596" t="s">
        <v>95</v>
      </c>
      <c r="L2596" t="s">
        <v>17</v>
      </c>
      <c r="M2596" t="str">
        <f>REPLACE(Transactions!M2596,1,4,"")</f>
        <v>11</v>
      </c>
    </row>
    <row r="2597" spans="1:13" x14ac:dyDescent="0.2">
      <c r="A2597">
        <v>533321</v>
      </c>
      <c r="B2597" s="5">
        <v>44889</v>
      </c>
      <c r="C2597">
        <v>32510</v>
      </c>
      <c r="D2597" t="str">
        <f>PROPER(Transactions!D2597)</f>
        <v>Home &amp; Garden</v>
      </c>
      <c r="E2597" t="s">
        <v>129</v>
      </c>
      <c r="F2597" t="s">
        <v>130</v>
      </c>
      <c r="G2597">
        <v>2</v>
      </c>
      <c r="H2597">
        <v>8.99</v>
      </c>
      <c r="I2597" s="7">
        <f>IF(Transactions!I2597="",0,Transactions!I2597)</f>
        <v>0</v>
      </c>
      <c r="J2597" s="9">
        <f t="shared" si="40"/>
        <v>17.98</v>
      </c>
      <c r="K2597" t="s">
        <v>36</v>
      </c>
      <c r="L2597" t="s">
        <v>23</v>
      </c>
      <c r="M2597" t="str">
        <f>REPLACE(Transactions!M2597,1,4,"")</f>
        <v>12</v>
      </c>
    </row>
    <row r="2598" spans="1:13" x14ac:dyDescent="0.2">
      <c r="A2598">
        <v>533485</v>
      </c>
      <c r="B2598" s="5">
        <v>45501</v>
      </c>
      <c r="C2598">
        <v>33207</v>
      </c>
      <c r="D2598" t="str">
        <f>PROPER(Transactions!D2598)</f>
        <v>Grocery</v>
      </c>
      <c r="E2598" t="s">
        <v>184</v>
      </c>
      <c r="F2598" t="s">
        <v>185</v>
      </c>
      <c r="G2598">
        <v>1</v>
      </c>
      <c r="H2598">
        <v>3.84</v>
      </c>
      <c r="I2598" s="7">
        <f>IF(Transactions!I2598="",0,Transactions!I2598)</f>
        <v>0.3</v>
      </c>
      <c r="J2598" s="9">
        <f t="shared" si="40"/>
        <v>2.6879999999999997</v>
      </c>
      <c r="K2598" t="s">
        <v>16</v>
      </c>
      <c r="L2598" t="s">
        <v>17</v>
      </c>
      <c r="M2598" t="str">
        <f>REPLACE(Transactions!M2598,1,4,"")</f>
        <v>1</v>
      </c>
    </row>
    <row r="2599" spans="1:13" x14ac:dyDescent="0.2">
      <c r="A2599">
        <v>533768</v>
      </c>
      <c r="B2599" s="5">
        <v>45354</v>
      </c>
      <c r="C2599">
        <v>78265</v>
      </c>
      <c r="D2599" t="str">
        <f>PROPER(Transactions!D2599)</f>
        <v>Automotive</v>
      </c>
      <c r="E2599" t="s">
        <v>64</v>
      </c>
      <c r="F2599" t="s">
        <v>65</v>
      </c>
      <c r="G2599">
        <v>1</v>
      </c>
      <c r="H2599">
        <v>4.99</v>
      </c>
      <c r="I2599" s="7">
        <f>IF(Transactions!I2599="",0,Transactions!I2599)</f>
        <v>0</v>
      </c>
      <c r="J2599" s="9">
        <f t="shared" si="40"/>
        <v>4.99</v>
      </c>
      <c r="K2599" t="s">
        <v>53</v>
      </c>
      <c r="L2599" t="s">
        <v>17</v>
      </c>
      <c r="M2599" t="str">
        <f>REPLACE(Transactions!M2599,1,4,"")</f>
        <v>15</v>
      </c>
    </row>
    <row r="2600" spans="1:13" x14ac:dyDescent="0.2">
      <c r="A2600">
        <v>534108</v>
      </c>
      <c r="B2600" s="5">
        <v>45128</v>
      </c>
      <c r="C2600">
        <v>77247</v>
      </c>
      <c r="D2600" t="str">
        <f>PROPER(Transactions!D2600)</f>
        <v>Grocery</v>
      </c>
      <c r="E2600" t="s">
        <v>190</v>
      </c>
      <c r="F2600" t="s">
        <v>191</v>
      </c>
      <c r="G2600">
        <v>2</v>
      </c>
      <c r="H2600">
        <v>3.65</v>
      </c>
      <c r="I2600" s="7">
        <f>IF(Transactions!I2600="",0,Transactions!I2600)</f>
        <v>0.15</v>
      </c>
      <c r="J2600" s="9">
        <f t="shared" si="40"/>
        <v>6.2050000000000001</v>
      </c>
      <c r="K2600" t="s">
        <v>95</v>
      </c>
      <c r="L2600" t="s">
        <v>23</v>
      </c>
      <c r="M2600" t="str">
        <f>REPLACE(Transactions!M2600,1,4,"")</f>
        <v>2</v>
      </c>
    </row>
    <row r="2601" spans="1:13" x14ac:dyDescent="0.2">
      <c r="A2601">
        <v>534548</v>
      </c>
      <c r="B2601" s="5">
        <v>44920</v>
      </c>
      <c r="C2601">
        <v>50228</v>
      </c>
      <c r="D2601" t="str">
        <f>PROPER(Transactions!D2601)</f>
        <v>Beauty</v>
      </c>
      <c r="E2601" t="s">
        <v>109</v>
      </c>
      <c r="F2601" t="s">
        <v>110</v>
      </c>
      <c r="G2601">
        <v>1</v>
      </c>
      <c r="H2601">
        <v>5.94</v>
      </c>
      <c r="I2601" s="7">
        <f>IF(Transactions!I2601="",0,Transactions!I2601)</f>
        <v>0.15</v>
      </c>
      <c r="J2601" s="9">
        <f t="shared" si="40"/>
        <v>5.0490000000000004</v>
      </c>
      <c r="K2601" t="s">
        <v>16</v>
      </c>
      <c r="L2601" t="s">
        <v>17</v>
      </c>
      <c r="M2601" t="str">
        <f>REPLACE(Transactions!M2601,1,4,"")</f>
        <v>2</v>
      </c>
    </row>
    <row r="2602" spans="1:13" x14ac:dyDescent="0.2">
      <c r="A2602">
        <v>534765</v>
      </c>
      <c r="B2602" s="5">
        <v>44624</v>
      </c>
      <c r="C2602">
        <v>34056</v>
      </c>
      <c r="D2602" t="str">
        <f>PROPER(Transactions!D2602)</f>
        <v>Clothing</v>
      </c>
      <c r="E2602" t="s">
        <v>121</v>
      </c>
      <c r="F2602" t="s">
        <v>122</v>
      </c>
      <c r="G2602">
        <v>5</v>
      </c>
      <c r="H2602">
        <v>9.74</v>
      </c>
      <c r="I2602" s="7">
        <f>IF(Transactions!I2602="",0,Transactions!I2602)</f>
        <v>0.25</v>
      </c>
      <c r="J2602" s="9">
        <f t="shared" si="40"/>
        <v>36.525000000000006</v>
      </c>
      <c r="K2602" t="s">
        <v>53</v>
      </c>
      <c r="L2602" t="s">
        <v>17</v>
      </c>
      <c r="M2602" t="str">
        <f>REPLACE(Transactions!M2602,1,4,"")</f>
        <v>15</v>
      </c>
    </row>
    <row r="2603" spans="1:13" x14ac:dyDescent="0.2">
      <c r="A2603">
        <v>534868</v>
      </c>
      <c r="B2603" s="5">
        <v>45158</v>
      </c>
      <c r="C2603">
        <v>32953</v>
      </c>
      <c r="D2603" t="str">
        <f>PROPER(Transactions!D2603)</f>
        <v>Beauty</v>
      </c>
      <c r="E2603" t="s">
        <v>139</v>
      </c>
      <c r="F2603" t="s">
        <v>140</v>
      </c>
      <c r="G2603">
        <v>1</v>
      </c>
      <c r="H2603">
        <v>7.99</v>
      </c>
      <c r="I2603" s="7">
        <f>IF(Transactions!I2603="",0,Transactions!I2603)</f>
        <v>0</v>
      </c>
      <c r="J2603" s="9">
        <f t="shared" si="40"/>
        <v>7.99</v>
      </c>
      <c r="K2603" t="s">
        <v>16</v>
      </c>
      <c r="L2603" t="s">
        <v>17</v>
      </c>
      <c r="M2603" t="str">
        <f>REPLACE(Transactions!M2603,1,4,"")</f>
        <v>11</v>
      </c>
    </row>
    <row r="2604" spans="1:13" x14ac:dyDescent="0.2">
      <c r="A2604">
        <v>534984</v>
      </c>
      <c r="B2604" s="5">
        <v>44609</v>
      </c>
      <c r="C2604">
        <v>96750</v>
      </c>
      <c r="D2604" t="str">
        <f>PROPER(Transactions!D2604)</f>
        <v>Beauty</v>
      </c>
      <c r="E2604" t="s">
        <v>109</v>
      </c>
      <c r="F2604" t="s">
        <v>110</v>
      </c>
      <c r="G2604">
        <v>2</v>
      </c>
      <c r="H2604">
        <v>6.64</v>
      </c>
      <c r="I2604" s="7">
        <f>IF(Transactions!I2604="",0,Transactions!I2604)</f>
        <v>0.05</v>
      </c>
      <c r="J2604" s="9">
        <f t="shared" si="40"/>
        <v>12.616</v>
      </c>
      <c r="K2604" t="s">
        <v>22</v>
      </c>
      <c r="L2604" t="s">
        <v>23</v>
      </c>
      <c r="M2604" t="str">
        <f>REPLACE(Transactions!M2604,1,4,"")</f>
        <v>18</v>
      </c>
    </row>
    <row r="2605" spans="1:13" x14ac:dyDescent="0.2">
      <c r="A2605">
        <v>535029</v>
      </c>
      <c r="B2605" s="5">
        <v>44991</v>
      </c>
      <c r="C2605">
        <v>77973</v>
      </c>
      <c r="D2605" t="str">
        <f>PROPER(Transactions!D2605)</f>
        <v>Electronics</v>
      </c>
      <c r="E2605" t="s">
        <v>77</v>
      </c>
      <c r="F2605" t="s">
        <v>78</v>
      </c>
      <c r="G2605">
        <v>1</v>
      </c>
      <c r="H2605">
        <v>449.99</v>
      </c>
      <c r="I2605" s="7">
        <f>IF(Transactions!I2605="",0,Transactions!I2605)</f>
        <v>0</v>
      </c>
      <c r="J2605" s="9">
        <f t="shared" si="40"/>
        <v>449.99</v>
      </c>
      <c r="K2605" t="s">
        <v>16</v>
      </c>
      <c r="L2605" t="s">
        <v>17</v>
      </c>
      <c r="M2605" t="str">
        <f>REPLACE(Transactions!M2605,1,4,"")</f>
        <v>5</v>
      </c>
    </row>
    <row r="2606" spans="1:13" x14ac:dyDescent="0.2">
      <c r="A2606">
        <v>535368</v>
      </c>
      <c r="B2606" s="5">
        <v>45287</v>
      </c>
      <c r="C2606">
        <v>28143</v>
      </c>
      <c r="D2606" t="str">
        <f>PROPER(Transactions!D2606)</f>
        <v>Electronics</v>
      </c>
      <c r="E2606" t="s">
        <v>14</v>
      </c>
      <c r="F2606" t="s">
        <v>15</v>
      </c>
      <c r="G2606">
        <v>1</v>
      </c>
      <c r="H2606">
        <v>59.99</v>
      </c>
      <c r="I2606" s="7">
        <f>IF(Transactions!I2606="",0,Transactions!I2606)</f>
        <v>0.25</v>
      </c>
      <c r="J2606" s="9">
        <f t="shared" si="40"/>
        <v>44.9925</v>
      </c>
      <c r="K2606" t="s">
        <v>36</v>
      </c>
      <c r="L2606" t="s">
        <v>37</v>
      </c>
      <c r="M2606" t="str">
        <f>REPLACE(Transactions!M2606,1,4,"")</f>
        <v>4</v>
      </c>
    </row>
    <row r="2607" spans="1:13" x14ac:dyDescent="0.2">
      <c r="A2607">
        <v>535520</v>
      </c>
      <c r="B2607" s="5">
        <v>45413</v>
      </c>
      <c r="C2607">
        <v>16903</v>
      </c>
      <c r="D2607" t="str">
        <f>PROPER(Transactions!D2607)</f>
        <v>Clothing</v>
      </c>
      <c r="E2607" t="s">
        <v>141</v>
      </c>
      <c r="F2607" t="s">
        <v>142</v>
      </c>
      <c r="G2607">
        <v>1</v>
      </c>
      <c r="H2607">
        <v>21.84</v>
      </c>
      <c r="I2607" s="7">
        <f>IF(Transactions!I2607="",0,Transactions!I2607)</f>
        <v>0.05</v>
      </c>
      <c r="J2607" s="9">
        <f t="shared" si="40"/>
        <v>20.747999999999998</v>
      </c>
      <c r="K2607" t="s">
        <v>16</v>
      </c>
      <c r="L2607" t="s">
        <v>17</v>
      </c>
      <c r="M2607" t="str">
        <f>REPLACE(Transactions!M2607,1,4,"")</f>
        <v>7</v>
      </c>
    </row>
    <row r="2608" spans="1:13" x14ac:dyDescent="0.2">
      <c r="A2608">
        <v>535571</v>
      </c>
      <c r="B2608" s="5">
        <v>44903</v>
      </c>
      <c r="C2608">
        <v>82933</v>
      </c>
      <c r="D2608" t="str">
        <f>PROPER(Transactions!D2608)</f>
        <v>Pharmacy</v>
      </c>
      <c r="E2608" t="s">
        <v>20</v>
      </c>
      <c r="F2608" t="s">
        <v>21</v>
      </c>
      <c r="G2608">
        <v>2</v>
      </c>
      <c r="H2608">
        <v>8.49</v>
      </c>
      <c r="I2608" s="7">
        <f>IF(Transactions!I2608="",0,Transactions!I2608)</f>
        <v>0.15</v>
      </c>
      <c r="J2608" s="9">
        <f t="shared" si="40"/>
        <v>14.433</v>
      </c>
      <c r="K2608" t="s">
        <v>95</v>
      </c>
      <c r="L2608" t="s">
        <v>17</v>
      </c>
      <c r="M2608" t="str">
        <f>REPLACE(Transactions!M2608,1,4,"")</f>
        <v>7</v>
      </c>
    </row>
    <row r="2609" spans="1:13" x14ac:dyDescent="0.2">
      <c r="A2609">
        <v>535643</v>
      </c>
      <c r="B2609" s="5">
        <v>45561</v>
      </c>
      <c r="C2609">
        <v>48183</v>
      </c>
      <c r="D2609" t="str">
        <f>PROPER(Transactions!D2609)</f>
        <v>Clothing</v>
      </c>
      <c r="E2609" t="s">
        <v>181</v>
      </c>
      <c r="F2609" t="s">
        <v>182</v>
      </c>
      <c r="G2609">
        <v>1</v>
      </c>
      <c r="H2609">
        <v>13.49</v>
      </c>
      <c r="I2609" s="7">
        <f>IF(Transactions!I2609="",0,Transactions!I2609)</f>
        <v>0.1</v>
      </c>
      <c r="J2609" s="9">
        <f t="shared" si="40"/>
        <v>12.141</v>
      </c>
      <c r="K2609" t="s">
        <v>32</v>
      </c>
      <c r="L2609" t="s">
        <v>37</v>
      </c>
      <c r="M2609" t="str">
        <f>REPLACE(Transactions!M2609,1,4,"")</f>
        <v>10</v>
      </c>
    </row>
    <row r="2610" spans="1:13" x14ac:dyDescent="0.2">
      <c r="A2610">
        <v>535663</v>
      </c>
      <c r="B2610" s="5">
        <v>44977</v>
      </c>
      <c r="C2610">
        <v>93154</v>
      </c>
      <c r="D2610" t="str">
        <f>PROPER(Transactions!D2610)</f>
        <v>Pharmacy</v>
      </c>
      <c r="E2610" t="s">
        <v>197</v>
      </c>
      <c r="F2610" t="s">
        <v>198</v>
      </c>
      <c r="G2610">
        <v>4</v>
      </c>
      <c r="H2610">
        <v>12.74</v>
      </c>
      <c r="I2610" s="7">
        <f>IF(Transactions!I2610="",0,Transactions!I2610)</f>
        <v>0.15</v>
      </c>
      <c r="J2610" s="9">
        <f t="shared" si="40"/>
        <v>43.316000000000003</v>
      </c>
      <c r="K2610" t="s">
        <v>16</v>
      </c>
      <c r="L2610" t="s">
        <v>17</v>
      </c>
      <c r="M2610" t="str">
        <f>REPLACE(Transactions!M2610,1,4,"")</f>
        <v>8</v>
      </c>
    </row>
    <row r="2611" spans="1:13" x14ac:dyDescent="0.2">
      <c r="A2611">
        <v>535673</v>
      </c>
      <c r="B2611" s="5">
        <v>45159</v>
      </c>
      <c r="C2611">
        <v>82255</v>
      </c>
      <c r="D2611" t="str">
        <f>PROPER(Transactions!D2611)</f>
        <v>Grocery</v>
      </c>
      <c r="E2611" t="s">
        <v>93</v>
      </c>
      <c r="F2611" t="s">
        <v>94</v>
      </c>
      <c r="G2611">
        <v>3</v>
      </c>
      <c r="H2611">
        <v>0.9</v>
      </c>
      <c r="I2611" s="7">
        <f>IF(Transactions!I2611="",0,Transactions!I2611)</f>
        <v>0.3</v>
      </c>
      <c r="J2611" s="9">
        <f t="shared" si="40"/>
        <v>1.89</v>
      </c>
      <c r="K2611" t="s">
        <v>16</v>
      </c>
      <c r="L2611" t="s">
        <v>23</v>
      </c>
      <c r="M2611" t="str">
        <f>REPLACE(Transactions!M2611,1,4,"")</f>
        <v>16</v>
      </c>
    </row>
    <row r="2612" spans="1:13" x14ac:dyDescent="0.2">
      <c r="A2612">
        <v>535697</v>
      </c>
      <c r="B2612" s="5">
        <v>45610</v>
      </c>
      <c r="C2612">
        <v>57471</v>
      </c>
      <c r="D2612" t="str">
        <f>PROPER(Transactions!D2612)</f>
        <v>Home &amp; Garden</v>
      </c>
      <c r="E2612" t="s">
        <v>86</v>
      </c>
      <c r="F2612" t="s">
        <v>87</v>
      </c>
      <c r="G2612">
        <v>1</v>
      </c>
      <c r="H2612">
        <v>10.39</v>
      </c>
      <c r="I2612" s="7">
        <f>IF(Transactions!I2612="",0,Transactions!I2612)</f>
        <v>0.2</v>
      </c>
      <c r="J2612" s="9">
        <f t="shared" si="40"/>
        <v>8.3120000000000012</v>
      </c>
      <c r="K2612" t="s">
        <v>16</v>
      </c>
      <c r="L2612" t="s">
        <v>17</v>
      </c>
      <c r="M2612" t="str">
        <f>REPLACE(Transactions!M2612,1,4,"")</f>
        <v>4</v>
      </c>
    </row>
    <row r="2613" spans="1:13" x14ac:dyDescent="0.2">
      <c r="A2613">
        <v>536019</v>
      </c>
      <c r="B2613" s="5">
        <v>45587</v>
      </c>
      <c r="C2613">
        <v>74166</v>
      </c>
      <c r="D2613" t="str">
        <f>PROPER(Transactions!D2613)</f>
        <v>Home &amp; Garden</v>
      </c>
      <c r="E2613" t="s">
        <v>129</v>
      </c>
      <c r="F2613" t="s">
        <v>130</v>
      </c>
      <c r="G2613">
        <v>2</v>
      </c>
      <c r="H2613">
        <v>7.64</v>
      </c>
      <c r="I2613" s="7">
        <f>IF(Transactions!I2613="",0,Transactions!I2613)</f>
        <v>0.15</v>
      </c>
      <c r="J2613" s="9">
        <f t="shared" si="40"/>
        <v>12.988</v>
      </c>
      <c r="K2613" t="s">
        <v>36</v>
      </c>
      <c r="L2613" t="s">
        <v>23</v>
      </c>
      <c r="M2613" t="str">
        <f>REPLACE(Transactions!M2613,1,4,"")</f>
        <v>2</v>
      </c>
    </row>
    <row r="2614" spans="1:13" x14ac:dyDescent="0.2">
      <c r="A2614">
        <v>536287</v>
      </c>
      <c r="B2614" s="5">
        <v>44944</v>
      </c>
      <c r="C2614">
        <v>36048</v>
      </c>
      <c r="D2614" t="str">
        <f>PROPER(Transactions!D2614)</f>
        <v>Pharmacy</v>
      </c>
      <c r="E2614" t="s">
        <v>41</v>
      </c>
      <c r="F2614" t="s">
        <v>42</v>
      </c>
      <c r="G2614">
        <v>3</v>
      </c>
      <c r="H2614">
        <v>4.49</v>
      </c>
      <c r="I2614" s="7">
        <f>IF(Transactions!I2614="",0,Transactions!I2614)</f>
        <v>0.25</v>
      </c>
      <c r="J2614" s="9">
        <f t="shared" si="40"/>
        <v>10.102500000000001</v>
      </c>
      <c r="K2614" t="s">
        <v>22</v>
      </c>
      <c r="L2614" t="s">
        <v>37</v>
      </c>
      <c r="M2614" t="str">
        <f>REPLACE(Transactions!M2614,1,4,"")</f>
        <v>18</v>
      </c>
    </row>
    <row r="2615" spans="1:13" x14ac:dyDescent="0.2">
      <c r="A2615">
        <v>536308</v>
      </c>
      <c r="B2615" s="5">
        <v>44788</v>
      </c>
      <c r="C2615">
        <v>97941</v>
      </c>
      <c r="D2615" t="str">
        <f>PROPER(Transactions!D2615)</f>
        <v>Electronics</v>
      </c>
      <c r="E2615" t="s">
        <v>186</v>
      </c>
      <c r="F2615" t="s">
        <v>187</v>
      </c>
      <c r="G2615">
        <v>4</v>
      </c>
      <c r="H2615">
        <v>49.99</v>
      </c>
      <c r="I2615" s="7">
        <f>IF(Transactions!I2615="",0,Transactions!I2615)</f>
        <v>0</v>
      </c>
      <c r="J2615" s="9">
        <f t="shared" si="40"/>
        <v>199.96</v>
      </c>
      <c r="K2615" t="s">
        <v>16</v>
      </c>
      <c r="L2615" t="s">
        <v>37</v>
      </c>
      <c r="M2615" t="str">
        <f>REPLACE(Transactions!M2615,1,4,"")</f>
        <v>1</v>
      </c>
    </row>
    <row r="2616" spans="1:13" x14ac:dyDescent="0.2">
      <c r="A2616">
        <v>536489</v>
      </c>
      <c r="B2616" s="5">
        <v>45159</v>
      </c>
      <c r="C2616">
        <v>64745</v>
      </c>
      <c r="D2616" t="str">
        <f>PROPER(Transactions!D2616)</f>
        <v>Grocery</v>
      </c>
      <c r="E2616" t="s">
        <v>45</v>
      </c>
      <c r="F2616" t="s">
        <v>46</v>
      </c>
      <c r="G2616">
        <v>1</v>
      </c>
      <c r="H2616">
        <v>1.61</v>
      </c>
      <c r="I2616" s="7">
        <f>IF(Transactions!I2616="",0,Transactions!I2616)</f>
        <v>0.1</v>
      </c>
      <c r="J2616" s="9">
        <f t="shared" si="40"/>
        <v>1.4490000000000001</v>
      </c>
      <c r="K2616" t="s">
        <v>16</v>
      </c>
      <c r="L2616" t="s">
        <v>17</v>
      </c>
      <c r="M2616" t="str">
        <f>REPLACE(Transactions!M2616,1,4,"")</f>
        <v>15</v>
      </c>
    </row>
    <row r="2617" spans="1:13" x14ac:dyDescent="0.2">
      <c r="A2617">
        <v>536548</v>
      </c>
      <c r="B2617" s="5">
        <v>45342</v>
      </c>
      <c r="C2617">
        <v>80507</v>
      </c>
      <c r="D2617" t="str">
        <f>PROPER(Transactions!D2617)</f>
        <v>Electronics</v>
      </c>
      <c r="E2617" t="s">
        <v>104</v>
      </c>
      <c r="F2617" t="s">
        <v>105</v>
      </c>
      <c r="G2617">
        <v>1</v>
      </c>
      <c r="H2617">
        <v>20.99</v>
      </c>
      <c r="I2617" s="7">
        <f>IF(Transactions!I2617="",0,Transactions!I2617)</f>
        <v>0.3</v>
      </c>
      <c r="J2617" s="9">
        <f t="shared" si="40"/>
        <v>14.692999999999998</v>
      </c>
      <c r="K2617" t="s">
        <v>16</v>
      </c>
      <c r="L2617" t="s">
        <v>17</v>
      </c>
      <c r="M2617" t="str">
        <f>REPLACE(Transactions!M2617,1,4,"")</f>
        <v>7</v>
      </c>
    </row>
    <row r="2618" spans="1:13" x14ac:dyDescent="0.2">
      <c r="A2618">
        <v>536802</v>
      </c>
      <c r="B2618" s="5">
        <v>44565</v>
      </c>
      <c r="C2618">
        <v>57265</v>
      </c>
      <c r="D2618" t="str">
        <f>PROPER(Transactions!D2618)</f>
        <v>Grocery</v>
      </c>
      <c r="E2618" t="s">
        <v>172</v>
      </c>
      <c r="F2618" t="s">
        <v>173</v>
      </c>
      <c r="G2618">
        <v>1</v>
      </c>
      <c r="H2618">
        <v>3.82</v>
      </c>
      <c r="I2618" s="7">
        <f>IF(Transactions!I2618="",0,Transactions!I2618)</f>
        <v>0.15</v>
      </c>
      <c r="J2618" s="9">
        <f t="shared" si="40"/>
        <v>3.2469999999999999</v>
      </c>
      <c r="K2618" t="s">
        <v>36</v>
      </c>
      <c r="L2618" t="s">
        <v>37</v>
      </c>
      <c r="M2618" t="str">
        <f>REPLACE(Transactions!M2618,1,4,"")</f>
        <v>19</v>
      </c>
    </row>
    <row r="2619" spans="1:13" x14ac:dyDescent="0.2">
      <c r="A2619">
        <v>536811</v>
      </c>
      <c r="B2619" s="5">
        <v>44882</v>
      </c>
      <c r="C2619">
        <v>31228</v>
      </c>
      <c r="D2619" t="str">
        <f>PROPER(Transactions!D2619)</f>
        <v>Clothing</v>
      </c>
      <c r="E2619" t="s">
        <v>165</v>
      </c>
      <c r="F2619" t="s">
        <v>166</v>
      </c>
      <c r="G2619">
        <v>3</v>
      </c>
      <c r="H2619">
        <v>80.989999999999995</v>
      </c>
      <c r="I2619" s="7">
        <f>IF(Transactions!I2619="",0,Transactions!I2619)</f>
        <v>0.1</v>
      </c>
      <c r="J2619" s="9">
        <f t="shared" si="40"/>
        <v>218.67299999999997</v>
      </c>
      <c r="K2619" t="s">
        <v>36</v>
      </c>
      <c r="L2619" t="s">
        <v>17</v>
      </c>
      <c r="M2619" t="str">
        <f>REPLACE(Transactions!M2619,1,4,"")</f>
        <v>19</v>
      </c>
    </row>
    <row r="2620" spans="1:13" x14ac:dyDescent="0.2">
      <c r="A2620">
        <v>536943</v>
      </c>
      <c r="B2620" s="5">
        <v>45322</v>
      </c>
      <c r="C2620">
        <v>17640</v>
      </c>
      <c r="D2620" t="str">
        <f>PROPER(Transactions!D2620)</f>
        <v>Sports</v>
      </c>
      <c r="E2620" t="s">
        <v>188</v>
      </c>
      <c r="F2620" t="s">
        <v>189</v>
      </c>
      <c r="G2620">
        <v>2</v>
      </c>
      <c r="H2620">
        <v>35.99</v>
      </c>
      <c r="I2620" s="7">
        <f>IF(Transactions!I2620="",0,Transactions!I2620)</f>
        <v>0.2</v>
      </c>
      <c r="J2620" s="9">
        <f t="shared" si="40"/>
        <v>57.584000000000003</v>
      </c>
      <c r="K2620" t="s">
        <v>95</v>
      </c>
      <c r="L2620" t="s">
        <v>17</v>
      </c>
      <c r="M2620" t="str">
        <f>REPLACE(Transactions!M2620,1,4,"")</f>
        <v>2</v>
      </c>
    </row>
    <row r="2621" spans="1:13" x14ac:dyDescent="0.2">
      <c r="A2621">
        <v>537125</v>
      </c>
      <c r="B2621" s="5">
        <v>45161</v>
      </c>
      <c r="C2621">
        <v>65258</v>
      </c>
      <c r="D2621" t="str">
        <f>PROPER(Transactions!D2621)</f>
        <v>Beauty</v>
      </c>
      <c r="E2621" t="s">
        <v>139</v>
      </c>
      <c r="F2621" t="s">
        <v>140</v>
      </c>
      <c r="G2621">
        <v>1</v>
      </c>
      <c r="H2621">
        <v>6.79</v>
      </c>
      <c r="I2621" s="7">
        <f>IF(Transactions!I2621="",0,Transactions!I2621)</f>
        <v>0.15</v>
      </c>
      <c r="J2621" s="9">
        <f t="shared" si="40"/>
        <v>5.7714999999999996</v>
      </c>
      <c r="K2621" t="s">
        <v>53</v>
      </c>
      <c r="L2621" t="s">
        <v>17</v>
      </c>
      <c r="M2621" t="str">
        <f>REPLACE(Transactions!M2621,1,4,"")</f>
        <v>4</v>
      </c>
    </row>
    <row r="2622" spans="1:13" x14ac:dyDescent="0.2">
      <c r="A2622">
        <v>537224</v>
      </c>
      <c r="B2622" s="5">
        <v>44731</v>
      </c>
      <c r="D2622" t="str">
        <f>PROPER(Transactions!D2622)</f>
        <v>Grocery</v>
      </c>
      <c r="E2622" t="s">
        <v>190</v>
      </c>
      <c r="F2622" t="s">
        <v>191</v>
      </c>
      <c r="G2622">
        <v>2</v>
      </c>
      <c r="H2622">
        <v>4.29</v>
      </c>
      <c r="I2622" s="7">
        <f>IF(Transactions!I2622="",0,Transactions!I2622)</f>
        <v>0</v>
      </c>
      <c r="J2622" s="9">
        <f t="shared" si="40"/>
        <v>8.58</v>
      </c>
      <c r="K2622" t="s">
        <v>36</v>
      </c>
      <c r="L2622" t="s">
        <v>17</v>
      </c>
      <c r="M2622" t="str">
        <f>REPLACE(Transactions!M2622,1,4,"")</f>
        <v>19</v>
      </c>
    </row>
    <row r="2623" spans="1:13" x14ac:dyDescent="0.2">
      <c r="A2623">
        <v>537951</v>
      </c>
      <c r="B2623" s="5">
        <v>45264</v>
      </c>
      <c r="C2623">
        <v>38354</v>
      </c>
      <c r="D2623" t="str">
        <f>PROPER(Transactions!D2623)</f>
        <v>Toys</v>
      </c>
      <c r="E2623" t="s">
        <v>88</v>
      </c>
      <c r="F2623" t="s">
        <v>89</v>
      </c>
      <c r="G2623">
        <v>5</v>
      </c>
      <c r="H2623">
        <v>37.49</v>
      </c>
      <c r="I2623" s="7">
        <f>IF(Transactions!I2623="",0,Transactions!I2623)</f>
        <v>0.25</v>
      </c>
      <c r="J2623" s="9">
        <f t="shared" si="40"/>
        <v>140.58750000000001</v>
      </c>
      <c r="K2623" t="s">
        <v>36</v>
      </c>
      <c r="L2623" t="s">
        <v>17</v>
      </c>
      <c r="M2623" t="str">
        <f>REPLACE(Transactions!M2623,1,4,"")</f>
        <v>20</v>
      </c>
    </row>
    <row r="2624" spans="1:13" x14ac:dyDescent="0.2">
      <c r="A2624">
        <v>537983</v>
      </c>
      <c r="B2624" s="5">
        <v>45441</v>
      </c>
      <c r="C2624">
        <v>32527</v>
      </c>
      <c r="D2624" t="str">
        <f>PROPER(Transactions!D2624)</f>
        <v>Pharmacy</v>
      </c>
      <c r="E2624" t="s">
        <v>20</v>
      </c>
      <c r="F2624" t="s">
        <v>21</v>
      </c>
      <c r="G2624">
        <v>3</v>
      </c>
      <c r="H2624">
        <v>7.99</v>
      </c>
      <c r="I2624" s="7">
        <f>IF(Transactions!I2624="",0,Transactions!I2624)</f>
        <v>0.2</v>
      </c>
      <c r="J2624" s="9">
        <f t="shared" si="40"/>
        <v>19.175999999999998</v>
      </c>
      <c r="K2624" t="s">
        <v>95</v>
      </c>
      <c r="L2624" t="s">
        <v>17</v>
      </c>
      <c r="M2624" t="str">
        <f>REPLACE(Transactions!M2624,1,4,"")</f>
        <v>17</v>
      </c>
    </row>
    <row r="2625" spans="1:13" x14ac:dyDescent="0.2">
      <c r="A2625">
        <v>537995</v>
      </c>
      <c r="B2625" s="5">
        <v>45326</v>
      </c>
      <c r="C2625">
        <v>85578</v>
      </c>
      <c r="D2625" t="str">
        <f>PROPER(Transactions!D2625)</f>
        <v>Home &amp; Garden</v>
      </c>
      <c r="E2625" t="s">
        <v>137</v>
      </c>
      <c r="F2625" t="s">
        <v>138</v>
      </c>
      <c r="G2625">
        <v>3</v>
      </c>
      <c r="H2625">
        <v>5.99</v>
      </c>
      <c r="I2625" s="7">
        <f>IF(Transactions!I2625="",0,Transactions!I2625)</f>
        <v>0.25</v>
      </c>
      <c r="J2625" s="9">
        <f t="shared" si="40"/>
        <v>13.477499999999999</v>
      </c>
      <c r="K2625" t="s">
        <v>16</v>
      </c>
      <c r="L2625" t="s">
        <v>17</v>
      </c>
      <c r="M2625" t="str">
        <f>REPLACE(Transactions!M2625,1,4,"")</f>
        <v>2</v>
      </c>
    </row>
    <row r="2626" spans="1:13" x14ac:dyDescent="0.2">
      <c r="A2626">
        <v>538070</v>
      </c>
      <c r="B2626" s="5">
        <v>45573</v>
      </c>
      <c r="C2626">
        <v>94153</v>
      </c>
      <c r="D2626" t="str">
        <f>PROPER(Transactions!D2626)</f>
        <v>Furniture</v>
      </c>
      <c r="E2626" t="s">
        <v>26</v>
      </c>
      <c r="F2626" t="s">
        <v>27</v>
      </c>
      <c r="G2626">
        <v>1</v>
      </c>
      <c r="H2626">
        <v>26.24</v>
      </c>
      <c r="I2626" s="7">
        <f>IF(Transactions!I2626="",0,Transactions!I2626)</f>
        <v>0.25</v>
      </c>
      <c r="J2626" s="9">
        <f t="shared" si="40"/>
        <v>19.68</v>
      </c>
      <c r="K2626" t="s">
        <v>16</v>
      </c>
      <c r="L2626" t="s">
        <v>17</v>
      </c>
      <c r="M2626" t="str">
        <f>REPLACE(Transactions!M2626,1,4,"")</f>
        <v>3</v>
      </c>
    </row>
    <row r="2627" spans="1:13" x14ac:dyDescent="0.2">
      <c r="A2627">
        <v>538091</v>
      </c>
      <c r="B2627" s="5">
        <v>44875</v>
      </c>
      <c r="C2627">
        <v>23468</v>
      </c>
      <c r="D2627" t="str">
        <f>PROPER(Transactions!D2627)</f>
        <v>Grocery</v>
      </c>
      <c r="E2627" t="s">
        <v>45</v>
      </c>
      <c r="F2627" t="s">
        <v>46</v>
      </c>
      <c r="G2627">
        <v>2</v>
      </c>
      <c r="H2627">
        <v>1.79</v>
      </c>
      <c r="I2627" s="7">
        <f>IF(Transactions!I2627="",0,Transactions!I2627)</f>
        <v>0</v>
      </c>
      <c r="J2627" s="9">
        <f t="shared" ref="J2627:J2690" si="41">(H2627*G2627)*(1-I2627)</f>
        <v>3.58</v>
      </c>
      <c r="K2627" t="s">
        <v>16</v>
      </c>
      <c r="L2627" t="s">
        <v>17</v>
      </c>
      <c r="M2627" t="str">
        <f>REPLACE(Transactions!M2627,1,4,"")</f>
        <v>13</v>
      </c>
    </row>
    <row r="2628" spans="1:13" x14ac:dyDescent="0.2">
      <c r="A2628">
        <v>538495</v>
      </c>
      <c r="B2628" s="5">
        <v>44949</v>
      </c>
      <c r="C2628">
        <v>86971</v>
      </c>
      <c r="D2628" t="str">
        <f>PROPER(Transactions!D2628)</f>
        <v>Electronics</v>
      </c>
      <c r="E2628" t="s">
        <v>77</v>
      </c>
      <c r="F2628" t="s">
        <v>78</v>
      </c>
      <c r="G2628">
        <v>1</v>
      </c>
      <c r="H2628">
        <v>449.99</v>
      </c>
      <c r="I2628" s="7">
        <f>IF(Transactions!I2628="",0,Transactions!I2628)</f>
        <v>0.1</v>
      </c>
      <c r="J2628" s="9">
        <f t="shared" si="41"/>
        <v>404.99100000000004</v>
      </c>
      <c r="K2628" t="s">
        <v>53</v>
      </c>
      <c r="L2628" t="s">
        <v>17</v>
      </c>
      <c r="M2628" t="str">
        <f>REPLACE(Transactions!M2628,1,4,"")</f>
        <v>17</v>
      </c>
    </row>
    <row r="2629" spans="1:13" x14ac:dyDescent="0.2">
      <c r="A2629">
        <v>538535</v>
      </c>
      <c r="B2629" s="5">
        <v>44825</v>
      </c>
      <c r="D2629" t="str">
        <f>PROPER(Transactions!D2629)</f>
        <v>Beauty</v>
      </c>
      <c r="E2629" t="s">
        <v>143</v>
      </c>
      <c r="F2629" t="s">
        <v>144</v>
      </c>
      <c r="G2629">
        <v>1</v>
      </c>
      <c r="H2629">
        <v>14.99</v>
      </c>
      <c r="I2629" s="7">
        <f>IF(Transactions!I2629="",0,Transactions!I2629)</f>
        <v>0</v>
      </c>
      <c r="J2629" s="9">
        <f t="shared" si="41"/>
        <v>14.99</v>
      </c>
      <c r="K2629" t="s">
        <v>36</v>
      </c>
      <c r="L2629" t="s">
        <v>37</v>
      </c>
      <c r="M2629" t="str">
        <f>REPLACE(Transactions!M2629,1,4,"")</f>
        <v>7</v>
      </c>
    </row>
    <row r="2630" spans="1:13" x14ac:dyDescent="0.2">
      <c r="A2630">
        <v>538591</v>
      </c>
      <c r="B2630" s="5">
        <v>45276</v>
      </c>
      <c r="C2630">
        <v>22139</v>
      </c>
      <c r="D2630" t="str">
        <f>PROPER(Transactions!D2630)</f>
        <v>Home &amp; Garden</v>
      </c>
      <c r="E2630" t="s">
        <v>145</v>
      </c>
      <c r="F2630" t="s">
        <v>146</v>
      </c>
      <c r="G2630">
        <v>5</v>
      </c>
      <c r="H2630">
        <v>15.29</v>
      </c>
      <c r="I2630" s="7">
        <f>IF(Transactions!I2630="",0,Transactions!I2630)</f>
        <v>0.1</v>
      </c>
      <c r="J2630" s="9">
        <f t="shared" si="41"/>
        <v>68.804999999999993</v>
      </c>
      <c r="K2630" t="s">
        <v>36</v>
      </c>
      <c r="L2630" t="s">
        <v>23</v>
      </c>
      <c r="M2630" t="str">
        <f>REPLACE(Transactions!M2630,1,4,"")</f>
        <v>5</v>
      </c>
    </row>
    <row r="2631" spans="1:13" x14ac:dyDescent="0.2">
      <c r="A2631">
        <v>538631</v>
      </c>
      <c r="B2631" s="5">
        <v>44837</v>
      </c>
      <c r="C2631">
        <v>72506</v>
      </c>
      <c r="D2631" t="str">
        <f>PROPER(Transactions!D2631)</f>
        <v>Beauty</v>
      </c>
      <c r="E2631" t="s">
        <v>143</v>
      </c>
      <c r="F2631" t="s">
        <v>144</v>
      </c>
      <c r="G2631">
        <v>3</v>
      </c>
      <c r="H2631">
        <v>11.99</v>
      </c>
      <c r="I2631" s="7">
        <f>IF(Transactions!I2631="",0,Transactions!I2631)</f>
        <v>0.2</v>
      </c>
      <c r="J2631" s="9">
        <f t="shared" si="41"/>
        <v>28.776</v>
      </c>
      <c r="K2631" t="s">
        <v>16</v>
      </c>
      <c r="L2631" t="s">
        <v>17</v>
      </c>
      <c r="M2631" t="str">
        <f>REPLACE(Transactions!M2631,1,4,"")</f>
        <v>15</v>
      </c>
    </row>
    <row r="2632" spans="1:13" x14ac:dyDescent="0.2">
      <c r="A2632">
        <v>538902</v>
      </c>
      <c r="B2632" s="5">
        <v>45163</v>
      </c>
      <c r="C2632">
        <v>82130</v>
      </c>
      <c r="D2632" t="str">
        <f>PROPER(Transactions!D2632)</f>
        <v>Grocery</v>
      </c>
      <c r="E2632" t="s">
        <v>172</v>
      </c>
      <c r="F2632" t="s">
        <v>173</v>
      </c>
      <c r="G2632">
        <v>1</v>
      </c>
      <c r="H2632">
        <v>3.14</v>
      </c>
      <c r="I2632" s="7">
        <f>IF(Transactions!I2632="",0,Transactions!I2632)</f>
        <v>0.3</v>
      </c>
      <c r="J2632" s="9">
        <f t="shared" si="41"/>
        <v>2.198</v>
      </c>
      <c r="K2632" t="s">
        <v>36</v>
      </c>
      <c r="L2632" t="s">
        <v>17</v>
      </c>
      <c r="M2632" t="str">
        <f>REPLACE(Transactions!M2632,1,4,"")</f>
        <v>5</v>
      </c>
    </row>
    <row r="2633" spans="1:13" x14ac:dyDescent="0.2">
      <c r="A2633">
        <v>538967</v>
      </c>
      <c r="B2633" s="5">
        <v>44686</v>
      </c>
      <c r="C2633">
        <v>85066</v>
      </c>
      <c r="D2633" t="str">
        <f>PROPER(Transactions!D2633)</f>
        <v>Beauty</v>
      </c>
      <c r="E2633" t="s">
        <v>139</v>
      </c>
      <c r="F2633" t="s">
        <v>140</v>
      </c>
      <c r="G2633">
        <v>4</v>
      </c>
      <c r="H2633">
        <v>6.39</v>
      </c>
      <c r="I2633" s="7">
        <f>IF(Transactions!I2633="",0,Transactions!I2633)</f>
        <v>0.2</v>
      </c>
      <c r="J2633" s="9">
        <f t="shared" si="41"/>
        <v>20.448</v>
      </c>
      <c r="K2633" t="s">
        <v>95</v>
      </c>
      <c r="L2633" t="s">
        <v>37</v>
      </c>
      <c r="M2633" t="str">
        <f>REPLACE(Transactions!M2633,1,4,"")</f>
        <v>7</v>
      </c>
    </row>
    <row r="2634" spans="1:13" x14ac:dyDescent="0.2">
      <c r="A2634">
        <v>539196</v>
      </c>
      <c r="B2634" s="5">
        <v>45553</v>
      </c>
      <c r="C2634">
        <v>80466</v>
      </c>
      <c r="D2634" t="str">
        <f>PROPER(Transactions!D2634)</f>
        <v>Automotive</v>
      </c>
      <c r="E2634" t="s">
        <v>68</v>
      </c>
      <c r="F2634" t="s">
        <v>69</v>
      </c>
      <c r="G2634">
        <v>2</v>
      </c>
      <c r="H2634">
        <v>23.74</v>
      </c>
      <c r="I2634" s="7">
        <f>IF(Transactions!I2634="",0,Transactions!I2634)</f>
        <v>0.05</v>
      </c>
      <c r="J2634" s="9">
        <f t="shared" si="41"/>
        <v>45.105999999999995</v>
      </c>
      <c r="K2634" t="s">
        <v>66</v>
      </c>
      <c r="L2634" t="s">
        <v>37</v>
      </c>
      <c r="M2634" t="str">
        <f>REPLACE(Transactions!M2634,1,4,"")</f>
        <v>6</v>
      </c>
    </row>
    <row r="2635" spans="1:13" x14ac:dyDescent="0.2">
      <c r="A2635">
        <v>539272</v>
      </c>
      <c r="B2635" s="5">
        <v>45268</v>
      </c>
      <c r="C2635">
        <v>18166</v>
      </c>
      <c r="D2635" t="str">
        <f>PROPER(Transactions!D2635)</f>
        <v>Sports</v>
      </c>
      <c r="E2635" t="s">
        <v>100</v>
      </c>
      <c r="F2635" t="s">
        <v>101</v>
      </c>
      <c r="G2635">
        <v>3</v>
      </c>
      <c r="H2635">
        <v>16.09</v>
      </c>
      <c r="I2635" s="7">
        <f>IF(Transactions!I2635="",0,Transactions!I2635)</f>
        <v>0.3</v>
      </c>
      <c r="J2635" s="9">
        <f t="shared" si="41"/>
        <v>33.788999999999994</v>
      </c>
      <c r="K2635" t="s">
        <v>16</v>
      </c>
      <c r="L2635" t="s">
        <v>37</v>
      </c>
      <c r="M2635" t="str">
        <f>REPLACE(Transactions!M2635,1,4,"")</f>
        <v>5</v>
      </c>
    </row>
    <row r="2636" spans="1:13" x14ac:dyDescent="0.2">
      <c r="A2636">
        <v>539301</v>
      </c>
      <c r="B2636" s="5">
        <v>44751</v>
      </c>
      <c r="C2636">
        <v>41497</v>
      </c>
      <c r="D2636" t="str">
        <f>PROPER(Transactions!D2636)</f>
        <v>Sports</v>
      </c>
      <c r="E2636" t="s">
        <v>188</v>
      </c>
      <c r="F2636" t="s">
        <v>189</v>
      </c>
      <c r="G2636">
        <v>1</v>
      </c>
      <c r="H2636">
        <v>33.74</v>
      </c>
      <c r="I2636" s="7">
        <f>IF(Transactions!I2636="",0,Transactions!I2636)</f>
        <v>0.25</v>
      </c>
      <c r="J2636" s="9">
        <f t="shared" si="41"/>
        <v>25.305</v>
      </c>
      <c r="K2636" t="s">
        <v>36</v>
      </c>
      <c r="L2636" t="s">
        <v>37</v>
      </c>
      <c r="M2636" t="str">
        <f>REPLACE(Transactions!M2636,1,4,"")</f>
        <v>7</v>
      </c>
    </row>
    <row r="2637" spans="1:13" x14ac:dyDescent="0.2">
      <c r="A2637">
        <v>540178</v>
      </c>
      <c r="B2637" s="5">
        <v>44664</v>
      </c>
      <c r="C2637">
        <v>13991</v>
      </c>
      <c r="D2637" t="str">
        <f>PROPER(Transactions!D2637)</f>
        <v>Electronics</v>
      </c>
      <c r="E2637" t="s">
        <v>14</v>
      </c>
      <c r="F2637" t="s">
        <v>15</v>
      </c>
      <c r="G2637">
        <v>1</v>
      </c>
      <c r="H2637">
        <v>67.989999999999995</v>
      </c>
      <c r="I2637" s="7">
        <f>IF(Transactions!I2637="",0,Transactions!I2637)</f>
        <v>0.15</v>
      </c>
      <c r="J2637" s="9">
        <f t="shared" si="41"/>
        <v>57.791499999999992</v>
      </c>
      <c r="K2637" t="s">
        <v>36</v>
      </c>
      <c r="L2637" t="s">
        <v>23</v>
      </c>
      <c r="M2637" t="str">
        <f>REPLACE(Transactions!M2637,1,4,"")</f>
        <v>9</v>
      </c>
    </row>
    <row r="2638" spans="1:13" x14ac:dyDescent="0.2">
      <c r="A2638">
        <v>540222</v>
      </c>
      <c r="B2638" s="5">
        <v>44638</v>
      </c>
      <c r="C2638">
        <v>53217</v>
      </c>
      <c r="D2638" t="str">
        <f>PROPER(Transactions!D2638)</f>
        <v>Pharmacy</v>
      </c>
      <c r="E2638" t="s">
        <v>20</v>
      </c>
      <c r="F2638" t="s">
        <v>21</v>
      </c>
      <c r="G2638">
        <v>1</v>
      </c>
      <c r="H2638">
        <v>6.99</v>
      </c>
      <c r="I2638" s="7">
        <f>IF(Transactions!I2638="",0,Transactions!I2638)</f>
        <v>0.3</v>
      </c>
      <c r="J2638" s="9">
        <f t="shared" si="41"/>
        <v>4.8929999999999998</v>
      </c>
      <c r="K2638" t="s">
        <v>16</v>
      </c>
      <c r="L2638" t="s">
        <v>17</v>
      </c>
      <c r="M2638" t="str">
        <f>REPLACE(Transactions!M2638,1,4,"")</f>
        <v>11</v>
      </c>
    </row>
    <row r="2639" spans="1:13" x14ac:dyDescent="0.2">
      <c r="A2639">
        <v>540268</v>
      </c>
      <c r="B2639" s="5">
        <v>45246</v>
      </c>
      <c r="C2639">
        <v>15500</v>
      </c>
      <c r="D2639" t="str">
        <f>PROPER(Transactions!D2639)</f>
        <v>Grocery</v>
      </c>
      <c r="E2639" t="s">
        <v>74</v>
      </c>
      <c r="F2639" t="s">
        <v>75</v>
      </c>
      <c r="G2639">
        <v>1</v>
      </c>
      <c r="H2639">
        <v>2.54</v>
      </c>
      <c r="I2639" s="7">
        <f>IF(Transactions!I2639="",0,Transactions!I2639)</f>
        <v>0.15</v>
      </c>
      <c r="J2639" s="9">
        <f t="shared" si="41"/>
        <v>2.1589999999999998</v>
      </c>
      <c r="K2639" t="s">
        <v>22</v>
      </c>
      <c r="L2639" t="s">
        <v>37</v>
      </c>
      <c r="M2639" t="str">
        <f>REPLACE(Transactions!M2639,1,4,"")</f>
        <v>11</v>
      </c>
    </row>
    <row r="2640" spans="1:13" x14ac:dyDescent="0.2">
      <c r="A2640">
        <v>540391</v>
      </c>
      <c r="B2640" s="5">
        <v>45333</v>
      </c>
      <c r="C2640">
        <v>22931</v>
      </c>
      <c r="D2640" t="str">
        <f>PROPER(Transactions!D2640)</f>
        <v>Sports</v>
      </c>
      <c r="E2640" t="s">
        <v>155</v>
      </c>
      <c r="F2640" t="s">
        <v>156</v>
      </c>
      <c r="G2640">
        <v>1</v>
      </c>
      <c r="H2640">
        <v>17.989999999999998</v>
      </c>
      <c r="I2640" s="7">
        <f>IF(Transactions!I2640="",0,Transactions!I2640)</f>
        <v>0.1</v>
      </c>
      <c r="J2640" s="9">
        <f t="shared" si="41"/>
        <v>16.190999999999999</v>
      </c>
      <c r="K2640" t="s">
        <v>36</v>
      </c>
      <c r="L2640" t="s">
        <v>17</v>
      </c>
      <c r="M2640" t="str">
        <f>REPLACE(Transactions!M2640,1,4,"")</f>
        <v>15</v>
      </c>
    </row>
    <row r="2641" spans="1:13" x14ac:dyDescent="0.2">
      <c r="A2641">
        <v>540435</v>
      </c>
      <c r="B2641" s="5">
        <v>45448</v>
      </c>
      <c r="C2641">
        <v>56154</v>
      </c>
      <c r="D2641" t="str">
        <f>PROPER(Transactions!D2641)</f>
        <v>Pharmacy</v>
      </c>
      <c r="E2641" t="s">
        <v>197</v>
      </c>
      <c r="F2641" t="s">
        <v>198</v>
      </c>
      <c r="G2641">
        <v>5</v>
      </c>
      <c r="H2641">
        <v>11.99</v>
      </c>
      <c r="I2641" s="7">
        <f>IF(Transactions!I2641="",0,Transactions!I2641)</f>
        <v>0.2</v>
      </c>
      <c r="J2641" s="9">
        <f t="shared" si="41"/>
        <v>47.960000000000008</v>
      </c>
      <c r="K2641" t="s">
        <v>22</v>
      </c>
      <c r="L2641" t="s">
        <v>17</v>
      </c>
      <c r="M2641" t="str">
        <f>REPLACE(Transactions!M2641,1,4,"")</f>
        <v/>
      </c>
    </row>
    <row r="2642" spans="1:13" x14ac:dyDescent="0.2">
      <c r="A2642">
        <v>540788</v>
      </c>
      <c r="B2642" s="5">
        <v>45068</v>
      </c>
      <c r="C2642">
        <v>96025</v>
      </c>
      <c r="D2642" t="str">
        <f>PROPER(Transactions!D2642)</f>
        <v>Toys</v>
      </c>
      <c r="E2642" t="s">
        <v>88</v>
      </c>
      <c r="F2642" t="s">
        <v>89</v>
      </c>
      <c r="G2642">
        <v>5</v>
      </c>
      <c r="H2642">
        <v>37.49</v>
      </c>
      <c r="I2642" s="7">
        <f>IF(Transactions!I2642="",0,Transactions!I2642)</f>
        <v>0.25</v>
      </c>
      <c r="J2642" s="9">
        <f t="shared" si="41"/>
        <v>140.58750000000001</v>
      </c>
      <c r="K2642" t="s">
        <v>22</v>
      </c>
      <c r="L2642" t="s">
        <v>17</v>
      </c>
      <c r="M2642" t="str">
        <f>REPLACE(Transactions!M2642,1,4,"")</f>
        <v>5</v>
      </c>
    </row>
    <row r="2643" spans="1:13" x14ac:dyDescent="0.2">
      <c r="A2643">
        <v>541458</v>
      </c>
      <c r="B2643" s="5">
        <v>45214</v>
      </c>
      <c r="C2643">
        <v>17101</v>
      </c>
      <c r="D2643" t="str">
        <f>PROPER(Transactions!D2643)</f>
        <v>Home &amp; Garden</v>
      </c>
      <c r="E2643" t="s">
        <v>145</v>
      </c>
      <c r="F2643" t="s">
        <v>146</v>
      </c>
      <c r="G2643">
        <v>1</v>
      </c>
      <c r="H2643">
        <v>11.89</v>
      </c>
      <c r="I2643" s="7">
        <f>IF(Transactions!I2643="",0,Transactions!I2643)</f>
        <v>0.3</v>
      </c>
      <c r="J2643" s="9">
        <f t="shared" si="41"/>
        <v>8.3230000000000004</v>
      </c>
      <c r="K2643" t="s">
        <v>16</v>
      </c>
      <c r="L2643" t="s">
        <v>17</v>
      </c>
      <c r="M2643" t="str">
        <f>REPLACE(Transactions!M2643,1,4,"")</f>
        <v>3</v>
      </c>
    </row>
    <row r="2644" spans="1:13" x14ac:dyDescent="0.2">
      <c r="A2644">
        <v>541471</v>
      </c>
      <c r="B2644" s="5">
        <v>45208</v>
      </c>
      <c r="C2644">
        <v>68780</v>
      </c>
      <c r="D2644" t="str">
        <f>PROPER(Transactions!D2644)</f>
        <v>Sports</v>
      </c>
      <c r="E2644" t="s">
        <v>168</v>
      </c>
      <c r="F2644" t="s">
        <v>169</v>
      </c>
      <c r="G2644">
        <v>1</v>
      </c>
      <c r="H2644">
        <v>8.99</v>
      </c>
      <c r="I2644" s="7">
        <f>IF(Transactions!I2644="",0,Transactions!I2644)</f>
        <v>0</v>
      </c>
      <c r="J2644" s="9">
        <f t="shared" si="41"/>
        <v>8.99</v>
      </c>
      <c r="K2644" t="s">
        <v>95</v>
      </c>
      <c r="L2644" t="s">
        <v>37</v>
      </c>
      <c r="M2644" t="str">
        <f>REPLACE(Transactions!M2644,1,4,"")</f>
        <v>17</v>
      </c>
    </row>
    <row r="2645" spans="1:13" x14ac:dyDescent="0.2">
      <c r="A2645">
        <v>541508</v>
      </c>
      <c r="B2645" s="5">
        <v>45145</v>
      </c>
      <c r="C2645">
        <v>36082</v>
      </c>
      <c r="D2645" t="str">
        <f>PROPER(Transactions!D2645)</f>
        <v>Home &amp; Garden</v>
      </c>
      <c r="E2645" t="s">
        <v>129</v>
      </c>
      <c r="F2645" t="s">
        <v>130</v>
      </c>
      <c r="G2645">
        <v>1</v>
      </c>
      <c r="H2645">
        <v>8.99</v>
      </c>
      <c r="I2645" s="7">
        <f>IF(Transactions!I2645="",0,Transactions!I2645)</f>
        <v>0</v>
      </c>
      <c r="J2645" s="9">
        <f t="shared" si="41"/>
        <v>8.99</v>
      </c>
      <c r="K2645" t="s">
        <v>16</v>
      </c>
      <c r="L2645" t="s">
        <v>23</v>
      </c>
      <c r="M2645" t="str">
        <f>REPLACE(Transactions!M2645,1,4,"")</f>
        <v>5</v>
      </c>
    </row>
    <row r="2646" spans="1:13" x14ac:dyDescent="0.2">
      <c r="A2646">
        <v>541631</v>
      </c>
      <c r="B2646" s="5">
        <v>45505</v>
      </c>
      <c r="C2646">
        <v>51486</v>
      </c>
      <c r="D2646" t="str">
        <f>PROPER(Transactions!D2646)</f>
        <v>Automotive</v>
      </c>
      <c r="E2646" t="s">
        <v>64</v>
      </c>
      <c r="F2646" t="s">
        <v>65</v>
      </c>
      <c r="G2646">
        <v>2</v>
      </c>
      <c r="H2646">
        <v>3.99</v>
      </c>
      <c r="I2646" s="7">
        <f>IF(Transactions!I2646="",0,Transactions!I2646)</f>
        <v>0.2</v>
      </c>
      <c r="J2646" s="9">
        <f t="shared" si="41"/>
        <v>6.3840000000000003</v>
      </c>
      <c r="K2646" t="s">
        <v>36</v>
      </c>
      <c r="L2646" t="s">
        <v>37</v>
      </c>
      <c r="M2646" t="str">
        <f>REPLACE(Transactions!M2646,1,4,"")</f>
        <v>18</v>
      </c>
    </row>
    <row r="2647" spans="1:13" x14ac:dyDescent="0.2">
      <c r="A2647">
        <v>541650</v>
      </c>
      <c r="B2647" s="5">
        <v>45021</v>
      </c>
      <c r="C2647">
        <v>49510</v>
      </c>
      <c r="D2647" t="str">
        <f>PROPER(Transactions!D2647)</f>
        <v>Toys</v>
      </c>
      <c r="E2647" t="s">
        <v>72</v>
      </c>
      <c r="F2647" t="s">
        <v>73</v>
      </c>
      <c r="G2647">
        <v>3</v>
      </c>
      <c r="H2647">
        <v>33.99</v>
      </c>
      <c r="I2647" s="7">
        <f>IF(Transactions!I2647="",0,Transactions!I2647)</f>
        <v>0.15</v>
      </c>
      <c r="J2647" s="9">
        <f t="shared" si="41"/>
        <v>86.674499999999995</v>
      </c>
      <c r="K2647" t="s">
        <v>36</v>
      </c>
      <c r="L2647" t="s">
        <v>23</v>
      </c>
      <c r="M2647" t="str">
        <f>REPLACE(Transactions!M2647,1,4,"")</f>
        <v>17</v>
      </c>
    </row>
    <row r="2648" spans="1:13" x14ac:dyDescent="0.2">
      <c r="A2648">
        <v>541756</v>
      </c>
      <c r="B2648" s="5">
        <v>44913</v>
      </c>
      <c r="C2648">
        <v>76172</v>
      </c>
      <c r="D2648" t="str">
        <f>PROPER(Transactions!D2648)</f>
        <v>Clothing</v>
      </c>
      <c r="E2648" t="s">
        <v>135</v>
      </c>
      <c r="F2648" t="s">
        <v>136</v>
      </c>
      <c r="G2648">
        <v>3</v>
      </c>
      <c r="H2648">
        <v>9.99</v>
      </c>
      <c r="I2648" s="7">
        <f>IF(Transactions!I2648="",0,Transactions!I2648)</f>
        <v>0</v>
      </c>
      <c r="J2648" s="9">
        <f t="shared" si="41"/>
        <v>29.97</v>
      </c>
      <c r="K2648" t="s">
        <v>36</v>
      </c>
      <c r="L2648" t="s">
        <v>17</v>
      </c>
      <c r="M2648" t="str">
        <f>REPLACE(Transactions!M2648,1,4,"")</f>
        <v>13</v>
      </c>
    </row>
    <row r="2649" spans="1:13" x14ac:dyDescent="0.2">
      <c r="A2649">
        <v>541792</v>
      </c>
      <c r="B2649" s="5">
        <v>44703</v>
      </c>
      <c r="C2649">
        <v>94531</v>
      </c>
      <c r="D2649" t="str">
        <f>PROPER(Transactions!D2649)</f>
        <v>Clothing</v>
      </c>
      <c r="E2649" t="s">
        <v>135</v>
      </c>
      <c r="F2649" t="s">
        <v>136</v>
      </c>
      <c r="G2649">
        <v>4</v>
      </c>
      <c r="H2649">
        <v>8.49</v>
      </c>
      <c r="I2649" s="7">
        <f>IF(Transactions!I2649="",0,Transactions!I2649)</f>
        <v>0.15</v>
      </c>
      <c r="J2649" s="9">
        <f t="shared" si="41"/>
        <v>28.866</v>
      </c>
      <c r="K2649" t="s">
        <v>36</v>
      </c>
      <c r="L2649" t="s">
        <v>37</v>
      </c>
      <c r="M2649" t="str">
        <f>REPLACE(Transactions!M2649,1,4,"")</f>
        <v>6</v>
      </c>
    </row>
    <row r="2650" spans="1:13" x14ac:dyDescent="0.2">
      <c r="A2650">
        <v>542004</v>
      </c>
      <c r="B2650" s="5">
        <v>45032</v>
      </c>
      <c r="C2650">
        <v>19420</v>
      </c>
      <c r="D2650" t="str">
        <f>PROPER(Transactions!D2650)</f>
        <v>Home &amp; Garden</v>
      </c>
      <c r="E2650" t="s">
        <v>157</v>
      </c>
      <c r="F2650" t="s">
        <v>158</v>
      </c>
      <c r="G2650">
        <v>2</v>
      </c>
      <c r="H2650">
        <v>12.14</v>
      </c>
      <c r="I2650" s="7">
        <f>IF(Transactions!I2650="",0,Transactions!I2650)</f>
        <v>0.1</v>
      </c>
      <c r="J2650" s="9">
        <f t="shared" si="41"/>
        <v>21.852</v>
      </c>
      <c r="K2650" t="s">
        <v>22</v>
      </c>
      <c r="L2650" t="s">
        <v>37</v>
      </c>
      <c r="M2650" t="str">
        <f>REPLACE(Transactions!M2650,1,4,"")</f>
        <v>2</v>
      </c>
    </row>
    <row r="2651" spans="1:13" x14ac:dyDescent="0.2">
      <c r="A2651">
        <v>542151</v>
      </c>
      <c r="B2651" s="5">
        <v>45266</v>
      </c>
      <c r="C2651">
        <v>65620</v>
      </c>
      <c r="D2651" t="str">
        <f>PROPER(Transactions!D2651)</f>
        <v>Furniture</v>
      </c>
      <c r="E2651" t="s">
        <v>70</v>
      </c>
      <c r="F2651" t="s">
        <v>71</v>
      </c>
      <c r="G2651">
        <v>4</v>
      </c>
      <c r="H2651">
        <v>76.489999999999995</v>
      </c>
      <c r="I2651" s="7">
        <f>IF(Transactions!I2651="",0,Transactions!I2651)</f>
        <v>0</v>
      </c>
      <c r="J2651" s="9">
        <f t="shared" si="41"/>
        <v>305.95999999999998</v>
      </c>
      <c r="K2651" t="s">
        <v>36</v>
      </c>
      <c r="L2651" t="s">
        <v>37</v>
      </c>
      <c r="M2651" t="str">
        <f>REPLACE(Transactions!M2651,1,4,"")</f>
        <v>5</v>
      </c>
    </row>
    <row r="2652" spans="1:13" x14ac:dyDescent="0.2">
      <c r="A2652">
        <v>542155</v>
      </c>
      <c r="B2652" s="5">
        <v>44579</v>
      </c>
      <c r="C2652">
        <v>16221</v>
      </c>
      <c r="D2652" t="str">
        <f>PROPER(Transactions!D2652)</f>
        <v>Furniture</v>
      </c>
      <c r="E2652" t="s">
        <v>70</v>
      </c>
      <c r="F2652" t="s">
        <v>71</v>
      </c>
      <c r="G2652">
        <v>3</v>
      </c>
      <c r="H2652">
        <v>85.49</v>
      </c>
      <c r="I2652" s="7">
        <f>IF(Transactions!I2652="",0,Transactions!I2652)</f>
        <v>0.05</v>
      </c>
      <c r="J2652" s="9">
        <f t="shared" si="41"/>
        <v>243.64649999999995</v>
      </c>
      <c r="K2652" t="s">
        <v>16</v>
      </c>
      <c r="L2652" t="s">
        <v>17</v>
      </c>
      <c r="M2652" t="str">
        <f>REPLACE(Transactions!M2652,1,4,"")</f>
        <v>2</v>
      </c>
    </row>
    <row r="2653" spans="1:13" x14ac:dyDescent="0.2">
      <c r="A2653">
        <v>542428</v>
      </c>
      <c r="B2653" s="5">
        <v>45165</v>
      </c>
      <c r="C2653">
        <v>19162</v>
      </c>
      <c r="D2653" t="str">
        <f>PROPER(Transactions!D2653)</f>
        <v>Toys</v>
      </c>
      <c r="E2653" t="s">
        <v>175</v>
      </c>
      <c r="F2653" t="s">
        <v>176</v>
      </c>
      <c r="G2653">
        <v>2</v>
      </c>
      <c r="H2653">
        <v>8.99</v>
      </c>
      <c r="I2653" s="7">
        <f>IF(Transactions!I2653="",0,Transactions!I2653)</f>
        <v>0.25</v>
      </c>
      <c r="J2653" s="9">
        <f t="shared" si="41"/>
        <v>13.484999999999999</v>
      </c>
      <c r="K2653" t="s">
        <v>36</v>
      </c>
      <c r="L2653" t="s">
        <v>37</v>
      </c>
      <c r="M2653" t="str">
        <f>REPLACE(Transactions!M2653,1,4,"")</f>
        <v>13</v>
      </c>
    </row>
    <row r="2654" spans="1:13" x14ac:dyDescent="0.2">
      <c r="A2654">
        <v>542555</v>
      </c>
      <c r="B2654" s="5">
        <v>44577</v>
      </c>
      <c r="C2654">
        <v>46034</v>
      </c>
      <c r="D2654" t="str">
        <f>PROPER(Transactions!D2654)</f>
        <v>Sports</v>
      </c>
      <c r="E2654" t="s">
        <v>168</v>
      </c>
      <c r="F2654" t="s">
        <v>169</v>
      </c>
      <c r="G2654">
        <v>1</v>
      </c>
      <c r="H2654">
        <v>8.5399999999999991</v>
      </c>
      <c r="I2654" s="7">
        <f>IF(Transactions!I2654="",0,Transactions!I2654)</f>
        <v>0.05</v>
      </c>
      <c r="J2654" s="9">
        <f t="shared" si="41"/>
        <v>8.1129999999999995</v>
      </c>
      <c r="K2654" t="s">
        <v>36</v>
      </c>
      <c r="L2654" t="s">
        <v>17</v>
      </c>
      <c r="M2654" t="str">
        <f>REPLACE(Transactions!M2654,1,4,"")</f>
        <v>2</v>
      </c>
    </row>
    <row r="2655" spans="1:13" x14ac:dyDescent="0.2">
      <c r="A2655">
        <v>543447</v>
      </c>
      <c r="B2655" s="5">
        <v>44746</v>
      </c>
      <c r="C2655">
        <v>19206</v>
      </c>
      <c r="D2655" t="str">
        <f>PROPER(Transactions!D2655)</f>
        <v>Pharmacy</v>
      </c>
      <c r="E2655" t="s">
        <v>58</v>
      </c>
      <c r="F2655" t="s">
        <v>59</v>
      </c>
      <c r="G2655">
        <v>3</v>
      </c>
      <c r="H2655">
        <v>3.39</v>
      </c>
      <c r="I2655" s="7">
        <f>IF(Transactions!I2655="",0,Transactions!I2655)</f>
        <v>0.15</v>
      </c>
      <c r="J2655" s="9">
        <f t="shared" si="41"/>
        <v>8.644499999999999</v>
      </c>
      <c r="K2655" t="s">
        <v>95</v>
      </c>
      <c r="L2655" t="s">
        <v>17</v>
      </c>
      <c r="M2655" t="str">
        <f>REPLACE(Transactions!M2655,1,4,"")</f>
        <v>1</v>
      </c>
    </row>
    <row r="2656" spans="1:13" x14ac:dyDescent="0.2">
      <c r="A2656">
        <v>543529</v>
      </c>
      <c r="B2656" s="5">
        <v>44716</v>
      </c>
      <c r="C2656">
        <v>60446</v>
      </c>
      <c r="D2656" t="str">
        <f>PROPER(Transactions!D2656)</f>
        <v>Pharmacy</v>
      </c>
      <c r="E2656" t="s">
        <v>197</v>
      </c>
      <c r="F2656" t="s">
        <v>198</v>
      </c>
      <c r="G2656">
        <v>2</v>
      </c>
      <c r="H2656">
        <v>11.99</v>
      </c>
      <c r="I2656" s="7">
        <f>IF(Transactions!I2656="",0,Transactions!I2656)</f>
        <v>0.2</v>
      </c>
      <c r="J2656" s="9">
        <f t="shared" si="41"/>
        <v>19.184000000000001</v>
      </c>
      <c r="K2656" t="s">
        <v>22</v>
      </c>
      <c r="L2656" t="s">
        <v>37</v>
      </c>
      <c r="M2656" t="str">
        <f>REPLACE(Transactions!M2656,1,4,"")</f>
        <v>9</v>
      </c>
    </row>
    <row r="2657" spans="1:13" x14ac:dyDescent="0.2">
      <c r="A2657">
        <v>543538</v>
      </c>
      <c r="B2657" s="5">
        <v>45305</v>
      </c>
      <c r="D2657" t="str">
        <f>PROPER(Transactions!D2657)</f>
        <v>Sports</v>
      </c>
      <c r="E2657" t="s">
        <v>100</v>
      </c>
      <c r="F2657" t="s">
        <v>101</v>
      </c>
      <c r="G2657">
        <v>1</v>
      </c>
      <c r="H2657">
        <v>17.239999999999998</v>
      </c>
      <c r="I2657" s="7">
        <f>IF(Transactions!I2657="",0,Transactions!I2657)</f>
        <v>0.25</v>
      </c>
      <c r="J2657" s="9">
        <f t="shared" si="41"/>
        <v>12.93</v>
      </c>
      <c r="K2657" t="s">
        <v>53</v>
      </c>
      <c r="L2657" t="s">
        <v>17</v>
      </c>
      <c r="M2657" t="str">
        <f>REPLACE(Transactions!M2657,1,4,"")</f>
        <v>19</v>
      </c>
    </row>
    <row r="2658" spans="1:13" x14ac:dyDescent="0.2">
      <c r="A2658">
        <v>543905</v>
      </c>
      <c r="B2658" s="5">
        <v>44618</v>
      </c>
      <c r="C2658">
        <v>61160</v>
      </c>
      <c r="D2658" t="str">
        <f>PROPER(Transactions!D2658)</f>
        <v>Clothing</v>
      </c>
      <c r="E2658" t="s">
        <v>141</v>
      </c>
      <c r="F2658" t="s">
        <v>142</v>
      </c>
      <c r="G2658">
        <v>2</v>
      </c>
      <c r="H2658">
        <v>17.239999999999998</v>
      </c>
      <c r="I2658" s="7">
        <f>IF(Transactions!I2658="",0,Transactions!I2658)</f>
        <v>0.25</v>
      </c>
      <c r="J2658" s="9">
        <f t="shared" si="41"/>
        <v>25.86</v>
      </c>
      <c r="K2658" t="s">
        <v>36</v>
      </c>
      <c r="L2658" t="s">
        <v>37</v>
      </c>
      <c r="M2658" t="str">
        <f>REPLACE(Transactions!M2658,1,4,"")</f>
        <v>16</v>
      </c>
    </row>
    <row r="2659" spans="1:13" x14ac:dyDescent="0.2">
      <c r="A2659">
        <v>543973</v>
      </c>
      <c r="B2659" s="5">
        <v>45640</v>
      </c>
      <c r="C2659">
        <v>38074</v>
      </c>
      <c r="D2659" t="str">
        <f>PROPER(Transactions!D2659)</f>
        <v>Sports</v>
      </c>
      <c r="E2659" t="s">
        <v>188</v>
      </c>
      <c r="F2659" t="s">
        <v>189</v>
      </c>
      <c r="G2659">
        <v>3</v>
      </c>
      <c r="H2659">
        <v>44.99</v>
      </c>
      <c r="I2659" s="7">
        <f>IF(Transactions!I2659="",0,Transactions!I2659)</f>
        <v>0</v>
      </c>
      <c r="J2659" s="9">
        <f t="shared" si="41"/>
        <v>134.97</v>
      </c>
      <c r="K2659" t="s">
        <v>16</v>
      </c>
      <c r="L2659" t="s">
        <v>17</v>
      </c>
      <c r="M2659" t="str">
        <f>REPLACE(Transactions!M2659,1,4,"")</f>
        <v>6</v>
      </c>
    </row>
    <row r="2660" spans="1:13" x14ac:dyDescent="0.2">
      <c r="A2660">
        <v>543990</v>
      </c>
      <c r="B2660" s="5">
        <v>44947</v>
      </c>
      <c r="C2660">
        <v>10426</v>
      </c>
      <c r="D2660" t="str">
        <f>PROPER(Transactions!D2660)</f>
        <v>Beauty</v>
      </c>
      <c r="E2660" t="s">
        <v>143</v>
      </c>
      <c r="F2660" t="s">
        <v>144</v>
      </c>
      <c r="G2660">
        <v>2</v>
      </c>
      <c r="H2660">
        <v>11.99</v>
      </c>
      <c r="I2660" s="7">
        <f>IF(Transactions!I2660="",0,Transactions!I2660)</f>
        <v>0.2</v>
      </c>
      <c r="J2660" s="9">
        <f t="shared" si="41"/>
        <v>19.184000000000001</v>
      </c>
      <c r="K2660" t="s">
        <v>16</v>
      </c>
      <c r="L2660" t="s">
        <v>17</v>
      </c>
      <c r="M2660" t="str">
        <f>REPLACE(Transactions!M2660,1,4,"")</f>
        <v>11</v>
      </c>
    </row>
    <row r="2661" spans="1:13" x14ac:dyDescent="0.2">
      <c r="A2661">
        <v>544007</v>
      </c>
      <c r="B2661" s="5">
        <v>45469</v>
      </c>
      <c r="C2661">
        <v>69042</v>
      </c>
      <c r="D2661" t="str">
        <f>PROPER(Transactions!D2661)</f>
        <v>Furniture</v>
      </c>
      <c r="E2661" t="s">
        <v>26</v>
      </c>
      <c r="F2661" t="s">
        <v>27</v>
      </c>
      <c r="G2661">
        <v>1</v>
      </c>
      <c r="H2661">
        <v>24.49</v>
      </c>
      <c r="I2661" s="7">
        <f>IF(Transactions!I2661="",0,Transactions!I2661)</f>
        <v>0.3</v>
      </c>
      <c r="J2661" s="9">
        <f t="shared" si="41"/>
        <v>17.142999999999997</v>
      </c>
      <c r="K2661" t="s">
        <v>16</v>
      </c>
      <c r="L2661" t="s">
        <v>17</v>
      </c>
      <c r="M2661" t="str">
        <f>REPLACE(Transactions!M2661,1,4,"")</f>
        <v>12</v>
      </c>
    </row>
    <row r="2662" spans="1:13" x14ac:dyDescent="0.2">
      <c r="A2662">
        <v>544114</v>
      </c>
      <c r="B2662" s="5">
        <v>44745</v>
      </c>
      <c r="D2662" t="str">
        <f>PROPER(Transactions!D2662)</f>
        <v>Beauty</v>
      </c>
      <c r="E2662" t="s">
        <v>49</v>
      </c>
      <c r="F2662" t="s">
        <v>50</v>
      </c>
      <c r="G2662">
        <v>3</v>
      </c>
      <c r="H2662">
        <v>8.99</v>
      </c>
      <c r="I2662" s="7">
        <f>IF(Transactions!I2662="",0,Transactions!I2662)</f>
        <v>0</v>
      </c>
      <c r="J2662" s="9">
        <f t="shared" si="41"/>
        <v>26.97</v>
      </c>
      <c r="K2662" t="s">
        <v>16</v>
      </c>
      <c r="L2662" t="s">
        <v>17</v>
      </c>
      <c r="M2662" t="str">
        <f>REPLACE(Transactions!M2662,1,4,"")</f>
        <v>20</v>
      </c>
    </row>
    <row r="2663" spans="1:13" x14ac:dyDescent="0.2">
      <c r="A2663">
        <v>544136</v>
      </c>
      <c r="B2663" s="5">
        <v>45081</v>
      </c>
      <c r="C2663">
        <v>62095</v>
      </c>
      <c r="D2663" t="str">
        <f>PROPER(Transactions!D2663)</f>
        <v>Clothing</v>
      </c>
      <c r="E2663" t="s">
        <v>141</v>
      </c>
      <c r="F2663" t="s">
        <v>142</v>
      </c>
      <c r="G2663">
        <v>4</v>
      </c>
      <c r="H2663">
        <v>20.69</v>
      </c>
      <c r="I2663" s="7">
        <f>IF(Transactions!I2663="",0,Transactions!I2663)</f>
        <v>0.1</v>
      </c>
      <c r="J2663" s="9">
        <f t="shared" si="41"/>
        <v>74.484000000000009</v>
      </c>
      <c r="K2663" t="s">
        <v>66</v>
      </c>
      <c r="L2663" t="s">
        <v>17</v>
      </c>
      <c r="M2663" t="str">
        <f>REPLACE(Transactions!M2663,1,4,"")</f>
        <v>6</v>
      </c>
    </row>
    <row r="2664" spans="1:13" x14ac:dyDescent="0.2">
      <c r="A2664">
        <v>544256</v>
      </c>
      <c r="B2664" s="5">
        <v>45331</v>
      </c>
      <c r="C2664">
        <v>43045</v>
      </c>
      <c r="D2664" t="str">
        <f>PROPER(Transactions!D2664)</f>
        <v>Furniture</v>
      </c>
      <c r="E2664" t="s">
        <v>113</v>
      </c>
      <c r="F2664" t="s">
        <v>114</v>
      </c>
      <c r="G2664">
        <v>4</v>
      </c>
      <c r="H2664">
        <v>89.99</v>
      </c>
      <c r="I2664" s="7">
        <f>IF(Transactions!I2664="",0,Transactions!I2664)</f>
        <v>0.25</v>
      </c>
      <c r="J2664" s="9">
        <f t="shared" si="41"/>
        <v>269.96999999999997</v>
      </c>
      <c r="K2664" t="s">
        <v>53</v>
      </c>
      <c r="L2664" t="s">
        <v>23</v>
      </c>
      <c r="M2664" t="str">
        <f>REPLACE(Transactions!M2664,1,4,"")</f>
        <v>1</v>
      </c>
    </row>
    <row r="2665" spans="1:13" x14ac:dyDescent="0.2">
      <c r="A2665">
        <v>544283</v>
      </c>
      <c r="B2665" s="5">
        <v>44736</v>
      </c>
      <c r="C2665">
        <v>83890</v>
      </c>
      <c r="D2665" t="str">
        <f>PROPER(Transactions!D2665)</f>
        <v>Pharmacy</v>
      </c>
      <c r="E2665" t="s">
        <v>197</v>
      </c>
      <c r="F2665" t="s">
        <v>198</v>
      </c>
      <c r="G2665">
        <v>5</v>
      </c>
      <c r="H2665">
        <v>11.99</v>
      </c>
      <c r="I2665" s="7">
        <f>IF(Transactions!I2665="",0,Transactions!I2665)</f>
        <v>0.2</v>
      </c>
      <c r="J2665" s="9">
        <f t="shared" si="41"/>
        <v>47.960000000000008</v>
      </c>
      <c r="K2665" t="s">
        <v>16</v>
      </c>
      <c r="L2665" t="s">
        <v>17</v>
      </c>
      <c r="M2665" t="str">
        <f>REPLACE(Transactions!M2665,1,4,"")</f>
        <v>13</v>
      </c>
    </row>
    <row r="2666" spans="1:13" x14ac:dyDescent="0.2">
      <c r="A2666">
        <v>544368</v>
      </c>
      <c r="B2666" s="5">
        <v>44650</v>
      </c>
      <c r="C2666">
        <v>79619</v>
      </c>
      <c r="D2666" t="str">
        <f>PROPER(Transactions!D2666)</f>
        <v>Electronics</v>
      </c>
      <c r="E2666" t="s">
        <v>186</v>
      </c>
      <c r="F2666" t="s">
        <v>187</v>
      </c>
      <c r="G2666">
        <v>5</v>
      </c>
      <c r="H2666">
        <v>34.99</v>
      </c>
      <c r="I2666" s="7">
        <f>IF(Transactions!I2666="",0,Transactions!I2666)</f>
        <v>0.3</v>
      </c>
      <c r="J2666" s="9">
        <f t="shared" si="41"/>
        <v>122.465</v>
      </c>
      <c r="K2666" t="s">
        <v>36</v>
      </c>
      <c r="L2666" t="s">
        <v>37</v>
      </c>
      <c r="M2666" t="str">
        <f>REPLACE(Transactions!M2666,1,4,"")</f>
        <v>12</v>
      </c>
    </row>
    <row r="2667" spans="1:13" x14ac:dyDescent="0.2">
      <c r="A2667">
        <v>544425</v>
      </c>
      <c r="B2667" s="5">
        <v>45027</v>
      </c>
      <c r="C2667">
        <v>79459</v>
      </c>
      <c r="D2667" t="str">
        <f>PROPER(Transactions!D2667)</f>
        <v>Automotive</v>
      </c>
      <c r="E2667" t="s">
        <v>64</v>
      </c>
      <c r="F2667" t="s">
        <v>65</v>
      </c>
      <c r="G2667">
        <v>2</v>
      </c>
      <c r="H2667">
        <v>3.74</v>
      </c>
      <c r="I2667" s="7">
        <f>IF(Transactions!I2667="",0,Transactions!I2667)</f>
        <v>0.25</v>
      </c>
      <c r="J2667" s="9">
        <f t="shared" si="41"/>
        <v>5.61</v>
      </c>
      <c r="K2667" t="s">
        <v>95</v>
      </c>
      <c r="L2667" t="s">
        <v>37</v>
      </c>
      <c r="M2667" t="str">
        <f>REPLACE(Transactions!M2667,1,4,"")</f>
        <v>9</v>
      </c>
    </row>
    <row r="2668" spans="1:13" x14ac:dyDescent="0.2">
      <c r="A2668">
        <v>544438</v>
      </c>
      <c r="B2668" s="5">
        <v>44681</v>
      </c>
      <c r="C2668">
        <v>95271</v>
      </c>
      <c r="D2668" t="str">
        <f>PROPER(Transactions!D2668)</f>
        <v>Pharmacy</v>
      </c>
      <c r="E2668" t="s">
        <v>197</v>
      </c>
      <c r="F2668" t="s">
        <v>198</v>
      </c>
      <c r="G2668">
        <v>5</v>
      </c>
      <c r="H2668">
        <v>13.49</v>
      </c>
      <c r="I2668" s="7">
        <f>IF(Transactions!I2668="",0,Transactions!I2668)</f>
        <v>0.1</v>
      </c>
      <c r="J2668" s="9">
        <f t="shared" si="41"/>
        <v>60.705000000000005</v>
      </c>
      <c r="K2668" t="s">
        <v>22</v>
      </c>
      <c r="L2668" t="s">
        <v>23</v>
      </c>
      <c r="M2668" t="str">
        <f>REPLACE(Transactions!M2668,1,4,"")</f>
        <v>13</v>
      </c>
    </row>
    <row r="2669" spans="1:13" x14ac:dyDescent="0.2">
      <c r="A2669">
        <v>544554</v>
      </c>
      <c r="B2669" s="5">
        <v>45352</v>
      </c>
      <c r="C2669">
        <v>60805</v>
      </c>
      <c r="D2669" t="str">
        <f>PROPER(Transactions!D2669)</f>
        <v>Beauty</v>
      </c>
      <c r="E2669" t="s">
        <v>139</v>
      </c>
      <c r="F2669" t="s">
        <v>140</v>
      </c>
      <c r="G2669">
        <v>3</v>
      </c>
      <c r="H2669">
        <v>6.39</v>
      </c>
      <c r="I2669" s="7">
        <f>IF(Transactions!I2669="",0,Transactions!I2669)</f>
        <v>0.2</v>
      </c>
      <c r="J2669" s="9">
        <f t="shared" si="41"/>
        <v>15.335999999999999</v>
      </c>
      <c r="K2669" t="s">
        <v>16</v>
      </c>
      <c r="L2669" t="s">
        <v>37</v>
      </c>
      <c r="M2669" t="str">
        <f>REPLACE(Transactions!M2669,1,4,"")</f>
        <v>1</v>
      </c>
    </row>
    <row r="2670" spans="1:13" x14ac:dyDescent="0.2">
      <c r="A2670">
        <v>545152</v>
      </c>
      <c r="B2670" s="5">
        <v>44887</v>
      </c>
      <c r="C2670">
        <v>26340</v>
      </c>
      <c r="D2670" t="str">
        <f>PROPER(Transactions!D2670)</f>
        <v>Grocery</v>
      </c>
      <c r="E2670" t="s">
        <v>91</v>
      </c>
      <c r="F2670" t="s">
        <v>92</v>
      </c>
      <c r="G2670">
        <v>1</v>
      </c>
      <c r="H2670">
        <v>4.72</v>
      </c>
      <c r="I2670" s="7">
        <f>IF(Transactions!I2670="",0,Transactions!I2670)</f>
        <v>0.25</v>
      </c>
      <c r="J2670" s="9">
        <f t="shared" si="41"/>
        <v>3.54</v>
      </c>
      <c r="K2670" t="s">
        <v>22</v>
      </c>
      <c r="L2670" t="s">
        <v>17</v>
      </c>
      <c r="M2670" t="str">
        <f>REPLACE(Transactions!M2670,1,4,"")</f>
        <v>5</v>
      </c>
    </row>
    <row r="2671" spans="1:13" x14ac:dyDescent="0.2">
      <c r="A2671">
        <v>545267</v>
      </c>
      <c r="B2671" s="5">
        <v>44866</v>
      </c>
      <c r="C2671">
        <v>63754</v>
      </c>
      <c r="D2671" t="str">
        <f>PROPER(Transactions!D2671)</f>
        <v>Toys</v>
      </c>
      <c r="E2671" t="s">
        <v>170</v>
      </c>
      <c r="F2671" t="s">
        <v>171</v>
      </c>
      <c r="G2671">
        <v>1</v>
      </c>
      <c r="H2671">
        <v>13.49</v>
      </c>
      <c r="I2671" s="7">
        <f>IF(Transactions!I2671="",0,Transactions!I2671)</f>
        <v>0.1</v>
      </c>
      <c r="J2671" s="9">
        <f t="shared" si="41"/>
        <v>12.141</v>
      </c>
      <c r="K2671" t="s">
        <v>16</v>
      </c>
      <c r="L2671" t="s">
        <v>17</v>
      </c>
      <c r="M2671" t="str">
        <f>REPLACE(Transactions!M2671,1,4,"")</f>
        <v>12</v>
      </c>
    </row>
    <row r="2672" spans="1:13" x14ac:dyDescent="0.2">
      <c r="A2672">
        <v>545469</v>
      </c>
      <c r="B2672" s="5">
        <v>44781</v>
      </c>
      <c r="D2672" t="str">
        <f>PROPER(Transactions!D2672)</f>
        <v>Toys</v>
      </c>
      <c r="E2672" t="s">
        <v>38</v>
      </c>
      <c r="F2672" t="s">
        <v>39</v>
      </c>
      <c r="G2672">
        <v>2</v>
      </c>
      <c r="H2672">
        <v>22.49</v>
      </c>
      <c r="I2672" s="7">
        <f>IF(Transactions!I2672="",0,Transactions!I2672)</f>
        <v>0.25</v>
      </c>
      <c r="J2672" s="9">
        <f t="shared" si="41"/>
        <v>33.734999999999999</v>
      </c>
      <c r="K2672" t="s">
        <v>16</v>
      </c>
      <c r="L2672" t="s">
        <v>17</v>
      </c>
      <c r="M2672" t="str">
        <f>REPLACE(Transactions!M2672,1,4,"")</f>
        <v>12</v>
      </c>
    </row>
    <row r="2673" spans="1:13" x14ac:dyDescent="0.2">
      <c r="A2673">
        <v>545670</v>
      </c>
      <c r="B2673" s="5">
        <v>45550</v>
      </c>
      <c r="C2673">
        <v>90414</v>
      </c>
      <c r="D2673" t="str">
        <f>PROPER(Transactions!D2673)</f>
        <v>Home &amp; Garden</v>
      </c>
      <c r="E2673" t="s">
        <v>149</v>
      </c>
      <c r="F2673" t="s">
        <v>150</v>
      </c>
      <c r="G2673">
        <v>1</v>
      </c>
      <c r="H2673">
        <v>14.99</v>
      </c>
      <c r="I2673" s="7">
        <f>IF(Transactions!I2673="",0,Transactions!I2673)</f>
        <v>0.25</v>
      </c>
      <c r="J2673" s="9">
        <f t="shared" si="41"/>
        <v>11.2425</v>
      </c>
      <c r="K2673" t="s">
        <v>22</v>
      </c>
      <c r="L2673" t="s">
        <v>17</v>
      </c>
      <c r="M2673" t="str">
        <f>REPLACE(Transactions!M2673,1,4,"")</f>
        <v>13</v>
      </c>
    </row>
    <row r="2674" spans="1:13" x14ac:dyDescent="0.2">
      <c r="A2674">
        <v>545888</v>
      </c>
      <c r="B2674" s="5">
        <v>44779</v>
      </c>
      <c r="C2674">
        <v>54698</v>
      </c>
      <c r="D2674" t="str">
        <f>PROPER(Transactions!D2674)</f>
        <v>Toys</v>
      </c>
      <c r="E2674" t="s">
        <v>175</v>
      </c>
      <c r="F2674" t="s">
        <v>176</v>
      </c>
      <c r="G2674">
        <v>1</v>
      </c>
      <c r="H2674">
        <v>11.39</v>
      </c>
      <c r="I2674" s="7">
        <f>IF(Transactions!I2674="",0,Transactions!I2674)</f>
        <v>0.05</v>
      </c>
      <c r="J2674" s="9">
        <f t="shared" si="41"/>
        <v>10.820500000000001</v>
      </c>
      <c r="K2674" t="s">
        <v>95</v>
      </c>
      <c r="L2674" t="s">
        <v>37</v>
      </c>
      <c r="M2674" t="str">
        <f>REPLACE(Transactions!M2674,1,4,"")</f>
        <v>4</v>
      </c>
    </row>
    <row r="2675" spans="1:13" x14ac:dyDescent="0.2">
      <c r="A2675">
        <v>545957</v>
      </c>
      <c r="B2675" s="5">
        <v>45286</v>
      </c>
      <c r="D2675" t="str">
        <f>PROPER(Transactions!D2675)</f>
        <v>Toys</v>
      </c>
      <c r="E2675" t="s">
        <v>30</v>
      </c>
      <c r="F2675" t="s">
        <v>31</v>
      </c>
      <c r="G2675">
        <v>2</v>
      </c>
      <c r="H2675">
        <v>21.24</v>
      </c>
      <c r="I2675" s="7">
        <f>IF(Transactions!I2675="",0,Transactions!I2675)</f>
        <v>0.15</v>
      </c>
      <c r="J2675" s="9">
        <f t="shared" si="41"/>
        <v>36.107999999999997</v>
      </c>
      <c r="K2675" t="s">
        <v>16</v>
      </c>
      <c r="L2675" t="s">
        <v>37</v>
      </c>
      <c r="M2675" t="str">
        <f>REPLACE(Transactions!M2675,1,4,"")</f>
        <v>7</v>
      </c>
    </row>
    <row r="2676" spans="1:13" x14ac:dyDescent="0.2">
      <c r="A2676">
        <v>546306</v>
      </c>
      <c r="B2676" s="5">
        <v>45500</v>
      </c>
      <c r="C2676">
        <v>47194</v>
      </c>
      <c r="D2676" t="str">
        <f>PROPER(Transactions!D2676)</f>
        <v>Automotive</v>
      </c>
      <c r="E2676" t="s">
        <v>64</v>
      </c>
      <c r="F2676" t="s">
        <v>65</v>
      </c>
      <c r="G2676">
        <v>1</v>
      </c>
      <c r="H2676">
        <v>3.99</v>
      </c>
      <c r="I2676" s="7">
        <f>IF(Transactions!I2676="",0,Transactions!I2676)</f>
        <v>0.2</v>
      </c>
      <c r="J2676" s="9">
        <f t="shared" si="41"/>
        <v>3.1920000000000002</v>
      </c>
      <c r="K2676" t="s">
        <v>22</v>
      </c>
      <c r="L2676" t="s">
        <v>37</v>
      </c>
      <c r="M2676" t="str">
        <f>REPLACE(Transactions!M2676,1,4,"")</f>
        <v>6</v>
      </c>
    </row>
    <row r="2677" spans="1:13" x14ac:dyDescent="0.2">
      <c r="A2677">
        <v>546451</v>
      </c>
      <c r="B2677" s="5">
        <v>44613</v>
      </c>
      <c r="C2677">
        <v>25020</v>
      </c>
      <c r="D2677" t="str">
        <f>PROPER(Transactions!D2677)</f>
        <v>Furniture</v>
      </c>
      <c r="E2677" t="s">
        <v>70</v>
      </c>
      <c r="F2677" t="s">
        <v>71</v>
      </c>
      <c r="G2677">
        <v>3</v>
      </c>
      <c r="H2677">
        <v>71.989999999999995</v>
      </c>
      <c r="I2677" s="7">
        <f>IF(Transactions!I2677="",0,Transactions!I2677)</f>
        <v>0.2</v>
      </c>
      <c r="J2677" s="9">
        <f t="shared" si="41"/>
        <v>172.77599999999998</v>
      </c>
      <c r="K2677" t="s">
        <v>36</v>
      </c>
      <c r="L2677" t="s">
        <v>37</v>
      </c>
      <c r="M2677" t="str">
        <f>REPLACE(Transactions!M2677,1,4,"")</f>
        <v>10</v>
      </c>
    </row>
    <row r="2678" spans="1:13" x14ac:dyDescent="0.2">
      <c r="A2678">
        <v>546754</v>
      </c>
      <c r="B2678" s="5">
        <v>44569</v>
      </c>
      <c r="C2678">
        <v>89760</v>
      </c>
      <c r="D2678" t="str">
        <f>PROPER(Transactions!D2678)</f>
        <v>Toys</v>
      </c>
      <c r="E2678" t="s">
        <v>175</v>
      </c>
      <c r="F2678" t="s">
        <v>176</v>
      </c>
      <c r="G2678">
        <v>4</v>
      </c>
      <c r="H2678">
        <v>9.59</v>
      </c>
      <c r="I2678" s="7">
        <f>IF(Transactions!I2678="",0,Transactions!I2678)</f>
        <v>0.2</v>
      </c>
      <c r="J2678" s="9">
        <f t="shared" si="41"/>
        <v>30.688000000000002</v>
      </c>
      <c r="K2678" t="s">
        <v>22</v>
      </c>
      <c r="L2678" t="s">
        <v>37</v>
      </c>
      <c r="M2678" t="str">
        <f>REPLACE(Transactions!M2678,1,4,"")</f>
        <v>3</v>
      </c>
    </row>
    <row r="2679" spans="1:13" x14ac:dyDescent="0.2">
      <c r="A2679">
        <v>547097</v>
      </c>
      <c r="B2679" s="5">
        <v>44815</v>
      </c>
      <c r="C2679">
        <v>56958</v>
      </c>
      <c r="D2679" t="str">
        <f>PROPER(Transactions!D2679)</f>
        <v>Clothing</v>
      </c>
      <c r="E2679" t="s">
        <v>141</v>
      </c>
      <c r="F2679" t="s">
        <v>142</v>
      </c>
      <c r="G2679">
        <v>1</v>
      </c>
      <c r="H2679">
        <v>16.09</v>
      </c>
      <c r="I2679" s="7">
        <f>IF(Transactions!I2679="",0,Transactions!I2679)</f>
        <v>0.3</v>
      </c>
      <c r="J2679" s="9">
        <f t="shared" si="41"/>
        <v>11.263</v>
      </c>
      <c r="K2679" t="s">
        <v>36</v>
      </c>
      <c r="L2679" t="s">
        <v>23</v>
      </c>
      <c r="M2679" t="str">
        <f>REPLACE(Transactions!M2679,1,4,"")</f>
        <v>5</v>
      </c>
    </row>
    <row r="2680" spans="1:13" x14ac:dyDescent="0.2">
      <c r="A2680">
        <v>547151</v>
      </c>
      <c r="B2680" s="5">
        <v>45171</v>
      </c>
      <c r="D2680" t="str">
        <f>PROPER(Transactions!D2680)</f>
        <v>Electronics</v>
      </c>
      <c r="E2680" t="s">
        <v>77</v>
      </c>
      <c r="F2680" t="s">
        <v>78</v>
      </c>
      <c r="G2680">
        <v>1</v>
      </c>
      <c r="H2680">
        <v>449.99</v>
      </c>
      <c r="I2680" s="7">
        <f>IF(Transactions!I2680="",0,Transactions!I2680)</f>
        <v>0.1</v>
      </c>
      <c r="J2680" s="9">
        <f t="shared" si="41"/>
        <v>404.99100000000004</v>
      </c>
      <c r="K2680" t="s">
        <v>36</v>
      </c>
      <c r="L2680" t="s">
        <v>37</v>
      </c>
      <c r="M2680" t="str">
        <f>REPLACE(Transactions!M2680,1,4,"")</f>
        <v>1</v>
      </c>
    </row>
    <row r="2681" spans="1:13" x14ac:dyDescent="0.2">
      <c r="A2681">
        <v>547162</v>
      </c>
      <c r="B2681" s="5">
        <v>44812</v>
      </c>
      <c r="C2681">
        <v>91582</v>
      </c>
      <c r="D2681" t="str">
        <f>PROPER(Transactions!D2681)</f>
        <v>Electronics</v>
      </c>
      <c r="E2681" t="s">
        <v>127</v>
      </c>
      <c r="F2681" t="s">
        <v>128</v>
      </c>
      <c r="G2681">
        <v>2</v>
      </c>
      <c r="H2681">
        <v>13.99</v>
      </c>
      <c r="I2681" s="7">
        <f>IF(Transactions!I2681="",0,Transactions!I2681)</f>
        <v>0.3</v>
      </c>
      <c r="J2681" s="9">
        <f t="shared" si="41"/>
        <v>19.585999999999999</v>
      </c>
      <c r="K2681" t="s">
        <v>16</v>
      </c>
      <c r="L2681" t="s">
        <v>17</v>
      </c>
      <c r="M2681" t="str">
        <f>REPLACE(Transactions!M2681,1,4,"")</f>
        <v>3</v>
      </c>
    </row>
    <row r="2682" spans="1:13" x14ac:dyDescent="0.2">
      <c r="A2682">
        <v>547272</v>
      </c>
      <c r="B2682" s="5">
        <v>44913</v>
      </c>
      <c r="C2682">
        <v>12133</v>
      </c>
      <c r="D2682" t="str">
        <f>PROPER(Transactions!D2682)</f>
        <v>Pharmacy</v>
      </c>
      <c r="E2682" t="s">
        <v>197</v>
      </c>
      <c r="F2682" t="s">
        <v>198</v>
      </c>
      <c r="G2682">
        <v>2</v>
      </c>
      <c r="H2682">
        <v>13.49</v>
      </c>
      <c r="I2682" s="7">
        <f>IF(Transactions!I2682="",0,Transactions!I2682)</f>
        <v>0.1</v>
      </c>
      <c r="J2682" s="9">
        <f t="shared" si="41"/>
        <v>24.282</v>
      </c>
      <c r="K2682" t="s">
        <v>36</v>
      </c>
      <c r="L2682" t="s">
        <v>37</v>
      </c>
      <c r="M2682" t="str">
        <f>REPLACE(Transactions!M2682,1,4,"")</f>
        <v>3</v>
      </c>
    </row>
    <row r="2683" spans="1:13" x14ac:dyDescent="0.2">
      <c r="A2683">
        <v>547554</v>
      </c>
      <c r="B2683" s="5">
        <v>45023</v>
      </c>
      <c r="C2683">
        <v>62048</v>
      </c>
      <c r="D2683" t="str">
        <f>PROPER(Transactions!D2683)</f>
        <v>Pharmacy</v>
      </c>
      <c r="E2683" t="s">
        <v>115</v>
      </c>
      <c r="F2683" t="s">
        <v>116</v>
      </c>
      <c r="G2683">
        <v>1</v>
      </c>
      <c r="H2683">
        <v>12.99</v>
      </c>
      <c r="I2683" s="7">
        <f>IF(Transactions!I2683="",0,Transactions!I2683)</f>
        <v>0</v>
      </c>
      <c r="J2683" s="9">
        <f t="shared" si="41"/>
        <v>12.99</v>
      </c>
      <c r="K2683" t="s">
        <v>16</v>
      </c>
      <c r="L2683" t="s">
        <v>17</v>
      </c>
      <c r="M2683" t="str">
        <f>REPLACE(Transactions!M2683,1,4,"")</f>
        <v>4</v>
      </c>
    </row>
    <row r="2684" spans="1:13" x14ac:dyDescent="0.2">
      <c r="A2684">
        <v>547555</v>
      </c>
      <c r="B2684" s="5">
        <v>45051</v>
      </c>
      <c r="C2684">
        <v>92837</v>
      </c>
      <c r="D2684" t="str">
        <f>PROPER(Transactions!D2684)</f>
        <v>Home &amp; Garden</v>
      </c>
      <c r="E2684" t="s">
        <v>137</v>
      </c>
      <c r="F2684" t="s">
        <v>138</v>
      </c>
      <c r="G2684">
        <v>2</v>
      </c>
      <c r="H2684">
        <v>7.99</v>
      </c>
      <c r="I2684" s="7">
        <f>IF(Transactions!I2684="",0,Transactions!I2684)</f>
        <v>0</v>
      </c>
      <c r="J2684" s="9">
        <f t="shared" si="41"/>
        <v>15.98</v>
      </c>
      <c r="K2684" t="s">
        <v>36</v>
      </c>
      <c r="L2684" t="s">
        <v>17</v>
      </c>
      <c r="M2684" t="str">
        <f>REPLACE(Transactions!M2684,1,4,"")</f>
        <v>7</v>
      </c>
    </row>
    <row r="2685" spans="1:13" x14ac:dyDescent="0.2">
      <c r="A2685">
        <v>547642</v>
      </c>
      <c r="B2685" s="5">
        <v>45209</v>
      </c>
      <c r="C2685">
        <v>11708</v>
      </c>
      <c r="D2685" t="str">
        <f>PROPER(Transactions!D2685)</f>
        <v>Electronics</v>
      </c>
      <c r="E2685" t="s">
        <v>186</v>
      </c>
      <c r="F2685" t="s">
        <v>187</v>
      </c>
      <c r="G2685">
        <v>4</v>
      </c>
      <c r="H2685">
        <v>44.99</v>
      </c>
      <c r="I2685" s="7">
        <f>IF(Transactions!I2685="",0,Transactions!I2685)</f>
        <v>0.1</v>
      </c>
      <c r="J2685" s="9">
        <f t="shared" si="41"/>
        <v>161.964</v>
      </c>
      <c r="K2685" t="s">
        <v>36</v>
      </c>
      <c r="L2685" t="s">
        <v>17</v>
      </c>
      <c r="M2685" t="str">
        <f>REPLACE(Transactions!M2685,1,4,"")</f>
        <v>19</v>
      </c>
    </row>
    <row r="2686" spans="1:13" x14ac:dyDescent="0.2">
      <c r="A2686">
        <v>547733</v>
      </c>
      <c r="B2686" s="5">
        <v>45607</v>
      </c>
      <c r="D2686" t="str">
        <f>PROPER(Transactions!D2686)</f>
        <v>Furniture</v>
      </c>
      <c r="E2686" t="s">
        <v>60</v>
      </c>
      <c r="F2686" t="s">
        <v>61</v>
      </c>
      <c r="G2686">
        <v>4</v>
      </c>
      <c r="H2686">
        <v>49.49</v>
      </c>
      <c r="I2686" s="7">
        <f>IF(Transactions!I2686="",0,Transactions!I2686)</f>
        <v>0.1</v>
      </c>
      <c r="J2686" s="9">
        <f t="shared" si="41"/>
        <v>178.16400000000002</v>
      </c>
      <c r="K2686" t="s">
        <v>36</v>
      </c>
      <c r="L2686" t="s">
        <v>17</v>
      </c>
      <c r="M2686" t="str">
        <f>REPLACE(Transactions!M2686,1,4,"")</f>
        <v>2</v>
      </c>
    </row>
    <row r="2687" spans="1:13" x14ac:dyDescent="0.2">
      <c r="A2687">
        <v>547837</v>
      </c>
      <c r="B2687" s="5">
        <v>45435</v>
      </c>
      <c r="C2687">
        <v>37336</v>
      </c>
      <c r="D2687" t="str">
        <f>PROPER(Transactions!D2687)</f>
        <v>Furniture</v>
      </c>
      <c r="E2687" t="s">
        <v>70</v>
      </c>
      <c r="F2687" t="s">
        <v>71</v>
      </c>
      <c r="G2687">
        <v>1</v>
      </c>
      <c r="H2687">
        <v>89.99</v>
      </c>
      <c r="I2687" s="7">
        <f>IF(Transactions!I2687="",0,Transactions!I2687)</f>
        <v>0</v>
      </c>
      <c r="J2687" s="9">
        <f t="shared" si="41"/>
        <v>89.99</v>
      </c>
      <c r="K2687" t="s">
        <v>22</v>
      </c>
      <c r="L2687" t="s">
        <v>37</v>
      </c>
      <c r="M2687" t="str">
        <f>REPLACE(Transactions!M2687,1,4,"")</f>
        <v>6</v>
      </c>
    </row>
    <row r="2688" spans="1:13" x14ac:dyDescent="0.2">
      <c r="A2688">
        <v>547861</v>
      </c>
      <c r="B2688" s="5">
        <v>45326</v>
      </c>
      <c r="C2688">
        <v>69090</v>
      </c>
      <c r="D2688" t="str">
        <f>PROPER(Transactions!D2688)</f>
        <v>Clothing</v>
      </c>
      <c r="E2688" t="s">
        <v>135</v>
      </c>
      <c r="F2688" t="s">
        <v>136</v>
      </c>
      <c r="G2688">
        <v>1</v>
      </c>
      <c r="H2688">
        <v>9.49</v>
      </c>
      <c r="I2688" s="7">
        <f>IF(Transactions!I2688="",0,Transactions!I2688)</f>
        <v>0.05</v>
      </c>
      <c r="J2688" s="9">
        <f t="shared" si="41"/>
        <v>9.0154999999999994</v>
      </c>
      <c r="K2688" t="s">
        <v>22</v>
      </c>
      <c r="L2688" t="s">
        <v>17</v>
      </c>
      <c r="M2688" t="str">
        <f>REPLACE(Transactions!M2688,1,4,"")</f>
        <v>1</v>
      </c>
    </row>
    <row r="2689" spans="1:13" x14ac:dyDescent="0.2">
      <c r="A2689">
        <v>547889</v>
      </c>
      <c r="B2689" s="5">
        <v>44774</v>
      </c>
      <c r="C2689">
        <v>72746</v>
      </c>
      <c r="D2689" t="str">
        <f>PROPER(Transactions!D2689)</f>
        <v>Sports</v>
      </c>
      <c r="E2689" t="s">
        <v>155</v>
      </c>
      <c r="F2689" t="s">
        <v>156</v>
      </c>
      <c r="G2689">
        <v>4</v>
      </c>
      <c r="H2689">
        <v>15.99</v>
      </c>
      <c r="I2689" s="7">
        <f>IF(Transactions!I2689="",0,Transactions!I2689)</f>
        <v>0.2</v>
      </c>
      <c r="J2689" s="9">
        <f t="shared" si="41"/>
        <v>51.168000000000006</v>
      </c>
      <c r="K2689" t="s">
        <v>36</v>
      </c>
      <c r="L2689" t="s">
        <v>37</v>
      </c>
      <c r="M2689" t="str">
        <f>REPLACE(Transactions!M2689,1,4,"")</f>
        <v>13</v>
      </c>
    </row>
    <row r="2690" spans="1:13" x14ac:dyDescent="0.2">
      <c r="A2690">
        <v>547972</v>
      </c>
      <c r="B2690" s="5">
        <v>44766</v>
      </c>
      <c r="C2690">
        <v>89304</v>
      </c>
      <c r="D2690" t="str">
        <f>PROPER(Transactions!D2690)</f>
        <v>Clothing</v>
      </c>
      <c r="E2690" t="s">
        <v>135</v>
      </c>
      <c r="F2690" t="s">
        <v>136</v>
      </c>
      <c r="G2690">
        <v>5</v>
      </c>
      <c r="H2690">
        <v>6.99</v>
      </c>
      <c r="I2690" s="7">
        <f>IF(Transactions!I2690="",0,Transactions!I2690)</f>
        <v>0.3</v>
      </c>
      <c r="J2690" s="9">
        <f t="shared" si="41"/>
        <v>24.465</v>
      </c>
      <c r="K2690" t="s">
        <v>16</v>
      </c>
      <c r="L2690" t="s">
        <v>17</v>
      </c>
      <c r="M2690" t="str">
        <f>REPLACE(Transactions!M2690,1,4,"")</f>
        <v>11</v>
      </c>
    </row>
    <row r="2691" spans="1:13" x14ac:dyDescent="0.2">
      <c r="A2691">
        <v>548092</v>
      </c>
      <c r="B2691" s="5">
        <v>44864</v>
      </c>
      <c r="C2691">
        <v>75792</v>
      </c>
      <c r="D2691" t="str">
        <f>PROPER(Transactions!D2691)</f>
        <v>Clothing</v>
      </c>
      <c r="E2691" t="s">
        <v>165</v>
      </c>
      <c r="F2691" t="s">
        <v>166</v>
      </c>
      <c r="G2691">
        <v>1</v>
      </c>
      <c r="H2691">
        <v>89.99</v>
      </c>
      <c r="I2691" s="7">
        <f>IF(Transactions!I2691="",0,Transactions!I2691)</f>
        <v>0</v>
      </c>
      <c r="J2691" s="9">
        <f t="shared" ref="J2691:J2754" si="42">(H2691*G2691)*(1-I2691)</f>
        <v>89.99</v>
      </c>
      <c r="K2691" t="s">
        <v>36</v>
      </c>
      <c r="L2691" t="s">
        <v>17</v>
      </c>
      <c r="M2691" t="str">
        <f>REPLACE(Transactions!M2691,1,4,"")</f>
        <v>6</v>
      </c>
    </row>
    <row r="2692" spans="1:13" x14ac:dyDescent="0.2">
      <c r="A2692">
        <v>548229</v>
      </c>
      <c r="B2692" s="5">
        <v>45125</v>
      </c>
      <c r="C2692">
        <v>51151</v>
      </c>
      <c r="D2692" t="str">
        <f>PROPER(Transactions!D2692)</f>
        <v>Electronics</v>
      </c>
      <c r="E2692" t="s">
        <v>104</v>
      </c>
      <c r="F2692" t="s">
        <v>105</v>
      </c>
      <c r="G2692">
        <v>3</v>
      </c>
      <c r="H2692">
        <v>29.99</v>
      </c>
      <c r="I2692" s="7">
        <f>IF(Transactions!I2692="",0,Transactions!I2692)</f>
        <v>0</v>
      </c>
      <c r="J2692" s="9">
        <f t="shared" si="42"/>
        <v>89.97</v>
      </c>
      <c r="K2692" t="s">
        <v>22</v>
      </c>
      <c r="L2692" t="s">
        <v>17</v>
      </c>
      <c r="M2692" t="str">
        <f>REPLACE(Transactions!M2692,1,4,"")</f>
        <v>7</v>
      </c>
    </row>
    <row r="2693" spans="1:13" x14ac:dyDescent="0.2">
      <c r="A2693">
        <v>548324</v>
      </c>
      <c r="B2693" s="5">
        <v>45227</v>
      </c>
      <c r="C2693">
        <v>59856</v>
      </c>
      <c r="D2693" t="str">
        <f>PROPER(Transactions!D2693)</f>
        <v>Pharmacy</v>
      </c>
      <c r="E2693" t="s">
        <v>58</v>
      </c>
      <c r="F2693" t="s">
        <v>59</v>
      </c>
      <c r="G2693">
        <v>5</v>
      </c>
      <c r="H2693">
        <v>2.99</v>
      </c>
      <c r="I2693" s="7">
        <f>IF(Transactions!I2693="",0,Transactions!I2693)</f>
        <v>0.25</v>
      </c>
      <c r="J2693" s="9">
        <f t="shared" si="42"/>
        <v>11.2125</v>
      </c>
      <c r="K2693" t="s">
        <v>22</v>
      </c>
      <c r="L2693" t="s">
        <v>17</v>
      </c>
      <c r="M2693" t="str">
        <f>REPLACE(Transactions!M2693,1,4,"")</f>
        <v>2</v>
      </c>
    </row>
    <row r="2694" spans="1:13" x14ac:dyDescent="0.2">
      <c r="A2694">
        <v>548415</v>
      </c>
      <c r="B2694" s="5">
        <v>45411</v>
      </c>
      <c r="C2694">
        <v>64662</v>
      </c>
      <c r="D2694" t="str">
        <f>PROPER(Transactions!D2694)</f>
        <v>Pharmacy</v>
      </c>
      <c r="E2694" t="s">
        <v>41</v>
      </c>
      <c r="F2694" t="s">
        <v>42</v>
      </c>
      <c r="G2694">
        <v>3</v>
      </c>
      <c r="H2694">
        <v>5.99</v>
      </c>
      <c r="I2694" s="7">
        <f>IF(Transactions!I2694="",0,Transactions!I2694)</f>
        <v>0</v>
      </c>
      <c r="J2694" s="9">
        <f t="shared" si="42"/>
        <v>17.97</v>
      </c>
      <c r="K2694" t="s">
        <v>16</v>
      </c>
      <c r="L2694" t="s">
        <v>17</v>
      </c>
      <c r="M2694" t="str">
        <f>REPLACE(Transactions!M2694,1,4,"")</f>
        <v>7</v>
      </c>
    </row>
    <row r="2695" spans="1:13" x14ac:dyDescent="0.2">
      <c r="A2695">
        <v>548538</v>
      </c>
      <c r="B2695" s="5">
        <v>45110</v>
      </c>
      <c r="C2695">
        <v>38183</v>
      </c>
      <c r="D2695" t="str">
        <f>PROPER(Transactions!D2695)</f>
        <v>Pharmacy</v>
      </c>
      <c r="E2695" t="s">
        <v>20</v>
      </c>
      <c r="F2695" t="s">
        <v>21</v>
      </c>
      <c r="G2695">
        <v>4</v>
      </c>
      <c r="H2695">
        <v>9.99</v>
      </c>
      <c r="I2695" s="7">
        <f>IF(Transactions!I2695="",0,Transactions!I2695)</f>
        <v>0</v>
      </c>
      <c r="J2695" s="9">
        <f t="shared" si="42"/>
        <v>39.96</v>
      </c>
      <c r="K2695" t="s">
        <v>22</v>
      </c>
      <c r="L2695" t="s">
        <v>17</v>
      </c>
      <c r="M2695" t="str">
        <f>REPLACE(Transactions!M2695,1,4,"")</f>
        <v>10</v>
      </c>
    </row>
    <row r="2696" spans="1:13" x14ac:dyDescent="0.2">
      <c r="A2696">
        <v>548676</v>
      </c>
      <c r="B2696" s="5">
        <v>45399</v>
      </c>
      <c r="C2696">
        <v>95974</v>
      </c>
      <c r="D2696" t="str">
        <f>PROPER(Transactions!D2696)</f>
        <v>Clothing</v>
      </c>
      <c r="E2696" t="s">
        <v>98</v>
      </c>
      <c r="F2696" t="s">
        <v>99</v>
      </c>
      <c r="G2696">
        <v>2</v>
      </c>
      <c r="H2696">
        <v>26.59</v>
      </c>
      <c r="I2696" s="7">
        <f>IF(Transactions!I2696="",0,Transactions!I2696)</f>
        <v>0.05</v>
      </c>
      <c r="J2696" s="9">
        <f t="shared" si="42"/>
        <v>50.521000000000001</v>
      </c>
      <c r="K2696" t="s">
        <v>36</v>
      </c>
      <c r="L2696" t="s">
        <v>17</v>
      </c>
      <c r="M2696" t="str">
        <f>REPLACE(Transactions!M2696,1,4,"")</f>
        <v>9</v>
      </c>
    </row>
    <row r="2697" spans="1:13" x14ac:dyDescent="0.2">
      <c r="A2697">
        <v>548759</v>
      </c>
      <c r="B2697" s="5">
        <v>45356</v>
      </c>
      <c r="C2697">
        <v>38878</v>
      </c>
      <c r="D2697" t="str">
        <f>PROPER(Transactions!D2697)</f>
        <v>Toys</v>
      </c>
      <c r="E2697" t="s">
        <v>72</v>
      </c>
      <c r="F2697" t="s">
        <v>73</v>
      </c>
      <c r="G2697">
        <v>1</v>
      </c>
      <c r="H2697">
        <v>33.99</v>
      </c>
      <c r="I2697" s="7">
        <f>IF(Transactions!I2697="",0,Transactions!I2697)</f>
        <v>0.15</v>
      </c>
      <c r="J2697" s="9">
        <f t="shared" si="42"/>
        <v>28.891500000000001</v>
      </c>
      <c r="K2697" t="s">
        <v>36</v>
      </c>
      <c r="L2697" t="s">
        <v>17</v>
      </c>
      <c r="M2697" t="str">
        <f>REPLACE(Transactions!M2697,1,4,"")</f>
        <v>14</v>
      </c>
    </row>
    <row r="2698" spans="1:13" x14ac:dyDescent="0.2">
      <c r="A2698">
        <v>549140</v>
      </c>
      <c r="B2698" s="5">
        <v>44629</v>
      </c>
      <c r="C2698">
        <v>76116</v>
      </c>
      <c r="D2698" t="str">
        <f>PROPER(Transactions!D2698)</f>
        <v>Sports</v>
      </c>
      <c r="E2698" t="s">
        <v>188</v>
      </c>
      <c r="F2698" t="s">
        <v>189</v>
      </c>
      <c r="G2698">
        <v>1</v>
      </c>
      <c r="H2698">
        <v>44.99</v>
      </c>
      <c r="I2698" s="7">
        <f>IF(Transactions!I2698="",0,Transactions!I2698)</f>
        <v>0</v>
      </c>
      <c r="J2698" s="9">
        <f t="shared" si="42"/>
        <v>44.99</v>
      </c>
      <c r="K2698" t="s">
        <v>16</v>
      </c>
      <c r="L2698" t="s">
        <v>17</v>
      </c>
      <c r="M2698" t="str">
        <f>REPLACE(Transactions!M2698,1,4,"")</f>
        <v>3</v>
      </c>
    </row>
    <row r="2699" spans="1:13" x14ac:dyDescent="0.2">
      <c r="A2699">
        <v>549339</v>
      </c>
      <c r="B2699" s="5">
        <v>45356</v>
      </c>
      <c r="D2699" t="str">
        <f>PROPER(Transactions!D2699)</f>
        <v>Furniture</v>
      </c>
      <c r="E2699" t="s">
        <v>51</v>
      </c>
      <c r="F2699" t="s">
        <v>52</v>
      </c>
      <c r="G2699">
        <v>1</v>
      </c>
      <c r="H2699">
        <v>23.79</v>
      </c>
      <c r="I2699" s="7">
        <f>IF(Transactions!I2699="",0,Transactions!I2699)</f>
        <v>0.15</v>
      </c>
      <c r="J2699" s="9">
        <f t="shared" si="42"/>
        <v>20.221499999999999</v>
      </c>
      <c r="K2699" t="s">
        <v>36</v>
      </c>
      <c r="L2699" t="s">
        <v>23</v>
      </c>
      <c r="M2699" t="str">
        <f>REPLACE(Transactions!M2699,1,4,"")</f>
        <v>1</v>
      </c>
    </row>
    <row r="2700" spans="1:13" x14ac:dyDescent="0.2">
      <c r="A2700">
        <v>549372</v>
      </c>
      <c r="B2700" s="5">
        <v>44794</v>
      </c>
      <c r="C2700">
        <v>80940</v>
      </c>
      <c r="D2700" t="str">
        <f>PROPER(Transactions!D2700)</f>
        <v>Automotive</v>
      </c>
      <c r="E2700" t="s">
        <v>111</v>
      </c>
      <c r="F2700" t="s">
        <v>112</v>
      </c>
      <c r="G2700">
        <v>2</v>
      </c>
      <c r="H2700">
        <v>14.99</v>
      </c>
      <c r="I2700" s="7">
        <f>IF(Transactions!I2700="",0,Transactions!I2700)</f>
        <v>0</v>
      </c>
      <c r="J2700" s="9">
        <f t="shared" si="42"/>
        <v>29.98</v>
      </c>
      <c r="K2700" t="s">
        <v>36</v>
      </c>
      <c r="L2700" t="s">
        <v>23</v>
      </c>
      <c r="M2700" t="str">
        <f>REPLACE(Transactions!M2700,1,4,"")</f>
        <v>20</v>
      </c>
    </row>
    <row r="2701" spans="1:13" x14ac:dyDescent="0.2">
      <c r="A2701">
        <v>549519</v>
      </c>
      <c r="B2701" s="5">
        <v>45193</v>
      </c>
      <c r="C2701">
        <v>92999</v>
      </c>
      <c r="D2701" t="str">
        <f>PROPER(Transactions!D2701)</f>
        <v>Furniture</v>
      </c>
      <c r="E2701" t="s">
        <v>70</v>
      </c>
      <c r="F2701" t="s">
        <v>71</v>
      </c>
      <c r="G2701">
        <v>2</v>
      </c>
      <c r="H2701">
        <v>76.489999999999995</v>
      </c>
      <c r="I2701" s="7">
        <f>IF(Transactions!I2701="",0,Transactions!I2701)</f>
        <v>0.15</v>
      </c>
      <c r="J2701" s="9">
        <f t="shared" si="42"/>
        <v>130.03299999999999</v>
      </c>
      <c r="K2701" t="s">
        <v>36</v>
      </c>
      <c r="L2701" t="s">
        <v>17</v>
      </c>
      <c r="M2701" t="str">
        <f>REPLACE(Transactions!M2701,1,4,"")</f>
        <v>15</v>
      </c>
    </row>
    <row r="2702" spans="1:13" x14ac:dyDescent="0.2">
      <c r="A2702">
        <v>549653</v>
      </c>
      <c r="B2702" s="5">
        <v>45425</v>
      </c>
      <c r="C2702">
        <v>77653</v>
      </c>
      <c r="D2702" t="str">
        <f>PROPER(Transactions!D2702)</f>
        <v>Home &amp; Garden</v>
      </c>
      <c r="E2702" t="s">
        <v>153</v>
      </c>
      <c r="F2702" t="s">
        <v>154</v>
      </c>
      <c r="G2702">
        <v>1</v>
      </c>
      <c r="H2702">
        <v>28.49</v>
      </c>
      <c r="I2702" s="7">
        <f>IF(Transactions!I2702="",0,Transactions!I2702)</f>
        <v>0.05</v>
      </c>
      <c r="J2702" s="9">
        <f t="shared" si="42"/>
        <v>27.065499999999997</v>
      </c>
      <c r="K2702" t="s">
        <v>36</v>
      </c>
      <c r="L2702" t="s">
        <v>17</v>
      </c>
      <c r="M2702" t="str">
        <f>REPLACE(Transactions!M2702,1,4,"")</f>
        <v>17</v>
      </c>
    </row>
    <row r="2703" spans="1:13" x14ac:dyDescent="0.2">
      <c r="A2703">
        <v>549741</v>
      </c>
      <c r="B2703" s="5">
        <v>45533</v>
      </c>
      <c r="C2703">
        <v>15188</v>
      </c>
      <c r="D2703" t="str">
        <f>PROPER(Transactions!D2703)</f>
        <v>Toys</v>
      </c>
      <c r="E2703" t="s">
        <v>88</v>
      </c>
      <c r="F2703" t="s">
        <v>89</v>
      </c>
      <c r="G2703">
        <v>2</v>
      </c>
      <c r="H2703">
        <v>42.49</v>
      </c>
      <c r="I2703" s="7">
        <f>IF(Transactions!I2703="",0,Transactions!I2703)</f>
        <v>0.15</v>
      </c>
      <c r="J2703" s="9">
        <f t="shared" si="42"/>
        <v>72.233000000000004</v>
      </c>
      <c r="K2703" t="s">
        <v>36</v>
      </c>
      <c r="L2703" t="s">
        <v>37</v>
      </c>
      <c r="M2703" t="str">
        <f>REPLACE(Transactions!M2703,1,4,"")</f>
        <v>13</v>
      </c>
    </row>
    <row r="2704" spans="1:13" x14ac:dyDescent="0.2">
      <c r="A2704">
        <v>549969</v>
      </c>
      <c r="B2704" s="5">
        <v>45650</v>
      </c>
      <c r="C2704">
        <v>51676</v>
      </c>
      <c r="D2704" t="str">
        <f>PROPER(Transactions!D2704)</f>
        <v>Furniture</v>
      </c>
      <c r="E2704" t="s">
        <v>26</v>
      </c>
      <c r="F2704" t="s">
        <v>27</v>
      </c>
      <c r="G2704">
        <v>4</v>
      </c>
      <c r="H2704">
        <v>27.99</v>
      </c>
      <c r="I2704" s="7">
        <f>IF(Transactions!I2704="",0,Transactions!I2704)</f>
        <v>0.2</v>
      </c>
      <c r="J2704" s="9">
        <f t="shared" si="42"/>
        <v>89.567999999999998</v>
      </c>
      <c r="K2704" t="s">
        <v>16</v>
      </c>
      <c r="L2704" t="s">
        <v>17</v>
      </c>
      <c r="M2704" t="str">
        <f>REPLACE(Transactions!M2704,1,4,"")</f>
        <v>18</v>
      </c>
    </row>
    <row r="2705" spans="1:13" x14ac:dyDescent="0.2">
      <c r="A2705">
        <v>549994</v>
      </c>
      <c r="B2705" s="5">
        <v>45268</v>
      </c>
      <c r="D2705" t="str">
        <f>PROPER(Transactions!D2705)</f>
        <v>Furniture</v>
      </c>
      <c r="E2705" t="s">
        <v>70</v>
      </c>
      <c r="F2705" t="s">
        <v>71</v>
      </c>
      <c r="G2705">
        <v>3</v>
      </c>
      <c r="H2705">
        <v>62.99</v>
      </c>
      <c r="I2705" s="7">
        <f>IF(Transactions!I2705="",0,Transactions!I2705)</f>
        <v>0.3</v>
      </c>
      <c r="J2705" s="9">
        <f t="shared" si="42"/>
        <v>132.279</v>
      </c>
      <c r="K2705" t="s">
        <v>95</v>
      </c>
      <c r="L2705" t="s">
        <v>17</v>
      </c>
      <c r="M2705" t="str">
        <f>REPLACE(Transactions!M2705,1,4,"")</f>
        <v>15</v>
      </c>
    </row>
    <row r="2706" spans="1:13" x14ac:dyDescent="0.2">
      <c r="A2706">
        <v>550276</v>
      </c>
      <c r="B2706" s="5">
        <v>45276</v>
      </c>
      <c r="C2706">
        <v>25476</v>
      </c>
      <c r="D2706" t="str">
        <f>PROPER(Transactions!D2706)</f>
        <v>Electronics</v>
      </c>
      <c r="E2706" t="s">
        <v>127</v>
      </c>
      <c r="F2706" t="s">
        <v>128</v>
      </c>
      <c r="G2706">
        <v>2</v>
      </c>
      <c r="H2706">
        <v>19.989999999999998</v>
      </c>
      <c r="I2706" s="7">
        <f>IF(Transactions!I2706="",0,Transactions!I2706)</f>
        <v>0</v>
      </c>
      <c r="J2706" s="9">
        <f t="shared" si="42"/>
        <v>39.979999999999997</v>
      </c>
      <c r="K2706" t="s">
        <v>36</v>
      </c>
      <c r="L2706" t="s">
        <v>17</v>
      </c>
      <c r="M2706" t="str">
        <f>REPLACE(Transactions!M2706,1,4,"")</f>
        <v>6</v>
      </c>
    </row>
    <row r="2707" spans="1:13" x14ac:dyDescent="0.2">
      <c r="A2707">
        <v>550442</v>
      </c>
      <c r="B2707" s="5">
        <v>44724</v>
      </c>
      <c r="C2707">
        <v>13335</v>
      </c>
      <c r="D2707" t="str">
        <f>PROPER(Transactions!D2707)</f>
        <v>Home &amp; Garden</v>
      </c>
      <c r="E2707" t="s">
        <v>137</v>
      </c>
      <c r="F2707" t="s">
        <v>138</v>
      </c>
      <c r="G2707">
        <v>4</v>
      </c>
      <c r="H2707">
        <v>7.99</v>
      </c>
      <c r="I2707" s="7">
        <f>IF(Transactions!I2707="",0,Transactions!I2707)</f>
        <v>0</v>
      </c>
      <c r="J2707" s="9">
        <f t="shared" si="42"/>
        <v>31.96</v>
      </c>
      <c r="K2707" t="s">
        <v>16</v>
      </c>
      <c r="L2707" t="s">
        <v>17</v>
      </c>
      <c r="M2707" t="str">
        <f>REPLACE(Transactions!M2707,1,4,"")</f>
        <v>12</v>
      </c>
    </row>
    <row r="2708" spans="1:13" x14ac:dyDescent="0.2">
      <c r="A2708">
        <v>550572</v>
      </c>
      <c r="B2708" s="5">
        <v>44661</v>
      </c>
      <c r="C2708">
        <v>50910</v>
      </c>
      <c r="D2708" t="str">
        <f>PROPER(Transactions!D2708)</f>
        <v>Automotive</v>
      </c>
      <c r="E2708" t="s">
        <v>125</v>
      </c>
      <c r="F2708" t="s">
        <v>126</v>
      </c>
      <c r="G2708">
        <v>4</v>
      </c>
      <c r="H2708">
        <v>26.99</v>
      </c>
      <c r="I2708" s="7">
        <f>IF(Transactions!I2708="",0,Transactions!I2708)</f>
        <v>0.1</v>
      </c>
      <c r="J2708" s="9">
        <f t="shared" si="42"/>
        <v>97.164000000000001</v>
      </c>
      <c r="K2708" t="s">
        <v>36</v>
      </c>
      <c r="L2708" t="s">
        <v>17</v>
      </c>
      <c r="M2708" t="str">
        <f>REPLACE(Transactions!M2708,1,4,"")</f>
        <v>16</v>
      </c>
    </row>
    <row r="2709" spans="1:13" x14ac:dyDescent="0.2">
      <c r="A2709">
        <v>550657</v>
      </c>
      <c r="B2709" s="5">
        <v>45533</v>
      </c>
      <c r="C2709">
        <v>16215</v>
      </c>
      <c r="D2709" t="str">
        <f>PROPER(Transactions!D2709)</f>
        <v>Pharmacy</v>
      </c>
      <c r="E2709" t="s">
        <v>58</v>
      </c>
      <c r="F2709" t="s">
        <v>59</v>
      </c>
      <c r="G2709">
        <v>1</v>
      </c>
      <c r="H2709">
        <v>3.99</v>
      </c>
      <c r="I2709" s="7">
        <f>IF(Transactions!I2709="",0,Transactions!I2709)</f>
        <v>0</v>
      </c>
      <c r="J2709" s="9">
        <f t="shared" si="42"/>
        <v>3.99</v>
      </c>
      <c r="K2709" t="s">
        <v>16</v>
      </c>
      <c r="L2709" t="s">
        <v>17</v>
      </c>
      <c r="M2709" t="str">
        <f>REPLACE(Transactions!M2709,1,4,"")</f>
        <v>10</v>
      </c>
    </row>
    <row r="2710" spans="1:13" x14ac:dyDescent="0.2">
      <c r="A2710">
        <v>550691</v>
      </c>
      <c r="B2710" s="5">
        <v>45264</v>
      </c>
      <c r="C2710">
        <v>80173</v>
      </c>
      <c r="D2710" t="str">
        <f>PROPER(Transactions!D2710)</f>
        <v>Automotive</v>
      </c>
      <c r="E2710" t="s">
        <v>64</v>
      </c>
      <c r="F2710" t="s">
        <v>65</v>
      </c>
      <c r="G2710">
        <v>4</v>
      </c>
      <c r="H2710">
        <v>4.99</v>
      </c>
      <c r="I2710" s="7">
        <f>IF(Transactions!I2710="",0,Transactions!I2710)</f>
        <v>0</v>
      </c>
      <c r="J2710" s="9">
        <f t="shared" si="42"/>
        <v>19.96</v>
      </c>
      <c r="K2710" t="s">
        <v>95</v>
      </c>
      <c r="L2710" t="s">
        <v>17</v>
      </c>
      <c r="M2710" t="str">
        <f>REPLACE(Transactions!M2710,1,4,"")</f>
        <v>12</v>
      </c>
    </row>
    <row r="2711" spans="1:13" x14ac:dyDescent="0.2">
      <c r="A2711">
        <v>551472</v>
      </c>
      <c r="B2711" s="5">
        <v>44582</v>
      </c>
      <c r="C2711">
        <v>97536</v>
      </c>
      <c r="D2711" t="str">
        <f>PROPER(Transactions!D2711)</f>
        <v>Home &amp; Garden</v>
      </c>
      <c r="E2711" t="s">
        <v>129</v>
      </c>
      <c r="F2711" t="s">
        <v>130</v>
      </c>
      <c r="G2711">
        <v>2</v>
      </c>
      <c r="H2711">
        <v>8.99</v>
      </c>
      <c r="I2711" s="7">
        <f>IF(Transactions!I2711="",0,Transactions!I2711)</f>
        <v>0</v>
      </c>
      <c r="J2711" s="9">
        <f t="shared" si="42"/>
        <v>17.98</v>
      </c>
      <c r="K2711" t="s">
        <v>36</v>
      </c>
      <c r="L2711" t="s">
        <v>17</v>
      </c>
      <c r="M2711" t="str">
        <f>REPLACE(Transactions!M2711,1,4,"")</f>
        <v>6</v>
      </c>
    </row>
    <row r="2712" spans="1:13" x14ac:dyDescent="0.2">
      <c r="A2712">
        <v>551494</v>
      </c>
      <c r="B2712" s="5">
        <v>44859</v>
      </c>
      <c r="C2712">
        <v>99504</v>
      </c>
      <c r="D2712" t="str">
        <f>PROPER(Transactions!D2712)</f>
        <v>Home &amp; Garden</v>
      </c>
      <c r="E2712" t="s">
        <v>153</v>
      </c>
      <c r="F2712" t="s">
        <v>154</v>
      </c>
      <c r="G2712">
        <v>3</v>
      </c>
      <c r="H2712">
        <v>29.99</v>
      </c>
      <c r="I2712" s="7">
        <f>IF(Transactions!I2712="",0,Transactions!I2712)</f>
        <v>0</v>
      </c>
      <c r="J2712" s="9">
        <f t="shared" si="42"/>
        <v>89.97</v>
      </c>
      <c r="K2712" t="s">
        <v>16</v>
      </c>
      <c r="L2712" t="s">
        <v>17</v>
      </c>
      <c r="M2712" t="str">
        <f>REPLACE(Transactions!M2712,1,4,"")</f>
        <v>18</v>
      </c>
    </row>
    <row r="2713" spans="1:13" x14ac:dyDescent="0.2">
      <c r="A2713">
        <v>551551</v>
      </c>
      <c r="B2713" s="5">
        <v>45562</v>
      </c>
      <c r="C2713">
        <v>71876</v>
      </c>
      <c r="D2713" t="str">
        <f>PROPER(Transactions!D2713)</f>
        <v>Beauty</v>
      </c>
      <c r="E2713" t="s">
        <v>143</v>
      </c>
      <c r="F2713" t="s">
        <v>144</v>
      </c>
      <c r="G2713">
        <v>4</v>
      </c>
      <c r="H2713">
        <v>14.99</v>
      </c>
      <c r="I2713" s="7">
        <f>IF(Transactions!I2713="",0,Transactions!I2713)</f>
        <v>0</v>
      </c>
      <c r="J2713" s="9">
        <f t="shared" si="42"/>
        <v>59.96</v>
      </c>
      <c r="K2713" t="s">
        <v>16</v>
      </c>
      <c r="L2713" t="s">
        <v>17</v>
      </c>
      <c r="M2713" t="str">
        <f>REPLACE(Transactions!M2713,1,4,"")</f>
        <v>15</v>
      </c>
    </row>
    <row r="2714" spans="1:13" x14ac:dyDescent="0.2">
      <c r="A2714">
        <v>551880</v>
      </c>
      <c r="B2714" s="5">
        <v>44952</v>
      </c>
      <c r="C2714">
        <v>29949</v>
      </c>
      <c r="D2714" t="str">
        <f>PROPER(Transactions!D2714)</f>
        <v>Pharmacy</v>
      </c>
      <c r="E2714" t="s">
        <v>58</v>
      </c>
      <c r="F2714" t="s">
        <v>59</v>
      </c>
      <c r="G2714">
        <v>4</v>
      </c>
      <c r="H2714">
        <v>3.99</v>
      </c>
      <c r="I2714" s="7">
        <f>IF(Transactions!I2714="",0,Transactions!I2714)</f>
        <v>0</v>
      </c>
      <c r="J2714" s="9">
        <f t="shared" si="42"/>
        <v>15.96</v>
      </c>
      <c r="K2714" t="s">
        <v>53</v>
      </c>
      <c r="L2714" t="s">
        <v>17</v>
      </c>
      <c r="M2714" t="str">
        <f>REPLACE(Transactions!M2714,1,4,"")</f>
        <v>11</v>
      </c>
    </row>
    <row r="2715" spans="1:13" x14ac:dyDescent="0.2">
      <c r="A2715">
        <v>551892</v>
      </c>
      <c r="B2715" s="5">
        <v>45101</v>
      </c>
      <c r="C2715">
        <v>45702</v>
      </c>
      <c r="D2715" t="str">
        <f>PROPER(Transactions!D2715)</f>
        <v>Toys</v>
      </c>
      <c r="E2715" t="s">
        <v>88</v>
      </c>
      <c r="F2715" t="s">
        <v>89</v>
      </c>
      <c r="G2715">
        <v>1</v>
      </c>
      <c r="H2715">
        <v>44.99</v>
      </c>
      <c r="I2715" s="7">
        <f>IF(Transactions!I2715="",0,Transactions!I2715)</f>
        <v>0.1</v>
      </c>
      <c r="J2715" s="9">
        <f t="shared" si="42"/>
        <v>40.491</v>
      </c>
      <c r="K2715" t="s">
        <v>32</v>
      </c>
      <c r="L2715" t="s">
        <v>17</v>
      </c>
      <c r="M2715" t="str">
        <f>REPLACE(Transactions!M2715,1,4,"")</f>
        <v>17</v>
      </c>
    </row>
    <row r="2716" spans="1:13" x14ac:dyDescent="0.2">
      <c r="A2716">
        <v>551982</v>
      </c>
      <c r="B2716" s="5">
        <v>45558</v>
      </c>
      <c r="D2716" t="str">
        <f>PROPER(Transactions!D2716)</f>
        <v>Furniture</v>
      </c>
      <c r="E2716" t="s">
        <v>113</v>
      </c>
      <c r="F2716" t="s">
        <v>114</v>
      </c>
      <c r="G2716">
        <v>2</v>
      </c>
      <c r="H2716">
        <v>95.99</v>
      </c>
      <c r="I2716" s="7">
        <f>IF(Transactions!I2716="",0,Transactions!I2716)</f>
        <v>0.2</v>
      </c>
      <c r="J2716" s="9">
        <f t="shared" si="42"/>
        <v>153.584</v>
      </c>
      <c r="K2716" t="s">
        <v>22</v>
      </c>
      <c r="L2716" t="s">
        <v>17</v>
      </c>
      <c r="M2716" t="str">
        <f>REPLACE(Transactions!M2716,1,4,"")</f>
        <v>3</v>
      </c>
    </row>
    <row r="2717" spans="1:13" x14ac:dyDescent="0.2">
      <c r="A2717">
        <v>552050</v>
      </c>
      <c r="B2717" s="5">
        <v>45489</v>
      </c>
      <c r="C2717">
        <v>51607</v>
      </c>
      <c r="D2717" t="str">
        <f>PROPER(Transactions!D2717)</f>
        <v>Automotive</v>
      </c>
      <c r="E2717" t="s">
        <v>64</v>
      </c>
      <c r="F2717" t="s">
        <v>65</v>
      </c>
      <c r="G2717">
        <v>4</v>
      </c>
      <c r="H2717">
        <v>3.49</v>
      </c>
      <c r="I2717" s="7">
        <f>IF(Transactions!I2717="",0,Transactions!I2717)</f>
        <v>0.3</v>
      </c>
      <c r="J2717" s="9">
        <f t="shared" si="42"/>
        <v>9.7720000000000002</v>
      </c>
      <c r="K2717" t="s">
        <v>16</v>
      </c>
      <c r="L2717" t="s">
        <v>17</v>
      </c>
      <c r="M2717" t="str">
        <f>REPLACE(Transactions!M2717,1,4,"")</f>
        <v>6</v>
      </c>
    </row>
    <row r="2718" spans="1:13" x14ac:dyDescent="0.2">
      <c r="A2718">
        <v>552438</v>
      </c>
      <c r="B2718" s="5">
        <v>45379</v>
      </c>
      <c r="C2718">
        <v>13378</v>
      </c>
      <c r="D2718" t="str">
        <f>PROPER(Transactions!D2718)</f>
        <v>Toys</v>
      </c>
      <c r="E2718" t="s">
        <v>88</v>
      </c>
      <c r="F2718" t="s">
        <v>89</v>
      </c>
      <c r="G2718">
        <v>5</v>
      </c>
      <c r="H2718">
        <v>42.49</v>
      </c>
      <c r="I2718" s="7">
        <f>IF(Transactions!I2718="",0,Transactions!I2718)</f>
        <v>0.15</v>
      </c>
      <c r="J2718" s="9">
        <f t="shared" si="42"/>
        <v>180.58250000000001</v>
      </c>
      <c r="K2718" t="s">
        <v>22</v>
      </c>
      <c r="L2718" t="s">
        <v>17</v>
      </c>
      <c r="M2718" t="str">
        <f>REPLACE(Transactions!M2718,1,4,"")</f>
        <v>2</v>
      </c>
    </row>
    <row r="2719" spans="1:13" x14ac:dyDescent="0.2">
      <c r="A2719">
        <v>552453</v>
      </c>
      <c r="B2719" s="5">
        <v>45214</v>
      </c>
      <c r="C2719">
        <v>86200</v>
      </c>
      <c r="D2719" t="str">
        <f>PROPER(Transactions!D2719)</f>
        <v>Automotive</v>
      </c>
      <c r="E2719" t="s">
        <v>111</v>
      </c>
      <c r="F2719" t="s">
        <v>112</v>
      </c>
      <c r="G2719">
        <v>1</v>
      </c>
      <c r="H2719">
        <v>11.99</v>
      </c>
      <c r="I2719" s="7">
        <f>IF(Transactions!I2719="",0,Transactions!I2719)</f>
        <v>0.2</v>
      </c>
      <c r="J2719" s="9">
        <f t="shared" si="42"/>
        <v>9.5920000000000005</v>
      </c>
      <c r="K2719" t="s">
        <v>22</v>
      </c>
      <c r="L2719" t="s">
        <v>17</v>
      </c>
      <c r="M2719" t="str">
        <f>REPLACE(Transactions!M2719,1,4,"")</f>
        <v>17</v>
      </c>
    </row>
    <row r="2720" spans="1:13" x14ac:dyDescent="0.2">
      <c r="A2720">
        <v>552825</v>
      </c>
      <c r="B2720" s="5">
        <v>45290</v>
      </c>
      <c r="C2720">
        <v>91083</v>
      </c>
      <c r="D2720" t="str">
        <f>PROPER(Transactions!D2720)</f>
        <v>Pharmacy</v>
      </c>
      <c r="E2720" t="s">
        <v>41</v>
      </c>
      <c r="F2720" t="s">
        <v>42</v>
      </c>
      <c r="G2720">
        <v>5</v>
      </c>
      <c r="H2720">
        <v>4.1900000000000004</v>
      </c>
      <c r="I2720" s="7">
        <f>IF(Transactions!I2720="",0,Transactions!I2720)</f>
        <v>0.3</v>
      </c>
      <c r="J2720" s="9">
        <f t="shared" si="42"/>
        <v>14.665000000000001</v>
      </c>
      <c r="K2720" t="s">
        <v>36</v>
      </c>
      <c r="L2720" t="s">
        <v>17</v>
      </c>
      <c r="M2720" t="str">
        <f>REPLACE(Transactions!M2720,1,4,"")</f>
        <v>14</v>
      </c>
    </row>
    <row r="2721" spans="1:13" x14ac:dyDescent="0.2">
      <c r="A2721">
        <v>552911</v>
      </c>
      <c r="B2721" s="5">
        <v>45563</v>
      </c>
      <c r="C2721">
        <v>67009</v>
      </c>
      <c r="D2721" t="str">
        <f>PROPER(Transactions!D2721)</f>
        <v>Furniture</v>
      </c>
      <c r="E2721" t="s">
        <v>26</v>
      </c>
      <c r="F2721" t="s">
        <v>27</v>
      </c>
      <c r="G2721">
        <v>4</v>
      </c>
      <c r="H2721">
        <v>27.99</v>
      </c>
      <c r="I2721" s="7">
        <f>IF(Transactions!I2721="",0,Transactions!I2721)</f>
        <v>0</v>
      </c>
      <c r="J2721" s="9">
        <f t="shared" si="42"/>
        <v>111.96</v>
      </c>
      <c r="K2721" t="s">
        <v>36</v>
      </c>
      <c r="L2721" t="s">
        <v>17</v>
      </c>
      <c r="M2721" t="str">
        <f>REPLACE(Transactions!M2721,1,4,"")</f>
        <v>14</v>
      </c>
    </row>
    <row r="2722" spans="1:13" x14ac:dyDescent="0.2">
      <c r="A2722">
        <v>553190</v>
      </c>
      <c r="B2722" s="5">
        <v>44654</v>
      </c>
      <c r="C2722">
        <v>29285</v>
      </c>
      <c r="D2722" t="str">
        <f>PROPER(Transactions!D2722)</f>
        <v>Electronics</v>
      </c>
      <c r="E2722" t="s">
        <v>104</v>
      </c>
      <c r="F2722" t="s">
        <v>105</v>
      </c>
      <c r="G2722">
        <v>3</v>
      </c>
      <c r="H2722">
        <v>29.99</v>
      </c>
      <c r="I2722" s="7">
        <f>IF(Transactions!I2722="",0,Transactions!I2722)</f>
        <v>0</v>
      </c>
      <c r="J2722" s="9">
        <f t="shared" si="42"/>
        <v>89.97</v>
      </c>
      <c r="K2722" t="s">
        <v>16</v>
      </c>
      <c r="L2722" t="s">
        <v>37</v>
      </c>
      <c r="M2722" t="str">
        <f>REPLACE(Transactions!M2722,1,4,"")</f>
        <v>16</v>
      </c>
    </row>
    <row r="2723" spans="1:13" x14ac:dyDescent="0.2">
      <c r="A2723">
        <v>553190</v>
      </c>
      <c r="B2723" s="5">
        <v>45175</v>
      </c>
      <c r="C2723">
        <v>46530</v>
      </c>
      <c r="D2723" t="str">
        <f>PROPER(Transactions!D2723)</f>
        <v>Home &amp; Garden</v>
      </c>
      <c r="E2723" t="s">
        <v>157</v>
      </c>
      <c r="F2723" t="s">
        <v>158</v>
      </c>
      <c r="G2723">
        <v>1</v>
      </c>
      <c r="H2723">
        <v>12.82</v>
      </c>
      <c r="I2723" s="7">
        <f>IF(Transactions!I2723="",0,Transactions!I2723)</f>
        <v>0.05</v>
      </c>
      <c r="J2723" s="9">
        <f t="shared" si="42"/>
        <v>12.179</v>
      </c>
      <c r="K2723" t="s">
        <v>22</v>
      </c>
      <c r="L2723" t="s">
        <v>37</v>
      </c>
      <c r="M2723" t="str">
        <f>REPLACE(Transactions!M2723,1,4,"")</f>
        <v>5</v>
      </c>
    </row>
    <row r="2724" spans="1:13" x14ac:dyDescent="0.2">
      <c r="A2724">
        <v>553262</v>
      </c>
      <c r="B2724" s="5">
        <v>45026</v>
      </c>
      <c r="C2724">
        <v>90954</v>
      </c>
      <c r="D2724" t="str">
        <f>PROPER(Transactions!D2724)</f>
        <v>Clothing</v>
      </c>
      <c r="E2724" t="s">
        <v>181</v>
      </c>
      <c r="F2724" t="s">
        <v>182</v>
      </c>
      <c r="G2724">
        <v>1</v>
      </c>
      <c r="H2724">
        <v>13.49</v>
      </c>
      <c r="I2724" s="7">
        <f>IF(Transactions!I2724="",0,Transactions!I2724)</f>
        <v>0.1</v>
      </c>
      <c r="J2724" s="9">
        <f t="shared" si="42"/>
        <v>12.141</v>
      </c>
      <c r="K2724" t="s">
        <v>95</v>
      </c>
      <c r="L2724" t="s">
        <v>17</v>
      </c>
      <c r="M2724" t="str">
        <f>REPLACE(Transactions!M2724,1,4,"")</f>
        <v>20</v>
      </c>
    </row>
    <row r="2725" spans="1:13" x14ac:dyDescent="0.2">
      <c r="A2725">
        <v>553527</v>
      </c>
      <c r="B2725" s="5">
        <v>44990</v>
      </c>
      <c r="C2725">
        <v>19746</v>
      </c>
      <c r="D2725" t="str">
        <f>PROPER(Transactions!D2725)</f>
        <v>Pharmacy</v>
      </c>
      <c r="E2725" t="s">
        <v>58</v>
      </c>
      <c r="F2725" t="s">
        <v>59</v>
      </c>
      <c r="G2725">
        <v>2</v>
      </c>
      <c r="H2725">
        <v>3.79</v>
      </c>
      <c r="I2725" s="7">
        <f>IF(Transactions!I2725="",0,Transactions!I2725)</f>
        <v>0.05</v>
      </c>
      <c r="J2725" s="9">
        <f t="shared" si="42"/>
        <v>7.2009999999999996</v>
      </c>
      <c r="K2725" t="s">
        <v>36</v>
      </c>
      <c r="L2725" t="s">
        <v>17</v>
      </c>
      <c r="M2725" t="str">
        <f>REPLACE(Transactions!M2725,1,4,"")</f>
        <v>10</v>
      </c>
    </row>
    <row r="2726" spans="1:13" x14ac:dyDescent="0.2">
      <c r="A2726">
        <v>553732</v>
      </c>
      <c r="B2726" s="5">
        <v>45388</v>
      </c>
      <c r="C2726">
        <v>81008</v>
      </c>
      <c r="D2726" t="str">
        <f>PROPER(Transactions!D2726)</f>
        <v>Pharmacy</v>
      </c>
      <c r="E2726" t="s">
        <v>20</v>
      </c>
      <c r="F2726" t="s">
        <v>21</v>
      </c>
      <c r="G2726">
        <v>2</v>
      </c>
      <c r="H2726">
        <v>6.99</v>
      </c>
      <c r="I2726" s="7">
        <f>IF(Transactions!I2726="",0,Transactions!I2726)</f>
        <v>0.3</v>
      </c>
      <c r="J2726" s="9">
        <f t="shared" si="42"/>
        <v>9.7859999999999996</v>
      </c>
      <c r="K2726" t="s">
        <v>16</v>
      </c>
      <c r="L2726" t="s">
        <v>17</v>
      </c>
      <c r="M2726" t="str">
        <f>REPLACE(Transactions!M2726,1,4,"")</f>
        <v>4</v>
      </c>
    </row>
    <row r="2727" spans="1:13" x14ac:dyDescent="0.2">
      <c r="A2727">
        <v>553915</v>
      </c>
      <c r="B2727" s="5">
        <v>44903</v>
      </c>
      <c r="C2727">
        <v>83919</v>
      </c>
      <c r="D2727" t="str">
        <f>PROPER(Transactions!D2727)</f>
        <v>Clothing</v>
      </c>
      <c r="E2727" t="s">
        <v>181</v>
      </c>
      <c r="F2727" t="s">
        <v>182</v>
      </c>
      <c r="G2727">
        <v>1</v>
      </c>
      <c r="H2727">
        <v>14.99</v>
      </c>
      <c r="I2727" s="7">
        <f>IF(Transactions!I2727="",0,Transactions!I2727)</f>
        <v>0</v>
      </c>
      <c r="J2727" s="9">
        <f t="shared" si="42"/>
        <v>14.99</v>
      </c>
      <c r="K2727" t="s">
        <v>32</v>
      </c>
      <c r="L2727" t="s">
        <v>17</v>
      </c>
      <c r="M2727" t="str">
        <f>REPLACE(Transactions!M2727,1,4,"")</f>
        <v>11</v>
      </c>
    </row>
    <row r="2728" spans="1:13" x14ac:dyDescent="0.2">
      <c r="A2728">
        <v>554048</v>
      </c>
      <c r="B2728" s="5">
        <v>44687</v>
      </c>
      <c r="C2728">
        <v>16126</v>
      </c>
      <c r="D2728" t="str">
        <f>PROPER(Transactions!D2728)</f>
        <v>Beauty</v>
      </c>
      <c r="E2728" t="s">
        <v>49</v>
      </c>
      <c r="F2728" t="s">
        <v>50</v>
      </c>
      <c r="G2728">
        <v>4</v>
      </c>
      <c r="H2728">
        <v>8.99</v>
      </c>
      <c r="I2728" s="7">
        <f>IF(Transactions!I2728="",0,Transactions!I2728)</f>
        <v>0</v>
      </c>
      <c r="J2728" s="9">
        <f t="shared" si="42"/>
        <v>35.96</v>
      </c>
      <c r="K2728" t="s">
        <v>16</v>
      </c>
      <c r="L2728" t="s">
        <v>23</v>
      </c>
      <c r="M2728" t="str">
        <f>REPLACE(Transactions!M2728,1,4,"")</f>
        <v>3</v>
      </c>
    </row>
    <row r="2729" spans="1:13" x14ac:dyDescent="0.2">
      <c r="A2729">
        <v>554163</v>
      </c>
      <c r="B2729" s="5">
        <v>45178</v>
      </c>
      <c r="C2729">
        <v>71993</v>
      </c>
      <c r="D2729" t="str">
        <f>PROPER(Transactions!D2729)</f>
        <v>Grocery</v>
      </c>
      <c r="E2729" t="s">
        <v>177</v>
      </c>
      <c r="F2729" t="s">
        <v>178</v>
      </c>
      <c r="G2729">
        <v>4</v>
      </c>
      <c r="H2729">
        <v>10.79</v>
      </c>
      <c r="I2729" s="7">
        <f>IF(Transactions!I2729="",0,Transactions!I2729)</f>
        <v>0.1</v>
      </c>
      <c r="J2729" s="9">
        <f t="shared" si="42"/>
        <v>38.844000000000001</v>
      </c>
      <c r="K2729" t="s">
        <v>16</v>
      </c>
      <c r="L2729" t="s">
        <v>37</v>
      </c>
      <c r="M2729" t="str">
        <f>REPLACE(Transactions!M2729,1,4,"")</f>
        <v>17</v>
      </c>
    </row>
    <row r="2730" spans="1:13" x14ac:dyDescent="0.2">
      <c r="A2730">
        <v>554187</v>
      </c>
      <c r="B2730" s="5">
        <v>44881</v>
      </c>
      <c r="C2730">
        <v>55500</v>
      </c>
      <c r="D2730" t="str">
        <f>PROPER(Transactions!D2730)</f>
        <v>Clothing</v>
      </c>
      <c r="E2730" t="s">
        <v>141</v>
      </c>
      <c r="F2730" t="s">
        <v>142</v>
      </c>
      <c r="G2730">
        <v>3</v>
      </c>
      <c r="H2730">
        <v>17.239999999999998</v>
      </c>
      <c r="I2730" s="7">
        <f>IF(Transactions!I2730="",0,Transactions!I2730)</f>
        <v>0.25</v>
      </c>
      <c r="J2730" s="9">
        <f t="shared" si="42"/>
        <v>38.79</v>
      </c>
      <c r="K2730" t="s">
        <v>22</v>
      </c>
      <c r="L2730" t="s">
        <v>17</v>
      </c>
      <c r="M2730" t="str">
        <f>REPLACE(Transactions!M2730,1,4,"")</f>
        <v>1</v>
      </c>
    </row>
    <row r="2731" spans="1:13" x14ac:dyDescent="0.2">
      <c r="A2731">
        <v>554319</v>
      </c>
      <c r="B2731" s="5">
        <v>44748</v>
      </c>
      <c r="C2731">
        <v>95690</v>
      </c>
      <c r="D2731" t="str">
        <f>PROPER(Transactions!D2731)</f>
        <v>Clothing</v>
      </c>
      <c r="E2731" t="s">
        <v>151</v>
      </c>
      <c r="F2731" t="s">
        <v>152</v>
      </c>
      <c r="G2731">
        <v>1</v>
      </c>
      <c r="H2731">
        <v>31.49</v>
      </c>
      <c r="I2731" s="7">
        <f>IF(Transactions!I2731="",0,Transactions!I2731)</f>
        <v>0.1</v>
      </c>
      <c r="J2731" s="9">
        <f t="shared" si="42"/>
        <v>28.340999999999998</v>
      </c>
      <c r="K2731" t="s">
        <v>53</v>
      </c>
      <c r="L2731" t="s">
        <v>37</v>
      </c>
      <c r="M2731" t="str">
        <f>REPLACE(Transactions!M2731,1,4,"")</f>
        <v>12</v>
      </c>
    </row>
    <row r="2732" spans="1:13" x14ac:dyDescent="0.2">
      <c r="A2732">
        <v>554766</v>
      </c>
      <c r="B2732" s="5">
        <v>45111</v>
      </c>
      <c r="C2732">
        <v>39451</v>
      </c>
      <c r="D2732" t="str">
        <f>PROPER(Transactions!D2732)</f>
        <v>Toys</v>
      </c>
      <c r="E2732" t="s">
        <v>72</v>
      </c>
      <c r="F2732" t="s">
        <v>73</v>
      </c>
      <c r="G2732">
        <v>4</v>
      </c>
      <c r="H2732">
        <v>39.99</v>
      </c>
      <c r="I2732" s="7">
        <f>IF(Transactions!I2732="",0,Transactions!I2732)</f>
        <v>0</v>
      </c>
      <c r="J2732" s="9">
        <f t="shared" si="42"/>
        <v>159.96</v>
      </c>
      <c r="K2732" t="s">
        <v>22</v>
      </c>
      <c r="L2732" t="s">
        <v>37</v>
      </c>
      <c r="M2732" t="str">
        <f>REPLACE(Transactions!M2732,1,4,"")</f>
        <v>12</v>
      </c>
    </row>
    <row r="2733" spans="1:13" x14ac:dyDescent="0.2">
      <c r="A2733">
        <v>554908</v>
      </c>
      <c r="B2733" s="5">
        <v>45538</v>
      </c>
      <c r="D2733" t="str">
        <f>PROPER(Transactions!D2733)</f>
        <v>Sports</v>
      </c>
      <c r="E2733" t="s">
        <v>83</v>
      </c>
      <c r="F2733" t="s">
        <v>84</v>
      </c>
      <c r="G2733">
        <v>2</v>
      </c>
      <c r="H2733">
        <v>12.74</v>
      </c>
      <c r="I2733" s="7">
        <f>IF(Transactions!I2733="",0,Transactions!I2733)</f>
        <v>0.25</v>
      </c>
      <c r="J2733" s="9">
        <f t="shared" si="42"/>
        <v>19.11</v>
      </c>
      <c r="K2733" t="s">
        <v>36</v>
      </c>
      <c r="L2733" t="s">
        <v>17</v>
      </c>
      <c r="M2733" t="str">
        <f>REPLACE(Transactions!M2733,1,4,"")</f>
        <v>19</v>
      </c>
    </row>
    <row r="2734" spans="1:13" x14ac:dyDescent="0.2">
      <c r="A2734">
        <v>555036</v>
      </c>
      <c r="B2734" s="5">
        <v>44733</v>
      </c>
      <c r="C2734">
        <v>17629</v>
      </c>
      <c r="D2734" t="str">
        <f>PROPER(Transactions!D2734)</f>
        <v>Furniture</v>
      </c>
      <c r="E2734" t="s">
        <v>26</v>
      </c>
      <c r="F2734" t="s">
        <v>27</v>
      </c>
      <c r="G2734">
        <v>1</v>
      </c>
      <c r="H2734">
        <v>34.99</v>
      </c>
      <c r="I2734" s="7">
        <f>IF(Transactions!I2734="",0,Transactions!I2734)</f>
        <v>0</v>
      </c>
      <c r="J2734" s="9">
        <f t="shared" si="42"/>
        <v>34.99</v>
      </c>
      <c r="K2734" t="s">
        <v>22</v>
      </c>
      <c r="L2734" t="s">
        <v>37</v>
      </c>
      <c r="M2734" t="str">
        <f>REPLACE(Transactions!M2734,1,4,"")</f>
        <v>12</v>
      </c>
    </row>
    <row r="2735" spans="1:13" x14ac:dyDescent="0.2">
      <c r="A2735">
        <v>555072</v>
      </c>
      <c r="B2735" s="5">
        <v>45527</v>
      </c>
      <c r="D2735" t="str">
        <f>PROPER(Transactions!D2735)</f>
        <v>Home &amp; Garden</v>
      </c>
      <c r="E2735" t="s">
        <v>86</v>
      </c>
      <c r="F2735" t="s">
        <v>87</v>
      </c>
      <c r="G2735">
        <v>5</v>
      </c>
      <c r="H2735">
        <v>11.69</v>
      </c>
      <c r="I2735" s="7">
        <f>IF(Transactions!I2735="",0,Transactions!I2735)</f>
        <v>0.1</v>
      </c>
      <c r="J2735" s="9">
        <f t="shared" si="42"/>
        <v>52.604999999999997</v>
      </c>
      <c r="K2735" t="s">
        <v>22</v>
      </c>
      <c r="L2735" t="s">
        <v>37</v>
      </c>
      <c r="M2735" t="str">
        <f>REPLACE(Transactions!M2735,1,4,"")</f>
        <v>11</v>
      </c>
    </row>
    <row r="2736" spans="1:13" x14ac:dyDescent="0.2">
      <c r="A2736">
        <v>555229</v>
      </c>
      <c r="B2736" s="5">
        <v>45453</v>
      </c>
      <c r="C2736">
        <v>39170</v>
      </c>
      <c r="D2736" t="str">
        <f>PROPER(Transactions!D2736)</f>
        <v>Sports</v>
      </c>
      <c r="E2736" t="s">
        <v>155</v>
      </c>
      <c r="F2736" t="s">
        <v>156</v>
      </c>
      <c r="G2736">
        <v>1</v>
      </c>
      <c r="H2736">
        <v>19.989999999999998</v>
      </c>
      <c r="I2736" s="7">
        <f>IF(Transactions!I2736="",0,Transactions!I2736)</f>
        <v>0</v>
      </c>
      <c r="J2736" s="9">
        <f t="shared" si="42"/>
        <v>19.989999999999998</v>
      </c>
      <c r="K2736" t="s">
        <v>36</v>
      </c>
      <c r="L2736" t="s">
        <v>37</v>
      </c>
      <c r="M2736" t="str">
        <f>REPLACE(Transactions!M2736,1,4,"")</f>
        <v>8</v>
      </c>
    </row>
    <row r="2737" spans="1:13" x14ac:dyDescent="0.2">
      <c r="A2737">
        <v>555653</v>
      </c>
      <c r="B2737" s="5">
        <v>44697</v>
      </c>
      <c r="C2737">
        <v>85681</v>
      </c>
      <c r="D2737" t="str">
        <f>PROPER(Transactions!D2737)</f>
        <v>Automotive</v>
      </c>
      <c r="E2737" t="s">
        <v>131</v>
      </c>
      <c r="F2737" t="s">
        <v>132</v>
      </c>
      <c r="G2737">
        <v>4</v>
      </c>
      <c r="H2737">
        <v>2.79</v>
      </c>
      <c r="I2737" s="7">
        <f>IF(Transactions!I2737="",0,Transactions!I2737)</f>
        <v>0.2</v>
      </c>
      <c r="J2737" s="9">
        <f t="shared" si="42"/>
        <v>8.9280000000000008</v>
      </c>
      <c r="K2737" t="s">
        <v>16</v>
      </c>
      <c r="L2737" t="s">
        <v>37</v>
      </c>
      <c r="M2737" t="str">
        <f>REPLACE(Transactions!M2737,1,4,"")</f>
        <v>19</v>
      </c>
    </row>
    <row r="2738" spans="1:13" x14ac:dyDescent="0.2">
      <c r="A2738">
        <v>555679</v>
      </c>
      <c r="B2738" s="5">
        <v>44778</v>
      </c>
      <c r="C2738">
        <v>55314</v>
      </c>
      <c r="D2738" t="str">
        <f>PROPER(Transactions!D2738)</f>
        <v>Clothing</v>
      </c>
      <c r="E2738" t="s">
        <v>151</v>
      </c>
      <c r="F2738" t="s">
        <v>152</v>
      </c>
      <c r="G2738">
        <v>2</v>
      </c>
      <c r="H2738">
        <v>34.99</v>
      </c>
      <c r="I2738" s="7">
        <f>IF(Transactions!I2738="",0,Transactions!I2738)</f>
        <v>0</v>
      </c>
      <c r="J2738" s="9">
        <f t="shared" si="42"/>
        <v>69.98</v>
      </c>
      <c r="K2738" t="s">
        <v>36</v>
      </c>
      <c r="L2738" t="s">
        <v>17</v>
      </c>
      <c r="M2738" t="str">
        <f>REPLACE(Transactions!M2738,1,4,"")</f>
        <v>8</v>
      </c>
    </row>
    <row r="2739" spans="1:13" x14ac:dyDescent="0.2">
      <c r="A2739">
        <v>555715</v>
      </c>
      <c r="B2739" s="5">
        <v>45617</v>
      </c>
      <c r="C2739">
        <v>83697</v>
      </c>
      <c r="D2739" t="str">
        <f>PROPER(Transactions!D2739)</f>
        <v>Sports</v>
      </c>
      <c r="E2739" t="s">
        <v>168</v>
      </c>
      <c r="F2739" t="s">
        <v>169</v>
      </c>
      <c r="G2739">
        <v>5</v>
      </c>
      <c r="H2739">
        <v>8.99</v>
      </c>
      <c r="I2739" s="7">
        <f>IF(Transactions!I2739="",0,Transactions!I2739)</f>
        <v>0</v>
      </c>
      <c r="J2739" s="9">
        <f t="shared" si="42"/>
        <v>44.95</v>
      </c>
      <c r="K2739" t="s">
        <v>16</v>
      </c>
      <c r="L2739" t="s">
        <v>17</v>
      </c>
      <c r="M2739" t="str">
        <f>REPLACE(Transactions!M2739,1,4,"")</f>
        <v>14</v>
      </c>
    </row>
    <row r="2740" spans="1:13" x14ac:dyDescent="0.2">
      <c r="A2740">
        <v>555826</v>
      </c>
      <c r="B2740" s="5">
        <v>45493</v>
      </c>
      <c r="C2740">
        <v>76551</v>
      </c>
      <c r="D2740" t="str">
        <f>PROPER(Transactions!D2740)</f>
        <v>Automotive</v>
      </c>
      <c r="E2740" t="s">
        <v>131</v>
      </c>
      <c r="F2740" t="s">
        <v>132</v>
      </c>
      <c r="G2740">
        <v>1</v>
      </c>
      <c r="H2740">
        <v>2.62</v>
      </c>
      <c r="I2740" s="7">
        <f>IF(Transactions!I2740="",0,Transactions!I2740)</f>
        <v>0.25</v>
      </c>
      <c r="J2740" s="9">
        <f t="shared" si="42"/>
        <v>1.9650000000000001</v>
      </c>
      <c r="K2740" t="s">
        <v>22</v>
      </c>
      <c r="L2740" t="s">
        <v>17</v>
      </c>
      <c r="M2740" t="str">
        <f>REPLACE(Transactions!M2740,1,4,"")</f>
        <v>19</v>
      </c>
    </row>
    <row r="2741" spans="1:13" x14ac:dyDescent="0.2">
      <c r="A2741">
        <v>556068</v>
      </c>
      <c r="B2741" s="5">
        <v>44648</v>
      </c>
      <c r="C2741">
        <v>19835</v>
      </c>
      <c r="D2741" t="str">
        <f>PROPER(Transactions!D2741)</f>
        <v>Pharmacy</v>
      </c>
      <c r="E2741" t="s">
        <v>197</v>
      </c>
      <c r="F2741" t="s">
        <v>198</v>
      </c>
      <c r="G2741">
        <v>2</v>
      </c>
      <c r="H2741">
        <v>12.74</v>
      </c>
      <c r="I2741" s="7">
        <f>IF(Transactions!I2741="",0,Transactions!I2741)</f>
        <v>0.15</v>
      </c>
      <c r="J2741" s="9">
        <f t="shared" si="42"/>
        <v>21.658000000000001</v>
      </c>
      <c r="K2741" t="s">
        <v>95</v>
      </c>
      <c r="L2741" t="s">
        <v>23</v>
      </c>
      <c r="M2741" t="str">
        <f>REPLACE(Transactions!M2741,1,4,"")</f>
        <v>15</v>
      </c>
    </row>
    <row r="2742" spans="1:13" x14ac:dyDescent="0.2">
      <c r="A2742">
        <v>556087</v>
      </c>
      <c r="B2742" s="5">
        <v>44917</v>
      </c>
      <c r="C2742">
        <v>10574</v>
      </c>
      <c r="D2742" t="str">
        <f>PROPER(Transactions!D2742)</f>
        <v>Furniture</v>
      </c>
      <c r="E2742" t="s">
        <v>51</v>
      </c>
      <c r="F2742" t="s">
        <v>52</v>
      </c>
      <c r="G2742">
        <v>1</v>
      </c>
      <c r="H2742">
        <v>27.99</v>
      </c>
      <c r="I2742" s="7">
        <f>IF(Transactions!I2742="",0,Transactions!I2742)</f>
        <v>0</v>
      </c>
      <c r="J2742" s="9">
        <f t="shared" si="42"/>
        <v>27.99</v>
      </c>
      <c r="K2742" t="s">
        <v>36</v>
      </c>
      <c r="L2742" t="s">
        <v>17</v>
      </c>
      <c r="M2742" t="str">
        <f>REPLACE(Transactions!M2742,1,4,"")</f>
        <v>8</v>
      </c>
    </row>
    <row r="2743" spans="1:13" x14ac:dyDescent="0.2">
      <c r="A2743">
        <v>556752</v>
      </c>
      <c r="B2743" s="5">
        <v>45404</v>
      </c>
      <c r="C2743">
        <v>88904</v>
      </c>
      <c r="D2743" t="str">
        <f>PROPER(Transactions!D2743)</f>
        <v>Automotive</v>
      </c>
      <c r="E2743" t="s">
        <v>64</v>
      </c>
      <c r="F2743" t="s">
        <v>65</v>
      </c>
      <c r="G2743">
        <v>3</v>
      </c>
      <c r="H2743">
        <v>3.74</v>
      </c>
      <c r="I2743" s="7">
        <f>IF(Transactions!I2743="",0,Transactions!I2743)</f>
        <v>0.25</v>
      </c>
      <c r="J2743" s="9">
        <f t="shared" si="42"/>
        <v>8.4150000000000009</v>
      </c>
      <c r="K2743" t="s">
        <v>16</v>
      </c>
      <c r="L2743" t="s">
        <v>37</v>
      </c>
      <c r="M2743" t="str">
        <f>REPLACE(Transactions!M2743,1,4,"")</f>
        <v>14</v>
      </c>
    </row>
    <row r="2744" spans="1:13" x14ac:dyDescent="0.2">
      <c r="A2744">
        <v>556997</v>
      </c>
      <c r="B2744" s="5">
        <v>45043</v>
      </c>
      <c r="C2744">
        <v>14258</v>
      </c>
      <c r="D2744" t="str">
        <f>PROPER(Transactions!D2744)</f>
        <v>Beauty</v>
      </c>
      <c r="E2744" t="s">
        <v>143</v>
      </c>
      <c r="F2744" t="s">
        <v>144</v>
      </c>
      <c r="G2744">
        <v>5</v>
      </c>
      <c r="H2744">
        <v>12.74</v>
      </c>
      <c r="I2744" s="7">
        <f>IF(Transactions!I2744="",0,Transactions!I2744)</f>
        <v>0.15</v>
      </c>
      <c r="J2744" s="9">
        <f t="shared" si="42"/>
        <v>54.145000000000003</v>
      </c>
      <c r="K2744" t="s">
        <v>16</v>
      </c>
      <c r="L2744" t="s">
        <v>23</v>
      </c>
      <c r="M2744" t="str">
        <f>REPLACE(Transactions!M2744,1,4,"")</f>
        <v>2</v>
      </c>
    </row>
    <row r="2745" spans="1:13" x14ac:dyDescent="0.2">
      <c r="A2745">
        <v>557082</v>
      </c>
      <c r="B2745" s="5">
        <v>45589</v>
      </c>
      <c r="C2745">
        <v>79102</v>
      </c>
      <c r="D2745" t="str">
        <f>PROPER(Transactions!D2745)</f>
        <v>Beauty</v>
      </c>
      <c r="E2745" t="s">
        <v>139</v>
      </c>
      <c r="F2745" t="s">
        <v>140</v>
      </c>
      <c r="G2745">
        <v>2</v>
      </c>
      <c r="H2745">
        <v>7.59</v>
      </c>
      <c r="I2745" s="7">
        <f>IF(Transactions!I2745="",0,Transactions!I2745)</f>
        <v>0.05</v>
      </c>
      <c r="J2745" s="9">
        <f t="shared" si="42"/>
        <v>14.420999999999999</v>
      </c>
      <c r="K2745" t="s">
        <v>36</v>
      </c>
      <c r="L2745" t="s">
        <v>17</v>
      </c>
      <c r="M2745" t="str">
        <f>REPLACE(Transactions!M2745,1,4,"")</f>
        <v>7</v>
      </c>
    </row>
    <row r="2746" spans="1:13" x14ac:dyDescent="0.2">
      <c r="A2746">
        <v>557280</v>
      </c>
      <c r="B2746" s="5">
        <v>45476</v>
      </c>
      <c r="C2746">
        <v>74484</v>
      </c>
      <c r="D2746" t="str">
        <f>PROPER(Transactions!D2746)</f>
        <v>Toys</v>
      </c>
      <c r="E2746" t="s">
        <v>30</v>
      </c>
      <c r="F2746" t="s">
        <v>31</v>
      </c>
      <c r="G2746">
        <v>3</v>
      </c>
      <c r="H2746">
        <v>21.24</v>
      </c>
      <c r="I2746" s="7">
        <f>IF(Transactions!I2746="",0,Transactions!I2746)</f>
        <v>0.15</v>
      </c>
      <c r="J2746" s="9">
        <f t="shared" si="42"/>
        <v>54.161999999999999</v>
      </c>
      <c r="K2746" t="s">
        <v>16</v>
      </c>
      <c r="L2746" t="s">
        <v>23</v>
      </c>
      <c r="M2746" t="str">
        <f>REPLACE(Transactions!M2746,1,4,"")</f>
        <v>18</v>
      </c>
    </row>
    <row r="2747" spans="1:13" x14ac:dyDescent="0.2">
      <c r="A2747">
        <v>557346</v>
      </c>
      <c r="B2747" s="5">
        <v>45351</v>
      </c>
      <c r="C2747">
        <v>52322</v>
      </c>
      <c r="D2747" t="str">
        <f>PROPER(Transactions!D2747)</f>
        <v>Pharmacy</v>
      </c>
      <c r="E2747" t="s">
        <v>20</v>
      </c>
      <c r="F2747" t="s">
        <v>21</v>
      </c>
      <c r="G2747">
        <v>2</v>
      </c>
      <c r="H2747">
        <v>9.99</v>
      </c>
      <c r="I2747" s="7">
        <f>IF(Transactions!I2747="",0,Transactions!I2747)</f>
        <v>0</v>
      </c>
      <c r="J2747" s="9">
        <f t="shared" si="42"/>
        <v>19.98</v>
      </c>
      <c r="K2747" t="s">
        <v>36</v>
      </c>
      <c r="L2747" t="s">
        <v>17</v>
      </c>
      <c r="M2747" t="str">
        <f>REPLACE(Transactions!M2747,1,4,"")</f>
        <v>1</v>
      </c>
    </row>
    <row r="2748" spans="1:13" x14ac:dyDescent="0.2">
      <c r="A2748">
        <v>557379</v>
      </c>
      <c r="B2748" s="5">
        <v>45436</v>
      </c>
      <c r="C2748">
        <v>56361</v>
      </c>
      <c r="D2748" t="str">
        <f>PROPER(Transactions!D2748)</f>
        <v>Beauty</v>
      </c>
      <c r="E2748" t="s">
        <v>109</v>
      </c>
      <c r="F2748" t="s">
        <v>110</v>
      </c>
      <c r="G2748">
        <v>2</v>
      </c>
      <c r="H2748">
        <v>6.99</v>
      </c>
      <c r="I2748" s="7">
        <f>IF(Transactions!I2748="",0,Transactions!I2748)</f>
        <v>0</v>
      </c>
      <c r="J2748" s="9">
        <f t="shared" si="42"/>
        <v>13.98</v>
      </c>
      <c r="K2748" t="s">
        <v>36</v>
      </c>
      <c r="L2748" t="s">
        <v>17</v>
      </c>
      <c r="M2748" t="str">
        <f>REPLACE(Transactions!M2748,1,4,"")</f>
        <v>3</v>
      </c>
    </row>
    <row r="2749" spans="1:13" x14ac:dyDescent="0.2">
      <c r="A2749">
        <v>557680</v>
      </c>
      <c r="B2749" s="5">
        <v>45483</v>
      </c>
      <c r="C2749">
        <v>50929</v>
      </c>
      <c r="D2749" t="str">
        <f>PROPER(Transactions!D2749)</f>
        <v>Electronics</v>
      </c>
      <c r="E2749" t="s">
        <v>159</v>
      </c>
      <c r="F2749" t="s">
        <v>160</v>
      </c>
      <c r="G2749">
        <v>5</v>
      </c>
      <c r="H2749">
        <v>47.99</v>
      </c>
      <c r="I2749" s="7">
        <f>IF(Transactions!I2749="",0,Transactions!I2749)</f>
        <v>0.2</v>
      </c>
      <c r="J2749" s="9">
        <f t="shared" si="42"/>
        <v>191.96000000000004</v>
      </c>
      <c r="K2749" t="s">
        <v>22</v>
      </c>
      <c r="L2749" t="s">
        <v>17</v>
      </c>
      <c r="M2749" t="str">
        <f>REPLACE(Transactions!M2749,1,4,"")</f>
        <v>11</v>
      </c>
    </row>
    <row r="2750" spans="1:13" x14ac:dyDescent="0.2">
      <c r="A2750">
        <v>557753</v>
      </c>
      <c r="B2750" s="5">
        <v>45368</v>
      </c>
      <c r="C2750">
        <v>92973</v>
      </c>
      <c r="D2750" t="str">
        <f>PROPER(Transactions!D2750)</f>
        <v>Home &amp; Garden</v>
      </c>
      <c r="E2750" t="s">
        <v>137</v>
      </c>
      <c r="F2750" t="s">
        <v>138</v>
      </c>
      <c r="G2750">
        <v>1</v>
      </c>
      <c r="H2750">
        <v>7.19</v>
      </c>
      <c r="I2750" s="7">
        <f>IF(Transactions!I2750="",0,Transactions!I2750)</f>
        <v>0.1</v>
      </c>
      <c r="J2750" s="9">
        <f t="shared" si="42"/>
        <v>6.4710000000000001</v>
      </c>
      <c r="K2750" t="s">
        <v>16</v>
      </c>
      <c r="L2750" t="s">
        <v>17</v>
      </c>
      <c r="M2750" t="str">
        <f>REPLACE(Transactions!M2750,1,4,"")</f>
        <v>14</v>
      </c>
    </row>
    <row r="2751" spans="1:13" x14ac:dyDescent="0.2">
      <c r="A2751">
        <v>557830</v>
      </c>
      <c r="B2751" s="5">
        <v>45588</v>
      </c>
      <c r="C2751">
        <v>39858</v>
      </c>
      <c r="D2751" t="str">
        <f>PROPER(Transactions!D2751)</f>
        <v>Grocery</v>
      </c>
      <c r="E2751" t="s">
        <v>195</v>
      </c>
      <c r="F2751" t="s">
        <v>196</v>
      </c>
      <c r="G2751">
        <v>3</v>
      </c>
      <c r="H2751">
        <v>4.74</v>
      </c>
      <c r="I2751" s="7">
        <f>IF(Transactions!I2751="",0,Transactions!I2751)</f>
        <v>0.05</v>
      </c>
      <c r="J2751" s="9">
        <f t="shared" si="42"/>
        <v>13.509</v>
      </c>
      <c r="K2751" t="s">
        <v>22</v>
      </c>
      <c r="L2751" t="s">
        <v>37</v>
      </c>
      <c r="M2751" t="str">
        <f>REPLACE(Transactions!M2751,1,4,"")</f>
        <v>19</v>
      </c>
    </row>
    <row r="2752" spans="1:13" x14ac:dyDescent="0.2">
      <c r="A2752">
        <v>557969</v>
      </c>
      <c r="B2752" s="5">
        <v>44987</v>
      </c>
      <c r="C2752">
        <v>22288</v>
      </c>
      <c r="D2752" t="str">
        <f>PROPER(Transactions!D2752)</f>
        <v>Home &amp; Garden</v>
      </c>
      <c r="E2752" t="s">
        <v>153</v>
      </c>
      <c r="F2752" t="s">
        <v>154</v>
      </c>
      <c r="G2752">
        <v>1</v>
      </c>
      <c r="H2752">
        <v>20.99</v>
      </c>
      <c r="I2752" s="7">
        <f>IF(Transactions!I2752="",0,Transactions!I2752)</f>
        <v>0.3</v>
      </c>
      <c r="J2752" s="9">
        <f t="shared" si="42"/>
        <v>14.692999999999998</v>
      </c>
      <c r="K2752" t="s">
        <v>16</v>
      </c>
      <c r="L2752" t="s">
        <v>37</v>
      </c>
      <c r="M2752" t="str">
        <f>REPLACE(Transactions!M2752,1,4,"")</f>
        <v>2</v>
      </c>
    </row>
    <row r="2753" spans="1:13" x14ac:dyDescent="0.2">
      <c r="A2753">
        <v>558201</v>
      </c>
      <c r="B2753" s="5">
        <v>45008</v>
      </c>
      <c r="C2753">
        <v>47742</v>
      </c>
      <c r="D2753" t="str">
        <f>PROPER(Transactions!D2753)</f>
        <v>Automotive</v>
      </c>
      <c r="E2753" t="s">
        <v>68</v>
      </c>
      <c r="F2753" t="s">
        <v>69</v>
      </c>
      <c r="G2753">
        <v>4</v>
      </c>
      <c r="H2753">
        <v>24.99</v>
      </c>
      <c r="I2753" s="7">
        <f>IF(Transactions!I2753="",0,Transactions!I2753)</f>
        <v>0</v>
      </c>
      <c r="J2753" s="9">
        <f t="shared" si="42"/>
        <v>99.96</v>
      </c>
      <c r="K2753" t="s">
        <v>32</v>
      </c>
      <c r="L2753" t="s">
        <v>17</v>
      </c>
      <c r="M2753" t="str">
        <f>REPLACE(Transactions!M2753,1,4,"")</f>
        <v>6</v>
      </c>
    </row>
    <row r="2754" spans="1:13" x14ac:dyDescent="0.2">
      <c r="A2754">
        <v>558381</v>
      </c>
      <c r="B2754" s="5">
        <v>45625</v>
      </c>
      <c r="C2754">
        <v>70766</v>
      </c>
      <c r="D2754" t="str">
        <f>PROPER(Transactions!D2754)</f>
        <v>Furniture</v>
      </c>
      <c r="E2754" t="s">
        <v>60</v>
      </c>
      <c r="F2754" t="s">
        <v>61</v>
      </c>
      <c r="G2754">
        <v>1</v>
      </c>
      <c r="H2754">
        <v>46.74</v>
      </c>
      <c r="I2754" s="7">
        <f>IF(Transactions!I2754="",0,Transactions!I2754)</f>
        <v>0.15</v>
      </c>
      <c r="J2754" s="9">
        <f t="shared" si="42"/>
        <v>39.728999999999999</v>
      </c>
      <c r="K2754" t="s">
        <v>36</v>
      </c>
      <c r="L2754" t="s">
        <v>23</v>
      </c>
      <c r="M2754" t="str">
        <f>REPLACE(Transactions!M2754,1,4,"")</f>
        <v/>
      </c>
    </row>
    <row r="2755" spans="1:13" x14ac:dyDescent="0.2">
      <c r="A2755">
        <v>558452</v>
      </c>
      <c r="B2755" s="5">
        <v>45194</v>
      </c>
      <c r="C2755">
        <v>65661</v>
      </c>
      <c r="D2755" t="str">
        <f>PROPER(Transactions!D2755)</f>
        <v>Home &amp; Garden</v>
      </c>
      <c r="E2755" t="s">
        <v>149</v>
      </c>
      <c r="F2755" t="s">
        <v>150</v>
      </c>
      <c r="G2755">
        <v>3</v>
      </c>
      <c r="H2755">
        <v>13.99</v>
      </c>
      <c r="I2755" s="7">
        <f>IF(Transactions!I2755="",0,Transactions!I2755)</f>
        <v>0.3</v>
      </c>
      <c r="J2755" s="9">
        <f t="shared" ref="J2755:J2818" si="43">(H2755*G2755)*(1-I2755)</f>
        <v>29.378999999999998</v>
      </c>
      <c r="K2755" t="s">
        <v>16</v>
      </c>
      <c r="L2755" t="s">
        <v>17</v>
      </c>
      <c r="M2755" t="str">
        <f>REPLACE(Transactions!M2755,1,4,"")</f>
        <v>5</v>
      </c>
    </row>
    <row r="2756" spans="1:13" x14ac:dyDescent="0.2">
      <c r="A2756">
        <v>558598</v>
      </c>
      <c r="B2756" s="5">
        <v>44711</v>
      </c>
      <c r="C2756">
        <v>59820</v>
      </c>
      <c r="D2756" t="str">
        <f>PROPER(Transactions!D2756)</f>
        <v>Furniture</v>
      </c>
      <c r="E2756" t="s">
        <v>70</v>
      </c>
      <c r="F2756" t="s">
        <v>71</v>
      </c>
      <c r="G2756">
        <v>1</v>
      </c>
      <c r="H2756">
        <v>85.49</v>
      </c>
      <c r="I2756" s="7">
        <f>IF(Transactions!I2756="",0,Transactions!I2756)</f>
        <v>0.05</v>
      </c>
      <c r="J2756" s="9">
        <f t="shared" si="43"/>
        <v>81.215499999999992</v>
      </c>
      <c r="K2756" t="s">
        <v>36</v>
      </c>
      <c r="L2756" t="s">
        <v>37</v>
      </c>
      <c r="M2756" t="str">
        <f>REPLACE(Transactions!M2756,1,4,"")</f>
        <v>2</v>
      </c>
    </row>
    <row r="2757" spans="1:13" x14ac:dyDescent="0.2">
      <c r="A2757">
        <v>558697</v>
      </c>
      <c r="B2757" s="5">
        <v>45203</v>
      </c>
      <c r="C2757">
        <v>74503</v>
      </c>
      <c r="D2757" t="str">
        <f>PROPER(Transactions!D2757)</f>
        <v>Automotive</v>
      </c>
      <c r="E2757" t="s">
        <v>131</v>
      </c>
      <c r="F2757" t="s">
        <v>132</v>
      </c>
      <c r="G2757">
        <v>1</v>
      </c>
      <c r="H2757">
        <v>2.44</v>
      </c>
      <c r="I2757" s="7">
        <f>IF(Transactions!I2757="",0,Transactions!I2757)</f>
        <v>0.3</v>
      </c>
      <c r="J2757" s="9">
        <f t="shared" si="43"/>
        <v>1.708</v>
      </c>
      <c r="K2757" t="s">
        <v>16</v>
      </c>
      <c r="L2757" t="s">
        <v>17</v>
      </c>
      <c r="M2757" t="str">
        <f>REPLACE(Transactions!M2757,1,4,"")</f>
        <v>4</v>
      </c>
    </row>
    <row r="2758" spans="1:13" x14ac:dyDescent="0.2">
      <c r="A2758">
        <v>558767</v>
      </c>
      <c r="B2758" s="5">
        <v>44971</v>
      </c>
      <c r="C2758">
        <v>66893</v>
      </c>
      <c r="D2758" t="str">
        <f>PROPER(Transactions!D2758)</f>
        <v>Pharmacy</v>
      </c>
      <c r="E2758" t="s">
        <v>41</v>
      </c>
      <c r="F2758" t="s">
        <v>42</v>
      </c>
      <c r="G2758">
        <v>1</v>
      </c>
      <c r="H2758">
        <v>5.69</v>
      </c>
      <c r="I2758" s="7">
        <f>IF(Transactions!I2758="",0,Transactions!I2758)</f>
        <v>0.05</v>
      </c>
      <c r="J2758" s="9">
        <f t="shared" si="43"/>
        <v>5.4055</v>
      </c>
      <c r="K2758" t="s">
        <v>22</v>
      </c>
      <c r="L2758" t="s">
        <v>17</v>
      </c>
      <c r="M2758" t="str">
        <f>REPLACE(Transactions!M2758,1,4,"")</f>
        <v>17</v>
      </c>
    </row>
    <row r="2759" spans="1:13" x14ac:dyDescent="0.2">
      <c r="A2759">
        <v>558856</v>
      </c>
      <c r="B2759" s="5">
        <v>44591</v>
      </c>
      <c r="C2759">
        <v>29585</v>
      </c>
      <c r="D2759" t="str">
        <f>PROPER(Transactions!D2759)</f>
        <v>Grocery</v>
      </c>
      <c r="E2759" t="s">
        <v>93</v>
      </c>
      <c r="F2759" t="s">
        <v>94</v>
      </c>
      <c r="G2759">
        <v>1</v>
      </c>
      <c r="H2759">
        <v>1.03</v>
      </c>
      <c r="I2759" s="7">
        <f>IF(Transactions!I2759="",0,Transactions!I2759)</f>
        <v>0.2</v>
      </c>
      <c r="J2759" s="9">
        <f t="shared" si="43"/>
        <v>0.82400000000000007</v>
      </c>
      <c r="K2759" t="s">
        <v>16</v>
      </c>
      <c r="L2759" t="s">
        <v>17</v>
      </c>
      <c r="M2759" t="str">
        <f>REPLACE(Transactions!M2759,1,4,"")</f>
        <v>2</v>
      </c>
    </row>
    <row r="2760" spans="1:13" x14ac:dyDescent="0.2">
      <c r="A2760">
        <v>558880</v>
      </c>
      <c r="B2760" s="5">
        <v>45587</v>
      </c>
      <c r="C2760">
        <v>41208</v>
      </c>
      <c r="D2760" t="str">
        <f>PROPER(Transactions!D2760)</f>
        <v>Beauty</v>
      </c>
      <c r="E2760" t="s">
        <v>109</v>
      </c>
      <c r="F2760" t="s">
        <v>110</v>
      </c>
      <c r="G2760">
        <v>1</v>
      </c>
      <c r="H2760">
        <v>5.59</v>
      </c>
      <c r="I2760" s="7">
        <f>IF(Transactions!I2760="",0,Transactions!I2760)</f>
        <v>0.2</v>
      </c>
      <c r="J2760" s="9">
        <f t="shared" si="43"/>
        <v>4.4720000000000004</v>
      </c>
      <c r="K2760" t="s">
        <v>36</v>
      </c>
      <c r="L2760" t="s">
        <v>17</v>
      </c>
      <c r="M2760" t="str">
        <f>REPLACE(Transactions!M2760,1,4,"")</f>
        <v>1</v>
      </c>
    </row>
    <row r="2761" spans="1:13" x14ac:dyDescent="0.2">
      <c r="A2761">
        <v>558916</v>
      </c>
      <c r="B2761" s="5">
        <v>45620</v>
      </c>
      <c r="C2761">
        <v>54890</v>
      </c>
      <c r="D2761" t="str">
        <f>PROPER(Transactions!D2761)</f>
        <v>Grocery</v>
      </c>
      <c r="E2761" t="s">
        <v>184</v>
      </c>
      <c r="F2761" t="s">
        <v>185</v>
      </c>
      <c r="G2761">
        <v>1</v>
      </c>
      <c r="H2761">
        <v>4.67</v>
      </c>
      <c r="I2761" s="7">
        <f>IF(Transactions!I2761="",0,Transactions!I2761)</f>
        <v>0.15</v>
      </c>
      <c r="J2761" s="9">
        <f t="shared" si="43"/>
        <v>3.9695</v>
      </c>
      <c r="K2761" t="s">
        <v>22</v>
      </c>
      <c r="L2761" t="s">
        <v>17</v>
      </c>
      <c r="M2761" t="str">
        <f>REPLACE(Transactions!M2761,1,4,"")</f>
        <v>11</v>
      </c>
    </row>
    <row r="2762" spans="1:13" x14ac:dyDescent="0.2">
      <c r="A2762">
        <v>558976</v>
      </c>
      <c r="B2762" s="5">
        <v>45605</v>
      </c>
      <c r="C2762">
        <v>19368</v>
      </c>
      <c r="D2762" t="str">
        <f>PROPER(Transactions!D2762)</f>
        <v>Clothing</v>
      </c>
      <c r="E2762" t="s">
        <v>121</v>
      </c>
      <c r="F2762" t="s">
        <v>122</v>
      </c>
      <c r="G2762">
        <v>1</v>
      </c>
      <c r="H2762">
        <v>10.39</v>
      </c>
      <c r="I2762" s="7">
        <f>IF(Transactions!I2762="",0,Transactions!I2762)</f>
        <v>0.2</v>
      </c>
      <c r="J2762" s="9">
        <f t="shared" si="43"/>
        <v>8.3120000000000012</v>
      </c>
      <c r="K2762" t="s">
        <v>36</v>
      </c>
      <c r="L2762" t="s">
        <v>17</v>
      </c>
      <c r="M2762" t="str">
        <f>REPLACE(Transactions!M2762,1,4,"")</f>
        <v>7</v>
      </c>
    </row>
    <row r="2763" spans="1:13" x14ac:dyDescent="0.2">
      <c r="A2763">
        <v>559198</v>
      </c>
      <c r="B2763" s="5">
        <v>45198</v>
      </c>
      <c r="C2763">
        <v>29776</v>
      </c>
      <c r="D2763" t="str">
        <f>PROPER(Transactions!D2763)</f>
        <v>Beauty</v>
      </c>
      <c r="E2763" t="s">
        <v>109</v>
      </c>
      <c r="F2763" t="s">
        <v>110</v>
      </c>
      <c r="G2763">
        <v>1</v>
      </c>
      <c r="H2763">
        <v>6.99</v>
      </c>
      <c r="I2763" s="7">
        <f>IF(Transactions!I2763="",0,Transactions!I2763)</f>
        <v>0</v>
      </c>
      <c r="J2763" s="9">
        <f t="shared" si="43"/>
        <v>6.99</v>
      </c>
      <c r="K2763" t="s">
        <v>32</v>
      </c>
      <c r="L2763" t="s">
        <v>17</v>
      </c>
      <c r="M2763" t="str">
        <f>REPLACE(Transactions!M2763,1,4,"")</f>
        <v>11</v>
      </c>
    </row>
    <row r="2764" spans="1:13" x14ac:dyDescent="0.2">
      <c r="A2764">
        <v>559333</v>
      </c>
      <c r="B2764" s="5">
        <v>45045</v>
      </c>
      <c r="C2764">
        <v>28040</v>
      </c>
      <c r="D2764" t="str">
        <f>PROPER(Transactions!D2764)</f>
        <v>Toys</v>
      </c>
      <c r="E2764" t="s">
        <v>175</v>
      </c>
      <c r="F2764" t="s">
        <v>176</v>
      </c>
      <c r="G2764">
        <v>1</v>
      </c>
      <c r="H2764">
        <v>8.39</v>
      </c>
      <c r="I2764" s="7">
        <f>IF(Transactions!I2764="",0,Transactions!I2764)</f>
        <v>0.3</v>
      </c>
      <c r="J2764" s="9">
        <f t="shared" si="43"/>
        <v>5.8730000000000002</v>
      </c>
      <c r="K2764" t="s">
        <v>36</v>
      </c>
      <c r="L2764" t="s">
        <v>17</v>
      </c>
      <c r="M2764" t="str">
        <f>REPLACE(Transactions!M2764,1,4,"")</f>
        <v>4</v>
      </c>
    </row>
    <row r="2765" spans="1:13" x14ac:dyDescent="0.2">
      <c r="A2765">
        <v>559414</v>
      </c>
      <c r="B2765" s="5">
        <v>45608</v>
      </c>
      <c r="C2765">
        <v>86406</v>
      </c>
      <c r="D2765" t="str">
        <f>PROPER(Transactions!D2765)</f>
        <v>Automotive</v>
      </c>
      <c r="E2765" t="s">
        <v>131</v>
      </c>
      <c r="F2765" t="s">
        <v>132</v>
      </c>
      <c r="G2765">
        <v>3</v>
      </c>
      <c r="H2765">
        <v>3.49</v>
      </c>
      <c r="I2765" s="7">
        <f>IF(Transactions!I2765="",0,Transactions!I2765)</f>
        <v>0</v>
      </c>
      <c r="J2765" s="9">
        <f t="shared" si="43"/>
        <v>10.47</v>
      </c>
      <c r="K2765" t="s">
        <v>36</v>
      </c>
      <c r="L2765" t="s">
        <v>17</v>
      </c>
      <c r="M2765" t="str">
        <f>REPLACE(Transactions!M2765,1,4,"")</f>
        <v>18</v>
      </c>
    </row>
    <row r="2766" spans="1:13" x14ac:dyDescent="0.2">
      <c r="A2766">
        <v>559550</v>
      </c>
      <c r="B2766" s="5">
        <v>45174</v>
      </c>
      <c r="C2766">
        <v>44172</v>
      </c>
      <c r="D2766" t="str">
        <f>PROPER(Transactions!D2766)</f>
        <v>Beauty</v>
      </c>
      <c r="E2766" t="s">
        <v>143</v>
      </c>
      <c r="F2766" t="s">
        <v>144</v>
      </c>
      <c r="G2766">
        <v>2</v>
      </c>
      <c r="H2766">
        <v>14.24</v>
      </c>
      <c r="I2766" s="7">
        <f>IF(Transactions!I2766="",0,Transactions!I2766)</f>
        <v>0.05</v>
      </c>
      <c r="J2766" s="9">
        <f t="shared" si="43"/>
        <v>27.055999999999997</v>
      </c>
      <c r="K2766" t="s">
        <v>22</v>
      </c>
      <c r="L2766" t="s">
        <v>17</v>
      </c>
      <c r="M2766" t="str">
        <f>REPLACE(Transactions!M2766,1,4,"")</f>
        <v>9</v>
      </c>
    </row>
    <row r="2767" spans="1:13" x14ac:dyDescent="0.2">
      <c r="A2767">
        <v>559650</v>
      </c>
      <c r="B2767" s="5">
        <v>44637</v>
      </c>
      <c r="C2767">
        <v>50102</v>
      </c>
      <c r="D2767" t="str">
        <f>PROPER(Transactions!D2767)</f>
        <v>Beauty</v>
      </c>
      <c r="E2767" t="s">
        <v>179</v>
      </c>
      <c r="F2767" t="s">
        <v>180</v>
      </c>
      <c r="G2767">
        <v>2</v>
      </c>
      <c r="H2767">
        <v>11.99</v>
      </c>
      <c r="I2767" s="7">
        <f>IF(Transactions!I2767="",0,Transactions!I2767)</f>
        <v>0</v>
      </c>
      <c r="J2767" s="9">
        <f t="shared" si="43"/>
        <v>23.98</v>
      </c>
      <c r="K2767" t="s">
        <v>36</v>
      </c>
      <c r="L2767" t="s">
        <v>37</v>
      </c>
      <c r="M2767" t="str">
        <f>REPLACE(Transactions!M2767,1,4,"")</f>
        <v>3</v>
      </c>
    </row>
    <row r="2768" spans="1:13" x14ac:dyDescent="0.2">
      <c r="A2768">
        <v>559849</v>
      </c>
      <c r="B2768" s="5">
        <v>44989</v>
      </c>
      <c r="C2768">
        <v>26338</v>
      </c>
      <c r="D2768" t="str">
        <f>PROPER(Transactions!D2768)</f>
        <v>Beauty</v>
      </c>
      <c r="E2768" t="s">
        <v>109</v>
      </c>
      <c r="F2768" t="s">
        <v>110</v>
      </c>
      <c r="G2768">
        <v>1</v>
      </c>
      <c r="H2768">
        <v>5.59</v>
      </c>
      <c r="I2768" s="7">
        <f>IF(Transactions!I2768="",0,Transactions!I2768)</f>
        <v>0.2</v>
      </c>
      <c r="J2768" s="9">
        <f t="shared" si="43"/>
        <v>4.4720000000000004</v>
      </c>
      <c r="K2768" t="s">
        <v>36</v>
      </c>
      <c r="L2768" t="s">
        <v>17</v>
      </c>
      <c r="M2768" t="str">
        <f>REPLACE(Transactions!M2768,1,4,"")</f>
        <v>9</v>
      </c>
    </row>
    <row r="2769" spans="1:13" x14ac:dyDescent="0.2">
      <c r="A2769">
        <v>559915</v>
      </c>
      <c r="B2769" s="5">
        <v>44768</v>
      </c>
      <c r="C2769">
        <v>89904</v>
      </c>
      <c r="D2769" t="str">
        <f>PROPER(Transactions!D2769)</f>
        <v>Clothing</v>
      </c>
      <c r="E2769" t="s">
        <v>98</v>
      </c>
      <c r="F2769" t="s">
        <v>99</v>
      </c>
      <c r="G2769">
        <v>1</v>
      </c>
      <c r="H2769">
        <v>22.39</v>
      </c>
      <c r="I2769" s="7">
        <f>IF(Transactions!I2769="",0,Transactions!I2769)</f>
        <v>0.2</v>
      </c>
      <c r="J2769" s="9">
        <f t="shared" si="43"/>
        <v>17.912000000000003</v>
      </c>
      <c r="K2769" t="s">
        <v>36</v>
      </c>
      <c r="L2769" t="s">
        <v>17</v>
      </c>
      <c r="M2769" t="str">
        <f>REPLACE(Transactions!M2769,1,4,"")</f>
        <v>17</v>
      </c>
    </row>
    <row r="2770" spans="1:13" x14ac:dyDescent="0.2">
      <c r="A2770">
        <v>560156</v>
      </c>
      <c r="B2770" s="5">
        <v>45109</v>
      </c>
      <c r="C2770">
        <v>92721</v>
      </c>
      <c r="D2770" t="str">
        <f>PROPER(Transactions!D2770)</f>
        <v>Electronics</v>
      </c>
      <c r="E2770" t="s">
        <v>104</v>
      </c>
      <c r="F2770" t="s">
        <v>105</v>
      </c>
      <c r="G2770">
        <v>1</v>
      </c>
      <c r="H2770">
        <v>22.49</v>
      </c>
      <c r="I2770" s="7">
        <f>IF(Transactions!I2770="",0,Transactions!I2770)</f>
        <v>0.25</v>
      </c>
      <c r="J2770" s="9">
        <f t="shared" si="43"/>
        <v>16.8675</v>
      </c>
      <c r="K2770" t="s">
        <v>16</v>
      </c>
      <c r="L2770" t="s">
        <v>17</v>
      </c>
      <c r="M2770" t="str">
        <f>REPLACE(Transactions!M2770,1,4,"")</f>
        <v>9</v>
      </c>
    </row>
    <row r="2771" spans="1:13" x14ac:dyDescent="0.2">
      <c r="A2771">
        <v>560190</v>
      </c>
      <c r="B2771" s="5">
        <v>44960</v>
      </c>
      <c r="C2771">
        <v>88860</v>
      </c>
      <c r="D2771" t="str">
        <f>PROPER(Transactions!D2771)</f>
        <v>Home &amp; Garden</v>
      </c>
      <c r="E2771" t="s">
        <v>153</v>
      </c>
      <c r="F2771" t="s">
        <v>154</v>
      </c>
      <c r="G2771">
        <v>3</v>
      </c>
      <c r="H2771">
        <v>25.49</v>
      </c>
      <c r="I2771" s="7">
        <f>IF(Transactions!I2771="",0,Transactions!I2771)</f>
        <v>0.15</v>
      </c>
      <c r="J2771" s="9">
        <f t="shared" si="43"/>
        <v>64.999499999999998</v>
      </c>
      <c r="K2771" t="s">
        <v>32</v>
      </c>
      <c r="L2771" t="s">
        <v>17</v>
      </c>
      <c r="M2771" t="str">
        <f>REPLACE(Transactions!M2771,1,4,"")</f>
        <v>19</v>
      </c>
    </row>
    <row r="2772" spans="1:13" x14ac:dyDescent="0.2">
      <c r="A2772">
        <v>560352</v>
      </c>
      <c r="B2772" s="5">
        <v>44853</v>
      </c>
      <c r="C2772">
        <v>58702</v>
      </c>
      <c r="D2772" t="str">
        <f>PROPER(Transactions!D2772)</f>
        <v>Toys</v>
      </c>
      <c r="E2772" t="s">
        <v>38</v>
      </c>
      <c r="F2772" t="s">
        <v>39</v>
      </c>
      <c r="G2772">
        <v>5</v>
      </c>
      <c r="H2772">
        <v>29.99</v>
      </c>
      <c r="I2772" s="7">
        <f>IF(Transactions!I2772="",0,Transactions!I2772)</f>
        <v>0</v>
      </c>
      <c r="J2772" s="9">
        <f t="shared" si="43"/>
        <v>149.94999999999999</v>
      </c>
      <c r="K2772" t="s">
        <v>22</v>
      </c>
      <c r="L2772" t="s">
        <v>17</v>
      </c>
      <c r="M2772" t="str">
        <f>REPLACE(Transactions!M2772,1,4,"")</f>
        <v>17</v>
      </c>
    </row>
    <row r="2773" spans="1:13" x14ac:dyDescent="0.2">
      <c r="A2773">
        <v>560504</v>
      </c>
      <c r="B2773" s="5">
        <v>45480</v>
      </c>
      <c r="C2773">
        <v>27970</v>
      </c>
      <c r="D2773" t="str">
        <f>PROPER(Transactions!D2773)</f>
        <v>Clothing</v>
      </c>
      <c r="E2773" t="s">
        <v>135</v>
      </c>
      <c r="F2773" t="s">
        <v>136</v>
      </c>
      <c r="G2773">
        <v>1</v>
      </c>
      <c r="H2773">
        <v>8.49</v>
      </c>
      <c r="I2773" s="7">
        <f>IF(Transactions!I2773="",0,Transactions!I2773)</f>
        <v>0.15</v>
      </c>
      <c r="J2773" s="9">
        <f t="shared" si="43"/>
        <v>7.2164999999999999</v>
      </c>
      <c r="K2773" t="s">
        <v>22</v>
      </c>
      <c r="L2773" t="s">
        <v>17</v>
      </c>
      <c r="M2773" t="str">
        <f>REPLACE(Transactions!M2773,1,4,"")</f>
        <v>13</v>
      </c>
    </row>
    <row r="2774" spans="1:13" x14ac:dyDescent="0.2">
      <c r="A2774">
        <v>560582</v>
      </c>
      <c r="B2774" s="5">
        <v>44757</v>
      </c>
      <c r="D2774" t="str">
        <f>PROPER(Transactions!D2774)</f>
        <v>Sports</v>
      </c>
      <c r="E2774" t="s">
        <v>147</v>
      </c>
      <c r="F2774" t="s">
        <v>148</v>
      </c>
      <c r="G2774">
        <v>2</v>
      </c>
      <c r="H2774">
        <v>9.09</v>
      </c>
      <c r="I2774" s="7">
        <f>IF(Transactions!I2774="",0,Transactions!I2774)</f>
        <v>0.3</v>
      </c>
      <c r="J2774" s="9">
        <f t="shared" si="43"/>
        <v>12.725999999999999</v>
      </c>
      <c r="K2774" t="s">
        <v>16</v>
      </c>
      <c r="L2774" t="s">
        <v>17</v>
      </c>
      <c r="M2774" t="str">
        <f>REPLACE(Transactions!M2774,1,4,"")</f>
        <v>14</v>
      </c>
    </row>
    <row r="2775" spans="1:13" x14ac:dyDescent="0.2">
      <c r="A2775">
        <v>560858</v>
      </c>
      <c r="B2775" s="5">
        <v>44644</v>
      </c>
      <c r="D2775" t="str">
        <f>PROPER(Transactions!D2775)</f>
        <v>Beauty</v>
      </c>
      <c r="E2775" t="s">
        <v>118</v>
      </c>
      <c r="F2775" t="s">
        <v>119</v>
      </c>
      <c r="G2775">
        <v>4</v>
      </c>
      <c r="H2775">
        <v>3.74</v>
      </c>
      <c r="I2775" s="7">
        <f>IF(Transactions!I2775="",0,Transactions!I2775)</f>
        <v>0.25</v>
      </c>
      <c r="J2775" s="9">
        <f t="shared" si="43"/>
        <v>11.22</v>
      </c>
      <c r="K2775" t="s">
        <v>95</v>
      </c>
      <c r="L2775" t="s">
        <v>37</v>
      </c>
      <c r="M2775" t="str">
        <f>REPLACE(Transactions!M2775,1,4,"")</f>
        <v/>
      </c>
    </row>
    <row r="2776" spans="1:13" x14ac:dyDescent="0.2">
      <c r="A2776">
        <v>560980</v>
      </c>
      <c r="B2776" s="5">
        <v>45500</v>
      </c>
      <c r="C2776">
        <v>90037</v>
      </c>
      <c r="D2776" t="str">
        <f>PROPER(Transactions!D2776)</f>
        <v>Toys</v>
      </c>
      <c r="E2776" t="s">
        <v>38</v>
      </c>
      <c r="F2776" t="s">
        <v>39</v>
      </c>
      <c r="G2776">
        <v>5</v>
      </c>
      <c r="H2776">
        <v>23.99</v>
      </c>
      <c r="I2776" s="7">
        <f>IF(Transactions!I2776="",0,Transactions!I2776)</f>
        <v>0.2</v>
      </c>
      <c r="J2776" s="9">
        <f t="shared" si="43"/>
        <v>95.96</v>
      </c>
      <c r="K2776" t="s">
        <v>16</v>
      </c>
      <c r="L2776" t="s">
        <v>17</v>
      </c>
      <c r="M2776" t="str">
        <f>REPLACE(Transactions!M2776,1,4,"")</f>
        <v>9</v>
      </c>
    </row>
    <row r="2777" spans="1:13" x14ac:dyDescent="0.2">
      <c r="A2777">
        <v>561047</v>
      </c>
      <c r="B2777" s="5">
        <v>44668</v>
      </c>
      <c r="C2777">
        <v>25374</v>
      </c>
      <c r="D2777" t="str">
        <f>PROPER(Transactions!D2777)</f>
        <v>Electronics</v>
      </c>
      <c r="E2777" t="s">
        <v>104</v>
      </c>
      <c r="F2777" t="s">
        <v>105</v>
      </c>
      <c r="G2777">
        <v>2</v>
      </c>
      <c r="H2777">
        <v>29.99</v>
      </c>
      <c r="I2777" s="7">
        <f>IF(Transactions!I2777="",0,Transactions!I2777)</f>
        <v>0</v>
      </c>
      <c r="J2777" s="9">
        <f t="shared" si="43"/>
        <v>59.98</v>
      </c>
      <c r="K2777" t="s">
        <v>16</v>
      </c>
      <c r="L2777" t="s">
        <v>17</v>
      </c>
      <c r="M2777" t="str">
        <f>REPLACE(Transactions!M2777,1,4,"")</f>
        <v>15</v>
      </c>
    </row>
    <row r="2778" spans="1:13" x14ac:dyDescent="0.2">
      <c r="A2778">
        <v>561105</v>
      </c>
      <c r="B2778" s="5">
        <v>44870</v>
      </c>
      <c r="C2778">
        <v>16267</v>
      </c>
      <c r="D2778" t="str">
        <f>PROPER(Transactions!D2778)</f>
        <v>Automotive</v>
      </c>
      <c r="E2778" t="s">
        <v>68</v>
      </c>
      <c r="F2778" t="s">
        <v>69</v>
      </c>
      <c r="G2778">
        <v>1</v>
      </c>
      <c r="H2778">
        <v>23.74</v>
      </c>
      <c r="I2778" s="7">
        <f>IF(Transactions!I2778="",0,Transactions!I2778)</f>
        <v>0.05</v>
      </c>
      <c r="J2778" s="9">
        <f t="shared" si="43"/>
        <v>22.552999999999997</v>
      </c>
      <c r="K2778" t="s">
        <v>22</v>
      </c>
      <c r="L2778" t="s">
        <v>17</v>
      </c>
      <c r="M2778" t="str">
        <f>REPLACE(Transactions!M2778,1,4,"")</f>
        <v>18</v>
      </c>
    </row>
    <row r="2779" spans="1:13" x14ac:dyDescent="0.2">
      <c r="A2779">
        <v>561154</v>
      </c>
      <c r="B2779" s="5">
        <v>45506</v>
      </c>
      <c r="C2779">
        <v>25717</v>
      </c>
      <c r="D2779" t="str">
        <f>PROPER(Transactions!D2779)</f>
        <v>Beauty</v>
      </c>
      <c r="E2779" t="s">
        <v>143</v>
      </c>
      <c r="F2779" t="s">
        <v>144</v>
      </c>
      <c r="G2779">
        <v>4</v>
      </c>
      <c r="H2779">
        <v>11.24</v>
      </c>
      <c r="I2779" s="7">
        <f>IF(Transactions!I2779="",0,Transactions!I2779)</f>
        <v>0.25</v>
      </c>
      <c r="J2779" s="9">
        <f t="shared" si="43"/>
        <v>33.72</v>
      </c>
      <c r="K2779" t="s">
        <v>32</v>
      </c>
      <c r="L2779" t="s">
        <v>37</v>
      </c>
      <c r="M2779" t="str">
        <f>REPLACE(Transactions!M2779,1,4,"")</f>
        <v>18</v>
      </c>
    </row>
    <row r="2780" spans="1:13" x14ac:dyDescent="0.2">
      <c r="A2780">
        <v>561630</v>
      </c>
      <c r="B2780" s="5">
        <v>44643</v>
      </c>
      <c r="C2780">
        <v>62257</v>
      </c>
      <c r="D2780" t="str">
        <f>PROPER(Transactions!D2780)</f>
        <v>Furniture</v>
      </c>
      <c r="E2780" t="s">
        <v>60</v>
      </c>
      <c r="F2780" t="s">
        <v>61</v>
      </c>
      <c r="G2780">
        <v>3</v>
      </c>
      <c r="H2780">
        <v>46.74</v>
      </c>
      <c r="I2780" s="7">
        <f>IF(Transactions!I2780="",0,Transactions!I2780)</f>
        <v>0.15</v>
      </c>
      <c r="J2780" s="9">
        <f t="shared" si="43"/>
        <v>119.187</v>
      </c>
      <c r="K2780" t="s">
        <v>36</v>
      </c>
      <c r="L2780" t="s">
        <v>17</v>
      </c>
      <c r="M2780" t="str">
        <f>REPLACE(Transactions!M2780,1,4,"")</f>
        <v>8</v>
      </c>
    </row>
    <row r="2781" spans="1:13" x14ac:dyDescent="0.2">
      <c r="A2781">
        <v>561804</v>
      </c>
      <c r="B2781" s="5">
        <v>44968</v>
      </c>
      <c r="C2781">
        <v>37937</v>
      </c>
      <c r="D2781" t="str">
        <f>PROPER(Transactions!D2781)</f>
        <v>Grocery</v>
      </c>
      <c r="E2781" t="s">
        <v>162</v>
      </c>
      <c r="F2781" t="s">
        <v>163</v>
      </c>
      <c r="G2781">
        <v>1</v>
      </c>
      <c r="H2781">
        <v>7.59</v>
      </c>
      <c r="I2781" s="7">
        <f>IF(Transactions!I2781="",0,Transactions!I2781)</f>
        <v>0.05</v>
      </c>
      <c r="J2781" s="9">
        <f t="shared" si="43"/>
        <v>7.2104999999999997</v>
      </c>
      <c r="K2781" t="s">
        <v>53</v>
      </c>
      <c r="L2781" t="s">
        <v>17</v>
      </c>
      <c r="M2781" t="str">
        <f>REPLACE(Transactions!M2781,1,4,"")</f>
        <v>11</v>
      </c>
    </row>
    <row r="2782" spans="1:13" x14ac:dyDescent="0.2">
      <c r="A2782">
        <v>561903</v>
      </c>
      <c r="B2782" s="5">
        <v>45264</v>
      </c>
      <c r="C2782">
        <v>48441</v>
      </c>
      <c r="D2782" t="str">
        <f>PROPER(Transactions!D2782)</f>
        <v>Beauty</v>
      </c>
      <c r="E2782" t="s">
        <v>179</v>
      </c>
      <c r="F2782" t="s">
        <v>180</v>
      </c>
      <c r="G2782">
        <v>5</v>
      </c>
      <c r="H2782">
        <v>11.39</v>
      </c>
      <c r="I2782" s="7">
        <f>IF(Transactions!I2782="",0,Transactions!I2782)</f>
        <v>0.05</v>
      </c>
      <c r="J2782" s="9">
        <f t="shared" si="43"/>
        <v>54.102499999999999</v>
      </c>
      <c r="K2782" t="s">
        <v>22</v>
      </c>
      <c r="L2782" t="s">
        <v>17</v>
      </c>
      <c r="M2782" t="str">
        <f>REPLACE(Transactions!M2782,1,4,"")</f>
        <v>13</v>
      </c>
    </row>
    <row r="2783" spans="1:13" x14ac:dyDescent="0.2">
      <c r="A2783">
        <v>562290</v>
      </c>
      <c r="B2783" s="5">
        <v>44809</v>
      </c>
      <c r="C2783">
        <v>52689</v>
      </c>
      <c r="D2783" t="str">
        <f>PROPER(Transactions!D2783)</f>
        <v>Furniture</v>
      </c>
      <c r="E2783" t="s">
        <v>60</v>
      </c>
      <c r="F2783" t="s">
        <v>61</v>
      </c>
      <c r="G2783">
        <v>2</v>
      </c>
      <c r="H2783">
        <v>52.24</v>
      </c>
      <c r="I2783" s="7">
        <f>IF(Transactions!I2783="",0,Transactions!I2783)</f>
        <v>0.05</v>
      </c>
      <c r="J2783" s="9">
        <f t="shared" si="43"/>
        <v>99.256</v>
      </c>
      <c r="K2783" t="s">
        <v>36</v>
      </c>
      <c r="L2783" t="s">
        <v>17</v>
      </c>
      <c r="M2783" t="str">
        <f>REPLACE(Transactions!M2783,1,4,"")</f>
        <v>4</v>
      </c>
    </row>
    <row r="2784" spans="1:13" x14ac:dyDescent="0.2">
      <c r="A2784">
        <v>562307</v>
      </c>
      <c r="B2784" s="5">
        <v>45381</v>
      </c>
      <c r="C2784">
        <v>81160</v>
      </c>
      <c r="D2784" t="str">
        <f>PROPER(Transactions!D2784)</f>
        <v>Automotive</v>
      </c>
      <c r="E2784" t="s">
        <v>125</v>
      </c>
      <c r="F2784" t="s">
        <v>126</v>
      </c>
      <c r="G2784">
        <v>1</v>
      </c>
      <c r="H2784">
        <v>20.99</v>
      </c>
      <c r="I2784" s="7">
        <f>IF(Transactions!I2784="",0,Transactions!I2784)</f>
        <v>0.3</v>
      </c>
      <c r="J2784" s="9">
        <f t="shared" si="43"/>
        <v>14.692999999999998</v>
      </c>
      <c r="K2784" t="s">
        <v>22</v>
      </c>
      <c r="L2784" t="s">
        <v>17</v>
      </c>
      <c r="M2784" t="str">
        <f>REPLACE(Transactions!M2784,1,4,"")</f>
        <v>12</v>
      </c>
    </row>
    <row r="2785" spans="1:13" x14ac:dyDescent="0.2">
      <c r="A2785">
        <v>562484</v>
      </c>
      <c r="B2785" s="5">
        <v>45271</v>
      </c>
      <c r="C2785">
        <v>76872</v>
      </c>
      <c r="D2785" t="str">
        <f>PROPER(Transactions!D2785)</f>
        <v>Automotive</v>
      </c>
      <c r="E2785" t="s">
        <v>111</v>
      </c>
      <c r="F2785" t="s">
        <v>112</v>
      </c>
      <c r="G2785">
        <v>1</v>
      </c>
      <c r="H2785">
        <v>14.99</v>
      </c>
      <c r="I2785" s="7">
        <f>IF(Transactions!I2785="",0,Transactions!I2785)</f>
        <v>0</v>
      </c>
      <c r="J2785" s="9">
        <f t="shared" si="43"/>
        <v>14.99</v>
      </c>
      <c r="K2785" t="s">
        <v>36</v>
      </c>
      <c r="L2785" t="s">
        <v>37</v>
      </c>
      <c r="M2785" t="str">
        <f>REPLACE(Transactions!M2785,1,4,"")</f>
        <v>6</v>
      </c>
    </row>
    <row r="2786" spans="1:13" x14ac:dyDescent="0.2">
      <c r="A2786">
        <v>562531</v>
      </c>
      <c r="B2786" s="5">
        <v>45437</v>
      </c>
      <c r="C2786">
        <v>64179</v>
      </c>
      <c r="D2786" t="str">
        <f>PROPER(Transactions!D2786)</f>
        <v>Automotive</v>
      </c>
      <c r="E2786" t="s">
        <v>68</v>
      </c>
      <c r="F2786" t="s">
        <v>69</v>
      </c>
      <c r="G2786">
        <v>5</v>
      </c>
      <c r="H2786">
        <v>24.99</v>
      </c>
      <c r="I2786" s="7">
        <f>IF(Transactions!I2786="",0,Transactions!I2786)</f>
        <v>0</v>
      </c>
      <c r="J2786" s="9">
        <f t="shared" si="43"/>
        <v>124.94999999999999</v>
      </c>
      <c r="K2786" t="s">
        <v>66</v>
      </c>
      <c r="L2786" t="s">
        <v>23</v>
      </c>
      <c r="M2786" t="str">
        <f>REPLACE(Transactions!M2786,1,4,"")</f>
        <v>6</v>
      </c>
    </row>
    <row r="2787" spans="1:13" x14ac:dyDescent="0.2">
      <c r="A2787">
        <v>562816</v>
      </c>
      <c r="B2787" s="5">
        <v>45377</v>
      </c>
      <c r="C2787">
        <v>30431</v>
      </c>
      <c r="D2787" t="str">
        <f>PROPER(Transactions!D2787)</f>
        <v>Pharmacy</v>
      </c>
      <c r="E2787" t="s">
        <v>20</v>
      </c>
      <c r="F2787" t="s">
        <v>21</v>
      </c>
      <c r="G2787">
        <v>1</v>
      </c>
      <c r="H2787">
        <v>7.99</v>
      </c>
      <c r="I2787" s="7">
        <f>IF(Transactions!I2787="",0,Transactions!I2787)</f>
        <v>0.2</v>
      </c>
      <c r="J2787" s="9">
        <f t="shared" si="43"/>
        <v>6.3920000000000003</v>
      </c>
      <c r="K2787" t="s">
        <v>36</v>
      </c>
      <c r="L2787" t="s">
        <v>17</v>
      </c>
      <c r="M2787" t="str">
        <f>REPLACE(Transactions!M2787,1,4,"")</f>
        <v>16</v>
      </c>
    </row>
    <row r="2788" spans="1:13" x14ac:dyDescent="0.2">
      <c r="A2788">
        <v>562915</v>
      </c>
      <c r="B2788" s="5">
        <v>44911</v>
      </c>
      <c r="C2788">
        <v>73866</v>
      </c>
      <c r="D2788" t="str">
        <f>PROPER(Transactions!D2788)</f>
        <v>Furniture</v>
      </c>
      <c r="E2788" t="s">
        <v>113</v>
      </c>
      <c r="F2788" t="s">
        <v>114</v>
      </c>
      <c r="G2788">
        <v>4</v>
      </c>
      <c r="H2788">
        <v>83.99</v>
      </c>
      <c r="I2788" s="7">
        <f>IF(Transactions!I2788="",0,Transactions!I2788)</f>
        <v>0.3</v>
      </c>
      <c r="J2788" s="9">
        <f t="shared" si="43"/>
        <v>235.17199999999997</v>
      </c>
      <c r="K2788" t="s">
        <v>16</v>
      </c>
      <c r="L2788" t="s">
        <v>17</v>
      </c>
      <c r="M2788" t="str">
        <f>REPLACE(Transactions!M2788,1,4,"")</f>
        <v>20</v>
      </c>
    </row>
    <row r="2789" spans="1:13" x14ac:dyDescent="0.2">
      <c r="A2789">
        <v>563011</v>
      </c>
      <c r="B2789" s="5">
        <v>44820</v>
      </c>
      <c r="C2789">
        <v>41909</v>
      </c>
      <c r="D2789" t="str">
        <f>PROPER(Transactions!D2789)</f>
        <v>Automotive</v>
      </c>
      <c r="E2789" t="s">
        <v>68</v>
      </c>
      <c r="F2789" t="s">
        <v>69</v>
      </c>
      <c r="G2789">
        <v>1</v>
      </c>
      <c r="H2789">
        <v>24.99</v>
      </c>
      <c r="I2789" s="7">
        <f>IF(Transactions!I2789="",0,Transactions!I2789)</f>
        <v>0</v>
      </c>
      <c r="J2789" s="9">
        <f t="shared" si="43"/>
        <v>24.99</v>
      </c>
      <c r="K2789" t="s">
        <v>95</v>
      </c>
      <c r="L2789" t="s">
        <v>17</v>
      </c>
      <c r="M2789" t="str">
        <f>REPLACE(Transactions!M2789,1,4,"")</f>
        <v>10</v>
      </c>
    </row>
    <row r="2790" spans="1:13" x14ac:dyDescent="0.2">
      <c r="A2790">
        <v>563016</v>
      </c>
      <c r="B2790" s="5">
        <v>44583</v>
      </c>
      <c r="C2790">
        <v>85131</v>
      </c>
      <c r="D2790" t="str">
        <f>PROPER(Transactions!D2790)</f>
        <v>Sports</v>
      </c>
      <c r="E2790" t="s">
        <v>100</v>
      </c>
      <c r="F2790" t="s">
        <v>101</v>
      </c>
      <c r="G2790">
        <v>3</v>
      </c>
      <c r="H2790">
        <v>17.239999999999998</v>
      </c>
      <c r="I2790" s="7">
        <f>IF(Transactions!I2790="",0,Transactions!I2790)</f>
        <v>0.25</v>
      </c>
      <c r="J2790" s="9">
        <f t="shared" si="43"/>
        <v>38.79</v>
      </c>
      <c r="K2790" t="s">
        <v>36</v>
      </c>
      <c r="L2790" t="s">
        <v>37</v>
      </c>
      <c r="M2790" t="str">
        <f>REPLACE(Transactions!M2790,1,4,"")</f>
        <v>14</v>
      </c>
    </row>
    <row r="2791" spans="1:13" x14ac:dyDescent="0.2">
      <c r="A2791">
        <v>563147</v>
      </c>
      <c r="B2791" s="5">
        <v>44783</v>
      </c>
      <c r="C2791">
        <v>48359</v>
      </c>
      <c r="D2791" t="str">
        <f>PROPER(Transactions!D2791)</f>
        <v>Toys</v>
      </c>
      <c r="E2791" t="s">
        <v>30</v>
      </c>
      <c r="F2791" t="s">
        <v>31</v>
      </c>
      <c r="G2791">
        <v>1</v>
      </c>
      <c r="H2791">
        <v>18.739999999999998</v>
      </c>
      <c r="I2791" s="7">
        <f>IF(Transactions!I2791="",0,Transactions!I2791)</f>
        <v>0.25</v>
      </c>
      <c r="J2791" s="9">
        <f t="shared" si="43"/>
        <v>14.055</v>
      </c>
      <c r="K2791" t="s">
        <v>36</v>
      </c>
      <c r="L2791" t="s">
        <v>17</v>
      </c>
      <c r="M2791" t="str">
        <f>REPLACE(Transactions!M2791,1,4,"")</f>
        <v>13</v>
      </c>
    </row>
    <row r="2792" spans="1:13" x14ac:dyDescent="0.2">
      <c r="A2792">
        <v>563267</v>
      </c>
      <c r="B2792" s="5">
        <v>45350</v>
      </c>
      <c r="C2792">
        <v>82359</v>
      </c>
      <c r="D2792" t="str">
        <f>PROPER(Transactions!D2792)</f>
        <v>Grocery</v>
      </c>
      <c r="E2792" t="s">
        <v>184</v>
      </c>
      <c r="F2792" t="s">
        <v>185</v>
      </c>
      <c r="G2792">
        <v>1</v>
      </c>
      <c r="H2792">
        <v>5.22</v>
      </c>
      <c r="I2792" s="7">
        <f>IF(Transactions!I2792="",0,Transactions!I2792)</f>
        <v>0.05</v>
      </c>
      <c r="J2792" s="9">
        <f t="shared" si="43"/>
        <v>4.9589999999999996</v>
      </c>
      <c r="K2792" t="s">
        <v>36</v>
      </c>
      <c r="L2792" t="s">
        <v>37</v>
      </c>
      <c r="M2792" t="str">
        <f>REPLACE(Transactions!M2792,1,4,"")</f>
        <v>1</v>
      </c>
    </row>
    <row r="2793" spans="1:13" x14ac:dyDescent="0.2">
      <c r="A2793">
        <v>563363</v>
      </c>
      <c r="B2793" s="5">
        <v>44711</v>
      </c>
      <c r="C2793">
        <v>38179</v>
      </c>
      <c r="D2793" t="str">
        <f>PROPER(Transactions!D2793)</f>
        <v>Clothing</v>
      </c>
      <c r="E2793" t="s">
        <v>151</v>
      </c>
      <c r="F2793" t="s">
        <v>152</v>
      </c>
      <c r="G2793">
        <v>2</v>
      </c>
      <c r="H2793">
        <v>33.24</v>
      </c>
      <c r="I2793" s="7">
        <f>IF(Transactions!I2793="",0,Transactions!I2793)</f>
        <v>0.05</v>
      </c>
      <c r="J2793" s="9">
        <f t="shared" si="43"/>
        <v>63.155999999999999</v>
      </c>
      <c r="K2793" t="s">
        <v>36</v>
      </c>
      <c r="L2793" t="s">
        <v>17</v>
      </c>
      <c r="M2793" t="str">
        <f>REPLACE(Transactions!M2793,1,4,"")</f>
        <v>6</v>
      </c>
    </row>
    <row r="2794" spans="1:13" x14ac:dyDescent="0.2">
      <c r="A2794">
        <v>563468</v>
      </c>
      <c r="B2794" s="5">
        <v>45467</v>
      </c>
      <c r="C2794">
        <v>48463</v>
      </c>
      <c r="D2794" t="str">
        <f>PROPER(Transactions!D2794)</f>
        <v>Grocery</v>
      </c>
      <c r="E2794" t="s">
        <v>172</v>
      </c>
      <c r="F2794" t="s">
        <v>173</v>
      </c>
      <c r="G2794">
        <v>4</v>
      </c>
      <c r="H2794">
        <v>3.59</v>
      </c>
      <c r="I2794" s="7">
        <f>IF(Transactions!I2794="",0,Transactions!I2794)</f>
        <v>0.2</v>
      </c>
      <c r="J2794" s="9">
        <f t="shared" si="43"/>
        <v>11.488</v>
      </c>
      <c r="K2794" t="s">
        <v>22</v>
      </c>
      <c r="L2794" t="s">
        <v>37</v>
      </c>
      <c r="M2794" t="str">
        <f>REPLACE(Transactions!M2794,1,4,"")</f>
        <v>9</v>
      </c>
    </row>
    <row r="2795" spans="1:13" x14ac:dyDescent="0.2">
      <c r="A2795">
        <v>564001</v>
      </c>
      <c r="B2795" s="5">
        <v>45261</v>
      </c>
      <c r="C2795">
        <v>41504</v>
      </c>
      <c r="D2795" t="str">
        <f>PROPER(Transactions!D2795)</f>
        <v>Pharmacy</v>
      </c>
      <c r="E2795" t="s">
        <v>58</v>
      </c>
      <c r="F2795" t="s">
        <v>59</v>
      </c>
      <c r="G2795">
        <v>4</v>
      </c>
      <c r="H2795">
        <v>3.79</v>
      </c>
      <c r="I2795" s="7">
        <f>IF(Transactions!I2795="",0,Transactions!I2795)</f>
        <v>0.05</v>
      </c>
      <c r="J2795" s="9">
        <f t="shared" si="43"/>
        <v>14.401999999999999</v>
      </c>
      <c r="K2795" t="s">
        <v>16</v>
      </c>
      <c r="L2795" t="s">
        <v>23</v>
      </c>
      <c r="M2795" t="str">
        <f>REPLACE(Transactions!M2795,1,4,"")</f>
        <v>18</v>
      </c>
    </row>
    <row r="2796" spans="1:13" x14ac:dyDescent="0.2">
      <c r="A2796">
        <v>564020</v>
      </c>
      <c r="B2796" s="5">
        <v>44897</v>
      </c>
      <c r="C2796">
        <v>78872</v>
      </c>
      <c r="D2796" t="str">
        <f>PROPER(Transactions!D2796)</f>
        <v>Beauty</v>
      </c>
      <c r="E2796" t="s">
        <v>139</v>
      </c>
      <c r="F2796" t="s">
        <v>140</v>
      </c>
      <c r="G2796">
        <v>1</v>
      </c>
      <c r="H2796">
        <v>7.99</v>
      </c>
      <c r="I2796" s="7">
        <f>IF(Transactions!I2796="",0,Transactions!I2796)</f>
        <v>0</v>
      </c>
      <c r="J2796" s="9">
        <f t="shared" si="43"/>
        <v>7.99</v>
      </c>
      <c r="K2796" t="s">
        <v>16</v>
      </c>
      <c r="L2796" t="s">
        <v>17</v>
      </c>
      <c r="M2796" t="str">
        <f>REPLACE(Transactions!M2796,1,4,"")</f>
        <v/>
      </c>
    </row>
    <row r="2797" spans="1:13" x14ac:dyDescent="0.2">
      <c r="A2797">
        <v>564319</v>
      </c>
      <c r="B2797" s="5">
        <v>45451</v>
      </c>
      <c r="C2797">
        <v>19772</v>
      </c>
      <c r="D2797" t="str">
        <f>PROPER(Transactions!D2797)</f>
        <v>Electronics</v>
      </c>
      <c r="E2797" t="s">
        <v>104</v>
      </c>
      <c r="F2797" t="s">
        <v>105</v>
      </c>
      <c r="G2797">
        <v>1</v>
      </c>
      <c r="H2797">
        <v>23.99</v>
      </c>
      <c r="I2797" s="7">
        <f>IF(Transactions!I2797="",0,Transactions!I2797)</f>
        <v>0.2</v>
      </c>
      <c r="J2797" s="9">
        <f t="shared" si="43"/>
        <v>19.192</v>
      </c>
      <c r="K2797" t="s">
        <v>22</v>
      </c>
      <c r="L2797" t="s">
        <v>17</v>
      </c>
      <c r="M2797" t="str">
        <f>REPLACE(Transactions!M2797,1,4,"")</f>
        <v>17</v>
      </c>
    </row>
    <row r="2798" spans="1:13" x14ac:dyDescent="0.2">
      <c r="A2798">
        <v>564371</v>
      </c>
      <c r="B2798" s="5">
        <v>45537</v>
      </c>
      <c r="C2798">
        <v>59097</v>
      </c>
      <c r="D2798" t="str">
        <f>PROPER(Transactions!D2798)</f>
        <v>Automotive</v>
      </c>
      <c r="E2798" t="s">
        <v>131</v>
      </c>
      <c r="F2798" t="s">
        <v>132</v>
      </c>
      <c r="G2798">
        <v>2</v>
      </c>
      <c r="H2798">
        <v>3.49</v>
      </c>
      <c r="I2798" s="7">
        <f>IF(Transactions!I2798="",0,Transactions!I2798)</f>
        <v>0</v>
      </c>
      <c r="J2798" s="9">
        <f t="shared" si="43"/>
        <v>6.98</v>
      </c>
      <c r="K2798" t="s">
        <v>36</v>
      </c>
      <c r="L2798" t="s">
        <v>37</v>
      </c>
      <c r="M2798" t="str">
        <f>REPLACE(Transactions!M2798,1,4,"")</f>
        <v>12</v>
      </c>
    </row>
    <row r="2799" spans="1:13" x14ac:dyDescent="0.2">
      <c r="A2799">
        <v>564415</v>
      </c>
      <c r="B2799" s="5">
        <v>45345</v>
      </c>
      <c r="C2799">
        <v>92508</v>
      </c>
      <c r="D2799" t="str">
        <f>PROPER(Transactions!D2799)</f>
        <v>Beauty</v>
      </c>
      <c r="E2799" t="s">
        <v>179</v>
      </c>
      <c r="F2799" t="s">
        <v>180</v>
      </c>
      <c r="G2799">
        <v>3</v>
      </c>
      <c r="H2799">
        <v>11.99</v>
      </c>
      <c r="I2799" s="7">
        <f>IF(Transactions!I2799="",0,Transactions!I2799)</f>
        <v>0</v>
      </c>
      <c r="J2799" s="9">
        <f t="shared" si="43"/>
        <v>35.97</v>
      </c>
      <c r="K2799" t="s">
        <v>95</v>
      </c>
      <c r="L2799" t="s">
        <v>17</v>
      </c>
      <c r="M2799" t="str">
        <f>REPLACE(Transactions!M2799,1,4,"")</f>
        <v>17</v>
      </c>
    </row>
    <row r="2800" spans="1:13" x14ac:dyDescent="0.2">
      <c r="A2800">
        <v>565200</v>
      </c>
      <c r="B2800" s="5">
        <v>44962</v>
      </c>
      <c r="C2800">
        <v>12796</v>
      </c>
      <c r="D2800" t="str">
        <f>PROPER(Transactions!D2800)</f>
        <v>Toys</v>
      </c>
      <c r="E2800" t="s">
        <v>170</v>
      </c>
      <c r="F2800" t="s">
        <v>171</v>
      </c>
      <c r="G2800">
        <v>2</v>
      </c>
      <c r="H2800">
        <v>14.99</v>
      </c>
      <c r="I2800" s="7">
        <f>IF(Transactions!I2800="",0,Transactions!I2800)</f>
        <v>0</v>
      </c>
      <c r="J2800" s="9">
        <f t="shared" si="43"/>
        <v>29.98</v>
      </c>
      <c r="K2800" t="s">
        <v>95</v>
      </c>
      <c r="L2800" t="s">
        <v>37</v>
      </c>
      <c r="M2800" t="str">
        <f>REPLACE(Transactions!M2800,1,4,"")</f>
        <v>10</v>
      </c>
    </row>
    <row r="2801" spans="1:13" x14ac:dyDescent="0.2">
      <c r="A2801">
        <v>565387</v>
      </c>
      <c r="B2801" s="5">
        <v>44757</v>
      </c>
      <c r="C2801">
        <v>81410</v>
      </c>
      <c r="D2801" t="str">
        <f>PROPER(Transactions!D2801)</f>
        <v>Home &amp; Garden</v>
      </c>
      <c r="E2801" t="s">
        <v>157</v>
      </c>
      <c r="F2801" t="s">
        <v>158</v>
      </c>
      <c r="G2801">
        <v>5</v>
      </c>
      <c r="H2801">
        <v>12.14</v>
      </c>
      <c r="I2801" s="7">
        <f>IF(Transactions!I2801="",0,Transactions!I2801)</f>
        <v>0.1</v>
      </c>
      <c r="J2801" s="9">
        <f t="shared" si="43"/>
        <v>54.63</v>
      </c>
      <c r="K2801" t="s">
        <v>36</v>
      </c>
      <c r="L2801" t="s">
        <v>17</v>
      </c>
      <c r="M2801" t="str">
        <f>REPLACE(Transactions!M2801,1,4,"")</f>
        <v>18</v>
      </c>
    </row>
    <row r="2802" spans="1:13" x14ac:dyDescent="0.2">
      <c r="A2802">
        <v>565393</v>
      </c>
      <c r="B2802" s="5">
        <v>45440</v>
      </c>
      <c r="C2802">
        <v>41463</v>
      </c>
      <c r="D2802" t="str">
        <f>PROPER(Transactions!D2802)</f>
        <v>Toys</v>
      </c>
      <c r="E2802" t="s">
        <v>175</v>
      </c>
      <c r="F2802" t="s">
        <v>176</v>
      </c>
      <c r="G2802">
        <v>2</v>
      </c>
      <c r="H2802">
        <v>10.79</v>
      </c>
      <c r="I2802" s="7">
        <f>IF(Transactions!I2802="",0,Transactions!I2802)</f>
        <v>0.1</v>
      </c>
      <c r="J2802" s="9">
        <f t="shared" si="43"/>
        <v>19.422000000000001</v>
      </c>
      <c r="K2802" t="s">
        <v>36</v>
      </c>
      <c r="L2802" t="s">
        <v>37</v>
      </c>
      <c r="M2802" t="str">
        <f>REPLACE(Transactions!M2802,1,4,"")</f>
        <v>9</v>
      </c>
    </row>
    <row r="2803" spans="1:13" x14ac:dyDescent="0.2">
      <c r="A2803">
        <v>565579</v>
      </c>
      <c r="B2803" s="5">
        <v>45441</v>
      </c>
      <c r="C2803">
        <v>99495</v>
      </c>
      <c r="D2803" t="str">
        <f>PROPER(Transactions!D2803)</f>
        <v>Clothing</v>
      </c>
      <c r="E2803" t="s">
        <v>135</v>
      </c>
      <c r="F2803" t="s">
        <v>136</v>
      </c>
      <c r="G2803">
        <v>2</v>
      </c>
      <c r="H2803">
        <v>9.49</v>
      </c>
      <c r="I2803" s="7">
        <f>IF(Transactions!I2803="",0,Transactions!I2803)</f>
        <v>0.05</v>
      </c>
      <c r="J2803" s="9">
        <f t="shared" si="43"/>
        <v>18.030999999999999</v>
      </c>
      <c r="K2803" t="s">
        <v>95</v>
      </c>
      <c r="L2803" t="s">
        <v>17</v>
      </c>
      <c r="M2803" t="str">
        <f>REPLACE(Transactions!M2803,1,4,"")</f>
        <v>15</v>
      </c>
    </row>
    <row r="2804" spans="1:13" x14ac:dyDescent="0.2">
      <c r="A2804">
        <v>565794</v>
      </c>
      <c r="B2804" s="5">
        <v>44896</v>
      </c>
      <c r="C2804">
        <v>67451</v>
      </c>
      <c r="D2804" t="str">
        <f>PROPER(Transactions!D2804)</f>
        <v>Grocery</v>
      </c>
      <c r="E2804" t="s">
        <v>177</v>
      </c>
      <c r="F2804" t="s">
        <v>178</v>
      </c>
      <c r="G2804">
        <v>1</v>
      </c>
      <c r="H2804">
        <v>9.59</v>
      </c>
      <c r="I2804" s="7">
        <f>IF(Transactions!I2804="",0,Transactions!I2804)</f>
        <v>0.2</v>
      </c>
      <c r="J2804" s="9">
        <f t="shared" si="43"/>
        <v>7.6720000000000006</v>
      </c>
      <c r="K2804" t="s">
        <v>16</v>
      </c>
      <c r="L2804" t="s">
        <v>17</v>
      </c>
      <c r="M2804" t="str">
        <f>REPLACE(Transactions!M2804,1,4,"")</f>
        <v>10</v>
      </c>
    </row>
    <row r="2805" spans="1:13" x14ac:dyDescent="0.2">
      <c r="A2805">
        <v>565808</v>
      </c>
      <c r="B2805" s="5">
        <v>45649</v>
      </c>
      <c r="C2805">
        <v>53114</v>
      </c>
      <c r="D2805" t="str">
        <f>PROPER(Transactions!D2805)</f>
        <v>Automotive</v>
      </c>
      <c r="E2805" t="s">
        <v>68</v>
      </c>
      <c r="F2805" t="s">
        <v>69</v>
      </c>
      <c r="G2805">
        <v>3</v>
      </c>
      <c r="H2805">
        <v>17.489999999999998</v>
      </c>
      <c r="I2805" s="7">
        <f>IF(Transactions!I2805="",0,Transactions!I2805)</f>
        <v>0.3</v>
      </c>
      <c r="J2805" s="9">
        <f t="shared" si="43"/>
        <v>36.728999999999999</v>
      </c>
      <c r="K2805" t="s">
        <v>36</v>
      </c>
      <c r="L2805" t="s">
        <v>17</v>
      </c>
      <c r="M2805" t="str">
        <f>REPLACE(Transactions!M2805,1,4,"")</f>
        <v>14</v>
      </c>
    </row>
    <row r="2806" spans="1:13" x14ac:dyDescent="0.2">
      <c r="A2806">
        <v>565843</v>
      </c>
      <c r="B2806" s="5">
        <v>45066</v>
      </c>
      <c r="C2806">
        <v>40318</v>
      </c>
      <c r="D2806" t="str">
        <f>PROPER(Transactions!D2806)</f>
        <v>Furniture</v>
      </c>
      <c r="E2806" t="s">
        <v>113</v>
      </c>
      <c r="F2806" t="s">
        <v>114</v>
      </c>
      <c r="G2806">
        <v>1</v>
      </c>
      <c r="H2806">
        <v>83.99</v>
      </c>
      <c r="I2806" s="7">
        <f>IF(Transactions!I2806="",0,Transactions!I2806)</f>
        <v>0.3</v>
      </c>
      <c r="J2806" s="9">
        <f t="shared" si="43"/>
        <v>58.792999999999992</v>
      </c>
      <c r="K2806" t="s">
        <v>36</v>
      </c>
      <c r="L2806" t="s">
        <v>23</v>
      </c>
      <c r="M2806" t="str">
        <f>REPLACE(Transactions!M2806,1,4,"")</f>
        <v>12</v>
      </c>
    </row>
    <row r="2807" spans="1:13" x14ac:dyDescent="0.2">
      <c r="A2807">
        <v>565876</v>
      </c>
      <c r="B2807" s="5">
        <v>44950</v>
      </c>
      <c r="C2807">
        <v>47511</v>
      </c>
      <c r="D2807" t="str">
        <f>PROPER(Transactions!D2807)</f>
        <v>Sports</v>
      </c>
      <c r="E2807" t="s">
        <v>188</v>
      </c>
      <c r="F2807" t="s">
        <v>189</v>
      </c>
      <c r="G2807">
        <v>3</v>
      </c>
      <c r="H2807">
        <v>44.99</v>
      </c>
      <c r="I2807" s="7">
        <f>IF(Transactions!I2807="",0,Transactions!I2807)</f>
        <v>0</v>
      </c>
      <c r="J2807" s="9">
        <f t="shared" si="43"/>
        <v>134.97</v>
      </c>
      <c r="K2807" t="s">
        <v>16</v>
      </c>
      <c r="L2807" t="s">
        <v>37</v>
      </c>
      <c r="M2807" t="str">
        <f>REPLACE(Transactions!M2807,1,4,"")</f>
        <v>10</v>
      </c>
    </row>
    <row r="2808" spans="1:13" x14ac:dyDescent="0.2">
      <c r="A2808">
        <v>565974</v>
      </c>
      <c r="B2808" s="5">
        <v>45037</v>
      </c>
      <c r="C2808">
        <v>93838</v>
      </c>
      <c r="D2808" t="str">
        <f>PROPER(Transactions!D2808)</f>
        <v>Sports</v>
      </c>
      <c r="E2808" t="s">
        <v>147</v>
      </c>
      <c r="F2808" t="s">
        <v>148</v>
      </c>
      <c r="G2808">
        <v>4</v>
      </c>
      <c r="H2808">
        <v>11.04</v>
      </c>
      <c r="I2808" s="7">
        <f>IF(Transactions!I2808="",0,Transactions!I2808)</f>
        <v>0.15</v>
      </c>
      <c r="J2808" s="9">
        <f t="shared" si="43"/>
        <v>37.535999999999994</v>
      </c>
      <c r="K2808" t="s">
        <v>36</v>
      </c>
      <c r="L2808" t="s">
        <v>37</v>
      </c>
      <c r="M2808" t="str">
        <f>REPLACE(Transactions!M2808,1,4,"")</f>
        <v>19</v>
      </c>
    </row>
    <row r="2809" spans="1:13" x14ac:dyDescent="0.2">
      <c r="A2809">
        <v>566251</v>
      </c>
      <c r="B2809" s="5">
        <v>45452</v>
      </c>
      <c r="C2809">
        <v>96790</v>
      </c>
      <c r="D2809" t="str">
        <f>PROPER(Transactions!D2809)</f>
        <v>Grocery</v>
      </c>
      <c r="E2809" t="s">
        <v>184</v>
      </c>
      <c r="F2809" t="s">
        <v>185</v>
      </c>
      <c r="G2809">
        <v>3</v>
      </c>
      <c r="H2809">
        <v>5.49</v>
      </c>
      <c r="I2809" s="7">
        <f>IF(Transactions!I2809="",0,Transactions!I2809)</f>
        <v>0</v>
      </c>
      <c r="J2809" s="9">
        <f t="shared" si="43"/>
        <v>16.47</v>
      </c>
      <c r="K2809" t="s">
        <v>95</v>
      </c>
      <c r="L2809" t="s">
        <v>17</v>
      </c>
      <c r="M2809" t="str">
        <f>REPLACE(Transactions!M2809,1,4,"")</f>
        <v>7</v>
      </c>
    </row>
    <row r="2810" spans="1:13" x14ac:dyDescent="0.2">
      <c r="A2810">
        <v>566309</v>
      </c>
      <c r="B2810" s="5">
        <v>44676</v>
      </c>
      <c r="C2810">
        <v>73607</v>
      </c>
      <c r="D2810" t="str">
        <f>PROPER(Transactions!D2810)</f>
        <v>Beauty</v>
      </c>
      <c r="E2810" t="s">
        <v>109</v>
      </c>
      <c r="F2810" t="s">
        <v>110</v>
      </c>
      <c r="G2810">
        <v>4</v>
      </c>
      <c r="H2810">
        <v>6.99</v>
      </c>
      <c r="I2810" s="7">
        <f>IF(Transactions!I2810="",0,Transactions!I2810)</f>
        <v>0</v>
      </c>
      <c r="J2810" s="9">
        <f t="shared" si="43"/>
        <v>27.96</v>
      </c>
      <c r="K2810" t="s">
        <v>16</v>
      </c>
      <c r="L2810" t="s">
        <v>17</v>
      </c>
      <c r="M2810" t="str">
        <f>REPLACE(Transactions!M2810,1,4,"")</f>
        <v>12</v>
      </c>
    </row>
    <row r="2811" spans="1:13" x14ac:dyDescent="0.2">
      <c r="A2811">
        <v>566311</v>
      </c>
      <c r="B2811" s="5">
        <v>45261</v>
      </c>
      <c r="C2811">
        <v>99386</v>
      </c>
      <c r="D2811" t="str">
        <f>PROPER(Transactions!D2811)</f>
        <v>Electronics</v>
      </c>
      <c r="E2811" t="s">
        <v>159</v>
      </c>
      <c r="F2811" t="s">
        <v>160</v>
      </c>
      <c r="G2811">
        <v>1</v>
      </c>
      <c r="H2811">
        <v>59.99</v>
      </c>
      <c r="I2811" s="7">
        <f>IF(Transactions!I2811="",0,Transactions!I2811)</f>
        <v>0</v>
      </c>
      <c r="J2811" s="9">
        <f t="shared" si="43"/>
        <v>59.99</v>
      </c>
      <c r="K2811" t="s">
        <v>36</v>
      </c>
      <c r="L2811" t="s">
        <v>17</v>
      </c>
      <c r="M2811" t="str">
        <f>REPLACE(Transactions!M2811,1,4,"")</f>
        <v>12</v>
      </c>
    </row>
    <row r="2812" spans="1:13" x14ac:dyDescent="0.2">
      <c r="A2812">
        <v>566690</v>
      </c>
      <c r="B2812" s="5">
        <v>44643</v>
      </c>
      <c r="C2812">
        <v>61515</v>
      </c>
      <c r="D2812" t="str">
        <f>PROPER(Transactions!D2812)</f>
        <v>Automotive</v>
      </c>
      <c r="E2812" t="s">
        <v>64</v>
      </c>
      <c r="F2812" t="s">
        <v>65</v>
      </c>
      <c r="G2812">
        <v>1</v>
      </c>
      <c r="H2812">
        <v>3.74</v>
      </c>
      <c r="I2812" s="7">
        <f>IF(Transactions!I2812="",0,Transactions!I2812)</f>
        <v>0.25</v>
      </c>
      <c r="J2812" s="9">
        <f t="shared" si="43"/>
        <v>2.8050000000000002</v>
      </c>
      <c r="K2812" t="s">
        <v>36</v>
      </c>
      <c r="L2812" t="s">
        <v>17</v>
      </c>
      <c r="M2812" t="str">
        <f>REPLACE(Transactions!M2812,1,4,"")</f>
        <v>14</v>
      </c>
    </row>
    <row r="2813" spans="1:13" x14ac:dyDescent="0.2">
      <c r="A2813">
        <v>566775</v>
      </c>
      <c r="B2813" s="5">
        <v>45288</v>
      </c>
      <c r="C2813">
        <v>71759</v>
      </c>
      <c r="D2813" t="str">
        <f>PROPER(Transactions!D2813)</f>
        <v>Pharmacy</v>
      </c>
      <c r="E2813" t="s">
        <v>41</v>
      </c>
      <c r="F2813" t="s">
        <v>42</v>
      </c>
      <c r="G2813">
        <v>1</v>
      </c>
      <c r="H2813">
        <v>5.99</v>
      </c>
      <c r="I2813" s="7">
        <f>IF(Transactions!I2813="",0,Transactions!I2813)</f>
        <v>0</v>
      </c>
      <c r="J2813" s="9">
        <f t="shared" si="43"/>
        <v>5.99</v>
      </c>
      <c r="K2813" t="s">
        <v>16</v>
      </c>
      <c r="L2813" t="s">
        <v>17</v>
      </c>
      <c r="M2813" t="str">
        <f>REPLACE(Transactions!M2813,1,4,"")</f>
        <v>17</v>
      </c>
    </row>
    <row r="2814" spans="1:13" x14ac:dyDescent="0.2">
      <c r="A2814">
        <v>566895</v>
      </c>
      <c r="B2814" s="5">
        <v>44902</v>
      </c>
      <c r="C2814">
        <v>86706</v>
      </c>
      <c r="D2814" t="str">
        <f>PROPER(Transactions!D2814)</f>
        <v>Beauty</v>
      </c>
      <c r="E2814" t="s">
        <v>109</v>
      </c>
      <c r="F2814" t="s">
        <v>110</v>
      </c>
      <c r="G2814">
        <v>3</v>
      </c>
      <c r="H2814">
        <v>6.99</v>
      </c>
      <c r="I2814" s="7">
        <f>IF(Transactions!I2814="",0,Transactions!I2814)</f>
        <v>0</v>
      </c>
      <c r="J2814" s="9">
        <f t="shared" si="43"/>
        <v>20.97</v>
      </c>
      <c r="K2814" t="s">
        <v>53</v>
      </c>
      <c r="L2814" t="s">
        <v>17</v>
      </c>
      <c r="M2814" t="str">
        <f>REPLACE(Transactions!M2814,1,4,"")</f>
        <v>17</v>
      </c>
    </row>
    <row r="2815" spans="1:13" x14ac:dyDescent="0.2">
      <c r="A2815">
        <v>566989</v>
      </c>
      <c r="B2815" s="5">
        <v>45397</v>
      </c>
      <c r="C2815">
        <v>70482</v>
      </c>
      <c r="D2815" t="str">
        <f>PROPER(Transactions!D2815)</f>
        <v>Home &amp; Garden</v>
      </c>
      <c r="E2815" t="s">
        <v>157</v>
      </c>
      <c r="F2815" t="s">
        <v>158</v>
      </c>
      <c r="G2815">
        <v>5</v>
      </c>
      <c r="H2815">
        <v>11.47</v>
      </c>
      <c r="I2815" s="7">
        <f>IF(Transactions!I2815="",0,Transactions!I2815)</f>
        <v>0.15</v>
      </c>
      <c r="J2815" s="9">
        <f t="shared" si="43"/>
        <v>48.747500000000002</v>
      </c>
      <c r="K2815" t="s">
        <v>95</v>
      </c>
      <c r="L2815" t="s">
        <v>17</v>
      </c>
      <c r="M2815" t="str">
        <f>REPLACE(Transactions!M2815,1,4,"")</f>
        <v>4</v>
      </c>
    </row>
    <row r="2816" spans="1:13" x14ac:dyDescent="0.2">
      <c r="A2816">
        <v>567025</v>
      </c>
      <c r="B2816" s="5">
        <v>45389</v>
      </c>
      <c r="C2816">
        <v>15242</v>
      </c>
      <c r="D2816" t="str">
        <f>PROPER(Transactions!D2816)</f>
        <v>Sports</v>
      </c>
      <c r="E2816" t="s">
        <v>147</v>
      </c>
      <c r="F2816" t="s">
        <v>148</v>
      </c>
      <c r="G2816">
        <v>3</v>
      </c>
      <c r="H2816">
        <v>10.39</v>
      </c>
      <c r="I2816" s="7">
        <f>IF(Transactions!I2816="",0,Transactions!I2816)</f>
        <v>0.2</v>
      </c>
      <c r="J2816" s="9">
        <f t="shared" si="43"/>
        <v>24.936000000000003</v>
      </c>
      <c r="K2816" t="s">
        <v>16</v>
      </c>
      <c r="L2816" t="s">
        <v>17</v>
      </c>
      <c r="M2816" t="str">
        <f>REPLACE(Transactions!M2816,1,4,"")</f>
        <v>6</v>
      </c>
    </row>
    <row r="2817" spans="1:13" x14ac:dyDescent="0.2">
      <c r="A2817">
        <v>567076</v>
      </c>
      <c r="B2817" s="5">
        <v>45095</v>
      </c>
      <c r="C2817">
        <v>89644</v>
      </c>
      <c r="D2817" t="str">
        <f>PROPER(Transactions!D2817)</f>
        <v>Home &amp; Garden</v>
      </c>
      <c r="E2817" t="s">
        <v>86</v>
      </c>
      <c r="F2817" t="s">
        <v>87</v>
      </c>
      <c r="G2817">
        <v>2</v>
      </c>
      <c r="H2817">
        <v>12.34</v>
      </c>
      <c r="I2817" s="7">
        <f>IF(Transactions!I2817="",0,Transactions!I2817)</f>
        <v>0.05</v>
      </c>
      <c r="J2817" s="9">
        <f t="shared" si="43"/>
        <v>23.445999999999998</v>
      </c>
      <c r="K2817" t="s">
        <v>22</v>
      </c>
      <c r="L2817" t="s">
        <v>17</v>
      </c>
      <c r="M2817" t="str">
        <f>REPLACE(Transactions!M2817,1,4,"")</f>
        <v>6</v>
      </c>
    </row>
    <row r="2818" spans="1:13" x14ac:dyDescent="0.2">
      <c r="A2818">
        <v>567126</v>
      </c>
      <c r="B2818" s="5">
        <v>45020</v>
      </c>
      <c r="C2818">
        <v>14082</v>
      </c>
      <c r="D2818" t="str">
        <f>PROPER(Transactions!D2818)</f>
        <v>Beauty</v>
      </c>
      <c r="E2818" t="s">
        <v>143</v>
      </c>
      <c r="F2818" t="s">
        <v>144</v>
      </c>
      <c r="G2818">
        <v>1</v>
      </c>
      <c r="H2818">
        <v>14.99</v>
      </c>
      <c r="I2818" s="7">
        <f>IF(Transactions!I2818="",0,Transactions!I2818)</f>
        <v>0</v>
      </c>
      <c r="J2818" s="9">
        <f t="shared" si="43"/>
        <v>14.99</v>
      </c>
      <c r="K2818" t="s">
        <v>36</v>
      </c>
      <c r="L2818" t="s">
        <v>23</v>
      </c>
      <c r="M2818" t="str">
        <f>REPLACE(Transactions!M2818,1,4,"")</f>
        <v>3</v>
      </c>
    </row>
    <row r="2819" spans="1:13" x14ac:dyDescent="0.2">
      <c r="A2819">
        <v>567357</v>
      </c>
      <c r="B2819" s="5">
        <v>44642</v>
      </c>
      <c r="C2819">
        <v>63033</v>
      </c>
      <c r="D2819" t="str">
        <f>PROPER(Transactions!D2819)</f>
        <v>Grocery</v>
      </c>
      <c r="E2819" t="s">
        <v>177</v>
      </c>
      <c r="F2819" t="s">
        <v>178</v>
      </c>
      <c r="G2819">
        <v>1</v>
      </c>
      <c r="H2819">
        <v>10.79</v>
      </c>
      <c r="I2819" s="7">
        <f>IF(Transactions!I2819="",0,Transactions!I2819)</f>
        <v>0.1</v>
      </c>
      <c r="J2819" s="9">
        <f t="shared" ref="J2819:J2882" si="44">(H2819*G2819)*(1-I2819)</f>
        <v>9.7110000000000003</v>
      </c>
      <c r="K2819" t="s">
        <v>16</v>
      </c>
      <c r="L2819" t="s">
        <v>23</v>
      </c>
      <c r="M2819" t="str">
        <f>REPLACE(Transactions!M2819,1,4,"")</f>
        <v>2</v>
      </c>
    </row>
    <row r="2820" spans="1:13" x14ac:dyDescent="0.2">
      <c r="A2820">
        <v>567423</v>
      </c>
      <c r="B2820" s="5">
        <v>44975</v>
      </c>
      <c r="C2820">
        <v>92345</v>
      </c>
      <c r="D2820" t="str">
        <f>PROPER(Transactions!D2820)</f>
        <v>Automotive</v>
      </c>
      <c r="E2820" t="s">
        <v>125</v>
      </c>
      <c r="F2820" t="s">
        <v>126</v>
      </c>
      <c r="G2820">
        <v>3</v>
      </c>
      <c r="H2820">
        <v>20.99</v>
      </c>
      <c r="I2820" s="7">
        <f>IF(Transactions!I2820="",0,Transactions!I2820)</f>
        <v>0.3</v>
      </c>
      <c r="J2820" s="9">
        <f t="shared" si="44"/>
        <v>44.078999999999994</v>
      </c>
      <c r="K2820" t="s">
        <v>22</v>
      </c>
      <c r="L2820" t="s">
        <v>17</v>
      </c>
      <c r="M2820" t="str">
        <f>REPLACE(Transactions!M2820,1,4,"")</f>
        <v>6</v>
      </c>
    </row>
    <row r="2821" spans="1:13" x14ac:dyDescent="0.2">
      <c r="A2821">
        <v>567481</v>
      </c>
      <c r="B2821" s="5">
        <v>45512</v>
      </c>
      <c r="C2821">
        <v>33623</v>
      </c>
      <c r="D2821" t="str">
        <f>PROPER(Transactions!D2821)</f>
        <v>Toys</v>
      </c>
      <c r="E2821" t="s">
        <v>88</v>
      </c>
      <c r="F2821" t="s">
        <v>89</v>
      </c>
      <c r="G2821">
        <v>1</v>
      </c>
      <c r="H2821">
        <v>47.49</v>
      </c>
      <c r="I2821" s="7">
        <f>IF(Transactions!I2821="",0,Transactions!I2821)</f>
        <v>0.05</v>
      </c>
      <c r="J2821" s="9">
        <f t="shared" si="44"/>
        <v>45.115499999999997</v>
      </c>
      <c r="K2821" t="s">
        <v>95</v>
      </c>
      <c r="L2821" t="s">
        <v>17</v>
      </c>
      <c r="M2821" t="str">
        <f>REPLACE(Transactions!M2821,1,4,"")</f>
        <v>20</v>
      </c>
    </row>
    <row r="2822" spans="1:13" x14ac:dyDescent="0.2">
      <c r="A2822">
        <v>567925</v>
      </c>
      <c r="B2822" s="5">
        <v>45042</v>
      </c>
      <c r="C2822">
        <v>74673</v>
      </c>
      <c r="D2822" t="str">
        <f>PROPER(Transactions!D2822)</f>
        <v>Toys</v>
      </c>
      <c r="E2822" t="s">
        <v>88</v>
      </c>
      <c r="F2822" t="s">
        <v>89</v>
      </c>
      <c r="G2822">
        <v>3</v>
      </c>
      <c r="H2822">
        <v>47.49</v>
      </c>
      <c r="I2822" s="7">
        <f>IF(Transactions!I2822="",0,Transactions!I2822)</f>
        <v>0.05</v>
      </c>
      <c r="J2822" s="9">
        <f t="shared" si="44"/>
        <v>135.34649999999999</v>
      </c>
      <c r="K2822" t="s">
        <v>36</v>
      </c>
      <c r="L2822" t="s">
        <v>17</v>
      </c>
      <c r="M2822" t="str">
        <f>REPLACE(Transactions!M2822,1,4,"")</f>
        <v>7</v>
      </c>
    </row>
    <row r="2823" spans="1:13" x14ac:dyDescent="0.2">
      <c r="A2823">
        <v>568480</v>
      </c>
      <c r="B2823" s="5">
        <v>44885</v>
      </c>
      <c r="C2823">
        <v>51486</v>
      </c>
      <c r="D2823" t="str">
        <f>PROPER(Transactions!D2823)</f>
        <v>Grocery</v>
      </c>
      <c r="E2823" t="s">
        <v>172</v>
      </c>
      <c r="F2823" t="s">
        <v>173</v>
      </c>
      <c r="G2823">
        <v>2</v>
      </c>
      <c r="H2823">
        <v>3.82</v>
      </c>
      <c r="I2823" s="7">
        <f>IF(Transactions!I2823="",0,Transactions!I2823)</f>
        <v>0.15</v>
      </c>
      <c r="J2823" s="9">
        <f t="shared" si="44"/>
        <v>6.4939999999999998</v>
      </c>
      <c r="K2823" t="s">
        <v>36</v>
      </c>
      <c r="L2823" t="s">
        <v>37</v>
      </c>
      <c r="M2823" t="str">
        <f>REPLACE(Transactions!M2823,1,4,"")</f>
        <v>4</v>
      </c>
    </row>
    <row r="2824" spans="1:13" x14ac:dyDescent="0.2">
      <c r="A2824">
        <v>568698</v>
      </c>
      <c r="B2824" s="5">
        <v>45352</v>
      </c>
      <c r="C2824">
        <v>23716</v>
      </c>
      <c r="D2824" t="str">
        <f>PROPER(Transactions!D2824)</f>
        <v>Toys</v>
      </c>
      <c r="E2824" t="s">
        <v>170</v>
      </c>
      <c r="F2824" t="s">
        <v>171</v>
      </c>
      <c r="G2824">
        <v>4</v>
      </c>
      <c r="H2824">
        <v>14.99</v>
      </c>
      <c r="I2824" s="7">
        <f>IF(Transactions!I2824="",0,Transactions!I2824)</f>
        <v>0</v>
      </c>
      <c r="J2824" s="9">
        <f t="shared" si="44"/>
        <v>59.96</v>
      </c>
      <c r="K2824" t="s">
        <v>16</v>
      </c>
      <c r="L2824" t="s">
        <v>37</v>
      </c>
      <c r="M2824" t="str">
        <f>REPLACE(Transactions!M2824,1,4,"")</f>
        <v>6</v>
      </c>
    </row>
    <row r="2825" spans="1:13" x14ac:dyDescent="0.2">
      <c r="A2825">
        <v>568735</v>
      </c>
      <c r="B2825" s="5">
        <v>45376</v>
      </c>
      <c r="C2825">
        <v>14240</v>
      </c>
      <c r="D2825" t="str">
        <f>PROPER(Transactions!D2825)</f>
        <v>Clothing</v>
      </c>
      <c r="E2825" t="s">
        <v>151</v>
      </c>
      <c r="F2825" t="s">
        <v>152</v>
      </c>
      <c r="G2825">
        <v>2</v>
      </c>
      <c r="H2825">
        <v>29.74</v>
      </c>
      <c r="I2825" s="7">
        <f>IF(Transactions!I2825="",0,Transactions!I2825)</f>
        <v>0.15</v>
      </c>
      <c r="J2825" s="9">
        <f t="shared" si="44"/>
        <v>50.557999999999993</v>
      </c>
      <c r="K2825" t="s">
        <v>36</v>
      </c>
      <c r="L2825" t="s">
        <v>17</v>
      </c>
      <c r="M2825" t="str">
        <f>REPLACE(Transactions!M2825,1,4,"")</f>
        <v>6</v>
      </c>
    </row>
    <row r="2826" spans="1:13" x14ac:dyDescent="0.2">
      <c r="A2826">
        <v>568771</v>
      </c>
      <c r="B2826" s="5">
        <v>44857</v>
      </c>
      <c r="C2826">
        <v>76131</v>
      </c>
      <c r="D2826" t="str">
        <f>PROPER(Transactions!D2826)</f>
        <v>Grocery</v>
      </c>
      <c r="E2826" t="s">
        <v>74</v>
      </c>
      <c r="F2826" t="s">
        <v>75</v>
      </c>
      <c r="G2826">
        <v>1</v>
      </c>
      <c r="H2826">
        <v>2.99</v>
      </c>
      <c r="I2826" s="7">
        <f>IF(Transactions!I2826="",0,Transactions!I2826)</f>
        <v>0</v>
      </c>
      <c r="J2826" s="9">
        <f t="shared" si="44"/>
        <v>2.99</v>
      </c>
      <c r="K2826" t="s">
        <v>32</v>
      </c>
      <c r="L2826" t="s">
        <v>17</v>
      </c>
      <c r="M2826" t="str">
        <f>REPLACE(Transactions!M2826,1,4,"")</f>
        <v/>
      </c>
    </row>
    <row r="2827" spans="1:13" x14ac:dyDescent="0.2">
      <c r="A2827">
        <v>568835</v>
      </c>
      <c r="B2827" s="5">
        <v>44911</v>
      </c>
      <c r="C2827">
        <v>50278</v>
      </c>
      <c r="D2827" t="str">
        <f>PROPER(Transactions!D2827)</f>
        <v>Electronics</v>
      </c>
      <c r="E2827" t="s">
        <v>104</v>
      </c>
      <c r="F2827" t="s">
        <v>105</v>
      </c>
      <c r="G2827">
        <v>2</v>
      </c>
      <c r="H2827">
        <v>26.99</v>
      </c>
      <c r="I2827" s="7">
        <f>IF(Transactions!I2827="",0,Transactions!I2827)</f>
        <v>0.1</v>
      </c>
      <c r="J2827" s="9">
        <f t="shared" si="44"/>
        <v>48.582000000000001</v>
      </c>
      <c r="K2827" t="s">
        <v>16</v>
      </c>
      <c r="L2827" t="s">
        <v>17</v>
      </c>
      <c r="M2827" t="str">
        <f>REPLACE(Transactions!M2827,1,4,"")</f>
        <v>7</v>
      </c>
    </row>
    <row r="2828" spans="1:13" x14ac:dyDescent="0.2">
      <c r="A2828">
        <v>569270</v>
      </c>
      <c r="B2828" s="5">
        <v>45554</v>
      </c>
      <c r="C2828">
        <v>62909</v>
      </c>
      <c r="D2828" t="str">
        <f>PROPER(Transactions!D2828)</f>
        <v>Automotive</v>
      </c>
      <c r="E2828" t="s">
        <v>125</v>
      </c>
      <c r="F2828" t="s">
        <v>126</v>
      </c>
      <c r="G2828">
        <v>4</v>
      </c>
      <c r="H2828">
        <v>20.99</v>
      </c>
      <c r="I2828" s="7">
        <f>IF(Transactions!I2828="",0,Transactions!I2828)</f>
        <v>0.3</v>
      </c>
      <c r="J2828" s="9">
        <f t="shared" si="44"/>
        <v>58.771999999999991</v>
      </c>
      <c r="K2828" t="s">
        <v>22</v>
      </c>
      <c r="L2828" t="s">
        <v>23</v>
      </c>
      <c r="M2828" t="str">
        <f>REPLACE(Transactions!M2828,1,4,"")</f>
        <v>9</v>
      </c>
    </row>
    <row r="2829" spans="1:13" x14ac:dyDescent="0.2">
      <c r="A2829">
        <v>569275</v>
      </c>
      <c r="B2829" s="5">
        <v>45633</v>
      </c>
      <c r="C2829">
        <v>71372</v>
      </c>
      <c r="D2829" t="str">
        <f>PROPER(Transactions!D2829)</f>
        <v>Pharmacy</v>
      </c>
      <c r="E2829" t="s">
        <v>20</v>
      </c>
      <c r="F2829" t="s">
        <v>21</v>
      </c>
      <c r="G2829">
        <v>1</v>
      </c>
      <c r="H2829">
        <v>7.99</v>
      </c>
      <c r="I2829" s="7">
        <f>IF(Transactions!I2829="",0,Transactions!I2829)</f>
        <v>0.2</v>
      </c>
      <c r="J2829" s="9">
        <f t="shared" si="44"/>
        <v>6.3920000000000003</v>
      </c>
      <c r="K2829" t="s">
        <v>95</v>
      </c>
      <c r="L2829" t="s">
        <v>17</v>
      </c>
      <c r="M2829" t="str">
        <f>REPLACE(Transactions!M2829,1,4,"")</f>
        <v>20</v>
      </c>
    </row>
    <row r="2830" spans="1:13" x14ac:dyDescent="0.2">
      <c r="A2830">
        <v>569327</v>
      </c>
      <c r="B2830" s="5">
        <v>44740</v>
      </c>
      <c r="C2830">
        <v>50096</v>
      </c>
      <c r="D2830" t="str">
        <f>PROPER(Transactions!D2830)</f>
        <v>Electronics</v>
      </c>
      <c r="E2830" t="s">
        <v>55</v>
      </c>
      <c r="F2830" t="s">
        <v>56</v>
      </c>
      <c r="G2830">
        <v>1</v>
      </c>
      <c r="H2830">
        <v>247.49</v>
      </c>
      <c r="I2830" s="7">
        <f>IF(Transactions!I2830="",0,Transactions!I2830)</f>
        <v>0.25</v>
      </c>
      <c r="J2830" s="9">
        <f t="shared" si="44"/>
        <v>185.61750000000001</v>
      </c>
      <c r="K2830" t="s">
        <v>36</v>
      </c>
      <c r="L2830" t="s">
        <v>37</v>
      </c>
      <c r="M2830" t="str">
        <f>REPLACE(Transactions!M2830,1,4,"")</f>
        <v>7</v>
      </c>
    </row>
    <row r="2831" spans="1:13" x14ac:dyDescent="0.2">
      <c r="A2831">
        <v>569416</v>
      </c>
      <c r="B2831" s="5">
        <v>44660</v>
      </c>
      <c r="C2831">
        <v>21817</v>
      </c>
      <c r="D2831" t="str">
        <f>PROPER(Transactions!D2831)</f>
        <v>Toys</v>
      </c>
      <c r="E2831" t="s">
        <v>175</v>
      </c>
      <c r="F2831" t="s">
        <v>176</v>
      </c>
      <c r="G2831">
        <v>2</v>
      </c>
      <c r="H2831">
        <v>9.59</v>
      </c>
      <c r="I2831" s="7">
        <f>IF(Transactions!I2831="",0,Transactions!I2831)</f>
        <v>0.2</v>
      </c>
      <c r="J2831" s="9">
        <f t="shared" si="44"/>
        <v>15.344000000000001</v>
      </c>
      <c r="K2831" t="s">
        <v>16</v>
      </c>
      <c r="L2831" t="s">
        <v>17</v>
      </c>
      <c r="M2831" t="str">
        <f>REPLACE(Transactions!M2831,1,4,"")</f>
        <v>8</v>
      </c>
    </row>
    <row r="2832" spans="1:13" x14ac:dyDescent="0.2">
      <c r="A2832">
        <v>569428</v>
      </c>
      <c r="B2832" s="5">
        <v>44789</v>
      </c>
      <c r="C2832">
        <v>70423</v>
      </c>
      <c r="D2832" t="str">
        <f>PROPER(Transactions!D2832)</f>
        <v>Home &amp; Garden</v>
      </c>
      <c r="E2832" t="s">
        <v>129</v>
      </c>
      <c r="F2832" t="s">
        <v>130</v>
      </c>
      <c r="G2832">
        <v>3</v>
      </c>
      <c r="H2832">
        <v>8.09</v>
      </c>
      <c r="I2832" s="7">
        <f>IF(Transactions!I2832="",0,Transactions!I2832)</f>
        <v>0.1</v>
      </c>
      <c r="J2832" s="9">
        <f t="shared" si="44"/>
        <v>21.843</v>
      </c>
      <c r="K2832" t="s">
        <v>22</v>
      </c>
      <c r="L2832" t="s">
        <v>17</v>
      </c>
      <c r="M2832" t="str">
        <f>REPLACE(Transactions!M2832,1,4,"")</f>
        <v>2</v>
      </c>
    </row>
    <row r="2833" spans="1:13" x14ac:dyDescent="0.2">
      <c r="A2833">
        <v>569454</v>
      </c>
      <c r="B2833" s="5">
        <v>44840</v>
      </c>
      <c r="C2833">
        <v>81781</v>
      </c>
      <c r="D2833" t="str">
        <f>PROPER(Transactions!D2833)</f>
        <v>Toys</v>
      </c>
      <c r="E2833" t="s">
        <v>38</v>
      </c>
      <c r="F2833" t="s">
        <v>39</v>
      </c>
      <c r="G2833">
        <v>1</v>
      </c>
      <c r="H2833">
        <v>25.49</v>
      </c>
      <c r="I2833" s="7">
        <f>IF(Transactions!I2833="",0,Transactions!I2833)</f>
        <v>0.15</v>
      </c>
      <c r="J2833" s="9">
        <f t="shared" si="44"/>
        <v>21.666499999999999</v>
      </c>
      <c r="K2833" t="s">
        <v>16</v>
      </c>
      <c r="L2833" t="s">
        <v>17</v>
      </c>
      <c r="M2833" t="str">
        <f>REPLACE(Transactions!M2833,1,4,"")</f>
        <v>4</v>
      </c>
    </row>
    <row r="2834" spans="1:13" x14ac:dyDescent="0.2">
      <c r="A2834">
        <v>569615</v>
      </c>
      <c r="B2834" s="5">
        <v>44989</v>
      </c>
      <c r="C2834">
        <v>92364</v>
      </c>
      <c r="D2834" t="str">
        <f>PROPER(Transactions!D2834)</f>
        <v>Beauty</v>
      </c>
      <c r="E2834" t="s">
        <v>49</v>
      </c>
      <c r="F2834" t="s">
        <v>50</v>
      </c>
      <c r="G2834">
        <v>3</v>
      </c>
      <c r="H2834">
        <v>6.29</v>
      </c>
      <c r="I2834" s="7">
        <f>IF(Transactions!I2834="",0,Transactions!I2834)</f>
        <v>0.3</v>
      </c>
      <c r="J2834" s="9">
        <f t="shared" si="44"/>
        <v>13.209</v>
      </c>
      <c r="K2834" t="s">
        <v>22</v>
      </c>
      <c r="L2834" t="s">
        <v>23</v>
      </c>
      <c r="M2834" t="str">
        <f>REPLACE(Transactions!M2834,1,4,"")</f>
        <v>5</v>
      </c>
    </row>
    <row r="2835" spans="1:13" x14ac:dyDescent="0.2">
      <c r="A2835">
        <v>569961</v>
      </c>
      <c r="B2835" s="5">
        <v>45003</v>
      </c>
      <c r="C2835">
        <v>92081</v>
      </c>
      <c r="D2835" t="str">
        <f>PROPER(Transactions!D2835)</f>
        <v>Home &amp; Garden</v>
      </c>
      <c r="E2835" t="s">
        <v>157</v>
      </c>
      <c r="F2835" t="s">
        <v>158</v>
      </c>
      <c r="G2835">
        <v>2</v>
      </c>
      <c r="H2835">
        <v>11.47</v>
      </c>
      <c r="I2835" s="7">
        <f>IF(Transactions!I2835="",0,Transactions!I2835)</f>
        <v>0.15</v>
      </c>
      <c r="J2835" s="9">
        <f t="shared" si="44"/>
        <v>19.499000000000002</v>
      </c>
      <c r="K2835" t="s">
        <v>22</v>
      </c>
      <c r="L2835" t="s">
        <v>17</v>
      </c>
      <c r="M2835" t="str">
        <f>REPLACE(Transactions!M2835,1,4,"")</f>
        <v>7</v>
      </c>
    </row>
    <row r="2836" spans="1:13" x14ac:dyDescent="0.2">
      <c r="A2836">
        <v>570065</v>
      </c>
      <c r="B2836" s="5">
        <v>45107</v>
      </c>
      <c r="C2836">
        <v>19895</v>
      </c>
      <c r="D2836" t="str">
        <f>PROPER(Transactions!D2836)</f>
        <v>Pharmacy</v>
      </c>
      <c r="E2836" t="s">
        <v>41</v>
      </c>
      <c r="F2836" t="s">
        <v>42</v>
      </c>
      <c r="G2836">
        <v>1</v>
      </c>
      <c r="H2836">
        <v>5.39</v>
      </c>
      <c r="I2836" s="7">
        <f>IF(Transactions!I2836="",0,Transactions!I2836)</f>
        <v>0.1</v>
      </c>
      <c r="J2836" s="9">
        <f t="shared" si="44"/>
        <v>4.851</v>
      </c>
      <c r="K2836" t="s">
        <v>16</v>
      </c>
      <c r="L2836" t="s">
        <v>23</v>
      </c>
      <c r="M2836" t="str">
        <f>REPLACE(Transactions!M2836,1,4,"")</f>
        <v>15</v>
      </c>
    </row>
    <row r="2837" spans="1:13" x14ac:dyDescent="0.2">
      <c r="A2837">
        <v>570208</v>
      </c>
      <c r="B2837" s="5">
        <v>44634</v>
      </c>
      <c r="C2837">
        <v>68673</v>
      </c>
      <c r="D2837" t="str">
        <f>PROPER(Transactions!D2837)</f>
        <v>Automotive</v>
      </c>
      <c r="E2837" t="s">
        <v>111</v>
      </c>
      <c r="F2837" t="s">
        <v>112</v>
      </c>
      <c r="G2837">
        <v>5</v>
      </c>
      <c r="H2837">
        <v>12.74</v>
      </c>
      <c r="I2837" s="7">
        <f>IF(Transactions!I2837="",0,Transactions!I2837)</f>
        <v>0.15</v>
      </c>
      <c r="J2837" s="9">
        <f t="shared" si="44"/>
        <v>54.145000000000003</v>
      </c>
      <c r="K2837" t="s">
        <v>95</v>
      </c>
      <c r="L2837" t="s">
        <v>37</v>
      </c>
      <c r="M2837" t="str">
        <f>REPLACE(Transactions!M2837,1,4,"")</f>
        <v>5</v>
      </c>
    </row>
    <row r="2838" spans="1:13" x14ac:dyDescent="0.2">
      <c r="A2838">
        <v>570257</v>
      </c>
      <c r="B2838" s="5">
        <v>44643</v>
      </c>
      <c r="D2838" t="str">
        <f>PROPER(Transactions!D2838)</f>
        <v>Sports</v>
      </c>
      <c r="E2838" t="s">
        <v>100</v>
      </c>
      <c r="F2838" t="s">
        <v>101</v>
      </c>
      <c r="G2838">
        <v>5</v>
      </c>
      <c r="H2838">
        <v>18.39</v>
      </c>
      <c r="I2838" s="7">
        <f>IF(Transactions!I2838="",0,Transactions!I2838)</f>
        <v>0.2</v>
      </c>
      <c r="J2838" s="9">
        <f t="shared" si="44"/>
        <v>73.56</v>
      </c>
      <c r="K2838" t="s">
        <v>16</v>
      </c>
      <c r="L2838" t="s">
        <v>17</v>
      </c>
      <c r="M2838" t="str">
        <f>REPLACE(Transactions!M2838,1,4,"")</f>
        <v>18</v>
      </c>
    </row>
    <row r="2839" spans="1:13" x14ac:dyDescent="0.2">
      <c r="A2839">
        <v>570506</v>
      </c>
      <c r="B2839" s="5">
        <v>44817</v>
      </c>
      <c r="C2839">
        <v>58313</v>
      </c>
      <c r="D2839" t="str">
        <f>PROPER(Transactions!D2839)</f>
        <v>Pharmacy</v>
      </c>
      <c r="E2839" t="s">
        <v>41</v>
      </c>
      <c r="F2839" t="s">
        <v>42</v>
      </c>
      <c r="G2839">
        <v>1</v>
      </c>
      <c r="H2839">
        <v>4.49</v>
      </c>
      <c r="I2839" s="7">
        <f>IF(Transactions!I2839="",0,Transactions!I2839)</f>
        <v>0.25</v>
      </c>
      <c r="J2839" s="9">
        <f t="shared" si="44"/>
        <v>3.3675000000000002</v>
      </c>
      <c r="K2839" t="s">
        <v>16</v>
      </c>
      <c r="L2839" t="s">
        <v>37</v>
      </c>
      <c r="M2839" t="str">
        <f>REPLACE(Transactions!M2839,1,4,"")</f>
        <v>3</v>
      </c>
    </row>
    <row r="2840" spans="1:13" x14ac:dyDescent="0.2">
      <c r="A2840">
        <v>570928</v>
      </c>
      <c r="B2840" s="5">
        <v>45353</v>
      </c>
      <c r="C2840">
        <v>14147</v>
      </c>
      <c r="D2840" t="str">
        <f>PROPER(Transactions!D2840)</f>
        <v>Home &amp; Garden</v>
      </c>
      <c r="E2840" t="s">
        <v>129</v>
      </c>
      <c r="F2840" t="s">
        <v>130</v>
      </c>
      <c r="G2840">
        <v>2</v>
      </c>
      <c r="H2840">
        <v>7.19</v>
      </c>
      <c r="I2840" s="7">
        <f>IF(Transactions!I2840="",0,Transactions!I2840)</f>
        <v>0.2</v>
      </c>
      <c r="J2840" s="9">
        <f t="shared" si="44"/>
        <v>11.504000000000001</v>
      </c>
      <c r="K2840" t="s">
        <v>36</v>
      </c>
      <c r="L2840" t="s">
        <v>17</v>
      </c>
      <c r="M2840" t="str">
        <f>REPLACE(Transactions!M2840,1,4,"")</f>
        <v>11</v>
      </c>
    </row>
    <row r="2841" spans="1:13" x14ac:dyDescent="0.2">
      <c r="A2841">
        <v>571223</v>
      </c>
      <c r="B2841" s="5">
        <v>45117</v>
      </c>
      <c r="C2841">
        <v>52087</v>
      </c>
      <c r="D2841" t="str">
        <f>PROPER(Transactions!D2841)</f>
        <v>Toys</v>
      </c>
      <c r="E2841" t="s">
        <v>72</v>
      </c>
      <c r="F2841" t="s">
        <v>73</v>
      </c>
      <c r="G2841">
        <v>4</v>
      </c>
      <c r="H2841">
        <v>39.99</v>
      </c>
      <c r="I2841" s="7">
        <f>IF(Transactions!I2841="",0,Transactions!I2841)</f>
        <v>0</v>
      </c>
      <c r="J2841" s="9">
        <f t="shared" si="44"/>
        <v>159.96</v>
      </c>
      <c r="K2841" t="s">
        <v>22</v>
      </c>
      <c r="L2841" t="s">
        <v>17</v>
      </c>
      <c r="M2841" t="str">
        <f>REPLACE(Transactions!M2841,1,4,"")</f>
        <v>17</v>
      </c>
    </row>
    <row r="2842" spans="1:13" x14ac:dyDescent="0.2">
      <c r="A2842">
        <v>571225</v>
      </c>
      <c r="B2842" s="5">
        <v>45213</v>
      </c>
      <c r="C2842">
        <v>44808</v>
      </c>
      <c r="D2842" t="str">
        <f>PROPER(Transactions!D2842)</f>
        <v>Electronics</v>
      </c>
      <c r="E2842" t="s">
        <v>79</v>
      </c>
      <c r="F2842" t="s">
        <v>80</v>
      </c>
      <c r="G2842">
        <v>2</v>
      </c>
      <c r="H2842">
        <v>67.489999999999995</v>
      </c>
      <c r="I2842" s="7">
        <f>IF(Transactions!I2842="",0,Transactions!I2842)</f>
        <v>0.25</v>
      </c>
      <c r="J2842" s="9">
        <f t="shared" si="44"/>
        <v>101.23499999999999</v>
      </c>
      <c r="K2842" t="s">
        <v>36</v>
      </c>
      <c r="L2842" t="s">
        <v>37</v>
      </c>
      <c r="M2842" t="str">
        <f>REPLACE(Transactions!M2842,1,4,"")</f>
        <v>2</v>
      </c>
    </row>
    <row r="2843" spans="1:13" x14ac:dyDescent="0.2">
      <c r="A2843">
        <v>571233</v>
      </c>
      <c r="B2843" s="5">
        <v>45213</v>
      </c>
      <c r="C2843">
        <v>47997</v>
      </c>
      <c r="D2843" t="str">
        <f>PROPER(Transactions!D2843)</f>
        <v>Electronics</v>
      </c>
      <c r="E2843" t="s">
        <v>34</v>
      </c>
      <c r="F2843" t="s">
        <v>35</v>
      </c>
      <c r="G2843">
        <v>5</v>
      </c>
      <c r="H2843">
        <v>26.24</v>
      </c>
      <c r="I2843" s="7">
        <f>IF(Transactions!I2843="",0,Transactions!I2843)</f>
        <v>0.25</v>
      </c>
      <c r="J2843" s="9">
        <f t="shared" si="44"/>
        <v>98.399999999999991</v>
      </c>
      <c r="K2843" t="s">
        <v>16</v>
      </c>
      <c r="L2843" t="s">
        <v>17</v>
      </c>
      <c r="M2843" t="str">
        <f>REPLACE(Transactions!M2843,1,4,"")</f>
        <v>7</v>
      </c>
    </row>
    <row r="2844" spans="1:13" x14ac:dyDescent="0.2">
      <c r="A2844">
        <v>571497</v>
      </c>
      <c r="B2844" s="5">
        <v>44715</v>
      </c>
      <c r="C2844">
        <v>89405</v>
      </c>
      <c r="D2844" t="str">
        <f>PROPER(Transactions!D2844)</f>
        <v>Grocery</v>
      </c>
      <c r="E2844" t="s">
        <v>107</v>
      </c>
      <c r="F2844" t="s">
        <v>108</v>
      </c>
      <c r="G2844">
        <v>1</v>
      </c>
      <c r="H2844">
        <v>3.14</v>
      </c>
      <c r="I2844" s="7">
        <f>IF(Transactions!I2844="",0,Transactions!I2844)</f>
        <v>0.1</v>
      </c>
      <c r="J2844" s="9">
        <f t="shared" si="44"/>
        <v>2.8260000000000001</v>
      </c>
      <c r="K2844" t="s">
        <v>22</v>
      </c>
      <c r="L2844" t="s">
        <v>37</v>
      </c>
      <c r="M2844" t="str">
        <f>REPLACE(Transactions!M2844,1,4,"")</f>
        <v>17</v>
      </c>
    </row>
    <row r="2845" spans="1:13" x14ac:dyDescent="0.2">
      <c r="A2845">
        <v>571635</v>
      </c>
      <c r="B2845" s="5">
        <v>44684</v>
      </c>
      <c r="C2845">
        <v>46942</v>
      </c>
      <c r="D2845" t="str">
        <f>PROPER(Transactions!D2845)</f>
        <v>Clothing</v>
      </c>
      <c r="E2845" t="s">
        <v>135</v>
      </c>
      <c r="F2845" t="s">
        <v>136</v>
      </c>
      <c r="G2845">
        <v>2</v>
      </c>
      <c r="H2845">
        <v>7.99</v>
      </c>
      <c r="I2845" s="7">
        <f>IF(Transactions!I2845="",0,Transactions!I2845)</f>
        <v>0.2</v>
      </c>
      <c r="J2845" s="9">
        <f t="shared" si="44"/>
        <v>12.784000000000001</v>
      </c>
      <c r="K2845" t="s">
        <v>95</v>
      </c>
      <c r="L2845" t="s">
        <v>17</v>
      </c>
      <c r="M2845" t="str">
        <f>REPLACE(Transactions!M2845,1,4,"")</f>
        <v>9</v>
      </c>
    </row>
    <row r="2846" spans="1:13" x14ac:dyDescent="0.2">
      <c r="A2846">
        <v>572658</v>
      </c>
      <c r="B2846" s="5">
        <v>44600</v>
      </c>
      <c r="C2846">
        <v>98447</v>
      </c>
      <c r="D2846" t="str">
        <f>PROPER(Transactions!D2846)</f>
        <v>Home &amp; Garden</v>
      </c>
      <c r="E2846" t="s">
        <v>149</v>
      </c>
      <c r="F2846" t="s">
        <v>150</v>
      </c>
      <c r="G2846">
        <v>1</v>
      </c>
      <c r="H2846">
        <v>17.989999999999998</v>
      </c>
      <c r="I2846" s="7">
        <f>IF(Transactions!I2846="",0,Transactions!I2846)</f>
        <v>0.1</v>
      </c>
      <c r="J2846" s="9">
        <f t="shared" si="44"/>
        <v>16.190999999999999</v>
      </c>
      <c r="K2846" t="s">
        <v>22</v>
      </c>
      <c r="L2846" t="s">
        <v>17</v>
      </c>
      <c r="M2846" t="str">
        <f>REPLACE(Transactions!M2846,1,4,"")</f>
        <v>16</v>
      </c>
    </row>
    <row r="2847" spans="1:13" x14ac:dyDescent="0.2">
      <c r="A2847">
        <v>572769</v>
      </c>
      <c r="B2847" s="5">
        <v>45643</v>
      </c>
      <c r="C2847">
        <v>15989</v>
      </c>
      <c r="D2847" t="str">
        <f>PROPER(Transactions!D2847)</f>
        <v>Sports</v>
      </c>
      <c r="E2847" t="s">
        <v>83</v>
      </c>
      <c r="F2847" t="s">
        <v>84</v>
      </c>
      <c r="G2847">
        <v>5</v>
      </c>
      <c r="H2847">
        <v>13.59</v>
      </c>
      <c r="I2847" s="7">
        <f>IF(Transactions!I2847="",0,Transactions!I2847)</f>
        <v>0.2</v>
      </c>
      <c r="J2847" s="9">
        <f t="shared" si="44"/>
        <v>54.360000000000007</v>
      </c>
      <c r="K2847" t="s">
        <v>16</v>
      </c>
      <c r="L2847" t="s">
        <v>17</v>
      </c>
      <c r="M2847" t="str">
        <f>REPLACE(Transactions!M2847,1,4,"")</f>
        <v>5</v>
      </c>
    </row>
    <row r="2848" spans="1:13" x14ac:dyDescent="0.2">
      <c r="A2848">
        <v>572801</v>
      </c>
      <c r="B2848" s="5">
        <v>44568</v>
      </c>
      <c r="D2848" t="str">
        <f>PROPER(Transactions!D2848)</f>
        <v>Furniture</v>
      </c>
      <c r="E2848" t="s">
        <v>26</v>
      </c>
      <c r="F2848" t="s">
        <v>27</v>
      </c>
      <c r="G2848">
        <v>2</v>
      </c>
      <c r="H2848">
        <v>34.99</v>
      </c>
      <c r="I2848" s="7">
        <f>IF(Transactions!I2848="",0,Transactions!I2848)</f>
        <v>0</v>
      </c>
      <c r="J2848" s="9">
        <f t="shared" si="44"/>
        <v>69.98</v>
      </c>
      <c r="K2848" t="s">
        <v>16</v>
      </c>
      <c r="L2848" t="s">
        <v>17</v>
      </c>
      <c r="M2848" t="str">
        <f>REPLACE(Transactions!M2848,1,4,"")</f>
        <v>14</v>
      </c>
    </row>
    <row r="2849" spans="1:13" x14ac:dyDescent="0.2">
      <c r="A2849">
        <v>573148</v>
      </c>
      <c r="B2849" s="5">
        <v>45089</v>
      </c>
      <c r="C2849">
        <v>35099</v>
      </c>
      <c r="D2849" t="str">
        <f>PROPER(Transactions!D2849)</f>
        <v>Furniture</v>
      </c>
      <c r="E2849" t="s">
        <v>51</v>
      </c>
      <c r="F2849" t="s">
        <v>52</v>
      </c>
      <c r="G2849">
        <v>1</v>
      </c>
      <c r="H2849">
        <v>27.99</v>
      </c>
      <c r="I2849" s="7">
        <f>IF(Transactions!I2849="",0,Transactions!I2849)</f>
        <v>0</v>
      </c>
      <c r="J2849" s="9">
        <f t="shared" si="44"/>
        <v>27.99</v>
      </c>
      <c r="K2849" t="s">
        <v>36</v>
      </c>
      <c r="L2849" t="s">
        <v>23</v>
      </c>
      <c r="M2849" t="str">
        <f>REPLACE(Transactions!M2849,1,4,"")</f>
        <v/>
      </c>
    </row>
    <row r="2850" spans="1:13" x14ac:dyDescent="0.2">
      <c r="A2850">
        <v>573469</v>
      </c>
      <c r="B2850" s="5">
        <v>44784</v>
      </c>
      <c r="C2850">
        <v>98458</v>
      </c>
      <c r="D2850" t="str">
        <f>PROPER(Transactions!D2850)</f>
        <v>Beauty</v>
      </c>
      <c r="E2850" t="s">
        <v>143</v>
      </c>
      <c r="F2850" t="s">
        <v>144</v>
      </c>
      <c r="G2850">
        <v>2</v>
      </c>
      <c r="H2850">
        <v>12.74</v>
      </c>
      <c r="I2850" s="7">
        <f>IF(Transactions!I2850="",0,Transactions!I2850)</f>
        <v>0.15</v>
      </c>
      <c r="J2850" s="9">
        <f t="shared" si="44"/>
        <v>21.658000000000001</v>
      </c>
      <c r="K2850" t="s">
        <v>16</v>
      </c>
      <c r="L2850" t="s">
        <v>17</v>
      </c>
      <c r="M2850" t="str">
        <f>REPLACE(Transactions!M2850,1,4,"")</f>
        <v>14</v>
      </c>
    </row>
    <row r="2851" spans="1:13" x14ac:dyDescent="0.2">
      <c r="A2851">
        <v>573598</v>
      </c>
      <c r="B2851" s="5">
        <v>45242</v>
      </c>
      <c r="C2851">
        <v>26711</v>
      </c>
      <c r="D2851" t="str">
        <f>PROPER(Transactions!D2851)</f>
        <v>Beauty</v>
      </c>
      <c r="E2851" t="s">
        <v>143</v>
      </c>
      <c r="F2851" t="s">
        <v>144</v>
      </c>
      <c r="G2851">
        <v>2</v>
      </c>
      <c r="H2851">
        <v>12.74</v>
      </c>
      <c r="I2851" s="7">
        <f>IF(Transactions!I2851="",0,Transactions!I2851)</f>
        <v>0.15</v>
      </c>
      <c r="J2851" s="9">
        <f t="shared" si="44"/>
        <v>21.658000000000001</v>
      </c>
      <c r="K2851" t="s">
        <v>53</v>
      </c>
      <c r="L2851" t="s">
        <v>37</v>
      </c>
      <c r="M2851" t="str">
        <f>REPLACE(Transactions!M2851,1,4,"")</f>
        <v>18</v>
      </c>
    </row>
    <row r="2852" spans="1:13" x14ac:dyDescent="0.2">
      <c r="A2852">
        <v>573899</v>
      </c>
      <c r="B2852" s="5">
        <v>44677</v>
      </c>
      <c r="C2852">
        <v>97864</v>
      </c>
      <c r="D2852" t="str">
        <f>PROPER(Transactions!D2852)</f>
        <v>Clothing</v>
      </c>
      <c r="E2852" t="s">
        <v>98</v>
      </c>
      <c r="F2852" t="s">
        <v>99</v>
      </c>
      <c r="G2852">
        <v>2</v>
      </c>
      <c r="H2852">
        <v>27.99</v>
      </c>
      <c r="I2852" s="7">
        <f>IF(Transactions!I2852="",0,Transactions!I2852)</f>
        <v>0</v>
      </c>
      <c r="J2852" s="9">
        <f t="shared" si="44"/>
        <v>55.98</v>
      </c>
      <c r="K2852" t="s">
        <v>36</v>
      </c>
      <c r="L2852" t="s">
        <v>17</v>
      </c>
      <c r="M2852" t="str">
        <f>REPLACE(Transactions!M2852,1,4,"")</f>
        <v>19</v>
      </c>
    </row>
    <row r="2853" spans="1:13" x14ac:dyDescent="0.2">
      <c r="A2853">
        <v>574472</v>
      </c>
      <c r="B2853" s="5">
        <v>45564</v>
      </c>
      <c r="C2853">
        <v>53094</v>
      </c>
      <c r="D2853" t="str">
        <f>PROPER(Transactions!D2853)</f>
        <v>Automotive</v>
      </c>
      <c r="E2853" t="s">
        <v>131</v>
      </c>
      <c r="F2853" t="s">
        <v>132</v>
      </c>
      <c r="G2853">
        <v>4</v>
      </c>
      <c r="H2853">
        <v>3.49</v>
      </c>
      <c r="I2853" s="7">
        <f>IF(Transactions!I2853="",0,Transactions!I2853)</f>
        <v>0</v>
      </c>
      <c r="J2853" s="9">
        <f t="shared" si="44"/>
        <v>13.96</v>
      </c>
      <c r="K2853" t="s">
        <v>95</v>
      </c>
      <c r="L2853" t="s">
        <v>37</v>
      </c>
      <c r="M2853" t="str">
        <f>REPLACE(Transactions!M2853,1,4,"")</f>
        <v>7</v>
      </c>
    </row>
    <row r="2854" spans="1:13" x14ac:dyDescent="0.2">
      <c r="A2854">
        <v>574497</v>
      </c>
      <c r="B2854" s="5">
        <v>45578</v>
      </c>
      <c r="C2854">
        <v>34716</v>
      </c>
      <c r="D2854" t="str">
        <f>PROPER(Transactions!D2854)</f>
        <v>Grocery</v>
      </c>
      <c r="E2854" t="s">
        <v>45</v>
      </c>
      <c r="F2854" t="s">
        <v>46</v>
      </c>
      <c r="G2854">
        <v>1</v>
      </c>
      <c r="H2854">
        <v>1.7</v>
      </c>
      <c r="I2854" s="7">
        <f>IF(Transactions!I2854="",0,Transactions!I2854)</f>
        <v>0.05</v>
      </c>
      <c r="J2854" s="9">
        <f t="shared" si="44"/>
        <v>1.615</v>
      </c>
      <c r="K2854" t="s">
        <v>16</v>
      </c>
      <c r="L2854" t="s">
        <v>17</v>
      </c>
      <c r="M2854" t="str">
        <f>REPLACE(Transactions!M2854,1,4,"")</f>
        <v>6</v>
      </c>
    </row>
    <row r="2855" spans="1:13" x14ac:dyDescent="0.2">
      <c r="A2855">
        <v>574523</v>
      </c>
      <c r="B2855" s="5">
        <v>44735</v>
      </c>
      <c r="C2855">
        <v>99393</v>
      </c>
      <c r="D2855" t="str">
        <f>PROPER(Transactions!D2855)</f>
        <v>Sports</v>
      </c>
      <c r="E2855" t="s">
        <v>168</v>
      </c>
      <c r="F2855" t="s">
        <v>169</v>
      </c>
      <c r="G2855">
        <v>2</v>
      </c>
      <c r="H2855">
        <v>8.99</v>
      </c>
      <c r="I2855" s="7">
        <f>IF(Transactions!I2855="",0,Transactions!I2855)</f>
        <v>0</v>
      </c>
      <c r="J2855" s="9">
        <f t="shared" si="44"/>
        <v>17.98</v>
      </c>
      <c r="K2855" t="s">
        <v>36</v>
      </c>
      <c r="L2855" t="s">
        <v>17</v>
      </c>
      <c r="M2855" t="str">
        <f>REPLACE(Transactions!M2855,1,4,"")</f>
        <v/>
      </c>
    </row>
    <row r="2856" spans="1:13" x14ac:dyDescent="0.2">
      <c r="A2856">
        <v>574528</v>
      </c>
      <c r="B2856" s="5">
        <v>44980</v>
      </c>
      <c r="C2856">
        <v>28578</v>
      </c>
      <c r="D2856" t="str">
        <f>PROPER(Transactions!D2856)</f>
        <v>Toys</v>
      </c>
      <c r="E2856" t="s">
        <v>38</v>
      </c>
      <c r="F2856" t="s">
        <v>39</v>
      </c>
      <c r="G2856">
        <v>5</v>
      </c>
      <c r="H2856">
        <v>29.99</v>
      </c>
      <c r="I2856" s="7">
        <f>IF(Transactions!I2856="",0,Transactions!I2856)</f>
        <v>0</v>
      </c>
      <c r="J2856" s="9">
        <f t="shared" si="44"/>
        <v>149.94999999999999</v>
      </c>
      <c r="K2856" t="s">
        <v>36</v>
      </c>
      <c r="L2856" t="s">
        <v>17</v>
      </c>
      <c r="M2856" t="str">
        <f>REPLACE(Transactions!M2856,1,4,"")</f>
        <v>5</v>
      </c>
    </row>
    <row r="2857" spans="1:13" x14ac:dyDescent="0.2">
      <c r="A2857">
        <v>574539</v>
      </c>
      <c r="B2857" s="5">
        <v>44620</v>
      </c>
      <c r="C2857">
        <v>72286</v>
      </c>
      <c r="D2857" t="str">
        <f>PROPER(Transactions!D2857)</f>
        <v>Grocery</v>
      </c>
      <c r="E2857" t="s">
        <v>107</v>
      </c>
      <c r="F2857" t="s">
        <v>108</v>
      </c>
      <c r="G2857">
        <v>1</v>
      </c>
      <c r="H2857">
        <v>2.79</v>
      </c>
      <c r="I2857" s="7">
        <f>IF(Transactions!I2857="",0,Transactions!I2857)</f>
        <v>0.2</v>
      </c>
      <c r="J2857" s="9">
        <f t="shared" si="44"/>
        <v>2.2320000000000002</v>
      </c>
      <c r="K2857" t="s">
        <v>16</v>
      </c>
      <c r="L2857" t="s">
        <v>17</v>
      </c>
      <c r="M2857" t="str">
        <f>REPLACE(Transactions!M2857,1,4,"")</f>
        <v>11</v>
      </c>
    </row>
    <row r="2858" spans="1:13" x14ac:dyDescent="0.2">
      <c r="A2858">
        <v>574602</v>
      </c>
      <c r="B2858" s="5">
        <v>45194</v>
      </c>
      <c r="C2858">
        <v>54496</v>
      </c>
      <c r="D2858" t="str">
        <f>PROPER(Transactions!D2858)</f>
        <v>Sports</v>
      </c>
      <c r="E2858" t="s">
        <v>155</v>
      </c>
      <c r="F2858" t="s">
        <v>156</v>
      </c>
      <c r="G2858">
        <v>5</v>
      </c>
      <c r="H2858">
        <v>15.99</v>
      </c>
      <c r="I2858" s="7">
        <f>IF(Transactions!I2858="",0,Transactions!I2858)</f>
        <v>0.2</v>
      </c>
      <c r="J2858" s="9">
        <f t="shared" si="44"/>
        <v>63.960000000000008</v>
      </c>
      <c r="K2858" t="s">
        <v>32</v>
      </c>
      <c r="L2858" t="s">
        <v>17</v>
      </c>
      <c r="M2858" t="str">
        <f>REPLACE(Transactions!M2858,1,4,"")</f>
        <v>5</v>
      </c>
    </row>
    <row r="2859" spans="1:13" x14ac:dyDescent="0.2">
      <c r="A2859">
        <v>574746</v>
      </c>
      <c r="B2859" s="5">
        <v>44842</v>
      </c>
      <c r="C2859">
        <v>19118</v>
      </c>
      <c r="D2859" t="str">
        <f>PROPER(Transactions!D2859)</f>
        <v>Beauty</v>
      </c>
      <c r="E2859" t="s">
        <v>49</v>
      </c>
      <c r="F2859" t="s">
        <v>50</v>
      </c>
      <c r="G2859">
        <v>4</v>
      </c>
      <c r="H2859">
        <v>8.5399999999999991</v>
      </c>
      <c r="I2859" s="7">
        <f>IF(Transactions!I2859="",0,Transactions!I2859)</f>
        <v>0.05</v>
      </c>
      <c r="J2859" s="9">
        <f t="shared" si="44"/>
        <v>32.451999999999998</v>
      </c>
      <c r="K2859" t="s">
        <v>36</v>
      </c>
      <c r="L2859" t="s">
        <v>37</v>
      </c>
      <c r="M2859" t="str">
        <f>REPLACE(Transactions!M2859,1,4,"")</f>
        <v>17</v>
      </c>
    </row>
    <row r="2860" spans="1:13" x14ac:dyDescent="0.2">
      <c r="A2860">
        <v>574861</v>
      </c>
      <c r="B2860" s="5">
        <v>45194</v>
      </c>
      <c r="C2860">
        <v>61358</v>
      </c>
      <c r="D2860" t="str">
        <f>PROPER(Transactions!D2860)</f>
        <v>Grocery</v>
      </c>
      <c r="E2860" t="s">
        <v>133</v>
      </c>
      <c r="F2860" t="s">
        <v>134</v>
      </c>
      <c r="G2860">
        <v>2</v>
      </c>
      <c r="H2860">
        <v>3.79</v>
      </c>
      <c r="I2860" s="7">
        <f>IF(Transactions!I2860="",0,Transactions!I2860)</f>
        <v>0</v>
      </c>
      <c r="J2860" s="9">
        <f t="shared" si="44"/>
        <v>7.58</v>
      </c>
      <c r="K2860" t="s">
        <v>16</v>
      </c>
      <c r="L2860" t="s">
        <v>17</v>
      </c>
      <c r="M2860" t="str">
        <f>REPLACE(Transactions!M2860,1,4,"")</f>
        <v>5</v>
      </c>
    </row>
    <row r="2861" spans="1:13" x14ac:dyDescent="0.2">
      <c r="A2861">
        <v>574977</v>
      </c>
      <c r="B2861" s="5">
        <v>45529</v>
      </c>
      <c r="C2861">
        <v>19828</v>
      </c>
      <c r="D2861" t="str">
        <f>PROPER(Transactions!D2861)</f>
        <v>Home &amp; Garden</v>
      </c>
      <c r="E2861" t="s">
        <v>129</v>
      </c>
      <c r="F2861" t="s">
        <v>130</v>
      </c>
      <c r="G2861">
        <v>2</v>
      </c>
      <c r="H2861">
        <v>8.09</v>
      </c>
      <c r="I2861" s="7">
        <f>IF(Transactions!I2861="",0,Transactions!I2861)</f>
        <v>0.1</v>
      </c>
      <c r="J2861" s="9">
        <f t="shared" si="44"/>
        <v>14.561999999999999</v>
      </c>
      <c r="K2861" t="s">
        <v>36</v>
      </c>
      <c r="L2861" t="s">
        <v>17</v>
      </c>
      <c r="M2861" t="str">
        <f>REPLACE(Transactions!M2861,1,4,"")</f>
        <v>18</v>
      </c>
    </row>
    <row r="2862" spans="1:13" x14ac:dyDescent="0.2">
      <c r="A2862">
        <v>575071</v>
      </c>
      <c r="B2862" s="5">
        <v>44650</v>
      </c>
      <c r="C2862">
        <v>79559</v>
      </c>
      <c r="D2862" t="str">
        <f>PROPER(Transactions!D2862)</f>
        <v>Home &amp; Garden</v>
      </c>
      <c r="E2862" t="s">
        <v>153</v>
      </c>
      <c r="F2862" t="s">
        <v>154</v>
      </c>
      <c r="G2862">
        <v>1</v>
      </c>
      <c r="H2862">
        <v>22.49</v>
      </c>
      <c r="I2862" s="7">
        <f>IF(Transactions!I2862="",0,Transactions!I2862)</f>
        <v>0.25</v>
      </c>
      <c r="J2862" s="9">
        <f t="shared" si="44"/>
        <v>16.8675</v>
      </c>
      <c r="K2862" t="s">
        <v>22</v>
      </c>
      <c r="L2862" t="s">
        <v>37</v>
      </c>
      <c r="M2862" t="str">
        <f>REPLACE(Transactions!M2862,1,4,"")</f>
        <v>11</v>
      </c>
    </row>
    <row r="2863" spans="1:13" x14ac:dyDescent="0.2">
      <c r="A2863">
        <v>575256</v>
      </c>
      <c r="B2863" s="5">
        <v>44892</v>
      </c>
      <c r="C2863">
        <v>69199</v>
      </c>
      <c r="D2863" t="str">
        <f>PROPER(Transactions!D2863)</f>
        <v>Toys</v>
      </c>
      <c r="E2863" t="s">
        <v>30</v>
      </c>
      <c r="F2863" t="s">
        <v>31</v>
      </c>
      <c r="G2863">
        <v>3</v>
      </c>
      <c r="H2863">
        <v>21.24</v>
      </c>
      <c r="I2863" s="7">
        <f>IF(Transactions!I2863="",0,Transactions!I2863)</f>
        <v>0.15</v>
      </c>
      <c r="J2863" s="9">
        <f t="shared" si="44"/>
        <v>54.161999999999999</v>
      </c>
      <c r="K2863" t="s">
        <v>36</v>
      </c>
      <c r="L2863" t="s">
        <v>17</v>
      </c>
      <c r="M2863" t="str">
        <f>REPLACE(Transactions!M2863,1,4,"")</f>
        <v>20</v>
      </c>
    </row>
    <row r="2864" spans="1:13" x14ac:dyDescent="0.2">
      <c r="A2864">
        <v>575461</v>
      </c>
      <c r="B2864" s="5">
        <v>45087</v>
      </c>
      <c r="C2864">
        <v>46589</v>
      </c>
      <c r="D2864" t="str">
        <f>PROPER(Transactions!D2864)</f>
        <v>Electronics</v>
      </c>
      <c r="E2864" t="s">
        <v>14</v>
      </c>
      <c r="F2864" t="s">
        <v>15</v>
      </c>
      <c r="G2864">
        <v>1</v>
      </c>
      <c r="H2864">
        <v>55.99</v>
      </c>
      <c r="I2864" s="7">
        <f>IF(Transactions!I2864="",0,Transactions!I2864)</f>
        <v>0.3</v>
      </c>
      <c r="J2864" s="9">
        <f t="shared" si="44"/>
        <v>39.192999999999998</v>
      </c>
      <c r="K2864" t="s">
        <v>16</v>
      </c>
      <c r="L2864" t="s">
        <v>37</v>
      </c>
      <c r="M2864" t="str">
        <f>REPLACE(Transactions!M2864,1,4,"")</f>
        <v/>
      </c>
    </row>
    <row r="2865" spans="1:13" x14ac:dyDescent="0.2">
      <c r="A2865">
        <v>575531</v>
      </c>
      <c r="B2865" s="5">
        <v>45483</v>
      </c>
      <c r="C2865">
        <v>42375</v>
      </c>
      <c r="D2865" t="str">
        <f>PROPER(Transactions!D2865)</f>
        <v>Electronics</v>
      </c>
      <c r="E2865" t="s">
        <v>14</v>
      </c>
      <c r="F2865" t="s">
        <v>15</v>
      </c>
      <c r="G2865">
        <v>1</v>
      </c>
      <c r="H2865">
        <v>67.989999999999995</v>
      </c>
      <c r="I2865" s="7">
        <f>IF(Transactions!I2865="",0,Transactions!I2865)</f>
        <v>0.15</v>
      </c>
      <c r="J2865" s="9">
        <f t="shared" si="44"/>
        <v>57.791499999999992</v>
      </c>
      <c r="K2865" t="s">
        <v>16</v>
      </c>
      <c r="L2865" t="s">
        <v>17</v>
      </c>
      <c r="M2865" t="str">
        <f>REPLACE(Transactions!M2865,1,4,"")</f>
        <v>8</v>
      </c>
    </row>
    <row r="2866" spans="1:13" x14ac:dyDescent="0.2">
      <c r="A2866">
        <v>575565</v>
      </c>
      <c r="B2866" s="5">
        <v>45321</v>
      </c>
      <c r="C2866">
        <v>13063</v>
      </c>
      <c r="D2866" t="str">
        <f>PROPER(Transactions!D2866)</f>
        <v>Clothing</v>
      </c>
      <c r="E2866" t="s">
        <v>98</v>
      </c>
      <c r="F2866" t="s">
        <v>99</v>
      </c>
      <c r="G2866">
        <v>1</v>
      </c>
      <c r="H2866">
        <v>22.39</v>
      </c>
      <c r="I2866" s="7">
        <f>IF(Transactions!I2866="",0,Transactions!I2866)</f>
        <v>0.2</v>
      </c>
      <c r="J2866" s="9">
        <f t="shared" si="44"/>
        <v>17.912000000000003</v>
      </c>
      <c r="K2866" t="s">
        <v>53</v>
      </c>
      <c r="L2866" t="s">
        <v>17</v>
      </c>
      <c r="M2866" t="str">
        <f>REPLACE(Transactions!M2866,1,4,"")</f>
        <v>19</v>
      </c>
    </row>
    <row r="2867" spans="1:13" x14ac:dyDescent="0.2">
      <c r="A2867">
        <v>575913</v>
      </c>
      <c r="B2867" s="5">
        <v>44699</v>
      </c>
      <c r="C2867">
        <v>51182</v>
      </c>
      <c r="D2867" t="str">
        <f>PROPER(Transactions!D2867)</f>
        <v>Automotive</v>
      </c>
      <c r="E2867" t="s">
        <v>125</v>
      </c>
      <c r="F2867" t="s">
        <v>126</v>
      </c>
      <c r="G2867">
        <v>1</v>
      </c>
      <c r="H2867">
        <v>28.49</v>
      </c>
      <c r="I2867" s="7">
        <f>IF(Transactions!I2867="",0,Transactions!I2867)</f>
        <v>0.05</v>
      </c>
      <c r="J2867" s="9">
        <f t="shared" si="44"/>
        <v>27.065499999999997</v>
      </c>
      <c r="K2867" t="s">
        <v>95</v>
      </c>
      <c r="L2867" t="s">
        <v>23</v>
      </c>
      <c r="M2867" t="str">
        <f>REPLACE(Transactions!M2867,1,4,"")</f>
        <v>14</v>
      </c>
    </row>
    <row r="2868" spans="1:13" x14ac:dyDescent="0.2">
      <c r="A2868">
        <v>575973</v>
      </c>
      <c r="B2868" s="5">
        <v>45591</v>
      </c>
      <c r="C2868">
        <v>85520</v>
      </c>
      <c r="D2868" t="str">
        <f>PROPER(Transactions!D2868)</f>
        <v>Grocery</v>
      </c>
      <c r="E2868" t="s">
        <v>74</v>
      </c>
      <c r="F2868" t="s">
        <v>75</v>
      </c>
      <c r="G2868">
        <v>2</v>
      </c>
      <c r="H2868">
        <v>2.09</v>
      </c>
      <c r="I2868" s="7">
        <f>IF(Transactions!I2868="",0,Transactions!I2868)</f>
        <v>0.3</v>
      </c>
      <c r="J2868" s="9">
        <f t="shared" si="44"/>
        <v>2.9259999999999997</v>
      </c>
      <c r="K2868" t="s">
        <v>36</v>
      </c>
      <c r="L2868" t="s">
        <v>37</v>
      </c>
      <c r="M2868" t="str">
        <f>REPLACE(Transactions!M2868,1,4,"")</f>
        <v>5</v>
      </c>
    </row>
    <row r="2869" spans="1:13" x14ac:dyDescent="0.2">
      <c r="A2869">
        <v>576136</v>
      </c>
      <c r="B2869" s="5">
        <v>45167</v>
      </c>
      <c r="C2869">
        <v>34318</v>
      </c>
      <c r="D2869" t="str">
        <f>PROPER(Transactions!D2869)</f>
        <v>Automotive</v>
      </c>
      <c r="E2869" t="s">
        <v>131</v>
      </c>
      <c r="F2869" t="s">
        <v>132</v>
      </c>
      <c r="G2869">
        <v>2</v>
      </c>
      <c r="H2869">
        <v>3.14</v>
      </c>
      <c r="I2869" s="7">
        <f>IF(Transactions!I2869="",0,Transactions!I2869)</f>
        <v>0.1</v>
      </c>
      <c r="J2869" s="9">
        <f t="shared" si="44"/>
        <v>5.6520000000000001</v>
      </c>
      <c r="K2869" t="s">
        <v>36</v>
      </c>
      <c r="L2869" t="s">
        <v>17</v>
      </c>
      <c r="M2869" t="str">
        <f>REPLACE(Transactions!M2869,1,4,"")</f>
        <v>5</v>
      </c>
    </row>
    <row r="2870" spans="1:13" x14ac:dyDescent="0.2">
      <c r="A2870">
        <v>576197</v>
      </c>
      <c r="B2870" s="5">
        <v>45360</v>
      </c>
      <c r="C2870">
        <v>37876</v>
      </c>
      <c r="D2870" t="str">
        <f>PROPER(Transactions!D2870)</f>
        <v>Automotive</v>
      </c>
      <c r="E2870" t="s">
        <v>125</v>
      </c>
      <c r="F2870" t="s">
        <v>126</v>
      </c>
      <c r="G2870">
        <v>2</v>
      </c>
      <c r="H2870">
        <v>25.49</v>
      </c>
      <c r="I2870" s="7">
        <f>IF(Transactions!I2870="",0,Transactions!I2870)</f>
        <v>0.15</v>
      </c>
      <c r="J2870" s="9">
        <f t="shared" si="44"/>
        <v>43.332999999999998</v>
      </c>
      <c r="K2870" t="s">
        <v>16</v>
      </c>
      <c r="L2870" t="s">
        <v>17</v>
      </c>
      <c r="M2870" t="str">
        <f>REPLACE(Transactions!M2870,1,4,"")</f>
        <v>14</v>
      </c>
    </row>
    <row r="2871" spans="1:13" x14ac:dyDescent="0.2">
      <c r="A2871">
        <v>576345</v>
      </c>
      <c r="B2871" s="5">
        <v>45170</v>
      </c>
      <c r="D2871" t="str">
        <f>PROPER(Transactions!D2871)</f>
        <v>Grocery</v>
      </c>
      <c r="E2871" t="s">
        <v>195</v>
      </c>
      <c r="F2871" t="s">
        <v>196</v>
      </c>
      <c r="G2871">
        <v>1</v>
      </c>
      <c r="H2871">
        <v>4.24</v>
      </c>
      <c r="I2871" s="7">
        <f>IF(Transactions!I2871="",0,Transactions!I2871)</f>
        <v>0.15</v>
      </c>
      <c r="J2871" s="9">
        <f t="shared" si="44"/>
        <v>3.6040000000000001</v>
      </c>
      <c r="K2871" t="s">
        <v>16</v>
      </c>
      <c r="L2871" t="s">
        <v>17</v>
      </c>
      <c r="M2871" t="str">
        <f>REPLACE(Transactions!M2871,1,4,"")</f>
        <v>8</v>
      </c>
    </row>
    <row r="2872" spans="1:13" x14ac:dyDescent="0.2">
      <c r="A2872">
        <v>576666</v>
      </c>
      <c r="B2872" s="5">
        <v>45392</v>
      </c>
      <c r="C2872">
        <v>59638</v>
      </c>
      <c r="D2872" t="str">
        <f>PROPER(Transactions!D2872)</f>
        <v>Beauty</v>
      </c>
      <c r="E2872" t="s">
        <v>109</v>
      </c>
      <c r="F2872" t="s">
        <v>110</v>
      </c>
      <c r="G2872">
        <v>5</v>
      </c>
      <c r="H2872">
        <v>6.99</v>
      </c>
      <c r="I2872" s="7">
        <f>IF(Transactions!I2872="",0,Transactions!I2872)</f>
        <v>0</v>
      </c>
      <c r="J2872" s="9">
        <f t="shared" si="44"/>
        <v>34.950000000000003</v>
      </c>
      <c r="K2872" t="s">
        <v>22</v>
      </c>
      <c r="L2872" t="s">
        <v>17</v>
      </c>
      <c r="M2872" t="str">
        <f>REPLACE(Transactions!M2872,1,4,"")</f>
        <v>9</v>
      </c>
    </row>
    <row r="2873" spans="1:13" x14ac:dyDescent="0.2">
      <c r="A2873">
        <v>576680</v>
      </c>
      <c r="B2873" s="5">
        <v>44800</v>
      </c>
      <c r="C2873">
        <v>50001</v>
      </c>
      <c r="D2873" t="str">
        <f>PROPER(Transactions!D2873)</f>
        <v>Toys</v>
      </c>
      <c r="E2873" t="s">
        <v>88</v>
      </c>
      <c r="F2873" t="s">
        <v>89</v>
      </c>
      <c r="G2873">
        <v>1</v>
      </c>
      <c r="H2873">
        <v>44.99</v>
      </c>
      <c r="I2873" s="7">
        <f>IF(Transactions!I2873="",0,Transactions!I2873)</f>
        <v>0.1</v>
      </c>
      <c r="J2873" s="9">
        <f t="shared" si="44"/>
        <v>40.491</v>
      </c>
      <c r="K2873" t="s">
        <v>36</v>
      </c>
      <c r="L2873" t="s">
        <v>17</v>
      </c>
      <c r="M2873" t="str">
        <f>REPLACE(Transactions!M2873,1,4,"")</f>
        <v>16</v>
      </c>
    </row>
    <row r="2874" spans="1:13" x14ac:dyDescent="0.2">
      <c r="A2874">
        <v>576789</v>
      </c>
      <c r="B2874" s="5">
        <v>45594</v>
      </c>
      <c r="C2874">
        <v>90111</v>
      </c>
      <c r="D2874" t="str">
        <f>PROPER(Transactions!D2874)</f>
        <v>Furniture</v>
      </c>
      <c r="E2874" t="s">
        <v>70</v>
      </c>
      <c r="F2874" t="s">
        <v>71</v>
      </c>
      <c r="G2874">
        <v>5</v>
      </c>
      <c r="H2874">
        <v>89.99</v>
      </c>
      <c r="I2874" s="7">
        <f>IF(Transactions!I2874="",0,Transactions!I2874)</f>
        <v>0</v>
      </c>
      <c r="J2874" s="9">
        <f t="shared" si="44"/>
        <v>449.95</v>
      </c>
      <c r="K2874" t="s">
        <v>16</v>
      </c>
      <c r="L2874" t="s">
        <v>17</v>
      </c>
      <c r="M2874" t="str">
        <f>REPLACE(Transactions!M2874,1,4,"")</f>
        <v>15</v>
      </c>
    </row>
    <row r="2875" spans="1:13" x14ac:dyDescent="0.2">
      <c r="A2875">
        <v>577385</v>
      </c>
      <c r="B2875" s="5">
        <v>44801</v>
      </c>
      <c r="C2875">
        <v>27545</v>
      </c>
      <c r="D2875" t="str">
        <f>PROPER(Transactions!D2875)</f>
        <v>Pharmacy</v>
      </c>
      <c r="E2875" t="s">
        <v>115</v>
      </c>
      <c r="F2875" t="s">
        <v>116</v>
      </c>
      <c r="G2875">
        <v>2</v>
      </c>
      <c r="H2875">
        <v>9.74</v>
      </c>
      <c r="I2875" s="7">
        <f>IF(Transactions!I2875="",0,Transactions!I2875)</f>
        <v>0.25</v>
      </c>
      <c r="J2875" s="9">
        <f t="shared" si="44"/>
        <v>14.61</v>
      </c>
      <c r="K2875" t="s">
        <v>16</v>
      </c>
      <c r="L2875" t="s">
        <v>17</v>
      </c>
      <c r="M2875" t="str">
        <f>REPLACE(Transactions!M2875,1,4,"")</f>
        <v>9</v>
      </c>
    </row>
    <row r="2876" spans="1:13" x14ac:dyDescent="0.2">
      <c r="A2876">
        <v>577621</v>
      </c>
      <c r="B2876" s="5">
        <v>44613</v>
      </c>
      <c r="C2876">
        <v>89099</v>
      </c>
      <c r="D2876" t="str">
        <f>PROPER(Transactions!D2876)</f>
        <v>Clothing</v>
      </c>
      <c r="E2876" t="s">
        <v>135</v>
      </c>
      <c r="F2876" t="s">
        <v>136</v>
      </c>
      <c r="G2876">
        <v>3</v>
      </c>
      <c r="H2876">
        <v>6.99</v>
      </c>
      <c r="I2876" s="7">
        <f>IF(Transactions!I2876="",0,Transactions!I2876)</f>
        <v>0.3</v>
      </c>
      <c r="J2876" s="9">
        <f t="shared" si="44"/>
        <v>14.678999999999998</v>
      </c>
      <c r="K2876" t="s">
        <v>16</v>
      </c>
      <c r="L2876" t="s">
        <v>17</v>
      </c>
      <c r="M2876" t="str">
        <f>REPLACE(Transactions!M2876,1,4,"")</f>
        <v>13</v>
      </c>
    </row>
    <row r="2877" spans="1:13" x14ac:dyDescent="0.2">
      <c r="A2877">
        <v>577656</v>
      </c>
      <c r="B2877" s="5">
        <v>45194</v>
      </c>
      <c r="C2877">
        <v>16160</v>
      </c>
      <c r="D2877" t="str">
        <f>PROPER(Transactions!D2877)</f>
        <v>Electronics</v>
      </c>
      <c r="E2877" t="s">
        <v>159</v>
      </c>
      <c r="F2877" t="s">
        <v>160</v>
      </c>
      <c r="G2877">
        <v>1</v>
      </c>
      <c r="H2877">
        <v>59.99</v>
      </c>
      <c r="I2877" s="7">
        <f>IF(Transactions!I2877="",0,Transactions!I2877)</f>
        <v>0</v>
      </c>
      <c r="J2877" s="9">
        <f t="shared" si="44"/>
        <v>59.99</v>
      </c>
      <c r="K2877" t="s">
        <v>36</v>
      </c>
      <c r="L2877" t="s">
        <v>17</v>
      </c>
      <c r="M2877" t="str">
        <f>REPLACE(Transactions!M2877,1,4,"")</f>
        <v>15</v>
      </c>
    </row>
    <row r="2878" spans="1:13" x14ac:dyDescent="0.2">
      <c r="A2878">
        <v>577847</v>
      </c>
      <c r="B2878" s="5">
        <v>45157</v>
      </c>
      <c r="C2878">
        <v>57292</v>
      </c>
      <c r="D2878" t="str">
        <f>PROPER(Transactions!D2878)</f>
        <v>Clothing</v>
      </c>
      <c r="E2878" t="s">
        <v>141</v>
      </c>
      <c r="F2878" t="s">
        <v>142</v>
      </c>
      <c r="G2878">
        <v>1</v>
      </c>
      <c r="H2878">
        <v>22.99</v>
      </c>
      <c r="I2878" s="7">
        <f>IF(Transactions!I2878="",0,Transactions!I2878)</f>
        <v>0</v>
      </c>
      <c r="J2878" s="9">
        <f t="shared" si="44"/>
        <v>22.99</v>
      </c>
      <c r="K2878" t="s">
        <v>53</v>
      </c>
      <c r="L2878" t="s">
        <v>17</v>
      </c>
      <c r="M2878" t="str">
        <f>REPLACE(Transactions!M2878,1,4,"")</f>
        <v>14</v>
      </c>
    </row>
    <row r="2879" spans="1:13" x14ac:dyDescent="0.2">
      <c r="A2879">
        <v>577867</v>
      </c>
      <c r="B2879" s="5">
        <v>45007</v>
      </c>
      <c r="D2879" t="str">
        <f>PROPER(Transactions!D2879)</f>
        <v>Automotive</v>
      </c>
      <c r="E2879" t="s">
        <v>125</v>
      </c>
      <c r="F2879" t="s">
        <v>126</v>
      </c>
      <c r="G2879">
        <v>3</v>
      </c>
      <c r="H2879">
        <v>22.49</v>
      </c>
      <c r="I2879" s="7">
        <f>IF(Transactions!I2879="",0,Transactions!I2879)</f>
        <v>0.25</v>
      </c>
      <c r="J2879" s="9">
        <f t="shared" si="44"/>
        <v>50.602499999999999</v>
      </c>
      <c r="K2879" t="s">
        <v>53</v>
      </c>
      <c r="L2879" t="s">
        <v>17</v>
      </c>
      <c r="M2879" t="str">
        <f>REPLACE(Transactions!M2879,1,4,"")</f>
        <v/>
      </c>
    </row>
    <row r="2880" spans="1:13" x14ac:dyDescent="0.2">
      <c r="A2880">
        <v>578015</v>
      </c>
      <c r="B2880" s="5">
        <v>45271</v>
      </c>
      <c r="C2880">
        <v>37269</v>
      </c>
      <c r="D2880" t="str">
        <f>PROPER(Transactions!D2880)</f>
        <v>Clothing</v>
      </c>
      <c r="E2880" t="s">
        <v>135</v>
      </c>
      <c r="F2880" t="s">
        <v>136</v>
      </c>
      <c r="G2880">
        <v>1</v>
      </c>
      <c r="H2880">
        <v>8.49</v>
      </c>
      <c r="I2880" s="7">
        <f>IF(Transactions!I2880="",0,Transactions!I2880)</f>
        <v>0.15</v>
      </c>
      <c r="J2880" s="9">
        <f t="shared" si="44"/>
        <v>7.2164999999999999</v>
      </c>
      <c r="K2880" t="s">
        <v>16</v>
      </c>
      <c r="L2880" t="s">
        <v>23</v>
      </c>
      <c r="M2880" t="str">
        <f>REPLACE(Transactions!M2880,1,4,"")</f>
        <v>2</v>
      </c>
    </row>
    <row r="2881" spans="1:13" x14ac:dyDescent="0.2">
      <c r="A2881">
        <v>578151</v>
      </c>
      <c r="B2881" s="5">
        <v>45144</v>
      </c>
      <c r="C2881">
        <v>30585</v>
      </c>
      <c r="D2881" t="str">
        <f>PROPER(Transactions!D2881)</f>
        <v>Clothing</v>
      </c>
      <c r="E2881" t="s">
        <v>135</v>
      </c>
      <c r="F2881" t="s">
        <v>136</v>
      </c>
      <c r="G2881">
        <v>5</v>
      </c>
      <c r="H2881">
        <v>8.99</v>
      </c>
      <c r="I2881" s="7">
        <f>IF(Transactions!I2881="",0,Transactions!I2881)</f>
        <v>0.1</v>
      </c>
      <c r="J2881" s="9">
        <f t="shared" si="44"/>
        <v>40.455000000000005</v>
      </c>
      <c r="K2881" t="s">
        <v>36</v>
      </c>
      <c r="L2881" t="s">
        <v>17</v>
      </c>
      <c r="M2881" t="str">
        <f>REPLACE(Transactions!M2881,1,4,"")</f>
        <v>12</v>
      </c>
    </row>
    <row r="2882" spans="1:13" x14ac:dyDescent="0.2">
      <c r="A2882">
        <v>578160</v>
      </c>
      <c r="B2882" s="5">
        <v>45339</v>
      </c>
      <c r="C2882">
        <v>50596</v>
      </c>
      <c r="D2882" t="str">
        <f>PROPER(Transactions!D2882)</f>
        <v>Sports</v>
      </c>
      <c r="E2882" t="s">
        <v>147</v>
      </c>
      <c r="F2882" t="s">
        <v>148</v>
      </c>
      <c r="G2882">
        <v>1</v>
      </c>
      <c r="H2882">
        <v>12.99</v>
      </c>
      <c r="I2882" s="7">
        <f>IF(Transactions!I2882="",0,Transactions!I2882)</f>
        <v>0</v>
      </c>
      <c r="J2882" s="9">
        <f t="shared" si="44"/>
        <v>12.99</v>
      </c>
      <c r="K2882" t="s">
        <v>16</v>
      </c>
      <c r="L2882" t="s">
        <v>17</v>
      </c>
      <c r="M2882" t="str">
        <f>REPLACE(Transactions!M2882,1,4,"")</f>
        <v>7</v>
      </c>
    </row>
    <row r="2883" spans="1:13" x14ac:dyDescent="0.2">
      <c r="A2883">
        <v>578266</v>
      </c>
      <c r="B2883" s="5">
        <v>45024</v>
      </c>
      <c r="C2883">
        <v>38920</v>
      </c>
      <c r="D2883" t="str">
        <f>PROPER(Transactions!D2883)</f>
        <v>Pharmacy</v>
      </c>
      <c r="E2883" t="s">
        <v>58</v>
      </c>
      <c r="F2883" t="s">
        <v>59</v>
      </c>
      <c r="G2883">
        <v>1</v>
      </c>
      <c r="H2883">
        <v>2.99</v>
      </c>
      <c r="I2883" s="7">
        <f>IF(Transactions!I2883="",0,Transactions!I2883)</f>
        <v>0.25</v>
      </c>
      <c r="J2883" s="9">
        <f t="shared" ref="J2883:J2946" si="45">(H2883*G2883)*(1-I2883)</f>
        <v>2.2425000000000002</v>
      </c>
      <c r="K2883" t="s">
        <v>16</v>
      </c>
      <c r="L2883" t="s">
        <v>17</v>
      </c>
      <c r="M2883" t="str">
        <f>REPLACE(Transactions!M2883,1,4,"")</f>
        <v>1</v>
      </c>
    </row>
    <row r="2884" spans="1:13" x14ac:dyDescent="0.2">
      <c r="A2884">
        <v>578788</v>
      </c>
      <c r="B2884" s="5">
        <v>45037</v>
      </c>
      <c r="C2884">
        <v>88916</v>
      </c>
      <c r="D2884" t="str">
        <f>PROPER(Transactions!D2884)</f>
        <v>Electronics</v>
      </c>
      <c r="E2884" t="s">
        <v>186</v>
      </c>
      <c r="F2884" t="s">
        <v>187</v>
      </c>
      <c r="G2884">
        <v>5</v>
      </c>
      <c r="H2884">
        <v>42.49</v>
      </c>
      <c r="I2884" s="7">
        <f>IF(Transactions!I2884="",0,Transactions!I2884)</f>
        <v>0.15</v>
      </c>
      <c r="J2884" s="9">
        <f t="shared" si="45"/>
        <v>180.58250000000001</v>
      </c>
      <c r="K2884" t="s">
        <v>36</v>
      </c>
      <c r="L2884" t="s">
        <v>17</v>
      </c>
      <c r="M2884" t="str">
        <f>REPLACE(Transactions!M2884,1,4,"")</f>
        <v>16</v>
      </c>
    </row>
    <row r="2885" spans="1:13" x14ac:dyDescent="0.2">
      <c r="A2885">
        <v>578842</v>
      </c>
      <c r="B2885" s="5">
        <v>45127</v>
      </c>
      <c r="C2885">
        <v>30445</v>
      </c>
      <c r="D2885" t="str">
        <f>PROPER(Transactions!D2885)</f>
        <v>Furniture</v>
      </c>
      <c r="E2885" t="s">
        <v>26</v>
      </c>
      <c r="F2885" t="s">
        <v>27</v>
      </c>
      <c r="G2885">
        <v>3</v>
      </c>
      <c r="H2885">
        <v>29.74</v>
      </c>
      <c r="I2885" s="7">
        <f>IF(Transactions!I2885="",0,Transactions!I2885)</f>
        <v>0.15</v>
      </c>
      <c r="J2885" s="9">
        <f t="shared" si="45"/>
        <v>75.837000000000003</v>
      </c>
      <c r="K2885" t="s">
        <v>53</v>
      </c>
      <c r="L2885" t="s">
        <v>37</v>
      </c>
      <c r="M2885" t="str">
        <f>REPLACE(Transactions!M2885,1,4,"")</f>
        <v>17</v>
      </c>
    </row>
    <row r="2886" spans="1:13" x14ac:dyDescent="0.2">
      <c r="A2886">
        <v>579121</v>
      </c>
      <c r="B2886" s="5">
        <v>45132</v>
      </c>
      <c r="C2886">
        <v>94172</v>
      </c>
      <c r="D2886" t="str">
        <f>PROPER(Transactions!D2886)</f>
        <v>Automotive</v>
      </c>
      <c r="E2886" t="s">
        <v>68</v>
      </c>
      <c r="F2886" t="s">
        <v>69</v>
      </c>
      <c r="G2886">
        <v>1</v>
      </c>
      <c r="H2886">
        <v>23.74</v>
      </c>
      <c r="I2886" s="7">
        <f>IF(Transactions!I2886="",0,Transactions!I2886)</f>
        <v>0.05</v>
      </c>
      <c r="J2886" s="9">
        <f t="shared" si="45"/>
        <v>22.552999999999997</v>
      </c>
      <c r="K2886" t="s">
        <v>22</v>
      </c>
      <c r="L2886" t="s">
        <v>37</v>
      </c>
      <c r="M2886" t="str">
        <f>REPLACE(Transactions!M2886,1,4,"")</f>
        <v>4</v>
      </c>
    </row>
    <row r="2887" spans="1:13" x14ac:dyDescent="0.2">
      <c r="A2887">
        <v>579389</v>
      </c>
      <c r="B2887" s="5">
        <v>44879</v>
      </c>
      <c r="C2887">
        <v>67932</v>
      </c>
      <c r="D2887" t="str">
        <f>PROPER(Transactions!D2887)</f>
        <v>Electronics</v>
      </c>
      <c r="E2887" t="s">
        <v>159</v>
      </c>
      <c r="F2887" t="s">
        <v>160</v>
      </c>
      <c r="G2887">
        <v>3</v>
      </c>
      <c r="H2887">
        <v>47.99</v>
      </c>
      <c r="I2887" s="7">
        <f>IF(Transactions!I2887="",0,Transactions!I2887)</f>
        <v>0.2</v>
      </c>
      <c r="J2887" s="9">
        <f t="shared" si="45"/>
        <v>115.176</v>
      </c>
      <c r="K2887" t="s">
        <v>16</v>
      </c>
      <c r="L2887" t="s">
        <v>23</v>
      </c>
      <c r="M2887" t="str">
        <f>REPLACE(Transactions!M2887,1,4,"")</f>
        <v>10</v>
      </c>
    </row>
    <row r="2888" spans="1:13" x14ac:dyDescent="0.2">
      <c r="A2888">
        <v>579585</v>
      </c>
      <c r="B2888" s="5">
        <v>44641</v>
      </c>
      <c r="C2888">
        <v>73017</v>
      </c>
      <c r="D2888" t="str">
        <f>PROPER(Transactions!D2888)</f>
        <v>Pharmacy</v>
      </c>
      <c r="E2888" t="s">
        <v>20</v>
      </c>
      <c r="F2888" t="s">
        <v>21</v>
      </c>
      <c r="G2888">
        <v>1</v>
      </c>
      <c r="H2888">
        <v>7.99</v>
      </c>
      <c r="I2888" s="7">
        <f>IF(Transactions!I2888="",0,Transactions!I2888)</f>
        <v>0.2</v>
      </c>
      <c r="J2888" s="9">
        <f t="shared" si="45"/>
        <v>6.3920000000000003</v>
      </c>
      <c r="K2888" t="s">
        <v>36</v>
      </c>
      <c r="L2888" t="s">
        <v>37</v>
      </c>
      <c r="M2888" t="str">
        <f>REPLACE(Transactions!M2888,1,4,"")</f>
        <v>3</v>
      </c>
    </row>
    <row r="2889" spans="1:13" x14ac:dyDescent="0.2">
      <c r="A2889">
        <v>579947</v>
      </c>
      <c r="B2889" s="5">
        <v>45110</v>
      </c>
      <c r="C2889">
        <v>28585</v>
      </c>
      <c r="D2889" t="str">
        <f>PROPER(Transactions!D2889)</f>
        <v>Grocery</v>
      </c>
      <c r="E2889" t="s">
        <v>93</v>
      </c>
      <c r="F2889" t="s">
        <v>94</v>
      </c>
      <c r="G2889">
        <v>1</v>
      </c>
      <c r="H2889">
        <v>1.23</v>
      </c>
      <c r="I2889" s="7">
        <f>IF(Transactions!I2889="",0,Transactions!I2889)</f>
        <v>0.05</v>
      </c>
      <c r="J2889" s="9">
        <f t="shared" si="45"/>
        <v>1.1684999999999999</v>
      </c>
      <c r="K2889" t="s">
        <v>22</v>
      </c>
      <c r="L2889" t="s">
        <v>37</v>
      </c>
      <c r="M2889" t="str">
        <f>REPLACE(Transactions!M2889,1,4,"")</f>
        <v>5</v>
      </c>
    </row>
    <row r="2890" spans="1:13" x14ac:dyDescent="0.2">
      <c r="A2890">
        <v>580115</v>
      </c>
      <c r="B2890" s="5">
        <v>44696</v>
      </c>
      <c r="C2890">
        <v>20085</v>
      </c>
      <c r="D2890" t="str">
        <f>PROPER(Transactions!D2890)</f>
        <v>Sports</v>
      </c>
      <c r="E2890" t="s">
        <v>155</v>
      </c>
      <c r="F2890" t="s">
        <v>156</v>
      </c>
      <c r="G2890">
        <v>5</v>
      </c>
      <c r="H2890">
        <v>18.989999999999998</v>
      </c>
      <c r="I2890" s="7">
        <f>IF(Transactions!I2890="",0,Transactions!I2890)</f>
        <v>0.05</v>
      </c>
      <c r="J2890" s="9">
        <f t="shared" si="45"/>
        <v>90.202499999999986</v>
      </c>
      <c r="K2890" t="s">
        <v>16</v>
      </c>
      <c r="L2890" t="s">
        <v>17</v>
      </c>
      <c r="M2890" t="str">
        <f>REPLACE(Transactions!M2890,1,4,"")</f>
        <v/>
      </c>
    </row>
    <row r="2891" spans="1:13" x14ac:dyDescent="0.2">
      <c r="A2891">
        <v>580150</v>
      </c>
      <c r="B2891" s="5">
        <v>45391</v>
      </c>
      <c r="C2891">
        <v>14932</v>
      </c>
      <c r="D2891" t="str">
        <f>PROPER(Transactions!D2891)</f>
        <v>Furniture</v>
      </c>
      <c r="E2891" t="s">
        <v>26</v>
      </c>
      <c r="F2891" t="s">
        <v>27</v>
      </c>
      <c r="G2891">
        <v>1</v>
      </c>
      <c r="H2891">
        <v>29.74</v>
      </c>
      <c r="I2891" s="7">
        <f>IF(Transactions!I2891="",0,Transactions!I2891)</f>
        <v>0.15</v>
      </c>
      <c r="J2891" s="9">
        <f t="shared" si="45"/>
        <v>25.278999999999996</v>
      </c>
      <c r="K2891" t="s">
        <v>16</v>
      </c>
      <c r="L2891" t="s">
        <v>17</v>
      </c>
      <c r="M2891" t="str">
        <f>REPLACE(Transactions!M2891,1,4,"")</f>
        <v>9</v>
      </c>
    </row>
    <row r="2892" spans="1:13" x14ac:dyDescent="0.2">
      <c r="A2892">
        <v>580242</v>
      </c>
      <c r="B2892" s="5">
        <v>45608</v>
      </c>
      <c r="D2892" t="str">
        <f>PROPER(Transactions!D2892)</f>
        <v>Electronics</v>
      </c>
      <c r="E2892" t="s">
        <v>159</v>
      </c>
      <c r="F2892" t="s">
        <v>160</v>
      </c>
      <c r="G2892">
        <v>1</v>
      </c>
      <c r="H2892">
        <v>50.99</v>
      </c>
      <c r="I2892" s="7">
        <f>IF(Transactions!I2892="",0,Transactions!I2892)</f>
        <v>0.15</v>
      </c>
      <c r="J2892" s="9">
        <f t="shared" si="45"/>
        <v>43.341500000000003</v>
      </c>
      <c r="K2892" t="s">
        <v>36</v>
      </c>
      <c r="L2892" t="s">
        <v>37</v>
      </c>
      <c r="M2892" t="str">
        <f>REPLACE(Transactions!M2892,1,4,"")</f>
        <v>17</v>
      </c>
    </row>
    <row r="2893" spans="1:13" x14ac:dyDescent="0.2">
      <c r="A2893">
        <v>580585</v>
      </c>
      <c r="B2893" s="5">
        <v>44927</v>
      </c>
      <c r="C2893">
        <v>54929</v>
      </c>
      <c r="D2893" t="str">
        <f>PROPER(Transactions!D2893)</f>
        <v>Pharmacy</v>
      </c>
      <c r="E2893" t="s">
        <v>58</v>
      </c>
      <c r="F2893" t="s">
        <v>59</v>
      </c>
      <c r="G2893">
        <v>1</v>
      </c>
      <c r="H2893">
        <v>2.99</v>
      </c>
      <c r="I2893" s="7">
        <f>IF(Transactions!I2893="",0,Transactions!I2893)</f>
        <v>0.25</v>
      </c>
      <c r="J2893" s="9">
        <f t="shared" si="45"/>
        <v>2.2425000000000002</v>
      </c>
      <c r="K2893" t="s">
        <v>36</v>
      </c>
      <c r="L2893" t="s">
        <v>17</v>
      </c>
      <c r="M2893" t="str">
        <f>REPLACE(Transactions!M2893,1,4,"")</f>
        <v>20</v>
      </c>
    </row>
    <row r="2894" spans="1:13" x14ac:dyDescent="0.2">
      <c r="A2894">
        <v>580733</v>
      </c>
      <c r="B2894" s="5">
        <v>44563</v>
      </c>
      <c r="C2894">
        <v>59421</v>
      </c>
      <c r="D2894" t="str">
        <f>PROPER(Transactions!D2894)</f>
        <v>Grocery</v>
      </c>
      <c r="E2894" t="s">
        <v>162</v>
      </c>
      <c r="F2894" t="s">
        <v>163</v>
      </c>
      <c r="G2894">
        <v>4</v>
      </c>
      <c r="H2894">
        <v>7.99</v>
      </c>
      <c r="I2894" s="7">
        <f>IF(Transactions!I2894="",0,Transactions!I2894)</f>
        <v>0</v>
      </c>
      <c r="J2894" s="9">
        <f t="shared" si="45"/>
        <v>31.96</v>
      </c>
      <c r="K2894" t="s">
        <v>95</v>
      </c>
      <c r="L2894" t="s">
        <v>17</v>
      </c>
      <c r="M2894" t="str">
        <f>REPLACE(Transactions!M2894,1,4,"")</f>
        <v>14</v>
      </c>
    </row>
    <row r="2895" spans="1:13" x14ac:dyDescent="0.2">
      <c r="A2895">
        <v>580855</v>
      </c>
      <c r="B2895" s="5">
        <v>45590</v>
      </c>
      <c r="C2895">
        <v>34926</v>
      </c>
      <c r="D2895" t="str">
        <f>PROPER(Transactions!D2895)</f>
        <v>Pharmacy</v>
      </c>
      <c r="E2895" t="s">
        <v>115</v>
      </c>
      <c r="F2895" t="s">
        <v>116</v>
      </c>
      <c r="G2895">
        <v>1</v>
      </c>
      <c r="H2895">
        <v>9.74</v>
      </c>
      <c r="I2895" s="7">
        <f>IF(Transactions!I2895="",0,Transactions!I2895)</f>
        <v>0.25</v>
      </c>
      <c r="J2895" s="9">
        <f t="shared" si="45"/>
        <v>7.3049999999999997</v>
      </c>
      <c r="K2895" t="s">
        <v>53</v>
      </c>
      <c r="L2895" t="s">
        <v>17</v>
      </c>
      <c r="M2895" t="str">
        <f>REPLACE(Transactions!M2895,1,4,"")</f>
        <v>13</v>
      </c>
    </row>
    <row r="2896" spans="1:13" x14ac:dyDescent="0.2">
      <c r="A2896">
        <v>581184</v>
      </c>
      <c r="B2896" s="5">
        <v>45339</v>
      </c>
      <c r="C2896">
        <v>21566</v>
      </c>
      <c r="D2896" t="str">
        <f>PROPER(Transactions!D2896)</f>
        <v>Toys</v>
      </c>
      <c r="E2896" t="s">
        <v>170</v>
      </c>
      <c r="F2896" t="s">
        <v>171</v>
      </c>
      <c r="G2896">
        <v>1</v>
      </c>
      <c r="H2896">
        <v>12.74</v>
      </c>
      <c r="I2896" s="7">
        <f>IF(Transactions!I2896="",0,Transactions!I2896)</f>
        <v>0.15</v>
      </c>
      <c r="J2896" s="9">
        <f t="shared" si="45"/>
        <v>10.829000000000001</v>
      </c>
      <c r="K2896" t="s">
        <v>16</v>
      </c>
      <c r="L2896" t="s">
        <v>23</v>
      </c>
      <c r="M2896" t="str">
        <f>REPLACE(Transactions!M2896,1,4,"")</f>
        <v>2</v>
      </c>
    </row>
    <row r="2897" spans="1:13" x14ac:dyDescent="0.2">
      <c r="A2897">
        <v>581197</v>
      </c>
      <c r="B2897" s="5">
        <v>45611</v>
      </c>
      <c r="C2897">
        <v>71787</v>
      </c>
      <c r="D2897" t="str">
        <f>PROPER(Transactions!D2897)</f>
        <v>Toys</v>
      </c>
      <c r="E2897" t="s">
        <v>30</v>
      </c>
      <c r="F2897" t="s">
        <v>31</v>
      </c>
      <c r="G2897">
        <v>1</v>
      </c>
      <c r="H2897">
        <v>24.99</v>
      </c>
      <c r="I2897" s="7">
        <f>IF(Transactions!I2897="",0,Transactions!I2897)</f>
        <v>0</v>
      </c>
      <c r="J2897" s="9">
        <f t="shared" si="45"/>
        <v>24.99</v>
      </c>
      <c r="K2897" t="s">
        <v>22</v>
      </c>
      <c r="L2897" t="s">
        <v>17</v>
      </c>
      <c r="M2897" t="str">
        <f>REPLACE(Transactions!M2897,1,4,"")</f>
        <v>19</v>
      </c>
    </row>
    <row r="2898" spans="1:13" x14ac:dyDescent="0.2">
      <c r="A2898">
        <v>581247</v>
      </c>
      <c r="B2898" s="5">
        <v>45569</v>
      </c>
      <c r="C2898">
        <v>90547</v>
      </c>
      <c r="D2898" t="str">
        <f>PROPER(Transactions!D2898)</f>
        <v>Home &amp; Garden</v>
      </c>
      <c r="E2898" t="s">
        <v>153</v>
      </c>
      <c r="F2898" t="s">
        <v>154</v>
      </c>
      <c r="G2898">
        <v>2</v>
      </c>
      <c r="H2898">
        <v>29.99</v>
      </c>
      <c r="I2898" s="7">
        <f>IF(Transactions!I2898="",0,Transactions!I2898)</f>
        <v>0</v>
      </c>
      <c r="J2898" s="9">
        <f t="shared" si="45"/>
        <v>59.98</v>
      </c>
      <c r="K2898" t="s">
        <v>36</v>
      </c>
      <c r="L2898" t="s">
        <v>17</v>
      </c>
      <c r="M2898" t="str">
        <f>REPLACE(Transactions!M2898,1,4,"")</f>
        <v>5</v>
      </c>
    </row>
    <row r="2899" spans="1:13" x14ac:dyDescent="0.2">
      <c r="A2899">
        <v>581282</v>
      </c>
      <c r="B2899" s="5">
        <v>45310</v>
      </c>
      <c r="C2899">
        <v>57947</v>
      </c>
      <c r="D2899" t="str">
        <f>PROPER(Transactions!D2899)</f>
        <v>Pharmacy</v>
      </c>
      <c r="E2899" t="s">
        <v>41</v>
      </c>
      <c r="F2899" t="s">
        <v>42</v>
      </c>
      <c r="G2899">
        <v>4</v>
      </c>
      <c r="H2899">
        <v>4.1900000000000004</v>
      </c>
      <c r="I2899" s="7">
        <f>IF(Transactions!I2899="",0,Transactions!I2899)</f>
        <v>0.3</v>
      </c>
      <c r="J2899" s="9">
        <f t="shared" si="45"/>
        <v>11.732000000000001</v>
      </c>
      <c r="K2899" t="s">
        <v>53</v>
      </c>
      <c r="L2899" t="s">
        <v>17</v>
      </c>
      <c r="M2899" t="str">
        <f>REPLACE(Transactions!M2899,1,4,"")</f>
        <v>14</v>
      </c>
    </row>
    <row r="2900" spans="1:13" x14ac:dyDescent="0.2">
      <c r="A2900">
        <v>581688</v>
      </c>
      <c r="B2900" s="5">
        <v>44674</v>
      </c>
      <c r="C2900">
        <v>66157</v>
      </c>
      <c r="D2900" t="str">
        <f>PROPER(Transactions!D2900)</f>
        <v>Sports</v>
      </c>
      <c r="E2900" t="s">
        <v>168</v>
      </c>
      <c r="F2900" t="s">
        <v>169</v>
      </c>
      <c r="G2900">
        <v>5</v>
      </c>
      <c r="H2900">
        <v>8.99</v>
      </c>
      <c r="I2900" s="7">
        <f>IF(Transactions!I2900="",0,Transactions!I2900)</f>
        <v>0</v>
      </c>
      <c r="J2900" s="9">
        <f t="shared" si="45"/>
        <v>44.95</v>
      </c>
      <c r="K2900" t="s">
        <v>16</v>
      </c>
      <c r="L2900" t="s">
        <v>17</v>
      </c>
      <c r="M2900" t="str">
        <f>REPLACE(Transactions!M2900,1,4,"")</f>
        <v>16</v>
      </c>
    </row>
    <row r="2901" spans="1:13" x14ac:dyDescent="0.2">
      <c r="A2901">
        <v>581759</v>
      </c>
      <c r="B2901" s="5">
        <v>45587</v>
      </c>
      <c r="D2901" t="str">
        <f>PROPER(Transactions!D2901)</f>
        <v>Home &amp; Garden</v>
      </c>
      <c r="E2901" t="s">
        <v>145</v>
      </c>
      <c r="F2901" t="s">
        <v>146</v>
      </c>
      <c r="G2901">
        <v>1</v>
      </c>
      <c r="H2901">
        <v>16.989999999999998</v>
      </c>
      <c r="I2901" s="7">
        <f>IF(Transactions!I2901="",0,Transactions!I2901)</f>
        <v>0</v>
      </c>
      <c r="J2901" s="9">
        <f t="shared" si="45"/>
        <v>16.989999999999998</v>
      </c>
      <c r="K2901" t="s">
        <v>36</v>
      </c>
      <c r="L2901" t="s">
        <v>17</v>
      </c>
      <c r="M2901" t="str">
        <f>REPLACE(Transactions!M2901,1,4,"")</f>
        <v/>
      </c>
    </row>
    <row r="2902" spans="1:13" x14ac:dyDescent="0.2">
      <c r="A2902">
        <v>581813</v>
      </c>
      <c r="B2902" s="5">
        <v>45309</v>
      </c>
      <c r="C2902">
        <v>61602</v>
      </c>
      <c r="D2902" t="str">
        <f>PROPER(Transactions!D2902)</f>
        <v>Beauty</v>
      </c>
      <c r="E2902" t="s">
        <v>49</v>
      </c>
      <c r="F2902" t="s">
        <v>50</v>
      </c>
      <c r="G2902">
        <v>4</v>
      </c>
      <c r="H2902">
        <v>8.09</v>
      </c>
      <c r="I2902" s="7">
        <f>IF(Transactions!I2902="",0,Transactions!I2902)</f>
        <v>0.1</v>
      </c>
      <c r="J2902" s="9">
        <f t="shared" si="45"/>
        <v>29.123999999999999</v>
      </c>
      <c r="K2902" t="s">
        <v>16</v>
      </c>
      <c r="L2902" t="s">
        <v>17</v>
      </c>
      <c r="M2902" t="str">
        <f>REPLACE(Transactions!M2902,1,4,"")</f>
        <v>7</v>
      </c>
    </row>
    <row r="2903" spans="1:13" x14ac:dyDescent="0.2">
      <c r="A2903">
        <v>581903</v>
      </c>
      <c r="B2903" s="5">
        <v>44889</v>
      </c>
      <c r="C2903">
        <v>26176</v>
      </c>
      <c r="D2903" t="str">
        <f>PROPER(Transactions!D2903)</f>
        <v>Electronics</v>
      </c>
      <c r="E2903" t="s">
        <v>55</v>
      </c>
      <c r="F2903" t="s">
        <v>56</v>
      </c>
      <c r="G2903">
        <v>1</v>
      </c>
      <c r="H2903">
        <v>313.49</v>
      </c>
      <c r="I2903" s="7">
        <f>IF(Transactions!I2903="",0,Transactions!I2903)</f>
        <v>0.05</v>
      </c>
      <c r="J2903" s="9">
        <f t="shared" si="45"/>
        <v>297.81549999999999</v>
      </c>
      <c r="K2903" t="s">
        <v>16</v>
      </c>
      <c r="L2903" t="s">
        <v>23</v>
      </c>
      <c r="M2903" t="str">
        <f>REPLACE(Transactions!M2903,1,4,"")</f>
        <v>16</v>
      </c>
    </row>
    <row r="2904" spans="1:13" x14ac:dyDescent="0.2">
      <c r="A2904">
        <v>582055</v>
      </c>
      <c r="B2904" s="5">
        <v>44755</v>
      </c>
      <c r="C2904">
        <v>58847</v>
      </c>
      <c r="D2904" t="str">
        <f>PROPER(Transactions!D2904)</f>
        <v>Grocery</v>
      </c>
      <c r="E2904" t="s">
        <v>91</v>
      </c>
      <c r="F2904" t="s">
        <v>92</v>
      </c>
      <c r="G2904">
        <v>5</v>
      </c>
      <c r="H2904">
        <v>5.98</v>
      </c>
      <c r="I2904" s="7">
        <f>IF(Transactions!I2904="",0,Transactions!I2904)</f>
        <v>0.05</v>
      </c>
      <c r="J2904" s="9">
        <f t="shared" si="45"/>
        <v>28.405000000000001</v>
      </c>
      <c r="K2904" t="s">
        <v>36</v>
      </c>
      <c r="L2904" t="s">
        <v>17</v>
      </c>
      <c r="M2904" t="str">
        <f>REPLACE(Transactions!M2904,1,4,"")</f>
        <v>15</v>
      </c>
    </row>
    <row r="2905" spans="1:13" x14ac:dyDescent="0.2">
      <c r="A2905">
        <v>582100</v>
      </c>
      <c r="B2905" s="5">
        <v>45403</v>
      </c>
      <c r="D2905" t="str">
        <f>PROPER(Transactions!D2905)</f>
        <v>Home &amp; Garden</v>
      </c>
      <c r="E2905" t="s">
        <v>129</v>
      </c>
      <c r="F2905" t="s">
        <v>130</v>
      </c>
      <c r="G2905">
        <v>4</v>
      </c>
      <c r="H2905">
        <v>6.29</v>
      </c>
      <c r="I2905" s="7">
        <f>IF(Transactions!I2905="",0,Transactions!I2905)</f>
        <v>0.3</v>
      </c>
      <c r="J2905" s="9">
        <f t="shared" si="45"/>
        <v>17.611999999999998</v>
      </c>
      <c r="K2905" t="s">
        <v>16</v>
      </c>
      <c r="L2905" t="s">
        <v>17</v>
      </c>
      <c r="M2905" t="str">
        <f>REPLACE(Transactions!M2905,1,4,"")</f>
        <v>18</v>
      </c>
    </row>
    <row r="2906" spans="1:13" x14ac:dyDescent="0.2">
      <c r="A2906">
        <v>582200</v>
      </c>
      <c r="B2906" s="5">
        <v>45192</v>
      </c>
      <c r="C2906">
        <v>24961</v>
      </c>
      <c r="D2906" t="str">
        <f>PROPER(Transactions!D2906)</f>
        <v>Home &amp; Garden</v>
      </c>
      <c r="E2906" t="s">
        <v>153</v>
      </c>
      <c r="F2906" t="s">
        <v>154</v>
      </c>
      <c r="G2906">
        <v>1</v>
      </c>
      <c r="H2906">
        <v>23.99</v>
      </c>
      <c r="I2906" s="7">
        <f>IF(Transactions!I2906="",0,Transactions!I2906)</f>
        <v>0.2</v>
      </c>
      <c r="J2906" s="9">
        <f t="shared" si="45"/>
        <v>19.192</v>
      </c>
      <c r="K2906" t="s">
        <v>36</v>
      </c>
      <c r="L2906" t="s">
        <v>17</v>
      </c>
      <c r="M2906" t="str">
        <f>REPLACE(Transactions!M2906,1,4,"")</f>
        <v>9</v>
      </c>
    </row>
    <row r="2907" spans="1:13" x14ac:dyDescent="0.2">
      <c r="A2907">
        <v>582313</v>
      </c>
      <c r="B2907" s="5">
        <v>44843</v>
      </c>
      <c r="C2907">
        <v>57288</v>
      </c>
      <c r="D2907" t="str">
        <f>PROPER(Transactions!D2907)</f>
        <v>Beauty</v>
      </c>
      <c r="E2907" t="s">
        <v>118</v>
      </c>
      <c r="F2907" t="s">
        <v>119</v>
      </c>
      <c r="G2907">
        <v>1</v>
      </c>
      <c r="H2907">
        <v>4.49</v>
      </c>
      <c r="I2907" s="7">
        <f>IF(Transactions!I2907="",0,Transactions!I2907)</f>
        <v>0.1</v>
      </c>
      <c r="J2907" s="9">
        <f t="shared" si="45"/>
        <v>4.0410000000000004</v>
      </c>
      <c r="K2907" t="s">
        <v>22</v>
      </c>
      <c r="L2907" t="s">
        <v>17</v>
      </c>
      <c r="M2907" t="str">
        <f>REPLACE(Transactions!M2907,1,4,"")</f>
        <v>5</v>
      </c>
    </row>
    <row r="2908" spans="1:13" x14ac:dyDescent="0.2">
      <c r="A2908">
        <v>582363</v>
      </c>
      <c r="B2908" s="5">
        <v>44585</v>
      </c>
      <c r="C2908">
        <v>68979</v>
      </c>
      <c r="D2908" t="str">
        <f>PROPER(Transactions!D2908)</f>
        <v>Pharmacy</v>
      </c>
      <c r="E2908" t="s">
        <v>41</v>
      </c>
      <c r="F2908" t="s">
        <v>42</v>
      </c>
      <c r="G2908">
        <v>3</v>
      </c>
      <c r="H2908">
        <v>5.99</v>
      </c>
      <c r="I2908" s="7">
        <f>IF(Transactions!I2908="",0,Transactions!I2908)</f>
        <v>0</v>
      </c>
      <c r="J2908" s="9">
        <f t="shared" si="45"/>
        <v>17.97</v>
      </c>
      <c r="K2908" t="s">
        <v>53</v>
      </c>
      <c r="L2908" t="s">
        <v>37</v>
      </c>
      <c r="M2908" t="str">
        <f>REPLACE(Transactions!M2908,1,4,"")</f>
        <v>11</v>
      </c>
    </row>
    <row r="2909" spans="1:13" x14ac:dyDescent="0.2">
      <c r="A2909">
        <v>582944</v>
      </c>
      <c r="B2909" s="5">
        <v>45436</v>
      </c>
      <c r="C2909">
        <v>70623</v>
      </c>
      <c r="D2909" t="str">
        <f>PROPER(Transactions!D2909)</f>
        <v>Pharmacy</v>
      </c>
      <c r="E2909" t="s">
        <v>41</v>
      </c>
      <c r="F2909" t="s">
        <v>42</v>
      </c>
      <c r="G2909">
        <v>1</v>
      </c>
      <c r="H2909">
        <v>5.39</v>
      </c>
      <c r="I2909" s="7">
        <f>IF(Transactions!I2909="",0,Transactions!I2909)</f>
        <v>0.1</v>
      </c>
      <c r="J2909" s="9">
        <f t="shared" si="45"/>
        <v>4.851</v>
      </c>
      <c r="K2909" t="s">
        <v>36</v>
      </c>
      <c r="L2909" t="s">
        <v>37</v>
      </c>
      <c r="M2909" t="str">
        <f>REPLACE(Transactions!M2909,1,4,"")</f>
        <v>11</v>
      </c>
    </row>
    <row r="2910" spans="1:13" x14ac:dyDescent="0.2">
      <c r="A2910">
        <v>583179</v>
      </c>
      <c r="B2910" s="5">
        <v>45407</v>
      </c>
      <c r="C2910">
        <v>23831</v>
      </c>
      <c r="D2910" t="str">
        <f>PROPER(Transactions!D2910)</f>
        <v>Clothing</v>
      </c>
      <c r="E2910" t="s">
        <v>165</v>
      </c>
      <c r="F2910" t="s">
        <v>166</v>
      </c>
      <c r="G2910">
        <v>5</v>
      </c>
      <c r="H2910">
        <v>62.99</v>
      </c>
      <c r="I2910" s="7">
        <f>IF(Transactions!I2910="",0,Transactions!I2910)</f>
        <v>0.3</v>
      </c>
      <c r="J2910" s="9">
        <f t="shared" si="45"/>
        <v>220.46499999999997</v>
      </c>
      <c r="K2910" t="s">
        <v>32</v>
      </c>
      <c r="L2910" t="s">
        <v>23</v>
      </c>
      <c r="M2910" t="str">
        <f>REPLACE(Transactions!M2910,1,4,"")</f>
        <v>2</v>
      </c>
    </row>
    <row r="2911" spans="1:13" x14ac:dyDescent="0.2">
      <c r="A2911">
        <v>583464</v>
      </c>
      <c r="B2911" s="5">
        <v>45056</v>
      </c>
      <c r="C2911">
        <v>10239</v>
      </c>
      <c r="D2911" t="str">
        <f>PROPER(Transactions!D2911)</f>
        <v>Toys</v>
      </c>
      <c r="E2911" t="s">
        <v>38</v>
      </c>
      <c r="F2911" t="s">
        <v>39</v>
      </c>
      <c r="G2911">
        <v>2</v>
      </c>
      <c r="H2911">
        <v>20.99</v>
      </c>
      <c r="I2911" s="7">
        <f>IF(Transactions!I2911="",0,Transactions!I2911)</f>
        <v>0.3</v>
      </c>
      <c r="J2911" s="9">
        <f t="shared" si="45"/>
        <v>29.385999999999996</v>
      </c>
      <c r="K2911" t="s">
        <v>16</v>
      </c>
      <c r="L2911" t="s">
        <v>17</v>
      </c>
      <c r="M2911" t="str">
        <f>REPLACE(Transactions!M2911,1,4,"")</f>
        <v>8</v>
      </c>
    </row>
    <row r="2912" spans="1:13" x14ac:dyDescent="0.2">
      <c r="A2912">
        <v>583616</v>
      </c>
      <c r="B2912" s="5">
        <v>44842</v>
      </c>
      <c r="C2912">
        <v>51717</v>
      </c>
      <c r="D2912" t="str">
        <f>PROPER(Transactions!D2912)</f>
        <v>Furniture</v>
      </c>
      <c r="E2912" t="s">
        <v>70</v>
      </c>
      <c r="F2912" t="s">
        <v>71</v>
      </c>
      <c r="G2912">
        <v>1</v>
      </c>
      <c r="H2912">
        <v>85.49</v>
      </c>
      <c r="I2912" s="7">
        <f>IF(Transactions!I2912="",0,Transactions!I2912)</f>
        <v>0.05</v>
      </c>
      <c r="J2912" s="9">
        <f t="shared" si="45"/>
        <v>81.215499999999992</v>
      </c>
      <c r="K2912" t="s">
        <v>22</v>
      </c>
      <c r="L2912" t="s">
        <v>17</v>
      </c>
      <c r="M2912" t="str">
        <f>REPLACE(Transactions!M2912,1,4,"")</f>
        <v>16</v>
      </c>
    </row>
    <row r="2913" spans="1:13" x14ac:dyDescent="0.2">
      <c r="A2913">
        <v>583876</v>
      </c>
      <c r="B2913" s="5">
        <v>45217</v>
      </c>
      <c r="C2913">
        <v>74695</v>
      </c>
      <c r="D2913" t="str">
        <f>PROPER(Transactions!D2913)</f>
        <v>Toys</v>
      </c>
      <c r="E2913" t="s">
        <v>72</v>
      </c>
      <c r="F2913" t="s">
        <v>73</v>
      </c>
      <c r="G2913">
        <v>3</v>
      </c>
      <c r="H2913">
        <v>37.99</v>
      </c>
      <c r="I2913" s="7">
        <f>IF(Transactions!I2913="",0,Transactions!I2913)</f>
        <v>0.05</v>
      </c>
      <c r="J2913" s="9">
        <f t="shared" si="45"/>
        <v>108.27149999999999</v>
      </c>
      <c r="K2913" t="s">
        <v>16</v>
      </c>
      <c r="L2913" t="s">
        <v>17</v>
      </c>
      <c r="M2913" t="str">
        <f>REPLACE(Transactions!M2913,1,4,"")</f>
        <v/>
      </c>
    </row>
    <row r="2914" spans="1:13" x14ac:dyDescent="0.2">
      <c r="A2914">
        <v>584002</v>
      </c>
      <c r="B2914" s="5">
        <v>45312</v>
      </c>
      <c r="C2914">
        <v>90259</v>
      </c>
      <c r="D2914" t="str">
        <f>PROPER(Transactions!D2914)</f>
        <v>Toys</v>
      </c>
      <c r="E2914" t="s">
        <v>175</v>
      </c>
      <c r="F2914" t="s">
        <v>176</v>
      </c>
      <c r="G2914">
        <v>1</v>
      </c>
      <c r="H2914">
        <v>10.19</v>
      </c>
      <c r="I2914" s="7">
        <f>IF(Transactions!I2914="",0,Transactions!I2914)</f>
        <v>0.15</v>
      </c>
      <c r="J2914" s="9">
        <f t="shared" si="45"/>
        <v>8.6615000000000002</v>
      </c>
      <c r="K2914" t="s">
        <v>22</v>
      </c>
      <c r="L2914" t="s">
        <v>17</v>
      </c>
      <c r="M2914" t="str">
        <f>REPLACE(Transactions!M2914,1,4,"")</f>
        <v>15</v>
      </c>
    </row>
    <row r="2915" spans="1:13" x14ac:dyDescent="0.2">
      <c r="A2915">
        <v>584049</v>
      </c>
      <c r="B2915" s="5">
        <v>45100</v>
      </c>
      <c r="D2915" t="str">
        <f>PROPER(Transactions!D2915)</f>
        <v>Sports</v>
      </c>
      <c r="E2915" t="s">
        <v>155</v>
      </c>
      <c r="F2915" t="s">
        <v>156</v>
      </c>
      <c r="G2915">
        <v>1</v>
      </c>
      <c r="H2915">
        <v>14.99</v>
      </c>
      <c r="I2915" s="7">
        <f>IF(Transactions!I2915="",0,Transactions!I2915)</f>
        <v>0.25</v>
      </c>
      <c r="J2915" s="9">
        <f t="shared" si="45"/>
        <v>11.2425</v>
      </c>
      <c r="K2915" t="s">
        <v>36</v>
      </c>
      <c r="L2915" t="s">
        <v>17</v>
      </c>
      <c r="M2915" t="str">
        <f>REPLACE(Transactions!M2915,1,4,"")</f>
        <v>4</v>
      </c>
    </row>
    <row r="2916" spans="1:13" x14ac:dyDescent="0.2">
      <c r="A2916">
        <v>584051</v>
      </c>
      <c r="B2916" s="5">
        <v>45060</v>
      </c>
      <c r="C2916">
        <v>92242</v>
      </c>
      <c r="D2916" t="str">
        <f>PROPER(Transactions!D2916)</f>
        <v>Furniture</v>
      </c>
      <c r="E2916" t="s">
        <v>26</v>
      </c>
      <c r="F2916" t="s">
        <v>27</v>
      </c>
      <c r="G2916">
        <v>2</v>
      </c>
      <c r="H2916">
        <v>31.49</v>
      </c>
      <c r="I2916" s="7">
        <f>IF(Transactions!I2916="",0,Transactions!I2916)</f>
        <v>0.1</v>
      </c>
      <c r="J2916" s="9">
        <f t="shared" si="45"/>
        <v>56.681999999999995</v>
      </c>
      <c r="K2916" t="s">
        <v>16</v>
      </c>
      <c r="L2916" t="s">
        <v>17</v>
      </c>
      <c r="M2916" t="str">
        <f>REPLACE(Transactions!M2916,1,4,"")</f>
        <v>18</v>
      </c>
    </row>
    <row r="2917" spans="1:13" x14ac:dyDescent="0.2">
      <c r="A2917">
        <v>584241</v>
      </c>
      <c r="B2917" s="5">
        <v>44989</v>
      </c>
      <c r="C2917">
        <v>73654</v>
      </c>
      <c r="D2917" t="str">
        <f>PROPER(Transactions!D2917)</f>
        <v>Beauty</v>
      </c>
      <c r="E2917" t="s">
        <v>118</v>
      </c>
      <c r="F2917" t="s">
        <v>119</v>
      </c>
      <c r="G2917">
        <v>3</v>
      </c>
      <c r="H2917">
        <v>4.99</v>
      </c>
      <c r="I2917" s="7">
        <f>IF(Transactions!I2917="",0,Transactions!I2917)</f>
        <v>0</v>
      </c>
      <c r="J2917" s="9">
        <f t="shared" si="45"/>
        <v>14.97</v>
      </c>
      <c r="K2917" t="s">
        <v>22</v>
      </c>
      <c r="L2917" t="s">
        <v>23</v>
      </c>
      <c r="M2917" t="str">
        <f>REPLACE(Transactions!M2917,1,4,"")</f>
        <v>8</v>
      </c>
    </row>
    <row r="2918" spans="1:13" x14ac:dyDescent="0.2">
      <c r="A2918">
        <v>584341</v>
      </c>
      <c r="B2918" s="5">
        <v>45478</v>
      </c>
      <c r="C2918">
        <v>22067</v>
      </c>
      <c r="D2918" t="str">
        <f>PROPER(Transactions!D2918)</f>
        <v>Electronics</v>
      </c>
      <c r="E2918" t="s">
        <v>159</v>
      </c>
      <c r="F2918" t="s">
        <v>160</v>
      </c>
      <c r="G2918">
        <v>5</v>
      </c>
      <c r="H2918">
        <v>50.99</v>
      </c>
      <c r="I2918" s="7">
        <f>IF(Transactions!I2918="",0,Transactions!I2918)</f>
        <v>0.15</v>
      </c>
      <c r="J2918" s="9">
        <f t="shared" si="45"/>
        <v>216.70750000000001</v>
      </c>
      <c r="K2918" t="s">
        <v>32</v>
      </c>
      <c r="L2918" t="s">
        <v>23</v>
      </c>
      <c r="M2918" t="str">
        <f>REPLACE(Transactions!M2918,1,4,"")</f>
        <v>12</v>
      </c>
    </row>
    <row r="2919" spans="1:13" x14ac:dyDescent="0.2">
      <c r="A2919">
        <v>584425</v>
      </c>
      <c r="B2919" s="5">
        <v>45434</v>
      </c>
      <c r="C2919">
        <v>82003</v>
      </c>
      <c r="D2919" t="str">
        <f>PROPER(Transactions!D2919)</f>
        <v>Toys</v>
      </c>
      <c r="E2919" t="s">
        <v>72</v>
      </c>
      <c r="F2919" t="s">
        <v>73</v>
      </c>
      <c r="G2919">
        <v>1</v>
      </c>
      <c r="H2919">
        <v>29.99</v>
      </c>
      <c r="I2919" s="7">
        <f>IF(Transactions!I2919="",0,Transactions!I2919)</f>
        <v>0.25</v>
      </c>
      <c r="J2919" s="9">
        <f t="shared" si="45"/>
        <v>22.4925</v>
      </c>
      <c r="K2919" t="s">
        <v>36</v>
      </c>
      <c r="L2919" t="s">
        <v>37</v>
      </c>
      <c r="M2919" t="str">
        <f>REPLACE(Transactions!M2919,1,4,"")</f>
        <v>18</v>
      </c>
    </row>
    <row r="2920" spans="1:13" x14ac:dyDescent="0.2">
      <c r="A2920">
        <v>584487</v>
      </c>
      <c r="B2920" s="5">
        <v>45594</v>
      </c>
      <c r="C2920">
        <v>92564</v>
      </c>
      <c r="D2920" t="str">
        <f>PROPER(Transactions!D2920)</f>
        <v>Automotive</v>
      </c>
      <c r="E2920" t="s">
        <v>131</v>
      </c>
      <c r="F2920" t="s">
        <v>132</v>
      </c>
      <c r="G2920">
        <v>1</v>
      </c>
      <c r="H2920">
        <v>3.14</v>
      </c>
      <c r="I2920" s="7">
        <f>IF(Transactions!I2920="",0,Transactions!I2920)</f>
        <v>0</v>
      </c>
      <c r="J2920" s="9">
        <f t="shared" si="45"/>
        <v>3.14</v>
      </c>
      <c r="K2920" t="s">
        <v>36</v>
      </c>
      <c r="L2920" t="s">
        <v>37</v>
      </c>
      <c r="M2920" t="str">
        <f>REPLACE(Transactions!M2920,1,4,"")</f>
        <v>6</v>
      </c>
    </row>
    <row r="2921" spans="1:13" x14ac:dyDescent="0.2">
      <c r="A2921">
        <v>584537</v>
      </c>
      <c r="B2921" s="5">
        <v>45458</v>
      </c>
      <c r="C2921">
        <v>25503</v>
      </c>
      <c r="D2921" t="str">
        <f>PROPER(Transactions!D2921)</f>
        <v>Beauty</v>
      </c>
      <c r="E2921" t="s">
        <v>49</v>
      </c>
      <c r="F2921" t="s">
        <v>50</v>
      </c>
      <c r="G2921">
        <v>2</v>
      </c>
      <c r="H2921">
        <v>7.64</v>
      </c>
      <c r="I2921" s="7">
        <f>IF(Transactions!I2921="",0,Transactions!I2921)</f>
        <v>0.15</v>
      </c>
      <c r="J2921" s="9">
        <f t="shared" si="45"/>
        <v>12.988</v>
      </c>
      <c r="K2921" t="s">
        <v>16</v>
      </c>
      <c r="L2921" t="s">
        <v>23</v>
      </c>
      <c r="M2921" t="str">
        <f>REPLACE(Transactions!M2921,1,4,"")</f>
        <v>13</v>
      </c>
    </row>
    <row r="2922" spans="1:13" x14ac:dyDescent="0.2">
      <c r="A2922">
        <v>584596</v>
      </c>
      <c r="B2922" s="5">
        <v>44576</v>
      </c>
      <c r="C2922">
        <v>37954</v>
      </c>
      <c r="D2922" t="str">
        <f>PROPER(Transactions!D2922)</f>
        <v>Automotive</v>
      </c>
      <c r="E2922" t="s">
        <v>131</v>
      </c>
      <c r="F2922" t="s">
        <v>132</v>
      </c>
      <c r="G2922">
        <v>2</v>
      </c>
      <c r="H2922">
        <v>2.62</v>
      </c>
      <c r="I2922" s="7">
        <f>IF(Transactions!I2922="",0,Transactions!I2922)</f>
        <v>0.25</v>
      </c>
      <c r="J2922" s="9">
        <f t="shared" si="45"/>
        <v>3.93</v>
      </c>
      <c r="K2922" t="s">
        <v>36</v>
      </c>
      <c r="L2922" t="s">
        <v>37</v>
      </c>
      <c r="M2922" t="str">
        <f>REPLACE(Transactions!M2922,1,4,"")</f>
        <v>5</v>
      </c>
    </row>
    <row r="2923" spans="1:13" x14ac:dyDescent="0.2">
      <c r="A2923">
        <v>584863</v>
      </c>
      <c r="B2923" s="5">
        <v>44666</v>
      </c>
      <c r="C2923">
        <v>52889</v>
      </c>
      <c r="D2923" t="str">
        <f>PROPER(Transactions!D2923)</f>
        <v>Electronics</v>
      </c>
      <c r="E2923" t="s">
        <v>34</v>
      </c>
      <c r="F2923" t="s">
        <v>35</v>
      </c>
      <c r="G2923">
        <v>4</v>
      </c>
      <c r="H2923">
        <v>24.49</v>
      </c>
      <c r="I2923" s="7">
        <f>IF(Transactions!I2923="",0,Transactions!I2923)</f>
        <v>0.3</v>
      </c>
      <c r="J2923" s="9">
        <f t="shared" si="45"/>
        <v>68.571999999999989</v>
      </c>
      <c r="K2923" t="s">
        <v>16</v>
      </c>
      <c r="L2923" t="s">
        <v>23</v>
      </c>
      <c r="M2923" t="str">
        <f>REPLACE(Transactions!M2923,1,4,"")</f>
        <v/>
      </c>
    </row>
    <row r="2924" spans="1:13" x14ac:dyDescent="0.2">
      <c r="A2924">
        <v>584913</v>
      </c>
      <c r="B2924" s="5">
        <v>45309</v>
      </c>
      <c r="C2924">
        <v>88612</v>
      </c>
      <c r="D2924" t="str">
        <f>PROPER(Transactions!D2924)</f>
        <v>Beauty</v>
      </c>
      <c r="E2924" t="s">
        <v>179</v>
      </c>
      <c r="F2924" t="s">
        <v>180</v>
      </c>
      <c r="G2924">
        <v>1</v>
      </c>
      <c r="H2924">
        <v>8.99</v>
      </c>
      <c r="I2924" s="7">
        <f>IF(Transactions!I2924="",0,Transactions!I2924)</f>
        <v>0.25</v>
      </c>
      <c r="J2924" s="9">
        <f t="shared" si="45"/>
        <v>6.7424999999999997</v>
      </c>
      <c r="K2924" t="s">
        <v>36</v>
      </c>
      <c r="L2924" t="s">
        <v>37</v>
      </c>
      <c r="M2924" t="str">
        <f>REPLACE(Transactions!M2924,1,4,"")</f>
        <v>7</v>
      </c>
    </row>
    <row r="2925" spans="1:13" x14ac:dyDescent="0.2">
      <c r="A2925">
        <v>585100</v>
      </c>
      <c r="B2925" s="5">
        <v>44849</v>
      </c>
      <c r="C2925">
        <v>82132</v>
      </c>
      <c r="D2925" t="str">
        <f>PROPER(Transactions!D2925)</f>
        <v>Home &amp; Garden</v>
      </c>
      <c r="E2925" t="s">
        <v>145</v>
      </c>
      <c r="F2925" t="s">
        <v>146</v>
      </c>
      <c r="G2925">
        <v>1</v>
      </c>
      <c r="H2925">
        <v>13.59</v>
      </c>
      <c r="I2925" s="7">
        <f>IF(Transactions!I2925="",0,Transactions!I2925)</f>
        <v>0.2</v>
      </c>
      <c r="J2925" s="9">
        <f t="shared" si="45"/>
        <v>10.872</v>
      </c>
      <c r="K2925" t="s">
        <v>36</v>
      </c>
      <c r="L2925" t="s">
        <v>23</v>
      </c>
      <c r="M2925" t="str">
        <f>REPLACE(Transactions!M2925,1,4,"")</f>
        <v>14</v>
      </c>
    </row>
    <row r="2926" spans="1:13" x14ac:dyDescent="0.2">
      <c r="A2926">
        <v>585168</v>
      </c>
      <c r="B2926" s="5">
        <v>45609</v>
      </c>
      <c r="C2926">
        <v>33575</v>
      </c>
      <c r="D2926" t="str">
        <f>PROPER(Transactions!D2926)</f>
        <v>Automotive</v>
      </c>
      <c r="E2926" t="s">
        <v>111</v>
      </c>
      <c r="F2926" t="s">
        <v>112</v>
      </c>
      <c r="G2926">
        <v>2</v>
      </c>
      <c r="H2926">
        <v>11.99</v>
      </c>
      <c r="I2926" s="7">
        <f>IF(Transactions!I2926="",0,Transactions!I2926)</f>
        <v>0.2</v>
      </c>
      <c r="J2926" s="9">
        <f t="shared" si="45"/>
        <v>19.184000000000001</v>
      </c>
      <c r="K2926" t="s">
        <v>36</v>
      </c>
      <c r="L2926" t="s">
        <v>17</v>
      </c>
      <c r="M2926" t="str">
        <f>REPLACE(Transactions!M2926,1,4,"")</f>
        <v>20</v>
      </c>
    </row>
    <row r="2927" spans="1:13" x14ac:dyDescent="0.2">
      <c r="A2927">
        <v>585331</v>
      </c>
      <c r="B2927" s="5">
        <v>44837</v>
      </c>
      <c r="C2927">
        <v>24264</v>
      </c>
      <c r="D2927" t="str">
        <f>PROPER(Transactions!D2927)</f>
        <v>Beauty</v>
      </c>
      <c r="E2927" t="s">
        <v>49</v>
      </c>
      <c r="F2927" t="s">
        <v>50</v>
      </c>
      <c r="G2927">
        <v>5</v>
      </c>
      <c r="H2927">
        <v>7.64</v>
      </c>
      <c r="I2927" s="7">
        <f>IF(Transactions!I2927="",0,Transactions!I2927)</f>
        <v>0.15</v>
      </c>
      <c r="J2927" s="9">
        <f t="shared" si="45"/>
        <v>32.47</v>
      </c>
      <c r="K2927" t="s">
        <v>36</v>
      </c>
      <c r="L2927" t="s">
        <v>37</v>
      </c>
      <c r="M2927" t="str">
        <f>REPLACE(Transactions!M2927,1,4,"")</f>
        <v>2</v>
      </c>
    </row>
    <row r="2928" spans="1:13" x14ac:dyDescent="0.2">
      <c r="A2928">
        <v>585525</v>
      </c>
      <c r="B2928" s="5">
        <v>44884</v>
      </c>
      <c r="C2928">
        <v>58128</v>
      </c>
      <c r="D2928" t="str">
        <f>PROPER(Transactions!D2928)</f>
        <v>Pharmacy</v>
      </c>
      <c r="E2928" t="s">
        <v>20</v>
      </c>
      <c r="F2928" t="s">
        <v>21</v>
      </c>
      <c r="G2928">
        <v>4</v>
      </c>
      <c r="H2928">
        <v>8.49</v>
      </c>
      <c r="I2928" s="7">
        <f>IF(Transactions!I2928="",0,Transactions!I2928)</f>
        <v>0.15</v>
      </c>
      <c r="J2928" s="9">
        <f t="shared" si="45"/>
        <v>28.866</v>
      </c>
      <c r="K2928" t="s">
        <v>36</v>
      </c>
      <c r="L2928" t="s">
        <v>17</v>
      </c>
      <c r="M2928" t="str">
        <f>REPLACE(Transactions!M2928,1,4,"")</f>
        <v>1</v>
      </c>
    </row>
    <row r="2929" spans="1:13" x14ac:dyDescent="0.2">
      <c r="A2929">
        <v>585603</v>
      </c>
      <c r="B2929" s="5">
        <v>45509</v>
      </c>
      <c r="C2929">
        <v>35555</v>
      </c>
      <c r="D2929" t="str">
        <f>PROPER(Transactions!D2929)</f>
        <v>Sports</v>
      </c>
      <c r="E2929" t="s">
        <v>155</v>
      </c>
      <c r="F2929" t="s">
        <v>156</v>
      </c>
      <c r="G2929">
        <v>3</v>
      </c>
      <c r="H2929">
        <v>19.989999999999998</v>
      </c>
      <c r="I2929" s="7">
        <f>IF(Transactions!I2929="",0,Transactions!I2929)</f>
        <v>0</v>
      </c>
      <c r="J2929" s="9">
        <f t="shared" si="45"/>
        <v>59.97</v>
      </c>
      <c r="K2929" t="s">
        <v>36</v>
      </c>
      <c r="L2929" t="s">
        <v>17</v>
      </c>
      <c r="M2929" t="str">
        <f>REPLACE(Transactions!M2929,1,4,"")</f>
        <v>10</v>
      </c>
    </row>
    <row r="2930" spans="1:13" x14ac:dyDescent="0.2">
      <c r="A2930">
        <v>585807</v>
      </c>
      <c r="B2930" s="5">
        <v>45294</v>
      </c>
      <c r="C2930">
        <v>55492</v>
      </c>
      <c r="D2930" t="str">
        <f>PROPER(Transactions!D2930)</f>
        <v>Beauty</v>
      </c>
      <c r="E2930" t="s">
        <v>118</v>
      </c>
      <c r="F2930" t="s">
        <v>119</v>
      </c>
      <c r="G2930">
        <v>1</v>
      </c>
      <c r="H2930">
        <v>4.99</v>
      </c>
      <c r="I2930" s="7">
        <f>IF(Transactions!I2930="",0,Transactions!I2930)</f>
        <v>0</v>
      </c>
      <c r="J2930" s="9">
        <f t="shared" si="45"/>
        <v>4.99</v>
      </c>
      <c r="K2930" t="s">
        <v>36</v>
      </c>
      <c r="L2930" t="s">
        <v>17</v>
      </c>
      <c r="M2930" t="str">
        <f>REPLACE(Transactions!M2930,1,4,"")</f>
        <v>16</v>
      </c>
    </row>
    <row r="2931" spans="1:13" x14ac:dyDescent="0.2">
      <c r="A2931">
        <v>585981</v>
      </c>
      <c r="B2931" s="5">
        <v>45654</v>
      </c>
      <c r="C2931">
        <v>48702</v>
      </c>
      <c r="D2931" t="str">
        <f>PROPER(Transactions!D2931)</f>
        <v>Electronics</v>
      </c>
      <c r="E2931" t="s">
        <v>77</v>
      </c>
      <c r="F2931" t="s">
        <v>78</v>
      </c>
      <c r="G2931">
        <v>1</v>
      </c>
      <c r="H2931">
        <v>399.99</v>
      </c>
      <c r="I2931" s="7">
        <f>IF(Transactions!I2931="",0,Transactions!I2931)</f>
        <v>0.2</v>
      </c>
      <c r="J2931" s="9">
        <f t="shared" si="45"/>
        <v>319.99200000000002</v>
      </c>
      <c r="K2931" t="s">
        <v>36</v>
      </c>
      <c r="L2931" t="s">
        <v>37</v>
      </c>
      <c r="M2931" t="str">
        <f>REPLACE(Transactions!M2931,1,4,"")</f>
        <v>4</v>
      </c>
    </row>
    <row r="2932" spans="1:13" x14ac:dyDescent="0.2">
      <c r="A2932">
        <v>586425</v>
      </c>
      <c r="B2932" s="5">
        <v>45334</v>
      </c>
      <c r="C2932">
        <v>33987</v>
      </c>
      <c r="D2932" t="str">
        <f>PROPER(Transactions!D2932)</f>
        <v>Home &amp; Garden</v>
      </c>
      <c r="E2932" t="s">
        <v>145</v>
      </c>
      <c r="F2932" t="s">
        <v>146</v>
      </c>
      <c r="G2932">
        <v>1</v>
      </c>
      <c r="H2932">
        <v>12.74</v>
      </c>
      <c r="I2932" s="7">
        <f>IF(Transactions!I2932="",0,Transactions!I2932)</f>
        <v>0.25</v>
      </c>
      <c r="J2932" s="9">
        <f t="shared" si="45"/>
        <v>9.5549999999999997</v>
      </c>
      <c r="K2932" t="s">
        <v>16</v>
      </c>
      <c r="L2932" t="s">
        <v>23</v>
      </c>
      <c r="M2932" t="str">
        <f>REPLACE(Transactions!M2932,1,4,"")</f>
        <v>1</v>
      </c>
    </row>
    <row r="2933" spans="1:13" x14ac:dyDescent="0.2">
      <c r="A2933">
        <v>586501</v>
      </c>
      <c r="B2933" s="5">
        <v>45386</v>
      </c>
      <c r="C2933">
        <v>36797</v>
      </c>
      <c r="D2933" t="str">
        <f>PROPER(Transactions!D2933)</f>
        <v>Pharmacy</v>
      </c>
      <c r="E2933" t="s">
        <v>20</v>
      </c>
      <c r="F2933" t="s">
        <v>21</v>
      </c>
      <c r="G2933">
        <v>1</v>
      </c>
      <c r="H2933">
        <v>8.49</v>
      </c>
      <c r="I2933" s="7">
        <f>IF(Transactions!I2933="",0,Transactions!I2933)</f>
        <v>0.15</v>
      </c>
      <c r="J2933" s="9">
        <f t="shared" si="45"/>
        <v>7.2164999999999999</v>
      </c>
      <c r="K2933" t="s">
        <v>16</v>
      </c>
      <c r="L2933" t="s">
        <v>17</v>
      </c>
      <c r="M2933" t="str">
        <f>REPLACE(Transactions!M2933,1,4,"")</f>
        <v>15</v>
      </c>
    </row>
    <row r="2934" spans="1:13" x14ac:dyDescent="0.2">
      <c r="A2934">
        <v>586530</v>
      </c>
      <c r="B2934" s="5">
        <v>45539</v>
      </c>
      <c r="D2934" t="str">
        <f>PROPER(Transactions!D2934)</f>
        <v>Sports</v>
      </c>
      <c r="E2934" t="s">
        <v>168</v>
      </c>
      <c r="F2934" t="s">
        <v>169</v>
      </c>
      <c r="G2934">
        <v>2</v>
      </c>
      <c r="H2934">
        <v>7.19</v>
      </c>
      <c r="I2934" s="7">
        <f>IF(Transactions!I2934="",0,Transactions!I2934)</f>
        <v>0.2</v>
      </c>
      <c r="J2934" s="9">
        <f t="shared" si="45"/>
        <v>11.504000000000001</v>
      </c>
      <c r="K2934" t="s">
        <v>16</v>
      </c>
      <c r="L2934" t="s">
        <v>17</v>
      </c>
      <c r="M2934" t="str">
        <f>REPLACE(Transactions!M2934,1,4,"")</f>
        <v/>
      </c>
    </row>
    <row r="2935" spans="1:13" x14ac:dyDescent="0.2">
      <c r="A2935">
        <v>586610</v>
      </c>
      <c r="B2935" s="5">
        <v>45193</v>
      </c>
      <c r="D2935" t="str">
        <f>PROPER(Transactions!D2935)</f>
        <v>Home &amp; Garden</v>
      </c>
      <c r="E2935" t="s">
        <v>137</v>
      </c>
      <c r="F2935" t="s">
        <v>138</v>
      </c>
      <c r="G2935">
        <v>2</v>
      </c>
      <c r="H2935">
        <v>7.19</v>
      </c>
      <c r="I2935" s="7">
        <f>IF(Transactions!I2935="",0,Transactions!I2935)</f>
        <v>0.1</v>
      </c>
      <c r="J2935" s="9">
        <f t="shared" si="45"/>
        <v>12.942</v>
      </c>
      <c r="K2935" t="s">
        <v>16</v>
      </c>
      <c r="L2935" t="s">
        <v>37</v>
      </c>
      <c r="M2935" t="str">
        <f>REPLACE(Transactions!M2935,1,4,"")</f>
        <v>6</v>
      </c>
    </row>
    <row r="2936" spans="1:13" x14ac:dyDescent="0.2">
      <c r="A2936">
        <v>586692</v>
      </c>
      <c r="B2936" s="5">
        <v>44735</v>
      </c>
      <c r="C2936">
        <v>23180</v>
      </c>
      <c r="D2936" t="str">
        <f>PROPER(Transactions!D2936)</f>
        <v>Pharmacy</v>
      </c>
      <c r="E2936" t="s">
        <v>41</v>
      </c>
      <c r="F2936" t="s">
        <v>42</v>
      </c>
      <c r="G2936">
        <v>3</v>
      </c>
      <c r="H2936">
        <v>5.39</v>
      </c>
      <c r="I2936" s="7">
        <f>IF(Transactions!I2936="",0,Transactions!I2936)</f>
        <v>0.1</v>
      </c>
      <c r="J2936" s="9">
        <f t="shared" si="45"/>
        <v>14.552999999999999</v>
      </c>
      <c r="K2936" t="s">
        <v>16</v>
      </c>
      <c r="L2936" t="s">
        <v>17</v>
      </c>
      <c r="M2936" t="str">
        <f>REPLACE(Transactions!M2936,1,4,"")</f>
        <v>6</v>
      </c>
    </row>
    <row r="2937" spans="1:13" x14ac:dyDescent="0.2">
      <c r="A2937">
        <v>586819</v>
      </c>
      <c r="B2937" s="5">
        <v>45015</v>
      </c>
      <c r="D2937" t="str">
        <f>PROPER(Transactions!D2937)</f>
        <v>Automotive</v>
      </c>
      <c r="E2937" t="s">
        <v>64</v>
      </c>
      <c r="F2937" t="s">
        <v>65</v>
      </c>
      <c r="G2937">
        <v>3</v>
      </c>
      <c r="H2937">
        <v>4.99</v>
      </c>
      <c r="I2937" s="7">
        <f>IF(Transactions!I2937="",0,Transactions!I2937)</f>
        <v>0</v>
      </c>
      <c r="J2937" s="9">
        <f t="shared" si="45"/>
        <v>14.97</v>
      </c>
      <c r="K2937" t="s">
        <v>36</v>
      </c>
      <c r="L2937" t="s">
        <v>17</v>
      </c>
      <c r="M2937" t="str">
        <f>REPLACE(Transactions!M2937,1,4,"")</f>
        <v>20</v>
      </c>
    </row>
    <row r="2938" spans="1:13" x14ac:dyDescent="0.2">
      <c r="A2938">
        <v>586883</v>
      </c>
      <c r="B2938" s="5">
        <v>45412</v>
      </c>
      <c r="C2938">
        <v>85265</v>
      </c>
      <c r="D2938" t="str">
        <f>PROPER(Transactions!D2938)</f>
        <v>Automotive</v>
      </c>
      <c r="E2938" t="s">
        <v>68</v>
      </c>
      <c r="F2938" t="s">
        <v>69</v>
      </c>
      <c r="G2938">
        <v>4</v>
      </c>
      <c r="H2938">
        <v>17.489999999999998</v>
      </c>
      <c r="I2938" s="7">
        <f>IF(Transactions!I2938="",0,Transactions!I2938)</f>
        <v>0.3</v>
      </c>
      <c r="J2938" s="9">
        <f t="shared" si="45"/>
        <v>48.971999999999994</v>
      </c>
      <c r="K2938" t="s">
        <v>36</v>
      </c>
      <c r="L2938" t="s">
        <v>17</v>
      </c>
      <c r="M2938" t="str">
        <f>REPLACE(Transactions!M2938,1,4,"")</f>
        <v>12</v>
      </c>
    </row>
    <row r="2939" spans="1:13" x14ac:dyDescent="0.2">
      <c r="A2939">
        <v>587034</v>
      </c>
      <c r="B2939" s="5">
        <v>45355</v>
      </c>
      <c r="D2939" t="str">
        <f>PROPER(Transactions!D2939)</f>
        <v>Beauty</v>
      </c>
      <c r="E2939" t="s">
        <v>49</v>
      </c>
      <c r="F2939" t="s">
        <v>50</v>
      </c>
      <c r="G2939">
        <v>4</v>
      </c>
      <c r="H2939">
        <v>8.5399999999999991</v>
      </c>
      <c r="I2939" s="7">
        <f>IF(Transactions!I2939="",0,Transactions!I2939)</f>
        <v>0.05</v>
      </c>
      <c r="J2939" s="9">
        <f t="shared" si="45"/>
        <v>32.451999999999998</v>
      </c>
      <c r="K2939" t="s">
        <v>95</v>
      </c>
      <c r="L2939" t="s">
        <v>37</v>
      </c>
      <c r="M2939" t="str">
        <f>REPLACE(Transactions!M2939,1,4,"")</f>
        <v>4</v>
      </c>
    </row>
    <row r="2940" spans="1:13" x14ac:dyDescent="0.2">
      <c r="A2940">
        <v>587343</v>
      </c>
      <c r="B2940" s="5">
        <v>44718</v>
      </c>
      <c r="C2940">
        <v>89969</v>
      </c>
      <c r="D2940" t="str">
        <f>PROPER(Transactions!D2940)</f>
        <v>Electronics</v>
      </c>
      <c r="E2940" t="s">
        <v>14</v>
      </c>
      <c r="F2940" t="s">
        <v>15</v>
      </c>
      <c r="G2940">
        <v>2</v>
      </c>
      <c r="H2940">
        <v>55.99</v>
      </c>
      <c r="I2940" s="7">
        <f>IF(Transactions!I2940="",0,Transactions!I2940)</f>
        <v>0.3</v>
      </c>
      <c r="J2940" s="9">
        <f t="shared" si="45"/>
        <v>78.385999999999996</v>
      </c>
      <c r="K2940" t="s">
        <v>16</v>
      </c>
      <c r="L2940" t="s">
        <v>17</v>
      </c>
      <c r="M2940" t="str">
        <f>REPLACE(Transactions!M2940,1,4,"")</f>
        <v>3</v>
      </c>
    </row>
    <row r="2941" spans="1:13" x14ac:dyDescent="0.2">
      <c r="A2941">
        <v>587369</v>
      </c>
      <c r="B2941" s="5">
        <v>44678</v>
      </c>
      <c r="C2941">
        <v>79470</v>
      </c>
      <c r="D2941" t="str">
        <f>PROPER(Transactions!D2941)</f>
        <v>Electronics</v>
      </c>
      <c r="E2941" t="s">
        <v>34</v>
      </c>
      <c r="F2941" t="s">
        <v>35</v>
      </c>
      <c r="G2941">
        <v>1</v>
      </c>
      <c r="H2941">
        <v>31.49</v>
      </c>
      <c r="I2941" s="7">
        <f>IF(Transactions!I2941="",0,Transactions!I2941)</f>
        <v>0.1</v>
      </c>
      <c r="J2941" s="9">
        <f t="shared" si="45"/>
        <v>28.340999999999998</v>
      </c>
      <c r="K2941" t="s">
        <v>16</v>
      </c>
      <c r="L2941" t="s">
        <v>17</v>
      </c>
      <c r="M2941" t="str">
        <f>REPLACE(Transactions!M2941,1,4,"")</f>
        <v>8</v>
      </c>
    </row>
    <row r="2942" spans="1:13" x14ac:dyDescent="0.2">
      <c r="A2942">
        <v>587640</v>
      </c>
      <c r="B2942" s="5">
        <v>44692</v>
      </c>
      <c r="C2942">
        <v>92534</v>
      </c>
      <c r="D2942" t="str">
        <f>PROPER(Transactions!D2942)</f>
        <v>Pharmacy</v>
      </c>
      <c r="E2942" t="s">
        <v>58</v>
      </c>
      <c r="F2942" t="s">
        <v>59</v>
      </c>
      <c r="G2942">
        <v>1</v>
      </c>
      <c r="H2942">
        <v>3.39</v>
      </c>
      <c r="I2942" s="7">
        <f>IF(Transactions!I2942="",0,Transactions!I2942)</f>
        <v>0.15</v>
      </c>
      <c r="J2942" s="9">
        <f t="shared" si="45"/>
        <v>2.8815</v>
      </c>
      <c r="K2942" t="s">
        <v>36</v>
      </c>
      <c r="L2942" t="s">
        <v>37</v>
      </c>
      <c r="M2942" t="str">
        <f>REPLACE(Transactions!M2942,1,4,"")</f>
        <v>14</v>
      </c>
    </row>
    <row r="2943" spans="1:13" x14ac:dyDescent="0.2">
      <c r="A2943">
        <v>587704</v>
      </c>
      <c r="B2943" s="5">
        <v>44958</v>
      </c>
      <c r="C2943">
        <v>35966</v>
      </c>
      <c r="D2943" t="str">
        <f>PROPER(Transactions!D2943)</f>
        <v>Toys</v>
      </c>
      <c r="E2943" t="s">
        <v>170</v>
      </c>
      <c r="F2943" t="s">
        <v>171</v>
      </c>
      <c r="G2943">
        <v>4</v>
      </c>
      <c r="H2943">
        <v>14.24</v>
      </c>
      <c r="I2943" s="7">
        <f>IF(Transactions!I2943="",0,Transactions!I2943)</f>
        <v>0.05</v>
      </c>
      <c r="J2943" s="9">
        <f t="shared" si="45"/>
        <v>54.111999999999995</v>
      </c>
      <c r="K2943" t="s">
        <v>16</v>
      </c>
      <c r="L2943" t="s">
        <v>37</v>
      </c>
      <c r="M2943" t="str">
        <f>REPLACE(Transactions!M2943,1,4,"")</f>
        <v>13</v>
      </c>
    </row>
    <row r="2944" spans="1:13" x14ac:dyDescent="0.2">
      <c r="A2944">
        <v>587820</v>
      </c>
      <c r="B2944" s="5">
        <v>45388</v>
      </c>
      <c r="C2944">
        <v>27755</v>
      </c>
      <c r="D2944" t="str">
        <f>PROPER(Transactions!D2944)</f>
        <v>Clothing</v>
      </c>
      <c r="E2944" t="s">
        <v>181</v>
      </c>
      <c r="F2944" t="s">
        <v>182</v>
      </c>
      <c r="G2944">
        <v>1</v>
      </c>
      <c r="H2944">
        <v>11.99</v>
      </c>
      <c r="I2944" s="7">
        <f>IF(Transactions!I2944="",0,Transactions!I2944)</f>
        <v>0.2</v>
      </c>
      <c r="J2944" s="9">
        <f t="shared" si="45"/>
        <v>9.5920000000000005</v>
      </c>
      <c r="K2944" t="s">
        <v>16</v>
      </c>
      <c r="L2944" t="s">
        <v>17</v>
      </c>
      <c r="M2944" t="str">
        <f>REPLACE(Transactions!M2944,1,4,"")</f>
        <v>6</v>
      </c>
    </row>
    <row r="2945" spans="1:13" x14ac:dyDescent="0.2">
      <c r="A2945">
        <v>587941</v>
      </c>
      <c r="B2945" s="5">
        <v>45335</v>
      </c>
      <c r="C2945">
        <v>64074</v>
      </c>
      <c r="D2945" t="str">
        <f>PROPER(Transactions!D2945)</f>
        <v>Home &amp; Garden</v>
      </c>
      <c r="E2945" t="s">
        <v>137</v>
      </c>
      <c r="F2945" t="s">
        <v>138</v>
      </c>
      <c r="G2945">
        <v>1</v>
      </c>
      <c r="H2945">
        <v>7.99</v>
      </c>
      <c r="I2945" s="7">
        <f>IF(Transactions!I2945="",0,Transactions!I2945)</f>
        <v>0</v>
      </c>
      <c r="J2945" s="9">
        <f t="shared" si="45"/>
        <v>7.99</v>
      </c>
      <c r="K2945" t="s">
        <v>16</v>
      </c>
      <c r="L2945" t="s">
        <v>17</v>
      </c>
      <c r="M2945" t="str">
        <f>REPLACE(Transactions!M2945,1,4,"")</f>
        <v>12</v>
      </c>
    </row>
    <row r="2946" spans="1:13" x14ac:dyDescent="0.2">
      <c r="A2946">
        <v>588056</v>
      </c>
      <c r="B2946" s="5">
        <v>45074</v>
      </c>
      <c r="C2946">
        <v>30200</v>
      </c>
      <c r="D2946" t="str">
        <f>PROPER(Transactions!D2946)</f>
        <v>Toys</v>
      </c>
      <c r="E2946" t="s">
        <v>88</v>
      </c>
      <c r="F2946" t="s">
        <v>89</v>
      </c>
      <c r="G2946">
        <v>2</v>
      </c>
      <c r="H2946">
        <v>49.99</v>
      </c>
      <c r="I2946" s="7">
        <f>IF(Transactions!I2946="",0,Transactions!I2946)</f>
        <v>0</v>
      </c>
      <c r="J2946" s="9">
        <f t="shared" si="45"/>
        <v>99.98</v>
      </c>
      <c r="K2946" t="s">
        <v>16</v>
      </c>
      <c r="L2946" t="s">
        <v>17</v>
      </c>
      <c r="M2946" t="str">
        <f>REPLACE(Transactions!M2946,1,4,"")</f>
        <v/>
      </c>
    </row>
    <row r="2947" spans="1:13" x14ac:dyDescent="0.2">
      <c r="A2947">
        <v>588368</v>
      </c>
      <c r="B2947" s="5">
        <v>44779</v>
      </c>
      <c r="C2947">
        <v>23988</v>
      </c>
      <c r="D2947" t="str">
        <f>PROPER(Transactions!D2947)</f>
        <v>Clothing</v>
      </c>
      <c r="E2947" t="s">
        <v>151</v>
      </c>
      <c r="F2947" t="s">
        <v>152</v>
      </c>
      <c r="G2947">
        <v>1</v>
      </c>
      <c r="H2947">
        <v>33.24</v>
      </c>
      <c r="I2947" s="7">
        <f>IF(Transactions!I2947="",0,Transactions!I2947)</f>
        <v>0.05</v>
      </c>
      <c r="J2947" s="9">
        <f t="shared" ref="J2947:J3010" si="46">(H2947*G2947)*(1-I2947)</f>
        <v>31.577999999999999</v>
      </c>
      <c r="K2947" t="s">
        <v>16</v>
      </c>
      <c r="L2947" t="s">
        <v>37</v>
      </c>
      <c r="M2947" t="str">
        <f>REPLACE(Transactions!M2947,1,4,"")</f>
        <v>1</v>
      </c>
    </row>
    <row r="2948" spans="1:13" x14ac:dyDescent="0.2">
      <c r="A2948">
        <v>588409</v>
      </c>
      <c r="B2948" s="5">
        <v>44789</v>
      </c>
      <c r="C2948">
        <v>50280</v>
      </c>
      <c r="D2948" t="str">
        <f>PROPER(Transactions!D2948)</f>
        <v>Grocery</v>
      </c>
      <c r="E2948" t="s">
        <v>91</v>
      </c>
      <c r="F2948" t="s">
        <v>92</v>
      </c>
      <c r="G2948">
        <v>1</v>
      </c>
      <c r="H2948">
        <v>6.29</v>
      </c>
      <c r="I2948" s="7">
        <f>IF(Transactions!I2948="",0,Transactions!I2948)</f>
        <v>0</v>
      </c>
      <c r="J2948" s="9">
        <f t="shared" si="46"/>
        <v>6.29</v>
      </c>
      <c r="K2948" t="s">
        <v>66</v>
      </c>
      <c r="L2948" t="s">
        <v>17</v>
      </c>
      <c r="M2948" t="str">
        <f>REPLACE(Transactions!M2948,1,4,"")</f>
        <v>14</v>
      </c>
    </row>
    <row r="2949" spans="1:13" x14ac:dyDescent="0.2">
      <c r="A2949">
        <v>588556</v>
      </c>
      <c r="B2949" s="5">
        <v>44698</v>
      </c>
      <c r="C2949">
        <v>24565</v>
      </c>
      <c r="D2949" t="str">
        <f>PROPER(Transactions!D2949)</f>
        <v>Pharmacy</v>
      </c>
      <c r="E2949" t="s">
        <v>115</v>
      </c>
      <c r="F2949" t="s">
        <v>116</v>
      </c>
      <c r="G2949">
        <v>2</v>
      </c>
      <c r="H2949">
        <v>9.09</v>
      </c>
      <c r="I2949" s="7">
        <f>IF(Transactions!I2949="",0,Transactions!I2949)</f>
        <v>0.3</v>
      </c>
      <c r="J2949" s="9">
        <f t="shared" si="46"/>
        <v>12.725999999999999</v>
      </c>
      <c r="K2949" t="s">
        <v>16</v>
      </c>
      <c r="L2949" t="s">
        <v>17</v>
      </c>
      <c r="M2949" t="str">
        <f>REPLACE(Transactions!M2949,1,4,"")</f>
        <v>15</v>
      </c>
    </row>
    <row r="2950" spans="1:13" x14ac:dyDescent="0.2">
      <c r="A2950">
        <v>588640</v>
      </c>
      <c r="B2950" s="5">
        <v>45298</v>
      </c>
      <c r="C2950">
        <v>51973</v>
      </c>
      <c r="D2950" t="str">
        <f>PROPER(Transactions!D2950)</f>
        <v>Sports</v>
      </c>
      <c r="E2950" t="s">
        <v>83</v>
      </c>
      <c r="F2950" t="s">
        <v>84</v>
      </c>
      <c r="G2950">
        <v>5</v>
      </c>
      <c r="H2950">
        <v>11.89</v>
      </c>
      <c r="I2950" s="7">
        <f>IF(Transactions!I2950="",0,Transactions!I2950)</f>
        <v>0.3</v>
      </c>
      <c r="J2950" s="9">
        <f t="shared" si="46"/>
        <v>41.615000000000002</v>
      </c>
      <c r="K2950" t="s">
        <v>36</v>
      </c>
      <c r="L2950" t="s">
        <v>23</v>
      </c>
      <c r="M2950" t="str">
        <f>REPLACE(Transactions!M2950,1,4,"")</f>
        <v>11</v>
      </c>
    </row>
    <row r="2951" spans="1:13" x14ac:dyDescent="0.2">
      <c r="A2951">
        <v>588669</v>
      </c>
      <c r="B2951" s="5">
        <v>44912</v>
      </c>
      <c r="C2951">
        <v>75279</v>
      </c>
      <c r="D2951" t="str">
        <f>PROPER(Transactions!D2951)</f>
        <v>Pharmacy</v>
      </c>
      <c r="E2951" t="s">
        <v>115</v>
      </c>
      <c r="F2951" t="s">
        <v>116</v>
      </c>
      <c r="G2951">
        <v>5</v>
      </c>
      <c r="H2951">
        <v>9.74</v>
      </c>
      <c r="I2951" s="7">
        <f>IF(Transactions!I2951="",0,Transactions!I2951)</f>
        <v>0.25</v>
      </c>
      <c r="J2951" s="9">
        <f t="shared" si="46"/>
        <v>36.525000000000006</v>
      </c>
      <c r="K2951" t="s">
        <v>16</v>
      </c>
      <c r="L2951" t="s">
        <v>17</v>
      </c>
      <c r="M2951" t="str">
        <f>REPLACE(Transactions!M2951,1,4,"")</f>
        <v>9</v>
      </c>
    </row>
    <row r="2952" spans="1:13" x14ac:dyDescent="0.2">
      <c r="A2952">
        <v>588843</v>
      </c>
      <c r="B2952" s="5">
        <v>44960</v>
      </c>
      <c r="C2952">
        <v>23619</v>
      </c>
      <c r="D2952" t="str">
        <f>PROPER(Transactions!D2952)</f>
        <v>Clothing</v>
      </c>
      <c r="E2952" t="s">
        <v>98</v>
      </c>
      <c r="F2952" t="s">
        <v>99</v>
      </c>
      <c r="G2952">
        <v>2</v>
      </c>
      <c r="H2952">
        <v>19.59</v>
      </c>
      <c r="I2952" s="7">
        <f>IF(Transactions!I2952="",0,Transactions!I2952)</f>
        <v>0.3</v>
      </c>
      <c r="J2952" s="9">
        <f t="shared" si="46"/>
        <v>27.425999999999998</v>
      </c>
      <c r="K2952" t="s">
        <v>16</v>
      </c>
      <c r="L2952" t="s">
        <v>17</v>
      </c>
      <c r="M2952" t="str">
        <f>REPLACE(Transactions!M2952,1,4,"")</f>
        <v>10</v>
      </c>
    </row>
    <row r="2953" spans="1:13" x14ac:dyDescent="0.2">
      <c r="A2953">
        <v>589174</v>
      </c>
      <c r="B2953" s="5">
        <v>45002</v>
      </c>
      <c r="C2953">
        <v>13223</v>
      </c>
      <c r="D2953" t="str">
        <f>PROPER(Transactions!D2953)</f>
        <v>Toys</v>
      </c>
      <c r="E2953" t="s">
        <v>30</v>
      </c>
      <c r="F2953" t="s">
        <v>31</v>
      </c>
      <c r="G2953">
        <v>1</v>
      </c>
      <c r="H2953">
        <v>24.99</v>
      </c>
      <c r="I2953" s="7">
        <f>IF(Transactions!I2953="",0,Transactions!I2953)</f>
        <v>0</v>
      </c>
      <c r="J2953" s="9">
        <f t="shared" si="46"/>
        <v>24.99</v>
      </c>
      <c r="K2953" t="s">
        <v>16</v>
      </c>
      <c r="L2953" t="s">
        <v>37</v>
      </c>
      <c r="M2953" t="str">
        <f>REPLACE(Transactions!M2953,1,4,"")</f>
        <v>8</v>
      </c>
    </row>
    <row r="2954" spans="1:13" x14ac:dyDescent="0.2">
      <c r="A2954">
        <v>589187</v>
      </c>
      <c r="B2954" s="5">
        <v>45343</v>
      </c>
      <c r="C2954">
        <v>73871</v>
      </c>
      <c r="D2954" t="str">
        <f>PROPER(Transactions!D2954)</f>
        <v>Sports</v>
      </c>
      <c r="E2954" t="s">
        <v>83</v>
      </c>
      <c r="F2954" t="s">
        <v>84</v>
      </c>
      <c r="G2954">
        <v>1</v>
      </c>
      <c r="H2954">
        <v>15.29</v>
      </c>
      <c r="I2954" s="7">
        <f>IF(Transactions!I2954="",0,Transactions!I2954)</f>
        <v>0.1</v>
      </c>
      <c r="J2954" s="9">
        <f t="shared" si="46"/>
        <v>13.760999999999999</v>
      </c>
      <c r="K2954" t="s">
        <v>22</v>
      </c>
      <c r="L2954" t="s">
        <v>17</v>
      </c>
      <c r="M2954" t="str">
        <f>REPLACE(Transactions!M2954,1,4,"")</f>
        <v>9</v>
      </c>
    </row>
    <row r="2955" spans="1:13" x14ac:dyDescent="0.2">
      <c r="A2955">
        <v>589390</v>
      </c>
      <c r="B2955" s="5">
        <v>44942</v>
      </c>
      <c r="C2955">
        <v>59746</v>
      </c>
      <c r="D2955" t="str">
        <f>PROPER(Transactions!D2955)</f>
        <v>Toys</v>
      </c>
      <c r="E2955" t="s">
        <v>175</v>
      </c>
      <c r="F2955" t="s">
        <v>176</v>
      </c>
      <c r="G2955">
        <v>2</v>
      </c>
      <c r="H2955">
        <v>8.39</v>
      </c>
      <c r="I2955" s="7">
        <f>IF(Transactions!I2955="",0,Transactions!I2955)</f>
        <v>0.3</v>
      </c>
      <c r="J2955" s="9">
        <f t="shared" si="46"/>
        <v>11.746</v>
      </c>
      <c r="K2955" t="s">
        <v>16</v>
      </c>
      <c r="L2955" t="s">
        <v>17</v>
      </c>
      <c r="M2955" t="str">
        <f>REPLACE(Transactions!M2955,1,4,"")</f>
        <v>3</v>
      </c>
    </row>
    <row r="2956" spans="1:13" x14ac:dyDescent="0.2">
      <c r="A2956">
        <v>589494</v>
      </c>
      <c r="B2956" s="5">
        <v>45607</v>
      </c>
      <c r="C2956">
        <v>76998</v>
      </c>
      <c r="D2956" t="str">
        <f>PROPER(Transactions!D2956)</f>
        <v>Grocery</v>
      </c>
      <c r="E2956" t="s">
        <v>172</v>
      </c>
      <c r="F2956" t="s">
        <v>173</v>
      </c>
      <c r="G2956">
        <v>5</v>
      </c>
      <c r="H2956">
        <v>4.49</v>
      </c>
      <c r="I2956" s="7">
        <f>IF(Transactions!I2956="",0,Transactions!I2956)</f>
        <v>0</v>
      </c>
      <c r="J2956" s="9">
        <f t="shared" si="46"/>
        <v>22.450000000000003</v>
      </c>
      <c r="K2956" t="s">
        <v>22</v>
      </c>
      <c r="L2956" t="s">
        <v>17</v>
      </c>
      <c r="M2956" t="str">
        <f>REPLACE(Transactions!M2956,1,4,"")</f>
        <v>7</v>
      </c>
    </row>
    <row r="2957" spans="1:13" x14ac:dyDescent="0.2">
      <c r="A2957">
        <v>589579</v>
      </c>
      <c r="B2957" s="5">
        <v>45490</v>
      </c>
      <c r="C2957">
        <v>72997</v>
      </c>
      <c r="D2957" t="str">
        <f>PROPER(Transactions!D2957)</f>
        <v>Sports</v>
      </c>
      <c r="E2957" t="s">
        <v>83</v>
      </c>
      <c r="F2957" t="s">
        <v>84</v>
      </c>
      <c r="G2957">
        <v>4</v>
      </c>
      <c r="H2957">
        <v>16.989999999999998</v>
      </c>
      <c r="I2957" s="7">
        <f>IF(Transactions!I2957="",0,Transactions!I2957)</f>
        <v>0</v>
      </c>
      <c r="J2957" s="9">
        <f t="shared" si="46"/>
        <v>67.959999999999994</v>
      </c>
      <c r="K2957" t="s">
        <v>16</v>
      </c>
      <c r="L2957" t="s">
        <v>23</v>
      </c>
      <c r="M2957" t="str">
        <f>REPLACE(Transactions!M2957,1,4,"")</f>
        <v>2</v>
      </c>
    </row>
    <row r="2958" spans="1:13" x14ac:dyDescent="0.2">
      <c r="A2958">
        <v>589714</v>
      </c>
      <c r="B2958" s="5">
        <v>45063</v>
      </c>
      <c r="C2958">
        <v>53414</v>
      </c>
      <c r="D2958" t="str">
        <f>PROPER(Transactions!D2958)</f>
        <v>Clothing</v>
      </c>
      <c r="E2958" t="s">
        <v>181</v>
      </c>
      <c r="F2958" t="s">
        <v>182</v>
      </c>
      <c r="G2958">
        <v>2</v>
      </c>
      <c r="H2958">
        <v>11.99</v>
      </c>
      <c r="I2958" s="7">
        <f>IF(Transactions!I2958="",0,Transactions!I2958)</f>
        <v>0.2</v>
      </c>
      <c r="J2958" s="9">
        <f t="shared" si="46"/>
        <v>19.184000000000001</v>
      </c>
      <c r="K2958" t="s">
        <v>16</v>
      </c>
      <c r="L2958" t="s">
        <v>23</v>
      </c>
      <c r="M2958" t="str">
        <f>REPLACE(Transactions!M2958,1,4,"")</f>
        <v>19</v>
      </c>
    </row>
    <row r="2959" spans="1:13" x14ac:dyDescent="0.2">
      <c r="A2959">
        <v>589730</v>
      </c>
      <c r="B2959" s="5">
        <v>45275</v>
      </c>
      <c r="C2959">
        <v>62421</v>
      </c>
      <c r="D2959" t="str">
        <f>PROPER(Transactions!D2959)</f>
        <v>Pharmacy</v>
      </c>
      <c r="E2959" t="s">
        <v>115</v>
      </c>
      <c r="F2959" t="s">
        <v>116</v>
      </c>
      <c r="G2959">
        <v>3</v>
      </c>
      <c r="H2959">
        <v>9.09</v>
      </c>
      <c r="I2959" s="7">
        <f>IF(Transactions!I2959="",0,Transactions!I2959)</f>
        <v>0.3</v>
      </c>
      <c r="J2959" s="9">
        <f t="shared" si="46"/>
        <v>19.088999999999999</v>
      </c>
      <c r="K2959" t="s">
        <v>36</v>
      </c>
      <c r="L2959" t="s">
        <v>17</v>
      </c>
      <c r="M2959" t="str">
        <f>REPLACE(Transactions!M2959,1,4,"")</f>
        <v>9</v>
      </c>
    </row>
    <row r="2960" spans="1:13" x14ac:dyDescent="0.2">
      <c r="A2960">
        <v>589775</v>
      </c>
      <c r="B2960" s="5">
        <v>45017</v>
      </c>
      <c r="C2960">
        <v>57212</v>
      </c>
      <c r="D2960" t="str">
        <f>PROPER(Transactions!D2960)</f>
        <v>Clothing</v>
      </c>
      <c r="E2960" t="s">
        <v>193</v>
      </c>
      <c r="F2960" t="s">
        <v>194</v>
      </c>
      <c r="G2960">
        <v>3</v>
      </c>
      <c r="H2960">
        <v>64.989999999999995</v>
      </c>
      <c r="I2960" s="7">
        <f>IF(Transactions!I2960="",0,Transactions!I2960)</f>
        <v>0</v>
      </c>
      <c r="J2960" s="9">
        <f t="shared" si="46"/>
        <v>194.96999999999997</v>
      </c>
      <c r="K2960" t="s">
        <v>32</v>
      </c>
      <c r="L2960" t="s">
        <v>23</v>
      </c>
      <c r="M2960" t="str">
        <f>REPLACE(Transactions!M2960,1,4,"")</f>
        <v>11</v>
      </c>
    </row>
    <row r="2961" spans="1:13" x14ac:dyDescent="0.2">
      <c r="A2961">
        <v>589940</v>
      </c>
      <c r="B2961" s="5">
        <v>45449</v>
      </c>
      <c r="C2961">
        <v>54804</v>
      </c>
      <c r="D2961" t="str">
        <f>PROPER(Transactions!D2961)</f>
        <v>Grocery</v>
      </c>
      <c r="E2961" t="s">
        <v>74</v>
      </c>
      <c r="F2961" t="s">
        <v>75</v>
      </c>
      <c r="G2961">
        <v>1</v>
      </c>
      <c r="H2961">
        <v>2.54</v>
      </c>
      <c r="I2961" s="7">
        <f>IF(Transactions!I2961="",0,Transactions!I2961)</f>
        <v>0.15</v>
      </c>
      <c r="J2961" s="9">
        <f t="shared" si="46"/>
        <v>2.1589999999999998</v>
      </c>
      <c r="K2961" t="s">
        <v>36</v>
      </c>
      <c r="L2961" t="s">
        <v>37</v>
      </c>
      <c r="M2961" t="str">
        <f>REPLACE(Transactions!M2961,1,4,"")</f>
        <v>2</v>
      </c>
    </row>
    <row r="2962" spans="1:13" x14ac:dyDescent="0.2">
      <c r="A2962">
        <v>590023</v>
      </c>
      <c r="B2962" s="5">
        <v>45393</v>
      </c>
      <c r="C2962">
        <v>26523</v>
      </c>
      <c r="D2962" t="str">
        <f>PROPER(Transactions!D2962)</f>
        <v>Pharmacy</v>
      </c>
      <c r="E2962" t="s">
        <v>41</v>
      </c>
      <c r="F2962" t="s">
        <v>42</v>
      </c>
      <c r="G2962">
        <v>1</v>
      </c>
      <c r="H2962">
        <v>5.39</v>
      </c>
      <c r="I2962" s="7">
        <f>IF(Transactions!I2962="",0,Transactions!I2962)</f>
        <v>0.1</v>
      </c>
      <c r="J2962" s="9">
        <f t="shared" si="46"/>
        <v>4.851</v>
      </c>
      <c r="K2962" t="s">
        <v>32</v>
      </c>
      <c r="L2962" t="s">
        <v>17</v>
      </c>
      <c r="M2962" t="str">
        <f>REPLACE(Transactions!M2962,1,4,"")</f>
        <v>1</v>
      </c>
    </row>
    <row r="2963" spans="1:13" x14ac:dyDescent="0.2">
      <c r="A2963">
        <v>590180</v>
      </c>
      <c r="B2963" s="5">
        <v>45237</v>
      </c>
      <c r="C2963">
        <v>59697</v>
      </c>
      <c r="D2963" t="str">
        <f>PROPER(Transactions!D2963)</f>
        <v>Furniture</v>
      </c>
      <c r="E2963" t="s">
        <v>26</v>
      </c>
      <c r="F2963" t="s">
        <v>27</v>
      </c>
      <c r="G2963">
        <v>5</v>
      </c>
      <c r="H2963">
        <v>33.24</v>
      </c>
      <c r="I2963" s="7">
        <f>IF(Transactions!I2963="",0,Transactions!I2963)</f>
        <v>0.05</v>
      </c>
      <c r="J2963" s="9">
        <f t="shared" si="46"/>
        <v>157.89000000000001</v>
      </c>
      <c r="K2963" t="s">
        <v>36</v>
      </c>
      <c r="L2963" t="s">
        <v>17</v>
      </c>
      <c r="M2963" t="str">
        <f>REPLACE(Transactions!M2963,1,4,"")</f>
        <v>11</v>
      </c>
    </row>
    <row r="2964" spans="1:13" x14ac:dyDescent="0.2">
      <c r="A2964">
        <v>590249</v>
      </c>
      <c r="B2964" s="5">
        <v>45085</v>
      </c>
      <c r="C2964">
        <v>45522</v>
      </c>
      <c r="D2964" t="str">
        <f>PROPER(Transactions!D2964)</f>
        <v>Clothing</v>
      </c>
      <c r="E2964" t="s">
        <v>193</v>
      </c>
      <c r="F2964" t="s">
        <v>194</v>
      </c>
      <c r="G2964">
        <v>2</v>
      </c>
      <c r="H2964">
        <v>55.24</v>
      </c>
      <c r="I2964" s="7">
        <f>IF(Transactions!I2964="",0,Transactions!I2964)</f>
        <v>0.15</v>
      </c>
      <c r="J2964" s="9">
        <f t="shared" si="46"/>
        <v>93.908000000000001</v>
      </c>
      <c r="K2964" t="s">
        <v>36</v>
      </c>
      <c r="L2964" t="s">
        <v>17</v>
      </c>
      <c r="M2964" t="str">
        <f>REPLACE(Transactions!M2964,1,4,"")</f>
        <v>5</v>
      </c>
    </row>
    <row r="2965" spans="1:13" x14ac:dyDescent="0.2">
      <c r="A2965">
        <v>590737</v>
      </c>
      <c r="B2965" s="5">
        <v>45630</v>
      </c>
      <c r="C2965">
        <v>19813</v>
      </c>
      <c r="D2965" t="str">
        <f>PROPER(Transactions!D2965)</f>
        <v>Beauty</v>
      </c>
      <c r="E2965" t="s">
        <v>49</v>
      </c>
      <c r="F2965" t="s">
        <v>50</v>
      </c>
      <c r="G2965">
        <v>5</v>
      </c>
      <c r="H2965">
        <v>7.19</v>
      </c>
      <c r="I2965" s="7">
        <f>IF(Transactions!I2965="",0,Transactions!I2965)</f>
        <v>0.2</v>
      </c>
      <c r="J2965" s="9">
        <f t="shared" si="46"/>
        <v>28.760000000000005</v>
      </c>
      <c r="K2965" t="s">
        <v>16</v>
      </c>
      <c r="L2965" t="s">
        <v>37</v>
      </c>
      <c r="M2965" t="str">
        <f>REPLACE(Transactions!M2965,1,4,"")</f>
        <v>13</v>
      </c>
    </row>
    <row r="2966" spans="1:13" x14ac:dyDescent="0.2">
      <c r="A2966">
        <v>590928</v>
      </c>
      <c r="B2966" s="5">
        <v>45051</v>
      </c>
      <c r="C2966">
        <v>33076</v>
      </c>
      <c r="D2966" t="str">
        <f>PROPER(Transactions!D2966)</f>
        <v>Toys</v>
      </c>
      <c r="E2966" t="s">
        <v>170</v>
      </c>
      <c r="F2966" t="s">
        <v>171</v>
      </c>
      <c r="G2966">
        <v>1</v>
      </c>
      <c r="H2966">
        <v>14.99</v>
      </c>
      <c r="I2966" s="7">
        <f>IF(Transactions!I2966="",0,Transactions!I2966)</f>
        <v>0</v>
      </c>
      <c r="J2966" s="9">
        <f t="shared" si="46"/>
        <v>14.99</v>
      </c>
      <c r="K2966" t="s">
        <v>95</v>
      </c>
      <c r="L2966" t="s">
        <v>17</v>
      </c>
      <c r="M2966" t="str">
        <f>REPLACE(Transactions!M2966,1,4,"")</f>
        <v>3</v>
      </c>
    </row>
    <row r="2967" spans="1:13" x14ac:dyDescent="0.2">
      <c r="A2967">
        <v>591044</v>
      </c>
      <c r="B2967" s="5">
        <v>45199</v>
      </c>
      <c r="C2967">
        <v>18008</v>
      </c>
      <c r="D2967" t="str">
        <f>PROPER(Transactions!D2967)</f>
        <v>Pharmacy</v>
      </c>
      <c r="E2967" t="s">
        <v>58</v>
      </c>
      <c r="F2967" t="s">
        <v>59</v>
      </c>
      <c r="G2967">
        <v>1</v>
      </c>
      <c r="H2967">
        <v>3.99</v>
      </c>
      <c r="I2967" s="7">
        <f>IF(Transactions!I2967="",0,Transactions!I2967)</f>
        <v>0</v>
      </c>
      <c r="J2967" s="9">
        <f t="shared" si="46"/>
        <v>3.99</v>
      </c>
      <c r="K2967" t="s">
        <v>95</v>
      </c>
      <c r="L2967" t="s">
        <v>37</v>
      </c>
      <c r="M2967" t="str">
        <f>REPLACE(Transactions!M2967,1,4,"")</f>
        <v>20</v>
      </c>
    </row>
    <row r="2968" spans="1:13" x14ac:dyDescent="0.2">
      <c r="A2968">
        <v>591451</v>
      </c>
      <c r="B2968" s="5">
        <v>44738</v>
      </c>
      <c r="C2968">
        <v>81175</v>
      </c>
      <c r="D2968" t="str">
        <f>PROPER(Transactions!D2968)</f>
        <v>Sports</v>
      </c>
      <c r="E2968" t="s">
        <v>147</v>
      </c>
      <c r="F2968" t="s">
        <v>148</v>
      </c>
      <c r="G2968">
        <v>3</v>
      </c>
      <c r="H2968">
        <v>11.69</v>
      </c>
      <c r="I2968" s="7">
        <f>IF(Transactions!I2968="",0,Transactions!I2968)</f>
        <v>0.1</v>
      </c>
      <c r="J2968" s="9">
        <f t="shared" si="46"/>
        <v>31.563000000000002</v>
      </c>
      <c r="K2968" t="s">
        <v>16</v>
      </c>
      <c r="L2968" t="s">
        <v>17</v>
      </c>
      <c r="M2968" t="str">
        <f>REPLACE(Transactions!M2968,1,4,"")</f>
        <v>7</v>
      </c>
    </row>
    <row r="2969" spans="1:13" x14ac:dyDescent="0.2">
      <c r="A2969">
        <v>591616</v>
      </c>
      <c r="B2969" s="5">
        <v>45595</v>
      </c>
      <c r="C2969">
        <v>56332</v>
      </c>
      <c r="D2969" t="str">
        <f>PROPER(Transactions!D2969)</f>
        <v>Toys</v>
      </c>
      <c r="E2969" t="s">
        <v>30</v>
      </c>
      <c r="F2969" t="s">
        <v>31</v>
      </c>
      <c r="G2969">
        <v>1</v>
      </c>
      <c r="H2969">
        <v>21.24</v>
      </c>
      <c r="I2969" s="7">
        <f>IF(Transactions!I2969="",0,Transactions!I2969)</f>
        <v>0.15</v>
      </c>
      <c r="J2969" s="9">
        <f t="shared" si="46"/>
        <v>18.053999999999998</v>
      </c>
      <c r="K2969" t="s">
        <v>16</v>
      </c>
      <c r="L2969" t="s">
        <v>37</v>
      </c>
      <c r="M2969" t="str">
        <f>REPLACE(Transactions!M2969,1,4,"")</f>
        <v>5</v>
      </c>
    </row>
    <row r="2970" spans="1:13" x14ac:dyDescent="0.2">
      <c r="A2970">
        <v>591736</v>
      </c>
      <c r="B2970" s="5">
        <v>45137</v>
      </c>
      <c r="C2970">
        <v>35990</v>
      </c>
      <c r="D2970" t="str">
        <f>PROPER(Transactions!D2970)</f>
        <v>Toys</v>
      </c>
      <c r="E2970" t="s">
        <v>30</v>
      </c>
      <c r="F2970" t="s">
        <v>31</v>
      </c>
      <c r="G2970">
        <v>2</v>
      </c>
      <c r="H2970">
        <v>24.99</v>
      </c>
      <c r="I2970" s="7">
        <f>IF(Transactions!I2970="",0,Transactions!I2970)</f>
        <v>0</v>
      </c>
      <c r="J2970" s="9">
        <f t="shared" si="46"/>
        <v>49.98</v>
      </c>
      <c r="K2970" t="s">
        <v>53</v>
      </c>
      <c r="L2970" t="s">
        <v>17</v>
      </c>
      <c r="M2970" t="str">
        <f>REPLACE(Transactions!M2970,1,4,"")</f>
        <v>4</v>
      </c>
    </row>
    <row r="2971" spans="1:13" x14ac:dyDescent="0.2">
      <c r="A2971">
        <v>591868</v>
      </c>
      <c r="B2971" s="5">
        <v>44629</v>
      </c>
      <c r="D2971" t="str">
        <f>PROPER(Transactions!D2971)</f>
        <v>Electronics</v>
      </c>
      <c r="E2971" t="s">
        <v>34</v>
      </c>
      <c r="F2971" t="s">
        <v>35</v>
      </c>
      <c r="G2971">
        <v>2</v>
      </c>
      <c r="H2971">
        <v>24.49</v>
      </c>
      <c r="I2971" s="7">
        <f>IF(Transactions!I2971="",0,Transactions!I2971)</f>
        <v>0.3</v>
      </c>
      <c r="J2971" s="9">
        <f t="shared" si="46"/>
        <v>34.285999999999994</v>
      </c>
      <c r="K2971" t="s">
        <v>16</v>
      </c>
      <c r="L2971" t="s">
        <v>17</v>
      </c>
      <c r="M2971" t="str">
        <f>REPLACE(Transactions!M2971,1,4,"")</f>
        <v>8</v>
      </c>
    </row>
    <row r="2972" spans="1:13" x14ac:dyDescent="0.2">
      <c r="A2972">
        <v>591897</v>
      </c>
      <c r="B2972" s="5">
        <v>45529</v>
      </c>
      <c r="C2972">
        <v>43544</v>
      </c>
      <c r="D2972" t="str">
        <f>PROPER(Transactions!D2972)</f>
        <v>Grocery</v>
      </c>
      <c r="E2972" t="s">
        <v>184</v>
      </c>
      <c r="F2972" t="s">
        <v>185</v>
      </c>
      <c r="G2972">
        <v>4</v>
      </c>
      <c r="H2972">
        <v>5.49</v>
      </c>
      <c r="I2972" s="7">
        <f>IF(Transactions!I2972="",0,Transactions!I2972)</f>
        <v>0</v>
      </c>
      <c r="J2972" s="9">
        <f t="shared" si="46"/>
        <v>21.96</v>
      </c>
      <c r="K2972" t="s">
        <v>16</v>
      </c>
      <c r="L2972" t="s">
        <v>17</v>
      </c>
      <c r="M2972" t="str">
        <f>REPLACE(Transactions!M2972,1,4,"")</f>
        <v>17</v>
      </c>
    </row>
    <row r="2973" spans="1:13" x14ac:dyDescent="0.2">
      <c r="A2973">
        <v>592089</v>
      </c>
      <c r="B2973" s="5">
        <v>44586</v>
      </c>
      <c r="C2973">
        <v>81656</v>
      </c>
      <c r="D2973" t="str">
        <f>PROPER(Transactions!D2973)</f>
        <v>Sports</v>
      </c>
      <c r="E2973" t="s">
        <v>188</v>
      </c>
      <c r="F2973" t="s">
        <v>189</v>
      </c>
      <c r="G2973">
        <v>4</v>
      </c>
      <c r="H2973">
        <v>44.99</v>
      </c>
      <c r="I2973" s="7">
        <f>IF(Transactions!I2973="",0,Transactions!I2973)</f>
        <v>0</v>
      </c>
      <c r="J2973" s="9">
        <f t="shared" si="46"/>
        <v>179.96</v>
      </c>
      <c r="K2973" t="s">
        <v>16</v>
      </c>
      <c r="L2973" t="s">
        <v>17</v>
      </c>
      <c r="M2973" t="str">
        <f>REPLACE(Transactions!M2973,1,4,"")</f>
        <v>12</v>
      </c>
    </row>
    <row r="2974" spans="1:13" x14ac:dyDescent="0.2">
      <c r="A2974">
        <v>592130</v>
      </c>
      <c r="B2974" s="5">
        <v>45507</v>
      </c>
      <c r="C2974">
        <v>12847</v>
      </c>
      <c r="D2974" t="str">
        <f>PROPER(Transactions!D2974)</f>
        <v>Automotive</v>
      </c>
      <c r="E2974" t="s">
        <v>64</v>
      </c>
      <c r="F2974" t="s">
        <v>65</v>
      </c>
      <c r="G2974">
        <v>2</v>
      </c>
      <c r="H2974">
        <v>3.74</v>
      </c>
      <c r="I2974" s="7">
        <f>IF(Transactions!I2974="",0,Transactions!I2974)</f>
        <v>0.25</v>
      </c>
      <c r="J2974" s="9">
        <f t="shared" si="46"/>
        <v>5.61</v>
      </c>
      <c r="K2974" t="s">
        <v>16</v>
      </c>
      <c r="L2974" t="s">
        <v>17</v>
      </c>
      <c r="M2974" t="str">
        <f>REPLACE(Transactions!M2974,1,4,"")</f>
        <v>14</v>
      </c>
    </row>
    <row r="2975" spans="1:13" x14ac:dyDescent="0.2">
      <c r="A2975">
        <v>592408</v>
      </c>
      <c r="B2975" s="5">
        <v>45425</v>
      </c>
      <c r="C2975">
        <v>17176</v>
      </c>
      <c r="D2975" t="str">
        <f>PROPER(Transactions!D2975)</f>
        <v>Home &amp; Garden</v>
      </c>
      <c r="E2975" t="s">
        <v>145</v>
      </c>
      <c r="F2975" t="s">
        <v>146</v>
      </c>
      <c r="G2975">
        <v>1</v>
      </c>
      <c r="H2975">
        <v>15.29</v>
      </c>
      <c r="I2975" s="7">
        <f>IF(Transactions!I2975="",0,Transactions!I2975)</f>
        <v>0.1</v>
      </c>
      <c r="J2975" s="9">
        <f t="shared" si="46"/>
        <v>13.760999999999999</v>
      </c>
      <c r="K2975" t="s">
        <v>16</v>
      </c>
      <c r="L2975" t="s">
        <v>17</v>
      </c>
      <c r="M2975" t="str">
        <f>REPLACE(Transactions!M2975,1,4,"")</f>
        <v>15</v>
      </c>
    </row>
    <row r="2976" spans="1:13" x14ac:dyDescent="0.2">
      <c r="A2976">
        <v>592471</v>
      </c>
      <c r="B2976" s="5">
        <v>45462</v>
      </c>
      <c r="C2976">
        <v>36312</v>
      </c>
      <c r="D2976" t="str">
        <f>PROPER(Transactions!D2976)</f>
        <v>Sports</v>
      </c>
      <c r="E2976" t="s">
        <v>100</v>
      </c>
      <c r="F2976" t="s">
        <v>101</v>
      </c>
      <c r="G2976">
        <v>1</v>
      </c>
      <c r="H2976">
        <v>16.09</v>
      </c>
      <c r="I2976" s="7">
        <f>IF(Transactions!I2976="",0,Transactions!I2976)</f>
        <v>0.3</v>
      </c>
      <c r="J2976" s="9">
        <f t="shared" si="46"/>
        <v>11.263</v>
      </c>
      <c r="K2976" t="s">
        <v>16</v>
      </c>
      <c r="L2976" t="s">
        <v>17</v>
      </c>
      <c r="M2976" t="str">
        <f>REPLACE(Transactions!M2976,1,4,"")</f>
        <v>8</v>
      </c>
    </row>
    <row r="2977" spans="1:13" x14ac:dyDescent="0.2">
      <c r="A2977">
        <v>592811</v>
      </c>
      <c r="B2977" s="5">
        <v>45610</v>
      </c>
      <c r="C2977">
        <v>98715</v>
      </c>
      <c r="D2977" t="str">
        <f>PROPER(Transactions!D2977)</f>
        <v>Electronics</v>
      </c>
      <c r="E2977" t="s">
        <v>159</v>
      </c>
      <c r="F2977" t="s">
        <v>160</v>
      </c>
      <c r="G2977">
        <v>4</v>
      </c>
      <c r="H2977">
        <v>59.99</v>
      </c>
      <c r="I2977" s="7">
        <f>IF(Transactions!I2977="",0,Transactions!I2977)</f>
        <v>0</v>
      </c>
      <c r="J2977" s="9">
        <f t="shared" si="46"/>
        <v>239.96</v>
      </c>
      <c r="K2977" t="s">
        <v>53</v>
      </c>
      <c r="L2977" t="s">
        <v>17</v>
      </c>
      <c r="M2977" t="str">
        <f>REPLACE(Transactions!M2977,1,4,"")</f>
        <v>18</v>
      </c>
    </row>
    <row r="2978" spans="1:13" x14ac:dyDescent="0.2">
      <c r="A2978">
        <v>592839</v>
      </c>
      <c r="B2978" s="5">
        <v>44932</v>
      </c>
      <c r="C2978">
        <v>66066</v>
      </c>
      <c r="D2978" t="str">
        <f>PROPER(Transactions!D2978)</f>
        <v>Pharmacy</v>
      </c>
      <c r="E2978" t="s">
        <v>41</v>
      </c>
      <c r="F2978" t="s">
        <v>42</v>
      </c>
      <c r="G2978">
        <v>2</v>
      </c>
      <c r="H2978">
        <v>5.99</v>
      </c>
      <c r="I2978" s="7">
        <f>IF(Transactions!I2978="",0,Transactions!I2978)</f>
        <v>0</v>
      </c>
      <c r="J2978" s="9">
        <f t="shared" si="46"/>
        <v>11.98</v>
      </c>
      <c r="K2978" t="s">
        <v>16</v>
      </c>
      <c r="L2978" t="s">
        <v>17</v>
      </c>
      <c r="M2978" t="str">
        <f>REPLACE(Transactions!M2978,1,4,"")</f>
        <v>18</v>
      </c>
    </row>
    <row r="2979" spans="1:13" x14ac:dyDescent="0.2">
      <c r="A2979">
        <v>592991</v>
      </c>
      <c r="B2979" s="5">
        <v>45481</v>
      </c>
      <c r="C2979">
        <v>98988</v>
      </c>
      <c r="D2979" t="str">
        <f>PROPER(Transactions!D2979)</f>
        <v>Clothing</v>
      </c>
      <c r="E2979" t="s">
        <v>165</v>
      </c>
      <c r="F2979" t="s">
        <v>166</v>
      </c>
      <c r="G2979">
        <v>3</v>
      </c>
      <c r="H2979">
        <v>62.99</v>
      </c>
      <c r="I2979" s="7">
        <f>IF(Transactions!I2979="",0,Transactions!I2979)</f>
        <v>0.3</v>
      </c>
      <c r="J2979" s="9">
        <f t="shared" si="46"/>
        <v>132.279</v>
      </c>
      <c r="K2979" t="s">
        <v>36</v>
      </c>
      <c r="L2979" t="s">
        <v>37</v>
      </c>
      <c r="M2979" t="str">
        <f>REPLACE(Transactions!M2979,1,4,"")</f>
        <v>16</v>
      </c>
    </row>
    <row r="2980" spans="1:13" x14ac:dyDescent="0.2">
      <c r="A2980">
        <v>593554</v>
      </c>
      <c r="B2980" s="5">
        <v>44783</v>
      </c>
      <c r="C2980">
        <v>50001</v>
      </c>
      <c r="D2980" t="str">
        <f>PROPER(Transactions!D2980)</f>
        <v>Home &amp; Garden</v>
      </c>
      <c r="E2980" t="s">
        <v>86</v>
      </c>
      <c r="F2980" t="s">
        <v>87</v>
      </c>
      <c r="G2980">
        <v>4</v>
      </c>
      <c r="H2980">
        <v>10.39</v>
      </c>
      <c r="I2980" s="7">
        <f>IF(Transactions!I2980="",0,Transactions!I2980)</f>
        <v>0.2</v>
      </c>
      <c r="J2980" s="9">
        <f t="shared" si="46"/>
        <v>33.248000000000005</v>
      </c>
      <c r="K2980" t="s">
        <v>36</v>
      </c>
      <c r="L2980" t="s">
        <v>37</v>
      </c>
      <c r="M2980" t="str">
        <f>REPLACE(Transactions!M2980,1,4,"")</f>
        <v>6</v>
      </c>
    </row>
    <row r="2981" spans="1:13" x14ac:dyDescent="0.2">
      <c r="A2981">
        <v>593598</v>
      </c>
      <c r="B2981" s="5">
        <v>45278</v>
      </c>
      <c r="C2981">
        <v>58456</v>
      </c>
      <c r="D2981" t="str">
        <f>PROPER(Transactions!D2981)</f>
        <v>Automotive</v>
      </c>
      <c r="E2981" t="s">
        <v>125</v>
      </c>
      <c r="F2981" t="s">
        <v>126</v>
      </c>
      <c r="G2981">
        <v>1</v>
      </c>
      <c r="H2981">
        <v>25.49</v>
      </c>
      <c r="I2981" s="7">
        <f>IF(Transactions!I2981="",0,Transactions!I2981)</f>
        <v>0.15</v>
      </c>
      <c r="J2981" s="9">
        <f t="shared" si="46"/>
        <v>21.666499999999999</v>
      </c>
      <c r="K2981" t="s">
        <v>36</v>
      </c>
      <c r="L2981" t="s">
        <v>17</v>
      </c>
      <c r="M2981" t="str">
        <f>REPLACE(Transactions!M2981,1,4,"")</f>
        <v>12</v>
      </c>
    </row>
    <row r="2982" spans="1:13" x14ac:dyDescent="0.2">
      <c r="A2982">
        <v>593847</v>
      </c>
      <c r="B2982" s="5">
        <v>45338</v>
      </c>
      <c r="C2982">
        <v>61743</v>
      </c>
      <c r="D2982" t="str">
        <f>PROPER(Transactions!D2982)</f>
        <v>Automotive</v>
      </c>
      <c r="E2982" t="s">
        <v>125</v>
      </c>
      <c r="F2982" t="s">
        <v>126</v>
      </c>
      <c r="G2982">
        <v>5</v>
      </c>
      <c r="H2982">
        <v>29.99</v>
      </c>
      <c r="I2982" s="7">
        <f>IF(Transactions!I2982="",0,Transactions!I2982)</f>
        <v>0</v>
      </c>
      <c r="J2982" s="9">
        <f t="shared" si="46"/>
        <v>149.94999999999999</v>
      </c>
      <c r="K2982" t="s">
        <v>16</v>
      </c>
      <c r="L2982" t="s">
        <v>17</v>
      </c>
      <c r="M2982" t="str">
        <f>REPLACE(Transactions!M2982,1,4,"")</f>
        <v>12</v>
      </c>
    </row>
    <row r="2983" spans="1:13" x14ac:dyDescent="0.2">
      <c r="A2983">
        <v>594130</v>
      </c>
      <c r="B2983" s="5">
        <v>45610</v>
      </c>
      <c r="C2983">
        <v>92980</v>
      </c>
      <c r="D2983" t="str">
        <f>PROPER(Transactions!D2983)</f>
        <v>Pharmacy</v>
      </c>
      <c r="E2983" t="s">
        <v>41</v>
      </c>
      <c r="F2983" t="s">
        <v>42</v>
      </c>
      <c r="G2983">
        <v>4</v>
      </c>
      <c r="H2983">
        <v>5.39</v>
      </c>
      <c r="I2983" s="7">
        <f>IF(Transactions!I2983="",0,Transactions!I2983)</f>
        <v>0.1</v>
      </c>
      <c r="J2983" s="9">
        <f t="shared" si="46"/>
        <v>19.404</v>
      </c>
      <c r="K2983" t="s">
        <v>22</v>
      </c>
      <c r="L2983" t="s">
        <v>17</v>
      </c>
      <c r="M2983" t="str">
        <f>REPLACE(Transactions!M2983,1,4,"")</f>
        <v>3</v>
      </c>
    </row>
    <row r="2984" spans="1:13" x14ac:dyDescent="0.2">
      <c r="A2984">
        <v>594282</v>
      </c>
      <c r="B2984" s="5">
        <v>44708</v>
      </c>
      <c r="C2984">
        <v>89166</v>
      </c>
      <c r="D2984" t="str">
        <f>PROPER(Transactions!D2984)</f>
        <v>Beauty</v>
      </c>
      <c r="E2984" t="s">
        <v>139</v>
      </c>
      <c r="F2984" t="s">
        <v>140</v>
      </c>
      <c r="G2984">
        <v>1</v>
      </c>
      <c r="H2984">
        <v>6.79</v>
      </c>
      <c r="I2984" s="7">
        <f>IF(Transactions!I2984="",0,Transactions!I2984)</f>
        <v>0.15</v>
      </c>
      <c r="J2984" s="9">
        <f t="shared" si="46"/>
        <v>5.7714999999999996</v>
      </c>
      <c r="K2984" t="s">
        <v>36</v>
      </c>
      <c r="L2984" t="s">
        <v>37</v>
      </c>
      <c r="M2984" t="str">
        <f>REPLACE(Transactions!M2984,1,4,"")</f>
        <v>13</v>
      </c>
    </row>
    <row r="2985" spans="1:13" x14ac:dyDescent="0.2">
      <c r="A2985">
        <v>594422</v>
      </c>
      <c r="B2985" s="5">
        <v>44673</v>
      </c>
      <c r="C2985">
        <v>79059</v>
      </c>
      <c r="D2985" t="str">
        <f>PROPER(Transactions!D2985)</f>
        <v>Clothing</v>
      </c>
      <c r="E2985" t="s">
        <v>165</v>
      </c>
      <c r="F2985" t="s">
        <v>166</v>
      </c>
      <c r="G2985">
        <v>1</v>
      </c>
      <c r="H2985">
        <v>89.99</v>
      </c>
      <c r="I2985" s="7">
        <f>IF(Transactions!I2985="",0,Transactions!I2985)</f>
        <v>0</v>
      </c>
      <c r="J2985" s="9">
        <f t="shared" si="46"/>
        <v>89.99</v>
      </c>
      <c r="K2985" t="s">
        <v>16</v>
      </c>
      <c r="L2985" t="s">
        <v>17</v>
      </c>
      <c r="M2985" t="str">
        <f>REPLACE(Transactions!M2985,1,4,"")</f>
        <v>3</v>
      </c>
    </row>
    <row r="2986" spans="1:13" x14ac:dyDescent="0.2">
      <c r="A2986">
        <v>594797</v>
      </c>
      <c r="B2986" s="5">
        <v>45187</v>
      </c>
      <c r="C2986">
        <v>84843</v>
      </c>
      <c r="D2986" t="str">
        <f>PROPER(Transactions!D2986)</f>
        <v>Home &amp; Garden</v>
      </c>
      <c r="E2986" t="s">
        <v>86</v>
      </c>
      <c r="F2986" t="s">
        <v>87</v>
      </c>
      <c r="G2986">
        <v>4</v>
      </c>
      <c r="H2986">
        <v>11.04</v>
      </c>
      <c r="I2986" s="7">
        <f>IF(Transactions!I2986="",0,Transactions!I2986)</f>
        <v>0.15</v>
      </c>
      <c r="J2986" s="9">
        <f t="shared" si="46"/>
        <v>37.535999999999994</v>
      </c>
      <c r="K2986" t="s">
        <v>36</v>
      </c>
      <c r="L2986" t="s">
        <v>17</v>
      </c>
      <c r="M2986" t="str">
        <f>REPLACE(Transactions!M2986,1,4,"")</f>
        <v>10</v>
      </c>
    </row>
    <row r="2987" spans="1:13" x14ac:dyDescent="0.2">
      <c r="A2987">
        <v>594820</v>
      </c>
      <c r="B2987" s="5">
        <v>44611</v>
      </c>
      <c r="C2987">
        <v>83797</v>
      </c>
      <c r="D2987" t="str">
        <f>PROPER(Transactions!D2987)</f>
        <v>Furniture</v>
      </c>
      <c r="E2987" t="s">
        <v>60</v>
      </c>
      <c r="F2987" t="s">
        <v>61</v>
      </c>
      <c r="G2987">
        <v>1</v>
      </c>
      <c r="H2987">
        <v>54.99</v>
      </c>
      <c r="I2987" s="7">
        <f>IF(Transactions!I2987="",0,Transactions!I2987)</f>
        <v>0</v>
      </c>
      <c r="J2987" s="9">
        <f t="shared" si="46"/>
        <v>54.99</v>
      </c>
      <c r="K2987" t="s">
        <v>32</v>
      </c>
      <c r="L2987" t="s">
        <v>17</v>
      </c>
      <c r="M2987" t="str">
        <f>REPLACE(Transactions!M2987,1,4,"")</f>
        <v>14</v>
      </c>
    </row>
    <row r="2988" spans="1:13" x14ac:dyDescent="0.2">
      <c r="A2988">
        <v>595375</v>
      </c>
      <c r="B2988" s="5">
        <v>44847</v>
      </c>
      <c r="C2988">
        <v>18622</v>
      </c>
      <c r="D2988" t="str">
        <f>PROPER(Transactions!D2988)</f>
        <v>Furniture</v>
      </c>
      <c r="E2988" t="s">
        <v>70</v>
      </c>
      <c r="F2988" t="s">
        <v>71</v>
      </c>
      <c r="G2988">
        <v>2</v>
      </c>
      <c r="H2988">
        <v>80.989999999999995</v>
      </c>
      <c r="I2988" s="7">
        <f>IF(Transactions!I2988="",0,Transactions!I2988)</f>
        <v>0.1</v>
      </c>
      <c r="J2988" s="9">
        <f t="shared" si="46"/>
        <v>145.78199999999998</v>
      </c>
      <c r="K2988" t="s">
        <v>16</v>
      </c>
      <c r="L2988" t="s">
        <v>17</v>
      </c>
      <c r="M2988" t="str">
        <f>REPLACE(Transactions!M2988,1,4,"")</f>
        <v>18</v>
      </c>
    </row>
    <row r="2989" spans="1:13" x14ac:dyDescent="0.2">
      <c r="A2989">
        <v>595523</v>
      </c>
      <c r="B2989" s="5">
        <v>44564</v>
      </c>
      <c r="C2989">
        <v>48097</v>
      </c>
      <c r="D2989" t="str">
        <f>PROPER(Transactions!D2989)</f>
        <v>Electronics</v>
      </c>
      <c r="E2989" t="s">
        <v>104</v>
      </c>
      <c r="F2989" t="s">
        <v>105</v>
      </c>
      <c r="G2989">
        <v>4</v>
      </c>
      <c r="H2989">
        <v>22.49</v>
      </c>
      <c r="I2989" s="7">
        <f>IF(Transactions!I2989="",0,Transactions!I2989)</f>
        <v>0.25</v>
      </c>
      <c r="J2989" s="9">
        <f t="shared" si="46"/>
        <v>67.47</v>
      </c>
      <c r="K2989" t="s">
        <v>36</v>
      </c>
      <c r="L2989" t="s">
        <v>37</v>
      </c>
      <c r="M2989" t="str">
        <f>REPLACE(Transactions!M2989,1,4,"")</f>
        <v>11</v>
      </c>
    </row>
    <row r="2990" spans="1:13" x14ac:dyDescent="0.2">
      <c r="A2990">
        <v>596004</v>
      </c>
      <c r="B2990" s="5">
        <v>44704</v>
      </c>
      <c r="C2990">
        <v>67212</v>
      </c>
      <c r="D2990" t="str">
        <f>PROPER(Transactions!D2990)</f>
        <v>Grocery</v>
      </c>
      <c r="E2990" t="s">
        <v>172</v>
      </c>
      <c r="F2990" t="s">
        <v>173</v>
      </c>
      <c r="G2990">
        <v>1</v>
      </c>
      <c r="H2990">
        <v>4.49</v>
      </c>
      <c r="I2990" s="7">
        <f>IF(Transactions!I2990="",0,Transactions!I2990)</f>
        <v>0</v>
      </c>
      <c r="J2990" s="9">
        <f t="shared" si="46"/>
        <v>4.49</v>
      </c>
      <c r="K2990" t="s">
        <v>36</v>
      </c>
      <c r="L2990" t="s">
        <v>17</v>
      </c>
      <c r="M2990" t="str">
        <f>REPLACE(Transactions!M2990,1,4,"")</f>
        <v>20</v>
      </c>
    </row>
    <row r="2991" spans="1:13" x14ac:dyDescent="0.2">
      <c r="A2991">
        <v>596017</v>
      </c>
      <c r="B2991" s="5">
        <v>44777</v>
      </c>
      <c r="C2991">
        <v>26015</v>
      </c>
      <c r="D2991" t="str">
        <f>PROPER(Transactions!D2991)</f>
        <v>Grocery</v>
      </c>
      <c r="E2991" t="s">
        <v>172</v>
      </c>
      <c r="F2991" t="s">
        <v>173</v>
      </c>
      <c r="G2991">
        <v>1</v>
      </c>
      <c r="H2991">
        <v>4.49</v>
      </c>
      <c r="I2991" s="7">
        <f>IF(Transactions!I2991="",0,Transactions!I2991)</f>
        <v>0</v>
      </c>
      <c r="J2991" s="9">
        <f t="shared" si="46"/>
        <v>4.49</v>
      </c>
      <c r="K2991" t="s">
        <v>36</v>
      </c>
      <c r="L2991" t="s">
        <v>23</v>
      </c>
      <c r="M2991" t="str">
        <f>REPLACE(Transactions!M2991,1,4,"")</f>
        <v>14</v>
      </c>
    </row>
    <row r="2992" spans="1:13" x14ac:dyDescent="0.2">
      <c r="A2992">
        <v>596171</v>
      </c>
      <c r="B2992" s="5">
        <v>45375</v>
      </c>
      <c r="C2992">
        <v>20911</v>
      </c>
      <c r="D2992" t="str">
        <f>PROPER(Transactions!D2992)</f>
        <v>Clothing</v>
      </c>
      <c r="E2992" t="s">
        <v>193</v>
      </c>
      <c r="F2992" t="s">
        <v>194</v>
      </c>
      <c r="G2992">
        <v>1</v>
      </c>
      <c r="H2992">
        <v>64.989999999999995</v>
      </c>
      <c r="I2992" s="7">
        <f>IF(Transactions!I2992="",0,Transactions!I2992)</f>
        <v>0</v>
      </c>
      <c r="J2992" s="9">
        <f t="shared" si="46"/>
        <v>64.989999999999995</v>
      </c>
      <c r="K2992" t="s">
        <v>36</v>
      </c>
      <c r="L2992" t="s">
        <v>17</v>
      </c>
      <c r="M2992" t="str">
        <f>REPLACE(Transactions!M2992,1,4,"")</f>
        <v>18</v>
      </c>
    </row>
    <row r="2993" spans="1:13" x14ac:dyDescent="0.2">
      <c r="A2993">
        <v>596240</v>
      </c>
      <c r="B2993" s="5">
        <v>44574</v>
      </c>
      <c r="C2993">
        <v>58198</v>
      </c>
      <c r="D2993" t="str">
        <f>PROPER(Transactions!D2993)</f>
        <v>Pharmacy</v>
      </c>
      <c r="E2993" t="s">
        <v>197</v>
      </c>
      <c r="F2993" t="s">
        <v>198</v>
      </c>
      <c r="G2993">
        <v>5</v>
      </c>
      <c r="H2993">
        <v>14.99</v>
      </c>
      <c r="I2993" s="7">
        <f>IF(Transactions!I2993="",0,Transactions!I2993)</f>
        <v>0</v>
      </c>
      <c r="J2993" s="9">
        <f t="shared" si="46"/>
        <v>74.95</v>
      </c>
      <c r="K2993" t="s">
        <v>16</v>
      </c>
      <c r="L2993" t="s">
        <v>17</v>
      </c>
      <c r="M2993" t="str">
        <f>REPLACE(Transactions!M2993,1,4,"")</f>
        <v>4</v>
      </c>
    </row>
    <row r="2994" spans="1:13" x14ac:dyDescent="0.2">
      <c r="A2994">
        <v>596337</v>
      </c>
      <c r="B2994" s="5">
        <v>44783</v>
      </c>
      <c r="C2994">
        <v>24017</v>
      </c>
      <c r="D2994" t="str">
        <f>PROPER(Transactions!D2994)</f>
        <v>Electronics</v>
      </c>
      <c r="E2994" t="s">
        <v>14</v>
      </c>
      <c r="F2994" t="s">
        <v>15</v>
      </c>
      <c r="G2994">
        <v>1</v>
      </c>
      <c r="H2994">
        <v>59.99</v>
      </c>
      <c r="I2994" s="7">
        <f>IF(Transactions!I2994="",0,Transactions!I2994)</f>
        <v>0.25</v>
      </c>
      <c r="J2994" s="9">
        <f t="shared" si="46"/>
        <v>44.9925</v>
      </c>
      <c r="K2994" t="s">
        <v>16</v>
      </c>
      <c r="L2994" t="s">
        <v>17</v>
      </c>
      <c r="M2994" t="str">
        <f>REPLACE(Transactions!M2994,1,4,"")</f>
        <v>6</v>
      </c>
    </row>
    <row r="2995" spans="1:13" x14ac:dyDescent="0.2">
      <c r="A2995">
        <v>596419</v>
      </c>
      <c r="B2995" s="5">
        <v>45295</v>
      </c>
      <c r="D2995" t="str">
        <f>PROPER(Transactions!D2995)</f>
        <v>Clothing</v>
      </c>
      <c r="E2995" t="s">
        <v>98</v>
      </c>
      <c r="F2995" t="s">
        <v>99</v>
      </c>
      <c r="G2995">
        <v>1</v>
      </c>
      <c r="H2995">
        <v>27.99</v>
      </c>
      <c r="I2995" s="7">
        <f>IF(Transactions!I2995="",0,Transactions!I2995)</f>
        <v>0</v>
      </c>
      <c r="J2995" s="9">
        <f t="shared" si="46"/>
        <v>27.99</v>
      </c>
      <c r="K2995" t="s">
        <v>22</v>
      </c>
      <c r="L2995" t="s">
        <v>23</v>
      </c>
      <c r="M2995" t="str">
        <f>REPLACE(Transactions!M2995,1,4,"")</f>
        <v>6</v>
      </c>
    </row>
    <row r="2996" spans="1:13" x14ac:dyDescent="0.2">
      <c r="A2996">
        <v>596574</v>
      </c>
      <c r="B2996" s="5">
        <v>44911</v>
      </c>
      <c r="C2996">
        <v>74106</v>
      </c>
      <c r="D2996" t="str">
        <f>PROPER(Transactions!D2996)</f>
        <v>Clothing</v>
      </c>
      <c r="E2996" t="s">
        <v>151</v>
      </c>
      <c r="F2996" t="s">
        <v>152</v>
      </c>
      <c r="G2996">
        <v>5</v>
      </c>
      <c r="H2996">
        <v>31.49</v>
      </c>
      <c r="I2996" s="7">
        <f>IF(Transactions!I2996="",0,Transactions!I2996)</f>
        <v>0.1</v>
      </c>
      <c r="J2996" s="9">
        <f t="shared" si="46"/>
        <v>141.70499999999998</v>
      </c>
      <c r="K2996" t="s">
        <v>36</v>
      </c>
      <c r="L2996" t="s">
        <v>17</v>
      </c>
      <c r="M2996" t="str">
        <f>REPLACE(Transactions!M2996,1,4,"")</f>
        <v>12</v>
      </c>
    </row>
    <row r="2997" spans="1:13" x14ac:dyDescent="0.2">
      <c r="A2997">
        <v>596619</v>
      </c>
      <c r="B2997" s="5">
        <v>45217</v>
      </c>
      <c r="C2997">
        <v>14060</v>
      </c>
      <c r="D2997" t="str">
        <f>PROPER(Transactions!D2997)</f>
        <v>Sports</v>
      </c>
      <c r="E2997" t="s">
        <v>155</v>
      </c>
      <c r="F2997" t="s">
        <v>156</v>
      </c>
      <c r="G2997">
        <v>2</v>
      </c>
      <c r="H2997">
        <v>13.99</v>
      </c>
      <c r="I2997" s="7">
        <f>IF(Transactions!I2997="",0,Transactions!I2997)</f>
        <v>0.3</v>
      </c>
      <c r="J2997" s="9">
        <f t="shared" si="46"/>
        <v>19.585999999999999</v>
      </c>
      <c r="K2997" t="s">
        <v>16</v>
      </c>
      <c r="L2997" t="s">
        <v>37</v>
      </c>
      <c r="M2997" t="str">
        <f>REPLACE(Transactions!M2997,1,4,"")</f>
        <v>3</v>
      </c>
    </row>
    <row r="2998" spans="1:13" x14ac:dyDescent="0.2">
      <c r="A2998">
        <v>596694</v>
      </c>
      <c r="B2998" s="5">
        <v>44604</v>
      </c>
      <c r="C2998">
        <v>69219</v>
      </c>
      <c r="D2998" t="str">
        <f>PROPER(Transactions!D2998)</f>
        <v>Beauty</v>
      </c>
      <c r="E2998" t="s">
        <v>49</v>
      </c>
      <c r="F2998" t="s">
        <v>50</v>
      </c>
      <c r="G2998">
        <v>2</v>
      </c>
      <c r="H2998">
        <v>8.99</v>
      </c>
      <c r="I2998" s="7">
        <f>IF(Transactions!I2998="",0,Transactions!I2998)</f>
        <v>0</v>
      </c>
      <c r="J2998" s="9">
        <f t="shared" si="46"/>
        <v>17.98</v>
      </c>
      <c r="K2998" t="s">
        <v>16</v>
      </c>
      <c r="L2998" t="s">
        <v>17</v>
      </c>
      <c r="M2998" t="str">
        <f>REPLACE(Transactions!M2998,1,4,"")</f>
        <v>4</v>
      </c>
    </row>
    <row r="2999" spans="1:13" x14ac:dyDescent="0.2">
      <c r="A2999">
        <v>596706</v>
      </c>
      <c r="B2999" s="5">
        <v>45132</v>
      </c>
      <c r="C2999">
        <v>74314</v>
      </c>
      <c r="D2999" t="str">
        <f>PROPER(Transactions!D2999)</f>
        <v>Grocery</v>
      </c>
      <c r="E2999" t="s">
        <v>195</v>
      </c>
      <c r="F2999" t="s">
        <v>196</v>
      </c>
      <c r="G2999">
        <v>1</v>
      </c>
      <c r="H2999">
        <v>4.99</v>
      </c>
      <c r="I2999" s="7">
        <f>IF(Transactions!I2999="",0,Transactions!I2999)</f>
        <v>0</v>
      </c>
      <c r="J2999" s="9">
        <f t="shared" si="46"/>
        <v>4.99</v>
      </c>
      <c r="K2999" t="s">
        <v>16</v>
      </c>
      <c r="L2999" t="s">
        <v>17</v>
      </c>
      <c r="M2999" t="str">
        <f>REPLACE(Transactions!M2999,1,4,"")</f>
        <v>19</v>
      </c>
    </row>
    <row r="3000" spans="1:13" x14ac:dyDescent="0.2">
      <c r="A3000">
        <v>596710</v>
      </c>
      <c r="B3000" s="5">
        <v>45447</v>
      </c>
      <c r="C3000">
        <v>21133</v>
      </c>
      <c r="D3000" t="str">
        <f>PROPER(Transactions!D3000)</f>
        <v>Toys</v>
      </c>
      <c r="E3000" t="s">
        <v>175</v>
      </c>
      <c r="F3000" t="s">
        <v>176</v>
      </c>
      <c r="G3000">
        <v>4</v>
      </c>
      <c r="H3000">
        <v>11.39</v>
      </c>
      <c r="I3000" s="7">
        <f>IF(Transactions!I3000="",0,Transactions!I3000)</f>
        <v>0.05</v>
      </c>
      <c r="J3000" s="9">
        <f t="shared" si="46"/>
        <v>43.282000000000004</v>
      </c>
      <c r="K3000" t="s">
        <v>22</v>
      </c>
      <c r="L3000" t="s">
        <v>37</v>
      </c>
      <c r="M3000" t="str">
        <f>REPLACE(Transactions!M3000,1,4,"")</f>
        <v>12</v>
      </c>
    </row>
    <row r="3001" spans="1:13" x14ac:dyDescent="0.2">
      <c r="A3001">
        <v>596755</v>
      </c>
      <c r="B3001" s="5">
        <v>45619</v>
      </c>
      <c r="D3001" t="str">
        <f>PROPER(Transactions!D3001)</f>
        <v>Clothing</v>
      </c>
      <c r="E3001" t="s">
        <v>165</v>
      </c>
      <c r="F3001" t="s">
        <v>166</v>
      </c>
      <c r="G3001">
        <v>3</v>
      </c>
      <c r="H3001">
        <v>62.99</v>
      </c>
      <c r="I3001" s="7">
        <f>IF(Transactions!I3001="",0,Transactions!I3001)</f>
        <v>0.3</v>
      </c>
      <c r="J3001" s="9">
        <f t="shared" si="46"/>
        <v>132.279</v>
      </c>
      <c r="K3001" t="s">
        <v>32</v>
      </c>
      <c r="L3001" t="s">
        <v>17</v>
      </c>
      <c r="M3001" t="str">
        <f>REPLACE(Transactions!M3001,1,4,"")</f>
        <v>9</v>
      </c>
    </row>
    <row r="3002" spans="1:13" x14ac:dyDescent="0.2">
      <c r="A3002">
        <v>596894</v>
      </c>
      <c r="B3002" s="5">
        <v>44906</v>
      </c>
      <c r="C3002">
        <v>95209</v>
      </c>
      <c r="D3002" t="str">
        <f>PROPER(Transactions!D3002)</f>
        <v>Grocery</v>
      </c>
      <c r="E3002" t="s">
        <v>45</v>
      </c>
      <c r="F3002" t="s">
        <v>46</v>
      </c>
      <c r="G3002">
        <v>1</v>
      </c>
      <c r="H3002">
        <v>1.79</v>
      </c>
      <c r="I3002" s="7">
        <f>IF(Transactions!I3002="",0,Transactions!I3002)</f>
        <v>0</v>
      </c>
      <c r="J3002" s="9">
        <f t="shared" si="46"/>
        <v>1.79</v>
      </c>
      <c r="K3002" t="s">
        <v>66</v>
      </c>
      <c r="L3002" t="s">
        <v>17</v>
      </c>
      <c r="M3002" t="str">
        <f>REPLACE(Transactions!M3002,1,4,"")</f>
        <v>15</v>
      </c>
    </row>
    <row r="3003" spans="1:13" x14ac:dyDescent="0.2">
      <c r="A3003">
        <v>596980</v>
      </c>
      <c r="B3003" s="5">
        <v>44979</v>
      </c>
      <c r="C3003">
        <v>94825</v>
      </c>
      <c r="D3003" t="str">
        <f>PROPER(Transactions!D3003)</f>
        <v>Grocery</v>
      </c>
      <c r="E3003" t="s">
        <v>195</v>
      </c>
      <c r="F3003" t="s">
        <v>196</v>
      </c>
      <c r="G3003">
        <v>2</v>
      </c>
      <c r="H3003">
        <v>4.74</v>
      </c>
      <c r="I3003" s="7">
        <f>IF(Transactions!I3003="",0,Transactions!I3003)</f>
        <v>0.05</v>
      </c>
      <c r="J3003" s="9">
        <f t="shared" si="46"/>
        <v>9.0060000000000002</v>
      </c>
      <c r="K3003" t="s">
        <v>16</v>
      </c>
      <c r="L3003" t="s">
        <v>17</v>
      </c>
      <c r="M3003" t="str">
        <f>REPLACE(Transactions!M3003,1,4,"")</f>
        <v>13</v>
      </c>
    </row>
    <row r="3004" spans="1:13" x14ac:dyDescent="0.2">
      <c r="A3004">
        <v>597160</v>
      </c>
      <c r="B3004" s="5">
        <v>45106</v>
      </c>
      <c r="C3004">
        <v>40190</v>
      </c>
      <c r="D3004" t="str">
        <f>PROPER(Transactions!D3004)</f>
        <v>Electronics</v>
      </c>
      <c r="E3004" t="s">
        <v>104</v>
      </c>
      <c r="F3004" t="s">
        <v>105</v>
      </c>
      <c r="G3004">
        <v>5</v>
      </c>
      <c r="H3004">
        <v>29.99</v>
      </c>
      <c r="I3004" s="7">
        <f>IF(Transactions!I3004="",0,Transactions!I3004)</f>
        <v>0</v>
      </c>
      <c r="J3004" s="9">
        <f t="shared" si="46"/>
        <v>149.94999999999999</v>
      </c>
      <c r="K3004" t="s">
        <v>16</v>
      </c>
      <c r="L3004" t="s">
        <v>17</v>
      </c>
      <c r="M3004" t="str">
        <f>REPLACE(Transactions!M3004,1,4,"")</f>
        <v/>
      </c>
    </row>
    <row r="3005" spans="1:13" x14ac:dyDescent="0.2">
      <c r="A3005">
        <v>597346</v>
      </c>
      <c r="B3005" s="5">
        <v>45146</v>
      </c>
      <c r="C3005">
        <v>93022</v>
      </c>
      <c r="D3005" t="str">
        <f>PROPER(Transactions!D3005)</f>
        <v>Beauty</v>
      </c>
      <c r="E3005" t="s">
        <v>143</v>
      </c>
      <c r="F3005" t="s">
        <v>144</v>
      </c>
      <c r="G3005">
        <v>3</v>
      </c>
      <c r="H3005">
        <v>12.74</v>
      </c>
      <c r="I3005" s="7">
        <f>IF(Transactions!I3005="",0,Transactions!I3005)</f>
        <v>0.15</v>
      </c>
      <c r="J3005" s="9">
        <f t="shared" si="46"/>
        <v>32.486999999999995</v>
      </c>
      <c r="K3005" t="s">
        <v>16</v>
      </c>
      <c r="L3005" t="s">
        <v>17</v>
      </c>
      <c r="M3005" t="str">
        <f>REPLACE(Transactions!M3005,1,4,"")</f>
        <v>7</v>
      </c>
    </row>
    <row r="3006" spans="1:13" x14ac:dyDescent="0.2">
      <c r="A3006">
        <v>597386</v>
      </c>
      <c r="B3006" s="5">
        <v>45649</v>
      </c>
      <c r="C3006">
        <v>12481</v>
      </c>
      <c r="D3006" t="str">
        <f>PROPER(Transactions!D3006)</f>
        <v>Pharmacy</v>
      </c>
      <c r="E3006" t="s">
        <v>41</v>
      </c>
      <c r="F3006" t="s">
        <v>42</v>
      </c>
      <c r="G3006">
        <v>3</v>
      </c>
      <c r="H3006">
        <v>5.69</v>
      </c>
      <c r="I3006" s="7">
        <f>IF(Transactions!I3006="",0,Transactions!I3006)</f>
        <v>0.05</v>
      </c>
      <c r="J3006" s="9">
        <f t="shared" si="46"/>
        <v>16.2165</v>
      </c>
      <c r="K3006" t="s">
        <v>16</v>
      </c>
      <c r="L3006" t="s">
        <v>23</v>
      </c>
      <c r="M3006" t="str">
        <f>REPLACE(Transactions!M3006,1,4,"")</f>
        <v>15</v>
      </c>
    </row>
    <row r="3007" spans="1:13" x14ac:dyDescent="0.2">
      <c r="A3007">
        <v>597443</v>
      </c>
      <c r="B3007" s="5">
        <v>44918</v>
      </c>
      <c r="C3007">
        <v>29011</v>
      </c>
      <c r="D3007" t="str">
        <f>PROPER(Transactions!D3007)</f>
        <v>Furniture</v>
      </c>
      <c r="E3007" t="s">
        <v>113</v>
      </c>
      <c r="F3007" t="s">
        <v>114</v>
      </c>
      <c r="G3007">
        <v>2</v>
      </c>
      <c r="H3007">
        <v>119.99</v>
      </c>
      <c r="I3007" s="7">
        <f>IF(Transactions!I3007="",0,Transactions!I3007)</f>
        <v>0</v>
      </c>
      <c r="J3007" s="9">
        <f t="shared" si="46"/>
        <v>239.98</v>
      </c>
      <c r="K3007" t="s">
        <v>36</v>
      </c>
      <c r="L3007" t="s">
        <v>17</v>
      </c>
      <c r="M3007" t="str">
        <f>REPLACE(Transactions!M3007,1,4,"")</f>
        <v>10</v>
      </c>
    </row>
    <row r="3008" spans="1:13" x14ac:dyDescent="0.2">
      <c r="A3008">
        <v>597567</v>
      </c>
      <c r="B3008" s="5">
        <v>44662</v>
      </c>
      <c r="C3008">
        <v>42900</v>
      </c>
      <c r="D3008" t="str">
        <f>PROPER(Transactions!D3008)</f>
        <v>Home &amp; Garden</v>
      </c>
      <c r="E3008" t="s">
        <v>137</v>
      </c>
      <c r="F3008" t="s">
        <v>138</v>
      </c>
      <c r="G3008">
        <v>1</v>
      </c>
      <c r="H3008">
        <v>6.39</v>
      </c>
      <c r="I3008" s="7">
        <f>IF(Transactions!I3008="",0,Transactions!I3008)</f>
        <v>0.2</v>
      </c>
      <c r="J3008" s="9">
        <f t="shared" si="46"/>
        <v>5.1120000000000001</v>
      </c>
      <c r="K3008" t="s">
        <v>36</v>
      </c>
      <c r="L3008" t="s">
        <v>37</v>
      </c>
      <c r="M3008" t="str">
        <f>REPLACE(Transactions!M3008,1,4,"")</f>
        <v>17</v>
      </c>
    </row>
    <row r="3009" spans="1:13" x14ac:dyDescent="0.2">
      <c r="A3009">
        <v>597673</v>
      </c>
      <c r="B3009" s="5">
        <v>45522</v>
      </c>
      <c r="C3009">
        <v>97594</v>
      </c>
      <c r="D3009" t="str">
        <f>PROPER(Transactions!D3009)</f>
        <v>Clothing</v>
      </c>
      <c r="E3009" t="s">
        <v>121</v>
      </c>
      <c r="F3009" t="s">
        <v>122</v>
      </c>
      <c r="G3009">
        <v>4</v>
      </c>
      <c r="H3009">
        <v>11.69</v>
      </c>
      <c r="I3009" s="7">
        <f>IF(Transactions!I3009="",0,Transactions!I3009)</f>
        <v>0.1</v>
      </c>
      <c r="J3009" s="9">
        <f t="shared" si="46"/>
        <v>42.083999999999996</v>
      </c>
      <c r="K3009" t="s">
        <v>36</v>
      </c>
      <c r="L3009" t="s">
        <v>37</v>
      </c>
      <c r="M3009" t="str">
        <f>REPLACE(Transactions!M3009,1,4,"")</f>
        <v/>
      </c>
    </row>
    <row r="3010" spans="1:13" x14ac:dyDescent="0.2">
      <c r="A3010">
        <v>597772</v>
      </c>
      <c r="B3010" s="5">
        <v>45145</v>
      </c>
      <c r="C3010">
        <v>97938</v>
      </c>
      <c r="D3010" t="str">
        <f>PROPER(Transactions!D3010)</f>
        <v>Furniture</v>
      </c>
      <c r="E3010" t="s">
        <v>70</v>
      </c>
      <c r="F3010" t="s">
        <v>71</v>
      </c>
      <c r="G3010">
        <v>2</v>
      </c>
      <c r="H3010">
        <v>89.99</v>
      </c>
      <c r="I3010" s="7">
        <f>IF(Transactions!I3010="",0,Transactions!I3010)</f>
        <v>0</v>
      </c>
      <c r="J3010" s="9">
        <f t="shared" si="46"/>
        <v>179.98</v>
      </c>
      <c r="K3010" t="s">
        <v>16</v>
      </c>
      <c r="L3010" t="s">
        <v>17</v>
      </c>
      <c r="M3010" t="str">
        <f>REPLACE(Transactions!M3010,1,4,"")</f>
        <v>1</v>
      </c>
    </row>
    <row r="3011" spans="1:13" x14ac:dyDescent="0.2">
      <c r="A3011">
        <v>597793</v>
      </c>
      <c r="B3011" s="5">
        <v>45339</v>
      </c>
      <c r="C3011">
        <v>18817</v>
      </c>
      <c r="D3011" t="str">
        <f>PROPER(Transactions!D3011)</f>
        <v>Electronics</v>
      </c>
      <c r="E3011" t="s">
        <v>34</v>
      </c>
      <c r="F3011" t="s">
        <v>35</v>
      </c>
      <c r="G3011">
        <v>4</v>
      </c>
      <c r="H3011">
        <v>34.99</v>
      </c>
      <c r="I3011" s="7">
        <f>IF(Transactions!I3011="",0,Transactions!I3011)</f>
        <v>0</v>
      </c>
      <c r="J3011" s="9">
        <f t="shared" ref="J3011:J3074" si="47">(H3011*G3011)*(1-I3011)</f>
        <v>139.96</v>
      </c>
      <c r="K3011" t="s">
        <v>36</v>
      </c>
      <c r="L3011" t="s">
        <v>17</v>
      </c>
      <c r="M3011" t="str">
        <f>REPLACE(Transactions!M3011,1,4,"")</f>
        <v/>
      </c>
    </row>
    <row r="3012" spans="1:13" x14ac:dyDescent="0.2">
      <c r="A3012">
        <v>597909</v>
      </c>
      <c r="B3012" s="5">
        <v>44991</v>
      </c>
      <c r="C3012">
        <v>75061</v>
      </c>
      <c r="D3012" t="str">
        <f>PROPER(Transactions!D3012)</f>
        <v>Toys</v>
      </c>
      <c r="E3012" t="s">
        <v>88</v>
      </c>
      <c r="F3012" t="s">
        <v>89</v>
      </c>
      <c r="G3012">
        <v>5</v>
      </c>
      <c r="H3012">
        <v>44.99</v>
      </c>
      <c r="I3012" s="7">
        <f>IF(Transactions!I3012="",0,Transactions!I3012)</f>
        <v>0.1</v>
      </c>
      <c r="J3012" s="9">
        <f t="shared" si="47"/>
        <v>202.45500000000001</v>
      </c>
      <c r="K3012" t="s">
        <v>22</v>
      </c>
      <c r="L3012" t="s">
        <v>17</v>
      </c>
      <c r="M3012" t="str">
        <f>REPLACE(Transactions!M3012,1,4,"")</f>
        <v>9</v>
      </c>
    </row>
    <row r="3013" spans="1:13" x14ac:dyDescent="0.2">
      <c r="A3013">
        <v>598091</v>
      </c>
      <c r="B3013" s="5">
        <v>45319</v>
      </c>
      <c r="C3013">
        <v>25896</v>
      </c>
      <c r="D3013" t="str">
        <f>PROPER(Transactions!D3013)</f>
        <v>Automotive</v>
      </c>
      <c r="E3013" t="s">
        <v>125</v>
      </c>
      <c r="F3013" t="s">
        <v>126</v>
      </c>
      <c r="G3013">
        <v>3</v>
      </c>
      <c r="H3013">
        <v>29.99</v>
      </c>
      <c r="I3013" s="7">
        <f>IF(Transactions!I3013="",0,Transactions!I3013)</f>
        <v>0</v>
      </c>
      <c r="J3013" s="9">
        <f t="shared" si="47"/>
        <v>89.97</v>
      </c>
      <c r="K3013" t="s">
        <v>16</v>
      </c>
      <c r="L3013" t="s">
        <v>17</v>
      </c>
      <c r="M3013" t="str">
        <f>REPLACE(Transactions!M3013,1,4,"")</f>
        <v>7</v>
      </c>
    </row>
    <row r="3014" spans="1:13" x14ac:dyDescent="0.2">
      <c r="A3014">
        <v>598291</v>
      </c>
      <c r="B3014" s="5">
        <v>45086</v>
      </c>
      <c r="C3014">
        <v>86154</v>
      </c>
      <c r="D3014" t="str">
        <f>PROPER(Transactions!D3014)</f>
        <v>Beauty</v>
      </c>
      <c r="E3014" t="s">
        <v>139</v>
      </c>
      <c r="F3014" t="s">
        <v>140</v>
      </c>
      <c r="G3014">
        <v>2</v>
      </c>
      <c r="H3014">
        <v>7.99</v>
      </c>
      <c r="I3014" s="7">
        <f>IF(Transactions!I3014="",0,Transactions!I3014)</f>
        <v>0</v>
      </c>
      <c r="J3014" s="9">
        <f t="shared" si="47"/>
        <v>15.98</v>
      </c>
      <c r="K3014" t="s">
        <v>16</v>
      </c>
      <c r="L3014" t="s">
        <v>17</v>
      </c>
      <c r="M3014" t="str">
        <f>REPLACE(Transactions!M3014,1,4,"")</f>
        <v>6</v>
      </c>
    </row>
    <row r="3015" spans="1:13" x14ac:dyDescent="0.2">
      <c r="A3015">
        <v>598435</v>
      </c>
      <c r="B3015" s="5">
        <v>45018</v>
      </c>
      <c r="C3015">
        <v>43959</v>
      </c>
      <c r="D3015" t="str">
        <f>PROPER(Transactions!D3015)</f>
        <v>Electronics</v>
      </c>
      <c r="E3015" t="s">
        <v>79</v>
      </c>
      <c r="F3015" t="s">
        <v>80</v>
      </c>
      <c r="G3015">
        <v>3</v>
      </c>
      <c r="H3015">
        <v>89.99</v>
      </c>
      <c r="I3015" s="7">
        <f>IF(Transactions!I3015="",0,Transactions!I3015)</f>
        <v>0</v>
      </c>
      <c r="J3015" s="9">
        <f t="shared" si="47"/>
        <v>269.96999999999997</v>
      </c>
      <c r="K3015" t="s">
        <v>32</v>
      </c>
      <c r="L3015" t="s">
        <v>37</v>
      </c>
      <c r="M3015" t="str">
        <f>REPLACE(Transactions!M3015,1,4,"")</f>
        <v>12</v>
      </c>
    </row>
    <row r="3016" spans="1:13" x14ac:dyDescent="0.2">
      <c r="A3016">
        <v>598469</v>
      </c>
      <c r="B3016" s="5">
        <v>44630</v>
      </c>
      <c r="C3016">
        <v>11453</v>
      </c>
      <c r="D3016" t="str">
        <f>PROPER(Transactions!D3016)</f>
        <v>Automotive</v>
      </c>
      <c r="E3016" t="s">
        <v>125</v>
      </c>
      <c r="F3016" t="s">
        <v>126</v>
      </c>
      <c r="G3016">
        <v>1</v>
      </c>
      <c r="H3016">
        <v>29.99</v>
      </c>
      <c r="I3016" s="7">
        <f>IF(Transactions!I3016="",0,Transactions!I3016)</f>
        <v>0</v>
      </c>
      <c r="J3016" s="9">
        <f t="shared" si="47"/>
        <v>29.99</v>
      </c>
      <c r="K3016" t="s">
        <v>32</v>
      </c>
      <c r="L3016" t="s">
        <v>17</v>
      </c>
      <c r="M3016" t="str">
        <f>REPLACE(Transactions!M3016,1,4,"")</f>
        <v>19</v>
      </c>
    </row>
    <row r="3017" spans="1:13" x14ac:dyDescent="0.2">
      <c r="A3017">
        <v>598577</v>
      </c>
      <c r="B3017" s="5">
        <v>45024</v>
      </c>
      <c r="C3017">
        <v>75906</v>
      </c>
      <c r="D3017" t="str">
        <f>PROPER(Transactions!D3017)</f>
        <v>Home &amp; Garden</v>
      </c>
      <c r="E3017" t="s">
        <v>86</v>
      </c>
      <c r="F3017" t="s">
        <v>87</v>
      </c>
      <c r="G3017">
        <v>2</v>
      </c>
      <c r="H3017">
        <v>9.74</v>
      </c>
      <c r="I3017" s="7">
        <f>IF(Transactions!I3017="",0,Transactions!I3017)</f>
        <v>0.25</v>
      </c>
      <c r="J3017" s="9">
        <f t="shared" si="47"/>
        <v>14.61</v>
      </c>
      <c r="K3017" t="s">
        <v>16</v>
      </c>
      <c r="L3017" t="s">
        <v>17</v>
      </c>
      <c r="M3017" t="str">
        <f>REPLACE(Transactions!M3017,1,4,"")</f>
        <v>3</v>
      </c>
    </row>
    <row r="3018" spans="1:13" x14ac:dyDescent="0.2">
      <c r="A3018">
        <v>598838</v>
      </c>
      <c r="B3018" s="5">
        <v>45371</v>
      </c>
      <c r="C3018">
        <v>55601</v>
      </c>
      <c r="D3018" t="str">
        <f>PROPER(Transactions!D3018)</f>
        <v>Beauty</v>
      </c>
      <c r="E3018" t="s">
        <v>143</v>
      </c>
      <c r="F3018" t="s">
        <v>144</v>
      </c>
      <c r="G3018">
        <v>3</v>
      </c>
      <c r="H3018">
        <v>10.49</v>
      </c>
      <c r="I3018" s="7">
        <f>IF(Transactions!I3018="",0,Transactions!I3018)</f>
        <v>0.3</v>
      </c>
      <c r="J3018" s="9">
        <f t="shared" si="47"/>
        <v>22.028999999999996</v>
      </c>
      <c r="K3018" t="s">
        <v>22</v>
      </c>
      <c r="L3018" t="s">
        <v>17</v>
      </c>
      <c r="M3018" t="str">
        <f>REPLACE(Transactions!M3018,1,4,"")</f>
        <v>19</v>
      </c>
    </row>
    <row r="3019" spans="1:13" x14ac:dyDescent="0.2">
      <c r="A3019">
        <v>598844</v>
      </c>
      <c r="B3019" s="5">
        <v>45017</v>
      </c>
      <c r="C3019">
        <v>32280</v>
      </c>
      <c r="D3019" t="str">
        <f>PROPER(Transactions!D3019)</f>
        <v>Sports</v>
      </c>
      <c r="E3019" t="s">
        <v>155</v>
      </c>
      <c r="F3019" t="s">
        <v>156</v>
      </c>
      <c r="G3019">
        <v>3</v>
      </c>
      <c r="H3019">
        <v>13.99</v>
      </c>
      <c r="I3019" s="7">
        <f>IF(Transactions!I3019="",0,Transactions!I3019)</f>
        <v>0.3</v>
      </c>
      <c r="J3019" s="9">
        <f t="shared" si="47"/>
        <v>29.378999999999998</v>
      </c>
      <c r="K3019" t="s">
        <v>36</v>
      </c>
      <c r="L3019" t="s">
        <v>37</v>
      </c>
      <c r="M3019" t="str">
        <f>REPLACE(Transactions!M3019,1,4,"")</f>
        <v>15</v>
      </c>
    </row>
    <row r="3020" spans="1:13" x14ac:dyDescent="0.2">
      <c r="A3020">
        <v>598949</v>
      </c>
      <c r="B3020" s="5">
        <v>44670</v>
      </c>
      <c r="C3020">
        <v>79711</v>
      </c>
      <c r="D3020" t="str">
        <f>PROPER(Transactions!D3020)</f>
        <v>Clothing</v>
      </c>
      <c r="E3020" t="s">
        <v>193</v>
      </c>
      <c r="F3020" t="s">
        <v>194</v>
      </c>
      <c r="G3020">
        <v>1</v>
      </c>
      <c r="H3020">
        <v>45.49</v>
      </c>
      <c r="I3020" s="7">
        <f>IF(Transactions!I3020="",0,Transactions!I3020)</f>
        <v>0.3</v>
      </c>
      <c r="J3020" s="9">
        <f t="shared" si="47"/>
        <v>31.843</v>
      </c>
      <c r="K3020" t="s">
        <v>22</v>
      </c>
      <c r="L3020" t="s">
        <v>17</v>
      </c>
      <c r="M3020" t="str">
        <f>REPLACE(Transactions!M3020,1,4,"")</f>
        <v>13</v>
      </c>
    </row>
    <row r="3021" spans="1:13" x14ac:dyDescent="0.2">
      <c r="A3021">
        <v>599127</v>
      </c>
      <c r="B3021" s="5">
        <v>45392</v>
      </c>
      <c r="C3021">
        <v>75517</v>
      </c>
      <c r="D3021" t="str">
        <f>PROPER(Transactions!D3021)</f>
        <v>Clothing</v>
      </c>
      <c r="E3021" t="s">
        <v>151</v>
      </c>
      <c r="F3021" t="s">
        <v>152</v>
      </c>
      <c r="G3021">
        <v>2</v>
      </c>
      <c r="H3021">
        <v>27.99</v>
      </c>
      <c r="I3021" s="7">
        <f>IF(Transactions!I3021="",0,Transactions!I3021)</f>
        <v>0.2</v>
      </c>
      <c r="J3021" s="9">
        <f t="shared" si="47"/>
        <v>44.783999999999999</v>
      </c>
      <c r="K3021" t="s">
        <v>16</v>
      </c>
      <c r="L3021" t="s">
        <v>17</v>
      </c>
      <c r="M3021" t="str">
        <f>REPLACE(Transactions!M3021,1,4,"")</f>
        <v>6</v>
      </c>
    </row>
    <row r="3022" spans="1:13" x14ac:dyDescent="0.2">
      <c r="A3022">
        <v>599527</v>
      </c>
      <c r="B3022" s="5">
        <v>44926</v>
      </c>
      <c r="C3022">
        <v>84673</v>
      </c>
      <c r="D3022" t="str">
        <f>PROPER(Transactions!D3022)</f>
        <v>Home &amp; Garden</v>
      </c>
      <c r="E3022" t="s">
        <v>153</v>
      </c>
      <c r="F3022" t="s">
        <v>154</v>
      </c>
      <c r="G3022">
        <v>2</v>
      </c>
      <c r="H3022">
        <v>26.99</v>
      </c>
      <c r="I3022" s="7">
        <f>IF(Transactions!I3022="",0,Transactions!I3022)</f>
        <v>0.1</v>
      </c>
      <c r="J3022" s="9">
        <f t="shared" si="47"/>
        <v>48.582000000000001</v>
      </c>
      <c r="K3022" t="s">
        <v>66</v>
      </c>
      <c r="L3022" t="s">
        <v>17</v>
      </c>
      <c r="M3022" t="str">
        <f>REPLACE(Transactions!M3022,1,4,"")</f>
        <v>15</v>
      </c>
    </row>
    <row r="3023" spans="1:13" x14ac:dyDescent="0.2">
      <c r="A3023">
        <v>599771</v>
      </c>
      <c r="B3023" s="5">
        <v>45611</v>
      </c>
      <c r="C3023">
        <v>88383</v>
      </c>
      <c r="D3023" t="str">
        <f>PROPER(Transactions!D3023)</f>
        <v>Furniture</v>
      </c>
      <c r="E3023" t="s">
        <v>113</v>
      </c>
      <c r="F3023" t="s">
        <v>114</v>
      </c>
      <c r="G3023">
        <v>2</v>
      </c>
      <c r="H3023">
        <v>113.99</v>
      </c>
      <c r="I3023" s="7">
        <f>IF(Transactions!I3023="",0,Transactions!I3023)</f>
        <v>0.05</v>
      </c>
      <c r="J3023" s="9">
        <f t="shared" si="47"/>
        <v>216.58099999999999</v>
      </c>
      <c r="K3023" t="s">
        <v>16</v>
      </c>
      <c r="L3023" t="s">
        <v>17</v>
      </c>
      <c r="M3023" t="str">
        <f>REPLACE(Transactions!M3023,1,4,"")</f>
        <v>6</v>
      </c>
    </row>
    <row r="3024" spans="1:13" x14ac:dyDescent="0.2">
      <c r="A3024">
        <v>600258</v>
      </c>
      <c r="B3024" s="5">
        <v>45452</v>
      </c>
      <c r="C3024">
        <v>89022</v>
      </c>
      <c r="D3024" t="str">
        <f>PROPER(Transactions!D3024)</f>
        <v>Grocery</v>
      </c>
      <c r="E3024" t="s">
        <v>74</v>
      </c>
      <c r="F3024" t="s">
        <v>75</v>
      </c>
      <c r="G3024">
        <v>4</v>
      </c>
      <c r="H3024">
        <v>2.2400000000000002</v>
      </c>
      <c r="I3024" s="7">
        <f>IF(Transactions!I3024="",0,Transactions!I3024)</f>
        <v>0.25</v>
      </c>
      <c r="J3024" s="9">
        <f t="shared" si="47"/>
        <v>6.7200000000000006</v>
      </c>
      <c r="K3024" t="s">
        <v>95</v>
      </c>
      <c r="L3024" t="s">
        <v>37</v>
      </c>
      <c r="M3024" t="str">
        <f>REPLACE(Transactions!M3024,1,4,"")</f>
        <v/>
      </c>
    </row>
    <row r="3025" spans="1:13" x14ac:dyDescent="0.2">
      <c r="A3025">
        <v>600356</v>
      </c>
      <c r="B3025" s="5">
        <v>45545</v>
      </c>
      <c r="C3025">
        <v>27134</v>
      </c>
      <c r="D3025" t="str">
        <f>PROPER(Transactions!D3025)</f>
        <v>Beauty</v>
      </c>
      <c r="E3025" t="s">
        <v>49</v>
      </c>
      <c r="F3025" t="s">
        <v>50</v>
      </c>
      <c r="G3025">
        <v>1</v>
      </c>
      <c r="H3025">
        <v>7.64</v>
      </c>
      <c r="I3025" s="7">
        <f>IF(Transactions!I3025="",0,Transactions!I3025)</f>
        <v>0.15</v>
      </c>
      <c r="J3025" s="9">
        <f t="shared" si="47"/>
        <v>6.4939999999999998</v>
      </c>
      <c r="K3025" t="s">
        <v>36</v>
      </c>
      <c r="L3025" t="s">
        <v>17</v>
      </c>
      <c r="M3025" t="str">
        <f>REPLACE(Transactions!M3025,1,4,"")</f>
        <v>7</v>
      </c>
    </row>
    <row r="3026" spans="1:13" x14ac:dyDescent="0.2">
      <c r="A3026">
        <v>600356</v>
      </c>
      <c r="B3026" s="5">
        <v>45572</v>
      </c>
      <c r="C3026">
        <v>18571</v>
      </c>
      <c r="D3026" t="str">
        <f>PROPER(Transactions!D3026)</f>
        <v>Toys</v>
      </c>
      <c r="E3026" t="s">
        <v>88</v>
      </c>
      <c r="F3026" t="s">
        <v>89</v>
      </c>
      <c r="G3026">
        <v>5</v>
      </c>
      <c r="H3026">
        <v>49.99</v>
      </c>
      <c r="I3026" s="7">
        <f>IF(Transactions!I3026="",0,Transactions!I3026)</f>
        <v>0</v>
      </c>
      <c r="J3026" s="9">
        <f t="shared" si="47"/>
        <v>249.95000000000002</v>
      </c>
      <c r="K3026" t="s">
        <v>22</v>
      </c>
      <c r="L3026" t="s">
        <v>17</v>
      </c>
      <c r="M3026" t="str">
        <f>REPLACE(Transactions!M3026,1,4,"")</f>
        <v>3</v>
      </c>
    </row>
    <row r="3027" spans="1:13" x14ac:dyDescent="0.2">
      <c r="A3027">
        <v>600400</v>
      </c>
      <c r="B3027" s="5">
        <v>45364</v>
      </c>
      <c r="D3027" t="str">
        <f>PROPER(Transactions!D3027)</f>
        <v>Electronics</v>
      </c>
      <c r="E3027" t="s">
        <v>104</v>
      </c>
      <c r="F3027" t="s">
        <v>105</v>
      </c>
      <c r="G3027">
        <v>2</v>
      </c>
      <c r="H3027">
        <v>25.49</v>
      </c>
      <c r="I3027" s="7">
        <f>IF(Transactions!I3027="",0,Transactions!I3027)</f>
        <v>0.15</v>
      </c>
      <c r="J3027" s="9">
        <f t="shared" si="47"/>
        <v>43.332999999999998</v>
      </c>
      <c r="K3027" t="s">
        <v>53</v>
      </c>
      <c r="L3027" t="s">
        <v>17</v>
      </c>
      <c r="M3027" t="str">
        <f>REPLACE(Transactions!M3027,1,4,"")</f>
        <v>6</v>
      </c>
    </row>
    <row r="3028" spans="1:13" x14ac:dyDescent="0.2">
      <c r="A3028">
        <v>600572</v>
      </c>
      <c r="B3028" s="5">
        <v>44750</v>
      </c>
      <c r="D3028" t="str">
        <f>PROPER(Transactions!D3028)</f>
        <v>Furniture</v>
      </c>
      <c r="E3028" t="s">
        <v>60</v>
      </c>
      <c r="F3028" t="s">
        <v>61</v>
      </c>
      <c r="G3028">
        <v>1</v>
      </c>
      <c r="H3028">
        <v>49.49</v>
      </c>
      <c r="I3028" s="7">
        <f>IF(Transactions!I3028="",0,Transactions!I3028)</f>
        <v>0.1</v>
      </c>
      <c r="J3028" s="9">
        <f t="shared" si="47"/>
        <v>44.541000000000004</v>
      </c>
      <c r="K3028" t="s">
        <v>36</v>
      </c>
      <c r="L3028" t="s">
        <v>37</v>
      </c>
      <c r="M3028" t="str">
        <f>REPLACE(Transactions!M3028,1,4,"")</f>
        <v>3</v>
      </c>
    </row>
    <row r="3029" spans="1:13" x14ac:dyDescent="0.2">
      <c r="A3029">
        <v>600594</v>
      </c>
      <c r="B3029" s="5">
        <v>45612</v>
      </c>
      <c r="C3029">
        <v>15089</v>
      </c>
      <c r="D3029" t="str">
        <f>PROPER(Transactions!D3029)</f>
        <v>Clothing</v>
      </c>
      <c r="E3029" t="s">
        <v>141</v>
      </c>
      <c r="F3029" t="s">
        <v>142</v>
      </c>
      <c r="G3029">
        <v>3</v>
      </c>
      <c r="H3029">
        <v>21.84</v>
      </c>
      <c r="I3029" s="7">
        <f>IF(Transactions!I3029="",0,Transactions!I3029)</f>
        <v>0.05</v>
      </c>
      <c r="J3029" s="9">
        <f t="shared" si="47"/>
        <v>62.243999999999993</v>
      </c>
      <c r="K3029" t="s">
        <v>36</v>
      </c>
      <c r="L3029" t="s">
        <v>17</v>
      </c>
      <c r="M3029" t="str">
        <f>REPLACE(Transactions!M3029,1,4,"")</f>
        <v>8</v>
      </c>
    </row>
    <row r="3030" spans="1:13" x14ac:dyDescent="0.2">
      <c r="A3030">
        <v>600661</v>
      </c>
      <c r="B3030" s="5">
        <v>45182</v>
      </c>
      <c r="D3030" t="str">
        <f>PROPER(Transactions!D3030)</f>
        <v>Beauty</v>
      </c>
      <c r="E3030" t="s">
        <v>118</v>
      </c>
      <c r="F3030" t="s">
        <v>119</v>
      </c>
      <c r="G3030">
        <v>4</v>
      </c>
      <c r="H3030">
        <v>4.49</v>
      </c>
      <c r="I3030" s="7">
        <f>IF(Transactions!I3030="",0,Transactions!I3030)</f>
        <v>0.1</v>
      </c>
      <c r="J3030" s="9">
        <f t="shared" si="47"/>
        <v>16.164000000000001</v>
      </c>
      <c r="K3030" t="s">
        <v>66</v>
      </c>
      <c r="L3030" t="s">
        <v>23</v>
      </c>
      <c r="M3030" t="str">
        <f>REPLACE(Transactions!M3030,1,4,"")</f>
        <v>20</v>
      </c>
    </row>
    <row r="3031" spans="1:13" x14ac:dyDescent="0.2">
      <c r="A3031">
        <v>600682</v>
      </c>
      <c r="B3031" s="5">
        <v>45173</v>
      </c>
      <c r="C3031">
        <v>66042</v>
      </c>
      <c r="D3031" t="str">
        <f>PROPER(Transactions!D3031)</f>
        <v>Beauty</v>
      </c>
      <c r="E3031" t="s">
        <v>139</v>
      </c>
      <c r="F3031" t="s">
        <v>140</v>
      </c>
      <c r="G3031">
        <v>5</v>
      </c>
      <c r="H3031">
        <v>7.99</v>
      </c>
      <c r="I3031" s="7">
        <f>IF(Transactions!I3031="",0,Transactions!I3031)</f>
        <v>0</v>
      </c>
      <c r="J3031" s="9">
        <f t="shared" si="47"/>
        <v>39.950000000000003</v>
      </c>
      <c r="K3031" t="s">
        <v>16</v>
      </c>
      <c r="L3031" t="s">
        <v>17</v>
      </c>
      <c r="M3031" t="str">
        <f>REPLACE(Transactions!M3031,1,4,"")</f>
        <v>5</v>
      </c>
    </row>
    <row r="3032" spans="1:13" x14ac:dyDescent="0.2">
      <c r="A3032">
        <v>601341</v>
      </c>
      <c r="B3032" s="5">
        <v>44725</v>
      </c>
      <c r="C3032">
        <v>77593</v>
      </c>
      <c r="D3032" t="str">
        <f>PROPER(Transactions!D3032)</f>
        <v>Beauty</v>
      </c>
      <c r="E3032" t="s">
        <v>49</v>
      </c>
      <c r="F3032" t="s">
        <v>50</v>
      </c>
      <c r="G3032">
        <v>3</v>
      </c>
      <c r="H3032">
        <v>8.99</v>
      </c>
      <c r="I3032" s="7">
        <f>IF(Transactions!I3032="",0,Transactions!I3032)</f>
        <v>0</v>
      </c>
      <c r="J3032" s="9">
        <f t="shared" si="47"/>
        <v>26.97</v>
      </c>
      <c r="K3032" t="s">
        <v>53</v>
      </c>
      <c r="L3032" t="s">
        <v>17</v>
      </c>
      <c r="M3032" t="str">
        <f>REPLACE(Transactions!M3032,1,4,"")</f>
        <v>13</v>
      </c>
    </row>
    <row r="3033" spans="1:13" x14ac:dyDescent="0.2">
      <c r="A3033">
        <v>601644</v>
      </c>
      <c r="B3033" s="5">
        <v>45220</v>
      </c>
      <c r="C3033">
        <v>49273</v>
      </c>
      <c r="D3033" t="str">
        <f>PROPER(Transactions!D3033)</f>
        <v>Automotive</v>
      </c>
      <c r="E3033" t="s">
        <v>111</v>
      </c>
      <c r="F3033" t="s">
        <v>112</v>
      </c>
      <c r="G3033">
        <v>3</v>
      </c>
      <c r="H3033">
        <v>13.49</v>
      </c>
      <c r="I3033" s="7">
        <f>IF(Transactions!I3033="",0,Transactions!I3033)</f>
        <v>0.1</v>
      </c>
      <c r="J3033" s="9">
        <f t="shared" si="47"/>
        <v>36.423000000000002</v>
      </c>
      <c r="K3033" t="s">
        <v>53</v>
      </c>
      <c r="L3033" t="s">
        <v>17</v>
      </c>
      <c r="M3033" t="str">
        <f>REPLACE(Transactions!M3033,1,4,"")</f>
        <v>11</v>
      </c>
    </row>
    <row r="3034" spans="1:13" x14ac:dyDescent="0.2">
      <c r="A3034">
        <v>601797</v>
      </c>
      <c r="B3034" s="5">
        <v>44569</v>
      </c>
      <c r="C3034">
        <v>66882</v>
      </c>
      <c r="D3034" t="str">
        <f>PROPER(Transactions!D3034)</f>
        <v>Toys</v>
      </c>
      <c r="E3034" t="s">
        <v>88</v>
      </c>
      <c r="F3034" t="s">
        <v>89</v>
      </c>
      <c r="G3034">
        <v>2</v>
      </c>
      <c r="H3034">
        <v>44.99</v>
      </c>
      <c r="I3034" s="7">
        <f>IF(Transactions!I3034="",0,Transactions!I3034)</f>
        <v>0.1</v>
      </c>
      <c r="J3034" s="9">
        <f t="shared" si="47"/>
        <v>80.981999999999999</v>
      </c>
      <c r="K3034" t="s">
        <v>16</v>
      </c>
      <c r="L3034" t="s">
        <v>37</v>
      </c>
      <c r="M3034" t="str">
        <f>REPLACE(Transactions!M3034,1,4,"")</f>
        <v>9</v>
      </c>
    </row>
    <row r="3035" spans="1:13" x14ac:dyDescent="0.2">
      <c r="A3035">
        <v>602109</v>
      </c>
      <c r="B3035" s="5">
        <v>45272</v>
      </c>
      <c r="C3035">
        <v>48449</v>
      </c>
      <c r="D3035" t="str">
        <f>PROPER(Transactions!D3035)</f>
        <v>Furniture</v>
      </c>
      <c r="E3035" t="s">
        <v>60</v>
      </c>
      <c r="F3035" t="s">
        <v>61</v>
      </c>
      <c r="G3035">
        <v>2</v>
      </c>
      <c r="H3035">
        <v>38.49</v>
      </c>
      <c r="I3035" s="7">
        <f>IF(Transactions!I3035="",0,Transactions!I3035)</f>
        <v>0.3</v>
      </c>
      <c r="J3035" s="9">
        <f t="shared" si="47"/>
        <v>53.886000000000003</v>
      </c>
      <c r="K3035" t="s">
        <v>32</v>
      </c>
      <c r="L3035" t="s">
        <v>37</v>
      </c>
      <c r="M3035" t="str">
        <f>REPLACE(Transactions!M3035,1,4,"")</f>
        <v>9</v>
      </c>
    </row>
    <row r="3036" spans="1:13" x14ac:dyDescent="0.2">
      <c r="A3036">
        <v>602218</v>
      </c>
      <c r="B3036" s="5">
        <v>44633</v>
      </c>
      <c r="C3036">
        <v>36498</v>
      </c>
      <c r="D3036" t="str">
        <f>PROPER(Transactions!D3036)</f>
        <v>Beauty</v>
      </c>
      <c r="E3036" t="s">
        <v>179</v>
      </c>
      <c r="F3036" t="s">
        <v>180</v>
      </c>
      <c r="G3036">
        <v>2</v>
      </c>
      <c r="H3036">
        <v>11.99</v>
      </c>
      <c r="I3036" s="7">
        <f>IF(Transactions!I3036="",0,Transactions!I3036)</f>
        <v>0</v>
      </c>
      <c r="J3036" s="9">
        <f t="shared" si="47"/>
        <v>23.98</v>
      </c>
      <c r="K3036" t="s">
        <v>95</v>
      </c>
      <c r="L3036" t="s">
        <v>17</v>
      </c>
      <c r="M3036" t="str">
        <f>REPLACE(Transactions!M3036,1,4,"")</f>
        <v>17</v>
      </c>
    </row>
    <row r="3037" spans="1:13" x14ac:dyDescent="0.2">
      <c r="A3037">
        <v>602275</v>
      </c>
      <c r="B3037" s="5">
        <v>45450</v>
      </c>
      <c r="C3037">
        <v>33083</v>
      </c>
      <c r="D3037" t="str">
        <f>PROPER(Transactions!D3037)</f>
        <v>Home &amp; Garden</v>
      </c>
      <c r="E3037" t="s">
        <v>149</v>
      </c>
      <c r="F3037" t="s">
        <v>150</v>
      </c>
      <c r="G3037">
        <v>1</v>
      </c>
      <c r="H3037">
        <v>16.989999999999998</v>
      </c>
      <c r="I3037" s="7">
        <f>IF(Transactions!I3037="",0,Transactions!I3037)</f>
        <v>0.15</v>
      </c>
      <c r="J3037" s="9">
        <f t="shared" si="47"/>
        <v>14.441499999999998</v>
      </c>
      <c r="K3037" t="s">
        <v>16</v>
      </c>
      <c r="L3037" t="s">
        <v>17</v>
      </c>
      <c r="M3037" t="str">
        <f>REPLACE(Transactions!M3037,1,4,"")</f>
        <v>17</v>
      </c>
    </row>
    <row r="3038" spans="1:13" x14ac:dyDescent="0.2">
      <c r="A3038">
        <v>602479</v>
      </c>
      <c r="B3038" s="5">
        <v>45369</v>
      </c>
      <c r="C3038">
        <v>63258</v>
      </c>
      <c r="D3038" t="str">
        <f>PROPER(Transactions!D3038)</f>
        <v>Pharmacy</v>
      </c>
      <c r="E3038" t="s">
        <v>197</v>
      </c>
      <c r="F3038" t="s">
        <v>198</v>
      </c>
      <c r="G3038">
        <v>1</v>
      </c>
      <c r="H3038">
        <v>14.24</v>
      </c>
      <c r="I3038" s="7">
        <f>IF(Transactions!I3038="",0,Transactions!I3038)</f>
        <v>0.05</v>
      </c>
      <c r="J3038" s="9">
        <f t="shared" si="47"/>
        <v>13.527999999999999</v>
      </c>
      <c r="K3038" t="s">
        <v>36</v>
      </c>
      <c r="L3038" t="s">
        <v>17</v>
      </c>
      <c r="M3038" t="str">
        <f>REPLACE(Transactions!M3038,1,4,"")</f>
        <v>10</v>
      </c>
    </row>
    <row r="3039" spans="1:13" x14ac:dyDescent="0.2">
      <c r="A3039">
        <v>602625</v>
      </c>
      <c r="B3039" s="5">
        <v>45350</v>
      </c>
      <c r="D3039" t="str">
        <f>PROPER(Transactions!D3039)</f>
        <v>Automotive</v>
      </c>
      <c r="E3039" t="s">
        <v>125</v>
      </c>
      <c r="F3039" t="s">
        <v>126</v>
      </c>
      <c r="G3039">
        <v>2</v>
      </c>
      <c r="H3039">
        <v>28.49</v>
      </c>
      <c r="I3039" s="7">
        <f>IF(Transactions!I3039="",0,Transactions!I3039)</f>
        <v>0.05</v>
      </c>
      <c r="J3039" s="9">
        <f t="shared" si="47"/>
        <v>54.130999999999993</v>
      </c>
      <c r="K3039" t="s">
        <v>36</v>
      </c>
      <c r="L3039" t="s">
        <v>17</v>
      </c>
      <c r="M3039" t="str">
        <f>REPLACE(Transactions!M3039,1,4,"")</f>
        <v>7</v>
      </c>
    </row>
    <row r="3040" spans="1:13" x14ac:dyDescent="0.2">
      <c r="A3040">
        <v>602769</v>
      </c>
      <c r="B3040" s="5">
        <v>45570</v>
      </c>
      <c r="C3040">
        <v>10240</v>
      </c>
      <c r="D3040" t="str">
        <f>PROPER(Transactions!D3040)</f>
        <v>Sports</v>
      </c>
      <c r="E3040" t="s">
        <v>147</v>
      </c>
      <c r="F3040" t="s">
        <v>148</v>
      </c>
      <c r="G3040">
        <v>4</v>
      </c>
      <c r="H3040">
        <v>12.99</v>
      </c>
      <c r="I3040" s="7">
        <f>IF(Transactions!I3040="",0,Transactions!I3040)</f>
        <v>0</v>
      </c>
      <c r="J3040" s="9">
        <f t="shared" si="47"/>
        <v>51.96</v>
      </c>
      <c r="K3040" t="s">
        <v>16</v>
      </c>
      <c r="L3040" t="s">
        <v>37</v>
      </c>
      <c r="M3040" t="str">
        <f>REPLACE(Transactions!M3040,1,4,"")</f>
        <v>13</v>
      </c>
    </row>
    <row r="3041" spans="1:13" x14ac:dyDescent="0.2">
      <c r="A3041">
        <v>602856</v>
      </c>
      <c r="B3041" s="5">
        <v>44790</v>
      </c>
      <c r="C3041">
        <v>29119</v>
      </c>
      <c r="D3041" t="str">
        <f>PROPER(Transactions!D3041)</f>
        <v>Pharmacy</v>
      </c>
      <c r="E3041" t="s">
        <v>41</v>
      </c>
      <c r="F3041" t="s">
        <v>42</v>
      </c>
      <c r="G3041">
        <v>3</v>
      </c>
      <c r="H3041">
        <v>5.99</v>
      </c>
      <c r="I3041" s="7">
        <f>IF(Transactions!I3041="",0,Transactions!I3041)</f>
        <v>0</v>
      </c>
      <c r="J3041" s="9">
        <f t="shared" si="47"/>
        <v>17.97</v>
      </c>
      <c r="K3041" t="s">
        <v>22</v>
      </c>
      <c r="L3041" t="s">
        <v>37</v>
      </c>
      <c r="M3041" t="str">
        <f>REPLACE(Transactions!M3041,1,4,"")</f>
        <v>16</v>
      </c>
    </row>
    <row r="3042" spans="1:13" x14ac:dyDescent="0.2">
      <c r="A3042">
        <v>604147</v>
      </c>
      <c r="B3042" s="5">
        <v>44602</v>
      </c>
      <c r="C3042">
        <v>88510</v>
      </c>
      <c r="D3042" t="str">
        <f>PROPER(Transactions!D3042)</f>
        <v>Pharmacy</v>
      </c>
      <c r="E3042" t="s">
        <v>58</v>
      </c>
      <c r="F3042" t="s">
        <v>59</v>
      </c>
      <c r="G3042">
        <v>3</v>
      </c>
      <c r="H3042">
        <v>3.79</v>
      </c>
      <c r="I3042" s="7">
        <f>IF(Transactions!I3042="",0,Transactions!I3042)</f>
        <v>0.05</v>
      </c>
      <c r="J3042" s="9">
        <f t="shared" si="47"/>
        <v>10.801500000000001</v>
      </c>
      <c r="K3042" t="s">
        <v>36</v>
      </c>
      <c r="L3042" t="s">
        <v>17</v>
      </c>
      <c r="M3042" t="str">
        <f>REPLACE(Transactions!M3042,1,4,"")</f>
        <v>15</v>
      </c>
    </row>
    <row r="3043" spans="1:13" x14ac:dyDescent="0.2">
      <c r="A3043">
        <v>604197</v>
      </c>
      <c r="B3043" s="5">
        <v>45448</v>
      </c>
      <c r="C3043">
        <v>83258</v>
      </c>
      <c r="D3043" t="str">
        <f>PROPER(Transactions!D3043)</f>
        <v>Automotive</v>
      </c>
      <c r="E3043" t="s">
        <v>68</v>
      </c>
      <c r="F3043" t="s">
        <v>69</v>
      </c>
      <c r="G3043">
        <v>1</v>
      </c>
      <c r="H3043">
        <v>23.74</v>
      </c>
      <c r="I3043" s="7">
        <f>IF(Transactions!I3043="",0,Transactions!I3043)</f>
        <v>0.05</v>
      </c>
      <c r="J3043" s="9">
        <f t="shared" si="47"/>
        <v>22.552999999999997</v>
      </c>
      <c r="K3043" t="s">
        <v>16</v>
      </c>
      <c r="L3043" t="s">
        <v>37</v>
      </c>
      <c r="M3043" t="str">
        <f>REPLACE(Transactions!M3043,1,4,"")</f>
        <v>8</v>
      </c>
    </row>
    <row r="3044" spans="1:13" x14ac:dyDescent="0.2">
      <c r="A3044">
        <v>604199</v>
      </c>
      <c r="B3044" s="5">
        <v>45115</v>
      </c>
      <c r="C3044">
        <v>84554</v>
      </c>
      <c r="D3044" t="str">
        <f>PROPER(Transactions!D3044)</f>
        <v>Beauty</v>
      </c>
      <c r="E3044" t="s">
        <v>49</v>
      </c>
      <c r="F3044" t="s">
        <v>50</v>
      </c>
      <c r="G3044">
        <v>1</v>
      </c>
      <c r="H3044">
        <v>8.09</v>
      </c>
      <c r="I3044" s="7">
        <f>IF(Transactions!I3044="",0,Transactions!I3044)</f>
        <v>0.1</v>
      </c>
      <c r="J3044" s="9">
        <f t="shared" si="47"/>
        <v>7.2809999999999997</v>
      </c>
      <c r="K3044" t="s">
        <v>32</v>
      </c>
      <c r="L3044" t="s">
        <v>17</v>
      </c>
      <c r="M3044" t="str">
        <f>REPLACE(Transactions!M3044,1,4,"")</f>
        <v/>
      </c>
    </row>
    <row r="3045" spans="1:13" x14ac:dyDescent="0.2">
      <c r="A3045">
        <v>604245</v>
      </c>
      <c r="B3045" s="5">
        <v>44780</v>
      </c>
      <c r="C3045">
        <v>45879</v>
      </c>
      <c r="D3045" t="str">
        <f>PROPER(Transactions!D3045)</f>
        <v>Sports</v>
      </c>
      <c r="E3045" t="s">
        <v>147</v>
      </c>
      <c r="F3045" t="s">
        <v>148</v>
      </c>
      <c r="G3045">
        <v>3</v>
      </c>
      <c r="H3045">
        <v>9.09</v>
      </c>
      <c r="I3045" s="7">
        <f>IF(Transactions!I3045="",0,Transactions!I3045)</f>
        <v>0.3</v>
      </c>
      <c r="J3045" s="9">
        <f t="shared" si="47"/>
        <v>19.088999999999999</v>
      </c>
      <c r="K3045" t="s">
        <v>22</v>
      </c>
      <c r="L3045" t="s">
        <v>23</v>
      </c>
      <c r="M3045" t="str">
        <f>REPLACE(Transactions!M3045,1,4,"")</f>
        <v>9</v>
      </c>
    </row>
    <row r="3046" spans="1:13" x14ac:dyDescent="0.2">
      <c r="A3046">
        <v>604393</v>
      </c>
      <c r="B3046" s="5">
        <v>44707</v>
      </c>
      <c r="C3046">
        <v>96678</v>
      </c>
      <c r="D3046" t="str">
        <f>PROPER(Transactions!D3046)</f>
        <v>Clothing</v>
      </c>
      <c r="E3046" t="s">
        <v>181</v>
      </c>
      <c r="F3046" t="s">
        <v>182</v>
      </c>
      <c r="G3046">
        <v>3</v>
      </c>
      <c r="H3046">
        <v>11.99</v>
      </c>
      <c r="I3046" s="7">
        <f>IF(Transactions!I3046="",0,Transactions!I3046)</f>
        <v>0.2</v>
      </c>
      <c r="J3046" s="9">
        <f t="shared" si="47"/>
        <v>28.776</v>
      </c>
      <c r="K3046" t="s">
        <v>22</v>
      </c>
      <c r="L3046" t="s">
        <v>17</v>
      </c>
      <c r="M3046" t="str">
        <f>REPLACE(Transactions!M3046,1,4,"")</f>
        <v>4</v>
      </c>
    </row>
    <row r="3047" spans="1:13" x14ac:dyDescent="0.2">
      <c r="A3047">
        <v>604577</v>
      </c>
      <c r="B3047" s="5">
        <v>45638</v>
      </c>
      <c r="D3047" t="str">
        <f>PROPER(Transactions!D3047)</f>
        <v>Toys</v>
      </c>
      <c r="E3047" t="s">
        <v>72</v>
      </c>
      <c r="F3047" t="s">
        <v>73</v>
      </c>
      <c r="G3047">
        <v>4</v>
      </c>
      <c r="H3047">
        <v>35.99</v>
      </c>
      <c r="I3047" s="7">
        <f>IF(Transactions!I3047="",0,Transactions!I3047)</f>
        <v>0.1</v>
      </c>
      <c r="J3047" s="9">
        <f t="shared" si="47"/>
        <v>129.56400000000002</v>
      </c>
      <c r="K3047" t="s">
        <v>66</v>
      </c>
      <c r="L3047" t="s">
        <v>37</v>
      </c>
      <c r="M3047" t="str">
        <f>REPLACE(Transactions!M3047,1,4,"")</f>
        <v>9</v>
      </c>
    </row>
    <row r="3048" spans="1:13" x14ac:dyDescent="0.2">
      <c r="A3048">
        <v>604652</v>
      </c>
      <c r="B3048" s="5">
        <v>44737</v>
      </c>
      <c r="D3048" t="str">
        <f>PROPER(Transactions!D3048)</f>
        <v>Sports</v>
      </c>
      <c r="E3048" t="s">
        <v>168</v>
      </c>
      <c r="F3048" t="s">
        <v>169</v>
      </c>
      <c r="G3048">
        <v>5</v>
      </c>
      <c r="H3048">
        <v>6.29</v>
      </c>
      <c r="I3048" s="7">
        <f>IF(Transactions!I3048="",0,Transactions!I3048)</f>
        <v>0.3</v>
      </c>
      <c r="J3048" s="9">
        <f t="shared" si="47"/>
        <v>22.014999999999997</v>
      </c>
      <c r="K3048" t="s">
        <v>36</v>
      </c>
      <c r="L3048" t="s">
        <v>17</v>
      </c>
      <c r="M3048" t="str">
        <f>REPLACE(Transactions!M3048,1,4,"")</f>
        <v>4</v>
      </c>
    </row>
    <row r="3049" spans="1:13" x14ac:dyDescent="0.2">
      <c r="A3049">
        <v>604864</v>
      </c>
      <c r="B3049" s="5">
        <v>44981</v>
      </c>
      <c r="C3049">
        <v>50899</v>
      </c>
      <c r="D3049" t="str">
        <f>PROPER(Transactions!D3049)</f>
        <v>Grocery</v>
      </c>
      <c r="E3049" t="s">
        <v>184</v>
      </c>
      <c r="F3049" t="s">
        <v>185</v>
      </c>
      <c r="G3049">
        <v>2</v>
      </c>
      <c r="H3049">
        <v>4.9400000000000004</v>
      </c>
      <c r="I3049" s="7">
        <f>IF(Transactions!I3049="",0,Transactions!I3049)</f>
        <v>0.1</v>
      </c>
      <c r="J3049" s="9">
        <f t="shared" si="47"/>
        <v>8.8920000000000012</v>
      </c>
      <c r="K3049" t="s">
        <v>22</v>
      </c>
      <c r="L3049" t="s">
        <v>37</v>
      </c>
      <c r="M3049" t="str">
        <f>REPLACE(Transactions!M3049,1,4,"")</f>
        <v/>
      </c>
    </row>
    <row r="3050" spans="1:13" x14ac:dyDescent="0.2">
      <c r="A3050">
        <v>604999</v>
      </c>
      <c r="B3050" s="5">
        <v>44973</v>
      </c>
      <c r="D3050" t="str">
        <f>PROPER(Transactions!D3050)</f>
        <v>Home &amp; Garden</v>
      </c>
      <c r="E3050" t="s">
        <v>86</v>
      </c>
      <c r="F3050" t="s">
        <v>87</v>
      </c>
      <c r="G3050">
        <v>5</v>
      </c>
      <c r="H3050">
        <v>12.99</v>
      </c>
      <c r="I3050" s="7">
        <f>IF(Transactions!I3050="",0,Transactions!I3050)</f>
        <v>0</v>
      </c>
      <c r="J3050" s="9">
        <f t="shared" si="47"/>
        <v>64.95</v>
      </c>
      <c r="K3050" t="s">
        <v>95</v>
      </c>
      <c r="L3050" t="s">
        <v>17</v>
      </c>
      <c r="M3050" t="str">
        <f>REPLACE(Transactions!M3050,1,4,"")</f>
        <v>12</v>
      </c>
    </row>
    <row r="3051" spans="1:13" x14ac:dyDescent="0.2">
      <c r="A3051">
        <v>605086</v>
      </c>
      <c r="B3051" s="5">
        <v>45464</v>
      </c>
      <c r="C3051">
        <v>69491</v>
      </c>
      <c r="D3051" t="str">
        <f>PROPER(Transactions!D3051)</f>
        <v>Automotive</v>
      </c>
      <c r="E3051" t="s">
        <v>64</v>
      </c>
      <c r="F3051" t="s">
        <v>65</v>
      </c>
      <c r="G3051">
        <v>1</v>
      </c>
      <c r="H3051">
        <v>4.74</v>
      </c>
      <c r="I3051" s="7">
        <f>IF(Transactions!I3051="",0,Transactions!I3051)</f>
        <v>0.05</v>
      </c>
      <c r="J3051" s="9">
        <f t="shared" si="47"/>
        <v>4.5030000000000001</v>
      </c>
      <c r="K3051" t="s">
        <v>36</v>
      </c>
      <c r="L3051" t="s">
        <v>17</v>
      </c>
      <c r="M3051" t="str">
        <f>REPLACE(Transactions!M3051,1,4,"")</f>
        <v>18</v>
      </c>
    </row>
    <row r="3052" spans="1:13" x14ac:dyDescent="0.2">
      <c r="A3052">
        <v>605226</v>
      </c>
      <c r="B3052" s="5">
        <v>44721</v>
      </c>
      <c r="C3052">
        <v>21684</v>
      </c>
      <c r="D3052" t="str">
        <f>PROPER(Transactions!D3052)</f>
        <v>Pharmacy</v>
      </c>
      <c r="E3052" t="s">
        <v>41</v>
      </c>
      <c r="F3052" t="s">
        <v>42</v>
      </c>
      <c r="G3052">
        <v>3</v>
      </c>
      <c r="H3052">
        <v>5.09</v>
      </c>
      <c r="I3052" s="7">
        <f>IF(Transactions!I3052="",0,Transactions!I3052)</f>
        <v>0.15</v>
      </c>
      <c r="J3052" s="9">
        <f t="shared" si="47"/>
        <v>12.9795</v>
      </c>
      <c r="K3052" t="s">
        <v>16</v>
      </c>
      <c r="L3052" t="s">
        <v>17</v>
      </c>
      <c r="M3052" t="str">
        <f>REPLACE(Transactions!M3052,1,4,"")</f>
        <v>2</v>
      </c>
    </row>
    <row r="3053" spans="1:13" x14ac:dyDescent="0.2">
      <c r="A3053">
        <v>605282</v>
      </c>
      <c r="B3053" s="5">
        <v>45532</v>
      </c>
      <c r="C3053">
        <v>84431</v>
      </c>
      <c r="D3053" t="str">
        <f>PROPER(Transactions!D3053)</f>
        <v>Grocery</v>
      </c>
      <c r="E3053" t="s">
        <v>133</v>
      </c>
      <c r="F3053" t="s">
        <v>134</v>
      </c>
      <c r="G3053">
        <v>2</v>
      </c>
      <c r="H3053">
        <v>2.84</v>
      </c>
      <c r="I3053" s="7">
        <f>IF(Transactions!I3053="",0,Transactions!I3053)</f>
        <v>0.25</v>
      </c>
      <c r="J3053" s="9">
        <f t="shared" si="47"/>
        <v>4.26</v>
      </c>
      <c r="K3053" t="s">
        <v>95</v>
      </c>
      <c r="L3053" t="s">
        <v>17</v>
      </c>
      <c r="M3053" t="str">
        <f>REPLACE(Transactions!M3053,1,4,"")</f>
        <v>10</v>
      </c>
    </row>
    <row r="3054" spans="1:13" x14ac:dyDescent="0.2">
      <c r="A3054">
        <v>605516</v>
      </c>
      <c r="B3054" s="5">
        <v>45052</v>
      </c>
      <c r="C3054">
        <v>78681</v>
      </c>
      <c r="D3054" t="str">
        <f>PROPER(Transactions!D3054)</f>
        <v>Clothing</v>
      </c>
      <c r="E3054" t="s">
        <v>181</v>
      </c>
      <c r="F3054" t="s">
        <v>182</v>
      </c>
      <c r="G3054">
        <v>1</v>
      </c>
      <c r="H3054">
        <v>14.99</v>
      </c>
      <c r="I3054" s="7">
        <f>IF(Transactions!I3054="",0,Transactions!I3054)</f>
        <v>0</v>
      </c>
      <c r="J3054" s="9">
        <f t="shared" si="47"/>
        <v>14.99</v>
      </c>
      <c r="K3054" t="s">
        <v>16</v>
      </c>
      <c r="L3054" t="s">
        <v>17</v>
      </c>
      <c r="M3054" t="str">
        <f>REPLACE(Transactions!M3054,1,4,"")</f>
        <v>10</v>
      </c>
    </row>
    <row r="3055" spans="1:13" x14ac:dyDescent="0.2">
      <c r="A3055">
        <v>605571</v>
      </c>
      <c r="B3055" s="5">
        <v>45469</v>
      </c>
      <c r="C3055">
        <v>15951</v>
      </c>
      <c r="D3055" t="str">
        <f>PROPER(Transactions!D3055)</f>
        <v>Pharmacy</v>
      </c>
      <c r="E3055" t="s">
        <v>58</v>
      </c>
      <c r="F3055" t="s">
        <v>59</v>
      </c>
      <c r="G3055">
        <v>3</v>
      </c>
      <c r="H3055">
        <v>3.79</v>
      </c>
      <c r="I3055" s="7">
        <f>IF(Transactions!I3055="",0,Transactions!I3055)</f>
        <v>0.05</v>
      </c>
      <c r="J3055" s="9">
        <f t="shared" si="47"/>
        <v>10.801500000000001</v>
      </c>
      <c r="K3055" t="s">
        <v>66</v>
      </c>
      <c r="L3055" t="s">
        <v>23</v>
      </c>
      <c r="M3055" t="str">
        <f>REPLACE(Transactions!M3055,1,4,"")</f>
        <v>5</v>
      </c>
    </row>
    <row r="3056" spans="1:13" x14ac:dyDescent="0.2">
      <c r="A3056">
        <v>605585</v>
      </c>
      <c r="B3056" s="5">
        <v>44688</v>
      </c>
      <c r="C3056">
        <v>97959</v>
      </c>
      <c r="D3056" t="str">
        <f>PROPER(Transactions!D3056)</f>
        <v>Grocery</v>
      </c>
      <c r="E3056" t="s">
        <v>190</v>
      </c>
      <c r="F3056" t="s">
        <v>191</v>
      </c>
      <c r="G3056">
        <v>2</v>
      </c>
      <c r="H3056">
        <v>3.43</v>
      </c>
      <c r="I3056" s="7">
        <f>IF(Transactions!I3056="",0,Transactions!I3056)</f>
        <v>0.2</v>
      </c>
      <c r="J3056" s="9">
        <f t="shared" si="47"/>
        <v>5.4880000000000004</v>
      </c>
      <c r="K3056" t="s">
        <v>16</v>
      </c>
      <c r="L3056" t="s">
        <v>17</v>
      </c>
      <c r="M3056" t="str">
        <f>REPLACE(Transactions!M3056,1,4,"")</f>
        <v>15</v>
      </c>
    </row>
    <row r="3057" spans="1:13" x14ac:dyDescent="0.2">
      <c r="A3057">
        <v>605608</v>
      </c>
      <c r="B3057" s="5">
        <v>45154</v>
      </c>
      <c r="C3057">
        <v>56061</v>
      </c>
      <c r="D3057" t="str">
        <f>PROPER(Transactions!D3057)</f>
        <v>Electronics</v>
      </c>
      <c r="E3057" t="s">
        <v>55</v>
      </c>
      <c r="F3057" t="s">
        <v>56</v>
      </c>
      <c r="G3057">
        <v>1</v>
      </c>
      <c r="H3057">
        <v>329.99</v>
      </c>
      <c r="I3057" s="7">
        <f>IF(Transactions!I3057="",0,Transactions!I3057)</f>
        <v>0</v>
      </c>
      <c r="J3057" s="9">
        <f t="shared" si="47"/>
        <v>329.99</v>
      </c>
      <c r="K3057" t="s">
        <v>22</v>
      </c>
      <c r="L3057" t="s">
        <v>17</v>
      </c>
      <c r="M3057" t="str">
        <f>REPLACE(Transactions!M3057,1,4,"")</f>
        <v>11</v>
      </c>
    </row>
    <row r="3058" spans="1:13" x14ac:dyDescent="0.2">
      <c r="A3058">
        <v>605638</v>
      </c>
      <c r="B3058" s="5">
        <v>44981</v>
      </c>
      <c r="C3058">
        <v>51192</v>
      </c>
      <c r="D3058" t="str">
        <f>PROPER(Transactions!D3058)</f>
        <v>Grocery</v>
      </c>
      <c r="E3058" t="s">
        <v>93</v>
      </c>
      <c r="F3058" t="s">
        <v>94</v>
      </c>
      <c r="G3058">
        <v>3</v>
      </c>
      <c r="H3058">
        <v>0.9</v>
      </c>
      <c r="I3058" s="7">
        <f>IF(Transactions!I3058="",0,Transactions!I3058)</f>
        <v>0.3</v>
      </c>
      <c r="J3058" s="9">
        <f t="shared" si="47"/>
        <v>1.89</v>
      </c>
      <c r="K3058" t="s">
        <v>36</v>
      </c>
      <c r="L3058" t="s">
        <v>17</v>
      </c>
      <c r="M3058" t="str">
        <f>REPLACE(Transactions!M3058,1,4,"")</f>
        <v>18</v>
      </c>
    </row>
    <row r="3059" spans="1:13" x14ac:dyDescent="0.2">
      <c r="A3059">
        <v>605857</v>
      </c>
      <c r="B3059" s="5">
        <v>45176</v>
      </c>
      <c r="C3059">
        <v>19605</v>
      </c>
      <c r="D3059" t="str">
        <f>PROPER(Transactions!D3059)</f>
        <v>Grocery</v>
      </c>
      <c r="E3059" t="s">
        <v>162</v>
      </c>
      <c r="F3059" t="s">
        <v>163</v>
      </c>
      <c r="G3059">
        <v>2</v>
      </c>
      <c r="H3059">
        <v>5.99</v>
      </c>
      <c r="I3059" s="7">
        <f>IF(Transactions!I3059="",0,Transactions!I3059)</f>
        <v>0.25</v>
      </c>
      <c r="J3059" s="9">
        <f t="shared" si="47"/>
        <v>8.9849999999999994</v>
      </c>
      <c r="K3059" t="s">
        <v>36</v>
      </c>
      <c r="L3059" t="s">
        <v>17</v>
      </c>
      <c r="M3059" t="str">
        <f>REPLACE(Transactions!M3059,1,4,"")</f>
        <v>2</v>
      </c>
    </row>
    <row r="3060" spans="1:13" x14ac:dyDescent="0.2">
      <c r="A3060">
        <v>606001</v>
      </c>
      <c r="B3060" s="5">
        <v>45140</v>
      </c>
      <c r="D3060" t="str">
        <f>PROPER(Transactions!D3060)</f>
        <v>Furniture</v>
      </c>
      <c r="E3060" t="s">
        <v>51</v>
      </c>
      <c r="F3060" t="s">
        <v>52</v>
      </c>
      <c r="G3060">
        <v>5</v>
      </c>
      <c r="H3060">
        <v>25.19</v>
      </c>
      <c r="I3060" s="7">
        <f>IF(Transactions!I3060="",0,Transactions!I3060)</f>
        <v>0.1</v>
      </c>
      <c r="J3060" s="9">
        <f t="shared" si="47"/>
        <v>113.355</v>
      </c>
      <c r="K3060" t="s">
        <v>22</v>
      </c>
      <c r="L3060" t="s">
        <v>17</v>
      </c>
      <c r="M3060" t="str">
        <f>REPLACE(Transactions!M3060,1,4,"")</f>
        <v>6</v>
      </c>
    </row>
    <row r="3061" spans="1:13" x14ac:dyDescent="0.2">
      <c r="A3061">
        <v>606097</v>
      </c>
      <c r="B3061" s="5">
        <v>44918</v>
      </c>
      <c r="C3061">
        <v>56179</v>
      </c>
      <c r="D3061" t="str">
        <f>PROPER(Transactions!D3061)</f>
        <v>Clothing</v>
      </c>
      <c r="E3061" t="s">
        <v>193</v>
      </c>
      <c r="F3061" t="s">
        <v>194</v>
      </c>
      <c r="G3061">
        <v>5</v>
      </c>
      <c r="H3061">
        <v>64.989999999999995</v>
      </c>
      <c r="I3061" s="7">
        <f>IF(Transactions!I3061="",0,Transactions!I3061)</f>
        <v>0</v>
      </c>
      <c r="J3061" s="9">
        <f t="shared" si="47"/>
        <v>324.95</v>
      </c>
      <c r="K3061" t="s">
        <v>16</v>
      </c>
      <c r="L3061" t="s">
        <v>17</v>
      </c>
      <c r="M3061" t="str">
        <f>REPLACE(Transactions!M3061,1,4,"")</f>
        <v>13</v>
      </c>
    </row>
    <row r="3062" spans="1:13" x14ac:dyDescent="0.2">
      <c r="A3062">
        <v>606106</v>
      </c>
      <c r="B3062" s="5">
        <v>45179</v>
      </c>
      <c r="C3062">
        <v>44387</v>
      </c>
      <c r="D3062" t="str">
        <f>PROPER(Transactions!D3062)</f>
        <v>Grocery</v>
      </c>
      <c r="E3062" t="s">
        <v>91</v>
      </c>
      <c r="F3062" t="s">
        <v>92</v>
      </c>
      <c r="G3062">
        <v>2</v>
      </c>
      <c r="H3062">
        <v>6.29</v>
      </c>
      <c r="I3062" s="7">
        <f>IF(Transactions!I3062="",0,Transactions!I3062)</f>
        <v>0</v>
      </c>
      <c r="J3062" s="9">
        <f t="shared" si="47"/>
        <v>12.58</v>
      </c>
      <c r="K3062" t="s">
        <v>36</v>
      </c>
      <c r="L3062" t="s">
        <v>17</v>
      </c>
      <c r="M3062" t="str">
        <f>REPLACE(Transactions!M3062,1,4,"")</f>
        <v>11</v>
      </c>
    </row>
    <row r="3063" spans="1:13" x14ac:dyDescent="0.2">
      <c r="A3063">
        <v>606110</v>
      </c>
      <c r="B3063" s="5">
        <v>44896</v>
      </c>
      <c r="C3063">
        <v>31706</v>
      </c>
      <c r="D3063" t="str">
        <f>PROPER(Transactions!D3063)</f>
        <v>Home &amp; Garden</v>
      </c>
      <c r="E3063" t="s">
        <v>129</v>
      </c>
      <c r="F3063" t="s">
        <v>130</v>
      </c>
      <c r="G3063">
        <v>1</v>
      </c>
      <c r="H3063">
        <v>8.99</v>
      </c>
      <c r="I3063" s="7">
        <f>IF(Transactions!I3063="",0,Transactions!I3063)</f>
        <v>0</v>
      </c>
      <c r="J3063" s="9">
        <f t="shared" si="47"/>
        <v>8.99</v>
      </c>
      <c r="K3063" t="s">
        <v>95</v>
      </c>
      <c r="L3063" t="s">
        <v>17</v>
      </c>
      <c r="M3063" t="str">
        <f>REPLACE(Transactions!M3063,1,4,"")</f>
        <v>17</v>
      </c>
    </row>
    <row r="3064" spans="1:13" x14ac:dyDescent="0.2">
      <c r="A3064">
        <v>606138</v>
      </c>
      <c r="B3064" s="5">
        <v>44683</v>
      </c>
      <c r="C3064">
        <v>11530</v>
      </c>
      <c r="D3064" t="str">
        <f>PROPER(Transactions!D3064)</f>
        <v>Home &amp; Garden</v>
      </c>
      <c r="E3064" t="s">
        <v>129</v>
      </c>
      <c r="F3064" t="s">
        <v>130</v>
      </c>
      <c r="G3064">
        <v>3</v>
      </c>
      <c r="H3064">
        <v>7.19</v>
      </c>
      <c r="I3064" s="7">
        <f>IF(Transactions!I3064="",0,Transactions!I3064)</f>
        <v>0.2</v>
      </c>
      <c r="J3064" s="9">
        <f t="shared" si="47"/>
        <v>17.256</v>
      </c>
      <c r="K3064" t="s">
        <v>53</v>
      </c>
      <c r="L3064" t="s">
        <v>17</v>
      </c>
      <c r="M3064" t="str">
        <f>REPLACE(Transactions!M3064,1,4,"")</f>
        <v>7</v>
      </c>
    </row>
    <row r="3065" spans="1:13" x14ac:dyDescent="0.2">
      <c r="A3065">
        <v>606638</v>
      </c>
      <c r="B3065" s="5">
        <v>44583</v>
      </c>
      <c r="C3065">
        <v>70952</v>
      </c>
      <c r="D3065" t="str">
        <f>PROPER(Transactions!D3065)</f>
        <v>Pharmacy</v>
      </c>
      <c r="E3065" t="s">
        <v>41</v>
      </c>
      <c r="F3065" t="s">
        <v>42</v>
      </c>
      <c r="G3065">
        <v>3</v>
      </c>
      <c r="H3065">
        <v>4.79</v>
      </c>
      <c r="I3065" s="7">
        <f>IF(Transactions!I3065="",0,Transactions!I3065)</f>
        <v>0.2</v>
      </c>
      <c r="J3065" s="9">
        <f t="shared" si="47"/>
        <v>11.496000000000002</v>
      </c>
      <c r="K3065" t="s">
        <v>16</v>
      </c>
      <c r="L3065" t="s">
        <v>23</v>
      </c>
      <c r="M3065" t="str">
        <f>REPLACE(Transactions!M3065,1,4,"")</f>
        <v>13</v>
      </c>
    </row>
    <row r="3066" spans="1:13" x14ac:dyDescent="0.2">
      <c r="A3066">
        <v>607135</v>
      </c>
      <c r="B3066" s="5">
        <v>45463</v>
      </c>
      <c r="C3066">
        <v>14287</v>
      </c>
      <c r="D3066" t="str">
        <f>PROPER(Transactions!D3066)</f>
        <v>Pharmacy</v>
      </c>
      <c r="E3066" t="s">
        <v>41</v>
      </c>
      <c r="F3066" t="s">
        <v>42</v>
      </c>
      <c r="G3066">
        <v>1</v>
      </c>
      <c r="H3066">
        <v>4.49</v>
      </c>
      <c r="I3066" s="7">
        <f>IF(Transactions!I3066="",0,Transactions!I3066)</f>
        <v>0.25</v>
      </c>
      <c r="J3066" s="9">
        <f t="shared" si="47"/>
        <v>3.3675000000000002</v>
      </c>
      <c r="K3066" t="s">
        <v>95</v>
      </c>
      <c r="L3066" t="s">
        <v>23</v>
      </c>
      <c r="M3066" t="str">
        <f>REPLACE(Transactions!M3066,1,4,"")</f>
        <v>17</v>
      </c>
    </row>
    <row r="3067" spans="1:13" x14ac:dyDescent="0.2">
      <c r="A3067">
        <v>607157</v>
      </c>
      <c r="B3067" s="5">
        <v>44785</v>
      </c>
      <c r="C3067">
        <v>47642</v>
      </c>
      <c r="D3067" t="str">
        <f>PROPER(Transactions!D3067)</f>
        <v>Home &amp; Garden</v>
      </c>
      <c r="E3067" t="s">
        <v>145</v>
      </c>
      <c r="F3067" t="s">
        <v>146</v>
      </c>
      <c r="G3067">
        <v>5</v>
      </c>
      <c r="H3067">
        <v>11.89</v>
      </c>
      <c r="I3067" s="7">
        <f>IF(Transactions!I3067="",0,Transactions!I3067)</f>
        <v>0.3</v>
      </c>
      <c r="J3067" s="9">
        <f t="shared" si="47"/>
        <v>41.615000000000002</v>
      </c>
      <c r="K3067" t="s">
        <v>22</v>
      </c>
      <c r="L3067" t="s">
        <v>17</v>
      </c>
      <c r="M3067" t="str">
        <f>REPLACE(Transactions!M3067,1,4,"")</f>
        <v>15</v>
      </c>
    </row>
    <row r="3068" spans="1:13" x14ac:dyDescent="0.2">
      <c r="A3068">
        <v>607418</v>
      </c>
      <c r="B3068" s="5">
        <v>44821</v>
      </c>
      <c r="C3068">
        <v>76525</v>
      </c>
      <c r="D3068" t="str">
        <f>PROPER(Transactions!D3068)</f>
        <v>Pharmacy</v>
      </c>
      <c r="E3068" t="s">
        <v>41</v>
      </c>
      <c r="F3068" t="s">
        <v>42</v>
      </c>
      <c r="G3068">
        <v>5</v>
      </c>
      <c r="H3068">
        <v>5.99</v>
      </c>
      <c r="I3068" s="7">
        <f>IF(Transactions!I3068="",0,Transactions!I3068)</f>
        <v>0</v>
      </c>
      <c r="J3068" s="9">
        <f t="shared" si="47"/>
        <v>29.950000000000003</v>
      </c>
      <c r="K3068" t="s">
        <v>16</v>
      </c>
      <c r="L3068" t="s">
        <v>37</v>
      </c>
      <c r="M3068" t="str">
        <f>REPLACE(Transactions!M3068,1,4,"")</f>
        <v>3</v>
      </c>
    </row>
    <row r="3069" spans="1:13" x14ac:dyDescent="0.2">
      <c r="A3069">
        <v>607458</v>
      </c>
      <c r="B3069" s="5">
        <v>44912</v>
      </c>
      <c r="C3069">
        <v>89025</v>
      </c>
      <c r="D3069" t="str">
        <f>PROPER(Transactions!D3069)</f>
        <v>Clothing</v>
      </c>
      <c r="E3069" t="s">
        <v>181</v>
      </c>
      <c r="F3069" t="s">
        <v>182</v>
      </c>
      <c r="G3069">
        <v>3</v>
      </c>
      <c r="H3069">
        <v>11.99</v>
      </c>
      <c r="I3069" s="7">
        <f>IF(Transactions!I3069="",0,Transactions!I3069)</f>
        <v>0.2</v>
      </c>
      <c r="J3069" s="9">
        <f t="shared" si="47"/>
        <v>28.776</v>
      </c>
      <c r="K3069" t="s">
        <v>16</v>
      </c>
      <c r="L3069" t="s">
        <v>17</v>
      </c>
      <c r="M3069" t="str">
        <f>REPLACE(Transactions!M3069,1,4,"")</f>
        <v>14</v>
      </c>
    </row>
    <row r="3070" spans="1:13" x14ac:dyDescent="0.2">
      <c r="A3070">
        <v>607762</v>
      </c>
      <c r="B3070" s="5">
        <v>44691</v>
      </c>
      <c r="C3070">
        <v>77605</v>
      </c>
      <c r="D3070" t="str">
        <f>PROPER(Transactions!D3070)</f>
        <v>Furniture</v>
      </c>
      <c r="E3070" t="s">
        <v>60</v>
      </c>
      <c r="F3070" t="s">
        <v>61</v>
      </c>
      <c r="G3070">
        <v>4</v>
      </c>
      <c r="H3070">
        <v>41.24</v>
      </c>
      <c r="I3070" s="7">
        <f>IF(Transactions!I3070="",0,Transactions!I3070)</f>
        <v>0.25</v>
      </c>
      <c r="J3070" s="9">
        <f t="shared" si="47"/>
        <v>123.72</v>
      </c>
      <c r="K3070" t="s">
        <v>16</v>
      </c>
      <c r="L3070" t="s">
        <v>23</v>
      </c>
      <c r="M3070" t="str">
        <f>REPLACE(Transactions!M3070,1,4,"")</f>
        <v>4</v>
      </c>
    </row>
    <row r="3071" spans="1:13" x14ac:dyDescent="0.2">
      <c r="A3071">
        <v>607777</v>
      </c>
      <c r="B3071" s="5">
        <v>45571</v>
      </c>
      <c r="C3071">
        <v>16555</v>
      </c>
      <c r="D3071" t="str">
        <f>PROPER(Transactions!D3071)</f>
        <v>Automotive</v>
      </c>
      <c r="E3071" t="s">
        <v>64</v>
      </c>
      <c r="F3071" t="s">
        <v>65</v>
      </c>
      <c r="G3071">
        <v>3</v>
      </c>
      <c r="H3071">
        <v>4.99</v>
      </c>
      <c r="I3071" s="7">
        <f>IF(Transactions!I3071="",0,Transactions!I3071)</f>
        <v>0</v>
      </c>
      <c r="J3071" s="9">
        <f t="shared" si="47"/>
        <v>14.97</v>
      </c>
      <c r="K3071" t="s">
        <v>16</v>
      </c>
      <c r="L3071" t="s">
        <v>17</v>
      </c>
      <c r="M3071" t="str">
        <f>REPLACE(Transactions!M3071,1,4,"")</f>
        <v>17</v>
      </c>
    </row>
    <row r="3072" spans="1:13" x14ac:dyDescent="0.2">
      <c r="A3072">
        <v>607920</v>
      </c>
      <c r="B3072" s="5">
        <v>44794</v>
      </c>
      <c r="C3072">
        <v>88433</v>
      </c>
      <c r="D3072" t="str">
        <f>PROPER(Transactions!D3072)</f>
        <v>Sports</v>
      </c>
      <c r="E3072" t="s">
        <v>100</v>
      </c>
      <c r="F3072" t="s">
        <v>101</v>
      </c>
      <c r="G3072">
        <v>1</v>
      </c>
      <c r="H3072">
        <v>20.69</v>
      </c>
      <c r="I3072" s="7">
        <f>IF(Transactions!I3072="",0,Transactions!I3072)</f>
        <v>0.1</v>
      </c>
      <c r="J3072" s="9">
        <f t="shared" si="47"/>
        <v>18.621000000000002</v>
      </c>
      <c r="K3072" t="s">
        <v>36</v>
      </c>
      <c r="L3072" t="s">
        <v>17</v>
      </c>
      <c r="M3072" t="str">
        <f>REPLACE(Transactions!M3072,1,4,"")</f>
        <v>8</v>
      </c>
    </row>
    <row r="3073" spans="1:13" x14ac:dyDescent="0.2">
      <c r="A3073">
        <v>608251</v>
      </c>
      <c r="B3073" s="5">
        <v>44596</v>
      </c>
      <c r="D3073" t="str">
        <f>PROPER(Transactions!D3073)</f>
        <v>Automotive</v>
      </c>
      <c r="E3073" t="s">
        <v>131</v>
      </c>
      <c r="F3073" t="s">
        <v>132</v>
      </c>
      <c r="G3073">
        <v>3</v>
      </c>
      <c r="H3073">
        <v>3.32</v>
      </c>
      <c r="I3073" s="7">
        <f>IF(Transactions!I3073="",0,Transactions!I3073)</f>
        <v>0.05</v>
      </c>
      <c r="J3073" s="9">
        <f t="shared" si="47"/>
        <v>9.461999999999998</v>
      </c>
      <c r="K3073" t="s">
        <v>32</v>
      </c>
      <c r="L3073" t="s">
        <v>37</v>
      </c>
      <c r="M3073" t="str">
        <f>REPLACE(Transactions!M3073,1,4,"")</f>
        <v>8</v>
      </c>
    </row>
    <row r="3074" spans="1:13" x14ac:dyDescent="0.2">
      <c r="A3074">
        <v>608360</v>
      </c>
      <c r="B3074" s="5">
        <v>45584</v>
      </c>
      <c r="C3074">
        <v>47934</v>
      </c>
      <c r="D3074" t="str">
        <f>PROPER(Transactions!D3074)</f>
        <v>Electronics</v>
      </c>
      <c r="E3074" t="s">
        <v>127</v>
      </c>
      <c r="F3074" t="s">
        <v>128</v>
      </c>
      <c r="G3074">
        <v>5</v>
      </c>
      <c r="H3074">
        <v>13.99</v>
      </c>
      <c r="I3074" s="7">
        <f>IF(Transactions!I3074="",0,Transactions!I3074)</f>
        <v>0.3</v>
      </c>
      <c r="J3074" s="9">
        <f t="shared" si="47"/>
        <v>48.964999999999996</v>
      </c>
      <c r="K3074" t="s">
        <v>16</v>
      </c>
      <c r="L3074" t="s">
        <v>37</v>
      </c>
      <c r="M3074" t="str">
        <f>REPLACE(Transactions!M3074,1,4,"")</f>
        <v>12</v>
      </c>
    </row>
    <row r="3075" spans="1:13" x14ac:dyDescent="0.2">
      <c r="A3075">
        <v>608520</v>
      </c>
      <c r="B3075" s="5">
        <v>44760</v>
      </c>
      <c r="C3075">
        <v>32884</v>
      </c>
      <c r="D3075" t="str">
        <f>PROPER(Transactions!D3075)</f>
        <v>Furniture</v>
      </c>
      <c r="E3075" t="s">
        <v>113</v>
      </c>
      <c r="F3075" t="s">
        <v>114</v>
      </c>
      <c r="G3075">
        <v>4</v>
      </c>
      <c r="H3075">
        <v>83.99</v>
      </c>
      <c r="I3075" s="7">
        <f>IF(Transactions!I3075="",0,Transactions!I3075)</f>
        <v>0.3</v>
      </c>
      <c r="J3075" s="9">
        <f t="shared" ref="J3075:J3138" si="48">(H3075*G3075)*(1-I3075)</f>
        <v>235.17199999999997</v>
      </c>
      <c r="K3075" t="s">
        <v>95</v>
      </c>
      <c r="L3075" t="s">
        <v>23</v>
      </c>
      <c r="M3075" t="str">
        <f>REPLACE(Transactions!M3075,1,4,"")</f>
        <v>11</v>
      </c>
    </row>
    <row r="3076" spans="1:13" x14ac:dyDescent="0.2">
      <c r="A3076">
        <v>608902</v>
      </c>
      <c r="B3076" s="5">
        <v>45526</v>
      </c>
      <c r="C3076">
        <v>21200</v>
      </c>
      <c r="D3076" t="str">
        <f>PROPER(Transactions!D3076)</f>
        <v>Home &amp; Garden</v>
      </c>
      <c r="E3076" t="s">
        <v>153</v>
      </c>
      <c r="F3076" t="s">
        <v>154</v>
      </c>
      <c r="G3076">
        <v>1</v>
      </c>
      <c r="H3076">
        <v>22.49</v>
      </c>
      <c r="I3076" s="7">
        <f>IF(Transactions!I3076="",0,Transactions!I3076)</f>
        <v>0.25</v>
      </c>
      <c r="J3076" s="9">
        <f t="shared" si="48"/>
        <v>16.8675</v>
      </c>
      <c r="K3076" t="s">
        <v>95</v>
      </c>
      <c r="L3076" t="s">
        <v>17</v>
      </c>
      <c r="M3076" t="str">
        <f>REPLACE(Transactions!M3076,1,4,"")</f>
        <v>2</v>
      </c>
    </row>
    <row r="3077" spans="1:13" x14ac:dyDescent="0.2">
      <c r="A3077">
        <v>609013</v>
      </c>
      <c r="B3077" s="5">
        <v>45005</v>
      </c>
      <c r="C3077">
        <v>59162</v>
      </c>
      <c r="D3077" t="str">
        <f>PROPER(Transactions!D3077)</f>
        <v>Automotive</v>
      </c>
      <c r="E3077" t="s">
        <v>111</v>
      </c>
      <c r="F3077" t="s">
        <v>112</v>
      </c>
      <c r="G3077">
        <v>1</v>
      </c>
      <c r="H3077">
        <v>13.49</v>
      </c>
      <c r="I3077" s="7">
        <f>IF(Transactions!I3077="",0,Transactions!I3077)</f>
        <v>0.1</v>
      </c>
      <c r="J3077" s="9">
        <f t="shared" si="48"/>
        <v>12.141</v>
      </c>
      <c r="K3077" t="s">
        <v>16</v>
      </c>
      <c r="L3077" t="s">
        <v>17</v>
      </c>
      <c r="M3077" t="str">
        <f>REPLACE(Transactions!M3077,1,4,"")</f>
        <v>12</v>
      </c>
    </row>
    <row r="3078" spans="1:13" x14ac:dyDescent="0.2">
      <c r="A3078">
        <v>609172</v>
      </c>
      <c r="B3078" s="5">
        <v>45403</v>
      </c>
      <c r="C3078">
        <v>62818</v>
      </c>
      <c r="D3078" t="str">
        <f>PROPER(Transactions!D3078)</f>
        <v>Toys</v>
      </c>
      <c r="E3078" t="s">
        <v>175</v>
      </c>
      <c r="F3078" t="s">
        <v>176</v>
      </c>
      <c r="G3078">
        <v>2</v>
      </c>
      <c r="H3078">
        <v>10.79</v>
      </c>
      <c r="I3078" s="7">
        <f>IF(Transactions!I3078="",0,Transactions!I3078)</f>
        <v>0.1</v>
      </c>
      <c r="J3078" s="9">
        <f t="shared" si="48"/>
        <v>19.422000000000001</v>
      </c>
      <c r="K3078" t="s">
        <v>16</v>
      </c>
      <c r="L3078" t="s">
        <v>17</v>
      </c>
      <c r="M3078" t="str">
        <f>REPLACE(Transactions!M3078,1,4,"")</f>
        <v>8</v>
      </c>
    </row>
    <row r="3079" spans="1:13" x14ac:dyDescent="0.2">
      <c r="A3079">
        <v>609253</v>
      </c>
      <c r="B3079" s="5">
        <v>45400</v>
      </c>
      <c r="D3079" t="str">
        <f>PROPER(Transactions!D3079)</f>
        <v>Beauty</v>
      </c>
      <c r="E3079" t="s">
        <v>179</v>
      </c>
      <c r="F3079" t="s">
        <v>180</v>
      </c>
      <c r="G3079">
        <v>1</v>
      </c>
      <c r="H3079">
        <v>11.99</v>
      </c>
      <c r="I3079" s="7">
        <f>IF(Transactions!I3079="",0,Transactions!I3079)</f>
        <v>0</v>
      </c>
      <c r="J3079" s="9">
        <f t="shared" si="48"/>
        <v>11.99</v>
      </c>
      <c r="K3079" t="s">
        <v>22</v>
      </c>
      <c r="L3079" t="s">
        <v>17</v>
      </c>
      <c r="M3079" t="str">
        <f>REPLACE(Transactions!M3079,1,4,"")</f>
        <v>1</v>
      </c>
    </row>
    <row r="3080" spans="1:13" x14ac:dyDescent="0.2">
      <c r="A3080">
        <v>609294</v>
      </c>
      <c r="B3080" s="5">
        <v>45644</v>
      </c>
      <c r="C3080">
        <v>82064</v>
      </c>
      <c r="D3080" t="str">
        <f>PROPER(Transactions!D3080)</f>
        <v>Toys</v>
      </c>
      <c r="E3080" t="s">
        <v>72</v>
      </c>
      <c r="F3080" t="s">
        <v>73</v>
      </c>
      <c r="G3080">
        <v>3</v>
      </c>
      <c r="H3080">
        <v>27.99</v>
      </c>
      <c r="I3080" s="7">
        <f>IF(Transactions!I3080="",0,Transactions!I3080)</f>
        <v>0.3</v>
      </c>
      <c r="J3080" s="9">
        <f t="shared" si="48"/>
        <v>58.778999999999996</v>
      </c>
      <c r="K3080" t="s">
        <v>16</v>
      </c>
      <c r="L3080" t="s">
        <v>37</v>
      </c>
      <c r="M3080" t="str">
        <f>REPLACE(Transactions!M3080,1,4,"")</f>
        <v>4</v>
      </c>
    </row>
    <row r="3081" spans="1:13" x14ac:dyDescent="0.2">
      <c r="A3081">
        <v>609476</v>
      </c>
      <c r="B3081" s="5">
        <v>45495</v>
      </c>
      <c r="C3081">
        <v>20147</v>
      </c>
      <c r="D3081" t="str">
        <f>PROPER(Transactions!D3081)</f>
        <v>Automotive</v>
      </c>
      <c r="E3081" t="s">
        <v>131</v>
      </c>
      <c r="F3081" t="s">
        <v>132</v>
      </c>
      <c r="G3081">
        <v>2</v>
      </c>
      <c r="H3081">
        <v>2.97</v>
      </c>
      <c r="I3081" s="7">
        <f>IF(Transactions!I3081="",0,Transactions!I3081)</f>
        <v>0.15</v>
      </c>
      <c r="J3081" s="9">
        <f t="shared" si="48"/>
        <v>5.0490000000000004</v>
      </c>
      <c r="K3081" t="s">
        <v>36</v>
      </c>
      <c r="L3081" t="s">
        <v>37</v>
      </c>
      <c r="M3081" t="str">
        <f>REPLACE(Transactions!M3081,1,4,"")</f>
        <v>20</v>
      </c>
    </row>
    <row r="3082" spans="1:13" x14ac:dyDescent="0.2">
      <c r="A3082">
        <v>609604</v>
      </c>
      <c r="B3082" s="5">
        <v>45632</v>
      </c>
      <c r="C3082">
        <v>75369</v>
      </c>
      <c r="D3082" t="str">
        <f>PROPER(Transactions!D3082)</f>
        <v>Furniture</v>
      </c>
      <c r="E3082" t="s">
        <v>51</v>
      </c>
      <c r="F3082" t="s">
        <v>52</v>
      </c>
      <c r="G3082">
        <v>1</v>
      </c>
      <c r="H3082">
        <v>27.99</v>
      </c>
      <c r="I3082" s="7">
        <f>IF(Transactions!I3082="",0,Transactions!I3082)</f>
        <v>0</v>
      </c>
      <c r="J3082" s="9">
        <f t="shared" si="48"/>
        <v>27.99</v>
      </c>
      <c r="K3082" t="s">
        <v>95</v>
      </c>
      <c r="L3082" t="s">
        <v>17</v>
      </c>
      <c r="M3082" t="str">
        <f>REPLACE(Transactions!M3082,1,4,"")</f>
        <v>8</v>
      </c>
    </row>
    <row r="3083" spans="1:13" x14ac:dyDescent="0.2">
      <c r="A3083">
        <v>609982</v>
      </c>
      <c r="B3083" s="5">
        <v>45403</v>
      </c>
      <c r="C3083">
        <v>77143</v>
      </c>
      <c r="D3083" t="str">
        <f>PROPER(Transactions!D3083)</f>
        <v>Electronics</v>
      </c>
      <c r="E3083" t="s">
        <v>127</v>
      </c>
      <c r="F3083" t="s">
        <v>128</v>
      </c>
      <c r="G3083">
        <v>2</v>
      </c>
      <c r="H3083">
        <v>15.99</v>
      </c>
      <c r="I3083" s="7">
        <f>IF(Transactions!I3083="",0,Transactions!I3083)</f>
        <v>0.2</v>
      </c>
      <c r="J3083" s="9">
        <f t="shared" si="48"/>
        <v>25.584000000000003</v>
      </c>
      <c r="K3083" t="s">
        <v>16</v>
      </c>
      <c r="L3083" t="s">
        <v>37</v>
      </c>
      <c r="M3083" t="str">
        <f>REPLACE(Transactions!M3083,1,4,"")</f>
        <v>3</v>
      </c>
    </row>
    <row r="3084" spans="1:13" x14ac:dyDescent="0.2">
      <c r="A3084">
        <v>610077</v>
      </c>
      <c r="B3084" s="5">
        <v>45203</v>
      </c>
      <c r="C3084">
        <v>90111</v>
      </c>
      <c r="D3084" t="str">
        <f>PROPER(Transactions!D3084)</f>
        <v>Grocery</v>
      </c>
      <c r="E3084" t="s">
        <v>45</v>
      </c>
      <c r="F3084" t="s">
        <v>46</v>
      </c>
      <c r="G3084">
        <v>1</v>
      </c>
      <c r="H3084">
        <v>1.61</v>
      </c>
      <c r="I3084" s="7">
        <f>IF(Transactions!I3084="",0,Transactions!I3084)</f>
        <v>0.1</v>
      </c>
      <c r="J3084" s="9">
        <f t="shared" si="48"/>
        <v>1.4490000000000001</v>
      </c>
      <c r="K3084" t="s">
        <v>22</v>
      </c>
      <c r="L3084" t="s">
        <v>17</v>
      </c>
      <c r="M3084" t="str">
        <f>REPLACE(Transactions!M3084,1,4,"")</f>
        <v>18</v>
      </c>
    </row>
    <row r="3085" spans="1:13" x14ac:dyDescent="0.2">
      <c r="A3085">
        <v>610149</v>
      </c>
      <c r="B3085" s="5">
        <v>44993</v>
      </c>
      <c r="C3085">
        <v>60676</v>
      </c>
      <c r="D3085" t="str">
        <f>PROPER(Transactions!D3085)</f>
        <v>Pharmacy</v>
      </c>
      <c r="E3085" t="s">
        <v>115</v>
      </c>
      <c r="F3085" t="s">
        <v>116</v>
      </c>
      <c r="G3085">
        <v>5</v>
      </c>
      <c r="H3085">
        <v>10.39</v>
      </c>
      <c r="I3085" s="7">
        <f>IF(Transactions!I3085="",0,Transactions!I3085)</f>
        <v>0.2</v>
      </c>
      <c r="J3085" s="9">
        <f t="shared" si="48"/>
        <v>41.56</v>
      </c>
      <c r="K3085" t="s">
        <v>22</v>
      </c>
      <c r="L3085" t="s">
        <v>17</v>
      </c>
      <c r="M3085" t="str">
        <f>REPLACE(Transactions!M3085,1,4,"")</f>
        <v>7</v>
      </c>
    </row>
    <row r="3086" spans="1:13" x14ac:dyDescent="0.2">
      <c r="A3086">
        <v>610175</v>
      </c>
      <c r="B3086" s="5">
        <v>45129</v>
      </c>
      <c r="C3086">
        <v>54778</v>
      </c>
      <c r="D3086" t="str">
        <f>PROPER(Transactions!D3086)</f>
        <v>Pharmacy</v>
      </c>
      <c r="E3086" t="s">
        <v>197</v>
      </c>
      <c r="F3086" t="s">
        <v>198</v>
      </c>
      <c r="G3086">
        <v>1</v>
      </c>
      <c r="H3086">
        <v>14.99</v>
      </c>
      <c r="I3086" s="7">
        <f>IF(Transactions!I3086="",0,Transactions!I3086)</f>
        <v>0</v>
      </c>
      <c r="J3086" s="9">
        <f t="shared" si="48"/>
        <v>14.99</v>
      </c>
      <c r="K3086" t="s">
        <v>22</v>
      </c>
      <c r="L3086" t="s">
        <v>17</v>
      </c>
      <c r="M3086" t="str">
        <f>REPLACE(Transactions!M3086,1,4,"")</f>
        <v>2</v>
      </c>
    </row>
    <row r="3087" spans="1:13" x14ac:dyDescent="0.2">
      <c r="A3087">
        <v>610307</v>
      </c>
      <c r="B3087" s="5">
        <v>44702</v>
      </c>
      <c r="C3087">
        <v>90195</v>
      </c>
      <c r="D3087" t="str">
        <f>PROPER(Transactions!D3087)</f>
        <v>Sports</v>
      </c>
      <c r="E3087" t="s">
        <v>188</v>
      </c>
      <c r="F3087" t="s">
        <v>189</v>
      </c>
      <c r="G3087">
        <v>1</v>
      </c>
      <c r="H3087">
        <v>44.99</v>
      </c>
      <c r="I3087" s="7">
        <f>IF(Transactions!I3087="",0,Transactions!I3087)</f>
        <v>0</v>
      </c>
      <c r="J3087" s="9">
        <f t="shared" si="48"/>
        <v>44.99</v>
      </c>
      <c r="K3087" t="s">
        <v>16</v>
      </c>
      <c r="L3087" t="s">
        <v>17</v>
      </c>
      <c r="M3087" t="str">
        <f>REPLACE(Transactions!M3087,1,4,"")</f>
        <v>6</v>
      </c>
    </row>
    <row r="3088" spans="1:13" x14ac:dyDescent="0.2">
      <c r="A3088">
        <v>611460</v>
      </c>
      <c r="B3088" s="5">
        <v>45192</v>
      </c>
      <c r="C3088">
        <v>62722</v>
      </c>
      <c r="D3088" t="str">
        <f>PROPER(Transactions!D3088)</f>
        <v>Home &amp; Garden</v>
      </c>
      <c r="E3088" t="s">
        <v>149</v>
      </c>
      <c r="F3088" t="s">
        <v>150</v>
      </c>
      <c r="G3088">
        <v>1</v>
      </c>
      <c r="H3088">
        <v>17.989999999999998</v>
      </c>
      <c r="I3088" s="7">
        <f>IF(Transactions!I3088="",0,Transactions!I3088)</f>
        <v>0.1</v>
      </c>
      <c r="J3088" s="9">
        <f t="shared" si="48"/>
        <v>16.190999999999999</v>
      </c>
      <c r="K3088" t="s">
        <v>36</v>
      </c>
      <c r="L3088" t="s">
        <v>17</v>
      </c>
      <c r="M3088" t="str">
        <f>REPLACE(Transactions!M3088,1,4,"")</f>
        <v>5</v>
      </c>
    </row>
    <row r="3089" spans="1:13" x14ac:dyDescent="0.2">
      <c r="A3089">
        <v>611472</v>
      </c>
      <c r="B3089" s="5">
        <v>45141</v>
      </c>
      <c r="C3089">
        <v>16401</v>
      </c>
      <c r="D3089" t="str">
        <f>PROPER(Transactions!D3089)</f>
        <v>Beauty</v>
      </c>
      <c r="E3089" t="s">
        <v>49</v>
      </c>
      <c r="F3089" t="s">
        <v>50</v>
      </c>
      <c r="G3089">
        <v>1</v>
      </c>
      <c r="H3089">
        <v>7.64</v>
      </c>
      <c r="I3089" s="7">
        <f>IF(Transactions!I3089="",0,Transactions!I3089)</f>
        <v>0.15</v>
      </c>
      <c r="J3089" s="9">
        <f t="shared" si="48"/>
        <v>6.4939999999999998</v>
      </c>
      <c r="K3089" t="s">
        <v>36</v>
      </c>
      <c r="L3089" t="s">
        <v>17</v>
      </c>
      <c r="M3089" t="str">
        <f>REPLACE(Transactions!M3089,1,4,"")</f>
        <v>9</v>
      </c>
    </row>
    <row r="3090" spans="1:13" x14ac:dyDescent="0.2">
      <c r="A3090">
        <v>611585</v>
      </c>
      <c r="B3090" s="5">
        <v>45347</v>
      </c>
      <c r="C3090">
        <v>28698</v>
      </c>
      <c r="D3090" t="str">
        <f>PROPER(Transactions!D3090)</f>
        <v>Clothing</v>
      </c>
      <c r="E3090" t="s">
        <v>151</v>
      </c>
      <c r="F3090" t="s">
        <v>152</v>
      </c>
      <c r="G3090">
        <v>1</v>
      </c>
      <c r="H3090">
        <v>29.74</v>
      </c>
      <c r="I3090" s="7">
        <f>IF(Transactions!I3090="",0,Transactions!I3090)</f>
        <v>0.15</v>
      </c>
      <c r="J3090" s="9">
        <f t="shared" si="48"/>
        <v>25.278999999999996</v>
      </c>
      <c r="K3090" t="s">
        <v>16</v>
      </c>
      <c r="L3090" t="s">
        <v>17</v>
      </c>
      <c r="M3090" t="str">
        <f>REPLACE(Transactions!M3090,1,4,"")</f>
        <v>14</v>
      </c>
    </row>
    <row r="3091" spans="1:13" x14ac:dyDescent="0.2">
      <c r="A3091">
        <v>611876</v>
      </c>
      <c r="B3091" s="5">
        <v>45401</v>
      </c>
      <c r="C3091">
        <v>46530</v>
      </c>
      <c r="D3091" t="str">
        <f>PROPER(Transactions!D3091)</f>
        <v>Toys</v>
      </c>
      <c r="E3091" t="s">
        <v>72</v>
      </c>
      <c r="F3091" t="s">
        <v>73</v>
      </c>
      <c r="G3091">
        <v>2</v>
      </c>
      <c r="H3091">
        <v>39.99</v>
      </c>
      <c r="I3091" s="7">
        <f>IF(Transactions!I3091="",0,Transactions!I3091)</f>
        <v>0</v>
      </c>
      <c r="J3091" s="9">
        <f t="shared" si="48"/>
        <v>79.98</v>
      </c>
      <c r="K3091" t="s">
        <v>16</v>
      </c>
      <c r="L3091" t="s">
        <v>37</v>
      </c>
      <c r="M3091" t="str">
        <f>REPLACE(Transactions!M3091,1,4,"")</f>
        <v>2</v>
      </c>
    </row>
    <row r="3092" spans="1:13" x14ac:dyDescent="0.2">
      <c r="A3092">
        <v>611987</v>
      </c>
      <c r="B3092" s="5">
        <v>45465</v>
      </c>
      <c r="C3092">
        <v>21875</v>
      </c>
      <c r="D3092" t="str">
        <f>PROPER(Transactions!D3092)</f>
        <v>Pharmacy</v>
      </c>
      <c r="E3092" t="s">
        <v>20</v>
      </c>
      <c r="F3092" t="s">
        <v>21</v>
      </c>
      <c r="G3092">
        <v>1</v>
      </c>
      <c r="H3092">
        <v>7.99</v>
      </c>
      <c r="I3092" s="7">
        <f>IF(Transactions!I3092="",0,Transactions!I3092)</f>
        <v>0.2</v>
      </c>
      <c r="J3092" s="9">
        <f t="shared" si="48"/>
        <v>6.3920000000000003</v>
      </c>
      <c r="K3092" t="s">
        <v>22</v>
      </c>
      <c r="L3092" t="s">
        <v>17</v>
      </c>
      <c r="M3092" t="str">
        <f>REPLACE(Transactions!M3092,1,4,"")</f>
        <v>20</v>
      </c>
    </row>
    <row r="3093" spans="1:13" x14ac:dyDescent="0.2">
      <c r="A3093">
        <v>611987</v>
      </c>
      <c r="B3093" s="5">
        <v>44880</v>
      </c>
      <c r="C3093">
        <v>82273</v>
      </c>
      <c r="D3093" t="str">
        <f>PROPER(Transactions!D3093)</f>
        <v>Electronics</v>
      </c>
      <c r="E3093" t="s">
        <v>14</v>
      </c>
      <c r="F3093" t="s">
        <v>15</v>
      </c>
      <c r="G3093">
        <v>5</v>
      </c>
      <c r="H3093">
        <v>79.989999999999995</v>
      </c>
      <c r="I3093" s="7">
        <f>IF(Transactions!I3093="",0,Transactions!I3093)</f>
        <v>0</v>
      </c>
      <c r="J3093" s="9">
        <f t="shared" si="48"/>
        <v>399.95</v>
      </c>
      <c r="K3093" t="s">
        <v>36</v>
      </c>
      <c r="L3093" t="s">
        <v>17</v>
      </c>
      <c r="M3093" t="str">
        <f>REPLACE(Transactions!M3093,1,4,"")</f>
        <v>14</v>
      </c>
    </row>
    <row r="3094" spans="1:13" x14ac:dyDescent="0.2">
      <c r="A3094">
        <v>612056</v>
      </c>
      <c r="B3094" s="5">
        <v>45255</v>
      </c>
      <c r="C3094">
        <v>40263</v>
      </c>
      <c r="D3094" t="str">
        <f>PROPER(Transactions!D3094)</f>
        <v>Sports</v>
      </c>
      <c r="E3094" t="s">
        <v>188</v>
      </c>
      <c r="F3094" t="s">
        <v>189</v>
      </c>
      <c r="G3094">
        <v>1</v>
      </c>
      <c r="H3094">
        <v>42.74</v>
      </c>
      <c r="I3094" s="7">
        <f>IF(Transactions!I3094="",0,Transactions!I3094)</f>
        <v>0.05</v>
      </c>
      <c r="J3094" s="9">
        <f t="shared" si="48"/>
        <v>40.603000000000002</v>
      </c>
      <c r="K3094" t="s">
        <v>16</v>
      </c>
      <c r="L3094" t="s">
        <v>23</v>
      </c>
      <c r="M3094" t="str">
        <f>REPLACE(Transactions!M3094,1,4,"")</f>
        <v>6</v>
      </c>
    </row>
    <row r="3095" spans="1:13" x14ac:dyDescent="0.2">
      <c r="A3095">
        <v>612222</v>
      </c>
      <c r="B3095" s="5">
        <v>45404</v>
      </c>
      <c r="C3095">
        <v>95219</v>
      </c>
      <c r="D3095" t="str">
        <f>PROPER(Transactions!D3095)</f>
        <v>Toys</v>
      </c>
      <c r="E3095" t="s">
        <v>30</v>
      </c>
      <c r="F3095" t="s">
        <v>31</v>
      </c>
      <c r="G3095">
        <v>5</v>
      </c>
      <c r="H3095">
        <v>19.989999999999998</v>
      </c>
      <c r="I3095" s="7">
        <f>IF(Transactions!I3095="",0,Transactions!I3095)</f>
        <v>0.2</v>
      </c>
      <c r="J3095" s="9">
        <f t="shared" si="48"/>
        <v>79.959999999999994</v>
      </c>
      <c r="K3095" t="s">
        <v>36</v>
      </c>
      <c r="L3095" t="s">
        <v>37</v>
      </c>
      <c r="M3095" t="str">
        <f>REPLACE(Transactions!M3095,1,4,"")</f>
        <v>12</v>
      </c>
    </row>
    <row r="3096" spans="1:13" x14ac:dyDescent="0.2">
      <c r="A3096">
        <v>612530</v>
      </c>
      <c r="B3096" s="5">
        <v>44815</v>
      </c>
      <c r="C3096">
        <v>86923</v>
      </c>
      <c r="D3096" t="str">
        <f>PROPER(Transactions!D3096)</f>
        <v>Pharmacy</v>
      </c>
      <c r="E3096" t="s">
        <v>58</v>
      </c>
      <c r="F3096" t="s">
        <v>59</v>
      </c>
      <c r="G3096">
        <v>1</v>
      </c>
      <c r="H3096">
        <v>3.99</v>
      </c>
      <c r="I3096" s="7">
        <f>IF(Transactions!I3096="",0,Transactions!I3096)</f>
        <v>0</v>
      </c>
      <c r="J3096" s="9">
        <f t="shared" si="48"/>
        <v>3.99</v>
      </c>
      <c r="K3096" t="s">
        <v>53</v>
      </c>
      <c r="L3096" t="s">
        <v>17</v>
      </c>
      <c r="M3096" t="str">
        <f>REPLACE(Transactions!M3096,1,4,"")</f>
        <v>1</v>
      </c>
    </row>
    <row r="3097" spans="1:13" x14ac:dyDescent="0.2">
      <c r="A3097">
        <v>612711</v>
      </c>
      <c r="B3097" s="5">
        <v>45308</v>
      </c>
      <c r="D3097" t="str">
        <f>PROPER(Transactions!D3097)</f>
        <v>Furniture</v>
      </c>
      <c r="E3097" t="s">
        <v>113</v>
      </c>
      <c r="F3097" t="s">
        <v>114</v>
      </c>
      <c r="G3097">
        <v>3</v>
      </c>
      <c r="H3097">
        <v>119.99</v>
      </c>
      <c r="I3097" s="7">
        <f>IF(Transactions!I3097="",0,Transactions!I3097)</f>
        <v>0</v>
      </c>
      <c r="J3097" s="9">
        <f t="shared" si="48"/>
        <v>359.96999999999997</v>
      </c>
      <c r="K3097" t="s">
        <v>53</v>
      </c>
      <c r="L3097" t="s">
        <v>17</v>
      </c>
      <c r="M3097" t="str">
        <f>REPLACE(Transactions!M3097,1,4,"")</f>
        <v>20</v>
      </c>
    </row>
    <row r="3098" spans="1:13" x14ac:dyDescent="0.2">
      <c r="A3098">
        <v>612861</v>
      </c>
      <c r="B3098" s="5">
        <v>45192</v>
      </c>
      <c r="C3098">
        <v>74631</v>
      </c>
      <c r="D3098" t="str">
        <f>PROPER(Transactions!D3098)</f>
        <v>Automotive</v>
      </c>
      <c r="E3098" t="s">
        <v>131</v>
      </c>
      <c r="F3098" t="s">
        <v>132</v>
      </c>
      <c r="G3098">
        <v>2</v>
      </c>
      <c r="H3098">
        <v>3.14</v>
      </c>
      <c r="I3098" s="7">
        <f>IF(Transactions!I3098="",0,Transactions!I3098)</f>
        <v>0.1</v>
      </c>
      <c r="J3098" s="9">
        <f t="shared" si="48"/>
        <v>5.6520000000000001</v>
      </c>
      <c r="K3098" t="s">
        <v>22</v>
      </c>
      <c r="L3098" t="s">
        <v>17</v>
      </c>
      <c r="M3098" t="str">
        <f>REPLACE(Transactions!M3098,1,4,"")</f>
        <v>1</v>
      </c>
    </row>
    <row r="3099" spans="1:13" x14ac:dyDescent="0.2">
      <c r="A3099">
        <v>612977</v>
      </c>
      <c r="B3099" s="5">
        <v>44995</v>
      </c>
      <c r="C3099">
        <v>42208</v>
      </c>
      <c r="D3099" t="str">
        <f>PROPER(Transactions!D3099)</f>
        <v>Automotive</v>
      </c>
      <c r="E3099" t="s">
        <v>64</v>
      </c>
      <c r="F3099" t="s">
        <v>65</v>
      </c>
      <c r="G3099">
        <v>2</v>
      </c>
      <c r="H3099">
        <v>4.99</v>
      </c>
      <c r="I3099" s="7">
        <f>IF(Transactions!I3099="",0,Transactions!I3099)</f>
        <v>0</v>
      </c>
      <c r="J3099" s="9">
        <f t="shared" si="48"/>
        <v>9.98</v>
      </c>
      <c r="K3099" t="s">
        <v>95</v>
      </c>
      <c r="L3099" t="s">
        <v>23</v>
      </c>
      <c r="M3099" t="str">
        <f>REPLACE(Transactions!M3099,1,4,"")</f>
        <v>7</v>
      </c>
    </row>
    <row r="3100" spans="1:13" x14ac:dyDescent="0.2">
      <c r="A3100">
        <v>613132</v>
      </c>
      <c r="B3100" s="5">
        <v>45100</v>
      </c>
      <c r="C3100">
        <v>60551</v>
      </c>
      <c r="D3100" t="str">
        <f>PROPER(Transactions!D3100)</f>
        <v>Beauty</v>
      </c>
      <c r="E3100" t="s">
        <v>143</v>
      </c>
      <c r="F3100" t="s">
        <v>144</v>
      </c>
      <c r="G3100">
        <v>1</v>
      </c>
      <c r="H3100">
        <v>14.24</v>
      </c>
      <c r="I3100" s="7">
        <f>IF(Transactions!I3100="",0,Transactions!I3100)</f>
        <v>0.05</v>
      </c>
      <c r="J3100" s="9">
        <f t="shared" si="48"/>
        <v>13.527999999999999</v>
      </c>
      <c r="K3100" t="s">
        <v>22</v>
      </c>
      <c r="L3100" t="s">
        <v>17</v>
      </c>
      <c r="M3100" t="str">
        <f>REPLACE(Transactions!M3100,1,4,"")</f>
        <v>15</v>
      </c>
    </row>
    <row r="3101" spans="1:13" x14ac:dyDescent="0.2">
      <c r="A3101">
        <v>613399</v>
      </c>
      <c r="B3101" s="5">
        <v>44787</v>
      </c>
      <c r="C3101">
        <v>86618</v>
      </c>
      <c r="D3101" t="str">
        <f>PROPER(Transactions!D3101)</f>
        <v>Grocery</v>
      </c>
      <c r="E3101" t="s">
        <v>45</v>
      </c>
      <c r="F3101" t="s">
        <v>46</v>
      </c>
      <c r="G3101">
        <v>2</v>
      </c>
      <c r="H3101">
        <v>1.25</v>
      </c>
      <c r="I3101" s="7">
        <f>IF(Transactions!I3101="",0,Transactions!I3101)</f>
        <v>0</v>
      </c>
      <c r="J3101" s="9">
        <f t="shared" si="48"/>
        <v>2.5</v>
      </c>
      <c r="K3101" t="s">
        <v>16</v>
      </c>
      <c r="L3101" t="s">
        <v>17</v>
      </c>
      <c r="M3101" t="str">
        <f>REPLACE(Transactions!M3101,1,4,"")</f>
        <v>18</v>
      </c>
    </row>
    <row r="3102" spans="1:13" x14ac:dyDescent="0.2">
      <c r="A3102">
        <v>613769</v>
      </c>
      <c r="B3102" s="5">
        <v>45403</v>
      </c>
      <c r="C3102">
        <v>46588</v>
      </c>
      <c r="D3102" t="str">
        <f>PROPER(Transactions!D3102)</f>
        <v>Automotive</v>
      </c>
      <c r="E3102" t="s">
        <v>111</v>
      </c>
      <c r="F3102" t="s">
        <v>112</v>
      </c>
      <c r="G3102">
        <v>1</v>
      </c>
      <c r="H3102">
        <v>14.24</v>
      </c>
      <c r="I3102" s="7">
        <f>IF(Transactions!I3102="",0,Transactions!I3102)</f>
        <v>0.05</v>
      </c>
      <c r="J3102" s="9">
        <f t="shared" si="48"/>
        <v>13.527999999999999</v>
      </c>
      <c r="K3102" t="s">
        <v>16</v>
      </c>
      <c r="L3102" t="s">
        <v>37</v>
      </c>
      <c r="M3102" t="str">
        <f>REPLACE(Transactions!M3102,1,4,"")</f>
        <v>12</v>
      </c>
    </row>
    <row r="3103" spans="1:13" x14ac:dyDescent="0.2">
      <c r="A3103">
        <v>613770</v>
      </c>
      <c r="B3103" s="5">
        <v>45100</v>
      </c>
      <c r="C3103">
        <v>84748</v>
      </c>
      <c r="D3103" t="str">
        <f>PROPER(Transactions!D3103)</f>
        <v>Beauty</v>
      </c>
      <c r="E3103" t="s">
        <v>139</v>
      </c>
      <c r="F3103" t="s">
        <v>140</v>
      </c>
      <c r="G3103">
        <v>2</v>
      </c>
      <c r="H3103">
        <v>7.99</v>
      </c>
      <c r="I3103" s="7">
        <f>IF(Transactions!I3103="",0,Transactions!I3103)</f>
        <v>0</v>
      </c>
      <c r="J3103" s="9">
        <f t="shared" si="48"/>
        <v>15.98</v>
      </c>
      <c r="K3103" t="s">
        <v>16</v>
      </c>
      <c r="L3103" t="s">
        <v>17</v>
      </c>
      <c r="M3103" t="str">
        <f>REPLACE(Transactions!M3103,1,4,"")</f>
        <v>5</v>
      </c>
    </row>
    <row r="3104" spans="1:13" x14ac:dyDescent="0.2">
      <c r="A3104">
        <v>614005</v>
      </c>
      <c r="B3104" s="5">
        <v>44615</v>
      </c>
      <c r="C3104">
        <v>89875</v>
      </c>
      <c r="D3104" t="str">
        <f>PROPER(Transactions!D3104)</f>
        <v>Pharmacy</v>
      </c>
      <c r="E3104" t="s">
        <v>58</v>
      </c>
      <c r="F3104" t="s">
        <v>59</v>
      </c>
      <c r="G3104">
        <v>5</v>
      </c>
      <c r="H3104">
        <v>3.79</v>
      </c>
      <c r="I3104" s="7">
        <f>IF(Transactions!I3104="",0,Transactions!I3104)</f>
        <v>0.05</v>
      </c>
      <c r="J3104" s="9">
        <f t="shared" si="48"/>
        <v>18.002499999999998</v>
      </c>
      <c r="K3104" t="s">
        <v>16</v>
      </c>
      <c r="L3104" t="s">
        <v>37</v>
      </c>
      <c r="M3104" t="str">
        <f>REPLACE(Transactions!M3104,1,4,"")</f>
        <v>11</v>
      </c>
    </row>
    <row r="3105" spans="1:13" x14ac:dyDescent="0.2">
      <c r="A3105">
        <v>614069</v>
      </c>
      <c r="B3105" s="5">
        <v>45331</v>
      </c>
      <c r="C3105">
        <v>27780</v>
      </c>
      <c r="D3105" t="str">
        <f>PROPER(Transactions!D3105)</f>
        <v>Grocery</v>
      </c>
      <c r="E3105" t="s">
        <v>107</v>
      </c>
      <c r="F3105" t="s">
        <v>108</v>
      </c>
      <c r="G3105">
        <v>5</v>
      </c>
      <c r="H3105">
        <v>2.97</v>
      </c>
      <c r="I3105" s="7">
        <f>IF(Transactions!I3105="",0,Transactions!I3105)</f>
        <v>0.15</v>
      </c>
      <c r="J3105" s="9">
        <f t="shared" si="48"/>
        <v>12.6225</v>
      </c>
      <c r="K3105" t="s">
        <v>16</v>
      </c>
      <c r="L3105" t="s">
        <v>23</v>
      </c>
      <c r="M3105" t="str">
        <f>REPLACE(Transactions!M3105,1,4,"")</f>
        <v>19</v>
      </c>
    </row>
    <row r="3106" spans="1:13" x14ac:dyDescent="0.2">
      <c r="A3106">
        <v>614393</v>
      </c>
      <c r="B3106" s="5">
        <v>44766</v>
      </c>
      <c r="C3106">
        <v>84376</v>
      </c>
      <c r="D3106" t="str">
        <f>PROPER(Transactions!D3106)</f>
        <v>Home &amp; Garden</v>
      </c>
      <c r="E3106" t="s">
        <v>137</v>
      </c>
      <c r="F3106" t="s">
        <v>138</v>
      </c>
      <c r="G3106">
        <v>2</v>
      </c>
      <c r="H3106">
        <v>7.99</v>
      </c>
      <c r="I3106" s="7">
        <f>IF(Transactions!I3106="",0,Transactions!I3106)</f>
        <v>0</v>
      </c>
      <c r="J3106" s="9">
        <f t="shared" si="48"/>
        <v>15.98</v>
      </c>
      <c r="K3106" t="s">
        <v>36</v>
      </c>
      <c r="L3106" t="s">
        <v>37</v>
      </c>
      <c r="M3106" t="str">
        <f>REPLACE(Transactions!M3106,1,4,"")</f>
        <v>11</v>
      </c>
    </row>
    <row r="3107" spans="1:13" x14ac:dyDescent="0.2">
      <c r="A3107">
        <v>614503</v>
      </c>
      <c r="B3107" s="5">
        <v>45630</v>
      </c>
      <c r="C3107">
        <v>15763</v>
      </c>
      <c r="D3107" t="str">
        <f>PROPER(Transactions!D3107)</f>
        <v>Beauty</v>
      </c>
      <c r="E3107" t="s">
        <v>139</v>
      </c>
      <c r="F3107" t="s">
        <v>140</v>
      </c>
      <c r="G3107">
        <v>2</v>
      </c>
      <c r="H3107">
        <v>5.59</v>
      </c>
      <c r="I3107" s="7">
        <f>IF(Transactions!I3107="",0,Transactions!I3107)</f>
        <v>0.3</v>
      </c>
      <c r="J3107" s="9">
        <f t="shared" si="48"/>
        <v>7.8259999999999996</v>
      </c>
      <c r="K3107" t="s">
        <v>95</v>
      </c>
      <c r="L3107" t="s">
        <v>37</v>
      </c>
      <c r="M3107" t="str">
        <f>REPLACE(Transactions!M3107,1,4,"")</f>
        <v>3</v>
      </c>
    </row>
    <row r="3108" spans="1:13" x14ac:dyDescent="0.2">
      <c r="A3108">
        <v>615010</v>
      </c>
      <c r="B3108" s="5">
        <v>44912</v>
      </c>
      <c r="D3108" t="str">
        <f>PROPER(Transactions!D3108)</f>
        <v>Automotive</v>
      </c>
      <c r="E3108" t="s">
        <v>125</v>
      </c>
      <c r="F3108" t="s">
        <v>126</v>
      </c>
      <c r="G3108">
        <v>3</v>
      </c>
      <c r="H3108">
        <v>28.49</v>
      </c>
      <c r="I3108" s="7">
        <f>IF(Transactions!I3108="",0,Transactions!I3108)</f>
        <v>0.05</v>
      </c>
      <c r="J3108" s="9">
        <f t="shared" si="48"/>
        <v>81.1965</v>
      </c>
      <c r="K3108" t="s">
        <v>16</v>
      </c>
      <c r="L3108" t="s">
        <v>37</v>
      </c>
      <c r="M3108" t="str">
        <f>REPLACE(Transactions!M3108,1,4,"")</f>
        <v>14</v>
      </c>
    </row>
    <row r="3109" spans="1:13" x14ac:dyDescent="0.2">
      <c r="A3109">
        <v>615057</v>
      </c>
      <c r="B3109" s="5">
        <v>45016</v>
      </c>
      <c r="C3109">
        <v>43741</v>
      </c>
      <c r="D3109" t="str">
        <f>PROPER(Transactions!D3109)</f>
        <v>Furniture</v>
      </c>
      <c r="E3109" t="s">
        <v>51</v>
      </c>
      <c r="F3109" t="s">
        <v>52</v>
      </c>
      <c r="G3109">
        <v>1</v>
      </c>
      <c r="H3109">
        <v>22.39</v>
      </c>
      <c r="I3109" s="7">
        <f>IF(Transactions!I3109="",0,Transactions!I3109)</f>
        <v>0.2</v>
      </c>
      <c r="J3109" s="9">
        <f t="shared" si="48"/>
        <v>17.912000000000003</v>
      </c>
      <c r="K3109" t="s">
        <v>16</v>
      </c>
      <c r="L3109" t="s">
        <v>17</v>
      </c>
      <c r="M3109" t="str">
        <f>REPLACE(Transactions!M3109,1,4,"")</f>
        <v>7</v>
      </c>
    </row>
    <row r="3110" spans="1:13" x14ac:dyDescent="0.2">
      <c r="A3110">
        <v>615138</v>
      </c>
      <c r="B3110" s="5">
        <v>45454</v>
      </c>
      <c r="C3110">
        <v>96169</v>
      </c>
      <c r="D3110" t="str">
        <f>PROPER(Transactions!D3110)</f>
        <v>Toys</v>
      </c>
      <c r="E3110" t="s">
        <v>175</v>
      </c>
      <c r="F3110" t="s">
        <v>176</v>
      </c>
      <c r="G3110">
        <v>1</v>
      </c>
      <c r="H3110">
        <v>11.99</v>
      </c>
      <c r="I3110" s="7">
        <f>IF(Transactions!I3110="",0,Transactions!I3110)</f>
        <v>0</v>
      </c>
      <c r="J3110" s="9">
        <f t="shared" si="48"/>
        <v>11.99</v>
      </c>
      <c r="K3110" t="s">
        <v>53</v>
      </c>
      <c r="L3110" t="s">
        <v>17</v>
      </c>
      <c r="M3110" t="str">
        <f>REPLACE(Transactions!M3110,1,4,"")</f>
        <v>4</v>
      </c>
    </row>
    <row r="3111" spans="1:13" x14ac:dyDescent="0.2">
      <c r="A3111">
        <v>615375</v>
      </c>
      <c r="B3111" s="5">
        <v>45624</v>
      </c>
      <c r="C3111">
        <v>25540</v>
      </c>
      <c r="D3111" t="str">
        <f>PROPER(Transactions!D3111)</f>
        <v>Toys</v>
      </c>
      <c r="E3111" t="s">
        <v>170</v>
      </c>
      <c r="F3111" t="s">
        <v>171</v>
      </c>
      <c r="G3111">
        <v>1</v>
      </c>
      <c r="H3111">
        <v>11.24</v>
      </c>
      <c r="I3111" s="7">
        <f>IF(Transactions!I3111="",0,Transactions!I3111)</f>
        <v>0.25</v>
      </c>
      <c r="J3111" s="9">
        <f t="shared" si="48"/>
        <v>8.43</v>
      </c>
      <c r="K3111" t="s">
        <v>22</v>
      </c>
      <c r="L3111" t="s">
        <v>17</v>
      </c>
      <c r="M3111" t="str">
        <f>REPLACE(Transactions!M3111,1,4,"")</f>
        <v>4</v>
      </c>
    </row>
    <row r="3112" spans="1:13" x14ac:dyDescent="0.2">
      <c r="A3112">
        <v>615455</v>
      </c>
      <c r="B3112" s="5">
        <v>44713</v>
      </c>
      <c r="C3112">
        <v>68284</v>
      </c>
      <c r="D3112" t="str">
        <f>PROPER(Transactions!D3112)</f>
        <v>Sports</v>
      </c>
      <c r="E3112" t="s">
        <v>155</v>
      </c>
      <c r="F3112" t="s">
        <v>156</v>
      </c>
      <c r="G3112">
        <v>5</v>
      </c>
      <c r="H3112">
        <v>14.99</v>
      </c>
      <c r="I3112" s="7">
        <f>IF(Transactions!I3112="",0,Transactions!I3112)</f>
        <v>0.25</v>
      </c>
      <c r="J3112" s="9">
        <f t="shared" si="48"/>
        <v>56.212500000000006</v>
      </c>
      <c r="K3112" t="s">
        <v>16</v>
      </c>
      <c r="L3112" t="s">
        <v>37</v>
      </c>
      <c r="M3112" t="str">
        <f>REPLACE(Transactions!M3112,1,4,"")</f>
        <v>15</v>
      </c>
    </row>
    <row r="3113" spans="1:13" x14ac:dyDescent="0.2">
      <c r="A3113">
        <v>615457</v>
      </c>
      <c r="B3113" s="5">
        <v>45052</v>
      </c>
      <c r="C3113">
        <v>98291</v>
      </c>
      <c r="D3113" t="str">
        <f>PROPER(Transactions!D3113)</f>
        <v>Electronics</v>
      </c>
      <c r="E3113" t="s">
        <v>127</v>
      </c>
      <c r="F3113" t="s">
        <v>128</v>
      </c>
      <c r="G3113">
        <v>2</v>
      </c>
      <c r="H3113">
        <v>18.989999999999998</v>
      </c>
      <c r="I3113" s="7">
        <f>IF(Transactions!I3113="",0,Transactions!I3113)</f>
        <v>0.05</v>
      </c>
      <c r="J3113" s="9">
        <f t="shared" si="48"/>
        <v>36.080999999999996</v>
      </c>
      <c r="K3113" t="s">
        <v>22</v>
      </c>
      <c r="L3113" t="s">
        <v>17</v>
      </c>
      <c r="M3113" t="str">
        <f>REPLACE(Transactions!M3113,1,4,"")</f>
        <v>19</v>
      </c>
    </row>
    <row r="3114" spans="1:13" x14ac:dyDescent="0.2">
      <c r="A3114">
        <v>615482</v>
      </c>
      <c r="B3114" s="5">
        <v>45360</v>
      </c>
      <c r="C3114">
        <v>30468</v>
      </c>
      <c r="D3114" t="str">
        <f>PROPER(Transactions!D3114)</f>
        <v>Home &amp; Garden</v>
      </c>
      <c r="E3114" t="s">
        <v>149</v>
      </c>
      <c r="F3114" t="s">
        <v>150</v>
      </c>
      <c r="G3114">
        <v>2</v>
      </c>
      <c r="H3114">
        <v>14.99</v>
      </c>
      <c r="I3114" s="7">
        <f>IF(Transactions!I3114="",0,Transactions!I3114)</f>
        <v>0.25</v>
      </c>
      <c r="J3114" s="9">
        <f t="shared" si="48"/>
        <v>22.484999999999999</v>
      </c>
      <c r="K3114" t="s">
        <v>53</v>
      </c>
      <c r="L3114" t="s">
        <v>17</v>
      </c>
      <c r="M3114" t="str">
        <f>REPLACE(Transactions!M3114,1,4,"")</f>
        <v>13</v>
      </c>
    </row>
    <row r="3115" spans="1:13" x14ac:dyDescent="0.2">
      <c r="A3115">
        <v>615604</v>
      </c>
      <c r="B3115" s="5">
        <v>45191</v>
      </c>
      <c r="C3115">
        <v>84467</v>
      </c>
      <c r="D3115" t="str">
        <f>PROPER(Transactions!D3115)</f>
        <v>Home &amp; Garden</v>
      </c>
      <c r="E3115" t="s">
        <v>86</v>
      </c>
      <c r="F3115" t="s">
        <v>87</v>
      </c>
      <c r="G3115">
        <v>5</v>
      </c>
      <c r="H3115">
        <v>12.34</v>
      </c>
      <c r="I3115" s="7">
        <f>IF(Transactions!I3115="",0,Transactions!I3115)</f>
        <v>0.05</v>
      </c>
      <c r="J3115" s="9">
        <f t="shared" si="48"/>
        <v>58.615000000000002</v>
      </c>
      <c r="K3115" t="s">
        <v>16</v>
      </c>
      <c r="L3115" t="s">
        <v>37</v>
      </c>
      <c r="M3115" t="str">
        <f>REPLACE(Transactions!M3115,1,4,"")</f>
        <v/>
      </c>
    </row>
    <row r="3116" spans="1:13" x14ac:dyDescent="0.2">
      <c r="A3116">
        <v>615854</v>
      </c>
      <c r="B3116" s="5">
        <v>45551</v>
      </c>
      <c r="C3116">
        <v>72079</v>
      </c>
      <c r="D3116" t="str">
        <f>PROPER(Transactions!D3116)</f>
        <v>Beauty</v>
      </c>
      <c r="E3116" t="s">
        <v>179</v>
      </c>
      <c r="F3116" t="s">
        <v>180</v>
      </c>
      <c r="G3116">
        <v>2</v>
      </c>
      <c r="H3116">
        <v>8.39</v>
      </c>
      <c r="I3116" s="7">
        <f>IF(Transactions!I3116="",0,Transactions!I3116)</f>
        <v>0.3</v>
      </c>
      <c r="J3116" s="9">
        <f t="shared" si="48"/>
        <v>11.746</v>
      </c>
      <c r="K3116" t="s">
        <v>22</v>
      </c>
      <c r="L3116" t="s">
        <v>17</v>
      </c>
      <c r="M3116" t="str">
        <f>REPLACE(Transactions!M3116,1,4,"")</f>
        <v>16</v>
      </c>
    </row>
    <row r="3117" spans="1:13" x14ac:dyDescent="0.2">
      <c r="A3117">
        <v>615917</v>
      </c>
      <c r="B3117" s="5">
        <v>45499</v>
      </c>
      <c r="C3117">
        <v>26296</v>
      </c>
      <c r="D3117" t="str">
        <f>PROPER(Transactions!D3117)</f>
        <v>Sports</v>
      </c>
      <c r="E3117" t="s">
        <v>168</v>
      </c>
      <c r="F3117" t="s">
        <v>169</v>
      </c>
      <c r="G3117">
        <v>1</v>
      </c>
      <c r="H3117">
        <v>8.5399999999999991</v>
      </c>
      <c r="I3117" s="7">
        <f>IF(Transactions!I3117="",0,Transactions!I3117)</f>
        <v>0.05</v>
      </c>
      <c r="J3117" s="9">
        <f t="shared" si="48"/>
        <v>8.1129999999999995</v>
      </c>
      <c r="K3117" t="s">
        <v>95</v>
      </c>
      <c r="L3117" t="s">
        <v>37</v>
      </c>
      <c r="M3117" t="str">
        <f>REPLACE(Transactions!M3117,1,4,"")</f>
        <v>1</v>
      </c>
    </row>
    <row r="3118" spans="1:13" x14ac:dyDescent="0.2">
      <c r="A3118">
        <v>616022</v>
      </c>
      <c r="B3118" s="5">
        <v>45654</v>
      </c>
      <c r="C3118">
        <v>90657</v>
      </c>
      <c r="D3118" t="str">
        <f>PROPER(Transactions!D3118)</f>
        <v>Pharmacy</v>
      </c>
      <c r="E3118" t="s">
        <v>197</v>
      </c>
      <c r="F3118" t="s">
        <v>198</v>
      </c>
      <c r="G3118">
        <v>5</v>
      </c>
      <c r="H3118">
        <v>14.99</v>
      </c>
      <c r="I3118" s="7">
        <f>IF(Transactions!I3118="",0,Transactions!I3118)</f>
        <v>0</v>
      </c>
      <c r="J3118" s="9">
        <f t="shared" si="48"/>
        <v>74.95</v>
      </c>
      <c r="K3118" t="s">
        <v>32</v>
      </c>
      <c r="L3118" t="s">
        <v>23</v>
      </c>
      <c r="M3118" t="str">
        <f>REPLACE(Transactions!M3118,1,4,"")</f>
        <v>3</v>
      </c>
    </row>
    <row r="3119" spans="1:13" x14ac:dyDescent="0.2">
      <c r="A3119">
        <v>616064</v>
      </c>
      <c r="B3119" s="5">
        <v>44839</v>
      </c>
      <c r="C3119">
        <v>78845</v>
      </c>
      <c r="D3119" t="str">
        <f>PROPER(Transactions!D3119)</f>
        <v>Home &amp; Garden</v>
      </c>
      <c r="E3119" t="s">
        <v>145</v>
      </c>
      <c r="F3119" t="s">
        <v>146</v>
      </c>
      <c r="G3119">
        <v>3</v>
      </c>
      <c r="H3119">
        <v>16.989999999999998</v>
      </c>
      <c r="I3119" s="7">
        <f>IF(Transactions!I3119="",0,Transactions!I3119)</f>
        <v>0</v>
      </c>
      <c r="J3119" s="9">
        <f t="shared" si="48"/>
        <v>50.97</v>
      </c>
      <c r="K3119" t="s">
        <v>36</v>
      </c>
      <c r="L3119" t="s">
        <v>23</v>
      </c>
      <c r="M3119" t="str">
        <f>REPLACE(Transactions!M3119,1,4,"")</f>
        <v>7</v>
      </c>
    </row>
    <row r="3120" spans="1:13" x14ac:dyDescent="0.2">
      <c r="A3120">
        <v>616372</v>
      </c>
      <c r="B3120" s="5">
        <v>44941</v>
      </c>
      <c r="C3120">
        <v>40209</v>
      </c>
      <c r="D3120" t="str">
        <f>PROPER(Transactions!D3120)</f>
        <v>Furniture</v>
      </c>
      <c r="E3120" t="s">
        <v>60</v>
      </c>
      <c r="F3120" t="s">
        <v>61</v>
      </c>
      <c r="G3120">
        <v>3</v>
      </c>
      <c r="H3120">
        <v>54.99</v>
      </c>
      <c r="I3120" s="7">
        <f>IF(Transactions!I3120="",0,Transactions!I3120)</f>
        <v>0</v>
      </c>
      <c r="J3120" s="9">
        <f t="shared" si="48"/>
        <v>164.97</v>
      </c>
      <c r="K3120" t="s">
        <v>36</v>
      </c>
      <c r="L3120" t="s">
        <v>17</v>
      </c>
      <c r="M3120" t="str">
        <f>REPLACE(Transactions!M3120,1,4,"")</f>
        <v>5</v>
      </c>
    </row>
    <row r="3121" spans="1:13" x14ac:dyDescent="0.2">
      <c r="A3121">
        <v>616645</v>
      </c>
      <c r="B3121" s="5">
        <v>44635</v>
      </c>
      <c r="C3121">
        <v>35028</v>
      </c>
      <c r="D3121" t="str">
        <f>PROPER(Transactions!D3121)</f>
        <v>Grocery</v>
      </c>
      <c r="E3121" t="s">
        <v>107</v>
      </c>
      <c r="F3121" t="s">
        <v>108</v>
      </c>
      <c r="G3121">
        <v>2</v>
      </c>
      <c r="H3121">
        <v>2.44</v>
      </c>
      <c r="I3121" s="7">
        <f>IF(Transactions!I3121="",0,Transactions!I3121)</f>
        <v>0.3</v>
      </c>
      <c r="J3121" s="9">
        <f t="shared" si="48"/>
        <v>3.4159999999999999</v>
      </c>
      <c r="K3121" t="s">
        <v>16</v>
      </c>
      <c r="L3121" t="s">
        <v>17</v>
      </c>
      <c r="M3121" t="str">
        <f>REPLACE(Transactions!M3121,1,4,"")</f>
        <v>16</v>
      </c>
    </row>
    <row r="3122" spans="1:13" x14ac:dyDescent="0.2">
      <c r="A3122">
        <v>616783</v>
      </c>
      <c r="B3122" s="5">
        <v>44670</v>
      </c>
      <c r="C3122">
        <v>99593</v>
      </c>
      <c r="D3122" t="str">
        <f>PROPER(Transactions!D3122)</f>
        <v>Home &amp; Garden</v>
      </c>
      <c r="E3122" t="s">
        <v>145</v>
      </c>
      <c r="F3122" t="s">
        <v>146</v>
      </c>
      <c r="G3122">
        <v>2</v>
      </c>
      <c r="H3122">
        <v>16.14</v>
      </c>
      <c r="I3122" s="7">
        <f>IF(Transactions!I3122="",0,Transactions!I3122)</f>
        <v>0.05</v>
      </c>
      <c r="J3122" s="9">
        <f t="shared" si="48"/>
        <v>30.666</v>
      </c>
      <c r="K3122" t="s">
        <v>36</v>
      </c>
      <c r="L3122" t="s">
        <v>17</v>
      </c>
      <c r="M3122" t="str">
        <f>REPLACE(Transactions!M3122,1,4,"")</f>
        <v>2</v>
      </c>
    </row>
    <row r="3123" spans="1:13" x14ac:dyDescent="0.2">
      <c r="A3123">
        <v>616942</v>
      </c>
      <c r="B3123" s="5">
        <v>44936</v>
      </c>
      <c r="C3123">
        <v>44359</v>
      </c>
      <c r="D3123" t="str">
        <f>PROPER(Transactions!D3123)</f>
        <v>Automotive</v>
      </c>
      <c r="E3123" t="s">
        <v>131</v>
      </c>
      <c r="F3123" t="s">
        <v>132</v>
      </c>
      <c r="G3123">
        <v>5</v>
      </c>
      <c r="H3123">
        <v>3.49</v>
      </c>
      <c r="I3123" s="7">
        <f>IF(Transactions!I3123="",0,Transactions!I3123)</f>
        <v>0</v>
      </c>
      <c r="J3123" s="9">
        <f t="shared" si="48"/>
        <v>17.450000000000003</v>
      </c>
      <c r="K3123" t="s">
        <v>36</v>
      </c>
      <c r="L3123" t="s">
        <v>37</v>
      </c>
      <c r="M3123" t="str">
        <f>REPLACE(Transactions!M3123,1,4,"")</f>
        <v>20</v>
      </c>
    </row>
    <row r="3124" spans="1:13" x14ac:dyDescent="0.2">
      <c r="A3124">
        <v>617454</v>
      </c>
      <c r="B3124" s="5">
        <v>44578</v>
      </c>
      <c r="C3124">
        <v>70103</v>
      </c>
      <c r="D3124" t="str">
        <f>PROPER(Transactions!D3124)</f>
        <v>Sports</v>
      </c>
      <c r="E3124" t="s">
        <v>100</v>
      </c>
      <c r="F3124" t="s">
        <v>101</v>
      </c>
      <c r="G3124">
        <v>1</v>
      </c>
      <c r="H3124">
        <v>16.09</v>
      </c>
      <c r="I3124" s="7">
        <f>IF(Transactions!I3124="",0,Transactions!I3124)</f>
        <v>0.3</v>
      </c>
      <c r="J3124" s="9">
        <f t="shared" si="48"/>
        <v>11.263</v>
      </c>
      <c r="K3124" t="s">
        <v>16</v>
      </c>
      <c r="L3124" t="s">
        <v>17</v>
      </c>
      <c r="M3124" t="str">
        <f>REPLACE(Transactions!M3124,1,4,"")</f>
        <v>13</v>
      </c>
    </row>
    <row r="3125" spans="1:13" x14ac:dyDescent="0.2">
      <c r="A3125">
        <v>617494</v>
      </c>
      <c r="B3125" s="5">
        <v>45364</v>
      </c>
      <c r="D3125" t="str">
        <f>PROPER(Transactions!D3125)</f>
        <v>Sports</v>
      </c>
      <c r="E3125" t="s">
        <v>100</v>
      </c>
      <c r="F3125" t="s">
        <v>101</v>
      </c>
      <c r="G3125">
        <v>1</v>
      </c>
      <c r="H3125">
        <v>17.239999999999998</v>
      </c>
      <c r="I3125" s="7">
        <f>IF(Transactions!I3125="",0,Transactions!I3125)</f>
        <v>0.25</v>
      </c>
      <c r="J3125" s="9">
        <f t="shared" si="48"/>
        <v>12.93</v>
      </c>
      <c r="K3125" t="s">
        <v>22</v>
      </c>
      <c r="L3125" t="s">
        <v>17</v>
      </c>
      <c r="M3125" t="str">
        <f>REPLACE(Transactions!M3125,1,4,"")</f>
        <v>8</v>
      </c>
    </row>
    <row r="3126" spans="1:13" x14ac:dyDescent="0.2">
      <c r="A3126">
        <v>617550</v>
      </c>
      <c r="B3126" s="5">
        <v>44638</v>
      </c>
      <c r="C3126">
        <v>69802</v>
      </c>
      <c r="D3126" t="str">
        <f>PROPER(Transactions!D3126)</f>
        <v>Clothing</v>
      </c>
      <c r="E3126" t="s">
        <v>151</v>
      </c>
      <c r="F3126" t="s">
        <v>152</v>
      </c>
      <c r="G3126">
        <v>1</v>
      </c>
      <c r="H3126">
        <v>33.24</v>
      </c>
      <c r="I3126" s="7">
        <f>IF(Transactions!I3126="",0,Transactions!I3126)</f>
        <v>0.05</v>
      </c>
      <c r="J3126" s="9">
        <f t="shared" si="48"/>
        <v>31.577999999999999</v>
      </c>
      <c r="K3126" t="s">
        <v>16</v>
      </c>
      <c r="L3126" t="s">
        <v>37</v>
      </c>
      <c r="M3126" t="str">
        <f>REPLACE(Transactions!M3126,1,4,"")</f>
        <v>2</v>
      </c>
    </row>
    <row r="3127" spans="1:13" x14ac:dyDescent="0.2">
      <c r="A3127">
        <v>617666</v>
      </c>
      <c r="B3127" s="5">
        <v>45095</v>
      </c>
      <c r="C3127">
        <v>55422</v>
      </c>
      <c r="D3127" t="str">
        <f>PROPER(Transactions!D3127)</f>
        <v>Toys</v>
      </c>
      <c r="E3127" t="s">
        <v>72</v>
      </c>
      <c r="F3127" t="s">
        <v>73</v>
      </c>
      <c r="G3127">
        <v>3</v>
      </c>
      <c r="H3127">
        <v>39.99</v>
      </c>
      <c r="I3127" s="7">
        <f>IF(Transactions!I3127="",0,Transactions!I3127)</f>
        <v>0</v>
      </c>
      <c r="J3127" s="9">
        <f t="shared" si="48"/>
        <v>119.97</v>
      </c>
      <c r="K3127" t="s">
        <v>36</v>
      </c>
      <c r="L3127" t="s">
        <v>17</v>
      </c>
      <c r="M3127" t="str">
        <f>REPLACE(Transactions!M3127,1,4,"")</f>
        <v>17</v>
      </c>
    </row>
    <row r="3128" spans="1:13" x14ac:dyDescent="0.2">
      <c r="A3128">
        <v>617733</v>
      </c>
      <c r="B3128" s="5">
        <v>45570</v>
      </c>
      <c r="C3128">
        <v>20053</v>
      </c>
      <c r="D3128" t="str">
        <f>PROPER(Transactions!D3128)</f>
        <v>Furniture</v>
      </c>
      <c r="E3128" t="s">
        <v>70</v>
      </c>
      <c r="F3128" t="s">
        <v>71</v>
      </c>
      <c r="G3128">
        <v>4</v>
      </c>
      <c r="H3128">
        <v>62.99</v>
      </c>
      <c r="I3128" s="7">
        <f>IF(Transactions!I3128="",0,Transactions!I3128)</f>
        <v>0.3</v>
      </c>
      <c r="J3128" s="9">
        <f t="shared" si="48"/>
        <v>176.37199999999999</v>
      </c>
      <c r="K3128" t="s">
        <v>16</v>
      </c>
      <c r="L3128" t="s">
        <v>17</v>
      </c>
      <c r="M3128" t="str">
        <f>REPLACE(Transactions!M3128,1,4,"")</f>
        <v>11</v>
      </c>
    </row>
    <row r="3129" spans="1:13" x14ac:dyDescent="0.2">
      <c r="A3129">
        <v>617736</v>
      </c>
      <c r="B3129" s="5">
        <v>45585</v>
      </c>
      <c r="C3129">
        <v>25062</v>
      </c>
      <c r="D3129" t="str">
        <f>PROPER(Transactions!D3129)</f>
        <v>Home &amp; Garden</v>
      </c>
      <c r="E3129" t="s">
        <v>149</v>
      </c>
      <c r="F3129" t="s">
        <v>150</v>
      </c>
      <c r="G3129">
        <v>2</v>
      </c>
      <c r="H3129">
        <v>19.989999999999998</v>
      </c>
      <c r="I3129" s="7">
        <f>IF(Transactions!I3129="",0,Transactions!I3129)</f>
        <v>0</v>
      </c>
      <c r="J3129" s="9">
        <f t="shared" si="48"/>
        <v>39.979999999999997</v>
      </c>
      <c r="K3129" t="s">
        <v>22</v>
      </c>
      <c r="L3129" t="s">
        <v>37</v>
      </c>
      <c r="M3129" t="str">
        <f>REPLACE(Transactions!M3129,1,4,"")</f>
        <v>20</v>
      </c>
    </row>
    <row r="3130" spans="1:13" x14ac:dyDescent="0.2">
      <c r="A3130">
        <v>617810</v>
      </c>
      <c r="B3130" s="5">
        <v>45554</v>
      </c>
      <c r="C3130">
        <v>20938</v>
      </c>
      <c r="D3130" t="str">
        <f>PROPER(Transactions!D3130)</f>
        <v>Grocery</v>
      </c>
      <c r="E3130" t="s">
        <v>177</v>
      </c>
      <c r="F3130" t="s">
        <v>178</v>
      </c>
      <c r="G3130">
        <v>1</v>
      </c>
      <c r="H3130">
        <v>11.39</v>
      </c>
      <c r="I3130" s="7">
        <f>IF(Transactions!I3130="",0,Transactions!I3130)</f>
        <v>0.05</v>
      </c>
      <c r="J3130" s="9">
        <f t="shared" si="48"/>
        <v>10.820500000000001</v>
      </c>
      <c r="K3130" t="s">
        <v>53</v>
      </c>
      <c r="L3130" t="s">
        <v>37</v>
      </c>
      <c r="M3130" t="str">
        <f>REPLACE(Transactions!M3130,1,4,"")</f>
        <v>8</v>
      </c>
    </row>
    <row r="3131" spans="1:13" x14ac:dyDescent="0.2">
      <c r="A3131">
        <v>617862</v>
      </c>
      <c r="B3131" s="5">
        <v>45111</v>
      </c>
      <c r="C3131">
        <v>43099</v>
      </c>
      <c r="D3131" t="str">
        <f>PROPER(Transactions!D3131)</f>
        <v>Automotive</v>
      </c>
      <c r="E3131" t="s">
        <v>68</v>
      </c>
      <c r="F3131" t="s">
        <v>69</v>
      </c>
      <c r="G3131">
        <v>1</v>
      </c>
      <c r="H3131">
        <v>19.989999999999998</v>
      </c>
      <c r="I3131" s="7">
        <f>IF(Transactions!I3131="",0,Transactions!I3131)</f>
        <v>0.2</v>
      </c>
      <c r="J3131" s="9">
        <f t="shared" si="48"/>
        <v>15.991999999999999</v>
      </c>
      <c r="K3131" t="s">
        <v>53</v>
      </c>
      <c r="L3131" t="s">
        <v>37</v>
      </c>
      <c r="M3131" t="str">
        <f>REPLACE(Transactions!M3131,1,4,"")</f>
        <v>11</v>
      </c>
    </row>
    <row r="3132" spans="1:13" x14ac:dyDescent="0.2">
      <c r="A3132">
        <v>618322</v>
      </c>
      <c r="B3132" s="5">
        <v>45551</v>
      </c>
      <c r="C3132">
        <v>12539</v>
      </c>
      <c r="D3132" t="str">
        <f>PROPER(Transactions!D3132)</f>
        <v>Toys</v>
      </c>
      <c r="E3132" t="s">
        <v>72</v>
      </c>
      <c r="F3132" t="s">
        <v>73</v>
      </c>
      <c r="G3132">
        <v>4</v>
      </c>
      <c r="H3132">
        <v>39.99</v>
      </c>
      <c r="I3132" s="7">
        <f>IF(Transactions!I3132="",0,Transactions!I3132)</f>
        <v>0</v>
      </c>
      <c r="J3132" s="9">
        <f t="shared" si="48"/>
        <v>159.96</v>
      </c>
      <c r="K3132" t="s">
        <v>36</v>
      </c>
      <c r="L3132" t="s">
        <v>37</v>
      </c>
      <c r="M3132" t="str">
        <f>REPLACE(Transactions!M3132,1,4,"")</f>
        <v>11</v>
      </c>
    </row>
    <row r="3133" spans="1:13" x14ac:dyDescent="0.2">
      <c r="A3133">
        <v>618435</v>
      </c>
      <c r="B3133" s="5">
        <v>45010</v>
      </c>
      <c r="C3133">
        <v>78780</v>
      </c>
      <c r="D3133" t="str">
        <f>PROPER(Transactions!D3133)</f>
        <v>Beauty</v>
      </c>
      <c r="E3133" t="s">
        <v>118</v>
      </c>
      <c r="F3133" t="s">
        <v>119</v>
      </c>
      <c r="G3133">
        <v>1</v>
      </c>
      <c r="H3133">
        <v>4.99</v>
      </c>
      <c r="I3133" s="7">
        <f>IF(Transactions!I3133="",0,Transactions!I3133)</f>
        <v>0</v>
      </c>
      <c r="J3133" s="9">
        <f t="shared" si="48"/>
        <v>4.99</v>
      </c>
      <c r="K3133" t="s">
        <v>36</v>
      </c>
      <c r="L3133" t="s">
        <v>17</v>
      </c>
      <c r="M3133" t="str">
        <f>REPLACE(Transactions!M3133,1,4,"")</f>
        <v>7</v>
      </c>
    </row>
    <row r="3134" spans="1:13" x14ac:dyDescent="0.2">
      <c r="A3134">
        <v>618643</v>
      </c>
      <c r="B3134" s="5">
        <v>45599</v>
      </c>
      <c r="C3134">
        <v>68394</v>
      </c>
      <c r="D3134" t="str">
        <f>PROPER(Transactions!D3134)</f>
        <v>Grocery</v>
      </c>
      <c r="E3134" t="s">
        <v>93</v>
      </c>
      <c r="F3134" t="s">
        <v>94</v>
      </c>
      <c r="G3134">
        <v>2</v>
      </c>
      <c r="H3134">
        <v>1.1599999999999999</v>
      </c>
      <c r="I3134" s="7">
        <f>IF(Transactions!I3134="",0,Transactions!I3134)</f>
        <v>0.1</v>
      </c>
      <c r="J3134" s="9">
        <f t="shared" si="48"/>
        <v>2.0880000000000001</v>
      </c>
      <c r="K3134" t="s">
        <v>22</v>
      </c>
      <c r="L3134" t="s">
        <v>17</v>
      </c>
      <c r="M3134" t="str">
        <f>REPLACE(Transactions!M3134,1,4,"")</f>
        <v>9</v>
      </c>
    </row>
    <row r="3135" spans="1:13" x14ac:dyDescent="0.2">
      <c r="A3135">
        <v>618810</v>
      </c>
      <c r="B3135" s="5">
        <v>44784</v>
      </c>
      <c r="C3135">
        <v>88075</v>
      </c>
      <c r="D3135" t="str">
        <f>PROPER(Transactions!D3135)</f>
        <v>Beauty</v>
      </c>
      <c r="E3135" t="s">
        <v>179</v>
      </c>
      <c r="F3135" t="s">
        <v>180</v>
      </c>
      <c r="G3135">
        <v>1</v>
      </c>
      <c r="H3135">
        <v>11.39</v>
      </c>
      <c r="I3135" s="7">
        <f>IF(Transactions!I3135="",0,Transactions!I3135)</f>
        <v>0.05</v>
      </c>
      <c r="J3135" s="9">
        <f t="shared" si="48"/>
        <v>10.820500000000001</v>
      </c>
      <c r="K3135" t="s">
        <v>22</v>
      </c>
      <c r="L3135" t="s">
        <v>37</v>
      </c>
      <c r="M3135" t="str">
        <f>REPLACE(Transactions!M3135,1,4,"")</f>
        <v>15</v>
      </c>
    </row>
    <row r="3136" spans="1:13" x14ac:dyDescent="0.2">
      <c r="A3136">
        <v>618880</v>
      </c>
      <c r="B3136" s="5">
        <v>44914</v>
      </c>
      <c r="C3136">
        <v>84747</v>
      </c>
      <c r="D3136" t="str">
        <f>PROPER(Transactions!D3136)</f>
        <v>Grocery</v>
      </c>
      <c r="E3136" t="s">
        <v>184</v>
      </c>
      <c r="F3136" t="s">
        <v>185</v>
      </c>
      <c r="G3136">
        <v>2</v>
      </c>
      <c r="H3136">
        <v>4.12</v>
      </c>
      <c r="I3136" s="7">
        <f>IF(Transactions!I3136="",0,Transactions!I3136)</f>
        <v>0.25</v>
      </c>
      <c r="J3136" s="9">
        <f t="shared" si="48"/>
        <v>6.18</v>
      </c>
      <c r="K3136" t="s">
        <v>16</v>
      </c>
      <c r="L3136" t="s">
        <v>17</v>
      </c>
      <c r="M3136" t="str">
        <f>REPLACE(Transactions!M3136,1,4,"")</f>
        <v>17</v>
      </c>
    </row>
    <row r="3137" spans="1:13" x14ac:dyDescent="0.2">
      <c r="A3137">
        <v>618924</v>
      </c>
      <c r="B3137" s="5">
        <v>44919</v>
      </c>
      <c r="C3137">
        <v>19359</v>
      </c>
      <c r="D3137" t="str">
        <f>PROPER(Transactions!D3137)</f>
        <v>Sports</v>
      </c>
      <c r="E3137" t="s">
        <v>168</v>
      </c>
      <c r="F3137" t="s">
        <v>169</v>
      </c>
      <c r="G3137">
        <v>1</v>
      </c>
      <c r="H3137">
        <v>8.99</v>
      </c>
      <c r="I3137" s="7">
        <f>IF(Transactions!I3137="",0,Transactions!I3137)</f>
        <v>0</v>
      </c>
      <c r="J3137" s="9">
        <f t="shared" si="48"/>
        <v>8.99</v>
      </c>
      <c r="K3137" t="s">
        <v>16</v>
      </c>
      <c r="L3137" t="s">
        <v>17</v>
      </c>
      <c r="M3137" t="str">
        <f>REPLACE(Transactions!M3137,1,4,"")</f>
        <v>17</v>
      </c>
    </row>
    <row r="3138" spans="1:13" x14ac:dyDescent="0.2">
      <c r="A3138">
        <v>618933</v>
      </c>
      <c r="B3138" s="5">
        <v>45091</v>
      </c>
      <c r="C3138">
        <v>65266</v>
      </c>
      <c r="D3138" t="str">
        <f>PROPER(Transactions!D3138)</f>
        <v>Clothing</v>
      </c>
      <c r="E3138" t="s">
        <v>181</v>
      </c>
      <c r="F3138" t="s">
        <v>182</v>
      </c>
      <c r="G3138">
        <v>3</v>
      </c>
      <c r="H3138">
        <v>12.74</v>
      </c>
      <c r="I3138" s="7">
        <f>IF(Transactions!I3138="",0,Transactions!I3138)</f>
        <v>0.15</v>
      </c>
      <c r="J3138" s="9">
        <f t="shared" si="48"/>
        <v>32.486999999999995</v>
      </c>
      <c r="K3138" t="s">
        <v>36</v>
      </c>
      <c r="L3138" t="s">
        <v>17</v>
      </c>
      <c r="M3138" t="str">
        <f>REPLACE(Transactions!M3138,1,4,"")</f>
        <v>4</v>
      </c>
    </row>
    <row r="3139" spans="1:13" x14ac:dyDescent="0.2">
      <c r="A3139">
        <v>619142</v>
      </c>
      <c r="B3139" s="5">
        <v>44841</v>
      </c>
      <c r="C3139">
        <v>35251</v>
      </c>
      <c r="D3139" t="str">
        <f>PROPER(Transactions!D3139)</f>
        <v>Automotive</v>
      </c>
      <c r="E3139" t="s">
        <v>111</v>
      </c>
      <c r="F3139" t="s">
        <v>112</v>
      </c>
      <c r="G3139">
        <v>4</v>
      </c>
      <c r="H3139">
        <v>11.24</v>
      </c>
      <c r="I3139" s="7">
        <f>IF(Transactions!I3139="",0,Transactions!I3139)</f>
        <v>0.25</v>
      </c>
      <c r="J3139" s="9">
        <f t="shared" ref="J3139:J3202" si="49">(H3139*G3139)*(1-I3139)</f>
        <v>33.72</v>
      </c>
      <c r="K3139" t="s">
        <v>36</v>
      </c>
      <c r="L3139" t="s">
        <v>17</v>
      </c>
      <c r="M3139" t="str">
        <f>REPLACE(Transactions!M3139,1,4,"")</f>
        <v>8</v>
      </c>
    </row>
    <row r="3140" spans="1:13" x14ac:dyDescent="0.2">
      <c r="A3140">
        <v>619452</v>
      </c>
      <c r="B3140" s="5">
        <v>45582</v>
      </c>
      <c r="C3140">
        <v>61280</v>
      </c>
      <c r="D3140" t="str">
        <f>PROPER(Transactions!D3140)</f>
        <v>Home &amp; Garden</v>
      </c>
      <c r="E3140" t="s">
        <v>153</v>
      </c>
      <c r="F3140" t="s">
        <v>154</v>
      </c>
      <c r="G3140">
        <v>1</v>
      </c>
      <c r="H3140">
        <v>23.99</v>
      </c>
      <c r="I3140" s="7">
        <f>IF(Transactions!I3140="",0,Transactions!I3140)</f>
        <v>0.2</v>
      </c>
      <c r="J3140" s="9">
        <f t="shared" si="49"/>
        <v>19.192</v>
      </c>
      <c r="K3140" t="s">
        <v>36</v>
      </c>
      <c r="L3140" t="s">
        <v>17</v>
      </c>
      <c r="M3140" t="str">
        <f>REPLACE(Transactions!M3140,1,4,"")</f>
        <v>1</v>
      </c>
    </row>
    <row r="3141" spans="1:13" x14ac:dyDescent="0.2">
      <c r="A3141">
        <v>619571</v>
      </c>
      <c r="B3141" s="5">
        <v>44757</v>
      </c>
      <c r="C3141">
        <v>88788</v>
      </c>
      <c r="D3141" t="str">
        <f>PROPER(Transactions!D3141)</f>
        <v>Home &amp; Garden</v>
      </c>
      <c r="E3141" t="s">
        <v>157</v>
      </c>
      <c r="F3141" t="s">
        <v>158</v>
      </c>
      <c r="G3141">
        <v>4</v>
      </c>
      <c r="H3141">
        <v>10.79</v>
      </c>
      <c r="I3141" s="7">
        <f>IF(Transactions!I3141="",0,Transactions!I3141)</f>
        <v>0.2</v>
      </c>
      <c r="J3141" s="9">
        <f t="shared" si="49"/>
        <v>34.527999999999999</v>
      </c>
      <c r="K3141" t="s">
        <v>32</v>
      </c>
      <c r="L3141" t="s">
        <v>17</v>
      </c>
      <c r="M3141" t="str">
        <f>REPLACE(Transactions!M3141,1,4,"")</f>
        <v>14</v>
      </c>
    </row>
    <row r="3142" spans="1:13" x14ac:dyDescent="0.2">
      <c r="A3142">
        <v>619706</v>
      </c>
      <c r="B3142" s="5">
        <v>45249</v>
      </c>
      <c r="C3142">
        <v>39736</v>
      </c>
      <c r="D3142" t="str">
        <f>PROPER(Transactions!D3142)</f>
        <v>Toys</v>
      </c>
      <c r="E3142" t="s">
        <v>72</v>
      </c>
      <c r="F3142" t="s">
        <v>73</v>
      </c>
      <c r="G3142">
        <v>1</v>
      </c>
      <c r="H3142">
        <v>35.99</v>
      </c>
      <c r="I3142" s="7">
        <f>IF(Transactions!I3142="",0,Transactions!I3142)</f>
        <v>0.1</v>
      </c>
      <c r="J3142" s="9">
        <f t="shared" si="49"/>
        <v>32.391000000000005</v>
      </c>
      <c r="K3142" t="s">
        <v>36</v>
      </c>
      <c r="L3142" t="s">
        <v>23</v>
      </c>
      <c r="M3142" t="str">
        <f>REPLACE(Transactions!M3142,1,4,"")</f>
        <v>20</v>
      </c>
    </row>
    <row r="3143" spans="1:13" x14ac:dyDescent="0.2">
      <c r="A3143">
        <v>619824</v>
      </c>
      <c r="B3143" s="5">
        <v>45370</v>
      </c>
      <c r="C3143">
        <v>62776</v>
      </c>
      <c r="D3143" t="str">
        <f>PROPER(Transactions!D3143)</f>
        <v>Toys</v>
      </c>
      <c r="E3143" t="s">
        <v>175</v>
      </c>
      <c r="F3143" t="s">
        <v>176</v>
      </c>
      <c r="G3143">
        <v>2</v>
      </c>
      <c r="H3143">
        <v>11.99</v>
      </c>
      <c r="I3143" s="7">
        <f>IF(Transactions!I3143="",0,Transactions!I3143)</f>
        <v>0</v>
      </c>
      <c r="J3143" s="9">
        <f t="shared" si="49"/>
        <v>23.98</v>
      </c>
      <c r="K3143" t="s">
        <v>16</v>
      </c>
      <c r="L3143" t="s">
        <v>17</v>
      </c>
      <c r="M3143" t="str">
        <f>REPLACE(Transactions!M3143,1,4,"")</f>
        <v>2</v>
      </c>
    </row>
    <row r="3144" spans="1:13" x14ac:dyDescent="0.2">
      <c r="A3144">
        <v>620063</v>
      </c>
      <c r="B3144" s="5">
        <v>45528</v>
      </c>
      <c r="C3144">
        <v>90115</v>
      </c>
      <c r="D3144" t="str">
        <f>PROPER(Transactions!D3144)</f>
        <v>Toys</v>
      </c>
      <c r="E3144" t="s">
        <v>175</v>
      </c>
      <c r="F3144" t="s">
        <v>176</v>
      </c>
      <c r="G3144">
        <v>4</v>
      </c>
      <c r="H3144">
        <v>9.59</v>
      </c>
      <c r="I3144" s="7">
        <f>IF(Transactions!I3144="",0,Transactions!I3144)</f>
        <v>0.2</v>
      </c>
      <c r="J3144" s="9">
        <f t="shared" si="49"/>
        <v>30.688000000000002</v>
      </c>
      <c r="K3144" t="s">
        <v>16</v>
      </c>
      <c r="L3144" t="s">
        <v>17</v>
      </c>
      <c r="M3144" t="str">
        <f>REPLACE(Transactions!M3144,1,4,"")</f>
        <v>9</v>
      </c>
    </row>
    <row r="3145" spans="1:13" x14ac:dyDescent="0.2">
      <c r="A3145">
        <v>620155</v>
      </c>
      <c r="B3145" s="5">
        <v>45171</v>
      </c>
      <c r="C3145">
        <v>72028</v>
      </c>
      <c r="D3145" t="str">
        <f>PROPER(Transactions!D3145)</f>
        <v>Electronics</v>
      </c>
      <c r="E3145" t="s">
        <v>55</v>
      </c>
      <c r="F3145" t="s">
        <v>56</v>
      </c>
      <c r="G3145">
        <v>1</v>
      </c>
      <c r="H3145">
        <v>329.99</v>
      </c>
      <c r="I3145" s="7">
        <f>IF(Transactions!I3145="",0,Transactions!I3145)</f>
        <v>0</v>
      </c>
      <c r="J3145" s="9">
        <f t="shared" si="49"/>
        <v>329.99</v>
      </c>
      <c r="K3145" t="s">
        <v>53</v>
      </c>
      <c r="L3145" t="s">
        <v>37</v>
      </c>
      <c r="M3145" t="str">
        <f>REPLACE(Transactions!M3145,1,4,"")</f>
        <v>13</v>
      </c>
    </row>
    <row r="3146" spans="1:13" x14ac:dyDescent="0.2">
      <c r="A3146">
        <v>620690</v>
      </c>
      <c r="B3146" s="5">
        <v>45645</v>
      </c>
      <c r="D3146" t="str">
        <f>PROPER(Transactions!D3146)</f>
        <v>Beauty</v>
      </c>
      <c r="E3146" t="s">
        <v>143</v>
      </c>
      <c r="F3146" t="s">
        <v>144</v>
      </c>
      <c r="G3146">
        <v>3</v>
      </c>
      <c r="H3146">
        <v>14.24</v>
      </c>
      <c r="I3146" s="7">
        <f>IF(Transactions!I3146="",0,Transactions!I3146)</f>
        <v>0.05</v>
      </c>
      <c r="J3146" s="9">
        <f t="shared" si="49"/>
        <v>40.583999999999996</v>
      </c>
      <c r="K3146" t="s">
        <v>16</v>
      </c>
      <c r="L3146" t="s">
        <v>23</v>
      </c>
      <c r="M3146" t="str">
        <f>REPLACE(Transactions!M3146,1,4,"")</f>
        <v>9</v>
      </c>
    </row>
    <row r="3147" spans="1:13" x14ac:dyDescent="0.2">
      <c r="A3147">
        <v>621048</v>
      </c>
      <c r="B3147" s="5">
        <v>44618</v>
      </c>
      <c r="C3147">
        <v>59342</v>
      </c>
      <c r="D3147" t="str">
        <f>PROPER(Transactions!D3147)</f>
        <v>Grocery</v>
      </c>
      <c r="E3147" t="s">
        <v>91</v>
      </c>
      <c r="F3147" t="s">
        <v>92</v>
      </c>
      <c r="G3147">
        <v>1</v>
      </c>
      <c r="H3147">
        <v>5.35</v>
      </c>
      <c r="I3147" s="7">
        <f>IF(Transactions!I3147="",0,Transactions!I3147)</f>
        <v>0.15</v>
      </c>
      <c r="J3147" s="9">
        <f t="shared" si="49"/>
        <v>4.5474999999999994</v>
      </c>
      <c r="K3147" t="s">
        <v>36</v>
      </c>
      <c r="L3147" t="s">
        <v>17</v>
      </c>
      <c r="M3147" t="str">
        <f>REPLACE(Transactions!M3147,1,4,"")</f>
        <v>16</v>
      </c>
    </row>
    <row r="3148" spans="1:13" x14ac:dyDescent="0.2">
      <c r="A3148">
        <v>621215</v>
      </c>
      <c r="B3148" s="5">
        <v>44750</v>
      </c>
      <c r="D3148" t="str">
        <f>PROPER(Transactions!D3148)</f>
        <v>Electronics</v>
      </c>
      <c r="E3148" t="s">
        <v>127</v>
      </c>
      <c r="F3148" t="s">
        <v>128</v>
      </c>
      <c r="G3148">
        <v>4</v>
      </c>
      <c r="H3148">
        <v>17.989999999999998</v>
      </c>
      <c r="I3148" s="7">
        <f>IF(Transactions!I3148="",0,Transactions!I3148)</f>
        <v>0.1</v>
      </c>
      <c r="J3148" s="9">
        <f t="shared" si="49"/>
        <v>64.763999999999996</v>
      </c>
      <c r="K3148" t="s">
        <v>36</v>
      </c>
      <c r="L3148" t="s">
        <v>23</v>
      </c>
      <c r="M3148" t="str">
        <f>REPLACE(Transactions!M3148,1,4,"")</f>
        <v>4</v>
      </c>
    </row>
    <row r="3149" spans="1:13" x14ac:dyDescent="0.2">
      <c r="A3149">
        <v>621281</v>
      </c>
      <c r="B3149" s="5">
        <v>44670</v>
      </c>
      <c r="C3149">
        <v>12898</v>
      </c>
      <c r="D3149" t="str">
        <f>PROPER(Transactions!D3149)</f>
        <v>Home &amp; Garden</v>
      </c>
      <c r="E3149" t="s">
        <v>137</v>
      </c>
      <c r="F3149" t="s">
        <v>138</v>
      </c>
      <c r="G3149">
        <v>2</v>
      </c>
      <c r="H3149">
        <v>5.99</v>
      </c>
      <c r="I3149" s="7">
        <f>IF(Transactions!I3149="",0,Transactions!I3149)</f>
        <v>0.25</v>
      </c>
      <c r="J3149" s="9">
        <f t="shared" si="49"/>
        <v>8.9849999999999994</v>
      </c>
      <c r="K3149" t="s">
        <v>66</v>
      </c>
      <c r="L3149" t="s">
        <v>17</v>
      </c>
      <c r="M3149" t="str">
        <f>REPLACE(Transactions!M3149,1,4,"")</f>
        <v>13</v>
      </c>
    </row>
    <row r="3150" spans="1:13" x14ac:dyDescent="0.2">
      <c r="A3150">
        <v>621734</v>
      </c>
      <c r="B3150" s="5">
        <v>44820</v>
      </c>
      <c r="C3150">
        <v>71606</v>
      </c>
      <c r="D3150" t="str">
        <f>PROPER(Transactions!D3150)</f>
        <v>Toys</v>
      </c>
      <c r="E3150" t="s">
        <v>170</v>
      </c>
      <c r="F3150" t="s">
        <v>171</v>
      </c>
      <c r="G3150">
        <v>1</v>
      </c>
      <c r="H3150">
        <v>13.49</v>
      </c>
      <c r="I3150" s="7">
        <f>IF(Transactions!I3150="",0,Transactions!I3150)</f>
        <v>0.1</v>
      </c>
      <c r="J3150" s="9">
        <f t="shared" si="49"/>
        <v>12.141</v>
      </c>
      <c r="K3150" t="s">
        <v>36</v>
      </c>
      <c r="L3150" t="s">
        <v>17</v>
      </c>
      <c r="M3150" t="str">
        <f>REPLACE(Transactions!M3150,1,4,"")</f>
        <v>13</v>
      </c>
    </row>
    <row r="3151" spans="1:13" x14ac:dyDescent="0.2">
      <c r="A3151">
        <v>621849</v>
      </c>
      <c r="B3151" s="5">
        <v>44870</v>
      </c>
      <c r="C3151">
        <v>50819</v>
      </c>
      <c r="D3151" t="str">
        <f>PROPER(Transactions!D3151)</f>
        <v>Home &amp; Garden</v>
      </c>
      <c r="E3151" t="s">
        <v>86</v>
      </c>
      <c r="F3151" t="s">
        <v>87</v>
      </c>
      <c r="G3151">
        <v>1</v>
      </c>
      <c r="H3151">
        <v>9.74</v>
      </c>
      <c r="I3151" s="7">
        <f>IF(Transactions!I3151="",0,Transactions!I3151)</f>
        <v>0.25</v>
      </c>
      <c r="J3151" s="9">
        <f t="shared" si="49"/>
        <v>7.3049999999999997</v>
      </c>
      <c r="K3151" t="s">
        <v>16</v>
      </c>
      <c r="L3151" t="s">
        <v>17</v>
      </c>
      <c r="M3151" t="str">
        <f>REPLACE(Transactions!M3151,1,4,"")</f>
        <v>13</v>
      </c>
    </row>
    <row r="3152" spans="1:13" x14ac:dyDescent="0.2">
      <c r="A3152">
        <v>621852</v>
      </c>
      <c r="B3152" s="5">
        <v>45422</v>
      </c>
      <c r="C3152">
        <v>43152</v>
      </c>
      <c r="D3152" t="str">
        <f>PROPER(Transactions!D3152)</f>
        <v>Home &amp; Garden</v>
      </c>
      <c r="E3152" t="s">
        <v>145</v>
      </c>
      <c r="F3152" t="s">
        <v>146</v>
      </c>
      <c r="G3152">
        <v>3</v>
      </c>
      <c r="H3152">
        <v>15.29</v>
      </c>
      <c r="I3152" s="7">
        <f>IF(Transactions!I3152="",0,Transactions!I3152)</f>
        <v>0.1</v>
      </c>
      <c r="J3152" s="9">
        <f t="shared" si="49"/>
        <v>41.283000000000001</v>
      </c>
      <c r="K3152" t="s">
        <v>36</v>
      </c>
      <c r="L3152" t="s">
        <v>17</v>
      </c>
      <c r="M3152" t="str">
        <f>REPLACE(Transactions!M3152,1,4,"")</f>
        <v>7</v>
      </c>
    </row>
    <row r="3153" spans="1:13" x14ac:dyDescent="0.2">
      <c r="A3153">
        <v>622049</v>
      </c>
      <c r="B3153" s="5">
        <v>45273</v>
      </c>
      <c r="C3153">
        <v>84491</v>
      </c>
      <c r="D3153" t="str">
        <f>PROPER(Transactions!D3153)</f>
        <v>Sports</v>
      </c>
      <c r="E3153" t="s">
        <v>147</v>
      </c>
      <c r="F3153" t="s">
        <v>148</v>
      </c>
      <c r="G3153">
        <v>4</v>
      </c>
      <c r="H3153">
        <v>12.99</v>
      </c>
      <c r="I3153" s="7">
        <f>IF(Transactions!I3153="",0,Transactions!I3153)</f>
        <v>0</v>
      </c>
      <c r="J3153" s="9">
        <f t="shared" si="49"/>
        <v>51.96</v>
      </c>
      <c r="K3153" t="s">
        <v>16</v>
      </c>
      <c r="L3153" t="s">
        <v>17</v>
      </c>
      <c r="M3153" t="str">
        <f>REPLACE(Transactions!M3153,1,4,"")</f>
        <v>20</v>
      </c>
    </row>
    <row r="3154" spans="1:13" x14ac:dyDescent="0.2">
      <c r="A3154">
        <v>622210</v>
      </c>
      <c r="B3154" s="5">
        <v>44620</v>
      </c>
      <c r="C3154">
        <v>75040</v>
      </c>
      <c r="D3154" t="str">
        <f>PROPER(Transactions!D3154)</f>
        <v>Pharmacy</v>
      </c>
      <c r="E3154" t="s">
        <v>197</v>
      </c>
      <c r="F3154" t="s">
        <v>198</v>
      </c>
      <c r="G3154">
        <v>2</v>
      </c>
      <c r="H3154">
        <v>14.99</v>
      </c>
      <c r="I3154" s="7">
        <f>IF(Transactions!I3154="",0,Transactions!I3154)</f>
        <v>0</v>
      </c>
      <c r="J3154" s="9">
        <f t="shared" si="49"/>
        <v>29.98</v>
      </c>
      <c r="K3154" t="s">
        <v>95</v>
      </c>
      <c r="L3154" t="s">
        <v>37</v>
      </c>
      <c r="M3154" t="str">
        <f>REPLACE(Transactions!M3154,1,4,"")</f>
        <v>18</v>
      </c>
    </row>
    <row r="3155" spans="1:13" x14ac:dyDescent="0.2">
      <c r="A3155">
        <v>622352</v>
      </c>
      <c r="B3155" s="5">
        <v>45588</v>
      </c>
      <c r="C3155">
        <v>55792</v>
      </c>
      <c r="D3155" t="str">
        <f>PROPER(Transactions!D3155)</f>
        <v>Home &amp; Garden</v>
      </c>
      <c r="E3155" t="s">
        <v>129</v>
      </c>
      <c r="F3155" t="s">
        <v>130</v>
      </c>
      <c r="G3155">
        <v>2</v>
      </c>
      <c r="H3155">
        <v>8.99</v>
      </c>
      <c r="I3155" s="7">
        <f>IF(Transactions!I3155="",0,Transactions!I3155)</f>
        <v>0</v>
      </c>
      <c r="J3155" s="9">
        <f t="shared" si="49"/>
        <v>17.98</v>
      </c>
      <c r="K3155" t="s">
        <v>53</v>
      </c>
      <c r="L3155" t="s">
        <v>17</v>
      </c>
      <c r="M3155" t="str">
        <f>REPLACE(Transactions!M3155,1,4,"")</f>
        <v>3</v>
      </c>
    </row>
    <row r="3156" spans="1:13" x14ac:dyDescent="0.2">
      <c r="A3156">
        <v>622630</v>
      </c>
      <c r="B3156" s="5">
        <v>45243</v>
      </c>
      <c r="C3156">
        <v>50843</v>
      </c>
      <c r="D3156" t="str">
        <f>PROPER(Transactions!D3156)</f>
        <v>Beauty</v>
      </c>
      <c r="E3156" t="s">
        <v>143</v>
      </c>
      <c r="F3156" t="s">
        <v>144</v>
      </c>
      <c r="G3156">
        <v>1</v>
      </c>
      <c r="H3156">
        <v>11.99</v>
      </c>
      <c r="I3156" s="7">
        <f>IF(Transactions!I3156="",0,Transactions!I3156)</f>
        <v>0.2</v>
      </c>
      <c r="J3156" s="9">
        <f t="shared" si="49"/>
        <v>9.5920000000000005</v>
      </c>
      <c r="K3156" t="s">
        <v>32</v>
      </c>
      <c r="L3156" t="s">
        <v>17</v>
      </c>
      <c r="M3156" t="str">
        <f>REPLACE(Transactions!M3156,1,4,"")</f>
        <v>5</v>
      </c>
    </row>
    <row r="3157" spans="1:13" x14ac:dyDescent="0.2">
      <c r="A3157">
        <v>622930</v>
      </c>
      <c r="B3157" s="5">
        <v>45095</v>
      </c>
      <c r="C3157">
        <v>85253</v>
      </c>
      <c r="D3157" t="str">
        <f>PROPER(Transactions!D3157)</f>
        <v>Pharmacy</v>
      </c>
      <c r="E3157" t="s">
        <v>115</v>
      </c>
      <c r="F3157" t="s">
        <v>116</v>
      </c>
      <c r="G3157">
        <v>2</v>
      </c>
      <c r="H3157">
        <v>11.69</v>
      </c>
      <c r="I3157" s="7">
        <f>IF(Transactions!I3157="",0,Transactions!I3157)</f>
        <v>0.1</v>
      </c>
      <c r="J3157" s="9">
        <f t="shared" si="49"/>
        <v>21.041999999999998</v>
      </c>
      <c r="K3157" t="s">
        <v>36</v>
      </c>
      <c r="L3157" t="s">
        <v>23</v>
      </c>
      <c r="M3157" t="str">
        <f>REPLACE(Transactions!M3157,1,4,"")</f>
        <v>3</v>
      </c>
    </row>
    <row r="3158" spans="1:13" x14ac:dyDescent="0.2">
      <c r="A3158">
        <v>623307</v>
      </c>
      <c r="B3158" s="5">
        <v>44785</v>
      </c>
      <c r="C3158">
        <v>36246</v>
      </c>
      <c r="D3158" t="str">
        <f>PROPER(Transactions!D3158)</f>
        <v>Clothing</v>
      </c>
      <c r="E3158" t="s">
        <v>193</v>
      </c>
      <c r="F3158" t="s">
        <v>194</v>
      </c>
      <c r="G3158">
        <v>1</v>
      </c>
      <c r="H3158">
        <v>64.989999999999995</v>
      </c>
      <c r="I3158" s="7">
        <f>IF(Transactions!I3158="",0,Transactions!I3158)</f>
        <v>0</v>
      </c>
      <c r="J3158" s="9">
        <f t="shared" si="49"/>
        <v>64.989999999999995</v>
      </c>
      <c r="K3158" t="s">
        <v>16</v>
      </c>
      <c r="L3158" t="s">
        <v>37</v>
      </c>
      <c r="M3158" t="str">
        <f>REPLACE(Transactions!M3158,1,4,"")</f>
        <v>20</v>
      </c>
    </row>
    <row r="3159" spans="1:13" x14ac:dyDescent="0.2">
      <c r="A3159">
        <v>623473</v>
      </c>
      <c r="B3159" s="5">
        <v>45249</v>
      </c>
      <c r="C3159">
        <v>15191</v>
      </c>
      <c r="D3159" t="str">
        <f>PROPER(Transactions!D3159)</f>
        <v>Grocery</v>
      </c>
      <c r="E3159" t="s">
        <v>162</v>
      </c>
      <c r="F3159" t="s">
        <v>163</v>
      </c>
      <c r="G3159">
        <v>2</v>
      </c>
      <c r="H3159">
        <v>6.79</v>
      </c>
      <c r="I3159" s="7">
        <f>IF(Transactions!I3159="",0,Transactions!I3159)</f>
        <v>0.15</v>
      </c>
      <c r="J3159" s="9">
        <f t="shared" si="49"/>
        <v>11.542999999999999</v>
      </c>
      <c r="K3159" t="s">
        <v>36</v>
      </c>
      <c r="L3159" t="s">
        <v>17</v>
      </c>
      <c r="M3159" t="str">
        <f>REPLACE(Transactions!M3159,1,4,"")</f>
        <v>14</v>
      </c>
    </row>
    <row r="3160" spans="1:13" x14ac:dyDescent="0.2">
      <c r="A3160">
        <v>623516</v>
      </c>
      <c r="B3160" s="5">
        <v>45495</v>
      </c>
      <c r="C3160">
        <v>85723</v>
      </c>
      <c r="D3160" t="str">
        <f>PROPER(Transactions!D3160)</f>
        <v>Toys</v>
      </c>
      <c r="E3160" t="s">
        <v>170</v>
      </c>
      <c r="F3160" t="s">
        <v>171</v>
      </c>
      <c r="G3160">
        <v>4</v>
      </c>
      <c r="H3160">
        <v>14.99</v>
      </c>
      <c r="I3160" s="7">
        <f>IF(Transactions!I3160="",0,Transactions!I3160)</f>
        <v>0</v>
      </c>
      <c r="J3160" s="9">
        <f t="shared" si="49"/>
        <v>59.96</v>
      </c>
      <c r="K3160" t="s">
        <v>36</v>
      </c>
      <c r="L3160" t="s">
        <v>23</v>
      </c>
      <c r="M3160" t="str">
        <f>REPLACE(Transactions!M3160,1,4,"")</f>
        <v>3</v>
      </c>
    </row>
    <row r="3161" spans="1:13" x14ac:dyDescent="0.2">
      <c r="A3161">
        <v>624036</v>
      </c>
      <c r="B3161" s="5">
        <v>45164</v>
      </c>
      <c r="C3161">
        <v>34584</v>
      </c>
      <c r="D3161" t="str">
        <f>PROPER(Transactions!D3161)</f>
        <v>Electronics</v>
      </c>
      <c r="E3161" t="s">
        <v>14</v>
      </c>
      <c r="F3161" t="s">
        <v>15</v>
      </c>
      <c r="G3161">
        <v>4</v>
      </c>
      <c r="H3161">
        <v>79.989999999999995</v>
      </c>
      <c r="I3161" s="7">
        <f>IF(Transactions!I3161="",0,Transactions!I3161)</f>
        <v>0</v>
      </c>
      <c r="J3161" s="9">
        <f t="shared" si="49"/>
        <v>319.95999999999998</v>
      </c>
      <c r="K3161" t="s">
        <v>16</v>
      </c>
      <c r="L3161" t="s">
        <v>17</v>
      </c>
      <c r="M3161" t="str">
        <f>REPLACE(Transactions!M3161,1,4,"")</f>
        <v>19</v>
      </c>
    </row>
    <row r="3162" spans="1:13" x14ac:dyDescent="0.2">
      <c r="A3162">
        <v>624144</v>
      </c>
      <c r="B3162" s="5">
        <v>44836</v>
      </c>
      <c r="C3162">
        <v>43648</v>
      </c>
      <c r="D3162" t="str">
        <f>PROPER(Transactions!D3162)</f>
        <v>Home &amp; Garden</v>
      </c>
      <c r="E3162" t="s">
        <v>153</v>
      </c>
      <c r="F3162" t="s">
        <v>154</v>
      </c>
      <c r="G3162">
        <v>1</v>
      </c>
      <c r="H3162">
        <v>28.49</v>
      </c>
      <c r="I3162" s="7">
        <f>IF(Transactions!I3162="",0,Transactions!I3162)</f>
        <v>0.05</v>
      </c>
      <c r="J3162" s="9">
        <f t="shared" si="49"/>
        <v>27.065499999999997</v>
      </c>
      <c r="K3162" t="s">
        <v>36</v>
      </c>
      <c r="L3162" t="s">
        <v>17</v>
      </c>
      <c r="M3162" t="str">
        <f>REPLACE(Transactions!M3162,1,4,"")</f>
        <v>9</v>
      </c>
    </row>
    <row r="3163" spans="1:13" x14ac:dyDescent="0.2">
      <c r="A3163">
        <v>624497</v>
      </c>
      <c r="B3163" s="5">
        <v>45338</v>
      </c>
      <c r="C3163">
        <v>77000</v>
      </c>
      <c r="D3163" t="str">
        <f>PROPER(Transactions!D3163)</f>
        <v>Grocery</v>
      </c>
      <c r="E3163" t="s">
        <v>133</v>
      </c>
      <c r="F3163" t="s">
        <v>134</v>
      </c>
      <c r="G3163">
        <v>5</v>
      </c>
      <c r="H3163">
        <v>3.79</v>
      </c>
      <c r="I3163" s="7">
        <f>IF(Transactions!I3163="",0,Transactions!I3163)</f>
        <v>0</v>
      </c>
      <c r="J3163" s="9">
        <f t="shared" si="49"/>
        <v>18.95</v>
      </c>
      <c r="K3163" t="s">
        <v>16</v>
      </c>
      <c r="L3163" t="s">
        <v>17</v>
      </c>
      <c r="M3163" t="str">
        <f>REPLACE(Transactions!M3163,1,4,"")</f>
        <v>7</v>
      </c>
    </row>
    <row r="3164" spans="1:13" x14ac:dyDescent="0.2">
      <c r="A3164">
        <v>624538</v>
      </c>
      <c r="B3164" s="5">
        <v>44756</v>
      </c>
      <c r="D3164" t="str">
        <f>PROPER(Transactions!D3164)</f>
        <v>Furniture</v>
      </c>
      <c r="E3164" t="s">
        <v>113</v>
      </c>
      <c r="F3164" t="s">
        <v>114</v>
      </c>
      <c r="G3164">
        <v>3</v>
      </c>
      <c r="H3164">
        <v>119.99</v>
      </c>
      <c r="I3164" s="7">
        <f>IF(Transactions!I3164="",0,Transactions!I3164)</f>
        <v>0</v>
      </c>
      <c r="J3164" s="9">
        <f t="shared" si="49"/>
        <v>359.96999999999997</v>
      </c>
      <c r="K3164" t="s">
        <v>36</v>
      </c>
      <c r="L3164" t="s">
        <v>37</v>
      </c>
      <c r="M3164" t="str">
        <f>REPLACE(Transactions!M3164,1,4,"")</f>
        <v>15</v>
      </c>
    </row>
    <row r="3165" spans="1:13" x14ac:dyDescent="0.2">
      <c r="A3165">
        <v>624668</v>
      </c>
      <c r="B3165" s="5">
        <v>45289</v>
      </c>
      <c r="C3165">
        <v>32829</v>
      </c>
      <c r="D3165" t="str">
        <f>PROPER(Transactions!D3165)</f>
        <v>Furniture</v>
      </c>
      <c r="E3165" t="s">
        <v>60</v>
      </c>
      <c r="F3165" t="s">
        <v>61</v>
      </c>
      <c r="G3165">
        <v>1</v>
      </c>
      <c r="H3165">
        <v>52.24</v>
      </c>
      <c r="I3165" s="7">
        <f>IF(Transactions!I3165="",0,Transactions!I3165)</f>
        <v>0.05</v>
      </c>
      <c r="J3165" s="9">
        <f t="shared" si="49"/>
        <v>49.628</v>
      </c>
      <c r="K3165" t="s">
        <v>22</v>
      </c>
      <c r="L3165" t="s">
        <v>37</v>
      </c>
      <c r="M3165" t="str">
        <f>REPLACE(Transactions!M3165,1,4,"")</f>
        <v>4</v>
      </c>
    </row>
    <row r="3166" spans="1:13" x14ac:dyDescent="0.2">
      <c r="A3166">
        <v>624672</v>
      </c>
      <c r="B3166" s="5">
        <v>45384</v>
      </c>
      <c r="C3166">
        <v>10354</v>
      </c>
      <c r="D3166" t="str">
        <f>PROPER(Transactions!D3166)</f>
        <v>Home &amp; Garden</v>
      </c>
      <c r="E3166" t="s">
        <v>86</v>
      </c>
      <c r="F3166" t="s">
        <v>87</v>
      </c>
      <c r="G3166">
        <v>2</v>
      </c>
      <c r="H3166">
        <v>12.99</v>
      </c>
      <c r="I3166" s="7">
        <f>IF(Transactions!I3166="",0,Transactions!I3166)</f>
        <v>0</v>
      </c>
      <c r="J3166" s="9">
        <f t="shared" si="49"/>
        <v>25.98</v>
      </c>
      <c r="K3166" t="s">
        <v>22</v>
      </c>
      <c r="L3166" t="s">
        <v>17</v>
      </c>
      <c r="M3166" t="str">
        <f>REPLACE(Transactions!M3166,1,4,"")</f>
        <v>10</v>
      </c>
    </row>
    <row r="3167" spans="1:13" x14ac:dyDescent="0.2">
      <c r="A3167">
        <v>624740</v>
      </c>
      <c r="B3167" s="5">
        <v>45131</v>
      </c>
      <c r="C3167">
        <v>32361</v>
      </c>
      <c r="D3167" t="str">
        <f>PROPER(Transactions!D3167)</f>
        <v>Clothing</v>
      </c>
      <c r="E3167" t="s">
        <v>135</v>
      </c>
      <c r="F3167" t="s">
        <v>136</v>
      </c>
      <c r="G3167">
        <v>2</v>
      </c>
      <c r="H3167">
        <v>7.99</v>
      </c>
      <c r="I3167" s="7">
        <f>IF(Transactions!I3167="",0,Transactions!I3167)</f>
        <v>0.2</v>
      </c>
      <c r="J3167" s="9">
        <f t="shared" si="49"/>
        <v>12.784000000000001</v>
      </c>
      <c r="K3167" t="s">
        <v>32</v>
      </c>
      <c r="L3167" t="s">
        <v>17</v>
      </c>
      <c r="M3167" t="str">
        <f>REPLACE(Transactions!M3167,1,4,"")</f>
        <v>17</v>
      </c>
    </row>
    <row r="3168" spans="1:13" x14ac:dyDescent="0.2">
      <c r="A3168">
        <v>624788</v>
      </c>
      <c r="B3168" s="5">
        <v>44707</v>
      </c>
      <c r="D3168" t="str">
        <f>PROPER(Transactions!D3168)</f>
        <v>Pharmacy</v>
      </c>
      <c r="E3168" t="s">
        <v>20</v>
      </c>
      <c r="F3168" t="s">
        <v>21</v>
      </c>
      <c r="G3168">
        <v>5</v>
      </c>
      <c r="H3168">
        <v>7.49</v>
      </c>
      <c r="I3168" s="7">
        <f>IF(Transactions!I3168="",0,Transactions!I3168)</f>
        <v>0.25</v>
      </c>
      <c r="J3168" s="9">
        <f t="shared" si="49"/>
        <v>28.087500000000002</v>
      </c>
      <c r="K3168" t="s">
        <v>36</v>
      </c>
      <c r="L3168" t="s">
        <v>37</v>
      </c>
      <c r="M3168" t="str">
        <f>REPLACE(Transactions!M3168,1,4,"")</f>
        <v>6</v>
      </c>
    </row>
    <row r="3169" spans="1:13" x14ac:dyDescent="0.2">
      <c r="A3169">
        <v>624801</v>
      </c>
      <c r="B3169" s="5">
        <v>44829</v>
      </c>
      <c r="C3169">
        <v>18760</v>
      </c>
      <c r="D3169" t="str">
        <f>PROPER(Transactions!D3169)</f>
        <v>Pharmacy</v>
      </c>
      <c r="E3169" t="s">
        <v>197</v>
      </c>
      <c r="F3169" t="s">
        <v>198</v>
      </c>
      <c r="G3169">
        <v>1</v>
      </c>
      <c r="H3169">
        <v>11.24</v>
      </c>
      <c r="I3169" s="7">
        <f>IF(Transactions!I3169="",0,Transactions!I3169)</f>
        <v>0.25</v>
      </c>
      <c r="J3169" s="9">
        <f t="shared" si="49"/>
        <v>8.43</v>
      </c>
      <c r="K3169" t="s">
        <v>36</v>
      </c>
      <c r="L3169" t="s">
        <v>17</v>
      </c>
      <c r="M3169" t="str">
        <f>REPLACE(Transactions!M3169,1,4,"")</f>
        <v>17</v>
      </c>
    </row>
    <row r="3170" spans="1:13" x14ac:dyDescent="0.2">
      <c r="A3170">
        <v>624846</v>
      </c>
      <c r="B3170" s="5">
        <v>45657</v>
      </c>
      <c r="C3170">
        <v>93950</v>
      </c>
      <c r="D3170" t="str">
        <f>PROPER(Transactions!D3170)</f>
        <v>Clothing</v>
      </c>
      <c r="E3170" t="s">
        <v>141</v>
      </c>
      <c r="F3170" t="s">
        <v>142</v>
      </c>
      <c r="G3170">
        <v>1</v>
      </c>
      <c r="H3170">
        <v>22.99</v>
      </c>
      <c r="I3170" s="7">
        <f>IF(Transactions!I3170="",0,Transactions!I3170)</f>
        <v>0</v>
      </c>
      <c r="J3170" s="9">
        <f t="shared" si="49"/>
        <v>22.99</v>
      </c>
      <c r="K3170" t="s">
        <v>22</v>
      </c>
      <c r="L3170" t="s">
        <v>17</v>
      </c>
      <c r="M3170" t="str">
        <f>REPLACE(Transactions!M3170,1,4,"")</f>
        <v>14</v>
      </c>
    </row>
    <row r="3171" spans="1:13" x14ac:dyDescent="0.2">
      <c r="A3171">
        <v>625141</v>
      </c>
      <c r="B3171" s="5">
        <v>45284</v>
      </c>
      <c r="C3171">
        <v>90227</v>
      </c>
      <c r="D3171" t="str">
        <f>PROPER(Transactions!D3171)</f>
        <v>Sports</v>
      </c>
      <c r="E3171" t="s">
        <v>83</v>
      </c>
      <c r="F3171" t="s">
        <v>84</v>
      </c>
      <c r="G3171">
        <v>2</v>
      </c>
      <c r="H3171">
        <v>13.59</v>
      </c>
      <c r="I3171" s="7">
        <f>IF(Transactions!I3171="",0,Transactions!I3171)</f>
        <v>0</v>
      </c>
      <c r="J3171" s="9">
        <f t="shared" si="49"/>
        <v>27.18</v>
      </c>
      <c r="K3171" t="s">
        <v>36</v>
      </c>
      <c r="L3171" t="s">
        <v>37</v>
      </c>
      <c r="M3171" t="str">
        <f>REPLACE(Transactions!M3171,1,4,"")</f>
        <v>15</v>
      </c>
    </row>
    <row r="3172" spans="1:13" x14ac:dyDescent="0.2">
      <c r="A3172">
        <v>625161</v>
      </c>
      <c r="B3172" s="5">
        <v>45628</v>
      </c>
      <c r="C3172">
        <v>53866</v>
      </c>
      <c r="D3172" t="str">
        <f>PROPER(Transactions!D3172)</f>
        <v>Home &amp; Garden</v>
      </c>
      <c r="E3172" t="s">
        <v>153</v>
      </c>
      <c r="F3172" t="s">
        <v>154</v>
      </c>
      <c r="G3172">
        <v>1</v>
      </c>
      <c r="H3172">
        <v>29.99</v>
      </c>
      <c r="I3172" s="7">
        <f>IF(Transactions!I3172="",0,Transactions!I3172)</f>
        <v>0</v>
      </c>
      <c r="J3172" s="9">
        <f t="shared" si="49"/>
        <v>29.99</v>
      </c>
      <c r="K3172" t="s">
        <v>16</v>
      </c>
      <c r="L3172" t="s">
        <v>17</v>
      </c>
      <c r="M3172" t="str">
        <f>REPLACE(Transactions!M3172,1,4,"")</f>
        <v>15</v>
      </c>
    </row>
    <row r="3173" spans="1:13" x14ac:dyDescent="0.2">
      <c r="A3173">
        <v>625474</v>
      </c>
      <c r="B3173" s="5">
        <v>45132</v>
      </c>
      <c r="C3173">
        <v>90181</v>
      </c>
      <c r="D3173" t="str">
        <f>PROPER(Transactions!D3173)</f>
        <v>Sports</v>
      </c>
      <c r="E3173" t="s">
        <v>168</v>
      </c>
      <c r="F3173" t="s">
        <v>169</v>
      </c>
      <c r="G3173">
        <v>1</v>
      </c>
      <c r="H3173">
        <v>8.99</v>
      </c>
      <c r="I3173" s="7">
        <f>IF(Transactions!I3173="",0,Transactions!I3173)</f>
        <v>0</v>
      </c>
      <c r="J3173" s="9">
        <f t="shared" si="49"/>
        <v>8.99</v>
      </c>
      <c r="K3173" t="s">
        <v>16</v>
      </c>
      <c r="L3173" t="s">
        <v>23</v>
      </c>
      <c r="M3173" t="str">
        <f>REPLACE(Transactions!M3173,1,4,"")</f>
        <v>8</v>
      </c>
    </row>
    <row r="3174" spans="1:13" x14ac:dyDescent="0.2">
      <c r="A3174">
        <v>625764</v>
      </c>
      <c r="B3174" s="5">
        <v>45184</v>
      </c>
      <c r="C3174">
        <v>88938</v>
      </c>
      <c r="D3174" t="str">
        <f>PROPER(Transactions!D3174)</f>
        <v>Pharmacy</v>
      </c>
      <c r="E3174" t="s">
        <v>58</v>
      </c>
      <c r="F3174" t="s">
        <v>59</v>
      </c>
      <c r="G3174">
        <v>1</v>
      </c>
      <c r="H3174">
        <v>3.99</v>
      </c>
      <c r="I3174" s="7">
        <f>IF(Transactions!I3174="",0,Transactions!I3174)</f>
        <v>0</v>
      </c>
      <c r="J3174" s="9">
        <f t="shared" si="49"/>
        <v>3.99</v>
      </c>
      <c r="K3174" t="s">
        <v>22</v>
      </c>
      <c r="L3174" t="s">
        <v>17</v>
      </c>
      <c r="M3174" t="str">
        <f>REPLACE(Transactions!M3174,1,4,"")</f>
        <v>14</v>
      </c>
    </row>
    <row r="3175" spans="1:13" x14ac:dyDescent="0.2">
      <c r="A3175">
        <v>625965</v>
      </c>
      <c r="B3175" s="5">
        <v>45087</v>
      </c>
      <c r="C3175">
        <v>18682</v>
      </c>
      <c r="D3175" t="str">
        <f>PROPER(Transactions!D3175)</f>
        <v>Pharmacy</v>
      </c>
      <c r="E3175" t="s">
        <v>41</v>
      </c>
      <c r="F3175" t="s">
        <v>42</v>
      </c>
      <c r="G3175">
        <v>2</v>
      </c>
      <c r="H3175">
        <v>5.99</v>
      </c>
      <c r="I3175" s="7">
        <f>IF(Transactions!I3175="",0,Transactions!I3175)</f>
        <v>0</v>
      </c>
      <c r="J3175" s="9">
        <f t="shared" si="49"/>
        <v>11.98</v>
      </c>
      <c r="K3175" t="s">
        <v>36</v>
      </c>
      <c r="L3175" t="s">
        <v>17</v>
      </c>
      <c r="M3175" t="str">
        <f>REPLACE(Transactions!M3175,1,4,"")</f>
        <v>7</v>
      </c>
    </row>
    <row r="3176" spans="1:13" x14ac:dyDescent="0.2">
      <c r="A3176">
        <v>626266</v>
      </c>
      <c r="B3176" s="5">
        <v>45304</v>
      </c>
      <c r="C3176">
        <v>49811</v>
      </c>
      <c r="D3176" t="str">
        <f>PROPER(Transactions!D3176)</f>
        <v>Beauty</v>
      </c>
      <c r="E3176" t="s">
        <v>143</v>
      </c>
      <c r="F3176" t="s">
        <v>144</v>
      </c>
      <c r="G3176">
        <v>1</v>
      </c>
      <c r="H3176">
        <v>14.99</v>
      </c>
      <c r="I3176" s="7">
        <f>IF(Transactions!I3176="",0,Transactions!I3176)</f>
        <v>0</v>
      </c>
      <c r="J3176" s="9">
        <f t="shared" si="49"/>
        <v>14.99</v>
      </c>
      <c r="K3176" t="s">
        <v>16</v>
      </c>
      <c r="L3176" t="s">
        <v>23</v>
      </c>
      <c r="M3176" t="str">
        <f>REPLACE(Transactions!M3176,1,4,"")</f>
        <v>7</v>
      </c>
    </row>
    <row r="3177" spans="1:13" x14ac:dyDescent="0.2">
      <c r="A3177">
        <v>626636</v>
      </c>
      <c r="B3177" s="5">
        <v>45236</v>
      </c>
      <c r="C3177">
        <v>14239</v>
      </c>
      <c r="D3177" t="str">
        <f>PROPER(Transactions!D3177)</f>
        <v>Home &amp; Garden</v>
      </c>
      <c r="E3177" t="s">
        <v>149</v>
      </c>
      <c r="F3177" t="s">
        <v>150</v>
      </c>
      <c r="G3177">
        <v>5</v>
      </c>
      <c r="H3177">
        <v>18.989999999999998</v>
      </c>
      <c r="I3177" s="7">
        <f>IF(Transactions!I3177="",0,Transactions!I3177)</f>
        <v>0.05</v>
      </c>
      <c r="J3177" s="9">
        <f t="shared" si="49"/>
        <v>90.202499999999986</v>
      </c>
      <c r="K3177" t="s">
        <v>95</v>
      </c>
      <c r="L3177" t="s">
        <v>17</v>
      </c>
      <c r="M3177" t="str">
        <f>REPLACE(Transactions!M3177,1,4,"")</f>
        <v>6</v>
      </c>
    </row>
    <row r="3178" spans="1:13" x14ac:dyDescent="0.2">
      <c r="A3178">
        <v>626895</v>
      </c>
      <c r="B3178" s="5">
        <v>45283</v>
      </c>
      <c r="C3178">
        <v>53270</v>
      </c>
      <c r="D3178" t="str">
        <f>PROPER(Transactions!D3178)</f>
        <v>Pharmacy</v>
      </c>
      <c r="E3178" t="s">
        <v>115</v>
      </c>
      <c r="F3178" t="s">
        <v>116</v>
      </c>
      <c r="G3178">
        <v>1</v>
      </c>
      <c r="H3178">
        <v>12.99</v>
      </c>
      <c r="I3178" s="7">
        <f>IF(Transactions!I3178="",0,Transactions!I3178)</f>
        <v>0</v>
      </c>
      <c r="J3178" s="9">
        <f t="shared" si="49"/>
        <v>12.99</v>
      </c>
      <c r="K3178" t="s">
        <v>16</v>
      </c>
      <c r="L3178" t="s">
        <v>17</v>
      </c>
      <c r="M3178" t="str">
        <f>REPLACE(Transactions!M3178,1,4,"")</f>
        <v>5</v>
      </c>
    </row>
    <row r="3179" spans="1:13" x14ac:dyDescent="0.2">
      <c r="A3179">
        <v>626988</v>
      </c>
      <c r="B3179" s="5">
        <v>45625</v>
      </c>
      <c r="C3179">
        <v>15458</v>
      </c>
      <c r="D3179" t="str">
        <f>PROPER(Transactions!D3179)</f>
        <v>Clothing</v>
      </c>
      <c r="E3179" t="s">
        <v>135</v>
      </c>
      <c r="F3179" t="s">
        <v>136</v>
      </c>
      <c r="G3179">
        <v>3</v>
      </c>
      <c r="H3179">
        <v>8.49</v>
      </c>
      <c r="I3179" s="7">
        <f>IF(Transactions!I3179="",0,Transactions!I3179)</f>
        <v>0.15</v>
      </c>
      <c r="J3179" s="9">
        <f t="shared" si="49"/>
        <v>21.6495</v>
      </c>
      <c r="K3179" t="s">
        <v>66</v>
      </c>
      <c r="L3179" t="s">
        <v>23</v>
      </c>
      <c r="M3179" t="str">
        <f>REPLACE(Transactions!M3179,1,4,"")</f>
        <v>12</v>
      </c>
    </row>
    <row r="3180" spans="1:13" x14ac:dyDescent="0.2">
      <c r="A3180">
        <v>627025</v>
      </c>
      <c r="B3180" s="5">
        <v>44788</v>
      </c>
      <c r="C3180">
        <v>47557</v>
      </c>
      <c r="D3180" t="str">
        <f>PROPER(Transactions!D3180)</f>
        <v>Pharmacy</v>
      </c>
      <c r="E3180" t="s">
        <v>41</v>
      </c>
      <c r="F3180" t="s">
        <v>42</v>
      </c>
      <c r="G3180">
        <v>3</v>
      </c>
      <c r="H3180">
        <v>5.99</v>
      </c>
      <c r="I3180" s="7">
        <f>IF(Transactions!I3180="",0,Transactions!I3180)</f>
        <v>0</v>
      </c>
      <c r="J3180" s="9">
        <f t="shared" si="49"/>
        <v>17.97</v>
      </c>
      <c r="K3180" t="s">
        <v>16</v>
      </c>
      <c r="L3180" t="s">
        <v>23</v>
      </c>
      <c r="M3180" t="str">
        <f>REPLACE(Transactions!M3180,1,4,"")</f>
        <v>6</v>
      </c>
    </row>
    <row r="3181" spans="1:13" x14ac:dyDescent="0.2">
      <c r="A3181">
        <v>627028</v>
      </c>
      <c r="B3181" s="5">
        <v>44664</v>
      </c>
      <c r="C3181">
        <v>53321</v>
      </c>
      <c r="D3181" t="str">
        <f>PROPER(Transactions!D3181)</f>
        <v>Home &amp; Garden</v>
      </c>
      <c r="E3181" t="s">
        <v>149</v>
      </c>
      <c r="F3181" t="s">
        <v>150</v>
      </c>
      <c r="G3181">
        <v>2</v>
      </c>
      <c r="H3181">
        <v>16.989999999999998</v>
      </c>
      <c r="I3181" s="7">
        <f>IF(Transactions!I3181="",0,Transactions!I3181)</f>
        <v>0.15</v>
      </c>
      <c r="J3181" s="9">
        <f t="shared" si="49"/>
        <v>28.882999999999996</v>
      </c>
      <c r="K3181" t="s">
        <v>32</v>
      </c>
      <c r="L3181" t="s">
        <v>17</v>
      </c>
      <c r="M3181" t="str">
        <f>REPLACE(Transactions!M3181,1,4,"")</f>
        <v>10</v>
      </c>
    </row>
    <row r="3182" spans="1:13" x14ac:dyDescent="0.2">
      <c r="A3182">
        <v>627246</v>
      </c>
      <c r="B3182" s="5">
        <v>45263</v>
      </c>
      <c r="C3182">
        <v>27830</v>
      </c>
      <c r="D3182" t="str">
        <f>PROPER(Transactions!D3182)</f>
        <v>Furniture</v>
      </c>
      <c r="E3182" t="s">
        <v>26</v>
      </c>
      <c r="F3182" t="s">
        <v>27</v>
      </c>
      <c r="G3182">
        <v>1</v>
      </c>
      <c r="H3182">
        <v>24.49</v>
      </c>
      <c r="I3182" s="7">
        <f>IF(Transactions!I3182="",0,Transactions!I3182)</f>
        <v>0.3</v>
      </c>
      <c r="J3182" s="9">
        <f t="shared" si="49"/>
        <v>17.142999999999997</v>
      </c>
      <c r="K3182" t="s">
        <v>36</v>
      </c>
      <c r="L3182" t="s">
        <v>17</v>
      </c>
      <c r="M3182" t="str">
        <f>REPLACE(Transactions!M3182,1,4,"")</f>
        <v>5</v>
      </c>
    </row>
    <row r="3183" spans="1:13" x14ac:dyDescent="0.2">
      <c r="A3183">
        <v>627560</v>
      </c>
      <c r="B3183" s="5">
        <v>45183</v>
      </c>
      <c r="C3183">
        <v>31343</v>
      </c>
      <c r="D3183" t="str">
        <f>PROPER(Transactions!D3183)</f>
        <v>Clothing</v>
      </c>
      <c r="E3183" t="s">
        <v>151</v>
      </c>
      <c r="F3183" t="s">
        <v>152</v>
      </c>
      <c r="G3183">
        <v>2</v>
      </c>
      <c r="H3183">
        <v>34.99</v>
      </c>
      <c r="I3183" s="7">
        <f>IF(Transactions!I3183="",0,Transactions!I3183)</f>
        <v>0</v>
      </c>
      <c r="J3183" s="9">
        <f t="shared" si="49"/>
        <v>69.98</v>
      </c>
      <c r="K3183" t="s">
        <v>36</v>
      </c>
      <c r="L3183" t="s">
        <v>37</v>
      </c>
      <c r="M3183" t="str">
        <f>REPLACE(Transactions!M3183,1,4,"")</f>
        <v>19</v>
      </c>
    </row>
    <row r="3184" spans="1:13" x14ac:dyDescent="0.2">
      <c r="A3184">
        <v>627786</v>
      </c>
      <c r="B3184" s="5">
        <v>44845</v>
      </c>
      <c r="C3184">
        <v>10839</v>
      </c>
      <c r="D3184" t="str">
        <f>PROPER(Transactions!D3184)</f>
        <v>Furniture</v>
      </c>
      <c r="E3184" t="s">
        <v>70</v>
      </c>
      <c r="F3184" t="s">
        <v>71</v>
      </c>
      <c r="G3184">
        <v>3</v>
      </c>
      <c r="H3184">
        <v>89.99</v>
      </c>
      <c r="I3184" s="7">
        <f>IF(Transactions!I3184="",0,Transactions!I3184)</f>
        <v>0</v>
      </c>
      <c r="J3184" s="9">
        <f t="shared" si="49"/>
        <v>269.96999999999997</v>
      </c>
      <c r="K3184" t="s">
        <v>16</v>
      </c>
      <c r="L3184" t="s">
        <v>23</v>
      </c>
      <c r="M3184" t="str">
        <f>REPLACE(Transactions!M3184,1,4,"")</f>
        <v>15</v>
      </c>
    </row>
    <row r="3185" spans="1:13" x14ac:dyDescent="0.2">
      <c r="A3185">
        <v>627881</v>
      </c>
      <c r="B3185" s="5">
        <v>44602</v>
      </c>
      <c r="C3185">
        <v>46481</v>
      </c>
      <c r="D3185" t="str">
        <f>PROPER(Transactions!D3185)</f>
        <v>Pharmacy</v>
      </c>
      <c r="E3185" t="s">
        <v>115</v>
      </c>
      <c r="F3185" t="s">
        <v>116</v>
      </c>
      <c r="G3185">
        <v>3</v>
      </c>
      <c r="H3185">
        <v>12.99</v>
      </c>
      <c r="I3185" s="7">
        <f>IF(Transactions!I3185="",0,Transactions!I3185)</f>
        <v>0</v>
      </c>
      <c r="J3185" s="9">
        <f t="shared" si="49"/>
        <v>38.97</v>
      </c>
      <c r="K3185" t="s">
        <v>36</v>
      </c>
      <c r="L3185" t="s">
        <v>17</v>
      </c>
      <c r="M3185" t="str">
        <f>REPLACE(Transactions!M3185,1,4,"")</f>
        <v>11</v>
      </c>
    </row>
    <row r="3186" spans="1:13" x14ac:dyDescent="0.2">
      <c r="A3186">
        <v>627940</v>
      </c>
      <c r="B3186" s="5">
        <v>45561</v>
      </c>
      <c r="C3186">
        <v>23710</v>
      </c>
      <c r="D3186" t="str">
        <f>PROPER(Transactions!D3186)</f>
        <v>Electronics</v>
      </c>
      <c r="E3186" t="s">
        <v>159</v>
      </c>
      <c r="F3186" t="s">
        <v>160</v>
      </c>
      <c r="G3186">
        <v>1</v>
      </c>
      <c r="H3186">
        <v>41.99</v>
      </c>
      <c r="I3186" s="7">
        <f>IF(Transactions!I3186="",0,Transactions!I3186)</f>
        <v>0.3</v>
      </c>
      <c r="J3186" s="9">
        <f t="shared" si="49"/>
        <v>29.393000000000001</v>
      </c>
      <c r="K3186" t="s">
        <v>22</v>
      </c>
      <c r="L3186" t="s">
        <v>37</v>
      </c>
      <c r="M3186" t="str">
        <f>REPLACE(Transactions!M3186,1,4,"")</f>
        <v>6</v>
      </c>
    </row>
    <row r="3187" spans="1:13" x14ac:dyDescent="0.2">
      <c r="A3187">
        <v>627949</v>
      </c>
      <c r="B3187" s="5">
        <v>45260</v>
      </c>
      <c r="D3187" t="str">
        <f>PROPER(Transactions!D3187)</f>
        <v>Home &amp; Garden</v>
      </c>
      <c r="E3187" t="s">
        <v>137</v>
      </c>
      <c r="F3187" t="s">
        <v>138</v>
      </c>
      <c r="G3187">
        <v>2</v>
      </c>
      <c r="H3187">
        <v>6.39</v>
      </c>
      <c r="I3187" s="7">
        <f>IF(Transactions!I3187="",0,Transactions!I3187)</f>
        <v>0.2</v>
      </c>
      <c r="J3187" s="9">
        <f t="shared" si="49"/>
        <v>10.224</v>
      </c>
      <c r="K3187" t="s">
        <v>22</v>
      </c>
      <c r="L3187" t="s">
        <v>17</v>
      </c>
      <c r="M3187" t="str">
        <f>REPLACE(Transactions!M3187,1,4,"")</f>
        <v>9</v>
      </c>
    </row>
    <row r="3188" spans="1:13" x14ac:dyDescent="0.2">
      <c r="A3188">
        <v>628236</v>
      </c>
      <c r="B3188" s="5">
        <v>45153</v>
      </c>
      <c r="C3188">
        <v>77275</v>
      </c>
      <c r="D3188" t="str">
        <f>PROPER(Transactions!D3188)</f>
        <v>Beauty</v>
      </c>
      <c r="E3188" t="s">
        <v>49</v>
      </c>
      <c r="F3188" t="s">
        <v>50</v>
      </c>
      <c r="G3188">
        <v>1</v>
      </c>
      <c r="H3188">
        <v>8.5399999999999991</v>
      </c>
      <c r="I3188" s="7">
        <f>IF(Transactions!I3188="",0,Transactions!I3188)</f>
        <v>0.05</v>
      </c>
      <c r="J3188" s="9">
        <f t="shared" si="49"/>
        <v>8.1129999999999995</v>
      </c>
      <c r="K3188" t="s">
        <v>16</v>
      </c>
      <c r="L3188" t="s">
        <v>37</v>
      </c>
      <c r="M3188" t="str">
        <f>REPLACE(Transactions!M3188,1,4,"")</f>
        <v>6</v>
      </c>
    </row>
    <row r="3189" spans="1:13" x14ac:dyDescent="0.2">
      <c r="A3189">
        <v>628503</v>
      </c>
      <c r="B3189" s="5">
        <v>45338</v>
      </c>
      <c r="C3189">
        <v>21146</v>
      </c>
      <c r="D3189" t="str">
        <f>PROPER(Transactions!D3189)</f>
        <v>Grocery</v>
      </c>
      <c r="E3189" t="s">
        <v>91</v>
      </c>
      <c r="F3189" t="s">
        <v>92</v>
      </c>
      <c r="G3189">
        <v>4</v>
      </c>
      <c r="H3189">
        <v>6.29</v>
      </c>
      <c r="I3189" s="7">
        <f>IF(Transactions!I3189="",0,Transactions!I3189)</f>
        <v>0</v>
      </c>
      <c r="J3189" s="9">
        <f t="shared" si="49"/>
        <v>25.16</v>
      </c>
      <c r="K3189" t="s">
        <v>16</v>
      </c>
      <c r="L3189" t="s">
        <v>37</v>
      </c>
      <c r="M3189" t="str">
        <f>REPLACE(Transactions!M3189,1,4,"")</f>
        <v>1</v>
      </c>
    </row>
    <row r="3190" spans="1:13" x14ac:dyDescent="0.2">
      <c r="A3190">
        <v>628583</v>
      </c>
      <c r="B3190" s="5">
        <v>45049</v>
      </c>
      <c r="C3190">
        <v>53359</v>
      </c>
      <c r="D3190" t="str">
        <f>PROPER(Transactions!D3190)</f>
        <v>Beauty</v>
      </c>
      <c r="E3190" t="s">
        <v>118</v>
      </c>
      <c r="F3190" t="s">
        <v>119</v>
      </c>
      <c r="G3190">
        <v>1</v>
      </c>
      <c r="H3190">
        <v>3.74</v>
      </c>
      <c r="I3190" s="7">
        <f>IF(Transactions!I3190="",0,Transactions!I3190)</f>
        <v>0.25</v>
      </c>
      <c r="J3190" s="9">
        <f t="shared" si="49"/>
        <v>2.8050000000000002</v>
      </c>
      <c r="K3190" t="s">
        <v>32</v>
      </c>
      <c r="L3190" t="s">
        <v>17</v>
      </c>
      <c r="M3190" t="str">
        <f>REPLACE(Transactions!M3190,1,4,"")</f>
        <v>15</v>
      </c>
    </row>
    <row r="3191" spans="1:13" x14ac:dyDescent="0.2">
      <c r="A3191">
        <v>628662</v>
      </c>
      <c r="B3191" s="5">
        <v>45479</v>
      </c>
      <c r="C3191">
        <v>39893</v>
      </c>
      <c r="D3191" t="str">
        <f>PROPER(Transactions!D3191)</f>
        <v>Sports</v>
      </c>
      <c r="E3191" t="s">
        <v>147</v>
      </c>
      <c r="F3191" t="s">
        <v>148</v>
      </c>
      <c r="G3191">
        <v>1</v>
      </c>
      <c r="H3191">
        <v>12.34</v>
      </c>
      <c r="I3191" s="7">
        <f>IF(Transactions!I3191="",0,Transactions!I3191)</f>
        <v>0.05</v>
      </c>
      <c r="J3191" s="9">
        <f t="shared" si="49"/>
        <v>11.722999999999999</v>
      </c>
      <c r="K3191" t="s">
        <v>22</v>
      </c>
      <c r="L3191" t="s">
        <v>17</v>
      </c>
      <c r="M3191" t="str">
        <f>REPLACE(Transactions!M3191,1,4,"")</f>
        <v>3</v>
      </c>
    </row>
    <row r="3192" spans="1:13" x14ac:dyDescent="0.2">
      <c r="A3192">
        <v>628891</v>
      </c>
      <c r="B3192" s="5">
        <v>44690</v>
      </c>
      <c r="C3192">
        <v>32513</v>
      </c>
      <c r="D3192" t="str">
        <f>PROPER(Transactions!D3192)</f>
        <v>Sports</v>
      </c>
      <c r="E3192" t="s">
        <v>168</v>
      </c>
      <c r="F3192" t="s">
        <v>169</v>
      </c>
      <c r="G3192">
        <v>1</v>
      </c>
      <c r="H3192">
        <v>7.64</v>
      </c>
      <c r="I3192" s="7">
        <f>IF(Transactions!I3192="",0,Transactions!I3192)</f>
        <v>0.15</v>
      </c>
      <c r="J3192" s="9">
        <f t="shared" si="49"/>
        <v>6.4939999999999998</v>
      </c>
      <c r="K3192" t="s">
        <v>22</v>
      </c>
      <c r="L3192" t="s">
        <v>17</v>
      </c>
      <c r="M3192" t="str">
        <f>REPLACE(Transactions!M3192,1,4,"")</f>
        <v>8</v>
      </c>
    </row>
    <row r="3193" spans="1:13" x14ac:dyDescent="0.2">
      <c r="A3193">
        <v>628896</v>
      </c>
      <c r="B3193" s="5">
        <v>45317</v>
      </c>
      <c r="C3193">
        <v>43130</v>
      </c>
      <c r="D3193" t="str">
        <f>PROPER(Transactions!D3193)</f>
        <v>Beauty</v>
      </c>
      <c r="E3193" t="s">
        <v>139</v>
      </c>
      <c r="F3193" t="s">
        <v>140</v>
      </c>
      <c r="G3193">
        <v>4</v>
      </c>
      <c r="H3193">
        <v>7.99</v>
      </c>
      <c r="I3193" s="7">
        <f>IF(Transactions!I3193="",0,Transactions!I3193)</f>
        <v>0</v>
      </c>
      <c r="J3193" s="9">
        <f t="shared" si="49"/>
        <v>31.96</v>
      </c>
      <c r="K3193" t="s">
        <v>36</v>
      </c>
      <c r="L3193" t="s">
        <v>17</v>
      </c>
      <c r="M3193" t="str">
        <f>REPLACE(Transactions!M3193,1,4,"")</f>
        <v>3</v>
      </c>
    </row>
    <row r="3194" spans="1:13" x14ac:dyDescent="0.2">
      <c r="A3194">
        <v>628897</v>
      </c>
      <c r="B3194" s="5">
        <v>45212</v>
      </c>
      <c r="C3194">
        <v>44009</v>
      </c>
      <c r="D3194" t="str">
        <f>PROPER(Transactions!D3194)</f>
        <v>Electronics</v>
      </c>
      <c r="E3194" t="s">
        <v>77</v>
      </c>
      <c r="F3194" t="s">
        <v>78</v>
      </c>
      <c r="G3194">
        <v>1</v>
      </c>
      <c r="H3194">
        <v>499.99</v>
      </c>
      <c r="I3194" s="7">
        <f>IF(Transactions!I3194="",0,Transactions!I3194)</f>
        <v>0</v>
      </c>
      <c r="J3194" s="9">
        <f t="shared" si="49"/>
        <v>499.99</v>
      </c>
      <c r="K3194" t="s">
        <v>16</v>
      </c>
      <c r="L3194" t="s">
        <v>23</v>
      </c>
      <c r="M3194" t="str">
        <f>REPLACE(Transactions!M3194,1,4,"")</f>
        <v>14</v>
      </c>
    </row>
    <row r="3195" spans="1:13" x14ac:dyDescent="0.2">
      <c r="A3195">
        <v>628905</v>
      </c>
      <c r="B3195" s="5">
        <v>45379</v>
      </c>
      <c r="C3195">
        <v>63217</v>
      </c>
      <c r="D3195" t="str">
        <f>PROPER(Transactions!D3195)</f>
        <v>Beauty</v>
      </c>
      <c r="E3195" t="s">
        <v>49</v>
      </c>
      <c r="F3195" t="s">
        <v>50</v>
      </c>
      <c r="G3195">
        <v>2</v>
      </c>
      <c r="H3195">
        <v>7.19</v>
      </c>
      <c r="I3195" s="7">
        <f>IF(Transactions!I3195="",0,Transactions!I3195)</f>
        <v>0.2</v>
      </c>
      <c r="J3195" s="9">
        <f t="shared" si="49"/>
        <v>11.504000000000001</v>
      </c>
      <c r="K3195" t="s">
        <v>66</v>
      </c>
      <c r="L3195" t="s">
        <v>17</v>
      </c>
      <c r="M3195" t="str">
        <f>REPLACE(Transactions!M3195,1,4,"")</f>
        <v>8</v>
      </c>
    </row>
    <row r="3196" spans="1:13" x14ac:dyDescent="0.2">
      <c r="A3196">
        <v>629018</v>
      </c>
      <c r="B3196" s="5">
        <v>44947</v>
      </c>
      <c r="C3196">
        <v>50180</v>
      </c>
      <c r="D3196" t="str">
        <f>PROPER(Transactions!D3196)</f>
        <v>Pharmacy</v>
      </c>
      <c r="E3196" t="s">
        <v>115</v>
      </c>
      <c r="F3196" t="s">
        <v>116</v>
      </c>
      <c r="G3196">
        <v>5</v>
      </c>
      <c r="H3196">
        <v>12.99</v>
      </c>
      <c r="I3196" s="7">
        <f>IF(Transactions!I3196="",0,Transactions!I3196)</f>
        <v>0</v>
      </c>
      <c r="J3196" s="9">
        <f t="shared" si="49"/>
        <v>64.95</v>
      </c>
      <c r="K3196" t="s">
        <v>95</v>
      </c>
      <c r="L3196" t="s">
        <v>17</v>
      </c>
      <c r="M3196" t="str">
        <f>REPLACE(Transactions!M3196,1,4,"")</f>
        <v/>
      </c>
    </row>
    <row r="3197" spans="1:13" x14ac:dyDescent="0.2">
      <c r="A3197">
        <v>629075</v>
      </c>
      <c r="B3197" s="5">
        <v>44689</v>
      </c>
      <c r="C3197">
        <v>48870</v>
      </c>
      <c r="D3197" t="str">
        <f>PROPER(Transactions!D3197)</f>
        <v>Grocery</v>
      </c>
      <c r="E3197" t="s">
        <v>45</v>
      </c>
      <c r="F3197" t="s">
        <v>46</v>
      </c>
      <c r="G3197">
        <v>1</v>
      </c>
      <c r="H3197">
        <v>1.79</v>
      </c>
      <c r="I3197" s="7">
        <f>IF(Transactions!I3197="",0,Transactions!I3197)</f>
        <v>0</v>
      </c>
      <c r="J3197" s="9">
        <f t="shared" si="49"/>
        <v>1.79</v>
      </c>
      <c r="K3197" t="s">
        <v>53</v>
      </c>
      <c r="L3197" t="s">
        <v>17</v>
      </c>
      <c r="M3197" t="str">
        <f>REPLACE(Transactions!M3197,1,4,"")</f>
        <v>20</v>
      </c>
    </row>
    <row r="3198" spans="1:13" x14ac:dyDescent="0.2">
      <c r="A3198">
        <v>629115</v>
      </c>
      <c r="B3198" s="5">
        <v>44619</v>
      </c>
      <c r="C3198">
        <v>86596</v>
      </c>
      <c r="D3198" t="str">
        <f>PROPER(Transactions!D3198)</f>
        <v>Automotive</v>
      </c>
      <c r="E3198" t="s">
        <v>131</v>
      </c>
      <c r="F3198" t="s">
        <v>132</v>
      </c>
      <c r="G3198">
        <v>1</v>
      </c>
      <c r="H3198">
        <v>3.49</v>
      </c>
      <c r="I3198" s="7">
        <f>IF(Transactions!I3198="",0,Transactions!I3198)</f>
        <v>0</v>
      </c>
      <c r="J3198" s="9">
        <f t="shared" si="49"/>
        <v>3.49</v>
      </c>
      <c r="K3198" t="s">
        <v>16</v>
      </c>
      <c r="L3198" t="s">
        <v>37</v>
      </c>
      <c r="M3198" t="str">
        <f>REPLACE(Transactions!M3198,1,4,"")</f>
        <v>8</v>
      </c>
    </row>
    <row r="3199" spans="1:13" x14ac:dyDescent="0.2">
      <c r="A3199">
        <v>629234</v>
      </c>
      <c r="B3199" s="5">
        <v>45240</v>
      </c>
      <c r="C3199">
        <v>10359</v>
      </c>
      <c r="D3199" t="str">
        <f>PROPER(Transactions!D3199)</f>
        <v>Pharmacy</v>
      </c>
      <c r="E3199" t="s">
        <v>41</v>
      </c>
      <c r="F3199" t="s">
        <v>42</v>
      </c>
      <c r="G3199">
        <v>1</v>
      </c>
      <c r="H3199">
        <v>4.79</v>
      </c>
      <c r="I3199" s="7">
        <f>IF(Transactions!I3199="",0,Transactions!I3199)</f>
        <v>0.2</v>
      </c>
      <c r="J3199" s="9">
        <f t="shared" si="49"/>
        <v>3.8320000000000003</v>
      </c>
      <c r="K3199" t="s">
        <v>36</v>
      </c>
      <c r="L3199" t="s">
        <v>37</v>
      </c>
      <c r="M3199" t="str">
        <f>REPLACE(Transactions!M3199,1,4,"")</f>
        <v>10</v>
      </c>
    </row>
    <row r="3200" spans="1:13" x14ac:dyDescent="0.2">
      <c r="A3200">
        <v>629348</v>
      </c>
      <c r="B3200" s="5">
        <v>45072</v>
      </c>
      <c r="C3200">
        <v>12908</v>
      </c>
      <c r="D3200" t="str">
        <f>PROPER(Transactions!D3200)</f>
        <v>Sports</v>
      </c>
      <c r="E3200" t="s">
        <v>155</v>
      </c>
      <c r="F3200" t="s">
        <v>156</v>
      </c>
      <c r="G3200">
        <v>4</v>
      </c>
      <c r="H3200">
        <v>17.989999999999998</v>
      </c>
      <c r="I3200" s="7">
        <f>IF(Transactions!I3200="",0,Transactions!I3200)</f>
        <v>0.1</v>
      </c>
      <c r="J3200" s="9">
        <f t="shared" si="49"/>
        <v>64.763999999999996</v>
      </c>
      <c r="K3200" t="s">
        <v>22</v>
      </c>
      <c r="L3200" t="s">
        <v>17</v>
      </c>
      <c r="M3200" t="str">
        <f>REPLACE(Transactions!M3200,1,4,"")</f>
        <v>10</v>
      </c>
    </row>
    <row r="3201" spans="1:13" x14ac:dyDescent="0.2">
      <c r="A3201">
        <v>629966</v>
      </c>
      <c r="B3201" s="5">
        <v>44758</v>
      </c>
      <c r="D3201" t="str">
        <f>PROPER(Transactions!D3201)</f>
        <v>Sports</v>
      </c>
      <c r="E3201" t="s">
        <v>100</v>
      </c>
      <c r="F3201" t="s">
        <v>101</v>
      </c>
      <c r="G3201">
        <v>4</v>
      </c>
      <c r="H3201">
        <v>17.239999999999998</v>
      </c>
      <c r="I3201" s="7">
        <f>IF(Transactions!I3201="",0,Transactions!I3201)</f>
        <v>0.25</v>
      </c>
      <c r="J3201" s="9">
        <f t="shared" si="49"/>
        <v>51.72</v>
      </c>
      <c r="K3201" t="s">
        <v>16</v>
      </c>
      <c r="L3201" t="s">
        <v>17</v>
      </c>
      <c r="M3201" t="str">
        <f>REPLACE(Transactions!M3201,1,4,"")</f>
        <v>1</v>
      </c>
    </row>
    <row r="3202" spans="1:13" x14ac:dyDescent="0.2">
      <c r="A3202">
        <v>630573</v>
      </c>
      <c r="B3202" s="5">
        <v>45317</v>
      </c>
      <c r="C3202">
        <v>69009</v>
      </c>
      <c r="D3202" t="str">
        <f>PROPER(Transactions!D3202)</f>
        <v>Toys</v>
      </c>
      <c r="E3202" t="s">
        <v>88</v>
      </c>
      <c r="F3202" t="s">
        <v>89</v>
      </c>
      <c r="G3202">
        <v>5</v>
      </c>
      <c r="H3202">
        <v>34.99</v>
      </c>
      <c r="I3202" s="7">
        <f>IF(Transactions!I3202="",0,Transactions!I3202)</f>
        <v>0.3</v>
      </c>
      <c r="J3202" s="9">
        <f t="shared" si="49"/>
        <v>122.465</v>
      </c>
      <c r="K3202" t="s">
        <v>36</v>
      </c>
      <c r="L3202" t="s">
        <v>17</v>
      </c>
      <c r="M3202" t="str">
        <f>REPLACE(Transactions!M3202,1,4,"")</f>
        <v>2</v>
      </c>
    </row>
    <row r="3203" spans="1:13" x14ac:dyDescent="0.2">
      <c r="A3203">
        <v>630740</v>
      </c>
      <c r="B3203" s="5">
        <v>44887</v>
      </c>
      <c r="C3203">
        <v>35575</v>
      </c>
      <c r="D3203" t="str">
        <f>PROPER(Transactions!D3203)</f>
        <v>Pharmacy</v>
      </c>
      <c r="E3203" t="s">
        <v>41</v>
      </c>
      <c r="F3203" t="s">
        <v>42</v>
      </c>
      <c r="G3203">
        <v>1</v>
      </c>
      <c r="H3203">
        <v>5.09</v>
      </c>
      <c r="I3203" s="7">
        <f>IF(Transactions!I3203="",0,Transactions!I3203)</f>
        <v>0.15</v>
      </c>
      <c r="J3203" s="9">
        <f t="shared" ref="J3203:J3266" si="50">(H3203*G3203)*(1-I3203)</f>
        <v>4.3264999999999993</v>
      </c>
      <c r="K3203" t="s">
        <v>22</v>
      </c>
      <c r="L3203" t="s">
        <v>17</v>
      </c>
      <c r="M3203" t="str">
        <f>REPLACE(Transactions!M3203,1,4,"")</f>
        <v>10</v>
      </c>
    </row>
    <row r="3204" spans="1:13" x14ac:dyDescent="0.2">
      <c r="A3204">
        <v>630782</v>
      </c>
      <c r="B3204" s="5">
        <v>45461</v>
      </c>
      <c r="C3204">
        <v>28407</v>
      </c>
      <c r="D3204" t="str">
        <f>PROPER(Transactions!D3204)</f>
        <v>Automotive</v>
      </c>
      <c r="E3204" t="s">
        <v>68</v>
      </c>
      <c r="F3204" t="s">
        <v>69</v>
      </c>
      <c r="G3204">
        <v>2</v>
      </c>
      <c r="H3204">
        <v>18.739999999999998</v>
      </c>
      <c r="I3204" s="7">
        <f>IF(Transactions!I3204="",0,Transactions!I3204)</f>
        <v>0.25</v>
      </c>
      <c r="J3204" s="9">
        <f t="shared" si="50"/>
        <v>28.11</v>
      </c>
      <c r="K3204" t="s">
        <v>95</v>
      </c>
      <c r="L3204" t="s">
        <v>17</v>
      </c>
      <c r="M3204" t="str">
        <f>REPLACE(Transactions!M3204,1,4,"")</f>
        <v>18</v>
      </c>
    </row>
    <row r="3205" spans="1:13" x14ac:dyDescent="0.2">
      <c r="A3205">
        <v>630842</v>
      </c>
      <c r="B3205" s="5">
        <v>44865</v>
      </c>
      <c r="C3205">
        <v>58388</v>
      </c>
      <c r="D3205" t="str">
        <f>PROPER(Transactions!D3205)</f>
        <v>Beauty</v>
      </c>
      <c r="E3205" t="s">
        <v>139</v>
      </c>
      <c r="F3205" t="s">
        <v>140</v>
      </c>
      <c r="G3205">
        <v>2</v>
      </c>
      <c r="H3205">
        <v>7.19</v>
      </c>
      <c r="I3205" s="7">
        <f>IF(Transactions!I3205="",0,Transactions!I3205)</f>
        <v>0.1</v>
      </c>
      <c r="J3205" s="9">
        <f t="shared" si="50"/>
        <v>12.942</v>
      </c>
      <c r="K3205" t="s">
        <v>22</v>
      </c>
      <c r="L3205" t="s">
        <v>23</v>
      </c>
      <c r="M3205" t="str">
        <f>REPLACE(Transactions!M3205,1,4,"")</f>
        <v>10</v>
      </c>
    </row>
    <row r="3206" spans="1:13" x14ac:dyDescent="0.2">
      <c r="A3206">
        <v>631021</v>
      </c>
      <c r="B3206" s="5">
        <v>45215</v>
      </c>
      <c r="C3206">
        <v>58434</v>
      </c>
      <c r="D3206" t="str">
        <f>PROPER(Transactions!D3206)</f>
        <v>Electronics</v>
      </c>
      <c r="E3206" t="s">
        <v>55</v>
      </c>
      <c r="F3206" t="s">
        <v>56</v>
      </c>
      <c r="G3206">
        <v>1</v>
      </c>
      <c r="H3206">
        <v>313.49</v>
      </c>
      <c r="I3206" s="7">
        <f>IF(Transactions!I3206="",0,Transactions!I3206)</f>
        <v>0.05</v>
      </c>
      <c r="J3206" s="9">
        <f t="shared" si="50"/>
        <v>297.81549999999999</v>
      </c>
      <c r="K3206" t="s">
        <v>16</v>
      </c>
      <c r="L3206" t="s">
        <v>17</v>
      </c>
      <c r="M3206" t="str">
        <f>REPLACE(Transactions!M3206,1,4,"")</f>
        <v>14</v>
      </c>
    </row>
    <row r="3207" spans="1:13" x14ac:dyDescent="0.2">
      <c r="A3207">
        <v>631022</v>
      </c>
      <c r="B3207" s="5">
        <v>44654</v>
      </c>
      <c r="D3207" t="str">
        <f>PROPER(Transactions!D3207)</f>
        <v>Electronics</v>
      </c>
      <c r="E3207" t="s">
        <v>77</v>
      </c>
      <c r="F3207" t="s">
        <v>78</v>
      </c>
      <c r="G3207">
        <v>1</v>
      </c>
      <c r="H3207">
        <v>449.99</v>
      </c>
      <c r="I3207" s="7">
        <f>IF(Transactions!I3207="",0,Transactions!I3207)</f>
        <v>0.1</v>
      </c>
      <c r="J3207" s="9">
        <f t="shared" si="50"/>
        <v>404.99100000000004</v>
      </c>
      <c r="K3207" t="s">
        <v>36</v>
      </c>
      <c r="L3207" t="s">
        <v>17</v>
      </c>
      <c r="M3207" t="str">
        <f>REPLACE(Transactions!M3207,1,4,"")</f>
        <v>3</v>
      </c>
    </row>
    <row r="3208" spans="1:13" x14ac:dyDescent="0.2">
      <c r="A3208">
        <v>631045</v>
      </c>
      <c r="B3208" s="5">
        <v>44724</v>
      </c>
      <c r="C3208">
        <v>78128</v>
      </c>
      <c r="D3208" t="str">
        <f>PROPER(Transactions!D3208)</f>
        <v>Pharmacy</v>
      </c>
      <c r="E3208" t="s">
        <v>115</v>
      </c>
      <c r="F3208" t="s">
        <v>116</v>
      </c>
      <c r="G3208">
        <v>4</v>
      </c>
      <c r="H3208">
        <v>12.99</v>
      </c>
      <c r="I3208" s="7">
        <f>IF(Transactions!I3208="",0,Transactions!I3208)</f>
        <v>0</v>
      </c>
      <c r="J3208" s="9">
        <f t="shared" si="50"/>
        <v>51.96</v>
      </c>
      <c r="K3208" t="s">
        <v>32</v>
      </c>
      <c r="L3208" t="s">
        <v>17</v>
      </c>
      <c r="M3208" t="str">
        <f>REPLACE(Transactions!M3208,1,4,"")</f>
        <v>4</v>
      </c>
    </row>
    <row r="3209" spans="1:13" x14ac:dyDescent="0.2">
      <c r="A3209">
        <v>631159</v>
      </c>
      <c r="B3209" s="5">
        <v>44967</v>
      </c>
      <c r="C3209">
        <v>24305</v>
      </c>
      <c r="D3209" t="str">
        <f>PROPER(Transactions!D3209)</f>
        <v>Sports</v>
      </c>
      <c r="E3209" t="s">
        <v>100</v>
      </c>
      <c r="F3209" t="s">
        <v>101</v>
      </c>
      <c r="G3209">
        <v>1</v>
      </c>
      <c r="H3209">
        <v>16.09</v>
      </c>
      <c r="I3209" s="7">
        <f>IF(Transactions!I3209="",0,Transactions!I3209)</f>
        <v>0</v>
      </c>
      <c r="J3209" s="9">
        <f t="shared" si="50"/>
        <v>16.09</v>
      </c>
      <c r="K3209" t="s">
        <v>22</v>
      </c>
      <c r="L3209" t="s">
        <v>23</v>
      </c>
      <c r="M3209" t="str">
        <f>REPLACE(Transactions!M3209,1,4,"")</f>
        <v>2</v>
      </c>
    </row>
    <row r="3210" spans="1:13" x14ac:dyDescent="0.2">
      <c r="A3210">
        <v>631235</v>
      </c>
      <c r="B3210" s="5">
        <v>45058</v>
      </c>
      <c r="C3210">
        <v>71935</v>
      </c>
      <c r="D3210" t="str">
        <f>PROPER(Transactions!D3210)</f>
        <v>Sports</v>
      </c>
      <c r="E3210" t="s">
        <v>168</v>
      </c>
      <c r="F3210" t="s">
        <v>169</v>
      </c>
      <c r="G3210">
        <v>4</v>
      </c>
      <c r="H3210">
        <v>8.99</v>
      </c>
      <c r="I3210" s="7">
        <f>IF(Transactions!I3210="",0,Transactions!I3210)</f>
        <v>0</v>
      </c>
      <c r="J3210" s="9">
        <f t="shared" si="50"/>
        <v>35.96</v>
      </c>
      <c r="K3210" t="s">
        <v>36</v>
      </c>
      <c r="L3210" t="s">
        <v>17</v>
      </c>
      <c r="M3210" t="str">
        <f>REPLACE(Transactions!M3210,1,4,"")</f>
        <v>17</v>
      </c>
    </row>
    <row r="3211" spans="1:13" x14ac:dyDescent="0.2">
      <c r="A3211">
        <v>631265</v>
      </c>
      <c r="B3211" s="5">
        <v>45370</v>
      </c>
      <c r="C3211">
        <v>55188</v>
      </c>
      <c r="D3211" t="str">
        <f>PROPER(Transactions!D3211)</f>
        <v>Sports</v>
      </c>
      <c r="E3211" t="s">
        <v>188</v>
      </c>
      <c r="F3211" t="s">
        <v>189</v>
      </c>
      <c r="G3211">
        <v>2</v>
      </c>
      <c r="H3211">
        <v>40.49</v>
      </c>
      <c r="I3211" s="7">
        <f>IF(Transactions!I3211="",0,Transactions!I3211)</f>
        <v>0.1</v>
      </c>
      <c r="J3211" s="9">
        <f t="shared" si="50"/>
        <v>72.882000000000005</v>
      </c>
      <c r="K3211" t="s">
        <v>16</v>
      </c>
      <c r="L3211" t="s">
        <v>17</v>
      </c>
      <c r="M3211" t="str">
        <f>REPLACE(Transactions!M3211,1,4,"")</f>
        <v>1</v>
      </c>
    </row>
    <row r="3212" spans="1:13" x14ac:dyDescent="0.2">
      <c r="A3212">
        <v>631327</v>
      </c>
      <c r="B3212" s="5">
        <v>45340</v>
      </c>
      <c r="C3212">
        <v>95525</v>
      </c>
      <c r="D3212" t="str">
        <f>PROPER(Transactions!D3212)</f>
        <v>Sports</v>
      </c>
      <c r="E3212" t="s">
        <v>155</v>
      </c>
      <c r="F3212" t="s">
        <v>156</v>
      </c>
      <c r="G3212">
        <v>1</v>
      </c>
      <c r="H3212">
        <v>19.989999999999998</v>
      </c>
      <c r="I3212" s="7">
        <f>IF(Transactions!I3212="",0,Transactions!I3212)</f>
        <v>0</v>
      </c>
      <c r="J3212" s="9">
        <f t="shared" si="50"/>
        <v>19.989999999999998</v>
      </c>
      <c r="K3212" t="s">
        <v>36</v>
      </c>
      <c r="L3212" t="s">
        <v>17</v>
      </c>
      <c r="M3212" t="str">
        <f>REPLACE(Transactions!M3212,1,4,"")</f>
        <v>6</v>
      </c>
    </row>
    <row r="3213" spans="1:13" x14ac:dyDescent="0.2">
      <c r="A3213">
        <v>631331</v>
      </c>
      <c r="B3213" s="5">
        <v>45283</v>
      </c>
      <c r="C3213">
        <v>83608</v>
      </c>
      <c r="D3213" t="str">
        <f>PROPER(Transactions!D3213)</f>
        <v>Electronics</v>
      </c>
      <c r="E3213" t="s">
        <v>55</v>
      </c>
      <c r="F3213" t="s">
        <v>56</v>
      </c>
      <c r="G3213">
        <v>1</v>
      </c>
      <c r="H3213">
        <v>280.49</v>
      </c>
      <c r="I3213" s="7">
        <f>IF(Transactions!I3213="",0,Transactions!I3213)</f>
        <v>0.15</v>
      </c>
      <c r="J3213" s="9">
        <f t="shared" si="50"/>
        <v>238.41650000000001</v>
      </c>
      <c r="K3213" t="s">
        <v>16</v>
      </c>
      <c r="L3213" t="s">
        <v>23</v>
      </c>
      <c r="M3213" t="str">
        <f>REPLACE(Transactions!M3213,1,4,"")</f>
        <v>17</v>
      </c>
    </row>
    <row r="3214" spans="1:13" x14ac:dyDescent="0.2">
      <c r="A3214">
        <v>631363</v>
      </c>
      <c r="B3214" s="5">
        <v>45116</v>
      </c>
      <c r="C3214">
        <v>26401</v>
      </c>
      <c r="D3214" t="str">
        <f>PROPER(Transactions!D3214)</f>
        <v>Furniture</v>
      </c>
      <c r="E3214" t="s">
        <v>60</v>
      </c>
      <c r="F3214" t="s">
        <v>61</v>
      </c>
      <c r="G3214">
        <v>5</v>
      </c>
      <c r="H3214">
        <v>41.24</v>
      </c>
      <c r="I3214" s="7">
        <f>IF(Transactions!I3214="",0,Transactions!I3214)</f>
        <v>0.25</v>
      </c>
      <c r="J3214" s="9">
        <f t="shared" si="50"/>
        <v>154.65</v>
      </c>
      <c r="K3214" t="s">
        <v>16</v>
      </c>
      <c r="L3214" t="s">
        <v>17</v>
      </c>
      <c r="M3214" t="str">
        <f>REPLACE(Transactions!M3214,1,4,"")</f>
        <v>2</v>
      </c>
    </row>
    <row r="3215" spans="1:13" x14ac:dyDescent="0.2">
      <c r="A3215">
        <v>631395</v>
      </c>
      <c r="B3215" s="5">
        <v>45320</v>
      </c>
      <c r="C3215">
        <v>45289</v>
      </c>
      <c r="D3215" t="str">
        <f>PROPER(Transactions!D3215)</f>
        <v>Automotive</v>
      </c>
      <c r="E3215" t="s">
        <v>64</v>
      </c>
      <c r="F3215" t="s">
        <v>65</v>
      </c>
      <c r="G3215">
        <v>4</v>
      </c>
      <c r="H3215">
        <v>4.99</v>
      </c>
      <c r="I3215" s="7">
        <f>IF(Transactions!I3215="",0,Transactions!I3215)</f>
        <v>0</v>
      </c>
      <c r="J3215" s="9">
        <f t="shared" si="50"/>
        <v>19.96</v>
      </c>
      <c r="K3215" t="s">
        <v>53</v>
      </c>
      <c r="L3215" t="s">
        <v>17</v>
      </c>
      <c r="M3215" t="str">
        <f>REPLACE(Transactions!M3215,1,4,"")</f>
        <v>14</v>
      </c>
    </row>
    <row r="3216" spans="1:13" x14ac:dyDescent="0.2">
      <c r="A3216">
        <v>631691</v>
      </c>
      <c r="B3216" s="5">
        <v>45017</v>
      </c>
      <c r="C3216">
        <v>98091</v>
      </c>
      <c r="D3216" t="str">
        <f>PROPER(Transactions!D3216)</f>
        <v>Clothing</v>
      </c>
      <c r="E3216" t="s">
        <v>98</v>
      </c>
      <c r="F3216" t="s">
        <v>99</v>
      </c>
      <c r="G3216">
        <v>1</v>
      </c>
      <c r="H3216">
        <v>27.99</v>
      </c>
      <c r="I3216" s="7">
        <f>IF(Transactions!I3216="",0,Transactions!I3216)</f>
        <v>0</v>
      </c>
      <c r="J3216" s="9">
        <f t="shared" si="50"/>
        <v>27.99</v>
      </c>
      <c r="K3216" t="s">
        <v>22</v>
      </c>
      <c r="L3216" t="s">
        <v>17</v>
      </c>
      <c r="M3216" t="str">
        <f>REPLACE(Transactions!M3216,1,4,"")</f>
        <v>7</v>
      </c>
    </row>
    <row r="3217" spans="1:13" x14ac:dyDescent="0.2">
      <c r="A3217">
        <v>631767</v>
      </c>
      <c r="B3217" s="5">
        <v>45655</v>
      </c>
      <c r="C3217">
        <v>42650</v>
      </c>
      <c r="D3217" t="str">
        <f>PROPER(Transactions!D3217)</f>
        <v>Sports</v>
      </c>
      <c r="E3217" t="s">
        <v>147</v>
      </c>
      <c r="F3217" t="s">
        <v>148</v>
      </c>
      <c r="G3217">
        <v>3</v>
      </c>
      <c r="H3217">
        <v>11.69</v>
      </c>
      <c r="I3217" s="7">
        <f>IF(Transactions!I3217="",0,Transactions!I3217)</f>
        <v>0.1</v>
      </c>
      <c r="J3217" s="9">
        <f t="shared" si="50"/>
        <v>31.563000000000002</v>
      </c>
      <c r="K3217" t="s">
        <v>16</v>
      </c>
      <c r="L3217" t="s">
        <v>17</v>
      </c>
      <c r="M3217" t="str">
        <f>REPLACE(Transactions!M3217,1,4,"")</f>
        <v>20</v>
      </c>
    </row>
    <row r="3218" spans="1:13" x14ac:dyDescent="0.2">
      <c r="A3218">
        <v>631825</v>
      </c>
      <c r="B3218" s="5">
        <v>44723</v>
      </c>
      <c r="C3218">
        <v>57193</v>
      </c>
      <c r="D3218" t="str">
        <f>PROPER(Transactions!D3218)</f>
        <v>Clothing</v>
      </c>
      <c r="E3218" t="s">
        <v>121</v>
      </c>
      <c r="F3218" t="s">
        <v>122</v>
      </c>
      <c r="G3218">
        <v>4</v>
      </c>
      <c r="H3218">
        <v>12.99</v>
      </c>
      <c r="I3218" s="7">
        <f>IF(Transactions!I3218="",0,Transactions!I3218)</f>
        <v>0</v>
      </c>
      <c r="J3218" s="9">
        <f t="shared" si="50"/>
        <v>51.96</v>
      </c>
      <c r="K3218" t="s">
        <v>36</v>
      </c>
      <c r="L3218" t="s">
        <v>17</v>
      </c>
      <c r="M3218" t="str">
        <f>REPLACE(Transactions!M3218,1,4,"")</f>
        <v>16</v>
      </c>
    </row>
    <row r="3219" spans="1:13" x14ac:dyDescent="0.2">
      <c r="A3219">
        <v>631850</v>
      </c>
      <c r="B3219" s="5">
        <v>45073</v>
      </c>
      <c r="D3219" t="str">
        <f>PROPER(Transactions!D3219)</f>
        <v>Electronics</v>
      </c>
      <c r="E3219" t="s">
        <v>104</v>
      </c>
      <c r="F3219" t="s">
        <v>105</v>
      </c>
      <c r="G3219">
        <v>1</v>
      </c>
      <c r="H3219">
        <v>23.99</v>
      </c>
      <c r="I3219" s="7">
        <f>IF(Transactions!I3219="",0,Transactions!I3219)</f>
        <v>0.2</v>
      </c>
      <c r="J3219" s="9">
        <f t="shared" si="50"/>
        <v>19.192</v>
      </c>
      <c r="K3219" t="s">
        <v>36</v>
      </c>
      <c r="L3219" t="s">
        <v>23</v>
      </c>
      <c r="M3219" t="str">
        <f>REPLACE(Transactions!M3219,1,4,"")</f>
        <v>9</v>
      </c>
    </row>
    <row r="3220" spans="1:13" x14ac:dyDescent="0.2">
      <c r="A3220">
        <v>632450</v>
      </c>
      <c r="B3220" s="5">
        <v>44904</v>
      </c>
      <c r="C3220">
        <v>72037</v>
      </c>
      <c r="D3220" t="str">
        <f>PROPER(Transactions!D3220)</f>
        <v>Home &amp; Garden</v>
      </c>
      <c r="E3220" t="s">
        <v>153</v>
      </c>
      <c r="F3220" t="s">
        <v>154</v>
      </c>
      <c r="G3220">
        <v>1</v>
      </c>
      <c r="H3220">
        <v>22.49</v>
      </c>
      <c r="I3220" s="7">
        <f>IF(Transactions!I3220="",0,Transactions!I3220)</f>
        <v>0.25</v>
      </c>
      <c r="J3220" s="9">
        <f t="shared" si="50"/>
        <v>16.8675</v>
      </c>
      <c r="K3220" t="s">
        <v>53</v>
      </c>
      <c r="L3220" t="s">
        <v>17</v>
      </c>
      <c r="M3220" t="str">
        <f>REPLACE(Transactions!M3220,1,4,"")</f>
        <v>18</v>
      </c>
    </row>
    <row r="3221" spans="1:13" x14ac:dyDescent="0.2">
      <c r="A3221">
        <v>632478</v>
      </c>
      <c r="B3221" s="5">
        <v>44959</v>
      </c>
      <c r="C3221">
        <v>53107</v>
      </c>
      <c r="D3221" t="str">
        <f>PROPER(Transactions!D3221)</f>
        <v>Grocery</v>
      </c>
      <c r="E3221" t="s">
        <v>162</v>
      </c>
      <c r="F3221" t="s">
        <v>163</v>
      </c>
      <c r="G3221">
        <v>1</v>
      </c>
      <c r="H3221">
        <v>6.79</v>
      </c>
      <c r="I3221" s="7">
        <f>IF(Transactions!I3221="",0,Transactions!I3221)</f>
        <v>0.15</v>
      </c>
      <c r="J3221" s="9">
        <f t="shared" si="50"/>
        <v>5.7714999999999996</v>
      </c>
      <c r="K3221" t="s">
        <v>36</v>
      </c>
      <c r="L3221" t="s">
        <v>37</v>
      </c>
      <c r="M3221" t="str">
        <f>REPLACE(Transactions!M3221,1,4,"")</f>
        <v>15</v>
      </c>
    </row>
    <row r="3222" spans="1:13" x14ac:dyDescent="0.2">
      <c r="A3222">
        <v>632668</v>
      </c>
      <c r="B3222" s="5">
        <v>45628</v>
      </c>
      <c r="C3222">
        <v>83812</v>
      </c>
      <c r="D3222" t="str">
        <f>PROPER(Transactions!D3222)</f>
        <v>Toys</v>
      </c>
      <c r="E3222" t="s">
        <v>175</v>
      </c>
      <c r="F3222" t="s">
        <v>176</v>
      </c>
      <c r="G3222">
        <v>5</v>
      </c>
      <c r="H3222">
        <v>10.19</v>
      </c>
      <c r="I3222" s="7">
        <f>IF(Transactions!I3222="",0,Transactions!I3222)</f>
        <v>0.15</v>
      </c>
      <c r="J3222" s="9">
        <f t="shared" si="50"/>
        <v>43.307499999999997</v>
      </c>
      <c r="K3222" t="s">
        <v>36</v>
      </c>
      <c r="L3222" t="s">
        <v>17</v>
      </c>
      <c r="M3222" t="str">
        <f>REPLACE(Transactions!M3222,1,4,"")</f>
        <v>8</v>
      </c>
    </row>
    <row r="3223" spans="1:13" x14ac:dyDescent="0.2">
      <c r="A3223">
        <v>632684</v>
      </c>
      <c r="B3223" s="5">
        <v>45462</v>
      </c>
      <c r="C3223">
        <v>68026</v>
      </c>
      <c r="D3223" t="str">
        <f>PROPER(Transactions!D3223)</f>
        <v>Toys</v>
      </c>
      <c r="E3223" t="s">
        <v>175</v>
      </c>
      <c r="F3223" t="s">
        <v>176</v>
      </c>
      <c r="G3223">
        <v>5</v>
      </c>
      <c r="H3223">
        <v>8.39</v>
      </c>
      <c r="I3223" s="7">
        <f>IF(Transactions!I3223="",0,Transactions!I3223)</f>
        <v>0.3</v>
      </c>
      <c r="J3223" s="9">
        <f t="shared" si="50"/>
        <v>29.364999999999998</v>
      </c>
      <c r="K3223" t="s">
        <v>16</v>
      </c>
      <c r="L3223" t="s">
        <v>17</v>
      </c>
      <c r="M3223" t="str">
        <f>REPLACE(Transactions!M3223,1,4,"")</f>
        <v>14</v>
      </c>
    </row>
    <row r="3224" spans="1:13" x14ac:dyDescent="0.2">
      <c r="A3224">
        <v>632794</v>
      </c>
      <c r="B3224" s="5">
        <v>44583</v>
      </c>
      <c r="C3224">
        <v>17173</v>
      </c>
      <c r="D3224" t="str">
        <f>PROPER(Transactions!D3224)</f>
        <v>Grocery</v>
      </c>
      <c r="E3224" t="s">
        <v>184</v>
      </c>
      <c r="F3224" t="s">
        <v>185</v>
      </c>
      <c r="G3224">
        <v>2</v>
      </c>
      <c r="H3224">
        <v>5.49</v>
      </c>
      <c r="I3224" s="7">
        <f>IF(Transactions!I3224="",0,Transactions!I3224)</f>
        <v>0</v>
      </c>
      <c r="J3224" s="9">
        <f t="shared" si="50"/>
        <v>10.98</v>
      </c>
      <c r="K3224" t="s">
        <v>36</v>
      </c>
      <c r="L3224" t="s">
        <v>23</v>
      </c>
      <c r="M3224" t="str">
        <f>REPLACE(Transactions!M3224,1,4,"")</f>
        <v/>
      </c>
    </row>
    <row r="3225" spans="1:13" x14ac:dyDescent="0.2">
      <c r="A3225">
        <v>632990</v>
      </c>
      <c r="B3225" s="5">
        <v>45562</v>
      </c>
      <c r="C3225">
        <v>95418</v>
      </c>
      <c r="D3225" t="str">
        <f>PROPER(Transactions!D3225)</f>
        <v>Automotive</v>
      </c>
      <c r="E3225" t="s">
        <v>125</v>
      </c>
      <c r="F3225" t="s">
        <v>126</v>
      </c>
      <c r="G3225">
        <v>1</v>
      </c>
      <c r="H3225">
        <v>25.49</v>
      </c>
      <c r="I3225" s="7">
        <f>IF(Transactions!I3225="",0,Transactions!I3225)</f>
        <v>0.15</v>
      </c>
      <c r="J3225" s="9">
        <f t="shared" si="50"/>
        <v>21.666499999999999</v>
      </c>
      <c r="K3225" t="s">
        <v>32</v>
      </c>
      <c r="L3225" t="s">
        <v>17</v>
      </c>
      <c r="M3225" t="str">
        <f>REPLACE(Transactions!M3225,1,4,"")</f>
        <v>19</v>
      </c>
    </row>
    <row r="3226" spans="1:13" x14ac:dyDescent="0.2">
      <c r="A3226">
        <v>633008</v>
      </c>
      <c r="B3226" s="5">
        <v>44806</v>
      </c>
      <c r="C3226">
        <v>29229</v>
      </c>
      <c r="D3226" t="str">
        <f>PROPER(Transactions!D3226)</f>
        <v>Toys</v>
      </c>
      <c r="E3226" t="s">
        <v>38</v>
      </c>
      <c r="F3226" t="s">
        <v>39</v>
      </c>
      <c r="G3226">
        <v>1</v>
      </c>
      <c r="H3226">
        <v>22.49</v>
      </c>
      <c r="I3226" s="7">
        <f>IF(Transactions!I3226="",0,Transactions!I3226)</f>
        <v>0</v>
      </c>
      <c r="J3226" s="9">
        <f t="shared" si="50"/>
        <v>22.49</v>
      </c>
      <c r="K3226" t="s">
        <v>36</v>
      </c>
      <c r="L3226" t="s">
        <v>37</v>
      </c>
      <c r="M3226" t="str">
        <f>REPLACE(Transactions!M3226,1,4,"")</f>
        <v>2</v>
      </c>
    </row>
    <row r="3227" spans="1:13" x14ac:dyDescent="0.2">
      <c r="A3227">
        <v>633469</v>
      </c>
      <c r="B3227" s="5">
        <v>44884</v>
      </c>
      <c r="C3227">
        <v>41029</v>
      </c>
      <c r="D3227" t="str">
        <f>PROPER(Transactions!D3227)</f>
        <v>Clothing</v>
      </c>
      <c r="E3227" t="s">
        <v>165</v>
      </c>
      <c r="F3227" t="s">
        <v>166</v>
      </c>
      <c r="G3227">
        <v>4</v>
      </c>
      <c r="H3227">
        <v>89.99</v>
      </c>
      <c r="I3227" s="7">
        <f>IF(Transactions!I3227="",0,Transactions!I3227)</f>
        <v>0</v>
      </c>
      <c r="J3227" s="9">
        <f t="shared" si="50"/>
        <v>359.96</v>
      </c>
      <c r="K3227" t="s">
        <v>22</v>
      </c>
      <c r="L3227" t="s">
        <v>23</v>
      </c>
      <c r="M3227" t="str">
        <f>REPLACE(Transactions!M3227,1,4,"")</f>
        <v>3</v>
      </c>
    </row>
    <row r="3228" spans="1:13" x14ac:dyDescent="0.2">
      <c r="A3228">
        <v>633524</v>
      </c>
      <c r="B3228" s="5">
        <v>45231</v>
      </c>
      <c r="C3228">
        <v>96501</v>
      </c>
      <c r="D3228" t="str">
        <f>PROPER(Transactions!D3228)</f>
        <v>Electronics</v>
      </c>
      <c r="E3228" t="s">
        <v>77</v>
      </c>
      <c r="F3228" t="s">
        <v>78</v>
      </c>
      <c r="G3228">
        <v>5</v>
      </c>
      <c r="H3228">
        <v>399.99</v>
      </c>
      <c r="I3228" s="7">
        <f>IF(Transactions!I3228="",0,Transactions!I3228)</f>
        <v>0.2</v>
      </c>
      <c r="J3228" s="9">
        <f t="shared" si="50"/>
        <v>1599.96</v>
      </c>
      <c r="K3228" t="s">
        <v>36</v>
      </c>
      <c r="L3228" t="s">
        <v>17</v>
      </c>
      <c r="M3228" t="str">
        <f>REPLACE(Transactions!M3228,1,4,"")</f>
        <v>3</v>
      </c>
    </row>
    <row r="3229" spans="1:13" x14ac:dyDescent="0.2">
      <c r="A3229">
        <v>633595</v>
      </c>
      <c r="B3229" s="5">
        <v>45530</v>
      </c>
      <c r="C3229">
        <v>64784</v>
      </c>
      <c r="D3229" t="str">
        <f>PROPER(Transactions!D3229)</f>
        <v>Sports</v>
      </c>
      <c r="E3229" t="s">
        <v>155</v>
      </c>
      <c r="F3229" t="s">
        <v>156</v>
      </c>
      <c r="G3229">
        <v>1</v>
      </c>
      <c r="H3229">
        <v>14.99</v>
      </c>
      <c r="I3229" s="7">
        <f>IF(Transactions!I3229="",0,Transactions!I3229)</f>
        <v>0.25</v>
      </c>
      <c r="J3229" s="9">
        <f t="shared" si="50"/>
        <v>11.2425</v>
      </c>
      <c r="K3229" t="s">
        <v>32</v>
      </c>
      <c r="L3229" t="s">
        <v>37</v>
      </c>
      <c r="M3229" t="str">
        <f>REPLACE(Transactions!M3229,1,4,"")</f>
        <v>11</v>
      </c>
    </row>
    <row r="3230" spans="1:13" x14ac:dyDescent="0.2">
      <c r="A3230">
        <v>633737</v>
      </c>
      <c r="B3230" s="5">
        <v>44939</v>
      </c>
      <c r="C3230">
        <v>18043</v>
      </c>
      <c r="D3230" t="str">
        <f>PROPER(Transactions!D3230)</f>
        <v>Clothing</v>
      </c>
      <c r="E3230" t="s">
        <v>193</v>
      </c>
      <c r="F3230" t="s">
        <v>194</v>
      </c>
      <c r="G3230">
        <v>2</v>
      </c>
      <c r="H3230">
        <v>45.49</v>
      </c>
      <c r="I3230" s="7">
        <f>IF(Transactions!I3230="",0,Transactions!I3230)</f>
        <v>0.3</v>
      </c>
      <c r="J3230" s="9">
        <f t="shared" si="50"/>
        <v>63.686</v>
      </c>
      <c r="K3230" t="s">
        <v>16</v>
      </c>
      <c r="L3230" t="s">
        <v>23</v>
      </c>
      <c r="M3230" t="str">
        <f>REPLACE(Transactions!M3230,1,4,"")</f>
        <v>16</v>
      </c>
    </row>
    <row r="3231" spans="1:13" x14ac:dyDescent="0.2">
      <c r="A3231">
        <v>633812</v>
      </c>
      <c r="B3231" s="5">
        <v>45561</v>
      </c>
      <c r="C3231">
        <v>11759</v>
      </c>
      <c r="D3231" t="str">
        <f>PROPER(Transactions!D3231)</f>
        <v>Clothing</v>
      </c>
      <c r="E3231" t="s">
        <v>121</v>
      </c>
      <c r="F3231" t="s">
        <v>122</v>
      </c>
      <c r="G3231">
        <v>2</v>
      </c>
      <c r="H3231">
        <v>9.74</v>
      </c>
      <c r="I3231" s="7">
        <f>IF(Transactions!I3231="",0,Transactions!I3231)</f>
        <v>0.25</v>
      </c>
      <c r="J3231" s="9">
        <f t="shared" si="50"/>
        <v>14.61</v>
      </c>
      <c r="K3231" t="s">
        <v>16</v>
      </c>
      <c r="L3231" t="s">
        <v>23</v>
      </c>
      <c r="M3231" t="str">
        <f>REPLACE(Transactions!M3231,1,4,"")</f>
        <v>5</v>
      </c>
    </row>
    <row r="3232" spans="1:13" x14ac:dyDescent="0.2">
      <c r="A3232">
        <v>633949</v>
      </c>
      <c r="B3232" s="5">
        <v>45286</v>
      </c>
      <c r="C3232">
        <v>48767</v>
      </c>
      <c r="D3232" t="str">
        <f>PROPER(Transactions!D3232)</f>
        <v>Electronics</v>
      </c>
      <c r="E3232" t="s">
        <v>77</v>
      </c>
      <c r="F3232" t="s">
        <v>78</v>
      </c>
      <c r="G3232">
        <v>2</v>
      </c>
      <c r="H3232">
        <v>474.99</v>
      </c>
      <c r="I3232" s="7">
        <f>IF(Transactions!I3232="",0,Transactions!I3232)</f>
        <v>0.05</v>
      </c>
      <c r="J3232" s="9">
        <f t="shared" si="50"/>
        <v>902.48099999999999</v>
      </c>
      <c r="K3232" t="s">
        <v>36</v>
      </c>
      <c r="L3232" t="s">
        <v>17</v>
      </c>
      <c r="M3232" t="str">
        <f>REPLACE(Transactions!M3232,1,4,"")</f>
        <v>6</v>
      </c>
    </row>
    <row r="3233" spans="1:13" x14ac:dyDescent="0.2">
      <c r="A3233">
        <v>634148</v>
      </c>
      <c r="B3233" s="5">
        <v>45174</v>
      </c>
      <c r="C3233">
        <v>60044</v>
      </c>
      <c r="D3233" t="str">
        <f>PROPER(Transactions!D3233)</f>
        <v>Beauty</v>
      </c>
      <c r="E3233" t="s">
        <v>143</v>
      </c>
      <c r="F3233" t="s">
        <v>144</v>
      </c>
      <c r="G3233">
        <v>1</v>
      </c>
      <c r="H3233">
        <v>14.24</v>
      </c>
      <c r="I3233" s="7">
        <f>IF(Transactions!I3233="",0,Transactions!I3233)</f>
        <v>0.05</v>
      </c>
      <c r="J3233" s="9">
        <f t="shared" si="50"/>
        <v>13.527999999999999</v>
      </c>
      <c r="K3233" t="s">
        <v>66</v>
      </c>
      <c r="L3233" t="s">
        <v>37</v>
      </c>
      <c r="M3233" t="str">
        <f>REPLACE(Transactions!M3233,1,4,"")</f>
        <v>17</v>
      </c>
    </row>
    <row r="3234" spans="1:13" x14ac:dyDescent="0.2">
      <c r="A3234">
        <v>634258</v>
      </c>
      <c r="B3234" s="5">
        <v>45342</v>
      </c>
      <c r="C3234">
        <v>63145</v>
      </c>
      <c r="D3234" t="str">
        <f>PROPER(Transactions!D3234)</f>
        <v>Home &amp; Garden</v>
      </c>
      <c r="E3234" t="s">
        <v>137</v>
      </c>
      <c r="F3234" t="s">
        <v>138</v>
      </c>
      <c r="G3234">
        <v>5</v>
      </c>
      <c r="H3234">
        <v>7.99</v>
      </c>
      <c r="I3234" s="7">
        <f>IF(Transactions!I3234="",0,Transactions!I3234)</f>
        <v>0</v>
      </c>
      <c r="J3234" s="9">
        <f t="shared" si="50"/>
        <v>39.950000000000003</v>
      </c>
      <c r="K3234" t="s">
        <v>36</v>
      </c>
      <c r="L3234" t="s">
        <v>23</v>
      </c>
      <c r="M3234" t="str">
        <f>REPLACE(Transactions!M3234,1,4,"")</f>
        <v>4</v>
      </c>
    </row>
    <row r="3235" spans="1:13" x14ac:dyDescent="0.2">
      <c r="A3235">
        <v>634479</v>
      </c>
      <c r="B3235" s="5">
        <v>44868</v>
      </c>
      <c r="C3235">
        <v>51077</v>
      </c>
      <c r="D3235" t="str">
        <f>PROPER(Transactions!D3235)</f>
        <v>Pharmacy</v>
      </c>
      <c r="E3235" t="s">
        <v>115</v>
      </c>
      <c r="F3235" t="s">
        <v>116</v>
      </c>
      <c r="G3235">
        <v>2</v>
      </c>
      <c r="H3235">
        <v>12.99</v>
      </c>
      <c r="I3235" s="7">
        <f>IF(Transactions!I3235="",0,Transactions!I3235)</f>
        <v>0</v>
      </c>
      <c r="J3235" s="9">
        <f t="shared" si="50"/>
        <v>25.98</v>
      </c>
      <c r="K3235" t="s">
        <v>16</v>
      </c>
      <c r="L3235" t="s">
        <v>17</v>
      </c>
      <c r="M3235" t="str">
        <f>REPLACE(Transactions!M3235,1,4,"")</f>
        <v>5</v>
      </c>
    </row>
    <row r="3236" spans="1:13" x14ac:dyDescent="0.2">
      <c r="A3236">
        <v>634509</v>
      </c>
      <c r="B3236" s="5">
        <v>45187</v>
      </c>
      <c r="C3236">
        <v>35206</v>
      </c>
      <c r="D3236" t="str">
        <f>PROPER(Transactions!D3236)</f>
        <v>Furniture</v>
      </c>
      <c r="E3236" t="s">
        <v>26</v>
      </c>
      <c r="F3236" t="s">
        <v>27</v>
      </c>
      <c r="G3236">
        <v>1</v>
      </c>
      <c r="H3236">
        <v>24.49</v>
      </c>
      <c r="I3236" s="7">
        <f>IF(Transactions!I3236="",0,Transactions!I3236)</f>
        <v>0.3</v>
      </c>
      <c r="J3236" s="9">
        <f t="shared" si="50"/>
        <v>17.142999999999997</v>
      </c>
      <c r="K3236" t="s">
        <v>36</v>
      </c>
      <c r="L3236" t="s">
        <v>17</v>
      </c>
      <c r="M3236" t="str">
        <f>REPLACE(Transactions!M3236,1,4,"")</f>
        <v>20</v>
      </c>
    </row>
    <row r="3237" spans="1:13" x14ac:dyDescent="0.2">
      <c r="A3237">
        <v>634628</v>
      </c>
      <c r="B3237" s="5">
        <v>45033</v>
      </c>
      <c r="C3237">
        <v>76082</v>
      </c>
      <c r="D3237" t="str">
        <f>PROPER(Transactions!D3237)</f>
        <v>Grocery</v>
      </c>
      <c r="E3237" t="s">
        <v>133</v>
      </c>
      <c r="F3237" t="s">
        <v>134</v>
      </c>
      <c r="G3237">
        <v>2</v>
      </c>
      <c r="H3237">
        <v>3.41</v>
      </c>
      <c r="I3237" s="7">
        <f>IF(Transactions!I3237="",0,Transactions!I3237)</f>
        <v>0</v>
      </c>
      <c r="J3237" s="9">
        <f t="shared" si="50"/>
        <v>6.82</v>
      </c>
      <c r="K3237" t="s">
        <v>95</v>
      </c>
      <c r="L3237" t="s">
        <v>17</v>
      </c>
      <c r="M3237" t="str">
        <f>REPLACE(Transactions!M3237,1,4,"")</f>
        <v/>
      </c>
    </row>
    <row r="3238" spans="1:13" x14ac:dyDescent="0.2">
      <c r="A3238">
        <v>634714</v>
      </c>
      <c r="B3238" s="5">
        <v>44757</v>
      </c>
      <c r="C3238">
        <v>55434</v>
      </c>
      <c r="D3238" t="str">
        <f>PROPER(Transactions!D3238)</f>
        <v>Furniture</v>
      </c>
      <c r="E3238" t="s">
        <v>51</v>
      </c>
      <c r="F3238" t="s">
        <v>52</v>
      </c>
      <c r="G3238">
        <v>2</v>
      </c>
      <c r="H3238">
        <v>27.99</v>
      </c>
      <c r="I3238" s="7">
        <f>IF(Transactions!I3238="",0,Transactions!I3238)</f>
        <v>0</v>
      </c>
      <c r="J3238" s="9">
        <f t="shared" si="50"/>
        <v>55.98</v>
      </c>
      <c r="K3238" t="s">
        <v>36</v>
      </c>
      <c r="L3238" t="s">
        <v>17</v>
      </c>
      <c r="M3238" t="str">
        <f>REPLACE(Transactions!M3238,1,4,"")</f>
        <v>14</v>
      </c>
    </row>
    <row r="3239" spans="1:13" x14ac:dyDescent="0.2">
      <c r="A3239">
        <v>635207</v>
      </c>
      <c r="B3239" s="5">
        <v>45377</v>
      </c>
      <c r="C3239">
        <v>36990</v>
      </c>
      <c r="D3239" t="str">
        <f>PROPER(Transactions!D3239)</f>
        <v>Automotive</v>
      </c>
      <c r="E3239" t="s">
        <v>125</v>
      </c>
      <c r="F3239" t="s">
        <v>126</v>
      </c>
      <c r="G3239">
        <v>4</v>
      </c>
      <c r="H3239">
        <v>29.99</v>
      </c>
      <c r="I3239" s="7">
        <f>IF(Transactions!I3239="",0,Transactions!I3239)</f>
        <v>0</v>
      </c>
      <c r="J3239" s="9">
        <f t="shared" si="50"/>
        <v>119.96</v>
      </c>
      <c r="K3239" t="s">
        <v>36</v>
      </c>
      <c r="L3239" t="s">
        <v>37</v>
      </c>
      <c r="M3239" t="str">
        <f>REPLACE(Transactions!M3239,1,4,"")</f>
        <v>13</v>
      </c>
    </row>
    <row r="3240" spans="1:13" x14ac:dyDescent="0.2">
      <c r="A3240">
        <v>635228</v>
      </c>
      <c r="B3240" s="5">
        <v>45523</v>
      </c>
      <c r="C3240">
        <v>70678</v>
      </c>
      <c r="D3240" t="str">
        <f>PROPER(Transactions!D3240)</f>
        <v>Pharmacy</v>
      </c>
      <c r="E3240" t="s">
        <v>58</v>
      </c>
      <c r="F3240" t="s">
        <v>59</v>
      </c>
      <c r="G3240">
        <v>2</v>
      </c>
      <c r="H3240">
        <v>3.79</v>
      </c>
      <c r="I3240" s="7">
        <f>IF(Transactions!I3240="",0,Transactions!I3240)</f>
        <v>0.05</v>
      </c>
      <c r="J3240" s="9">
        <f t="shared" si="50"/>
        <v>7.2009999999999996</v>
      </c>
      <c r="K3240" t="s">
        <v>22</v>
      </c>
      <c r="L3240" t="s">
        <v>17</v>
      </c>
      <c r="M3240" t="str">
        <f>REPLACE(Transactions!M3240,1,4,"")</f>
        <v>15</v>
      </c>
    </row>
    <row r="3241" spans="1:13" x14ac:dyDescent="0.2">
      <c r="A3241">
        <v>635326</v>
      </c>
      <c r="B3241" s="5">
        <v>45203</v>
      </c>
      <c r="C3241">
        <v>59370</v>
      </c>
      <c r="D3241" t="str">
        <f>PROPER(Transactions!D3241)</f>
        <v>Clothing</v>
      </c>
      <c r="E3241" t="s">
        <v>141</v>
      </c>
      <c r="F3241" t="s">
        <v>142</v>
      </c>
      <c r="G3241">
        <v>3</v>
      </c>
      <c r="H3241">
        <v>22.99</v>
      </c>
      <c r="I3241" s="7">
        <f>IF(Transactions!I3241="",0,Transactions!I3241)</f>
        <v>0</v>
      </c>
      <c r="J3241" s="9">
        <f t="shared" si="50"/>
        <v>68.97</v>
      </c>
      <c r="K3241" t="s">
        <v>36</v>
      </c>
      <c r="L3241" t="s">
        <v>17</v>
      </c>
      <c r="M3241" t="str">
        <f>REPLACE(Transactions!M3241,1,4,"")</f>
        <v>2</v>
      </c>
    </row>
    <row r="3242" spans="1:13" x14ac:dyDescent="0.2">
      <c r="A3242">
        <v>635501</v>
      </c>
      <c r="B3242" s="5">
        <v>44951</v>
      </c>
      <c r="C3242">
        <v>13582</v>
      </c>
      <c r="D3242" t="str">
        <f>PROPER(Transactions!D3242)</f>
        <v>Sports</v>
      </c>
      <c r="E3242" t="s">
        <v>100</v>
      </c>
      <c r="F3242" t="s">
        <v>101</v>
      </c>
      <c r="G3242">
        <v>2</v>
      </c>
      <c r="H3242">
        <v>17.239999999999998</v>
      </c>
      <c r="I3242" s="7">
        <f>IF(Transactions!I3242="",0,Transactions!I3242)</f>
        <v>0.25</v>
      </c>
      <c r="J3242" s="9">
        <f t="shared" si="50"/>
        <v>25.86</v>
      </c>
      <c r="K3242" t="s">
        <v>95</v>
      </c>
      <c r="L3242" t="s">
        <v>17</v>
      </c>
      <c r="M3242" t="str">
        <f>REPLACE(Transactions!M3242,1,4,"")</f>
        <v>19</v>
      </c>
    </row>
    <row r="3243" spans="1:13" x14ac:dyDescent="0.2">
      <c r="A3243">
        <v>635646</v>
      </c>
      <c r="B3243" s="5">
        <v>44965</v>
      </c>
      <c r="C3243">
        <v>81740</v>
      </c>
      <c r="D3243" t="str">
        <f>PROPER(Transactions!D3243)</f>
        <v>Beauty</v>
      </c>
      <c r="E3243" t="s">
        <v>49</v>
      </c>
      <c r="F3243" t="s">
        <v>50</v>
      </c>
      <c r="G3243">
        <v>1</v>
      </c>
      <c r="H3243">
        <v>8.99</v>
      </c>
      <c r="I3243" s="7">
        <f>IF(Transactions!I3243="",0,Transactions!I3243)</f>
        <v>0</v>
      </c>
      <c r="J3243" s="9">
        <f t="shared" si="50"/>
        <v>8.99</v>
      </c>
      <c r="K3243" t="s">
        <v>66</v>
      </c>
      <c r="L3243" t="s">
        <v>17</v>
      </c>
      <c r="M3243" t="str">
        <f>REPLACE(Transactions!M3243,1,4,"")</f>
        <v>5</v>
      </c>
    </row>
    <row r="3244" spans="1:13" x14ac:dyDescent="0.2">
      <c r="A3244">
        <v>635836</v>
      </c>
      <c r="B3244" s="5">
        <v>45392</v>
      </c>
      <c r="C3244">
        <v>37525</v>
      </c>
      <c r="D3244" t="str">
        <f>PROPER(Transactions!D3244)</f>
        <v>Clothing</v>
      </c>
      <c r="E3244" t="s">
        <v>165</v>
      </c>
      <c r="F3244" t="s">
        <v>166</v>
      </c>
      <c r="G3244">
        <v>1</v>
      </c>
      <c r="H3244">
        <v>67.489999999999995</v>
      </c>
      <c r="I3244" s="7">
        <f>IF(Transactions!I3244="",0,Transactions!I3244)</f>
        <v>0.25</v>
      </c>
      <c r="J3244" s="9">
        <f t="shared" si="50"/>
        <v>50.617499999999993</v>
      </c>
      <c r="K3244" t="s">
        <v>16</v>
      </c>
      <c r="L3244" t="s">
        <v>17</v>
      </c>
      <c r="M3244" t="str">
        <f>REPLACE(Transactions!M3244,1,4,"")</f>
        <v>6</v>
      </c>
    </row>
    <row r="3245" spans="1:13" x14ac:dyDescent="0.2">
      <c r="A3245">
        <v>635894</v>
      </c>
      <c r="B3245" s="5">
        <v>45198</v>
      </c>
      <c r="C3245">
        <v>84494</v>
      </c>
      <c r="D3245" t="str">
        <f>PROPER(Transactions!D3245)</f>
        <v>Beauty</v>
      </c>
      <c r="E3245" t="s">
        <v>109</v>
      </c>
      <c r="F3245" t="s">
        <v>110</v>
      </c>
      <c r="G3245">
        <v>1</v>
      </c>
      <c r="H3245">
        <v>6.64</v>
      </c>
      <c r="I3245" s="7">
        <f>IF(Transactions!I3245="",0,Transactions!I3245)</f>
        <v>0.05</v>
      </c>
      <c r="J3245" s="9">
        <f t="shared" si="50"/>
        <v>6.3079999999999998</v>
      </c>
      <c r="K3245" t="s">
        <v>36</v>
      </c>
      <c r="L3245" t="s">
        <v>17</v>
      </c>
      <c r="M3245" t="str">
        <f>REPLACE(Transactions!M3245,1,4,"")</f>
        <v>20</v>
      </c>
    </row>
    <row r="3246" spans="1:13" x14ac:dyDescent="0.2">
      <c r="A3246">
        <v>636014</v>
      </c>
      <c r="B3246" s="5">
        <v>44566</v>
      </c>
      <c r="C3246">
        <v>76425</v>
      </c>
      <c r="D3246" t="str">
        <f>PROPER(Transactions!D3246)</f>
        <v>Automotive</v>
      </c>
      <c r="E3246" t="s">
        <v>111</v>
      </c>
      <c r="F3246" t="s">
        <v>112</v>
      </c>
      <c r="G3246">
        <v>3</v>
      </c>
      <c r="H3246">
        <v>11.24</v>
      </c>
      <c r="I3246" s="7">
        <f>IF(Transactions!I3246="",0,Transactions!I3246)</f>
        <v>0.25</v>
      </c>
      <c r="J3246" s="9">
        <f t="shared" si="50"/>
        <v>25.29</v>
      </c>
      <c r="K3246" t="s">
        <v>22</v>
      </c>
      <c r="L3246" t="s">
        <v>37</v>
      </c>
      <c r="M3246" t="str">
        <f>REPLACE(Transactions!M3246,1,4,"")</f>
        <v>9</v>
      </c>
    </row>
    <row r="3247" spans="1:13" x14ac:dyDescent="0.2">
      <c r="A3247">
        <v>636965</v>
      </c>
      <c r="B3247" s="5">
        <v>45410</v>
      </c>
      <c r="C3247">
        <v>34494</v>
      </c>
      <c r="D3247" t="str">
        <f>PROPER(Transactions!D3247)</f>
        <v>Clothing</v>
      </c>
      <c r="E3247" t="s">
        <v>141</v>
      </c>
      <c r="F3247" t="s">
        <v>142</v>
      </c>
      <c r="G3247">
        <v>1</v>
      </c>
      <c r="H3247">
        <v>22.99</v>
      </c>
      <c r="I3247" s="7">
        <f>IF(Transactions!I3247="",0,Transactions!I3247)</f>
        <v>0</v>
      </c>
      <c r="J3247" s="9">
        <f t="shared" si="50"/>
        <v>22.99</v>
      </c>
      <c r="K3247" t="s">
        <v>36</v>
      </c>
      <c r="L3247" t="s">
        <v>37</v>
      </c>
      <c r="M3247" t="str">
        <f>REPLACE(Transactions!M3247,1,4,"")</f>
        <v/>
      </c>
    </row>
    <row r="3248" spans="1:13" x14ac:dyDescent="0.2">
      <c r="A3248">
        <v>637331</v>
      </c>
      <c r="B3248" s="5">
        <v>45154</v>
      </c>
      <c r="C3248">
        <v>39462</v>
      </c>
      <c r="D3248" t="str">
        <f>PROPER(Transactions!D3248)</f>
        <v>Electronics</v>
      </c>
      <c r="E3248" t="s">
        <v>34</v>
      </c>
      <c r="F3248" t="s">
        <v>35</v>
      </c>
      <c r="G3248">
        <v>2</v>
      </c>
      <c r="H3248">
        <v>27.99</v>
      </c>
      <c r="I3248" s="7">
        <f>IF(Transactions!I3248="",0,Transactions!I3248)</f>
        <v>0.2</v>
      </c>
      <c r="J3248" s="9">
        <f t="shared" si="50"/>
        <v>44.783999999999999</v>
      </c>
      <c r="K3248" t="s">
        <v>36</v>
      </c>
      <c r="L3248" t="s">
        <v>17</v>
      </c>
      <c r="M3248" t="str">
        <f>REPLACE(Transactions!M3248,1,4,"")</f>
        <v>15</v>
      </c>
    </row>
    <row r="3249" spans="1:13" x14ac:dyDescent="0.2">
      <c r="A3249">
        <v>637549</v>
      </c>
      <c r="B3249" s="5">
        <v>45392</v>
      </c>
      <c r="C3249">
        <v>39829</v>
      </c>
      <c r="D3249" t="str">
        <f>PROPER(Transactions!D3249)</f>
        <v>Toys</v>
      </c>
      <c r="E3249" t="s">
        <v>30</v>
      </c>
      <c r="F3249" t="s">
        <v>31</v>
      </c>
      <c r="G3249">
        <v>2</v>
      </c>
      <c r="H3249">
        <v>24.99</v>
      </c>
      <c r="I3249" s="7">
        <f>IF(Transactions!I3249="",0,Transactions!I3249)</f>
        <v>0</v>
      </c>
      <c r="J3249" s="9">
        <f t="shared" si="50"/>
        <v>49.98</v>
      </c>
      <c r="K3249" t="s">
        <v>53</v>
      </c>
      <c r="L3249" t="s">
        <v>23</v>
      </c>
      <c r="M3249" t="str">
        <f>REPLACE(Transactions!M3249,1,4,"")</f>
        <v>12</v>
      </c>
    </row>
    <row r="3250" spans="1:13" x14ac:dyDescent="0.2">
      <c r="A3250">
        <v>638027</v>
      </c>
      <c r="B3250" s="5">
        <v>45136</v>
      </c>
      <c r="C3250">
        <v>43040</v>
      </c>
      <c r="D3250" t="str">
        <f>PROPER(Transactions!D3250)</f>
        <v>Clothing</v>
      </c>
      <c r="E3250" t="s">
        <v>135</v>
      </c>
      <c r="F3250" t="s">
        <v>136</v>
      </c>
      <c r="G3250">
        <v>2</v>
      </c>
      <c r="H3250">
        <v>9.99</v>
      </c>
      <c r="I3250" s="7">
        <f>IF(Transactions!I3250="",0,Transactions!I3250)</f>
        <v>0</v>
      </c>
      <c r="J3250" s="9">
        <f t="shared" si="50"/>
        <v>19.98</v>
      </c>
      <c r="K3250" t="s">
        <v>16</v>
      </c>
      <c r="L3250" t="s">
        <v>17</v>
      </c>
      <c r="M3250" t="str">
        <f>REPLACE(Transactions!M3250,1,4,"")</f>
        <v/>
      </c>
    </row>
    <row r="3251" spans="1:13" x14ac:dyDescent="0.2">
      <c r="A3251">
        <v>638029</v>
      </c>
      <c r="B3251" s="5">
        <v>44876</v>
      </c>
      <c r="C3251">
        <v>57498</v>
      </c>
      <c r="D3251" t="str">
        <f>PROPER(Transactions!D3251)</f>
        <v>Toys</v>
      </c>
      <c r="E3251" t="s">
        <v>175</v>
      </c>
      <c r="F3251" t="s">
        <v>176</v>
      </c>
      <c r="G3251">
        <v>3</v>
      </c>
      <c r="H3251">
        <v>10.19</v>
      </c>
      <c r="I3251" s="7">
        <f>IF(Transactions!I3251="",0,Transactions!I3251)</f>
        <v>0.15</v>
      </c>
      <c r="J3251" s="9">
        <f t="shared" si="50"/>
        <v>25.984500000000001</v>
      </c>
      <c r="K3251" t="s">
        <v>95</v>
      </c>
      <c r="L3251" t="s">
        <v>17</v>
      </c>
      <c r="M3251" t="str">
        <f>REPLACE(Transactions!M3251,1,4,"")</f>
        <v>1</v>
      </c>
    </row>
    <row r="3252" spans="1:13" x14ac:dyDescent="0.2">
      <c r="A3252">
        <v>638094</v>
      </c>
      <c r="B3252" s="5">
        <v>44782</v>
      </c>
      <c r="C3252">
        <v>80059</v>
      </c>
      <c r="D3252" t="str">
        <f>PROPER(Transactions!D3252)</f>
        <v>Toys</v>
      </c>
      <c r="E3252" t="s">
        <v>88</v>
      </c>
      <c r="F3252" t="s">
        <v>89</v>
      </c>
      <c r="G3252">
        <v>2</v>
      </c>
      <c r="H3252">
        <v>49.99</v>
      </c>
      <c r="I3252" s="7">
        <f>IF(Transactions!I3252="",0,Transactions!I3252)</f>
        <v>0</v>
      </c>
      <c r="J3252" s="9">
        <f t="shared" si="50"/>
        <v>99.98</v>
      </c>
      <c r="K3252" t="s">
        <v>16</v>
      </c>
      <c r="L3252" t="s">
        <v>17</v>
      </c>
      <c r="M3252" t="str">
        <f>REPLACE(Transactions!M3252,1,4,"")</f>
        <v>8</v>
      </c>
    </row>
    <row r="3253" spans="1:13" x14ac:dyDescent="0.2">
      <c r="A3253">
        <v>638134</v>
      </c>
      <c r="B3253" s="5">
        <v>45107</v>
      </c>
      <c r="C3253">
        <v>78981</v>
      </c>
      <c r="D3253" t="str">
        <f>PROPER(Transactions!D3253)</f>
        <v>Pharmacy</v>
      </c>
      <c r="E3253" t="s">
        <v>41</v>
      </c>
      <c r="F3253" t="s">
        <v>42</v>
      </c>
      <c r="G3253">
        <v>2</v>
      </c>
      <c r="H3253">
        <v>5.09</v>
      </c>
      <c r="I3253" s="7">
        <f>IF(Transactions!I3253="",0,Transactions!I3253)</f>
        <v>0.15</v>
      </c>
      <c r="J3253" s="9">
        <f t="shared" si="50"/>
        <v>8.6529999999999987</v>
      </c>
      <c r="K3253" t="s">
        <v>36</v>
      </c>
      <c r="L3253" t="s">
        <v>37</v>
      </c>
      <c r="M3253" t="str">
        <f>REPLACE(Transactions!M3253,1,4,"")</f>
        <v>12</v>
      </c>
    </row>
    <row r="3254" spans="1:13" x14ac:dyDescent="0.2">
      <c r="A3254">
        <v>638307</v>
      </c>
      <c r="B3254" s="5">
        <v>45461</v>
      </c>
      <c r="C3254">
        <v>30918</v>
      </c>
      <c r="D3254" t="str">
        <f>PROPER(Transactions!D3254)</f>
        <v>Pharmacy</v>
      </c>
      <c r="E3254" t="s">
        <v>20</v>
      </c>
      <c r="F3254" t="s">
        <v>21</v>
      </c>
      <c r="G3254">
        <v>2</v>
      </c>
      <c r="H3254">
        <v>9.99</v>
      </c>
      <c r="I3254" s="7">
        <f>IF(Transactions!I3254="",0,Transactions!I3254)</f>
        <v>0</v>
      </c>
      <c r="J3254" s="9">
        <f t="shared" si="50"/>
        <v>19.98</v>
      </c>
      <c r="K3254" t="s">
        <v>36</v>
      </c>
      <c r="L3254" t="s">
        <v>37</v>
      </c>
      <c r="M3254" t="str">
        <f>REPLACE(Transactions!M3254,1,4,"")</f>
        <v>13</v>
      </c>
    </row>
    <row r="3255" spans="1:13" x14ac:dyDescent="0.2">
      <c r="A3255">
        <v>638314</v>
      </c>
      <c r="B3255" s="5">
        <v>45323</v>
      </c>
      <c r="C3255">
        <v>48950</v>
      </c>
      <c r="D3255" t="str">
        <f>PROPER(Transactions!D3255)</f>
        <v>Beauty</v>
      </c>
      <c r="E3255" t="s">
        <v>118</v>
      </c>
      <c r="F3255" t="s">
        <v>119</v>
      </c>
      <c r="G3255">
        <v>2</v>
      </c>
      <c r="H3255">
        <v>3.49</v>
      </c>
      <c r="I3255" s="7">
        <f>IF(Transactions!I3255="",0,Transactions!I3255)</f>
        <v>0.3</v>
      </c>
      <c r="J3255" s="9">
        <f t="shared" si="50"/>
        <v>4.8860000000000001</v>
      </c>
      <c r="K3255" t="s">
        <v>22</v>
      </c>
      <c r="L3255" t="s">
        <v>17</v>
      </c>
      <c r="M3255" t="str">
        <f>REPLACE(Transactions!M3255,1,4,"")</f>
        <v>14</v>
      </c>
    </row>
    <row r="3256" spans="1:13" x14ac:dyDescent="0.2">
      <c r="A3256">
        <v>638416</v>
      </c>
      <c r="B3256" s="5">
        <v>45575</v>
      </c>
      <c r="C3256">
        <v>31348</v>
      </c>
      <c r="D3256" t="str">
        <f>PROPER(Transactions!D3256)</f>
        <v>Electronics</v>
      </c>
      <c r="E3256" t="s">
        <v>55</v>
      </c>
      <c r="F3256" t="s">
        <v>56</v>
      </c>
      <c r="G3256">
        <v>1</v>
      </c>
      <c r="H3256">
        <v>313.49</v>
      </c>
      <c r="I3256" s="7">
        <f>IF(Transactions!I3256="",0,Transactions!I3256)</f>
        <v>0.05</v>
      </c>
      <c r="J3256" s="9">
        <f t="shared" si="50"/>
        <v>297.81549999999999</v>
      </c>
      <c r="K3256" t="s">
        <v>22</v>
      </c>
      <c r="L3256" t="s">
        <v>17</v>
      </c>
      <c r="M3256" t="str">
        <f>REPLACE(Transactions!M3256,1,4,"")</f>
        <v>1</v>
      </c>
    </row>
    <row r="3257" spans="1:13" x14ac:dyDescent="0.2">
      <c r="A3257">
        <v>638884</v>
      </c>
      <c r="B3257" s="5">
        <v>45045</v>
      </c>
      <c r="C3257">
        <v>17955</v>
      </c>
      <c r="D3257" t="str">
        <f>PROPER(Transactions!D3257)</f>
        <v>Pharmacy</v>
      </c>
      <c r="E3257" t="s">
        <v>20</v>
      </c>
      <c r="F3257" t="s">
        <v>21</v>
      </c>
      <c r="G3257">
        <v>2</v>
      </c>
      <c r="H3257">
        <v>9.99</v>
      </c>
      <c r="I3257" s="7">
        <f>IF(Transactions!I3257="",0,Transactions!I3257)</f>
        <v>0</v>
      </c>
      <c r="J3257" s="9">
        <f t="shared" si="50"/>
        <v>19.98</v>
      </c>
      <c r="K3257" t="s">
        <v>36</v>
      </c>
      <c r="L3257" t="s">
        <v>17</v>
      </c>
      <c r="M3257" t="str">
        <f>REPLACE(Transactions!M3257,1,4,"")</f>
        <v>19</v>
      </c>
    </row>
    <row r="3258" spans="1:13" x14ac:dyDescent="0.2">
      <c r="A3258">
        <v>639023</v>
      </c>
      <c r="B3258" s="5">
        <v>44841</v>
      </c>
      <c r="C3258">
        <v>45665</v>
      </c>
      <c r="D3258" t="str">
        <f>PROPER(Transactions!D3258)</f>
        <v>Home &amp; Garden</v>
      </c>
      <c r="E3258" t="s">
        <v>145</v>
      </c>
      <c r="F3258" t="s">
        <v>146</v>
      </c>
      <c r="G3258">
        <v>1</v>
      </c>
      <c r="H3258">
        <v>16.14</v>
      </c>
      <c r="I3258" s="7">
        <f>IF(Transactions!I3258="",0,Transactions!I3258)</f>
        <v>0.05</v>
      </c>
      <c r="J3258" s="9">
        <f t="shared" si="50"/>
        <v>15.333</v>
      </c>
      <c r="K3258" t="s">
        <v>95</v>
      </c>
      <c r="L3258" t="s">
        <v>17</v>
      </c>
      <c r="M3258" t="str">
        <f>REPLACE(Transactions!M3258,1,4,"")</f>
        <v>7</v>
      </c>
    </row>
    <row r="3259" spans="1:13" x14ac:dyDescent="0.2">
      <c r="A3259">
        <v>639078</v>
      </c>
      <c r="B3259" s="5">
        <v>44768</v>
      </c>
      <c r="C3259">
        <v>56803</v>
      </c>
      <c r="D3259" t="str">
        <f>PROPER(Transactions!D3259)</f>
        <v>Furniture</v>
      </c>
      <c r="E3259" t="s">
        <v>26</v>
      </c>
      <c r="F3259" t="s">
        <v>27</v>
      </c>
      <c r="G3259">
        <v>1</v>
      </c>
      <c r="H3259">
        <v>27.99</v>
      </c>
      <c r="I3259" s="7">
        <f>IF(Transactions!I3259="",0,Transactions!I3259)</f>
        <v>0.2</v>
      </c>
      <c r="J3259" s="9">
        <f t="shared" si="50"/>
        <v>22.391999999999999</v>
      </c>
      <c r="K3259" t="s">
        <v>16</v>
      </c>
      <c r="L3259" t="s">
        <v>17</v>
      </c>
      <c r="M3259" t="str">
        <f>REPLACE(Transactions!M3259,1,4,"")</f>
        <v>8</v>
      </c>
    </row>
    <row r="3260" spans="1:13" x14ac:dyDescent="0.2">
      <c r="A3260">
        <v>639217</v>
      </c>
      <c r="B3260" s="5">
        <v>45229</v>
      </c>
      <c r="C3260">
        <v>30563</v>
      </c>
      <c r="D3260" t="str">
        <f>PROPER(Transactions!D3260)</f>
        <v>Automotive</v>
      </c>
      <c r="E3260" t="s">
        <v>111</v>
      </c>
      <c r="F3260" t="s">
        <v>112</v>
      </c>
      <c r="G3260">
        <v>1</v>
      </c>
      <c r="H3260">
        <v>14.99</v>
      </c>
      <c r="I3260" s="7">
        <f>IF(Transactions!I3260="",0,Transactions!I3260)</f>
        <v>0</v>
      </c>
      <c r="J3260" s="9">
        <f t="shared" si="50"/>
        <v>14.99</v>
      </c>
      <c r="K3260" t="s">
        <v>16</v>
      </c>
      <c r="L3260" t="s">
        <v>17</v>
      </c>
      <c r="M3260" t="str">
        <f>REPLACE(Transactions!M3260,1,4,"")</f>
        <v>9</v>
      </c>
    </row>
    <row r="3261" spans="1:13" x14ac:dyDescent="0.2">
      <c r="A3261">
        <v>639683</v>
      </c>
      <c r="B3261" s="5">
        <v>44726</v>
      </c>
      <c r="C3261">
        <v>44550</v>
      </c>
      <c r="D3261" t="str">
        <f>PROPER(Transactions!D3261)</f>
        <v>Automotive</v>
      </c>
      <c r="E3261" t="s">
        <v>131</v>
      </c>
      <c r="F3261" t="s">
        <v>132</v>
      </c>
      <c r="G3261">
        <v>3</v>
      </c>
      <c r="H3261">
        <v>2.79</v>
      </c>
      <c r="I3261" s="7">
        <f>IF(Transactions!I3261="",0,Transactions!I3261)</f>
        <v>0.2</v>
      </c>
      <c r="J3261" s="9">
        <f t="shared" si="50"/>
        <v>6.6960000000000015</v>
      </c>
      <c r="K3261" t="s">
        <v>53</v>
      </c>
      <c r="L3261" t="s">
        <v>37</v>
      </c>
      <c r="M3261" t="str">
        <f>REPLACE(Transactions!M3261,1,4,"")</f>
        <v>20</v>
      </c>
    </row>
    <row r="3262" spans="1:13" x14ac:dyDescent="0.2">
      <c r="A3262">
        <v>639823</v>
      </c>
      <c r="B3262" s="5">
        <v>45527</v>
      </c>
      <c r="C3262">
        <v>44984</v>
      </c>
      <c r="D3262" t="str">
        <f>PROPER(Transactions!D3262)</f>
        <v>Pharmacy</v>
      </c>
      <c r="E3262" t="s">
        <v>58</v>
      </c>
      <c r="F3262" t="s">
        <v>59</v>
      </c>
      <c r="G3262">
        <v>4</v>
      </c>
      <c r="H3262">
        <v>3.99</v>
      </c>
      <c r="I3262" s="7">
        <f>IF(Transactions!I3262="",0,Transactions!I3262)</f>
        <v>0</v>
      </c>
      <c r="J3262" s="9">
        <f t="shared" si="50"/>
        <v>15.96</v>
      </c>
      <c r="K3262" t="s">
        <v>32</v>
      </c>
      <c r="L3262" t="s">
        <v>23</v>
      </c>
      <c r="M3262" t="str">
        <f>REPLACE(Transactions!M3262,1,4,"")</f>
        <v>2</v>
      </c>
    </row>
    <row r="3263" spans="1:13" x14ac:dyDescent="0.2">
      <c r="A3263">
        <v>639957</v>
      </c>
      <c r="B3263" s="5">
        <v>44829</v>
      </c>
      <c r="C3263">
        <v>90843</v>
      </c>
      <c r="D3263" t="str">
        <f>PROPER(Transactions!D3263)</f>
        <v>Clothing</v>
      </c>
      <c r="E3263" t="s">
        <v>141</v>
      </c>
      <c r="F3263" t="s">
        <v>142</v>
      </c>
      <c r="G3263">
        <v>3</v>
      </c>
      <c r="H3263">
        <v>22.99</v>
      </c>
      <c r="I3263" s="7">
        <f>IF(Transactions!I3263="",0,Transactions!I3263)</f>
        <v>0</v>
      </c>
      <c r="J3263" s="9">
        <f t="shared" si="50"/>
        <v>68.97</v>
      </c>
      <c r="K3263" t="s">
        <v>16</v>
      </c>
      <c r="L3263" t="s">
        <v>23</v>
      </c>
      <c r="M3263" t="str">
        <f>REPLACE(Transactions!M3263,1,4,"")</f>
        <v>5</v>
      </c>
    </row>
    <row r="3264" spans="1:13" x14ac:dyDescent="0.2">
      <c r="A3264">
        <v>639995</v>
      </c>
      <c r="B3264" s="5">
        <v>45378</v>
      </c>
      <c r="C3264">
        <v>45058</v>
      </c>
      <c r="D3264" t="str">
        <f>PROPER(Transactions!D3264)</f>
        <v>Sports</v>
      </c>
      <c r="E3264" t="s">
        <v>155</v>
      </c>
      <c r="F3264" t="s">
        <v>156</v>
      </c>
      <c r="G3264">
        <v>4</v>
      </c>
      <c r="H3264">
        <v>19.989999999999998</v>
      </c>
      <c r="I3264" s="7">
        <f>IF(Transactions!I3264="",0,Transactions!I3264)</f>
        <v>0</v>
      </c>
      <c r="J3264" s="9">
        <f t="shared" si="50"/>
        <v>79.959999999999994</v>
      </c>
      <c r="K3264" t="s">
        <v>36</v>
      </c>
      <c r="L3264" t="s">
        <v>17</v>
      </c>
      <c r="M3264" t="str">
        <f>REPLACE(Transactions!M3264,1,4,"")</f>
        <v>10</v>
      </c>
    </row>
    <row r="3265" spans="1:13" x14ac:dyDescent="0.2">
      <c r="A3265">
        <v>640004</v>
      </c>
      <c r="B3265" s="5">
        <v>44961</v>
      </c>
      <c r="C3265">
        <v>24052</v>
      </c>
      <c r="D3265" t="str">
        <f>PROPER(Transactions!D3265)</f>
        <v>Beauty</v>
      </c>
      <c r="E3265" t="s">
        <v>109</v>
      </c>
      <c r="F3265" t="s">
        <v>110</v>
      </c>
      <c r="G3265">
        <v>1</v>
      </c>
      <c r="H3265">
        <v>6.64</v>
      </c>
      <c r="I3265" s="7">
        <f>IF(Transactions!I3265="",0,Transactions!I3265)</f>
        <v>0.05</v>
      </c>
      <c r="J3265" s="9">
        <f t="shared" si="50"/>
        <v>6.3079999999999998</v>
      </c>
      <c r="K3265" t="s">
        <v>22</v>
      </c>
      <c r="L3265" t="s">
        <v>17</v>
      </c>
      <c r="M3265" t="str">
        <f>REPLACE(Transactions!M3265,1,4,"")</f>
        <v>14</v>
      </c>
    </row>
    <row r="3266" spans="1:13" x14ac:dyDescent="0.2">
      <c r="A3266">
        <v>640175</v>
      </c>
      <c r="B3266" s="5">
        <v>44788</v>
      </c>
      <c r="C3266">
        <v>41430</v>
      </c>
      <c r="D3266" t="str">
        <f>PROPER(Transactions!D3266)</f>
        <v>Pharmacy</v>
      </c>
      <c r="E3266" t="s">
        <v>20</v>
      </c>
      <c r="F3266" t="s">
        <v>21</v>
      </c>
      <c r="G3266">
        <v>4</v>
      </c>
      <c r="H3266">
        <v>6.99</v>
      </c>
      <c r="I3266" s="7">
        <f>IF(Transactions!I3266="",0,Transactions!I3266)</f>
        <v>0.3</v>
      </c>
      <c r="J3266" s="9">
        <f t="shared" si="50"/>
        <v>19.571999999999999</v>
      </c>
      <c r="K3266" t="s">
        <v>22</v>
      </c>
      <c r="L3266" t="s">
        <v>17</v>
      </c>
      <c r="M3266" t="str">
        <f>REPLACE(Transactions!M3266,1,4,"")</f>
        <v>5</v>
      </c>
    </row>
    <row r="3267" spans="1:13" x14ac:dyDescent="0.2">
      <c r="A3267">
        <v>640241</v>
      </c>
      <c r="B3267" s="5">
        <v>45601</v>
      </c>
      <c r="C3267">
        <v>57861</v>
      </c>
      <c r="D3267" t="str">
        <f>PROPER(Transactions!D3267)</f>
        <v>Grocery</v>
      </c>
      <c r="E3267" t="s">
        <v>177</v>
      </c>
      <c r="F3267" t="s">
        <v>178</v>
      </c>
      <c r="G3267">
        <v>2</v>
      </c>
      <c r="H3267">
        <v>8.39</v>
      </c>
      <c r="I3267" s="7">
        <f>IF(Transactions!I3267="",0,Transactions!I3267)</f>
        <v>0.3</v>
      </c>
      <c r="J3267" s="9">
        <f t="shared" ref="J3267:J3330" si="51">(H3267*G3267)*(1-I3267)</f>
        <v>11.746</v>
      </c>
      <c r="K3267" t="s">
        <v>36</v>
      </c>
      <c r="L3267" t="s">
        <v>17</v>
      </c>
      <c r="M3267" t="str">
        <f>REPLACE(Transactions!M3267,1,4,"")</f>
        <v>20</v>
      </c>
    </row>
    <row r="3268" spans="1:13" x14ac:dyDescent="0.2">
      <c r="A3268">
        <v>640312</v>
      </c>
      <c r="B3268" s="5">
        <v>45080</v>
      </c>
      <c r="C3268">
        <v>90581</v>
      </c>
      <c r="D3268" t="str">
        <f>PROPER(Transactions!D3268)</f>
        <v>Sports</v>
      </c>
      <c r="E3268" t="s">
        <v>83</v>
      </c>
      <c r="F3268" t="s">
        <v>84</v>
      </c>
      <c r="G3268">
        <v>1</v>
      </c>
      <c r="H3268">
        <v>11.89</v>
      </c>
      <c r="I3268" s="7">
        <f>IF(Transactions!I3268="",0,Transactions!I3268)</f>
        <v>0.3</v>
      </c>
      <c r="J3268" s="9">
        <f t="shared" si="51"/>
        <v>8.3230000000000004</v>
      </c>
      <c r="K3268" t="s">
        <v>36</v>
      </c>
      <c r="L3268" t="s">
        <v>37</v>
      </c>
      <c r="M3268" t="str">
        <f>REPLACE(Transactions!M3268,1,4,"")</f>
        <v>13</v>
      </c>
    </row>
    <row r="3269" spans="1:13" x14ac:dyDescent="0.2">
      <c r="A3269">
        <v>640358</v>
      </c>
      <c r="B3269" s="5">
        <v>44806</v>
      </c>
      <c r="C3269">
        <v>11086</v>
      </c>
      <c r="D3269" t="str">
        <f>PROPER(Transactions!D3269)</f>
        <v>Toys</v>
      </c>
      <c r="E3269" t="s">
        <v>175</v>
      </c>
      <c r="F3269" t="s">
        <v>176</v>
      </c>
      <c r="G3269">
        <v>5</v>
      </c>
      <c r="H3269">
        <v>11.99</v>
      </c>
      <c r="I3269" s="7">
        <f>IF(Transactions!I3269="",0,Transactions!I3269)</f>
        <v>0</v>
      </c>
      <c r="J3269" s="9">
        <f t="shared" si="51"/>
        <v>59.95</v>
      </c>
      <c r="K3269" t="s">
        <v>36</v>
      </c>
      <c r="L3269" t="s">
        <v>37</v>
      </c>
      <c r="M3269" t="str">
        <f>REPLACE(Transactions!M3269,1,4,"")</f>
        <v>18</v>
      </c>
    </row>
    <row r="3270" spans="1:13" x14ac:dyDescent="0.2">
      <c r="A3270">
        <v>640457</v>
      </c>
      <c r="B3270" s="5">
        <v>44961</v>
      </c>
      <c r="C3270">
        <v>20796</v>
      </c>
      <c r="D3270" t="str">
        <f>PROPER(Transactions!D3270)</f>
        <v>Furniture</v>
      </c>
      <c r="E3270" t="s">
        <v>51</v>
      </c>
      <c r="F3270" t="s">
        <v>52</v>
      </c>
      <c r="G3270">
        <v>3</v>
      </c>
      <c r="H3270">
        <v>23.79</v>
      </c>
      <c r="I3270" s="7">
        <f>IF(Transactions!I3270="",0,Transactions!I3270)</f>
        <v>0.15</v>
      </c>
      <c r="J3270" s="9">
        <f t="shared" si="51"/>
        <v>60.664500000000004</v>
      </c>
      <c r="K3270" t="s">
        <v>16</v>
      </c>
      <c r="L3270" t="s">
        <v>17</v>
      </c>
      <c r="M3270" t="str">
        <f>REPLACE(Transactions!M3270,1,4,"")</f>
        <v>5</v>
      </c>
    </row>
    <row r="3271" spans="1:13" x14ac:dyDescent="0.2">
      <c r="A3271">
        <v>640557</v>
      </c>
      <c r="B3271" s="5">
        <v>44756</v>
      </c>
      <c r="C3271">
        <v>80544</v>
      </c>
      <c r="D3271" t="str">
        <f>PROPER(Transactions!D3271)</f>
        <v>Furniture</v>
      </c>
      <c r="E3271" t="s">
        <v>113</v>
      </c>
      <c r="F3271" t="s">
        <v>114</v>
      </c>
      <c r="G3271">
        <v>1</v>
      </c>
      <c r="H3271">
        <v>107.99</v>
      </c>
      <c r="I3271" s="7">
        <f>IF(Transactions!I3271="",0,Transactions!I3271)</f>
        <v>0.1</v>
      </c>
      <c r="J3271" s="9">
        <f t="shared" si="51"/>
        <v>97.191000000000003</v>
      </c>
      <c r="K3271" t="s">
        <v>36</v>
      </c>
      <c r="L3271" t="s">
        <v>23</v>
      </c>
      <c r="M3271" t="str">
        <f>REPLACE(Transactions!M3271,1,4,"")</f>
        <v>3</v>
      </c>
    </row>
    <row r="3272" spans="1:13" x14ac:dyDescent="0.2">
      <c r="A3272">
        <v>641008</v>
      </c>
      <c r="B3272" s="5">
        <v>44963</v>
      </c>
      <c r="C3272">
        <v>62142</v>
      </c>
      <c r="D3272" t="str">
        <f>PROPER(Transactions!D3272)</f>
        <v>Electronics</v>
      </c>
      <c r="E3272" t="s">
        <v>77</v>
      </c>
      <c r="F3272" t="s">
        <v>78</v>
      </c>
      <c r="G3272">
        <v>1</v>
      </c>
      <c r="H3272">
        <v>374.99</v>
      </c>
      <c r="I3272" s="7">
        <f>IF(Transactions!I3272="",0,Transactions!I3272)</f>
        <v>0.25</v>
      </c>
      <c r="J3272" s="9">
        <f t="shared" si="51"/>
        <v>281.24250000000001</v>
      </c>
      <c r="K3272" t="s">
        <v>36</v>
      </c>
      <c r="L3272" t="s">
        <v>17</v>
      </c>
      <c r="M3272" t="str">
        <f>REPLACE(Transactions!M3272,1,4,"")</f>
        <v>9</v>
      </c>
    </row>
    <row r="3273" spans="1:13" x14ac:dyDescent="0.2">
      <c r="A3273">
        <v>641010</v>
      </c>
      <c r="B3273" s="5">
        <v>44744</v>
      </c>
      <c r="C3273">
        <v>25141</v>
      </c>
      <c r="D3273" t="str">
        <f>PROPER(Transactions!D3273)</f>
        <v>Sports</v>
      </c>
      <c r="E3273" t="s">
        <v>100</v>
      </c>
      <c r="F3273" t="s">
        <v>101</v>
      </c>
      <c r="G3273">
        <v>2</v>
      </c>
      <c r="H3273">
        <v>22.99</v>
      </c>
      <c r="I3273" s="7">
        <f>IF(Transactions!I3273="",0,Transactions!I3273)</f>
        <v>0</v>
      </c>
      <c r="J3273" s="9">
        <f t="shared" si="51"/>
        <v>45.98</v>
      </c>
      <c r="K3273" t="s">
        <v>53</v>
      </c>
      <c r="L3273" t="s">
        <v>17</v>
      </c>
      <c r="M3273" t="str">
        <f>REPLACE(Transactions!M3273,1,4,"")</f>
        <v>4</v>
      </c>
    </row>
    <row r="3274" spans="1:13" x14ac:dyDescent="0.2">
      <c r="A3274">
        <v>641182</v>
      </c>
      <c r="B3274" s="5">
        <v>45584</v>
      </c>
      <c r="C3274">
        <v>96535</v>
      </c>
      <c r="D3274" t="str">
        <f>PROPER(Transactions!D3274)</f>
        <v>Clothing</v>
      </c>
      <c r="E3274" t="s">
        <v>135</v>
      </c>
      <c r="F3274" t="s">
        <v>136</v>
      </c>
      <c r="G3274">
        <v>2</v>
      </c>
      <c r="H3274">
        <v>7.99</v>
      </c>
      <c r="I3274" s="7">
        <f>IF(Transactions!I3274="",0,Transactions!I3274)</f>
        <v>0.2</v>
      </c>
      <c r="J3274" s="9">
        <f t="shared" si="51"/>
        <v>12.784000000000001</v>
      </c>
      <c r="K3274" t="s">
        <v>36</v>
      </c>
      <c r="L3274" t="s">
        <v>17</v>
      </c>
      <c r="M3274" t="str">
        <f>REPLACE(Transactions!M3274,1,4,"")</f>
        <v>8</v>
      </c>
    </row>
    <row r="3275" spans="1:13" x14ac:dyDescent="0.2">
      <c r="A3275">
        <v>641862</v>
      </c>
      <c r="B3275" s="5">
        <v>44938</v>
      </c>
      <c r="C3275">
        <v>12899</v>
      </c>
      <c r="D3275" t="str">
        <f>PROPER(Transactions!D3275)</f>
        <v>Electronics</v>
      </c>
      <c r="E3275" t="s">
        <v>127</v>
      </c>
      <c r="F3275" t="s">
        <v>128</v>
      </c>
      <c r="G3275">
        <v>5</v>
      </c>
      <c r="H3275">
        <v>13.99</v>
      </c>
      <c r="I3275" s="7">
        <f>IF(Transactions!I3275="",0,Transactions!I3275)</f>
        <v>0.3</v>
      </c>
      <c r="J3275" s="9">
        <f t="shared" si="51"/>
        <v>48.964999999999996</v>
      </c>
      <c r="K3275" t="s">
        <v>36</v>
      </c>
      <c r="L3275" t="s">
        <v>17</v>
      </c>
      <c r="M3275" t="str">
        <f>REPLACE(Transactions!M3275,1,4,"")</f>
        <v>5</v>
      </c>
    </row>
    <row r="3276" spans="1:13" x14ac:dyDescent="0.2">
      <c r="A3276">
        <v>642099</v>
      </c>
      <c r="B3276" s="5">
        <v>45139</v>
      </c>
      <c r="C3276">
        <v>37377</v>
      </c>
      <c r="D3276" t="str">
        <f>PROPER(Transactions!D3276)</f>
        <v>Furniture</v>
      </c>
      <c r="E3276" t="s">
        <v>70</v>
      </c>
      <c r="F3276" t="s">
        <v>71</v>
      </c>
      <c r="G3276">
        <v>1</v>
      </c>
      <c r="H3276">
        <v>76.489999999999995</v>
      </c>
      <c r="I3276" s="7">
        <f>IF(Transactions!I3276="",0,Transactions!I3276)</f>
        <v>0.15</v>
      </c>
      <c r="J3276" s="9">
        <f t="shared" si="51"/>
        <v>65.016499999999994</v>
      </c>
      <c r="K3276" t="s">
        <v>16</v>
      </c>
      <c r="L3276" t="s">
        <v>17</v>
      </c>
      <c r="M3276" t="str">
        <f>REPLACE(Transactions!M3276,1,4,"")</f>
        <v/>
      </c>
    </row>
    <row r="3277" spans="1:13" x14ac:dyDescent="0.2">
      <c r="A3277">
        <v>642605</v>
      </c>
      <c r="B3277" s="5">
        <v>45257</v>
      </c>
      <c r="C3277">
        <v>18767</v>
      </c>
      <c r="D3277" t="str">
        <f>PROPER(Transactions!D3277)</f>
        <v>Furniture</v>
      </c>
      <c r="E3277" t="s">
        <v>113</v>
      </c>
      <c r="F3277" t="s">
        <v>114</v>
      </c>
      <c r="G3277">
        <v>1</v>
      </c>
      <c r="H3277">
        <v>83.99</v>
      </c>
      <c r="I3277" s="7">
        <f>IF(Transactions!I3277="",0,Transactions!I3277)</f>
        <v>0.3</v>
      </c>
      <c r="J3277" s="9">
        <f t="shared" si="51"/>
        <v>58.792999999999992</v>
      </c>
      <c r="K3277" t="s">
        <v>36</v>
      </c>
      <c r="L3277" t="s">
        <v>17</v>
      </c>
      <c r="M3277" t="str">
        <f>REPLACE(Transactions!M3277,1,4,"")</f>
        <v>2</v>
      </c>
    </row>
    <row r="3278" spans="1:13" x14ac:dyDescent="0.2">
      <c r="A3278">
        <v>643014</v>
      </c>
      <c r="B3278" s="5">
        <v>44599</v>
      </c>
      <c r="C3278">
        <v>26203</v>
      </c>
      <c r="D3278" t="str">
        <f>PROPER(Transactions!D3278)</f>
        <v>Furniture</v>
      </c>
      <c r="E3278" t="s">
        <v>26</v>
      </c>
      <c r="F3278" t="s">
        <v>27</v>
      </c>
      <c r="G3278">
        <v>1</v>
      </c>
      <c r="H3278">
        <v>34.99</v>
      </c>
      <c r="I3278" s="7">
        <f>IF(Transactions!I3278="",0,Transactions!I3278)</f>
        <v>0</v>
      </c>
      <c r="J3278" s="9">
        <f t="shared" si="51"/>
        <v>34.99</v>
      </c>
      <c r="K3278" t="s">
        <v>16</v>
      </c>
      <c r="L3278" t="s">
        <v>17</v>
      </c>
      <c r="M3278" t="str">
        <f>REPLACE(Transactions!M3278,1,4,"")</f>
        <v>16</v>
      </c>
    </row>
    <row r="3279" spans="1:13" x14ac:dyDescent="0.2">
      <c r="A3279">
        <v>643123</v>
      </c>
      <c r="B3279" s="5">
        <v>44631</v>
      </c>
      <c r="C3279">
        <v>73335</v>
      </c>
      <c r="D3279" t="str">
        <f>PROPER(Transactions!D3279)</f>
        <v>Furniture</v>
      </c>
      <c r="E3279" t="s">
        <v>70</v>
      </c>
      <c r="F3279" t="s">
        <v>71</v>
      </c>
      <c r="G3279">
        <v>1</v>
      </c>
      <c r="H3279">
        <v>89.99</v>
      </c>
      <c r="I3279" s="7">
        <f>IF(Transactions!I3279="",0,Transactions!I3279)</f>
        <v>0</v>
      </c>
      <c r="J3279" s="9">
        <f t="shared" si="51"/>
        <v>89.99</v>
      </c>
      <c r="K3279" t="s">
        <v>16</v>
      </c>
      <c r="L3279" t="s">
        <v>37</v>
      </c>
      <c r="M3279" t="str">
        <f>REPLACE(Transactions!M3279,1,4,"")</f>
        <v>12</v>
      </c>
    </row>
    <row r="3280" spans="1:13" x14ac:dyDescent="0.2">
      <c r="A3280">
        <v>643304</v>
      </c>
      <c r="B3280" s="5">
        <v>45219</v>
      </c>
      <c r="C3280">
        <v>75088</v>
      </c>
      <c r="D3280" t="str">
        <f>PROPER(Transactions!D3280)</f>
        <v>Pharmacy</v>
      </c>
      <c r="E3280" t="s">
        <v>115</v>
      </c>
      <c r="F3280" t="s">
        <v>116</v>
      </c>
      <c r="G3280">
        <v>2</v>
      </c>
      <c r="H3280">
        <v>12.99</v>
      </c>
      <c r="I3280" s="7">
        <f>IF(Transactions!I3280="",0,Transactions!I3280)</f>
        <v>0</v>
      </c>
      <c r="J3280" s="9">
        <f t="shared" si="51"/>
        <v>25.98</v>
      </c>
      <c r="K3280" t="s">
        <v>22</v>
      </c>
      <c r="L3280" t="s">
        <v>17</v>
      </c>
      <c r="M3280" t="str">
        <f>REPLACE(Transactions!M3280,1,4,"")</f>
        <v>10</v>
      </c>
    </row>
    <row r="3281" spans="1:13" x14ac:dyDescent="0.2">
      <c r="A3281">
        <v>643355</v>
      </c>
      <c r="B3281" s="5">
        <v>44587</v>
      </c>
      <c r="C3281">
        <v>92636</v>
      </c>
      <c r="D3281" t="str">
        <f>PROPER(Transactions!D3281)</f>
        <v>Clothing</v>
      </c>
      <c r="E3281" t="s">
        <v>121</v>
      </c>
      <c r="F3281" t="s">
        <v>122</v>
      </c>
      <c r="G3281">
        <v>1</v>
      </c>
      <c r="H3281">
        <v>12.34</v>
      </c>
      <c r="I3281" s="7">
        <f>IF(Transactions!I3281="",0,Transactions!I3281)</f>
        <v>0.05</v>
      </c>
      <c r="J3281" s="9">
        <f t="shared" si="51"/>
        <v>11.722999999999999</v>
      </c>
      <c r="K3281" t="s">
        <v>36</v>
      </c>
      <c r="L3281" t="s">
        <v>17</v>
      </c>
      <c r="M3281" t="str">
        <f>REPLACE(Transactions!M3281,1,4,"")</f>
        <v>8</v>
      </c>
    </row>
    <row r="3282" spans="1:13" x14ac:dyDescent="0.2">
      <c r="A3282">
        <v>643389</v>
      </c>
      <c r="B3282" s="5">
        <v>45586</v>
      </c>
      <c r="C3282">
        <v>25835</v>
      </c>
      <c r="D3282" t="str">
        <f>PROPER(Transactions!D3282)</f>
        <v>Automotive</v>
      </c>
      <c r="E3282" t="s">
        <v>125</v>
      </c>
      <c r="F3282" t="s">
        <v>126</v>
      </c>
      <c r="G3282">
        <v>2</v>
      </c>
      <c r="H3282">
        <v>29.99</v>
      </c>
      <c r="I3282" s="7">
        <f>IF(Transactions!I3282="",0,Transactions!I3282)</f>
        <v>0</v>
      </c>
      <c r="J3282" s="9">
        <f t="shared" si="51"/>
        <v>59.98</v>
      </c>
      <c r="K3282" t="s">
        <v>16</v>
      </c>
      <c r="L3282" t="s">
        <v>17</v>
      </c>
      <c r="M3282" t="str">
        <f>REPLACE(Transactions!M3282,1,4,"")</f>
        <v>4</v>
      </c>
    </row>
    <row r="3283" spans="1:13" x14ac:dyDescent="0.2">
      <c r="A3283">
        <v>643490</v>
      </c>
      <c r="B3283" s="5">
        <v>45275</v>
      </c>
      <c r="C3283">
        <v>28803</v>
      </c>
      <c r="D3283" t="str">
        <f>PROPER(Transactions!D3283)</f>
        <v>Sports</v>
      </c>
      <c r="E3283" t="s">
        <v>147</v>
      </c>
      <c r="F3283" t="s">
        <v>148</v>
      </c>
      <c r="G3283">
        <v>1</v>
      </c>
      <c r="H3283">
        <v>9.09</v>
      </c>
      <c r="I3283" s="7">
        <f>IF(Transactions!I3283="",0,Transactions!I3283)</f>
        <v>0.3</v>
      </c>
      <c r="J3283" s="9">
        <f t="shared" si="51"/>
        <v>6.3629999999999995</v>
      </c>
      <c r="K3283" t="s">
        <v>16</v>
      </c>
      <c r="L3283" t="s">
        <v>37</v>
      </c>
      <c r="M3283" t="str">
        <f>REPLACE(Transactions!M3283,1,4,"")</f>
        <v>10</v>
      </c>
    </row>
    <row r="3284" spans="1:13" x14ac:dyDescent="0.2">
      <c r="A3284">
        <v>643491</v>
      </c>
      <c r="B3284" s="5">
        <v>45091</v>
      </c>
      <c r="C3284">
        <v>45366</v>
      </c>
      <c r="D3284" t="str">
        <f>PROPER(Transactions!D3284)</f>
        <v>Grocery</v>
      </c>
      <c r="E3284" t="s">
        <v>190</v>
      </c>
      <c r="F3284" t="s">
        <v>191</v>
      </c>
      <c r="G3284">
        <v>4</v>
      </c>
      <c r="H3284">
        <v>3.65</v>
      </c>
      <c r="I3284" s="7">
        <f>IF(Transactions!I3284="",0,Transactions!I3284)</f>
        <v>0.15</v>
      </c>
      <c r="J3284" s="9">
        <f t="shared" si="51"/>
        <v>12.41</v>
      </c>
      <c r="K3284" t="s">
        <v>22</v>
      </c>
      <c r="L3284" t="s">
        <v>23</v>
      </c>
      <c r="M3284" t="str">
        <f>REPLACE(Transactions!M3284,1,4,"")</f>
        <v>19</v>
      </c>
    </row>
    <row r="3285" spans="1:13" x14ac:dyDescent="0.2">
      <c r="A3285">
        <v>643577</v>
      </c>
      <c r="B3285" s="5">
        <v>45273</v>
      </c>
      <c r="C3285">
        <v>46084</v>
      </c>
      <c r="D3285" t="str">
        <f>PROPER(Transactions!D3285)</f>
        <v>Clothing</v>
      </c>
      <c r="E3285" t="s">
        <v>165</v>
      </c>
      <c r="F3285" t="s">
        <v>166</v>
      </c>
      <c r="G3285">
        <v>5</v>
      </c>
      <c r="H3285">
        <v>71.989999999999995</v>
      </c>
      <c r="I3285" s="7">
        <f>IF(Transactions!I3285="",0,Transactions!I3285)</f>
        <v>0.2</v>
      </c>
      <c r="J3285" s="9">
        <f t="shared" si="51"/>
        <v>287.95999999999998</v>
      </c>
      <c r="K3285" t="s">
        <v>36</v>
      </c>
      <c r="L3285" t="s">
        <v>17</v>
      </c>
      <c r="M3285" t="str">
        <f>REPLACE(Transactions!M3285,1,4,"")</f>
        <v/>
      </c>
    </row>
    <row r="3286" spans="1:13" x14ac:dyDescent="0.2">
      <c r="A3286">
        <v>643623</v>
      </c>
      <c r="B3286" s="5">
        <v>45508</v>
      </c>
      <c r="C3286">
        <v>16764</v>
      </c>
      <c r="D3286" t="str">
        <f>PROPER(Transactions!D3286)</f>
        <v>Beauty</v>
      </c>
      <c r="E3286" t="s">
        <v>139</v>
      </c>
      <c r="F3286" t="s">
        <v>140</v>
      </c>
      <c r="G3286">
        <v>1</v>
      </c>
      <c r="H3286">
        <v>6.39</v>
      </c>
      <c r="I3286" s="7">
        <f>IF(Transactions!I3286="",0,Transactions!I3286)</f>
        <v>0.2</v>
      </c>
      <c r="J3286" s="9">
        <f t="shared" si="51"/>
        <v>5.1120000000000001</v>
      </c>
      <c r="K3286" t="s">
        <v>36</v>
      </c>
      <c r="L3286" t="s">
        <v>37</v>
      </c>
      <c r="M3286" t="str">
        <f>REPLACE(Transactions!M3286,1,4,"")</f>
        <v>15</v>
      </c>
    </row>
    <row r="3287" spans="1:13" x14ac:dyDescent="0.2">
      <c r="A3287">
        <v>643724</v>
      </c>
      <c r="B3287" s="5">
        <v>45563</v>
      </c>
      <c r="C3287">
        <v>49007</v>
      </c>
      <c r="D3287" t="str">
        <f>PROPER(Transactions!D3287)</f>
        <v>Furniture</v>
      </c>
      <c r="E3287" t="s">
        <v>60</v>
      </c>
      <c r="F3287" t="s">
        <v>61</v>
      </c>
      <c r="G3287">
        <v>4</v>
      </c>
      <c r="H3287">
        <v>54.99</v>
      </c>
      <c r="I3287" s="7">
        <f>IF(Transactions!I3287="",0,Transactions!I3287)</f>
        <v>0</v>
      </c>
      <c r="J3287" s="9">
        <f t="shared" si="51"/>
        <v>219.96</v>
      </c>
      <c r="K3287" t="s">
        <v>36</v>
      </c>
      <c r="L3287" t="s">
        <v>17</v>
      </c>
      <c r="M3287" t="str">
        <f>REPLACE(Transactions!M3287,1,4,"")</f>
        <v>6</v>
      </c>
    </row>
    <row r="3288" spans="1:13" x14ac:dyDescent="0.2">
      <c r="A3288">
        <v>644273</v>
      </c>
      <c r="B3288" s="5">
        <v>44932</v>
      </c>
      <c r="C3288">
        <v>51688</v>
      </c>
      <c r="D3288" t="str">
        <f>PROPER(Transactions!D3288)</f>
        <v>Electronics</v>
      </c>
      <c r="E3288" t="s">
        <v>159</v>
      </c>
      <c r="F3288" t="s">
        <v>160</v>
      </c>
      <c r="G3288">
        <v>1</v>
      </c>
      <c r="H3288">
        <v>59.99</v>
      </c>
      <c r="I3288" s="7">
        <f>IF(Transactions!I3288="",0,Transactions!I3288)</f>
        <v>0</v>
      </c>
      <c r="J3288" s="9">
        <f t="shared" si="51"/>
        <v>59.99</v>
      </c>
      <c r="K3288" t="s">
        <v>16</v>
      </c>
      <c r="L3288" t="s">
        <v>37</v>
      </c>
      <c r="M3288" t="str">
        <f>REPLACE(Transactions!M3288,1,4,"")</f>
        <v>1</v>
      </c>
    </row>
    <row r="3289" spans="1:13" x14ac:dyDescent="0.2">
      <c r="A3289">
        <v>644456</v>
      </c>
      <c r="B3289" s="5">
        <v>44838</v>
      </c>
      <c r="C3289">
        <v>95273</v>
      </c>
      <c r="D3289" t="str">
        <f>PROPER(Transactions!D3289)</f>
        <v>Automotive</v>
      </c>
      <c r="E3289" t="s">
        <v>68</v>
      </c>
      <c r="F3289" t="s">
        <v>69</v>
      </c>
      <c r="G3289">
        <v>1</v>
      </c>
      <c r="H3289">
        <v>24.99</v>
      </c>
      <c r="I3289" s="7">
        <f>IF(Transactions!I3289="",0,Transactions!I3289)</f>
        <v>0</v>
      </c>
      <c r="J3289" s="9">
        <f t="shared" si="51"/>
        <v>24.99</v>
      </c>
      <c r="K3289" t="s">
        <v>16</v>
      </c>
      <c r="L3289" t="s">
        <v>17</v>
      </c>
      <c r="M3289" t="str">
        <f>REPLACE(Transactions!M3289,1,4,"")</f>
        <v>18</v>
      </c>
    </row>
    <row r="3290" spans="1:13" x14ac:dyDescent="0.2">
      <c r="A3290">
        <v>644594</v>
      </c>
      <c r="B3290" s="5">
        <v>45378</v>
      </c>
      <c r="D3290" t="str">
        <f>PROPER(Transactions!D3290)</f>
        <v>Pharmacy</v>
      </c>
      <c r="E3290" t="s">
        <v>20</v>
      </c>
      <c r="F3290" t="s">
        <v>21</v>
      </c>
      <c r="G3290">
        <v>3</v>
      </c>
      <c r="H3290">
        <v>7.49</v>
      </c>
      <c r="I3290" s="7">
        <f>IF(Transactions!I3290="",0,Transactions!I3290)</f>
        <v>0.25</v>
      </c>
      <c r="J3290" s="9">
        <f t="shared" si="51"/>
        <v>16.852499999999999</v>
      </c>
      <c r="K3290" t="s">
        <v>36</v>
      </c>
      <c r="L3290" t="s">
        <v>37</v>
      </c>
      <c r="M3290" t="str">
        <f>REPLACE(Transactions!M3290,1,4,"")</f>
        <v>11</v>
      </c>
    </row>
    <row r="3291" spans="1:13" x14ac:dyDescent="0.2">
      <c r="A3291">
        <v>644675</v>
      </c>
      <c r="B3291" s="5">
        <v>44562</v>
      </c>
      <c r="C3291">
        <v>28331</v>
      </c>
      <c r="D3291" t="str">
        <f>PROPER(Transactions!D3291)</f>
        <v>Grocery</v>
      </c>
      <c r="E3291" t="s">
        <v>45</v>
      </c>
      <c r="F3291" t="s">
        <v>46</v>
      </c>
      <c r="G3291">
        <v>1</v>
      </c>
      <c r="H3291">
        <v>1.7</v>
      </c>
      <c r="I3291" s="7">
        <f>IF(Transactions!I3291="",0,Transactions!I3291)</f>
        <v>0.05</v>
      </c>
      <c r="J3291" s="9">
        <f t="shared" si="51"/>
        <v>1.615</v>
      </c>
      <c r="K3291" t="s">
        <v>36</v>
      </c>
      <c r="L3291" t="s">
        <v>17</v>
      </c>
      <c r="M3291" t="str">
        <f>REPLACE(Transactions!M3291,1,4,"")</f>
        <v>9</v>
      </c>
    </row>
    <row r="3292" spans="1:13" x14ac:dyDescent="0.2">
      <c r="A3292">
        <v>645126</v>
      </c>
      <c r="B3292" s="5">
        <v>45439</v>
      </c>
      <c r="C3292">
        <v>51846</v>
      </c>
      <c r="D3292" t="str">
        <f>PROPER(Transactions!D3292)</f>
        <v>Grocery</v>
      </c>
      <c r="E3292" t="s">
        <v>45</v>
      </c>
      <c r="F3292" t="s">
        <v>46</v>
      </c>
      <c r="G3292">
        <v>4</v>
      </c>
      <c r="H3292">
        <v>1.43</v>
      </c>
      <c r="I3292" s="7">
        <f>IF(Transactions!I3292="",0,Transactions!I3292)</f>
        <v>0.2</v>
      </c>
      <c r="J3292" s="9">
        <f t="shared" si="51"/>
        <v>4.5759999999999996</v>
      </c>
      <c r="K3292" t="s">
        <v>16</v>
      </c>
      <c r="L3292" t="s">
        <v>17</v>
      </c>
      <c r="M3292" t="str">
        <f>REPLACE(Transactions!M3292,1,4,"")</f>
        <v>2</v>
      </c>
    </row>
    <row r="3293" spans="1:13" x14ac:dyDescent="0.2">
      <c r="A3293">
        <v>645168</v>
      </c>
      <c r="B3293" s="5">
        <v>45375</v>
      </c>
      <c r="D3293" t="str">
        <f>PROPER(Transactions!D3293)</f>
        <v>Grocery</v>
      </c>
      <c r="E3293" t="s">
        <v>177</v>
      </c>
      <c r="F3293" t="s">
        <v>178</v>
      </c>
      <c r="G3293">
        <v>2</v>
      </c>
      <c r="H3293">
        <v>8.39</v>
      </c>
      <c r="I3293" s="7">
        <f>IF(Transactions!I3293="",0,Transactions!I3293)</f>
        <v>0.3</v>
      </c>
      <c r="J3293" s="9">
        <f t="shared" si="51"/>
        <v>11.746</v>
      </c>
      <c r="K3293" t="s">
        <v>16</v>
      </c>
      <c r="L3293" t="s">
        <v>23</v>
      </c>
      <c r="M3293" t="str">
        <f>REPLACE(Transactions!M3293,1,4,"")</f>
        <v>13</v>
      </c>
    </row>
    <row r="3294" spans="1:13" x14ac:dyDescent="0.2">
      <c r="A3294">
        <v>645353</v>
      </c>
      <c r="B3294" s="5">
        <v>44582</v>
      </c>
      <c r="C3294">
        <v>38083</v>
      </c>
      <c r="D3294" t="str">
        <f>PROPER(Transactions!D3294)</f>
        <v>Clothing</v>
      </c>
      <c r="E3294" t="s">
        <v>121</v>
      </c>
      <c r="F3294" t="s">
        <v>122</v>
      </c>
      <c r="G3294">
        <v>2</v>
      </c>
      <c r="H3294">
        <v>12.99</v>
      </c>
      <c r="I3294" s="7">
        <f>IF(Transactions!I3294="",0,Transactions!I3294)</f>
        <v>0</v>
      </c>
      <c r="J3294" s="9">
        <f t="shared" si="51"/>
        <v>25.98</v>
      </c>
      <c r="K3294" t="s">
        <v>95</v>
      </c>
      <c r="L3294" t="s">
        <v>37</v>
      </c>
      <c r="M3294" t="str">
        <f>REPLACE(Transactions!M3294,1,4,"")</f>
        <v>7</v>
      </c>
    </row>
    <row r="3295" spans="1:13" x14ac:dyDescent="0.2">
      <c r="A3295">
        <v>645428</v>
      </c>
      <c r="B3295" s="5">
        <v>45330</v>
      </c>
      <c r="C3295">
        <v>20550</v>
      </c>
      <c r="D3295" t="str">
        <f>PROPER(Transactions!D3295)</f>
        <v>Pharmacy</v>
      </c>
      <c r="E3295" t="s">
        <v>115</v>
      </c>
      <c r="F3295" t="s">
        <v>116</v>
      </c>
      <c r="G3295">
        <v>3</v>
      </c>
      <c r="H3295">
        <v>9.74</v>
      </c>
      <c r="I3295" s="7">
        <f>IF(Transactions!I3295="",0,Transactions!I3295)</f>
        <v>0.25</v>
      </c>
      <c r="J3295" s="9">
        <f t="shared" si="51"/>
        <v>21.914999999999999</v>
      </c>
      <c r="K3295" t="s">
        <v>36</v>
      </c>
      <c r="L3295" t="s">
        <v>17</v>
      </c>
      <c r="M3295" t="str">
        <f>REPLACE(Transactions!M3295,1,4,"")</f>
        <v>4</v>
      </c>
    </row>
    <row r="3296" spans="1:13" x14ac:dyDescent="0.2">
      <c r="A3296">
        <v>645859</v>
      </c>
      <c r="B3296" s="5">
        <v>45454</v>
      </c>
      <c r="C3296">
        <v>19712</v>
      </c>
      <c r="D3296" t="str">
        <f>PROPER(Transactions!D3296)</f>
        <v>Toys</v>
      </c>
      <c r="E3296" t="s">
        <v>72</v>
      </c>
      <c r="F3296" t="s">
        <v>73</v>
      </c>
      <c r="G3296">
        <v>2</v>
      </c>
      <c r="H3296">
        <v>27.99</v>
      </c>
      <c r="I3296" s="7">
        <f>IF(Transactions!I3296="",0,Transactions!I3296)</f>
        <v>0.3</v>
      </c>
      <c r="J3296" s="9">
        <f t="shared" si="51"/>
        <v>39.185999999999993</v>
      </c>
      <c r="K3296" t="s">
        <v>16</v>
      </c>
      <c r="L3296" t="s">
        <v>17</v>
      </c>
      <c r="M3296" t="str">
        <f>REPLACE(Transactions!M3296,1,4,"")</f>
        <v>11</v>
      </c>
    </row>
    <row r="3297" spans="1:13" x14ac:dyDescent="0.2">
      <c r="A3297">
        <v>645869</v>
      </c>
      <c r="B3297" s="5">
        <v>44609</v>
      </c>
      <c r="C3297">
        <v>16571</v>
      </c>
      <c r="D3297" t="str">
        <f>PROPER(Transactions!D3297)</f>
        <v>Pharmacy</v>
      </c>
      <c r="E3297" t="s">
        <v>41</v>
      </c>
      <c r="F3297" t="s">
        <v>42</v>
      </c>
      <c r="G3297">
        <v>5</v>
      </c>
      <c r="H3297">
        <v>4.1900000000000004</v>
      </c>
      <c r="I3297" s="7">
        <f>IF(Transactions!I3297="",0,Transactions!I3297)</f>
        <v>0.3</v>
      </c>
      <c r="J3297" s="9">
        <f t="shared" si="51"/>
        <v>14.665000000000001</v>
      </c>
      <c r="K3297" t="s">
        <v>36</v>
      </c>
      <c r="L3297" t="s">
        <v>17</v>
      </c>
      <c r="M3297" t="str">
        <f>REPLACE(Transactions!M3297,1,4,"")</f>
        <v>4</v>
      </c>
    </row>
    <row r="3298" spans="1:13" x14ac:dyDescent="0.2">
      <c r="A3298">
        <v>645981</v>
      </c>
      <c r="B3298" s="5">
        <v>44925</v>
      </c>
      <c r="C3298">
        <v>86108</v>
      </c>
      <c r="D3298" t="str">
        <f>PROPER(Transactions!D3298)</f>
        <v>Grocery</v>
      </c>
      <c r="E3298" t="s">
        <v>107</v>
      </c>
      <c r="F3298" t="s">
        <v>108</v>
      </c>
      <c r="G3298">
        <v>1</v>
      </c>
      <c r="H3298">
        <v>3.14</v>
      </c>
      <c r="I3298" s="7">
        <f>IF(Transactions!I3298="",0,Transactions!I3298)</f>
        <v>0.1</v>
      </c>
      <c r="J3298" s="9">
        <f t="shared" si="51"/>
        <v>2.8260000000000001</v>
      </c>
      <c r="K3298" t="s">
        <v>36</v>
      </c>
      <c r="L3298" t="s">
        <v>17</v>
      </c>
      <c r="M3298" t="str">
        <f>REPLACE(Transactions!M3298,1,4,"")</f>
        <v>2</v>
      </c>
    </row>
    <row r="3299" spans="1:13" x14ac:dyDescent="0.2">
      <c r="A3299">
        <v>646015</v>
      </c>
      <c r="B3299" s="5">
        <v>45373</v>
      </c>
      <c r="C3299">
        <v>13896</v>
      </c>
      <c r="D3299" t="str">
        <f>PROPER(Transactions!D3299)</f>
        <v>Pharmacy</v>
      </c>
      <c r="E3299" t="s">
        <v>58</v>
      </c>
      <c r="F3299" t="s">
        <v>59</v>
      </c>
      <c r="G3299">
        <v>2</v>
      </c>
      <c r="H3299">
        <v>3.39</v>
      </c>
      <c r="I3299" s="7">
        <f>IF(Transactions!I3299="",0,Transactions!I3299)</f>
        <v>0.15</v>
      </c>
      <c r="J3299" s="9">
        <f t="shared" si="51"/>
        <v>5.7629999999999999</v>
      </c>
      <c r="K3299" t="s">
        <v>16</v>
      </c>
      <c r="L3299" t="s">
        <v>23</v>
      </c>
      <c r="M3299" t="str">
        <f>REPLACE(Transactions!M3299,1,4,"")</f>
        <v>1</v>
      </c>
    </row>
    <row r="3300" spans="1:13" x14ac:dyDescent="0.2">
      <c r="A3300">
        <v>646039</v>
      </c>
      <c r="B3300" s="5">
        <v>45213</v>
      </c>
      <c r="C3300">
        <v>67441</v>
      </c>
      <c r="D3300" t="str">
        <f>PROPER(Transactions!D3300)</f>
        <v>Toys</v>
      </c>
      <c r="E3300" t="s">
        <v>30</v>
      </c>
      <c r="F3300" t="s">
        <v>31</v>
      </c>
      <c r="G3300">
        <v>1</v>
      </c>
      <c r="H3300">
        <v>24.99</v>
      </c>
      <c r="I3300" s="7">
        <f>IF(Transactions!I3300="",0,Transactions!I3300)</f>
        <v>0</v>
      </c>
      <c r="J3300" s="9">
        <f t="shared" si="51"/>
        <v>24.99</v>
      </c>
      <c r="K3300" t="s">
        <v>32</v>
      </c>
      <c r="L3300" t="s">
        <v>37</v>
      </c>
      <c r="M3300" t="str">
        <f>REPLACE(Transactions!M3300,1,4,"")</f>
        <v>16</v>
      </c>
    </row>
    <row r="3301" spans="1:13" x14ac:dyDescent="0.2">
      <c r="A3301">
        <v>646164</v>
      </c>
      <c r="B3301" s="5">
        <v>45300</v>
      </c>
      <c r="C3301">
        <v>41289</v>
      </c>
      <c r="D3301" t="str">
        <f>PROPER(Transactions!D3301)</f>
        <v>Electronics</v>
      </c>
      <c r="E3301" t="s">
        <v>14</v>
      </c>
      <c r="F3301" t="s">
        <v>15</v>
      </c>
      <c r="G3301">
        <v>1</v>
      </c>
      <c r="H3301">
        <v>75.989999999999995</v>
      </c>
      <c r="I3301" s="7">
        <f>IF(Transactions!I3301="",0,Transactions!I3301)</f>
        <v>0.05</v>
      </c>
      <c r="J3301" s="9">
        <f t="shared" si="51"/>
        <v>72.190499999999986</v>
      </c>
      <c r="K3301" t="s">
        <v>22</v>
      </c>
      <c r="L3301" t="s">
        <v>23</v>
      </c>
      <c r="M3301" t="str">
        <f>REPLACE(Transactions!M3301,1,4,"")</f>
        <v>6</v>
      </c>
    </row>
    <row r="3302" spans="1:13" x14ac:dyDescent="0.2">
      <c r="A3302">
        <v>646188</v>
      </c>
      <c r="B3302" s="5">
        <v>45319</v>
      </c>
      <c r="C3302">
        <v>93651</v>
      </c>
      <c r="D3302" t="str">
        <f>PROPER(Transactions!D3302)</f>
        <v>Electronics</v>
      </c>
      <c r="E3302" t="s">
        <v>127</v>
      </c>
      <c r="F3302" t="s">
        <v>128</v>
      </c>
      <c r="G3302">
        <v>4</v>
      </c>
      <c r="H3302">
        <v>19.989999999999998</v>
      </c>
      <c r="I3302" s="7">
        <f>IF(Transactions!I3302="",0,Transactions!I3302)</f>
        <v>0</v>
      </c>
      <c r="J3302" s="9">
        <f t="shared" si="51"/>
        <v>79.959999999999994</v>
      </c>
      <c r="K3302" t="s">
        <v>16</v>
      </c>
      <c r="L3302" t="s">
        <v>17</v>
      </c>
      <c r="M3302" t="str">
        <f>REPLACE(Transactions!M3302,1,4,"")</f>
        <v>19</v>
      </c>
    </row>
    <row r="3303" spans="1:13" x14ac:dyDescent="0.2">
      <c r="A3303">
        <v>646238</v>
      </c>
      <c r="B3303" s="5">
        <v>45198</v>
      </c>
      <c r="C3303">
        <v>94417</v>
      </c>
      <c r="D3303" t="str">
        <f>PROPER(Transactions!D3303)</f>
        <v>Furniture</v>
      </c>
      <c r="E3303" t="s">
        <v>70</v>
      </c>
      <c r="F3303" t="s">
        <v>71</v>
      </c>
      <c r="G3303">
        <v>1</v>
      </c>
      <c r="H3303">
        <v>89.99</v>
      </c>
      <c r="I3303" s="7">
        <f>IF(Transactions!I3303="",0,Transactions!I3303)</f>
        <v>0</v>
      </c>
      <c r="J3303" s="9">
        <f t="shared" si="51"/>
        <v>89.99</v>
      </c>
      <c r="K3303" t="s">
        <v>36</v>
      </c>
      <c r="L3303" t="s">
        <v>17</v>
      </c>
      <c r="M3303" t="str">
        <f>REPLACE(Transactions!M3303,1,4,"")</f>
        <v>10</v>
      </c>
    </row>
    <row r="3304" spans="1:13" x14ac:dyDescent="0.2">
      <c r="A3304">
        <v>646660</v>
      </c>
      <c r="B3304" s="5">
        <v>44752</v>
      </c>
      <c r="C3304">
        <v>80770</v>
      </c>
      <c r="D3304" t="str">
        <f>PROPER(Transactions!D3304)</f>
        <v>Automotive</v>
      </c>
      <c r="E3304" t="s">
        <v>64</v>
      </c>
      <c r="F3304" t="s">
        <v>65</v>
      </c>
      <c r="G3304">
        <v>2</v>
      </c>
      <c r="H3304">
        <v>3.49</v>
      </c>
      <c r="I3304" s="7">
        <f>IF(Transactions!I3304="",0,Transactions!I3304)</f>
        <v>0</v>
      </c>
      <c r="J3304" s="9">
        <f t="shared" si="51"/>
        <v>6.98</v>
      </c>
      <c r="K3304" t="s">
        <v>16</v>
      </c>
      <c r="L3304" t="s">
        <v>17</v>
      </c>
      <c r="M3304" t="str">
        <f>REPLACE(Transactions!M3304,1,4,"")</f>
        <v>11</v>
      </c>
    </row>
    <row r="3305" spans="1:13" x14ac:dyDescent="0.2">
      <c r="A3305">
        <v>646706</v>
      </c>
      <c r="B3305" s="5">
        <v>44962</v>
      </c>
      <c r="C3305">
        <v>31170</v>
      </c>
      <c r="D3305" t="str">
        <f>PROPER(Transactions!D3305)</f>
        <v>Pharmacy</v>
      </c>
      <c r="E3305" t="s">
        <v>115</v>
      </c>
      <c r="F3305" t="s">
        <v>116</v>
      </c>
      <c r="G3305">
        <v>2</v>
      </c>
      <c r="H3305">
        <v>12.99</v>
      </c>
      <c r="I3305" s="7">
        <f>IF(Transactions!I3305="",0,Transactions!I3305)</f>
        <v>0</v>
      </c>
      <c r="J3305" s="9">
        <f t="shared" si="51"/>
        <v>25.98</v>
      </c>
      <c r="K3305" t="s">
        <v>95</v>
      </c>
      <c r="L3305" t="s">
        <v>17</v>
      </c>
      <c r="M3305" t="str">
        <f>REPLACE(Transactions!M3305,1,4,"")</f>
        <v>9</v>
      </c>
    </row>
    <row r="3306" spans="1:13" x14ac:dyDescent="0.2">
      <c r="A3306">
        <v>646992</v>
      </c>
      <c r="B3306" s="5">
        <v>45062</v>
      </c>
      <c r="C3306">
        <v>23017</v>
      </c>
      <c r="D3306" t="str">
        <f>PROPER(Transactions!D3306)</f>
        <v>Sports</v>
      </c>
      <c r="E3306" t="s">
        <v>83</v>
      </c>
      <c r="F3306" t="s">
        <v>84</v>
      </c>
      <c r="G3306">
        <v>1</v>
      </c>
      <c r="H3306">
        <v>16.989999999999998</v>
      </c>
      <c r="I3306" s="7">
        <f>IF(Transactions!I3306="",0,Transactions!I3306)</f>
        <v>0</v>
      </c>
      <c r="J3306" s="9">
        <f t="shared" si="51"/>
        <v>16.989999999999998</v>
      </c>
      <c r="K3306" t="s">
        <v>36</v>
      </c>
      <c r="L3306" t="s">
        <v>17</v>
      </c>
      <c r="M3306" t="str">
        <f>REPLACE(Transactions!M3306,1,4,"")</f>
        <v>14</v>
      </c>
    </row>
    <row r="3307" spans="1:13" x14ac:dyDescent="0.2">
      <c r="A3307">
        <v>646993</v>
      </c>
      <c r="B3307" s="5">
        <v>44934</v>
      </c>
      <c r="C3307">
        <v>48315</v>
      </c>
      <c r="D3307" t="str">
        <f>PROPER(Transactions!D3307)</f>
        <v>Grocery</v>
      </c>
      <c r="E3307" t="s">
        <v>190</v>
      </c>
      <c r="F3307" t="s">
        <v>191</v>
      </c>
      <c r="G3307">
        <v>1</v>
      </c>
      <c r="H3307">
        <v>3.22</v>
      </c>
      <c r="I3307" s="7">
        <f>IF(Transactions!I3307="",0,Transactions!I3307)</f>
        <v>0.25</v>
      </c>
      <c r="J3307" s="9">
        <f t="shared" si="51"/>
        <v>2.415</v>
      </c>
      <c r="K3307" t="s">
        <v>16</v>
      </c>
      <c r="L3307" t="s">
        <v>17</v>
      </c>
      <c r="M3307" t="str">
        <f>REPLACE(Transactions!M3307,1,4,"")</f>
        <v>12</v>
      </c>
    </row>
    <row r="3308" spans="1:13" x14ac:dyDescent="0.2">
      <c r="A3308">
        <v>647259</v>
      </c>
      <c r="B3308" s="5">
        <v>44587</v>
      </c>
      <c r="C3308">
        <v>69178</v>
      </c>
      <c r="D3308" t="str">
        <f>PROPER(Transactions!D3308)</f>
        <v>Home &amp; Garden</v>
      </c>
      <c r="E3308" t="s">
        <v>153</v>
      </c>
      <c r="F3308" t="s">
        <v>154</v>
      </c>
      <c r="G3308">
        <v>3</v>
      </c>
      <c r="H3308">
        <v>20.99</v>
      </c>
      <c r="I3308" s="7">
        <f>IF(Transactions!I3308="",0,Transactions!I3308)</f>
        <v>0.3</v>
      </c>
      <c r="J3308" s="9">
        <f t="shared" si="51"/>
        <v>44.078999999999994</v>
      </c>
      <c r="K3308" t="s">
        <v>36</v>
      </c>
      <c r="L3308" t="s">
        <v>37</v>
      </c>
      <c r="M3308" t="str">
        <f>REPLACE(Transactions!M3308,1,4,"")</f>
        <v>9</v>
      </c>
    </row>
    <row r="3309" spans="1:13" x14ac:dyDescent="0.2">
      <c r="A3309">
        <v>647414</v>
      </c>
      <c r="B3309" s="5">
        <v>44860</v>
      </c>
      <c r="C3309">
        <v>31062</v>
      </c>
      <c r="D3309" t="str">
        <f>PROPER(Transactions!D3309)</f>
        <v>Clothing</v>
      </c>
      <c r="E3309" t="s">
        <v>141</v>
      </c>
      <c r="F3309" t="s">
        <v>142</v>
      </c>
      <c r="G3309">
        <v>2</v>
      </c>
      <c r="H3309">
        <v>22.99</v>
      </c>
      <c r="I3309" s="7">
        <f>IF(Transactions!I3309="",0,Transactions!I3309)</f>
        <v>0</v>
      </c>
      <c r="J3309" s="9">
        <f t="shared" si="51"/>
        <v>45.98</v>
      </c>
      <c r="K3309" t="s">
        <v>16</v>
      </c>
      <c r="L3309" t="s">
        <v>17</v>
      </c>
      <c r="M3309" t="str">
        <f>REPLACE(Transactions!M3309,1,4,"")</f>
        <v>11</v>
      </c>
    </row>
    <row r="3310" spans="1:13" x14ac:dyDescent="0.2">
      <c r="A3310">
        <v>647427</v>
      </c>
      <c r="B3310" s="5">
        <v>45133</v>
      </c>
      <c r="C3310">
        <v>21708</v>
      </c>
      <c r="D3310" t="str">
        <f>PROPER(Transactions!D3310)</f>
        <v>Beauty</v>
      </c>
      <c r="E3310" t="s">
        <v>118</v>
      </c>
      <c r="F3310" t="s">
        <v>119</v>
      </c>
      <c r="G3310">
        <v>5</v>
      </c>
      <c r="H3310">
        <v>4.24</v>
      </c>
      <c r="I3310" s="7">
        <f>IF(Transactions!I3310="",0,Transactions!I3310)</f>
        <v>0.15</v>
      </c>
      <c r="J3310" s="9">
        <f t="shared" si="51"/>
        <v>18.020000000000003</v>
      </c>
      <c r="K3310" t="s">
        <v>95</v>
      </c>
      <c r="L3310" t="s">
        <v>37</v>
      </c>
      <c r="M3310" t="str">
        <f>REPLACE(Transactions!M3310,1,4,"")</f>
        <v>20</v>
      </c>
    </row>
    <row r="3311" spans="1:13" x14ac:dyDescent="0.2">
      <c r="A3311">
        <v>647514</v>
      </c>
      <c r="B3311" s="5">
        <v>44711</v>
      </c>
      <c r="C3311">
        <v>43408</v>
      </c>
      <c r="D3311" t="str">
        <f>PROPER(Transactions!D3311)</f>
        <v>Electronics</v>
      </c>
      <c r="E3311" t="s">
        <v>34</v>
      </c>
      <c r="F3311" t="s">
        <v>35</v>
      </c>
      <c r="G3311">
        <v>2</v>
      </c>
      <c r="H3311">
        <v>26.24</v>
      </c>
      <c r="I3311" s="7">
        <f>IF(Transactions!I3311="",0,Transactions!I3311)</f>
        <v>0.25</v>
      </c>
      <c r="J3311" s="9">
        <f t="shared" si="51"/>
        <v>39.36</v>
      </c>
      <c r="K3311" t="s">
        <v>22</v>
      </c>
      <c r="L3311" t="s">
        <v>17</v>
      </c>
      <c r="M3311" t="str">
        <f>REPLACE(Transactions!M3311,1,4,"")</f>
        <v>14</v>
      </c>
    </row>
    <row r="3312" spans="1:13" x14ac:dyDescent="0.2">
      <c r="A3312">
        <v>647528</v>
      </c>
      <c r="B3312" s="5">
        <v>45405</v>
      </c>
      <c r="C3312">
        <v>94392</v>
      </c>
      <c r="D3312" t="str">
        <f>PROPER(Transactions!D3312)</f>
        <v>Grocery</v>
      </c>
      <c r="E3312" t="s">
        <v>107</v>
      </c>
      <c r="F3312" t="s">
        <v>108</v>
      </c>
      <c r="G3312">
        <v>2</v>
      </c>
      <c r="H3312">
        <v>3.14</v>
      </c>
      <c r="I3312" s="7">
        <f>IF(Transactions!I3312="",0,Transactions!I3312)</f>
        <v>0.1</v>
      </c>
      <c r="J3312" s="9">
        <f t="shared" si="51"/>
        <v>5.6520000000000001</v>
      </c>
      <c r="K3312" t="s">
        <v>16</v>
      </c>
      <c r="L3312" t="s">
        <v>37</v>
      </c>
      <c r="M3312" t="str">
        <f>REPLACE(Transactions!M3312,1,4,"")</f>
        <v>19</v>
      </c>
    </row>
    <row r="3313" spans="1:13" x14ac:dyDescent="0.2">
      <c r="A3313">
        <v>647698</v>
      </c>
      <c r="B3313" s="5">
        <v>45622</v>
      </c>
      <c r="C3313">
        <v>48396</v>
      </c>
      <c r="D3313" t="str">
        <f>PROPER(Transactions!D3313)</f>
        <v>Furniture</v>
      </c>
      <c r="E3313" t="s">
        <v>113</v>
      </c>
      <c r="F3313" t="s">
        <v>114</v>
      </c>
      <c r="G3313">
        <v>1</v>
      </c>
      <c r="H3313">
        <v>119.99</v>
      </c>
      <c r="I3313" s="7">
        <f>IF(Transactions!I3313="",0,Transactions!I3313)</f>
        <v>0</v>
      </c>
      <c r="J3313" s="9">
        <f t="shared" si="51"/>
        <v>119.99</v>
      </c>
      <c r="K3313" t="s">
        <v>16</v>
      </c>
      <c r="L3313" t="s">
        <v>17</v>
      </c>
      <c r="M3313" t="str">
        <f>REPLACE(Transactions!M3313,1,4,"")</f>
        <v>8</v>
      </c>
    </row>
    <row r="3314" spans="1:13" x14ac:dyDescent="0.2">
      <c r="A3314">
        <v>647718</v>
      </c>
      <c r="B3314" s="5">
        <v>44636</v>
      </c>
      <c r="C3314">
        <v>87894</v>
      </c>
      <c r="D3314" t="str">
        <f>PROPER(Transactions!D3314)</f>
        <v>Clothing</v>
      </c>
      <c r="E3314" t="s">
        <v>141</v>
      </c>
      <c r="F3314" t="s">
        <v>142</v>
      </c>
      <c r="G3314">
        <v>2</v>
      </c>
      <c r="H3314">
        <v>17.239999999999998</v>
      </c>
      <c r="I3314" s="7">
        <f>IF(Transactions!I3314="",0,Transactions!I3314)</f>
        <v>0.25</v>
      </c>
      <c r="J3314" s="9">
        <f t="shared" si="51"/>
        <v>25.86</v>
      </c>
      <c r="K3314" t="s">
        <v>16</v>
      </c>
      <c r="L3314" t="s">
        <v>17</v>
      </c>
      <c r="M3314" t="str">
        <f>REPLACE(Transactions!M3314,1,4,"")</f>
        <v>6</v>
      </c>
    </row>
    <row r="3315" spans="1:13" x14ac:dyDescent="0.2">
      <c r="A3315">
        <v>648080</v>
      </c>
      <c r="B3315" s="5">
        <v>45149</v>
      </c>
      <c r="C3315">
        <v>46578</v>
      </c>
      <c r="D3315" t="str">
        <f>PROPER(Transactions!D3315)</f>
        <v>Automotive</v>
      </c>
      <c r="E3315" t="s">
        <v>111</v>
      </c>
      <c r="F3315" t="s">
        <v>112</v>
      </c>
      <c r="G3315">
        <v>3</v>
      </c>
      <c r="H3315">
        <v>14.99</v>
      </c>
      <c r="I3315" s="7">
        <f>IF(Transactions!I3315="",0,Transactions!I3315)</f>
        <v>0</v>
      </c>
      <c r="J3315" s="9">
        <f t="shared" si="51"/>
        <v>44.97</v>
      </c>
      <c r="K3315" t="s">
        <v>36</v>
      </c>
      <c r="L3315" t="s">
        <v>17</v>
      </c>
      <c r="M3315" t="str">
        <f>REPLACE(Transactions!M3315,1,4,"")</f>
        <v>20</v>
      </c>
    </row>
    <row r="3316" spans="1:13" x14ac:dyDescent="0.2">
      <c r="A3316">
        <v>648282</v>
      </c>
      <c r="B3316" s="5">
        <v>44993</v>
      </c>
      <c r="C3316">
        <v>14159</v>
      </c>
      <c r="D3316" t="str">
        <f>PROPER(Transactions!D3316)</f>
        <v>Grocery</v>
      </c>
      <c r="E3316" t="s">
        <v>107</v>
      </c>
      <c r="F3316" t="s">
        <v>108</v>
      </c>
      <c r="G3316">
        <v>3</v>
      </c>
      <c r="H3316">
        <v>3.14</v>
      </c>
      <c r="I3316" s="7">
        <f>IF(Transactions!I3316="",0,Transactions!I3316)</f>
        <v>0.1</v>
      </c>
      <c r="J3316" s="9">
        <f t="shared" si="51"/>
        <v>8.4779999999999998</v>
      </c>
      <c r="K3316" t="s">
        <v>16</v>
      </c>
      <c r="L3316" t="s">
        <v>17</v>
      </c>
      <c r="M3316" t="str">
        <f>REPLACE(Transactions!M3316,1,4,"")</f>
        <v>8</v>
      </c>
    </row>
    <row r="3317" spans="1:13" x14ac:dyDescent="0.2">
      <c r="A3317">
        <v>648415</v>
      </c>
      <c r="B3317" s="5">
        <v>44855</v>
      </c>
      <c r="C3317">
        <v>37835</v>
      </c>
      <c r="D3317" t="str">
        <f>PROPER(Transactions!D3317)</f>
        <v>Sports</v>
      </c>
      <c r="E3317" t="s">
        <v>155</v>
      </c>
      <c r="F3317" t="s">
        <v>156</v>
      </c>
      <c r="G3317">
        <v>1</v>
      </c>
      <c r="H3317">
        <v>19.989999999999998</v>
      </c>
      <c r="I3317" s="7">
        <f>IF(Transactions!I3317="",0,Transactions!I3317)</f>
        <v>0</v>
      </c>
      <c r="J3317" s="9">
        <f t="shared" si="51"/>
        <v>19.989999999999998</v>
      </c>
      <c r="K3317" t="s">
        <v>36</v>
      </c>
      <c r="L3317" t="s">
        <v>17</v>
      </c>
      <c r="M3317" t="str">
        <f>REPLACE(Transactions!M3317,1,4,"")</f>
        <v>15</v>
      </c>
    </row>
    <row r="3318" spans="1:13" x14ac:dyDescent="0.2">
      <c r="A3318">
        <v>648416</v>
      </c>
      <c r="B3318" s="5">
        <v>44928</v>
      </c>
      <c r="C3318">
        <v>98964</v>
      </c>
      <c r="D3318" t="str">
        <f>PROPER(Transactions!D3318)</f>
        <v>Furniture</v>
      </c>
      <c r="E3318" t="s">
        <v>60</v>
      </c>
      <c r="F3318" t="s">
        <v>61</v>
      </c>
      <c r="G3318">
        <v>1</v>
      </c>
      <c r="H3318">
        <v>43.99</v>
      </c>
      <c r="I3318" s="7">
        <f>IF(Transactions!I3318="",0,Transactions!I3318)</f>
        <v>0.2</v>
      </c>
      <c r="J3318" s="9">
        <f t="shared" si="51"/>
        <v>35.192</v>
      </c>
      <c r="K3318" t="s">
        <v>95</v>
      </c>
      <c r="L3318" t="s">
        <v>17</v>
      </c>
      <c r="M3318" t="str">
        <f>REPLACE(Transactions!M3318,1,4,"")</f>
        <v>11</v>
      </c>
    </row>
    <row r="3319" spans="1:13" x14ac:dyDescent="0.2">
      <c r="A3319">
        <v>648434</v>
      </c>
      <c r="B3319" s="5">
        <v>44996</v>
      </c>
      <c r="C3319">
        <v>68643</v>
      </c>
      <c r="D3319" t="str">
        <f>PROPER(Transactions!D3319)</f>
        <v>Furniture</v>
      </c>
      <c r="E3319" t="s">
        <v>26</v>
      </c>
      <c r="F3319" t="s">
        <v>27</v>
      </c>
      <c r="G3319">
        <v>3</v>
      </c>
      <c r="H3319">
        <v>26.24</v>
      </c>
      <c r="I3319" s="7">
        <f>IF(Transactions!I3319="",0,Transactions!I3319)</f>
        <v>0.25</v>
      </c>
      <c r="J3319" s="9">
        <f t="shared" si="51"/>
        <v>59.04</v>
      </c>
      <c r="K3319" t="s">
        <v>16</v>
      </c>
      <c r="L3319" t="s">
        <v>17</v>
      </c>
      <c r="M3319" t="str">
        <f>REPLACE(Transactions!M3319,1,4,"")</f>
        <v>6</v>
      </c>
    </row>
    <row r="3320" spans="1:13" x14ac:dyDescent="0.2">
      <c r="A3320">
        <v>648818</v>
      </c>
      <c r="B3320" s="5">
        <v>44829</v>
      </c>
      <c r="C3320">
        <v>34028</v>
      </c>
      <c r="D3320" t="str">
        <f>PROPER(Transactions!D3320)</f>
        <v>Beauty</v>
      </c>
      <c r="E3320" t="s">
        <v>118</v>
      </c>
      <c r="F3320" t="s">
        <v>119</v>
      </c>
      <c r="G3320">
        <v>4</v>
      </c>
      <c r="H3320">
        <v>3.99</v>
      </c>
      <c r="I3320" s="7">
        <f>IF(Transactions!I3320="",0,Transactions!I3320)</f>
        <v>0.2</v>
      </c>
      <c r="J3320" s="9">
        <f t="shared" si="51"/>
        <v>12.768000000000001</v>
      </c>
      <c r="K3320" t="s">
        <v>22</v>
      </c>
      <c r="L3320" t="s">
        <v>17</v>
      </c>
      <c r="M3320" t="str">
        <f>REPLACE(Transactions!M3320,1,4,"")</f>
        <v>3</v>
      </c>
    </row>
    <row r="3321" spans="1:13" x14ac:dyDescent="0.2">
      <c r="A3321">
        <v>649170</v>
      </c>
      <c r="B3321" s="5">
        <v>45486</v>
      </c>
      <c r="C3321">
        <v>24778</v>
      </c>
      <c r="D3321" t="str">
        <f>PROPER(Transactions!D3321)</f>
        <v>Beauty</v>
      </c>
      <c r="E3321" t="s">
        <v>109</v>
      </c>
      <c r="F3321" t="s">
        <v>110</v>
      </c>
      <c r="G3321">
        <v>5</v>
      </c>
      <c r="H3321">
        <v>6.99</v>
      </c>
      <c r="I3321" s="7">
        <f>IF(Transactions!I3321="",0,Transactions!I3321)</f>
        <v>0</v>
      </c>
      <c r="J3321" s="9">
        <f t="shared" si="51"/>
        <v>34.950000000000003</v>
      </c>
      <c r="K3321" t="s">
        <v>22</v>
      </c>
      <c r="L3321" t="s">
        <v>17</v>
      </c>
      <c r="M3321" t="str">
        <f>REPLACE(Transactions!M3321,1,4,"")</f>
        <v>11</v>
      </c>
    </row>
    <row r="3322" spans="1:13" x14ac:dyDescent="0.2">
      <c r="A3322">
        <v>649297</v>
      </c>
      <c r="B3322" s="5">
        <v>45356</v>
      </c>
      <c r="C3322">
        <v>95286</v>
      </c>
      <c r="D3322" t="str">
        <f>PROPER(Transactions!D3322)</f>
        <v>Clothing</v>
      </c>
      <c r="E3322" t="s">
        <v>121</v>
      </c>
      <c r="F3322" t="s">
        <v>122</v>
      </c>
      <c r="G3322">
        <v>4</v>
      </c>
      <c r="H3322">
        <v>11.04</v>
      </c>
      <c r="I3322" s="7">
        <f>IF(Transactions!I3322="",0,Transactions!I3322)</f>
        <v>0.15</v>
      </c>
      <c r="J3322" s="9">
        <f t="shared" si="51"/>
        <v>37.535999999999994</v>
      </c>
      <c r="K3322" t="s">
        <v>36</v>
      </c>
      <c r="L3322" t="s">
        <v>17</v>
      </c>
      <c r="M3322" t="str">
        <f>REPLACE(Transactions!M3322,1,4,"")</f>
        <v>1</v>
      </c>
    </row>
    <row r="3323" spans="1:13" x14ac:dyDescent="0.2">
      <c r="A3323">
        <v>649424</v>
      </c>
      <c r="B3323" s="5">
        <v>44994</v>
      </c>
      <c r="C3323">
        <v>71083</v>
      </c>
      <c r="D3323" t="str">
        <f>PROPER(Transactions!D3323)</f>
        <v>Toys</v>
      </c>
      <c r="E3323" t="s">
        <v>72</v>
      </c>
      <c r="F3323" t="s">
        <v>73</v>
      </c>
      <c r="G3323">
        <v>4</v>
      </c>
      <c r="H3323">
        <v>39.99</v>
      </c>
      <c r="I3323" s="7">
        <f>IF(Transactions!I3323="",0,Transactions!I3323)</f>
        <v>0</v>
      </c>
      <c r="J3323" s="9">
        <f t="shared" si="51"/>
        <v>159.96</v>
      </c>
      <c r="K3323" t="s">
        <v>22</v>
      </c>
      <c r="L3323" t="s">
        <v>37</v>
      </c>
      <c r="M3323" t="str">
        <f>REPLACE(Transactions!M3323,1,4,"")</f>
        <v>1</v>
      </c>
    </row>
    <row r="3324" spans="1:13" x14ac:dyDescent="0.2">
      <c r="A3324">
        <v>649472</v>
      </c>
      <c r="B3324" s="5">
        <v>44998</v>
      </c>
      <c r="C3324">
        <v>29842</v>
      </c>
      <c r="D3324" t="str">
        <f>PROPER(Transactions!D3324)</f>
        <v>Clothing</v>
      </c>
      <c r="E3324" t="s">
        <v>181</v>
      </c>
      <c r="F3324" t="s">
        <v>182</v>
      </c>
      <c r="G3324">
        <v>2</v>
      </c>
      <c r="H3324">
        <v>12.74</v>
      </c>
      <c r="I3324" s="7">
        <f>IF(Transactions!I3324="",0,Transactions!I3324)</f>
        <v>0.15</v>
      </c>
      <c r="J3324" s="9">
        <f t="shared" si="51"/>
        <v>21.658000000000001</v>
      </c>
      <c r="K3324" t="s">
        <v>16</v>
      </c>
      <c r="L3324" t="s">
        <v>37</v>
      </c>
      <c r="M3324" t="str">
        <f>REPLACE(Transactions!M3324,1,4,"")</f>
        <v>6</v>
      </c>
    </row>
    <row r="3325" spans="1:13" x14ac:dyDescent="0.2">
      <c r="A3325">
        <v>649746</v>
      </c>
      <c r="B3325" s="5">
        <v>44652</v>
      </c>
      <c r="C3325">
        <v>34525</v>
      </c>
      <c r="D3325" t="str">
        <f>PROPER(Transactions!D3325)</f>
        <v>Pharmacy</v>
      </c>
      <c r="E3325" t="s">
        <v>41</v>
      </c>
      <c r="F3325" t="s">
        <v>42</v>
      </c>
      <c r="G3325">
        <v>1</v>
      </c>
      <c r="H3325">
        <v>5.39</v>
      </c>
      <c r="I3325" s="7">
        <f>IF(Transactions!I3325="",0,Transactions!I3325)</f>
        <v>0.1</v>
      </c>
      <c r="J3325" s="9">
        <f t="shared" si="51"/>
        <v>4.851</v>
      </c>
      <c r="K3325" t="s">
        <v>16</v>
      </c>
      <c r="L3325" t="s">
        <v>17</v>
      </c>
      <c r="M3325" t="str">
        <f>REPLACE(Transactions!M3325,1,4,"")</f>
        <v>19</v>
      </c>
    </row>
    <row r="3326" spans="1:13" x14ac:dyDescent="0.2">
      <c r="A3326">
        <v>649808</v>
      </c>
      <c r="B3326" s="5">
        <v>45428</v>
      </c>
      <c r="C3326">
        <v>91010</v>
      </c>
      <c r="D3326" t="str">
        <f>PROPER(Transactions!D3326)</f>
        <v>Toys</v>
      </c>
      <c r="E3326" t="s">
        <v>175</v>
      </c>
      <c r="F3326" t="s">
        <v>176</v>
      </c>
      <c r="G3326">
        <v>1</v>
      </c>
      <c r="H3326">
        <v>11.99</v>
      </c>
      <c r="I3326" s="7">
        <f>IF(Transactions!I3326="",0,Transactions!I3326)</f>
        <v>0</v>
      </c>
      <c r="J3326" s="9">
        <f t="shared" si="51"/>
        <v>11.99</v>
      </c>
      <c r="K3326" t="s">
        <v>66</v>
      </c>
      <c r="L3326" t="s">
        <v>17</v>
      </c>
      <c r="M3326" t="str">
        <f>REPLACE(Transactions!M3326,1,4,"")</f>
        <v>16</v>
      </c>
    </row>
    <row r="3327" spans="1:13" x14ac:dyDescent="0.2">
      <c r="A3327">
        <v>649909</v>
      </c>
      <c r="B3327" s="5">
        <v>44665</v>
      </c>
      <c r="C3327">
        <v>91249</v>
      </c>
      <c r="D3327" t="str">
        <f>PROPER(Transactions!D3327)</f>
        <v>Pharmacy</v>
      </c>
      <c r="E3327" t="s">
        <v>115</v>
      </c>
      <c r="F3327" t="s">
        <v>116</v>
      </c>
      <c r="G3327">
        <v>1</v>
      </c>
      <c r="H3327">
        <v>11.69</v>
      </c>
      <c r="I3327" s="7">
        <f>IF(Transactions!I3327="",0,Transactions!I3327)</f>
        <v>0.1</v>
      </c>
      <c r="J3327" s="9">
        <f t="shared" si="51"/>
        <v>10.520999999999999</v>
      </c>
      <c r="K3327" t="s">
        <v>36</v>
      </c>
      <c r="L3327" t="s">
        <v>17</v>
      </c>
      <c r="M3327" t="str">
        <f>REPLACE(Transactions!M3327,1,4,"")</f>
        <v>18</v>
      </c>
    </row>
    <row r="3328" spans="1:13" x14ac:dyDescent="0.2">
      <c r="A3328">
        <v>650595</v>
      </c>
      <c r="B3328" s="5">
        <v>45349</v>
      </c>
      <c r="C3328">
        <v>69593</v>
      </c>
      <c r="D3328" t="str">
        <f>PROPER(Transactions!D3328)</f>
        <v>Clothing</v>
      </c>
      <c r="E3328" t="s">
        <v>181</v>
      </c>
      <c r="F3328" t="s">
        <v>182</v>
      </c>
      <c r="G3328">
        <v>4</v>
      </c>
      <c r="H3328">
        <v>11.24</v>
      </c>
      <c r="I3328" s="7">
        <f>IF(Transactions!I3328="",0,Transactions!I3328)</f>
        <v>0.25</v>
      </c>
      <c r="J3328" s="9">
        <f t="shared" si="51"/>
        <v>33.72</v>
      </c>
      <c r="K3328" t="s">
        <v>22</v>
      </c>
      <c r="L3328" t="s">
        <v>17</v>
      </c>
      <c r="M3328" t="str">
        <f>REPLACE(Transactions!M3328,1,4,"")</f>
        <v>4</v>
      </c>
    </row>
    <row r="3329" spans="1:13" x14ac:dyDescent="0.2">
      <c r="A3329">
        <v>650748</v>
      </c>
      <c r="B3329" s="5">
        <v>45242</v>
      </c>
      <c r="C3329">
        <v>26747</v>
      </c>
      <c r="D3329" t="str">
        <f>PROPER(Transactions!D3329)</f>
        <v>Sports</v>
      </c>
      <c r="E3329" t="s">
        <v>155</v>
      </c>
      <c r="F3329" t="s">
        <v>156</v>
      </c>
      <c r="G3329">
        <v>1</v>
      </c>
      <c r="H3329">
        <v>17.989999999999998</v>
      </c>
      <c r="I3329" s="7">
        <f>IF(Transactions!I3329="",0,Transactions!I3329)</f>
        <v>0.1</v>
      </c>
      <c r="J3329" s="9">
        <f t="shared" si="51"/>
        <v>16.190999999999999</v>
      </c>
      <c r="K3329" t="s">
        <v>16</v>
      </c>
      <c r="L3329" t="s">
        <v>17</v>
      </c>
      <c r="M3329" t="str">
        <f>REPLACE(Transactions!M3329,1,4,"")</f>
        <v>17</v>
      </c>
    </row>
    <row r="3330" spans="1:13" x14ac:dyDescent="0.2">
      <c r="A3330">
        <v>651009</v>
      </c>
      <c r="B3330" s="5">
        <v>45638</v>
      </c>
      <c r="C3330">
        <v>68960</v>
      </c>
      <c r="D3330" t="str">
        <f>PROPER(Transactions!D3330)</f>
        <v>Electronics</v>
      </c>
      <c r="E3330" t="s">
        <v>104</v>
      </c>
      <c r="F3330" t="s">
        <v>105</v>
      </c>
      <c r="G3330">
        <v>5</v>
      </c>
      <c r="H3330">
        <v>29.99</v>
      </c>
      <c r="I3330" s="7">
        <f>IF(Transactions!I3330="",0,Transactions!I3330)</f>
        <v>0</v>
      </c>
      <c r="J3330" s="9">
        <f t="shared" si="51"/>
        <v>149.94999999999999</v>
      </c>
      <c r="K3330" t="s">
        <v>95</v>
      </c>
      <c r="L3330" t="s">
        <v>17</v>
      </c>
      <c r="M3330" t="str">
        <f>REPLACE(Transactions!M3330,1,4,"")</f>
        <v>17</v>
      </c>
    </row>
    <row r="3331" spans="1:13" x14ac:dyDescent="0.2">
      <c r="A3331">
        <v>651199</v>
      </c>
      <c r="B3331" s="5">
        <v>45168</v>
      </c>
      <c r="C3331">
        <v>80801</v>
      </c>
      <c r="D3331" t="str">
        <f>PROPER(Transactions!D3331)</f>
        <v>Home &amp; Garden</v>
      </c>
      <c r="E3331" t="s">
        <v>153</v>
      </c>
      <c r="F3331" t="s">
        <v>154</v>
      </c>
      <c r="G3331">
        <v>4</v>
      </c>
      <c r="H3331">
        <v>28.49</v>
      </c>
      <c r="I3331" s="7">
        <f>IF(Transactions!I3331="",0,Transactions!I3331)</f>
        <v>0.05</v>
      </c>
      <c r="J3331" s="9">
        <f t="shared" ref="J3331:J3394" si="52">(H3331*G3331)*(1-I3331)</f>
        <v>108.26199999999999</v>
      </c>
      <c r="K3331" t="s">
        <v>53</v>
      </c>
      <c r="L3331" t="s">
        <v>37</v>
      </c>
      <c r="M3331" t="str">
        <f>REPLACE(Transactions!M3331,1,4,"")</f>
        <v>17</v>
      </c>
    </row>
    <row r="3332" spans="1:13" x14ac:dyDescent="0.2">
      <c r="A3332">
        <v>651250</v>
      </c>
      <c r="B3332" s="5">
        <v>44958</v>
      </c>
      <c r="C3332">
        <v>71195</v>
      </c>
      <c r="D3332" t="str">
        <f>PROPER(Transactions!D3332)</f>
        <v>Sports</v>
      </c>
      <c r="E3332" t="s">
        <v>155</v>
      </c>
      <c r="F3332" t="s">
        <v>156</v>
      </c>
      <c r="G3332">
        <v>2</v>
      </c>
      <c r="H3332">
        <v>19.989999999999998</v>
      </c>
      <c r="I3332" s="7">
        <f>IF(Transactions!I3332="",0,Transactions!I3332)</f>
        <v>0</v>
      </c>
      <c r="J3332" s="9">
        <f t="shared" si="52"/>
        <v>39.979999999999997</v>
      </c>
      <c r="K3332" t="s">
        <v>22</v>
      </c>
      <c r="L3332" t="s">
        <v>17</v>
      </c>
      <c r="M3332" t="str">
        <f>REPLACE(Transactions!M3332,1,4,"")</f>
        <v>15</v>
      </c>
    </row>
    <row r="3333" spans="1:13" x14ac:dyDescent="0.2">
      <c r="A3333">
        <v>651315</v>
      </c>
      <c r="B3333" s="5">
        <v>44937</v>
      </c>
      <c r="C3333">
        <v>82869</v>
      </c>
      <c r="D3333" t="str">
        <f>PROPER(Transactions!D3333)</f>
        <v>Electronics</v>
      </c>
      <c r="E3333" t="s">
        <v>127</v>
      </c>
      <c r="F3333" t="s">
        <v>128</v>
      </c>
      <c r="G3333">
        <v>4</v>
      </c>
      <c r="H3333">
        <v>16.989999999999998</v>
      </c>
      <c r="I3333" s="7">
        <f>IF(Transactions!I3333="",0,Transactions!I3333)</f>
        <v>0.15</v>
      </c>
      <c r="J3333" s="9">
        <f t="shared" si="52"/>
        <v>57.765999999999991</v>
      </c>
      <c r="K3333" t="s">
        <v>16</v>
      </c>
      <c r="L3333" t="s">
        <v>17</v>
      </c>
      <c r="M3333" t="str">
        <f>REPLACE(Transactions!M3333,1,4,"")</f>
        <v>1</v>
      </c>
    </row>
    <row r="3334" spans="1:13" x14ac:dyDescent="0.2">
      <c r="A3334">
        <v>651350</v>
      </c>
      <c r="B3334" s="5">
        <v>44864</v>
      </c>
      <c r="D3334" t="str">
        <f>PROPER(Transactions!D3334)</f>
        <v>Furniture</v>
      </c>
      <c r="E3334" t="s">
        <v>26</v>
      </c>
      <c r="F3334" t="s">
        <v>27</v>
      </c>
      <c r="G3334">
        <v>5</v>
      </c>
      <c r="H3334">
        <v>33.24</v>
      </c>
      <c r="I3334" s="7">
        <f>IF(Transactions!I3334="",0,Transactions!I3334)</f>
        <v>0.05</v>
      </c>
      <c r="J3334" s="9">
        <f t="shared" si="52"/>
        <v>157.89000000000001</v>
      </c>
      <c r="K3334" t="s">
        <v>16</v>
      </c>
      <c r="L3334" t="s">
        <v>17</v>
      </c>
      <c r="M3334" t="str">
        <f>REPLACE(Transactions!M3334,1,4,"")</f>
        <v>8</v>
      </c>
    </row>
    <row r="3335" spans="1:13" x14ac:dyDescent="0.2">
      <c r="A3335">
        <v>651429</v>
      </c>
      <c r="B3335" s="5">
        <v>44821</v>
      </c>
      <c r="C3335">
        <v>20524</v>
      </c>
      <c r="D3335" t="str">
        <f>PROPER(Transactions!D3335)</f>
        <v>Home &amp; Garden</v>
      </c>
      <c r="E3335" t="s">
        <v>137</v>
      </c>
      <c r="F3335" t="s">
        <v>138</v>
      </c>
      <c r="G3335">
        <v>3</v>
      </c>
      <c r="H3335">
        <v>6.39</v>
      </c>
      <c r="I3335" s="7">
        <f>IF(Transactions!I3335="",0,Transactions!I3335)</f>
        <v>0.2</v>
      </c>
      <c r="J3335" s="9">
        <f t="shared" si="52"/>
        <v>15.335999999999999</v>
      </c>
      <c r="K3335" t="s">
        <v>66</v>
      </c>
      <c r="L3335" t="s">
        <v>17</v>
      </c>
      <c r="M3335" t="str">
        <f>REPLACE(Transactions!M3335,1,4,"")</f>
        <v>9</v>
      </c>
    </row>
    <row r="3336" spans="1:13" x14ac:dyDescent="0.2">
      <c r="A3336">
        <v>651621</v>
      </c>
      <c r="B3336" s="5">
        <v>45261</v>
      </c>
      <c r="C3336">
        <v>18613</v>
      </c>
      <c r="D3336" t="str">
        <f>PROPER(Transactions!D3336)</f>
        <v>Sports</v>
      </c>
      <c r="E3336" t="s">
        <v>168</v>
      </c>
      <c r="F3336" t="s">
        <v>169</v>
      </c>
      <c r="G3336">
        <v>1</v>
      </c>
      <c r="H3336">
        <v>7.19</v>
      </c>
      <c r="I3336" s="7">
        <f>IF(Transactions!I3336="",0,Transactions!I3336)</f>
        <v>0.2</v>
      </c>
      <c r="J3336" s="9">
        <f t="shared" si="52"/>
        <v>5.7520000000000007</v>
      </c>
      <c r="K3336" t="s">
        <v>36</v>
      </c>
      <c r="L3336" t="s">
        <v>17</v>
      </c>
      <c r="M3336" t="str">
        <f>REPLACE(Transactions!M3336,1,4,"")</f>
        <v>8</v>
      </c>
    </row>
    <row r="3337" spans="1:13" x14ac:dyDescent="0.2">
      <c r="A3337">
        <v>651623</v>
      </c>
      <c r="B3337" s="5">
        <v>45538</v>
      </c>
      <c r="C3337">
        <v>19576</v>
      </c>
      <c r="D3337" t="str">
        <f>PROPER(Transactions!D3337)</f>
        <v>Toys</v>
      </c>
      <c r="E3337" t="s">
        <v>170</v>
      </c>
      <c r="F3337" t="s">
        <v>171</v>
      </c>
      <c r="G3337">
        <v>1</v>
      </c>
      <c r="H3337">
        <v>11.24</v>
      </c>
      <c r="I3337" s="7">
        <f>IF(Transactions!I3337="",0,Transactions!I3337)</f>
        <v>0.25</v>
      </c>
      <c r="J3337" s="9">
        <f t="shared" si="52"/>
        <v>8.43</v>
      </c>
      <c r="K3337" t="s">
        <v>95</v>
      </c>
      <c r="L3337" t="s">
        <v>17</v>
      </c>
      <c r="M3337" t="str">
        <f>REPLACE(Transactions!M3337,1,4,"")</f>
        <v>12</v>
      </c>
    </row>
    <row r="3338" spans="1:13" x14ac:dyDescent="0.2">
      <c r="A3338">
        <v>651751</v>
      </c>
      <c r="B3338" s="5">
        <v>45444</v>
      </c>
      <c r="C3338">
        <v>86226</v>
      </c>
      <c r="D3338" t="str">
        <f>PROPER(Transactions!D3338)</f>
        <v>Clothing</v>
      </c>
      <c r="E3338" t="s">
        <v>141</v>
      </c>
      <c r="F3338" t="s">
        <v>142</v>
      </c>
      <c r="G3338">
        <v>3</v>
      </c>
      <c r="H3338">
        <v>19.54</v>
      </c>
      <c r="I3338" s="7">
        <f>IF(Transactions!I3338="",0,Transactions!I3338)</f>
        <v>0.15</v>
      </c>
      <c r="J3338" s="9">
        <f t="shared" si="52"/>
        <v>49.826999999999998</v>
      </c>
      <c r="K3338" t="s">
        <v>36</v>
      </c>
      <c r="L3338" t="s">
        <v>37</v>
      </c>
      <c r="M3338" t="str">
        <f>REPLACE(Transactions!M3338,1,4,"")</f>
        <v>4</v>
      </c>
    </row>
    <row r="3339" spans="1:13" x14ac:dyDescent="0.2">
      <c r="A3339">
        <v>652016</v>
      </c>
      <c r="B3339" s="5">
        <v>45362</v>
      </c>
      <c r="C3339">
        <v>51469</v>
      </c>
      <c r="D3339" t="str">
        <f>PROPER(Transactions!D3339)</f>
        <v>Automotive</v>
      </c>
      <c r="E3339" t="s">
        <v>111</v>
      </c>
      <c r="F3339" t="s">
        <v>112</v>
      </c>
      <c r="G3339">
        <v>3</v>
      </c>
      <c r="H3339">
        <v>14.99</v>
      </c>
      <c r="I3339" s="7">
        <f>IF(Transactions!I3339="",0,Transactions!I3339)</f>
        <v>0</v>
      </c>
      <c r="J3339" s="9">
        <f t="shared" si="52"/>
        <v>44.97</v>
      </c>
      <c r="K3339" t="s">
        <v>36</v>
      </c>
      <c r="L3339" t="s">
        <v>37</v>
      </c>
      <c r="M3339" t="str">
        <f>REPLACE(Transactions!M3339,1,4,"")</f>
        <v>5</v>
      </c>
    </row>
    <row r="3340" spans="1:13" x14ac:dyDescent="0.2">
      <c r="A3340">
        <v>652184</v>
      </c>
      <c r="B3340" s="5">
        <v>45387</v>
      </c>
      <c r="C3340">
        <v>95664</v>
      </c>
      <c r="D3340" t="str">
        <f>PROPER(Transactions!D3340)</f>
        <v>Furniture</v>
      </c>
      <c r="E3340" t="s">
        <v>113</v>
      </c>
      <c r="F3340" t="s">
        <v>114</v>
      </c>
      <c r="G3340">
        <v>2</v>
      </c>
      <c r="H3340">
        <v>101.99</v>
      </c>
      <c r="I3340" s="7">
        <f>IF(Transactions!I3340="",0,Transactions!I3340)</f>
        <v>0.15</v>
      </c>
      <c r="J3340" s="9">
        <f t="shared" si="52"/>
        <v>173.38299999999998</v>
      </c>
      <c r="K3340" t="s">
        <v>36</v>
      </c>
      <c r="L3340" t="s">
        <v>17</v>
      </c>
      <c r="M3340" t="str">
        <f>REPLACE(Transactions!M3340,1,4,"")</f>
        <v>3</v>
      </c>
    </row>
    <row r="3341" spans="1:13" x14ac:dyDescent="0.2">
      <c r="A3341">
        <v>652294</v>
      </c>
      <c r="B3341" s="5">
        <v>44988</v>
      </c>
      <c r="C3341">
        <v>48089</v>
      </c>
      <c r="D3341" t="str">
        <f>PROPER(Transactions!D3341)</f>
        <v>Grocery</v>
      </c>
      <c r="E3341" t="s">
        <v>177</v>
      </c>
      <c r="F3341" t="s">
        <v>178</v>
      </c>
      <c r="G3341">
        <v>3</v>
      </c>
      <c r="H3341">
        <v>9.59</v>
      </c>
      <c r="I3341" s="7">
        <f>IF(Transactions!I3341="",0,Transactions!I3341)</f>
        <v>0.2</v>
      </c>
      <c r="J3341" s="9">
        <f t="shared" si="52"/>
        <v>23.016000000000002</v>
      </c>
      <c r="K3341" t="s">
        <v>16</v>
      </c>
      <c r="L3341" t="s">
        <v>23</v>
      </c>
      <c r="M3341" t="str">
        <f>REPLACE(Transactions!M3341,1,4,"")</f>
        <v>11</v>
      </c>
    </row>
    <row r="3342" spans="1:13" x14ac:dyDescent="0.2">
      <c r="A3342">
        <v>652381</v>
      </c>
      <c r="B3342" s="5">
        <v>44776</v>
      </c>
      <c r="C3342">
        <v>78049</v>
      </c>
      <c r="D3342" t="str">
        <f>PROPER(Transactions!D3342)</f>
        <v>Furniture</v>
      </c>
      <c r="E3342" t="s">
        <v>51</v>
      </c>
      <c r="F3342" t="s">
        <v>52</v>
      </c>
      <c r="G3342">
        <v>2</v>
      </c>
      <c r="H3342">
        <v>26.59</v>
      </c>
      <c r="I3342" s="7">
        <f>IF(Transactions!I3342="",0,Transactions!I3342)</f>
        <v>0.05</v>
      </c>
      <c r="J3342" s="9">
        <f t="shared" si="52"/>
        <v>50.521000000000001</v>
      </c>
      <c r="K3342" t="s">
        <v>36</v>
      </c>
      <c r="L3342" t="s">
        <v>17</v>
      </c>
      <c r="M3342" t="str">
        <f>REPLACE(Transactions!M3342,1,4,"")</f>
        <v>18</v>
      </c>
    </row>
    <row r="3343" spans="1:13" x14ac:dyDescent="0.2">
      <c r="A3343">
        <v>652895</v>
      </c>
      <c r="B3343" s="5">
        <v>45362</v>
      </c>
      <c r="C3343">
        <v>74433</v>
      </c>
      <c r="D3343" t="str">
        <f>PROPER(Transactions!D3343)</f>
        <v>Automotive</v>
      </c>
      <c r="E3343" t="s">
        <v>64</v>
      </c>
      <c r="F3343" t="s">
        <v>65</v>
      </c>
      <c r="G3343">
        <v>1</v>
      </c>
      <c r="H3343">
        <v>4.74</v>
      </c>
      <c r="I3343" s="7">
        <f>IF(Transactions!I3343="",0,Transactions!I3343)</f>
        <v>0</v>
      </c>
      <c r="J3343" s="9">
        <f t="shared" si="52"/>
        <v>4.74</v>
      </c>
      <c r="K3343" t="s">
        <v>22</v>
      </c>
      <c r="L3343" t="s">
        <v>17</v>
      </c>
      <c r="M3343" t="str">
        <f>REPLACE(Transactions!M3343,1,4,"")</f>
        <v>1</v>
      </c>
    </row>
    <row r="3344" spans="1:13" x14ac:dyDescent="0.2">
      <c r="A3344">
        <v>652914</v>
      </c>
      <c r="B3344" s="5">
        <v>45639</v>
      </c>
      <c r="C3344">
        <v>30109</v>
      </c>
      <c r="D3344" t="str">
        <f>PROPER(Transactions!D3344)</f>
        <v>Clothing</v>
      </c>
      <c r="E3344" t="s">
        <v>165</v>
      </c>
      <c r="F3344" t="s">
        <v>166</v>
      </c>
      <c r="G3344">
        <v>4</v>
      </c>
      <c r="H3344">
        <v>71.989999999999995</v>
      </c>
      <c r="I3344" s="7">
        <f>IF(Transactions!I3344="",0,Transactions!I3344)</f>
        <v>0.2</v>
      </c>
      <c r="J3344" s="9">
        <f t="shared" si="52"/>
        <v>230.36799999999999</v>
      </c>
      <c r="K3344" t="s">
        <v>53</v>
      </c>
      <c r="L3344" t="s">
        <v>17</v>
      </c>
      <c r="M3344" t="str">
        <f>REPLACE(Transactions!M3344,1,4,"")</f>
        <v>8</v>
      </c>
    </row>
    <row r="3345" spans="1:13" x14ac:dyDescent="0.2">
      <c r="A3345">
        <v>653075</v>
      </c>
      <c r="B3345" s="5">
        <v>44681</v>
      </c>
      <c r="D3345" t="str">
        <f>PROPER(Transactions!D3345)</f>
        <v>Grocery</v>
      </c>
      <c r="E3345" t="s">
        <v>190</v>
      </c>
      <c r="F3345" t="s">
        <v>191</v>
      </c>
      <c r="G3345">
        <v>2</v>
      </c>
      <c r="H3345">
        <v>3.22</v>
      </c>
      <c r="I3345" s="7">
        <f>IF(Transactions!I3345="",0,Transactions!I3345)</f>
        <v>0.25</v>
      </c>
      <c r="J3345" s="9">
        <f t="shared" si="52"/>
        <v>4.83</v>
      </c>
      <c r="K3345" t="s">
        <v>32</v>
      </c>
      <c r="L3345" t="s">
        <v>17</v>
      </c>
      <c r="M3345" t="str">
        <f>REPLACE(Transactions!M3345,1,4,"")</f>
        <v>11</v>
      </c>
    </row>
    <row r="3346" spans="1:13" x14ac:dyDescent="0.2">
      <c r="A3346">
        <v>653123</v>
      </c>
      <c r="B3346" s="5">
        <v>45161</v>
      </c>
      <c r="D3346" t="str">
        <f>PROPER(Transactions!D3346)</f>
        <v>Clothing</v>
      </c>
      <c r="E3346" t="s">
        <v>151</v>
      </c>
      <c r="F3346" t="s">
        <v>152</v>
      </c>
      <c r="G3346">
        <v>1</v>
      </c>
      <c r="H3346">
        <v>34.99</v>
      </c>
      <c r="I3346" s="7">
        <f>IF(Transactions!I3346="",0,Transactions!I3346)</f>
        <v>0</v>
      </c>
      <c r="J3346" s="9">
        <f t="shared" si="52"/>
        <v>34.99</v>
      </c>
      <c r="K3346" t="s">
        <v>16</v>
      </c>
      <c r="L3346" t="s">
        <v>37</v>
      </c>
      <c r="M3346" t="str">
        <f>REPLACE(Transactions!M3346,1,4,"")</f>
        <v>13</v>
      </c>
    </row>
    <row r="3347" spans="1:13" x14ac:dyDescent="0.2">
      <c r="A3347">
        <v>653339</v>
      </c>
      <c r="B3347" s="5">
        <v>45495</v>
      </c>
      <c r="C3347">
        <v>95581</v>
      </c>
      <c r="D3347" t="str">
        <f>PROPER(Transactions!D3347)</f>
        <v>Pharmacy</v>
      </c>
      <c r="E3347" t="s">
        <v>115</v>
      </c>
      <c r="F3347" t="s">
        <v>116</v>
      </c>
      <c r="G3347">
        <v>1</v>
      </c>
      <c r="H3347">
        <v>12.99</v>
      </c>
      <c r="I3347" s="7">
        <f>IF(Transactions!I3347="",0,Transactions!I3347)</f>
        <v>0</v>
      </c>
      <c r="J3347" s="9">
        <f t="shared" si="52"/>
        <v>12.99</v>
      </c>
      <c r="K3347" t="s">
        <v>36</v>
      </c>
      <c r="L3347" t="s">
        <v>23</v>
      </c>
      <c r="M3347" t="str">
        <f>REPLACE(Transactions!M3347,1,4,"")</f>
        <v>19</v>
      </c>
    </row>
    <row r="3348" spans="1:13" x14ac:dyDescent="0.2">
      <c r="A3348">
        <v>653358</v>
      </c>
      <c r="B3348" s="5">
        <v>45205</v>
      </c>
      <c r="C3348">
        <v>69195</v>
      </c>
      <c r="D3348" t="str">
        <f>PROPER(Transactions!D3348)</f>
        <v>Clothing</v>
      </c>
      <c r="E3348" t="s">
        <v>193</v>
      </c>
      <c r="F3348" t="s">
        <v>194</v>
      </c>
      <c r="G3348">
        <v>1</v>
      </c>
      <c r="H3348">
        <v>48.74</v>
      </c>
      <c r="I3348" s="7">
        <f>IF(Transactions!I3348="",0,Transactions!I3348)</f>
        <v>0.25</v>
      </c>
      <c r="J3348" s="9">
        <f t="shared" si="52"/>
        <v>36.555</v>
      </c>
      <c r="K3348" t="s">
        <v>16</v>
      </c>
      <c r="L3348" t="s">
        <v>17</v>
      </c>
      <c r="M3348" t="str">
        <f>REPLACE(Transactions!M3348,1,4,"")</f>
        <v>4</v>
      </c>
    </row>
    <row r="3349" spans="1:13" x14ac:dyDescent="0.2">
      <c r="A3349">
        <v>653404</v>
      </c>
      <c r="B3349" s="5">
        <v>44802</v>
      </c>
      <c r="C3349">
        <v>42720</v>
      </c>
      <c r="D3349" t="str">
        <f>PROPER(Transactions!D3349)</f>
        <v>Clothing</v>
      </c>
      <c r="E3349" t="s">
        <v>141</v>
      </c>
      <c r="F3349" t="s">
        <v>142</v>
      </c>
      <c r="G3349">
        <v>1</v>
      </c>
      <c r="H3349">
        <v>22.99</v>
      </c>
      <c r="I3349" s="7">
        <f>IF(Transactions!I3349="",0,Transactions!I3349)</f>
        <v>0</v>
      </c>
      <c r="J3349" s="9">
        <f t="shared" si="52"/>
        <v>22.99</v>
      </c>
      <c r="K3349" t="s">
        <v>36</v>
      </c>
      <c r="L3349" t="s">
        <v>17</v>
      </c>
      <c r="M3349" t="str">
        <f>REPLACE(Transactions!M3349,1,4,"")</f>
        <v>12</v>
      </c>
    </row>
    <row r="3350" spans="1:13" x14ac:dyDescent="0.2">
      <c r="A3350">
        <v>653435</v>
      </c>
      <c r="B3350" s="5">
        <v>44584</v>
      </c>
      <c r="C3350">
        <v>64068</v>
      </c>
      <c r="D3350" t="str">
        <f>PROPER(Transactions!D3350)</f>
        <v>Home &amp; Garden</v>
      </c>
      <c r="E3350" t="s">
        <v>129</v>
      </c>
      <c r="F3350" t="s">
        <v>130</v>
      </c>
      <c r="G3350">
        <v>1</v>
      </c>
      <c r="H3350">
        <v>6.74</v>
      </c>
      <c r="I3350" s="7">
        <f>IF(Transactions!I3350="",0,Transactions!I3350)</f>
        <v>0.25</v>
      </c>
      <c r="J3350" s="9">
        <f t="shared" si="52"/>
        <v>5.0549999999999997</v>
      </c>
      <c r="K3350" t="s">
        <v>22</v>
      </c>
      <c r="L3350" t="s">
        <v>37</v>
      </c>
      <c r="M3350" t="str">
        <f>REPLACE(Transactions!M3350,1,4,"")</f>
        <v>16</v>
      </c>
    </row>
    <row r="3351" spans="1:13" x14ac:dyDescent="0.2">
      <c r="A3351">
        <v>653776</v>
      </c>
      <c r="B3351" s="5">
        <v>45453</v>
      </c>
      <c r="C3351">
        <v>88139</v>
      </c>
      <c r="D3351" t="str">
        <f>PROPER(Transactions!D3351)</f>
        <v>Home &amp; Garden</v>
      </c>
      <c r="E3351" t="s">
        <v>129</v>
      </c>
      <c r="F3351" t="s">
        <v>130</v>
      </c>
      <c r="G3351">
        <v>1</v>
      </c>
      <c r="H3351">
        <v>8.99</v>
      </c>
      <c r="I3351" s="7">
        <f>IF(Transactions!I3351="",0,Transactions!I3351)</f>
        <v>0</v>
      </c>
      <c r="J3351" s="9">
        <f t="shared" si="52"/>
        <v>8.99</v>
      </c>
      <c r="K3351" t="s">
        <v>22</v>
      </c>
      <c r="L3351" t="s">
        <v>17</v>
      </c>
      <c r="M3351" t="str">
        <f>REPLACE(Transactions!M3351,1,4,"")</f>
        <v>3</v>
      </c>
    </row>
    <row r="3352" spans="1:13" x14ac:dyDescent="0.2">
      <c r="A3352">
        <v>653807</v>
      </c>
      <c r="B3352" s="5">
        <v>44946</v>
      </c>
      <c r="C3352">
        <v>80322</v>
      </c>
      <c r="D3352" t="str">
        <f>PROPER(Transactions!D3352)</f>
        <v>Automotive</v>
      </c>
      <c r="E3352" t="s">
        <v>111</v>
      </c>
      <c r="F3352" t="s">
        <v>112</v>
      </c>
      <c r="G3352">
        <v>1</v>
      </c>
      <c r="H3352">
        <v>11.99</v>
      </c>
      <c r="I3352" s="7">
        <f>IF(Transactions!I3352="",0,Transactions!I3352)</f>
        <v>0.2</v>
      </c>
      <c r="J3352" s="9">
        <f t="shared" si="52"/>
        <v>9.5920000000000005</v>
      </c>
      <c r="K3352" t="s">
        <v>16</v>
      </c>
      <c r="L3352" t="s">
        <v>37</v>
      </c>
      <c r="M3352" t="str">
        <f>REPLACE(Transactions!M3352,1,4,"")</f>
        <v>17</v>
      </c>
    </row>
    <row r="3353" spans="1:13" x14ac:dyDescent="0.2">
      <c r="A3353">
        <v>654625</v>
      </c>
      <c r="B3353" s="5">
        <v>45276</v>
      </c>
      <c r="C3353">
        <v>71198</v>
      </c>
      <c r="D3353" t="str">
        <f>PROPER(Transactions!D3353)</f>
        <v>Pharmacy</v>
      </c>
      <c r="E3353" t="s">
        <v>115</v>
      </c>
      <c r="F3353" t="s">
        <v>116</v>
      </c>
      <c r="G3353">
        <v>2</v>
      </c>
      <c r="H3353">
        <v>12.34</v>
      </c>
      <c r="I3353" s="7">
        <f>IF(Transactions!I3353="",0,Transactions!I3353)</f>
        <v>0.05</v>
      </c>
      <c r="J3353" s="9">
        <f t="shared" si="52"/>
        <v>23.445999999999998</v>
      </c>
      <c r="K3353" t="s">
        <v>16</v>
      </c>
      <c r="L3353" t="s">
        <v>17</v>
      </c>
      <c r="M3353" t="str">
        <f>REPLACE(Transactions!M3353,1,4,"")</f>
        <v>17</v>
      </c>
    </row>
    <row r="3354" spans="1:13" x14ac:dyDescent="0.2">
      <c r="A3354">
        <v>654813</v>
      </c>
      <c r="B3354" s="5">
        <v>44751</v>
      </c>
      <c r="C3354">
        <v>98124</v>
      </c>
      <c r="D3354" t="str">
        <f>PROPER(Transactions!D3354)</f>
        <v>Sports</v>
      </c>
      <c r="E3354" t="s">
        <v>188</v>
      </c>
      <c r="F3354" t="s">
        <v>189</v>
      </c>
      <c r="G3354">
        <v>1</v>
      </c>
      <c r="H3354">
        <v>44.99</v>
      </c>
      <c r="I3354" s="7">
        <f>IF(Transactions!I3354="",0,Transactions!I3354)</f>
        <v>0</v>
      </c>
      <c r="J3354" s="9">
        <f t="shared" si="52"/>
        <v>44.99</v>
      </c>
      <c r="K3354" t="s">
        <v>16</v>
      </c>
      <c r="L3354" t="s">
        <v>17</v>
      </c>
      <c r="M3354" t="str">
        <f>REPLACE(Transactions!M3354,1,4,"")</f>
        <v>17</v>
      </c>
    </row>
    <row r="3355" spans="1:13" x14ac:dyDescent="0.2">
      <c r="A3355">
        <v>654919</v>
      </c>
      <c r="B3355" s="5">
        <v>44925</v>
      </c>
      <c r="C3355">
        <v>71982</v>
      </c>
      <c r="D3355" t="str">
        <f>PROPER(Transactions!D3355)</f>
        <v>Clothing</v>
      </c>
      <c r="E3355" t="s">
        <v>151</v>
      </c>
      <c r="F3355" t="s">
        <v>152</v>
      </c>
      <c r="G3355">
        <v>2</v>
      </c>
      <c r="H3355">
        <v>26.24</v>
      </c>
      <c r="I3355" s="7">
        <f>IF(Transactions!I3355="",0,Transactions!I3355)</f>
        <v>0.25</v>
      </c>
      <c r="J3355" s="9">
        <f t="shared" si="52"/>
        <v>39.36</v>
      </c>
      <c r="K3355" t="s">
        <v>36</v>
      </c>
      <c r="L3355" t="s">
        <v>17</v>
      </c>
      <c r="M3355" t="str">
        <f>REPLACE(Transactions!M3355,1,4,"")</f>
        <v>14</v>
      </c>
    </row>
    <row r="3356" spans="1:13" x14ac:dyDescent="0.2">
      <c r="A3356">
        <v>655046</v>
      </c>
      <c r="B3356" s="5">
        <v>44724</v>
      </c>
      <c r="C3356">
        <v>74920</v>
      </c>
      <c r="D3356" t="str">
        <f>PROPER(Transactions!D3356)</f>
        <v>Home &amp; Garden</v>
      </c>
      <c r="E3356" t="s">
        <v>153</v>
      </c>
      <c r="F3356" t="s">
        <v>154</v>
      </c>
      <c r="G3356">
        <v>1</v>
      </c>
      <c r="H3356">
        <v>23.99</v>
      </c>
      <c r="I3356" s="7">
        <f>IF(Transactions!I3356="",0,Transactions!I3356)</f>
        <v>0.2</v>
      </c>
      <c r="J3356" s="9">
        <f t="shared" si="52"/>
        <v>19.192</v>
      </c>
      <c r="K3356" t="s">
        <v>22</v>
      </c>
      <c r="L3356" t="s">
        <v>37</v>
      </c>
      <c r="M3356" t="str">
        <f>REPLACE(Transactions!M3356,1,4,"")</f>
        <v>7</v>
      </c>
    </row>
    <row r="3357" spans="1:13" x14ac:dyDescent="0.2">
      <c r="A3357">
        <v>655324</v>
      </c>
      <c r="B3357" s="5">
        <v>44918</v>
      </c>
      <c r="C3357">
        <v>76887</v>
      </c>
      <c r="D3357" t="str">
        <f>PROPER(Transactions!D3357)</f>
        <v>Beauty</v>
      </c>
      <c r="E3357" t="s">
        <v>49</v>
      </c>
      <c r="F3357" t="s">
        <v>50</v>
      </c>
      <c r="G3357">
        <v>4</v>
      </c>
      <c r="H3357">
        <v>8.09</v>
      </c>
      <c r="I3357" s="7">
        <f>IF(Transactions!I3357="",0,Transactions!I3357)</f>
        <v>0.1</v>
      </c>
      <c r="J3357" s="9">
        <f t="shared" si="52"/>
        <v>29.123999999999999</v>
      </c>
      <c r="K3357" t="s">
        <v>22</v>
      </c>
      <c r="L3357" t="s">
        <v>23</v>
      </c>
      <c r="M3357" t="str">
        <f>REPLACE(Transactions!M3357,1,4,"")</f>
        <v>6</v>
      </c>
    </row>
    <row r="3358" spans="1:13" x14ac:dyDescent="0.2">
      <c r="A3358">
        <v>655608</v>
      </c>
      <c r="B3358" s="5">
        <v>45158</v>
      </c>
      <c r="C3358">
        <v>31280</v>
      </c>
      <c r="D3358" t="str">
        <f>PROPER(Transactions!D3358)</f>
        <v>Electronics</v>
      </c>
      <c r="E3358" t="s">
        <v>127</v>
      </c>
      <c r="F3358" t="s">
        <v>128</v>
      </c>
      <c r="G3358">
        <v>2</v>
      </c>
      <c r="H3358">
        <v>19.989999999999998</v>
      </c>
      <c r="I3358" s="7">
        <f>IF(Transactions!I3358="",0,Transactions!I3358)</f>
        <v>0</v>
      </c>
      <c r="J3358" s="9">
        <f t="shared" si="52"/>
        <v>39.979999999999997</v>
      </c>
      <c r="K3358" t="s">
        <v>36</v>
      </c>
      <c r="L3358" t="s">
        <v>17</v>
      </c>
      <c r="M3358" t="str">
        <f>REPLACE(Transactions!M3358,1,4,"")</f>
        <v>7</v>
      </c>
    </row>
    <row r="3359" spans="1:13" x14ac:dyDescent="0.2">
      <c r="A3359">
        <v>655699</v>
      </c>
      <c r="B3359" s="5">
        <v>44569</v>
      </c>
      <c r="C3359">
        <v>97518</v>
      </c>
      <c r="D3359" t="str">
        <f>PROPER(Transactions!D3359)</f>
        <v>Electronics</v>
      </c>
      <c r="E3359" t="s">
        <v>127</v>
      </c>
      <c r="F3359" t="s">
        <v>128</v>
      </c>
      <c r="G3359">
        <v>4</v>
      </c>
      <c r="H3359">
        <v>19.989999999999998</v>
      </c>
      <c r="I3359" s="7">
        <f>IF(Transactions!I3359="",0,Transactions!I3359)</f>
        <v>0</v>
      </c>
      <c r="J3359" s="9">
        <f t="shared" si="52"/>
        <v>79.959999999999994</v>
      </c>
      <c r="K3359" t="s">
        <v>36</v>
      </c>
      <c r="L3359" t="s">
        <v>37</v>
      </c>
      <c r="M3359" t="str">
        <f>REPLACE(Transactions!M3359,1,4,"")</f>
        <v>13</v>
      </c>
    </row>
    <row r="3360" spans="1:13" x14ac:dyDescent="0.2">
      <c r="A3360">
        <v>656106</v>
      </c>
      <c r="B3360" s="5">
        <v>44685</v>
      </c>
      <c r="C3360">
        <v>20370</v>
      </c>
      <c r="D3360" t="str">
        <f>PROPER(Transactions!D3360)</f>
        <v>Sports</v>
      </c>
      <c r="E3360" t="s">
        <v>147</v>
      </c>
      <c r="F3360" t="s">
        <v>148</v>
      </c>
      <c r="G3360">
        <v>5</v>
      </c>
      <c r="H3360">
        <v>12.99</v>
      </c>
      <c r="I3360" s="7">
        <f>IF(Transactions!I3360="",0,Transactions!I3360)</f>
        <v>0</v>
      </c>
      <c r="J3360" s="9">
        <f t="shared" si="52"/>
        <v>64.95</v>
      </c>
      <c r="K3360" t="s">
        <v>16</v>
      </c>
      <c r="L3360" t="s">
        <v>17</v>
      </c>
      <c r="M3360" t="str">
        <f>REPLACE(Transactions!M3360,1,4,"")</f>
        <v>15</v>
      </c>
    </row>
    <row r="3361" spans="1:13" x14ac:dyDescent="0.2">
      <c r="A3361">
        <v>656183</v>
      </c>
      <c r="B3361" s="5">
        <v>45504</v>
      </c>
      <c r="C3361">
        <v>56191</v>
      </c>
      <c r="D3361" t="str">
        <f>PROPER(Transactions!D3361)</f>
        <v>Beauty</v>
      </c>
      <c r="E3361" t="s">
        <v>179</v>
      </c>
      <c r="F3361" t="s">
        <v>180</v>
      </c>
      <c r="G3361">
        <v>3</v>
      </c>
      <c r="H3361">
        <v>10.19</v>
      </c>
      <c r="I3361" s="7">
        <f>IF(Transactions!I3361="",0,Transactions!I3361)</f>
        <v>0.15</v>
      </c>
      <c r="J3361" s="9">
        <f t="shared" si="52"/>
        <v>25.984500000000001</v>
      </c>
      <c r="K3361" t="s">
        <v>36</v>
      </c>
      <c r="L3361" t="s">
        <v>17</v>
      </c>
      <c r="M3361" t="str">
        <f>REPLACE(Transactions!M3361,1,4,"")</f>
        <v>8</v>
      </c>
    </row>
    <row r="3362" spans="1:13" x14ac:dyDescent="0.2">
      <c r="A3362">
        <v>656439</v>
      </c>
      <c r="B3362" s="5">
        <v>45085</v>
      </c>
      <c r="C3362">
        <v>63481</v>
      </c>
      <c r="D3362" t="str">
        <f>PROPER(Transactions!D3362)</f>
        <v>Toys</v>
      </c>
      <c r="E3362" t="s">
        <v>88</v>
      </c>
      <c r="F3362" t="s">
        <v>89</v>
      </c>
      <c r="G3362">
        <v>2</v>
      </c>
      <c r="H3362">
        <v>42.49</v>
      </c>
      <c r="I3362" s="7">
        <f>IF(Transactions!I3362="",0,Transactions!I3362)</f>
        <v>0.15</v>
      </c>
      <c r="J3362" s="9">
        <f t="shared" si="52"/>
        <v>72.233000000000004</v>
      </c>
      <c r="K3362" t="s">
        <v>66</v>
      </c>
      <c r="L3362" t="s">
        <v>17</v>
      </c>
      <c r="M3362" t="str">
        <f>REPLACE(Transactions!M3362,1,4,"")</f>
        <v>5</v>
      </c>
    </row>
    <row r="3363" spans="1:13" x14ac:dyDescent="0.2">
      <c r="A3363">
        <v>656517</v>
      </c>
      <c r="B3363" s="5">
        <v>44743</v>
      </c>
      <c r="C3363">
        <v>38173</v>
      </c>
      <c r="D3363" t="str">
        <f>PROPER(Transactions!D3363)</f>
        <v>Beauty</v>
      </c>
      <c r="E3363" t="s">
        <v>143</v>
      </c>
      <c r="F3363" t="s">
        <v>144</v>
      </c>
      <c r="G3363">
        <v>2</v>
      </c>
      <c r="H3363">
        <v>11.24</v>
      </c>
      <c r="I3363" s="7">
        <f>IF(Transactions!I3363="",0,Transactions!I3363)</f>
        <v>0.25</v>
      </c>
      <c r="J3363" s="9">
        <f t="shared" si="52"/>
        <v>16.86</v>
      </c>
      <c r="K3363" t="s">
        <v>22</v>
      </c>
      <c r="L3363" t="s">
        <v>17</v>
      </c>
      <c r="M3363" t="str">
        <f>REPLACE(Transactions!M3363,1,4,"")</f>
        <v>4</v>
      </c>
    </row>
    <row r="3364" spans="1:13" x14ac:dyDescent="0.2">
      <c r="A3364">
        <v>656536</v>
      </c>
      <c r="B3364" s="5">
        <v>45285</v>
      </c>
      <c r="C3364">
        <v>11982</v>
      </c>
      <c r="D3364" t="str">
        <f>PROPER(Transactions!D3364)</f>
        <v>Automotive</v>
      </c>
      <c r="E3364" t="s">
        <v>125</v>
      </c>
      <c r="F3364" t="s">
        <v>126</v>
      </c>
      <c r="G3364">
        <v>2</v>
      </c>
      <c r="H3364">
        <v>22.49</v>
      </c>
      <c r="I3364" s="7">
        <f>IF(Transactions!I3364="",0,Transactions!I3364)</f>
        <v>0.25</v>
      </c>
      <c r="J3364" s="9">
        <f t="shared" si="52"/>
        <v>33.734999999999999</v>
      </c>
      <c r="K3364" t="s">
        <v>36</v>
      </c>
      <c r="L3364" t="s">
        <v>37</v>
      </c>
      <c r="M3364" t="str">
        <f>REPLACE(Transactions!M3364,1,4,"")</f>
        <v>17</v>
      </c>
    </row>
    <row r="3365" spans="1:13" x14ac:dyDescent="0.2">
      <c r="A3365">
        <v>656806</v>
      </c>
      <c r="B3365" s="5">
        <v>45371</v>
      </c>
      <c r="C3365">
        <v>21273</v>
      </c>
      <c r="D3365" t="str">
        <f>PROPER(Transactions!D3365)</f>
        <v>Automotive</v>
      </c>
      <c r="E3365" t="s">
        <v>131</v>
      </c>
      <c r="F3365" t="s">
        <v>132</v>
      </c>
      <c r="G3365">
        <v>1</v>
      </c>
      <c r="H3365">
        <v>2.44</v>
      </c>
      <c r="I3365" s="7">
        <f>IF(Transactions!I3365="",0,Transactions!I3365)</f>
        <v>0.3</v>
      </c>
      <c r="J3365" s="9">
        <f t="shared" si="52"/>
        <v>1.708</v>
      </c>
      <c r="K3365" t="s">
        <v>16</v>
      </c>
      <c r="L3365" t="s">
        <v>17</v>
      </c>
      <c r="M3365" t="str">
        <f>REPLACE(Transactions!M3365,1,4,"")</f>
        <v>8</v>
      </c>
    </row>
    <row r="3366" spans="1:13" x14ac:dyDescent="0.2">
      <c r="A3366">
        <v>657184</v>
      </c>
      <c r="B3366" s="5">
        <v>45340</v>
      </c>
      <c r="C3366">
        <v>42964</v>
      </c>
      <c r="D3366" t="str">
        <f>PROPER(Transactions!D3366)</f>
        <v>Beauty</v>
      </c>
      <c r="E3366" t="s">
        <v>49</v>
      </c>
      <c r="F3366" t="s">
        <v>50</v>
      </c>
      <c r="G3366">
        <v>4</v>
      </c>
      <c r="H3366">
        <v>8.09</v>
      </c>
      <c r="I3366" s="7">
        <f>IF(Transactions!I3366="",0,Transactions!I3366)</f>
        <v>0.1</v>
      </c>
      <c r="J3366" s="9">
        <f t="shared" si="52"/>
        <v>29.123999999999999</v>
      </c>
      <c r="K3366" t="s">
        <v>36</v>
      </c>
      <c r="L3366" t="s">
        <v>17</v>
      </c>
      <c r="M3366" t="str">
        <f>REPLACE(Transactions!M3366,1,4,"")</f>
        <v>11</v>
      </c>
    </row>
    <row r="3367" spans="1:13" x14ac:dyDescent="0.2">
      <c r="A3367">
        <v>657499</v>
      </c>
      <c r="B3367" s="5">
        <v>44601</v>
      </c>
      <c r="C3367">
        <v>90928</v>
      </c>
      <c r="D3367" t="str">
        <f>PROPER(Transactions!D3367)</f>
        <v>Toys</v>
      </c>
      <c r="E3367" t="s">
        <v>170</v>
      </c>
      <c r="F3367" t="s">
        <v>171</v>
      </c>
      <c r="G3367">
        <v>1</v>
      </c>
      <c r="H3367">
        <v>14.99</v>
      </c>
      <c r="I3367" s="7">
        <f>IF(Transactions!I3367="",0,Transactions!I3367)</f>
        <v>0</v>
      </c>
      <c r="J3367" s="9">
        <f t="shared" si="52"/>
        <v>14.99</v>
      </c>
      <c r="K3367" t="s">
        <v>22</v>
      </c>
      <c r="L3367" t="s">
        <v>17</v>
      </c>
      <c r="M3367" t="str">
        <f>REPLACE(Transactions!M3367,1,4,"")</f>
        <v/>
      </c>
    </row>
    <row r="3368" spans="1:13" x14ac:dyDescent="0.2">
      <c r="A3368">
        <v>657756</v>
      </c>
      <c r="B3368" s="5">
        <v>45392</v>
      </c>
      <c r="C3368">
        <v>45073</v>
      </c>
      <c r="D3368" t="str">
        <f>PROPER(Transactions!D3368)</f>
        <v>Grocery</v>
      </c>
      <c r="E3368" t="s">
        <v>45</v>
      </c>
      <c r="F3368" t="s">
        <v>46</v>
      </c>
      <c r="G3368">
        <v>2</v>
      </c>
      <c r="H3368">
        <v>1.52</v>
      </c>
      <c r="I3368" s="7">
        <f>IF(Transactions!I3368="",0,Transactions!I3368)</f>
        <v>0.15</v>
      </c>
      <c r="J3368" s="9">
        <f t="shared" si="52"/>
        <v>2.5840000000000001</v>
      </c>
      <c r="K3368" t="s">
        <v>36</v>
      </c>
      <c r="L3368" t="s">
        <v>17</v>
      </c>
      <c r="M3368" t="str">
        <f>REPLACE(Transactions!M3368,1,4,"")</f>
        <v>19</v>
      </c>
    </row>
    <row r="3369" spans="1:13" x14ac:dyDescent="0.2">
      <c r="A3369">
        <v>658148</v>
      </c>
      <c r="B3369" s="5">
        <v>44922</v>
      </c>
      <c r="C3369">
        <v>21915</v>
      </c>
      <c r="D3369" t="str">
        <f>PROPER(Transactions!D3369)</f>
        <v>Clothing</v>
      </c>
      <c r="E3369" t="s">
        <v>193</v>
      </c>
      <c r="F3369" t="s">
        <v>194</v>
      </c>
      <c r="G3369">
        <v>4</v>
      </c>
      <c r="H3369">
        <v>64.989999999999995</v>
      </c>
      <c r="I3369" s="7">
        <f>IF(Transactions!I3369="",0,Transactions!I3369)</f>
        <v>0</v>
      </c>
      <c r="J3369" s="9">
        <f t="shared" si="52"/>
        <v>259.95999999999998</v>
      </c>
      <c r="K3369" t="s">
        <v>32</v>
      </c>
      <c r="L3369" t="s">
        <v>17</v>
      </c>
      <c r="M3369" t="str">
        <f>REPLACE(Transactions!M3369,1,4,"")</f>
        <v>2</v>
      </c>
    </row>
    <row r="3370" spans="1:13" x14ac:dyDescent="0.2">
      <c r="A3370">
        <v>658157</v>
      </c>
      <c r="B3370" s="5">
        <v>44607</v>
      </c>
      <c r="C3370">
        <v>78366</v>
      </c>
      <c r="D3370" t="str">
        <f>PROPER(Transactions!D3370)</f>
        <v>Toys</v>
      </c>
      <c r="E3370" t="s">
        <v>88</v>
      </c>
      <c r="F3370" t="s">
        <v>89</v>
      </c>
      <c r="G3370">
        <v>4</v>
      </c>
      <c r="H3370">
        <v>47.49</v>
      </c>
      <c r="I3370" s="7">
        <f>IF(Transactions!I3370="",0,Transactions!I3370)</f>
        <v>0.05</v>
      </c>
      <c r="J3370" s="9">
        <f t="shared" si="52"/>
        <v>180.46199999999999</v>
      </c>
      <c r="K3370" t="s">
        <v>36</v>
      </c>
      <c r="L3370" t="s">
        <v>37</v>
      </c>
      <c r="M3370" t="str">
        <f>REPLACE(Transactions!M3370,1,4,"")</f>
        <v>11</v>
      </c>
    </row>
    <row r="3371" spans="1:13" x14ac:dyDescent="0.2">
      <c r="A3371">
        <v>658162</v>
      </c>
      <c r="B3371" s="5">
        <v>45218</v>
      </c>
      <c r="C3371">
        <v>92118</v>
      </c>
      <c r="D3371" t="str">
        <f>PROPER(Transactions!D3371)</f>
        <v>Beauty</v>
      </c>
      <c r="E3371" t="s">
        <v>179</v>
      </c>
      <c r="F3371" t="s">
        <v>180</v>
      </c>
      <c r="G3371">
        <v>4</v>
      </c>
      <c r="H3371">
        <v>10.79</v>
      </c>
      <c r="I3371" s="7">
        <f>IF(Transactions!I3371="",0,Transactions!I3371)</f>
        <v>0.1</v>
      </c>
      <c r="J3371" s="9">
        <f t="shared" si="52"/>
        <v>38.844000000000001</v>
      </c>
      <c r="K3371" t="s">
        <v>36</v>
      </c>
      <c r="L3371" t="s">
        <v>37</v>
      </c>
      <c r="M3371" t="str">
        <f>REPLACE(Transactions!M3371,1,4,"")</f>
        <v>3</v>
      </c>
    </row>
    <row r="3372" spans="1:13" x14ac:dyDescent="0.2">
      <c r="A3372">
        <v>658333</v>
      </c>
      <c r="B3372" s="5">
        <v>45069</v>
      </c>
      <c r="C3372">
        <v>80323</v>
      </c>
      <c r="D3372" t="str">
        <f>PROPER(Transactions!D3372)</f>
        <v>Sports</v>
      </c>
      <c r="E3372" t="s">
        <v>155</v>
      </c>
      <c r="F3372" t="s">
        <v>156</v>
      </c>
      <c r="G3372">
        <v>1</v>
      </c>
      <c r="H3372">
        <v>19.989999999999998</v>
      </c>
      <c r="I3372" s="7">
        <f>IF(Transactions!I3372="",0,Transactions!I3372)</f>
        <v>0</v>
      </c>
      <c r="J3372" s="9">
        <f t="shared" si="52"/>
        <v>19.989999999999998</v>
      </c>
      <c r="K3372" t="s">
        <v>16</v>
      </c>
      <c r="L3372" t="s">
        <v>17</v>
      </c>
      <c r="M3372" t="str">
        <f>REPLACE(Transactions!M3372,1,4,"")</f>
        <v>20</v>
      </c>
    </row>
    <row r="3373" spans="1:13" x14ac:dyDescent="0.2">
      <c r="A3373">
        <v>658333</v>
      </c>
      <c r="B3373" s="5">
        <v>45632</v>
      </c>
      <c r="C3373">
        <v>47342</v>
      </c>
      <c r="D3373" t="str">
        <f>PROPER(Transactions!D3373)</f>
        <v>Grocery</v>
      </c>
      <c r="E3373" t="s">
        <v>45</v>
      </c>
      <c r="F3373" t="s">
        <v>46</v>
      </c>
      <c r="G3373">
        <v>5</v>
      </c>
      <c r="H3373">
        <v>1.79</v>
      </c>
      <c r="I3373" s="7">
        <f>IF(Transactions!I3373="",0,Transactions!I3373)</f>
        <v>0</v>
      </c>
      <c r="J3373" s="9">
        <f t="shared" si="52"/>
        <v>8.9499999999999993</v>
      </c>
      <c r="K3373" t="s">
        <v>36</v>
      </c>
      <c r="L3373" t="s">
        <v>17</v>
      </c>
      <c r="M3373" t="str">
        <f>REPLACE(Transactions!M3373,1,4,"")</f>
        <v>16</v>
      </c>
    </row>
    <row r="3374" spans="1:13" x14ac:dyDescent="0.2">
      <c r="A3374">
        <v>658377</v>
      </c>
      <c r="B3374" s="5">
        <v>44845</v>
      </c>
      <c r="C3374">
        <v>80276</v>
      </c>
      <c r="D3374" t="str">
        <f>PROPER(Transactions!D3374)</f>
        <v>Sports</v>
      </c>
      <c r="E3374" t="s">
        <v>155</v>
      </c>
      <c r="F3374" t="s">
        <v>156</v>
      </c>
      <c r="G3374">
        <v>3</v>
      </c>
      <c r="H3374">
        <v>19.989999999999998</v>
      </c>
      <c r="I3374" s="7">
        <f>IF(Transactions!I3374="",0,Transactions!I3374)</f>
        <v>0</v>
      </c>
      <c r="J3374" s="9">
        <f t="shared" si="52"/>
        <v>59.97</v>
      </c>
      <c r="K3374" t="s">
        <v>36</v>
      </c>
      <c r="L3374" t="s">
        <v>37</v>
      </c>
      <c r="M3374" t="str">
        <f>REPLACE(Transactions!M3374,1,4,"")</f>
        <v>15</v>
      </c>
    </row>
    <row r="3375" spans="1:13" x14ac:dyDescent="0.2">
      <c r="A3375">
        <v>658484</v>
      </c>
      <c r="B3375" s="5">
        <v>45424</v>
      </c>
      <c r="C3375">
        <v>63445</v>
      </c>
      <c r="D3375" t="str">
        <f>PROPER(Transactions!D3375)</f>
        <v>Electronics</v>
      </c>
      <c r="E3375" t="s">
        <v>77</v>
      </c>
      <c r="F3375" t="s">
        <v>78</v>
      </c>
      <c r="G3375">
        <v>4</v>
      </c>
      <c r="H3375">
        <v>499.99</v>
      </c>
      <c r="I3375" s="7">
        <f>IF(Transactions!I3375="",0,Transactions!I3375)</f>
        <v>0</v>
      </c>
      <c r="J3375" s="9">
        <f t="shared" si="52"/>
        <v>1999.96</v>
      </c>
      <c r="K3375" t="s">
        <v>36</v>
      </c>
      <c r="L3375" t="s">
        <v>37</v>
      </c>
      <c r="M3375" t="str">
        <f>REPLACE(Transactions!M3375,1,4,"")</f>
        <v>8</v>
      </c>
    </row>
    <row r="3376" spans="1:13" x14ac:dyDescent="0.2">
      <c r="A3376">
        <v>658505</v>
      </c>
      <c r="B3376" s="5">
        <v>45199</v>
      </c>
      <c r="C3376">
        <v>94484</v>
      </c>
      <c r="D3376" t="str">
        <f>PROPER(Transactions!D3376)</f>
        <v>Automotive</v>
      </c>
      <c r="E3376" t="s">
        <v>111</v>
      </c>
      <c r="F3376" t="s">
        <v>112</v>
      </c>
      <c r="G3376">
        <v>1</v>
      </c>
      <c r="H3376">
        <v>14.99</v>
      </c>
      <c r="I3376" s="7">
        <f>IF(Transactions!I3376="",0,Transactions!I3376)</f>
        <v>0</v>
      </c>
      <c r="J3376" s="9">
        <f t="shared" si="52"/>
        <v>14.99</v>
      </c>
      <c r="K3376" t="s">
        <v>36</v>
      </c>
      <c r="L3376" t="s">
        <v>17</v>
      </c>
      <c r="M3376" t="str">
        <f>REPLACE(Transactions!M3376,1,4,"")</f>
        <v>13</v>
      </c>
    </row>
    <row r="3377" spans="1:13" x14ac:dyDescent="0.2">
      <c r="A3377">
        <v>658596</v>
      </c>
      <c r="B3377" s="5">
        <v>45519</v>
      </c>
      <c r="C3377">
        <v>84202</v>
      </c>
      <c r="D3377" t="str">
        <f>PROPER(Transactions!D3377)</f>
        <v>Furniture</v>
      </c>
      <c r="E3377" t="s">
        <v>60</v>
      </c>
      <c r="F3377" t="s">
        <v>61</v>
      </c>
      <c r="G3377">
        <v>5</v>
      </c>
      <c r="H3377">
        <v>49.49</v>
      </c>
      <c r="I3377" s="7">
        <f>IF(Transactions!I3377="",0,Transactions!I3377)</f>
        <v>0.1</v>
      </c>
      <c r="J3377" s="9">
        <f t="shared" si="52"/>
        <v>222.70500000000001</v>
      </c>
      <c r="K3377" t="s">
        <v>95</v>
      </c>
      <c r="L3377" t="s">
        <v>37</v>
      </c>
      <c r="M3377" t="str">
        <f>REPLACE(Transactions!M3377,1,4,"")</f>
        <v>6</v>
      </c>
    </row>
    <row r="3378" spans="1:13" x14ac:dyDescent="0.2">
      <c r="A3378">
        <v>658711</v>
      </c>
      <c r="B3378" s="5">
        <v>44802</v>
      </c>
      <c r="C3378">
        <v>99134</v>
      </c>
      <c r="D3378" t="str">
        <f>PROPER(Transactions!D3378)</f>
        <v>Beauty</v>
      </c>
      <c r="E3378" t="s">
        <v>143</v>
      </c>
      <c r="F3378" t="s">
        <v>144</v>
      </c>
      <c r="G3378">
        <v>1</v>
      </c>
      <c r="H3378">
        <v>14.99</v>
      </c>
      <c r="I3378" s="7">
        <f>IF(Transactions!I3378="",0,Transactions!I3378)</f>
        <v>0</v>
      </c>
      <c r="J3378" s="9">
        <f t="shared" si="52"/>
        <v>14.99</v>
      </c>
      <c r="K3378" t="s">
        <v>16</v>
      </c>
      <c r="L3378" t="s">
        <v>17</v>
      </c>
      <c r="M3378" t="str">
        <f>REPLACE(Transactions!M3378,1,4,"")</f>
        <v>15</v>
      </c>
    </row>
    <row r="3379" spans="1:13" x14ac:dyDescent="0.2">
      <c r="A3379">
        <v>658922</v>
      </c>
      <c r="B3379" s="5">
        <v>44577</v>
      </c>
      <c r="C3379">
        <v>21118</v>
      </c>
      <c r="D3379" t="str">
        <f>PROPER(Transactions!D3379)</f>
        <v>Grocery</v>
      </c>
      <c r="E3379" t="s">
        <v>93</v>
      </c>
      <c r="F3379" t="s">
        <v>94</v>
      </c>
      <c r="G3379">
        <v>1</v>
      </c>
      <c r="H3379">
        <v>1.29</v>
      </c>
      <c r="I3379" s="7">
        <f>IF(Transactions!I3379="",0,Transactions!I3379)</f>
        <v>0</v>
      </c>
      <c r="J3379" s="9">
        <f t="shared" si="52"/>
        <v>1.29</v>
      </c>
      <c r="K3379" t="s">
        <v>36</v>
      </c>
      <c r="L3379" t="s">
        <v>37</v>
      </c>
      <c r="M3379" t="str">
        <f>REPLACE(Transactions!M3379,1,4,"")</f>
        <v>6</v>
      </c>
    </row>
    <row r="3380" spans="1:13" x14ac:dyDescent="0.2">
      <c r="A3380">
        <v>659007</v>
      </c>
      <c r="B3380" s="5">
        <v>45555</v>
      </c>
      <c r="C3380">
        <v>74957</v>
      </c>
      <c r="D3380" t="str">
        <f>PROPER(Transactions!D3380)</f>
        <v>Automotive</v>
      </c>
      <c r="E3380" t="s">
        <v>131</v>
      </c>
      <c r="F3380" t="s">
        <v>132</v>
      </c>
      <c r="G3380">
        <v>5</v>
      </c>
      <c r="H3380">
        <v>3.49</v>
      </c>
      <c r="I3380" s="7">
        <f>IF(Transactions!I3380="",0,Transactions!I3380)</f>
        <v>0</v>
      </c>
      <c r="J3380" s="9">
        <f t="shared" si="52"/>
        <v>17.450000000000003</v>
      </c>
      <c r="K3380" t="s">
        <v>95</v>
      </c>
      <c r="L3380" t="s">
        <v>17</v>
      </c>
      <c r="M3380" t="str">
        <f>REPLACE(Transactions!M3380,1,4,"")</f>
        <v>16</v>
      </c>
    </row>
    <row r="3381" spans="1:13" x14ac:dyDescent="0.2">
      <c r="A3381">
        <v>659019</v>
      </c>
      <c r="B3381" s="5">
        <v>45247</v>
      </c>
      <c r="C3381">
        <v>65371</v>
      </c>
      <c r="D3381" t="str">
        <f>PROPER(Transactions!D3381)</f>
        <v>Automotive</v>
      </c>
      <c r="E3381" t="s">
        <v>131</v>
      </c>
      <c r="F3381" t="s">
        <v>132</v>
      </c>
      <c r="G3381">
        <v>2</v>
      </c>
      <c r="H3381">
        <v>3.32</v>
      </c>
      <c r="I3381" s="7">
        <f>IF(Transactions!I3381="",0,Transactions!I3381)</f>
        <v>0.05</v>
      </c>
      <c r="J3381" s="9">
        <f t="shared" si="52"/>
        <v>6.3079999999999998</v>
      </c>
      <c r="K3381" t="s">
        <v>36</v>
      </c>
      <c r="L3381" t="s">
        <v>37</v>
      </c>
      <c r="M3381" t="str">
        <f>REPLACE(Transactions!M3381,1,4,"")</f>
        <v>4</v>
      </c>
    </row>
    <row r="3382" spans="1:13" x14ac:dyDescent="0.2">
      <c r="A3382">
        <v>659102</v>
      </c>
      <c r="B3382" s="5">
        <v>45079</v>
      </c>
      <c r="C3382">
        <v>63950</v>
      </c>
      <c r="D3382" t="str">
        <f>PROPER(Transactions!D3382)</f>
        <v>Beauty</v>
      </c>
      <c r="E3382" t="s">
        <v>143</v>
      </c>
      <c r="F3382" t="s">
        <v>144</v>
      </c>
      <c r="G3382">
        <v>2</v>
      </c>
      <c r="H3382">
        <v>13.49</v>
      </c>
      <c r="I3382" s="7">
        <f>IF(Transactions!I3382="",0,Transactions!I3382)</f>
        <v>0.1</v>
      </c>
      <c r="J3382" s="9">
        <f t="shared" si="52"/>
        <v>24.282</v>
      </c>
      <c r="K3382" t="s">
        <v>16</v>
      </c>
      <c r="L3382" t="s">
        <v>17</v>
      </c>
      <c r="M3382" t="str">
        <f>REPLACE(Transactions!M3382,1,4,"")</f>
        <v>14</v>
      </c>
    </row>
    <row r="3383" spans="1:13" x14ac:dyDescent="0.2">
      <c r="A3383">
        <v>659301</v>
      </c>
      <c r="B3383" s="5">
        <v>45491</v>
      </c>
      <c r="C3383">
        <v>25385</v>
      </c>
      <c r="D3383" t="str">
        <f>PROPER(Transactions!D3383)</f>
        <v>Pharmacy</v>
      </c>
      <c r="E3383" t="s">
        <v>41</v>
      </c>
      <c r="F3383" t="s">
        <v>42</v>
      </c>
      <c r="G3383">
        <v>1</v>
      </c>
      <c r="H3383">
        <v>5.99</v>
      </c>
      <c r="I3383" s="7">
        <f>IF(Transactions!I3383="",0,Transactions!I3383)</f>
        <v>0</v>
      </c>
      <c r="J3383" s="9">
        <f t="shared" si="52"/>
        <v>5.99</v>
      </c>
      <c r="K3383" t="s">
        <v>36</v>
      </c>
      <c r="L3383" t="s">
        <v>23</v>
      </c>
      <c r="M3383" t="str">
        <f>REPLACE(Transactions!M3383,1,4,"")</f>
        <v>17</v>
      </c>
    </row>
    <row r="3384" spans="1:13" x14ac:dyDescent="0.2">
      <c r="A3384">
        <v>659309</v>
      </c>
      <c r="B3384" s="5">
        <v>44852</v>
      </c>
      <c r="C3384">
        <v>54104</v>
      </c>
      <c r="D3384" t="str">
        <f>PROPER(Transactions!D3384)</f>
        <v>Automotive</v>
      </c>
      <c r="E3384" t="s">
        <v>111</v>
      </c>
      <c r="F3384" t="s">
        <v>112</v>
      </c>
      <c r="G3384">
        <v>1</v>
      </c>
      <c r="H3384">
        <v>14.99</v>
      </c>
      <c r="I3384" s="7">
        <f>IF(Transactions!I3384="",0,Transactions!I3384)</f>
        <v>0</v>
      </c>
      <c r="J3384" s="9">
        <f t="shared" si="52"/>
        <v>14.99</v>
      </c>
      <c r="K3384" t="s">
        <v>16</v>
      </c>
      <c r="L3384" t="s">
        <v>17</v>
      </c>
      <c r="M3384" t="str">
        <f>REPLACE(Transactions!M3384,1,4,"")</f>
        <v>12</v>
      </c>
    </row>
    <row r="3385" spans="1:13" x14ac:dyDescent="0.2">
      <c r="A3385">
        <v>659510</v>
      </c>
      <c r="B3385" s="5">
        <v>45173</v>
      </c>
      <c r="C3385">
        <v>66335</v>
      </c>
      <c r="D3385" t="str">
        <f>PROPER(Transactions!D3385)</f>
        <v>Clothing</v>
      </c>
      <c r="E3385" t="s">
        <v>135</v>
      </c>
      <c r="F3385" t="s">
        <v>136</v>
      </c>
      <c r="G3385">
        <v>2</v>
      </c>
      <c r="H3385">
        <v>9.99</v>
      </c>
      <c r="I3385" s="7">
        <f>IF(Transactions!I3385="",0,Transactions!I3385)</f>
        <v>0</v>
      </c>
      <c r="J3385" s="9">
        <f t="shared" si="52"/>
        <v>19.98</v>
      </c>
      <c r="K3385" t="s">
        <v>36</v>
      </c>
      <c r="L3385" t="s">
        <v>17</v>
      </c>
      <c r="M3385" t="str">
        <f>REPLACE(Transactions!M3385,1,4,"")</f>
        <v>12</v>
      </c>
    </row>
    <row r="3386" spans="1:13" x14ac:dyDescent="0.2">
      <c r="A3386">
        <v>659905</v>
      </c>
      <c r="B3386" s="5">
        <v>45523</v>
      </c>
      <c r="C3386">
        <v>29859</v>
      </c>
      <c r="D3386" t="str">
        <f>PROPER(Transactions!D3386)</f>
        <v>Toys</v>
      </c>
      <c r="E3386" t="s">
        <v>30</v>
      </c>
      <c r="F3386" t="s">
        <v>31</v>
      </c>
      <c r="G3386">
        <v>5</v>
      </c>
      <c r="H3386">
        <v>17.489999999999998</v>
      </c>
      <c r="I3386" s="7">
        <f>IF(Transactions!I3386="",0,Transactions!I3386)</f>
        <v>0.3</v>
      </c>
      <c r="J3386" s="9">
        <f t="shared" si="52"/>
        <v>61.214999999999989</v>
      </c>
      <c r="K3386" t="s">
        <v>16</v>
      </c>
      <c r="L3386" t="s">
        <v>17</v>
      </c>
      <c r="M3386" t="str">
        <f>REPLACE(Transactions!M3386,1,4,"")</f>
        <v>1</v>
      </c>
    </row>
    <row r="3387" spans="1:13" x14ac:dyDescent="0.2">
      <c r="A3387">
        <v>660181</v>
      </c>
      <c r="B3387" s="5">
        <v>45033</v>
      </c>
      <c r="C3387">
        <v>33114</v>
      </c>
      <c r="D3387" t="str">
        <f>PROPER(Transactions!D3387)</f>
        <v>Beauty</v>
      </c>
      <c r="E3387" t="s">
        <v>143</v>
      </c>
      <c r="F3387" t="s">
        <v>144</v>
      </c>
      <c r="G3387">
        <v>3</v>
      </c>
      <c r="H3387">
        <v>11.99</v>
      </c>
      <c r="I3387" s="7">
        <f>IF(Transactions!I3387="",0,Transactions!I3387)</f>
        <v>0.2</v>
      </c>
      <c r="J3387" s="9">
        <f t="shared" si="52"/>
        <v>28.776</v>
      </c>
      <c r="K3387" t="s">
        <v>53</v>
      </c>
      <c r="L3387" t="s">
        <v>37</v>
      </c>
      <c r="M3387" t="str">
        <f>REPLACE(Transactions!M3387,1,4,"")</f>
        <v>13</v>
      </c>
    </row>
    <row r="3388" spans="1:13" x14ac:dyDescent="0.2">
      <c r="A3388">
        <v>660335</v>
      </c>
      <c r="B3388" s="5">
        <v>45004</v>
      </c>
      <c r="C3388">
        <v>63239</v>
      </c>
      <c r="D3388" t="str">
        <f>PROPER(Transactions!D3388)</f>
        <v>Beauty</v>
      </c>
      <c r="E3388" t="s">
        <v>143</v>
      </c>
      <c r="F3388" t="s">
        <v>144</v>
      </c>
      <c r="G3388">
        <v>4</v>
      </c>
      <c r="H3388">
        <v>13.49</v>
      </c>
      <c r="I3388" s="7">
        <f>IF(Transactions!I3388="",0,Transactions!I3388)</f>
        <v>0.1</v>
      </c>
      <c r="J3388" s="9">
        <f t="shared" si="52"/>
        <v>48.564</v>
      </c>
      <c r="K3388" t="s">
        <v>32</v>
      </c>
      <c r="L3388" t="s">
        <v>37</v>
      </c>
      <c r="M3388" t="str">
        <f>REPLACE(Transactions!M3388,1,4,"")</f>
        <v>5</v>
      </c>
    </row>
    <row r="3389" spans="1:13" x14ac:dyDescent="0.2">
      <c r="A3389">
        <v>660437</v>
      </c>
      <c r="B3389" s="5">
        <v>45521</v>
      </c>
      <c r="C3389">
        <v>67814</v>
      </c>
      <c r="D3389" t="str">
        <f>PROPER(Transactions!D3389)</f>
        <v>Home &amp; Garden</v>
      </c>
      <c r="E3389" t="s">
        <v>129</v>
      </c>
      <c r="F3389" t="s">
        <v>130</v>
      </c>
      <c r="G3389">
        <v>5</v>
      </c>
      <c r="H3389">
        <v>6.74</v>
      </c>
      <c r="I3389" s="7">
        <f>IF(Transactions!I3389="",0,Transactions!I3389)</f>
        <v>0.25</v>
      </c>
      <c r="J3389" s="9">
        <f t="shared" si="52"/>
        <v>25.275000000000002</v>
      </c>
      <c r="K3389" t="s">
        <v>36</v>
      </c>
      <c r="L3389" t="s">
        <v>17</v>
      </c>
      <c r="M3389" t="str">
        <f>REPLACE(Transactions!M3389,1,4,"")</f>
        <v>11</v>
      </c>
    </row>
    <row r="3390" spans="1:13" x14ac:dyDescent="0.2">
      <c r="A3390">
        <v>660683</v>
      </c>
      <c r="B3390" s="5">
        <v>44598</v>
      </c>
      <c r="C3390">
        <v>50446</v>
      </c>
      <c r="D3390" t="str">
        <f>PROPER(Transactions!D3390)</f>
        <v>Automotive</v>
      </c>
      <c r="E3390" t="s">
        <v>68</v>
      </c>
      <c r="F3390" t="s">
        <v>69</v>
      </c>
      <c r="G3390">
        <v>1</v>
      </c>
      <c r="H3390">
        <v>17.489999999999998</v>
      </c>
      <c r="I3390" s="7">
        <f>IF(Transactions!I3390="",0,Transactions!I3390)</f>
        <v>0.3</v>
      </c>
      <c r="J3390" s="9">
        <f t="shared" si="52"/>
        <v>12.242999999999999</v>
      </c>
      <c r="K3390" t="s">
        <v>32</v>
      </c>
      <c r="L3390" t="s">
        <v>17</v>
      </c>
      <c r="M3390" t="str">
        <f>REPLACE(Transactions!M3390,1,4,"")</f>
        <v>18</v>
      </c>
    </row>
    <row r="3391" spans="1:13" x14ac:dyDescent="0.2">
      <c r="A3391">
        <v>660805</v>
      </c>
      <c r="B3391" s="5">
        <v>44806</v>
      </c>
      <c r="C3391">
        <v>81948</v>
      </c>
      <c r="D3391" t="str">
        <f>PROPER(Transactions!D3391)</f>
        <v>Pharmacy</v>
      </c>
      <c r="E3391" t="s">
        <v>20</v>
      </c>
      <c r="F3391" t="s">
        <v>21</v>
      </c>
      <c r="G3391">
        <v>4</v>
      </c>
      <c r="H3391">
        <v>6.99</v>
      </c>
      <c r="I3391" s="7">
        <f>IF(Transactions!I3391="",0,Transactions!I3391)</f>
        <v>0.3</v>
      </c>
      <c r="J3391" s="9">
        <f t="shared" si="52"/>
        <v>19.571999999999999</v>
      </c>
      <c r="K3391" t="s">
        <v>36</v>
      </c>
      <c r="L3391" t="s">
        <v>23</v>
      </c>
      <c r="M3391" t="str">
        <f>REPLACE(Transactions!M3391,1,4,"")</f>
        <v>2</v>
      </c>
    </row>
    <row r="3392" spans="1:13" x14ac:dyDescent="0.2">
      <c r="A3392">
        <v>660885</v>
      </c>
      <c r="B3392" s="5">
        <v>45254</v>
      </c>
      <c r="C3392">
        <v>98698</v>
      </c>
      <c r="D3392" t="str">
        <f>PROPER(Transactions!D3392)</f>
        <v>Pharmacy</v>
      </c>
      <c r="E3392" t="s">
        <v>115</v>
      </c>
      <c r="F3392" t="s">
        <v>116</v>
      </c>
      <c r="G3392">
        <v>5</v>
      </c>
      <c r="H3392">
        <v>12.99</v>
      </c>
      <c r="I3392" s="7">
        <f>IF(Transactions!I3392="",0,Transactions!I3392)</f>
        <v>0</v>
      </c>
      <c r="J3392" s="9">
        <f t="shared" si="52"/>
        <v>64.95</v>
      </c>
      <c r="K3392" t="s">
        <v>16</v>
      </c>
      <c r="L3392" t="s">
        <v>17</v>
      </c>
      <c r="M3392" t="str">
        <f>REPLACE(Transactions!M3392,1,4,"")</f>
        <v>8</v>
      </c>
    </row>
    <row r="3393" spans="1:13" x14ac:dyDescent="0.2">
      <c r="A3393">
        <v>661200</v>
      </c>
      <c r="B3393" s="5">
        <v>44739</v>
      </c>
      <c r="C3393">
        <v>66394</v>
      </c>
      <c r="D3393" t="str">
        <f>PROPER(Transactions!D3393)</f>
        <v>Home &amp; Garden</v>
      </c>
      <c r="E3393" t="s">
        <v>145</v>
      </c>
      <c r="F3393" t="s">
        <v>146</v>
      </c>
      <c r="G3393">
        <v>3</v>
      </c>
      <c r="H3393">
        <v>16.989999999999998</v>
      </c>
      <c r="I3393" s="7">
        <f>IF(Transactions!I3393="",0,Transactions!I3393)</f>
        <v>0</v>
      </c>
      <c r="J3393" s="9">
        <f t="shared" si="52"/>
        <v>50.97</v>
      </c>
      <c r="K3393" t="s">
        <v>16</v>
      </c>
      <c r="L3393" t="s">
        <v>17</v>
      </c>
      <c r="M3393" t="str">
        <f>REPLACE(Transactions!M3393,1,4,"")</f>
        <v>18</v>
      </c>
    </row>
    <row r="3394" spans="1:13" x14ac:dyDescent="0.2">
      <c r="A3394">
        <v>661778</v>
      </c>
      <c r="B3394" s="5">
        <v>45222</v>
      </c>
      <c r="C3394">
        <v>61582</v>
      </c>
      <c r="D3394" t="str">
        <f>PROPER(Transactions!D3394)</f>
        <v>Clothing</v>
      </c>
      <c r="E3394" t="s">
        <v>141</v>
      </c>
      <c r="F3394" t="s">
        <v>142</v>
      </c>
      <c r="G3394">
        <v>1</v>
      </c>
      <c r="H3394">
        <v>22.99</v>
      </c>
      <c r="I3394" s="7">
        <f>IF(Transactions!I3394="",0,Transactions!I3394)</f>
        <v>0</v>
      </c>
      <c r="J3394" s="9">
        <f t="shared" si="52"/>
        <v>22.99</v>
      </c>
      <c r="K3394" t="s">
        <v>36</v>
      </c>
      <c r="L3394" t="s">
        <v>17</v>
      </c>
      <c r="M3394" t="str">
        <f>REPLACE(Transactions!M3394,1,4,"")</f>
        <v>17</v>
      </c>
    </row>
    <row r="3395" spans="1:13" x14ac:dyDescent="0.2">
      <c r="A3395">
        <v>661894</v>
      </c>
      <c r="B3395" s="5">
        <v>44956</v>
      </c>
      <c r="C3395">
        <v>73464</v>
      </c>
      <c r="D3395" t="str">
        <f>PROPER(Transactions!D3395)</f>
        <v>Home &amp; Garden</v>
      </c>
      <c r="E3395" t="s">
        <v>129</v>
      </c>
      <c r="F3395" t="s">
        <v>130</v>
      </c>
      <c r="G3395">
        <v>1</v>
      </c>
      <c r="H3395">
        <v>7.64</v>
      </c>
      <c r="I3395" s="7">
        <f>IF(Transactions!I3395="",0,Transactions!I3395)</f>
        <v>0.15</v>
      </c>
      <c r="J3395" s="9">
        <f t="shared" ref="J3395:J3458" si="53">(H3395*G3395)*(1-I3395)</f>
        <v>6.4939999999999998</v>
      </c>
      <c r="K3395" t="s">
        <v>16</v>
      </c>
      <c r="L3395" t="s">
        <v>37</v>
      </c>
      <c r="M3395" t="str">
        <f>REPLACE(Transactions!M3395,1,4,"")</f>
        <v>16</v>
      </c>
    </row>
    <row r="3396" spans="1:13" x14ac:dyDescent="0.2">
      <c r="A3396">
        <v>662091</v>
      </c>
      <c r="B3396" s="5">
        <v>45129</v>
      </c>
      <c r="C3396">
        <v>51257</v>
      </c>
      <c r="D3396" t="str">
        <f>PROPER(Transactions!D3396)</f>
        <v>Toys</v>
      </c>
      <c r="E3396" t="s">
        <v>72</v>
      </c>
      <c r="F3396" t="s">
        <v>73</v>
      </c>
      <c r="G3396">
        <v>1</v>
      </c>
      <c r="H3396">
        <v>31.99</v>
      </c>
      <c r="I3396" s="7">
        <f>IF(Transactions!I3396="",0,Transactions!I3396)</f>
        <v>0.2</v>
      </c>
      <c r="J3396" s="9">
        <f t="shared" si="53"/>
        <v>25.591999999999999</v>
      </c>
      <c r="K3396" t="s">
        <v>36</v>
      </c>
      <c r="L3396" t="s">
        <v>17</v>
      </c>
      <c r="M3396" t="str">
        <f>REPLACE(Transactions!M3396,1,4,"")</f>
        <v>14</v>
      </c>
    </row>
    <row r="3397" spans="1:13" x14ac:dyDescent="0.2">
      <c r="A3397">
        <v>662128</v>
      </c>
      <c r="B3397" s="5">
        <v>44805</v>
      </c>
      <c r="C3397">
        <v>75745</v>
      </c>
      <c r="D3397" t="str">
        <f>PROPER(Transactions!D3397)</f>
        <v>Clothing</v>
      </c>
      <c r="E3397" t="s">
        <v>165</v>
      </c>
      <c r="F3397" t="s">
        <v>166</v>
      </c>
      <c r="G3397">
        <v>2</v>
      </c>
      <c r="H3397">
        <v>76.489999999999995</v>
      </c>
      <c r="I3397" s="7">
        <f>IF(Transactions!I3397="",0,Transactions!I3397)</f>
        <v>0.15</v>
      </c>
      <c r="J3397" s="9">
        <f t="shared" si="53"/>
        <v>130.03299999999999</v>
      </c>
      <c r="K3397" t="s">
        <v>36</v>
      </c>
      <c r="L3397" t="s">
        <v>17</v>
      </c>
      <c r="M3397" t="str">
        <f>REPLACE(Transactions!M3397,1,4,"")</f>
        <v>8</v>
      </c>
    </row>
    <row r="3398" spans="1:13" x14ac:dyDescent="0.2">
      <c r="A3398">
        <v>662141</v>
      </c>
      <c r="B3398" s="5">
        <v>44886</v>
      </c>
      <c r="C3398">
        <v>48676</v>
      </c>
      <c r="D3398" t="str">
        <f>PROPER(Transactions!D3398)</f>
        <v>Electronics</v>
      </c>
      <c r="E3398" t="s">
        <v>79</v>
      </c>
      <c r="F3398" t="s">
        <v>80</v>
      </c>
      <c r="G3398">
        <v>1</v>
      </c>
      <c r="H3398">
        <v>89.99</v>
      </c>
      <c r="I3398" s="7">
        <f>IF(Transactions!I3398="",0,Transactions!I3398)</f>
        <v>0</v>
      </c>
      <c r="J3398" s="9">
        <f t="shared" si="53"/>
        <v>89.99</v>
      </c>
      <c r="K3398" t="s">
        <v>36</v>
      </c>
      <c r="L3398" t="s">
        <v>37</v>
      </c>
      <c r="M3398" t="str">
        <f>REPLACE(Transactions!M3398,1,4,"")</f>
        <v>2</v>
      </c>
    </row>
    <row r="3399" spans="1:13" x14ac:dyDescent="0.2">
      <c r="A3399">
        <v>662147</v>
      </c>
      <c r="B3399" s="5">
        <v>45223</v>
      </c>
      <c r="C3399">
        <v>68170</v>
      </c>
      <c r="D3399" t="str">
        <f>PROPER(Transactions!D3399)</f>
        <v>Grocery</v>
      </c>
      <c r="E3399" t="s">
        <v>107</v>
      </c>
      <c r="F3399" t="s">
        <v>108</v>
      </c>
      <c r="G3399">
        <v>3</v>
      </c>
      <c r="H3399">
        <v>2.79</v>
      </c>
      <c r="I3399" s="7">
        <f>IF(Transactions!I3399="",0,Transactions!I3399)</f>
        <v>0.2</v>
      </c>
      <c r="J3399" s="9">
        <f t="shared" si="53"/>
        <v>6.6960000000000015</v>
      </c>
      <c r="K3399" t="s">
        <v>36</v>
      </c>
      <c r="L3399" t="s">
        <v>37</v>
      </c>
      <c r="M3399" t="str">
        <f>REPLACE(Transactions!M3399,1,4,"")</f>
        <v>19</v>
      </c>
    </row>
    <row r="3400" spans="1:13" x14ac:dyDescent="0.2">
      <c r="A3400">
        <v>662209</v>
      </c>
      <c r="B3400" s="5">
        <v>45555</v>
      </c>
      <c r="C3400">
        <v>71667</v>
      </c>
      <c r="D3400" t="str">
        <f>PROPER(Transactions!D3400)</f>
        <v>Electronics</v>
      </c>
      <c r="E3400" t="s">
        <v>34</v>
      </c>
      <c r="F3400" t="s">
        <v>35</v>
      </c>
      <c r="G3400">
        <v>2</v>
      </c>
      <c r="H3400">
        <v>33.24</v>
      </c>
      <c r="I3400" s="7">
        <f>IF(Transactions!I3400="",0,Transactions!I3400)</f>
        <v>0.05</v>
      </c>
      <c r="J3400" s="9">
        <f t="shared" si="53"/>
        <v>63.155999999999999</v>
      </c>
      <c r="K3400" t="s">
        <v>16</v>
      </c>
      <c r="L3400" t="s">
        <v>17</v>
      </c>
      <c r="M3400" t="str">
        <f>REPLACE(Transactions!M3400,1,4,"")</f>
        <v>3</v>
      </c>
    </row>
    <row r="3401" spans="1:13" x14ac:dyDescent="0.2">
      <c r="A3401">
        <v>662585</v>
      </c>
      <c r="B3401" s="5">
        <v>44780</v>
      </c>
      <c r="C3401">
        <v>15449</v>
      </c>
      <c r="D3401" t="str">
        <f>PROPER(Transactions!D3401)</f>
        <v>Furniture</v>
      </c>
      <c r="E3401" t="s">
        <v>51</v>
      </c>
      <c r="F3401" t="s">
        <v>52</v>
      </c>
      <c r="G3401">
        <v>1</v>
      </c>
      <c r="H3401">
        <v>27.99</v>
      </c>
      <c r="I3401" s="7">
        <f>IF(Transactions!I3401="",0,Transactions!I3401)</f>
        <v>0</v>
      </c>
      <c r="J3401" s="9">
        <f t="shared" si="53"/>
        <v>27.99</v>
      </c>
      <c r="K3401" t="s">
        <v>16</v>
      </c>
      <c r="L3401" t="s">
        <v>17</v>
      </c>
      <c r="M3401" t="str">
        <f>REPLACE(Transactions!M3401,1,4,"")</f>
        <v>15</v>
      </c>
    </row>
    <row r="3402" spans="1:13" x14ac:dyDescent="0.2">
      <c r="A3402">
        <v>662719</v>
      </c>
      <c r="B3402" s="5">
        <v>44613</v>
      </c>
      <c r="C3402">
        <v>67951</v>
      </c>
      <c r="D3402" t="str">
        <f>PROPER(Transactions!D3402)</f>
        <v>Toys</v>
      </c>
      <c r="E3402" t="s">
        <v>30</v>
      </c>
      <c r="F3402" t="s">
        <v>31</v>
      </c>
      <c r="G3402">
        <v>1</v>
      </c>
      <c r="H3402">
        <v>23.74</v>
      </c>
      <c r="I3402" s="7">
        <f>IF(Transactions!I3402="",0,Transactions!I3402)</f>
        <v>0.05</v>
      </c>
      <c r="J3402" s="9">
        <f t="shared" si="53"/>
        <v>22.552999999999997</v>
      </c>
      <c r="K3402" t="s">
        <v>36</v>
      </c>
      <c r="L3402" t="s">
        <v>17</v>
      </c>
      <c r="M3402" t="str">
        <f>REPLACE(Transactions!M3402,1,4,"")</f>
        <v>12</v>
      </c>
    </row>
    <row r="3403" spans="1:13" x14ac:dyDescent="0.2">
      <c r="A3403">
        <v>662947</v>
      </c>
      <c r="B3403" s="5">
        <v>45154</v>
      </c>
      <c r="C3403">
        <v>46234</v>
      </c>
      <c r="D3403" t="str">
        <f>PROPER(Transactions!D3403)</f>
        <v>Furniture</v>
      </c>
      <c r="E3403" t="s">
        <v>60</v>
      </c>
      <c r="F3403" t="s">
        <v>61</v>
      </c>
      <c r="G3403">
        <v>1</v>
      </c>
      <c r="H3403">
        <v>54.99</v>
      </c>
      <c r="I3403" s="7">
        <f>IF(Transactions!I3403="",0,Transactions!I3403)</f>
        <v>0</v>
      </c>
      <c r="J3403" s="9">
        <f t="shared" si="53"/>
        <v>54.99</v>
      </c>
      <c r="K3403" t="s">
        <v>22</v>
      </c>
      <c r="L3403" t="s">
        <v>17</v>
      </c>
      <c r="M3403" t="str">
        <f>REPLACE(Transactions!M3403,1,4,"")</f>
        <v>18</v>
      </c>
    </row>
    <row r="3404" spans="1:13" x14ac:dyDescent="0.2">
      <c r="A3404">
        <v>662971</v>
      </c>
      <c r="B3404" s="5">
        <v>44753</v>
      </c>
      <c r="C3404">
        <v>72391</v>
      </c>
      <c r="D3404" t="str">
        <f>PROPER(Transactions!D3404)</f>
        <v>Home &amp; Garden</v>
      </c>
      <c r="E3404" t="s">
        <v>145</v>
      </c>
      <c r="F3404" t="s">
        <v>146</v>
      </c>
      <c r="G3404">
        <v>4</v>
      </c>
      <c r="H3404">
        <v>15.29</v>
      </c>
      <c r="I3404" s="7">
        <f>IF(Transactions!I3404="",0,Transactions!I3404)</f>
        <v>0.1</v>
      </c>
      <c r="J3404" s="9">
        <f t="shared" si="53"/>
        <v>55.043999999999997</v>
      </c>
      <c r="K3404" t="s">
        <v>16</v>
      </c>
      <c r="L3404" t="s">
        <v>23</v>
      </c>
      <c r="M3404" t="str">
        <f>REPLACE(Transactions!M3404,1,4,"")</f>
        <v>12</v>
      </c>
    </row>
    <row r="3405" spans="1:13" x14ac:dyDescent="0.2">
      <c r="A3405">
        <v>663051</v>
      </c>
      <c r="B3405" s="5">
        <v>44880</v>
      </c>
      <c r="C3405">
        <v>17342</v>
      </c>
      <c r="D3405" t="str">
        <f>PROPER(Transactions!D3405)</f>
        <v>Electronics</v>
      </c>
      <c r="E3405" t="s">
        <v>127</v>
      </c>
      <c r="F3405" t="s">
        <v>128</v>
      </c>
      <c r="G3405">
        <v>5</v>
      </c>
      <c r="H3405">
        <v>14.99</v>
      </c>
      <c r="I3405" s="7">
        <f>IF(Transactions!I3405="",0,Transactions!I3405)</f>
        <v>0.25</v>
      </c>
      <c r="J3405" s="9">
        <f t="shared" si="53"/>
        <v>56.212500000000006</v>
      </c>
      <c r="K3405" t="s">
        <v>32</v>
      </c>
      <c r="L3405" t="s">
        <v>17</v>
      </c>
      <c r="M3405" t="str">
        <f>REPLACE(Transactions!M3405,1,4,"")</f>
        <v>6</v>
      </c>
    </row>
    <row r="3406" spans="1:13" x14ac:dyDescent="0.2">
      <c r="A3406">
        <v>663196</v>
      </c>
      <c r="B3406" s="5">
        <v>45126</v>
      </c>
      <c r="C3406">
        <v>21031</v>
      </c>
      <c r="D3406" t="str">
        <f>PROPER(Transactions!D3406)</f>
        <v>Electronics</v>
      </c>
      <c r="E3406" t="s">
        <v>104</v>
      </c>
      <c r="F3406" t="s">
        <v>105</v>
      </c>
      <c r="G3406">
        <v>1</v>
      </c>
      <c r="H3406">
        <v>29.99</v>
      </c>
      <c r="I3406" s="7">
        <f>IF(Transactions!I3406="",0,Transactions!I3406)</f>
        <v>0</v>
      </c>
      <c r="J3406" s="9">
        <f t="shared" si="53"/>
        <v>29.99</v>
      </c>
      <c r="K3406" t="s">
        <v>16</v>
      </c>
      <c r="L3406" t="s">
        <v>37</v>
      </c>
      <c r="M3406" t="str">
        <f>REPLACE(Transactions!M3406,1,4,"")</f>
        <v>14</v>
      </c>
    </row>
    <row r="3407" spans="1:13" x14ac:dyDescent="0.2">
      <c r="A3407">
        <v>663200</v>
      </c>
      <c r="B3407" s="5">
        <v>45219</v>
      </c>
      <c r="C3407">
        <v>64317</v>
      </c>
      <c r="D3407" t="str">
        <f>PROPER(Transactions!D3407)</f>
        <v>Home &amp; Garden</v>
      </c>
      <c r="E3407" t="s">
        <v>86</v>
      </c>
      <c r="F3407" t="s">
        <v>87</v>
      </c>
      <c r="G3407">
        <v>5</v>
      </c>
      <c r="H3407">
        <v>12.99</v>
      </c>
      <c r="I3407" s="7">
        <f>IF(Transactions!I3407="",0,Transactions!I3407)</f>
        <v>0</v>
      </c>
      <c r="J3407" s="9">
        <f t="shared" si="53"/>
        <v>64.95</v>
      </c>
      <c r="K3407" t="s">
        <v>32</v>
      </c>
      <c r="L3407" t="s">
        <v>17</v>
      </c>
      <c r="M3407" t="str">
        <f>REPLACE(Transactions!M3407,1,4,"")</f>
        <v>12</v>
      </c>
    </row>
    <row r="3408" spans="1:13" x14ac:dyDescent="0.2">
      <c r="A3408">
        <v>663535</v>
      </c>
      <c r="B3408" s="5">
        <v>45162</v>
      </c>
      <c r="C3408">
        <v>95564</v>
      </c>
      <c r="D3408" t="str">
        <f>PROPER(Transactions!D3408)</f>
        <v>Clothing</v>
      </c>
      <c r="E3408" t="s">
        <v>141</v>
      </c>
      <c r="F3408" t="s">
        <v>142</v>
      </c>
      <c r="G3408">
        <v>5</v>
      </c>
      <c r="H3408">
        <v>21.84</v>
      </c>
      <c r="I3408" s="7">
        <f>IF(Transactions!I3408="",0,Transactions!I3408)</f>
        <v>0.05</v>
      </c>
      <c r="J3408" s="9">
        <f t="shared" si="53"/>
        <v>103.74</v>
      </c>
      <c r="K3408" t="s">
        <v>36</v>
      </c>
      <c r="L3408" t="s">
        <v>17</v>
      </c>
      <c r="M3408" t="str">
        <f>REPLACE(Transactions!M3408,1,4,"")</f>
        <v>7</v>
      </c>
    </row>
    <row r="3409" spans="1:13" x14ac:dyDescent="0.2">
      <c r="A3409">
        <v>663997</v>
      </c>
      <c r="B3409" s="5">
        <v>45406</v>
      </c>
      <c r="C3409">
        <v>59356</v>
      </c>
      <c r="D3409" t="str">
        <f>PROPER(Transactions!D3409)</f>
        <v>Furniture</v>
      </c>
      <c r="E3409" t="s">
        <v>51</v>
      </c>
      <c r="F3409" t="s">
        <v>52</v>
      </c>
      <c r="G3409">
        <v>4</v>
      </c>
      <c r="H3409">
        <v>22.39</v>
      </c>
      <c r="I3409" s="7">
        <f>IF(Transactions!I3409="",0,Transactions!I3409)</f>
        <v>0.2</v>
      </c>
      <c r="J3409" s="9">
        <f t="shared" si="53"/>
        <v>71.64800000000001</v>
      </c>
      <c r="K3409" t="s">
        <v>95</v>
      </c>
      <c r="L3409" t="s">
        <v>23</v>
      </c>
      <c r="M3409" t="str">
        <f>REPLACE(Transactions!M3409,1,4,"")</f>
        <v>7</v>
      </c>
    </row>
    <row r="3410" spans="1:13" x14ac:dyDescent="0.2">
      <c r="A3410">
        <v>664198</v>
      </c>
      <c r="B3410" s="5">
        <v>44674</v>
      </c>
      <c r="C3410">
        <v>46388</v>
      </c>
      <c r="D3410" t="str">
        <f>PROPER(Transactions!D3410)</f>
        <v>Beauty</v>
      </c>
      <c r="E3410" t="s">
        <v>118</v>
      </c>
      <c r="F3410" t="s">
        <v>119</v>
      </c>
      <c r="G3410">
        <v>2</v>
      </c>
      <c r="H3410">
        <v>4.24</v>
      </c>
      <c r="I3410" s="7">
        <f>IF(Transactions!I3410="",0,Transactions!I3410)</f>
        <v>0.15</v>
      </c>
      <c r="J3410" s="9">
        <f t="shared" si="53"/>
        <v>7.2080000000000002</v>
      </c>
      <c r="K3410" t="s">
        <v>53</v>
      </c>
      <c r="L3410" t="s">
        <v>17</v>
      </c>
      <c r="M3410" t="str">
        <f>REPLACE(Transactions!M3410,1,4,"")</f>
        <v>1</v>
      </c>
    </row>
    <row r="3411" spans="1:13" x14ac:dyDescent="0.2">
      <c r="A3411">
        <v>664315</v>
      </c>
      <c r="B3411" s="5">
        <v>45630</v>
      </c>
      <c r="C3411">
        <v>87656</v>
      </c>
      <c r="D3411" t="str">
        <f>PROPER(Transactions!D3411)</f>
        <v>Beauty</v>
      </c>
      <c r="E3411" t="s">
        <v>143</v>
      </c>
      <c r="F3411" t="s">
        <v>144</v>
      </c>
      <c r="G3411">
        <v>2</v>
      </c>
      <c r="H3411">
        <v>13.49</v>
      </c>
      <c r="I3411" s="7">
        <f>IF(Transactions!I3411="",0,Transactions!I3411)</f>
        <v>0.1</v>
      </c>
      <c r="J3411" s="9">
        <f t="shared" si="53"/>
        <v>24.282</v>
      </c>
      <c r="K3411" t="s">
        <v>32</v>
      </c>
      <c r="L3411" t="s">
        <v>17</v>
      </c>
      <c r="M3411" t="str">
        <f>REPLACE(Transactions!M3411,1,4,"")</f>
        <v>20</v>
      </c>
    </row>
    <row r="3412" spans="1:13" x14ac:dyDescent="0.2">
      <c r="A3412">
        <v>664476</v>
      </c>
      <c r="B3412" s="5">
        <v>45609</v>
      </c>
      <c r="C3412">
        <v>75470</v>
      </c>
      <c r="D3412" t="str">
        <f>PROPER(Transactions!D3412)</f>
        <v>Sports</v>
      </c>
      <c r="E3412" t="s">
        <v>155</v>
      </c>
      <c r="F3412" t="s">
        <v>156</v>
      </c>
      <c r="G3412">
        <v>3</v>
      </c>
      <c r="H3412">
        <v>19.989999999999998</v>
      </c>
      <c r="I3412" s="7">
        <f>IF(Transactions!I3412="",0,Transactions!I3412)</f>
        <v>0</v>
      </c>
      <c r="J3412" s="9">
        <f t="shared" si="53"/>
        <v>59.97</v>
      </c>
      <c r="K3412" t="s">
        <v>36</v>
      </c>
      <c r="L3412" t="s">
        <v>17</v>
      </c>
      <c r="M3412" t="str">
        <f>REPLACE(Transactions!M3412,1,4,"")</f>
        <v>17</v>
      </c>
    </row>
    <row r="3413" spans="1:13" x14ac:dyDescent="0.2">
      <c r="A3413">
        <v>664763</v>
      </c>
      <c r="B3413" s="5">
        <v>45268</v>
      </c>
      <c r="C3413">
        <v>25349</v>
      </c>
      <c r="D3413" t="str">
        <f>PROPER(Transactions!D3413)</f>
        <v>Furniture</v>
      </c>
      <c r="E3413" t="s">
        <v>70</v>
      </c>
      <c r="F3413" t="s">
        <v>71</v>
      </c>
      <c r="G3413">
        <v>1</v>
      </c>
      <c r="H3413">
        <v>71.989999999999995</v>
      </c>
      <c r="I3413" s="7">
        <f>IF(Transactions!I3413="",0,Transactions!I3413)</f>
        <v>0.2</v>
      </c>
      <c r="J3413" s="9">
        <f t="shared" si="53"/>
        <v>57.591999999999999</v>
      </c>
      <c r="K3413" t="s">
        <v>16</v>
      </c>
      <c r="L3413" t="s">
        <v>17</v>
      </c>
      <c r="M3413" t="str">
        <f>REPLACE(Transactions!M3413,1,4,"")</f>
        <v>20</v>
      </c>
    </row>
    <row r="3414" spans="1:13" x14ac:dyDescent="0.2">
      <c r="A3414">
        <v>664824</v>
      </c>
      <c r="B3414" s="5">
        <v>44743</v>
      </c>
      <c r="D3414" t="str">
        <f>PROPER(Transactions!D3414)</f>
        <v>Home &amp; Garden</v>
      </c>
      <c r="E3414" t="s">
        <v>153</v>
      </c>
      <c r="F3414" t="s">
        <v>154</v>
      </c>
      <c r="G3414">
        <v>2</v>
      </c>
      <c r="H3414">
        <v>25.49</v>
      </c>
      <c r="I3414" s="7">
        <f>IF(Transactions!I3414="",0,Transactions!I3414)</f>
        <v>0.15</v>
      </c>
      <c r="J3414" s="9">
        <f t="shared" si="53"/>
        <v>43.332999999999998</v>
      </c>
      <c r="K3414" t="s">
        <v>53</v>
      </c>
      <c r="L3414" t="s">
        <v>17</v>
      </c>
      <c r="M3414" t="str">
        <f>REPLACE(Transactions!M3414,1,4,"")</f>
        <v>3</v>
      </c>
    </row>
    <row r="3415" spans="1:13" x14ac:dyDescent="0.2">
      <c r="A3415">
        <v>664923</v>
      </c>
      <c r="B3415" s="5">
        <v>45093</v>
      </c>
      <c r="C3415">
        <v>38681</v>
      </c>
      <c r="D3415" t="str">
        <f>PROPER(Transactions!D3415)</f>
        <v>Electronics</v>
      </c>
      <c r="E3415" t="s">
        <v>127</v>
      </c>
      <c r="F3415" t="s">
        <v>128</v>
      </c>
      <c r="G3415">
        <v>3</v>
      </c>
      <c r="H3415">
        <v>19.989999999999998</v>
      </c>
      <c r="I3415" s="7">
        <f>IF(Transactions!I3415="",0,Transactions!I3415)</f>
        <v>0</v>
      </c>
      <c r="J3415" s="9">
        <f t="shared" si="53"/>
        <v>59.97</v>
      </c>
      <c r="K3415" t="s">
        <v>16</v>
      </c>
      <c r="L3415" t="s">
        <v>17</v>
      </c>
      <c r="M3415" t="str">
        <f>REPLACE(Transactions!M3415,1,4,"")</f>
        <v>10</v>
      </c>
    </row>
    <row r="3416" spans="1:13" x14ac:dyDescent="0.2">
      <c r="A3416">
        <v>665073</v>
      </c>
      <c r="B3416" s="5">
        <v>44667</v>
      </c>
      <c r="C3416">
        <v>88571</v>
      </c>
      <c r="D3416" t="str">
        <f>PROPER(Transactions!D3416)</f>
        <v>Grocery</v>
      </c>
      <c r="E3416" t="s">
        <v>184</v>
      </c>
      <c r="F3416" t="s">
        <v>185</v>
      </c>
      <c r="G3416">
        <v>5</v>
      </c>
      <c r="H3416">
        <v>5.49</v>
      </c>
      <c r="I3416" s="7">
        <f>IF(Transactions!I3416="",0,Transactions!I3416)</f>
        <v>0</v>
      </c>
      <c r="J3416" s="9">
        <f t="shared" si="53"/>
        <v>27.450000000000003</v>
      </c>
      <c r="K3416" t="s">
        <v>36</v>
      </c>
      <c r="L3416" t="s">
        <v>37</v>
      </c>
      <c r="M3416" t="str">
        <f>REPLACE(Transactions!M3416,1,4,"")</f>
        <v>9</v>
      </c>
    </row>
    <row r="3417" spans="1:13" x14ac:dyDescent="0.2">
      <c r="A3417">
        <v>665163</v>
      </c>
      <c r="B3417" s="5">
        <v>44692</v>
      </c>
      <c r="C3417">
        <v>37192</v>
      </c>
      <c r="D3417" t="str">
        <f>PROPER(Transactions!D3417)</f>
        <v>Automotive</v>
      </c>
      <c r="E3417" t="s">
        <v>125</v>
      </c>
      <c r="F3417" t="s">
        <v>126</v>
      </c>
      <c r="G3417">
        <v>4</v>
      </c>
      <c r="H3417">
        <v>20.99</v>
      </c>
      <c r="I3417" s="7">
        <f>IF(Transactions!I3417="",0,Transactions!I3417)</f>
        <v>0.3</v>
      </c>
      <c r="J3417" s="9">
        <f t="shared" si="53"/>
        <v>58.771999999999991</v>
      </c>
      <c r="K3417" t="s">
        <v>16</v>
      </c>
      <c r="L3417" t="s">
        <v>37</v>
      </c>
      <c r="M3417" t="str">
        <f>REPLACE(Transactions!M3417,1,4,"")</f>
        <v>12</v>
      </c>
    </row>
    <row r="3418" spans="1:13" x14ac:dyDescent="0.2">
      <c r="A3418">
        <v>665287</v>
      </c>
      <c r="B3418" s="5">
        <v>45311</v>
      </c>
      <c r="C3418">
        <v>43303</v>
      </c>
      <c r="D3418" t="str">
        <f>PROPER(Transactions!D3418)</f>
        <v>Electronics</v>
      </c>
      <c r="E3418" t="s">
        <v>55</v>
      </c>
      <c r="F3418" t="s">
        <v>56</v>
      </c>
      <c r="G3418">
        <v>2</v>
      </c>
      <c r="H3418">
        <v>296.99</v>
      </c>
      <c r="I3418" s="7">
        <f>IF(Transactions!I3418="",0,Transactions!I3418)</f>
        <v>0.1</v>
      </c>
      <c r="J3418" s="9">
        <f t="shared" si="53"/>
        <v>534.58199999999999</v>
      </c>
      <c r="K3418" t="s">
        <v>66</v>
      </c>
      <c r="L3418" t="s">
        <v>17</v>
      </c>
      <c r="M3418" t="str">
        <f>REPLACE(Transactions!M3418,1,4,"")</f>
        <v>5</v>
      </c>
    </row>
    <row r="3419" spans="1:13" x14ac:dyDescent="0.2">
      <c r="A3419">
        <v>665400</v>
      </c>
      <c r="B3419" s="5">
        <v>45057</v>
      </c>
      <c r="C3419">
        <v>52977</v>
      </c>
      <c r="D3419" t="str">
        <f>PROPER(Transactions!D3419)</f>
        <v>Furniture</v>
      </c>
      <c r="E3419" t="s">
        <v>70</v>
      </c>
      <c r="F3419" t="s">
        <v>71</v>
      </c>
      <c r="G3419">
        <v>5</v>
      </c>
      <c r="H3419">
        <v>89.99</v>
      </c>
      <c r="I3419" s="7">
        <f>IF(Transactions!I3419="",0,Transactions!I3419)</f>
        <v>0</v>
      </c>
      <c r="J3419" s="9">
        <f t="shared" si="53"/>
        <v>449.95</v>
      </c>
      <c r="K3419" t="s">
        <v>36</v>
      </c>
      <c r="L3419" t="s">
        <v>37</v>
      </c>
      <c r="M3419" t="str">
        <f>REPLACE(Transactions!M3419,1,4,"")</f>
        <v>6</v>
      </c>
    </row>
    <row r="3420" spans="1:13" x14ac:dyDescent="0.2">
      <c r="A3420">
        <v>665594</v>
      </c>
      <c r="B3420" s="5">
        <v>45031</v>
      </c>
      <c r="C3420">
        <v>24507</v>
      </c>
      <c r="D3420" t="str">
        <f>PROPER(Transactions!D3420)</f>
        <v>Sports</v>
      </c>
      <c r="E3420" t="s">
        <v>100</v>
      </c>
      <c r="F3420" t="s">
        <v>101</v>
      </c>
      <c r="G3420">
        <v>4</v>
      </c>
      <c r="H3420">
        <v>20.69</v>
      </c>
      <c r="I3420" s="7">
        <f>IF(Transactions!I3420="",0,Transactions!I3420)</f>
        <v>0.1</v>
      </c>
      <c r="J3420" s="9">
        <f t="shared" si="53"/>
        <v>74.484000000000009</v>
      </c>
      <c r="K3420" t="s">
        <v>53</v>
      </c>
      <c r="L3420" t="s">
        <v>17</v>
      </c>
      <c r="M3420" t="str">
        <f>REPLACE(Transactions!M3420,1,4,"")</f>
        <v>2</v>
      </c>
    </row>
    <row r="3421" spans="1:13" x14ac:dyDescent="0.2">
      <c r="A3421">
        <v>665877</v>
      </c>
      <c r="B3421" s="5">
        <v>45135</v>
      </c>
      <c r="C3421">
        <v>75509</v>
      </c>
      <c r="D3421" t="str">
        <f>PROPER(Transactions!D3421)</f>
        <v>Sports</v>
      </c>
      <c r="E3421" t="s">
        <v>155</v>
      </c>
      <c r="F3421" t="s">
        <v>156</v>
      </c>
      <c r="G3421">
        <v>2</v>
      </c>
      <c r="H3421">
        <v>16.989999999999998</v>
      </c>
      <c r="I3421" s="7">
        <f>IF(Transactions!I3421="",0,Transactions!I3421)</f>
        <v>0.15</v>
      </c>
      <c r="J3421" s="9">
        <f t="shared" si="53"/>
        <v>28.882999999999996</v>
      </c>
      <c r="K3421" t="s">
        <v>53</v>
      </c>
      <c r="L3421" t="s">
        <v>17</v>
      </c>
      <c r="M3421" t="str">
        <f>REPLACE(Transactions!M3421,1,4,"")</f>
        <v>12</v>
      </c>
    </row>
    <row r="3422" spans="1:13" x14ac:dyDescent="0.2">
      <c r="A3422">
        <v>665979</v>
      </c>
      <c r="B3422" s="5">
        <v>44652</v>
      </c>
      <c r="C3422">
        <v>76046</v>
      </c>
      <c r="D3422" t="str">
        <f>PROPER(Transactions!D3422)</f>
        <v>Furniture</v>
      </c>
      <c r="E3422" t="s">
        <v>26</v>
      </c>
      <c r="F3422" t="s">
        <v>27</v>
      </c>
      <c r="G3422">
        <v>2</v>
      </c>
      <c r="H3422">
        <v>27.99</v>
      </c>
      <c r="I3422" s="7">
        <f>IF(Transactions!I3422="",0,Transactions!I3422)</f>
        <v>0.2</v>
      </c>
      <c r="J3422" s="9">
        <f t="shared" si="53"/>
        <v>44.783999999999999</v>
      </c>
      <c r="K3422" t="s">
        <v>16</v>
      </c>
      <c r="L3422" t="s">
        <v>37</v>
      </c>
      <c r="M3422" t="str">
        <f>REPLACE(Transactions!M3422,1,4,"")</f>
        <v>14</v>
      </c>
    </row>
    <row r="3423" spans="1:13" x14ac:dyDescent="0.2">
      <c r="A3423">
        <v>666057</v>
      </c>
      <c r="B3423" s="5">
        <v>45274</v>
      </c>
      <c r="C3423">
        <v>39351</v>
      </c>
      <c r="D3423" t="str">
        <f>PROPER(Transactions!D3423)</f>
        <v>Pharmacy</v>
      </c>
      <c r="E3423" t="s">
        <v>58</v>
      </c>
      <c r="F3423" t="s">
        <v>59</v>
      </c>
      <c r="G3423">
        <v>2</v>
      </c>
      <c r="H3423">
        <v>3.99</v>
      </c>
      <c r="I3423" s="7">
        <f>IF(Transactions!I3423="",0,Transactions!I3423)</f>
        <v>0</v>
      </c>
      <c r="J3423" s="9">
        <f t="shared" si="53"/>
        <v>7.98</v>
      </c>
      <c r="K3423" t="s">
        <v>22</v>
      </c>
      <c r="L3423" t="s">
        <v>17</v>
      </c>
      <c r="M3423" t="str">
        <f>REPLACE(Transactions!M3423,1,4,"")</f>
        <v>11</v>
      </c>
    </row>
    <row r="3424" spans="1:13" x14ac:dyDescent="0.2">
      <c r="A3424">
        <v>666076</v>
      </c>
      <c r="B3424" s="5">
        <v>45586</v>
      </c>
      <c r="C3424">
        <v>60231</v>
      </c>
      <c r="D3424" t="str">
        <f>PROPER(Transactions!D3424)</f>
        <v>Automotive</v>
      </c>
      <c r="E3424" t="s">
        <v>68</v>
      </c>
      <c r="F3424" t="s">
        <v>69</v>
      </c>
      <c r="G3424">
        <v>5</v>
      </c>
      <c r="H3424">
        <v>22.49</v>
      </c>
      <c r="I3424" s="7">
        <f>IF(Transactions!I3424="",0,Transactions!I3424)</f>
        <v>0.1</v>
      </c>
      <c r="J3424" s="9">
        <f t="shared" si="53"/>
        <v>101.205</v>
      </c>
      <c r="K3424" t="s">
        <v>16</v>
      </c>
      <c r="L3424" t="s">
        <v>37</v>
      </c>
      <c r="M3424" t="str">
        <f>REPLACE(Transactions!M3424,1,4,"")</f>
        <v>20</v>
      </c>
    </row>
    <row r="3425" spans="1:13" x14ac:dyDescent="0.2">
      <c r="A3425">
        <v>666225</v>
      </c>
      <c r="B3425" s="5">
        <v>45340</v>
      </c>
      <c r="C3425">
        <v>93136</v>
      </c>
      <c r="D3425" t="str">
        <f>PROPER(Transactions!D3425)</f>
        <v>Furniture</v>
      </c>
      <c r="E3425" t="s">
        <v>70</v>
      </c>
      <c r="F3425" t="s">
        <v>71</v>
      </c>
      <c r="G3425">
        <v>1</v>
      </c>
      <c r="H3425">
        <v>62.99</v>
      </c>
      <c r="I3425" s="7">
        <f>IF(Transactions!I3425="",0,Transactions!I3425)</f>
        <v>0.3</v>
      </c>
      <c r="J3425" s="9">
        <f t="shared" si="53"/>
        <v>44.092999999999996</v>
      </c>
      <c r="K3425" t="s">
        <v>16</v>
      </c>
      <c r="L3425" t="s">
        <v>17</v>
      </c>
      <c r="M3425" t="str">
        <f>REPLACE(Transactions!M3425,1,4,"")</f>
        <v>1</v>
      </c>
    </row>
    <row r="3426" spans="1:13" x14ac:dyDescent="0.2">
      <c r="A3426">
        <v>666362</v>
      </c>
      <c r="B3426" s="5">
        <v>44852</v>
      </c>
      <c r="C3426">
        <v>54208</v>
      </c>
      <c r="D3426" t="str">
        <f>PROPER(Transactions!D3426)</f>
        <v>Furniture</v>
      </c>
      <c r="E3426" t="s">
        <v>51</v>
      </c>
      <c r="F3426" t="s">
        <v>52</v>
      </c>
      <c r="G3426">
        <v>1</v>
      </c>
      <c r="H3426">
        <v>19.59</v>
      </c>
      <c r="I3426" s="7">
        <f>IF(Transactions!I3426="",0,Transactions!I3426)</f>
        <v>0.3</v>
      </c>
      <c r="J3426" s="9">
        <f t="shared" si="53"/>
        <v>13.712999999999999</v>
      </c>
      <c r="K3426" t="s">
        <v>16</v>
      </c>
      <c r="L3426" t="s">
        <v>17</v>
      </c>
      <c r="M3426" t="str">
        <f>REPLACE(Transactions!M3426,1,4,"")</f>
        <v>1</v>
      </c>
    </row>
    <row r="3427" spans="1:13" x14ac:dyDescent="0.2">
      <c r="A3427">
        <v>666432</v>
      </c>
      <c r="B3427" s="5">
        <v>45172</v>
      </c>
      <c r="C3427">
        <v>68239</v>
      </c>
      <c r="D3427" t="str">
        <f>PROPER(Transactions!D3427)</f>
        <v>Home &amp; Garden</v>
      </c>
      <c r="E3427" t="s">
        <v>137</v>
      </c>
      <c r="F3427" t="s">
        <v>138</v>
      </c>
      <c r="G3427">
        <v>5</v>
      </c>
      <c r="H3427">
        <v>6.39</v>
      </c>
      <c r="I3427" s="7">
        <f>IF(Transactions!I3427="",0,Transactions!I3427)</f>
        <v>0.2</v>
      </c>
      <c r="J3427" s="9">
        <f t="shared" si="53"/>
        <v>25.560000000000002</v>
      </c>
      <c r="K3427" t="s">
        <v>36</v>
      </c>
      <c r="L3427" t="s">
        <v>17</v>
      </c>
      <c r="M3427" t="str">
        <f>REPLACE(Transactions!M3427,1,4,"")</f>
        <v>16</v>
      </c>
    </row>
    <row r="3428" spans="1:13" x14ac:dyDescent="0.2">
      <c r="A3428">
        <v>666551</v>
      </c>
      <c r="B3428" s="5">
        <v>45297</v>
      </c>
      <c r="C3428">
        <v>29669</v>
      </c>
      <c r="D3428" t="str">
        <f>PROPER(Transactions!D3428)</f>
        <v>Grocery</v>
      </c>
      <c r="E3428" t="s">
        <v>177</v>
      </c>
      <c r="F3428" t="s">
        <v>178</v>
      </c>
      <c r="G3428">
        <v>3</v>
      </c>
      <c r="H3428">
        <v>10.19</v>
      </c>
      <c r="I3428" s="7">
        <f>IF(Transactions!I3428="",0,Transactions!I3428)</f>
        <v>0.15</v>
      </c>
      <c r="J3428" s="9">
        <f t="shared" si="53"/>
        <v>25.984500000000001</v>
      </c>
      <c r="K3428" t="s">
        <v>95</v>
      </c>
      <c r="L3428" t="s">
        <v>17</v>
      </c>
      <c r="M3428" t="str">
        <f>REPLACE(Transactions!M3428,1,4,"")</f>
        <v>6</v>
      </c>
    </row>
    <row r="3429" spans="1:13" x14ac:dyDescent="0.2">
      <c r="A3429">
        <v>667152</v>
      </c>
      <c r="B3429" s="5">
        <v>45089</v>
      </c>
      <c r="C3429">
        <v>56290</v>
      </c>
      <c r="D3429" t="str">
        <f>PROPER(Transactions!D3429)</f>
        <v>Toys</v>
      </c>
      <c r="E3429" t="s">
        <v>72</v>
      </c>
      <c r="F3429" t="s">
        <v>73</v>
      </c>
      <c r="G3429">
        <v>5</v>
      </c>
      <c r="H3429">
        <v>37.99</v>
      </c>
      <c r="I3429" s="7">
        <f>IF(Transactions!I3429="",0,Transactions!I3429)</f>
        <v>0.05</v>
      </c>
      <c r="J3429" s="9">
        <f t="shared" si="53"/>
        <v>180.45250000000001</v>
      </c>
      <c r="K3429" t="s">
        <v>16</v>
      </c>
      <c r="L3429" t="s">
        <v>17</v>
      </c>
      <c r="M3429" t="str">
        <f>REPLACE(Transactions!M3429,1,4,"")</f>
        <v>3</v>
      </c>
    </row>
    <row r="3430" spans="1:13" x14ac:dyDescent="0.2">
      <c r="A3430">
        <v>667423</v>
      </c>
      <c r="B3430" s="5">
        <v>44564</v>
      </c>
      <c r="D3430" t="str">
        <f>PROPER(Transactions!D3430)</f>
        <v>Grocery</v>
      </c>
      <c r="E3430" t="s">
        <v>162</v>
      </c>
      <c r="F3430" t="s">
        <v>163</v>
      </c>
      <c r="G3430">
        <v>1</v>
      </c>
      <c r="H3430">
        <v>5.99</v>
      </c>
      <c r="I3430" s="7">
        <f>IF(Transactions!I3430="",0,Transactions!I3430)</f>
        <v>0.25</v>
      </c>
      <c r="J3430" s="9">
        <f t="shared" si="53"/>
        <v>4.4924999999999997</v>
      </c>
      <c r="K3430" t="s">
        <v>22</v>
      </c>
      <c r="L3430" t="s">
        <v>23</v>
      </c>
      <c r="M3430" t="str">
        <f>REPLACE(Transactions!M3430,1,4,"")</f>
        <v>15</v>
      </c>
    </row>
    <row r="3431" spans="1:13" x14ac:dyDescent="0.2">
      <c r="A3431">
        <v>667453</v>
      </c>
      <c r="B3431" s="5">
        <v>45081</v>
      </c>
      <c r="D3431" t="str">
        <f>PROPER(Transactions!D3431)</f>
        <v>Toys</v>
      </c>
      <c r="E3431" t="s">
        <v>175</v>
      </c>
      <c r="F3431" t="s">
        <v>176</v>
      </c>
      <c r="G3431">
        <v>3</v>
      </c>
      <c r="H3431">
        <v>10.79</v>
      </c>
      <c r="I3431" s="7">
        <f>IF(Transactions!I3431="",0,Transactions!I3431)</f>
        <v>0.1</v>
      </c>
      <c r="J3431" s="9">
        <f t="shared" si="53"/>
        <v>29.132999999999999</v>
      </c>
      <c r="K3431" t="s">
        <v>36</v>
      </c>
      <c r="L3431" t="s">
        <v>37</v>
      </c>
      <c r="M3431" t="str">
        <f>REPLACE(Transactions!M3431,1,4,"")</f>
        <v>16</v>
      </c>
    </row>
    <row r="3432" spans="1:13" x14ac:dyDescent="0.2">
      <c r="A3432">
        <v>667607</v>
      </c>
      <c r="B3432" s="5">
        <v>44612</v>
      </c>
      <c r="C3432">
        <v>21092</v>
      </c>
      <c r="D3432" t="str">
        <f>PROPER(Transactions!D3432)</f>
        <v>Clothing</v>
      </c>
      <c r="E3432" t="s">
        <v>141</v>
      </c>
      <c r="F3432" t="s">
        <v>142</v>
      </c>
      <c r="G3432">
        <v>1</v>
      </c>
      <c r="H3432">
        <v>22.99</v>
      </c>
      <c r="I3432" s="7">
        <f>IF(Transactions!I3432="",0,Transactions!I3432)</f>
        <v>0</v>
      </c>
      <c r="J3432" s="9">
        <f t="shared" si="53"/>
        <v>22.99</v>
      </c>
      <c r="K3432" t="s">
        <v>36</v>
      </c>
      <c r="L3432" t="s">
        <v>17</v>
      </c>
      <c r="M3432" t="str">
        <f>REPLACE(Transactions!M3432,1,4,"")</f>
        <v>7</v>
      </c>
    </row>
    <row r="3433" spans="1:13" x14ac:dyDescent="0.2">
      <c r="A3433">
        <v>667851</v>
      </c>
      <c r="B3433" s="5">
        <v>44575</v>
      </c>
      <c r="D3433" t="str">
        <f>PROPER(Transactions!D3433)</f>
        <v>Automotive</v>
      </c>
      <c r="E3433" t="s">
        <v>131</v>
      </c>
      <c r="F3433" t="s">
        <v>132</v>
      </c>
      <c r="G3433">
        <v>1</v>
      </c>
      <c r="H3433">
        <v>2.79</v>
      </c>
      <c r="I3433" s="7">
        <f>IF(Transactions!I3433="",0,Transactions!I3433)</f>
        <v>0.2</v>
      </c>
      <c r="J3433" s="9">
        <f t="shared" si="53"/>
        <v>2.2320000000000002</v>
      </c>
      <c r="K3433" t="s">
        <v>53</v>
      </c>
      <c r="L3433" t="s">
        <v>37</v>
      </c>
      <c r="M3433" t="str">
        <f>REPLACE(Transactions!M3433,1,4,"")</f>
        <v>15</v>
      </c>
    </row>
    <row r="3434" spans="1:13" x14ac:dyDescent="0.2">
      <c r="A3434">
        <v>668585</v>
      </c>
      <c r="B3434" s="5">
        <v>44841</v>
      </c>
      <c r="C3434">
        <v>73107</v>
      </c>
      <c r="D3434" t="str">
        <f>PROPER(Transactions!D3434)</f>
        <v>Pharmacy</v>
      </c>
      <c r="E3434" t="s">
        <v>115</v>
      </c>
      <c r="F3434" t="s">
        <v>116</v>
      </c>
      <c r="G3434">
        <v>1</v>
      </c>
      <c r="H3434">
        <v>10.39</v>
      </c>
      <c r="I3434" s="7">
        <f>IF(Transactions!I3434="",0,Transactions!I3434)</f>
        <v>0.2</v>
      </c>
      <c r="J3434" s="9">
        <f t="shared" si="53"/>
        <v>8.3120000000000012</v>
      </c>
      <c r="K3434" t="s">
        <v>36</v>
      </c>
      <c r="L3434" t="s">
        <v>37</v>
      </c>
      <c r="M3434" t="str">
        <f>REPLACE(Transactions!M3434,1,4,"")</f>
        <v>3</v>
      </c>
    </row>
    <row r="3435" spans="1:13" x14ac:dyDescent="0.2">
      <c r="A3435">
        <v>668664</v>
      </c>
      <c r="B3435" s="5">
        <v>44973</v>
      </c>
      <c r="C3435">
        <v>46047</v>
      </c>
      <c r="D3435" t="str">
        <f>PROPER(Transactions!D3435)</f>
        <v>Grocery</v>
      </c>
      <c r="E3435" t="s">
        <v>93</v>
      </c>
      <c r="F3435" t="s">
        <v>94</v>
      </c>
      <c r="G3435">
        <v>1</v>
      </c>
      <c r="H3435">
        <v>0.97</v>
      </c>
      <c r="I3435" s="7">
        <f>IF(Transactions!I3435="",0,Transactions!I3435)</f>
        <v>0.25</v>
      </c>
      <c r="J3435" s="9">
        <f t="shared" si="53"/>
        <v>0.72750000000000004</v>
      </c>
      <c r="K3435" t="s">
        <v>36</v>
      </c>
      <c r="L3435" t="s">
        <v>17</v>
      </c>
      <c r="M3435" t="str">
        <f>REPLACE(Transactions!M3435,1,4,"")</f>
        <v>5</v>
      </c>
    </row>
    <row r="3436" spans="1:13" x14ac:dyDescent="0.2">
      <c r="A3436">
        <v>668740</v>
      </c>
      <c r="B3436" s="5">
        <v>44582</v>
      </c>
      <c r="C3436">
        <v>32289</v>
      </c>
      <c r="D3436" t="str">
        <f>PROPER(Transactions!D3436)</f>
        <v>Grocery</v>
      </c>
      <c r="E3436" t="s">
        <v>184</v>
      </c>
      <c r="F3436" t="s">
        <v>185</v>
      </c>
      <c r="G3436">
        <v>1</v>
      </c>
      <c r="H3436">
        <v>4.12</v>
      </c>
      <c r="I3436" s="7">
        <f>IF(Transactions!I3436="",0,Transactions!I3436)</f>
        <v>0.25</v>
      </c>
      <c r="J3436" s="9">
        <f t="shared" si="53"/>
        <v>3.09</v>
      </c>
      <c r="K3436" t="s">
        <v>36</v>
      </c>
      <c r="L3436" t="s">
        <v>37</v>
      </c>
      <c r="M3436" t="str">
        <f>REPLACE(Transactions!M3436,1,4,"")</f>
        <v>5</v>
      </c>
    </row>
    <row r="3437" spans="1:13" x14ac:dyDescent="0.2">
      <c r="A3437">
        <v>669101</v>
      </c>
      <c r="B3437" s="5">
        <v>45578</v>
      </c>
      <c r="C3437">
        <v>92168</v>
      </c>
      <c r="D3437" t="str">
        <f>PROPER(Transactions!D3437)</f>
        <v>Toys</v>
      </c>
      <c r="E3437" t="s">
        <v>175</v>
      </c>
      <c r="F3437" t="s">
        <v>176</v>
      </c>
      <c r="G3437">
        <v>3</v>
      </c>
      <c r="H3437">
        <v>10.19</v>
      </c>
      <c r="I3437" s="7">
        <f>IF(Transactions!I3437="",0,Transactions!I3437)</f>
        <v>0.15</v>
      </c>
      <c r="J3437" s="9">
        <f t="shared" si="53"/>
        <v>25.984500000000001</v>
      </c>
      <c r="K3437" t="s">
        <v>22</v>
      </c>
      <c r="L3437" t="s">
        <v>37</v>
      </c>
      <c r="M3437" t="str">
        <f>REPLACE(Transactions!M3437,1,4,"")</f>
        <v>8</v>
      </c>
    </row>
    <row r="3438" spans="1:13" x14ac:dyDescent="0.2">
      <c r="A3438">
        <v>669128</v>
      </c>
      <c r="B3438" s="5">
        <v>44924</v>
      </c>
      <c r="C3438">
        <v>99165</v>
      </c>
      <c r="D3438" t="str">
        <f>PROPER(Transactions!D3438)</f>
        <v>Pharmacy</v>
      </c>
      <c r="E3438" t="s">
        <v>41</v>
      </c>
      <c r="F3438" t="s">
        <v>42</v>
      </c>
      <c r="G3438">
        <v>2</v>
      </c>
      <c r="H3438">
        <v>4.1900000000000004</v>
      </c>
      <c r="I3438" s="7">
        <f>IF(Transactions!I3438="",0,Transactions!I3438)</f>
        <v>0.3</v>
      </c>
      <c r="J3438" s="9">
        <f t="shared" si="53"/>
        <v>5.8660000000000005</v>
      </c>
      <c r="K3438" t="s">
        <v>22</v>
      </c>
      <c r="L3438" t="s">
        <v>17</v>
      </c>
      <c r="M3438" t="str">
        <f>REPLACE(Transactions!M3438,1,4,"")</f>
        <v>15</v>
      </c>
    </row>
    <row r="3439" spans="1:13" x14ac:dyDescent="0.2">
      <c r="A3439">
        <v>669346</v>
      </c>
      <c r="B3439" s="5">
        <v>45494</v>
      </c>
      <c r="C3439">
        <v>62930</v>
      </c>
      <c r="D3439" t="str">
        <f>PROPER(Transactions!D3439)</f>
        <v>Electronics</v>
      </c>
      <c r="E3439" t="s">
        <v>127</v>
      </c>
      <c r="F3439" t="s">
        <v>128</v>
      </c>
      <c r="G3439">
        <v>5</v>
      </c>
      <c r="H3439">
        <v>18.989999999999998</v>
      </c>
      <c r="I3439" s="7">
        <f>IF(Transactions!I3439="",0,Transactions!I3439)</f>
        <v>0</v>
      </c>
      <c r="J3439" s="9">
        <f t="shared" si="53"/>
        <v>94.949999999999989</v>
      </c>
      <c r="K3439" t="s">
        <v>16</v>
      </c>
      <c r="L3439" t="s">
        <v>23</v>
      </c>
      <c r="M3439" t="str">
        <f>REPLACE(Transactions!M3439,1,4,"")</f>
        <v>8</v>
      </c>
    </row>
    <row r="3440" spans="1:13" x14ac:dyDescent="0.2">
      <c r="A3440">
        <v>669488</v>
      </c>
      <c r="B3440" s="5">
        <v>44793</v>
      </c>
      <c r="C3440">
        <v>15453</v>
      </c>
      <c r="D3440" t="str">
        <f>PROPER(Transactions!D3440)</f>
        <v>Pharmacy</v>
      </c>
      <c r="E3440" t="s">
        <v>58</v>
      </c>
      <c r="F3440" t="s">
        <v>59</v>
      </c>
      <c r="G3440">
        <v>1</v>
      </c>
      <c r="H3440">
        <v>3.99</v>
      </c>
      <c r="I3440" s="7">
        <f>IF(Transactions!I3440="",0,Transactions!I3440)</f>
        <v>0</v>
      </c>
      <c r="J3440" s="9">
        <f t="shared" si="53"/>
        <v>3.99</v>
      </c>
      <c r="K3440" t="s">
        <v>32</v>
      </c>
      <c r="L3440" t="s">
        <v>17</v>
      </c>
      <c r="M3440" t="str">
        <f>REPLACE(Transactions!M3440,1,4,"")</f>
        <v>19</v>
      </c>
    </row>
    <row r="3441" spans="1:13" x14ac:dyDescent="0.2">
      <c r="A3441">
        <v>669552</v>
      </c>
      <c r="B3441" s="5">
        <v>45044</v>
      </c>
      <c r="C3441">
        <v>59094</v>
      </c>
      <c r="D3441" t="str">
        <f>PROPER(Transactions!D3441)</f>
        <v>Grocery</v>
      </c>
      <c r="E3441" t="s">
        <v>107</v>
      </c>
      <c r="F3441" t="s">
        <v>108</v>
      </c>
      <c r="G3441">
        <v>5</v>
      </c>
      <c r="H3441">
        <v>2.97</v>
      </c>
      <c r="I3441" s="7">
        <f>IF(Transactions!I3441="",0,Transactions!I3441)</f>
        <v>0.15</v>
      </c>
      <c r="J3441" s="9">
        <f t="shared" si="53"/>
        <v>12.6225</v>
      </c>
      <c r="K3441" t="s">
        <v>36</v>
      </c>
      <c r="L3441" t="s">
        <v>17</v>
      </c>
      <c r="M3441" t="str">
        <f>REPLACE(Transactions!M3441,1,4,"")</f>
        <v>17</v>
      </c>
    </row>
    <row r="3442" spans="1:13" x14ac:dyDescent="0.2">
      <c r="A3442">
        <v>669827</v>
      </c>
      <c r="B3442" s="5">
        <v>45268</v>
      </c>
      <c r="C3442">
        <v>41300</v>
      </c>
      <c r="D3442" t="str">
        <f>PROPER(Transactions!D3442)</f>
        <v>Pharmacy</v>
      </c>
      <c r="E3442" t="s">
        <v>58</v>
      </c>
      <c r="F3442" t="s">
        <v>59</v>
      </c>
      <c r="G3442">
        <v>2</v>
      </c>
      <c r="H3442">
        <v>3.39</v>
      </c>
      <c r="I3442" s="7">
        <f>IF(Transactions!I3442="",0,Transactions!I3442)</f>
        <v>0.15</v>
      </c>
      <c r="J3442" s="9">
        <f t="shared" si="53"/>
        <v>5.7629999999999999</v>
      </c>
      <c r="K3442" t="s">
        <v>53</v>
      </c>
      <c r="L3442" t="s">
        <v>23</v>
      </c>
      <c r="M3442" t="str">
        <f>REPLACE(Transactions!M3442,1,4,"")</f>
        <v>4</v>
      </c>
    </row>
    <row r="3443" spans="1:13" x14ac:dyDescent="0.2">
      <c r="A3443">
        <v>669874</v>
      </c>
      <c r="B3443" s="5">
        <v>44979</v>
      </c>
      <c r="C3443">
        <v>41755</v>
      </c>
      <c r="D3443" t="str">
        <f>PROPER(Transactions!D3443)</f>
        <v>Grocery</v>
      </c>
      <c r="E3443" t="s">
        <v>74</v>
      </c>
      <c r="F3443" t="s">
        <v>75</v>
      </c>
      <c r="G3443">
        <v>2</v>
      </c>
      <c r="H3443">
        <v>2.69</v>
      </c>
      <c r="I3443" s="7">
        <f>IF(Transactions!I3443="",0,Transactions!I3443)</f>
        <v>0.1</v>
      </c>
      <c r="J3443" s="9">
        <f t="shared" si="53"/>
        <v>4.8419999999999996</v>
      </c>
      <c r="K3443" t="s">
        <v>95</v>
      </c>
      <c r="L3443" t="s">
        <v>17</v>
      </c>
      <c r="M3443" t="str">
        <f>REPLACE(Transactions!M3443,1,4,"")</f>
        <v>18</v>
      </c>
    </row>
    <row r="3444" spans="1:13" x14ac:dyDescent="0.2">
      <c r="A3444">
        <v>670006</v>
      </c>
      <c r="B3444" s="5">
        <v>45346</v>
      </c>
      <c r="C3444">
        <v>34979</v>
      </c>
      <c r="D3444" t="str">
        <f>PROPER(Transactions!D3444)</f>
        <v>Pharmacy</v>
      </c>
      <c r="E3444" t="s">
        <v>41</v>
      </c>
      <c r="F3444" t="s">
        <v>42</v>
      </c>
      <c r="G3444">
        <v>2</v>
      </c>
      <c r="H3444">
        <v>5.99</v>
      </c>
      <c r="I3444" s="7">
        <f>IF(Transactions!I3444="",0,Transactions!I3444)</f>
        <v>0</v>
      </c>
      <c r="J3444" s="9">
        <f t="shared" si="53"/>
        <v>11.98</v>
      </c>
      <c r="K3444" t="s">
        <v>36</v>
      </c>
      <c r="L3444" t="s">
        <v>17</v>
      </c>
      <c r="M3444" t="str">
        <f>REPLACE(Transactions!M3444,1,4,"")</f>
        <v>20</v>
      </c>
    </row>
    <row r="3445" spans="1:13" x14ac:dyDescent="0.2">
      <c r="A3445">
        <v>670095</v>
      </c>
      <c r="B3445" s="5">
        <v>44745</v>
      </c>
      <c r="C3445">
        <v>50534</v>
      </c>
      <c r="D3445" t="str">
        <f>PROPER(Transactions!D3445)</f>
        <v>Sports</v>
      </c>
      <c r="E3445" t="s">
        <v>83</v>
      </c>
      <c r="F3445" t="s">
        <v>84</v>
      </c>
      <c r="G3445">
        <v>2</v>
      </c>
      <c r="H3445">
        <v>16.989999999999998</v>
      </c>
      <c r="I3445" s="7">
        <f>IF(Transactions!I3445="",0,Transactions!I3445)</f>
        <v>0</v>
      </c>
      <c r="J3445" s="9">
        <f t="shared" si="53"/>
        <v>33.979999999999997</v>
      </c>
      <c r="K3445" t="s">
        <v>36</v>
      </c>
      <c r="L3445" t="s">
        <v>37</v>
      </c>
      <c r="M3445" t="str">
        <f>REPLACE(Transactions!M3445,1,4,"")</f>
        <v>7</v>
      </c>
    </row>
    <row r="3446" spans="1:13" x14ac:dyDescent="0.2">
      <c r="A3446">
        <v>670452</v>
      </c>
      <c r="B3446" s="5">
        <v>45524</v>
      </c>
      <c r="C3446">
        <v>37890</v>
      </c>
      <c r="D3446" t="str">
        <f>PROPER(Transactions!D3446)</f>
        <v>Sports</v>
      </c>
      <c r="E3446" t="s">
        <v>83</v>
      </c>
      <c r="F3446" t="s">
        <v>84</v>
      </c>
      <c r="G3446">
        <v>1</v>
      </c>
      <c r="H3446">
        <v>16.989999999999998</v>
      </c>
      <c r="I3446" s="7">
        <f>IF(Transactions!I3446="",0,Transactions!I3446)</f>
        <v>0</v>
      </c>
      <c r="J3446" s="9">
        <f t="shared" si="53"/>
        <v>16.989999999999998</v>
      </c>
      <c r="K3446" t="s">
        <v>16</v>
      </c>
      <c r="L3446" t="s">
        <v>37</v>
      </c>
      <c r="M3446" t="str">
        <f>REPLACE(Transactions!M3446,1,4,"")</f>
        <v>1</v>
      </c>
    </row>
    <row r="3447" spans="1:13" x14ac:dyDescent="0.2">
      <c r="A3447">
        <v>671123</v>
      </c>
      <c r="B3447" s="5">
        <v>44622</v>
      </c>
      <c r="D3447" t="str">
        <f>PROPER(Transactions!D3447)</f>
        <v>Beauty</v>
      </c>
      <c r="E3447" t="s">
        <v>139</v>
      </c>
      <c r="F3447" t="s">
        <v>140</v>
      </c>
      <c r="G3447">
        <v>3</v>
      </c>
      <c r="H3447">
        <v>6.39</v>
      </c>
      <c r="I3447" s="7">
        <f>IF(Transactions!I3447="",0,Transactions!I3447)</f>
        <v>0.2</v>
      </c>
      <c r="J3447" s="9">
        <f t="shared" si="53"/>
        <v>15.335999999999999</v>
      </c>
      <c r="K3447" t="s">
        <v>36</v>
      </c>
      <c r="L3447" t="s">
        <v>17</v>
      </c>
      <c r="M3447" t="str">
        <f>REPLACE(Transactions!M3447,1,4,"")</f>
        <v>16</v>
      </c>
    </row>
    <row r="3448" spans="1:13" x14ac:dyDescent="0.2">
      <c r="A3448">
        <v>671279</v>
      </c>
      <c r="B3448" s="5">
        <v>44859</v>
      </c>
      <c r="C3448">
        <v>31325</v>
      </c>
      <c r="D3448" t="str">
        <f>PROPER(Transactions!D3448)</f>
        <v>Electronics</v>
      </c>
      <c r="E3448" t="s">
        <v>186</v>
      </c>
      <c r="F3448" t="s">
        <v>187</v>
      </c>
      <c r="G3448">
        <v>2</v>
      </c>
      <c r="H3448">
        <v>42.49</v>
      </c>
      <c r="I3448" s="7">
        <f>IF(Transactions!I3448="",0,Transactions!I3448)</f>
        <v>0.15</v>
      </c>
      <c r="J3448" s="9">
        <f t="shared" si="53"/>
        <v>72.233000000000004</v>
      </c>
      <c r="K3448" t="s">
        <v>16</v>
      </c>
      <c r="L3448" t="s">
        <v>17</v>
      </c>
      <c r="M3448" t="str">
        <f>REPLACE(Transactions!M3448,1,4,"")</f>
        <v>12</v>
      </c>
    </row>
    <row r="3449" spans="1:13" x14ac:dyDescent="0.2">
      <c r="A3449">
        <v>671403</v>
      </c>
      <c r="B3449" s="5">
        <v>45032</v>
      </c>
      <c r="C3449">
        <v>44493</v>
      </c>
      <c r="D3449" t="str">
        <f>PROPER(Transactions!D3449)</f>
        <v>Pharmacy</v>
      </c>
      <c r="E3449" t="s">
        <v>41</v>
      </c>
      <c r="F3449" t="s">
        <v>42</v>
      </c>
      <c r="G3449">
        <v>1</v>
      </c>
      <c r="H3449">
        <v>5.99</v>
      </c>
      <c r="I3449" s="7">
        <f>IF(Transactions!I3449="",0,Transactions!I3449)</f>
        <v>0</v>
      </c>
      <c r="J3449" s="9">
        <f t="shared" si="53"/>
        <v>5.99</v>
      </c>
      <c r="K3449" t="s">
        <v>53</v>
      </c>
      <c r="L3449" t="s">
        <v>23</v>
      </c>
      <c r="M3449" t="str">
        <f>REPLACE(Transactions!M3449,1,4,"")</f>
        <v>20</v>
      </c>
    </row>
    <row r="3450" spans="1:13" x14ac:dyDescent="0.2">
      <c r="A3450">
        <v>671692</v>
      </c>
      <c r="B3450" s="5">
        <v>45351</v>
      </c>
      <c r="C3450">
        <v>59168</v>
      </c>
      <c r="D3450" t="str">
        <f>PROPER(Transactions!D3450)</f>
        <v>Clothing</v>
      </c>
      <c r="E3450" t="s">
        <v>135</v>
      </c>
      <c r="F3450" t="s">
        <v>136</v>
      </c>
      <c r="G3450">
        <v>4</v>
      </c>
      <c r="H3450">
        <v>7.49</v>
      </c>
      <c r="I3450" s="7">
        <f>IF(Transactions!I3450="",0,Transactions!I3450)</f>
        <v>0.25</v>
      </c>
      <c r="J3450" s="9">
        <f t="shared" si="53"/>
        <v>22.47</v>
      </c>
      <c r="K3450" t="s">
        <v>16</v>
      </c>
      <c r="L3450" t="s">
        <v>37</v>
      </c>
      <c r="M3450" t="str">
        <f>REPLACE(Transactions!M3450,1,4,"")</f>
        <v>7</v>
      </c>
    </row>
    <row r="3451" spans="1:13" x14ac:dyDescent="0.2">
      <c r="A3451">
        <v>671775</v>
      </c>
      <c r="B3451" s="5">
        <v>45129</v>
      </c>
      <c r="C3451">
        <v>82364</v>
      </c>
      <c r="D3451" t="str">
        <f>PROPER(Transactions!D3451)</f>
        <v>Beauty</v>
      </c>
      <c r="E3451" t="s">
        <v>109</v>
      </c>
      <c r="F3451" t="s">
        <v>110</v>
      </c>
      <c r="G3451">
        <v>2</v>
      </c>
      <c r="H3451">
        <v>5.24</v>
      </c>
      <c r="I3451" s="7">
        <f>IF(Transactions!I3451="",0,Transactions!I3451)</f>
        <v>0.25</v>
      </c>
      <c r="J3451" s="9">
        <f t="shared" si="53"/>
        <v>7.86</v>
      </c>
      <c r="K3451" t="s">
        <v>22</v>
      </c>
      <c r="L3451" t="s">
        <v>17</v>
      </c>
      <c r="M3451" t="str">
        <f>REPLACE(Transactions!M3451,1,4,"")</f>
        <v>8</v>
      </c>
    </row>
    <row r="3452" spans="1:13" x14ac:dyDescent="0.2">
      <c r="A3452">
        <v>671805</v>
      </c>
      <c r="B3452" s="5">
        <v>45048</v>
      </c>
      <c r="C3452">
        <v>84435</v>
      </c>
      <c r="D3452" t="str">
        <f>PROPER(Transactions!D3452)</f>
        <v>Toys</v>
      </c>
      <c r="E3452" t="s">
        <v>88</v>
      </c>
      <c r="F3452" t="s">
        <v>89</v>
      </c>
      <c r="G3452">
        <v>1</v>
      </c>
      <c r="H3452">
        <v>34.99</v>
      </c>
      <c r="I3452" s="7">
        <f>IF(Transactions!I3452="",0,Transactions!I3452)</f>
        <v>0.3</v>
      </c>
      <c r="J3452" s="9">
        <f t="shared" si="53"/>
        <v>24.492999999999999</v>
      </c>
      <c r="K3452" t="s">
        <v>36</v>
      </c>
      <c r="L3452" t="s">
        <v>17</v>
      </c>
      <c r="M3452" t="str">
        <f>REPLACE(Transactions!M3452,1,4,"")</f>
        <v>15</v>
      </c>
    </row>
    <row r="3453" spans="1:13" x14ac:dyDescent="0.2">
      <c r="A3453">
        <v>671852</v>
      </c>
      <c r="B3453" s="5">
        <v>45638</v>
      </c>
      <c r="C3453">
        <v>98419</v>
      </c>
      <c r="D3453" t="str">
        <f>PROPER(Transactions!D3453)</f>
        <v>Home &amp; Garden</v>
      </c>
      <c r="E3453" t="s">
        <v>149</v>
      </c>
      <c r="F3453" t="s">
        <v>150</v>
      </c>
      <c r="G3453">
        <v>4</v>
      </c>
      <c r="H3453">
        <v>13.99</v>
      </c>
      <c r="I3453" s="7">
        <f>IF(Transactions!I3453="",0,Transactions!I3453)</f>
        <v>0.3</v>
      </c>
      <c r="J3453" s="9">
        <f t="shared" si="53"/>
        <v>39.171999999999997</v>
      </c>
      <c r="K3453" t="s">
        <v>16</v>
      </c>
      <c r="L3453" t="s">
        <v>17</v>
      </c>
      <c r="M3453" t="str">
        <f>REPLACE(Transactions!M3453,1,4,"")</f>
        <v>8</v>
      </c>
    </row>
    <row r="3454" spans="1:13" x14ac:dyDescent="0.2">
      <c r="A3454">
        <v>672133</v>
      </c>
      <c r="B3454" s="5">
        <v>44795</v>
      </c>
      <c r="C3454">
        <v>70505</v>
      </c>
      <c r="D3454" t="str">
        <f>PROPER(Transactions!D3454)</f>
        <v>Toys</v>
      </c>
      <c r="E3454" t="s">
        <v>38</v>
      </c>
      <c r="F3454" t="s">
        <v>39</v>
      </c>
      <c r="G3454">
        <v>2</v>
      </c>
      <c r="H3454">
        <v>28.49</v>
      </c>
      <c r="I3454" s="7">
        <f>IF(Transactions!I3454="",0,Transactions!I3454)</f>
        <v>0.05</v>
      </c>
      <c r="J3454" s="9">
        <f t="shared" si="53"/>
        <v>54.130999999999993</v>
      </c>
      <c r="K3454" t="s">
        <v>16</v>
      </c>
      <c r="L3454" t="s">
        <v>37</v>
      </c>
      <c r="M3454" t="str">
        <f>REPLACE(Transactions!M3454,1,4,"")</f>
        <v>18</v>
      </c>
    </row>
    <row r="3455" spans="1:13" x14ac:dyDescent="0.2">
      <c r="A3455">
        <v>672433</v>
      </c>
      <c r="B3455" s="5">
        <v>45369</v>
      </c>
      <c r="C3455">
        <v>42633</v>
      </c>
      <c r="D3455" t="str">
        <f>PROPER(Transactions!D3455)</f>
        <v>Sports</v>
      </c>
      <c r="E3455" t="s">
        <v>168</v>
      </c>
      <c r="F3455" t="s">
        <v>169</v>
      </c>
      <c r="G3455">
        <v>5</v>
      </c>
      <c r="H3455">
        <v>7.19</v>
      </c>
      <c r="I3455" s="7">
        <f>IF(Transactions!I3455="",0,Transactions!I3455)</f>
        <v>0.2</v>
      </c>
      <c r="J3455" s="9">
        <f t="shared" si="53"/>
        <v>28.760000000000005</v>
      </c>
      <c r="K3455" t="s">
        <v>36</v>
      </c>
      <c r="L3455" t="s">
        <v>37</v>
      </c>
      <c r="M3455" t="str">
        <f>REPLACE(Transactions!M3455,1,4,"")</f>
        <v>20</v>
      </c>
    </row>
    <row r="3456" spans="1:13" x14ac:dyDescent="0.2">
      <c r="A3456">
        <v>672555</v>
      </c>
      <c r="B3456" s="5">
        <v>44855</v>
      </c>
      <c r="C3456">
        <v>44389</v>
      </c>
      <c r="D3456" t="str">
        <f>PROPER(Transactions!D3456)</f>
        <v>Beauty</v>
      </c>
      <c r="E3456" t="s">
        <v>109</v>
      </c>
      <c r="F3456" t="s">
        <v>110</v>
      </c>
      <c r="G3456">
        <v>2</v>
      </c>
      <c r="H3456">
        <v>5.94</v>
      </c>
      <c r="I3456" s="7">
        <f>IF(Transactions!I3456="",0,Transactions!I3456)</f>
        <v>0.15</v>
      </c>
      <c r="J3456" s="9">
        <f t="shared" si="53"/>
        <v>10.098000000000001</v>
      </c>
      <c r="K3456" t="s">
        <v>16</v>
      </c>
      <c r="L3456" t="s">
        <v>37</v>
      </c>
      <c r="M3456" t="str">
        <f>REPLACE(Transactions!M3456,1,4,"")</f>
        <v>16</v>
      </c>
    </row>
    <row r="3457" spans="1:13" x14ac:dyDescent="0.2">
      <c r="A3457">
        <v>672612</v>
      </c>
      <c r="B3457" s="5">
        <v>45009</v>
      </c>
      <c r="C3457">
        <v>37494</v>
      </c>
      <c r="D3457" t="str">
        <f>PROPER(Transactions!D3457)</f>
        <v>Furniture</v>
      </c>
      <c r="E3457" t="s">
        <v>26</v>
      </c>
      <c r="F3457" t="s">
        <v>27</v>
      </c>
      <c r="G3457">
        <v>2</v>
      </c>
      <c r="H3457">
        <v>33.24</v>
      </c>
      <c r="I3457" s="7">
        <f>IF(Transactions!I3457="",0,Transactions!I3457)</f>
        <v>0.05</v>
      </c>
      <c r="J3457" s="9">
        <f t="shared" si="53"/>
        <v>63.155999999999999</v>
      </c>
      <c r="K3457" t="s">
        <v>16</v>
      </c>
      <c r="L3457" t="s">
        <v>17</v>
      </c>
      <c r="M3457" t="str">
        <f>REPLACE(Transactions!M3457,1,4,"")</f>
        <v>4</v>
      </c>
    </row>
    <row r="3458" spans="1:13" x14ac:dyDescent="0.2">
      <c r="A3458">
        <v>672716</v>
      </c>
      <c r="B3458" s="5">
        <v>45585</v>
      </c>
      <c r="C3458">
        <v>13448</v>
      </c>
      <c r="D3458" t="str">
        <f>PROPER(Transactions!D3458)</f>
        <v>Toys</v>
      </c>
      <c r="E3458" t="s">
        <v>72</v>
      </c>
      <c r="F3458" t="s">
        <v>73</v>
      </c>
      <c r="G3458">
        <v>2</v>
      </c>
      <c r="H3458">
        <v>35.99</v>
      </c>
      <c r="I3458" s="7">
        <f>IF(Transactions!I3458="",0,Transactions!I3458)</f>
        <v>0.1</v>
      </c>
      <c r="J3458" s="9">
        <f t="shared" si="53"/>
        <v>64.782000000000011</v>
      </c>
      <c r="K3458" t="s">
        <v>32</v>
      </c>
      <c r="L3458" t="s">
        <v>17</v>
      </c>
      <c r="M3458" t="str">
        <f>REPLACE(Transactions!M3458,1,4,"")</f>
        <v>11</v>
      </c>
    </row>
    <row r="3459" spans="1:13" x14ac:dyDescent="0.2">
      <c r="A3459">
        <v>672875</v>
      </c>
      <c r="B3459" s="5">
        <v>45608</v>
      </c>
      <c r="C3459">
        <v>57730</v>
      </c>
      <c r="D3459" t="str">
        <f>PROPER(Transactions!D3459)</f>
        <v>Beauty</v>
      </c>
      <c r="E3459" t="s">
        <v>139</v>
      </c>
      <c r="F3459" t="s">
        <v>140</v>
      </c>
      <c r="G3459">
        <v>2</v>
      </c>
      <c r="H3459">
        <v>7.99</v>
      </c>
      <c r="I3459" s="7">
        <f>IF(Transactions!I3459="",0,Transactions!I3459)</f>
        <v>0</v>
      </c>
      <c r="J3459" s="9">
        <f t="shared" ref="J3459:J3522" si="54">(H3459*G3459)*(1-I3459)</f>
        <v>15.98</v>
      </c>
      <c r="K3459" t="s">
        <v>22</v>
      </c>
      <c r="L3459" t="s">
        <v>23</v>
      </c>
      <c r="M3459" t="str">
        <f>REPLACE(Transactions!M3459,1,4,"")</f>
        <v>12</v>
      </c>
    </row>
    <row r="3460" spans="1:13" x14ac:dyDescent="0.2">
      <c r="A3460">
        <v>672880</v>
      </c>
      <c r="B3460" s="5">
        <v>45083</v>
      </c>
      <c r="C3460">
        <v>59609</v>
      </c>
      <c r="D3460" t="str">
        <f>PROPER(Transactions!D3460)</f>
        <v>Electronics</v>
      </c>
      <c r="E3460" t="s">
        <v>104</v>
      </c>
      <c r="F3460" t="s">
        <v>105</v>
      </c>
      <c r="G3460">
        <v>1</v>
      </c>
      <c r="H3460">
        <v>23.99</v>
      </c>
      <c r="I3460" s="7">
        <f>IF(Transactions!I3460="",0,Transactions!I3460)</f>
        <v>0.2</v>
      </c>
      <c r="J3460" s="9">
        <f t="shared" si="54"/>
        <v>19.192</v>
      </c>
      <c r="K3460" t="s">
        <v>22</v>
      </c>
      <c r="L3460" t="s">
        <v>17</v>
      </c>
      <c r="M3460" t="str">
        <f>REPLACE(Transactions!M3460,1,4,"")</f>
        <v>8</v>
      </c>
    </row>
    <row r="3461" spans="1:13" x14ac:dyDescent="0.2">
      <c r="A3461">
        <v>672925</v>
      </c>
      <c r="B3461" s="5">
        <v>45579</v>
      </c>
      <c r="C3461">
        <v>45652</v>
      </c>
      <c r="D3461" t="str">
        <f>PROPER(Transactions!D3461)</f>
        <v>Grocery</v>
      </c>
      <c r="E3461" t="s">
        <v>107</v>
      </c>
      <c r="F3461" t="s">
        <v>108</v>
      </c>
      <c r="G3461">
        <v>2</v>
      </c>
      <c r="H3461">
        <v>3.49</v>
      </c>
      <c r="I3461" s="7">
        <f>IF(Transactions!I3461="",0,Transactions!I3461)</f>
        <v>0</v>
      </c>
      <c r="J3461" s="9">
        <f t="shared" si="54"/>
        <v>6.98</v>
      </c>
      <c r="K3461" t="s">
        <v>36</v>
      </c>
      <c r="L3461" t="s">
        <v>17</v>
      </c>
      <c r="M3461" t="str">
        <f>REPLACE(Transactions!M3461,1,4,"")</f>
        <v>18</v>
      </c>
    </row>
    <row r="3462" spans="1:13" x14ac:dyDescent="0.2">
      <c r="A3462">
        <v>674035</v>
      </c>
      <c r="B3462" s="5">
        <v>45267</v>
      </c>
      <c r="C3462">
        <v>78748</v>
      </c>
      <c r="D3462" t="str">
        <f>PROPER(Transactions!D3462)</f>
        <v>Pharmacy</v>
      </c>
      <c r="E3462" t="s">
        <v>20</v>
      </c>
      <c r="F3462" t="s">
        <v>21</v>
      </c>
      <c r="G3462">
        <v>4</v>
      </c>
      <c r="H3462">
        <v>7.49</v>
      </c>
      <c r="I3462" s="7">
        <f>IF(Transactions!I3462="",0,Transactions!I3462)</f>
        <v>0.25</v>
      </c>
      <c r="J3462" s="9">
        <f t="shared" si="54"/>
        <v>22.47</v>
      </c>
      <c r="K3462" t="s">
        <v>36</v>
      </c>
      <c r="L3462" t="s">
        <v>17</v>
      </c>
      <c r="M3462" t="str">
        <f>REPLACE(Transactions!M3462,1,4,"")</f>
        <v>8</v>
      </c>
    </row>
    <row r="3463" spans="1:13" x14ac:dyDescent="0.2">
      <c r="A3463">
        <v>674048</v>
      </c>
      <c r="B3463" s="5">
        <v>44618</v>
      </c>
      <c r="C3463">
        <v>36082</v>
      </c>
      <c r="D3463" t="str">
        <f>PROPER(Transactions!D3463)</f>
        <v>Electronics</v>
      </c>
      <c r="E3463" t="s">
        <v>127</v>
      </c>
      <c r="F3463" t="s">
        <v>128</v>
      </c>
      <c r="G3463">
        <v>4</v>
      </c>
      <c r="H3463">
        <v>19.989999999999998</v>
      </c>
      <c r="I3463" s="7">
        <f>IF(Transactions!I3463="",0,Transactions!I3463)</f>
        <v>0</v>
      </c>
      <c r="J3463" s="9">
        <f t="shared" si="54"/>
        <v>79.959999999999994</v>
      </c>
      <c r="K3463" t="s">
        <v>22</v>
      </c>
      <c r="L3463" t="s">
        <v>17</v>
      </c>
      <c r="M3463" t="str">
        <f>REPLACE(Transactions!M3463,1,4,"")</f>
        <v>8</v>
      </c>
    </row>
    <row r="3464" spans="1:13" x14ac:dyDescent="0.2">
      <c r="A3464">
        <v>674237</v>
      </c>
      <c r="B3464" s="5">
        <v>45433</v>
      </c>
      <c r="C3464">
        <v>29722</v>
      </c>
      <c r="D3464" t="str">
        <f>PROPER(Transactions!D3464)</f>
        <v>Electronics</v>
      </c>
      <c r="E3464" t="s">
        <v>127</v>
      </c>
      <c r="F3464" t="s">
        <v>128</v>
      </c>
      <c r="G3464">
        <v>1</v>
      </c>
      <c r="H3464">
        <v>19.989999999999998</v>
      </c>
      <c r="I3464" s="7">
        <f>IF(Transactions!I3464="",0,Transactions!I3464)</f>
        <v>0</v>
      </c>
      <c r="J3464" s="9">
        <f t="shared" si="54"/>
        <v>19.989999999999998</v>
      </c>
      <c r="K3464" t="s">
        <v>36</v>
      </c>
      <c r="L3464" t="s">
        <v>17</v>
      </c>
      <c r="M3464" t="str">
        <f>REPLACE(Transactions!M3464,1,4,"")</f>
        <v>6</v>
      </c>
    </row>
    <row r="3465" spans="1:13" x14ac:dyDescent="0.2">
      <c r="A3465">
        <v>674240</v>
      </c>
      <c r="B3465" s="5">
        <v>45631</v>
      </c>
      <c r="C3465">
        <v>36741</v>
      </c>
      <c r="D3465" t="str">
        <f>PROPER(Transactions!D3465)</f>
        <v>Pharmacy</v>
      </c>
      <c r="E3465" t="s">
        <v>20</v>
      </c>
      <c r="F3465" t="s">
        <v>21</v>
      </c>
      <c r="G3465">
        <v>1</v>
      </c>
      <c r="H3465">
        <v>7.49</v>
      </c>
      <c r="I3465" s="7">
        <f>IF(Transactions!I3465="",0,Transactions!I3465)</f>
        <v>0.25</v>
      </c>
      <c r="J3465" s="9">
        <f t="shared" si="54"/>
        <v>5.6174999999999997</v>
      </c>
      <c r="K3465" t="s">
        <v>16</v>
      </c>
      <c r="L3465" t="s">
        <v>17</v>
      </c>
      <c r="M3465" t="str">
        <f>REPLACE(Transactions!M3465,1,4,"")</f>
        <v>10</v>
      </c>
    </row>
    <row r="3466" spans="1:13" x14ac:dyDescent="0.2">
      <c r="A3466">
        <v>674355</v>
      </c>
      <c r="B3466" s="5">
        <v>45093</v>
      </c>
      <c r="C3466">
        <v>40498</v>
      </c>
      <c r="D3466" t="str">
        <f>PROPER(Transactions!D3466)</f>
        <v>Sports</v>
      </c>
      <c r="E3466" t="s">
        <v>100</v>
      </c>
      <c r="F3466" t="s">
        <v>101</v>
      </c>
      <c r="G3466">
        <v>1</v>
      </c>
      <c r="H3466">
        <v>16.09</v>
      </c>
      <c r="I3466" s="7">
        <f>IF(Transactions!I3466="",0,Transactions!I3466)</f>
        <v>0.3</v>
      </c>
      <c r="J3466" s="9">
        <f t="shared" si="54"/>
        <v>11.263</v>
      </c>
      <c r="K3466" t="s">
        <v>36</v>
      </c>
      <c r="L3466" t="s">
        <v>23</v>
      </c>
      <c r="M3466" t="str">
        <f>REPLACE(Transactions!M3466,1,4,"")</f>
        <v>1</v>
      </c>
    </row>
    <row r="3467" spans="1:13" x14ac:dyDescent="0.2">
      <c r="A3467">
        <v>674416</v>
      </c>
      <c r="B3467" s="5">
        <v>45611</v>
      </c>
      <c r="C3467">
        <v>92913</v>
      </c>
      <c r="D3467" t="str">
        <f>PROPER(Transactions!D3467)</f>
        <v>Grocery</v>
      </c>
      <c r="E3467" t="s">
        <v>177</v>
      </c>
      <c r="F3467" t="s">
        <v>178</v>
      </c>
      <c r="G3467">
        <v>4</v>
      </c>
      <c r="H3467">
        <v>10.79</v>
      </c>
      <c r="I3467" s="7">
        <f>IF(Transactions!I3467="",0,Transactions!I3467)</f>
        <v>0.1</v>
      </c>
      <c r="J3467" s="9">
        <f t="shared" si="54"/>
        <v>38.844000000000001</v>
      </c>
      <c r="K3467" t="s">
        <v>95</v>
      </c>
      <c r="L3467" t="s">
        <v>37</v>
      </c>
      <c r="M3467" t="str">
        <f>REPLACE(Transactions!M3467,1,4,"")</f>
        <v>14</v>
      </c>
    </row>
    <row r="3468" spans="1:13" x14ac:dyDescent="0.2">
      <c r="A3468">
        <v>674529</v>
      </c>
      <c r="B3468" s="5">
        <v>45657</v>
      </c>
      <c r="C3468">
        <v>47942</v>
      </c>
      <c r="D3468" t="str">
        <f>PROPER(Transactions!D3468)</f>
        <v>Electronics</v>
      </c>
      <c r="E3468" t="s">
        <v>79</v>
      </c>
      <c r="F3468" t="s">
        <v>80</v>
      </c>
      <c r="G3468">
        <v>3</v>
      </c>
      <c r="H3468">
        <v>62.99</v>
      </c>
      <c r="I3468" s="7">
        <f>IF(Transactions!I3468="",0,Transactions!I3468)</f>
        <v>0.3</v>
      </c>
      <c r="J3468" s="9">
        <f t="shared" si="54"/>
        <v>132.279</v>
      </c>
      <c r="K3468" t="s">
        <v>16</v>
      </c>
      <c r="L3468" t="s">
        <v>37</v>
      </c>
      <c r="M3468" t="str">
        <f>REPLACE(Transactions!M3468,1,4,"")</f>
        <v>5</v>
      </c>
    </row>
    <row r="3469" spans="1:13" x14ac:dyDescent="0.2">
      <c r="A3469">
        <v>674590</v>
      </c>
      <c r="B3469" s="5">
        <v>45025</v>
      </c>
      <c r="C3469">
        <v>69377</v>
      </c>
      <c r="D3469" t="str">
        <f>PROPER(Transactions!D3469)</f>
        <v>Toys</v>
      </c>
      <c r="E3469" t="s">
        <v>88</v>
      </c>
      <c r="F3469" t="s">
        <v>89</v>
      </c>
      <c r="G3469">
        <v>2</v>
      </c>
      <c r="H3469">
        <v>47.49</v>
      </c>
      <c r="I3469" s="7">
        <f>IF(Transactions!I3469="",0,Transactions!I3469)</f>
        <v>0</v>
      </c>
      <c r="J3469" s="9">
        <f t="shared" si="54"/>
        <v>94.98</v>
      </c>
      <c r="K3469" t="s">
        <v>36</v>
      </c>
      <c r="L3469" t="s">
        <v>37</v>
      </c>
      <c r="M3469" t="str">
        <f>REPLACE(Transactions!M3469,1,4,"")</f>
        <v>2</v>
      </c>
    </row>
    <row r="3470" spans="1:13" x14ac:dyDescent="0.2">
      <c r="A3470">
        <v>674686</v>
      </c>
      <c r="B3470" s="5">
        <v>45313</v>
      </c>
      <c r="C3470">
        <v>31582</v>
      </c>
      <c r="D3470" t="str">
        <f>PROPER(Transactions!D3470)</f>
        <v>Electronics</v>
      </c>
      <c r="E3470" t="s">
        <v>34</v>
      </c>
      <c r="F3470" t="s">
        <v>35</v>
      </c>
      <c r="G3470">
        <v>3</v>
      </c>
      <c r="H3470">
        <v>34.99</v>
      </c>
      <c r="I3470" s="7">
        <f>IF(Transactions!I3470="",0,Transactions!I3470)</f>
        <v>0</v>
      </c>
      <c r="J3470" s="9">
        <f t="shared" si="54"/>
        <v>104.97</v>
      </c>
      <c r="K3470" t="s">
        <v>36</v>
      </c>
      <c r="L3470" t="s">
        <v>17</v>
      </c>
      <c r="M3470" t="str">
        <f>REPLACE(Transactions!M3470,1,4,"")</f>
        <v>5</v>
      </c>
    </row>
    <row r="3471" spans="1:13" x14ac:dyDescent="0.2">
      <c r="A3471">
        <v>674691</v>
      </c>
      <c r="B3471" s="5">
        <v>45556</v>
      </c>
      <c r="C3471">
        <v>61495</v>
      </c>
      <c r="D3471" t="str">
        <f>PROPER(Transactions!D3471)</f>
        <v>Toys</v>
      </c>
      <c r="E3471" t="s">
        <v>72</v>
      </c>
      <c r="F3471" t="s">
        <v>73</v>
      </c>
      <c r="G3471">
        <v>3</v>
      </c>
      <c r="H3471">
        <v>35.99</v>
      </c>
      <c r="I3471" s="7">
        <f>IF(Transactions!I3471="",0,Transactions!I3471)</f>
        <v>0.1</v>
      </c>
      <c r="J3471" s="9">
        <f t="shared" si="54"/>
        <v>97.173000000000002</v>
      </c>
      <c r="K3471" t="s">
        <v>36</v>
      </c>
      <c r="L3471" t="s">
        <v>23</v>
      </c>
      <c r="M3471" t="str">
        <f>REPLACE(Transactions!M3471,1,4,"")</f>
        <v>18</v>
      </c>
    </row>
    <row r="3472" spans="1:13" x14ac:dyDescent="0.2">
      <c r="A3472">
        <v>674704</v>
      </c>
      <c r="B3472" s="5">
        <v>45608</v>
      </c>
      <c r="C3472">
        <v>42420</v>
      </c>
      <c r="D3472" t="str">
        <f>PROPER(Transactions!D3472)</f>
        <v>Clothing</v>
      </c>
      <c r="E3472" t="s">
        <v>165</v>
      </c>
      <c r="F3472" t="s">
        <v>166</v>
      </c>
      <c r="G3472">
        <v>2</v>
      </c>
      <c r="H3472">
        <v>89.99</v>
      </c>
      <c r="I3472" s="7">
        <f>IF(Transactions!I3472="",0,Transactions!I3472)</f>
        <v>0</v>
      </c>
      <c r="J3472" s="9">
        <f t="shared" si="54"/>
        <v>179.98</v>
      </c>
      <c r="K3472" t="s">
        <v>36</v>
      </c>
      <c r="L3472" t="s">
        <v>23</v>
      </c>
      <c r="M3472" t="str">
        <f>REPLACE(Transactions!M3472,1,4,"")</f>
        <v>6</v>
      </c>
    </row>
    <row r="3473" spans="1:13" x14ac:dyDescent="0.2">
      <c r="A3473">
        <v>675046</v>
      </c>
      <c r="B3473" s="5">
        <v>44737</v>
      </c>
      <c r="C3473">
        <v>91674</v>
      </c>
      <c r="D3473" t="str">
        <f>PROPER(Transactions!D3473)</f>
        <v>Sports</v>
      </c>
      <c r="E3473" t="s">
        <v>168</v>
      </c>
      <c r="F3473" t="s">
        <v>169</v>
      </c>
      <c r="G3473">
        <v>4</v>
      </c>
      <c r="H3473">
        <v>8.99</v>
      </c>
      <c r="I3473" s="7">
        <f>IF(Transactions!I3473="",0,Transactions!I3473)</f>
        <v>0</v>
      </c>
      <c r="J3473" s="9">
        <f t="shared" si="54"/>
        <v>35.96</v>
      </c>
      <c r="K3473" t="s">
        <v>36</v>
      </c>
      <c r="L3473" t="s">
        <v>17</v>
      </c>
      <c r="M3473" t="str">
        <f>REPLACE(Transactions!M3473,1,4,"")</f>
        <v>1</v>
      </c>
    </row>
    <row r="3474" spans="1:13" x14ac:dyDescent="0.2">
      <c r="A3474">
        <v>675189</v>
      </c>
      <c r="B3474" s="5">
        <v>44566</v>
      </c>
      <c r="C3474">
        <v>62862</v>
      </c>
      <c r="D3474" t="str">
        <f>PROPER(Transactions!D3474)</f>
        <v>Home &amp; Garden</v>
      </c>
      <c r="E3474" t="s">
        <v>157</v>
      </c>
      <c r="F3474" t="s">
        <v>158</v>
      </c>
      <c r="G3474">
        <v>1</v>
      </c>
      <c r="H3474">
        <v>13.49</v>
      </c>
      <c r="I3474" s="7">
        <f>IF(Transactions!I3474="",0,Transactions!I3474)</f>
        <v>0</v>
      </c>
      <c r="J3474" s="9">
        <f t="shared" si="54"/>
        <v>13.49</v>
      </c>
      <c r="K3474" t="s">
        <v>16</v>
      </c>
      <c r="L3474" t="s">
        <v>17</v>
      </c>
      <c r="M3474" t="str">
        <f>REPLACE(Transactions!M3474,1,4,"")</f>
        <v>5</v>
      </c>
    </row>
    <row r="3475" spans="1:13" x14ac:dyDescent="0.2">
      <c r="A3475">
        <v>675603</v>
      </c>
      <c r="B3475" s="5">
        <v>44575</v>
      </c>
      <c r="C3475">
        <v>43615</v>
      </c>
      <c r="D3475" t="str">
        <f>PROPER(Transactions!D3475)</f>
        <v>Beauty</v>
      </c>
      <c r="E3475" t="s">
        <v>109</v>
      </c>
      <c r="F3475" t="s">
        <v>110</v>
      </c>
      <c r="G3475">
        <v>1</v>
      </c>
      <c r="H3475">
        <v>5.59</v>
      </c>
      <c r="I3475" s="7">
        <f>IF(Transactions!I3475="",0,Transactions!I3475)</f>
        <v>0.2</v>
      </c>
      <c r="J3475" s="9">
        <f t="shared" si="54"/>
        <v>4.4720000000000004</v>
      </c>
      <c r="K3475" t="s">
        <v>36</v>
      </c>
      <c r="L3475" t="s">
        <v>37</v>
      </c>
      <c r="M3475" t="str">
        <f>REPLACE(Transactions!M3475,1,4,"")</f>
        <v>6</v>
      </c>
    </row>
    <row r="3476" spans="1:13" x14ac:dyDescent="0.2">
      <c r="A3476">
        <v>675955</v>
      </c>
      <c r="B3476" s="5">
        <v>45619</v>
      </c>
      <c r="C3476">
        <v>86644</v>
      </c>
      <c r="D3476" t="str">
        <f>PROPER(Transactions!D3476)</f>
        <v>Clothing</v>
      </c>
      <c r="E3476" t="s">
        <v>121</v>
      </c>
      <c r="F3476" t="s">
        <v>122</v>
      </c>
      <c r="G3476">
        <v>5</v>
      </c>
      <c r="H3476">
        <v>12.99</v>
      </c>
      <c r="I3476" s="7">
        <f>IF(Transactions!I3476="",0,Transactions!I3476)</f>
        <v>0</v>
      </c>
      <c r="J3476" s="9">
        <f t="shared" si="54"/>
        <v>64.95</v>
      </c>
      <c r="K3476" t="s">
        <v>36</v>
      </c>
      <c r="L3476" t="s">
        <v>37</v>
      </c>
      <c r="M3476" t="str">
        <f>REPLACE(Transactions!M3476,1,4,"")</f>
        <v>17</v>
      </c>
    </row>
    <row r="3477" spans="1:13" x14ac:dyDescent="0.2">
      <c r="A3477">
        <v>676051</v>
      </c>
      <c r="B3477" s="5">
        <v>44771</v>
      </c>
      <c r="C3477">
        <v>47128</v>
      </c>
      <c r="D3477" t="str">
        <f>PROPER(Transactions!D3477)</f>
        <v>Electronics</v>
      </c>
      <c r="E3477" t="s">
        <v>159</v>
      </c>
      <c r="F3477" t="s">
        <v>160</v>
      </c>
      <c r="G3477">
        <v>2</v>
      </c>
      <c r="H3477">
        <v>56.99</v>
      </c>
      <c r="I3477" s="7">
        <f>IF(Transactions!I3477="",0,Transactions!I3477)</f>
        <v>0.05</v>
      </c>
      <c r="J3477" s="9">
        <f t="shared" si="54"/>
        <v>108.28099999999999</v>
      </c>
      <c r="K3477" t="s">
        <v>22</v>
      </c>
      <c r="L3477" t="s">
        <v>17</v>
      </c>
      <c r="M3477" t="str">
        <f>REPLACE(Transactions!M3477,1,4,"")</f>
        <v>15</v>
      </c>
    </row>
    <row r="3478" spans="1:13" x14ac:dyDescent="0.2">
      <c r="A3478">
        <v>676149</v>
      </c>
      <c r="B3478" s="5">
        <v>45293</v>
      </c>
      <c r="C3478">
        <v>88081</v>
      </c>
      <c r="D3478" t="str">
        <f>PROPER(Transactions!D3478)</f>
        <v>Clothing</v>
      </c>
      <c r="E3478" t="s">
        <v>98</v>
      </c>
      <c r="F3478" t="s">
        <v>99</v>
      </c>
      <c r="G3478">
        <v>1</v>
      </c>
      <c r="H3478">
        <v>26.59</v>
      </c>
      <c r="I3478" s="7">
        <f>IF(Transactions!I3478="",0,Transactions!I3478)</f>
        <v>0.05</v>
      </c>
      <c r="J3478" s="9">
        <f t="shared" si="54"/>
        <v>25.2605</v>
      </c>
      <c r="K3478" t="s">
        <v>22</v>
      </c>
      <c r="L3478" t="s">
        <v>23</v>
      </c>
      <c r="M3478" t="str">
        <f>REPLACE(Transactions!M3478,1,4,"")</f>
        <v>1</v>
      </c>
    </row>
    <row r="3479" spans="1:13" x14ac:dyDescent="0.2">
      <c r="A3479">
        <v>676661</v>
      </c>
      <c r="B3479" s="5">
        <v>44831</v>
      </c>
      <c r="C3479">
        <v>26709</v>
      </c>
      <c r="D3479" t="str">
        <f>PROPER(Transactions!D3479)</f>
        <v>Furniture</v>
      </c>
      <c r="E3479" t="s">
        <v>113</v>
      </c>
      <c r="F3479" t="s">
        <v>114</v>
      </c>
      <c r="G3479">
        <v>5</v>
      </c>
      <c r="H3479">
        <v>89.99</v>
      </c>
      <c r="I3479" s="7">
        <f>IF(Transactions!I3479="",0,Transactions!I3479)</f>
        <v>0.25</v>
      </c>
      <c r="J3479" s="9">
        <f t="shared" si="54"/>
        <v>337.46249999999998</v>
      </c>
      <c r="K3479" t="s">
        <v>16</v>
      </c>
      <c r="L3479" t="s">
        <v>17</v>
      </c>
      <c r="M3479" t="str">
        <f>REPLACE(Transactions!M3479,1,4,"")</f>
        <v>15</v>
      </c>
    </row>
    <row r="3480" spans="1:13" x14ac:dyDescent="0.2">
      <c r="A3480">
        <v>676877</v>
      </c>
      <c r="B3480" s="5">
        <v>45427</v>
      </c>
      <c r="C3480">
        <v>35108</v>
      </c>
      <c r="D3480" t="str">
        <f>PROPER(Transactions!D3480)</f>
        <v>Grocery</v>
      </c>
      <c r="E3480" t="s">
        <v>162</v>
      </c>
      <c r="F3480" t="s">
        <v>163</v>
      </c>
      <c r="G3480">
        <v>2</v>
      </c>
      <c r="H3480">
        <v>7.99</v>
      </c>
      <c r="I3480" s="7">
        <f>IF(Transactions!I3480="",0,Transactions!I3480)</f>
        <v>0</v>
      </c>
      <c r="J3480" s="9">
        <f t="shared" si="54"/>
        <v>15.98</v>
      </c>
      <c r="K3480" t="s">
        <v>22</v>
      </c>
      <c r="L3480" t="s">
        <v>17</v>
      </c>
      <c r="M3480" t="str">
        <f>REPLACE(Transactions!M3480,1,4,"")</f>
        <v>14</v>
      </c>
    </row>
    <row r="3481" spans="1:13" x14ac:dyDescent="0.2">
      <c r="A3481">
        <v>676898</v>
      </c>
      <c r="B3481" s="5">
        <v>45045</v>
      </c>
      <c r="C3481">
        <v>98095</v>
      </c>
      <c r="D3481" t="str">
        <f>PROPER(Transactions!D3481)</f>
        <v>Automotive</v>
      </c>
      <c r="E3481" t="s">
        <v>131</v>
      </c>
      <c r="F3481" t="s">
        <v>132</v>
      </c>
      <c r="G3481">
        <v>1</v>
      </c>
      <c r="H3481">
        <v>3.49</v>
      </c>
      <c r="I3481" s="7">
        <f>IF(Transactions!I3481="",0,Transactions!I3481)</f>
        <v>0</v>
      </c>
      <c r="J3481" s="9">
        <f t="shared" si="54"/>
        <v>3.49</v>
      </c>
      <c r="K3481" t="s">
        <v>16</v>
      </c>
      <c r="L3481" t="s">
        <v>37</v>
      </c>
      <c r="M3481" t="str">
        <f>REPLACE(Transactions!M3481,1,4,"")</f>
        <v>19</v>
      </c>
    </row>
    <row r="3482" spans="1:13" x14ac:dyDescent="0.2">
      <c r="A3482">
        <v>677024</v>
      </c>
      <c r="B3482" s="5">
        <v>45383</v>
      </c>
      <c r="C3482">
        <v>48899</v>
      </c>
      <c r="D3482" t="str">
        <f>PROPER(Transactions!D3482)</f>
        <v>Electronics</v>
      </c>
      <c r="E3482" t="s">
        <v>159</v>
      </c>
      <c r="F3482" t="s">
        <v>160</v>
      </c>
      <c r="G3482">
        <v>1</v>
      </c>
      <c r="H3482">
        <v>59.99</v>
      </c>
      <c r="I3482" s="7">
        <f>IF(Transactions!I3482="",0,Transactions!I3482)</f>
        <v>0</v>
      </c>
      <c r="J3482" s="9">
        <f t="shared" si="54"/>
        <v>59.99</v>
      </c>
      <c r="K3482" t="s">
        <v>36</v>
      </c>
      <c r="L3482" t="s">
        <v>17</v>
      </c>
      <c r="M3482" t="str">
        <f>REPLACE(Transactions!M3482,1,4,"")</f>
        <v>18</v>
      </c>
    </row>
    <row r="3483" spans="1:13" x14ac:dyDescent="0.2">
      <c r="A3483">
        <v>677257</v>
      </c>
      <c r="B3483" s="5">
        <v>45495</v>
      </c>
      <c r="C3483">
        <v>77100</v>
      </c>
      <c r="D3483" t="str">
        <f>PROPER(Transactions!D3483)</f>
        <v>Automotive</v>
      </c>
      <c r="E3483" t="s">
        <v>111</v>
      </c>
      <c r="F3483" t="s">
        <v>112</v>
      </c>
      <c r="G3483">
        <v>5</v>
      </c>
      <c r="H3483">
        <v>14.99</v>
      </c>
      <c r="I3483" s="7">
        <f>IF(Transactions!I3483="",0,Transactions!I3483)</f>
        <v>0</v>
      </c>
      <c r="J3483" s="9">
        <f t="shared" si="54"/>
        <v>74.95</v>
      </c>
      <c r="K3483" t="s">
        <v>16</v>
      </c>
      <c r="L3483" t="s">
        <v>17</v>
      </c>
      <c r="M3483" t="str">
        <f>REPLACE(Transactions!M3483,1,4,"")</f>
        <v>2</v>
      </c>
    </row>
    <row r="3484" spans="1:13" x14ac:dyDescent="0.2">
      <c r="A3484">
        <v>677380</v>
      </c>
      <c r="B3484" s="5">
        <v>44895</v>
      </c>
      <c r="C3484">
        <v>16790</v>
      </c>
      <c r="D3484" t="str">
        <f>PROPER(Transactions!D3484)</f>
        <v>Home &amp; Garden</v>
      </c>
      <c r="E3484" t="s">
        <v>153</v>
      </c>
      <c r="F3484" t="s">
        <v>154</v>
      </c>
      <c r="G3484">
        <v>1</v>
      </c>
      <c r="H3484">
        <v>29.99</v>
      </c>
      <c r="I3484" s="7">
        <f>IF(Transactions!I3484="",0,Transactions!I3484)</f>
        <v>0</v>
      </c>
      <c r="J3484" s="9">
        <f t="shared" si="54"/>
        <v>29.99</v>
      </c>
      <c r="K3484" t="s">
        <v>16</v>
      </c>
      <c r="L3484" t="s">
        <v>17</v>
      </c>
      <c r="M3484" t="str">
        <f>REPLACE(Transactions!M3484,1,4,"")</f>
        <v>18</v>
      </c>
    </row>
    <row r="3485" spans="1:13" x14ac:dyDescent="0.2">
      <c r="A3485">
        <v>677454</v>
      </c>
      <c r="B3485" s="5">
        <v>44614</v>
      </c>
      <c r="C3485">
        <v>14307</v>
      </c>
      <c r="D3485" t="str">
        <f>PROPER(Transactions!D3485)</f>
        <v>Clothing</v>
      </c>
      <c r="E3485" t="s">
        <v>135</v>
      </c>
      <c r="F3485" t="s">
        <v>136</v>
      </c>
      <c r="G3485">
        <v>3</v>
      </c>
      <c r="H3485">
        <v>7.99</v>
      </c>
      <c r="I3485" s="7">
        <f>IF(Transactions!I3485="",0,Transactions!I3485)</f>
        <v>0.2</v>
      </c>
      <c r="J3485" s="9">
        <f t="shared" si="54"/>
        <v>19.175999999999998</v>
      </c>
      <c r="K3485" t="s">
        <v>36</v>
      </c>
      <c r="L3485" t="s">
        <v>17</v>
      </c>
      <c r="M3485" t="str">
        <f>REPLACE(Transactions!M3485,1,4,"")</f>
        <v>7</v>
      </c>
    </row>
    <row r="3486" spans="1:13" x14ac:dyDescent="0.2">
      <c r="A3486">
        <v>677609</v>
      </c>
      <c r="B3486" s="5">
        <v>45158</v>
      </c>
      <c r="C3486">
        <v>66876</v>
      </c>
      <c r="D3486" t="str">
        <f>PROPER(Transactions!D3486)</f>
        <v>Beauty</v>
      </c>
      <c r="E3486" t="s">
        <v>118</v>
      </c>
      <c r="F3486" t="s">
        <v>119</v>
      </c>
      <c r="G3486">
        <v>1</v>
      </c>
      <c r="H3486">
        <v>3.99</v>
      </c>
      <c r="I3486" s="7">
        <f>IF(Transactions!I3486="",0,Transactions!I3486)</f>
        <v>0.2</v>
      </c>
      <c r="J3486" s="9">
        <f t="shared" si="54"/>
        <v>3.1920000000000002</v>
      </c>
      <c r="K3486" t="s">
        <v>95</v>
      </c>
      <c r="L3486" t="s">
        <v>23</v>
      </c>
      <c r="M3486" t="str">
        <f>REPLACE(Transactions!M3486,1,4,"")</f>
        <v>12</v>
      </c>
    </row>
    <row r="3487" spans="1:13" x14ac:dyDescent="0.2">
      <c r="A3487">
        <v>677750</v>
      </c>
      <c r="B3487" s="5">
        <v>45263</v>
      </c>
      <c r="C3487">
        <v>70463</v>
      </c>
      <c r="D3487" t="str">
        <f>PROPER(Transactions!D3487)</f>
        <v>Clothing</v>
      </c>
      <c r="E3487" t="s">
        <v>135</v>
      </c>
      <c r="F3487" t="s">
        <v>136</v>
      </c>
      <c r="G3487">
        <v>5</v>
      </c>
      <c r="H3487">
        <v>7.99</v>
      </c>
      <c r="I3487" s="7">
        <f>IF(Transactions!I3487="",0,Transactions!I3487)</f>
        <v>0</v>
      </c>
      <c r="J3487" s="9">
        <f t="shared" si="54"/>
        <v>39.950000000000003</v>
      </c>
      <c r="K3487" t="s">
        <v>16</v>
      </c>
      <c r="L3487" t="s">
        <v>17</v>
      </c>
      <c r="M3487" t="str">
        <f>REPLACE(Transactions!M3487,1,4,"")</f>
        <v>6</v>
      </c>
    </row>
    <row r="3488" spans="1:13" x14ac:dyDescent="0.2">
      <c r="A3488">
        <v>677817</v>
      </c>
      <c r="B3488" s="5">
        <v>44740</v>
      </c>
      <c r="C3488">
        <v>18896</v>
      </c>
      <c r="D3488" t="str">
        <f>PROPER(Transactions!D3488)</f>
        <v>Pharmacy</v>
      </c>
      <c r="E3488" t="s">
        <v>20</v>
      </c>
      <c r="F3488" t="s">
        <v>21</v>
      </c>
      <c r="G3488">
        <v>2</v>
      </c>
      <c r="H3488">
        <v>9.99</v>
      </c>
      <c r="I3488" s="7">
        <f>IF(Transactions!I3488="",0,Transactions!I3488)</f>
        <v>0</v>
      </c>
      <c r="J3488" s="9">
        <f t="shared" si="54"/>
        <v>19.98</v>
      </c>
      <c r="K3488" t="s">
        <v>53</v>
      </c>
      <c r="L3488" t="s">
        <v>37</v>
      </c>
      <c r="M3488" t="str">
        <f>REPLACE(Transactions!M3488,1,4,"")</f>
        <v/>
      </c>
    </row>
    <row r="3489" spans="1:13" x14ac:dyDescent="0.2">
      <c r="A3489">
        <v>677896</v>
      </c>
      <c r="B3489" s="5">
        <v>45129</v>
      </c>
      <c r="C3489">
        <v>87260</v>
      </c>
      <c r="D3489" t="str">
        <f>PROPER(Transactions!D3489)</f>
        <v>Automotive</v>
      </c>
      <c r="E3489" t="s">
        <v>111</v>
      </c>
      <c r="F3489" t="s">
        <v>112</v>
      </c>
      <c r="G3489">
        <v>2</v>
      </c>
      <c r="H3489">
        <v>11.24</v>
      </c>
      <c r="I3489" s="7">
        <f>IF(Transactions!I3489="",0,Transactions!I3489)</f>
        <v>0.25</v>
      </c>
      <c r="J3489" s="9">
        <f t="shared" si="54"/>
        <v>16.86</v>
      </c>
      <c r="K3489" t="s">
        <v>36</v>
      </c>
      <c r="L3489" t="s">
        <v>17</v>
      </c>
      <c r="M3489" t="str">
        <f>REPLACE(Transactions!M3489,1,4,"")</f>
        <v>15</v>
      </c>
    </row>
    <row r="3490" spans="1:13" x14ac:dyDescent="0.2">
      <c r="A3490">
        <v>678051</v>
      </c>
      <c r="B3490" s="5">
        <v>45173</v>
      </c>
      <c r="C3490">
        <v>30035</v>
      </c>
      <c r="D3490" t="str">
        <f>PROPER(Transactions!D3490)</f>
        <v>Toys</v>
      </c>
      <c r="E3490" t="s">
        <v>30</v>
      </c>
      <c r="F3490" t="s">
        <v>31</v>
      </c>
      <c r="G3490">
        <v>2</v>
      </c>
      <c r="H3490">
        <v>19.989999999999998</v>
      </c>
      <c r="I3490" s="7">
        <f>IF(Transactions!I3490="",0,Transactions!I3490)</f>
        <v>0.2</v>
      </c>
      <c r="J3490" s="9">
        <f t="shared" si="54"/>
        <v>31.983999999999998</v>
      </c>
      <c r="K3490" t="s">
        <v>95</v>
      </c>
      <c r="L3490" t="s">
        <v>17</v>
      </c>
      <c r="M3490" t="str">
        <f>REPLACE(Transactions!M3490,1,4,"")</f>
        <v>16</v>
      </c>
    </row>
    <row r="3491" spans="1:13" x14ac:dyDescent="0.2">
      <c r="A3491">
        <v>678972</v>
      </c>
      <c r="B3491" s="5">
        <v>45013</v>
      </c>
      <c r="D3491" t="str">
        <f>PROPER(Transactions!D3491)</f>
        <v>Automotive</v>
      </c>
      <c r="E3491" t="s">
        <v>64</v>
      </c>
      <c r="F3491" t="s">
        <v>65</v>
      </c>
      <c r="G3491">
        <v>3</v>
      </c>
      <c r="H3491">
        <v>4.49</v>
      </c>
      <c r="I3491" s="7">
        <f>IF(Transactions!I3491="",0,Transactions!I3491)</f>
        <v>0.1</v>
      </c>
      <c r="J3491" s="9">
        <f t="shared" si="54"/>
        <v>12.123000000000001</v>
      </c>
      <c r="K3491" t="s">
        <v>36</v>
      </c>
      <c r="L3491" t="s">
        <v>17</v>
      </c>
      <c r="M3491" t="str">
        <f>REPLACE(Transactions!M3491,1,4,"")</f>
        <v>18</v>
      </c>
    </row>
    <row r="3492" spans="1:13" x14ac:dyDescent="0.2">
      <c r="A3492">
        <v>679012</v>
      </c>
      <c r="B3492" s="5">
        <v>45479</v>
      </c>
      <c r="C3492">
        <v>52331</v>
      </c>
      <c r="D3492" t="str">
        <f>PROPER(Transactions!D3492)</f>
        <v>Toys</v>
      </c>
      <c r="E3492" t="s">
        <v>72</v>
      </c>
      <c r="F3492" t="s">
        <v>73</v>
      </c>
      <c r="G3492">
        <v>3</v>
      </c>
      <c r="H3492">
        <v>39.99</v>
      </c>
      <c r="I3492" s="7">
        <f>IF(Transactions!I3492="",0,Transactions!I3492)</f>
        <v>0</v>
      </c>
      <c r="J3492" s="9">
        <f t="shared" si="54"/>
        <v>119.97</v>
      </c>
      <c r="K3492" t="s">
        <v>36</v>
      </c>
      <c r="L3492" t="s">
        <v>17</v>
      </c>
      <c r="M3492" t="str">
        <f>REPLACE(Transactions!M3492,1,4,"")</f>
        <v>12</v>
      </c>
    </row>
    <row r="3493" spans="1:13" x14ac:dyDescent="0.2">
      <c r="A3493">
        <v>679136</v>
      </c>
      <c r="B3493" s="5">
        <v>45492</v>
      </c>
      <c r="C3493">
        <v>53473</v>
      </c>
      <c r="D3493" t="str">
        <f>PROPER(Transactions!D3493)</f>
        <v>Beauty</v>
      </c>
      <c r="E3493" t="s">
        <v>118</v>
      </c>
      <c r="F3493" t="s">
        <v>119</v>
      </c>
      <c r="G3493">
        <v>1</v>
      </c>
      <c r="H3493">
        <v>3.99</v>
      </c>
      <c r="I3493" s="7">
        <f>IF(Transactions!I3493="",0,Transactions!I3493)</f>
        <v>0.2</v>
      </c>
      <c r="J3493" s="9">
        <f t="shared" si="54"/>
        <v>3.1920000000000002</v>
      </c>
      <c r="K3493" t="s">
        <v>16</v>
      </c>
      <c r="L3493" t="s">
        <v>17</v>
      </c>
      <c r="M3493" t="str">
        <f>REPLACE(Transactions!M3493,1,4,"")</f>
        <v>4</v>
      </c>
    </row>
    <row r="3494" spans="1:13" x14ac:dyDescent="0.2">
      <c r="A3494">
        <v>679229</v>
      </c>
      <c r="B3494" s="5">
        <v>45624</v>
      </c>
      <c r="C3494">
        <v>14856</v>
      </c>
      <c r="D3494" t="str">
        <f>PROPER(Transactions!D3494)</f>
        <v>Sports</v>
      </c>
      <c r="E3494" t="s">
        <v>155</v>
      </c>
      <c r="F3494" t="s">
        <v>156</v>
      </c>
      <c r="G3494">
        <v>1</v>
      </c>
      <c r="H3494">
        <v>19.989999999999998</v>
      </c>
      <c r="I3494" s="7">
        <f>IF(Transactions!I3494="",0,Transactions!I3494)</f>
        <v>0</v>
      </c>
      <c r="J3494" s="9">
        <f t="shared" si="54"/>
        <v>19.989999999999998</v>
      </c>
      <c r="K3494" t="s">
        <v>16</v>
      </c>
      <c r="L3494" t="s">
        <v>17</v>
      </c>
      <c r="M3494" t="str">
        <f>REPLACE(Transactions!M3494,1,4,"")</f>
        <v>1</v>
      </c>
    </row>
    <row r="3495" spans="1:13" x14ac:dyDescent="0.2">
      <c r="A3495">
        <v>679246</v>
      </c>
      <c r="B3495" s="5">
        <v>45161</v>
      </c>
      <c r="C3495">
        <v>80262</v>
      </c>
      <c r="D3495" t="str">
        <f>PROPER(Transactions!D3495)</f>
        <v>Sports</v>
      </c>
      <c r="E3495" t="s">
        <v>147</v>
      </c>
      <c r="F3495" t="s">
        <v>148</v>
      </c>
      <c r="G3495">
        <v>5</v>
      </c>
      <c r="H3495">
        <v>9.74</v>
      </c>
      <c r="I3495" s="7">
        <f>IF(Transactions!I3495="",0,Transactions!I3495)</f>
        <v>0.25</v>
      </c>
      <c r="J3495" s="9">
        <f t="shared" si="54"/>
        <v>36.525000000000006</v>
      </c>
      <c r="K3495" t="s">
        <v>22</v>
      </c>
      <c r="L3495" t="s">
        <v>17</v>
      </c>
      <c r="M3495" t="str">
        <f>REPLACE(Transactions!M3495,1,4,"")</f>
        <v>16</v>
      </c>
    </row>
    <row r="3496" spans="1:13" x14ac:dyDescent="0.2">
      <c r="A3496">
        <v>679266</v>
      </c>
      <c r="B3496" s="5">
        <v>45556</v>
      </c>
      <c r="C3496">
        <v>82757</v>
      </c>
      <c r="D3496" t="str">
        <f>PROPER(Transactions!D3496)</f>
        <v>Sports</v>
      </c>
      <c r="E3496" t="s">
        <v>100</v>
      </c>
      <c r="F3496" t="s">
        <v>101</v>
      </c>
      <c r="G3496">
        <v>5</v>
      </c>
      <c r="H3496">
        <v>19.54</v>
      </c>
      <c r="I3496" s="7">
        <f>IF(Transactions!I3496="",0,Transactions!I3496)</f>
        <v>0.15</v>
      </c>
      <c r="J3496" s="9">
        <f t="shared" si="54"/>
        <v>83.044999999999987</v>
      </c>
      <c r="K3496" t="s">
        <v>36</v>
      </c>
      <c r="L3496" t="s">
        <v>17</v>
      </c>
      <c r="M3496" t="str">
        <f>REPLACE(Transactions!M3496,1,4,"")</f>
        <v>5</v>
      </c>
    </row>
    <row r="3497" spans="1:13" x14ac:dyDescent="0.2">
      <c r="A3497">
        <v>679299</v>
      </c>
      <c r="B3497" s="5">
        <v>45308</v>
      </c>
      <c r="C3497">
        <v>96297</v>
      </c>
      <c r="D3497" t="str">
        <f>PROPER(Transactions!D3497)</f>
        <v>Toys</v>
      </c>
      <c r="E3497" t="s">
        <v>72</v>
      </c>
      <c r="F3497" t="s">
        <v>73</v>
      </c>
      <c r="G3497">
        <v>1</v>
      </c>
      <c r="H3497">
        <v>31.99</v>
      </c>
      <c r="I3497" s="7">
        <f>IF(Transactions!I3497="",0,Transactions!I3497)</f>
        <v>0.2</v>
      </c>
      <c r="J3497" s="9">
        <f t="shared" si="54"/>
        <v>25.591999999999999</v>
      </c>
      <c r="K3497" t="s">
        <v>16</v>
      </c>
      <c r="L3497" t="s">
        <v>37</v>
      </c>
      <c r="M3497" t="str">
        <f>REPLACE(Transactions!M3497,1,4,"")</f>
        <v>18</v>
      </c>
    </row>
    <row r="3498" spans="1:13" x14ac:dyDescent="0.2">
      <c r="A3498">
        <v>679299</v>
      </c>
      <c r="B3498" s="5">
        <v>44939</v>
      </c>
      <c r="C3498">
        <v>77364</v>
      </c>
      <c r="D3498" t="str">
        <f>PROPER(Transactions!D3498)</f>
        <v>Grocery</v>
      </c>
      <c r="E3498" t="s">
        <v>93</v>
      </c>
      <c r="F3498" t="s">
        <v>94</v>
      </c>
      <c r="G3498">
        <v>1</v>
      </c>
      <c r="H3498">
        <v>1.29</v>
      </c>
      <c r="I3498" s="7">
        <f>IF(Transactions!I3498="",0,Transactions!I3498)</f>
        <v>0</v>
      </c>
      <c r="J3498" s="9">
        <f t="shared" si="54"/>
        <v>1.29</v>
      </c>
      <c r="K3498" t="s">
        <v>16</v>
      </c>
      <c r="L3498" t="s">
        <v>17</v>
      </c>
      <c r="M3498" t="str">
        <f>REPLACE(Transactions!M3498,1,4,"")</f>
        <v>2</v>
      </c>
    </row>
    <row r="3499" spans="1:13" x14ac:dyDescent="0.2">
      <c r="A3499">
        <v>679606</v>
      </c>
      <c r="B3499" s="5">
        <v>44883</v>
      </c>
      <c r="C3499">
        <v>74122</v>
      </c>
      <c r="D3499" t="str">
        <f>PROPER(Transactions!D3499)</f>
        <v>Sports</v>
      </c>
      <c r="E3499" t="s">
        <v>188</v>
      </c>
      <c r="F3499" t="s">
        <v>189</v>
      </c>
      <c r="G3499">
        <v>2</v>
      </c>
      <c r="H3499">
        <v>44.99</v>
      </c>
      <c r="I3499" s="7">
        <f>IF(Transactions!I3499="",0,Transactions!I3499)</f>
        <v>0</v>
      </c>
      <c r="J3499" s="9">
        <f t="shared" si="54"/>
        <v>89.98</v>
      </c>
      <c r="K3499" t="s">
        <v>53</v>
      </c>
      <c r="L3499" t="s">
        <v>17</v>
      </c>
      <c r="M3499" t="str">
        <f>REPLACE(Transactions!M3499,1,4,"")</f>
        <v>2</v>
      </c>
    </row>
    <row r="3500" spans="1:13" x14ac:dyDescent="0.2">
      <c r="A3500">
        <v>679751</v>
      </c>
      <c r="B3500" s="5">
        <v>45244</v>
      </c>
      <c r="C3500">
        <v>80185</v>
      </c>
      <c r="D3500" t="str">
        <f>PROPER(Transactions!D3500)</f>
        <v>Electronics</v>
      </c>
      <c r="E3500" t="s">
        <v>79</v>
      </c>
      <c r="F3500" t="s">
        <v>80</v>
      </c>
      <c r="G3500">
        <v>4</v>
      </c>
      <c r="H3500">
        <v>76.489999999999995</v>
      </c>
      <c r="I3500" s="7">
        <f>IF(Transactions!I3500="",0,Transactions!I3500)</f>
        <v>0.15</v>
      </c>
      <c r="J3500" s="9">
        <f t="shared" si="54"/>
        <v>260.06599999999997</v>
      </c>
      <c r="K3500" t="s">
        <v>16</v>
      </c>
      <c r="L3500" t="s">
        <v>17</v>
      </c>
      <c r="M3500" t="str">
        <f>REPLACE(Transactions!M3500,1,4,"")</f>
        <v>13</v>
      </c>
    </row>
    <row r="3501" spans="1:13" x14ac:dyDescent="0.2">
      <c r="A3501">
        <v>680016</v>
      </c>
      <c r="B3501" s="5">
        <v>44788</v>
      </c>
      <c r="C3501">
        <v>62760</v>
      </c>
      <c r="D3501" t="str">
        <f>PROPER(Transactions!D3501)</f>
        <v>Toys</v>
      </c>
      <c r="E3501" t="s">
        <v>30</v>
      </c>
      <c r="F3501" t="s">
        <v>31</v>
      </c>
      <c r="G3501">
        <v>5</v>
      </c>
      <c r="H3501">
        <v>22.49</v>
      </c>
      <c r="I3501" s="7">
        <f>IF(Transactions!I3501="",0,Transactions!I3501)</f>
        <v>0.1</v>
      </c>
      <c r="J3501" s="9">
        <f t="shared" si="54"/>
        <v>101.205</v>
      </c>
      <c r="K3501" t="s">
        <v>95</v>
      </c>
      <c r="L3501" t="s">
        <v>23</v>
      </c>
      <c r="M3501" t="str">
        <f>REPLACE(Transactions!M3501,1,4,"")</f>
        <v>7</v>
      </c>
    </row>
    <row r="3502" spans="1:13" x14ac:dyDescent="0.2">
      <c r="A3502">
        <v>680099</v>
      </c>
      <c r="B3502" s="5">
        <v>44570</v>
      </c>
      <c r="C3502">
        <v>76628</v>
      </c>
      <c r="D3502" t="str">
        <f>PROPER(Transactions!D3502)</f>
        <v>Automotive</v>
      </c>
      <c r="E3502" t="s">
        <v>131</v>
      </c>
      <c r="F3502" t="s">
        <v>132</v>
      </c>
      <c r="G3502">
        <v>3</v>
      </c>
      <c r="H3502">
        <v>2.44</v>
      </c>
      <c r="I3502" s="7">
        <f>IF(Transactions!I3502="",0,Transactions!I3502)</f>
        <v>0.3</v>
      </c>
      <c r="J3502" s="9">
        <f t="shared" si="54"/>
        <v>5.1239999999999997</v>
      </c>
      <c r="K3502" t="s">
        <v>36</v>
      </c>
      <c r="L3502" t="s">
        <v>37</v>
      </c>
      <c r="M3502" t="str">
        <f>REPLACE(Transactions!M3502,1,4,"")</f>
        <v>10</v>
      </c>
    </row>
    <row r="3503" spans="1:13" x14ac:dyDescent="0.2">
      <c r="A3503">
        <v>680113</v>
      </c>
      <c r="B3503" s="5">
        <v>45159</v>
      </c>
      <c r="C3503">
        <v>71531</v>
      </c>
      <c r="D3503" t="str">
        <f>PROPER(Transactions!D3503)</f>
        <v>Grocery</v>
      </c>
      <c r="E3503" t="s">
        <v>133</v>
      </c>
      <c r="F3503" t="s">
        <v>134</v>
      </c>
      <c r="G3503">
        <v>2</v>
      </c>
      <c r="H3503">
        <v>3.41</v>
      </c>
      <c r="I3503" s="7">
        <f>IF(Transactions!I3503="",0,Transactions!I3503)</f>
        <v>0.1</v>
      </c>
      <c r="J3503" s="9">
        <f t="shared" si="54"/>
        <v>6.1380000000000008</v>
      </c>
      <c r="K3503" t="s">
        <v>16</v>
      </c>
      <c r="L3503" t="s">
        <v>17</v>
      </c>
      <c r="M3503" t="str">
        <f>REPLACE(Transactions!M3503,1,4,"")</f>
        <v/>
      </c>
    </row>
    <row r="3504" spans="1:13" x14ac:dyDescent="0.2">
      <c r="A3504">
        <v>680138</v>
      </c>
      <c r="B3504" s="5">
        <v>45054</v>
      </c>
      <c r="C3504">
        <v>56588</v>
      </c>
      <c r="D3504" t="str">
        <f>PROPER(Transactions!D3504)</f>
        <v>Grocery</v>
      </c>
      <c r="E3504" t="s">
        <v>107</v>
      </c>
      <c r="F3504" t="s">
        <v>108</v>
      </c>
      <c r="G3504">
        <v>2</v>
      </c>
      <c r="H3504">
        <v>3.49</v>
      </c>
      <c r="I3504" s="7">
        <f>IF(Transactions!I3504="",0,Transactions!I3504)</f>
        <v>0</v>
      </c>
      <c r="J3504" s="9">
        <f t="shared" si="54"/>
        <v>6.98</v>
      </c>
      <c r="K3504" t="s">
        <v>36</v>
      </c>
      <c r="L3504" t="s">
        <v>17</v>
      </c>
      <c r="M3504" t="str">
        <f>REPLACE(Transactions!M3504,1,4,"")</f>
        <v>15</v>
      </c>
    </row>
    <row r="3505" spans="1:13" x14ac:dyDescent="0.2">
      <c r="A3505">
        <v>680607</v>
      </c>
      <c r="B3505" s="5">
        <v>45286</v>
      </c>
      <c r="C3505">
        <v>60236</v>
      </c>
      <c r="D3505" t="str">
        <f>PROPER(Transactions!D3505)</f>
        <v>Furniture</v>
      </c>
      <c r="E3505" t="s">
        <v>113</v>
      </c>
      <c r="F3505" t="s">
        <v>114</v>
      </c>
      <c r="G3505">
        <v>1</v>
      </c>
      <c r="H3505">
        <v>113.99</v>
      </c>
      <c r="I3505" s="7">
        <f>IF(Transactions!I3505="",0,Transactions!I3505)</f>
        <v>0</v>
      </c>
      <c r="J3505" s="9">
        <f t="shared" si="54"/>
        <v>113.99</v>
      </c>
      <c r="K3505" t="s">
        <v>16</v>
      </c>
      <c r="L3505" t="s">
        <v>37</v>
      </c>
      <c r="M3505" t="str">
        <f>REPLACE(Transactions!M3505,1,4,"")</f>
        <v>10</v>
      </c>
    </row>
    <row r="3506" spans="1:13" x14ac:dyDescent="0.2">
      <c r="A3506">
        <v>680624</v>
      </c>
      <c r="B3506" s="5">
        <v>44989</v>
      </c>
      <c r="C3506">
        <v>12116</v>
      </c>
      <c r="D3506" t="str">
        <f>PROPER(Transactions!D3506)</f>
        <v>Automotive</v>
      </c>
      <c r="E3506" t="s">
        <v>68</v>
      </c>
      <c r="F3506" t="s">
        <v>69</v>
      </c>
      <c r="G3506">
        <v>5</v>
      </c>
      <c r="H3506">
        <v>18.739999999999998</v>
      </c>
      <c r="I3506" s="7">
        <f>IF(Transactions!I3506="",0,Transactions!I3506)</f>
        <v>0.25</v>
      </c>
      <c r="J3506" s="9">
        <f t="shared" si="54"/>
        <v>70.274999999999991</v>
      </c>
      <c r="K3506" t="s">
        <v>36</v>
      </c>
      <c r="L3506" t="s">
        <v>17</v>
      </c>
      <c r="M3506" t="str">
        <f>REPLACE(Transactions!M3506,1,4,"")</f>
        <v>14</v>
      </c>
    </row>
    <row r="3507" spans="1:13" x14ac:dyDescent="0.2">
      <c r="A3507">
        <v>681024</v>
      </c>
      <c r="B3507" s="5">
        <v>44927</v>
      </c>
      <c r="C3507">
        <v>84345</v>
      </c>
      <c r="D3507" t="str">
        <f>PROPER(Transactions!D3507)</f>
        <v>Home &amp; Garden</v>
      </c>
      <c r="E3507" t="s">
        <v>129</v>
      </c>
      <c r="F3507" t="s">
        <v>130</v>
      </c>
      <c r="G3507">
        <v>2</v>
      </c>
      <c r="H3507">
        <v>8.5399999999999991</v>
      </c>
      <c r="I3507" s="7">
        <f>IF(Transactions!I3507="",0,Transactions!I3507)</f>
        <v>0.05</v>
      </c>
      <c r="J3507" s="9">
        <f t="shared" si="54"/>
        <v>16.225999999999999</v>
      </c>
      <c r="K3507" t="s">
        <v>36</v>
      </c>
      <c r="L3507" t="s">
        <v>17</v>
      </c>
      <c r="M3507" t="str">
        <f>REPLACE(Transactions!M3507,1,4,"")</f>
        <v>13</v>
      </c>
    </row>
    <row r="3508" spans="1:13" x14ac:dyDescent="0.2">
      <c r="A3508">
        <v>681386</v>
      </c>
      <c r="B3508" s="5">
        <v>45034</v>
      </c>
      <c r="C3508">
        <v>32518</v>
      </c>
      <c r="D3508" t="str">
        <f>PROPER(Transactions!D3508)</f>
        <v>Automotive</v>
      </c>
      <c r="E3508" t="s">
        <v>68</v>
      </c>
      <c r="F3508" t="s">
        <v>69</v>
      </c>
      <c r="G3508">
        <v>1</v>
      </c>
      <c r="H3508">
        <v>21.24</v>
      </c>
      <c r="I3508" s="7">
        <f>IF(Transactions!I3508="",0,Transactions!I3508)</f>
        <v>0.15</v>
      </c>
      <c r="J3508" s="9">
        <f t="shared" si="54"/>
        <v>18.053999999999998</v>
      </c>
      <c r="K3508" t="s">
        <v>22</v>
      </c>
      <c r="L3508" t="s">
        <v>17</v>
      </c>
      <c r="M3508" t="str">
        <f>REPLACE(Transactions!M3508,1,4,"")</f>
        <v>8</v>
      </c>
    </row>
    <row r="3509" spans="1:13" x14ac:dyDescent="0.2">
      <c r="A3509">
        <v>681552</v>
      </c>
      <c r="B3509" s="5">
        <v>44850</v>
      </c>
      <c r="C3509">
        <v>23856</v>
      </c>
      <c r="D3509" t="str">
        <f>PROPER(Transactions!D3509)</f>
        <v>Furniture</v>
      </c>
      <c r="E3509" t="s">
        <v>60</v>
      </c>
      <c r="F3509" t="s">
        <v>61</v>
      </c>
      <c r="G3509">
        <v>1</v>
      </c>
      <c r="H3509">
        <v>54.99</v>
      </c>
      <c r="I3509" s="7">
        <f>IF(Transactions!I3509="",0,Transactions!I3509)</f>
        <v>0</v>
      </c>
      <c r="J3509" s="9">
        <f t="shared" si="54"/>
        <v>54.99</v>
      </c>
      <c r="K3509" t="s">
        <v>16</v>
      </c>
      <c r="L3509" t="s">
        <v>17</v>
      </c>
      <c r="M3509" t="str">
        <f>REPLACE(Transactions!M3509,1,4,"")</f>
        <v>11</v>
      </c>
    </row>
    <row r="3510" spans="1:13" x14ac:dyDescent="0.2">
      <c r="A3510">
        <v>681608</v>
      </c>
      <c r="B3510" s="5">
        <v>45367</v>
      </c>
      <c r="C3510">
        <v>46607</v>
      </c>
      <c r="D3510" t="str">
        <f>PROPER(Transactions!D3510)</f>
        <v>Automotive</v>
      </c>
      <c r="E3510" t="s">
        <v>64</v>
      </c>
      <c r="F3510" t="s">
        <v>65</v>
      </c>
      <c r="G3510">
        <v>1</v>
      </c>
      <c r="H3510">
        <v>3.49</v>
      </c>
      <c r="I3510" s="7">
        <f>IF(Transactions!I3510="",0,Transactions!I3510)</f>
        <v>0.3</v>
      </c>
      <c r="J3510" s="9">
        <f t="shared" si="54"/>
        <v>2.4430000000000001</v>
      </c>
      <c r="K3510" t="s">
        <v>53</v>
      </c>
      <c r="L3510" t="s">
        <v>17</v>
      </c>
      <c r="M3510" t="str">
        <f>REPLACE(Transactions!M3510,1,4,"")</f>
        <v>11</v>
      </c>
    </row>
    <row r="3511" spans="1:13" x14ac:dyDescent="0.2">
      <c r="A3511">
        <v>681698</v>
      </c>
      <c r="B3511" s="5">
        <v>45510</v>
      </c>
      <c r="C3511">
        <v>99969</v>
      </c>
      <c r="D3511" t="str">
        <f>PROPER(Transactions!D3511)</f>
        <v>Automotive</v>
      </c>
      <c r="E3511" t="s">
        <v>125</v>
      </c>
      <c r="F3511" t="s">
        <v>126</v>
      </c>
      <c r="G3511">
        <v>5</v>
      </c>
      <c r="H3511">
        <v>20.99</v>
      </c>
      <c r="I3511" s="7">
        <f>IF(Transactions!I3511="",0,Transactions!I3511)</f>
        <v>0.3</v>
      </c>
      <c r="J3511" s="9">
        <f t="shared" si="54"/>
        <v>73.464999999999989</v>
      </c>
      <c r="K3511" t="s">
        <v>36</v>
      </c>
      <c r="L3511" t="s">
        <v>37</v>
      </c>
      <c r="M3511" t="str">
        <f>REPLACE(Transactions!M3511,1,4,"")</f>
        <v>1</v>
      </c>
    </row>
    <row r="3512" spans="1:13" x14ac:dyDescent="0.2">
      <c r="A3512">
        <v>682032</v>
      </c>
      <c r="B3512" s="5">
        <v>45326</v>
      </c>
      <c r="C3512">
        <v>61653</v>
      </c>
      <c r="D3512" t="str">
        <f>PROPER(Transactions!D3512)</f>
        <v>Grocery</v>
      </c>
      <c r="E3512" t="s">
        <v>172</v>
      </c>
      <c r="F3512" t="s">
        <v>173</v>
      </c>
      <c r="G3512">
        <v>2</v>
      </c>
      <c r="H3512">
        <v>4.49</v>
      </c>
      <c r="I3512" s="7">
        <f>IF(Transactions!I3512="",0,Transactions!I3512)</f>
        <v>0</v>
      </c>
      <c r="J3512" s="9">
        <f t="shared" si="54"/>
        <v>8.98</v>
      </c>
      <c r="K3512" t="s">
        <v>36</v>
      </c>
      <c r="L3512" t="s">
        <v>17</v>
      </c>
      <c r="M3512" t="str">
        <f>REPLACE(Transactions!M3512,1,4,"")</f>
        <v>2</v>
      </c>
    </row>
    <row r="3513" spans="1:13" x14ac:dyDescent="0.2">
      <c r="A3513">
        <v>682075</v>
      </c>
      <c r="B3513" s="5">
        <v>45308</v>
      </c>
      <c r="C3513">
        <v>41203</v>
      </c>
      <c r="D3513" t="str">
        <f>PROPER(Transactions!D3513)</f>
        <v>Toys</v>
      </c>
      <c r="E3513" t="s">
        <v>170</v>
      </c>
      <c r="F3513" t="s">
        <v>171</v>
      </c>
      <c r="G3513">
        <v>3</v>
      </c>
      <c r="H3513">
        <v>11.99</v>
      </c>
      <c r="I3513" s="7">
        <f>IF(Transactions!I3513="",0,Transactions!I3513)</f>
        <v>0.2</v>
      </c>
      <c r="J3513" s="9">
        <f t="shared" si="54"/>
        <v>28.776</v>
      </c>
      <c r="K3513" t="s">
        <v>22</v>
      </c>
      <c r="L3513" t="s">
        <v>17</v>
      </c>
      <c r="M3513" t="str">
        <f>REPLACE(Transactions!M3513,1,4,"")</f>
        <v>2</v>
      </c>
    </row>
    <row r="3514" spans="1:13" x14ac:dyDescent="0.2">
      <c r="A3514">
        <v>682354</v>
      </c>
      <c r="B3514" s="5">
        <v>44833</v>
      </c>
      <c r="C3514">
        <v>26919</v>
      </c>
      <c r="D3514" t="str">
        <f>PROPER(Transactions!D3514)</f>
        <v>Beauty</v>
      </c>
      <c r="E3514" t="s">
        <v>49</v>
      </c>
      <c r="F3514" t="s">
        <v>50</v>
      </c>
      <c r="G3514">
        <v>1</v>
      </c>
      <c r="H3514">
        <v>8.09</v>
      </c>
      <c r="I3514" s="7">
        <f>IF(Transactions!I3514="",0,Transactions!I3514)</f>
        <v>0.1</v>
      </c>
      <c r="J3514" s="9">
        <f t="shared" si="54"/>
        <v>7.2809999999999997</v>
      </c>
      <c r="K3514" t="s">
        <v>22</v>
      </c>
      <c r="L3514" t="s">
        <v>17</v>
      </c>
      <c r="M3514" t="str">
        <f>REPLACE(Transactions!M3514,1,4,"")</f>
        <v>9</v>
      </c>
    </row>
    <row r="3515" spans="1:13" x14ac:dyDescent="0.2">
      <c r="A3515">
        <v>682376</v>
      </c>
      <c r="B3515" s="5">
        <v>45270</v>
      </c>
      <c r="C3515">
        <v>49030</v>
      </c>
      <c r="D3515" t="str">
        <f>PROPER(Transactions!D3515)</f>
        <v>Toys</v>
      </c>
      <c r="E3515" t="s">
        <v>175</v>
      </c>
      <c r="F3515" t="s">
        <v>176</v>
      </c>
      <c r="G3515">
        <v>4</v>
      </c>
      <c r="H3515">
        <v>11.39</v>
      </c>
      <c r="I3515" s="7">
        <f>IF(Transactions!I3515="",0,Transactions!I3515)</f>
        <v>0.05</v>
      </c>
      <c r="J3515" s="9">
        <f t="shared" si="54"/>
        <v>43.282000000000004</v>
      </c>
      <c r="K3515" t="s">
        <v>36</v>
      </c>
      <c r="L3515" t="s">
        <v>17</v>
      </c>
      <c r="M3515" t="str">
        <f>REPLACE(Transactions!M3515,1,4,"")</f>
        <v>1</v>
      </c>
    </row>
    <row r="3516" spans="1:13" x14ac:dyDescent="0.2">
      <c r="A3516">
        <v>682378</v>
      </c>
      <c r="B3516" s="5">
        <v>45255</v>
      </c>
      <c r="C3516">
        <v>50049</v>
      </c>
      <c r="D3516" t="str">
        <f>PROPER(Transactions!D3516)</f>
        <v>Beauty</v>
      </c>
      <c r="E3516" t="s">
        <v>179</v>
      </c>
      <c r="F3516" t="s">
        <v>180</v>
      </c>
      <c r="G3516">
        <v>3</v>
      </c>
      <c r="H3516">
        <v>11.99</v>
      </c>
      <c r="I3516" s="7">
        <f>IF(Transactions!I3516="",0,Transactions!I3516)</f>
        <v>0</v>
      </c>
      <c r="J3516" s="9">
        <f t="shared" si="54"/>
        <v>35.97</v>
      </c>
      <c r="K3516" t="s">
        <v>16</v>
      </c>
      <c r="L3516" t="s">
        <v>17</v>
      </c>
      <c r="M3516" t="str">
        <f>REPLACE(Transactions!M3516,1,4,"")</f>
        <v>16</v>
      </c>
    </row>
    <row r="3517" spans="1:13" x14ac:dyDescent="0.2">
      <c r="A3517">
        <v>682478</v>
      </c>
      <c r="B3517" s="5">
        <v>45049</v>
      </c>
      <c r="C3517">
        <v>41826</v>
      </c>
      <c r="D3517" t="str">
        <f>PROPER(Transactions!D3517)</f>
        <v>Pharmacy</v>
      </c>
      <c r="E3517" t="s">
        <v>197</v>
      </c>
      <c r="F3517" t="s">
        <v>198</v>
      </c>
      <c r="G3517">
        <v>1</v>
      </c>
      <c r="H3517">
        <v>11.99</v>
      </c>
      <c r="I3517" s="7">
        <f>IF(Transactions!I3517="",0,Transactions!I3517)</f>
        <v>0.2</v>
      </c>
      <c r="J3517" s="9">
        <f t="shared" si="54"/>
        <v>9.5920000000000005</v>
      </c>
      <c r="K3517" t="s">
        <v>16</v>
      </c>
      <c r="L3517" t="s">
        <v>37</v>
      </c>
      <c r="M3517" t="str">
        <f>REPLACE(Transactions!M3517,1,4,"")</f>
        <v>17</v>
      </c>
    </row>
    <row r="3518" spans="1:13" x14ac:dyDescent="0.2">
      <c r="A3518">
        <v>682597</v>
      </c>
      <c r="B3518" s="5">
        <v>44989</v>
      </c>
      <c r="C3518">
        <v>50461</v>
      </c>
      <c r="D3518" t="str">
        <f>PROPER(Transactions!D3518)</f>
        <v>Pharmacy</v>
      </c>
      <c r="E3518" t="s">
        <v>115</v>
      </c>
      <c r="F3518" t="s">
        <v>116</v>
      </c>
      <c r="G3518">
        <v>2</v>
      </c>
      <c r="H3518">
        <v>12.99</v>
      </c>
      <c r="I3518" s="7">
        <f>IF(Transactions!I3518="",0,Transactions!I3518)</f>
        <v>0</v>
      </c>
      <c r="J3518" s="9">
        <f t="shared" si="54"/>
        <v>25.98</v>
      </c>
      <c r="K3518" t="s">
        <v>95</v>
      </c>
      <c r="L3518" t="s">
        <v>17</v>
      </c>
      <c r="M3518" t="str">
        <f>REPLACE(Transactions!M3518,1,4,"")</f>
        <v>4</v>
      </c>
    </row>
    <row r="3519" spans="1:13" x14ac:dyDescent="0.2">
      <c r="A3519">
        <v>683105</v>
      </c>
      <c r="B3519" s="5">
        <v>45100</v>
      </c>
      <c r="C3519">
        <v>89066</v>
      </c>
      <c r="D3519" t="str">
        <f>PROPER(Transactions!D3519)</f>
        <v>Sports</v>
      </c>
      <c r="E3519" t="s">
        <v>168</v>
      </c>
      <c r="F3519" t="s">
        <v>169</v>
      </c>
      <c r="G3519">
        <v>2</v>
      </c>
      <c r="H3519">
        <v>8.99</v>
      </c>
      <c r="I3519" s="7">
        <f>IF(Transactions!I3519="",0,Transactions!I3519)</f>
        <v>0</v>
      </c>
      <c r="J3519" s="9">
        <f t="shared" si="54"/>
        <v>17.98</v>
      </c>
      <c r="K3519" t="s">
        <v>16</v>
      </c>
      <c r="L3519" t="s">
        <v>37</v>
      </c>
      <c r="M3519" t="str">
        <f>REPLACE(Transactions!M3519,1,4,"")</f>
        <v>12</v>
      </c>
    </row>
    <row r="3520" spans="1:13" x14ac:dyDescent="0.2">
      <c r="A3520">
        <v>683202</v>
      </c>
      <c r="B3520" s="5">
        <v>44747</v>
      </c>
      <c r="C3520">
        <v>91652</v>
      </c>
      <c r="D3520" t="str">
        <f>PROPER(Transactions!D3520)</f>
        <v>Clothing</v>
      </c>
      <c r="E3520" t="s">
        <v>151</v>
      </c>
      <c r="F3520" t="s">
        <v>152</v>
      </c>
      <c r="G3520">
        <v>1</v>
      </c>
      <c r="H3520">
        <v>26.24</v>
      </c>
      <c r="I3520" s="7">
        <f>IF(Transactions!I3520="",0,Transactions!I3520)</f>
        <v>0.25</v>
      </c>
      <c r="J3520" s="9">
        <f t="shared" si="54"/>
        <v>19.68</v>
      </c>
      <c r="K3520" t="s">
        <v>22</v>
      </c>
      <c r="L3520" t="s">
        <v>17</v>
      </c>
      <c r="M3520" t="str">
        <f>REPLACE(Transactions!M3520,1,4,"")</f>
        <v>8</v>
      </c>
    </row>
    <row r="3521" spans="1:13" x14ac:dyDescent="0.2">
      <c r="A3521">
        <v>683222</v>
      </c>
      <c r="B3521" s="5">
        <v>44915</v>
      </c>
      <c r="C3521">
        <v>77626</v>
      </c>
      <c r="D3521" t="str">
        <f>PROPER(Transactions!D3521)</f>
        <v>Furniture</v>
      </c>
      <c r="E3521" t="s">
        <v>60</v>
      </c>
      <c r="F3521" t="s">
        <v>61</v>
      </c>
      <c r="G3521">
        <v>5</v>
      </c>
      <c r="H3521">
        <v>43.99</v>
      </c>
      <c r="I3521" s="7">
        <f>IF(Transactions!I3521="",0,Transactions!I3521)</f>
        <v>0.2</v>
      </c>
      <c r="J3521" s="9">
        <f t="shared" si="54"/>
        <v>175.96000000000004</v>
      </c>
      <c r="K3521" t="s">
        <v>16</v>
      </c>
      <c r="L3521" t="s">
        <v>17</v>
      </c>
      <c r="M3521" t="str">
        <f>REPLACE(Transactions!M3521,1,4,"")</f>
        <v>9</v>
      </c>
    </row>
    <row r="3522" spans="1:13" x14ac:dyDescent="0.2">
      <c r="A3522">
        <v>683452</v>
      </c>
      <c r="B3522" s="5">
        <v>45642</v>
      </c>
      <c r="C3522">
        <v>89461</v>
      </c>
      <c r="D3522" t="str">
        <f>PROPER(Transactions!D3522)</f>
        <v>Sports</v>
      </c>
      <c r="E3522" t="s">
        <v>147</v>
      </c>
      <c r="F3522" t="s">
        <v>148</v>
      </c>
      <c r="G3522">
        <v>1</v>
      </c>
      <c r="H3522">
        <v>11.69</v>
      </c>
      <c r="I3522" s="7">
        <f>IF(Transactions!I3522="",0,Transactions!I3522)</f>
        <v>0.1</v>
      </c>
      <c r="J3522" s="9">
        <f t="shared" si="54"/>
        <v>10.520999999999999</v>
      </c>
      <c r="K3522" t="s">
        <v>36</v>
      </c>
      <c r="L3522" t="s">
        <v>37</v>
      </c>
      <c r="M3522" t="str">
        <f>REPLACE(Transactions!M3522,1,4,"")</f>
        <v>7</v>
      </c>
    </row>
    <row r="3523" spans="1:13" x14ac:dyDescent="0.2">
      <c r="A3523">
        <v>683533</v>
      </c>
      <c r="B3523" s="5">
        <v>44825</v>
      </c>
      <c r="C3523">
        <v>21583</v>
      </c>
      <c r="D3523" t="str">
        <f>PROPER(Transactions!D3523)</f>
        <v>Furniture</v>
      </c>
      <c r="E3523" t="s">
        <v>60</v>
      </c>
      <c r="F3523" t="s">
        <v>61</v>
      </c>
      <c r="G3523">
        <v>4</v>
      </c>
      <c r="H3523">
        <v>49.49</v>
      </c>
      <c r="I3523" s="7">
        <f>IF(Transactions!I3523="",0,Transactions!I3523)</f>
        <v>0.1</v>
      </c>
      <c r="J3523" s="9">
        <f t="shared" ref="J3523:J3586" si="55">(H3523*G3523)*(1-I3523)</f>
        <v>178.16400000000002</v>
      </c>
      <c r="K3523" t="s">
        <v>36</v>
      </c>
      <c r="L3523" t="s">
        <v>17</v>
      </c>
      <c r="M3523" t="str">
        <f>REPLACE(Transactions!M3523,1,4,"")</f>
        <v/>
      </c>
    </row>
    <row r="3524" spans="1:13" x14ac:dyDescent="0.2">
      <c r="A3524">
        <v>683715</v>
      </c>
      <c r="B3524" s="5">
        <v>44695</v>
      </c>
      <c r="C3524">
        <v>48699</v>
      </c>
      <c r="D3524" t="str">
        <f>PROPER(Transactions!D3524)</f>
        <v>Toys</v>
      </c>
      <c r="E3524" t="s">
        <v>72</v>
      </c>
      <c r="F3524" t="s">
        <v>73</v>
      </c>
      <c r="G3524">
        <v>4</v>
      </c>
      <c r="H3524">
        <v>39.99</v>
      </c>
      <c r="I3524" s="7">
        <f>IF(Transactions!I3524="",0,Transactions!I3524)</f>
        <v>0</v>
      </c>
      <c r="J3524" s="9">
        <f t="shared" si="55"/>
        <v>159.96</v>
      </c>
      <c r="K3524" t="s">
        <v>22</v>
      </c>
      <c r="L3524" t="s">
        <v>17</v>
      </c>
      <c r="M3524" t="str">
        <f>REPLACE(Transactions!M3524,1,4,"")</f>
        <v>15</v>
      </c>
    </row>
    <row r="3525" spans="1:13" x14ac:dyDescent="0.2">
      <c r="A3525">
        <v>683968</v>
      </c>
      <c r="B3525" s="5">
        <v>44722</v>
      </c>
      <c r="C3525">
        <v>95859</v>
      </c>
      <c r="D3525" t="str">
        <f>PROPER(Transactions!D3525)</f>
        <v>Clothing</v>
      </c>
      <c r="E3525" t="s">
        <v>165</v>
      </c>
      <c r="F3525" t="s">
        <v>166</v>
      </c>
      <c r="G3525">
        <v>2</v>
      </c>
      <c r="H3525">
        <v>71.989999999999995</v>
      </c>
      <c r="I3525" s="7">
        <f>IF(Transactions!I3525="",0,Transactions!I3525)</f>
        <v>0.2</v>
      </c>
      <c r="J3525" s="9">
        <f t="shared" si="55"/>
        <v>115.184</v>
      </c>
      <c r="K3525" t="s">
        <v>16</v>
      </c>
      <c r="L3525" t="s">
        <v>37</v>
      </c>
      <c r="M3525" t="str">
        <f>REPLACE(Transactions!M3525,1,4,"")</f>
        <v>4</v>
      </c>
    </row>
    <row r="3526" spans="1:13" x14ac:dyDescent="0.2">
      <c r="A3526">
        <v>684132</v>
      </c>
      <c r="B3526" s="5">
        <v>45489</v>
      </c>
      <c r="C3526">
        <v>38557</v>
      </c>
      <c r="D3526" t="str">
        <f>PROPER(Transactions!D3526)</f>
        <v>Grocery</v>
      </c>
      <c r="E3526" t="s">
        <v>74</v>
      </c>
      <c r="F3526" t="s">
        <v>75</v>
      </c>
      <c r="G3526">
        <v>4</v>
      </c>
      <c r="H3526">
        <v>2.09</v>
      </c>
      <c r="I3526" s="7">
        <f>IF(Transactions!I3526="",0,Transactions!I3526)</f>
        <v>0.3</v>
      </c>
      <c r="J3526" s="9">
        <f t="shared" si="55"/>
        <v>5.8519999999999994</v>
      </c>
      <c r="K3526" t="s">
        <v>36</v>
      </c>
      <c r="L3526" t="s">
        <v>17</v>
      </c>
      <c r="M3526" t="str">
        <f>REPLACE(Transactions!M3526,1,4,"")</f>
        <v/>
      </c>
    </row>
    <row r="3527" spans="1:13" x14ac:dyDescent="0.2">
      <c r="A3527">
        <v>684174</v>
      </c>
      <c r="B3527" s="5">
        <v>45526</v>
      </c>
      <c r="C3527">
        <v>49692</v>
      </c>
      <c r="D3527" t="str">
        <f>PROPER(Transactions!D3527)</f>
        <v>Automotive</v>
      </c>
      <c r="E3527" t="s">
        <v>68</v>
      </c>
      <c r="F3527" t="s">
        <v>69</v>
      </c>
      <c r="G3527">
        <v>1</v>
      </c>
      <c r="H3527">
        <v>24.99</v>
      </c>
      <c r="I3527" s="7">
        <f>IF(Transactions!I3527="",0,Transactions!I3527)</f>
        <v>0</v>
      </c>
      <c r="J3527" s="9">
        <f t="shared" si="55"/>
        <v>24.99</v>
      </c>
      <c r="K3527" t="s">
        <v>22</v>
      </c>
      <c r="L3527" t="s">
        <v>17</v>
      </c>
      <c r="M3527" t="str">
        <f>REPLACE(Transactions!M3527,1,4,"")</f>
        <v>7</v>
      </c>
    </row>
    <row r="3528" spans="1:13" x14ac:dyDescent="0.2">
      <c r="A3528">
        <v>684480</v>
      </c>
      <c r="B3528" s="5">
        <v>45197</v>
      </c>
      <c r="C3528">
        <v>45438</v>
      </c>
      <c r="D3528" t="str">
        <f>PROPER(Transactions!D3528)</f>
        <v>Clothing</v>
      </c>
      <c r="E3528" t="s">
        <v>151</v>
      </c>
      <c r="F3528" t="s">
        <v>152</v>
      </c>
      <c r="G3528">
        <v>1</v>
      </c>
      <c r="H3528">
        <v>34.99</v>
      </c>
      <c r="I3528" s="7">
        <f>IF(Transactions!I3528="",0,Transactions!I3528)</f>
        <v>0</v>
      </c>
      <c r="J3528" s="9">
        <f t="shared" si="55"/>
        <v>34.99</v>
      </c>
      <c r="K3528" t="s">
        <v>53</v>
      </c>
      <c r="L3528" t="s">
        <v>17</v>
      </c>
      <c r="M3528" t="str">
        <f>REPLACE(Transactions!M3528,1,4,"")</f>
        <v>19</v>
      </c>
    </row>
    <row r="3529" spans="1:13" x14ac:dyDescent="0.2">
      <c r="A3529">
        <v>684488</v>
      </c>
      <c r="B3529" s="5">
        <v>45392</v>
      </c>
      <c r="C3529">
        <v>70460</v>
      </c>
      <c r="D3529" t="str">
        <f>PROPER(Transactions!D3529)</f>
        <v>Sports</v>
      </c>
      <c r="E3529" t="s">
        <v>155</v>
      </c>
      <c r="F3529" t="s">
        <v>156</v>
      </c>
      <c r="G3529">
        <v>2</v>
      </c>
      <c r="H3529">
        <v>13.99</v>
      </c>
      <c r="I3529" s="7">
        <f>IF(Transactions!I3529="",0,Transactions!I3529)</f>
        <v>0.3</v>
      </c>
      <c r="J3529" s="9">
        <f t="shared" si="55"/>
        <v>19.585999999999999</v>
      </c>
      <c r="K3529" t="s">
        <v>16</v>
      </c>
      <c r="L3529" t="s">
        <v>17</v>
      </c>
      <c r="M3529" t="str">
        <f>REPLACE(Transactions!M3529,1,4,"")</f>
        <v>5</v>
      </c>
    </row>
    <row r="3530" spans="1:13" x14ac:dyDescent="0.2">
      <c r="A3530">
        <v>684599</v>
      </c>
      <c r="B3530" s="5">
        <v>45251</v>
      </c>
      <c r="C3530">
        <v>71581</v>
      </c>
      <c r="D3530" t="str">
        <f>PROPER(Transactions!D3530)</f>
        <v>Beauty</v>
      </c>
      <c r="E3530" t="s">
        <v>109</v>
      </c>
      <c r="F3530" t="s">
        <v>110</v>
      </c>
      <c r="G3530">
        <v>1</v>
      </c>
      <c r="H3530">
        <v>6.64</v>
      </c>
      <c r="I3530" s="7">
        <f>IF(Transactions!I3530="",0,Transactions!I3530)</f>
        <v>0.05</v>
      </c>
      <c r="J3530" s="9">
        <f t="shared" si="55"/>
        <v>6.3079999999999998</v>
      </c>
      <c r="K3530" t="s">
        <v>36</v>
      </c>
      <c r="L3530" t="s">
        <v>37</v>
      </c>
      <c r="M3530" t="str">
        <f>REPLACE(Transactions!M3530,1,4,"")</f>
        <v>7</v>
      </c>
    </row>
    <row r="3531" spans="1:13" x14ac:dyDescent="0.2">
      <c r="A3531">
        <v>684776</v>
      </c>
      <c r="B3531" s="5">
        <v>45079</v>
      </c>
      <c r="C3531">
        <v>15988</v>
      </c>
      <c r="D3531" t="str">
        <f>PROPER(Transactions!D3531)</f>
        <v>Automotive</v>
      </c>
      <c r="E3531" t="s">
        <v>68</v>
      </c>
      <c r="F3531" t="s">
        <v>69</v>
      </c>
      <c r="G3531">
        <v>1</v>
      </c>
      <c r="H3531">
        <v>19.989999999999998</v>
      </c>
      <c r="I3531" s="7">
        <f>IF(Transactions!I3531="",0,Transactions!I3531)</f>
        <v>0.2</v>
      </c>
      <c r="J3531" s="9">
        <f t="shared" si="55"/>
        <v>15.991999999999999</v>
      </c>
      <c r="K3531" t="s">
        <v>36</v>
      </c>
      <c r="L3531" t="s">
        <v>37</v>
      </c>
      <c r="M3531" t="str">
        <f>REPLACE(Transactions!M3531,1,4,"")</f>
        <v>3</v>
      </c>
    </row>
    <row r="3532" spans="1:13" x14ac:dyDescent="0.2">
      <c r="A3532">
        <v>684862</v>
      </c>
      <c r="B3532" s="5">
        <v>44736</v>
      </c>
      <c r="C3532">
        <v>63760</v>
      </c>
      <c r="D3532" t="str">
        <f>PROPER(Transactions!D3532)</f>
        <v>Automotive</v>
      </c>
      <c r="E3532" t="s">
        <v>131</v>
      </c>
      <c r="F3532" t="s">
        <v>132</v>
      </c>
      <c r="G3532">
        <v>3</v>
      </c>
      <c r="H3532">
        <v>3.49</v>
      </c>
      <c r="I3532" s="7">
        <f>IF(Transactions!I3532="",0,Transactions!I3532)</f>
        <v>0</v>
      </c>
      <c r="J3532" s="9">
        <f t="shared" si="55"/>
        <v>10.47</v>
      </c>
      <c r="K3532" t="s">
        <v>32</v>
      </c>
      <c r="L3532" t="s">
        <v>23</v>
      </c>
      <c r="M3532" t="str">
        <f>REPLACE(Transactions!M3532,1,4,"")</f>
        <v>14</v>
      </c>
    </row>
    <row r="3533" spans="1:13" x14ac:dyDescent="0.2">
      <c r="A3533">
        <v>685219</v>
      </c>
      <c r="B3533" s="5">
        <v>44791</v>
      </c>
      <c r="C3533">
        <v>53045</v>
      </c>
      <c r="D3533" t="str">
        <f>PROPER(Transactions!D3533)</f>
        <v>Clothing</v>
      </c>
      <c r="E3533" t="s">
        <v>121</v>
      </c>
      <c r="F3533" t="s">
        <v>122</v>
      </c>
      <c r="G3533">
        <v>2</v>
      </c>
      <c r="H3533">
        <v>10.39</v>
      </c>
      <c r="I3533" s="7">
        <f>IF(Transactions!I3533="",0,Transactions!I3533)</f>
        <v>0.2</v>
      </c>
      <c r="J3533" s="9">
        <f t="shared" si="55"/>
        <v>16.624000000000002</v>
      </c>
      <c r="K3533" t="s">
        <v>16</v>
      </c>
      <c r="L3533" t="s">
        <v>37</v>
      </c>
      <c r="M3533" t="str">
        <f>REPLACE(Transactions!M3533,1,4,"")</f>
        <v>9</v>
      </c>
    </row>
    <row r="3534" spans="1:13" x14ac:dyDescent="0.2">
      <c r="A3534">
        <v>685343</v>
      </c>
      <c r="B3534" s="5">
        <v>45142</v>
      </c>
      <c r="C3534">
        <v>96581</v>
      </c>
      <c r="D3534" t="str">
        <f>PROPER(Transactions!D3534)</f>
        <v>Pharmacy</v>
      </c>
      <c r="E3534" t="s">
        <v>41</v>
      </c>
      <c r="F3534" t="s">
        <v>42</v>
      </c>
      <c r="G3534">
        <v>5</v>
      </c>
      <c r="H3534">
        <v>4.79</v>
      </c>
      <c r="I3534" s="7">
        <f>IF(Transactions!I3534="",0,Transactions!I3534)</f>
        <v>0.2</v>
      </c>
      <c r="J3534" s="9">
        <f t="shared" si="55"/>
        <v>19.16</v>
      </c>
      <c r="K3534" t="s">
        <v>16</v>
      </c>
      <c r="L3534" t="s">
        <v>17</v>
      </c>
      <c r="M3534" t="str">
        <f>REPLACE(Transactions!M3534,1,4,"")</f>
        <v>15</v>
      </c>
    </row>
    <row r="3535" spans="1:13" x14ac:dyDescent="0.2">
      <c r="A3535">
        <v>685600</v>
      </c>
      <c r="B3535" s="5">
        <v>45130</v>
      </c>
      <c r="C3535">
        <v>29925</v>
      </c>
      <c r="D3535" t="str">
        <f>PROPER(Transactions!D3535)</f>
        <v>Clothing</v>
      </c>
      <c r="E3535" t="s">
        <v>141</v>
      </c>
      <c r="F3535" t="s">
        <v>142</v>
      </c>
      <c r="G3535">
        <v>5</v>
      </c>
      <c r="H3535">
        <v>22.99</v>
      </c>
      <c r="I3535" s="7">
        <f>IF(Transactions!I3535="",0,Transactions!I3535)</f>
        <v>0</v>
      </c>
      <c r="J3535" s="9">
        <f t="shared" si="55"/>
        <v>114.94999999999999</v>
      </c>
      <c r="K3535" t="s">
        <v>36</v>
      </c>
      <c r="L3535" t="s">
        <v>17</v>
      </c>
      <c r="M3535" t="str">
        <f>REPLACE(Transactions!M3535,1,4,"")</f>
        <v>3</v>
      </c>
    </row>
    <row r="3536" spans="1:13" x14ac:dyDescent="0.2">
      <c r="A3536">
        <v>685675</v>
      </c>
      <c r="B3536" s="5">
        <v>45036</v>
      </c>
      <c r="C3536">
        <v>36321</v>
      </c>
      <c r="D3536" t="str">
        <f>PROPER(Transactions!D3536)</f>
        <v>Home &amp; Garden</v>
      </c>
      <c r="E3536" t="s">
        <v>129</v>
      </c>
      <c r="F3536" t="s">
        <v>130</v>
      </c>
      <c r="G3536">
        <v>1</v>
      </c>
      <c r="H3536">
        <v>7.64</v>
      </c>
      <c r="I3536" s="7">
        <f>IF(Transactions!I3536="",0,Transactions!I3536)</f>
        <v>0.15</v>
      </c>
      <c r="J3536" s="9">
        <f t="shared" si="55"/>
        <v>6.4939999999999998</v>
      </c>
      <c r="K3536" t="s">
        <v>95</v>
      </c>
      <c r="L3536" t="s">
        <v>17</v>
      </c>
      <c r="M3536" t="str">
        <f>REPLACE(Transactions!M3536,1,4,"")</f>
        <v>11</v>
      </c>
    </row>
    <row r="3537" spans="1:13" x14ac:dyDescent="0.2">
      <c r="A3537">
        <v>685676</v>
      </c>
      <c r="B3537" s="5">
        <v>44781</v>
      </c>
      <c r="D3537" t="str">
        <f>PROPER(Transactions!D3537)</f>
        <v>Sports</v>
      </c>
      <c r="E3537" t="s">
        <v>168</v>
      </c>
      <c r="F3537" t="s">
        <v>169</v>
      </c>
      <c r="G3537">
        <v>2</v>
      </c>
      <c r="H3537">
        <v>8.99</v>
      </c>
      <c r="I3537" s="7">
        <f>IF(Transactions!I3537="",0,Transactions!I3537)</f>
        <v>0</v>
      </c>
      <c r="J3537" s="9">
        <f t="shared" si="55"/>
        <v>17.98</v>
      </c>
      <c r="K3537" t="s">
        <v>22</v>
      </c>
      <c r="L3537" t="s">
        <v>17</v>
      </c>
      <c r="M3537" t="str">
        <f>REPLACE(Transactions!M3537,1,4,"")</f>
        <v>9</v>
      </c>
    </row>
    <row r="3538" spans="1:13" x14ac:dyDescent="0.2">
      <c r="A3538">
        <v>685698</v>
      </c>
      <c r="B3538" s="5">
        <v>44922</v>
      </c>
      <c r="C3538">
        <v>42362</v>
      </c>
      <c r="D3538" t="str">
        <f>PROPER(Transactions!D3538)</f>
        <v>Home &amp; Garden</v>
      </c>
      <c r="E3538" t="s">
        <v>153</v>
      </c>
      <c r="F3538" t="s">
        <v>154</v>
      </c>
      <c r="G3538">
        <v>1</v>
      </c>
      <c r="H3538">
        <v>26.99</v>
      </c>
      <c r="I3538" s="7">
        <f>IF(Transactions!I3538="",0,Transactions!I3538)</f>
        <v>0.1</v>
      </c>
      <c r="J3538" s="9">
        <f t="shared" si="55"/>
        <v>24.291</v>
      </c>
      <c r="K3538" t="s">
        <v>66</v>
      </c>
      <c r="L3538" t="s">
        <v>17</v>
      </c>
      <c r="M3538" t="str">
        <f>REPLACE(Transactions!M3538,1,4,"")</f>
        <v>11</v>
      </c>
    </row>
    <row r="3539" spans="1:13" x14ac:dyDescent="0.2">
      <c r="A3539">
        <v>685761</v>
      </c>
      <c r="B3539" s="5">
        <v>45123</v>
      </c>
      <c r="C3539">
        <v>31605</v>
      </c>
      <c r="D3539" t="str">
        <f>PROPER(Transactions!D3539)</f>
        <v>Electronics</v>
      </c>
      <c r="E3539" t="s">
        <v>79</v>
      </c>
      <c r="F3539" t="s">
        <v>80</v>
      </c>
      <c r="G3539">
        <v>5</v>
      </c>
      <c r="H3539">
        <v>76.489999999999995</v>
      </c>
      <c r="I3539" s="7">
        <f>IF(Transactions!I3539="",0,Transactions!I3539)</f>
        <v>0.15</v>
      </c>
      <c r="J3539" s="9">
        <f t="shared" si="55"/>
        <v>325.08249999999998</v>
      </c>
      <c r="K3539" t="s">
        <v>95</v>
      </c>
      <c r="L3539" t="s">
        <v>17</v>
      </c>
      <c r="M3539" t="str">
        <f>REPLACE(Transactions!M3539,1,4,"")</f>
        <v>11</v>
      </c>
    </row>
    <row r="3540" spans="1:13" x14ac:dyDescent="0.2">
      <c r="A3540">
        <v>685836</v>
      </c>
      <c r="B3540" s="5">
        <v>45587</v>
      </c>
      <c r="C3540">
        <v>91981</v>
      </c>
      <c r="D3540" t="str">
        <f>PROPER(Transactions!D3540)</f>
        <v>Home &amp; Garden</v>
      </c>
      <c r="E3540" t="s">
        <v>145</v>
      </c>
      <c r="F3540" t="s">
        <v>146</v>
      </c>
      <c r="G3540">
        <v>1</v>
      </c>
      <c r="H3540">
        <v>14.44</v>
      </c>
      <c r="I3540" s="7">
        <f>IF(Transactions!I3540="",0,Transactions!I3540)</f>
        <v>0.15</v>
      </c>
      <c r="J3540" s="9">
        <f t="shared" si="55"/>
        <v>12.273999999999999</v>
      </c>
      <c r="K3540" t="s">
        <v>36</v>
      </c>
      <c r="L3540" t="s">
        <v>37</v>
      </c>
      <c r="M3540" t="str">
        <f>REPLACE(Transactions!M3540,1,4,"")</f>
        <v>6</v>
      </c>
    </row>
    <row r="3541" spans="1:13" x14ac:dyDescent="0.2">
      <c r="A3541">
        <v>686091</v>
      </c>
      <c r="B3541" s="5">
        <v>45287</v>
      </c>
      <c r="C3541">
        <v>82852</v>
      </c>
      <c r="D3541" t="str">
        <f>PROPER(Transactions!D3541)</f>
        <v>Pharmacy</v>
      </c>
      <c r="E3541" t="s">
        <v>115</v>
      </c>
      <c r="F3541" t="s">
        <v>116</v>
      </c>
      <c r="G3541">
        <v>2</v>
      </c>
      <c r="H3541">
        <v>9.09</v>
      </c>
      <c r="I3541" s="7">
        <f>IF(Transactions!I3541="",0,Transactions!I3541)</f>
        <v>0.3</v>
      </c>
      <c r="J3541" s="9">
        <f t="shared" si="55"/>
        <v>12.725999999999999</v>
      </c>
      <c r="K3541" t="s">
        <v>36</v>
      </c>
      <c r="L3541" t="s">
        <v>17</v>
      </c>
      <c r="M3541" t="str">
        <f>REPLACE(Transactions!M3541,1,4,"")</f>
        <v>13</v>
      </c>
    </row>
    <row r="3542" spans="1:13" x14ac:dyDescent="0.2">
      <c r="A3542">
        <v>686330</v>
      </c>
      <c r="B3542" s="5">
        <v>44925</v>
      </c>
      <c r="C3542">
        <v>66011</v>
      </c>
      <c r="D3542" t="str">
        <f>PROPER(Transactions!D3542)</f>
        <v>Furniture</v>
      </c>
      <c r="E3542" t="s">
        <v>51</v>
      </c>
      <c r="F3542" t="s">
        <v>52</v>
      </c>
      <c r="G3542">
        <v>1</v>
      </c>
      <c r="H3542">
        <v>23.79</v>
      </c>
      <c r="I3542" s="7">
        <f>IF(Transactions!I3542="",0,Transactions!I3542)</f>
        <v>0.15</v>
      </c>
      <c r="J3542" s="9">
        <f t="shared" si="55"/>
        <v>20.221499999999999</v>
      </c>
      <c r="K3542" t="s">
        <v>95</v>
      </c>
      <c r="L3542" t="s">
        <v>17</v>
      </c>
      <c r="M3542" t="str">
        <f>REPLACE(Transactions!M3542,1,4,"")</f>
        <v>1</v>
      </c>
    </row>
    <row r="3543" spans="1:13" x14ac:dyDescent="0.2">
      <c r="A3543">
        <v>686662</v>
      </c>
      <c r="B3543" s="5">
        <v>44626</v>
      </c>
      <c r="C3543">
        <v>53492</v>
      </c>
      <c r="D3543" t="str">
        <f>PROPER(Transactions!D3543)</f>
        <v>Furniture</v>
      </c>
      <c r="E3543" t="s">
        <v>70</v>
      </c>
      <c r="F3543" t="s">
        <v>71</v>
      </c>
      <c r="G3543">
        <v>1</v>
      </c>
      <c r="H3543">
        <v>67.489999999999995</v>
      </c>
      <c r="I3543" s="7">
        <f>IF(Transactions!I3543="",0,Transactions!I3543)</f>
        <v>0.25</v>
      </c>
      <c r="J3543" s="9">
        <f t="shared" si="55"/>
        <v>50.617499999999993</v>
      </c>
      <c r="K3543" t="s">
        <v>36</v>
      </c>
      <c r="L3543" t="s">
        <v>37</v>
      </c>
      <c r="M3543" t="str">
        <f>REPLACE(Transactions!M3543,1,4,"")</f>
        <v>13</v>
      </c>
    </row>
    <row r="3544" spans="1:13" x14ac:dyDescent="0.2">
      <c r="A3544">
        <v>686676</v>
      </c>
      <c r="B3544" s="5">
        <v>44861</v>
      </c>
      <c r="C3544">
        <v>44477</v>
      </c>
      <c r="D3544" t="str">
        <f>PROPER(Transactions!D3544)</f>
        <v>Clothing</v>
      </c>
      <c r="E3544" t="s">
        <v>165</v>
      </c>
      <c r="F3544" t="s">
        <v>166</v>
      </c>
      <c r="G3544">
        <v>4</v>
      </c>
      <c r="H3544">
        <v>89.99</v>
      </c>
      <c r="I3544" s="7">
        <f>IF(Transactions!I3544="",0,Transactions!I3544)</f>
        <v>0</v>
      </c>
      <c r="J3544" s="9">
        <f t="shared" si="55"/>
        <v>359.96</v>
      </c>
      <c r="K3544" t="s">
        <v>36</v>
      </c>
      <c r="L3544" t="s">
        <v>37</v>
      </c>
      <c r="M3544" t="str">
        <f>REPLACE(Transactions!M3544,1,4,"")</f>
        <v>17</v>
      </c>
    </row>
    <row r="3545" spans="1:13" x14ac:dyDescent="0.2">
      <c r="A3545">
        <v>686757</v>
      </c>
      <c r="B3545" s="5">
        <v>45253</v>
      </c>
      <c r="C3545">
        <v>44789</v>
      </c>
      <c r="D3545" t="str">
        <f>PROPER(Transactions!D3545)</f>
        <v>Beauty</v>
      </c>
      <c r="E3545" t="s">
        <v>109</v>
      </c>
      <c r="F3545" t="s">
        <v>110</v>
      </c>
      <c r="G3545">
        <v>5</v>
      </c>
      <c r="H3545">
        <v>6.29</v>
      </c>
      <c r="I3545" s="7">
        <f>IF(Transactions!I3545="",0,Transactions!I3545)</f>
        <v>0.1</v>
      </c>
      <c r="J3545" s="9">
        <f t="shared" si="55"/>
        <v>28.305</v>
      </c>
      <c r="K3545" t="s">
        <v>16</v>
      </c>
      <c r="L3545" t="s">
        <v>17</v>
      </c>
      <c r="M3545" t="str">
        <f>REPLACE(Transactions!M3545,1,4,"")</f>
        <v>18</v>
      </c>
    </row>
    <row r="3546" spans="1:13" x14ac:dyDescent="0.2">
      <c r="A3546">
        <v>686776</v>
      </c>
      <c r="B3546" s="5">
        <v>44625</v>
      </c>
      <c r="C3546">
        <v>56873</v>
      </c>
      <c r="D3546" t="str">
        <f>PROPER(Transactions!D3546)</f>
        <v>Furniture</v>
      </c>
      <c r="E3546" t="s">
        <v>60</v>
      </c>
      <c r="F3546" t="s">
        <v>61</v>
      </c>
      <c r="G3546">
        <v>1</v>
      </c>
      <c r="H3546">
        <v>54.99</v>
      </c>
      <c r="I3546" s="7">
        <f>IF(Transactions!I3546="",0,Transactions!I3546)</f>
        <v>0</v>
      </c>
      <c r="J3546" s="9">
        <f t="shared" si="55"/>
        <v>54.99</v>
      </c>
      <c r="K3546" t="s">
        <v>16</v>
      </c>
      <c r="L3546" t="s">
        <v>17</v>
      </c>
      <c r="M3546" t="str">
        <f>REPLACE(Transactions!M3546,1,4,"")</f>
        <v>9</v>
      </c>
    </row>
    <row r="3547" spans="1:13" x14ac:dyDescent="0.2">
      <c r="A3547">
        <v>687150</v>
      </c>
      <c r="B3547" s="5">
        <v>45535</v>
      </c>
      <c r="C3547">
        <v>36679</v>
      </c>
      <c r="D3547" t="str">
        <f>PROPER(Transactions!D3547)</f>
        <v>Furniture</v>
      </c>
      <c r="E3547" t="s">
        <v>51</v>
      </c>
      <c r="F3547" t="s">
        <v>52</v>
      </c>
      <c r="G3547">
        <v>3</v>
      </c>
      <c r="H3547">
        <v>19.59</v>
      </c>
      <c r="I3547" s="7">
        <f>IF(Transactions!I3547="",0,Transactions!I3547)</f>
        <v>0.3</v>
      </c>
      <c r="J3547" s="9">
        <f t="shared" si="55"/>
        <v>41.138999999999996</v>
      </c>
      <c r="K3547" t="s">
        <v>95</v>
      </c>
      <c r="L3547" t="s">
        <v>17</v>
      </c>
      <c r="M3547" t="str">
        <f>REPLACE(Transactions!M3547,1,4,"")</f>
        <v>7</v>
      </c>
    </row>
    <row r="3548" spans="1:13" x14ac:dyDescent="0.2">
      <c r="A3548">
        <v>687240</v>
      </c>
      <c r="B3548" s="5">
        <v>45485</v>
      </c>
      <c r="C3548">
        <v>77463</v>
      </c>
      <c r="D3548" t="str">
        <f>PROPER(Transactions!D3548)</f>
        <v>Furniture</v>
      </c>
      <c r="E3548" t="s">
        <v>51</v>
      </c>
      <c r="F3548" t="s">
        <v>52</v>
      </c>
      <c r="G3548">
        <v>5</v>
      </c>
      <c r="H3548">
        <v>25.19</v>
      </c>
      <c r="I3548" s="7">
        <f>IF(Transactions!I3548="",0,Transactions!I3548)</f>
        <v>0.1</v>
      </c>
      <c r="J3548" s="9">
        <f t="shared" si="55"/>
        <v>113.355</v>
      </c>
      <c r="K3548" t="s">
        <v>36</v>
      </c>
      <c r="L3548" t="s">
        <v>17</v>
      </c>
      <c r="M3548" t="str">
        <f>REPLACE(Transactions!M3548,1,4,"")</f>
        <v>3</v>
      </c>
    </row>
    <row r="3549" spans="1:13" x14ac:dyDescent="0.2">
      <c r="A3549">
        <v>687306</v>
      </c>
      <c r="B3549" s="5">
        <v>44928</v>
      </c>
      <c r="D3549" t="str">
        <f>PROPER(Transactions!D3549)</f>
        <v>Beauty</v>
      </c>
      <c r="E3549" t="s">
        <v>118</v>
      </c>
      <c r="F3549" t="s">
        <v>119</v>
      </c>
      <c r="G3549">
        <v>1</v>
      </c>
      <c r="H3549">
        <v>4.99</v>
      </c>
      <c r="I3549" s="7">
        <f>IF(Transactions!I3549="",0,Transactions!I3549)</f>
        <v>0</v>
      </c>
      <c r="J3549" s="9">
        <f t="shared" si="55"/>
        <v>4.99</v>
      </c>
      <c r="K3549" t="s">
        <v>36</v>
      </c>
      <c r="L3549" t="s">
        <v>17</v>
      </c>
      <c r="M3549" t="str">
        <f>REPLACE(Transactions!M3549,1,4,"")</f>
        <v>20</v>
      </c>
    </row>
    <row r="3550" spans="1:13" x14ac:dyDescent="0.2">
      <c r="A3550">
        <v>687378</v>
      </c>
      <c r="B3550" s="5">
        <v>44943</v>
      </c>
      <c r="D3550" t="str">
        <f>PROPER(Transactions!D3550)</f>
        <v>Electronics</v>
      </c>
      <c r="E3550" t="s">
        <v>79</v>
      </c>
      <c r="F3550" t="s">
        <v>80</v>
      </c>
      <c r="G3550">
        <v>1</v>
      </c>
      <c r="H3550">
        <v>89.99</v>
      </c>
      <c r="I3550" s="7">
        <f>IF(Transactions!I3550="",0,Transactions!I3550)</f>
        <v>0</v>
      </c>
      <c r="J3550" s="9">
        <f t="shared" si="55"/>
        <v>89.99</v>
      </c>
      <c r="K3550" t="s">
        <v>36</v>
      </c>
      <c r="L3550" t="s">
        <v>17</v>
      </c>
      <c r="M3550" t="str">
        <f>REPLACE(Transactions!M3550,1,4,"")</f>
        <v>3</v>
      </c>
    </row>
    <row r="3551" spans="1:13" x14ac:dyDescent="0.2">
      <c r="A3551">
        <v>687732</v>
      </c>
      <c r="B3551" s="5">
        <v>45218</v>
      </c>
      <c r="C3551">
        <v>35561</v>
      </c>
      <c r="D3551" t="str">
        <f>PROPER(Transactions!D3551)</f>
        <v>Sports</v>
      </c>
      <c r="E3551" t="s">
        <v>100</v>
      </c>
      <c r="F3551" t="s">
        <v>101</v>
      </c>
      <c r="G3551">
        <v>5</v>
      </c>
      <c r="H3551">
        <v>19.54</v>
      </c>
      <c r="I3551" s="7">
        <f>IF(Transactions!I3551="",0,Transactions!I3551)</f>
        <v>0.15</v>
      </c>
      <c r="J3551" s="9">
        <f t="shared" si="55"/>
        <v>83.044999999999987</v>
      </c>
      <c r="K3551" t="s">
        <v>16</v>
      </c>
      <c r="L3551" t="s">
        <v>17</v>
      </c>
      <c r="M3551" t="str">
        <f>REPLACE(Transactions!M3551,1,4,"")</f>
        <v>9</v>
      </c>
    </row>
    <row r="3552" spans="1:13" x14ac:dyDescent="0.2">
      <c r="A3552">
        <v>688296</v>
      </c>
      <c r="B3552" s="5">
        <v>44642</v>
      </c>
      <c r="C3552">
        <v>14858</v>
      </c>
      <c r="D3552" t="str">
        <f>PROPER(Transactions!D3552)</f>
        <v>Home &amp; Garden</v>
      </c>
      <c r="E3552" t="s">
        <v>129</v>
      </c>
      <c r="F3552" t="s">
        <v>130</v>
      </c>
      <c r="G3552">
        <v>2</v>
      </c>
      <c r="H3552">
        <v>8.09</v>
      </c>
      <c r="I3552" s="7">
        <f>IF(Transactions!I3552="",0,Transactions!I3552)</f>
        <v>0.1</v>
      </c>
      <c r="J3552" s="9">
        <f t="shared" si="55"/>
        <v>14.561999999999999</v>
      </c>
      <c r="K3552" t="s">
        <v>16</v>
      </c>
      <c r="L3552" t="s">
        <v>17</v>
      </c>
      <c r="M3552" t="str">
        <f>REPLACE(Transactions!M3552,1,4,"")</f>
        <v>17</v>
      </c>
    </row>
    <row r="3553" spans="1:13" x14ac:dyDescent="0.2">
      <c r="A3553">
        <v>688437</v>
      </c>
      <c r="B3553" s="5">
        <v>44898</v>
      </c>
      <c r="C3553">
        <v>85602</v>
      </c>
      <c r="D3553" t="str">
        <f>PROPER(Transactions!D3553)</f>
        <v>Furniture</v>
      </c>
      <c r="E3553" t="s">
        <v>60</v>
      </c>
      <c r="F3553" t="s">
        <v>61</v>
      </c>
      <c r="G3553">
        <v>2</v>
      </c>
      <c r="H3553">
        <v>46.74</v>
      </c>
      <c r="I3553" s="7">
        <f>IF(Transactions!I3553="",0,Transactions!I3553)</f>
        <v>0.15</v>
      </c>
      <c r="J3553" s="9">
        <f t="shared" si="55"/>
        <v>79.457999999999998</v>
      </c>
      <c r="K3553" t="s">
        <v>16</v>
      </c>
      <c r="L3553" t="s">
        <v>23</v>
      </c>
      <c r="M3553" t="str">
        <f>REPLACE(Transactions!M3553,1,4,"")</f>
        <v>20</v>
      </c>
    </row>
    <row r="3554" spans="1:13" x14ac:dyDescent="0.2">
      <c r="A3554">
        <v>688464</v>
      </c>
      <c r="B3554" s="5">
        <v>44640</v>
      </c>
      <c r="C3554">
        <v>94141</v>
      </c>
      <c r="D3554" t="str">
        <f>PROPER(Transactions!D3554)</f>
        <v>Pharmacy</v>
      </c>
      <c r="E3554" t="s">
        <v>20</v>
      </c>
      <c r="F3554" t="s">
        <v>21</v>
      </c>
      <c r="G3554">
        <v>2</v>
      </c>
      <c r="H3554">
        <v>9.99</v>
      </c>
      <c r="I3554" s="7">
        <f>IF(Transactions!I3554="",0,Transactions!I3554)</f>
        <v>0</v>
      </c>
      <c r="J3554" s="9">
        <f t="shared" si="55"/>
        <v>19.98</v>
      </c>
      <c r="K3554" t="s">
        <v>16</v>
      </c>
      <c r="L3554" t="s">
        <v>37</v>
      </c>
      <c r="M3554" t="str">
        <f>REPLACE(Transactions!M3554,1,4,"")</f>
        <v>7</v>
      </c>
    </row>
    <row r="3555" spans="1:13" x14ac:dyDescent="0.2">
      <c r="A3555">
        <v>688922</v>
      </c>
      <c r="B3555" s="5">
        <v>45515</v>
      </c>
      <c r="C3555">
        <v>38503</v>
      </c>
      <c r="D3555" t="str">
        <f>PROPER(Transactions!D3555)</f>
        <v>Electronics</v>
      </c>
      <c r="E3555" t="s">
        <v>104</v>
      </c>
      <c r="F3555" t="s">
        <v>105</v>
      </c>
      <c r="G3555">
        <v>5</v>
      </c>
      <c r="H3555">
        <v>25.49</v>
      </c>
      <c r="I3555" s="7">
        <f>IF(Transactions!I3555="",0,Transactions!I3555)</f>
        <v>0.15</v>
      </c>
      <c r="J3555" s="9">
        <f t="shared" si="55"/>
        <v>108.33249999999998</v>
      </c>
      <c r="K3555" t="s">
        <v>16</v>
      </c>
      <c r="L3555" t="s">
        <v>17</v>
      </c>
      <c r="M3555" t="str">
        <f>REPLACE(Transactions!M3555,1,4,"")</f>
        <v>4</v>
      </c>
    </row>
    <row r="3556" spans="1:13" x14ac:dyDescent="0.2">
      <c r="A3556">
        <v>689226</v>
      </c>
      <c r="B3556" s="5">
        <v>45070</v>
      </c>
      <c r="C3556">
        <v>81063</v>
      </c>
      <c r="D3556" t="str">
        <f>PROPER(Transactions!D3556)</f>
        <v>Electronics</v>
      </c>
      <c r="E3556" t="s">
        <v>104</v>
      </c>
      <c r="F3556" t="s">
        <v>105</v>
      </c>
      <c r="G3556">
        <v>3</v>
      </c>
      <c r="H3556">
        <v>29.99</v>
      </c>
      <c r="I3556" s="7">
        <f>IF(Transactions!I3556="",0,Transactions!I3556)</f>
        <v>0</v>
      </c>
      <c r="J3556" s="9">
        <f t="shared" si="55"/>
        <v>89.97</v>
      </c>
      <c r="K3556" t="s">
        <v>16</v>
      </c>
      <c r="L3556" t="s">
        <v>17</v>
      </c>
      <c r="M3556" t="str">
        <f>REPLACE(Transactions!M3556,1,4,"")</f>
        <v>11</v>
      </c>
    </row>
    <row r="3557" spans="1:13" x14ac:dyDescent="0.2">
      <c r="A3557">
        <v>689271</v>
      </c>
      <c r="B3557" s="5">
        <v>45125</v>
      </c>
      <c r="D3557" t="str">
        <f>PROPER(Transactions!D3557)</f>
        <v>Toys</v>
      </c>
      <c r="E3557" t="s">
        <v>88</v>
      </c>
      <c r="F3557" t="s">
        <v>89</v>
      </c>
      <c r="G3557">
        <v>3</v>
      </c>
      <c r="H3557">
        <v>34.99</v>
      </c>
      <c r="I3557" s="7">
        <f>IF(Transactions!I3557="",0,Transactions!I3557)</f>
        <v>0.3</v>
      </c>
      <c r="J3557" s="9">
        <f t="shared" si="55"/>
        <v>73.478999999999999</v>
      </c>
      <c r="K3557" t="s">
        <v>95</v>
      </c>
      <c r="L3557" t="s">
        <v>37</v>
      </c>
      <c r="M3557" t="str">
        <f>REPLACE(Transactions!M3557,1,4,"")</f>
        <v>3</v>
      </c>
    </row>
    <row r="3558" spans="1:13" x14ac:dyDescent="0.2">
      <c r="A3558">
        <v>689333</v>
      </c>
      <c r="B3558" s="5">
        <v>44628</v>
      </c>
      <c r="C3558">
        <v>37925</v>
      </c>
      <c r="D3558" t="str">
        <f>PROPER(Transactions!D3558)</f>
        <v>Electronics</v>
      </c>
      <c r="E3558" t="s">
        <v>159</v>
      </c>
      <c r="F3558" t="s">
        <v>160</v>
      </c>
      <c r="G3558">
        <v>4</v>
      </c>
      <c r="H3558">
        <v>47.99</v>
      </c>
      <c r="I3558" s="7">
        <f>IF(Transactions!I3558="",0,Transactions!I3558)</f>
        <v>0.2</v>
      </c>
      <c r="J3558" s="9">
        <f t="shared" si="55"/>
        <v>153.56800000000001</v>
      </c>
      <c r="K3558" t="s">
        <v>36</v>
      </c>
      <c r="L3558" t="s">
        <v>23</v>
      </c>
      <c r="M3558" t="str">
        <f>REPLACE(Transactions!M3558,1,4,"")</f>
        <v>16</v>
      </c>
    </row>
    <row r="3559" spans="1:13" x14ac:dyDescent="0.2">
      <c r="A3559">
        <v>689335</v>
      </c>
      <c r="B3559" s="5">
        <v>44759</v>
      </c>
      <c r="C3559">
        <v>13132</v>
      </c>
      <c r="D3559" t="str">
        <f>PROPER(Transactions!D3559)</f>
        <v>Toys</v>
      </c>
      <c r="E3559" t="s">
        <v>88</v>
      </c>
      <c r="F3559" t="s">
        <v>89</v>
      </c>
      <c r="G3559">
        <v>1</v>
      </c>
      <c r="H3559">
        <v>44.99</v>
      </c>
      <c r="I3559" s="7">
        <f>IF(Transactions!I3559="",0,Transactions!I3559)</f>
        <v>0.1</v>
      </c>
      <c r="J3559" s="9">
        <f t="shared" si="55"/>
        <v>40.491</v>
      </c>
      <c r="K3559" t="s">
        <v>95</v>
      </c>
      <c r="L3559" t="s">
        <v>17</v>
      </c>
      <c r="M3559" t="str">
        <f>REPLACE(Transactions!M3559,1,4,"")</f>
        <v>19</v>
      </c>
    </row>
    <row r="3560" spans="1:13" x14ac:dyDescent="0.2">
      <c r="A3560">
        <v>689429</v>
      </c>
      <c r="B3560" s="5">
        <v>45036</v>
      </c>
      <c r="C3560">
        <v>80743</v>
      </c>
      <c r="D3560" t="str">
        <f>PROPER(Transactions!D3560)</f>
        <v>Automotive</v>
      </c>
      <c r="E3560" t="s">
        <v>111</v>
      </c>
      <c r="F3560" t="s">
        <v>112</v>
      </c>
      <c r="G3560">
        <v>5</v>
      </c>
      <c r="H3560">
        <v>10.49</v>
      </c>
      <c r="I3560" s="7">
        <f>IF(Transactions!I3560="",0,Transactions!I3560)</f>
        <v>0.3</v>
      </c>
      <c r="J3560" s="9">
        <f t="shared" si="55"/>
        <v>36.714999999999996</v>
      </c>
      <c r="K3560" t="s">
        <v>16</v>
      </c>
      <c r="L3560" t="s">
        <v>17</v>
      </c>
      <c r="M3560" t="str">
        <f>REPLACE(Transactions!M3560,1,4,"")</f>
        <v>9</v>
      </c>
    </row>
    <row r="3561" spans="1:13" x14ac:dyDescent="0.2">
      <c r="A3561">
        <v>689807</v>
      </c>
      <c r="B3561" s="5">
        <v>44731</v>
      </c>
      <c r="C3561">
        <v>58766</v>
      </c>
      <c r="D3561" t="str">
        <f>PROPER(Transactions!D3561)</f>
        <v>Grocery</v>
      </c>
      <c r="E3561" t="s">
        <v>172</v>
      </c>
      <c r="F3561" t="s">
        <v>173</v>
      </c>
      <c r="G3561">
        <v>1</v>
      </c>
      <c r="H3561">
        <v>4.49</v>
      </c>
      <c r="I3561" s="7">
        <f>IF(Transactions!I3561="",0,Transactions!I3561)</f>
        <v>0</v>
      </c>
      <c r="J3561" s="9">
        <f t="shared" si="55"/>
        <v>4.49</v>
      </c>
      <c r="K3561" t="s">
        <v>16</v>
      </c>
      <c r="L3561" t="s">
        <v>17</v>
      </c>
      <c r="M3561" t="str">
        <f>REPLACE(Transactions!M3561,1,4,"")</f>
        <v>15</v>
      </c>
    </row>
    <row r="3562" spans="1:13" x14ac:dyDescent="0.2">
      <c r="A3562">
        <v>689893</v>
      </c>
      <c r="B3562" s="5">
        <v>45197</v>
      </c>
      <c r="C3562">
        <v>82370</v>
      </c>
      <c r="D3562" t="str">
        <f>PROPER(Transactions!D3562)</f>
        <v>Sports</v>
      </c>
      <c r="E3562" t="s">
        <v>168</v>
      </c>
      <c r="F3562" t="s">
        <v>169</v>
      </c>
      <c r="G3562">
        <v>4</v>
      </c>
      <c r="H3562">
        <v>6.29</v>
      </c>
      <c r="I3562" s="7">
        <f>IF(Transactions!I3562="",0,Transactions!I3562)</f>
        <v>0.3</v>
      </c>
      <c r="J3562" s="9">
        <f t="shared" si="55"/>
        <v>17.611999999999998</v>
      </c>
      <c r="K3562" t="s">
        <v>16</v>
      </c>
      <c r="L3562" t="s">
        <v>37</v>
      </c>
      <c r="M3562" t="str">
        <f>REPLACE(Transactions!M3562,1,4,"")</f>
        <v>4</v>
      </c>
    </row>
    <row r="3563" spans="1:13" x14ac:dyDescent="0.2">
      <c r="A3563">
        <v>690480</v>
      </c>
      <c r="B3563" s="5">
        <v>45343</v>
      </c>
      <c r="C3563">
        <v>13067</v>
      </c>
      <c r="D3563" t="str">
        <f>PROPER(Transactions!D3563)</f>
        <v>Grocery</v>
      </c>
      <c r="E3563" t="s">
        <v>172</v>
      </c>
      <c r="F3563" t="s">
        <v>173</v>
      </c>
      <c r="G3563">
        <v>4</v>
      </c>
      <c r="H3563">
        <v>3.82</v>
      </c>
      <c r="I3563" s="7">
        <f>IF(Transactions!I3563="",0,Transactions!I3563)</f>
        <v>0.15</v>
      </c>
      <c r="J3563" s="9">
        <f t="shared" si="55"/>
        <v>12.988</v>
      </c>
      <c r="K3563" t="s">
        <v>36</v>
      </c>
      <c r="L3563" t="s">
        <v>17</v>
      </c>
      <c r="M3563" t="str">
        <f>REPLACE(Transactions!M3563,1,4,"")</f>
        <v>14</v>
      </c>
    </row>
    <row r="3564" spans="1:13" x14ac:dyDescent="0.2">
      <c r="A3564">
        <v>690649</v>
      </c>
      <c r="B3564" s="5">
        <v>44636</v>
      </c>
      <c r="C3564">
        <v>36012</v>
      </c>
      <c r="D3564" t="str">
        <f>PROPER(Transactions!D3564)</f>
        <v>Beauty</v>
      </c>
      <c r="E3564" t="s">
        <v>49</v>
      </c>
      <c r="F3564" t="s">
        <v>50</v>
      </c>
      <c r="G3564">
        <v>5</v>
      </c>
      <c r="H3564">
        <v>8.5399999999999991</v>
      </c>
      <c r="I3564" s="7">
        <f>IF(Transactions!I3564="",0,Transactions!I3564)</f>
        <v>0.05</v>
      </c>
      <c r="J3564" s="9">
        <f t="shared" si="55"/>
        <v>40.564999999999991</v>
      </c>
      <c r="K3564" t="s">
        <v>36</v>
      </c>
      <c r="L3564" t="s">
        <v>17</v>
      </c>
      <c r="M3564" t="str">
        <f>REPLACE(Transactions!M3564,1,4,"")</f>
        <v>18</v>
      </c>
    </row>
    <row r="3565" spans="1:13" x14ac:dyDescent="0.2">
      <c r="A3565">
        <v>690686</v>
      </c>
      <c r="B3565" s="5">
        <v>45150</v>
      </c>
      <c r="C3565">
        <v>72898</v>
      </c>
      <c r="D3565" t="str">
        <f>PROPER(Transactions!D3565)</f>
        <v>Furniture</v>
      </c>
      <c r="E3565" t="s">
        <v>51</v>
      </c>
      <c r="F3565" t="s">
        <v>52</v>
      </c>
      <c r="G3565">
        <v>2</v>
      </c>
      <c r="H3565">
        <v>20.99</v>
      </c>
      <c r="I3565" s="7">
        <f>IF(Transactions!I3565="",0,Transactions!I3565)</f>
        <v>0.25</v>
      </c>
      <c r="J3565" s="9">
        <f t="shared" si="55"/>
        <v>31.484999999999999</v>
      </c>
      <c r="K3565" t="s">
        <v>16</v>
      </c>
      <c r="L3565" t="s">
        <v>37</v>
      </c>
      <c r="M3565" t="str">
        <f>REPLACE(Transactions!M3565,1,4,"")</f>
        <v/>
      </c>
    </row>
    <row r="3566" spans="1:13" x14ac:dyDescent="0.2">
      <c r="A3566">
        <v>690730</v>
      </c>
      <c r="B3566" s="5">
        <v>44869</v>
      </c>
      <c r="C3566">
        <v>18283</v>
      </c>
      <c r="D3566" t="str">
        <f>PROPER(Transactions!D3566)</f>
        <v>Grocery</v>
      </c>
      <c r="E3566" t="s">
        <v>133</v>
      </c>
      <c r="F3566" t="s">
        <v>134</v>
      </c>
      <c r="G3566">
        <v>2</v>
      </c>
      <c r="H3566">
        <v>2.65</v>
      </c>
      <c r="I3566" s="7">
        <f>IF(Transactions!I3566="",0,Transactions!I3566)</f>
        <v>0.3</v>
      </c>
      <c r="J3566" s="9">
        <f t="shared" si="55"/>
        <v>3.7099999999999995</v>
      </c>
      <c r="K3566" t="s">
        <v>16</v>
      </c>
      <c r="L3566" t="s">
        <v>17</v>
      </c>
      <c r="M3566" t="str">
        <f>REPLACE(Transactions!M3566,1,4,"")</f>
        <v>20</v>
      </c>
    </row>
    <row r="3567" spans="1:13" x14ac:dyDescent="0.2">
      <c r="A3567">
        <v>690796</v>
      </c>
      <c r="B3567" s="5">
        <v>44792</v>
      </c>
      <c r="D3567" t="str">
        <f>PROPER(Transactions!D3567)</f>
        <v>Electronics</v>
      </c>
      <c r="E3567" t="s">
        <v>127</v>
      </c>
      <c r="F3567" t="s">
        <v>128</v>
      </c>
      <c r="G3567">
        <v>1</v>
      </c>
      <c r="H3567">
        <v>19.989999999999998</v>
      </c>
      <c r="I3567" s="7">
        <f>IF(Transactions!I3567="",0,Transactions!I3567)</f>
        <v>0</v>
      </c>
      <c r="J3567" s="9">
        <f t="shared" si="55"/>
        <v>19.989999999999998</v>
      </c>
      <c r="K3567" t="s">
        <v>16</v>
      </c>
      <c r="L3567" t="s">
        <v>17</v>
      </c>
      <c r="M3567" t="str">
        <f>REPLACE(Transactions!M3567,1,4,"")</f>
        <v>1</v>
      </c>
    </row>
    <row r="3568" spans="1:13" x14ac:dyDescent="0.2">
      <c r="A3568">
        <v>690928</v>
      </c>
      <c r="B3568" s="5">
        <v>45233</v>
      </c>
      <c r="C3568">
        <v>27175</v>
      </c>
      <c r="D3568" t="str">
        <f>PROPER(Transactions!D3568)</f>
        <v>Beauty</v>
      </c>
      <c r="E3568" t="s">
        <v>109</v>
      </c>
      <c r="F3568" t="s">
        <v>110</v>
      </c>
      <c r="G3568">
        <v>3</v>
      </c>
      <c r="H3568">
        <v>6.29</v>
      </c>
      <c r="I3568" s="7">
        <f>IF(Transactions!I3568="",0,Transactions!I3568)</f>
        <v>0.1</v>
      </c>
      <c r="J3568" s="9">
        <f t="shared" si="55"/>
        <v>16.983000000000001</v>
      </c>
      <c r="K3568" t="s">
        <v>53</v>
      </c>
      <c r="L3568" t="s">
        <v>17</v>
      </c>
      <c r="M3568" t="str">
        <f>REPLACE(Transactions!M3568,1,4,"")</f>
        <v>11</v>
      </c>
    </row>
    <row r="3569" spans="1:13" x14ac:dyDescent="0.2">
      <c r="A3569">
        <v>691071</v>
      </c>
      <c r="B3569" s="5">
        <v>44977</v>
      </c>
      <c r="C3569">
        <v>42934</v>
      </c>
      <c r="D3569" t="str">
        <f>PROPER(Transactions!D3569)</f>
        <v>Grocery</v>
      </c>
      <c r="E3569" t="s">
        <v>133</v>
      </c>
      <c r="F3569" t="s">
        <v>134</v>
      </c>
      <c r="G3569">
        <v>2</v>
      </c>
      <c r="H3569">
        <v>3.41</v>
      </c>
      <c r="I3569" s="7">
        <f>IF(Transactions!I3569="",0,Transactions!I3569)</f>
        <v>0.1</v>
      </c>
      <c r="J3569" s="9">
        <f t="shared" si="55"/>
        <v>6.1380000000000008</v>
      </c>
      <c r="K3569" t="s">
        <v>16</v>
      </c>
      <c r="L3569" t="s">
        <v>17</v>
      </c>
      <c r="M3569" t="str">
        <f>REPLACE(Transactions!M3569,1,4,"")</f>
        <v>15</v>
      </c>
    </row>
    <row r="3570" spans="1:13" x14ac:dyDescent="0.2">
      <c r="A3570">
        <v>691485</v>
      </c>
      <c r="B3570" s="5">
        <v>45489</v>
      </c>
      <c r="C3570">
        <v>96957</v>
      </c>
      <c r="D3570" t="str">
        <f>PROPER(Transactions!D3570)</f>
        <v>Automotive</v>
      </c>
      <c r="E3570" t="s">
        <v>68</v>
      </c>
      <c r="F3570" t="s">
        <v>69</v>
      </c>
      <c r="G3570">
        <v>4</v>
      </c>
      <c r="H3570">
        <v>24.99</v>
      </c>
      <c r="I3570" s="7">
        <f>IF(Transactions!I3570="",0,Transactions!I3570)</f>
        <v>0</v>
      </c>
      <c r="J3570" s="9">
        <f t="shared" si="55"/>
        <v>99.96</v>
      </c>
      <c r="K3570" t="s">
        <v>16</v>
      </c>
      <c r="L3570" t="s">
        <v>37</v>
      </c>
      <c r="M3570" t="str">
        <f>REPLACE(Transactions!M3570,1,4,"")</f>
        <v>11</v>
      </c>
    </row>
    <row r="3571" spans="1:13" x14ac:dyDescent="0.2">
      <c r="A3571">
        <v>691497</v>
      </c>
      <c r="B3571" s="5">
        <v>45549</v>
      </c>
      <c r="C3571">
        <v>93861</v>
      </c>
      <c r="D3571" t="str">
        <f>PROPER(Transactions!D3571)</f>
        <v>Clothing</v>
      </c>
      <c r="E3571" t="s">
        <v>121</v>
      </c>
      <c r="F3571" t="s">
        <v>122</v>
      </c>
      <c r="G3571">
        <v>3</v>
      </c>
      <c r="H3571">
        <v>9.09</v>
      </c>
      <c r="I3571" s="7">
        <f>IF(Transactions!I3571="",0,Transactions!I3571)</f>
        <v>0.3</v>
      </c>
      <c r="J3571" s="9">
        <f t="shared" si="55"/>
        <v>19.088999999999999</v>
      </c>
      <c r="K3571" t="s">
        <v>16</v>
      </c>
      <c r="L3571" t="s">
        <v>37</v>
      </c>
      <c r="M3571" t="str">
        <f>REPLACE(Transactions!M3571,1,4,"")</f>
        <v>7</v>
      </c>
    </row>
    <row r="3572" spans="1:13" x14ac:dyDescent="0.2">
      <c r="A3572">
        <v>691591</v>
      </c>
      <c r="B3572" s="5">
        <v>45204</v>
      </c>
      <c r="C3572">
        <v>94620</v>
      </c>
      <c r="D3572" t="str">
        <f>PROPER(Transactions!D3572)</f>
        <v>Automotive</v>
      </c>
      <c r="E3572" t="s">
        <v>131</v>
      </c>
      <c r="F3572" t="s">
        <v>132</v>
      </c>
      <c r="G3572">
        <v>1</v>
      </c>
      <c r="H3572">
        <v>3.49</v>
      </c>
      <c r="I3572" s="7">
        <f>IF(Transactions!I3572="",0,Transactions!I3572)</f>
        <v>0</v>
      </c>
      <c r="J3572" s="9">
        <f t="shared" si="55"/>
        <v>3.49</v>
      </c>
      <c r="K3572" t="s">
        <v>16</v>
      </c>
      <c r="L3572" t="s">
        <v>23</v>
      </c>
      <c r="M3572" t="str">
        <f>REPLACE(Transactions!M3572,1,4,"")</f>
        <v>9</v>
      </c>
    </row>
    <row r="3573" spans="1:13" x14ac:dyDescent="0.2">
      <c r="A3573">
        <v>691641</v>
      </c>
      <c r="B3573" s="5">
        <v>44938</v>
      </c>
      <c r="C3573">
        <v>62482</v>
      </c>
      <c r="D3573" t="str">
        <f>PROPER(Transactions!D3573)</f>
        <v>Beauty</v>
      </c>
      <c r="E3573" t="s">
        <v>139</v>
      </c>
      <c r="F3573" t="s">
        <v>140</v>
      </c>
      <c r="G3573">
        <v>1</v>
      </c>
      <c r="H3573">
        <v>7.99</v>
      </c>
      <c r="I3573" s="7">
        <f>IF(Transactions!I3573="",0,Transactions!I3573)</f>
        <v>0</v>
      </c>
      <c r="J3573" s="9">
        <f t="shared" si="55"/>
        <v>7.99</v>
      </c>
      <c r="K3573" t="s">
        <v>22</v>
      </c>
      <c r="L3573" t="s">
        <v>23</v>
      </c>
      <c r="M3573" t="str">
        <f>REPLACE(Transactions!M3573,1,4,"")</f>
        <v>6</v>
      </c>
    </row>
    <row r="3574" spans="1:13" x14ac:dyDescent="0.2">
      <c r="A3574">
        <v>691805</v>
      </c>
      <c r="B3574" s="5">
        <v>44783</v>
      </c>
      <c r="C3574">
        <v>17516</v>
      </c>
      <c r="D3574" t="str">
        <f>PROPER(Transactions!D3574)</f>
        <v>Toys</v>
      </c>
      <c r="E3574" t="s">
        <v>38</v>
      </c>
      <c r="F3574" t="s">
        <v>39</v>
      </c>
      <c r="G3574">
        <v>1</v>
      </c>
      <c r="H3574">
        <v>22.49</v>
      </c>
      <c r="I3574" s="7">
        <f>IF(Transactions!I3574="",0,Transactions!I3574)</f>
        <v>0.25</v>
      </c>
      <c r="J3574" s="9">
        <f t="shared" si="55"/>
        <v>16.8675</v>
      </c>
      <c r="K3574" t="s">
        <v>16</v>
      </c>
      <c r="L3574" t="s">
        <v>37</v>
      </c>
      <c r="M3574" t="str">
        <f>REPLACE(Transactions!M3574,1,4,"")</f>
        <v>8</v>
      </c>
    </row>
    <row r="3575" spans="1:13" x14ac:dyDescent="0.2">
      <c r="A3575">
        <v>691953</v>
      </c>
      <c r="B3575" s="5">
        <v>44991</v>
      </c>
      <c r="C3575">
        <v>17051</v>
      </c>
      <c r="D3575" t="str">
        <f>PROPER(Transactions!D3575)</f>
        <v>Furniture</v>
      </c>
      <c r="E3575" t="s">
        <v>60</v>
      </c>
      <c r="F3575" t="s">
        <v>61</v>
      </c>
      <c r="G3575">
        <v>4</v>
      </c>
      <c r="H3575">
        <v>43.99</v>
      </c>
      <c r="I3575" s="7">
        <f>IF(Transactions!I3575="",0,Transactions!I3575)</f>
        <v>0.2</v>
      </c>
      <c r="J3575" s="9">
        <f t="shared" si="55"/>
        <v>140.768</v>
      </c>
      <c r="K3575" t="s">
        <v>95</v>
      </c>
      <c r="L3575" t="s">
        <v>37</v>
      </c>
      <c r="M3575" t="str">
        <f>REPLACE(Transactions!M3575,1,4,"")</f>
        <v>7</v>
      </c>
    </row>
    <row r="3576" spans="1:13" x14ac:dyDescent="0.2">
      <c r="A3576">
        <v>692135</v>
      </c>
      <c r="B3576" s="5">
        <v>45006</v>
      </c>
      <c r="C3576">
        <v>65768</v>
      </c>
      <c r="D3576" t="str">
        <f>PROPER(Transactions!D3576)</f>
        <v>Pharmacy</v>
      </c>
      <c r="E3576" t="s">
        <v>115</v>
      </c>
      <c r="F3576" t="s">
        <v>116</v>
      </c>
      <c r="G3576">
        <v>3</v>
      </c>
      <c r="H3576">
        <v>12.99</v>
      </c>
      <c r="I3576" s="7">
        <f>IF(Transactions!I3576="",0,Transactions!I3576)</f>
        <v>0</v>
      </c>
      <c r="J3576" s="9">
        <f t="shared" si="55"/>
        <v>38.97</v>
      </c>
      <c r="K3576" t="s">
        <v>53</v>
      </c>
      <c r="L3576" t="s">
        <v>17</v>
      </c>
      <c r="M3576" t="str">
        <f>REPLACE(Transactions!M3576,1,4,"")</f>
        <v>6</v>
      </c>
    </row>
    <row r="3577" spans="1:13" x14ac:dyDescent="0.2">
      <c r="A3577">
        <v>692185</v>
      </c>
      <c r="B3577" s="5">
        <v>45550</v>
      </c>
      <c r="C3577">
        <v>85821</v>
      </c>
      <c r="D3577" t="str">
        <f>PROPER(Transactions!D3577)</f>
        <v>Grocery</v>
      </c>
      <c r="E3577" t="s">
        <v>184</v>
      </c>
      <c r="F3577" t="s">
        <v>185</v>
      </c>
      <c r="G3577">
        <v>2</v>
      </c>
      <c r="H3577">
        <v>3.84</v>
      </c>
      <c r="I3577" s="7">
        <f>IF(Transactions!I3577="",0,Transactions!I3577)</f>
        <v>0</v>
      </c>
      <c r="J3577" s="9">
        <f t="shared" si="55"/>
        <v>7.68</v>
      </c>
      <c r="K3577" t="s">
        <v>36</v>
      </c>
      <c r="L3577" t="s">
        <v>37</v>
      </c>
      <c r="M3577" t="str">
        <f>REPLACE(Transactions!M3577,1,4,"")</f>
        <v>6</v>
      </c>
    </row>
    <row r="3578" spans="1:13" x14ac:dyDescent="0.2">
      <c r="A3578">
        <v>692691</v>
      </c>
      <c r="B3578" s="5">
        <v>45327</v>
      </c>
      <c r="C3578">
        <v>26165</v>
      </c>
      <c r="D3578" t="str">
        <f>PROPER(Transactions!D3578)</f>
        <v>Pharmacy</v>
      </c>
      <c r="E3578" t="s">
        <v>115</v>
      </c>
      <c r="F3578" t="s">
        <v>116</v>
      </c>
      <c r="G3578">
        <v>1</v>
      </c>
      <c r="H3578">
        <v>12.34</v>
      </c>
      <c r="I3578" s="7">
        <f>IF(Transactions!I3578="",0,Transactions!I3578)</f>
        <v>0.05</v>
      </c>
      <c r="J3578" s="9">
        <f t="shared" si="55"/>
        <v>11.722999999999999</v>
      </c>
      <c r="K3578" t="s">
        <v>16</v>
      </c>
      <c r="L3578" t="s">
        <v>17</v>
      </c>
      <c r="M3578" t="str">
        <f>REPLACE(Transactions!M3578,1,4,"")</f>
        <v>8</v>
      </c>
    </row>
    <row r="3579" spans="1:13" x14ac:dyDescent="0.2">
      <c r="A3579">
        <v>692761</v>
      </c>
      <c r="B3579" s="5">
        <v>45527</v>
      </c>
      <c r="C3579">
        <v>92590</v>
      </c>
      <c r="D3579" t="str">
        <f>PROPER(Transactions!D3579)</f>
        <v>Grocery</v>
      </c>
      <c r="E3579" t="s">
        <v>195</v>
      </c>
      <c r="F3579" t="s">
        <v>196</v>
      </c>
      <c r="G3579">
        <v>1</v>
      </c>
      <c r="H3579">
        <v>4.49</v>
      </c>
      <c r="I3579" s="7">
        <f>IF(Transactions!I3579="",0,Transactions!I3579)</f>
        <v>0.1</v>
      </c>
      <c r="J3579" s="9">
        <f t="shared" si="55"/>
        <v>4.0410000000000004</v>
      </c>
      <c r="K3579" t="s">
        <v>32</v>
      </c>
      <c r="L3579" t="s">
        <v>17</v>
      </c>
      <c r="M3579" t="str">
        <f>REPLACE(Transactions!M3579,1,4,"")</f>
        <v>10</v>
      </c>
    </row>
    <row r="3580" spans="1:13" x14ac:dyDescent="0.2">
      <c r="A3580">
        <v>692897</v>
      </c>
      <c r="B3580" s="5">
        <v>44659</v>
      </c>
      <c r="C3580">
        <v>46391</v>
      </c>
      <c r="D3580" t="str">
        <f>PROPER(Transactions!D3580)</f>
        <v>Clothing</v>
      </c>
      <c r="E3580" t="s">
        <v>165</v>
      </c>
      <c r="F3580" t="s">
        <v>166</v>
      </c>
      <c r="G3580">
        <v>1</v>
      </c>
      <c r="H3580">
        <v>85.49</v>
      </c>
      <c r="I3580" s="7">
        <f>IF(Transactions!I3580="",0,Transactions!I3580)</f>
        <v>0.05</v>
      </c>
      <c r="J3580" s="9">
        <f t="shared" si="55"/>
        <v>81.215499999999992</v>
      </c>
      <c r="K3580" t="s">
        <v>36</v>
      </c>
      <c r="L3580" t="s">
        <v>17</v>
      </c>
      <c r="M3580" t="str">
        <f>REPLACE(Transactions!M3580,1,4,"")</f>
        <v>11</v>
      </c>
    </row>
    <row r="3581" spans="1:13" x14ac:dyDescent="0.2">
      <c r="A3581">
        <v>692965</v>
      </c>
      <c r="B3581" s="5">
        <v>45309</v>
      </c>
      <c r="C3581">
        <v>73358</v>
      </c>
      <c r="D3581" t="str">
        <f>PROPER(Transactions!D3581)</f>
        <v>Pharmacy</v>
      </c>
      <c r="E3581" t="s">
        <v>20</v>
      </c>
      <c r="F3581" t="s">
        <v>21</v>
      </c>
      <c r="G3581">
        <v>3</v>
      </c>
      <c r="H3581">
        <v>9.99</v>
      </c>
      <c r="I3581" s="7">
        <f>IF(Transactions!I3581="",0,Transactions!I3581)</f>
        <v>0</v>
      </c>
      <c r="J3581" s="9">
        <f t="shared" si="55"/>
        <v>29.97</v>
      </c>
      <c r="K3581" t="s">
        <v>32</v>
      </c>
      <c r="L3581" t="s">
        <v>17</v>
      </c>
      <c r="M3581" t="str">
        <f>REPLACE(Transactions!M3581,1,4,"")</f>
        <v>19</v>
      </c>
    </row>
    <row r="3582" spans="1:13" x14ac:dyDescent="0.2">
      <c r="A3582">
        <v>692972</v>
      </c>
      <c r="B3582" s="5">
        <v>44735</v>
      </c>
      <c r="C3582">
        <v>21509</v>
      </c>
      <c r="D3582" t="str">
        <f>PROPER(Transactions!D3582)</f>
        <v>Sports</v>
      </c>
      <c r="E3582" t="s">
        <v>168</v>
      </c>
      <c r="F3582" t="s">
        <v>169</v>
      </c>
      <c r="G3582">
        <v>1</v>
      </c>
      <c r="H3582">
        <v>8.09</v>
      </c>
      <c r="I3582" s="7">
        <f>IF(Transactions!I3582="",0,Transactions!I3582)</f>
        <v>0.1</v>
      </c>
      <c r="J3582" s="9">
        <f t="shared" si="55"/>
        <v>7.2809999999999997</v>
      </c>
      <c r="K3582" t="s">
        <v>36</v>
      </c>
      <c r="L3582" t="s">
        <v>17</v>
      </c>
      <c r="M3582" t="str">
        <f>REPLACE(Transactions!M3582,1,4,"")</f>
        <v>5</v>
      </c>
    </row>
    <row r="3583" spans="1:13" x14ac:dyDescent="0.2">
      <c r="A3583">
        <v>693461</v>
      </c>
      <c r="B3583" s="5">
        <v>44974</v>
      </c>
      <c r="C3583">
        <v>25565</v>
      </c>
      <c r="D3583" t="str">
        <f>PROPER(Transactions!D3583)</f>
        <v>Toys</v>
      </c>
      <c r="E3583" t="s">
        <v>175</v>
      </c>
      <c r="F3583" t="s">
        <v>176</v>
      </c>
      <c r="G3583">
        <v>3</v>
      </c>
      <c r="H3583">
        <v>10.19</v>
      </c>
      <c r="I3583" s="7">
        <f>IF(Transactions!I3583="",0,Transactions!I3583)</f>
        <v>0.15</v>
      </c>
      <c r="J3583" s="9">
        <f t="shared" si="55"/>
        <v>25.984500000000001</v>
      </c>
      <c r="K3583" t="s">
        <v>95</v>
      </c>
      <c r="L3583" t="s">
        <v>23</v>
      </c>
      <c r="M3583" t="str">
        <f>REPLACE(Transactions!M3583,1,4,"")</f>
        <v>5</v>
      </c>
    </row>
    <row r="3584" spans="1:13" x14ac:dyDescent="0.2">
      <c r="A3584">
        <v>693774</v>
      </c>
      <c r="B3584" s="5">
        <v>44803</v>
      </c>
      <c r="C3584">
        <v>29299</v>
      </c>
      <c r="D3584" t="str">
        <f>PROPER(Transactions!D3584)</f>
        <v>Sports</v>
      </c>
      <c r="E3584" t="s">
        <v>147</v>
      </c>
      <c r="F3584" t="s">
        <v>148</v>
      </c>
      <c r="G3584">
        <v>5</v>
      </c>
      <c r="H3584">
        <v>12.99</v>
      </c>
      <c r="I3584" s="7">
        <f>IF(Transactions!I3584="",0,Transactions!I3584)</f>
        <v>0</v>
      </c>
      <c r="J3584" s="9">
        <f t="shared" si="55"/>
        <v>64.95</v>
      </c>
      <c r="K3584" t="s">
        <v>36</v>
      </c>
      <c r="L3584" t="s">
        <v>17</v>
      </c>
      <c r="M3584" t="str">
        <f>REPLACE(Transactions!M3584,1,4,"")</f>
        <v>5</v>
      </c>
    </row>
    <row r="3585" spans="1:13" x14ac:dyDescent="0.2">
      <c r="A3585">
        <v>693829</v>
      </c>
      <c r="B3585" s="5">
        <v>45353</v>
      </c>
      <c r="D3585" t="str">
        <f>PROPER(Transactions!D3585)</f>
        <v>Pharmacy</v>
      </c>
      <c r="E3585" t="s">
        <v>41</v>
      </c>
      <c r="F3585" t="s">
        <v>42</v>
      </c>
      <c r="G3585">
        <v>3</v>
      </c>
      <c r="H3585">
        <v>5.09</v>
      </c>
      <c r="I3585" s="7">
        <f>IF(Transactions!I3585="",0,Transactions!I3585)</f>
        <v>0.15</v>
      </c>
      <c r="J3585" s="9">
        <f t="shared" si="55"/>
        <v>12.9795</v>
      </c>
      <c r="K3585" t="s">
        <v>16</v>
      </c>
      <c r="L3585" t="s">
        <v>17</v>
      </c>
      <c r="M3585" t="str">
        <f>REPLACE(Transactions!M3585,1,4,"")</f>
        <v>9</v>
      </c>
    </row>
    <row r="3586" spans="1:13" x14ac:dyDescent="0.2">
      <c r="A3586">
        <v>694423</v>
      </c>
      <c r="B3586" s="5">
        <v>45299</v>
      </c>
      <c r="C3586">
        <v>85223</v>
      </c>
      <c r="D3586" t="str">
        <f>PROPER(Transactions!D3586)</f>
        <v>Pharmacy</v>
      </c>
      <c r="E3586" t="s">
        <v>41</v>
      </c>
      <c r="F3586" t="s">
        <v>42</v>
      </c>
      <c r="G3586">
        <v>2</v>
      </c>
      <c r="H3586">
        <v>5.99</v>
      </c>
      <c r="I3586" s="7">
        <f>IF(Transactions!I3586="",0,Transactions!I3586)</f>
        <v>0</v>
      </c>
      <c r="J3586" s="9">
        <f t="shared" si="55"/>
        <v>11.98</v>
      </c>
      <c r="K3586" t="s">
        <v>22</v>
      </c>
      <c r="L3586" t="s">
        <v>17</v>
      </c>
      <c r="M3586" t="str">
        <f>REPLACE(Transactions!M3586,1,4,"")</f>
        <v>11</v>
      </c>
    </row>
    <row r="3587" spans="1:13" x14ac:dyDescent="0.2">
      <c r="A3587">
        <v>694919</v>
      </c>
      <c r="B3587" s="5">
        <v>45466</v>
      </c>
      <c r="C3587">
        <v>21473</v>
      </c>
      <c r="D3587" t="str">
        <f>PROPER(Transactions!D3587)</f>
        <v>Clothing</v>
      </c>
      <c r="E3587" t="s">
        <v>121</v>
      </c>
      <c r="F3587" t="s">
        <v>122</v>
      </c>
      <c r="G3587">
        <v>2</v>
      </c>
      <c r="H3587">
        <v>11.04</v>
      </c>
      <c r="I3587" s="7">
        <f>IF(Transactions!I3587="",0,Transactions!I3587)</f>
        <v>0.15</v>
      </c>
      <c r="J3587" s="9">
        <f t="shared" ref="J3587:J3650" si="56">(H3587*G3587)*(1-I3587)</f>
        <v>18.767999999999997</v>
      </c>
      <c r="K3587" t="s">
        <v>36</v>
      </c>
      <c r="L3587" t="s">
        <v>17</v>
      </c>
      <c r="M3587" t="str">
        <f>REPLACE(Transactions!M3587,1,4,"")</f>
        <v>7</v>
      </c>
    </row>
    <row r="3588" spans="1:13" x14ac:dyDescent="0.2">
      <c r="A3588">
        <v>694982</v>
      </c>
      <c r="B3588" s="5">
        <v>44868</v>
      </c>
      <c r="C3588">
        <v>87342</v>
      </c>
      <c r="D3588" t="str">
        <f>PROPER(Transactions!D3588)</f>
        <v>Beauty</v>
      </c>
      <c r="E3588" t="s">
        <v>143</v>
      </c>
      <c r="F3588" t="s">
        <v>144</v>
      </c>
      <c r="G3588">
        <v>1</v>
      </c>
      <c r="H3588">
        <v>14.99</v>
      </c>
      <c r="I3588" s="7">
        <f>IF(Transactions!I3588="",0,Transactions!I3588)</f>
        <v>0</v>
      </c>
      <c r="J3588" s="9">
        <f t="shared" si="56"/>
        <v>14.99</v>
      </c>
      <c r="K3588" t="s">
        <v>95</v>
      </c>
      <c r="L3588" t="s">
        <v>37</v>
      </c>
      <c r="M3588" t="str">
        <f>REPLACE(Transactions!M3588,1,4,"")</f>
        <v>6</v>
      </c>
    </row>
    <row r="3589" spans="1:13" x14ac:dyDescent="0.2">
      <c r="A3589">
        <v>695122</v>
      </c>
      <c r="B3589" s="5">
        <v>45374</v>
      </c>
      <c r="C3589">
        <v>74573</v>
      </c>
      <c r="D3589" t="str">
        <f>PROPER(Transactions!D3589)</f>
        <v>Automotive</v>
      </c>
      <c r="E3589" t="s">
        <v>111</v>
      </c>
      <c r="F3589" t="s">
        <v>112</v>
      </c>
      <c r="G3589">
        <v>3</v>
      </c>
      <c r="H3589">
        <v>10.49</v>
      </c>
      <c r="I3589" s="7">
        <f>IF(Transactions!I3589="",0,Transactions!I3589)</f>
        <v>0.3</v>
      </c>
      <c r="J3589" s="9">
        <f t="shared" si="56"/>
        <v>22.028999999999996</v>
      </c>
      <c r="K3589" t="s">
        <v>95</v>
      </c>
      <c r="L3589" t="s">
        <v>37</v>
      </c>
      <c r="M3589" t="str">
        <f>REPLACE(Transactions!M3589,1,4,"")</f>
        <v>14</v>
      </c>
    </row>
    <row r="3590" spans="1:13" x14ac:dyDescent="0.2">
      <c r="A3590">
        <v>695403</v>
      </c>
      <c r="B3590" s="5">
        <v>44835</v>
      </c>
      <c r="C3590">
        <v>48230</v>
      </c>
      <c r="D3590" t="str">
        <f>PROPER(Transactions!D3590)</f>
        <v>Clothing</v>
      </c>
      <c r="E3590" t="s">
        <v>121</v>
      </c>
      <c r="F3590" t="s">
        <v>122</v>
      </c>
      <c r="G3590">
        <v>1</v>
      </c>
      <c r="H3590">
        <v>10.39</v>
      </c>
      <c r="I3590" s="7">
        <f>IF(Transactions!I3590="",0,Transactions!I3590)</f>
        <v>0.2</v>
      </c>
      <c r="J3590" s="9">
        <f t="shared" si="56"/>
        <v>8.3120000000000012</v>
      </c>
      <c r="K3590" t="s">
        <v>16</v>
      </c>
      <c r="L3590" t="s">
        <v>37</v>
      </c>
      <c r="M3590" t="str">
        <f>REPLACE(Transactions!M3590,1,4,"")</f>
        <v>18</v>
      </c>
    </row>
    <row r="3591" spans="1:13" x14ac:dyDescent="0.2">
      <c r="A3591">
        <v>695438</v>
      </c>
      <c r="B3591" s="5">
        <v>44917</v>
      </c>
      <c r="C3591">
        <v>70793</v>
      </c>
      <c r="D3591" t="str">
        <f>PROPER(Transactions!D3591)</f>
        <v>Toys</v>
      </c>
      <c r="E3591" t="s">
        <v>170</v>
      </c>
      <c r="F3591" t="s">
        <v>171</v>
      </c>
      <c r="G3591">
        <v>4</v>
      </c>
      <c r="H3591">
        <v>14.99</v>
      </c>
      <c r="I3591" s="7">
        <f>IF(Transactions!I3591="",0,Transactions!I3591)</f>
        <v>0</v>
      </c>
      <c r="J3591" s="9">
        <f t="shared" si="56"/>
        <v>59.96</v>
      </c>
      <c r="K3591" t="s">
        <v>32</v>
      </c>
      <c r="L3591" t="s">
        <v>17</v>
      </c>
      <c r="M3591" t="str">
        <f>REPLACE(Transactions!M3591,1,4,"")</f>
        <v>8</v>
      </c>
    </row>
    <row r="3592" spans="1:13" x14ac:dyDescent="0.2">
      <c r="A3592">
        <v>695501</v>
      </c>
      <c r="B3592" s="5">
        <v>45380</v>
      </c>
      <c r="C3592">
        <v>58236</v>
      </c>
      <c r="D3592" t="str">
        <f>PROPER(Transactions!D3592)</f>
        <v>Toys</v>
      </c>
      <c r="E3592" t="s">
        <v>30</v>
      </c>
      <c r="F3592" t="s">
        <v>31</v>
      </c>
      <c r="G3592">
        <v>1</v>
      </c>
      <c r="H3592">
        <v>24.99</v>
      </c>
      <c r="I3592" s="7">
        <f>IF(Transactions!I3592="",0,Transactions!I3592)</f>
        <v>0</v>
      </c>
      <c r="J3592" s="9">
        <f t="shared" si="56"/>
        <v>24.99</v>
      </c>
      <c r="K3592" t="s">
        <v>16</v>
      </c>
      <c r="L3592" t="s">
        <v>23</v>
      </c>
      <c r="M3592" t="str">
        <f>REPLACE(Transactions!M3592,1,4,"")</f>
        <v>3</v>
      </c>
    </row>
    <row r="3593" spans="1:13" x14ac:dyDescent="0.2">
      <c r="A3593">
        <v>695612</v>
      </c>
      <c r="B3593" s="5">
        <v>44576</v>
      </c>
      <c r="C3593">
        <v>77321</v>
      </c>
      <c r="D3593" t="str">
        <f>PROPER(Transactions!D3593)</f>
        <v>Clothing</v>
      </c>
      <c r="E3593" t="s">
        <v>135</v>
      </c>
      <c r="F3593" t="s">
        <v>136</v>
      </c>
      <c r="G3593">
        <v>1</v>
      </c>
      <c r="H3593">
        <v>7.49</v>
      </c>
      <c r="I3593" s="7">
        <f>IF(Transactions!I3593="",0,Transactions!I3593)</f>
        <v>0.25</v>
      </c>
      <c r="J3593" s="9">
        <f t="shared" si="56"/>
        <v>5.6174999999999997</v>
      </c>
      <c r="K3593" t="s">
        <v>36</v>
      </c>
      <c r="L3593" t="s">
        <v>37</v>
      </c>
      <c r="M3593" t="str">
        <f>REPLACE(Transactions!M3593,1,4,"")</f>
        <v>8</v>
      </c>
    </row>
    <row r="3594" spans="1:13" x14ac:dyDescent="0.2">
      <c r="A3594">
        <v>695632</v>
      </c>
      <c r="B3594" s="5">
        <v>45451</v>
      </c>
      <c r="C3594">
        <v>77141</v>
      </c>
      <c r="D3594" t="str">
        <f>PROPER(Transactions!D3594)</f>
        <v>Home &amp; Garden</v>
      </c>
      <c r="E3594" t="s">
        <v>86</v>
      </c>
      <c r="F3594" t="s">
        <v>87</v>
      </c>
      <c r="G3594">
        <v>2</v>
      </c>
      <c r="H3594">
        <v>11.04</v>
      </c>
      <c r="I3594" s="7">
        <f>IF(Transactions!I3594="",0,Transactions!I3594)</f>
        <v>0.15</v>
      </c>
      <c r="J3594" s="9">
        <f t="shared" si="56"/>
        <v>18.767999999999997</v>
      </c>
      <c r="K3594" t="s">
        <v>16</v>
      </c>
      <c r="L3594" t="s">
        <v>17</v>
      </c>
      <c r="M3594" t="str">
        <f>REPLACE(Transactions!M3594,1,4,"")</f>
        <v>10</v>
      </c>
    </row>
    <row r="3595" spans="1:13" x14ac:dyDescent="0.2">
      <c r="A3595">
        <v>696368</v>
      </c>
      <c r="B3595" s="5">
        <v>44637</v>
      </c>
      <c r="C3595">
        <v>57374</v>
      </c>
      <c r="D3595" t="str">
        <f>PROPER(Transactions!D3595)</f>
        <v>Electronics</v>
      </c>
      <c r="E3595" t="s">
        <v>127</v>
      </c>
      <c r="F3595" t="s">
        <v>128</v>
      </c>
      <c r="G3595">
        <v>1</v>
      </c>
      <c r="H3595">
        <v>15.99</v>
      </c>
      <c r="I3595" s="7">
        <f>IF(Transactions!I3595="",0,Transactions!I3595)</f>
        <v>0.2</v>
      </c>
      <c r="J3595" s="9">
        <f t="shared" si="56"/>
        <v>12.792000000000002</v>
      </c>
      <c r="K3595" t="s">
        <v>16</v>
      </c>
      <c r="L3595" t="s">
        <v>17</v>
      </c>
      <c r="M3595" t="str">
        <f>REPLACE(Transactions!M3595,1,4,"")</f>
        <v/>
      </c>
    </row>
    <row r="3596" spans="1:13" x14ac:dyDescent="0.2">
      <c r="A3596">
        <v>696389</v>
      </c>
      <c r="B3596" s="5">
        <v>45311</v>
      </c>
      <c r="C3596">
        <v>12788</v>
      </c>
      <c r="D3596" t="str">
        <f>PROPER(Transactions!D3596)</f>
        <v>Automotive</v>
      </c>
      <c r="E3596" t="s">
        <v>64</v>
      </c>
      <c r="F3596" t="s">
        <v>65</v>
      </c>
      <c r="G3596">
        <v>3</v>
      </c>
      <c r="H3596">
        <v>3.99</v>
      </c>
      <c r="I3596" s="7">
        <f>IF(Transactions!I3596="",0,Transactions!I3596)</f>
        <v>0.2</v>
      </c>
      <c r="J3596" s="9">
        <f t="shared" si="56"/>
        <v>9.5760000000000005</v>
      </c>
      <c r="K3596" t="s">
        <v>16</v>
      </c>
      <c r="L3596" t="s">
        <v>17</v>
      </c>
      <c r="M3596" t="str">
        <f>REPLACE(Transactions!M3596,1,4,"")</f>
        <v>2</v>
      </c>
    </row>
    <row r="3597" spans="1:13" x14ac:dyDescent="0.2">
      <c r="A3597">
        <v>696480</v>
      </c>
      <c r="B3597" s="5">
        <v>45518</v>
      </c>
      <c r="C3597">
        <v>18819</v>
      </c>
      <c r="D3597" t="str">
        <f>PROPER(Transactions!D3597)</f>
        <v>Furniture</v>
      </c>
      <c r="E3597" t="s">
        <v>113</v>
      </c>
      <c r="F3597" t="s">
        <v>114</v>
      </c>
      <c r="G3597">
        <v>1</v>
      </c>
      <c r="H3597">
        <v>119.99</v>
      </c>
      <c r="I3597" s="7">
        <f>IF(Transactions!I3597="",0,Transactions!I3597)</f>
        <v>0</v>
      </c>
      <c r="J3597" s="9">
        <f t="shared" si="56"/>
        <v>119.99</v>
      </c>
      <c r="K3597" t="s">
        <v>16</v>
      </c>
      <c r="L3597" t="s">
        <v>17</v>
      </c>
      <c r="M3597" t="str">
        <f>REPLACE(Transactions!M3597,1,4,"")</f>
        <v>12</v>
      </c>
    </row>
    <row r="3598" spans="1:13" x14ac:dyDescent="0.2">
      <c r="A3598">
        <v>696557</v>
      </c>
      <c r="B3598" s="5">
        <v>45515</v>
      </c>
      <c r="C3598">
        <v>58784</v>
      </c>
      <c r="D3598" t="str">
        <f>PROPER(Transactions!D3598)</f>
        <v>Toys</v>
      </c>
      <c r="E3598" t="s">
        <v>175</v>
      </c>
      <c r="F3598" t="s">
        <v>176</v>
      </c>
      <c r="G3598">
        <v>2</v>
      </c>
      <c r="H3598">
        <v>8.39</v>
      </c>
      <c r="I3598" s="7">
        <f>IF(Transactions!I3598="",0,Transactions!I3598)</f>
        <v>0.3</v>
      </c>
      <c r="J3598" s="9">
        <f t="shared" si="56"/>
        <v>11.746</v>
      </c>
      <c r="K3598" t="s">
        <v>22</v>
      </c>
      <c r="L3598" t="s">
        <v>37</v>
      </c>
      <c r="M3598" t="str">
        <f>REPLACE(Transactions!M3598,1,4,"")</f>
        <v>19</v>
      </c>
    </row>
    <row r="3599" spans="1:13" x14ac:dyDescent="0.2">
      <c r="A3599">
        <v>696621</v>
      </c>
      <c r="B3599" s="5">
        <v>45414</v>
      </c>
      <c r="C3599">
        <v>85228</v>
      </c>
      <c r="D3599" t="str">
        <f>PROPER(Transactions!D3599)</f>
        <v>Toys</v>
      </c>
      <c r="E3599" t="s">
        <v>88</v>
      </c>
      <c r="F3599" t="s">
        <v>89</v>
      </c>
      <c r="G3599">
        <v>5</v>
      </c>
      <c r="H3599">
        <v>42.49</v>
      </c>
      <c r="I3599" s="7">
        <f>IF(Transactions!I3599="",0,Transactions!I3599)</f>
        <v>0.15</v>
      </c>
      <c r="J3599" s="9">
        <f t="shared" si="56"/>
        <v>180.58250000000001</v>
      </c>
      <c r="K3599" t="s">
        <v>32</v>
      </c>
      <c r="L3599" t="s">
        <v>23</v>
      </c>
      <c r="M3599" t="str">
        <f>REPLACE(Transactions!M3599,1,4,"")</f>
        <v>1</v>
      </c>
    </row>
    <row r="3600" spans="1:13" x14ac:dyDescent="0.2">
      <c r="A3600">
        <v>696632</v>
      </c>
      <c r="B3600" s="5">
        <v>44685</v>
      </c>
      <c r="C3600">
        <v>54689</v>
      </c>
      <c r="D3600" t="str">
        <f>PROPER(Transactions!D3600)</f>
        <v>Toys</v>
      </c>
      <c r="E3600" t="s">
        <v>30</v>
      </c>
      <c r="F3600" t="s">
        <v>31</v>
      </c>
      <c r="G3600">
        <v>2</v>
      </c>
      <c r="H3600">
        <v>21.24</v>
      </c>
      <c r="I3600" s="7">
        <f>IF(Transactions!I3600="",0,Transactions!I3600)</f>
        <v>0.15</v>
      </c>
      <c r="J3600" s="9">
        <f t="shared" si="56"/>
        <v>36.107999999999997</v>
      </c>
      <c r="K3600" t="s">
        <v>16</v>
      </c>
      <c r="L3600" t="s">
        <v>17</v>
      </c>
      <c r="M3600" t="str">
        <f>REPLACE(Transactions!M3600,1,4,"")</f>
        <v>13</v>
      </c>
    </row>
    <row r="3601" spans="1:13" x14ac:dyDescent="0.2">
      <c r="A3601">
        <v>696839</v>
      </c>
      <c r="B3601" s="5">
        <v>45144</v>
      </c>
      <c r="C3601">
        <v>23831</v>
      </c>
      <c r="D3601" t="str">
        <f>PROPER(Transactions!D3601)</f>
        <v>Toys</v>
      </c>
      <c r="E3601" t="s">
        <v>30</v>
      </c>
      <c r="F3601" t="s">
        <v>31</v>
      </c>
      <c r="G3601">
        <v>4</v>
      </c>
      <c r="H3601">
        <v>17.489999999999998</v>
      </c>
      <c r="I3601" s="7">
        <f>IF(Transactions!I3601="",0,Transactions!I3601)</f>
        <v>0.3</v>
      </c>
      <c r="J3601" s="9">
        <f t="shared" si="56"/>
        <v>48.971999999999994</v>
      </c>
      <c r="K3601" t="s">
        <v>53</v>
      </c>
      <c r="L3601" t="s">
        <v>17</v>
      </c>
      <c r="M3601" t="str">
        <f>REPLACE(Transactions!M3601,1,4,"")</f>
        <v>13</v>
      </c>
    </row>
    <row r="3602" spans="1:13" x14ac:dyDescent="0.2">
      <c r="A3602">
        <v>696935</v>
      </c>
      <c r="B3602" s="5">
        <v>45598</v>
      </c>
      <c r="C3602">
        <v>47931</v>
      </c>
      <c r="D3602" t="str">
        <f>PROPER(Transactions!D3602)</f>
        <v>Beauty</v>
      </c>
      <c r="E3602" t="s">
        <v>118</v>
      </c>
      <c r="F3602" t="s">
        <v>119</v>
      </c>
      <c r="G3602">
        <v>1</v>
      </c>
      <c r="H3602">
        <v>3.74</v>
      </c>
      <c r="I3602" s="7">
        <f>IF(Transactions!I3602="",0,Transactions!I3602)</f>
        <v>0.25</v>
      </c>
      <c r="J3602" s="9">
        <f t="shared" si="56"/>
        <v>2.8050000000000002</v>
      </c>
      <c r="K3602" t="s">
        <v>36</v>
      </c>
      <c r="L3602" t="s">
        <v>17</v>
      </c>
      <c r="M3602" t="str">
        <f>REPLACE(Transactions!M3602,1,4,"")</f>
        <v>18</v>
      </c>
    </row>
    <row r="3603" spans="1:13" x14ac:dyDescent="0.2">
      <c r="A3603">
        <v>697014</v>
      </c>
      <c r="B3603" s="5">
        <v>44732</v>
      </c>
      <c r="C3603">
        <v>74082</v>
      </c>
      <c r="D3603" t="str">
        <f>PROPER(Transactions!D3603)</f>
        <v>Home &amp; Garden</v>
      </c>
      <c r="E3603" t="s">
        <v>129</v>
      </c>
      <c r="F3603" t="s">
        <v>130</v>
      </c>
      <c r="G3603">
        <v>5</v>
      </c>
      <c r="H3603">
        <v>6.74</v>
      </c>
      <c r="I3603" s="7">
        <f>IF(Transactions!I3603="",0,Transactions!I3603)</f>
        <v>0.25</v>
      </c>
      <c r="J3603" s="9">
        <f t="shared" si="56"/>
        <v>25.275000000000002</v>
      </c>
      <c r="K3603" t="s">
        <v>16</v>
      </c>
      <c r="L3603" t="s">
        <v>17</v>
      </c>
      <c r="M3603" t="str">
        <f>REPLACE(Transactions!M3603,1,4,"")</f>
        <v>13</v>
      </c>
    </row>
    <row r="3604" spans="1:13" x14ac:dyDescent="0.2">
      <c r="A3604">
        <v>697063</v>
      </c>
      <c r="B3604" s="5">
        <v>45311</v>
      </c>
      <c r="C3604">
        <v>28104</v>
      </c>
      <c r="D3604" t="str">
        <f>PROPER(Transactions!D3604)</f>
        <v>Clothing</v>
      </c>
      <c r="E3604" t="s">
        <v>98</v>
      </c>
      <c r="F3604" t="s">
        <v>99</v>
      </c>
      <c r="G3604">
        <v>4</v>
      </c>
      <c r="H3604">
        <v>27.99</v>
      </c>
      <c r="I3604" s="7">
        <f>IF(Transactions!I3604="",0,Transactions!I3604)</f>
        <v>0</v>
      </c>
      <c r="J3604" s="9">
        <f t="shared" si="56"/>
        <v>111.96</v>
      </c>
      <c r="K3604" t="s">
        <v>53</v>
      </c>
      <c r="L3604" t="s">
        <v>17</v>
      </c>
      <c r="M3604" t="str">
        <f>REPLACE(Transactions!M3604,1,4,"")</f>
        <v>14</v>
      </c>
    </row>
    <row r="3605" spans="1:13" x14ac:dyDescent="0.2">
      <c r="A3605">
        <v>697124</v>
      </c>
      <c r="B3605" s="5">
        <v>45189</v>
      </c>
      <c r="C3605">
        <v>71276</v>
      </c>
      <c r="D3605" t="str">
        <f>PROPER(Transactions!D3605)</f>
        <v>Clothing</v>
      </c>
      <c r="E3605" t="s">
        <v>121</v>
      </c>
      <c r="F3605" t="s">
        <v>122</v>
      </c>
      <c r="G3605">
        <v>1</v>
      </c>
      <c r="H3605">
        <v>9.09</v>
      </c>
      <c r="I3605" s="7">
        <f>IF(Transactions!I3605="",0,Transactions!I3605)</f>
        <v>0.3</v>
      </c>
      <c r="J3605" s="9">
        <f t="shared" si="56"/>
        <v>6.3629999999999995</v>
      </c>
      <c r="K3605" t="s">
        <v>16</v>
      </c>
      <c r="L3605" t="s">
        <v>17</v>
      </c>
      <c r="M3605" t="str">
        <f>REPLACE(Transactions!M3605,1,4,"")</f>
        <v>4</v>
      </c>
    </row>
    <row r="3606" spans="1:13" x14ac:dyDescent="0.2">
      <c r="A3606">
        <v>697152</v>
      </c>
      <c r="B3606" s="5">
        <v>45007</v>
      </c>
      <c r="C3606">
        <v>84469</v>
      </c>
      <c r="D3606" t="str">
        <f>PROPER(Transactions!D3606)</f>
        <v>Furniture</v>
      </c>
      <c r="E3606" t="s">
        <v>113</v>
      </c>
      <c r="F3606" t="s">
        <v>114</v>
      </c>
      <c r="G3606">
        <v>5</v>
      </c>
      <c r="H3606">
        <v>83.99</v>
      </c>
      <c r="I3606" s="7">
        <f>IF(Transactions!I3606="",0,Transactions!I3606)</f>
        <v>0.3</v>
      </c>
      <c r="J3606" s="9">
        <f t="shared" si="56"/>
        <v>293.96499999999997</v>
      </c>
      <c r="K3606" t="s">
        <v>53</v>
      </c>
      <c r="L3606" t="s">
        <v>17</v>
      </c>
      <c r="M3606" t="str">
        <f>REPLACE(Transactions!M3606,1,4,"")</f>
        <v>15</v>
      </c>
    </row>
    <row r="3607" spans="1:13" x14ac:dyDescent="0.2">
      <c r="A3607">
        <v>697209</v>
      </c>
      <c r="B3607" s="5">
        <v>45296</v>
      </c>
      <c r="C3607">
        <v>33421</v>
      </c>
      <c r="D3607" t="str">
        <f>PROPER(Transactions!D3607)</f>
        <v>Clothing</v>
      </c>
      <c r="E3607" t="s">
        <v>141</v>
      </c>
      <c r="F3607" t="s">
        <v>142</v>
      </c>
      <c r="G3607">
        <v>3</v>
      </c>
      <c r="H3607">
        <v>20.69</v>
      </c>
      <c r="I3607" s="7">
        <f>IF(Transactions!I3607="",0,Transactions!I3607)</f>
        <v>0</v>
      </c>
      <c r="J3607" s="9">
        <f t="shared" si="56"/>
        <v>62.070000000000007</v>
      </c>
      <c r="K3607" t="s">
        <v>36</v>
      </c>
      <c r="L3607" t="s">
        <v>37</v>
      </c>
      <c r="M3607" t="str">
        <f>REPLACE(Transactions!M3607,1,4,"")</f>
        <v>7</v>
      </c>
    </row>
    <row r="3608" spans="1:13" x14ac:dyDescent="0.2">
      <c r="A3608">
        <v>697729</v>
      </c>
      <c r="B3608" s="5">
        <v>45148</v>
      </c>
      <c r="C3608">
        <v>95293</v>
      </c>
      <c r="D3608" t="str">
        <f>PROPER(Transactions!D3608)</f>
        <v>Clothing</v>
      </c>
      <c r="E3608" t="s">
        <v>98</v>
      </c>
      <c r="F3608" t="s">
        <v>99</v>
      </c>
      <c r="G3608">
        <v>3</v>
      </c>
      <c r="H3608">
        <v>27.99</v>
      </c>
      <c r="I3608" s="7">
        <f>IF(Transactions!I3608="",0,Transactions!I3608)</f>
        <v>0</v>
      </c>
      <c r="J3608" s="9">
        <f t="shared" si="56"/>
        <v>83.97</v>
      </c>
      <c r="K3608" t="s">
        <v>53</v>
      </c>
      <c r="L3608" t="s">
        <v>17</v>
      </c>
      <c r="M3608" t="str">
        <f>REPLACE(Transactions!M3608,1,4,"")</f>
        <v>13</v>
      </c>
    </row>
    <row r="3609" spans="1:13" x14ac:dyDescent="0.2">
      <c r="A3609">
        <v>697815</v>
      </c>
      <c r="B3609" s="5">
        <v>45546</v>
      </c>
      <c r="C3609">
        <v>15003</v>
      </c>
      <c r="D3609" t="str">
        <f>PROPER(Transactions!D3609)</f>
        <v>Toys</v>
      </c>
      <c r="E3609" t="s">
        <v>38</v>
      </c>
      <c r="F3609" t="s">
        <v>39</v>
      </c>
      <c r="G3609">
        <v>1</v>
      </c>
      <c r="H3609">
        <v>29.99</v>
      </c>
      <c r="I3609" s="7">
        <f>IF(Transactions!I3609="",0,Transactions!I3609)</f>
        <v>0</v>
      </c>
      <c r="J3609" s="9">
        <f t="shared" si="56"/>
        <v>29.99</v>
      </c>
      <c r="K3609" t="s">
        <v>36</v>
      </c>
      <c r="L3609" t="s">
        <v>37</v>
      </c>
      <c r="M3609" t="str">
        <f>REPLACE(Transactions!M3609,1,4,"")</f>
        <v>14</v>
      </c>
    </row>
    <row r="3610" spans="1:13" x14ac:dyDescent="0.2">
      <c r="A3610">
        <v>698030</v>
      </c>
      <c r="B3610" s="5">
        <v>44902</v>
      </c>
      <c r="C3610">
        <v>12037</v>
      </c>
      <c r="D3610" t="str">
        <f>PROPER(Transactions!D3610)</f>
        <v>Home &amp; Garden</v>
      </c>
      <c r="E3610" t="s">
        <v>145</v>
      </c>
      <c r="F3610" t="s">
        <v>146</v>
      </c>
      <c r="G3610">
        <v>1</v>
      </c>
      <c r="H3610">
        <v>15.29</v>
      </c>
      <c r="I3610" s="7">
        <f>IF(Transactions!I3610="",0,Transactions!I3610)</f>
        <v>0.1</v>
      </c>
      <c r="J3610" s="9">
        <f t="shared" si="56"/>
        <v>13.760999999999999</v>
      </c>
      <c r="K3610" t="s">
        <v>66</v>
      </c>
      <c r="L3610" t="s">
        <v>17</v>
      </c>
      <c r="M3610" t="str">
        <f>REPLACE(Transactions!M3610,1,4,"")</f>
        <v>2</v>
      </c>
    </row>
    <row r="3611" spans="1:13" x14ac:dyDescent="0.2">
      <c r="A3611">
        <v>698128</v>
      </c>
      <c r="B3611" s="5">
        <v>45619</v>
      </c>
      <c r="C3611">
        <v>32901</v>
      </c>
      <c r="D3611" t="str">
        <f>PROPER(Transactions!D3611)</f>
        <v>Furniture</v>
      </c>
      <c r="E3611" t="s">
        <v>60</v>
      </c>
      <c r="F3611" t="s">
        <v>61</v>
      </c>
      <c r="G3611">
        <v>2</v>
      </c>
      <c r="H3611">
        <v>43.99</v>
      </c>
      <c r="I3611" s="7">
        <f>IF(Transactions!I3611="",0,Transactions!I3611)</f>
        <v>0.2</v>
      </c>
      <c r="J3611" s="9">
        <f t="shared" si="56"/>
        <v>70.384</v>
      </c>
      <c r="K3611" t="s">
        <v>36</v>
      </c>
      <c r="L3611" t="s">
        <v>17</v>
      </c>
      <c r="M3611" t="str">
        <f>REPLACE(Transactions!M3611,1,4,"")</f>
        <v>10</v>
      </c>
    </row>
    <row r="3612" spans="1:13" x14ac:dyDescent="0.2">
      <c r="A3612">
        <v>698129</v>
      </c>
      <c r="B3612" s="5">
        <v>44809</v>
      </c>
      <c r="C3612">
        <v>81554</v>
      </c>
      <c r="D3612" t="str">
        <f>PROPER(Transactions!D3612)</f>
        <v>Automotive</v>
      </c>
      <c r="E3612" t="s">
        <v>131</v>
      </c>
      <c r="F3612" t="s">
        <v>132</v>
      </c>
      <c r="G3612">
        <v>1</v>
      </c>
      <c r="H3612">
        <v>3.49</v>
      </c>
      <c r="I3612" s="7">
        <f>IF(Transactions!I3612="",0,Transactions!I3612)</f>
        <v>0</v>
      </c>
      <c r="J3612" s="9">
        <f t="shared" si="56"/>
        <v>3.49</v>
      </c>
      <c r="K3612" t="s">
        <v>22</v>
      </c>
      <c r="L3612" t="s">
        <v>17</v>
      </c>
      <c r="M3612" t="str">
        <f>REPLACE(Transactions!M3612,1,4,"")</f>
        <v>9</v>
      </c>
    </row>
    <row r="3613" spans="1:13" x14ac:dyDescent="0.2">
      <c r="A3613">
        <v>698218</v>
      </c>
      <c r="B3613" s="5">
        <v>44871</v>
      </c>
      <c r="C3613">
        <v>33764</v>
      </c>
      <c r="D3613" t="str">
        <f>PROPER(Transactions!D3613)</f>
        <v>Home &amp; Garden</v>
      </c>
      <c r="E3613" t="s">
        <v>157</v>
      </c>
      <c r="F3613" t="s">
        <v>158</v>
      </c>
      <c r="G3613">
        <v>1</v>
      </c>
      <c r="H3613">
        <v>13.49</v>
      </c>
      <c r="I3613" s="7">
        <f>IF(Transactions!I3613="",0,Transactions!I3613)</f>
        <v>0</v>
      </c>
      <c r="J3613" s="9">
        <f t="shared" si="56"/>
        <v>13.49</v>
      </c>
      <c r="K3613" t="s">
        <v>16</v>
      </c>
      <c r="L3613" t="s">
        <v>17</v>
      </c>
      <c r="M3613" t="str">
        <f>REPLACE(Transactions!M3613,1,4,"")</f>
        <v>11</v>
      </c>
    </row>
    <row r="3614" spans="1:13" x14ac:dyDescent="0.2">
      <c r="A3614">
        <v>698223</v>
      </c>
      <c r="B3614" s="5">
        <v>45125</v>
      </c>
      <c r="C3614">
        <v>63871</v>
      </c>
      <c r="D3614" t="str">
        <f>PROPER(Transactions!D3614)</f>
        <v>Toys</v>
      </c>
      <c r="E3614" t="s">
        <v>88</v>
      </c>
      <c r="F3614" t="s">
        <v>89</v>
      </c>
      <c r="G3614">
        <v>1</v>
      </c>
      <c r="H3614">
        <v>47.49</v>
      </c>
      <c r="I3614" s="7">
        <f>IF(Transactions!I3614="",0,Transactions!I3614)</f>
        <v>0.05</v>
      </c>
      <c r="J3614" s="9">
        <f t="shared" si="56"/>
        <v>45.115499999999997</v>
      </c>
      <c r="K3614" t="s">
        <v>22</v>
      </c>
      <c r="L3614" t="s">
        <v>17</v>
      </c>
      <c r="M3614" t="str">
        <f>REPLACE(Transactions!M3614,1,4,"")</f>
        <v>2</v>
      </c>
    </row>
    <row r="3615" spans="1:13" x14ac:dyDescent="0.2">
      <c r="A3615">
        <v>698292</v>
      </c>
      <c r="B3615" s="5">
        <v>44573</v>
      </c>
      <c r="C3615">
        <v>68330</v>
      </c>
      <c r="D3615" t="str">
        <f>PROPER(Transactions!D3615)</f>
        <v>Grocery</v>
      </c>
      <c r="E3615" t="s">
        <v>195</v>
      </c>
      <c r="F3615" t="s">
        <v>196</v>
      </c>
      <c r="G3615">
        <v>5</v>
      </c>
      <c r="H3615">
        <v>4.99</v>
      </c>
      <c r="I3615" s="7">
        <f>IF(Transactions!I3615="",0,Transactions!I3615)</f>
        <v>0</v>
      </c>
      <c r="J3615" s="9">
        <f t="shared" si="56"/>
        <v>24.950000000000003</v>
      </c>
      <c r="K3615" t="s">
        <v>22</v>
      </c>
      <c r="L3615" t="s">
        <v>17</v>
      </c>
      <c r="M3615" t="str">
        <f>REPLACE(Transactions!M3615,1,4,"")</f>
        <v>1</v>
      </c>
    </row>
    <row r="3616" spans="1:13" x14ac:dyDescent="0.2">
      <c r="A3616">
        <v>698384</v>
      </c>
      <c r="B3616" s="5">
        <v>44950</v>
      </c>
      <c r="C3616">
        <v>10319</v>
      </c>
      <c r="D3616" t="str">
        <f>PROPER(Transactions!D3616)</f>
        <v>Toys</v>
      </c>
      <c r="E3616" t="s">
        <v>88</v>
      </c>
      <c r="F3616" t="s">
        <v>89</v>
      </c>
      <c r="G3616">
        <v>3</v>
      </c>
      <c r="H3616">
        <v>47.49</v>
      </c>
      <c r="I3616" s="7">
        <f>IF(Transactions!I3616="",0,Transactions!I3616)</f>
        <v>0.05</v>
      </c>
      <c r="J3616" s="9">
        <f t="shared" si="56"/>
        <v>135.34649999999999</v>
      </c>
      <c r="K3616" t="s">
        <v>16</v>
      </c>
      <c r="L3616" t="s">
        <v>17</v>
      </c>
      <c r="M3616" t="str">
        <f>REPLACE(Transactions!M3616,1,4,"")</f>
        <v>9</v>
      </c>
    </row>
    <row r="3617" spans="1:13" x14ac:dyDescent="0.2">
      <c r="A3617">
        <v>698400</v>
      </c>
      <c r="B3617" s="5">
        <v>44828</v>
      </c>
      <c r="C3617">
        <v>50654</v>
      </c>
      <c r="D3617" t="str">
        <f>PROPER(Transactions!D3617)</f>
        <v>Automotive</v>
      </c>
      <c r="E3617" t="s">
        <v>125</v>
      </c>
      <c r="F3617" t="s">
        <v>126</v>
      </c>
      <c r="G3617">
        <v>1</v>
      </c>
      <c r="H3617">
        <v>22.49</v>
      </c>
      <c r="I3617" s="7">
        <f>IF(Transactions!I3617="",0,Transactions!I3617)</f>
        <v>0.25</v>
      </c>
      <c r="J3617" s="9">
        <f t="shared" si="56"/>
        <v>16.8675</v>
      </c>
      <c r="K3617" t="s">
        <v>22</v>
      </c>
      <c r="L3617" t="s">
        <v>17</v>
      </c>
      <c r="M3617" t="str">
        <f>REPLACE(Transactions!M3617,1,4,"")</f>
        <v>4</v>
      </c>
    </row>
    <row r="3618" spans="1:13" x14ac:dyDescent="0.2">
      <c r="A3618">
        <v>698608</v>
      </c>
      <c r="B3618" s="5">
        <v>45047</v>
      </c>
      <c r="C3618">
        <v>64306</v>
      </c>
      <c r="D3618" t="str">
        <f>PROPER(Transactions!D3618)</f>
        <v>Sports</v>
      </c>
      <c r="E3618" t="s">
        <v>100</v>
      </c>
      <c r="F3618" t="s">
        <v>101</v>
      </c>
      <c r="G3618">
        <v>3</v>
      </c>
      <c r="H3618">
        <v>19.54</v>
      </c>
      <c r="I3618" s="7">
        <f>IF(Transactions!I3618="",0,Transactions!I3618)</f>
        <v>0.15</v>
      </c>
      <c r="J3618" s="9">
        <f t="shared" si="56"/>
        <v>49.826999999999998</v>
      </c>
      <c r="K3618" t="s">
        <v>36</v>
      </c>
      <c r="L3618" t="s">
        <v>37</v>
      </c>
      <c r="M3618" t="str">
        <f>REPLACE(Transactions!M3618,1,4,"")</f>
        <v>10</v>
      </c>
    </row>
    <row r="3619" spans="1:13" x14ac:dyDescent="0.2">
      <c r="A3619">
        <v>698749</v>
      </c>
      <c r="B3619" s="5">
        <v>45556</v>
      </c>
      <c r="C3619">
        <v>91785</v>
      </c>
      <c r="D3619" t="str">
        <f>PROPER(Transactions!D3619)</f>
        <v>Electronics</v>
      </c>
      <c r="E3619" t="s">
        <v>34</v>
      </c>
      <c r="F3619" t="s">
        <v>35</v>
      </c>
      <c r="G3619">
        <v>1</v>
      </c>
      <c r="H3619">
        <v>33.24</v>
      </c>
      <c r="I3619" s="7">
        <f>IF(Transactions!I3619="",0,Transactions!I3619)</f>
        <v>0.05</v>
      </c>
      <c r="J3619" s="9">
        <f t="shared" si="56"/>
        <v>31.577999999999999</v>
      </c>
      <c r="K3619" t="s">
        <v>36</v>
      </c>
      <c r="L3619" t="s">
        <v>17</v>
      </c>
      <c r="M3619" t="str">
        <f>REPLACE(Transactions!M3619,1,4,"")</f>
        <v>12</v>
      </c>
    </row>
    <row r="3620" spans="1:13" x14ac:dyDescent="0.2">
      <c r="A3620">
        <v>698755</v>
      </c>
      <c r="B3620" s="5">
        <v>45149</v>
      </c>
      <c r="C3620">
        <v>52247</v>
      </c>
      <c r="D3620" t="str">
        <f>PROPER(Transactions!D3620)</f>
        <v>Grocery</v>
      </c>
      <c r="E3620" t="s">
        <v>133</v>
      </c>
      <c r="F3620" t="s">
        <v>134</v>
      </c>
      <c r="G3620">
        <v>2</v>
      </c>
      <c r="H3620">
        <v>3.79</v>
      </c>
      <c r="I3620" s="7">
        <f>IF(Transactions!I3620="",0,Transactions!I3620)</f>
        <v>0</v>
      </c>
      <c r="J3620" s="9">
        <f t="shared" si="56"/>
        <v>7.58</v>
      </c>
      <c r="K3620" t="s">
        <v>16</v>
      </c>
      <c r="L3620" t="s">
        <v>17</v>
      </c>
      <c r="M3620" t="str">
        <f>REPLACE(Transactions!M3620,1,4,"")</f>
        <v/>
      </c>
    </row>
    <row r="3621" spans="1:13" x14ac:dyDescent="0.2">
      <c r="A3621">
        <v>698846</v>
      </c>
      <c r="B3621" s="5">
        <v>45123</v>
      </c>
      <c r="C3621">
        <v>34348</v>
      </c>
      <c r="D3621" t="str">
        <f>PROPER(Transactions!D3621)</f>
        <v>Electronics</v>
      </c>
      <c r="E3621" t="s">
        <v>55</v>
      </c>
      <c r="F3621" t="s">
        <v>56</v>
      </c>
      <c r="G3621">
        <v>1</v>
      </c>
      <c r="H3621">
        <v>296.99</v>
      </c>
      <c r="I3621" s="7">
        <f>IF(Transactions!I3621="",0,Transactions!I3621)</f>
        <v>0.1</v>
      </c>
      <c r="J3621" s="9">
        <f t="shared" si="56"/>
        <v>267.291</v>
      </c>
      <c r="K3621" t="s">
        <v>22</v>
      </c>
      <c r="L3621" t="s">
        <v>17</v>
      </c>
      <c r="M3621" t="str">
        <f>REPLACE(Transactions!M3621,1,4,"")</f>
        <v>6</v>
      </c>
    </row>
    <row r="3622" spans="1:13" x14ac:dyDescent="0.2">
      <c r="A3622">
        <v>699147</v>
      </c>
      <c r="B3622" s="5">
        <v>44835</v>
      </c>
      <c r="C3622">
        <v>97417</v>
      </c>
      <c r="D3622" t="str">
        <f>PROPER(Transactions!D3622)</f>
        <v>Toys</v>
      </c>
      <c r="E3622" t="s">
        <v>30</v>
      </c>
      <c r="F3622" t="s">
        <v>31</v>
      </c>
      <c r="G3622">
        <v>3</v>
      </c>
      <c r="H3622">
        <v>19.989999999999998</v>
      </c>
      <c r="I3622" s="7">
        <f>IF(Transactions!I3622="",0,Transactions!I3622)</f>
        <v>0.2</v>
      </c>
      <c r="J3622" s="9">
        <f t="shared" si="56"/>
        <v>47.975999999999999</v>
      </c>
      <c r="K3622" t="s">
        <v>22</v>
      </c>
      <c r="L3622" t="s">
        <v>17</v>
      </c>
      <c r="M3622" t="str">
        <f>REPLACE(Transactions!M3622,1,4,"")</f>
        <v>19</v>
      </c>
    </row>
    <row r="3623" spans="1:13" x14ac:dyDescent="0.2">
      <c r="A3623">
        <v>699366</v>
      </c>
      <c r="B3623" s="5">
        <v>45271</v>
      </c>
      <c r="D3623" t="str">
        <f>PROPER(Transactions!D3623)</f>
        <v>Sports</v>
      </c>
      <c r="E3623" t="s">
        <v>188</v>
      </c>
      <c r="F3623" t="s">
        <v>189</v>
      </c>
      <c r="G3623">
        <v>1</v>
      </c>
      <c r="H3623">
        <v>44.99</v>
      </c>
      <c r="I3623" s="7">
        <f>IF(Transactions!I3623="",0,Transactions!I3623)</f>
        <v>0</v>
      </c>
      <c r="J3623" s="9">
        <f t="shared" si="56"/>
        <v>44.99</v>
      </c>
      <c r="K3623" t="s">
        <v>53</v>
      </c>
      <c r="L3623" t="s">
        <v>17</v>
      </c>
      <c r="M3623" t="str">
        <f>REPLACE(Transactions!M3623,1,4,"")</f>
        <v>5</v>
      </c>
    </row>
    <row r="3624" spans="1:13" x14ac:dyDescent="0.2">
      <c r="A3624">
        <v>699397</v>
      </c>
      <c r="B3624" s="5">
        <v>45114</v>
      </c>
      <c r="C3624">
        <v>46000</v>
      </c>
      <c r="D3624" t="str">
        <f>PROPER(Transactions!D3624)</f>
        <v>Furniture</v>
      </c>
      <c r="E3624" t="s">
        <v>26</v>
      </c>
      <c r="F3624" t="s">
        <v>27</v>
      </c>
      <c r="G3624">
        <v>1</v>
      </c>
      <c r="H3624">
        <v>24.49</v>
      </c>
      <c r="I3624" s="7">
        <f>IF(Transactions!I3624="",0,Transactions!I3624)</f>
        <v>0.3</v>
      </c>
      <c r="J3624" s="9">
        <f t="shared" si="56"/>
        <v>17.142999999999997</v>
      </c>
      <c r="K3624" t="s">
        <v>36</v>
      </c>
      <c r="L3624" t="s">
        <v>17</v>
      </c>
      <c r="M3624" t="str">
        <f>REPLACE(Transactions!M3624,1,4,"")</f>
        <v>11</v>
      </c>
    </row>
    <row r="3625" spans="1:13" x14ac:dyDescent="0.2">
      <c r="A3625">
        <v>699405</v>
      </c>
      <c r="B3625" s="5">
        <v>45252</v>
      </c>
      <c r="C3625">
        <v>55039</v>
      </c>
      <c r="D3625" t="str">
        <f>PROPER(Transactions!D3625)</f>
        <v>Grocery</v>
      </c>
      <c r="E3625" t="s">
        <v>177</v>
      </c>
      <c r="F3625" t="s">
        <v>178</v>
      </c>
      <c r="G3625">
        <v>3</v>
      </c>
      <c r="H3625">
        <v>9.59</v>
      </c>
      <c r="I3625" s="7">
        <f>IF(Transactions!I3625="",0,Transactions!I3625)</f>
        <v>0.2</v>
      </c>
      <c r="J3625" s="9">
        <f t="shared" si="56"/>
        <v>23.016000000000002</v>
      </c>
      <c r="K3625" t="s">
        <v>16</v>
      </c>
      <c r="L3625" t="s">
        <v>23</v>
      </c>
      <c r="M3625" t="str">
        <f>REPLACE(Transactions!M3625,1,4,"")</f>
        <v>9</v>
      </c>
    </row>
    <row r="3626" spans="1:13" x14ac:dyDescent="0.2">
      <c r="A3626">
        <v>699556</v>
      </c>
      <c r="B3626" s="5">
        <v>45371</v>
      </c>
      <c r="C3626">
        <v>61135</v>
      </c>
      <c r="D3626" t="str">
        <f>PROPER(Transactions!D3626)</f>
        <v>Furniture</v>
      </c>
      <c r="E3626" t="s">
        <v>113</v>
      </c>
      <c r="F3626" t="s">
        <v>114</v>
      </c>
      <c r="G3626">
        <v>1</v>
      </c>
      <c r="H3626">
        <v>95.99</v>
      </c>
      <c r="I3626" s="7">
        <f>IF(Transactions!I3626="",0,Transactions!I3626)</f>
        <v>0.2</v>
      </c>
      <c r="J3626" s="9">
        <f t="shared" si="56"/>
        <v>76.792000000000002</v>
      </c>
      <c r="K3626" t="s">
        <v>36</v>
      </c>
      <c r="L3626" t="s">
        <v>17</v>
      </c>
      <c r="M3626" t="str">
        <f>REPLACE(Transactions!M3626,1,4,"")</f>
        <v>4</v>
      </c>
    </row>
    <row r="3627" spans="1:13" x14ac:dyDescent="0.2">
      <c r="A3627">
        <v>699663</v>
      </c>
      <c r="B3627" s="5">
        <v>44967</v>
      </c>
      <c r="C3627">
        <v>11757</v>
      </c>
      <c r="D3627" t="str">
        <f>PROPER(Transactions!D3627)</f>
        <v>Automotive</v>
      </c>
      <c r="E3627" t="s">
        <v>111</v>
      </c>
      <c r="F3627" t="s">
        <v>112</v>
      </c>
      <c r="G3627">
        <v>1</v>
      </c>
      <c r="H3627">
        <v>14.24</v>
      </c>
      <c r="I3627" s="7">
        <f>IF(Transactions!I3627="",0,Transactions!I3627)</f>
        <v>0.05</v>
      </c>
      <c r="J3627" s="9">
        <f t="shared" si="56"/>
        <v>13.527999999999999</v>
      </c>
      <c r="K3627" t="s">
        <v>16</v>
      </c>
      <c r="L3627" t="s">
        <v>17</v>
      </c>
      <c r="M3627" t="str">
        <f>REPLACE(Transactions!M3627,1,4,"")</f>
        <v>19</v>
      </c>
    </row>
    <row r="3628" spans="1:13" x14ac:dyDescent="0.2">
      <c r="A3628">
        <v>699689</v>
      </c>
      <c r="B3628" s="5">
        <v>44924</v>
      </c>
      <c r="C3628">
        <v>11264</v>
      </c>
      <c r="D3628" t="str">
        <f>PROPER(Transactions!D3628)</f>
        <v>Clothing</v>
      </c>
      <c r="E3628" t="s">
        <v>193</v>
      </c>
      <c r="F3628" t="s">
        <v>194</v>
      </c>
      <c r="G3628">
        <v>1</v>
      </c>
      <c r="H3628">
        <v>55.24</v>
      </c>
      <c r="I3628" s="7">
        <f>IF(Transactions!I3628="",0,Transactions!I3628)</f>
        <v>0.15</v>
      </c>
      <c r="J3628" s="9">
        <f t="shared" si="56"/>
        <v>46.954000000000001</v>
      </c>
      <c r="K3628" t="s">
        <v>53</v>
      </c>
      <c r="L3628" t="s">
        <v>37</v>
      </c>
      <c r="M3628" t="str">
        <f>REPLACE(Transactions!M3628,1,4,"")</f>
        <v/>
      </c>
    </row>
    <row r="3629" spans="1:13" x14ac:dyDescent="0.2">
      <c r="A3629">
        <v>699722</v>
      </c>
      <c r="B3629" s="5">
        <v>45013</v>
      </c>
      <c r="C3629">
        <v>17272</v>
      </c>
      <c r="D3629" t="str">
        <f>PROPER(Transactions!D3629)</f>
        <v>Automotive</v>
      </c>
      <c r="E3629" t="s">
        <v>131</v>
      </c>
      <c r="F3629" t="s">
        <v>132</v>
      </c>
      <c r="G3629">
        <v>2</v>
      </c>
      <c r="H3629">
        <v>3.14</v>
      </c>
      <c r="I3629" s="7">
        <f>IF(Transactions!I3629="",0,Transactions!I3629)</f>
        <v>0.1</v>
      </c>
      <c r="J3629" s="9">
        <f t="shared" si="56"/>
        <v>5.6520000000000001</v>
      </c>
      <c r="K3629" t="s">
        <v>22</v>
      </c>
      <c r="L3629" t="s">
        <v>37</v>
      </c>
      <c r="M3629" t="str">
        <f>REPLACE(Transactions!M3629,1,4,"")</f>
        <v>2</v>
      </c>
    </row>
    <row r="3630" spans="1:13" x14ac:dyDescent="0.2">
      <c r="A3630">
        <v>699932</v>
      </c>
      <c r="B3630" s="5">
        <v>45045</v>
      </c>
      <c r="C3630">
        <v>25053</v>
      </c>
      <c r="D3630" t="str">
        <f>PROPER(Transactions!D3630)</f>
        <v>Furniture</v>
      </c>
      <c r="E3630" t="s">
        <v>60</v>
      </c>
      <c r="F3630" t="s">
        <v>61</v>
      </c>
      <c r="G3630">
        <v>2</v>
      </c>
      <c r="H3630">
        <v>43.99</v>
      </c>
      <c r="I3630" s="7">
        <f>IF(Transactions!I3630="",0,Transactions!I3630)</f>
        <v>0.2</v>
      </c>
      <c r="J3630" s="9">
        <f t="shared" si="56"/>
        <v>70.384</v>
      </c>
      <c r="K3630" t="s">
        <v>16</v>
      </c>
      <c r="L3630" t="s">
        <v>37</v>
      </c>
      <c r="M3630" t="str">
        <f>REPLACE(Transactions!M3630,1,4,"")</f>
        <v>12</v>
      </c>
    </row>
    <row r="3631" spans="1:13" x14ac:dyDescent="0.2">
      <c r="A3631">
        <v>699975</v>
      </c>
      <c r="B3631" s="5">
        <v>45080</v>
      </c>
      <c r="C3631">
        <v>89632</v>
      </c>
      <c r="D3631" t="str">
        <f>PROPER(Transactions!D3631)</f>
        <v>Beauty</v>
      </c>
      <c r="E3631" t="s">
        <v>109</v>
      </c>
      <c r="F3631" t="s">
        <v>110</v>
      </c>
      <c r="G3631">
        <v>3</v>
      </c>
      <c r="H3631">
        <v>6.29</v>
      </c>
      <c r="I3631" s="7">
        <f>IF(Transactions!I3631="",0,Transactions!I3631)</f>
        <v>0.1</v>
      </c>
      <c r="J3631" s="9">
        <f t="shared" si="56"/>
        <v>16.983000000000001</v>
      </c>
      <c r="K3631" t="s">
        <v>95</v>
      </c>
      <c r="L3631" t="s">
        <v>37</v>
      </c>
      <c r="M3631" t="str">
        <f>REPLACE(Transactions!M3631,1,4,"")</f>
        <v>2</v>
      </c>
    </row>
    <row r="3632" spans="1:13" x14ac:dyDescent="0.2">
      <c r="A3632">
        <v>699982</v>
      </c>
      <c r="B3632" s="5">
        <v>45624</v>
      </c>
      <c r="C3632">
        <v>35252</v>
      </c>
      <c r="D3632" t="str">
        <f>PROPER(Transactions!D3632)</f>
        <v>Electronics</v>
      </c>
      <c r="E3632" t="s">
        <v>127</v>
      </c>
      <c r="F3632" t="s">
        <v>128</v>
      </c>
      <c r="G3632">
        <v>1</v>
      </c>
      <c r="H3632">
        <v>16.989999999999998</v>
      </c>
      <c r="I3632" s="7">
        <f>IF(Transactions!I3632="",0,Transactions!I3632)</f>
        <v>0.15</v>
      </c>
      <c r="J3632" s="9">
        <f t="shared" si="56"/>
        <v>14.441499999999998</v>
      </c>
      <c r="K3632" t="s">
        <v>95</v>
      </c>
      <c r="L3632" t="s">
        <v>17</v>
      </c>
      <c r="M3632" t="str">
        <f>REPLACE(Transactions!M3632,1,4,"")</f>
        <v>19</v>
      </c>
    </row>
    <row r="3633" spans="1:13" x14ac:dyDescent="0.2">
      <c r="A3633">
        <v>700089</v>
      </c>
      <c r="B3633" s="5">
        <v>45486</v>
      </c>
      <c r="C3633">
        <v>84138</v>
      </c>
      <c r="D3633" t="str">
        <f>PROPER(Transactions!D3633)</f>
        <v>Grocery</v>
      </c>
      <c r="E3633" t="s">
        <v>172</v>
      </c>
      <c r="F3633" t="s">
        <v>173</v>
      </c>
      <c r="G3633">
        <v>5</v>
      </c>
      <c r="H3633">
        <v>4.49</v>
      </c>
      <c r="I3633" s="7">
        <f>IF(Transactions!I3633="",0,Transactions!I3633)</f>
        <v>0</v>
      </c>
      <c r="J3633" s="9">
        <f t="shared" si="56"/>
        <v>22.450000000000003</v>
      </c>
      <c r="K3633" t="s">
        <v>36</v>
      </c>
      <c r="L3633" t="s">
        <v>23</v>
      </c>
      <c r="M3633" t="str">
        <f>REPLACE(Transactions!M3633,1,4,"")</f>
        <v>10</v>
      </c>
    </row>
    <row r="3634" spans="1:13" x14ac:dyDescent="0.2">
      <c r="A3634">
        <v>700646</v>
      </c>
      <c r="B3634" s="5">
        <v>45347</v>
      </c>
      <c r="C3634">
        <v>53432</v>
      </c>
      <c r="D3634" t="str">
        <f>PROPER(Transactions!D3634)</f>
        <v>Furniture</v>
      </c>
      <c r="E3634" t="s">
        <v>70</v>
      </c>
      <c r="F3634" t="s">
        <v>71</v>
      </c>
      <c r="G3634">
        <v>1</v>
      </c>
      <c r="H3634">
        <v>71.989999999999995</v>
      </c>
      <c r="I3634" s="7">
        <f>IF(Transactions!I3634="",0,Transactions!I3634)</f>
        <v>0.2</v>
      </c>
      <c r="J3634" s="9">
        <f t="shared" si="56"/>
        <v>57.591999999999999</v>
      </c>
      <c r="K3634" t="s">
        <v>36</v>
      </c>
      <c r="L3634" t="s">
        <v>17</v>
      </c>
      <c r="M3634" t="str">
        <f>REPLACE(Transactions!M3634,1,4,"")</f>
        <v>12</v>
      </c>
    </row>
    <row r="3635" spans="1:13" x14ac:dyDescent="0.2">
      <c r="A3635">
        <v>700923</v>
      </c>
      <c r="B3635" s="5">
        <v>44916</v>
      </c>
      <c r="C3635">
        <v>78322</v>
      </c>
      <c r="D3635" t="str">
        <f>PROPER(Transactions!D3635)</f>
        <v>Toys</v>
      </c>
      <c r="E3635" t="s">
        <v>30</v>
      </c>
      <c r="F3635" t="s">
        <v>31</v>
      </c>
      <c r="G3635">
        <v>3</v>
      </c>
      <c r="H3635">
        <v>24.99</v>
      </c>
      <c r="I3635" s="7">
        <f>IF(Transactions!I3635="",0,Transactions!I3635)</f>
        <v>0</v>
      </c>
      <c r="J3635" s="9">
        <f t="shared" si="56"/>
        <v>74.97</v>
      </c>
      <c r="K3635" t="s">
        <v>16</v>
      </c>
      <c r="L3635" t="s">
        <v>37</v>
      </c>
      <c r="M3635" t="str">
        <f>REPLACE(Transactions!M3635,1,4,"")</f>
        <v>15</v>
      </c>
    </row>
    <row r="3636" spans="1:13" x14ac:dyDescent="0.2">
      <c r="A3636">
        <v>700934</v>
      </c>
      <c r="B3636" s="5">
        <v>44860</v>
      </c>
      <c r="C3636">
        <v>72306</v>
      </c>
      <c r="D3636" t="str">
        <f>PROPER(Transactions!D3636)</f>
        <v>Pharmacy</v>
      </c>
      <c r="E3636" t="s">
        <v>58</v>
      </c>
      <c r="F3636" t="s">
        <v>59</v>
      </c>
      <c r="G3636">
        <v>1</v>
      </c>
      <c r="H3636">
        <v>3.79</v>
      </c>
      <c r="I3636" s="7">
        <f>IF(Transactions!I3636="",0,Transactions!I3636)</f>
        <v>0.05</v>
      </c>
      <c r="J3636" s="9">
        <f t="shared" si="56"/>
        <v>3.6004999999999998</v>
      </c>
      <c r="K3636" t="s">
        <v>22</v>
      </c>
      <c r="L3636" t="s">
        <v>17</v>
      </c>
      <c r="M3636" t="str">
        <f>REPLACE(Transactions!M3636,1,4,"")</f>
        <v>18</v>
      </c>
    </row>
    <row r="3637" spans="1:13" x14ac:dyDescent="0.2">
      <c r="A3637">
        <v>701071</v>
      </c>
      <c r="B3637" s="5">
        <v>45567</v>
      </c>
      <c r="C3637">
        <v>87763</v>
      </c>
      <c r="D3637" t="str">
        <f>PROPER(Transactions!D3637)</f>
        <v>Sports</v>
      </c>
      <c r="E3637" t="s">
        <v>188</v>
      </c>
      <c r="F3637" t="s">
        <v>189</v>
      </c>
      <c r="G3637">
        <v>1</v>
      </c>
      <c r="H3637">
        <v>38.24</v>
      </c>
      <c r="I3637" s="7">
        <f>IF(Transactions!I3637="",0,Transactions!I3637)</f>
        <v>0.15</v>
      </c>
      <c r="J3637" s="9">
        <f t="shared" si="56"/>
        <v>32.503999999999998</v>
      </c>
      <c r="K3637" t="s">
        <v>36</v>
      </c>
      <c r="L3637" t="s">
        <v>17</v>
      </c>
      <c r="M3637" t="str">
        <f>REPLACE(Transactions!M3637,1,4,"")</f>
        <v>8</v>
      </c>
    </row>
    <row r="3638" spans="1:13" x14ac:dyDescent="0.2">
      <c r="A3638">
        <v>701195</v>
      </c>
      <c r="B3638" s="5">
        <v>45405</v>
      </c>
      <c r="C3638">
        <v>77178</v>
      </c>
      <c r="D3638" t="str">
        <f>PROPER(Transactions!D3638)</f>
        <v>Electronics</v>
      </c>
      <c r="E3638" t="s">
        <v>79</v>
      </c>
      <c r="F3638" t="s">
        <v>80</v>
      </c>
      <c r="G3638">
        <v>1</v>
      </c>
      <c r="H3638">
        <v>89.99</v>
      </c>
      <c r="I3638" s="7">
        <f>IF(Transactions!I3638="",0,Transactions!I3638)</f>
        <v>0</v>
      </c>
      <c r="J3638" s="9">
        <f t="shared" si="56"/>
        <v>89.99</v>
      </c>
      <c r="K3638" t="s">
        <v>66</v>
      </c>
      <c r="L3638" t="s">
        <v>17</v>
      </c>
      <c r="M3638" t="str">
        <f>REPLACE(Transactions!M3638,1,4,"")</f>
        <v>11</v>
      </c>
    </row>
    <row r="3639" spans="1:13" x14ac:dyDescent="0.2">
      <c r="A3639">
        <v>701237</v>
      </c>
      <c r="B3639" s="5">
        <v>45500</v>
      </c>
      <c r="C3639">
        <v>95627</v>
      </c>
      <c r="D3639" t="str">
        <f>PROPER(Transactions!D3639)</f>
        <v>Electronics</v>
      </c>
      <c r="E3639" t="s">
        <v>127</v>
      </c>
      <c r="F3639" t="s">
        <v>128</v>
      </c>
      <c r="G3639">
        <v>3</v>
      </c>
      <c r="H3639">
        <v>19.989999999999998</v>
      </c>
      <c r="I3639" s="7">
        <f>IF(Transactions!I3639="",0,Transactions!I3639)</f>
        <v>0</v>
      </c>
      <c r="J3639" s="9">
        <f t="shared" si="56"/>
        <v>59.97</v>
      </c>
      <c r="K3639" t="s">
        <v>16</v>
      </c>
      <c r="L3639" t="s">
        <v>17</v>
      </c>
      <c r="M3639" t="str">
        <f>REPLACE(Transactions!M3639,1,4,"")</f>
        <v>5</v>
      </c>
    </row>
    <row r="3640" spans="1:13" x14ac:dyDescent="0.2">
      <c r="A3640">
        <v>701382</v>
      </c>
      <c r="B3640" s="5">
        <v>45102</v>
      </c>
      <c r="C3640">
        <v>65645</v>
      </c>
      <c r="D3640" t="str">
        <f>PROPER(Transactions!D3640)</f>
        <v>Electronics</v>
      </c>
      <c r="E3640" t="s">
        <v>127</v>
      </c>
      <c r="F3640" t="s">
        <v>128</v>
      </c>
      <c r="G3640">
        <v>1</v>
      </c>
      <c r="H3640">
        <v>15.99</v>
      </c>
      <c r="I3640" s="7">
        <f>IF(Transactions!I3640="",0,Transactions!I3640)</f>
        <v>0.2</v>
      </c>
      <c r="J3640" s="9">
        <f t="shared" si="56"/>
        <v>12.792000000000002</v>
      </c>
      <c r="K3640" t="s">
        <v>36</v>
      </c>
      <c r="L3640" t="s">
        <v>37</v>
      </c>
      <c r="M3640" t="str">
        <f>REPLACE(Transactions!M3640,1,4,"")</f>
        <v>7</v>
      </c>
    </row>
    <row r="3641" spans="1:13" x14ac:dyDescent="0.2">
      <c r="A3641">
        <v>701861</v>
      </c>
      <c r="B3641" s="5">
        <v>44701</v>
      </c>
      <c r="C3641">
        <v>62290</v>
      </c>
      <c r="D3641" t="str">
        <f>PROPER(Transactions!D3641)</f>
        <v>Automotive</v>
      </c>
      <c r="E3641" t="s">
        <v>131</v>
      </c>
      <c r="F3641" t="s">
        <v>132</v>
      </c>
      <c r="G3641">
        <v>2</v>
      </c>
      <c r="H3641">
        <v>2.79</v>
      </c>
      <c r="I3641" s="7">
        <f>IF(Transactions!I3641="",0,Transactions!I3641)</f>
        <v>0.2</v>
      </c>
      <c r="J3641" s="9">
        <f t="shared" si="56"/>
        <v>4.4640000000000004</v>
      </c>
      <c r="K3641" t="s">
        <v>22</v>
      </c>
      <c r="L3641" t="s">
        <v>17</v>
      </c>
      <c r="M3641" t="str">
        <f>REPLACE(Transactions!M3641,1,4,"")</f>
        <v>3</v>
      </c>
    </row>
    <row r="3642" spans="1:13" x14ac:dyDescent="0.2">
      <c r="A3642">
        <v>701885</v>
      </c>
      <c r="B3642" s="5">
        <v>44744</v>
      </c>
      <c r="C3642">
        <v>59976</v>
      </c>
      <c r="D3642" t="str">
        <f>PROPER(Transactions!D3642)</f>
        <v>Pharmacy</v>
      </c>
      <c r="E3642" t="s">
        <v>20</v>
      </c>
      <c r="F3642" t="s">
        <v>21</v>
      </c>
      <c r="G3642">
        <v>5</v>
      </c>
      <c r="H3642">
        <v>9.99</v>
      </c>
      <c r="I3642" s="7">
        <f>IF(Transactions!I3642="",0,Transactions!I3642)</f>
        <v>0</v>
      </c>
      <c r="J3642" s="9">
        <f t="shared" si="56"/>
        <v>49.95</v>
      </c>
      <c r="K3642" t="s">
        <v>32</v>
      </c>
      <c r="L3642" t="s">
        <v>37</v>
      </c>
      <c r="M3642" t="str">
        <f>REPLACE(Transactions!M3642,1,4,"")</f>
        <v>17</v>
      </c>
    </row>
    <row r="3643" spans="1:13" x14ac:dyDescent="0.2">
      <c r="A3643">
        <v>702103</v>
      </c>
      <c r="B3643" s="5">
        <v>44744</v>
      </c>
      <c r="C3643">
        <v>92951</v>
      </c>
      <c r="D3643" t="str">
        <f>PROPER(Transactions!D3643)</f>
        <v>Furniture</v>
      </c>
      <c r="E3643" t="s">
        <v>113</v>
      </c>
      <c r="F3643" t="s">
        <v>114</v>
      </c>
      <c r="G3643">
        <v>2</v>
      </c>
      <c r="H3643">
        <v>107.99</v>
      </c>
      <c r="I3643" s="7">
        <f>IF(Transactions!I3643="",0,Transactions!I3643)</f>
        <v>0.1</v>
      </c>
      <c r="J3643" s="9">
        <f t="shared" si="56"/>
        <v>194.38200000000001</v>
      </c>
      <c r="K3643" t="s">
        <v>32</v>
      </c>
      <c r="L3643" t="s">
        <v>17</v>
      </c>
      <c r="M3643" t="str">
        <f>REPLACE(Transactions!M3643,1,4,"")</f>
        <v>5</v>
      </c>
    </row>
    <row r="3644" spans="1:13" x14ac:dyDescent="0.2">
      <c r="A3644">
        <v>702156</v>
      </c>
      <c r="B3644" s="5">
        <v>45251</v>
      </c>
      <c r="C3644">
        <v>36016</v>
      </c>
      <c r="D3644" t="str">
        <f>PROPER(Transactions!D3644)</f>
        <v>Toys</v>
      </c>
      <c r="E3644" t="s">
        <v>72</v>
      </c>
      <c r="F3644" t="s">
        <v>73</v>
      </c>
      <c r="G3644">
        <v>3</v>
      </c>
      <c r="H3644">
        <v>39.99</v>
      </c>
      <c r="I3644" s="7">
        <f>IF(Transactions!I3644="",0,Transactions!I3644)</f>
        <v>0</v>
      </c>
      <c r="J3644" s="9">
        <f t="shared" si="56"/>
        <v>119.97</v>
      </c>
      <c r="K3644" t="s">
        <v>53</v>
      </c>
      <c r="L3644" t="s">
        <v>17</v>
      </c>
      <c r="M3644" t="str">
        <f>REPLACE(Transactions!M3644,1,4,"")</f>
        <v>18</v>
      </c>
    </row>
    <row r="3645" spans="1:13" x14ac:dyDescent="0.2">
      <c r="A3645">
        <v>702175</v>
      </c>
      <c r="B3645" s="5">
        <v>44837</v>
      </c>
      <c r="C3645">
        <v>99391</v>
      </c>
      <c r="D3645" t="str">
        <f>PROPER(Transactions!D3645)</f>
        <v>Pharmacy</v>
      </c>
      <c r="E3645" t="s">
        <v>41</v>
      </c>
      <c r="F3645" t="s">
        <v>42</v>
      </c>
      <c r="G3645">
        <v>5</v>
      </c>
      <c r="H3645">
        <v>4.79</v>
      </c>
      <c r="I3645" s="7">
        <f>IF(Transactions!I3645="",0,Transactions!I3645)</f>
        <v>0.2</v>
      </c>
      <c r="J3645" s="9">
        <f t="shared" si="56"/>
        <v>19.16</v>
      </c>
      <c r="K3645" t="s">
        <v>95</v>
      </c>
      <c r="L3645" t="s">
        <v>17</v>
      </c>
      <c r="M3645" t="str">
        <f>REPLACE(Transactions!M3645,1,4,"")</f>
        <v>13</v>
      </c>
    </row>
    <row r="3646" spans="1:13" x14ac:dyDescent="0.2">
      <c r="A3646">
        <v>702284</v>
      </c>
      <c r="B3646" s="5">
        <v>45574</v>
      </c>
      <c r="C3646">
        <v>93992</v>
      </c>
      <c r="D3646" t="str">
        <f>PROPER(Transactions!D3646)</f>
        <v>Sports</v>
      </c>
      <c r="E3646" t="s">
        <v>155</v>
      </c>
      <c r="F3646" t="s">
        <v>156</v>
      </c>
      <c r="G3646">
        <v>2</v>
      </c>
      <c r="H3646">
        <v>19.989999999999998</v>
      </c>
      <c r="I3646" s="7">
        <f>IF(Transactions!I3646="",0,Transactions!I3646)</f>
        <v>0</v>
      </c>
      <c r="J3646" s="9">
        <f t="shared" si="56"/>
        <v>39.979999999999997</v>
      </c>
      <c r="K3646" t="s">
        <v>36</v>
      </c>
      <c r="L3646" t="s">
        <v>17</v>
      </c>
      <c r="M3646" t="str">
        <f>REPLACE(Transactions!M3646,1,4,"")</f>
        <v>12</v>
      </c>
    </row>
    <row r="3647" spans="1:13" x14ac:dyDescent="0.2">
      <c r="A3647">
        <v>703136</v>
      </c>
      <c r="B3647" s="5">
        <v>44744</v>
      </c>
      <c r="C3647">
        <v>37903</v>
      </c>
      <c r="D3647" t="str">
        <f>PROPER(Transactions!D3647)</f>
        <v>Pharmacy</v>
      </c>
      <c r="E3647" t="s">
        <v>20</v>
      </c>
      <c r="F3647" t="s">
        <v>21</v>
      </c>
      <c r="G3647">
        <v>5</v>
      </c>
      <c r="H3647">
        <v>7.99</v>
      </c>
      <c r="I3647" s="7">
        <f>IF(Transactions!I3647="",0,Transactions!I3647)</f>
        <v>0.2</v>
      </c>
      <c r="J3647" s="9">
        <f t="shared" si="56"/>
        <v>31.960000000000004</v>
      </c>
      <c r="K3647" t="s">
        <v>22</v>
      </c>
      <c r="L3647" t="s">
        <v>17</v>
      </c>
      <c r="M3647" t="str">
        <f>REPLACE(Transactions!M3647,1,4,"")</f>
        <v>2</v>
      </c>
    </row>
    <row r="3648" spans="1:13" x14ac:dyDescent="0.2">
      <c r="A3648">
        <v>703368</v>
      </c>
      <c r="B3648" s="5">
        <v>45099</v>
      </c>
      <c r="C3648">
        <v>37737</v>
      </c>
      <c r="D3648" t="str">
        <f>PROPER(Transactions!D3648)</f>
        <v>Clothing</v>
      </c>
      <c r="E3648" t="s">
        <v>181</v>
      </c>
      <c r="F3648" t="s">
        <v>182</v>
      </c>
      <c r="G3648">
        <v>1</v>
      </c>
      <c r="H3648">
        <v>11.99</v>
      </c>
      <c r="I3648" s="7">
        <f>IF(Transactions!I3648="",0,Transactions!I3648)</f>
        <v>0.2</v>
      </c>
      <c r="J3648" s="9">
        <f t="shared" si="56"/>
        <v>9.5920000000000005</v>
      </c>
      <c r="K3648" t="s">
        <v>53</v>
      </c>
      <c r="L3648" t="s">
        <v>17</v>
      </c>
      <c r="M3648" t="str">
        <f>REPLACE(Transactions!M3648,1,4,"")</f>
        <v>15</v>
      </c>
    </row>
    <row r="3649" spans="1:13" x14ac:dyDescent="0.2">
      <c r="A3649">
        <v>703400</v>
      </c>
      <c r="B3649" s="5">
        <v>44850</v>
      </c>
      <c r="C3649">
        <v>39707</v>
      </c>
      <c r="D3649" t="str">
        <f>PROPER(Transactions!D3649)</f>
        <v>Electronics</v>
      </c>
      <c r="E3649" t="s">
        <v>34</v>
      </c>
      <c r="F3649" t="s">
        <v>35</v>
      </c>
      <c r="G3649">
        <v>1</v>
      </c>
      <c r="H3649">
        <v>24.49</v>
      </c>
      <c r="I3649" s="7">
        <f>IF(Transactions!I3649="",0,Transactions!I3649)</f>
        <v>0.3</v>
      </c>
      <c r="J3649" s="9">
        <f t="shared" si="56"/>
        <v>17.142999999999997</v>
      </c>
      <c r="K3649" t="s">
        <v>22</v>
      </c>
      <c r="L3649" t="s">
        <v>17</v>
      </c>
      <c r="M3649" t="str">
        <f>REPLACE(Transactions!M3649,1,4,"")</f>
        <v>5</v>
      </c>
    </row>
    <row r="3650" spans="1:13" x14ac:dyDescent="0.2">
      <c r="A3650">
        <v>703639</v>
      </c>
      <c r="B3650" s="5">
        <v>44991</v>
      </c>
      <c r="C3650">
        <v>77739</v>
      </c>
      <c r="D3650" t="str">
        <f>PROPER(Transactions!D3650)</f>
        <v>Beauty</v>
      </c>
      <c r="E3650" t="s">
        <v>118</v>
      </c>
      <c r="F3650" t="s">
        <v>119</v>
      </c>
      <c r="G3650">
        <v>4</v>
      </c>
      <c r="H3650">
        <v>3.99</v>
      </c>
      <c r="I3650" s="7">
        <f>IF(Transactions!I3650="",0,Transactions!I3650)</f>
        <v>0.2</v>
      </c>
      <c r="J3650" s="9">
        <f t="shared" si="56"/>
        <v>12.768000000000001</v>
      </c>
      <c r="K3650" t="s">
        <v>32</v>
      </c>
      <c r="L3650" t="s">
        <v>17</v>
      </c>
      <c r="M3650" t="str">
        <f>REPLACE(Transactions!M3650,1,4,"")</f>
        <v>16</v>
      </c>
    </row>
    <row r="3651" spans="1:13" x14ac:dyDescent="0.2">
      <c r="A3651">
        <v>703834</v>
      </c>
      <c r="B3651" s="5">
        <v>44649</v>
      </c>
      <c r="C3651">
        <v>79355</v>
      </c>
      <c r="D3651" t="str">
        <f>PROPER(Transactions!D3651)</f>
        <v>Grocery</v>
      </c>
      <c r="E3651" t="s">
        <v>190</v>
      </c>
      <c r="F3651" t="s">
        <v>191</v>
      </c>
      <c r="G3651">
        <v>2</v>
      </c>
      <c r="H3651">
        <v>3</v>
      </c>
      <c r="I3651" s="7">
        <f>IF(Transactions!I3651="",0,Transactions!I3651)</f>
        <v>0.3</v>
      </c>
      <c r="J3651" s="9">
        <f t="shared" ref="J3651:J3714" si="57">(H3651*G3651)*(1-I3651)</f>
        <v>4.1999999999999993</v>
      </c>
      <c r="K3651" t="s">
        <v>22</v>
      </c>
      <c r="L3651" t="s">
        <v>17</v>
      </c>
      <c r="M3651" t="str">
        <f>REPLACE(Transactions!M3651,1,4,"")</f>
        <v>4</v>
      </c>
    </row>
    <row r="3652" spans="1:13" x14ac:dyDescent="0.2">
      <c r="A3652">
        <v>704192</v>
      </c>
      <c r="B3652" s="5">
        <v>45312</v>
      </c>
      <c r="C3652">
        <v>73911</v>
      </c>
      <c r="D3652" t="str">
        <f>PROPER(Transactions!D3652)</f>
        <v>Toys</v>
      </c>
      <c r="E3652" t="s">
        <v>175</v>
      </c>
      <c r="F3652" t="s">
        <v>176</v>
      </c>
      <c r="G3652">
        <v>2</v>
      </c>
      <c r="H3652">
        <v>10.19</v>
      </c>
      <c r="I3652" s="7">
        <f>IF(Transactions!I3652="",0,Transactions!I3652)</f>
        <v>0.15</v>
      </c>
      <c r="J3652" s="9">
        <f t="shared" si="57"/>
        <v>17.323</v>
      </c>
      <c r="K3652" t="s">
        <v>16</v>
      </c>
      <c r="L3652" t="s">
        <v>17</v>
      </c>
      <c r="M3652" t="str">
        <f>REPLACE(Transactions!M3652,1,4,"")</f>
        <v>20</v>
      </c>
    </row>
    <row r="3653" spans="1:13" x14ac:dyDescent="0.2">
      <c r="A3653">
        <v>704277</v>
      </c>
      <c r="B3653" s="5">
        <v>45177</v>
      </c>
      <c r="C3653">
        <v>53829</v>
      </c>
      <c r="D3653" t="str">
        <f>PROPER(Transactions!D3653)</f>
        <v>Furniture</v>
      </c>
      <c r="E3653" t="s">
        <v>26</v>
      </c>
      <c r="F3653" t="s">
        <v>27</v>
      </c>
      <c r="G3653">
        <v>3</v>
      </c>
      <c r="H3653">
        <v>34.99</v>
      </c>
      <c r="I3653" s="7">
        <f>IF(Transactions!I3653="",0,Transactions!I3653)</f>
        <v>0</v>
      </c>
      <c r="J3653" s="9">
        <f t="shared" si="57"/>
        <v>104.97</v>
      </c>
      <c r="K3653" t="s">
        <v>95</v>
      </c>
      <c r="L3653" t="s">
        <v>37</v>
      </c>
      <c r="M3653" t="str">
        <f>REPLACE(Transactions!M3653,1,4,"")</f>
        <v>8</v>
      </c>
    </row>
    <row r="3654" spans="1:13" x14ac:dyDescent="0.2">
      <c r="A3654">
        <v>704402</v>
      </c>
      <c r="B3654" s="5">
        <v>44686</v>
      </c>
      <c r="C3654">
        <v>64675</v>
      </c>
      <c r="D3654" t="str">
        <f>PROPER(Transactions!D3654)</f>
        <v>Furniture</v>
      </c>
      <c r="E3654" t="s">
        <v>60</v>
      </c>
      <c r="F3654" t="s">
        <v>61</v>
      </c>
      <c r="G3654">
        <v>1</v>
      </c>
      <c r="H3654">
        <v>38.49</v>
      </c>
      <c r="I3654" s="7">
        <f>IF(Transactions!I3654="",0,Transactions!I3654)</f>
        <v>0.3</v>
      </c>
      <c r="J3654" s="9">
        <f t="shared" si="57"/>
        <v>26.943000000000001</v>
      </c>
      <c r="K3654" t="s">
        <v>53</v>
      </c>
      <c r="L3654" t="s">
        <v>17</v>
      </c>
      <c r="M3654" t="str">
        <f>REPLACE(Transactions!M3654,1,4,"")</f>
        <v>15</v>
      </c>
    </row>
    <row r="3655" spans="1:13" x14ac:dyDescent="0.2">
      <c r="A3655">
        <v>704579</v>
      </c>
      <c r="B3655" s="5">
        <v>45178</v>
      </c>
      <c r="C3655">
        <v>62646</v>
      </c>
      <c r="D3655" t="str">
        <f>PROPER(Transactions!D3655)</f>
        <v>Automotive</v>
      </c>
      <c r="E3655" t="s">
        <v>68</v>
      </c>
      <c r="F3655" t="s">
        <v>69</v>
      </c>
      <c r="G3655">
        <v>2</v>
      </c>
      <c r="H3655">
        <v>18.739999999999998</v>
      </c>
      <c r="I3655" s="7">
        <f>IF(Transactions!I3655="",0,Transactions!I3655)</f>
        <v>0.25</v>
      </c>
      <c r="J3655" s="9">
        <f t="shared" si="57"/>
        <v>28.11</v>
      </c>
      <c r="K3655" t="s">
        <v>16</v>
      </c>
      <c r="L3655" t="s">
        <v>37</v>
      </c>
      <c r="M3655" t="str">
        <f>REPLACE(Transactions!M3655,1,4,"")</f>
        <v>8</v>
      </c>
    </row>
    <row r="3656" spans="1:13" x14ac:dyDescent="0.2">
      <c r="A3656">
        <v>704608</v>
      </c>
      <c r="B3656" s="5">
        <v>45522</v>
      </c>
      <c r="C3656">
        <v>22356</v>
      </c>
      <c r="D3656" t="str">
        <f>PROPER(Transactions!D3656)</f>
        <v>Toys</v>
      </c>
      <c r="E3656" t="s">
        <v>175</v>
      </c>
      <c r="F3656" t="s">
        <v>176</v>
      </c>
      <c r="G3656">
        <v>3</v>
      </c>
      <c r="H3656">
        <v>11.99</v>
      </c>
      <c r="I3656" s="7">
        <f>IF(Transactions!I3656="",0,Transactions!I3656)</f>
        <v>0</v>
      </c>
      <c r="J3656" s="9">
        <f t="shared" si="57"/>
        <v>35.97</v>
      </c>
      <c r="K3656" t="s">
        <v>16</v>
      </c>
      <c r="L3656" t="s">
        <v>17</v>
      </c>
      <c r="M3656" t="str">
        <f>REPLACE(Transactions!M3656,1,4,"")</f>
        <v>5</v>
      </c>
    </row>
    <row r="3657" spans="1:13" x14ac:dyDescent="0.2">
      <c r="A3657">
        <v>705090</v>
      </c>
      <c r="B3657" s="5">
        <v>44569</v>
      </c>
      <c r="C3657">
        <v>66654</v>
      </c>
      <c r="D3657" t="str">
        <f>PROPER(Transactions!D3657)</f>
        <v>Electronics</v>
      </c>
      <c r="E3657" t="s">
        <v>77</v>
      </c>
      <c r="F3657" t="s">
        <v>78</v>
      </c>
      <c r="G3657">
        <v>2</v>
      </c>
      <c r="H3657">
        <v>424.99</v>
      </c>
      <c r="I3657" s="7">
        <f>IF(Transactions!I3657="",0,Transactions!I3657)</f>
        <v>0.15</v>
      </c>
      <c r="J3657" s="9">
        <f t="shared" si="57"/>
        <v>722.48299999999995</v>
      </c>
      <c r="K3657" t="s">
        <v>16</v>
      </c>
      <c r="L3657" t="s">
        <v>17</v>
      </c>
      <c r="M3657" t="str">
        <f>REPLACE(Transactions!M3657,1,4,"")</f>
        <v>19</v>
      </c>
    </row>
    <row r="3658" spans="1:13" x14ac:dyDescent="0.2">
      <c r="A3658">
        <v>705543</v>
      </c>
      <c r="B3658" s="5">
        <v>45077</v>
      </c>
      <c r="C3658">
        <v>70626</v>
      </c>
      <c r="D3658" t="str">
        <f>PROPER(Transactions!D3658)</f>
        <v>Furniture</v>
      </c>
      <c r="E3658" t="s">
        <v>51</v>
      </c>
      <c r="F3658" t="s">
        <v>52</v>
      </c>
      <c r="G3658">
        <v>5</v>
      </c>
      <c r="H3658">
        <v>27.99</v>
      </c>
      <c r="I3658" s="7">
        <f>IF(Transactions!I3658="",0,Transactions!I3658)</f>
        <v>0</v>
      </c>
      <c r="J3658" s="9">
        <f t="shared" si="57"/>
        <v>139.94999999999999</v>
      </c>
      <c r="K3658" t="s">
        <v>16</v>
      </c>
      <c r="L3658" t="s">
        <v>23</v>
      </c>
      <c r="M3658" t="str">
        <f>REPLACE(Transactions!M3658,1,4,"")</f>
        <v>10</v>
      </c>
    </row>
    <row r="3659" spans="1:13" x14ac:dyDescent="0.2">
      <c r="A3659">
        <v>705652</v>
      </c>
      <c r="B3659" s="5">
        <v>44789</v>
      </c>
      <c r="C3659">
        <v>25593</v>
      </c>
      <c r="D3659" t="str">
        <f>PROPER(Transactions!D3659)</f>
        <v>Pharmacy</v>
      </c>
      <c r="E3659" t="s">
        <v>197</v>
      </c>
      <c r="F3659" t="s">
        <v>198</v>
      </c>
      <c r="G3659">
        <v>1</v>
      </c>
      <c r="H3659">
        <v>11.99</v>
      </c>
      <c r="I3659" s="7">
        <f>IF(Transactions!I3659="",0,Transactions!I3659)</f>
        <v>0.2</v>
      </c>
      <c r="J3659" s="9">
        <f t="shared" si="57"/>
        <v>9.5920000000000005</v>
      </c>
      <c r="K3659" t="s">
        <v>36</v>
      </c>
      <c r="L3659" t="s">
        <v>17</v>
      </c>
      <c r="M3659" t="str">
        <f>REPLACE(Transactions!M3659,1,4,"")</f>
        <v>6</v>
      </c>
    </row>
    <row r="3660" spans="1:13" x14ac:dyDescent="0.2">
      <c r="A3660">
        <v>705909</v>
      </c>
      <c r="B3660" s="5">
        <v>44600</v>
      </c>
      <c r="C3660">
        <v>42776</v>
      </c>
      <c r="D3660" t="str">
        <f>PROPER(Transactions!D3660)</f>
        <v>Home &amp; Garden</v>
      </c>
      <c r="E3660" t="s">
        <v>86</v>
      </c>
      <c r="F3660" t="s">
        <v>87</v>
      </c>
      <c r="G3660">
        <v>3</v>
      </c>
      <c r="H3660">
        <v>12.99</v>
      </c>
      <c r="I3660" s="7">
        <f>IF(Transactions!I3660="",0,Transactions!I3660)</f>
        <v>0</v>
      </c>
      <c r="J3660" s="9">
        <f t="shared" si="57"/>
        <v>38.97</v>
      </c>
      <c r="K3660" t="s">
        <v>95</v>
      </c>
      <c r="L3660" t="s">
        <v>17</v>
      </c>
      <c r="M3660" t="str">
        <f>REPLACE(Transactions!M3660,1,4,"")</f>
        <v>1</v>
      </c>
    </row>
    <row r="3661" spans="1:13" x14ac:dyDescent="0.2">
      <c r="A3661">
        <v>705991</v>
      </c>
      <c r="B3661" s="5">
        <v>45151</v>
      </c>
      <c r="C3661">
        <v>24184</v>
      </c>
      <c r="D3661" t="str">
        <f>PROPER(Transactions!D3661)</f>
        <v>Beauty</v>
      </c>
      <c r="E3661" t="s">
        <v>179</v>
      </c>
      <c r="F3661" t="s">
        <v>180</v>
      </c>
      <c r="G3661">
        <v>1</v>
      </c>
      <c r="H3661">
        <v>10.79</v>
      </c>
      <c r="I3661" s="7">
        <f>IF(Transactions!I3661="",0,Transactions!I3661)</f>
        <v>0.1</v>
      </c>
      <c r="J3661" s="9">
        <f t="shared" si="57"/>
        <v>9.7110000000000003</v>
      </c>
      <c r="K3661" t="s">
        <v>36</v>
      </c>
      <c r="L3661" t="s">
        <v>17</v>
      </c>
      <c r="M3661" t="str">
        <f>REPLACE(Transactions!M3661,1,4,"")</f>
        <v>10</v>
      </c>
    </row>
    <row r="3662" spans="1:13" x14ac:dyDescent="0.2">
      <c r="A3662">
        <v>706224</v>
      </c>
      <c r="B3662" s="5">
        <v>45095</v>
      </c>
      <c r="D3662" t="str">
        <f>PROPER(Transactions!D3662)</f>
        <v>Furniture</v>
      </c>
      <c r="E3662" t="s">
        <v>51</v>
      </c>
      <c r="F3662" t="s">
        <v>52</v>
      </c>
      <c r="G3662">
        <v>3</v>
      </c>
      <c r="H3662">
        <v>27.99</v>
      </c>
      <c r="I3662" s="7">
        <f>IF(Transactions!I3662="",0,Transactions!I3662)</f>
        <v>0</v>
      </c>
      <c r="J3662" s="9">
        <f t="shared" si="57"/>
        <v>83.97</v>
      </c>
      <c r="K3662" t="s">
        <v>66</v>
      </c>
      <c r="L3662" t="s">
        <v>17</v>
      </c>
      <c r="M3662" t="str">
        <f>REPLACE(Transactions!M3662,1,4,"")</f>
        <v>6</v>
      </c>
    </row>
    <row r="3663" spans="1:13" x14ac:dyDescent="0.2">
      <c r="A3663">
        <v>706578</v>
      </c>
      <c r="B3663" s="5">
        <v>45447</v>
      </c>
      <c r="C3663">
        <v>16486</v>
      </c>
      <c r="D3663" t="str">
        <f>PROPER(Transactions!D3663)</f>
        <v>Clothing</v>
      </c>
      <c r="E3663" t="s">
        <v>141</v>
      </c>
      <c r="F3663" t="s">
        <v>142</v>
      </c>
      <c r="G3663">
        <v>4</v>
      </c>
      <c r="H3663">
        <v>22.99</v>
      </c>
      <c r="I3663" s="7">
        <f>IF(Transactions!I3663="",0,Transactions!I3663)</f>
        <v>0</v>
      </c>
      <c r="J3663" s="9">
        <f t="shared" si="57"/>
        <v>91.96</v>
      </c>
      <c r="K3663" t="s">
        <v>36</v>
      </c>
      <c r="L3663" t="s">
        <v>37</v>
      </c>
      <c r="M3663" t="str">
        <f>REPLACE(Transactions!M3663,1,4,"")</f>
        <v>14</v>
      </c>
    </row>
    <row r="3664" spans="1:13" x14ac:dyDescent="0.2">
      <c r="A3664">
        <v>707180</v>
      </c>
      <c r="B3664" s="5">
        <v>44829</v>
      </c>
      <c r="C3664">
        <v>64296</v>
      </c>
      <c r="D3664" t="str">
        <f>PROPER(Transactions!D3664)</f>
        <v>Clothing</v>
      </c>
      <c r="E3664" t="s">
        <v>135</v>
      </c>
      <c r="F3664" t="s">
        <v>136</v>
      </c>
      <c r="G3664">
        <v>2</v>
      </c>
      <c r="H3664">
        <v>9.99</v>
      </c>
      <c r="I3664" s="7">
        <f>IF(Transactions!I3664="",0,Transactions!I3664)</f>
        <v>0</v>
      </c>
      <c r="J3664" s="9">
        <f t="shared" si="57"/>
        <v>19.98</v>
      </c>
      <c r="K3664" t="s">
        <v>22</v>
      </c>
      <c r="L3664" t="s">
        <v>17</v>
      </c>
      <c r="M3664" t="str">
        <f>REPLACE(Transactions!M3664,1,4,"")</f>
        <v>12</v>
      </c>
    </row>
    <row r="3665" spans="1:13" x14ac:dyDescent="0.2">
      <c r="A3665">
        <v>707497</v>
      </c>
      <c r="B3665" s="5">
        <v>44856</v>
      </c>
      <c r="C3665">
        <v>26080</v>
      </c>
      <c r="D3665" t="str">
        <f>PROPER(Transactions!D3665)</f>
        <v>Electronics</v>
      </c>
      <c r="E3665" t="s">
        <v>186</v>
      </c>
      <c r="F3665" t="s">
        <v>187</v>
      </c>
      <c r="G3665">
        <v>3</v>
      </c>
      <c r="H3665">
        <v>49.99</v>
      </c>
      <c r="I3665" s="7">
        <f>IF(Transactions!I3665="",0,Transactions!I3665)</f>
        <v>0</v>
      </c>
      <c r="J3665" s="9">
        <f t="shared" si="57"/>
        <v>149.97</v>
      </c>
      <c r="K3665" t="s">
        <v>95</v>
      </c>
      <c r="L3665" t="s">
        <v>17</v>
      </c>
      <c r="M3665" t="str">
        <f>REPLACE(Transactions!M3665,1,4,"")</f>
        <v>15</v>
      </c>
    </row>
    <row r="3666" spans="1:13" x14ac:dyDescent="0.2">
      <c r="A3666">
        <v>707778</v>
      </c>
      <c r="B3666" s="5">
        <v>44724</v>
      </c>
      <c r="D3666" t="str">
        <f>PROPER(Transactions!D3666)</f>
        <v>Toys</v>
      </c>
      <c r="E3666" t="s">
        <v>170</v>
      </c>
      <c r="F3666" t="s">
        <v>171</v>
      </c>
      <c r="G3666">
        <v>4</v>
      </c>
      <c r="H3666">
        <v>13.49</v>
      </c>
      <c r="I3666" s="7">
        <f>IF(Transactions!I3666="",0,Transactions!I3666)</f>
        <v>0.1</v>
      </c>
      <c r="J3666" s="9">
        <f t="shared" si="57"/>
        <v>48.564</v>
      </c>
      <c r="K3666" t="s">
        <v>16</v>
      </c>
      <c r="L3666" t="s">
        <v>17</v>
      </c>
      <c r="M3666" t="str">
        <f>REPLACE(Transactions!M3666,1,4,"")</f>
        <v>1</v>
      </c>
    </row>
    <row r="3667" spans="1:13" x14ac:dyDescent="0.2">
      <c r="A3667">
        <v>708076</v>
      </c>
      <c r="B3667" s="5">
        <v>44588</v>
      </c>
      <c r="C3667">
        <v>69080</v>
      </c>
      <c r="D3667" t="str">
        <f>PROPER(Transactions!D3667)</f>
        <v>Sports</v>
      </c>
      <c r="E3667" t="s">
        <v>168</v>
      </c>
      <c r="F3667" t="s">
        <v>169</v>
      </c>
      <c r="G3667">
        <v>1</v>
      </c>
      <c r="H3667">
        <v>8.99</v>
      </c>
      <c r="I3667" s="7">
        <f>IF(Transactions!I3667="",0,Transactions!I3667)</f>
        <v>0</v>
      </c>
      <c r="J3667" s="9">
        <f t="shared" si="57"/>
        <v>8.99</v>
      </c>
      <c r="K3667" t="s">
        <v>95</v>
      </c>
      <c r="L3667" t="s">
        <v>23</v>
      </c>
      <c r="M3667" t="str">
        <f>REPLACE(Transactions!M3667,1,4,"")</f>
        <v>7</v>
      </c>
    </row>
    <row r="3668" spans="1:13" x14ac:dyDescent="0.2">
      <c r="A3668">
        <v>708078</v>
      </c>
      <c r="B3668" s="5">
        <v>45032</v>
      </c>
      <c r="C3668">
        <v>70940</v>
      </c>
      <c r="D3668" t="str">
        <f>PROPER(Transactions!D3668)</f>
        <v>Automotive</v>
      </c>
      <c r="E3668" t="s">
        <v>68</v>
      </c>
      <c r="F3668" t="s">
        <v>69</v>
      </c>
      <c r="G3668">
        <v>1</v>
      </c>
      <c r="H3668">
        <v>24.99</v>
      </c>
      <c r="I3668" s="7">
        <f>IF(Transactions!I3668="",0,Transactions!I3668)</f>
        <v>0</v>
      </c>
      <c r="J3668" s="9">
        <f t="shared" si="57"/>
        <v>24.99</v>
      </c>
      <c r="K3668" t="s">
        <v>36</v>
      </c>
      <c r="L3668" t="s">
        <v>17</v>
      </c>
      <c r="M3668" t="str">
        <f>REPLACE(Transactions!M3668,1,4,"")</f>
        <v>5</v>
      </c>
    </row>
    <row r="3669" spans="1:13" x14ac:dyDescent="0.2">
      <c r="A3669">
        <v>708447</v>
      </c>
      <c r="B3669" s="5">
        <v>45363</v>
      </c>
      <c r="C3669">
        <v>78078</v>
      </c>
      <c r="D3669" t="str">
        <f>PROPER(Transactions!D3669)</f>
        <v>Clothing</v>
      </c>
      <c r="E3669" t="s">
        <v>135</v>
      </c>
      <c r="F3669" t="s">
        <v>136</v>
      </c>
      <c r="G3669">
        <v>4</v>
      </c>
      <c r="H3669">
        <v>9.99</v>
      </c>
      <c r="I3669" s="7">
        <f>IF(Transactions!I3669="",0,Transactions!I3669)</f>
        <v>0</v>
      </c>
      <c r="J3669" s="9">
        <f t="shared" si="57"/>
        <v>39.96</v>
      </c>
      <c r="K3669" t="s">
        <v>16</v>
      </c>
      <c r="L3669" t="s">
        <v>17</v>
      </c>
      <c r="M3669" t="str">
        <f>REPLACE(Transactions!M3669,1,4,"")</f>
        <v>9</v>
      </c>
    </row>
    <row r="3670" spans="1:13" x14ac:dyDescent="0.2">
      <c r="A3670">
        <v>708504</v>
      </c>
      <c r="B3670" s="5">
        <v>44925</v>
      </c>
      <c r="C3670">
        <v>86599</v>
      </c>
      <c r="D3670" t="str">
        <f>PROPER(Transactions!D3670)</f>
        <v>Electronics</v>
      </c>
      <c r="E3670" t="s">
        <v>104</v>
      </c>
      <c r="F3670" t="s">
        <v>105</v>
      </c>
      <c r="G3670">
        <v>1</v>
      </c>
      <c r="H3670">
        <v>28.49</v>
      </c>
      <c r="I3670" s="7">
        <f>IF(Transactions!I3670="",0,Transactions!I3670)</f>
        <v>0.05</v>
      </c>
      <c r="J3670" s="9">
        <f t="shared" si="57"/>
        <v>27.065499999999997</v>
      </c>
      <c r="K3670" t="s">
        <v>36</v>
      </c>
      <c r="L3670" t="s">
        <v>17</v>
      </c>
      <c r="M3670" t="str">
        <f>REPLACE(Transactions!M3670,1,4,"")</f>
        <v>16</v>
      </c>
    </row>
    <row r="3671" spans="1:13" x14ac:dyDescent="0.2">
      <c r="A3671">
        <v>708519</v>
      </c>
      <c r="B3671" s="5">
        <v>44746</v>
      </c>
      <c r="C3671">
        <v>68947</v>
      </c>
      <c r="D3671" t="str">
        <f>PROPER(Transactions!D3671)</f>
        <v>Sports</v>
      </c>
      <c r="E3671" t="s">
        <v>83</v>
      </c>
      <c r="F3671" t="s">
        <v>84</v>
      </c>
      <c r="G3671">
        <v>2</v>
      </c>
      <c r="H3671">
        <v>11.89</v>
      </c>
      <c r="I3671" s="7">
        <f>IF(Transactions!I3671="",0,Transactions!I3671)</f>
        <v>0.3</v>
      </c>
      <c r="J3671" s="9">
        <f t="shared" si="57"/>
        <v>16.646000000000001</v>
      </c>
      <c r="K3671" t="s">
        <v>53</v>
      </c>
      <c r="L3671" t="s">
        <v>37</v>
      </c>
      <c r="M3671" t="str">
        <f>REPLACE(Transactions!M3671,1,4,"")</f>
        <v>20</v>
      </c>
    </row>
    <row r="3672" spans="1:13" x14ac:dyDescent="0.2">
      <c r="A3672">
        <v>708835</v>
      </c>
      <c r="B3672" s="5">
        <v>45148</v>
      </c>
      <c r="C3672">
        <v>63362</v>
      </c>
      <c r="D3672" t="str">
        <f>PROPER(Transactions!D3672)</f>
        <v>Clothing</v>
      </c>
      <c r="E3672" t="s">
        <v>121</v>
      </c>
      <c r="F3672" t="s">
        <v>122</v>
      </c>
      <c r="G3672">
        <v>2</v>
      </c>
      <c r="H3672">
        <v>9.74</v>
      </c>
      <c r="I3672" s="7">
        <f>IF(Transactions!I3672="",0,Transactions!I3672)</f>
        <v>0.25</v>
      </c>
      <c r="J3672" s="9">
        <f t="shared" si="57"/>
        <v>14.61</v>
      </c>
      <c r="K3672" t="s">
        <v>36</v>
      </c>
      <c r="L3672" t="s">
        <v>17</v>
      </c>
      <c r="M3672" t="str">
        <f>REPLACE(Transactions!M3672,1,4,"")</f>
        <v>17</v>
      </c>
    </row>
    <row r="3673" spans="1:13" x14ac:dyDescent="0.2">
      <c r="A3673">
        <v>709483</v>
      </c>
      <c r="B3673" s="5">
        <v>45228</v>
      </c>
      <c r="C3673">
        <v>94134</v>
      </c>
      <c r="D3673" t="str">
        <f>PROPER(Transactions!D3673)</f>
        <v>Grocery</v>
      </c>
      <c r="E3673" t="s">
        <v>172</v>
      </c>
      <c r="F3673" t="s">
        <v>173</v>
      </c>
      <c r="G3673">
        <v>5</v>
      </c>
      <c r="H3673">
        <v>4.04</v>
      </c>
      <c r="I3673" s="7">
        <f>IF(Transactions!I3673="",0,Transactions!I3673)</f>
        <v>0.1</v>
      </c>
      <c r="J3673" s="9">
        <f t="shared" si="57"/>
        <v>18.18</v>
      </c>
      <c r="K3673" t="s">
        <v>22</v>
      </c>
      <c r="L3673" t="s">
        <v>17</v>
      </c>
      <c r="M3673" t="str">
        <f>REPLACE(Transactions!M3673,1,4,"")</f>
        <v>1</v>
      </c>
    </row>
    <row r="3674" spans="1:13" x14ac:dyDescent="0.2">
      <c r="A3674">
        <v>709588</v>
      </c>
      <c r="B3674" s="5">
        <v>45004</v>
      </c>
      <c r="C3674">
        <v>82859</v>
      </c>
      <c r="D3674" t="str">
        <f>PROPER(Transactions!D3674)</f>
        <v>Home &amp; Garden</v>
      </c>
      <c r="E3674" t="s">
        <v>149</v>
      </c>
      <c r="F3674" t="s">
        <v>150</v>
      </c>
      <c r="G3674">
        <v>3</v>
      </c>
      <c r="H3674">
        <v>17.989999999999998</v>
      </c>
      <c r="I3674" s="7">
        <f>IF(Transactions!I3674="",0,Transactions!I3674)</f>
        <v>0.1</v>
      </c>
      <c r="J3674" s="9">
        <f t="shared" si="57"/>
        <v>48.573</v>
      </c>
      <c r="K3674" t="s">
        <v>16</v>
      </c>
      <c r="L3674" t="s">
        <v>17</v>
      </c>
      <c r="M3674" t="str">
        <f>REPLACE(Transactions!M3674,1,4,"")</f>
        <v>18</v>
      </c>
    </row>
    <row r="3675" spans="1:13" x14ac:dyDescent="0.2">
      <c r="A3675">
        <v>709675</v>
      </c>
      <c r="B3675" s="5">
        <v>44794</v>
      </c>
      <c r="C3675">
        <v>78026</v>
      </c>
      <c r="D3675" t="str">
        <f>PROPER(Transactions!D3675)</f>
        <v>Electronics</v>
      </c>
      <c r="E3675" t="s">
        <v>55</v>
      </c>
      <c r="F3675" t="s">
        <v>56</v>
      </c>
      <c r="G3675">
        <v>4</v>
      </c>
      <c r="H3675">
        <v>329.99</v>
      </c>
      <c r="I3675" s="7">
        <f>IF(Transactions!I3675="",0,Transactions!I3675)</f>
        <v>0</v>
      </c>
      <c r="J3675" s="9">
        <f t="shared" si="57"/>
        <v>1319.96</v>
      </c>
      <c r="K3675" t="s">
        <v>53</v>
      </c>
      <c r="L3675" t="s">
        <v>17</v>
      </c>
      <c r="M3675" t="str">
        <f>REPLACE(Transactions!M3675,1,4,"")</f>
        <v>3</v>
      </c>
    </row>
    <row r="3676" spans="1:13" x14ac:dyDescent="0.2">
      <c r="A3676">
        <v>709710</v>
      </c>
      <c r="B3676" s="5">
        <v>45446</v>
      </c>
      <c r="C3676">
        <v>40785</v>
      </c>
      <c r="D3676" t="str">
        <f>PROPER(Transactions!D3676)</f>
        <v>Grocery</v>
      </c>
      <c r="E3676" t="s">
        <v>133</v>
      </c>
      <c r="F3676" t="s">
        <v>134</v>
      </c>
      <c r="G3676">
        <v>4</v>
      </c>
      <c r="H3676">
        <v>3.22</v>
      </c>
      <c r="I3676" s="7">
        <f>IF(Transactions!I3676="",0,Transactions!I3676)</f>
        <v>0</v>
      </c>
      <c r="J3676" s="9">
        <f t="shared" si="57"/>
        <v>12.88</v>
      </c>
      <c r="K3676" t="s">
        <v>16</v>
      </c>
      <c r="L3676" t="s">
        <v>37</v>
      </c>
      <c r="M3676" t="str">
        <f>REPLACE(Transactions!M3676,1,4,"")</f>
        <v>3</v>
      </c>
    </row>
    <row r="3677" spans="1:13" x14ac:dyDescent="0.2">
      <c r="A3677">
        <v>709810</v>
      </c>
      <c r="B3677" s="5">
        <v>45150</v>
      </c>
      <c r="C3677">
        <v>98007</v>
      </c>
      <c r="D3677" t="str">
        <f>PROPER(Transactions!D3677)</f>
        <v>Clothing</v>
      </c>
      <c r="E3677" t="s">
        <v>165</v>
      </c>
      <c r="F3677" t="s">
        <v>166</v>
      </c>
      <c r="G3677">
        <v>1</v>
      </c>
      <c r="H3677">
        <v>67.489999999999995</v>
      </c>
      <c r="I3677" s="7">
        <f>IF(Transactions!I3677="",0,Transactions!I3677)</f>
        <v>0.25</v>
      </c>
      <c r="J3677" s="9">
        <f t="shared" si="57"/>
        <v>50.617499999999993</v>
      </c>
      <c r="K3677" t="s">
        <v>32</v>
      </c>
      <c r="L3677" t="s">
        <v>37</v>
      </c>
      <c r="M3677" t="str">
        <f>REPLACE(Transactions!M3677,1,4,"")</f>
        <v>18</v>
      </c>
    </row>
    <row r="3678" spans="1:13" x14ac:dyDescent="0.2">
      <c r="A3678">
        <v>710281</v>
      </c>
      <c r="B3678" s="5">
        <v>45558</v>
      </c>
      <c r="C3678">
        <v>79148</v>
      </c>
      <c r="D3678" t="str">
        <f>PROPER(Transactions!D3678)</f>
        <v>Clothing</v>
      </c>
      <c r="E3678" t="s">
        <v>121</v>
      </c>
      <c r="F3678" t="s">
        <v>122</v>
      </c>
      <c r="G3678">
        <v>1</v>
      </c>
      <c r="H3678">
        <v>11.04</v>
      </c>
      <c r="I3678" s="7">
        <f>IF(Transactions!I3678="",0,Transactions!I3678)</f>
        <v>0.15</v>
      </c>
      <c r="J3678" s="9">
        <f t="shared" si="57"/>
        <v>9.3839999999999986</v>
      </c>
      <c r="K3678" t="s">
        <v>36</v>
      </c>
      <c r="L3678" t="s">
        <v>17</v>
      </c>
      <c r="M3678" t="str">
        <f>REPLACE(Transactions!M3678,1,4,"")</f>
        <v>10</v>
      </c>
    </row>
    <row r="3679" spans="1:13" x14ac:dyDescent="0.2">
      <c r="A3679">
        <v>710411</v>
      </c>
      <c r="B3679" s="5">
        <v>44989</v>
      </c>
      <c r="C3679">
        <v>61490</v>
      </c>
      <c r="D3679" t="str">
        <f>PROPER(Transactions!D3679)</f>
        <v>Pharmacy</v>
      </c>
      <c r="E3679" t="s">
        <v>41</v>
      </c>
      <c r="F3679" t="s">
        <v>42</v>
      </c>
      <c r="G3679">
        <v>5</v>
      </c>
      <c r="H3679">
        <v>5.99</v>
      </c>
      <c r="I3679" s="7">
        <f>IF(Transactions!I3679="",0,Transactions!I3679)</f>
        <v>0</v>
      </c>
      <c r="J3679" s="9">
        <f t="shared" si="57"/>
        <v>29.950000000000003</v>
      </c>
      <c r="K3679" t="s">
        <v>16</v>
      </c>
      <c r="L3679" t="s">
        <v>17</v>
      </c>
      <c r="M3679" t="str">
        <f>REPLACE(Transactions!M3679,1,4,"")</f>
        <v>11</v>
      </c>
    </row>
    <row r="3680" spans="1:13" x14ac:dyDescent="0.2">
      <c r="A3680">
        <v>710678</v>
      </c>
      <c r="B3680" s="5">
        <v>45550</v>
      </c>
      <c r="C3680">
        <v>55808</v>
      </c>
      <c r="D3680" t="str">
        <f>PROPER(Transactions!D3680)</f>
        <v>Furniture</v>
      </c>
      <c r="E3680" t="s">
        <v>70</v>
      </c>
      <c r="F3680" t="s">
        <v>71</v>
      </c>
      <c r="G3680">
        <v>4</v>
      </c>
      <c r="H3680">
        <v>89.99</v>
      </c>
      <c r="I3680" s="7">
        <f>IF(Transactions!I3680="",0,Transactions!I3680)</f>
        <v>0</v>
      </c>
      <c r="J3680" s="9">
        <f t="shared" si="57"/>
        <v>359.96</v>
      </c>
      <c r="K3680" t="s">
        <v>36</v>
      </c>
      <c r="L3680" t="s">
        <v>17</v>
      </c>
      <c r="M3680" t="str">
        <f>REPLACE(Transactions!M3680,1,4,"")</f>
        <v>9</v>
      </c>
    </row>
    <row r="3681" spans="1:13" x14ac:dyDescent="0.2">
      <c r="A3681">
        <v>710980</v>
      </c>
      <c r="B3681" s="5">
        <v>45596</v>
      </c>
      <c r="C3681">
        <v>63026</v>
      </c>
      <c r="D3681" t="str">
        <f>PROPER(Transactions!D3681)</f>
        <v>Sports</v>
      </c>
      <c r="E3681" t="s">
        <v>168</v>
      </c>
      <c r="F3681" t="s">
        <v>169</v>
      </c>
      <c r="G3681">
        <v>4</v>
      </c>
      <c r="H3681">
        <v>8.99</v>
      </c>
      <c r="I3681" s="7">
        <f>IF(Transactions!I3681="",0,Transactions!I3681)</f>
        <v>0</v>
      </c>
      <c r="J3681" s="9">
        <f t="shared" si="57"/>
        <v>35.96</v>
      </c>
      <c r="K3681" t="s">
        <v>36</v>
      </c>
      <c r="L3681" t="s">
        <v>17</v>
      </c>
      <c r="M3681" t="str">
        <f>REPLACE(Transactions!M3681,1,4,"")</f>
        <v>1</v>
      </c>
    </row>
    <row r="3682" spans="1:13" x14ac:dyDescent="0.2">
      <c r="A3682">
        <v>711614</v>
      </c>
      <c r="B3682" s="5">
        <v>45354</v>
      </c>
      <c r="C3682">
        <v>59228</v>
      </c>
      <c r="D3682" t="str">
        <f>PROPER(Transactions!D3682)</f>
        <v>Pharmacy</v>
      </c>
      <c r="E3682" t="s">
        <v>115</v>
      </c>
      <c r="F3682" t="s">
        <v>116</v>
      </c>
      <c r="G3682">
        <v>5</v>
      </c>
      <c r="H3682">
        <v>11.69</v>
      </c>
      <c r="I3682" s="7">
        <f>IF(Transactions!I3682="",0,Transactions!I3682)</f>
        <v>0.1</v>
      </c>
      <c r="J3682" s="9">
        <f t="shared" si="57"/>
        <v>52.604999999999997</v>
      </c>
      <c r="K3682" t="s">
        <v>32</v>
      </c>
      <c r="L3682" t="s">
        <v>17</v>
      </c>
      <c r="M3682" t="str">
        <f>REPLACE(Transactions!M3682,1,4,"")</f>
        <v>17</v>
      </c>
    </row>
    <row r="3683" spans="1:13" x14ac:dyDescent="0.2">
      <c r="A3683">
        <v>711641</v>
      </c>
      <c r="B3683" s="5">
        <v>44900</v>
      </c>
      <c r="C3683">
        <v>12142</v>
      </c>
      <c r="D3683" t="str">
        <f>PROPER(Transactions!D3683)</f>
        <v>Home &amp; Garden</v>
      </c>
      <c r="E3683" t="s">
        <v>153</v>
      </c>
      <c r="F3683" t="s">
        <v>154</v>
      </c>
      <c r="G3683">
        <v>4</v>
      </c>
      <c r="H3683">
        <v>26.99</v>
      </c>
      <c r="I3683" s="7">
        <f>IF(Transactions!I3683="",0,Transactions!I3683)</f>
        <v>0.1</v>
      </c>
      <c r="J3683" s="9">
        <f t="shared" si="57"/>
        <v>97.164000000000001</v>
      </c>
      <c r="K3683" t="s">
        <v>22</v>
      </c>
      <c r="L3683" t="s">
        <v>17</v>
      </c>
      <c r="M3683" t="str">
        <f>REPLACE(Transactions!M3683,1,4,"")</f>
        <v>2</v>
      </c>
    </row>
    <row r="3684" spans="1:13" x14ac:dyDescent="0.2">
      <c r="A3684">
        <v>711844</v>
      </c>
      <c r="B3684" s="5">
        <v>44615</v>
      </c>
      <c r="D3684" t="str">
        <f>PROPER(Transactions!D3684)</f>
        <v>Pharmacy</v>
      </c>
      <c r="E3684" t="s">
        <v>115</v>
      </c>
      <c r="F3684" t="s">
        <v>116</v>
      </c>
      <c r="G3684">
        <v>5</v>
      </c>
      <c r="H3684">
        <v>11.04</v>
      </c>
      <c r="I3684" s="7">
        <f>IF(Transactions!I3684="",0,Transactions!I3684)</f>
        <v>0.15</v>
      </c>
      <c r="J3684" s="9">
        <f t="shared" si="57"/>
        <v>46.919999999999995</v>
      </c>
      <c r="K3684" t="s">
        <v>22</v>
      </c>
      <c r="L3684" t="s">
        <v>17</v>
      </c>
      <c r="M3684" t="str">
        <f>REPLACE(Transactions!M3684,1,4,"")</f>
        <v>2</v>
      </c>
    </row>
    <row r="3685" spans="1:13" x14ac:dyDescent="0.2">
      <c r="A3685">
        <v>711917</v>
      </c>
      <c r="B3685" s="5">
        <v>45476</v>
      </c>
      <c r="C3685">
        <v>89573</v>
      </c>
      <c r="D3685" t="str">
        <f>PROPER(Transactions!D3685)</f>
        <v>Clothing</v>
      </c>
      <c r="E3685" t="s">
        <v>165</v>
      </c>
      <c r="F3685" t="s">
        <v>166</v>
      </c>
      <c r="G3685">
        <v>4</v>
      </c>
      <c r="H3685">
        <v>67.489999999999995</v>
      </c>
      <c r="I3685" s="7">
        <f>IF(Transactions!I3685="",0,Transactions!I3685)</f>
        <v>0.25</v>
      </c>
      <c r="J3685" s="9">
        <f t="shared" si="57"/>
        <v>202.46999999999997</v>
      </c>
      <c r="K3685" t="s">
        <v>16</v>
      </c>
      <c r="L3685" t="s">
        <v>23</v>
      </c>
      <c r="M3685" t="str">
        <f>REPLACE(Transactions!M3685,1,4,"")</f>
        <v>8</v>
      </c>
    </row>
    <row r="3686" spans="1:13" x14ac:dyDescent="0.2">
      <c r="A3686">
        <v>712284</v>
      </c>
      <c r="B3686" s="5">
        <v>45248</v>
      </c>
      <c r="C3686">
        <v>45877</v>
      </c>
      <c r="D3686" t="str">
        <f>PROPER(Transactions!D3686)</f>
        <v>Electronics</v>
      </c>
      <c r="E3686" t="s">
        <v>77</v>
      </c>
      <c r="F3686" t="s">
        <v>78</v>
      </c>
      <c r="G3686">
        <v>3</v>
      </c>
      <c r="H3686">
        <v>474.99</v>
      </c>
      <c r="I3686" s="7">
        <f>IF(Transactions!I3686="",0,Transactions!I3686)</f>
        <v>0.05</v>
      </c>
      <c r="J3686" s="9">
        <f t="shared" si="57"/>
        <v>1353.7214999999999</v>
      </c>
      <c r="K3686" t="s">
        <v>16</v>
      </c>
      <c r="L3686" t="s">
        <v>17</v>
      </c>
      <c r="M3686" t="str">
        <f>REPLACE(Transactions!M3686,1,4,"")</f>
        <v>10</v>
      </c>
    </row>
    <row r="3687" spans="1:13" x14ac:dyDescent="0.2">
      <c r="A3687">
        <v>712552</v>
      </c>
      <c r="B3687" s="5">
        <v>45284</v>
      </c>
      <c r="C3687">
        <v>98618</v>
      </c>
      <c r="D3687" t="str">
        <f>PROPER(Transactions!D3687)</f>
        <v>Toys</v>
      </c>
      <c r="E3687" t="s">
        <v>30</v>
      </c>
      <c r="F3687" t="s">
        <v>31</v>
      </c>
      <c r="G3687">
        <v>2</v>
      </c>
      <c r="H3687">
        <v>24.99</v>
      </c>
      <c r="I3687" s="7">
        <f>IF(Transactions!I3687="",0,Transactions!I3687)</f>
        <v>0</v>
      </c>
      <c r="J3687" s="9">
        <f t="shared" si="57"/>
        <v>49.98</v>
      </c>
      <c r="K3687" t="s">
        <v>36</v>
      </c>
      <c r="L3687" t="s">
        <v>37</v>
      </c>
      <c r="M3687" t="str">
        <f>REPLACE(Transactions!M3687,1,4,"")</f>
        <v>11</v>
      </c>
    </row>
    <row r="3688" spans="1:13" x14ac:dyDescent="0.2">
      <c r="A3688">
        <v>712686</v>
      </c>
      <c r="B3688" s="5">
        <v>45624</v>
      </c>
      <c r="C3688">
        <v>74165</v>
      </c>
      <c r="D3688" t="str">
        <f>PROPER(Transactions!D3688)</f>
        <v>Beauty</v>
      </c>
      <c r="E3688" t="s">
        <v>139</v>
      </c>
      <c r="F3688" t="s">
        <v>140</v>
      </c>
      <c r="G3688">
        <v>4</v>
      </c>
      <c r="H3688">
        <v>6.39</v>
      </c>
      <c r="I3688" s="7">
        <f>IF(Transactions!I3688="",0,Transactions!I3688)</f>
        <v>0.2</v>
      </c>
      <c r="J3688" s="9">
        <f t="shared" si="57"/>
        <v>20.448</v>
      </c>
      <c r="K3688" t="s">
        <v>36</v>
      </c>
      <c r="L3688" t="s">
        <v>17</v>
      </c>
      <c r="M3688" t="str">
        <f>REPLACE(Transactions!M3688,1,4,"")</f>
        <v>20</v>
      </c>
    </row>
    <row r="3689" spans="1:13" x14ac:dyDescent="0.2">
      <c r="A3689">
        <v>712690</v>
      </c>
      <c r="B3689" s="5">
        <v>45216</v>
      </c>
      <c r="C3689">
        <v>28151</v>
      </c>
      <c r="D3689" t="str">
        <f>PROPER(Transactions!D3689)</f>
        <v>Grocery</v>
      </c>
      <c r="E3689" t="s">
        <v>107</v>
      </c>
      <c r="F3689" t="s">
        <v>108</v>
      </c>
      <c r="G3689">
        <v>2</v>
      </c>
      <c r="H3689">
        <v>3.49</v>
      </c>
      <c r="I3689" s="7">
        <f>IF(Transactions!I3689="",0,Transactions!I3689)</f>
        <v>0</v>
      </c>
      <c r="J3689" s="9">
        <f t="shared" si="57"/>
        <v>6.98</v>
      </c>
      <c r="K3689" t="s">
        <v>53</v>
      </c>
      <c r="L3689" t="s">
        <v>17</v>
      </c>
      <c r="M3689" t="str">
        <f>REPLACE(Transactions!M3689,1,4,"")</f>
        <v>12</v>
      </c>
    </row>
    <row r="3690" spans="1:13" x14ac:dyDescent="0.2">
      <c r="A3690">
        <v>713015</v>
      </c>
      <c r="B3690" s="5">
        <v>45240</v>
      </c>
      <c r="C3690">
        <v>36878</v>
      </c>
      <c r="D3690" t="str">
        <f>PROPER(Transactions!D3690)</f>
        <v>Toys</v>
      </c>
      <c r="E3690" t="s">
        <v>175</v>
      </c>
      <c r="F3690" t="s">
        <v>176</v>
      </c>
      <c r="G3690">
        <v>1</v>
      </c>
      <c r="H3690">
        <v>11.99</v>
      </c>
      <c r="I3690" s="7">
        <f>IF(Transactions!I3690="",0,Transactions!I3690)</f>
        <v>0</v>
      </c>
      <c r="J3690" s="9">
        <f t="shared" si="57"/>
        <v>11.99</v>
      </c>
      <c r="K3690" t="s">
        <v>16</v>
      </c>
      <c r="L3690" t="s">
        <v>37</v>
      </c>
      <c r="M3690" t="str">
        <f>REPLACE(Transactions!M3690,1,4,"")</f>
        <v>7</v>
      </c>
    </row>
    <row r="3691" spans="1:13" x14ac:dyDescent="0.2">
      <c r="A3691">
        <v>713052</v>
      </c>
      <c r="B3691" s="5">
        <v>44887</v>
      </c>
      <c r="C3691">
        <v>41519</v>
      </c>
      <c r="D3691" t="str">
        <f>PROPER(Transactions!D3691)</f>
        <v>Pharmacy</v>
      </c>
      <c r="E3691" t="s">
        <v>41</v>
      </c>
      <c r="F3691" t="s">
        <v>42</v>
      </c>
      <c r="G3691">
        <v>2</v>
      </c>
      <c r="H3691">
        <v>4.79</v>
      </c>
      <c r="I3691" s="7">
        <f>IF(Transactions!I3691="",0,Transactions!I3691)</f>
        <v>0.2</v>
      </c>
      <c r="J3691" s="9">
        <f t="shared" si="57"/>
        <v>7.6640000000000006</v>
      </c>
      <c r="K3691" t="s">
        <v>53</v>
      </c>
      <c r="L3691" t="s">
        <v>37</v>
      </c>
      <c r="M3691" t="str">
        <f>REPLACE(Transactions!M3691,1,4,"")</f>
        <v>13</v>
      </c>
    </row>
    <row r="3692" spans="1:13" x14ac:dyDescent="0.2">
      <c r="A3692">
        <v>713247</v>
      </c>
      <c r="B3692" s="5">
        <v>45157</v>
      </c>
      <c r="C3692">
        <v>55714</v>
      </c>
      <c r="D3692" t="str">
        <f>PROPER(Transactions!D3692)</f>
        <v>Sports</v>
      </c>
      <c r="E3692" t="s">
        <v>100</v>
      </c>
      <c r="F3692" t="s">
        <v>101</v>
      </c>
      <c r="G3692">
        <v>5</v>
      </c>
      <c r="H3692">
        <v>21.84</v>
      </c>
      <c r="I3692" s="7">
        <f>IF(Transactions!I3692="",0,Transactions!I3692)</f>
        <v>0.05</v>
      </c>
      <c r="J3692" s="9">
        <f t="shared" si="57"/>
        <v>103.74</v>
      </c>
      <c r="K3692" t="s">
        <v>36</v>
      </c>
      <c r="L3692" t="s">
        <v>17</v>
      </c>
      <c r="M3692" t="str">
        <f>REPLACE(Transactions!M3692,1,4,"")</f>
        <v/>
      </c>
    </row>
    <row r="3693" spans="1:13" x14ac:dyDescent="0.2">
      <c r="A3693">
        <v>713272</v>
      </c>
      <c r="B3693" s="5">
        <v>45259</v>
      </c>
      <c r="C3693">
        <v>77439</v>
      </c>
      <c r="D3693" t="str">
        <f>PROPER(Transactions!D3693)</f>
        <v>Clothing</v>
      </c>
      <c r="E3693" t="s">
        <v>98</v>
      </c>
      <c r="F3693" t="s">
        <v>99</v>
      </c>
      <c r="G3693">
        <v>2</v>
      </c>
      <c r="H3693">
        <v>26.59</v>
      </c>
      <c r="I3693" s="7">
        <f>IF(Transactions!I3693="",0,Transactions!I3693)</f>
        <v>0.05</v>
      </c>
      <c r="J3693" s="9">
        <f t="shared" si="57"/>
        <v>50.521000000000001</v>
      </c>
      <c r="K3693" t="s">
        <v>36</v>
      </c>
      <c r="L3693" t="s">
        <v>23</v>
      </c>
      <c r="M3693" t="str">
        <f>REPLACE(Transactions!M3693,1,4,"")</f>
        <v>13</v>
      </c>
    </row>
    <row r="3694" spans="1:13" x14ac:dyDescent="0.2">
      <c r="A3694">
        <v>713374</v>
      </c>
      <c r="B3694" s="5">
        <v>45207</v>
      </c>
      <c r="C3694">
        <v>83806</v>
      </c>
      <c r="D3694" t="str">
        <f>PROPER(Transactions!D3694)</f>
        <v>Sports</v>
      </c>
      <c r="E3694" t="s">
        <v>168</v>
      </c>
      <c r="F3694" t="s">
        <v>169</v>
      </c>
      <c r="G3694">
        <v>1</v>
      </c>
      <c r="H3694">
        <v>6.74</v>
      </c>
      <c r="I3694" s="7">
        <f>IF(Transactions!I3694="",0,Transactions!I3694)</f>
        <v>0.25</v>
      </c>
      <c r="J3694" s="9">
        <f t="shared" si="57"/>
        <v>5.0549999999999997</v>
      </c>
      <c r="K3694" t="s">
        <v>32</v>
      </c>
      <c r="L3694" t="s">
        <v>17</v>
      </c>
      <c r="M3694" t="str">
        <f>REPLACE(Transactions!M3694,1,4,"")</f>
        <v>18</v>
      </c>
    </row>
    <row r="3695" spans="1:13" x14ac:dyDescent="0.2">
      <c r="A3695">
        <v>713565</v>
      </c>
      <c r="B3695" s="5">
        <v>44719</v>
      </c>
      <c r="C3695">
        <v>71519</v>
      </c>
      <c r="D3695" t="str">
        <f>PROPER(Transactions!D3695)</f>
        <v>Toys</v>
      </c>
      <c r="E3695" t="s">
        <v>30</v>
      </c>
      <c r="F3695" t="s">
        <v>31</v>
      </c>
      <c r="G3695">
        <v>2</v>
      </c>
      <c r="H3695">
        <v>24.99</v>
      </c>
      <c r="I3695" s="7">
        <f>IF(Transactions!I3695="",0,Transactions!I3695)</f>
        <v>0</v>
      </c>
      <c r="J3695" s="9">
        <f t="shared" si="57"/>
        <v>49.98</v>
      </c>
      <c r="K3695" t="s">
        <v>16</v>
      </c>
      <c r="L3695" t="s">
        <v>37</v>
      </c>
      <c r="M3695" t="str">
        <f>REPLACE(Transactions!M3695,1,4,"")</f>
        <v/>
      </c>
    </row>
    <row r="3696" spans="1:13" x14ac:dyDescent="0.2">
      <c r="A3696">
        <v>713566</v>
      </c>
      <c r="B3696" s="5">
        <v>44993</v>
      </c>
      <c r="C3696">
        <v>22277</v>
      </c>
      <c r="D3696" t="str">
        <f>PROPER(Transactions!D3696)</f>
        <v>Sports</v>
      </c>
      <c r="E3696" t="s">
        <v>100</v>
      </c>
      <c r="F3696" t="s">
        <v>101</v>
      </c>
      <c r="G3696">
        <v>1</v>
      </c>
      <c r="H3696">
        <v>22.99</v>
      </c>
      <c r="I3696" s="7">
        <f>IF(Transactions!I3696="",0,Transactions!I3696)</f>
        <v>0</v>
      </c>
      <c r="J3696" s="9">
        <f t="shared" si="57"/>
        <v>22.99</v>
      </c>
      <c r="K3696" t="s">
        <v>22</v>
      </c>
      <c r="L3696" t="s">
        <v>17</v>
      </c>
      <c r="M3696" t="str">
        <f>REPLACE(Transactions!M3696,1,4,"")</f>
        <v>10</v>
      </c>
    </row>
    <row r="3697" spans="1:13" x14ac:dyDescent="0.2">
      <c r="A3697">
        <v>713861</v>
      </c>
      <c r="B3697" s="5">
        <v>44781</v>
      </c>
      <c r="C3697">
        <v>34219</v>
      </c>
      <c r="D3697" t="str">
        <f>PROPER(Transactions!D3697)</f>
        <v>Home &amp; Garden</v>
      </c>
      <c r="E3697" t="s">
        <v>153</v>
      </c>
      <c r="F3697" t="s">
        <v>154</v>
      </c>
      <c r="G3697">
        <v>1</v>
      </c>
      <c r="H3697">
        <v>23.99</v>
      </c>
      <c r="I3697" s="7">
        <f>IF(Transactions!I3697="",0,Transactions!I3697)</f>
        <v>0.2</v>
      </c>
      <c r="J3697" s="9">
        <f t="shared" si="57"/>
        <v>19.192</v>
      </c>
      <c r="K3697" t="s">
        <v>53</v>
      </c>
      <c r="L3697" t="s">
        <v>17</v>
      </c>
      <c r="M3697" t="str">
        <f>REPLACE(Transactions!M3697,1,4,"")</f>
        <v>15</v>
      </c>
    </row>
    <row r="3698" spans="1:13" x14ac:dyDescent="0.2">
      <c r="A3698">
        <v>713999</v>
      </c>
      <c r="B3698" s="5">
        <v>45393</v>
      </c>
      <c r="C3698">
        <v>12559</v>
      </c>
      <c r="D3698" t="str">
        <f>PROPER(Transactions!D3698)</f>
        <v>Automotive</v>
      </c>
      <c r="E3698" t="s">
        <v>131</v>
      </c>
      <c r="F3698" t="s">
        <v>132</v>
      </c>
      <c r="G3698">
        <v>2</v>
      </c>
      <c r="H3698">
        <v>2.62</v>
      </c>
      <c r="I3698" s="7">
        <f>IF(Transactions!I3698="",0,Transactions!I3698)</f>
        <v>0.25</v>
      </c>
      <c r="J3698" s="9">
        <f t="shared" si="57"/>
        <v>3.93</v>
      </c>
      <c r="K3698" t="s">
        <v>36</v>
      </c>
      <c r="L3698" t="s">
        <v>17</v>
      </c>
      <c r="M3698" t="str">
        <f>REPLACE(Transactions!M3698,1,4,"")</f>
        <v>1</v>
      </c>
    </row>
    <row r="3699" spans="1:13" x14ac:dyDescent="0.2">
      <c r="A3699">
        <v>714228</v>
      </c>
      <c r="B3699" s="5">
        <v>45557</v>
      </c>
      <c r="C3699">
        <v>93330</v>
      </c>
      <c r="D3699" t="str">
        <f>PROPER(Transactions!D3699)</f>
        <v>Grocery</v>
      </c>
      <c r="E3699" t="s">
        <v>177</v>
      </c>
      <c r="F3699" t="s">
        <v>178</v>
      </c>
      <c r="G3699">
        <v>2</v>
      </c>
      <c r="H3699">
        <v>11.99</v>
      </c>
      <c r="I3699" s="7">
        <f>IF(Transactions!I3699="",0,Transactions!I3699)</f>
        <v>0</v>
      </c>
      <c r="J3699" s="9">
        <f t="shared" si="57"/>
        <v>23.98</v>
      </c>
      <c r="K3699" t="s">
        <v>36</v>
      </c>
      <c r="L3699" t="s">
        <v>37</v>
      </c>
      <c r="M3699" t="str">
        <f>REPLACE(Transactions!M3699,1,4,"")</f>
        <v>19</v>
      </c>
    </row>
    <row r="3700" spans="1:13" x14ac:dyDescent="0.2">
      <c r="A3700">
        <v>714407</v>
      </c>
      <c r="B3700" s="5">
        <v>44859</v>
      </c>
      <c r="C3700">
        <v>83659</v>
      </c>
      <c r="D3700" t="str">
        <f>PROPER(Transactions!D3700)</f>
        <v>Furniture</v>
      </c>
      <c r="E3700" t="s">
        <v>113</v>
      </c>
      <c r="F3700" t="s">
        <v>114</v>
      </c>
      <c r="G3700">
        <v>1</v>
      </c>
      <c r="H3700">
        <v>101.99</v>
      </c>
      <c r="I3700" s="7">
        <f>IF(Transactions!I3700="",0,Transactions!I3700)</f>
        <v>0.15</v>
      </c>
      <c r="J3700" s="9">
        <f t="shared" si="57"/>
        <v>86.691499999999991</v>
      </c>
      <c r="K3700" t="s">
        <v>53</v>
      </c>
      <c r="L3700" t="s">
        <v>17</v>
      </c>
      <c r="M3700" t="str">
        <f>REPLACE(Transactions!M3700,1,4,"")</f>
        <v>11</v>
      </c>
    </row>
    <row r="3701" spans="1:13" x14ac:dyDescent="0.2">
      <c r="A3701">
        <v>714923</v>
      </c>
      <c r="B3701" s="5">
        <v>45328</v>
      </c>
      <c r="C3701">
        <v>88328</v>
      </c>
      <c r="D3701" t="str">
        <f>PROPER(Transactions!D3701)</f>
        <v>Automotive</v>
      </c>
      <c r="E3701" t="s">
        <v>125</v>
      </c>
      <c r="F3701" t="s">
        <v>126</v>
      </c>
      <c r="G3701">
        <v>1</v>
      </c>
      <c r="H3701">
        <v>25.49</v>
      </c>
      <c r="I3701" s="7">
        <f>IF(Transactions!I3701="",0,Transactions!I3701)</f>
        <v>0.15</v>
      </c>
      <c r="J3701" s="9">
        <f t="shared" si="57"/>
        <v>21.666499999999999</v>
      </c>
      <c r="K3701" t="s">
        <v>36</v>
      </c>
      <c r="L3701" t="s">
        <v>17</v>
      </c>
      <c r="M3701" t="str">
        <f>REPLACE(Transactions!M3701,1,4,"")</f>
        <v>16</v>
      </c>
    </row>
    <row r="3702" spans="1:13" x14ac:dyDescent="0.2">
      <c r="A3702">
        <v>714980</v>
      </c>
      <c r="B3702" s="5">
        <v>45372</v>
      </c>
      <c r="C3702">
        <v>10015</v>
      </c>
      <c r="D3702" t="str">
        <f>PROPER(Transactions!D3702)</f>
        <v>Grocery</v>
      </c>
      <c r="E3702" t="s">
        <v>184</v>
      </c>
      <c r="F3702" t="s">
        <v>185</v>
      </c>
      <c r="G3702">
        <v>1</v>
      </c>
      <c r="H3702">
        <v>4.12</v>
      </c>
      <c r="I3702" s="7">
        <f>IF(Transactions!I3702="",0,Transactions!I3702)</f>
        <v>0.25</v>
      </c>
      <c r="J3702" s="9">
        <f t="shared" si="57"/>
        <v>3.09</v>
      </c>
      <c r="K3702" t="s">
        <v>16</v>
      </c>
      <c r="L3702" t="s">
        <v>37</v>
      </c>
      <c r="M3702" t="str">
        <f>REPLACE(Transactions!M3702,1,4,"")</f>
        <v>20</v>
      </c>
    </row>
    <row r="3703" spans="1:13" x14ac:dyDescent="0.2">
      <c r="A3703">
        <v>715084</v>
      </c>
      <c r="B3703" s="5">
        <v>44988</v>
      </c>
      <c r="C3703">
        <v>46716</v>
      </c>
      <c r="D3703" t="str">
        <f>PROPER(Transactions!D3703)</f>
        <v>Furniture</v>
      </c>
      <c r="E3703" t="s">
        <v>113</v>
      </c>
      <c r="F3703" t="s">
        <v>114</v>
      </c>
      <c r="G3703">
        <v>5</v>
      </c>
      <c r="H3703">
        <v>119.99</v>
      </c>
      <c r="I3703" s="7">
        <f>IF(Transactions!I3703="",0,Transactions!I3703)</f>
        <v>0</v>
      </c>
      <c r="J3703" s="9">
        <f t="shared" si="57"/>
        <v>599.94999999999993</v>
      </c>
      <c r="K3703" t="s">
        <v>32</v>
      </c>
      <c r="L3703" t="s">
        <v>37</v>
      </c>
      <c r="M3703" t="str">
        <f>REPLACE(Transactions!M3703,1,4,"")</f>
        <v>10</v>
      </c>
    </row>
    <row r="3704" spans="1:13" x14ac:dyDescent="0.2">
      <c r="A3704">
        <v>715126</v>
      </c>
      <c r="B3704" s="5">
        <v>45200</v>
      </c>
      <c r="C3704">
        <v>23549</v>
      </c>
      <c r="D3704" t="str">
        <f>PROPER(Transactions!D3704)</f>
        <v>Beauty</v>
      </c>
      <c r="E3704" t="s">
        <v>109</v>
      </c>
      <c r="F3704" t="s">
        <v>110</v>
      </c>
      <c r="G3704">
        <v>1</v>
      </c>
      <c r="H3704">
        <v>6.99</v>
      </c>
      <c r="I3704" s="7">
        <f>IF(Transactions!I3704="",0,Transactions!I3704)</f>
        <v>0</v>
      </c>
      <c r="J3704" s="9">
        <f t="shared" si="57"/>
        <v>6.99</v>
      </c>
      <c r="K3704" t="s">
        <v>22</v>
      </c>
      <c r="L3704" t="s">
        <v>17</v>
      </c>
      <c r="M3704" t="str">
        <f>REPLACE(Transactions!M3704,1,4,"")</f>
        <v>1</v>
      </c>
    </row>
    <row r="3705" spans="1:13" x14ac:dyDescent="0.2">
      <c r="A3705">
        <v>715202</v>
      </c>
      <c r="B3705" s="5">
        <v>44826</v>
      </c>
      <c r="C3705">
        <v>92427</v>
      </c>
      <c r="D3705" t="str">
        <f>PROPER(Transactions!D3705)</f>
        <v>Grocery</v>
      </c>
      <c r="E3705" t="s">
        <v>195</v>
      </c>
      <c r="F3705" t="s">
        <v>196</v>
      </c>
      <c r="G3705">
        <v>1</v>
      </c>
      <c r="H3705">
        <v>3.99</v>
      </c>
      <c r="I3705" s="7">
        <f>IF(Transactions!I3705="",0,Transactions!I3705)</f>
        <v>0.2</v>
      </c>
      <c r="J3705" s="9">
        <f t="shared" si="57"/>
        <v>3.1920000000000002</v>
      </c>
      <c r="K3705" t="s">
        <v>16</v>
      </c>
      <c r="L3705" t="s">
        <v>37</v>
      </c>
      <c r="M3705" t="str">
        <f>REPLACE(Transactions!M3705,1,4,"")</f>
        <v>7</v>
      </c>
    </row>
    <row r="3706" spans="1:13" x14ac:dyDescent="0.2">
      <c r="A3706">
        <v>715702</v>
      </c>
      <c r="B3706" s="5">
        <v>45430</v>
      </c>
      <c r="C3706">
        <v>78852</v>
      </c>
      <c r="D3706" t="str">
        <f>PROPER(Transactions!D3706)</f>
        <v>Toys</v>
      </c>
      <c r="E3706" t="s">
        <v>170</v>
      </c>
      <c r="F3706" t="s">
        <v>171</v>
      </c>
      <c r="G3706">
        <v>1</v>
      </c>
      <c r="H3706">
        <v>11.99</v>
      </c>
      <c r="I3706" s="7">
        <f>IF(Transactions!I3706="",0,Transactions!I3706)</f>
        <v>0.2</v>
      </c>
      <c r="J3706" s="9">
        <f t="shared" si="57"/>
        <v>9.5920000000000005</v>
      </c>
      <c r="K3706" t="s">
        <v>16</v>
      </c>
      <c r="L3706" t="s">
        <v>17</v>
      </c>
      <c r="M3706" t="str">
        <f>REPLACE(Transactions!M3706,1,4,"")</f>
        <v>2</v>
      </c>
    </row>
    <row r="3707" spans="1:13" x14ac:dyDescent="0.2">
      <c r="A3707">
        <v>715717</v>
      </c>
      <c r="B3707" s="5">
        <v>45357</v>
      </c>
      <c r="C3707">
        <v>42926</v>
      </c>
      <c r="D3707" t="str">
        <f>PROPER(Transactions!D3707)</f>
        <v>Grocery</v>
      </c>
      <c r="E3707" t="s">
        <v>45</v>
      </c>
      <c r="F3707" t="s">
        <v>46</v>
      </c>
      <c r="G3707">
        <v>4</v>
      </c>
      <c r="H3707">
        <v>1.52</v>
      </c>
      <c r="I3707" s="7">
        <f>IF(Transactions!I3707="",0,Transactions!I3707)</f>
        <v>0.15</v>
      </c>
      <c r="J3707" s="9">
        <f t="shared" si="57"/>
        <v>5.1680000000000001</v>
      </c>
      <c r="K3707" t="s">
        <v>36</v>
      </c>
      <c r="L3707" t="s">
        <v>17</v>
      </c>
      <c r="M3707" t="str">
        <f>REPLACE(Transactions!M3707,1,4,"")</f>
        <v>13</v>
      </c>
    </row>
    <row r="3708" spans="1:13" x14ac:dyDescent="0.2">
      <c r="A3708">
        <v>715916</v>
      </c>
      <c r="B3708" s="5">
        <v>45199</v>
      </c>
      <c r="C3708">
        <v>55077</v>
      </c>
      <c r="D3708" t="str">
        <f>PROPER(Transactions!D3708)</f>
        <v>Grocery</v>
      </c>
      <c r="E3708" t="s">
        <v>107</v>
      </c>
      <c r="F3708" t="s">
        <v>108</v>
      </c>
      <c r="G3708">
        <v>2</v>
      </c>
      <c r="H3708">
        <v>2.97</v>
      </c>
      <c r="I3708" s="7">
        <f>IF(Transactions!I3708="",0,Transactions!I3708)</f>
        <v>0.15</v>
      </c>
      <c r="J3708" s="9">
        <f t="shared" si="57"/>
        <v>5.0490000000000004</v>
      </c>
      <c r="K3708" t="s">
        <v>53</v>
      </c>
      <c r="L3708" t="s">
        <v>17</v>
      </c>
      <c r="M3708" t="str">
        <f>REPLACE(Transactions!M3708,1,4,"")</f>
        <v>7</v>
      </c>
    </row>
    <row r="3709" spans="1:13" x14ac:dyDescent="0.2">
      <c r="A3709">
        <v>716185</v>
      </c>
      <c r="B3709" s="5">
        <v>45518</v>
      </c>
      <c r="C3709">
        <v>78205</v>
      </c>
      <c r="D3709" t="str">
        <f>PROPER(Transactions!D3709)</f>
        <v>Pharmacy</v>
      </c>
      <c r="E3709" t="s">
        <v>58</v>
      </c>
      <c r="F3709" t="s">
        <v>59</v>
      </c>
      <c r="G3709">
        <v>1</v>
      </c>
      <c r="H3709">
        <v>3.39</v>
      </c>
      <c r="I3709" s="7">
        <f>IF(Transactions!I3709="",0,Transactions!I3709)</f>
        <v>0.15</v>
      </c>
      <c r="J3709" s="9">
        <f t="shared" si="57"/>
        <v>2.8815</v>
      </c>
      <c r="K3709" t="s">
        <v>16</v>
      </c>
      <c r="L3709" t="s">
        <v>17</v>
      </c>
      <c r="M3709" t="str">
        <f>REPLACE(Transactions!M3709,1,4,"")</f>
        <v>1</v>
      </c>
    </row>
    <row r="3710" spans="1:13" x14ac:dyDescent="0.2">
      <c r="A3710">
        <v>716606</v>
      </c>
      <c r="B3710" s="5">
        <v>45534</v>
      </c>
      <c r="D3710" t="str">
        <f>PROPER(Transactions!D3710)</f>
        <v>Automotive</v>
      </c>
      <c r="E3710" t="s">
        <v>68</v>
      </c>
      <c r="F3710" t="s">
        <v>69</v>
      </c>
      <c r="G3710">
        <v>1</v>
      </c>
      <c r="H3710">
        <v>19.989999999999998</v>
      </c>
      <c r="I3710" s="7">
        <f>IF(Transactions!I3710="",0,Transactions!I3710)</f>
        <v>0.2</v>
      </c>
      <c r="J3710" s="9">
        <f t="shared" si="57"/>
        <v>15.991999999999999</v>
      </c>
      <c r="K3710" t="s">
        <v>16</v>
      </c>
      <c r="L3710" t="s">
        <v>17</v>
      </c>
      <c r="M3710" t="str">
        <f>REPLACE(Transactions!M3710,1,4,"")</f>
        <v>9</v>
      </c>
    </row>
    <row r="3711" spans="1:13" x14ac:dyDescent="0.2">
      <c r="A3711">
        <v>716984</v>
      </c>
      <c r="B3711" s="5">
        <v>44911</v>
      </c>
      <c r="C3711">
        <v>27416</v>
      </c>
      <c r="D3711" t="str">
        <f>PROPER(Transactions!D3711)</f>
        <v>Furniture</v>
      </c>
      <c r="E3711" t="s">
        <v>113</v>
      </c>
      <c r="F3711" t="s">
        <v>114</v>
      </c>
      <c r="G3711">
        <v>1</v>
      </c>
      <c r="H3711">
        <v>83.99</v>
      </c>
      <c r="I3711" s="7">
        <f>IF(Transactions!I3711="",0,Transactions!I3711)</f>
        <v>0.3</v>
      </c>
      <c r="J3711" s="9">
        <f t="shared" si="57"/>
        <v>58.792999999999992</v>
      </c>
      <c r="K3711" t="s">
        <v>36</v>
      </c>
      <c r="L3711" t="s">
        <v>17</v>
      </c>
      <c r="M3711" t="str">
        <f>REPLACE(Transactions!M3711,1,4,"")</f>
        <v>3</v>
      </c>
    </row>
    <row r="3712" spans="1:13" x14ac:dyDescent="0.2">
      <c r="A3712">
        <v>717108</v>
      </c>
      <c r="B3712" s="5">
        <v>45437</v>
      </c>
      <c r="C3712">
        <v>34937</v>
      </c>
      <c r="D3712" t="str">
        <f>PROPER(Transactions!D3712)</f>
        <v>Automotive</v>
      </c>
      <c r="E3712" t="s">
        <v>64</v>
      </c>
      <c r="F3712" t="s">
        <v>65</v>
      </c>
      <c r="G3712">
        <v>2</v>
      </c>
      <c r="H3712">
        <v>4.99</v>
      </c>
      <c r="I3712" s="7">
        <f>IF(Transactions!I3712="",0,Transactions!I3712)</f>
        <v>0</v>
      </c>
      <c r="J3712" s="9">
        <f t="shared" si="57"/>
        <v>9.98</v>
      </c>
      <c r="K3712" t="s">
        <v>36</v>
      </c>
      <c r="L3712" t="s">
        <v>17</v>
      </c>
      <c r="M3712" t="str">
        <f>REPLACE(Transactions!M3712,1,4,"")</f>
        <v>19</v>
      </c>
    </row>
    <row r="3713" spans="1:13" x14ac:dyDescent="0.2">
      <c r="A3713">
        <v>717356</v>
      </c>
      <c r="B3713" s="5">
        <v>44662</v>
      </c>
      <c r="C3713">
        <v>18233</v>
      </c>
      <c r="D3713" t="str">
        <f>PROPER(Transactions!D3713)</f>
        <v>Electronics</v>
      </c>
      <c r="E3713" t="s">
        <v>79</v>
      </c>
      <c r="F3713" t="s">
        <v>80</v>
      </c>
      <c r="G3713">
        <v>4</v>
      </c>
      <c r="H3713">
        <v>89.99</v>
      </c>
      <c r="I3713" s="7">
        <f>IF(Transactions!I3713="",0,Transactions!I3713)</f>
        <v>0</v>
      </c>
      <c r="J3713" s="9">
        <f t="shared" si="57"/>
        <v>359.96</v>
      </c>
      <c r="K3713" t="s">
        <v>22</v>
      </c>
      <c r="L3713" t="s">
        <v>37</v>
      </c>
      <c r="M3713" t="str">
        <f>REPLACE(Transactions!M3713,1,4,"")</f>
        <v>19</v>
      </c>
    </row>
    <row r="3714" spans="1:13" x14ac:dyDescent="0.2">
      <c r="A3714">
        <v>717965</v>
      </c>
      <c r="B3714" s="5">
        <v>45115</v>
      </c>
      <c r="C3714">
        <v>19530</v>
      </c>
      <c r="D3714" t="str">
        <f>PROPER(Transactions!D3714)</f>
        <v>Sports</v>
      </c>
      <c r="E3714" t="s">
        <v>188</v>
      </c>
      <c r="F3714" t="s">
        <v>189</v>
      </c>
      <c r="G3714">
        <v>2</v>
      </c>
      <c r="H3714">
        <v>35.99</v>
      </c>
      <c r="I3714" s="7">
        <f>IF(Transactions!I3714="",0,Transactions!I3714)</f>
        <v>0.2</v>
      </c>
      <c r="J3714" s="9">
        <f t="shared" si="57"/>
        <v>57.584000000000003</v>
      </c>
      <c r="K3714" t="s">
        <v>22</v>
      </c>
      <c r="L3714" t="s">
        <v>17</v>
      </c>
      <c r="M3714" t="str">
        <f>REPLACE(Transactions!M3714,1,4,"")</f>
        <v>5</v>
      </c>
    </row>
    <row r="3715" spans="1:13" x14ac:dyDescent="0.2">
      <c r="A3715">
        <v>718115</v>
      </c>
      <c r="B3715" s="5">
        <v>45462</v>
      </c>
      <c r="C3715">
        <v>24806</v>
      </c>
      <c r="D3715" t="str">
        <f>PROPER(Transactions!D3715)</f>
        <v>Grocery</v>
      </c>
      <c r="E3715" t="s">
        <v>133</v>
      </c>
      <c r="F3715" t="s">
        <v>134</v>
      </c>
      <c r="G3715">
        <v>1</v>
      </c>
      <c r="H3715">
        <v>3.03</v>
      </c>
      <c r="I3715" s="7">
        <f>IF(Transactions!I3715="",0,Transactions!I3715)</f>
        <v>0.2</v>
      </c>
      <c r="J3715" s="9">
        <f t="shared" ref="J3715:J3778" si="58">(H3715*G3715)*(1-I3715)</f>
        <v>2.4239999999999999</v>
      </c>
      <c r="K3715" t="s">
        <v>22</v>
      </c>
      <c r="L3715" t="s">
        <v>17</v>
      </c>
      <c r="M3715" t="str">
        <f>REPLACE(Transactions!M3715,1,4,"")</f>
        <v>8</v>
      </c>
    </row>
    <row r="3716" spans="1:13" x14ac:dyDescent="0.2">
      <c r="A3716">
        <v>718123</v>
      </c>
      <c r="B3716" s="5">
        <v>44927</v>
      </c>
      <c r="C3716">
        <v>38911</v>
      </c>
      <c r="D3716" t="str">
        <f>PROPER(Transactions!D3716)</f>
        <v>Sports</v>
      </c>
      <c r="E3716" t="s">
        <v>147</v>
      </c>
      <c r="F3716" t="s">
        <v>148</v>
      </c>
      <c r="G3716">
        <v>5</v>
      </c>
      <c r="H3716">
        <v>10.39</v>
      </c>
      <c r="I3716" s="7">
        <f>IF(Transactions!I3716="",0,Transactions!I3716)</f>
        <v>0.2</v>
      </c>
      <c r="J3716" s="9">
        <f t="shared" si="58"/>
        <v>41.56</v>
      </c>
      <c r="K3716" t="s">
        <v>95</v>
      </c>
      <c r="L3716" t="s">
        <v>17</v>
      </c>
      <c r="M3716" t="str">
        <f>REPLACE(Transactions!M3716,1,4,"")</f>
        <v>17</v>
      </c>
    </row>
    <row r="3717" spans="1:13" x14ac:dyDescent="0.2">
      <c r="A3717">
        <v>718200</v>
      </c>
      <c r="B3717" s="5">
        <v>44812</v>
      </c>
      <c r="C3717">
        <v>56392</v>
      </c>
      <c r="D3717" t="str">
        <f>PROPER(Transactions!D3717)</f>
        <v>Beauty</v>
      </c>
      <c r="E3717" t="s">
        <v>49</v>
      </c>
      <c r="F3717" t="s">
        <v>50</v>
      </c>
      <c r="G3717">
        <v>3</v>
      </c>
      <c r="H3717">
        <v>8.5399999999999991</v>
      </c>
      <c r="I3717" s="7">
        <f>IF(Transactions!I3717="",0,Transactions!I3717)</f>
        <v>0.05</v>
      </c>
      <c r="J3717" s="9">
        <f t="shared" si="58"/>
        <v>24.338999999999995</v>
      </c>
      <c r="K3717" t="s">
        <v>36</v>
      </c>
      <c r="L3717" t="s">
        <v>23</v>
      </c>
      <c r="M3717" t="str">
        <f>REPLACE(Transactions!M3717,1,4,"")</f>
        <v>8</v>
      </c>
    </row>
    <row r="3718" spans="1:13" x14ac:dyDescent="0.2">
      <c r="A3718">
        <v>718218</v>
      </c>
      <c r="B3718" s="5">
        <v>44693</v>
      </c>
      <c r="C3718">
        <v>81610</v>
      </c>
      <c r="D3718" t="str">
        <f>PROPER(Transactions!D3718)</f>
        <v>Sports</v>
      </c>
      <c r="E3718" t="s">
        <v>188</v>
      </c>
      <c r="F3718" t="s">
        <v>189</v>
      </c>
      <c r="G3718">
        <v>3</v>
      </c>
      <c r="H3718">
        <v>33.74</v>
      </c>
      <c r="I3718" s="7">
        <f>IF(Transactions!I3718="",0,Transactions!I3718)</f>
        <v>0.25</v>
      </c>
      <c r="J3718" s="9">
        <f t="shared" si="58"/>
        <v>75.914999999999992</v>
      </c>
      <c r="K3718" t="s">
        <v>36</v>
      </c>
      <c r="L3718" t="s">
        <v>17</v>
      </c>
      <c r="M3718" t="str">
        <f>REPLACE(Transactions!M3718,1,4,"")</f>
        <v>15</v>
      </c>
    </row>
    <row r="3719" spans="1:13" x14ac:dyDescent="0.2">
      <c r="A3719">
        <v>718654</v>
      </c>
      <c r="B3719" s="5">
        <v>45394</v>
      </c>
      <c r="C3719">
        <v>68225</v>
      </c>
      <c r="D3719" t="str">
        <f>PROPER(Transactions!D3719)</f>
        <v>Home &amp; Garden</v>
      </c>
      <c r="E3719" t="s">
        <v>86</v>
      </c>
      <c r="F3719" t="s">
        <v>87</v>
      </c>
      <c r="G3719">
        <v>5</v>
      </c>
      <c r="H3719">
        <v>9.74</v>
      </c>
      <c r="I3719" s="7">
        <f>IF(Transactions!I3719="",0,Transactions!I3719)</f>
        <v>0.25</v>
      </c>
      <c r="J3719" s="9">
        <f t="shared" si="58"/>
        <v>36.525000000000006</v>
      </c>
      <c r="K3719" t="s">
        <v>95</v>
      </c>
      <c r="L3719" t="s">
        <v>17</v>
      </c>
      <c r="M3719" t="str">
        <f>REPLACE(Transactions!M3719,1,4,"")</f>
        <v>1</v>
      </c>
    </row>
    <row r="3720" spans="1:13" x14ac:dyDescent="0.2">
      <c r="A3720">
        <v>718831</v>
      </c>
      <c r="B3720" s="5">
        <v>44625</v>
      </c>
      <c r="C3720">
        <v>60012</v>
      </c>
      <c r="D3720" t="str">
        <f>PROPER(Transactions!D3720)</f>
        <v>Sports</v>
      </c>
      <c r="E3720" t="s">
        <v>100</v>
      </c>
      <c r="F3720" t="s">
        <v>101</v>
      </c>
      <c r="G3720">
        <v>2</v>
      </c>
      <c r="H3720">
        <v>21.84</v>
      </c>
      <c r="I3720" s="7">
        <f>IF(Transactions!I3720="",0,Transactions!I3720)</f>
        <v>0.05</v>
      </c>
      <c r="J3720" s="9">
        <f t="shared" si="58"/>
        <v>41.495999999999995</v>
      </c>
      <c r="K3720" t="s">
        <v>36</v>
      </c>
      <c r="L3720" t="s">
        <v>17</v>
      </c>
      <c r="M3720" t="str">
        <f>REPLACE(Transactions!M3720,1,4,"")</f>
        <v>14</v>
      </c>
    </row>
    <row r="3721" spans="1:13" x14ac:dyDescent="0.2">
      <c r="A3721">
        <v>718924</v>
      </c>
      <c r="B3721" s="5">
        <v>44829</v>
      </c>
      <c r="D3721" t="str">
        <f>PROPER(Transactions!D3721)</f>
        <v>Grocery</v>
      </c>
      <c r="E3721" t="s">
        <v>74</v>
      </c>
      <c r="F3721" t="s">
        <v>75</v>
      </c>
      <c r="G3721">
        <v>1</v>
      </c>
      <c r="H3721">
        <v>2.39</v>
      </c>
      <c r="I3721" s="7">
        <f>IF(Transactions!I3721="",0,Transactions!I3721)</f>
        <v>0.2</v>
      </c>
      <c r="J3721" s="9">
        <f t="shared" si="58"/>
        <v>1.9120000000000001</v>
      </c>
      <c r="K3721" t="s">
        <v>36</v>
      </c>
      <c r="L3721" t="s">
        <v>17</v>
      </c>
      <c r="M3721" t="str">
        <f>REPLACE(Transactions!M3721,1,4,"")</f>
        <v>7</v>
      </c>
    </row>
    <row r="3722" spans="1:13" x14ac:dyDescent="0.2">
      <c r="A3722">
        <v>719098</v>
      </c>
      <c r="B3722" s="5">
        <v>44576</v>
      </c>
      <c r="C3722">
        <v>13793</v>
      </c>
      <c r="D3722" t="str">
        <f>PROPER(Transactions!D3722)</f>
        <v>Home &amp; Garden</v>
      </c>
      <c r="E3722" t="s">
        <v>137</v>
      </c>
      <c r="F3722" t="s">
        <v>138</v>
      </c>
      <c r="G3722">
        <v>1</v>
      </c>
      <c r="H3722">
        <v>7.99</v>
      </c>
      <c r="I3722" s="7">
        <f>IF(Transactions!I3722="",0,Transactions!I3722)</f>
        <v>0</v>
      </c>
      <c r="J3722" s="9">
        <f t="shared" si="58"/>
        <v>7.99</v>
      </c>
      <c r="K3722" t="s">
        <v>36</v>
      </c>
      <c r="L3722" t="s">
        <v>17</v>
      </c>
      <c r="M3722" t="str">
        <f>REPLACE(Transactions!M3722,1,4,"")</f>
        <v>9</v>
      </c>
    </row>
    <row r="3723" spans="1:13" x14ac:dyDescent="0.2">
      <c r="A3723">
        <v>719244</v>
      </c>
      <c r="B3723" s="5">
        <v>44855</v>
      </c>
      <c r="C3723">
        <v>32114</v>
      </c>
      <c r="D3723" t="str">
        <f>PROPER(Transactions!D3723)</f>
        <v>Automotive</v>
      </c>
      <c r="E3723" t="s">
        <v>68</v>
      </c>
      <c r="F3723" t="s">
        <v>69</v>
      </c>
      <c r="G3723">
        <v>2</v>
      </c>
      <c r="H3723">
        <v>19.989999999999998</v>
      </c>
      <c r="I3723" s="7">
        <f>IF(Transactions!I3723="",0,Transactions!I3723)</f>
        <v>0.2</v>
      </c>
      <c r="J3723" s="9">
        <f t="shared" si="58"/>
        <v>31.983999999999998</v>
      </c>
      <c r="K3723" t="s">
        <v>53</v>
      </c>
      <c r="L3723" t="s">
        <v>37</v>
      </c>
      <c r="M3723" t="str">
        <f>REPLACE(Transactions!M3723,1,4,"")</f>
        <v>20</v>
      </c>
    </row>
    <row r="3724" spans="1:13" x14ac:dyDescent="0.2">
      <c r="A3724">
        <v>719643</v>
      </c>
      <c r="B3724" s="5">
        <v>44824</v>
      </c>
      <c r="C3724">
        <v>80829</v>
      </c>
      <c r="D3724" t="str">
        <f>PROPER(Transactions!D3724)</f>
        <v>Furniture</v>
      </c>
      <c r="E3724" t="s">
        <v>70</v>
      </c>
      <c r="F3724" t="s">
        <v>71</v>
      </c>
      <c r="G3724">
        <v>1</v>
      </c>
      <c r="H3724">
        <v>89.99</v>
      </c>
      <c r="I3724" s="7">
        <f>IF(Transactions!I3724="",0,Transactions!I3724)</f>
        <v>0</v>
      </c>
      <c r="J3724" s="9">
        <f t="shared" si="58"/>
        <v>89.99</v>
      </c>
      <c r="K3724" t="s">
        <v>22</v>
      </c>
      <c r="L3724" t="s">
        <v>17</v>
      </c>
      <c r="M3724" t="str">
        <f>REPLACE(Transactions!M3724,1,4,"")</f>
        <v>3</v>
      </c>
    </row>
    <row r="3725" spans="1:13" x14ac:dyDescent="0.2">
      <c r="A3725">
        <v>720108</v>
      </c>
      <c r="B3725" s="5">
        <v>44883</v>
      </c>
      <c r="C3725">
        <v>21369</v>
      </c>
      <c r="D3725" t="str">
        <f>PROPER(Transactions!D3725)</f>
        <v>Grocery</v>
      </c>
      <c r="E3725" t="s">
        <v>133</v>
      </c>
      <c r="F3725" t="s">
        <v>134</v>
      </c>
      <c r="G3725">
        <v>4</v>
      </c>
      <c r="H3725">
        <v>3.41</v>
      </c>
      <c r="I3725" s="7">
        <f>IF(Transactions!I3725="",0,Transactions!I3725)</f>
        <v>0.1</v>
      </c>
      <c r="J3725" s="9">
        <f t="shared" si="58"/>
        <v>12.276000000000002</v>
      </c>
      <c r="K3725" t="s">
        <v>16</v>
      </c>
      <c r="L3725" t="s">
        <v>17</v>
      </c>
      <c r="M3725" t="str">
        <f>REPLACE(Transactions!M3725,1,4,"")</f>
        <v>1</v>
      </c>
    </row>
    <row r="3726" spans="1:13" x14ac:dyDescent="0.2">
      <c r="A3726">
        <v>720390</v>
      </c>
      <c r="B3726" s="5">
        <v>44938</v>
      </c>
      <c r="C3726">
        <v>37746</v>
      </c>
      <c r="D3726" t="str">
        <f>PROPER(Transactions!D3726)</f>
        <v>Automotive</v>
      </c>
      <c r="E3726" t="s">
        <v>111</v>
      </c>
      <c r="F3726" t="s">
        <v>112</v>
      </c>
      <c r="G3726">
        <v>2</v>
      </c>
      <c r="H3726">
        <v>12.74</v>
      </c>
      <c r="I3726" s="7">
        <f>IF(Transactions!I3726="",0,Transactions!I3726)</f>
        <v>0.15</v>
      </c>
      <c r="J3726" s="9">
        <f t="shared" si="58"/>
        <v>21.658000000000001</v>
      </c>
      <c r="K3726" t="s">
        <v>16</v>
      </c>
      <c r="L3726" t="s">
        <v>37</v>
      </c>
      <c r="M3726" t="str">
        <f>REPLACE(Transactions!M3726,1,4,"")</f>
        <v>10</v>
      </c>
    </row>
    <row r="3727" spans="1:13" x14ac:dyDescent="0.2">
      <c r="A3727">
        <v>720475</v>
      </c>
      <c r="B3727" s="5">
        <v>44957</v>
      </c>
      <c r="D3727" t="str">
        <f>PROPER(Transactions!D3727)</f>
        <v>Grocery</v>
      </c>
      <c r="E3727" t="s">
        <v>184</v>
      </c>
      <c r="F3727" t="s">
        <v>185</v>
      </c>
      <c r="G3727">
        <v>2</v>
      </c>
      <c r="H3727">
        <v>4.3899999999999997</v>
      </c>
      <c r="I3727" s="7">
        <f>IF(Transactions!I3727="",0,Transactions!I3727)</f>
        <v>0.2</v>
      </c>
      <c r="J3727" s="9">
        <f t="shared" si="58"/>
        <v>7.024</v>
      </c>
      <c r="K3727" t="s">
        <v>16</v>
      </c>
      <c r="L3727" t="s">
        <v>37</v>
      </c>
      <c r="M3727" t="str">
        <f>REPLACE(Transactions!M3727,1,4,"")</f>
        <v>14</v>
      </c>
    </row>
    <row r="3728" spans="1:13" x14ac:dyDescent="0.2">
      <c r="A3728">
        <v>720823</v>
      </c>
      <c r="B3728" s="5">
        <v>45020</v>
      </c>
      <c r="C3728">
        <v>78897</v>
      </c>
      <c r="D3728" t="str">
        <f>PROPER(Transactions!D3728)</f>
        <v>Home &amp; Garden</v>
      </c>
      <c r="E3728" t="s">
        <v>145</v>
      </c>
      <c r="F3728" t="s">
        <v>146</v>
      </c>
      <c r="G3728">
        <v>1</v>
      </c>
      <c r="H3728">
        <v>16.989999999999998</v>
      </c>
      <c r="I3728" s="7">
        <f>IF(Transactions!I3728="",0,Transactions!I3728)</f>
        <v>0</v>
      </c>
      <c r="J3728" s="9">
        <f t="shared" si="58"/>
        <v>16.989999999999998</v>
      </c>
      <c r="K3728" t="s">
        <v>16</v>
      </c>
      <c r="L3728" t="s">
        <v>17</v>
      </c>
      <c r="M3728" t="str">
        <f>REPLACE(Transactions!M3728,1,4,"")</f>
        <v>7</v>
      </c>
    </row>
    <row r="3729" spans="1:13" x14ac:dyDescent="0.2">
      <c r="A3729">
        <v>721195</v>
      </c>
      <c r="B3729" s="5">
        <v>44713</v>
      </c>
      <c r="C3729">
        <v>32420</v>
      </c>
      <c r="D3729" t="str">
        <f>PROPER(Transactions!D3729)</f>
        <v>Sports</v>
      </c>
      <c r="E3729" t="s">
        <v>147</v>
      </c>
      <c r="F3729" t="s">
        <v>148</v>
      </c>
      <c r="G3729">
        <v>3</v>
      </c>
      <c r="H3729">
        <v>10.39</v>
      </c>
      <c r="I3729" s="7">
        <f>IF(Transactions!I3729="",0,Transactions!I3729)</f>
        <v>0.2</v>
      </c>
      <c r="J3729" s="9">
        <f t="shared" si="58"/>
        <v>24.936000000000003</v>
      </c>
      <c r="K3729" t="s">
        <v>36</v>
      </c>
      <c r="L3729" t="s">
        <v>37</v>
      </c>
      <c r="M3729" t="str">
        <f>REPLACE(Transactions!M3729,1,4,"")</f>
        <v>10</v>
      </c>
    </row>
    <row r="3730" spans="1:13" x14ac:dyDescent="0.2">
      <c r="A3730">
        <v>721361</v>
      </c>
      <c r="B3730" s="5">
        <v>45156</v>
      </c>
      <c r="C3730">
        <v>52548</v>
      </c>
      <c r="D3730" t="str">
        <f>PROPER(Transactions!D3730)</f>
        <v>Grocery</v>
      </c>
      <c r="E3730" t="s">
        <v>91</v>
      </c>
      <c r="F3730" t="s">
        <v>92</v>
      </c>
      <c r="G3730">
        <v>2</v>
      </c>
      <c r="H3730">
        <v>5.03</v>
      </c>
      <c r="I3730" s="7">
        <f>IF(Transactions!I3730="",0,Transactions!I3730)</f>
        <v>0.2</v>
      </c>
      <c r="J3730" s="9">
        <f t="shared" si="58"/>
        <v>8.048</v>
      </c>
      <c r="K3730" t="s">
        <v>22</v>
      </c>
      <c r="L3730" t="s">
        <v>17</v>
      </c>
      <c r="M3730" t="str">
        <f>REPLACE(Transactions!M3730,1,4,"")</f>
        <v>19</v>
      </c>
    </row>
    <row r="3731" spans="1:13" x14ac:dyDescent="0.2">
      <c r="A3731">
        <v>721414</v>
      </c>
      <c r="B3731" s="5">
        <v>45522</v>
      </c>
      <c r="C3731">
        <v>26624</v>
      </c>
      <c r="D3731" t="str">
        <f>PROPER(Transactions!D3731)</f>
        <v>Automotive</v>
      </c>
      <c r="E3731" t="s">
        <v>125</v>
      </c>
      <c r="F3731" t="s">
        <v>126</v>
      </c>
      <c r="G3731">
        <v>1</v>
      </c>
      <c r="H3731">
        <v>25.49</v>
      </c>
      <c r="I3731" s="7">
        <f>IF(Transactions!I3731="",0,Transactions!I3731)</f>
        <v>0.15</v>
      </c>
      <c r="J3731" s="9">
        <f t="shared" si="58"/>
        <v>21.666499999999999</v>
      </c>
      <c r="K3731" t="s">
        <v>95</v>
      </c>
      <c r="L3731" t="s">
        <v>17</v>
      </c>
      <c r="M3731" t="str">
        <f>REPLACE(Transactions!M3731,1,4,"")</f>
        <v>10</v>
      </c>
    </row>
    <row r="3732" spans="1:13" x14ac:dyDescent="0.2">
      <c r="A3732">
        <v>721540</v>
      </c>
      <c r="B3732" s="5">
        <v>45312</v>
      </c>
      <c r="C3732">
        <v>17969</v>
      </c>
      <c r="D3732" t="str">
        <f>PROPER(Transactions!D3732)</f>
        <v>Automotive</v>
      </c>
      <c r="E3732" t="s">
        <v>68</v>
      </c>
      <c r="F3732" t="s">
        <v>69</v>
      </c>
      <c r="G3732">
        <v>1</v>
      </c>
      <c r="H3732">
        <v>18.739999999999998</v>
      </c>
      <c r="I3732" s="7">
        <f>IF(Transactions!I3732="",0,Transactions!I3732)</f>
        <v>0.25</v>
      </c>
      <c r="J3732" s="9">
        <f t="shared" si="58"/>
        <v>14.055</v>
      </c>
      <c r="K3732" t="s">
        <v>95</v>
      </c>
      <c r="L3732" t="s">
        <v>37</v>
      </c>
      <c r="M3732" t="str">
        <f>REPLACE(Transactions!M3732,1,4,"")</f>
        <v>6</v>
      </c>
    </row>
    <row r="3733" spans="1:13" x14ac:dyDescent="0.2">
      <c r="A3733">
        <v>721810</v>
      </c>
      <c r="B3733" s="5">
        <v>44860</v>
      </c>
      <c r="C3733">
        <v>86616</v>
      </c>
      <c r="D3733" t="str">
        <f>PROPER(Transactions!D3733)</f>
        <v>Clothing</v>
      </c>
      <c r="E3733" t="s">
        <v>151</v>
      </c>
      <c r="F3733" t="s">
        <v>152</v>
      </c>
      <c r="G3733">
        <v>4</v>
      </c>
      <c r="H3733">
        <v>26.24</v>
      </c>
      <c r="I3733" s="7">
        <f>IF(Transactions!I3733="",0,Transactions!I3733)</f>
        <v>0.25</v>
      </c>
      <c r="J3733" s="9">
        <f t="shared" si="58"/>
        <v>78.72</v>
      </c>
      <c r="K3733" t="s">
        <v>16</v>
      </c>
      <c r="L3733" t="s">
        <v>17</v>
      </c>
      <c r="M3733" t="str">
        <f>REPLACE(Transactions!M3733,1,4,"")</f>
        <v>7</v>
      </c>
    </row>
    <row r="3734" spans="1:13" x14ac:dyDescent="0.2">
      <c r="A3734">
        <v>722015</v>
      </c>
      <c r="B3734" s="5">
        <v>44639</v>
      </c>
      <c r="C3734">
        <v>31846</v>
      </c>
      <c r="D3734" t="str">
        <f>PROPER(Transactions!D3734)</f>
        <v>Pharmacy</v>
      </c>
      <c r="E3734" t="s">
        <v>20</v>
      </c>
      <c r="F3734" t="s">
        <v>21</v>
      </c>
      <c r="G3734">
        <v>1</v>
      </c>
      <c r="H3734">
        <v>9.49</v>
      </c>
      <c r="I3734" s="7">
        <f>IF(Transactions!I3734="",0,Transactions!I3734)</f>
        <v>0</v>
      </c>
      <c r="J3734" s="9">
        <f t="shared" si="58"/>
        <v>9.49</v>
      </c>
      <c r="K3734" t="s">
        <v>16</v>
      </c>
      <c r="L3734" t="s">
        <v>17</v>
      </c>
      <c r="M3734" t="str">
        <f>REPLACE(Transactions!M3734,1,4,"")</f>
        <v>5</v>
      </c>
    </row>
    <row r="3735" spans="1:13" x14ac:dyDescent="0.2">
      <c r="A3735">
        <v>722126</v>
      </c>
      <c r="B3735" s="5">
        <v>44831</v>
      </c>
      <c r="C3735">
        <v>13842</v>
      </c>
      <c r="D3735" t="str">
        <f>PROPER(Transactions!D3735)</f>
        <v>Home &amp; Garden</v>
      </c>
      <c r="E3735" t="s">
        <v>145</v>
      </c>
      <c r="F3735" t="s">
        <v>146</v>
      </c>
      <c r="G3735">
        <v>3</v>
      </c>
      <c r="H3735">
        <v>14.44</v>
      </c>
      <c r="I3735" s="7">
        <f>IF(Transactions!I3735="",0,Transactions!I3735)</f>
        <v>0.15</v>
      </c>
      <c r="J3735" s="9">
        <f t="shared" si="58"/>
        <v>36.822000000000003</v>
      </c>
      <c r="K3735" t="s">
        <v>36</v>
      </c>
      <c r="L3735" t="s">
        <v>17</v>
      </c>
      <c r="M3735" t="str">
        <f>REPLACE(Transactions!M3735,1,4,"")</f>
        <v>15</v>
      </c>
    </row>
    <row r="3736" spans="1:13" x14ac:dyDescent="0.2">
      <c r="A3736">
        <v>722279</v>
      </c>
      <c r="B3736" s="5">
        <v>45607</v>
      </c>
      <c r="C3736">
        <v>64783</v>
      </c>
      <c r="D3736" t="str">
        <f>PROPER(Transactions!D3736)</f>
        <v>Clothing</v>
      </c>
      <c r="E3736" t="s">
        <v>141</v>
      </c>
      <c r="F3736" t="s">
        <v>142</v>
      </c>
      <c r="G3736">
        <v>2</v>
      </c>
      <c r="H3736">
        <v>18.39</v>
      </c>
      <c r="I3736" s="7">
        <f>IF(Transactions!I3736="",0,Transactions!I3736)</f>
        <v>0.2</v>
      </c>
      <c r="J3736" s="9">
        <f t="shared" si="58"/>
        <v>29.424000000000003</v>
      </c>
      <c r="K3736" t="s">
        <v>16</v>
      </c>
      <c r="L3736" t="s">
        <v>17</v>
      </c>
      <c r="M3736" t="str">
        <f>REPLACE(Transactions!M3736,1,4,"")</f>
        <v>4</v>
      </c>
    </row>
    <row r="3737" spans="1:13" x14ac:dyDescent="0.2">
      <c r="A3737">
        <v>722341</v>
      </c>
      <c r="B3737" s="5">
        <v>44866</v>
      </c>
      <c r="C3737">
        <v>94373</v>
      </c>
      <c r="D3737" t="str">
        <f>PROPER(Transactions!D3737)</f>
        <v>Pharmacy</v>
      </c>
      <c r="E3737" t="s">
        <v>197</v>
      </c>
      <c r="F3737" t="s">
        <v>198</v>
      </c>
      <c r="G3737">
        <v>2</v>
      </c>
      <c r="H3737">
        <v>12.74</v>
      </c>
      <c r="I3737" s="7">
        <f>IF(Transactions!I3737="",0,Transactions!I3737)</f>
        <v>0.15</v>
      </c>
      <c r="J3737" s="9">
        <f t="shared" si="58"/>
        <v>21.658000000000001</v>
      </c>
      <c r="K3737" t="s">
        <v>16</v>
      </c>
      <c r="L3737" t="s">
        <v>17</v>
      </c>
      <c r="M3737" t="str">
        <f>REPLACE(Transactions!M3737,1,4,"")</f>
        <v>5</v>
      </c>
    </row>
    <row r="3738" spans="1:13" x14ac:dyDescent="0.2">
      <c r="A3738">
        <v>722463</v>
      </c>
      <c r="B3738" s="5">
        <v>45276</v>
      </c>
      <c r="D3738" t="str">
        <f>PROPER(Transactions!D3738)</f>
        <v>Beauty</v>
      </c>
      <c r="E3738" t="s">
        <v>179</v>
      </c>
      <c r="F3738" t="s">
        <v>180</v>
      </c>
      <c r="G3738">
        <v>2</v>
      </c>
      <c r="H3738">
        <v>11.99</v>
      </c>
      <c r="I3738" s="7">
        <f>IF(Transactions!I3738="",0,Transactions!I3738)</f>
        <v>0</v>
      </c>
      <c r="J3738" s="9">
        <f t="shared" si="58"/>
        <v>23.98</v>
      </c>
      <c r="K3738" t="s">
        <v>95</v>
      </c>
      <c r="L3738" t="s">
        <v>37</v>
      </c>
      <c r="M3738" t="str">
        <f>REPLACE(Transactions!M3738,1,4,"")</f>
        <v>1</v>
      </c>
    </row>
    <row r="3739" spans="1:13" x14ac:dyDescent="0.2">
      <c r="A3739">
        <v>722548</v>
      </c>
      <c r="B3739" s="5">
        <v>45057</v>
      </c>
      <c r="C3739">
        <v>87265</v>
      </c>
      <c r="D3739" t="str">
        <f>PROPER(Transactions!D3739)</f>
        <v>Grocery</v>
      </c>
      <c r="E3739" t="s">
        <v>133</v>
      </c>
      <c r="F3739" t="s">
        <v>134</v>
      </c>
      <c r="G3739">
        <v>1</v>
      </c>
      <c r="H3739">
        <v>2.65</v>
      </c>
      <c r="I3739" s="7">
        <f>IF(Transactions!I3739="",0,Transactions!I3739)</f>
        <v>0.3</v>
      </c>
      <c r="J3739" s="9">
        <f t="shared" si="58"/>
        <v>1.8549999999999998</v>
      </c>
      <c r="K3739" t="s">
        <v>36</v>
      </c>
      <c r="L3739" t="s">
        <v>17</v>
      </c>
      <c r="M3739" t="str">
        <f>REPLACE(Transactions!M3739,1,4,"")</f>
        <v>6</v>
      </c>
    </row>
    <row r="3740" spans="1:13" x14ac:dyDescent="0.2">
      <c r="A3740">
        <v>723357</v>
      </c>
      <c r="B3740" s="5">
        <v>45313</v>
      </c>
      <c r="D3740" t="str">
        <f>PROPER(Transactions!D3740)</f>
        <v>Electronics</v>
      </c>
      <c r="E3740" t="s">
        <v>34</v>
      </c>
      <c r="F3740" t="s">
        <v>35</v>
      </c>
      <c r="G3740">
        <v>2</v>
      </c>
      <c r="H3740">
        <v>31.49</v>
      </c>
      <c r="I3740" s="7">
        <f>IF(Transactions!I3740="",0,Transactions!I3740)</f>
        <v>0.1</v>
      </c>
      <c r="J3740" s="9">
        <f t="shared" si="58"/>
        <v>56.681999999999995</v>
      </c>
      <c r="K3740" t="s">
        <v>16</v>
      </c>
      <c r="L3740" t="s">
        <v>23</v>
      </c>
      <c r="M3740" t="str">
        <f>REPLACE(Transactions!M3740,1,4,"")</f>
        <v>6</v>
      </c>
    </row>
    <row r="3741" spans="1:13" x14ac:dyDescent="0.2">
      <c r="A3741">
        <v>723365</v>
      </c>
      <c r="B3741" s="5">
        <v>44571</v>
      </c>
      <c r="C3741">
        <v>63024</v>
      </c>
      <c r="D3741" t="str">
        <f>PROPER(Transactions!D3741)</f>
        <v>Electronics</v>
      </c>
      <c r="E3741" t="s">
        <v>34</v>
      </c>
      <c r="F3741" t="s">
        <v>35</v>
      </c>
      <c r="G3741">
        <v>2</v>
      </c>
      <c r="H3741">
        <v>34.99</v>
      </c>
      <c r="I3741" s="7">
        <f>IF(Transactions!I3741="",0,Transactions!I3741)</f>
        <v>0</v>
      </c>
      <c r="J3741" s="9">
        <f t="shared" si="58"/>
        <v>69.98</v>
      </c>
      <c r="K3741" t="s">
        <v>16</v>
      </c>
      <c r="L3741" t="s">
        <v>17</v>
      </c>
      <c r="M3741" t="str">
        <f>REPLACE(Transactions!M3741,1,4,"")</f>
        <v/>
      </c>
    </row>
    <row r="3742" spans="1:13" x14ac:dyDescent="0.2">
      <c r="A3742">
        <v>723449</v>
      </c>
      <c r="B3742" s="5">
        <v>45160</v>
      </c>
      <c r="C3742">
        <v>92764</v>
      </c>
      <c r="D3742" t="str">
        <f>PROPER(Transactions!D3742)</f>
        <v>Pharmacy</v>
      </c>
      <c r="E3742" t="s">
        <v>197</v>
      </c>
      <c r="F3742" t="s">
        <v>198</v>
      </c>
      <c r="G3742">
        <v>4</v>
      </c>
      <c r="H3742">
        <v>11.24</v>
      </c>
      <c r="I3742" s="7">
        <f>IF(Transactions!I3742="",0,Transactions!I3742)</f>
        <v>0.25</v>
      </c>
      <c r="J3742" s="9">
        <f t="shared" si="58"/>
        <v>33.72</v>
      </c>
      <c r="K3742" t="s">
        <v>36</v>
      </c>
      <c r="L3742" t="s">
        <v>17</v>
      </c>
      <c r="M3742" t="str">
        <f>REPLACE(Transactions!M3742,1,4,"")</f>
        <v>1</v>
      </c>
    </row>
    <row r="3743" spans="1:13" x14ac:dyDescent="0.2">
      <c r="A3743">
        <v>723745</v>
      </c>
      <c r="B3743" s="5">
        <v>45165</v>
      </c>
      <c r="C3743">
        <v>97970</v>
      </c>
      <c r="D3743" t="str">
        <f>PROPER(Transactions!D3743)</f>
        <v>Beauty</v>
      </c>
      <c r="E3743" t="s">
        <v>49</v>
      </c>
      <c r="F3743" t="s">
        <v>50</v>
      </c>
      <c r="G3743">
        <v>4</v>
      </c>
      <c r="H3743">
        <v>7.64</v>
      </c>
      <c r="I3743" s="7">
        <f>IF(Transactions!I3743="",0,Transactions!I3743)</f>
        <v>0.15</v>
      </c>
      <c r="J3743" s="9">
        <f t="shared" si="58"/>
        <v>25.975999999999999</v>
      </c>
      <c r="K3743" t="s">
        <v>16</v>
      </c>
      <c r="L3743" t="s">
        <v>17</v>
      </c>
      <c r="M3743" t="str">
        <f>REPLACE(Transactions!M3743,1,4,"")</f>
        <v>2</v>
      </c>
    </row>
    <row r="3744" spans="1:13" x14ac:dyDescent="0.2">
      <c r="A3744">
        <v>724284</v>
      </c>
      <c r="B3744" s="5">
        <v>45277</v>
      </c>
      <c r="C3744">
        <v>92754</v>
      </c>
      <c r="D3744" t="str">
        <f>PROPER(Transactions!D3744)</f>
        <v>Grocery</v>
      </c>
      <c r="E3744" t="s">
        <v>190</v>
      </c>
      <c r="F3744" t="s">
        <v>191</v>
      </c>
      <c r="G3744">
        <v>1</v>
      </c>
      <c r="H3744">
        <v>3.43</v>
      </c>
      <c r="I3744" s="7">
        <f>IF(Transactions!I3744="",0,Transactions!I3744)</f>
        <v>0.2</v>
      </c>
      <c r="J3744" s="9">
        <f t="shared" si="58"/>
        <v>2.7440000000000002</v>
      </c>
      <c r="K3744" t="s">
        <v>53</v>
      </c>
      <c r="L3744" t="s">
        <v>17</v>
      </c>
      <c r="M3744" t="str">
        <f>REPLACE(Transactions!M3744,1,4,"")</f>
        <v>4</v>
      </c>
    </row>
    <row r="3745" spans="1:13" x14ac:dyDescent="0.2">
      <c r="A3745">
        <v>724348</v>
      </c>
      <c r="B3745" s="5">
        <v>45103</v>
      </c>
      <c r="C3745">
        <v>13940</v>
      </c>
      <c r="D3745" t="str">
        <f>PROPER(Transactions!D3745)</f>
        <v>Pharmacy</v>
      </c>
      <c r="E3745" t="s">
        <v>20</v>
      </c>
      <c r="F3745" t="s">
        <v>21</v>
      </c>
      <c r="G3745">
        <v>3</v>
      </c>
      <c r="H3745">
        <v>9.99</v>
      </c>
      <c r="I3745" s="7">
        <f>IF(Transactions!I3745="",0,Transactions!I3745)</f>
        <v>0</v>
      </c>
      <c r="J3745" s="9">
        <f t="shared" si="58"/>
        <v>29.97</v>
      </c>
      <c r="K3745" t="s">
        <v>53</v>
      </c>
      <c r="L3745" t="s">
        <v>17</v>
      </c>
      <c r="M3745" t="str">
        <f>REPLACE(Transactions!M3745,1,4,"")</f>
        <v>17</v>
      </c>
    </row>
    <row r="3746" spans="1:13" x14ac:dyDescent="0.2">
      <c r="A3746">
        <v>724377</v>
      </c>
      <c r="B3746" s="5">
        <v>45513</v>
      </c>
      <c r="C3746">
        <v>76162</v>
      </c>
      <c r="D3746" t="str">
        <f>PROPER(Transactions!D3746)</f>
        <v>Clothing</v>
      </c>
      <c r="E3746" t="s">
        <v>181</v>
      </c>
      <c r="F3746" t="s">
        <v>182</v>
      </c>
      <c r="G3746">
        <v>5</v>
      </c>
      <c r="H3746">
        <v>10.49</v>
      </c>
      <c r="I3746" s="7">
        <f>IF(Transactions!I3746="",0,Transactions!I3746)</f>
        <v>0.3</v>
      </c>
      <c r="J3746" s="9">
        <f t="shared" si="58"/>
        <v>36.714999999999996</v>
      </c>
      <c r="K3746" t="s">
        <v>36</v>
      </c>
      <c r="L3746" t="s">
        <v>37</v>
      </c>
      <c r="M3746" t="str">
        <f>REPLACE(Transactions!M3746,1,4,"")</f>
        <v>11</v>
      </c>
    </row>
    <row r="3747" spans="1:13" x14ac:dyDescent="0.2">
      <c r="A3747">
        <v>724552</v>
      </c>
      <c r="B3747" s="5">
        <v>45095</v>
      </c>
      <c r="C3747">
        <v>22322</v>
      </c>
      <c r="D3747" t="str">
        <f>PROPER(Transactions!D3747)</f>
        <v>Grocery</v>
      </c>
      <c r="E3747" t="s">
        <v>91</v>
      </c>
      <c r="F3747" t="s">
        <v>92</v>
      </c>
      <c r="G3747">
        <v>2</v>
      </c>
      <c r="H3747">
        <v>6.29</v>
      </c>
      <c r="I3747" s="7">
        <f>IF(Transactions!I3747="",0,Transactions!I3747)</f>
        <v>0</v>
      </c>
      <c r="J3747" s="9">
        <f t="shared" si="58"/>
        <v>12.58</v>
      </c>
      <c r="K3747" t="s">
        <v>16</v>
      </c>
      <c r="L3747" t="s">
        <v>23</v>
      </c>
      <c r="M3747" t="str">
        <f>REPLACE(Transactions!M3747,1,4,"")</f>
        <v>19</v>
      </c>
    </row>
    <row r="3748" spans="1:13" x14ac:dyDescent="0.2">
      <c r="A3748">
        <v>724788</v>
      </c>
      <c r="B3748" s="5">
        <v>44786</v>
      </c>
      <c r="C3748">
        <v>44386</v>
      </c>
      <c r="D3748" t="str">
        <f>PROPER(Transactions!D3748)</f>
        <v>Sports</v>
      </c>
      <c r="E3748" t="s">
        <v>100</v>
      </c>
      <c r="F3748" t="s">
        <v>101</v>
      </c>
      <c r="G3748">
        <v>1</v>
      </c>
      <c r="H3748">
        <v>17.239999999999998</v>
      </c>
      <c r="I3748" s="7">
        <f>IF(Transactions!I3748="",0,Transactions!I3748)</f>
        <v>0.25</v>
      </c>
      <c r="J3748" s="9">
        <f t="shared" si="58"/>
        <v>12.93</v>
      </c>
      <c r="K3748" t="s">
        <v>36</v>
      </c>
      <c r="L3748" t="s">
        <v>17</v>
      </c>
      <c r="M3748" t="str">
        <f>REPLACE(Transactions!M3748,1,4,"")</f>
        <v>19</v>
      </c>
    </row>
    <row r="3749" spans="1:13" x14ac:dyDescent="0.2">
      <c r="A3749">
        <v>724862</v>
      </c>
      <c r="B3749" s="5">
        <v>44762</v>
      </c>
      <c r="C3749">
        <v>99761</v>
      </c>
      <c r="D3749" t="str">
        <f>PROPER(Transactions!D3749)</f>
        <v>Furniture</v>
      </c>
      <c r="E3749" t="s">
        <v>70</v>
      </c>
      <c r="F3749" t="s">
        <v>71</v>
      </c>
      <c r="G3749">
        <v>3</v>
      </c>
      <c r="H3749">
        <v>89.99</v>
      </c>
      <c r="I3749" s="7">
        <f>IF(Transactions!I3749="",0,Transactions!I3749)</f>
        <v>0</v>
      </c>
      <c r="J3749" s="9">
        <f t="shared" si="58"/>
        <v>269.96999999999997</v>
      </c>
      <c r="K3749" t="s">
        <v>66</v>
      </c>
      <c r="L3749" t="s">
        <v>17</v>
      </c>
      <c r="M3749" t="str">
        <f>REPLACE(Transactions!M3749,1,4,"")</f>
        <v>5</v>
      </c>
    </row>
    <row r="3750" spans="1:13" x14ac:dyDescent="0.2">
      <c r="A3750">
        <v>724873</v>
      </c>
      <c r="B3750" s="5">
        <v>44673</v>
      </c>
      <c r="C3750">
        <v>88817</v>
      </c>
      <c r="D3750" t="str">
        <f>PROPER(Transactions!D3750)</f>
        <v>Electronics</v>
      </c>
      <c r="E3750" t="s">
        <v>14</v>
      </c>
      <c r="F3750" t="s">
        <v>15</v>
      </c>
      <c r="G3750">
        <v>1</v>
      </c>
      <c r="H3750">
        <v>67.989999999999995</v>
      </c>
      <c r="I3750" s="7">
        <f>IF(Transactions!I3750="",0,Transactions!I3750)</f>
        <v>0.15</v>
      </c>
      <c r="J3750" s="9">
        <f t="shared" si="58"/>
        <v>57.791499999999992</v>
      </c>
      <c r="K3750" t="s">
        <v>36</v>
      </c>
      <c r="L3750" t="s">
        <v>17</v>
      </c>
      <c r="M3750" t="str">
        <f>REPLACE(Transactions!M3750,1,4,"")</f>
        <v>10</v>
      </c>
    </row>
    <row r="3751" spans="1:13" x14ac:dyDescent="0.2">
      <c r="A3751">
        <v>724916</v>
      </c>
      <c r="B3751" s="5">
        <v>44796</v>
      </c>
      <c r="C3751">
        <v>33348</v>
      </c>
      <c r="D3751" t="str">
        <f>PROPER(Transactions!D3751)</f>
        <v>Clothing</v>
      </c>
      <c r="E3751" t="s">
        <v>181</v>
      </c>
      <c r="F3751" t="s">
        <v>182</v>
      </c>
      <c r="G3751">
        <v>5</v>
      </c>
      <c r="H3751">
        <v>10.49</v>
      </c>
      <c r="I3751" s="7">
        <f>IF(Transactions!I3751="",0,Transactions!I3751)</f>
        <v>0.3</v>
      </c>
      <c r="J3751" s="9">
        <f t="shared" si="58"/>
        <v>36.714999999999996</v>
      </c>
      <c r="K3751" t="s">
        <v>95</v>
      </c>
      <c r="L3751" t="s">
        <v>17</v>
      </c>
      <c r="M3751" t="str">
        <f>REPLACE(Transactions!M3751,1,4,"")</f>
        <v>5</v>
      </c>
    </row>
    <row r="3752" spans="1:13" x14ac:dyDescent="0.2">
      <c r="A3752">
        <v>724927</v>
      </c>
      <c r="B3752" s="5">
        <v>44755</v>
      </c>
      <c r="C3752">
        <v>31252</v>
      </c>
      <c r="D3752" t="str">
        <f>PROPER(Transactions!D3752)</f>
        <v>Beauty</v>
      </c>
      <c r="E3752" t="s">
        <v>109</v>
      </c>
      <c r="F3752" t="s">
        <v>110</v>
      </c>
      <c r="G3752">
        <v>1</v>
      </c>
      <c r="H3752">
        <v>6.64</v>
      </c>
      <c r="I3752" s="7">
        <f>IF(Transactions!I3752="",0,Transactions!I3752)</f>
        <v>0.05</v>
      </c>
      <c r="J3752" s="9">
        <f t="shared" si="58"/>
        <v>6.3079999999999998</v>
      </c>
      <c r="K3752" t="s">
        <v>36</v>
      </c>
      <c r="L3752" t="s">
        <v>37</v>
      </c>
      <c r="M3752" t="str">
        <f>REPLACE(Transactions!M3752,1,4,"")</f>
        <v>20</v>
      </c>
    </row>
    <row r="3753" spans="1:13" x14ac:dyDescent="0.2">
      <c r="A3753">
        <v>724932</v>
      </c>
      <c r="B3753" s="5">
        <v>45234</v>
      </c>
      <c r="C3753">
        <v>27038</v>
      </c>
      <c r="D3753" t="str">
        <f>PROPER(Transactions!D3753)</f>
        <v>Home &amp; Garden</v>
      </c>
      <c r="E3753" t="s">
        <v>157</v>
      </c>
      <c r="F3753" t="s">
        <v>158</v>
      </c>
      <c r="G3753">
        <v>4</v>
      </c>
      <c r="H3753">
        <v>13.49</v>
      </c>
      <c r="I3753" s="7">
        <f>IF(Transactions!I3753="",0,Transactions!I3753)</f>
        <v>0</v>
      </c>
      <c r="J3753" s="9">
        <f t="shared" si="58"/>
        <v>53.96</v>
      </c>
      <c r="K3753" t="s">
        <v>16</v>
      </c>
      <c r="L3753" t="s">
        <v>37</v>
      </c>
      <c r="M3753" t="str">
        <f>REPLACE(Transactions!M3753,1,4,"")</f>
        <v>17</v>
      </c>
    </row>
    <row r="3754" spans="1:13" x14ac:dyDescent="0.2">
      <c r="A3754">
        <v>725188</v>
      </c>
      <c r="B3754" s="5">
        <v>45323</v>
      </c>
      <c r="C3754">
        <v>15545</v>
      </c>
      <c r="D3754" t="str">
        <f>PROPER(Transactions!D3754)</f>
        <v>Clothing</v>
      </c>
      <c r="E3754" t="s">
        <v>135</v>
      </c>
      <c r="F3754" t="s">
        <v>136</v>
      </c>
      <c r="G3754">
        <v>3</v>
      </c>
      <c r="H3754">
        <v>9.99</v>
      </c>
      <c r="I3754" s="7">
        <f>IF(Transactions!I3754="",0,Transactions!I3754)</f>
        <v>0</v>
      </c>
      <c r="J3754" s="9">
        <f t="shared" si="58"/>
        <v>29.97</v>
      </c>
      <c r="K3754" t="s">
        <v>36</v>
      </c>
      <c r="L3754" t="s">
        <v>23</v>
      </c>
      <c r="M3754" t="str">
        <f>REPLACE(Transactions!M3754,1,4,"")</f>
        <v>3</v>
      </c>
    </row>
    <row r="3755" spans="1:13" x14ac:dyDescent="0.2">
      <c r="A3755">
        <v>725507</v>
      </c>
      <c r="B3755" s="5">
        <v>45636</v>
      </c>
      <c r="C3755">
        <v>64436</v>
      </c>
      <c r="D3755" t="str">
        <f>PROPER(Transactions!D3755)</f>
        <v>Electronics</v>
      </c>
      <c r="E3755" t="s">
        <v>79</v>
      </c>
      <c r="F3755" t="s">
        <v>80</v>
      </c>
      <c r="G3755">
        <v>2</v>
      </c>
      <c r="H3755">
        <v>89.99</v>
      </c>
      <c r="I3755" s="7">
        <f>IF(Transactions!I3755="",0,Transactions!I3755)</f>
        <v>0</v>
      </c>
      <c r="J3755" s="9">
        <f t="shared" si="58"/>
        <v>179.98</v>
      </c>
      <c r="K3755" t="s">
        <v>22</v>
      </c>
      <c r="L3755" t="s">
        <v>17</v>
      </c>
      <c r="M3755" t="str">
        <f>REPLACE(Transactions!M3755,1,4,"")</f>
        <v>10</v>
      </c>
    </row>
    <row r="3756" spans="1:13" x14ac:dyDescent="0.2">
      <c r="A3756">
        <v>725656</v>
      </c>
      <c r="B3756" s="5">
        <v>45580</v>
      </c>
      <c r="C3756">
        <v>66869</v>
      </c>
      <c r="D3756" t="str">
        <f>PROPER(Transactions!D3756)</f>
        <v>Grocery</v>
      </c>
      <c r="E3756" t="s">
        <v>162</v>
      </c>
      <c r="F3756" t="s">
        <v>163</v>
      </c>
      <c r="G3756">
        <v>2</v>
      </c>
      <c r="H3756">
        <v>6.79</v>
      </c>
      <c r="I3756" s="7">
        <f>IF(Transactions!I3756="",0,Transactions!I3756)</f>
        <v>0.15</v>
      </c>
      <c r="J3756" s="9">
        <f t="shared" si="58"/>
        <v>11.542999999999999</v>
      </c>
      <c r="K3756" t="s">
        <v>16</v>
      </c>
      <c r="L3756" t="s">
        <v>17</v>
      </c>
      <c r="M3756" t="str">
        <f>REPLACE(Transactions!M3756,1,4,"")</f>
        <v>14</v>
      </c>
    </row>
    <row r="3757" spans="1:13" x14ac:dyDescent="0.2">
      <c r="A3757">
        <v>725953</v>
      </c>
      <c r="B3757" s="5">
        <v>44949</v>
      </c>
      <c r="C3757">
        <v>64867</v>
      </c>
      <c r="D3757" t="str">
        <f>PROPER(Transactions!D3757)</f>
        <v>Grocery</v>
      </c>
      <c r="E3757" t="s">
        <v>162</v>
      </c>
      <c r="F3757" t="s">
        <v>163</v>
      </c>
      <c r="G3757">
        <v>1</v>
      </c>
      <c r="H3757">
        <v>5.99</v>
      </c>
      <c r="I3757" s="7">
        <f>IF(Transactions!I3757="",0,Transactions!I3757)</f>
        <v>0.25</v>
      </c>
      <c r="J3757" s="9">
        <f t="shared" si="58"/>
        <v>4.4924999999999997</v>
      </c>
      <c r="K3757" t="s">
        <v>95</v>
      </c>
      <c r="L3757" t="s">
        <v>37</v>
      </c>
      <c r="M3757" t="str">
        <f>REPLACE(Transactions!M3757,1,4,"")</f>
        <v>9</v>
      </c>
    </row>
    <row r="3758" spans="1:13" x14ac:dyDescent="0.2">
      <c r="A3758">
        <v>726121</v>
      </c>
      <c r="B3758" s="5">
        <v>45115</v>
      </c>
      <c r="C3758">
        <v>17679</v>
      </c>
      <c r="D3758" t="str">
        <f>PROPER(Transactions!D3758)</f>
        <v>Automotive</v>
      </c>
      <c r="E3758" t="s">
        <v>64</v>
      </c>
      <c r="F3758" t="s">
        <v>65</v>
      </c>
      <c r="G3758">
        <v>1</v>
      </c>
      <c r="H3758">
        <v>4.99</v>
      </c>
      <c r="I3758" s="7">
        <f>IF(Transactions!I3758="",0,Transactions!I3758)</f>
        <v>0</v>
      </c>
      <c r="J3758" s="9">
        <f t="shared" si="58"/>
        <v>4.99</v>
      </c>
      <c r="K3758" t="s">
        <v>22</v>
      </c>
      <c r="L3758" t="s">
        <v>37</v>
      </c>
      <c r="M3758" t="str">
        <f>REPLACE(Transactions!M3758,1,4,"")</f>
        <v>12</v>
      </c>
    </row>
    <row r="3759" spans="1:13" x14ac:dyDescent="0.2">
      <c r="A3759">
        <v>726138</v>
      </c>
      <c r="B3759" s="5">
        <v>45073</v>
      </c>
      <c r="C3759">
        <v>43243</v>
      </c>
      <c r="D3759" t="str">
        <f>PROPER(Transactions!D3759)</f>
        <v>Sports</v>
      </c>
      <c r="E3759" t="s">
        <v>155</v>
      </c>
      <c r="F3759" t="s">
        <v>156</v>
      </c>
      <c r="G3759">
        <v>1</v>
      </c>
      <c r="H3759">
        <v>17.989999999999998</v>
      </c>
      <c r="I3759" s="7">
        <f>IF(Transactions!I3759="",0,Transactions!I3759)</f>
        <v>0.1</v>
      </c>
      <c r="J3759" s="9">
        <f t="shared" si="58"/>
        <v>16.190999999999999</v>
      </c>
      <c r="K3759" t="s">
        <v>66</v>
      </c>
      <c r="L3759" t="s">
        <v>17</v>
      </c>
      <c r="M3759" t="str">
        <f>REPLACE(Transactions!M3759,1,4,"")</f>
        <v>3</v>
      </c>
    </row>
    <row r="3760" spans="1:13" x14ac:dyDescent="0.2">
      <c r="A3760">
        <v>726295</v>
      </c>
      <c r="B3760" s="5">
        <v>44849</v>
      </c>
      <c r="C3760">
        <v>51876</v>
      </c>
      <c r="D3760" t="str">
        <f>PROPER(Transactions!D3760)</f>
        <v>Sports</v>
      </c>
      <c r="E3760" t="s">
        <v>155</v>
      </c>
      <c r="F3760" t="s">
        <v>156</v>
      </c>
      <c r="G3760">
        <v>1</v>
      </c>
      <c r="H3760">
        <v>13.99</v>
      </c>
      <c r="I3760" s="7">
        <f>IF(Transactions!I3760="",0,Transactions!I3760)</f>
        <v>0.3</v>
      </c>
      <c r="J3760" s="9">
        <f t="shared" si="58"/>
        <v>9.7929999999999993</v>
      </c>
      <c r="K3760" t="s">
        <v>95</v>
      </c>
      <c r="L3760" t="s">
        <v>17</v>
      </c>
      <c r="M3760" t="str">
        <f>REPLACE(Transactions!M3760,1,4,"")</f>
        <v>4</v>
      </c>
    </row>
    <row r="3761" spans="1:13" x14ac:dyDescent="0.2">
      <c r="A3761">
        <v>726378</v>
      </c>
      <c r="B3761" s="5">
        <v>45238</v>
      </c>
      <c r="C3761">
        <v>22735</v>
      </c>
      <c r="D3761" t="str">
        <f>PROPER(Transactions!D3761)</f>
        <v>Electronics</v>
      </c>
      <c r="E3761" t="s">
        <v>34</v>
      </c>
      <c r="F3761" t="s">
        <v>35</v>
      </c>
      <c r="G3761">
        <v>3</v>
      </c>
      <c r="H3761">
        <v>34.99</v>
      </c>
      <c r="I3761" s="7">
        <f>IF(Transactions!I3761="",0,Transactions!I3761)</f>
        <v>0</v>
      </c>
      <c r="J3761" s="9">
        <f t="shared" si="58"/>
        <v>104.97</v>
      </c>
      <c r="K3761" t="s">
        <v>95</v>
      </c>
      <c r="L3761" t="s">
        <v>17</v>
      </c>
      <c r="M3761" t="str">
        <f>REPLACE(Transactions!M3761,1,4,"")</f>
        <v>14</v>
      </c>
    </row>
    <row r="3762" spans="1:13" x14ac:dyDescent="0.2">
      <c r="A3762">
        <v>726615</v>
      </c>
      <c r="B3762" s="5">
        <v>44971</v>
      </c>
      <c r="C3762">
        <v>35551</v>
      </c>
      <c r="D3762" t="str">
        <f>PROPER(Transactions!D3762)</f>
        <v>Sports</v>
      </c>
      <c r="E3762" t="s">
        <v>168</v>
      </c>
      <c r="F3762" t="s">
        <v>169</v>
      </c>
      <c r="G3762">
        <v>5</v>
      </c>
      <c r="H3762">
        <v>8.5399999999999991</v>
      </c>
      <c r="I3762" s="7">
        <f>IF(Transactions!I3762="",0,Transactions!I3762)</f>
        <v>0.05</v>
      </c>
      <c r="J3762" s="9">
        <f t="shared" si="58"/>
        <v>40.564999999999991</v>
      </c>
      <c r="K3762" t="s">
        <v>16</v>
      </c>
      <c r="L3762" t="s">
        <v>17</v>
      </c>
      <c r="M3762" t="str">
        <f>REPLACE(Transactions!M3762,1,4,"")</f>
        <v>13</v>
      </c>
    </row>
    <row r="3763" spans="1:13" x14ac:dyDescent="0.2">
      <c r="A3763">
        <v>726739</v>
      </c>
      <c r="B3763" s="5">
        <v>45459</v>
      </c>
      <c r="D3763" t="str">
        <f>PROPER(Transactions!D3763)</f>
        <v>Furniture</v>
      </c>
      <c r="E3763" t="s">
        <v>113</v>
      </c>
      <c r="F3763" t="s">
        <v>114</v>
      </c>
      <c r="G3763">
        <v>4</v>
      </c>
      <c r="H3763">
        <v>119.99</v>
      </c>
      <c r="I3763" s="7">
        <f>IF(Transactions!I3763="",0,Transactions!I3763)</f>
        <v>0</v>
      </c>
      <c r="J3763" s="9">
        <f t="shared" si="58"/>
        <v>479.96</v>
      </c>
      <c r="K3763" t="s">
        <v>36</v>
      </c>
      <c r="L3763" t="s">
        <v>17</v>
      </c>
      <c r="M3763" t="str">
        <f>REPLACE(Transactions!M3763,1,4,"")</f>
        <v>2</v>
      </c>
    </row>
    <row r="3764" spans="1:13" x14ac:dyDescent="0.2">
      <c r="A3764">
        <v>726808</v>
      </c>
      <c r="B3764" s="5">
        <v>45010</v>
      </c>
      <c r="C3764">
        <v>32516</v>
      </c>
      <c r="D3764" t="str">
        <f>PROPER(Transactions!D3764)</f>
        <v>Furniture</v>
      </c>
      <c r="E3764" t="s">
        <v>60</v>
      </c>
      <c r="F3764" t="s">
        <v>61</v>
      </c>
      <c r="G3764">
        <v>5</v>
      </c>
      <c r="H3764">
        <v>46.74</v>
      </c>
      <c r="I3764" s="7">
        <f>IF(Transactions!I3764="",0,Transactions!I3764)</f>
        <v>0.15</v>
      </c>
      <c r="J3764" s="9">
        <f t="shared" si="58"/>
        <v>198.64500000000001</v>
      </c>
      <c r="K3764" t="s">
        <v>22</v>
      </c>
      <c r="L3764" t="s">
        <v>23</v>
      </c>
      <c r="M3764" t="str">
        <f>REPLACE(Transactions!M3764,1,4,"")</f>
        <v>1</v>
      </c>
    </row>
    <row r="3765" spans="1:13" x14ac:dyDescent="0.2">
      <c r="A3765">
        <v>727054</v>
      </c>
      <c r="B3765" s="5">
        <v>45639</v>
      </c>
      <c r="C3765">
        <v>65379</v>
      </c>
      <c r="D3765" t="str">
        <f>PROPER(Transactions!D3765)</f>
        <v>Home &amp; Garden</v>
      </c>
      <c r="E3765" t="s">
        <v>145</v>
      </c>
      <c r="F3765" t="s">
        <v>146</v>
      </c>
      <c r="G3765">
        <v>1</v>
      </c>
      <c r="H3765">
        <v>16.989999999999998</v>
      </c>
      <c r="I3765" s="7">
        <f>IF(Transactions!I3765="",0,Transactions!I3765)</f>
        <v>0</v>
      </c>
      <c r="J3765" s="9">
        <f t="shared" si="58"/>
        <v>16.989999999999998</v>
      </c>
      <c r="K3765" t="s">
        <v>22</v>
      </c>
      <c r="L3765" t="s">
        <v>17</v>
      </c>
      <c r="M3765" t="str">
        <f>REPLACE(Transactions!M3765,1,4,"")</f>
        <v>13</v>
      </c>
    </row>
    <row r="3766" spans="1:13" x14ac:dyDescent="0.2">
      <c r="A3766">
        <v>727378</v>
      </c>
      <c r="B3766" s="5">
        <v>44640</v>
      </c>
      <c r="C3766">
        <v>69347</v>
      </c>
      <c r="D3766" t="str">
        <f>PROPER(Transactions!D3766)</f>
        <v>Pharmacy</v>
      </c>
      <c r="E3766" t="s">
        <v>115</v>
      </c>
      <c r="F3766" t="s">
        <v>116</v>
      </c>
      <c r="G3766">
        <v>4</v>
      </c>
      <c r="H3766">
        <v>9.09</v>
      </c>
      <c r="I3766" s="7">
        <f>IF(Transactions!I3766="",0,Transactions!I3766)</f>
        <v>0.3</v>
      </c>
      <c r="J3766" s="9">
        <f t="shared" si="58"/>
        <v>25.451999999999998</v>
      </c>
      <c r="K3766" t="s">
        <v>16</v>
      </c>
      <c r="L3766" t="s">
        <v>37</v>
      </c>
      <c r="M3766" t="str">
        <f>REPLACE(Transactions!M3766,1,4,"")</f>
        <v>16</v>
      </c>
    </row>
    <row r="3767" spans="1:13" x14ac:dyDescent="0.2">
      <c r="A3767">
        <v>727394</v>
      </c>
      <c r="B3767" s="5">
        <v>45205</v>
      </c>
      <c r="C3767">
        <v>83377</v>
      </c>
      <c r="D3767" t="str">
        <f>PROPER(Transactions!D3767)</f>
        <v>Automotive</v>
      </c>
      <c r="E3767" t="s">
        <v>68</v>
      </c>
      <c r="F3767" t="s">
        <v>69</v>
      </c>
      <c r="G3767">
        <v>2</v>
      </c>
      <c r="H3767">
        <v>19.989999999999998</v>
      </c>
      <c r="I3767" s="7">
        <f>IF(Transactions!I3767="",0,Transactions!I3767)</f>
        <v>0.2</v>
      </c>
      <c r="J3767" s="9">
        <f t="shared" si="58"/>
        <v>31.983999999999998</v>
      </c>
      <c r="K3767" t="s">
        <v>95</v>
      </c>
      <c r="L3767" t="s">
        <v>17</v>
      </c>
      <c r="M3767" t="str">
        <f>REPLACE(Transactions!M3767,1,4,"")</f>
        <v>20</v>
      </c>
    </row>
    <row r="3768" spans="1:13" x14ac:dyDescent="0.2">
      <c r="A3768">
        <v>727475</v>
      </c>
      <c r="B3768" s="5">
        <v>44735</v>
      </c>
      <c r="C3768">
        <v>31172</v>
      </c>
      <c r="D3768" t="str">
        <f>PROPER(Transactions!D3768)</f>
        <v>Grocery</v>
      </c>
      <c r="E3768" t="s">
        <v>74</v>
      </c>
      <c r="F3768" t="s">
        <v>75</v>
      </c>
      <c r="G3768">
        <v>5</v>
      </c>
      <c r="H3768">
        <v>2.99</v>
      </c>
      <c r="I3768" s="7">
        <f>IF(Transactions!I3768="",0,Transactions!I3768)</f>
        <v>0</v>
      </c>
      <c r="J3768" s="9">
        <f t="shared" si="58"/>
        <v>14.950000000000001</v>
      </c>
      <c r="K3768" t="s">
        <v>36</v>
      </c>
      <c r="L3768" t="s">
        <v>17</v>
      </c>
      <c r="M3768" t="str">
        <f>REPLACE(Transactions!M3768,1,4,"")</f>
        <v>10</v>
      </c>
    </row>
    <row r="3769" spans="1:13" x14ac:dyDescent="0.2">
      <c r="A3769">
        <v>727665</v>
      </c>
      <c r="B3769" s="5">
        <v>44714</v>
      </c>
      <c r="C3769">
        <v>52844</v>
      </c>
      <c r="D3769" t="str">
        <f>PROPER(Transactions!D3769)</f>
        <v>Home &amp; Garden</v>
      </c>
      <c r="E3769" t="s">
        <v>137</v>
      </c>
      <c r="F3769" t="s">
        <v>138</v>
      </c>
      <c r="G3769">
        <v>5</v>
      </c>
      <c r="H3769">
        <v>6.79</v>
      </c>
      <c r="I3769" s="7">
        <f>IF(Transactions!I3769="",0,Transactions!I3769)</f>
        <v>0.15</v>
      </c>
      <c r="J3769" s="9">
        <f t="shared" si="58"/>
        <v>28.857500000000002</v>
      </c>
      <c r="K3769" t="s">
        <v>22</v>
      </c>
      <c r="L3769" t="s">
        <v>37</v>
      </c>
      <c r="M3769" t="str">
        <f>REPLACE(Transactions!M3769,1,4,"")</f>
        <v>7</v>
      </c>
    </row>
    <row r="3770" spans="1:13" x14ac:dyDescent="0.2">
      <c r="A3770">
        <v>727706</v>
      </c>
      <c r="B3770" s="5">
        <v>45602</v>
      </c>
      <c r="C3770">
        <v>48823</v>
      </c>
      <c r="D3770" t="str">
        <f>PROPER(Transactions!D3770)</f>
        <v>Toys</v>
      </c>
      <c r="E3770" t="s">
        <v>88</v>
      </c>
      <c r="F3770" t="s">
        <v>89</v>
      </c>
      <c r="G3770">
        <v>1</v>
      </c>
      <c r="H3770">
        <v>44.99</v>
      </c>
      <c r="I3770" s="7">
        <f>IF(Transactions!I3770="",0,Transactions!I3770)</f>
        <v>0.1</v>
      </c>
      <c r="J3770" s="9">
        <f t="shared" si="58"/>
        <v>40.491</v>
      </c>
      <c r="K3770" t="s">
        <v>36</v>
      </c>
      <c r="L3770" t="s">
        <v>37</v>
      </c>
      <c r="M3770" t="str">
        <f>REPLACE(Transactions!M3770,1,4,"")</f>
        <v>12</v>
      </c>
    </row>
    <row r="3771" spans="1:13" x14ac:dyDescent="0.2">
      <c r="A3771">
        <v>727876</v>
      </c>
      <c r="B3771" s="5">
        <v>44804</v>
      </c>
      <c r="C3771">
        <v>83113</v>
      </c>
      <c r="D3771" t="str">
        <f>PROPER(Transactions!D3771)</f>
        <v>Furniture</v>
      </c>
      <c r="E3771" t="s">
        <v>113</v>
      </c>
      <c r="F3771" t="s">
        <v>114</v>
      </c>
      <c r="G3771">
        <v>4</v>
      </c>
      <c r="H3771">
        <v>119.99</v>
      </c>
      <c r="I3771" s="7">
        <f>IF(Transactions!I3771="",0,Transactions!I3771)</f>
        <v>0</v>
      </c>
      <c r="J3771" s="9">
        <f t="shared" si="58"/>
        <v>479.96</v>
      </c>
      <c r="K3771" t="s">
        <v>16</v>
      </c>
      <c r="L3771" t="s">
        <v>17</v>
      </c>
      <c r="M3771" t="str">
        <f>REPLACE(Transactions!M3771,1,4,"")</f>
        <v>2</v>
      </c>
    </row>
    <row r="3772" spans="1:13" x14ac:dyDescent="0.2">
      <c r="A3772">
        <v>728391</v>
      </c>
      <c r="B3772" s="5">
        <v>44968</v>
      </c>
      <c r="C3772">
        <v>48950</v>
      </c>
      <c r="D3772" t="str">
        <f>PROPER(Transactions!D3772)</f>
        <v>Automotive</v>
      </c>
      <c r="E3772" t="s">
        <v>111</v>
      </c>
      <c r="F3772" t="s">
        <v>112</v>
      </c>
      <c r="G3772">
        <v>2</v>
      </c>
      <c r="H3772">
        <v>13.49</v>
      </c>
      <c r="I3772" s="7">
        <f>IF(Transactions!I3772="",0,Transactions!I3772)</f>
        <v>0.1</v>
      </c>
      <c r="J3772" s="9">
        <f t="shared" si="58"/>
        <v>24.282</v>
      </c>
      <c r="K3772" t="s">
        <v>36</v>
      </c>
      <c r="L3772" t="s">
        <v>17</v>
      </c>
      <c r="M3772" t="str">
        <f>REPLACE(Transactions!M3772,1,4,"")</f>
        <v>10</v>
      </c>
    </row>
    <row r="3773" spans="1:13" x14ac:dyDescent="0.2">
      <c r="A3773">
        <v>728436</v>
      </c>
      <c r="B3773" s="5">
        <v>44993</v>
      </c>
      <c r="C3773">
        <v>24205</v>
      </c>
      <c r="D3773" t="str">
        <f>PROPER(Transactions!D3773)</f>
        <v>Automotive</v>
      </c>
      <c r="E3773" t="s">
        <v>131</v>
      </c>
      <c r="F3773" t="s">
        <v>132</v>
      </c>
      <c r="G3773">
        <v>1</v>
      </c>
      <c r="H3773">
        <v>3.49</v>
      </c>
      <c r="I3773" s="7">
        <f>IF(Transactions!I3773="",0,Transactions!I3773)</f>
        <v>0</v>
      </c>
      <c r="J3773" s="9">
        <f t="shared" si="58"/>
        <v>3.49</v>
      </c>
      <c r="K3773" t="s">
        <v>22</v>
      </c>
      <c r="L3773" t="s">
        <v>37</v>
      </c>
      <c r="M3773" t="str">
        <f>REPLACE(Transactions!M3773,1,4,"")</f>
        <v>11</v>
      </c>
    </row>
    <row r="3774" spans="1:13" x14ac:dyDescent="0.2">
      <c r="A3774">
        <v>728506</v>
      </c>
      <c r="B3774" s="5">
        <v>45637</v>
      </c>
      <c r="C3774">
        <v>66634</v>
      </c>
      <c r="D3774" t="str">
        <f>PROPER(Transactions!D3774)</f>
        <v>Beauty</v>
      </c>
      <c r="E3774" t="s">
        <v>179</v>
      </c>
      <c r="F3774" t="s">
        <v>180</v>
      </c>
      <c r="G3774">
        <v>2</v>
      </c>
      <c r="H3774">
        <v>11.99</v>
      </c>
      <c r="I3774" s="7">
        <f>IF(Transactions!I3774="",0,Transactions!I3774)</f>
        <v>0</v>
      </c>
      <c r="J3774" s="9">
        <f t="shared" si="58"/>
        <v>23.98</v>
      </c>
      <c r="K3774" t="s">
        <v>22</v>
      </c>
      <c r="L3774" t="s">
        <v>37</v>
      </c>
      <c r="M3774" t="str">
        <f>REPLACE(Transactions!M3774,1,4,"")</f>
        <v/>
      </c>
    </row>
    <row r="3775" spans="1:13" x14ac:dyDescent="0.2">
      <c r="A3775">
        <v>728545</v>
      </c>
      <c r="B3775" s="5">
        <v>45435</v>
      </c>
      <c r="C3775">
        <v>21288</v>
      </c>
      <c r="D3775" t="str">
        <f>PROPER(Transactions!D3775)</f>
        <v>Beauty</v>
      </c>
      <c r="E3775" t="s">
        <v>49</v>
      </c>
      <c r="F3775" t="s">
        <v>50</v>
      </c>
      <c r="G3775">
        <v>5</v>
      </c>
      <c r="H3775">
        <v>8.09</v>
      </c>
      <c r="I3775" s="7">
        <f>IF(Transactions!I3775="",0,Transactions!I3775)</f>
        <v>0.1</v>
      </c>
      <c r="J3775" s="9">
        <f t="shared" si="58"/>
        <v>36.405000000000001</v>
      </c>
      <c r="K3775" t="s">
        <v>16</v>
      </c>
      <c r="L3775" t="s">
        <v>17</v>
      </c>
      <c r="M3775" t="str">
        <f>REPLACE(Transactions!M3775,1,4,"")</f>
        <v>7</v>
      </c>
    </row>
    <row r="3776" spans="1:13" x14ac:dyDescent="0.2">
      <c r="A3776">
        <v>728629</v>
      </c>
      <c r="B3776" s="5">
        <v>45411</v>
      </c>
      <c r="D3776" t="str">
        <f>PROPER(Transactions!D3776)</f>
        <v>Sports</v>
      </c>
      <c r="E3776" t="s">
        <v>100</v>
      </c>
      <c r="F3776" t="s">
        <v>101</v>
      </c>
      <c r="G3776">
        <v>4</v>
      </c>
      <c r="H3776">
        <v>22.99</v>
      </c>
      <c r="I3776" s="7">
        <f>IF(Transactions!I3776="",0,Transactions!I3776)</f>
        <v>0</v>
      </c>
      <c r="J3776" s="9">
        <f t="shared" si="58"/>
        <v>91.96</v>
      </c>
      <c r="K3776" t="s">
        <v>36</v>
      </c>
      <c r="L3776" t="s">
        <v>17</v>
      </c>
      <c r="M3776" t="str">
        <f>REPLACE(Transactions!M3776,1,4,"")</f>
        <v>9</v>
      </c>
    </row>
    <row r="3777" spans="1:13" x14ac:dyDescent="0.2">
      <c r="A3777">
        <v>728635</v>
      </c>
      <c r="B3777" s="5">
        <v>45220</v>
      </c>
      <c r="C3777">
        <v>10268</v>
      </c>
      <c r="D3777" t="str">
        <f>PROPER(Transactions!D3777)</f>
        <v>Pharmacy</v>
      </c>
      <c r="E3777" t="s">
        <v>197</v>
      </c>
      <c r="F3777" t="s">
        <v>198</v>
      </c>
      <c r="G3777">
        <v>1</v>
      </c>
      <c r="H3777">
        <v>12.74</v>
      </c>
      <c r="I3777" s="7">
        <f>IF(Transactions!I3777="",0,Transactions!I3777)</f>
        <v>0.15</v>
      </c>
      <c r="J3777" s="9">
        <f t="shared" si="58"/>
        <v>10.829000000000001</v>
      </c>
      <c r="K3777" t="s">
        <v>16</v>
      </c>
      <c r="L3777" t="s">
        <v>23</v>
      </c>
      <c r="M3777" t="str">
        <f>REPLACE(Transactions!M3777,1,4,"")</f>
        <v>13</v>
      </c>
    </row>
    <row r="3778" spans="1:13" x14ac:dyDescent="0.2">
      <c r="A3778">
        <v>728802</v>
      </c>
      <c r="B3778" s="5">
        <v>45051</v>
      </c>
      <c r="C3778">
        <v>41527</v>
      </c>
      <c r="D3778" t="str">
        <f>PROPER(Transactions!D3778)</f>
        <v>Grocery</v>
      </c>
      <c r="E3778" t="s">
        <v>93</v>
      </c>
      <c r="F3778" t="s">
        <v>94</v>
      </c>
      <c r="G3778">
        <v>2</v>
      </c>
      <c r="H3778">
        <v>0.9</v>
      </c>
      <c r="I3778" s="7">
        <f>IF(Transactions!I3778="",0,Transactions!I3778)</f>
        <v>0.3</v>
      </c>
      <c r="J3778" s="9">
        <f t="shared" si="58"/>
        <v>1.26</v>
      </c>
      <c r="K3778" t="s">
        <v>22</v>
      </c>
      <c r="L3778" t="s">
        <v>17</v>
      </c>
      <c r="M3778" t="str">
        <f>REPLACE(Transactions!M3778,1,4,"")</f>
        <v>4</v>
      </c>
    </row>
    <row r="3779" spans="1:13" x14ac:dyDescent="0.2">
      <c r="A3779">
        <v>729295</v>
      </c>
      <c r="B3779" s="5">
        <v>44840</v>
      </c>
      <c r="C3779">
        <v>17101</v>
      </c>
      <c r="D3779" t="str">
        <f>PROPER(Transactions!D3779)</f>
        <v>Pharmacy</v>
      </c>
      <c r="E3779" t="s">
        <v>115</v>
      </c>
      <c r="F3779" t="s">
        <v>116</v>
      </c>
      <c r="G3779">
        <v>3</v>
      </c>
      <c r="H3779">
        <v>11.69</v>
      </c>
      <c r="I3779" s="7">
        <f>IF(Transactions!I3779="",0,Transactions!I3779)</f>
        <v>0.1</v>
      </c>
      <c r="J3779" s="9">
        <f t="shared" ref="J3779:J3842" si="59">(H3779*G3779)*(1-I3779)</f>
        <v>31.563000000000002</v>
      </c>
      <c r="K3779" t="s">
        <v>16</v>
      </c>
      <c r="L3779" t="s">
        <v>37</v>
      </c>
      <c r="M3779" t="str">
        <f>REPLACE(Transactions!M3779,1,4,"")</f>
        <v>8</v>
      </c>
    </row>
    <row r="3780" spans="1:13" x14ac:dyDescent="0.2">
      <c r="A3780">
        <v>729511</v>
      </c>
      <c r="B3780" s="5">
        <v>45162</v>
      </c>
      <c r="C3780">
        <v>77699</v>
      </c>
      <c r="D3780" t="str">
        <f>PROPER(Transactions!D3780)</f>
        <v>Sports</v>
      </c>
      <c r="E3780" t="s">
        <v>147</v>
      </c>
      <c r="F3780" t="s">
        <v>148</v>
      </c>
      <c r="G3780">
        <v>2</v>
      </c>
      <c r="H3780">
        <v>9.74</v>
      </c>
      <c r="I3780" s="7">
        <f>IF(Transactions!I3780="",0,Transactions!I3780)</f>
        <v>0.25</v>
      </c>
      <c r="J3780" s="9">
        <f t="shared" si="59"/>
        <v>14.61</v>
      </c>
      <c r="K3780" t="s">
        <v>16</v>
      </c>
      <c r="L3780" t="s">
        <v>37</v>
      </c>
      <c r="M3780" t="str">
        <f>REPLACE(Transactions!M3780,1,4,"")</f>
        <v>10</v>
      </c>
    </row>
    <row r="3781" spans="1:13" x14ac:dyDescent="0.2">
      <c r="A3781">
        <v>729614</v>
      </c>
      <c r="B3781" s="5">
        <v>44689</v>
      </c>
      <c r="C3781">
        <v>56211</v>
      </c>
      <c r="D3781" t="str">
        <f>PROPER(Transactions!D3781)</f>
        <v>Pharmacy</v>
      </c>
      <c r="E3781" t="s">
        <v>115</v>
      </c>
      <c r="F3781" t="s">
        <v>116</v>
      </c>
      <c r="G3781">
        <v>2</v>
      </c>
      <c r="H3781">
        <v>12.99</v>
      </c>
      <c r="I3781" s="7">
        <f>IF(Transactions!I3781="",0,Transactions!I3781)</f>
        <v>0</v>
      </c>
      <c r="J3781" s="9">
        <f t="shared" si="59"/>
        <v>25.98</v>
      </c>
      <c r="K3781" t="s">
        <v>22</v>
      </c>
      <c r="L3781" t="s">
        <v>17</v>
      </c>
      <c r="M3781" t="str">
        <f>REPLACE(Transactions!M3781,1,4,"")</f>
        <v>3</v>
      </c>
    </row>
    <row r="3782" spans="1:13" x14ac:dyDescent="0.2">
      <c r="A3782">
        <v>729730</v>
      </c>
      <c r="B3782" s="5">
        <v>45318</v>
      </c>
      <c r="D3782" t="str">
        <f>PROPER(Transactions!D3782)</f>
        <v>Clothing</v>
      </c>
      <c r="E3782" t="s">
        <v>151</v>
      </c>
      <c r="F3782" t="s">
        <v>152</v>
      </c>
      <c r="G3782">
        <v>3</v>
      </c>
      <c r="H3782">
        <v>24.49</v>
      </c>
      <c r="I3782" s="7">
        <f>IF(Transactions!I3782="",0,Transactions!I3782)</f>
        <v>0.3</v>
      </c>
      <c r="J3782" s="9">
        <f t="shared" si="59"/>
        <v>51.428999999999995</v>
      </c>
      <c r="K3782" t="s">
        <v>36</v>
      </c>
      <c r="L3782" t="s">
        <v>17</v>
      </c>
      <c r="M3782" t="str">
        <f>REPLACE(Transactions!M3782,1,4,"")</f>
        <v>12</v>
      </c>
    </row>
    <row r="3783" spans="1:13" x14ac:dyDescent="0.2">
      <c r="A3783">
        <v>730143</v>
      </c>
      <c r="B3783" s="5">
        <v>44854</v>
      </c>
      <c r="C3783">
        <v>15053</v>
      </c>
      <c r="D3783" t="str">
        <f>PROPER(Transactions!D3783)</f>
        <v>Sports</v>
      </c>
      <c r="E3783" t="s">
        <v>100</v>
      </c>
      <c r="F3783" t="s">
        <v>101</v>
      </c>
      <c r="G3783">
        <v>2</v>
      </c>
      <c r="H3783">
        <v>17.239999999999998</v>
      </c>
      <c r="I3783" s="7">
        <f>IF(Transactions!I3783="",0,Transactions!I3783)</f>
        <v>0.25</v>
      </c>
      <c r="J3783" s="9">
        <f t="shared" si="59"/>
        <v>25.86</v>
      </c>
      <c r="K3783" t="s">
        <v>36</v>
      </c>
      <c r="L3783" t="s">
        <v>17</v>
      </c>
      <c r="M3783" t="str">
        <f>REPLACE(Transactions!M3783,1,4,"")</f>
        <v>15</v>
      </c>
    </row>
    <row r="3784" spans="1:13" x14ac:dyDescent="0.2">
      <c r="A3784">
        <v>730220</v>
      </c>
      <c r="B3784" s="5">
        <v>45307</v>
      </c>
      <c r="C3784">
        <v>60632</v>
      </c>
      <c r="D3784" t="str">
        <f>PROPER(Transactions!D3784)</f>
        <v>Sports</v>
      </c>
      <c r="E3784" t="s">
        <v>168</v>
      </c>
      <c r="F3784" t="s">
        <v>169</v>
      </c>
      <c r="G3784">
        <v>2</v>
      </c>
      <c r="H3784">
        <v>6.74</v>
      </c>
      <c r="I3784" s="7">
        <f>IF(Transactions!I3784="",0,Transactions!I3784)</f>
        <v>0.25</v>
      </c>
      <c r="J3784" s="9">
        <f t="shared" si="59"/>
        <v>10.11</v>
      </c>
      <c r="K3784" t="s">
        <v>36</v>
      </c>
      <c r="L3784" t="s">
        <v>37</v>
      </c>
      <c r="M3784" t="str">
        <f>REPLACE(Transactions!M3784,1,4,"")</f>
        <v>17</v>
      </c>
    </row>
    <row r="3785" spans="1:13" x14ac:dyDescent="0.2">
      <c r="A3785">
        <v>730222</v>
      </c>
      <c r="B3785" s="5">
        <v>45552</v>
      </c>
      <c r="C3785">
        <v>72154</v>
      </c>
      <c r="D3785" t="str">
        <f>PROPER(Transactions!D3785)</f>
        <v>Clothing</v>
      </c>
      <c r="E3785" t="s">
        <v>181</v>
      </c>
      <c r="F3785" t="s">
        <v>182</v>
      </c>
      <c r="G3785">
        <v>2</v>
      </c>
      <c r="H3785">
        <v>13.49</v>
      </c>
      <c r="I3785" s="7">
        <f>IF(Transactions!I3785="",0,Transactions!I3785)</f>
        <v>0.1</v>
      </c>
      <c r="J3785" s="9">
        <f t="shared" si="59"/>
        <v>24.282</v>
      </c>
      <c r="K3785" t="s">
        <v>32</v>
      </c>
      <c r="L3785" t="s">
        <v>17</v>
      </c>
      <c r="M3785" t="str">
        <f>REPLACE(Transactions!M3785,1,4,"")</f>
        <v>13</v>
      </c>
    </row>
    <row r="3786" spans="1:13" x14ac:dyDescent="0.2">
      <c r="A3786">
        <v>730254</v>
      </c>
      <c r="B3786" s="5">
        <v>45066</v>
      </c>
      <c r="C3786">
        <v>91506</v>
      </c>
      <c r="D3786" t="str">
        <f>PROPER(Transactions!D3786)</f>
        <v>Toys</v>
      </c>
      <c r="E3786" t="s">
        <v>175</v>
      </c>
      <c r="F3786" t="s">
        <v>176</v>
      </c>
      <c r="G3786">
        <v>1</v>
      </c>
      <c r="H3786">
        <v>11.99</v>
      </c>
      <c r="I3786" s="7">
        <f>IF(Transactions!I3786="",0,Transactions!I3786)</f>
        <v>0</v>
      </c>
      <c r="J3786" s="9">
        <f t="shared" si="59"/>
        <v>11.99</v>
      </c>
      <c r="K3786" t="s">
        <v>36</v>
      </c>
      <c r="L3786" t="s">
        <v>17</v>
      </c>
      <c r="M3786" t="str">
        <f>REPLACE(Transactions!M3786,1,4,"")</f>
        <v>15</v>
      </c>
    </row>
    <row r="3787" spans="1:13" x14ac:dyDescent="0.2">
      <c r="A3787">
        <v>730296</v>
      </c>
      <c r="B3787" s="5">
        <v>45254</v>
      </c>
      <c r="C3787">
        <v>89234</v>
      </c>
      <c r="D3787" t="str">
        <f>PROPER(Transactions!D3787)</f>
        <v>Toys</v>
      </c>
      <c r="E3787" t="s">
        <v>170</v>
      </c>
      <c r="F3787" t="s">
        <v>171</v>
      </c>
      <c r="G3787">
        <v>4</v>
      </c>
      <c r="H3787">
        <v>14.24</v>
      </c>
      <c r="I3787" s="7">
        <f>IF(Transactions!I3787="",0,Transactions!I3787)</f>
        <v>0.05</v>
      </c>
      <c r="J3787" s="9">
        <f t="shared" si="59"/>
        <v>54.111999999999995</v>
      </c>
      <c r="K3787" t="s">
        <v>36</v>
      </c>
      <c r="L3787" t="s">
        <v>17</v>
      </c>
      <c r="M3787" t="str">
        <f>REPLACE(Transactions!M3787,1,4,"")</f>
        <v>8</v>
      </c>
    </row>
    <row r="3788" spans="1:13" x14ac:dyDescent="0.2">
      <c r="A3788">
        <v>730476</v>
      </c>
      <c r="B3788" s="5">
        <v>45041</v>
      </c>
      <c r="D3788" t="str">
        <f>PROPER(Transactions!D3788)</f>
        <v>Grocery</v>
      </c>
      <c r="E3788" t="s">
        <v>195</v>
      </c>
      <c r="F3788" t="s">
        <v>196</v>
      </c>
      <c r="G3788">
        <v>1</v>
      </c>
      <c r="H3788">
        <v>3.74</v>
      </c>
      <c r="I3788" s="7">
        <f>IF(Transactions!I3788="",0,Transactions!I3788)</f>
        <v>0.25</v>
      </c>
      <c r="J3788" s="9">
        <f t="shared" si="59"/>
        <v>2.8050000000000002</v>
      </c>
      <c r="K3788" t="s">
        <v>95</v>
      </c>
      <c r="L3788" t="s">
        <v>23</v>
      </c>
      <c r="M3788" t="str">
        <f>REPLACE(Transactions!M3788,1,4,"")</f>
        <v>13</v>
      </c>
    </row>
    <row r="3789" spans="1:13" x14ac:dyDescent="0.2">
      <c r="A3789">
        <v>730926</v>
      </c>
      <c r="B3789" s="5">
        <v>45009</v>
      </c>
      <c r="C3789">
        <v>65621</v>
      </c>
      <c r="D3789" t="str">
        <f>PROPER(Transactions!D3789)</f>
        <v>Electronics</v>
      </c>
      <c r="E3789" t="s">
        <v>55</v>
      </c>
      <c r="F3789" t="s">
        <v>56</v>
      </c>
      <c r="G3789">
        <v>1</v>
      </c>
      <c r="H3789">
        <v>329.99</v>
      </c>
      <c r="I3789" s="7">
        <f>IF(Transactions!I3789="",0,Transactions!I3789)</f>
        <v>0</v>
      </c>
      <c r="J3789" s="9">
        <f t="shared" si="59"/>
        <v>329.99</v>
      </c>
      <c r="K3789" t="s">
        <v>36</v>
      </c>
      <c r="L3789" t="s">
        <v>37</v>
      </c>
      <c r="M3789" t="str">
        <f>REPLACE(Transactions!M3789,1,4,"")</f>
        <v>20</v>
      </c>
    </row>
    <row r="3790" spans="1:13" x14ac:dyDescent="0.2">
      <c r="A3790">
        <v>731394</v>
      </c>
      <c r="B3790" s="5">
        <v>45100</v>
      </c>
      <c r="C3790">
        <v>95394</v>
      </c>
      <c r="D3790" t="str">
        <f>PROPER(Transactions!D3790)</f>
        <v>Beauty</v>
      </c>
      <c r="E3790" t="s">
        <v>179</v>
      </c>
      <c r="F3790" t="s">
        <v>180</v>
      </c>
      <c r="G3790">
        <v>3</v>
      </c>
      <c r="H3790">
        <v>10.79</v>
      </c>
      <c r="I3790" s="7">
        <f>IF(Transactions!I3790="",0,Transactions!I3790)</f>
        <v>0.1</v>
      </c>
      <c r="J3790" s="9">
        <f t="shared" si="59"/>
        <v>29.132999999999999</v>
      </c>
      <c r="K3790" t="s">
        <v>16</v>
      </c>
      <c r="L3790" t="s">
        <v>23</v>
      </c>
      <c r="M3790" t="str">
        <f>REPLACE(Transactions!M3790,1,4,"")</f>
        <v>8</v>
      </c>
    </row>
    <row r="3791" spans="1:13" x14ac:dyDescent="0.2">
      <c r="A3791">
        <v>731423</v>
      </c>
      <c r="B3791" s="5">
        <v>45098</v>
      </c>
      <c r="C3791">
        <v>38399</v>
      </c>
      <c r="D3791" t="str">
        <f>PROPER(Transactions!D3791)</f>
        <v>Toys</v>
      </c>
      <c r="E3791" t="s">
        <v>30</v>
      </c>
      <c r="F3791" t="s">
        <v>31</v>
      </c>
      <c r="G3791">
        <v>2</v>
      </c>
      <c r="H3791">
        <v>22.49</v>
      </c>
      <c r="I3791" s="7">
        <f>IF(Transactions!I3791="",0,Transactions!I3791)</f>
        <v>0.1</v>
      </c>
      <c r="J3791" s="9">
        <f t="shared" si="59"/>
        <v>40.481999999999999</v>
      </c>
      <c r="K3791" t="s">
        <v>36</v>
      </c>
      <c r="L3791" t="s">
        <v>17</v>
      </c>
      <c r="M3791" t="str">
        <f>REPLACE(Transactions!M3791,1,4,"")</f>
        <v>20</v>
      </c>
    </row>
    <row r="3792" spans="1:13" x14ac:dyDescent="0.2">
      <c r="A3792">
        <v>731429</v>
      </c>
      <c r="B3792" s="5">
        <v>45181</v>
      </c>
      <c r="C3792">
        <v>81278</v>
      </c>
      <c r="D3792" t="str">
        <f>PROPER(Transactions!D3792)</f>
        <v>Clothing</v>
      </c>
      <c r="E3792" t="s">
        <v>151</v>
      </c>
      <c r="F3792" t="s">
        <v>152</v>
      </c>
      <c r="G3792">
        <v>1</v>
      </c>
      <c r="H3792">
        <v>34.99</v>
      </c>
      <c r="I3792" s="7">
        <f>IF(Transactions!I3792="",0,Transactions!I3792)</f>
        <v>0</v>
      </c>
      <c r="J3792" s="9">
        <f t="shared" si="59"/>
        <v>34.99</v>
      </c>
      <c r="K3792" t="s">
        <v>16</v>
      </c>
      <c r="L3792" t="s">
        <v>17</v>
      </c>
      <c r="M3792" t="str">
        <f>REPLACE(Transactions!M3792,1,4,"")</f>
        <v>3</v>
      </c>
    </row>
    <row r="3793" spans="1:13" x14ac:dyDescent="0.2">
      <c r="A3793">
        <v>731522</v>
      </c>
      <c r="B3793" s="5">
        <v>44813</v>
      </c>
      <c r="C3793">
        <v>89600</v>
      </c>
      <c r="D3793" t="str">
        <f>PROPER(Transactions!D3793)</f>
        <v>Home &amp; Garden</v>
      </c>
      <c r="E3793" t="s">
        <v>157</v>
      </c>
      <c r="F3793" t="s">
        <v>158</v>
      </c>
      <c r="G3793">
        <v>1</v>
      </c>
      <c r="H3793">
        <v>10.119999999999999</v>
      </c>
      <c r="I3793" s="7">
        <f>IF(Transactions!I3793="",0,Transactions!I3793)</f>
        <v>0.25</v>
      </c>
      <c r="J3793" s="9">
        <f t="shared" si="59"/>
        <v>7.59</v>
      </c>
      <c r="K3793" t="s">
        <v>36</v>
      </c>
      <c r="L3793" t="s">
        <v>37</v>
      </c>
      <c r="M3793" t="str">
        <f>REPLACE(Transactions!M3793,1,4,"")</f>
        <v>3</v>
      </c>
    </row>
    <row r="3794" spans="1:13" x14ac:dyDescent="0.2">
      <c r="A3794">
        <v>732061</v>
      </c>
      <c r="B3794" s="5">
        <v>45251</v>
      </c>
      <c r="C3794">
        <v>86247</v>
      </c>
      <c r="D3794" t="str">
        <f>PROPER(Transactions!D3794)</f>
        <v>Clothing</v>
      </c>
      <c r="E3794" t="s">
        <v>181</v>
      </c>
      <c r="F3794" t="s">
        <v>182</v>
      </c>
      <c r="G3794">
        <v>1</v>
      </c>
      <c r="H3794">
        <v>14.99</v>
      </c>
      <c r="I3794" s="7">
        <f>IF(Transactions!I3794="",0,Transactions!I3794)</f>
        <v>0</v>
      </c>
      <c r="J3794" s="9">
        <f t="shared" si="59"/>
        <v>14.99</v>
      </c>
      <c r="K3794" t="s">
        <v>16</v>
      </c>
      <c r="L3794" t="s">
        <v>37</v>
      </c>
      <c r="M3794" t="str">
        <f>REPLACE(Transactions!M3794,1,4,"")</f>
        <v>16</v>
      </c>
    </row>
    <row r="3795" spans="1:13" x14ac:dyDescent="0.2">
      <c r="A3795">
        <v>732185</v>
      </c>
      <c r="B3795" s="5">
        <v>45015</v>
      </c>
      <c r="C3795">
        <v>32830</v>
      </c>
      <c r="D3795" t="str">
        <f>PROPER(Transactions!D3795)</f>
        <v>Furniture</v>
      </c>
      <c r="E3795" t="s">
        <v>70</v>
      </c>
      <c r="F3795" t="s">
        <v>71</v>
      </c>
      <c r="G3795">
        <v>5</v>
      </c>
      <c r="H3795">
        <v>89.99</v>
      </c>
      <c r="I3795" s="7">
        <f>IF(Transactions!I3795="",0,Transactions!I3795)</f>
        <v>0</v>
      </c>
      <c r="J3795" s="9">
        <f t="shared" si="59"/>
        <v>449.95</v>
      </c>
      <c r="K3795" t="s">
        <v>16</v>
      </c>
      <c r="L3795" t="s">
        <v>17</v>
      </c>
      <c r="M3795" t="str">
        <f>REPLACE(Transactions!M3795,1,4,"")</f>
        <v>17</v>
      </c>
    </row>
    <row r="3796" spans="1:13" x14ac:dyDescent="0.2">
      <c r="A3796">
        <v>732386</v>
      </c>
      <c r="B3796" s="5">
        <v>44642</v>
      </c>
      <c r="C3796">
        <v>88156</v>
      </c>
      <c r="D3796" t="str">
        <f>PROPER(Transactions!D3796)</f>
        <v>Pharmacy</v>
      </c>
      <c r="E3796" t="s">
        <v>20</v>
      </c>
      <c r="F3796" t="s">
        <v>21</v>
      </c>
      <c r="G3796">
        <v>1</v>
      </c>
      <c r="H3796">
        <v>7.99</v>
      </c>
      <c r="I3796" s="7">
        <f>IF(Transactions!I3796="",0,Transactions!I3796)</f>
        <v>0.2</v>
      </c>
      <c r="J3796" s="9">
        <f t="shared" si="59"/>
        <v>6.3920000000000003</v>
      </c>
      <c r="K3796" t="s">
        <v>95</v>
      </c>
      <c r="L3796" t="s">
        <v>37</v>
      </c>
      <c r="M3796" t="str">
        <f>REPLACE(Transactions!M3796,1,4,"")</f>
        <v>17</v>
      </c>
    </row>
    <row r="3797" spans="1:13" x14ac:dyDescent="0.2">
      <c r="A3797">
        <v>732552</v>
      </c>
      <c r="B3797" s="5">
        <v>45506</v>
      </c>
      <c r="C3797">
        <v>70477</v>
      </c>
      <c r="D3797" t="str">
        <f>PROPER(Transactions!D3797)</f>
        <v>Electronics</v>
      </c>
      <c r="E3797" t="s">
        <v>34</v>
      </c>
      <c r="F3797" t="s">
        <v>35</v>
      </c>
      <c r="G3797">
        <v>1</v>
      </c>
      <c r="H3797">
        <v>26.24</v>
      </c>
      <c r="I3797" s="7">
        <f>IF(Transactions!I3797="",0,Transactions!I3797)</f>
        <v>0.25</v>
      </c>
      <c r="J3797" s="9">
        <f t="shared" si="59"/>
        <v>19.68</v>
      </c>
      <c r="K3797" t="s">
        <v>16</v>
      </c>
      <c r="L3797" t="s">
        <v>17</v>
      </c>
      <c r="M3797" t="str">
        <f>REPLACE(Transactions!M3797,1,4,"")</f>
        <v>9</v>
      </c>
    </row>
    <row r="3798" spans="1:13" x14ac:dyDescent="0.2">
      <c r="A3798">
        <v>732580</v>
      </c>
      <c r="B3798" s="5">
        <v>45330</v>
      </c>
      <c r="C3798">
        <v>88449</v>
      </c>
      <c r="D3798" t="str">
        <f>PROPER(Transactions!D3798)</f>
        <v>Clothing</v>
      </c>
      <c r="E3798" t="s">
        <v>141</v>
      </c>
      <c r="F3798" t="s">
        <v>142</v>
      </c>
      <c r="G3798">
        <v>2</v>
      </c>
      <c r="H3798">
        <v>22.99</v>
      </c>
      <c r="I3798" s="7">
        <f>IF(Transactions!I3798="",0,Transactions!I3798)</f>
        <v>0</v>
      </c>
      <c r="J3798" s="9">
        <f t="shared" si="59"/>
        <v>45.98</v>
      </c>
      <c r="K3798" t="s">
        <v>36</v>
      </c>
      <c r="L3798" t="s">
        <v>23</v>
      </c>
      <c r="M3798" t="str">
        <f>REPLACE(Transactions!M3798,1,4,"")</f>
        <v>15</v>
      </c>
    </row>
    <row r="3799" spans="1:13" x14ac:dyDescent="0.2">
      <c r="A3799">
        <v>732610</v>
      </c>
      <c r="B3799" s="5">
        <v>44835</v>
      </c>
      <c r="C3799">
        <v>71745</v>
      </c>
      <c r="D3799" t="str">
        <f>PROPER(Transactions!D3799)</f>
        <v>Beauty</v>
      </c>
      <c r="E3799" t="s">
        <v>179</v>
      </c>
      <c r="F3799" t="s">
        <v>180</v>
      </c>
      <c r="G3799">
        <v>3</v>
      </c>
      <c r="H3799">
        <v>11.99</v>
      </c>
      <c r="I3799" s="7">
        <f>IF(Transactions!I3799="",0,Transactions!I3799)</f>
        <v>0</v>
      </c>
      <c r="J3799" s="9">
        <f t="shared" si="59"/>
        <v>35.97</v>
      </c>
      <c r="K3799" t="s">
        <v>16</v>
      </c>
      <c r="L3799" t="s">
        <v>17</v>
      </c>
      <c r="M3799" t="str">
        <f>REPLACE(Transactions!M3799,1,4,"")</f>
        <v>6</v>
      </c>
    </row>
    <row r="3800" spans="1:13" x14ac:dyDescent="0.2">
      <c r="A3800">
        <v>732742</v>
      </c>
      <c r="B3800" s="5">
        <v>44823</v>
      </c>
      <c r="C3800">
        <v>76126</v>
      </c>
      <c r="D3800" t="str">
        <f>PROPER(Transactions!D3800)</f>
        <v>Electronics</v>
      </c>
      <c r="E3800" t="s">
        <v>186</v>
      </c>
      <c r="F3800" t="s">
        <v>187</v>
      </c>
      <c r="G3800">
        <v>1</v>
      </c>
      <c r="H3800">
        <v>34.99</v>
      </c>
      <c r="I3800" s="7">
        <f>IF(Transactions!I3800="",0,Transactions!I3800)</f>
        <v>0.3</v>
      </c>
      <c r="J3800" s="9">
        <f t="shared" si="59"/>
        <v>24.492999999999999</v>
      </c>
      <c r="K3800" t="s">
        <v>53</v>
      </c>
      <c r="L3800" t="s">
        <v>17</v>
      </c>
      <c r="M3800" t="str">
        <f>REPLACE(Transactions!M3800,1,4,"")</f>
        <v>16</v>
      </c>
    </row>
    <row r="3801" spans="1:13" x14ac:dyDescent="0.2">
      <c r="A3801">
        <v>732795</v>
      </c>
      <c r="B3801" s="5">
        <v>44810</v>
      </c>
      <c r="C3801">
        <v>43879</v>
      </c>
      <c r="D3801" t="str">
        <f>PROPER(Transactions!D3801)</f>
        <v>Toys</v>
      </c>
      <c r="E3801" t="s">
        <v>88</v>
      </c>
      <c r="F3801" t="s">
        <v>89</v>
      </c>
      <c r="G3801">
        <v>2</v>
      </c>
      <c r="H3801">
        <v>39.99</v>
      </c>
      <c r="I3801" s="7">
        <f>IF(Transactions!I3801="",0,Transactions!I3801)</f>
        <v>0.2</v>
      </c>
      <c r="J3801" s="9">
        <f t="shared" si="59"/>
        <v>63.984000000000009</v>
      </c>
      <c r="K3801" t="s">
        <v>16</v>
      </c>
      <c r="L3801" t="s">
        <v>37</v>
      </c>
      <c r="M3801" t="str">
        <f>REPLACE(Transactions!M3801,1,4,"")</f>
        <v>16</v>
      </c>
    </row>
    <row r="3802" spans="1:13" x14ac:dyDescent="0.2">
      <c r="A3802">
        <v>732954</v>
      </c>
      <c r="B3802" s="5">
        <v>45299</v>
      </c>
      <c r="C3802">
        <v>88227</v>
      </c>
      <c r="D3802" t="str">
        <f>PROPER(Transactions!D3802)</f>
        <v>Pharmacy</v>
      </c>
      <c r="E3802" t="s">
        <v>115</v>
      </c>
      <c r="F3802" t="s">
        <v>116</v>
      </c>
      <c r="G3802">
        <v>1</v>
      </c>
      <c r="H3802">
        <v>12.99</v>
      </c>
      <c r="I3802" s="7">
        <f>IF(Transactions!I3802="",0,Transactions!I3802)</f>
        <v>0</v>
      </c>
      <c r="J3802" s="9">
        <f t="shared" si="59"/>
        <v>12.99</v>
      </c>
      <c r="K3802" t="s">
        <v>36</v>
      </c>
      <c r="L3802" t="s">
        <v>17</v>
      </c>
      <c r="M3802" t="str">
        <f>REPLACE(Transactions!M3802,1,4,"")</f>
        <v>15</v>
      </c>
    </row>
    <row r="3803" spans="1:13" x14ac:dyDescent="0.2">
      <c r="A3803">
        <v>733677</v>
      </c>
      <c r="B3803" s="5">
        <v>44681</v>
      </c>
      <c r="C3803">
        <v>19928</v>
      </c>
      <c r="D3803" t="str">
        <f>PROPER(Transactions!D3803)</f>
        <v>Clothing</v>
      </c>
      <c r="E3803" t="s">
        <v>98</v>
      </c>
      <c r="F3803" t="s">
        <v>99</v>
      </c>
      <c r="G3803">
        <v>1</v>
      </c>
      <c r="H3803">
        <v>27.99</v>
      </c>
      <c r="I3803" s="7">
        <f>IF(Transactions!I3803="",0,Transactions!I3803)</f>
        <v>0</v>
      </c>
      <c r="J3803" s="9">
        <f t="shared" si="59"/>
        <v>27.99</v>
      </c>
      <c r="K3803" t="s">
        <v>16</v>
      </c>
      <c r="L3803" t="s">
        <v>37</v>
      </c>
      <c r="M3803" t="str">
        <f>REPLACE(Transactions!M3803,1,4,"")</f>
        <v>4</v>
      </c>
    </row>
    <row r="3804" spans="1:13" x14ac:dyDescent="0.2">
      <c r="A3804">
        <v>734299</v>
      </c>
      <c r="B3804" s="5">
        <v>44582</v>
      </c>
      <c r="C3804">
        <v>27899</v>
      </c>
      <c r="D3804" t="str">
        <f>PROPER(Transactions!D3804)</f>
        <v>Automotive</v>
      </c>
      <c r="E3804" t="s">
        <v>125</v>
      </c>
      <c r="F3804" t="s">
        <v>126</v>
      </c>
      <c r="G3804">
        <v>2</v>
      </c>
      <c r="H3804">
        <v>25.49</v>
      </c>
      <c r="I3804" s="7">
        <f>IF(Transactions!I3804="",0,Transactions!I3804)</f>
        <v>0.15</v>
      </c>
      <c r="J3804" s="9">
        <f t="shared" si="59"/>
        <v>43.332999999999998</v>
      </c>
      <c r="K3804" t="s">
        <v>36</v>
      </c>
      <c r="L3804" t="s">
        <v>17</v>
      </c>
      <c r="M3804" t="str">
        <f>REPLACE(Transactions!M3804,1,4,"")</f>
        <v>3</v>
      </c>
    </row>
    <row r="3805" spans="1:13" x14ac:dyDescent="0.2">
      <c r="A3805">
        <v>735145</v>
      </c>
      <c r="B3805" s="5">
        <v>45528</v>
      </c>
      <c r="C3805">
        <v>61274</v>
      </c>
      <c r="D3805" t="str">
        <f>PROPER(Transactions!D3805)</f>
        <v>Electronics</v>
      </c>
      <c r="E3805" t="s">
        <v>79</v>
      </c>
      <c r="F3805" t="s">
        <v>80</v>
      </c>
      <c r="G3805">
        <v>5</v>
      </c>
      <c r="H3805">
        <v>71.989999999999995</v>
      </c>
      <c r="I3805" s="7">
        <f>IF(Transactions!I3805="",0,Transactions!I3805)</f>
        <v>0.2</v>
      </c>
      <c r="J3805" s="9">
        <f t="shared" si="59"/>
        <v>287.95999999999998</v>
      </c>
      <c r="K3805" t="s">
        <v>16</v>
      </c>
      <c r="L3805" t="s">
        <v>37</v>
      </c>
      <c r="M3805" t="str">
        <f>REPLACE(Transactions!M3805,1,4,"")</f>
        <v>3</v>
      </c>
    </row>
    <row r="3806" spans="1:13" x14ac:dyDescent="0.2">
      <c r="A3806">
        <v>735307</v>
      </c>
      <c r="B3806" s="5">
        <v>45634</v>
      </c>
      <c r="C3806">
        <v>18905</v>
      </c>
      <c r="D3806" t="str">
        <f>PROPER(Transactions!D3806)</f>
        <v>Furniture</v>
      </c>
      <c r="E3806" t="s">
        <v>60</v>
      </c>
      <c r="F3806" t="s">
        <v>61</v>
      </c>
      <c r="G3806">
        <v>4</v>
      </c>
      <c r="H3806">
        <v>46.74</v>
      </c>
      <c r="I3806" s="7">
        <f>IF(Transactions!I3806="",0,Transactions!I3806)</f>
        <v>0.15</v>
      </c>
      <c r="J3806" s="9">
        <f t="shared" si="59"/>
        <v>158.916</v>
      </c>
      <c r="K3806" t="s">
        <v>16</v>
      </c>
      <c r="L3806" t="s">
        <v>17</v>
      </c>
      <c r="M3806" t="str">
        <f>REPLACE(Transactions!M3806,1,4,"")</f>
        <v>14</v>
      </c>
    </row>
    <row r="3807" spans="1:13" x14ac:dyDescent="0.2">
      <c r="A3807">
        <v>735374</v>
      </c>
      <c r="B3807" s="5">
        <v>44945</v>
      </c>
      <c r="C3807">
        <v>10877</v>
      </c>
      <c r="D3807" t="str">
        <f>PROPER(Transactions!D3807)</f>
        <v>Pharmacy</v>
      </c>
      <c r="E3807" t="s">
        <v>197</v>
      </c>
      <c r="F3807" t="s">
        <v>198</v>
      </c>
      <c r="G3807">
        <v>3</v>
      </c>
      <c r="H3807">
        <v>11.24</v>
      </c>
      <c r="I3807" s="7">
        <f>IF(Transactions!I3807="",0,Transactions!I3807)</f>
        <v>0.25</v>
      </c>
      <c r="J3807" s="9">
        <f t="shared" si="59"/>
        <v>25.29</v>
      </c>
      <c r="K3807" t="s">
        <v>16</v>
      </c>
      <c r="L3807" t="s">
        <v>17</v>
      </c>
      <c r="M3807" t="str">
        <f>REPLACE(Transactions!M3807,1,4,"")</f>
        <v>11</v>
      </c>
    </row>
    <row r="3808" spans="1:13" x14ac:dyDescent="0.2">
      <c r="A3808">
        <v>735577</v>
      </c>
      <c r="B3808" s="5">
        <v>45293</v>
      </c>
      <c r="C3808">
        <v>74405</v>
      </c>
      <c r="D3808" t="str">
        <f>PROPER(Transactions!D3808)</f>
        <v>Toys</v>
      </c>
      <c r="E3808" t="s">
        <v>38</v>
      </c>
      <c r="F3808" t="s">
        <v>39</v>
      </c>
      <c r="G3808">
        <v>5</v>
      </c>
      <c r="H3808">
        <v>29.99</v>
      </c>
      <c r="I3808" s="7">
        <f>IF(Transactions!I3808="",0,Transactions!I3808)</f>
        <v>0</v>
      </c>
      <c r="J3808" s="9">
        <f t="shared" si="59"/>
        <v>149.94999999999999</v>
      </c>
      <c r="K3808" t="s">
        <v>32</v>
      </c>
      <c r="L3808" t="s">
        <v>17</v>
      </c>
      <c r="M3808" t="str">
        <f>REPLACE(Transactions!M3808,1,4,"")</f>
        <v>12</v>
      </c>
    </row>
    <row r="3809" spans="1:13" x14ac:dyDescent="0.2">
      <c r="A3809">
        <v>735638</v>
      </c>
      <c r="B3809" s="5">
        <v>45325</v>
      </c>
      <c r="C3809">
        <v>96270</v>
      </c>
      <c r="D3809" t="str">
        <f>PROPER(Transactions!D3809)</f>
        <v>Home &amp; Garden</v>
      </c>
      <c r="E3809" t="s">
        <v>149</v>
      </c>
      <c r="F3809" t="s">
        <v>150</v>
      </c>
      <c r="G3809">
        <v>3</v>
      </c>
      <c r="H3809">
        <v>16.989999999999998</v>
      </c>
      <c r="I3809" s="7">
        <f>IF(Transactions!I3809="",0,Transactions!I3809)</f>
        <v>0.15</v>
      </c>
      <c r="J3809" s="9">
        <f t="shared" si="59"/>
        <v>43.3245</v>
      </c>
      <c r="K3809" t="s">
        <v>22</v>
      </c>
      <c r="L3809" t="s">
        <v>37</v>
      </c>
      <c r="M3809" t="str">
        <f>REPLACE(Transactions!M3809,1,4,"")</f>
        <v>12</v>
      </c>
    </row>
    <row r="3810" spans="1:13" x14ac:dyDescent="0.2">
      <c r="A3810">
        <v>735822</v>
      </c>
      <c r="B3810" s="5">
        <v>44670</v>
      </c>
      <c r="C3810">
        <v>83256</v>
      </c>
      <c r="D3810" t="str">
        <f>PROPER(Transactions!D3810)</f>
        <v>Grocery</v>
      </c>
      <c r="E3810" t="s">
        <v>172</v>
      </c>
      <c r="F3810" t="s">
        <v>173</v>
      </c>
      <c r="G3810">
        <v>1</v>
      </c>
      <c r="H3810">
        <v>3.14</v>
      </c>
      <c r="I3810" s="7">
        <f>IF(Transactions!I3810="",0,Transactions!I3810)</f>
        <v>0.3</v>
      </c>
      <c r="J3810" s="9">
        <f t="shared" si="59"/>
        <v>2.198</v>
      </c>
      <c r="K3810" t="s">
        <v>16</v>
      </c>
      <c r="L3810" t="s">
        <v>17</v>
      </c>
      <c r="M3810" t="str">
        <f>REPLACE(Transactions!M3810,1,4,"")</f>
        <v/>
      </c>
    </row>
    <row r="3811" spans="1:13" x14ac:dyDescent="0.2">
      <c r="A3811">
        <v>736166</v>
      </c>
      <c r="B3811" s="5">
        <v>45597</v>
      </c>
      <c r="C3811">
        <v>64692</v>
      </c>
      <c r="D3811" t="str">
        <f>PROPER(Transactions!D3811)</f>
        <v>Furniture</v>
      </c>
      <c r="E3811" t="s">
        <v>60</v>
      </c>
      <c r="F3811" t="s">
        <v>61</v>
      </c>
      <c r="G3811">
        <v>1</v>
      </c>
      <c r="H3811">
        <v>49.49</v>
      </c>
      <c r="I3811" s="7">
        <f>IF(Transactions!I3811="",0,Transactions!I3811)</f>
        <v>0.1</v>
      </c>
      <c r="J3811" s="9">
        <f t="shared" si="59"/>
        <v>44.541000000000004</v>
      </c>
      <c r="K3811" t="s">
        <v>16</v>
      </c>
      <c r="L3811" t="s">
        <v>17</v>
      </c>
      <c r="M3811" t="str">
        <f>REPLACE(Transactions!M3811,1,4,"")</f>
        <v>8</v>
      </c>
    </row>
    <row r="3812" spans="1:13" x14ac:dyDescent="0.2">
      <c r="A3812">
        <v>736515</v>
      </c>
      <c r="B3812" s="5">
        <v>45064</v>
      </c>
      <c r="C3812">
        <v>45824</v>
      </c>
      <c r="D3812" t="str">
        <f>PROPER(Transactions!D3812)</f>
        <v>Grocery</v>
      </c>
      <c r="E3812" t="s">
        <v>195</v>
      </c>
      <c r="F3812" t="s">
        <v>196</v>
      </c>
      <c r="G3812">
        <v>1</v>
      </c>
      <c r="H3812">
        <v>3.99</v>
      </c>
      <c r="I3812" s="7">
        <f>IF(Transactions!I3812="",0,Transactions!I3812)</f>
        <v>0.2</v>
      </c>
      <c r="J3812" s="9">
        <f t="shared" si="59"/>
        <v>3.1920000000000002</v>
      </c>
      <c r="K3812" t="s">
        <v>66</v>
      </c>
      <c r="L3812" t="s">
        <v>37</v>
      </c>
      <c r="M3812" t="str">
        <f>REPLACE(Transactions!M3812,1,4,"")</f>
        <v>7</v>
      </c>
    </row>
    <row r="3813" spans="1:13" x14ac:dyDescent="0.2">
      <c r="A3813">
        <v>736597</v>
      </c>
      <c r="B3813" s="5">
        <v>44869</v>
      </c>
      <c r="C3813">
        <v>13984</v>
      </c>
      <c r="D3813" t="str">
        <f>PROPER(Transactions!D3813)</f>
        <v>Electronics</v>
      </c>
      <c r="E3813" t="s">
        <v>79</v>
      </c>
      <c r="F3813" t="s">
        <v>80</v>
      </c>
      <c r="G3813">
        <v>2</v>
      </c>
      <c r="H3813">
        <v>89.99</v>
      </c>
      <c r="I3813" s="7">
        <f>IF(Transactions!I3813="",0,Transactions!I3813)</f>
        <v>0</v>
      </c>
      <c r="J3813" s="9">
        <f t="shared" si="59"/>
        <v>179.98</v>
      </c>
      <c r="K3813" t="s">
        <v>16</v>
      </c>
      <c r="L3813" t="s">
        <v>23</v>
      </c>
      <c r="M3813" t="str">
        <f>REPLACE(Transactions!M3813,1,4,"")</f>
        <v>2</v>
      </c>
    </row>
    <row r="3814" spans="1:13" x14ac:dyDescent="0.2">
      <c r="A3814">
        <v>736885</v>
      </c>
      <c r="B3814" s="5">
        <v>45445</v>
      </c>
      <c r="C3814">
        <v>44504</v>
      </c>
      <c r="D3814" t="str">
        <f>PROPER(Transactions!D3814)</f>
        <v>Grocery</v>
      </c>
      <c r="E3814" t="s">
        <v>133</v>
      </c>
      <c r="F3814" t="s">
        <v>134</v>
      </c>
      <c r="G3814">
        <v>4</v>
      </c>
      <c r="H3814">
        <v>2.65</v>
      </c>
      <c r="I3814" s="7">
        <f>IF(Transactions!I3814="",0,Transactions!I3814)</f>
        <v>0.3</v>
      </c>
      <c r="J3814" s="9">
        <f t="shared" si="59"/>
        <v>7.419999999999999</v>
      </c>
      <c r="K3814" t="s">
        <v>22</v>
      </c>
      <c r="L3814" t="s">
        <v>37</v>
      </c>
      <c r="M3814" t="str">
        <f>REPLACE(Transactions!M3814,1,4,"")</f>
        <v>19</v>
      </c>
    </row>
    <row r="3815" spans="1:13" x14ac:dyDescent="0.2">
      <c r="A3815">
        <v>736941</v>
      </c>
      <c r="B3815" s="5">
        <v>45308</v>
      </c>
      <c r="C3815">
        <v>66611</v>
      </c>
      <c r="D3815" t="str">
        <f>PROPER(Transactions!D3815)</f>
        <v>Sports</v>
      </c>
      <c r="E3815" t="s">
        <v>83</v>
      </c>
      <c r="F3815" t="s">
        <v>84</v>
      </c>
      <c r="G3815">
        <v>1</v>
      </c>
      <c r="H3815">
        <v>13.59</v>
      </c>
      <c r="I3815" s="7">
        <f>IF(Transactions!I3815="",0,Transactions!I3815)</f>
        <v>0.2</v>
      </c>
      <c r="J3815" s="9">
        <f t="shared" si="59"/>
        <v>10.872</v>
      </c>
      <c r="K3815" t="s">
        <v>22</v>
      </c>
      <c r="L3815" t="s">
        <v>23</v>
      </c>
      <c r="M3815" t="str">
        <f>REPLACE(Transactions!M3815,1,4,"")</f>
        <v/>
      </c>
    </row>
    <row r="3816" spans="1:13" x14ac:dyDescent="0.2">
      <c r="A3816">
        <v>737202</v>
      </c>
      <c r="B3816" s="5">
        <v>44638</v>
      </c>
      <c r="C3816">
        <v>94592</v>
      </c>
      <c r="D3816" t="str">
        <f>PROPER(Transactions!D3816)</f>
        <v>Automotive</v>
      </c>
      <c r="E3816" t="s">
        <v>131</v>
      </c>
      <c r="F3816" t="s">
        <v>132</v>
      </c>
      <c r="G3816">
        <v>5</v>
      </c>
      <c r="H3816">
        <v>3.49</v>
      </c>
      <c r="I3816" s="7">
        <f>IF(Transactions!I3816="",0,Transactions!I3816)</f>
        <v>0</v>
      </c>
      <c r="J3816" s="9">
        <f t="shared" si="59"/>
        <v>17.450000000000003</v>
      </c>
      <c r="K3816" t="s">
        <v>22</v>
      </c>
      <c r="L3816" t="s">
        <v>37</v>
      </c>
      <c r="M3816" t="str">
        <f>REPLACE(Transactions!M3816,1,4,"")</f>
        <v>5</v>
      </c>
    </row>
    <row r="3817" spans="1:13" x14ac:dyDescent="0.2">
      <c r="A3817">
        <v>737355</v>
      </c>
      <c r="B3817" s="5">
        <v>45172</v>
      </c>
      <c r="C3817">
        <v>90916</v>
      </c>
      <c r="D3817" t="str">
        <f>PROPER(Transactions!D3817)</f>
        <v>Electronics</v>
      </c>
      <c r="E3817" t="s">
        <v>55</v>
      </c>
      <c r="F3817" t="s">
        <v>56</v>
      </c>
      <c r="G3817">
        <v>2</v>
      </c>
      <c r="H3817">
        <v>329.99</v>
      </c>
      <c r="I3817" s="7">
        <f>IF(Transactions!I3817="",0,Transactions!I3817)</f>
        <v>0</v>
      </c>
      <c r="J3817" s="9">
        <f t="shared" si="59"/>
        <v>659.98</v>
      </c>
      <c r="K3817" t="s">
        <v>36</v>
      </c>
      <c r="L3817" t="s">
        <v>17</v>
      </c>
      <c r="M3817" t="str">
        <f>REPLACE(Transactions!M3817,1,4,"")</f>
        <v>9</v>
      </c>
    </row>
    <row r="3818" spans="1:13" x14ac:dyDescent="0.2">
      <c r="A3818">
        <v>737614</v>
      </c>
      <c r="B3818" s="5">
        <v>45461</v>
      </c>
      <c r="C3818">
        <v>60560</v>
      </c>
      <c r="D3818" t="str">
        <f>PROPER(Transactions!D3818)</f>
        <v>Grocery</v>
      </c>
      <c r="E3818" t="s">
        <v>93</v>
      </c>
      <c r="F3818" t="s">
        <v>94</v>
      </c>
      <c r="G3818">
        <v>1</v>
      </c>
      <c r="H3818">
        <v>0.97</v>
      </c>
      <c r="I3818" s="7">
        <f>IF(Transactions!I3818="",0,Transactions!I3818)</f>
        <v>0.25</v>
      </c>
      <c r="J3818" s="9">
        <f t="shared" si="59"/>
        <v>0.72750000000000004</v>
      </c>
      <c r="K3818" t="s">
        <v>22</v>
      </c>
      <c r="L3818" t="s">
        <v>17</v>
      </c>
      <c r="M3818" t="str">
        <f>REPLACE(Transactions!M3818,1,4,"")</f>
        <v>14</v>
      </c>
    </row>
    <row r="3819" spans="1:13" x14ac:dyDescent="0.2">
      <c r="A3819">
        <v>737654</v>
      </c>
      <c r="B3819" s="5">
        <v>45475</v>
      </c>
      <c r="C3819">
        <v>60698</v>
      </c>
      <c r="D3819" t="str">
        <f>PROPER(Transactions!D3819)</f>
        <v>Automotive</v>
      </c>
      <c r="E3819" t="s">
        <v>131</v>
      </c>
      <c r="F3819" t="s">
        <v>132</v>
      </c>
      <c r="G3819">
        <v>2</v>
      </c>
      <c r="H3819">
        <v>2.62</v>
      </c>
      <c r="I3819" s="7">
        <f>IF(Transactions!I3819="",0,Transactions!I3819)</f>
        <v>0.25</v>
      </c>
      <c r="J3819" s="9">
        <f t="shared" si="59"/>
        <v>3.93</v>
      </c>
      <c r="K3819" t="s">
        <v>66</v>
      </c>
      <c r="L3819" t="s">
        <v>17</v>
      </c>
      <c r="M3819" t="str">
        <f>REPLACE(Transactions!M3819,1,4,"")</f>
        <v>3</v>
      </c>
    </row>
    <row r="3820" spans="1:13" x14ac:dyDescent="0.2">
      <c r="A3820">
        <v>737806</v>
      </c>
      <c r="B3820" s="5">
        <v>45360</v>
      </c>
      <c r="C3820">
        <v>49081</v>
      </c>
      <c r="D3820" t="str">
        <f>PROPER(Transactions!D3820)</f>
        <v>Home &amp; Garden</v>
      </c>
      <c r="E3820" t="s">
        <v>129</v>
      </c>
      <c r="F3820" t="s">
        <v>130</v>
      </c>
      <c r="G3820">
        <v>2</v>
      </c>
      <c r="H3820">
        <v>8.09</v>
      </c>
      <c r="I3820" s="7">
        <f>IF(Transactions!I3820="",0,Transactions!I3820)</f>
        <v>0.1</v>
      </c>
      <c r="J3820" s="9">
        <f t="shared" si="59"/>
        <v>14.561999999999999</v>
      </c>
      <c r="K3820" t="s">
        <v>95</v>
      </c>
      <c r="L3820" t="s">
        <v>17</v>
      </c>
      <c r="M3820" t="str">
        <f>REPLACE(Transactions!M3820,1,4,"")</f>
        <v>10</v>
      </c>
    </row>
    <row r="3821" spans="1:13" x14ac:dyDescent="0.2">
      <c r="A3821">
        <v>737894</v>
      </c>
      <c r="B3821" s="5">
        <v>44916</v>
      </c>
      <c r="C3821">
        <v>94245</v>
      </c>
      <c r="D3821" t="str">
        <f>PROPER(Transactions!D3821)</f>
        <v>Electronics</v>
      </c>
      <c r="E3821" t="s">
        <v>55</v>
      </c>
      <c r="F3821" t="s">
        <v>56</v>
      </c>
      <c r="G3821">
        <v>1</v>
      </c>
      <c r="H3821">
        <v>329.99</v>
      </c>
      <c r="I3821" s="7">
        <f>IF(Transactions!I3821="",0,Transactions!I3821)</f>
        <v>0</v>
      </c>
      <c r="J3821" s="9">
        <f t="shared" si="59"/>
        <v>329.99</v>
      </c>
      <c r="K3821" t="s">
        <v>95</v>
      </c>
      <c r="L3821" t="s">
        <v>17</v>
      </c>
      <c r="M3821" t="str">
        <f>REPLACE(Transactions!M3821,1,4,"")</f>
        <v>10</v>
      </c>
    </row>
    <row r="3822" spans="1:13" x14ac:dyDescent="0.2">
      <c r="A3822">
        <v>737979</v>
      </c>
      <c r="B3822" s="5">
        <v>45297</v>
      </c>
      <c r="D3822" t="str">
        <f>PROPER(Transactions!D3822)</f>
        <v>Beauty</v>
      </c>
      <c r="E3822" t="s">
        <v>118</v>
      </c>
      <c r="F3822" t="s">
        <v>119</v>
      </c>
      <c r="G3822">
        <v>5</v>
      </c>
      <c r="H3822">
        <v>3.74</v>
      </c>
      <c r="I3822" s="7">
        <f>IF(Transactions!I3822="",0,Transactions!I3822)</f>
        <v>0.25</v>
      </c>
      <c r="J3822" s="9">
        <f t="shared" si="59"/>
        <v>14.025000000000002</v>
      </c>
      <c r="K3822" t="s">
        <v>36</v>
      </c>
      <c r="L3822" t="s">
        <v>23</v>
      </c>
      <c r="M3822" t="str">
        <f>REPLACE(Transactions!M3822,1,4,"")</f>
        <v>16</v>
      </c>
    </row>
    <row r="3823" spans="1:13" x14ac:dyDescent="0.2">
      <c r="A3823">
        <v>738000</v>
      </c>
      <c r="B3823" s="5">
        <v>45241</v>
      </c>
      <c r="C3823">
        <v>91722</v>
      </c>
      <c r="D3823" t="str">
        <f>PROPER(Transactions!D3823)</f>
        <v>Beauty</v>
      </c>
      <c r="E3823" t="s">
        <v>139</v>
      </c>
      <c r="F3823" t="s">
        <v>140</v>
      </c>
      <c r="G3823">
        <v>5</v>
      </c>
      <c r="H3823">
        <v>5.59</v>
      </c>
      <c r="I3823" s="7">
        <f>IF(Transactions!I3823="",0,Transactions!I3823)</f>
        <v>0.3</v>
      </c>
      <c r="J3823" s="9">
        <f t="shared" si="59"/>
        <v>19.564999999999998</v>
      </c>
      <c r="K3823" t="s">
        <v>16</v>
      </c>
      <c r="L3823" t="s">
        <v>17</v>
      </c>
      <c r="M3823" t="str">
        <f>REPLACE(Transactions!M3823,1,4,"")</f>
        <v>14</v>
      </c>
    </row>
    <row r="3824" spans="1:13" x14ac:dyDescent="0.2">
      <c r="A3824">
        <v>738057</v>
      </c>
      <c r="B3824" s="5">
        <v>44758</v>
      </c>
      <c r="C3824">
        <v>59679</v>
      </c>
      <c r="D3824" t="str">
        <f>PROPER(Transactions!D3824)</f>
        <v>Beauty</v>
      </c>
      <c r="E3824" t="s">
        <v>139</v>
      </c>
      <c r="F3824" t="s">
        <v>140</v>
      </c>
      <c r="G3824">
        <v>1</v>
      </c>
      <c r="H3824">
        <v>5.99</v>
      </c>
      <c r="I3824" s="7">
        <f>IF(Transactions!I3824="",0,Transactions!I3824)</f>
        <v>0.25</v>
      </c>
      <c r="J3824" s="9">
        <f t="shared" si="59"/>
        <v>4.4924999999999997</v>
      </c>
      <c r="K3824" t="s">
        <v>16</v>
      </c>
      <c r="L3824" t="s">
        <v>37</v>
      </c>
      <c r="M3824" t="str">
        <f>REPLACE(Transactions!M3824,1,4,"")</f>
        <v>11</v>
      </c>
    </row>
    <row r="3825" spans="1:13" x14ac:dyDescent="0.2">
      <c r="A3825">
        <v>738081</v>
      </c>
      <c r="B3825" s="5">
        <v>45562</v>
      </c>
      <c r="C3825">
        <v>75726</v>
      </c>
      <c r="D3825" t="str">
        <f>PROPER(Transactions!D3825)</f>
        <v>Automotive</v>
      </c>
      <c r="E3825" t="s">
        <v>68</v>
      </c>
      <c r="F3825" t="s">
        <v>69</v>
      </c>
      <c r="G3825">
        <v>1</v>
      </c>
      <c r="H3825">
        <v>24.99</v>
      </c>
      <c r="I3825" s="7">
        <f>IF(Transactions!I3825="",0,Transactions!I3825)</f>
        <v>0</v>
      </c>
      <c r="J3825" s="9">
        <f t="shared" si="59"/>
        <v>24.99</v>
      </c>
      <c r="K3825" t="s">
        <v>36</v>
      </c>
      <c r="L3825" t="s">
        <v>17</v>
      </c>
      <c r="M3825" t="str">
        <f>REPLACE(Transactions!M3825,1,4,"")</f>
        <v>14</v>
      </c>
    </row>
    <row r="3826" spans="1:13" x14ac:dyDescent="0.2">
      <c r="A3826">
        <v>738318</v>
      </c>
      <c r="B3826" s="5">
        <v>45357</v>
      </c>
      <c r="D3826" t="str">
        <f>PROPER(Transactions!D3826)</f>
        <v>Toys</v>
      </c>
      <c r="E3826" t="s">
        <v>88</v>
      </c>
      <c r="F3826" t="s">
        <v>89</v>
      </c>
      <c r="G3826">
        <v>2</v>
      </c>
      <c r="H3826">
        <v>49.99</v>
      </c>
      <c r="I3826" s="7">
        <f>IF(Transactions!I3826="",0,Transactions!I3826)</f>
        <v>0</v>
      </c>
      <c r="J3826" s="9">
        <f t="shared" si="59"/>
        <v>99.98</v>
      </c>
      <c r="K3826" t="s">
        <v>66</v>
      </c>
      <c r="L3826" t="s">
        <v>17</v>
      </c>
      <c r="M3826" t="str">
        <f>REPLACE(Transactions!M3826,1,4,"")</f>
        <v>19</v>
      </c>
    </row>
    <row r="3827" spans="1:13" x14ac:dyDescent="0.2">
      <c r="A3827">
        <v>738684</v>
      </c>
      <c r="B3827" s="5">
        <v>44764</v>
      </c>
      <c r="C3827">
        <v>31269</v>
      </c>
      <c r="D3827" t="str">
        <f>PROPER(Transactions!D3827)</f>
        <v>Electronics</v>
      </c>
      <c r="E3827" t="s">
        <v>159</v>
      </c>
      <c r="F3827" t="s">
        <v>160</v>
      </c>
      <c r="G3827">
        <v>3</v>
      </c>
      <c r="H3827">
        <v>56.99</v>
      </c>
      <c r="I3827" s="7">
        <f>IF(Transactions!I3827="",0,Transactions!I3827)</f>
        <v>0.05</v>
      </c>
      <c r="J3827" s="9">
        <f t="shared" si="59"/>
        <v>162.42149999999998</v>
      </c>
      <c r="K3827" t="s">
        <v>36</v>
      </c>
      <c r="L3827" t="s">
        <v>37</v>
      </c>
      <c r="M3827" t="str">
        <f>REPLACE(Transactions!M3827,1,4,"")</f>
        <v>7</v>
      </c>
    </row>
    <row r="3828" spans="1:13" x14ac:dyDescent="0.2">
      <c r="A3828">
        <v>738715</v>
      </c>
      <c r="B3828" s="5">
        <v>45047</v>
      </c>
      <c r="C3828">
        <v>59828</v>
      </c>
      <c r="D3828" t="str">
        <f>PROPER(Transactions!D3828)</f>
        <v>Home &amp; Garden</v>
      </c>
      <c r="E3828" t="s">
        <v>153</v>
      </c>
      <c r="F3828" t="s">
        <v>154</v>
      </c>
      <c r="G3828">
        <v>5</v>
      </c>
      <c r="H3828">
        <v>23.99</v>
      </c>
      <c r="I3828" s="7">
        <f>IF(Transactions!I3828="",0,Transactions!I3828)</f>
        <v>0.2</v>
      </c>
      <c r="J3828" s="9">
        <f t="shared" si="59"/>
        <v>95.96</v>
      </c>
      <c r="K3828" t="s">
        <v>36</v>
      </c>
      <c r="L3828" t="s">
        <v>17</v>
      </c>
      <c r="M3828" t="str">
        <f>REPLACE(Transactions!M3828,1,4,"")</f>
        <v>20</v>
      </c>
    </row>
    <row r="3829" spans="1:13" x14ac:dyDescent="0.2">
      <c r="A3829">
        <v>739024</v>
      </c>
      <c r="B3829" s="5">
        <v>45171</v>
      </c>
      <c r="C3829">
        <v>55416</v>
      </c>
      <c r="D3829" t="str">
        <f>PROPER(Transactions!D3829)</f>
        <v>Electronics</v>
      </c>
      <c r="E3829" t="s">
        <v>159</v>
      </c>
      <c r="F3829" t="s">
        <v>160</v>
      </c>
      <c r="G3829">
        <v>3</v>
      </c>
      <c r="H3829">
        <v>53.99</v>
      </c>
      <c r="I3829" s="7">
        <f>IF(Transactions!I3829="",0,Transactions!I3829)</f>
        <v>0.1</v>
      </c>
      <c r="J3829" s="9">
        <f t="shared" si="59"/>
        <v>145.773</v>
      </c>
      <c r="K3829" t="s">
        <v>16</v>
      </c>
      <c r="L3829" t="s">
        <v>23</v>
      </c>
      <c r="M3829" t="str">
        <f>REPLACE(Transactions!M3829,1,4,"")</f>
        <v>6</v>
      </c>
    </row>
    <row r="3830" spans="1:13" x14ac:dyDescent="0.2">
      <c r="A3830">
        <v>739077</v>
      </c>
      <c r="B3830" s="5">
        <v>45493</v>
      </c>
      <c r="C3830">
        <v>61415</v>
      </c>
      <c r="D3830" t="str">
        <f>PROPER(Transactions!D3830)</f>
        <v>Automotive</v>
      </c>
      <c r="E3830" t="s">
        <v>64</v>
      </c>
      <c r="F3830" t="s">
        <v>65</v>
      </c>
      <c r="G3830">
        <v>1</v>
      </c>
      <c r="H3830">
        <v>4.99</v>
      </c>
      <c r="I3830" s="7">
        <f>IF(Transactions!I3830="",0,Transactions!I3830)</f>
        <v>0</v>
      </c>
      <c r="J3830" s="9">
        <f t="shared" si="59"/>
        <v>4.99</v>
      </c>
      <c r="K3830" t="s">
        <v>16</v>
      </c>
      <c r="L3830" t="s">
        <v>17</v>
      </c>
      <c r="M3830" t="str">
        <f>REPLACE(Transactions!M3830,1,4,"")</f>
        <v>12</v>
      </c>
    </row>
    <row r="3831" spans="1:13" x14ac:dyDescent="0.2">
      <c r="A3831">
        <v>739206</v>
      </c>
      <c r="B3831" s="5">
        <v>44821</v>
      </c>
      <c r="D3831" t="str">
        <f>PROPER(Transactions!D3831)</f>
        <v>Home &amp; Garden</v>
      </c>
      <c r="E3831" t="s">
        <v>157</v>
      </c>
      <c r="F3831" t="s">
        <v>158</v>
      </c>
      <c r="G3831">
        <v>1</v>
      </c>
      <c r="H3831">
        <v>10.119999999999999</v>
      </c>
      <c r="I3831" s="7">
        <f>IF(Transactions!I3831="",0,Transactions!I3831)</f>
        <v>0.25</v>
      </c>
      <c r="J3831" s="9">
        <f t="shared" si="59"/>
        <v>7.59</v>
      </c>
      <c r="K3831" t="s">
        <v>16</v>
      </c>
      <c r="L3831" t="s">
        <v>37</v>
      </c>
      <c r="M3831" t="str">
        <f>REPLACE(Transactions!M3831,1,4,"")</f>
        <v>1</v>
      </c>
    </row>
    <row r="3832" spans="1:13" x14ac:dyDescent="0.2">
      <c r="A3832">
        <v>739258</v>
      </c>
      <c r="B3832" s="5">
        <v>45146</v>
      </c>
      <c r="C3832">
        <v>38435</v>
      </c>
      <c r="D3832" t="str">
        <f>PROPER(Transactions!D3832)</f>
        <v>Furniture</v>
      </c>
      <c r="E3832" t="s">
        <v>70</v>
      </c>
      <c r="F3832" t="s">
        <v>71</v>
      </c>
      <c r="G3832">
        <v>3</v>
      </c>
      <c r="H3832">
        <v>89.99</v>
      </c>
      <c r="I3832" s="7">
        <f>IF(Transactions!I3832="",0,Transactions!I3832)</f>
        <v>0</v>
      </c>
      <c r="J3832" s="9">
        <f t="shared" si="59"/>
        <v>269.96999999999997</v>
      </c>
      <c r="K3832" t="s">
        <v>36</v>
      </c>
      <c r="L3832" t="s">
        <v>23</v>
      </c>
      <c r="M3832" t="str">
        <f>REPLACE(Transactions!M3832,1,4,"")</f>
        <v>7</v>
      </c>
    </row>
    <row r="3833" spans="1:13" x14ac:dyDescent="0.2">
      <c r="A3833">
        <v>739577</v>
      </c>
      <c r="B3833" s="5">
        <v>45556</v>
      </c>
      <c r="C3833">
        <v>61443</v>
      </c>
      <c r="D3833" t="str">
        <f>PROPER(Transactions!D3833)</f>
        <v>Home &amp; Garden</v>
      </c>
      <c r="E3833" t="s">
        <v>86</v>
      </c>
      <c r="F3833" t="s">
        <v>87</v>
      </c>
      <c r="G3833">
        <v>2</v>
      </c>
      <c r="H3833">
        <v>11.04</v>
      </c>
      <c r="I3833" s="7">
        <f>IF(Transactions!I3833="",0,Transactions!I3833)</f>
        <v>0.15</v>
      </c>
      <c r="J3833" s="9">
        <f t="shared" si="59"/>
        <v>18.767999999999997</v>
      </c>
      <c r="K3833" t="s">
        <v>36</v>
      </c>
      <c r="L3833" t="s">
        <v>17</v>
      </c>
      <c r="M3833" t="str">
        <f>REPLACE(Transactions!M3833,1,4,"")</f>
        <v>11</v>
      </c>
    </row>
    <row r="3834" spans="1:13" x14ac:dyDescent="0.2">
      <c r="A3834">
        <v>739861</v>
      </c>
      <c r="B3834" s="5">
        <v>45398</v>
      </c>
      <c r="C3834">
        <v>92671</v>
      </c>
      <c r="D3834" t="str">
        <f>PROPER(Transactions!D3834)</f>
        <v>Beauty</v>
      </c>
      <c r="E3834" t="s">
        <v>143</v>
      </c>
      <c r="F3834" t="s">
        <v>144</v>
      </c>
      <c r="G3834">
        <v>2</v>
      </c>
      <c r="H3834">
        <v>14.99</v>
      </c>
      <c r="I3834" s="7">
        <f>IF(Transactions!I3834="",0,Transactions!I3834)</f>
        <v>0</v>
      </c>
      <c r="J3834" s="9">
        <f t="shared" si="59"/>
        <v>29.98</v>
      </c>
      <c r="K3834" t="s">
        <v>95</v>
      </c>
      <c r="L3834" t="s">
        <v>17</v>
      </c>
      <c r="M3834" t="str">
        <f>REPLACE(Transactions!M3834,1,4,"")</f>
        <v>1</v>
      </c>
    </row>
    <row r="3835" spans="1:13" x14ac:dyDescent="0.2">
      <c r="A3835">
        <v>739864</v>
      </c>
      <c r="B3835" s="5">
        <v>45550</v>
      </c>
      <c r="C3835">
        <v>28825</v>
      </c>
      <c r="D3835" t="str">
        <f>PROPER(Transactions!D3835)</f>
        <v>Grocery</v>
      </c>
      <c r="E3835" t="s">
        <v>107</v>
      </c>
      <c r="F3835" t="s">
        <v>108</v>
      </c>
      <c r="G3835">
        <v>5</v>
      </c>
      <c r="H3835">
        <v>2.62</v>
      </c>
      <c r="I3835" s="7">
        <f>IF(Transactions!I3835="",0,Transactions!I3835)</f>
        <v>0.25</v>
      </c>
      <c r="J3835" s="9">
        <f t="shared" si="59"/>
        <v>9.8250000000000011</v>
      </c>
      <c r="K3835" t="s">
        <v>16</v>
      </c>
      <c r="L3835" t="s">
        <v>37</v>
      </c>
      <c r="M3835" t="str">
        <f>REPLACE(Transactions!M3835,1,4,"")</f>
        <v>19</v>
      </c>
    </row>
    <row r="3836" spans="1:13" x14ac:dyDescent="0.2">
      <c r="A3836">
        <v>740195</v>
      </c>
      <c r="B3836" s="5">
        <v>45405</v>
      </c>
      <c r="C3836">
        <v>90222</v>
      </c>
      <c r="D3836" t="str">
        <f>PROPER(Transactions!D3836)</f>
        <v>Toys</v>
      </c>
      <c r="E3836" t="s">
        <v>175</v>
      </c>
      <c r="F3836" t="s">
        <v>176</v>
      </c>
      <c r="G3836">
        <v>5</v>
      </c>
      <c r="H3836">
        <v>11.39</v>
      </c>
      <c r="I3836" s="7">
        <f>IF(Transactions!I3836="",0,Transactions!I3836)</f>
        <v>0.05</v>
      </c>
      <c r="J3836" s="9">
        <f t="shared" si="59"/>
        <v>54.102499999999999</v>
      </c>
      <c r="K3836" t="s">
        <v>22</v>
      </c>
      <c r="L3836" t="s">
        <v>17</v>
      </c>
      <c r="M3836" t="str">
        <f>REPLACE(Transactions!M3836,1,4,"")</f>
        <v>2</v>
      </c>
    </row>
    <row r="3837" spans="1:13" x14ac:dyDescent="0.2">
      <c r="A3837">
        <v>740318</v>
      </c>
      <c r="B3837" s="5">
        <v>45656</v>
      </c>
      <c r="C3837">
        <v>43265</v>
      </c>
      <c r="D3837" t="str">
        <f>PROPER(Transactions!D3837)</f>
        <v>Home &amp; Garden</v>
      </c>
      <c r="E3837" t="s">
        <v>129</v>
      </c>
      <c r="F3837" t="s">
        <v>130</v>
      </c>
      <c r="G3837">
        <v>3</v>
      </c>
      <c r="H3837">
        <v>6.29</v>
      </c>
      <c r="I3837" s="7">
        <f>IF(Transactions!I3837="",0,Transactions!I3837)</f>
        <v>0.3</v>
      </c>
      <c r="J3837" s="9">
        <f t="shared" si="59"/>
        <v>13.209</v>
      </c>
      <c r="K3837" t="s">
        <v>22</v>
      </c>
      <c r="L3837" t="s">
        <v>17</v>
      </c>
      <c r="M3837" t="str">
        <f>REPLACE(Transactions!M3837,1,4,"")</f>
        <v>13</v>
      </c>
    </row>
    <row r="3838" spans="1:13" x14ac:dyDescent="0.2">
      <c r="A3838">
        <v>740527</v>
      </c>
      <c r="B3838" s="5">
        <v>45185</v>
      </c>
      <c r="C3838">
        <v>27938</v>
      </c>
      <c r="D3838" t="str">
        <f>PROPER(Transactions!D3838)</f>
        <v>Electronics</v>
      </c>
      <c r="E3838" t="s">
        <v>159</v>
      </c>
      <c r="F3838" t="s">
        <v>160</v>
      </c>
      <c r="G3838">
        <v>5</v>
      </c>
      <c r="H3838">
        <v>50.99</v>
      </c>
      <c r="I3838" s="7">
        <f>IF(Transactions!I3838="",0,Transactions!I3838)</f>
        <v>0.15</v>
      </c>
      <c r="J3838" s="9">
        <f t="shared" si="59"/>
        <v>216.70750000000001</v>
      </c>
      <c r="K3838" t="s">
        <v>36</v>
      </c>
      <c r="L3838" t="s">
        <v>23</v>
      </c>
      <c r="M3838" t="str">
        <f>REPLACE(Transactions!M3838,1,4,"")</f>
        <v>3</v>
      </c>
    </row>
    <row r="3839" spans="1:13" x14ac:dyDescent="0.2">
      <c r="A3839">
        <v>740626</v>
      </c>
      <c r="B3839" s="5">
        <v>45003</v>
      </c>
      <c r="C3839">
        <v>89466</v>
      </c>
      <c r="D3839" t="str">
        <f>PROPER(Transactions!D3839)</f>
        <v>Furniture</v>
      </c>
      <c r="E3839" t="s">
        <v>113</v>
      </c>
      <c r="F3839" t="s">
        <v>114</v>
      </c>
      <c r="G3839">
        <v>2</v>
      </c>
      <c r="H3839">
        <v>89.99</v>
      </c>
      <c r="I3839" s="7">
        <f>IF(Transactions!I3839="",0,Transactions!I3839)</f>
        <v>0.25</v>
      </c>
      <c r="J3839" s="9">
        <f t="shared" si="59"/>
        <v>134.98499999999999</v>
      </c>
      <c r="K3839" t="s">
        <v>16</v>
      </c>
      <c r="L3839" t="s">
        <v>17</v>
      </c>
      <c r="M3839" t="str">
        <f>REPLACE(Transactions!M3839,1,4,"")</f>
        <v>19</v>
      </c>
    </row>
    <row r="3840" spans="1:13" x14ac:dyDescent="0.2">
      <c r="A3840">
        <v>740650</v>
      </c>
      <c r="B3840" s="5">
        <v>44720</v>
      </c>
      <c r="C3840">
        <v>91493</v>
      </c>
      <c r="D3840" t="str">
        <f>PROPER(Transactions!D3840)</f>
        <v>Clothing</v>
      </c>
      <c r="E3840" t="s">
        <v>98</v>
      </c>
      <c r="F3840" t="s">
        <v>99</v>
      </c>
      <c r="G3840">
        <v>4</v>
      </c>
      <c r="H3840">
        <v>27.99</v>
      </c>
      <c r="I3840" s="7">
        <f>IF(Transactions!I3840="",0,Transactions!I3840)</f>
        <v>0</v>
      </c>
      <c r="J3840" s="9">
        <f t="shared" si="59"/>
        <v>111.96</v>
      </c>
      <c r="K3840" t="s">
        <v>36</v>
      </c>
      <c r="L3840" t="s">
        <v>17</v>
      </c>
      <c r="M3840" t="str">
        <f>REPLACE(Transactions!M3840,1,4,"")</f>
        <v>10</v>
      </c>
    </row>
    <row r="3841" spans="1:13" x14ac:dyDescent="0.2">
      <c r="A3841">
        <v>740683</v>
      </c>
      <c r="B3841" s="5">
        <v>45191</v>
      </c>
      <c r="C3841">
        <v>21797</v>
      </c>
      <c r="D3841" t="str">
        <f>PROPER(Transactions!D3841)</f>
        <v>Clothing</v>
      </c>
      <c r="E3841" t="s">
        <v>151</v>
      </c>
      <c r="F3841" t="s">
        <v>152</v>
      </c>
      <c r="G3841">
        <v>1</v>
      </c>
      <c r="H3841">
        <v>34.99</v>
      </c>
      <c r="I3841" s="7">
        <f>IF(Transactions!I3841="",0,Transactions!I3841)</f>
        <v>0</v>
      </c>
      <c r="J3841" s="9">
        <f t="shared" si="59"/>
        <v>34.99</v>
      </c>
      <c r="K3841" t="s">
        <v>36</v>
      </c>
      <c r="L3841" t="s">
        <v>17</v>
      </c>
      <c r="M3841" t="str">
        <f>REPLACE(Transactions!M3841,1,4,"")</f>
        <v>17</v>
      </c>
    </row>
    <row r="3842" spans="1:13" x14ac:dyDescent="0.2">
      <c r="A3842">
        <v>740714</v>
      </c>
      <c r="B3842" s="5">
        <v>44750</v>
      </c>
      <c r="C3842">
        <v>44303</v>
      </c>
      <c r="D3842" t="str">
        <f>PROPER(Transactions!D3842)</f>
        <v>Pharmacy</v>
      </c>
      <c r="E3842" t="s">
        <v>197</v>
      </c>
      <c r="F3842" t="s">
        <v>198</v>
      </c>
      <c r="G3842">
        <v>2</v>
      </c>
      <c r="H3842">
        <v>14.99</v>
      </c>
      <c r="I3842" s="7">
        <f>IF(Transactions!I3842="",0,Transactions!I3842)</f>
        <v>0</v>
      </c>
      <c r="J3842" s="9">
        <f t="shared" si="59"/>
        <v>29.98</v>
      </c>
      <c r="K3842" t="s">
        <v>16</v>
      </c>
      <c r="L3842" t="s">
        <v>17</v>
      </c>
      <c r="M3842" t="str">
        <f>REPLACE(Transactions!M3842,1,4,"")</f>
        <v>6</v>
      </c>
    </row>
    <row r="3843" spans="1:13" x14ac:dyDescent="0.2">
      <c r="A3843">
        <v>740734</v>
      </c>
      <c r="B3843" s="5">
        <v>45581</v>
      </c>
      <c r="C3843">
        <v>40660</v>
      </c>
      <c r="D3843" t="str">
        <f>PROPER(Transactions!D3843)</f>
        <v>Electronics</v>
      </c>
      <c r="E3843" t="s">
        <v>159</v>
      </c>
      <c r="F3843" t="s">
        <v>160</v>
      </c>
      <c r="G3843">
        <v>2</v>
      </c>
      <c r="H3843">
        <v>53.99</v>
      </c>
      <c r="I3843" s="7">
        <f>IF(Transactions!I3843="",0,Transactions!I3843)</f>
        <v>0.1</v>
      </c>
      <c r="J3843" s="9">
        <f t="shared" ref="J3843:J3906" si="60">(H3843*G3843)*(1-I3843)</f>
        <v>97.182000000000002</v>
      </c>
      <c r="K3843" t="s">
        <v>16</v>
      </c>
      <c r="L3843" t="s">
        <v>17</v>
      </c>
      <c r="M3843" t="str">
        <f>REPLACE(Transactions!M3843,1,4,"")</f>
        <v>2</v>
      </c>
    </row>
    <row r="3844" spans="1:13" x14ac:dyDescent="0.2">
      <c r="A3844">
        <v>740755</v>
      </c>
      <c r="B3844" s="5">
        <v>44643</v>
      </c>
      <c r="C3844">
        <v>13446</v>
      </c>
      <c r="D3844" t="str">
        <f>PROPER(Transactions!D3844)</f>
        <v>Beauty</v>
      </c>
      <c r="E3844" t="s">
        <v>179</v>
      </c>
      <c r="F3844" t="s">
        <v>180</v>
      </c>
      <c r="G3844">
        <v>2</v>
      </c>
      <c r="H3844">
        <v>8.39</v>
      </c>
      <c r="I3844" s="7">
        <f>IF(Transactions!I3844="",0,Transactions!I3844)</f>
        <v>0.3</v>
      </c>
      <c r="J3844" s="9">
        <f t="shared" si="60"/>
        <v>11.746</v>
      </c>
      <c r="K3844" t="s">
        <v>16</v>
      </c>
      <c r="L3844" t="s">
        <v>17</v>
      </c>
      <c r="M3844" t="str">
        <f>REPLACE(Transactions!M3844,1,4,"")</f>
        <v>10</v>
      </c>
    </row>
    <row r="3845" spans="1:13" x14ac:dyDescent="0.2">
      <c r="A3845">
        <v>740788</v>
      </c>
      <c r="B3845" s="5">
        <v>44892</v>
      </c>
      <c r="C3845">
        <v>59275</v>
      </c>
      <c r="D3845" t="str">
        <f>PROPER(Transactions!D3845)</f>
        <v>Automotive</v>
      </c>
      <c r="E3845" t="s">
        <v>64</v>
      </c>
      <c r="F3845" t="s">
        <v>65</v>
      </c>
      <c r="G3845">
        <v>1</v>
      </c>
      <c r="H3845">
        <v>4.99</v>
      </c>
      <c r="I3845" s="7">
        <f>IF(Transactions!I3845="",0,Transactions!I3845)</f>
        <v>0</v>
      </c>
      <c r="J3845" s="9">
        <f t="shared" si="60"/>
        <v>4.99</v>
      </c>
      <c r="K3845" t="s">
        <v>36</v>
      </c>
      <c r="L3845" t="s">
        <v>17</v>
      </c>
      <c r="M3845" t="str">
        <f>REPLACE(Transactions!M3845,1,4,"")</f>
        <v>18</v>
      </c>
    </row>
    <row r="3846" spans="1:13" x14ac:dyDescent="0.2">
      <c r="A3846">
        <v>741013</v>
      </c>
      <c r="B3846" s="5">
        <v>45390</v>
      </c>
      <c r="D3846" t="str">
        <f>PROPER(Transactions!D3846)</f>
        <v>Automotive</v>
      </c>
      <c r="E3846" t="s">
        <v>64</v>
      </c>
      <c r="F3846" t="s">
        <v>65</v>
      </c>
      <c r="G3846">
        <v>1</v>
      </c>
      <c r="H3846">
        <v>3.99</v>
      </c>
      <c r="I3846" s="7">
        <f>IF(Transactions!I3846="",0,Transactions!I3846)</f>
        <v>0.2</v>
      </c>
      <c r="J3846" s="9">
        <f t="shared" si="60"/>
        <v>3.1920000000000002</v>
      </c>
      <c r="K3846" t="s">
        <v>95</v>
      </c>
      <c r="L3846" t="s">
        <v>37</v>
      </c>
      <c r="M3846" t="str">
        <f>REPLACE(Transactions!M3846,1,4,"")</f>
        <v>20</v>
      </c>
    </row>
    <row r="3847" spans="1:13" x14ac:dyDescent="0.2">
      <c r="A3847">
        <v>741361</v>
      </c>
      <c r="B3847" s="5">
        <v>44846</v>
      </c>
      <c r="C3847">
        <v>96560</v>
      </c>
      <c r="D3847" t="str">
        <f>PROPER(Transactions!D3847)</f>
        <v>Electronics</v>
      </c>
      <c r="E3847" t="s">
        <v>159</v>
      </c>
      <c r="F3847" t="s">
        <v>160</v>
      </c>
      <c r="G3847">
        <v>3</v>
      </c>
      <c r="H3847">
        <v>59.99</v>
      </c>
      <c r="I3847" s="7">
        <f>IF(Transactions!I3847="",0,Transactions!I3847)</f>
        <v>0</v>
      </c>
      <c r="J3847" s="9">
        <f t="shared" si="60"/>
        <v>179.97</v>
      </c>
      <c r="K3847" t="s">
        <v>36</v>
      </c>
      <c r="L3847" t="s">
        <v>17</v>
      </c>
      <c r="M3847" t="str">
        <f>REPLACE(Transactions!M3847,1,4,"")</f>
        <v>10</v>
      </c>
    </row>
    <row r="3848" spans="1:13" x14ac:dyDescent="0.2">
      <c r="A3848">
        <v>741458</v>
      </c>
      <c r="B3848" s="5">
        <v>44869</v>
      </c>
      <c r="C3848">
        <v>57679</v>
      </c>
      <c r="D3848" t="str">
        <f>PROPER(Transactions!D3848)</f>
        <v>Clothing</v>
      </c>
      <c r="E3848" t="s">
        <v>141</v>
      </c>
      <c r="F3848" t="s">
        <v>142</v>
      </c>
      <c r="G3848">
        <v>5</v>
      </c>
      <c r="H3848">
        <v>21.84</v>
      </c>
      <c r="I3848" s="7">
        <f>IF(Transactions!I3848="",0,Transactions!I3848)</f>
        <v>0.05</v>
      </c>
      <c r="J3848" s="9">
        <f t="shared" si="60"/>
        <v>103.74</v>
      </c>
      <c r="K3848" t="s">
        <v>36</v>
      </c>
      <c r="L3848" t="s">
        <v>37</v>
      </c>
      <c r="M3848" t="str">
        <f>REPLACE(Transactions!M3848,1,4,"")</f>
        <v>9</v>
      </c>
    </row>
    <row r="3849" spans="1:13" x14ac:dyDescent="0.2">
      <c r="A3849">
        <v>741578</v>
      </c>
      <c r="B3849" s="5">
        <v>45026</v>
      </c>
      <c r="C3849">
        <v>12830</v>
      </c>
      <c r="D3849" t="str">
        <f>PROPER(Transactions!D3849)</f>
        <v>Furniture</v>
      </c>
      <c r="E3849" t="s">
        <v>70</v>
      </c>
      <c r="F3849" t="s">
        <v>71</v>
      </c>
      <c r="G3849">
        <v>5</v>
      </c>
      <c r="H3849">
        <v>71.989999999999995</v>
      </c>
      <c r="I3849" s="7">
        <f>IF(Transactions!I3849="",0,Transactions!I3849)</f>
        <v>0.2</v>
      </c>
      <c r="J3849" s="9">
        <f t="shared" si="60"/>
        <v>287.95999999999998</v>
      </c>
      <c r="K3849" t="s">
        <v>36</v>
      </c>
      <c r="L3849" t="s">
        <v>17</v>
      </c>
      <c r="M3849" t="str">
        <f>REPLACE(Transactions!M3849,1,4,"")</f>
        <v>7</v>
      </c>
    </row>
    <row r="3850" spans="1:13" x14ac:dyDescent="0.2">
      <c r="A3850">
        <v>741586</v>
      </c>
      <c r="B3850" s="5">
        <v>44575</v>
      </c>
      <c r="C3850">
        <v>55610</v>
      </c>
      <c r="D3850" t="str">
        <f>PROPER(Transactions!D3850)</f>
        <v>Electronics</v>
      </c>
      <c r="E3850" t="s">
        <v>55</v>
      </c>
      <c r="F3850" t="s">
        <v>56</v>
      </c>
      <c r="G3850">
        <v>1</v>
      </c>
      <c r="H3850">
        <v>329.99</v>
      </c>
      <c r="I3850" s="7">
        <f>IF(Transactions!I3850="",0,Transactions!I3850)</f>
        <v>0</v>
      </c>
      <c r="J3850" s="9">
        <f t="shared" si="60"/>
        <v>329.99</v>
      </c>
      <c r="K3850" t="s">
        <v>22</v>
      </c>
      <c r="L3850" t="s">
        <v>23</v>
      </c>
      <c r="M3850" t="str">
        <f>REPLACE(Transactions!M3850,1,4,"")</f>
        <v>20</v>
      </c>
    </row>
    <row r="3851" spans="1:13" x14ac:dyDescent="0.2">
      <c r="A3851">
        <v>741667</v>
      </c>
      <c r="B3851" s="5">
        <v>45124</v>
      </c>
      <c r="C3851">
        <v>92457</v>
      </c>
      <c r="D3851" t="str">
        <f>PROPER(Transactions!D3851)</f>
        <v>Furniture</v>
      </c>
      <c r="E3851" t="s">
        <v>26</v>
      </c>
      <c r="F3851" t="s">
        <v>27</v>
      </c>
      <c r="G3851">
        <v>1</v>
      </c>
      <c r="H3851">
        <v>26.24</v>
      </c>
      <c r="I3851" s="7">
        <f>IF(Transactions!I3851="",0,Transactions!I3851)</f>
        <v>0.25</v>
      </c>
      <c r="J3851" s="9">
        <f t="shared" si="60"/>
        <v>19.68</v>
      </c>
      <c r="K3851" t="s">
        <v>16</v>
      </c>
      <c r="L3851" t="s">
        <v>17</v>
      </c>
      <c r="M3851" t="str">
        <f>REPLACE(Transactions!M3851,1,4,"")</f>
        <v>18</v>
      </c>
    </row>
    <row r="3852" spans="1:13" x14ac:dyDescent="0.2">
      <c r="A3852">
        <v>741782</v>
      </c>
      <c r="B3852" s="5">
        <v>44980</v>
      </c>
      <c r="C3852">
        <v>91858</v>
      </c>
      <c r="D3852" t="str">
        <f>PROPER(Transactions!D3852)</f>
        <v>Sports</v>
      </c>
      <c r="E3852" t="s">
        <v>168</v>
      </c>
      <c r="F3852" t="s">
        <v>169</v>
      </c>
      <c r="G3852">
        <v>5</v>
      </c>
      <c r="H3852">
        <v>8.5399999999999991</v>
      </c>
      <c r="I3852" s="7">
        <f>IF(Transactions!I3852="",0,Transactions!I3852)</f>
        <v>0.05</v>
      </c>
      <c r="J3852" s="9">
        <f t="shared" si="60"/>
        <v>40.564999999999991</v>
      </c>
      <c r="K3852" t="s">
        <v>16</v>
      </c>
      <c r="L3852" t="s">
        <v>37</v>
      </c>
      <c r="M3852" t="str">
        <f>REPLACE(Transactions!M3852,1,4,"")</f>
        <v>1</v>
      </c>
    </row>
    <row r="3853" spans="1:13" x14ac:dyDescent="0.2">
      <c r="A3853">
        <v>741800</v>
      </c>
      <c r="B3853" s="5">
        <v>45295</v>
      </c>
      <c r="C3853">
        <v>15736</v>
      </c>
      <c r="D3853" t="str">
        <f>PROPER(Transactions!D3853)</f>
        <v>Grocery</v>
      </c>
      <c r="E3853" t="s">
        <v>162</v>
      </c>
      <c r="F3853" t="s">
        <v>163</v>
      </c>
      <c r="G3853">
        <v>2</v>
      </c>
      <c r="H3853">
        <v>7.19</v>
      </c>
      <c r="I3853" s="7">
        <f>IF(Transactions!I3853="",0,Transactions!I3853)</f>
        <v>0.1</v>
      </c>
      <c r="J3853" s="9">
        <f t="shared" si="60"/>
        <v>12.942</v>
      </c>
      <c r="K3853" t="s">
        <v>16</v>
      </c>
      <c r="L3853" t="s">
        <v>37</v>
      </c>
      <c r="M3853" t="str">
        <f>REPLACE(Transactions!M3853,1,4,"")</f>
        <v>8</v>
      </c>
    </row>
    <row r="3854" spans="1:13" x14ac:dyDescent="0.2">
      <c r="A3854">
        <v>741824</v>
      </c>
      <c r="B3854" s="5">
        <v>44909</v>
      </c>
      <c r="C3854">
        <v>35594</v>
      </c>
      <c r="D3854" t="str">
        <f>PROPER(Transactions!D3854)</f>
        <v>Electronics</v>
      </c>
      <c r="E3854" t="s">
        <v>34</v>
      </c>
      <c r="F3854" t="s">
        <v>35</v>
      </c>
      <c r="G3854">
        <v>3</v>
      </c>
      <c r="H3854">
        <v>31.49</v>
      </c>
      <c r="I3854" s="7">
        <f>IF(Transactions!I3854="",0,Transactions!I3854)</f>
        <v>0.1</v>
      </c>
      <c r="J3854" s="9">
        <f t="shared" si="60"/>
        <v>85.022999999999996</v>
      </c>
      <c r="K3854" t="s">
        <v>16</v>
      </c>
      <c r="L3854" t="s">
        <v>17</v>
      </c>
      <c r="M3854" t="str">
        <f>REPLACE(Transactions!M3854,1,4,"")</f>
        <v>16</v>
      </c>
    </row>
    <row r="3855" spans="1:13" x14ac:dyDescent="0.2">
      <c r="A3855">
        <v>741977</v>
      </c>
      <c r="B3855" s="5">
        <v>45558</v>
      </c>
      <c r="C3855">
        <v>23215</v>
      </c>
      <c r="D3855" t="str">
        <f>PROPER(Transactions!D3855)</f>
        <v>Toys</v>
      </c>
      <c r="E3855" t="s">
        <v>175</v>
      </c>
      <c r="F3855" t="s">
        <v>176</v>
      </c>
      <c r="G3855">
        <v>2</v>
      </c>
      <c r="H3855">
        <v>10.19</v>
      </c>
      <c r="I3855" s="7">
        <f>IF(Transactions!I3855="",0,Transactions!I3855)</f>
        <v>0.15</v>
      </c>
      <c r="J3855" s="9">
        <f t="shared" si="60"/>
        <v>17.323</v>
      </c>
      <c r="K3855" t="s">
        <v>95</v>
      </c>
      <c r="L3855" t="s">
        <v>17</v>
      </c>
      <c r="M3855" t="str">
        <f>REPLACE(Transactions!M3855,1,4,"")</f>
        <v>8</v>
      </c>
    </row>
    <row r="3856" spans="1:13" x14ac:dyDescent="0.2">
      <c r="A3856">
        <v>742039</v>
      </c>
      <c r="B3856" s="5">
        <v>44738</v>
      </c>
      <c r="C3856">
        <v>33022</v>
      </c>
      <c r="D3856" t="str">
        <f>PROPER(Transactions!D3856)</f>
        <v>Home &amp; Garden</v>
      </c>
      <c r="E3856" t="s">
        <v>129</v>
      </c>
      <c r="F3856" t="s">
        <v>130</v>
      </c>
      <c r="G3856">
        <v>1</v>
      </c>
      <c r="H3856">
        <v>7.19</v>
      </c>
      <c r="I3856" s="7">
        <f>IF(Transactions!I3856="",0,Transactions!I3856)</f>
        <v>0.2</v>
      </c>
      <c r="J3856" s="9">
        <f t="shared" si="60"/>
        <v>5.7520000000000007</v>
      </c>
      <c r="K3856" t="s">
        <v>22</v>
      </c>
      <c r="L3856" t="s">
        <v>17</v>
      </c>
      <c r="M3856" t="str">
        <f>REPLACE(Transactions!M3856,1,4,"")</f>
        <v>19</v>
      </c>
    </row>
    <row r="3857" spans="1:13" x14ac:dyDescent="0.2">
      <c r="A3857">
        <v>742168</v>
      </c>
      <c r="B3857" s="5">
        <v>45268</v>
      </c>
      <c r="C3857">
        <v>40531</v>
      </c>
      <c r="D3857" t="str">
        <f>PROPER(Transactions!D3857)</f>
        <v>Clothing</v>
      </c>
      <c r="E3857" t="s">
        <v>165</v>
      </c>
      <c r="F3857" t="s">
        <v>166</v>
      </c>
      <c r="G3857">
        <v>2</v>
      </c>
      <c r="H3857">
        <v>89.99</v>
      </c>
      <c r="I3857" s="7">
        <f>IF(Transactions!I3857="",0,Transactions!I3857)</f>
        <v>0</v>
      </c>
      <c r="J3857" s="9">
        <f t="shared" si="60"/>
        <v>179.98</v>
      </c>
      <c r="K3857" t="s">
        <v>16</v>
      </c>
      <c r="L3857" t="s">
        <v>17</v>
      </c>
      <c r="M3857" t="str">
        <f>REPLACE(Transactions!M3857,1,4,"")</f>
        <v>8</v>
      </c>
    </row>
    <row r="3858" spans="1:13" x14ac:dyDescent="0.2">
      <c r="A3858">
        <v>742216</v>
      </c>
      <c r="B3858" s="5">
        <v>44809</v>
      </c>
      <c r="C3858">
        <v>89603</v>
      </c>
      <c r="D3858" t="str">
        <f>PROPER(Transactions!D3858)</f>
        <v>Grocery</v>
      </c>
      <c r="E3858" t="s">
        <v>190</v>
      </c>
      <c r="F3858" t="s">
        <v>191</v>
      </c>
      <c r="G3858">
        <v>4</v>
      </c>
      <c r="H3858">
        <v>4.08</v>
      </c>
      <c r="I3858" s="7">
        <f>IF(Transactions!I3858="",0,Transactions!I3858)</f>
        <v>0.05</v>
      </c>
      <c r="J3858" s="9">
        <f t="shared" si="60"/>
        <v>15.504</v>
      </c>
      <c r="K3858" t="s">
        <v>22</v>
      </c>
      <c r="L3858" t="s">
        <v>17</v>
      </c>
      <c r="M3858" t="str">
        <f>REPLACE(Transactions!M3858,1,4,"")</f>
        <v>6</v>
      </c>
    </row>
    <row r="3859" spans="1:13" x14ac:dyDescent="0.2">
      <c r="A3859">
        <v>742247</v>
      </c>
      <c r="B3859" s="5">
        <v>44714</v>
      </c>
      <c r="C3859">
        <v>63676</v>
      </c>
      <c r="D3859" t="str">
        <f>PROPER(Transactions!D3859)</f>
        <v>Beauty</v>
      </c>
      <c r="E3859" t="s">
        <v>118</v>
      </c>
      <c r="F3859" t="s">
        <v>119</v>
      </c>
      <c r="G3859">
        <v>3</v>
      </c>
      <c r="H3859">
        <v>3.49</v>
      </c>
      <c r="I3859" s="7">
        <f>IF(Transactions!I3859="",0,Transactions!I3859)</f>
        <v>0.3</v>
      </c>
      <c r="J3859" s="9">
        <f t="shared" si="60"/>
        <v>7.3289999999999997</v>
      </c>
      <c r="K3859" t="s">
        <v>16</v>
      </c>
      <c r="L3859" t="s">
        <v>17</v>
      </c>
      <c r="M3859" t="str">
        <f>REPLACE(Transactions!M3859,1,4,"")</f>
        <v>20</v>
      </c>
    </row>
    <row r="3860" spans="1:13" x14ac:dyDescent="0.2">
      <c r="A3860">
        <v>742250</v>
      </c>
      <c r="B3860" s="5">
        <v>45031</v>
      </c>
      <c r="C3860">
        <v>47827</v>
      </c>
      <c r="D3860" t="str">
        <f>PROPER(Transactions!D3860)</f>
        <v>Electronics</v>
      </c>
      <c r="E3860" t="s">
        <v>186</v>
      </c>
      <c r="F3860" t="s">
        <v>187</v>
      </c>
      <c r="G3860">
        <v>3</v>
      </c>
      <c r="H3860">
        <v>34.99</v>
      </c>
      <c r="I3860" s="7">
        <f>IF(Transactions!I3860="",0,Transactions!I3860)</f>
        <v>0.3</v>
      </c>
      <c r="J3860" s="9">
        <f t="shared" si="60"/>
        <v>73.478999999999999</v>
      </c>
      <c r="K3860" t="s">
        <v>16</v>
      </c>
      <c r="L3860" t="s">
        <v>37</v>
      </c>
      <c r="M3860" t="str">
        <f>REPLACE(Transactions!M3860,1,4,"")</f>
        <v>15</v>
      </c>
    </row>
    <row r="3861" spans="1:13" x14ac:dyDescent="0.2">
      <c r="A3861">
        <v>742327</v>
      </c>
      <c r="B3861" s="5">
        <v>44850</v>
      </c>
      <c r="C3861">
        <v>56372</v>
      </c>
      <c r="D3861" t="str">
        <f>PROPER(Transactions!D3861)</f>
        <v>Home &amp; Garden</v>
      </c>
      <c r="E3861" t="s">
        <v>157</v>
      </c>
      <c r="F3861" t="s">
        <v>158</v>
      </c>
      <c r="G3861">
        <v>3</v>
      </c>
      <c r="H3861">
        <v>11.47</v>
      </c>
      <c r="I3861" s="7">
        <f>IF(Transactions!I3861="",0,Transactions!I3861)</f>
        <v>0.15</v>
      </c>
      <c r="J3861" s="9">
        <f t="shared" si="60"/>
        <v>29.248500000000003</v>
      </c>
      <c r="K3861" t="s">
        <v>36</v>
      </c>
      <c r="L3861" t="s">
        <v>37</v>
      </c>
      <c r="M3861" t="str">
        <f>REPLACE(Transactions!M3861,1,4,"")</f>
        <v>8</v>
      </c>
    </row>
    <row r="3862" spans="1:13" x14ac:dyDescent="0.2">
      <c r="A3862">
        <v>742349</v>
      </c>
      <c r="B3862" s="5">
        <v>45040</v>
      </c>
      <c r="C3862">
        <v>72406</v>
      </c>
      <c r="D3862" t="str">
        <f>PROPER(Transactions!D3862)</f>
        <v>Sports</v>
      </c>
      <c r="E3862" t="s">
        <v>155</v>
      </c>
      <c r="F3862" t="s">
        <v>156</v>
      </c>
      <c r="G3862">
        <v>2</v>
      </c>
      <c r="H3862">
        <v>14.99</v>
      </c>
      <c r="I3862" s="7">
        <f>IF(Transactions!I3862="",0,Transactions!I3862)</f>
        <v>0.25</v>
      </c>
      <c r="J3862" s="9">
        <f t="shared" si="60"/>
        <v>22.484999999999999</v>
      </c>
      <c r="K3862" t="s">
        <v>95</v>
      </c>
      <c r="L3862" t="s">
        <v>17</v>
      </c>
      <c r="M3862" t="str">
        <f>REPLACE(Transactions!M3862,1,4,"")</f>
        <v>15</v>
      </c>
    </row>
    <row r="3863" spans="1:13" x14ac:dyDescent="0.2">
      <c r="A3863">
        <v>742382</v>
      </c>
      <c r="B3863" s="5">
        <v>45589</v>
      </c>
      <c r="C3863">
        <v>68480</v>
      </c>
      <c r="D3863" t="str">
        <f>PROPER(Transactions!D3863)</f>
        <v>Toys</v>
      </c>
      <c r="E3863" t="s">
        <v>72</v>
      </c>
      <c r="F3863" t="s">
        <v>73</v>
      </c>
      <c r="G3863">
        <v>1</v>
      </c>
      <c r="H3863">
        <v>39.99</v>
      </c>
      <c r="I3863" s="7">
        <f>IF(Transactions!I3863="",0,Transactions!I3863)</f>
        <v>0</v>
      </c>
      <c r="J3863" s="9">
        <f t="shared" si="60"/>
        <v>39.99</v>
      </c>
      <c r="K3863" t="s">
        <v>22</v>
      </c>
      <c r="L3863" t="s">
        <v>17</v>
      </c>
      <c r="M3863" t="str">
        <f>REPLACE(Transactions!M3863,1,4,"")</f>
        <v>13</v>
      </c>
    </row>
    <row r="3864" spans="1:13" x14ac:dyDescent="0.2">
      <c r="A3864">
        <v>742417</v>
      </c>
      <c r="B3864" s="5">
        <v>45342</v>
      </c>
      <c r="C3864">
        <v>97738</v>
      </c>
      <c r="D3864" t="str">
        <f>PROPER(Transactions!D3864)</f>
        <v>Grocery</v>
      </c>
      <c r="E3864" t="s">
        <v>74</v>
      </c>
      <c r="F3864" t="s">
        <v>75</v>
      </c>
      <c r="G3864">
        <v>3</v>
      </c>
      <c r="H3864">
        <v>2.99</v>
      </c>
      <c r="I3864" s="7">
        <f>IF(Transactions!I3864="",0,Transactions!I3864)</f>
        <v>0</v>
      </c>
      <c r="J3864" s="9">
        <f t="shared" si="60"/>
        <v>8.9700000000000006</v>
      </c>
      <c r="K3864" t="s">
        <v>16</v>
      </c>
      <c r="L3864" t="s">
        <v>37</v>
      </c>
      <c r="M3864" t="str">
        <f>REPLACE(Transactions!M3864,1,4,"")</f>
        <v>2</v>
      </c>
    </row>
    <row r="3865" spans="1:13" x14ac:dyDescent="0.2">
      <c r="A3865">
        <v>742482</v>
      </c>
      <c r="B3865" s="5">
        <v>45394</v>
      </c>
      <c r="C3865">
        <v>36926</v>
      </c>
      <c r="D3865" t="str">
        <f>PROPER(Transactions!D3865)</f>
        <v>Home &amp; Garden</v>
      </c>
      <c r="E3865" t="s">
        <v>86</v>
      </c>
      <c r="F3865" t="s">
        <v>87</v>
      </c>
      <c r="G3865">
        <v>5</v>
      </c>
      <c r="H3865">
        <v>9.74</v>
      </c>
      <c r="I3865" s="7">
        <f>IF(Transactions!I3865="",0,Transactions!I3865)</f>
        <v>0.25</v>
      </c>
      <c r="J3865" s="9">
        <f t="shared" si="60"/>
        <v>36.525000000000006</v>
      </c>
      <c r="K3865" t="s">
        <v>36</v>
      </c>
      <c r="L3865" t="s">
        <v>17</v>
      </c>
      <c r="M3865" t="str">
        <f>REPLACE(Transactions!M3865,1,4,"")</f>
        <v/>
      </c>
    </row>
    <row r="3866" spans="1:13" x14ac:dyDescent="0.2">
      <c r="A3866">
        <v>742513</v>
      </c>
      <c r="B3866" s="5">
        <v>44882</v>
      </c>
      <c r="C3866">
        <v>89118</v>
      </c>
      <c r="D3866" t="str">
        <f>PROPER(Transactions!D3866)</f>
        <v>Sports</v>
      </c>
      <c r="E3866" t="s">
        <v>83</v>
      </c>
      <c r="F3866" t="s">
        <v>84</v>
      </c>
      <c r="G3866">
        <v>2</v>
      </c>
      <c r="H3866">
        <v>14.44</v>
      </c>
      <c r="I3866" s="7">
        <f>IF(Transactions!I3866="",0,Transactions!I3866)</f>
        <v>0.15</v>
      </c>
      <c r="J3866" s="9">
        <f t="shared" si="60"/>
        <v>24.547999999999998</v>
      </c>
      <c r="K3866" t="s">
        <v>16</v>
      </c>
      <c r="L3866" t="s">
        <v>17</v>
      </c>
      <c r="M3866" t="str">
        <f>REPLACE(Transactions!M3866,1,4,"")</f>
        <v>2</v>
      </c>
    </row>
    <row r="3867" spans="1:13" x14ac:dyDescent="0.2">
      <c r="A3867">
        <v>742582</v>
      </c>
      <c r="B3867" s="5">
        <v>45037</v>
      </c>
      <c r="C3867">
        <v>62422</v>
      </c>
      <c r="D3867" t="str">
        <f>PROPER(Transactions!D3867)</f>
        <v>Automotive</v>
      </c>
      <c r="E3867" t="s">
        <v>64</v>
      </c>
      <c r="F3867" t="s">
        <v>65</v>
      </c>
      <c r="G3867">
        <v>5</v>
      </c>
      <c r="H3867">
        <v>4.99</v>
      </c>
      <c r="I3867" s="7">
        <f>IF(Transactions!I3867="",0,Transactions!I3867)</f>
        <v>0</v>
      </c>
      <c r="J3867" s="9">
        <f t="shared" si="60"/>
        <v>24.950000000000003</v>
      </c>
      <c r="K3867" t="s">
        <v>16</v>
      </c>
      <c r="L3867" t="s">
        <v>17</v>
      </c>
      <c r="M3867" t="str">
        <f>REPLACE(Transactions!M3867,1,4,"")</f>
        <v>2</v>
      </c>
    </row>
    <row r="3868" spans="1:13" x14ac:dyDescent="0.2">
      <c r="A3868">
        <v>742605</v>
      </c>
      <c r="B3868" s="5">
        <v>45656</v>
      </c>
      <c r="C3868">
        <v>33311</v>
      </c>
      <c r="D3868" t="str">
        <f>PROPER(Transactions!D3868)</f>
        <v>Automotive</v>
      </c>
      <c r="E3868" t="s">
        <v>64</v>
      </c>
      <c r="F3868" t="s">
        <v>65</v>
      </c>
      <c r="G3868">
        <v>1</v>
      </c>
      <c r="H3868">
        <v>4.99</v>
      </c>
      <c r="I3868" s="7">
        <f>IF(Transactions!I3868="",0,Transactions!I3868)</f>
        <v>0</v>
      </c>
      <c r="J3868" s="9">
        <f t="shared" si="60"/>
        <v>4.99</v>
      </c>
      <c r="K3868" t="s">
        <v>16</v>
      </c>
      <c r="L3868" t="s">
        <v>37</v>
      </c>
      <c r="M3868" t="str">
        <f>REPLACE(Transactions!M3868,1,4,"")</f>
        <v>3</v>
      </c>
    </row>
    <row r="3869" spans="1:13" x14ac:dyDescent="0.2">
      <c r="A3869">
        <v>742666</v>
      </c>
      <c r="B3869" s="5">
        <v>45115</v>
      </c>
      <c r="C3869">
        <v>97471</v>
      </c>
      <c r="D3869" t="str">
        <f>PROPER(Transactions!D3869)</f>
        <v>Grocery</v>
      </c>
      <c r="E3869" t="s">
        <v>133</v>
      </c>
      <c r="F3869" t="s">
        <v>134</v>
      </c>
      <c r="G3869">
        <v>5</v>
      </c>
      <c r="H3869">
        <v>2.84</v>
      </c>
      <c r="I3869" s="7">
        <f>IF(Transactions!I3869="",0,Transactions!I3869)</f>
        <v>0.25</v>
      </c>
      <c r="J3869" s="9">
        <f t="shared" si="60"/>
        <v>10.649999999999999</v>
      </c>
      <c r="K3869" t="s">
        <v>16</v>
      </c>
      <c r="L3869" t="s">
        <v>17</v>
      </c>
      <c r="M3869" t="str">
        <f>REPLACE(Transactions!M3869,1,4,"")</f>
        <v>7</v>
      </c>
    </row>
    <row r="3870" spans="1:13" x14ac:dyDescent="0.2">
      <c r="A3870">
        <v>742992</v>
      </c>
      <c r="B3870" s="5">
        <v>44854</v>
      </c>
      <c r="C3870">
        <v>40743</v>
      </c>
      <c r="D3870" t="str">
        <f>PROPER(Transactions!D3870)</f>
        <v>Pharmacy</v>
      </c>
      <c r="E3870" t="s">
        <v>41</v>
      </c>
      <c r="F3870" t="s">
        <v>42</v>
      </c>
      <c r="G3870">
        <v>2</v>
      </c>
      <c r="H3870">
        <v>5.69</v>
      </c>
      <c r="I3870" s="7">
        <f>IF(Transactions!I3870="",0,Transactions!I3870)</f>
        <v>0</v>
      </c>
      <c r="J3870" s="9">
        <f t="shared" si="60"/>
        <v>11.38</v>
      </c>
      <c r="K3870" t="s">
        <v>36</v>
      </c>
      <c r="L3870" t="s">
        <v>37</v>
      </c>
      <c r="M3870" t="str">
        <f>REPLACE(Transactions!M3870,1,4,"")</f>
        <v>6</v>
      </c>
    </row>
    <row r="3871" spans="1:13" x14ac:dyDescent="0.2">
      <c r="A3871">
        <v>743136</v>
      </c>
      <c r="B3871" s="5">
        <v>45342</v>
      </c>
      <c r="C3871">
        <v>96376</v>
      </c>
      <c r="D3871" t="str">
        <f>PROPER(Transactions!D3871)</f>
        <v>Automotive</v>
      </c>
      <c r="E3871" t="s">
        <v>111</v>
      </c>
      <c r="F3871" t="s">
        <v>112</v>
      </c>
      <c r="G3871">
        <v>2</v>
      </c>
      <c r="H3871">
        <v>12.74</v>
      </c>
      <c r="I3871" s="7">
        <f>IF(Transactions!I3871="",0,Transactions!I3871)</f>
        <v>0.15</v>
      </c>
      <c r="J3871" s="9">
        <f t="shared" si="60"/>
        <v>21.658000000000001</v>
      </c>
      <c r="K3871" t="s">
        <v>16</v>
      </c>
      <c r="L3871" t="s">
        <v>17</v>
      </c>
      <c r="M3871" t="str">
        <f>REPLACE(Transactions!M3871,1,4,"")</f>
        <v>3</v>
      </c>
    </row>
    <row r="3872" spans="1:13" x14ac:dyDescent="0.2">
      <c r="A3872">
        <v>743153</v>
      </c>
      <c r="B3872" s="5">
        <v>45266</v>
      </c>
      <c r="C3872">
        <v>17385</v>
      </c>
      <c r="D3872" t="str">
        <f>PROPER(Transactions!D3872)</f>
        <v>Home &amp; Garden</v>
      </c>
      <c r="E3872" t="s">
        <v>129</v>
      </c>
      <c r="F3872" t="s">
        <v>130</v>
      </c>
      <c r="G3872">
        <v>5</v>
      </c>
      <c r="H3872">
        <v>8.5399999999999991</v>
      </c>
      <c r="I3872" s="7">
        <f>IF(Transactions!I3872="",0,Transactions!I3872)</f>
        <v>0.05</v>
      </c>
      <c r="J3872" s="9">
        <f t="shared" si="60"/>
        <v>40.564999999999991</v>
      </c>
      <c r="K3872" t="s">
        <v>95</v>
      </c>
      <c r="L3872" t="s">
        <v>17</v>
      </c>
      <c r="M3872" t="str">
        <f>REPLACE(Transactions!M3872,1,4,"")</f>
        <v>20</v>
      </c>
    </row>
    <row r="3873" spans="1:13" x14ac:dyDescent="0.2">
      <c r="A3873">
        <v>743414</v>
      </c>
      <c r="B3873" s="5">
        <v>45411</v>
      </c>
      <c r="C3873">
        <v>46481</v>
      </c>
      <c r="D3873" t="str">
        <f>PROPER(Transactions!D3873)</f>
        <v>Sports</v>
      </c>
      <c r="E3873" t="s">
        <v>100</v>
      </c>
      <c r="F3873" t="s">
        <v>101</v>
      </c>
      <c r="G3873">
        <v>3</v>
      </c>
      <c r="H3873">
        <v>22.99</v>
      </c>
      <c r="I3873" s="7">
        <f>IF(Transactions!I3873="",0,Transactions!I3873)</f>
        <v>0</v>
      </c>
      <c r="J3873" s="9">
        <f t="shared" si="60"/>
        <v>68.97</v>
      </c>
      <c r="K3873" t="s">
        <v>95</v>
      </c>
      <c r="L3873" t="s">
        <v>17</v>
      </c>
      <c r="M3873" t="str">
        <f>REPLACE(Transactions!M3873,1,4,"")</f>
        <v>2</v>
      </c>
    </row>
    <row r="3874" spans="1:13" x14ac:dyDescent="0.2">
      <c r="A3874">
        <v>743438</v>
      </c>
      <c r="B3874" s="5">
        <v>45287</v>
      </c>
      <c r="D3874" t="str">
        <f>PROPER(Transactions!D3874)</f>
        <v>Clothing</v>
      </c>
      <c r="E3874" t="s">
        <v>151</v>
      </c>
      <c r="F3874" t="s">
        <v>152</v>
      </c>
      <c r="G3874">
        <v>2</v>
      </c>
      <c r="H3874">
        <v>29.74</v>
      </c>
      <c r="I3874" s="7">
        <f>IF(Transactions!I3874="",0,Transactions!I3874)</f>
        <v>0.15</v>
      </c>
      <c r="J3874" s="9">
        <f t="shared" si="60"/>
        <v>50.557999999999993</v>
      </c>
      <c r="K3874" t="s">
        <v>95</v>
      </c>
      <c r="L3874" t="s">
        <v>17</v>
      </c>
      <c r="M3874" t="str">
        <f>REPLACE(Transactions!M3874,1,4,"")</f>
        <v>1</v>
      </c>
    </row>
    <row r="3875" spans="1:13" x14ac:dyDescent="0.2">
      <c r="A3875">
        <v>743575</v>
      </c>
      <c r="B3875" s="5">
        <v>44890</v>
      </c>
      <c r="C3875">
        <v>63994</v>
      </c>
      <c r="D3875" t="str">
        <f>PROPER(Transactions!D3875)</f>
        <v>Pharmacy</v>
      </c>
      <c r="E3875" t="s">
        <v>197</v>
      </c>
      <c r="F3875" t="s">
        <v>198</v>
      </c>
      <c r="G3875">
        <v>1</v>
      </c>
      <c r="H3875">
        <v>14.24</v>
      </c>
      <c r="I3875" s="7">
        <f>IF(Transactions!I3875="",0,Transactions!I3875)</f>
        <v>0.05</v>
      </c>
      <c r="J3875" s="9">
        <f t="shared" si="60"/>
        <v>13.527999999999999</v>
      </c>
      <c r="K3875" t="s">
        <v>66</v>
      </c>
      <c r="L3875" t="s">
        <v>37</v>
      </c>
      <c r="M3875" t="str">
        <f>REPLACE(Transactions!M3875,1,4,"")</f>
        <v>11</v>
      </c>
    </row>
    <row r="3876" spans="1:13" x14ac:dyDescent="0.2">
      <c r="A3876">
        <v>743941</v>
      </c>
      <c r="B3876" s="5">
        <v>44700</v>
      </c>
      <c r="C3876">
        <v>51809</v>
      </c>
      <c r="D3876" t="str">
        <f>PROPER(Transactions!D3876)</f>
        <v>Sports</v>
      </c>
      <c r="E3876" t="s">
        <v>188</v>
      </c>
      <c r="F3876" t="s">
        <v>189</v>
      </c>
      <c r="G3876">
        <v>2</v>
      </c>
      <c r="H3876">
        <v>44.99</v>
      </c>
      <c r="I3876" s="7">
        <f>IF(Transactions!I3876="",0,Transactions!I3876)</f>
        <v>0</v>
      </c>
      <c r="J3876" s="9">
        <f t="shared" si="60"/>
        <v>89.98</v>
      </c>
      <c r="K3876" t="s">
        <v>36</v>
      </c>
      <c r="L3876" t="s">
        <v>17</v>
      </c>
      <c r="M3876" t="str">
        <f>REPLACE(Transactions!M3876,1,4,"")</f>
        <v>19</v>
      </c>
    </row>
    <row r="3877" spans="1:13" x14ac:dyDescent="0.2">
      <c r="A3877">
        <v>743948</v>
      </c>
      <c r="B3877" s="5">
        <v>45494</v>
      </c>
      <c r="C3877">
        <v>49192</v>
      </c>
      <c r="D3877" t="str">
        <f>PROPER(Transactions!D3877)</f>
        <v>Electronics</v>
      </c>
      <c r="E3877" t="s">
        <v>34</v>
      </c>
      <c r="F3877" t="s">
        <v>35</v>
      </c>
      <c r="G3877">
        <v>3</v>
      </c>
      <c r="H3877">
        <v>34.99</v>
      </c>
      <c r="I3877" s="7">
        <f>IF(Transactions!I3877="",0,Transactions!I3877)</f>
        <v>0</v>
      </c>
      <c r="J3877" s="9">
        <f t="shared" si="60"/>
        <v>104.97</v>
      </c>
      <c r="K3877" t="s">
        <v>22</v>
      </c>
      <c r="L3877" t="s">
        <v>37</v>
      </c>
      <c r="M3877" t="str">
        <f>REPLACE(Transactions!M3877,1,4,"")</f>
        <v>2</v>
      </c>
    </row>
    <row r="3878" spans="1:13" x14ac:dyDescent="0.2">
      <c r="A3878">
        <v>744016</v>
      </c>
      <c r="B3878" s="5">
        <v>44645</v>
      </c>
      <c r="D3878" t="str">
        <f>PROPER(Transactions!D3878)</f>
        <v>Beauty</v>
      </c>
      <c r="E3878" t="s">
        <v>49</v>
      </c>
      <c r="F3878" t="s">
        <v>50</v>
      </c>
      <c r="G3878">
        <v>2</v>
      </c>
      <c r="H3878">
        <v>7.19</v>
      </c>
      <c r="I3878" s="7">
        <f>IF(Transactions!I3878="",0,Transactions!I3878)</f>
        <v>0.2</v>
      </c>
      <c r="J3878" s="9">
        <f t="shared" si="60"/>
        <v>11.504000000000001</v>
      </c>
      <c r="K3878" t="s">
        <v>36</v>
      </c>
      <c r="L3878" t="s">
        <v>37</v>
      </c>
      <c r="M3878" t="str">
        <f>REPLACE(Transactions!M3878,1,4,"")</f>
        <v>7</v>
      </c>
    </row>
    <row r="3879" spans="1:13" x14ac:dyDescent="0.2">
      <c r="A3879">
        <v>744055</v>
      </c>
      <c r="B3879" s="5">
        <v>45485</v>
      </c>
      <c r="C3879">
        <v>95800</v>
      </c>
      <c r="D3879" t="str">
        <f>PROPER(Transactions!D3879)</f>
        <v>Pharmacy</v>
      </c>
      <c r="E3879" t="s">
        <v>197</v>
      </c>
      <c r="F3879" t="s">
        <v>198</v>
      </c>
      <c r="G3879">
        <v>1</v>
      </c>
      <c r="H3879">
        <v>14.24</v>
      </c>
      <c r="I3879" s="7">
        <f>IF(Transactions!I3879="",0,Transactions!I3879)</f>
        <v>0.05</v>
      </c>
      <c r="J3879" s="9">
        <f t="shared" si="60"/>
        <v>13.527999999999999</v>
      </c>
      <c r="K3879" t="s">
        <v>95</v>
      </c>
      <c r="L3879" t="s">
        <v>37</v>
      </c>
      <c r="M3879" t="str">
        <f>REPLACE(Transactions!M3879,1,4,"")</f>
        <v>5</v>
      </c>
    </row>
    <row r="3880" spans="1:13" x14ac:dyDescent="0.2">
      <c r="A3880">
        <v>744158</v>
      </c>
      <c r="B3880" s="5">
        <v>45502</v>
      </c>
      <c r="C3880">
        <v>40097</v>
      </c>
      <c r="D3880" t="str">
        <f>PROPER(Transactions!D3880)</f>
        <v>Pharmacy</v>
      </c>
      <c r="E3880" t="s">
        <v>58</v>
      </c>
      <c r="F3880" t="s">
        <v>59</v>
      </c>
      <c r="G3880">
        <v>5</v>
      </c>
      <c r="H3880">
        <v>3.99</v>
      </c>
      <c r="I3880" s="7">
        <f>IF(Transactions!I3880="",0,Transactions!I3880)</f>
        <v>0</v>
      </c>
      <c r="J3880" s="9">
        <f t="shared" si="60"/>
        <v>19.950000000000003</v>
      </c>
      <c r="K3880" t="s">
        <v>22</v>
      </c>
      <c r="L3880" t="s">
        <v>23</v>
      </c>
      <c r="M3880" t="str">
        <f>REPLACE(Transactions!M3880,1,4,"")</f>
        <v>20</v>
      </c>
    </row>
    <row r="3881" spans="1:13" x14ac:dyDescent="0.2">
      <c r="A3881">
        <v>744206</v>
      </c>
      <c r="B3881" s="5">
        <v>44641</v>
      </c>
      <c r="C3881">
        <v>61231</v>
      </c>
      <c r="D3881" t="str">
        <f>PROPER(Transactions!D3881)</f>
        <v>Toys</v>
      </c>
      <c r="E3881" t="s">
        <v>30</v>
      </c>
      <c r="F3881" t="s">
        <v>31</v>
      </c>
      <c r="G3881">
        <v>5</v>
      </c>
      <c r="H3881">
        <v>24.99</v>
      </c>
      <c r="I3881" s="7">
        <f>IF(Transactions!I3881="",0,Transactions!I3881)</f>
        <v>0</v>
      </c>
      <c r="J3881" s="9">
        <f t="shared" si="60"/>
        <v>124.94999999999999</v>
      </c>
      <c r="K3881" t="s">
        <v>22</v>
      </c>
      <c r="L3881" t="s">
        <v>23</v>
      </c>
      <c r="M3881" t="str">
        <f>REPLACE(Transactions!M3881,1,4,"")</f>
        <v>2</v>
      </c>
    </row>
    <row r="3882" spans="1:13" x14ac:dyDescent="0.2">
      <c r="A3882">
        <v>744233</v>
      </c>
      <c r="B3882" s="5">
        <v>45426</v>
      </c>
      <c r="C3882">
        <v>79183</v>
      </c>
      <c r="D3882" t="str">
        <f>PROPER(Transactions!D3882)</f>
        <v>Clothing</v>
      </c>
      <c r="E3882" t="s">
        <v>193</v>
      </c>
      <c r="F3882" t="s">
        <v>194</v>
      </c>
      <c r="G3882">
        <v>2</v>
      </c>
      <c r="H3882">
        <v>58.49</v>
      </c>
      <c r="I3882" s="7">
        <f>IF(Transactions!I3882="",0,Transactions!I3882)</f>
        <v>0.1</v>
      </c>
      <c r="J3882" s="9">
        <f t="shared" si="60"/>
        <v>105.28200000000001</v>
      </c>
      <c r="K3882" t="s">
        <v>22</v>
      </c>
      <c r="L3882" t="s">
        <v>23</v>
      </c>
      <c r="M3882" t="str">
        <f>REPLACE(Transactions!M3882,1,4,"")</f>
        <v>17</v>
      </c>
    </row>
    <row r="3883" spans="1:13" x14ac:dyDescent="0.2">
      <c r="A3883">
        <v>744640</v>
      </c>
      <c r="B3883" s="5">
        <v>45595</v>
      </c>
      <c r="C3883">
        <v>11095</v>
      </c>
      <c r="D3883" t="str">
        <f>PROPER(Transactions!D3883)</f>
        <v>Beauty</v>
      </c>
      <c r="E3883" t="s">
        <v>109</v>
      </c>
      <c r="F3883" t="s">
        <v>110</v>
      </c>
      <c r="G3883">
        <v>2</v>
      </c>
      <c r="H3883">
        <v>5.24</v>
      </c>
      <c r="I3883" s="7">
        <f>IF(Transactions!I3883="",0,Transactions!I3883)</f>
        <v>0.25</v>
      </c>
      <c r="J3883" s="9">
        <f t="shared" si="60"/>
        <v>7.86</v>
      </c>
      <c r="K3883" t="s">
        <v>53</v>
      </c>
      <c r="L3883" t="s">
        <v>17</v>
      </c>
      <c r="M3883" t="str">
        <f>REPLACE(Transactions!M3883,1,4,"")</f>
        <v>19</v>
      </c>
    </row>
    <row r="3884" spans="1:13" x14ac:dyDescent="0.2">
      <c r="A3884">
        <v>744677</v>
      </c>
      <c r="B3884" s="5">
        <v>45218</v>
      </c>
      <c r="C3884">
        <v>70034</v>
      </c>
      <c r="D3884" t="str">
        <f>PROPER(Transactions!D3884)</f>
        <v>Toys</v>
      </c>
      <c r="E3884" t="s">
        <v>175</v>
      </c>
      <c r="F3884" t="s">
        <v>176</v>
      </c>
      <c r="G3884">
        <v>3</v>
      </c>
      <c r="H3884">
        <v>11.99</v>
      </c>
      <c r="I3884" s="7">
        <f>IF(Transactions!I3884="",0,Transactions!I3884)</f>
        <v>0</v>
      </c>
      <c r="J3884" s="9">
        <f t="shared" si="60"/>
        <v>35.97</v>
      </c>
      <c r="K3884" t="s">
        <v>36</v>
      </c>
      <c r="L3884" t="s">
        <v>37</v>
      </c>
      <c r="M3884" t="str">
        <f>REPLACE(Transactions!M3884,1,4,"")</f>
        <v>12</v>
      </c>
    </row>
    <row r="3885" spans="1:13" x14ac:dyDescent="0.2">
      <c r="A3885">
        <v>744913</v>
      </c>
      <c r="B3885" s="5">
        <v>44977</v>
      </c>
      <c r="C3885">
        <v>14998</v>
      </c>
      <c r="D3885" t="str">
        <f>PROPER(Transactions!D3885)</f>
        <v>Home &amp; Garden</v>
      </c>
      <c r="E3885" t="s">
        <v>129</v>
      </c>
      <c r="F3885" t="s">
        <v>130</v>
      </c>
      <c r="G3885">
        <v>1</v>
      </c>
      <c r="H3885">
        <v>8.09</v>
      </c>
      <c r="I3885" s="7">
        <f>IF(Transactions!I3885="",0,Transactions!I3885)</f>
        <v>0.1</v>
      </c>
      <c r="J3885" s="9">
        <f t="shared" si="60"/>
        <v>7.2809999999999997</v>
      </c>
      <c r="K3885" t="s">
        <v>16</v>
      </c>
      <c r="L3885" t="s">
        <v>23</v>
      </c>
      <c r="M3885" t="str">
        <f>REPLACE(Transactions!M3885,1,4,"")</f>
        <v>15</v>
      </c>
    </row>
    <row r="3886" spans="1:13" x14ac:dyDescent="0.2">
      <c r="A3886">
        <v>745132</v>
      </c>
      <c r="B3886" s="5">
        <v>45258</v>
      </c>
      <c r="C3886">
        <v>27367</v>
      </c>
      <c r="D3886" t="str">
        <f>PROPER(Transactions!D3886)</f>
        <v>Furniture</v>
      </c>
      <c r="E3886" t="s">
        <v>113</v>
      </c>
      <c r="F3886" t="s">
        <v>114</v>
      </c>
      <c r="G3886">
        <v>2</v>
      </c>
      <c r="H3886">
        <v>107.99</v>
      </c>
      <c r="I3886" s="7">
        <f>IF(Transactions!I3886="",0,Transactions!I3886)</f>
        <v>0.1</v>
      </c>
      <c r="J3886" s="9">
        <f t="shared" si="60"/>
        <v>194.38200000000001</v>
      </c>
      <c r="K3886" t="s">
        <v>53</v>
      </c>
      <c r="L3886" t="s">
        <v>17</v>
      </c>
      <c r="M3886" t="str">
        <f>REPLACE(Transactions!M3886,1,4,"")</f>
        <v>6</v>
      </c>
    </row>
    <row r="3887" spans="1:13" x14ac:dyDescent="0.2">
      <c r="A3887">
        <v>745559</v>
      </c>
      <c r="B3887" s="5">
        <v>44844</v>
      </c>
      <c r="C3887">
        <v>67216</v>
      </c>
      <c r="D3887" t="str">
        <f>PROPER(Transactions!D3887)</f>
        <v>Beauty</v>
      </c>
      <c r="E3887" t="s">
        <v>179</v>
      </c>
      <c r="F3887" t="s">
        <v>180</v>
      </c>
      <c r="G3887">
        <v>2</v>
      </c>
      <c r="H3887">
        <v>11.99</v>
      </c>
      <c r="I3887" s="7">
        <f>IF(Transactions!I3887="",0,Transactions!I3887)</f>
        <v>0</v>
      </c>
      <c r="J3887" s="9">
        <f t="shared" si="60"/>
        <v>23.98</v>
      </c>
      <c r="K3887" t="s">
        <v>16</v>
      </c>
      <c r="L3887" t="s">
        <v>17</v>
      </c>
      <c r="M3887" t="str">
        <f>REPLACE(Transactions!M3887,1,4,"")</f>
        <v>8</v>
      </c>
    </row>
    <row r="3888" spans="1:13" x14ac:dyDescent="0.2">
      <c r="A3888">
        <v>745575</v>
      </c>
      <c r="B3888" s="5">
        <v>45354</v>
      </c>
      <c r="C3888">
        <v>80184</v>
      </c>
      <c r="D3888" t="str">
        <f>PROPER(Transactions!D3888)</f>
        <v>Toys</v>
      </c>
      <c r="E3888" t="s">
        <v>38</v>
      </c>
      <c r="F3888" t="s">
        <v>39</v>
      </c>
      <c r="G3888">
        <v>5</v>
      </c>
      <c r="H3888">
        <v>25.49</v>
      </c>
      <c r="I3888" s="7">
        <f>IF(Transactions!I3888="",0,Transactions!I3888)</f>
        <v>0.15</v>
      </c>
      <c r="J3888" s="9">
        <f t="shared" si="60"/>
        <v>108.33249999999998</v>
      </c>
      <c r="K3888" t="s">
        <v>22</v>
      </c>
      <c r="L3888" t="s">
        <v>37</v>
      </c>
      <c r="M3888" t="str">
        <f>REPLACE(Transactions!M3888,1,4,"")</f>
        <v>13</v>
      </c>
    </row>
    <row r="3889" spans="1:13" x14ac:dyDescent="0.2">
      <c r="A3889">
        <v>745805</v>
      </c>
      <c r="B3889" s="5">
        <v>44661</v>
      </c>
      <c r="C3889">
        <v>89309</v>
      </c>
      <c r="D3889" t="str">
        <f>PROPER(Transactions!D3889)</f>
        <v>Furniture</v>
      </c>
      <c r="E3889" t="s">
        <v>60</v>
      </c>
      <c r="F3889" t="s">
        <v>61</v>
      </c>
      <c r="G3889">
        <v>2</v>
      </c>
      <c r="H3889">
        <v>38.49</v>
      </c>
      <c r="I3889" s="7">
        <f>IF(Transactions!I3889="",0,Transactions!I3889)</f>
        <v>0.3</v>
      </c>
      <c r="J3889" s="9">
        <f t="shared" si="60"/>
        <v>53.886000000000003</v>
      </c>
      <c r="K3889" t="s">
        <v>16</v>
      </c>
      <c r="L3889" t="s">
        <v>17</v>
      </c>
      <c r="M3889" t="str">
        <f>REPLACE(Transactions!M3889,1,4,"")</f>
        <v>13</v>
      </c>
    </row>
    <row r="3890" spans="1:13" x14ac:dyDescent="0.2">
      <c r="A3890">
        <v>745856</v>
      </c>
      <c r="B3890" s="5">
        <v>44590</v>
      </c>
      <c r="C3890">
        <v>46002</v>
      </c>
      <c r="D3890" t="str">
        <f>PROPER(Transactions!D3890)</f>
        <v>Automotive</v>
      </c>
      <c r="E3890" t="s">
        <v>68</v>
      </c>
      <c r="F3890" t="s">
        <v>69</v>
      </c>
      <c r="G3890">
        <v>5</v>
      </c>
      <c r="H3890">
        <v>24.99</v>
      </c>
      <c r="I3890" s="7">
        <f>IF(Transactions!I3890="",0,Transactions!I3890)</f>
        <v>0</v>
      </c>
      <c r="J3890" s="9">
        <f t="shared" si="60"/>
        <v>124.94999999999999</v>
      </c>
      <c r="K3890" t="s">
        <v>16</v>
      </c>
      <c r="L3890" t="s">
        <v>17</v>
      </c>
      <c r="M3890" t="str">
        <f>REPLACE(Transactions!M3890,1,4,"")</f>
        <v>10</v>
      </c>
    </row>
    <row r="3891" spans="1:13" x14ac:dyDescent="0.2">
      <c r="A3891">
        <v>745886</v>
      </c>
      <c r="B3891" s="5">
        <v>45226</v>
      </c>
      <c r="C3891">
        <v>74558</v>
      </c>
      <c r="D3891" t="str">
        <f>PROPER(Transactions!D3891)</f>
        <v>Toys</v>
      </c>
      <c r="E3891" t="s">
        <v>170</v>
      </c>
      <c r="F3891" t="s">
        <v>171</v>
      </c>
      <c r="G3891">
        <v>2</v>
      </c>
      <c r="H3891">
        <v>14.24</v>
      </c>
      <c r="I3891" s="7">
        <f>IF(Transactions!I3891="",0,Transactions!I3891)</f>
        <v>0.05</v>
      </c>
      <c r="J3891" s="9">
        <f t="shared" si="60"/>
        <v>27.055999999999997</v>
      </c>
      <c r="K3891" t="s">
        <v>36</v>
      </c>
      <c r="L3891" t="s">
        <v>17</v>
      </c>
      <c r="M3891" t="str">
        <f>REPLACE(Transactions!M3891,1,4,"")</f>
        <v>2</v>
      </c>
    </row>
    <row r="3892" spans="1:13" x14ac:dyDescent="0.2">
      <c r="A3892">
        <v>746527</v>
      </c>
      <c r="B3892" s="5">
        <v>45581</v>
      </c>
      <c r="C3892">
        <v>31678</v>
      </c>
      <c r="D3892" t="str">
        <f>PROPER(Transactions!D3892)</f>
        <v>Pharmacy</v>
      </c>
      <c r="E3892" t="s">
        <v>41</v>
      </c>
      <c r="F3892" t="s">
        <v>42</v>
      </c>
      <c r="G3892">
        <v>2</v>
      </c>
      <c r="H3892">
        <v>4.1900000000000004</v>
      </c>
      <c r="I3892" s="7">
        <f>IF(Transactions!I3892="",0,Transactions!I3892)</f>
        <v>0.3</v>
      </c>
      <c r="J3892" s="9">
        <f t="shared" si="60"/>
        <v>5.8660000000000005</v>
      </c>
      <c r="K3892" t="s">
        <v>36</v>
      </c>
      <c r="L3892" t="s">
        <v>17</v>
      </c>
      <c r="M3892" t="str">
        <f>REPLACE(Transactions!M3892,1,4,"")</f>
        <v>5</v>
      </c>
    </row>
    <row r="3893" spans="1:13" x14ac:dyDescent="0.2">
      <c r="A3893">
        <v>746573</v>
      </c>
      <c r="B3893" s="5">
        <v>45074</v>
      </c>
      <c r="C3893">
        <v>89705</v>
      </c>
      <c r="D3893" t="str">
        <f>PROPER(Transactions!D3893)</f>
        <v>Toys</v>
      </c>
      <c r="E3893" t="s">
        <v>170</v>
      </c>
      <c r="F3893" t="s">
        <v>171</v>
      </c>
      <c r="G3893">
        <v>4</v>
      </c>
      <c r="H3893">
        <v>14.99</v>
      </c>
      <c r="I3893" s="7">
        <f>IF(Transactions!I3893="",0,Transactions!I3893)</f>
        <v>0</v>
      </c>
      <c r="J3893" s="9">
        <f t="shared" si="60"/>
        <v>59.96</v>
      </c>
      <c r="K3893" t="s">
        <v>66</v>
      </c>
      <c r="L3893" t="s">
        <v>37</v>
      </c>
      <c r="M3893" t="str">
        <f>REPLACE(Transactions!M3893,1,4,"")</f>
        <v>13</v>
      </c>
    </row>
    <row r="3894" spans="1:13" x14ac:dyDescent="0.2">
      <c r="A3894">
        <v>746774</v>
      </c>
      <c r="B3894" s="5">
        <v>44713</v>
      </c>
      <c r="C3894">
        <v>65086</v>
      </c>
      <c r="D3894" t="str">
        <f>PROPER(Transactions!D3894)</f>
        <v>Sports</v>
      </c>
      <c r="E3894" t="s">
        <v>100</v>
      </c>
      <c r="F3894" t="s">
        <v>101</v>
      </c>
      <c r="G3894">
        <v>4</v>
      </c>
      <c r="H3894">
        <v>22.99</v>
      </c>
      <c r="I3894" s="7">
        <f>IF(Transactions!I3894="",0,Transactions!I3894)</f>
        <v>0</v>
      </c>
      <c r="J3894" s="9">
        <f t="shared" si="60"/>
        <v>91.96</v>
      </c>
      <c r="K3894" t="s">
        <v>22</v>
      </c>
      <c r="L3894" t="s">
        <v>17</v>
      </c>
      <c r="M3894" t="str">
        <f>REPLACE(Transactions!M3894,1,4,"")</f>
        <v>1</v>
      </c>
    </row>
    <row r="3895" spans="1:13" x14ac:dyDescent="0.2">
      <c r="A3895">
        <v>746917</v>
      </c>
      <c r="B3895" s="5">
        <v>44595</v>
      </c>
      <c r="D3895" t="str">
        <f>PROPER(Transactions!D3895)</f>
        <v>Pharmacy</v>
      </c>
      <c r="E3895" t="s">
        <v>20</v>
      </c>
      <c r="F3895" t="s">
        <v>21</v>
      </c>
      <c r="G3895">
        <v>2</v>
      </c>
      <c r="H3895">
        <v>8.49</v>
      </c>
      <c r="I3895" s="7">
        <f>IF(Transactions!I3895="",0,Transactions!I3895)</f>
        <v>0.15</v>
      </c>
      <c r="J3895" s="9">
        <f t="shared" si="60"/>
        <v>14.433</v>
      </c>
      <c r="K3895" t="s">
        <v>36</v>
      </c>
      <c r="L3895" t="s">
        <v>17</v>
      </c>
      <c r="M3895" t="str">
        <f>REPLACE(Transactions!M3895,1,4,"")</f>
        <v>19</v>
      </c>
    </row>
    <row r="3896" spans="1:13" x14ac:dyDescent="0.2">
      <c r="A3896">
        <v>747048</v>
      </c>
      <c r="B3896" s="5">
        <v>45161</v>
      </c>
      <c r="C3896">
        <v>72632</v>
      </c>
      <c r="D3896" t="str">
        <f>PROPER(Transactions!D3896)</f>
        <v>Beauty</v>
      </c>
      <c r="E3896" t="s">
        <v>139</v>
      </c>
      <c r="F3896" t="s">
        <v>140</v>
      </c>
      <c r="G3896">
        <v>1</v>
      </c>
      <c r="H3896">
        <v>7.99</v>
      </c>
      <c r="I3896" s="7">
        <f>IF(Transactions!I3896="",0,Transactions!I3896)</f>
        <v>0</v>
      </c>
      <c r="J3896" s="9">
        <f t="shared" si="60"/>
        <v>7.99</v>
      </c>
      <c r="K3896" t="s">
        <v>22</v>
      </c>
      <c r="L3896" t="s">
        <v>17</v>
      </c>
      <c r="M3896" t="str">
        <f>REPLACE(Transactions!M3896,1,4,"")</f>
        <v>17</v>
      </c>
    </row>
    <row r="3897" spans="1:13" x14ac:dyDescent="0.2">
      <c r="A3897">
        <v>747074</v>
      </c>
      <c r="B3897" s="5">
        <v>44906</v>
      </c>
      <c r="C3897">
        <v>33906</v>
      </c>
      <c r="D3897" t="str">
        <f>PROPER(Transactions!D3897)</f>
        <v>Pharmacy</v>
      </c>
      <c r="E3897" t="s">
        <v>58</v>
      </c>
      <c r="F3897" t="s">
        <v>59</v>
      </c>
      <c r="G3897">
        <v>4</v>
      </c>
      <c r="H3897">
        <v>3.39</v>
      </c>
      <c r="I3897" s="7">
        <f>IF(Transactions!I3897="",0,Transactions!I3897)</f>
        <v>0.15</v>
      </c>
      <c r="J3897" s="9">
        <f t="shared" si="60"/>
        <v>11.526</v>
      </c>
      <c r="K3897" t="s">
        <v>22</v>
      </c>
      <c r="L3897" t="s">
        <v>23</v>
      </c>
      <c r="M3897" t="str">
        <f>REPLACE(Transactions!M3897,1,4,"")</f>
        <v>6</v>
      </c>
    </row>
    <row r="3898" spans="1:13" x14ac:dyDescent="0.2">
      <c r="A3898">
        <v>747109</v>
      </c>
      <c r="B3898" s="5">
        <v>45280</v>
      </c>
      <c r="C3898">
        <v>75114</v>
      </c>
      <c r="D3898" t="str">
        <f>PROPER(Transactions!D3898)</f>
        <v>Beauty</v>
      </c>
      <c r="E3898" t="s">
        <v>139</v>
      </c>
      <c r="F3898" t="s">
        <v>140</v>
      </c>
      <c r="G3898">
        <v>1</v>
      </c>
      <c r="H3898">
        <v>6.79</v>
      </c>
      <c r="I3898" s="7">
        <f>IF(Transactions!I3898="",0,Transactions!I3898)</f>
        <v>0.15</v>
      </c>
      <c r="J3898" s="9">
        <f t="shared" si="60"/>
        <v>5.7714999999999996</v>
      </c>
      <c r="K3898" t="s">
        <v>16</v>
      </c>
      <c r="L3898" t="s">
        <v>17</v>
      </c>
      <c r="M3898" t="str">
        <f>REPLACE(Transactions!M3898,1,4,"")</f>
        <v>11</v>
      </c>
    </row>
    <row r="3899" spans="1:13" x14ac:dyDescent="0.2">
      <c r="A3899">
        <v>747288</v>
      </c>
      <c r="B3899" s="5">
        <v>45165</v>
      </c>
      <c r="C3899">
        <v>96471</v>
      </c>
      <c r="D3899" t="str">
        <f>PROPER(Transactions!D3899)</f>
        <v>Electronics</v>
      </c>
      <c r="E3899" t="s">
        <v>159</v>
      </c>
      <c r="F3899" t="s">
        <v>160</v>
      </c>
      <c r="G3899">
        <v>2</v>
      </c>
      <c r="H3899">
        <v>47.99</v>
      </c>
      <c r="I3899" s="7">
        <f>IF(Transactions!I3899="",0,Transactions!I3899)</f>
        <v>0.2</v>
      </c>
      <c r="J3899" s="9">
        <f t="shared" si="60"/>
        <v>76.784000000000006</v>
      </c>
      <c r="K3899" t="s">
        <v>36</v>
      </c>
      <c r="L3899" t="s">
        <v>17</v>
      </c>
      <c r="M3899" t="str">
        <f>REPLACE(Transactions!M3899,1,4,"")</f>
        <v>7</v>
      </c>
    </row>
    <row r="3900" spans="1:13" x14ac:dyDescent="0.2">
      <c r="A3900">
        <v>747507</v>
      </c>
      <c r="B3900" s="5">
        <v>45442</v>
      </c>
      <c r="C3900">
        <v>81159</v>
      </c>
      <c r="D3900" t="str">
        <f>PROPER(Transactions!D3900)</f>
        <v>Grocery</v>
      </c>
      <c r="E3900" t="s">
        <v>107</v>
      </c>
      <c r="F3900" t="s">
        <v>108</v>
      </c>
      <c r="G3900">
        <v>1</v>
      </c>
      <c r="H3900">
        <v>2.97</v>
      </c>
      <c r="I3900" s="7">
        <f>IF(Transactions!I3900="",0,Transactions!I3900)</f>
        <v>0.15</v>
      </c>
      <c r="J3900" s="9">
        <f t="shared" si="60"/>
        <v>2.5245000000000002</v>
      </c>
      <c r="K3900" t="s">
        <v>36</v>
      </c>
      <c r="L3900" t="s">
        <v>17</v>
      </c>
      <c r="M3900" t="str">
        <f>REPLACE(Transactions!M3900,1,4,"")</f>
        <v>1</v>
      </c>
    </row>
    <row r="3901" spans="1:13" x14ac:dyDescent="0.2">
      <c r="A3901">
        <v>747534</v>
      </c>
      <c r="B3901" s="5">
        <v>45306</v>
      </c>
      <c r="C3901">
        <v>73600</v>
      </c>
      <c r="D3901" t="str">
        <f>PROPER(Transactions!D3901)</f>
        <v>Automotive</v>
      </c>
      <c r="E3901" t="s">
        <v>125</v>
      </c>
      <c r="F3901" t="s">
        <v>126</v>
      </c>
      <c r="G3901">
        <v>1</v>
      </c>
      <c r="H3901">
        <v>23.99</v>
      </c>
      <c r="I3901" s="7">
        <f>IF(Transactions!I3901="",0,Transactions!I3901)</f>
        <v>0.2</v>
      </c>
      <c r="J3901" s="9">
        <f t="shared" si="60"/>
        <v>19.192</v>
      </c>
      <c r="K3901" t="s">
        <v>22</v>
      </c>
      <c r="L3901" t="s">
        <v>17</v>
      </c>
      <c r="M3901" t="str">
        <f>REPLACE(Transactions!M3901,1,4,"")</f>
        <v>9</v>
      </c>
    </row>
    <row r="3902" spans="1:13" x14ac:dyDescent="0.2">
      <c r="A3902">
        <v>747561</v>
      </c>
      <c r="B3902" s="5">
        <v>44692</v>
      </c>
      <c r="C3902">
        <v>54606</v>
      </c>
      <c r="D3902" t="str">
        <f>PROPER(Transactions!D3902)</f>
        <v>Grocery</v>
      </c>
      <c r="E3902" t="s">
        <v>162</v>
      </c>
      <c r="F3902" t="s">
        <v>163</v>
      </c>
      <c r="G3902">
        <v>2</v>
      </c>
      <c r="H3902">
        <v>6.79</v>
      </c>
      <c r="I3902" s="7">
        <f>IF(Transactions!I3902="",0,Transactions!I3902)</f>
        <v>0.15</v>
      </c>
      <c r="J3902" s="9">
        <f t="shared" si="60"/>
        <v>11.542999999999999</v>
      </c>
      <c r="K3902" t="s">
        <v>36</v>
      </c>
      <c r="L3902" t="s">
        <v>17</v>
      </c>
      <c r="M3902" t="str">
        <f>REPLACE(Transactions!M3902,1,4,"")</f>
        <v>18</v>
      </c>
    </row>
    <row r="3903" spans="1:13" x14ac:dyDescent="0.2">
      <c r="A3903">
        <v>747782</v>
      </c>
      <c r="B3903" s="5">
        <v>44896</v>
      </c>
      <c r="C3903">
        <v>32563</v>
      </c>
      <c r="D3903" t="str">
        <f>PROPER(Transactions!D3903)</f>
        <v>Toys</v>
      </c>
      <c r="E3903" t="s">
        <v>175</v>
      </c>
      <c r="F3903" t="s">
        <v>176</v>
      </c>
      <c r="G3903">
        <v>3</v>
      </c>
      <c r="H3903">
        <v>11.39</v>
      </c>
      <c r="I3903" s="7">
        <f>IF(Transactions!I3903="",0,Transactions!I3903)</f>
        <v>0.05</v>
      </c>
      <c r="J3903" s="9">
        <f t="shared" si="60"/>
        <v>32.461500000000001</v>
      </c>
      <c r="K3903" t="s">
        <v>66</v>
      </c>
      <c r="L3903" t="s">
        <v>17</v>
      </c>
      <c r="M3903" t="str">
        <f>REPLACE(Transactions!M3903,1,4,"")</f>
        <v>10</v>
      </c>
    </row>
    <row r="3904" spans="1:13" x14ac:dyDescent="0.2">
      <c r="A3904">
        <v>747785</v>
      </c>
      <c r="B3904" s="5">
        <v>45651</v>
      </c>
      <c r="C3904">
        <v>54150</v>
      </c>
      <c r="D3904" t="str">
        <f>PROPER(Transactions!D3904)</f>
        <v>Home &amp; Garden</v>
      </c>
      <c r="E3904" t="s">
        <v>137</v>
      </c>
      <c r="F3904" t="s">
        <v>138</v>
      </c>
      <c r="G3904">
        <v>3</v>
      </c>
      <c r="H3904">
        <v>5.99</v>
      </c>
      <c r="I3904" s="7">
        <f>IF(Transactions!I3904="",0,Transactions!I3904)</f>
        <v>0.25</v>
      </c>
      <c r="J3904" s="9">
        <f t="shared" si="60"/>
        <v>13.477499999999999</v>
      </c>
      <c r="K3904" t="s">
        <v>22</v>
      </c>
      <c r="L3904" t="s">
        <v>17</v>
      </c>
      <c r="M3904" t="str">
        <f>REPLACE(Transactions!M3904,1,4,"")</f>
        <v>4</v>
      </c>
    </row>
    <row r="3905" spans="1:13" x14ac:dyDescent="0.2">
      <c r="A3905">
        <v>747863</v>
      </c>
      <c r="B3905" s="5">
        <v>45504</v>
      </c>
      <c r="C3905">
        <v>43104</v>
      </c>
      <c r="D3905" t="str">
        <f>PROPER(Transactions!D3905)</f>
        <v>Toys</v>
      </c>
      <c r="E3905" t="s">
        <v>175</v>
      </c>
      <c r="F3905" t="s">
        <v>176</v>
      </c>
      <c r="G3905">
        <v>2</v>
      </c>
      <c r="H3905">
        <v>11.99</v>
      </c>
      <c r="I3905" s="7">
        <f>IF(Transactions!I3905="",0,Transactions!I3905)</f>
        <v>0</v>
      </c>
      <c r="J3905" s="9">
        <f t="shared" si="60"/>
        <v>23.98</v>
      </c>
      <c r="K3905" t="s">
        <v>22</v>
      </c>
      <c r="L3905" t="s">
        <v>17</v>
      </c>
      <c r="M3905" t="str">
        <f>REPLACE(Transactions!M3905,1,4,"")</f>
        <v>19</v>
      </c>
    </row>
    <row r="3906" spans="1:13" x14ac:dyDescent="0.2">
      <c r="A3906">
        <v>747956</v>
      </c>
      <c r="B3906" s="5">
        <v>44892</v>
      </c>
      <c r="C3906">
        <v>22680</v>
      </c>
      <c r="D3906" t="str">
        <f>PROPER(Transactions!D3906)</f>
        <v>Beauty</v>
      </c>
      <c r="E3906" t="s">
        <v>143</v>
      </c>
      <c r="F3906" t="s">
        <v>144</v>
      </c>
      <c r="G3906">
        <v>1</v>
      </c>
      <c r="H3906">
        <v>14.99</v>
      </c>
      <c r="I3906" s="7">
        <f>IF(Transactions!I3906="",0,Transactions!I3906)</f>
        <v>0</v>
      </c>
      <c r="J3906" s="9">
        <f t="shared" si="60"/>
        <v>14.99</v>
      </c>
      <c r="K3906" t="s">
        <v>53</v>
      </c>
      <c r="L3906" t="s">
        <v>17</v>
      </c>
      <c r="M3906" t="str">
        <f>REPLACE(Transactions!M3906,1,4,"")</f>
        <v>15</v>
      </c>
    </row>
    <row r="3907" spans="1:13" x14ac:dyDescent="0.2">
      <c r="A3907">
        <v>748157</v>
      </c>
      <c r="B3907" s="5">
        <v>45052</v>
      </c>
      <c r="C3907">
        <v>86257</v>
      </c>
      <c r="D3907" t="str">
        <f>PROPER(Transactions!D3907)</f>
        <v>Sports</v>
      </c>
      <c r="E3907" t="s">
        <v>83</v>
      </c>
      <c r="F3907" t="s">
        <v>84</v>
      </c>
      <c r="G3907">
        <v>3</v>
      </c>
      <c r="H3907">
        <v>14.44</v>
      </c>
      <c r="I3907" s="7">
        <f>IF(Transactions!I3907="",0,Transactions!I3907)</f>
        <v>0.15</v>
      </c>
      <c r="J3907" s="9">
        <f t="shared" ref="J3907:J3970" si="61">(H3907*G3907)*(1-I3907)</f>
        <v>36.822000000000003</v>
      </c>
      <c r="K3907" t="s">
        <v>36</v>
      </c>
      <c r="L3907" t="s">
        <v>17</v>
      </c>
      <c r="M3907" t="str">
        <f>REPLACE(Transactions!M3907,1,4,"")</f>
        <v>12</v>
      </c>
    </row>
    <row r="3908" spans="1:13" x14ac:dyDescent="0.2">
      <c r="A3908">
        <v>748263</v>
      </c>
      <c r="B3908" s="5">
        <v>44737</v>
      </c>
      <c r="C3908">
        <v>46735</v>
      </c>
      <c r="D3908" t="str">
        <f>PROPER(Transactions!D3908)</f>
        <v>Home &amp; Garden</v>
      </c>
      <c r="E3908" t="s">
        <v>153</v>
      </c>
      <c r="F3908" t="s">
        <v>154</v>
      </c>
      <c r="G3908">
        <v>1</v>
      </c>
      <c r="H3908">
        <v>29.99</v>
      </c>
      <c r="I3908" s="7">
        <f>IF(Transactions!I3908="",0,Transactions!I3908)</f>
        <v>0</v>
      </c>
      <c r="J3908" s="9">
        <f t="shared" si="61"/>
        <v>29.99</v>
      </c>
      <c r="K3908" t="s">
        <v>16</v>
      </c>
      <c r="L3908" t="s">
        <v>17</v>
      </c>
      <c r="M3908" t="str">
        <f>REPLACE(Transactions!M3908,1,4,"")</f>
        <v>5</v>
      </c>
    </row>
    <row r="3909" spans="1:13" x14ac:dyDescent="0.2">
      <c r="A3909">
        <v>748725</v>
      </c>
      <c r="B3909" s="5">
        <v>44710</v>
      </c>
      <c r="C3909">
        <v>75038</v>
      </c>
      <c r="D3909" t="str">
        <f>PROPER(Transactions!D3909)</f>
        <v>Grocery</v>
      </c>
      <c r="E3909" t="s">
        <v>91</v>
      </c>
      <c r="F3909" t="s">
        <v>92</v>
      </c>
      <c r="G3909">
        <v>2</v>
      </c>
      <c r="H3909">
        <v>5.98</v>
      </c>
      <c r="I3909" s="7">
        <f>IF(Transactions!I3909="",0,Transactions!I3909)</f>
        <v>0.05</v>
      </c>
      <c r="J3909" s="9">
        <f t="shared" si="61"/>
        <v>11.362</v>
      </c>
      <c r="K3909" t="s">
        <v>16</v>
      </c>
      <c r="L3909" t="s">
        <v>17</v>
      </c>
      <c r="M3909" t="str">
        <f>REPLACE(Transactions!M3909,1,4,"")</f>
        <v>3</v>
      </c>
    </row>
    <row r="3910" spans="1:13" x14ac:dyDescent="0.2">
      <c r="A3910">
        <v>748824</v>
      </c>
      <c r="B3910" s="5">
        <v>44944</v>
      </c>
      <c r="C3910">
        <v>30628</v>
      </c>
      <c r="D3910" t="str">
        <f>PROPER(Transactions!D3910)</f>
        <v>Pharmacy</v>
      </c>
      <c r="E3910" t="s">
        <v>115</v>
      </c>
      <c r="F3910" t="s">
        <v>116</v>
      </c>
      <c r="G3910">
        <v>1</v>
      </c>
      <c r="H3910">
        <v>10.39</v>
      </c>
      <c r="I3910" s="7">
        <f>IF(Transactions!I3910="",0,Transactions!I3910)</f>
        <v>0.2</v>
      </c>
      <c r="J3910" s="9">
        <f t="shared" si="61"/>
        <v>8.3120000000000012</v>
      </c>
      <c r="K3910" t="s">
        <v>32</v>
      </c>
      <c r="L3910" t="s">
        <v>37</v>
      </c>
      <c r="M3910" t="str">
        <f>REPLACE(Transactions!M3910,1,4,"")</f>
        <v>16</v>
      </c>
    </row>
    <row r="3911" spans="1:13" x14ac:dyDescent="0.2">
      <c r="A3911">
        <v>749003</v>
      </c>
      <c r="B3911" s="5">
        <v>44613</v>
      </c>
      <c r="C3911">
        <v>43309</v>
      </c>
      <c r="D3911" t="str">
        <f>PROPER(Transactions!D3911)</f>
        <v>Grocery</v>
      </c>
      <c r="E3911" t="s">
        <v>190</v>
      </c>
      <c r="F3911" t="s">
        <v>191</v>
      </c>
      <c r="G3911">
        <v>1</v>
      </c>
      <c r="H3911">
        <v>4.08</v>
      </c>
      <c r="I3911" s="7">
        <f>IF(Transactions!I3911="",0,Transactions!I3911)</f>
        <v>0.05</v>
      </c>
      <c r="J3911" s="9">
        <f t="shared" si="61"/>
        <v>3.8759999999999999</v>
      </c>
      <c r="K3911" t="s">
        <v>16</v>
      </c>
      <c r="L3911" t="s">
        <v>17</v>
      </c>
      <c r="M3911" t="str">
        <f>REPLACE(Transactions!M3911,1,4,"")</f>
        <v>7</v>
      </c>
    </row>
    <row r="3912" spans="1:13" x14ac:dyDescent="0.2">
      <c r="A3912">
        <v>749323</v>
      </c>
      <c r="B3912" s="5">
        <v>44833</v>
      </c>
      <c r="C3912">
        <v>59304</v>
      </c>
      <c r="D3912" t="str">
        <f>PROPER(Transactions!D3912)</f>
        <v>Beauty</v>
      </c>
      <c r="E3912" t="s">
        <v>143</v>
      </c>
      <c r="F3912" t="s">
        <v>144</v>
      </c>
      <c r="G3912">
        <v>1</v>
      </c>
      <c r="H3912">
        <v>14.99</v>
      </c>
      <c r="I3912" s="7">
        <f>IF(Transactions!I3912="",0,Transactions!I3912)</f>
        <v>0</v>
      </c>
      <c r="J3912" s="9">
        <f t="shared" si="61"/>
        <v>14.99</v>
      </c>
      <c r="K3912" t="s">
        <v>36</v>
      </c>
      <c r="L3912" t="s">
        <v>17</v>
      </c>
      <c r="M3912" t="str">
        <f>REPLACE(Transactions!M3912,1,4,"")</f>
        <v>11</v>
      </c>
    </row>
    <row r="3913" spans="1:13" x14ac:dyDescent="0.2">
      <c r="A3913">
        <v>749358</v>
      </c>
      <c r="B3913" s="5">
        <v>44781</v>
      </c>
      <c r="C3913">
        <v>10001</v>
      </c>
      <c r="D3913" t="str">
        <f>PROPER(Transactions!D3913)</f>
        <v>Home &amp; Garden</v>
      </c>
      <c r="E3913" t="s">
        <v>129</v>
      </c>
      <c r="F3913" t="s">
        <v>130</v>
      </c>
      <c r="G3913">
        <v>4</v>
      </c>
      <c r="H3913">
        <v>8.99</v>
      </c>
      <c r="I3913" s="7">
        <f>IF(Transactions!I3913="",0,Transactions!I3913)</f>
        <v>0</v>
      </c>
      <c r="J3913" s="9">
        <f t="shared" si="61"/>
        <v>35.96</v>
      </c>
      <c r="K3913" t="s">
        <v>16</v>
      </c>
      <c r="L3913" t="s">
        <v>17</v>
      </c>
      <c r="M3913" t="str">
        <f>REPLACE(Transactions!M3913,1,4,"")</f>
        <v>9</v>
      </c>
    </row>
    <row r="3914" spans="1:13" x14ac:dyDescent="0.2">
      <c r="A3914">
        <v>749498</v>
      </c>
      <c r="B3914" s="5">
        <v>44945</v>
      </c>
      <c r="C3914">
        <v>27895</v>
      </c>
      <c r="D3914" t="str">
        <f>PROPER(Transactions!D3914)</f>
        <v>Pharmacy</v>
      </c>
      <c r="E3914" t="s">
        <v>197</v>
      </c>
      <c r="F3914" t="s">
        <v>198</v>
      </c>
      <c r="G3914">
        <v>4</v>
      </c>
      <c r="H3914">
        <v>12.74</v>
      </c>
      <c r="I3914" s="7">
        <f>IF(Transactions!I3914="",0,Transactions!I3914)</f>
        <v>0.15</v>
      </c>
      <c r="J3914" s="9">
        <f t="shared" si="61"/>
        <v>43.316000000000003</v>
      </c>
      <c r="K3914" t="s">
        <v>16</v>
      </c>
      <c r="L3914" t="s">
        <v>17</v>
      </c>
      <c r="M3914" t="str">
        <f>REPLACE(Transactions!M3914,1,4,"")</f>
        <v>15</v>
      </c>
    </row>
    <row r="3915" spans="1:13" x14ac:dyDescent="0.2">
      <c r="A3915">
        <v>749538</v>
      </c>
      <c r="B3915" s="5">
        <v>44871</v>
      </c>
      <c r="C3915">
        <v>85553</v>
      </c>
      <c r="D3915" t="str">
        <f>PROPER(Transactions!D3915)</f>
        <v>Beauty</v>
      </c>
      <c r="E3915" t="s">
        <v>143</v>
      </c>
      <c r="F3915" t="s">
        <v>144</v>
      </c>
      <c r="G3915">
        <v>1</v>
      </c>
      <c r="H3915">
        <v>14.24</v>
      </c>
      <c r="I3915" s="7">
        <f>IF(Transactions!I3915="",0,Transactions!I3915)</f>
        <v>0.05</v>
      </c>
      <c r="J3915" s="9">
        <f t="shared" si="61"/>
        <v>13.527999999999999</v>
      </c>
      <c r="K3915" t="s">
        <v>22</v>
      </c>
      <c r="L3915" t="s">
        <v>37</v>
      </c>
      <c r="M3915" t="str">
        <f>REPLACE(Transactions!M3915,1,4,"")</f>
        <v>13</v>
      </c>
    </row>
    <row r="3916" spans="1:13" x14ac:dyDescent="0.2">
      <c r="A3916">
        <v>750271</v>
      </c>
      <c r="B3916" s="5">
        <v>44872</v>
      </c>
      <c r="C3916">
        <v>60553</v>
      </c>
      <c r="D3916" t="str">
        <f>PROPER(Transactions!D3916)</f>
        <v>Grocery</v>
      </c>
      <c r="E3916" t="s">
        <v>190</v>
      </c>
      <c r="F3916" t="s">
        <v>191</v>
      </c>
      <c r="G3916">
        <v>5</v>
      </c>
      <c r="H3916">
        <v>4.08</v>
      </c>
      <c r="I3916" s="7">
        <f>IF(Transactions!I3916="",0,Transactions!I3916)</f>
        <v>0.05</v>
      </c>
      <c r="J3916" s="9">
        <f t="shared" si="61"/>
        <v>19.38</v>
      </c>
      <c r="K3916" t="s">
        <v>36</v>
      </c>
      <c r="L3916" t="s">
        <v>17</v>
      </c>
      <c r="M3916" t="str">
        <f>REPLACE(Transactions!M3916,1,4,"")</f>
        <v>6</v>
      </c>
    </row>
    <row r="3917" spans="1:13" x14ac:dyDescent="0.2">
      <c r="A3917">
        <v>750335</v>
      </c>
      <c r="B3917" s="5">
        <v>45465</v>
      </c>
      <c r="C3917">
        <v>90155</v>
      </c>
      <c r="D3917" t="str">
        <f>PROPER(Transactions!D3917)</f>
        <v>Electronics</v>
      </c>
      <c r="E3917" t="s">
        <v>79</v>
      </c>
      <c r="F3917" t="s">
        <v>80</v>
      </c>
      <c r="G3917">
        <v>1</v>
      </c>
      <c r="H3917">
        <v>85.49</v>
      </c>
      <c r="I3917" s="7">
        <f>IF(Transactions!I3917="",0,Transactions!I3917)</f>
        <v>0.05</v>
      </c>
      <c r="J3917" s="9">
        <f t="shared" si="61"/>
        <v>81.215499999999992</v>
      </c>
      <c r="K3917" t="s">
        <v>16</v>
      </c>
      <c r="L3917" t="s">
        <v>17</v>
      </c>
      <c r="M3917" t="str">
        <f>REPLACE(Transactions!M3917,1,4,"")</f>
        <v>17</v>
      </c>
    </row>
    <row r="3918" spans="1:13" x14ac:dyDescent="0.2">
      <c r="A3918">
        <v>750521</v>
      </c>
      <c r="B3918" s="5">
        <v>45030</v>
      </c>
      <c r="D3918" t="str">
        <f>PROPER(Transactions!D3918)</f>
        <v>Beauty</v>
      </c>
      <c r="E3918" t="s">
        <v>109</v>
      </c>
      <c r="F3918" t="s">
        <v>110</v>
      </c>
      <c r="G3918">
        <v>2</v>
      </c>
      <c r="H3918">
        <v>6.64</v>
      </c>
      <c r="I3918" s="7">
        <f>IF(Transactions!I3918="",0,Transactions!I3918)</f>
        <v>0.05</v>
      </c>
      <c r="J3918" s="9">
        <f t="shared" si="61"/>
        <v>12.616</v>
      </c>
      <c r="K3918" t="s">
        <v>95</v>
      </c>
      <c r="L3918" t="s">
        <v>17</v>
      </c>
      <c r="M3918" t="str">
        <f>REPLACE(Transactions!M3918,1,4,"")</f>
        <v>11</v>
      </c>
    </row>
    <row r="3919" spans="1:13" x14ac:dyDescent="0.2">
      <c r="A3919">
        <v>750655</v>
      </c>
      <c r="B3919" s="5">
        <v>45388</v>
      </c>
      <c r="C3919">
        <v>67536</v>
      </c>
      <c r="D3919" t="str">
        <f>PROPER(Transactions!D3919)</f>
        <v>Home &amp; Garden</v>
      </c>
      <c r="E3919" t="s">
        <v>145</v>
      </c>
      <c r="F3919" t="s">
        <v>146</v>
      </c>
      <c r="G3919">
        <v>4</v>
      </c>
      <c r="H3919">
        <v>13.59</v>
      </c>
      <c r="I3919" s="7">
        <f>IF(Transactions!I3919="",0,Transactions!I3919)</f>
        <v>0.2</v>
      </c>
      <c r="J3919" s="9">
        <f t="shared" si="61"/>
        <v>43.488</v>
      </c>
      <c r="K3919" t="s">
        <v>36</v>
      </c>
      <c r="L3919" t="s">
        <v>17</v>
      </c>
      <c r="M3919" t="str">
        <f>REPLACE(Transactions!M3919,1,4,"")</f>
        <v>13</v>
      </c>
    </row>
    <row r="3920" spans="1:13" x14ac:dyDescent="0.2">
      <c r="A3920">
        <v>750820</v>
      </c>
      <c r="B3920" s="5">
        <v>45164</v>
      </c>
      <c r="C3920">
        <v>86643</v>
      </c>
      <c r="D3920" t="str">
        <f>PROPER(Transactions!D3920)</f>
        <v>Automotive</v>
      </c>
      <c r="E3920" t="s">
        <v>68</v>
      </c>
      <c r="F3920" t="s">
        <v>69</v>
      </c>
      <c r="G3920">
        <v>5</v>
      </c>
      <c r="H3920">
        <v>22.49</v>
      </c>
      <c r="I3920" s="7">
        <f>IF(Transactions!I3920="",0,Transactions!I3920)</f>
        <v>0.1</v>
      </c>
      <c r="J3920" s="9">
        <f t="shared" si="61"/>
        <v>101.205</v>
      </c>
      <c r="K3920" t="s">
        <v>16</v>
      </c>
      <c r="L3920" t="s">
        <v>17</v>
      </c>
      <c r="M3920" t="str">
        <f>REPLACE(Transactions!M3920,1,4,"")</f>
        <v>4</v>
      </c>
    </row>
    <row r="3921" spans="1:13" x14ac:dyDescent="0.2">
      <c r="A3921">
        <v>750849</v>
      </c>
      <c r="B3921" s="5">
        <v>45462</v>
      </c>
      <c r="C3921">
        <v>39705</v>
      </c>
      <c r="D3921" t="str">
        <f>PROPER(Transactions!D3921)</f>
        <v>Clothing</v>
      </c>
      <c r="E3921" t="s">
        <v>121</v>
      </c>
      <c r="F3921" t="s">
        <v>122</v>
      </c>
      <c r="G3921">
        <v>2</v>
      </c>
      <c r="H3921">
        <v>11.69</v>
      </c>
      <c r="I3921" s="7">
        <f>IF(Transactions!I3921="",0,Transactions!I3921)</f>
        <v>0.1</v>
      </c>
      <c r="J3921" s="9">
        <f t="shared" si="61"/>
        <v>21.041999999999998</v>
      </c>
      <c r="K3921" t="s">
        <v>22</v>
      </c>
      <c r="L3921" t="s">
        <v>37</v>
      </c>
      <c r="M3921" t="str">
        <f>REPLACE(Transactions!M3921,1,4,"")</f>
        <v>4</v>
      </c>
    </row>
    <row r="3922" spans="1:13" x14ac:dyDescent="0.2">
      <c r="A3922">
        <v>751051</v>
      </c>
      <c r="B3922" s="5">
        <v>45283</v>
      </c>
      <c r="C3922">
        <v>99241</v>
      </c>
      <c r="D3922" t="str">
        <f>PROPER(Transactions!D3922)</f>
        <v>Toys</v>
      </c>
      <c r="E3922" t="s">
        <v>170</v>
      </c>
      <c r="F3922" t="s">
        <v>171</v>
      </c>
      <c r="G3922">
        <v>3</v>
      </c>
      <c r="H3922">
        <v>14.24</v>
      </c>
      <c r="I3922" s="7">
        <f>IF(Transactions!I3922="",0,Transactions!I3922)</f>
        <v>0.05</v>
      </c>
      <c r="J3922" s="9">
        <f t="shared" si="61"/>
        <v>40.583999999999996</v>
      </c>
      <c r="K3922" t="s">
        <v>22</v>
      </c>
      <c r="L3922" t="s">
        <v>37</v>
      </c>
      <c r="M3922" t="str">
        <f>REPLACE(Transactions!M3922,1,4,"")</f>
        <v>17</v>
      </c>
    </row>
    <row r="3923" spans="1:13" x14ac:dyDescent="0.2">
      <c r="A3923">
        <v>751162</v>
      </c>
      <c r="B3923" s="5">
        <v>45194</v>
      </c>
      <c r="D3923" t="str">
        <f>PROPER(Transactions!D3923)</f>
        <v>Electronics</v>
      </c>
      <c r="E3923" t="s">
        <v>186</v>
      </c>
      <c r="F3923" t="s">
        <v>187</v>
      </c>
      <c r="G3923">
        <v>1</v>
      </c>
      <c r="H3923">
        <v>37.49</v>
      </c>
      <c r="I3923" s="7">
        <f>IF(Transactions!I3923="",0,Transactions!I3923)</f>
        <v>0.25</v>
      </c>
      <c r="J3923" s="9">
        <f t="shared" si="61"/>
        <v>28.1175</v>
      </c>
      <c r="K3923" t="s">
        <v>53</v>
      </c>
      <c r="L3923" t="s">
        <v>37</v>
      </c>
      <c r="M3923" t="str">
        <f>REPLACE(Transactions!M3923,1,4,"")</f>
        <v>13</v>
      </c>
    </row>
    <row r="3924" spans="1:13" x14ac:dyDescent="0.2">
      <c r="A3924">
        <v>751340</v>
      </c>
      <c r="B3924" s="5">
        <v>44821</v>
      </c>
      <c r="C3924">
        <v>27238</v>
      </c>
      <c r="D3924" t="str">
        <f>PROPER(Transactions!D3924)</f>
        <v>Electronics</v>
      </c>
      <c r="E3924" t="s">
        <v>159</v>
      </c>
      <c r="F3924" t="s">
        <v>160</v>
      </c>
      <c r="G3924">
        <v>1</v>
      </c>
      <c r="H3924">
        <v>41.99</v>
      </c>
      <c r="I3924" s="7">
        <f>IF(Transactions!I3924="",0,Transactions!I3924)</f>
        <v>0.3</v>
      </c>
      <c r="J3924" s="9">
        <f t="shared" si="61"/>
        <v>29.393000000000001</v>
      </c>
      <c r="K3924" t="s">
        <v>32</v>
      </c>
      <c r="L3924" t="s">
        <v>17</v>
      </c>
      <c r="M3924" t="str">
        <f>REPLACE(Transactions!M3924,1,4,"")</f>
        <v>3</v>
      </c>
    </row>
    <row r="3925" spans="1:13" x14ac:dyDescent="0.2">
      <c r="A3925">
        <v>751380</v>
      </c>
      <c r="B3925" s="5">
        <v>45341</v>
      </c>
      <c r="C3925">
        <v>46809</v>
      </c>
      <c r="D3925" t="str">
        <f>PROPER(Transactions!D3925)</f>
        <v>Clothing</v>
      </c>
      <c r="E3925" t="s">
        <v>165</v>
      </c>
      <c r="F3925" t="s">
        <v>166</v>
      </c>
      <c r="G3925">
        <v>1</v>
      </c>
      <c r="H3925">
        <v>89.99</v>
      </c>
      <c r="I3925" s="7">
        <f>IF(Transactions!I3925="",0,Transactions!I3925)</f>
        <v>0</v>
      </c>
      <c r="J3925" s="9">
        <f t="shared" si="61"/>
        <v>89.99</v>
      </c>
      <c r="K3925" t="s">
        <v>36</v>
      </c>
      <c r="L3925" t="s">
        <v>17</v>
      </c>
      <c r="M3925" t="str">
        <f>REPLACE(Transactions!M3925,1,4,"")</f>
        <v>15</v>
      </c>
    </row>
    <row r="3926" spans="1:13" x14ac:dyDescent="0.2">
      <c r="A3926">
        <v>751507</v>
      </c>
      <c r="B3926" s="5">
        <v>45486</v>
      </c>
      <c r="C3926">
        <v>29609</v>
      </c>
      <c r="D3926" t="str">
        <f>PROPER(Transactions!D3926)</f>
        <v>Grocery</v>
      </c>
      <c r="E3926" t="s">
        <v>74</v>
      </c>
      <c r="F3926" t="s">
        <v>75</v>
      </c>
      <c r="G3926">
        <v>1</v>
      </c>
      <c r="H3926">
        <v>2.99</v>
      </c>
      <c r="I3926" s="7">
        <f>IF(Transactions!I3926="",0,Transactions!I3926)</f>
        <v>0</v>
      </c>
      <c r="J3926" s="9">
        <f t="shared" si="61"/>
        <v>2.99</v>
      </c>
      <c r="K3926" t="s">
        <v>95</v>
      </c>
      <c r="L3926" t="s">
        <v>23</v>
      </c>
      <c r="M3926" t="str">
        <f>REPLACE(Transactions!M3926,1,4,"")</f>
        <v>16</v>
      </c>
    </row>
    <row r="3927" spans="1:13" x14ac:dyDescent="0.2">
      <c r="A3927">
        <v>751515</v>
      </c>
      <c r="B3927" s="5">
        <v>44832</v>
      </c>
      <c r="C3927">
        <v>66235</v>
      </c>
      <c r="D3927" t="str">
        <f>PROPER(Transactions!D3927)</f>
        <v>Beauty</v>
      </c>
      <c r="E3927" t="s">
        <v>139</v>
      </c>
      <c r="F3927" t="s">
        <v>140</v>
      </c>
      <c r="G3927">
        <v>1</v>
      </c>
      <c r="H3927">
        <v>7.99</v>
      </c>
      <c r="I3927" s="7">
        <f>IF(Transactions!I3927="",0,Transactions!I3927)</f>
        <v>0</v>
      </c>
      <c r="J3927" s="9">
        <f t="shared" si="61"/>
        <v>7.99</v>
      </c>
      <c r="K3927" t="s">
        <v>36</v>
      </c>
      <c r="L3927" t="s">
        <v>17</v>
      </c>
      <c r="M3927" t="str">
        <f>REPLACE(Transactions!M3927,1,4,"")</f>
        <v>9</v>
      </c>
    </row>
    <row r="3928" spans="1:13" x14ac:dyDescent="0.2">
      <c r="A3928">
        <v>751521</v>
      </c>
      <c r="B3928" s="5">
        <v>45292</v>
      </c>
      <c r="C3928">
        <v>18121</v>
      </c>
      <c r="D3928" t="str">
        <f>PROPER(Transactions!D3928)</f>
        <v>Grocery</v>
      </c>
      <c r="E3928" t="s">
        <v>133</v>
      </c>
      <c r="F3928" t="s">
        <v>134</v>
      </c>
      <c r="G3928">
        <v>2</v>
      </c>
      <c r="H3928">
        <v>2.65</v>
      </c>
      <c r="I3928" s="7">
        <f>IF(Transactions!I3928="",0,Transactions!I3928)</f>
        <v>0.3</v>
      </c>
      <c r="J3928" s="9">
        <f t="shared" si="61"/>
        <v>3.7099999999999995</v>
      </c>
      <c r="K3928" t="s">
        <v>95</v>
      </c>
      <c r="L3928" t="s">
        <v>23</v>
      </c>
      <c r="M3928" t="str">
        <f>REPLACE(Transactions!M3928,1,4,"")</f>
        <v>20</v>
      </c>
    </row>
    <row r="3929" spans="1:13" x14ac:dyDescent="0.2">
      <c r="A3929">
        <v>751782</v>
      </c>
      <c r="B3929" s="5">
        <v>44586</v>
      </c>
      <c r="C3929">
        <v>37299</v>
      </c>
      <c r="D3929" t="str">
        <f>PROPER(Transactions!D3929)</f>
        <v>Pharmacy</v>
      </c>
      <c r="E3929" t="s">
        <v>41</v>
      </c>
      <c r="F3929" t="s">
        <v>42</v>
      </c>
      <c r="G3929">
        <v>2</v>
      </c>
      <c r="H3929">
        <v>5.39</v>
      </c>
      <c r="I3929" s="7">
        <f>IF(Transactions!I3929="",0,Transactions!I3929)</f>
        <v>0.1</v>
      </c>
      <c r="J3929" s="9">
        <f t="shared" si="61"/>
        <v>9.702</v>
      </c>
      <c r="K3929" t="s">
        <v>16</v>
      </c>
      <c r="L3929" t="s">
        <v>23</v>
      </c>
      <c r="M3929" t="str">
        <f>REPLACE(Transactions!M3929,1,4,"")</f>
        <v>13</v>
      </c>
    </row>
    <row r="3930" spans="1:13" x14ac:dyDescent="0.2">
      <c r="A3930">
        <v>751871</v>
      </c>
      <c r="B3930" s="5">
        <v>45296</v>
      </c>
      <c r="C3930">
        <v>96684</v>
      </c>
      <c r="D3930" t="str">
        <f>PROPER(Transactions!D3930)</f>
        <v>Furniture</v>
      </c>
      <c r="E3930" t="s">
        <v>60</v>
      </c>
      <c r="F3930" t="s">
        <v>61</v>
      </c>
      <c r="G3930">
        <v>1</v>
      </c>
      <c r="H3930">
        <v>41.24</v>
      </c>
      <c r="I3930" s="7">
        <f>IF(Transactions!I3930="",0,Transactions!I3930)</f>
        <v>0.25</v>
      </c>
      <c r="J3930" s="9">
        <f t="shared" si="61"/>
        <v>30.93</v>
      </c>
      <c r="K3930" t="s">
        <v>95</v>
      </c>
      <c r="L3930" t="s">
        <v>17</v>
      </c>
      <c r="M3930" t="str">
        <f>REPLACE(Transactions!M3930,1,4,"")</f>
        <v>17</v>
      </c>
    </row>
    <row r="3931" spans="1:13" x14ac:dyDescent="0.2">
      <c r="A3931">
        <v>751931</v>
      </c>
      <c r="B3931" s="5">
        <v>45366</v>
      </c>
      <c r="C3931">
        <v>66520</v>
      </c>
      <c r="D3931" t="str">
        <f>PROPER(Transactions!D3931)</f>
        <v>Home &amp; Garden</v>
      </c>
      <c r="E3931" t="s">
        <v>149</v>
      </c>
      <c r="F3931" t="s">
        <v>150</v>
      </c>
      <c r="G3931">
        <v>1</v>
      </c>
      <c r="H3931">
        <v>15.99</v>
      </c>
      <c r="I3931" s="7">
        <f>IF(Transactions!I3931="",0,Transactions!I3931)</f>
        <v>0</v>
      </c>
      <c r="J3931" s="9">
        <f t="shared" si="61"/>
        <v>15.99</v>
      </c>
      <c r="K3931" t="s">
        <v>16</v>
      </c>
      <c r="L3931" t="s">
        <v>37</v>
      </c>
      <c r="M3931" t="str">
        <f>REPLACE(Transactions!M3931,1,4,"")</f>
        <v>12</v>
      </c>
    </row>
    <row r="3932" spans="1:13" x14ac:dyDescent="0.2">
      <c r="A3932">
        <v>751942</v>
      </c>
      <c r="B3932" s="5">
        <v>45427</v>
      </c>
      <c r="C3932">
        <v>95966</v>
      </c>
      <c r="D3932" t="str">
        <f>PROPER(Transactions!D3932)</f>
        <v>Home &amp; Garden</v>
      </c>
      <c r="E3932" t="s">
        <v>157</v>
      </c>
      <c r="F3932" t="s">
        <v>158</v>
      </c>
      <c r="G3932">
        <v>1</v>
      </c>
      <c r="H3932">
        <v>13.49</v>
      </c>
      <c r="I3932" s="7">
        <f>IF(Transactions!I3932="",0,Transactions!I3932)</f>
        <v>0</v>
      </c>
      <c r="J3932" s="9">
        <f t="shared" si="61"/>
        <v>13.49</v>
      </c>
      <c r="K3932" t="s">
        <v>36</v>
      </c>
      <c r="L3932" t="s">
        <v>23</v>
      </c>
      <c r="M3932" t="str">
        <f>REPLACE(Transactions!M3932,1,4,"")</f>
        <v>17</v>
      </c>
    </row>
    <row r="3933" spans="1:13" x14ac:dyDescent="0.2">
      <c r="A3933">
        <v>752161</v>
      </c>
      <c r="B3933" s="5">
        <v>45461</v>
      </c>
      <c r="C3933">
        <v>54321</v>
      </c>
      <c r="D3933" t="str">
        <f>PROPER(Transactions!D3933)</f>
        <v>Grocery</v>
      </c>
      <c r="E3933" t="s">
        <v>172</v>
      </c>
      <c r="F3933" t="s">
        <v>173</v>
      </c>
      <c r="G3933">
        <v>5</v>
      </c>
      <c r="H3933">
        <v>3.37</v>
      </c>
      <c r="I3933" s="7">
        <f>IF(Transactions!I3933="",0,Transactions!I3933)</f>
        <v>0.25</v>
      </c>
      <c r="J3933" s="9">
        <f t="shared" si="61"/>
        <v>12.637500000000001</v>
      </c>
      <c r="K3933" t="s">
        <v>22</v>
      </c>
      <c r="L3933" t="s">
        <v>17</v>
      </c>
      <c r="M3933" t="str">
        <f>REPLACE(Transactions!M3933,1,4,"")</f>
        <v>3</v>
      </c>
    </row>
    <row r="3934" spans="1:13" x14ac:dyDescent="0.2">
      <c r="A3934">
        <v>752263</v>
      </c>
      <c r="B3934" s="5">
        <v>45448</v>
      </c>
      <c r="C3934">
        <v>65954</v>
      </c>
      <c r="D3934" t="str">
        <f>PROPER(Transactions!D3934)</f>
        <v>Pharmacy</v>
      </c>
      <c r="E3934" t="s">
        <v>115</v>
      </c>
      <c r="F3934" t="s">
        <v>116</v>
      </c>
      <c r="G3934">
        <v>5</v>
      </c>
      <c r="H3934">
        <v>12.99</v>
      </c>
      <c r="I3934" s="7">
        <f>IF(Transactions!I3934="",0,Transactions!I3934)</f>
        <v>0</v>
      </c>
      <c r="J3934" s="9">
        <f t="shared" si="61"/>
        <v>64.95</v>
      </c>
      <c r="K3934" t="s">
        <v>36</v>
      </c>
      <c r="L3934" t="s">
        <v>17</v>
      </c>
      <c r="M3934" t="str">
        <f>REPLACE(Transactions!M3934,1,4,"")</f>
        <v>20</v>
      </c>
    </row>
    <row r="3935" spans="1:13" x14ac:dyDescent="0.2">
      <c r="A3935">
        <v>752327</v>
      </c>
      <c r="B3935" s="5">
        <v>45163</v>
      </c>
      <c r="C3935">
        <v>98771</v>
      </c>
      <c r="D3935" t="str">
        <f>PROPER(Transactions!D3935)</f>
        <v>Automotive</v>
      </c>
      <c r="E3935" t="s">
        <v>64</v>
      </c>
      <c r="F3935" t="s">
        <v>65</v>
      </c>
      <c r="G3935">
        <v>2</v>
      </c>
      <c r="H3935">
        <v>3.49</v>
      </c>
      <c r="I3935" s="7">
        <f>IF(Transactions!I3935="",0,Transactions!I3935)</f>
        <v>0.3</v>
      </c>
      <c r="J3935" s="9">
        <f t="shared" si="61"/>
        <v>4.8860000000000001</v>
      </c>
      <c r="K3935" t="s">
        <v>16</v>
      </c>
      <c r="L3935" t="s">
        <v>17</v>
      </c>
      <c r="M3935" t="str">
        <f>REPLACE(Transactions!M3935,1,4,"")</f>
        <v>3</v>
      </c>
    </row>
    <row r="3936" spans="1:13" x14ac:dyDescent="0.2">
      <c r="A3936">
        <v>752593</v>
      </c>
      <c r="B3936" s="5">
        <v>45302</v>
      </c>
      <c r="C3936">
        <v>45026</v>
      </c>
      <c r="D3936" t="str">
        <f>PROPER(Transactions!D3936)</f>
        <v>Sports</v>
      </c>
      <c r="E3936" t="s">
        <v>100</v>
      </c>
      <c r="F3936" t="s">
        <v>101</v>
      </c>
      <c r="G3936">
        <v>1</v>
      </c>
      <c r="H3936">
        <v>22.99</v>
      </c>
      <c r="I3936" s="7">
        <f>IF(Transactions!I3936="",0,Transactions!I3936)</f>
        <v>0</v>
      </c>
      <c r="J3936" s="9">
        <f t="shared" si="61"/>
        <v>22.99</v>
      </c>
      <c r="K3936" t="s">
        <v>36</v>
      </c>
      <c r="L3936" t="s">
        <v>17</v>
      </c>
      <c r="M3936" t="str">
        <f>REPLACE(Transactions!M3936,1,4,"")</f>
        <v>20</v>
      </c>
    </row>
    <row r="3937" spans="1:13" x14ac:dyDescent="0.2">
      <c r="A3937">
        <v>752767</v>
      </c>
      <c r="B3937" s="5">
        <v>44870</v>
      </c>
      <c r="C3937">
        <v>40532</v>
      </c>
      <c r="D3937" t="str">
        <f>PROPER(Transactions!D3937)</f>
        <v>Beauty</v>
      </c>
      <c r="E3937" t="s">
        <v>143</v>
      </c>
      <c r="F3937" t="s">
        <v>144</v>
      </c>
      <c r="G3937">
        <v>4</v>
      </c>
      <c r="H3937">
        <v>11.99</v>
      </c>
      <c r="I3937" s="7">
        <f>IF(Transactions!I3937="",0,Transactions!I3937)</f>
        <v>0.2</v>
      </c>
      <c r="J3937" s="9">
        <f t="shared" si="61"/>
        <v>38.368000000000002</v>
      </c>
      <c r="K3937" t="s">
        <v>22</v>
      </c>
      <c r="L3937" t="s">
        <v>17</v>
      </c>
      <c r="M3937" t="str">
        <f>REPLACE(Transactions!M3937,1,4,"")</f>
        <v>6</v>
      </c>
    </row>
    <row r="3938" spans="1:13" x14ac:dyDescent="0.2">
      <c r="A3938">
        <v>752911</v>
      </c>
      <c r="B3938" s="5">
        <v>45324</v>
      </c>
      <c r="C3938">
        <v>23684</v>
      </c>
      <c r="D3938" t="str">
        <f>PROPER(Transactions!D3938)</f>
        <v>Sports</v>
      </c>
      <c r="E3938" t="s">
        <v>155</v>
      </c>
      <c r="F3938" t="s">
        <v>156</v>
      </c>
      <c r="G3938">
        <v>1</v>
      </c>
      <c r="H3938">
        <v>17.989999999999998</v>
      </c>
      <c r="I3938" s="7">
        <f>IF(Transactions!I3938="",0,Transactions!I3938)</f>
        <v>0.1</v>
      </c>
      <c r="J3938" s="9">
        <f t="shared" si="61"/>
        <v>16.190999999999999</v>
      </c>
      <c r="K3938" t="s">
        <v>16</v>
      </c>
      <c r="L3938" t="s">
        <v>17</v>
      </c>
      <c r="M3938" t="str">
        <f>REPLACE(Transactions!M3938,1,4,"")</f>
        <v>10</v>
      </c>
    </row>
    <row r="3939" spans="1:13" x14ac:dyDescent="0.2">
      <c r="A3939">
        <v>753323</v>
      </c>
      <c r="B3939" s="5">
        <v>45174</v>
      </c>
      <c r="C3939">
        <v>51150</v>
      </c>
      <c r="D3939" t="str">
        <f>PROPER(Transactions!D3939)</f>
        <v>Beauty</v>
      </c>
      <c r="E3939" t="s">
        <v>139</v>
      </c>
      <c r="F3939" t="s">
        <v>140</v>
      </c>
      <c r="G3939">
        <v>1</v>
      </c>
      <c r="H3939">
        <v>7.99</v>
      </c>
      <c r="I3939" s="7">
        <f>IF(Transactions!I3939="",0,Transactions!I3939)</f>
        <v>0</v>
      </c>
      <c r="J3939" s="9">
        <f t="shared" si="61"/>
        <v>7.99</v>
      </c>
      <c r="K3939" t="s">
        <v>16</v>
      </c>
      <c r="L3939" t="s">
        <v>23</v>
      </c>
      <c r="M3939" t="str">
        <f>REPLACE(Transactions!M3939,1,4,"")</f>
        <v>8</v>
      </c>
    </row>
    <row r="3940" spans="1:13" x14ac:dyDescent="0.2">
      <c r="A3940">
        <v>753427</v>
      </c>
      <c r="B3940" s="5">
        <v>45015</v>
      </c>
      <c r="C3940">
        <v>45702</v>
      </c>
      <c r="D3940" t="str">
        <f>PROPER(Transactions!D3940)</f>
        <v>Automotive</v>
      </c>
      <c r="E3940" t="s">
        <v>125</v>
      </c>
      <c r="F3940" t="s">
        <v>126</v>
      </c>
      <c r="G3940">
        <v>4</v>
      </c>
      <c r="H3940">
        <v>29.99</v>
      </c>
      <c r="I3940" s="7">
        <f>IF(Transactions!I3940="",0,Transactions!I3940)</f>
        <v>0</v>
      </c>
      <c r="J3940" s="9">
        <f t="shared" si="61"/>
        <v>119.96</v>
      </c>
      <c r="K3940" t="s">
        <v>53</v>
      </c>
      <c r="L3940" t="s">
        <v>17</v>
      </c>
      <c r="M3940" t="str">
        <f>REPLACE(Transactions!M3940,1,4,"")</f>
        <v>4</v>
      </c>
    </row>
    <row r="3941" spans="1:13" x14ac:dyDescent="0.2">
      <c r="A3941">
        <v>753463</v>
      </c>
      <c r="B3941" s="5">
        <v>44648</v>
      </c>
      <c r="C3941">
        <v>13558</v>
      </c>
      <c r="D3941" t="str">
        <f>PROPER(Transactions!D3941)</f>
        <v>Clothing</v>
      </c>
      <c r="E3941" t="s">
        <v>165</v>
      </c>
      <c r="F3941" t="s">
        <v>166</v>
      </c>
      <c r="G3941">
        <v>2</v>
      </c>
      <c r="H3941">
        <v>62.99</v>
      </c>
      <c r="I3941" s="7">
        <f>IF(Transactions!I3941="",0,Transactions!I3941)</f>
        <v>0</v>
      </c>
      <c r="J3941" s="9">
        <f t="shared" si="61"/>
        <v>125.98</v>
      </c>
      <c r="K3941" t="s">
        <v>16</v>
      </c>
      <c r="L3941" t="s">
        <v>37</v>
      </c>
      <c r="M3941" t="str">
        <f>REPLACE(Transactions!M3941,1,4,"")</f>
        <v>11</v>
      </c>
    </row>
    <row r="3942" spans="1:13" x14ac:dyDescent="0.2">
      <c r="A3942">
        <v>753463</v>
      </c>
      <c r="B3942" s="5">
        <v>44877</v>
      </c>
      <c r="C3942">
        <v>86645</v>
      </c>
      <c r="D3942" t="str">
        <f>PROPER(Transactions!D3942)</f>
        <v>Electronics</v>
      </c>
      <c r="E3942" t="s">
        <v>34</v>
      </c>
      <c r="F3942" t="s">
        <v>35</v>
      </c>
      <c r="G3942">
        <v>4</v>
      </c>
      <c r="H3942">
        <v>29.74</v>
      </c>
      <c r="I3942" s="7">
        <f>IF(Transactions!I3942="",0,Transactions!I3942)</f>
        <v>0.15</v>
      </c>
      <c r="J3942" s="9">
        <f t="shared" si="61"/>
        <v>101.11599999999999</v>
      </c>
      <c r="K3942" t="s">
        <v>22</v>
      </c>
      <c r="L3942" t="s">
        <v>17</v>
      </c>
      <c r="M3942" t="str">
        <f>REPLACE(Transactions!M3942,1,4,"")</f>
        <v>18</v>
      </c>
    </row>
    <row r="3943" spans="1:13" x14ac:dyDescent="0.2">
      <c r="A3943">
        <v>753524</v>
      </c>
      <c r="B3943" s="5">
        <v>45498</v>
      </c>
      <c r="C3943">
        <v>85216</v>
      </c>
      <c r="D3943" t="str">
        <f>PROPER(Transactions!D3943)</f>
        <v>Grocery</v>
      </c>
      <c r="E3943" t="s">
        <v>184</v>
      </c>
      <c r="F3943" t="s">
        <v>185</v>
      </c>
      <c r="G3943">
        <v>1</v>
      </c>
      <c r="H3943">
        <v>3.84</v>
      </c>
      <c r="I3943" s="7">
        <f>IF(Transactions!I3943="",0,Transactions!I3943)</f>
        <v>0.3</v>
      </c>
      <c r="J3943" s="9">
        <f t="shared" si="61"/>
        <v>2.6879999999999997</v>
      </c>
      <c r="K3943" t="s">
        <v>16</v>
      </c>
      <c r="L3943" t="s">
        <v>17</v>
      </c>
      <c r="M3943" t="str">
        <f>REPLACE(Transactions!M3943,1,4,"")</f>
        <v>19</v>
      </c>
    </row>
    <row r="3944" spans="1:13" x14ac:dyDescent="0.2">
      <c r="A3944">
        <v>753854</v>
      </c>
      <c r="B3944" s="5">
        <v>44889</v>
      </c>
      <c r="C3944">
        <v>31692</v>
      </c>
      <c r="D3944" t="str">
        <f>PROPER(Transactions!D3944)</f>
        <v>Furniture</v>
      </c>
      <c r="E3944" t="s">
        <v>60</v>
      </c>
      <c r="F3944" t="s">
        <v>61</v>
      </c>
      <c r="G3944">
        <v>4</v>
      </c>
      <c r="H3944">
        <v>49.49</v>
      </c>
      <c r="I3944" s="7">
        <f>IF(Transactions!I3944="",0,Transactions!I3944)</f>
        <v>0.1</v>
      </c>
      <c r="J3944" s="9">
        <f t="shared" si="61"/>
        <v>178.16400000000002</v>
      </c>
      <c r="K3944" t="s">
        <v>22</v>
      </c>
      <c r="L3944" t="s">
        <v>17</v>
      </c>
      <c r="M3944" t="str">
        <f>REPLACE(Transactions!M3944,1,4,"")</f>
        <v>18</v>
      </c>
    </row>
    <row r="3945" spans="1:13" x14ac:dyDescent="0.2">
      <c r="A3945">
        <v>754195</v>
      </c>
      <c r="B3945" s="5">
        <v>45420</v>
      </c>
      <c r="C3945">
        <v>76502</v>
      </c>
      <c r="D3945" t="str">
        <f>PROPER(Transactions!D3945)</f>
        <v>Automotive</v>
      </c>
      <c r="E3945" t="s">
        <v>68</v>
      </c>
      <c r="F3945" t="s">
        <v>69</v>
      </c>
      <c r="G3945">
        <v>3</v>
      </c>
      <c r="H3945">
        <v>17.489999999999998</v>
      </c>
      <c r="I3945" s="7">
        <f>IF(Transactions!I3945="",0,Transactions!I3945)</f>
        <v>0.3</v>
      </c>
      <c r="J3945" s="9">
        <f t="shared" si="61"/>
        <v>36.728999999999999</v>
      </c>
      <c r="K3945" t="s">
        <v>36</v>
      </c>
      <c r="L3945" t="s">
        <v>17</v>
      </c>
      <c r="M3945" t="str">
        <f>REPLACE(Transactions!M3945,1,4,"")</f>
        <v>17</v>
      </c>
    </row>
    <row r="3946" spans="1:13" x14ac:dyDescent="0.2">
      <c r="A3946">
        <v>754218</v>
      </c>
      <c r="B3946" s="5">
        <v>45317</v>
      </c>
      <c r="C3946">
        <v>29299</v>
      </c>
      <c r="D3946" t="str">
        <f>PROPER(Transactions!D3946)</f>
        <v>Sports</v>
      </c>
      <c r="E3946" t="s">
        <v>155</v>
      </c>
      <c r="F3946" t="s">
        <v>156</v>
      </c>
      <c r="G3946">
        <v>1</v>
      </c>
      <c r="H3946">
        <v>14.99</v>
      </c>
      <c r="I3946" s="7">
        <f>IF(Transactions!I3946="",0,Transactions!I3946)</f>
        <v>0.25</v>
      </c>
      <c r="J3946" s="9">
        <f t="shared" si="61"/>
        <v>11.2425</v>
      </c>
      <c r="K3946" t="s">
        <v>36</v>
      </c>
      <c r="L3946" t="s">
        <v>17</v>
      </c>
      <c r="M3946" t="str">
        <f>REPLACE(Transactions!M3946,1,4,"")</f>
        <v>17</v>
      </c>
    </row>
    <row r="3947" spans="1:13" x14ac:dyDescent="0.2">
      <c r="A3947">
        <v>754234</v>
      </c>
      <c r="B3947" s="5">
        <v>45579</v>
      </c>
      <c r="C3947">
        <v>97867</v>
      </c>
      <c r="D3947" t="str">
        <f>PROPER(Transactions!D3947)</f>
        <v>Home &amp; Garden</v>
      </c>
      <c r="E3947" t="s">
        <v>157</v>
      </c>
      <c r="F3947" t="s">
        <v>158</v>
      </c>
      <c r="G3947">
        <v>1</v>
      </c>
      <c r="H3947">
        <v>11.47</v>
      </c>
      <c r="I3947" s="7">
        <f>IF(Transactions!I3947="",0,Transactions!I3947)</f>
        <v>0.15</v>
      </c>
      <c r="J3947" s="9">
        <f t="shared" si="61"/>
        <v>9.7495000000000012</v>
      </c>
      <c r="K3947" t="s">
        <v>32</v>
      </c>
      <c r="L3947" t="s">
        <v>37</v>
      </c>
      <c r="M3947" t="str">
        <f>REPLACE(Transactions!M3947,1,4,"")</f>
        <v>6</v>
      </c>
    </row>
    <row r="3948" spans="1:13" x14ac:dyDescent="0.2">
      <c r="A3948">
        <v>754325</v>
      </c>
      <c r="B3948" s="5">
        <v>45303</v>
      </c>
      <c r="C3948">
        <v>69590</v>
      </c>
      <c r="D3948" t="str">
        <f>PROPER(Transactions!D3948)</f>
        <v>Furniture</v>
      </c>
      <c r="E3948" t="s">
        <v>26</v>
      </c>
      <c r="F3948" t="s">
        <v>27</v>
      </c>
      <c r="G3948">
        <v>1</v>
      </c>
      <c r="H3948">
        <v>34.99</v>
      </c>
      <c r="I3948" s="7">
        <f>IF(Transactions!I3948="",0,Transactions!I3948)</f>
        <v>0</v>
      </c>
      <c r="J3948" s="9">
        <f t="shared" si="61"/>
        <v>34.99</v>
      </c>
      <c r="K3948" t="s">
        <v>16</v>
      </c>
      <c r="L3948" t="s">
        <v>37</v>
      </c>
      <c r="M3948" t="str">
        <f>REPLACE(Transactions!M3948,1,4,"")</f>
        <v>9</v>
      </c>
    </row>
    <row r="3949" spans="1:13" x14ac:dyDescent="0.2">
      <c r="A3949">
        <v>754848</v>
      </c>
      <c r="B3949" s="5">
        <v>45405</v>
      </c>
      <c r="C3949">
        <v>40191</v>
      </c>
      <c r="D3949" t="str">
        <f>PROPER(Transactions!D3949)</f>
        <v>Home &amp; Garden</v>
      </c>
      <c r="E3949" t="s">
        <v>145</v>
      </c>
      <c r="F3949" t="s">
        <v>146</v>
      </c>
      <c r="G3949">
        <v>3</v>
      </c>
      <c r="H3949">
        <v>16.989999999999998</v>
      </c>
      <c r="I3949" s="7">
        <f>IF(Transactions!I3949="",0,Transactions!I3949)</f>
        <v>0</v>
      </c>
      <c r="J3949" s="9">
        <f t="shared" si="61"/>
        <v>50.97</v>
      </c>
      <c r="K3949" t="s">
        <v>32</v>
      </c>
      <c r="L3949" t="s">
        <v>17</v>
      </c>
      <c r="M3949" t="str">
        <f>REPLACE(Transactions!M3949,1,4,"")</f>
        <v>7</v>
      </c>
    </row>
    <row r="3950" spans="1:13" x14ac:dyDescent="0.2">
      <c r="A3950">
        <v>755109</v>
      </c>
      <c r="B3950" s="5">
        <v>45382</v>
      </c>
      <c r="C3950">
        <v>86675</v>
      </c>
      <c r="D3950" t="str">
        <f>PROPER(Transactions!D3950)</f>
        <v>Beauty</v>
      </c>
      <c r="E3950" t="s">
        <v>139</v>
      </c>
      <c r="F3950" t="s">
        <v>140</v>
      </c>
      <c r="G3950">
        <v>4</v>
      </c>
      <c r="H3950">
        <v>7.19</v>
      </c>
      <c r="I3950" s="7">
        <f>IF(Transactions!I3950="",0,Transactions!I3950)</f>
        <v>0.1</v>
      </c>
      <c r="J3950" s="9">
        <f t="shared" si="61"/>
        <v>25.884</v>
      </c>
      <c r="K3950" t="s">
        <v>16</v>
      </c>
      <c r="L3950" t="s">
        <v>17</v>
      </c>
      <c r="M3950" t="str">
        <f>REPLACE(Transactions!M3950,1,4,"")</f>
        <v>15</v>
      </c>
    </row>
    <row r="3951" spans="1:13" x14ac:dyDescent="0.2">
      <c r="A3951">
        <v>755472</v>
      </c>
      <c r="B3951" s="5">
        <v>45204</v>
      </c>
      <c r="C3951">
        <v>99139</v>
      </c>
      <c r="D3951" t="str">
        <f>PROPER(Transactions!D3951)</f>
        <v>Automotive</v>
      </c>
      <c r="E3951" t="s">
        <v>111</v>
      </c>
      <c r="F3951" t="s">
        <v>112</v>
      </c>
      <c r="G3951">
        <v>1</v>
      </c>
      <c r="H3951">
        <v>11.99</v>
      </c>
      <c r="I3951" s="7">
        <f>IF(Transactions!I3951="",0,Transactions!I3951)</f>
        <v>0.2</v>
      </c>
      <c r="J3951" s="9">
        <f t="shared" si="61"/>
        <v>9.5920000000000005</v>
      </c>
      <c r="K3951" t="s">
        <v>16</v>
      </c>
      <c r="L3951" t="s">
        <v>17</v>
      </c>
      <c r="M3951" t="str">
        <f>REPLACE(Transactions!M3951,1,4,"")</f>
        <v/>
      </c>
    </row>
    <row r="3952" spans="1:13" x14ac:dyDescent="0.2">
      <c r="A3952">
        <v>755632</v>
      </c>
      <c r="B3952" s="5">
        <v>44675</v>
      </c>
      <c r="C3952">
        <v>53116</v>
      </c>
      <c r="D3952" t="str">
        <f>PROPER(Transactions!D3952)</f>
        <v>Electronics</v>
      </c>
      <c r="E3952" t="s">
        <v>34</v>
      </c>
      <c r="F3952" t="s">
        <v>35</v>
      </c>
      <c r="G3952">
        <v>1</v>
      </c>
      <c r="H3952">
        <v>34.99</v>
      </c>
      <c r="I3952" s="7">
        <f>IF(Transactions!I3952="",0,Transactions!I3952)</f>
        <v>0</v>
      </c>
      <c r="J3952" s="9">
        <f t="shared" si="61"/>
        <v>34.99</v>
      </c>
      <c r="K3952" t="s">
        <v>16</v>
      </c>
      <c r="L3952" t="s">
        <v>17</v>
      </c>
      <c r="M3952" t="str">
        <f>REPLACE(Transactions!M3952,1,4,"")</f>
        <v>19</v>
      </c>
    </row>
    <row r="3953" spans="1:13" x14ac:dyDescent="0.2">
      <c r="A3953">
        <v>755731</v>
      </c>
      <c r="B3953" s="5">
        <v>45285</v>
      </c>
      <c r="C3953">
        <v>27452</v>
      </c>
      <c r="D3953" t="str">
        <f>PROPER(Transactions!D3953)</f>
        <v>Beauty</v>
      </c>
      <c r="E3953" t="s">
        <v>118</v>
      </c>
      <c r="F3953" t="s">
        <v>119</v>
      </c>
      <c r="G3953">
        <v>4</v>
      </c>
      <c r="H3953">
        <v>4.24</v>
      </c>
      <c r="I3953" s="7">
        <f>IF(Transactions!I3953="",0,Transactions!I3953)</f>
        <v>0.15</v>
      </c>
      <c r="J3953" s="9">
        <f t="shared" si="61"/>
        <v>14.416</v>
      </c>
      <c r="K3953" t="s">
        <v>36</v>
      </c>
      <c r="L3953" t="s">
        <v>17</v>
      </c>
      <c r="M3953" t="str">
        <f>REPLACE(Transactions!M3953,1,4,"")</f>
        <v>6</v>
      </c>
    </row>
    <row r="3954" spans="1:13" x14ac:dyDescent="0.2">
      <c r="A3954">
        <v>756263</v>
      </c>
      <c r="B3954" s="5">
        <v>44946</v>
      </c>
      <c r="C3954">
        <v>49744</v>
      </c>
      <c r="D3954" t="str">
        <f>PROPER(Transactions!D3954)</f>
        <v>Home &amp; Garden</v>
      </c>
      <c r="E3954" t="s">
        <v>86</v>
      </c>
      <c r="F3954" t="s">
        <v>87</v>
      </c>
      <c r="G3954">
        <v>1</v>
      </c>
      <c r="H3954">
        <v>11.04</v>
      </c>
      <c r="I3954" s="7">
        <f>IF(Transactions!I3954="",0,Transactions!I3954)</f>
        <v>0.15</v>
      </c>
      <c r="J3954" s="9">
        <f t="shared" si="61"/>
        <v>9.3839999999999986</v>
      </c>
      <c r="K3954" t="s">
        <v>16</v>
      </c>
      <c r="L3954" t="s">
        <v>37</v>
      </c>
      <c r="M3954" t="str">
        <f>REPLACE(Transactions!M3954,1,4,"")</f>
        <v>12</v>
      </c>
    </row>
    <row r="3955" spans="1:13" x14ac:dyDescent="0.2">
      <c r="A3955">
        <v>756361</v>
      </c>
      <c r="B3955" s="5">
        <v>45165</v>
      </c>
      <c r="C3955">
        <v>46659</v>
      </c>
      <c r="D3955" t="str">
        <f>PROPER(Transactions!D3955)</f>
        <v>Grocery</v>
      </c>
      <c r="E3955" t="s">
        <v>45</v>
      </c>
      <c r="F3955" t="s">
        <v>46</v>
      </c>
      <c r="G3955">
        <v>5</v>
      </c>
      <c r="H3955">
        <v>1.52</v>
      </c>
      <c r="I3955" s="7">
        <f>IF(Transactions!I3955="",0,Transactions!I3955)</f>
        <v>0.15</v>
      </c>
      <c r="J3955" s="9">
        <f t="shared" si="61"/>
        <v>6.46</v>
      </c>
      <c r="K3955" t="s">
        <v>16</v>
      </c>
      <c r="L3955" t="s">
        <v>37</v>
      </c>
      <c r="M3955" t="str">
        <f>REPLACE(Transactions!M3955,1,4,"")</f>
        <v>13</v>
      </c>
    </row>
    <row r="3956" spans="1:13" x14ac:dyDescent="0.2">
      <c r="A3956">
        <v>756419</v>
      </c>
      <c r="B3956" s="5">
        <v>45312</v>
      </c>
      <c r="C3956">
        <v>89346</v>
      </c>
      <c r="D3956" t="str">
        <f>PROPER(Transactions!D3956)</f>
        <v>Grocery</v>
      </c>
      <c r="E3956" t="s">
        <v>93</v>
      </c>
      <c r="F3956" t="s">
        <v>94</v>
      </c>
      <c r="G3956">
        <v>1</v>
      </c>
      <c r="H3956">
        <v>1.29</v>
      </c>
      <c r="I3956" s="7">
        <f>IF(Transactions!I3956="",0,Transactions!I3956)</f>
        <v>0</v>
      </c>
      <c r="J3956" s="9">
        <f t="shared" si="61"/>
        <v>1.29</v>
      </c>
      <c r="K3956" t="s">
        <v>66</v>
      </c>
      <c r="L3956" t="s">
        <v>17</v>
      </c>
      <c r="M3956" t="str">
        <f>REPLACE(Transactions!M3956,1,4,"")</f>
        <v>16</v>
      </c>
    </row>
    <row r="3957" spans="1:13" x14ac:dyDescent="0.2">
      <c r="A3957">
        <v>756529</v>
      </c>
      <c r="B3957" s="5">
        <v>44635</v>
      </c>
      <c r="C3957">
        <v>45880</v>
      </c>
      <c r="D3957" t="str">
        <f>PROPER(Transactions!D3957)</f>
        <v>Automotive</v>
      </c>
      <c r="E3957" t="s">
        <v>131</v>
      </c>
      <c r="F3957" t="s">
        <v>132</v>
      </c>
      <c r="G3957">
        <v>1</v>
      </c>
      <c r="H3957">
        <v>3.49</v>
      </c>
      <c r="I3957" s="7">
        <f>IF(Transactions!I3957="",0,Transactions!I3957)</f>
        <v>0</v>
      </c>
      <c r="J3957" s="9">
        <f t="shared" si="61"/>
        <v>3.49</v>
      </c>
      <c r="K3957" t="s">
        <v>32</v>
      </c>
      <c r="L3957" t="s">
        <v>17</v>
      </c>
      <c r="M3957" t="str">
        <f>REPLACE(Transactions!M3957,1,4,"")</f>
        <v>6</v>
      </c>
    </row>
    <row r="3958" spans="1:13" x14ac:dyDescent="0.2">
      <c r="A3958">
        <v>756876</v>
      </c>
      <c r="B3958" s="5">
        <v>44642</v>
      </c>
      <c r="C3958">
        <v>78559</v>
      </c>
      <c r="D3958" t="str">
        <f>PROPER(Transactions!D3958)</f>
        <v>Pharmacy</v>
      </c>
      <c r="E3958" t="s">
        <v>20</v>
      </c>
      <c r="F3958" t="s">
        <v>21</v>
      </c>
      <c r="G3958">
        <v>5</v>
      </c>
      <c r="H3958">
        <v>9.99</v>
      </c>
      <c r="I3958" s="7">
        <f>IF(Transactions!I3958="",0,Transactions!I3958)</f>
        <v>0</v>
      </c>
      <c r="J3958" s="9">
        <f t="shared" si="61"/>
        <v>49.95</v>
      </c>
      <c r="K3958" t="s">
        <v>36</v>
      </c>
      <c r="L3958" t="s">
        <v>17</v>
      </c>
      <c r="M3958" t="str">
        <f>REPLACE(Transactions!M3958,1,4,"")</f>
        <v>5</v>
      </c>
    </row>
    <row r="3959" spans="1:13" x14ac:dyDescent="0.2">
      <c r="A3959">
        <v>757105</v>
      </c>
      <c r="B3959" s="5">
        <v>45238</v>
      </c>
      <c r="C3959">
        <v>30470</v>
      </c>
      <c r="D3959" t="str">
        <f>PROPER(Transactions!D3959)</f>
        <v>Automotive</v>
      </c>
      <c r="E3959" t="s">
        <v>64</v>
      </c>
      <c r="F3959" t="s">
        <v>65</v>
      </c>
      <c r="G3959">
        <v>5</v>
      </c>
      <c r="H3959">
        <v>3.74</v>
      </c>
      <c r="I3959" s="7">
        <f>IF(Transactions!I3959="",0,Transactions!I3959)</f>
        <v>0.25</v>
      </c>
      <c r="J3959" s="9">
        <f t="shared" si="61"/>
        <v>14.025000000000002</v>
      </c>
      <c r="K3959" t="s">
        <v>32</v>
      </c>
      <c r="L3959" t="s">
        <v>17</v>
      </c>
      <c r="M3959" t="str">
        <f>REPLACE(Transactions!M3959,1,4,"")</f>
        <v>17</v>
      </c>
    </row>
    <row r="3960" spans="1:13" x14ac:dyDescent="0.2">
      <c r="A3960">
        <v>757155</v>
      </c>
      <c r="B3960" s="5">
        <v>45640</v>
      </c>
      <c r="C3960">
        <v>49787</v>
      </c>
      <c r="D3960" t="str">
        <f>PROPER(Transactions!D3960)</f>
        <v>Home &amp; Garden</v>
      </c>
      <c r="E3960" t="s">
        <v>129</v>
      </c>
      <c r="F3960" t="s">
        <v>130</v>
      </c>
      <c r="G3960">
        <v>2</v>
      </c>
      <c r="H3960">
        <v>8.99</v>
      </c>
      <c r="I3960" s="7">
        <f>IF(Transactions!I3960="",0,Transactions!I3960)</f>
        <v>0</v>
      </c>
      <c r="J3960" s="9">
        <f t="shared" si="61"/>
        <v>17.98</v>
      </c>
      <c r="K3960" t="s">
        <v>36</v>
      </c>
      <c r="L3960" t="s">
        <v>37</v>
      </c>
      <c r="M3960" t="str">
        <f>REPLACE(Transactions!M3960,1,4,"")</f>
        <v>8</v>
      </c>
    </row>
    <row r="3961" spans="1:13" x14ac:dyDescent="0.2">
      <c r="A3961">
        <v>757218</v>
      </c>
      <c r="B3961" s="5">
        <v>45435</v>
      </c>
      <c r="C3961">
        <v>86904</v>
      </c>
      <c r="D3961" t="str">
        <f>PROPER(Transactions!D3961)</f>
        <v>Clothing</v>
      </c>
      <c r="E3961" t="s">
        <v>135</v>
      </c>
      <c r="F3961" t="s">
        <v>136</v>
      </c>
      <c r="G3961">
        <v>2</v>
      </c>
      <c r="H3961">
        <v>9.99</v>
      </c>
      <c r="I3961" s="7">
        <f>IF(Transactions!I3961="",0,Transactions!I3961)</f>
        <v>0</v>
      </c>
      <c r="J3961" s="9">
        <f t="shared" si="61"/>
        <v>19.98</v>
      </c>
      <c r="K3961" t="s">
        <v>22</v>
      </c>
      <c r="L3961" t="s">
        <v>17</v>
      </c>
      <c r="M3961" t="str">
        <f>REPLACE(Transactions!M3961,1,4,"")</f>
        <v>2</v>
      </c>
    </row>
    <row r="3962" spans="1:13" x14ac:dyDescent="0.2">
      <c r="A3962">
        <v>757256</v>
      </c>
      <c r="B3962" s="5">
        <v>45571</v>
      </c>
      <c r="C3962">
        <v>51764</v>
      </c>
      <c r="D3962" t="str">
        <f>PROPER(Transactions!D3962)</f>
        <v>Sports</v>
      </c>
      <c r="E3962" t="s">
        <v>83</v>
      </c>
      <c r="F3962" t="s">
        <v>84</v>
      </c>
      <c r="G3962">
        <v>1</v>
      </c>
      <c r="H3962">
        <v>14.44</v>
      </c>
      <c r="I3962" s="7">
        <f>IF(Transactions!I3962="",0,Transactions!I3962)</f>
        <v>0.15</v>
      </c>
      <c r="J3962" s="9">
        <f t="shared" si="61"/>
        <v>12.273999999999999</v>
      </c>
      <c r="K3962" t="s">
        <v>95</v>
      </c>
      <c r="L3962" t="s">
        <v>37</v>
      </c>
      <c r="M3962" t="str">
        <f>REPLACE(Transactions!M3962,1,4,"")</f>
        <v>7</v>
      </c>
    </row>
    <row r="3963" spans="1:13" x14ac:dyDescent="0.2">
      <c r="A3963">
        <v>757442</v>
      </c>
      <c r="B3963" s="5">
        <v>44708</v>
      </c>
      <c r="C3963">
        <v>26709</v>
      </c>
      <c r="D3963" t="str">
        <f>PROPER(Transactions!D3963)</f>
        <v>Pharmacy</v>
      </c>
      <c r="E3963" t="s">
        <v>115</v>
      </c>
      <c r="F3963" t="s">
        <v>116</v>
      </c>
      <c r="G3963">
        <v>3</v>
      </c>
      <c r="H3963">
        <v>12.99</v>
      </c>
      <c r="I3963" s="7">
        <f>IF(Transactions!I3963="",0,Transactions!I3963)</f>
        <v>0</v>
      </c>
      <c r="J3963" s="9">
        <f t="shared" si="61"/>
        <v>38.97</v>
      </c>
      <c r="K3963" t="s">
        <v>22</v>
      </c>
      <c r="L3963" t="s">
        <v>17</v>
      </c>
      <c r="M3963" t="str">
        <f>REPLACE(Transactions!M3963,1,4,"")</f>
        <v>10</v>
      </c>
    </row>
    <row r="3964" spans="1:13" x14ac:dyDescent="0.2">
      <c r="A3964">
        <v>757694</v>
      </c>
      <c r="B3964" s="5">
        <v>45453</v>
      </c>
      <c r="C3964">
        <v>18783</v>
      </c>
      <c r="D3964" t="str">
        <f>PROPER(Transactions!D3964)</f>
        <v>Beauty</v>
      </c>
      <c r="E3964" t="s">
        <v>109</v>
      </c>
      <c r="F3964" t="s">
        <v>110</v>
      </c>
      <c r="G3964">
        <v>5</v>
      </c>
      <c r="H3964">
        <v>6.64</v>
      </c>
      <c r="I3964" s="7">
        <f>IF(Transactions!I3964="",0,Transactions!I3964)</f>
        <v>0.05</v>
      </c>
      <c r="J3964" s="9">
        <f t="shared" si="61"/>
        <v>31.539999999999996</v>
      </c>
      <c r="K3964" t="s">
        <v>16</v>
      </c>
      <c r="L3964" t="s">
        <v>17</v>
      </c>
      <c r="M3964" t="str">
        <f>REPLACE(Transactions!M3964,1,4,"")</f>
        <v>19</v>
      </c>
    </row>
    <row r="3965" spans="1:13" x14ac:dyDescent="0.2">
      <c r="A3965">
        <v>757819</v>
      </c>
      <c r="B3965" s="5">
        <v>45038</v>
      </c>
      <c r="C3965">
        <v>88909</v>
      </c>
      <c r="D3965" t="str">
        <f>PROPER(Transactions!D3965)</f>
        <v>Pharmacy</v>
      </c>
      <c r="E3965" t="s">
        <v>41</v>
      </c>
      <c r="F3965" t="s">
        <v>42</v>
      </c>
      <c r="G3965">
        <v>1</v>
      </c>
      <c r="H3965">
        <v>5.39</v>
      </c>
      <c r="I3965" s="7">
        <f>IF(Transactions!I3965="",0,Transactions!I3965)</f>
        <v>0.1</v>
      </c>
      <c r="J3965" s="9">
        <f t="shared" si="61"/>
        <v>4.851</v>
      </c>
      <c r="K3965" t="s">
        <v>95</v>
      </c>
      <c r="L3965" t="s">
        <v>37</v>
      </c>
      <c r="M3965" t="str">
        <f>REPLACE(Transactions!M3965,1,4,"")</f>
        <v>3</v>
      </c>
    </row>
    <row r="3966" spans="1:13" x14ac:dyDescent="0.2">
      <c r="A3966">
        <v>758084</v>
      </c>
      <c r="B3966" s="5">
        <v>45014</v>
      </c>
      <c r="C3966">
        <v>69831</v>
      </c>
      <c r="D3966" t="str">
        <f>PROPER(Transactions!D3966)</f>
        <v>Electronics</v>
      </c>
      <c r="E3966" t="s">
        <v>14</v>
      </c>
      <c r="F3966" t="s">
        <v>15</v>
      </c>
      <c r="G3966">
        <v>1</v>
      </c>
      <c r="H3966">
        <v>79.989999999999995</v>
      </c>
      <c r="I3966" s="7">
        <f>IF(Transactions!I3966="",0,Transactions!I3966)</f>
        <v>0</v>
      </c>
      <c r="J3966" s="9">
        <f t="shared" si="61"/>
        <v>79.989999999999995</v>
      </c>
      <c r="K3966" t="s">
        <v>36</v>
      </c>
      <c r="L3966" t="s">
        <v>17</v>
      </c>
      <c r="M3966" t="str">
        <f>REPLACE(Transactions!M3966,1,4,"")</f>
        <v>10</v>
      </c>
    </row>
    <row r="3967" spans="1:13" x14ac:dyDescent="0.2">
      <c r="A3967">
        <v>758169</v>
      </c>
      <c r="B3967" s="5">
        <v>44997</v>
      </c>
      <c r="C3967">
        <v>76962</v>
      </c>
      <c r="D3967" t="str">
        <f>PROPER(Transactions!D3967)</f>
        <v>Automotive</v>
      </c>
      <c r="E3967" t="s">
        <v>131</v>
      </c>
      <c r="F3967" t="s">
        <v>132</v>
      </c>
      <c r="G3967">
        <v>2</v>
      </c>
      <c r="H3967">
        <v>3.49</v>
      </c>
      <c r="I3967" s="7">
        <f>IF(Transactions!I3967="",0,Transactions!I3967)</f>
        <v>0</v>
      </c>
      <c r="J3967" s="9">
        <f t="shared" si="61"/>
        <v>6.98</v>
      </c>
      <c r="K3967" t="s">
        <v>36</v>
      </c>
      <c r="L3967" t="s">
        <v>17</v>
      </c>
      <c r="M3967" t="str">
        <f>REPLACE(Transactions!M3967,1,4,"")</f>
        <v>4</v>
      </c>
    </row>
    <row r="3968" spans="1:13" x14ac:dyDescent="0.2">
      <c r="A3968">
        <v>758177</v>
      </c>
      <c r="B3968" s="5">
        <v>44739</v>
      </c>
      <c r="C3968">
        <v>30893</v>
      </c>
      <c r="D3968" t="str">
        <f>PROPER(Transactions!D3968)</f>
        <v>Grocery</v>
      </c>
      <c r="E3968" t="s">
        <v>162</v>
      </c>
      <c r="F3968" t="s">
        <v>163</v>
      </c>
      <c r="G3968">
        <v>2</v>
      </c>
      <c r="H3968">
        <v>7.99</v>
      </c>
      <c r="I3968" s="7">
        <f>IF(Transactions!I3968="",0,Transactions!I3968)</f>
        <v>0</v>
      </c>
      <c r="J3968" s="9">
        <f t="shared" si="61"/>
        <v>15.98</v>
      </c>
      <c r="K3968" t="s">
        <v>16</v>
      </c>
      <c r="L3968" t="s">
        <v>17</v>
      </c>
      <c r="M3968" t="str">
        <f>REPLACE(Transactions!M3968,1,4,"")</f>
        <v>16</v>
      </c>
    </row>
    <row r="3969" spans="1:13" x14ac:dyDescent="0.2">
      <c r="A3969">
        <v>758317</v>
      </c>
      <c r="B3969" s="5">
        <v>45374</v>
      </c>
      <c r="C3969">
        <v>60555</v>
      </c>
      <c r="D3969" t="str">
        <f>PROPER(Transactions!D3969)</f>
        <v>Automotive</v>
      </c>
      <c r="E3969" t="s">
        <v>125</v>
      </c>
      <c r="F3969" t="s">
        <v>126</v>
      </c>
      <c r="G3969">
        <v>1</v>
      </c>
      <c r="H3969">
        <v>22.49</v>
      </c>
      <c r="I3969" s="7">
        <f>IF(Transactions!I3969="",0,Transactions!I3969)</f>
        <v>0.25</v>
      </c>
      <c r="J3969" s="9">
        <f t="shared" si="61"/>
        <v>16.8675</v>
      </c>
      <c r="K3969" t="s">
        <v>36</v>
      </c>
      <c r="L3969" t="s">
        <v>37</v>
      </c>
      <c r="M3969" t="str">
        <f>REPLACE(Transactions!M3969,1,4,"")</f>
        <v>17</v>
      </c>
    </row>
    <row r="3970" spans="1:13" x14ac:dyDescent="0.2">
      <c r="A3970">
        <v>758425</v>
      </c>
      <c r="B3970" s="5">
        <v>45549</v>
      </c>
      <c r="C3970">
        <v>88591</v>
      </c>
      <c r="D3970" t="str">
        <f>PROPER(Transactions!D3970)</f>
        <v>Pharmacy</v>
      </c>
      <c r="E3970" t="s">
        <v>197</v>
      </c>
      <c r="F3970" t="s">
        <v>198</v>
      </c>
      <c r="G3970">
        <v>1</v>
      </c>
      <c r="H3970">
        <v>12.74</v>
      </c>
      <c r="I3970" s="7">
        <f>IF(Transactions!I3970="",0,Transactions!I3970)</f>
        <v>0.15</v>
      </c>
      <c r="J3970" s="9">
        <f t="shared" si="61"/>
        <v>10.829000000000001</v>
      </c>
      <c r="K3970" t="s">
        <v>16</v>
      </c>
      <c r="L3970" t="s">
        <v>17</v>
      </c>
      <c r="M3970" t="str">
        <f>REPLACE(Transactions!M3970,1,4,"")</f>
        <v>13</v>
      </c>
    </row>
    <row r="3971" spans="1:13" x14ac:dyDescent="0.2">
      <c r="A3971">
        <v>758733</v>
      </c>
      <c r="B3971" s="5">
        <v>45565</v>
      </c>
      <c r="C3971">
        <v>54041</v>
      </c>
      <c r="D3971" t="str">
        <f>PROPER(Transactions!D3971)</f>
        <v>Electronics</v>
      </c>
      <c r="E3971" t="s">
        <v>104</v>
      </c>
      <c r="F3971" t="s">
        <v>105</v>
      </c>
      <c r="G3971">
        <v>1</v>
      </c>
      <c r="H3971">
        <v>26.99</v>
      </c>
      <c r="I3971" s="7">
        <f>IF(Transactions!I3971="",0,Transactions!I3971)</f>
        <v>0.1</v>
      </c>
      <c r="J3971" s="9">
        <f t="shared" ref="J3971:J4034" si="62">(H3971*G3971)*(1-I3971)</f>
        <v>24.291</v>
      </c>
      <c r="K3971" t="s">
        <v>95</v>
      </c>
      <c r="L3971" t="s">
        <v>17</v>
      </c>
      <c r="M3971" t="str">
        <f>REPLACE(Transactions!M3971,1,4,"")</f>
        <v>17</v>
      </c>
    </row>
    <row r="3972" spans="1:13" x14ac:dyDescent="0.2">
      <c r="A3972">
        <v>758852</v>
      </c>
      <c r="B3972" s="5">
        <v>44974</v>
      </c>
      <c r="C3972">
        <v>13591</v>
      </c>
      <c r="D3972" t="str">
        <f>PROPER(Transactions!D3972)</f>
        <v>Furniture</v>
      </c>
      <c r="E3972" t="s">
        <v>70</v>
      </c>
      <c r="F3972" t="s">
        <v>71</v>
      </c>
      <c r="G3972">
        <v>2</v>
      </c>
      <c r="H3972">
        <v>89.99</v>
      </c>
      <c r="I3972" s="7">
        <f>IF(Transactions!I3972="",0,Transactions!I3972)</f>
        <v>0</v>
      </c>
      <c r="J3972" s="9">
        <f t="shared" si="62"/>
        <v>179.98</v>
      </c>
      <c r="K3972" t="s">
        <v>32</v>
      </c>
      <c r="L3972" t="s">
        <v>37</v>
      </c>
      <c r="M3972" t="str">
        <f>REPLACE(Transactions!M3972,1,4,"")</f>
        <v>16</v>
      </c>
    </row>
    <row r="3973" spans="1:13" x14ac:dyDescent="0.2">
      <c r="A3973">
        <v>758854</v>
      </c>
      <c r="B3973" s="5">
        <v>45013</v>
      </c>
      <c r="C3973">
        <v>87909</v>
      </c>
      <c r="D3973" t="str">
        <f>PROPER(Transactions!D3973)</f>
        <v>Pharmacy</v>
      </c>
      <c r="E3973" t="s">
        <v>41</v>
      </c>
      <c r="F3973" t="s">
        <v>42</v>
      </c>
      <c r="G3973">
        <v>1</v>
      </c>
      <c r="H3973">
        <v>4.79</v>
      </c>
      <c r="I3973" s="7">
        <f>IF(Transactions!I3973="",0,Transactions!I3973)</f>
        <v>0.2</v>
      </c>
      <c r="J3973" s="9">
        <f t="shared" si="62"/>
        <v>3.8320000000000003</v>
      </c>
      <c r="K3973" t="s">
        <v>32</v>
      </c>
      <c r="L3973" t="s">
        <v>17</v>
      </c>
      <c r="M3973" t="str">
        <f>REPLACE(Transactions!M3973,1,4,"")</f>
        <v>15</v>
      </c>
    </row>
    <row r="3974" spans="1:13" x14ac:dyDescent="0.2">
      <c r="A3974">
        <v>758872</v>
      </c>
      <c r="B3974" s="5">
        <v>44776</v>
      </c>
      <c r="C3974">
        <v>88038</v>
      </c>
      <c r="D3974" t="str">
        <f>PROPER(Transactions!D3974)</f>
        <v>Clothing</v>
      </c>
      <c r="E3974" t="s">
        <v>151</v>
      </c>
      <c r="F3974" t="s">
        <v>152</v>
      </c>
      <c r="G3974">
        <v>2</v>
      </c>
      <c r="H3974">
        <v>34.99</v>
      </c>
      <c r="I3974" s="7">
        <f>IF(Transactions!I3974="",0,Transactions!I3974)</f>
        <v>0</v>
      </c>
      <c r="J3974" s="9">
        <f t="shared" si="62"/>
        <v>69.98</v>
      </c>
      <c r="K3974" t="s">
        <v>95</v>
      </c>
      <c r="L3974" t="s">
        <v>17</v>
      </c>
      <c r="M3974" t="str">
        <f>REPLACE(Transactions!M3974,1,4,"")</f>
        <v>5</v>
      </c>
    </row>
    <row r="3975" spans="1:13" x14ac:dyDescent="0.2">
      <c r="A3975">
        <v>759168</v>
      </c>
      <c r="B3975" s="5">
        <v>45437</v>
      </c>
      <c r="C3975">
        <v>96013</v>
      </c>
      <c r="D3975" t="str">
        <f>PROPER(Transactions!D3975)</f>
        <v>Home &amp; Garden</v>
      </c>
      <c r="E3975" t="s">
        <v>129</v>
      </c>
      <c r="F3975" t="s">
        <v>130</v>
      </c>
      <c r="G3975">
        <v>4</v>
      </c>
      <c r="H3975">
        <v>8.99</v>
      </c>
      <c r="I3975" s="7">
        <f>IF(Transactions!I3975="",0,Transactions!I3975)</f>
        <v>0</v>
      </c>
      <c r="J3975" s="9">
        <f t="shared" si="62"/>
        <v>35.96</v>
      </c>
      <c r="K3975" t="s">
        <v>16</v>
      </c>
      <c r="L3975" t="s">
        <v>17</v>
      </c>
      <c r="M3975" t="str">
        <f>REPLACE(Transactions!M3975,1,4,"")</f>
        <v>5</v>
      </c>
    </row>
    <row r="3976" spans="1:13" x14ac:dyDescent="0.2">
      <c r="A3976">
        <v>759352</v>
      </c>
      <c r="B3976" s="5">
        <v>45088</v>
      </c>
      <c r="D3976" t="str">
        <f>PROPER(Transactions!D3976)</f>
        <v>Home &amp; Garden</v>
      </c>
      <c r="E3976" t="s">
        <v>149</v>
      </c>
      <c r="F3976" t="s">
        <v>150</v>
      </c>
      <c r="G3976">
        <v>2</v>
      </c>
      <c r="H3976">
        <v>15.99</v>
      </c>
      <c r="I3976" s="7">
        <f>IF(Transactions!I3976="",0,Transactions!I3976)</f>
        <v>0.2</v>
      </c>
      <c r="J3976" s="9">
        <f t="shared" si="62"/>
        <v>25.584000000000003</v>
      </c>
      <c r="K3976" t="s">
        <v>16</v>
      </c>
      <c r="L3976" t="s">
        <v>17</v>
      </c>
      <c r="M3976" t="str">
        <f>REPLACE(Transactions!M3976,1,4,"")</f>
        <v>2</v>
      </c>
    </row>
    <row r="3977" spans="1:13" x14ac:dyDescent="0.2">
      <c r="A3977">
        <v>759409</v>
      </c>
      <c r="B3977" s="5">
        <v>44632</v>
      </c>
      <c r="C3977">
        <v>68132</v>
      </c>
      <c r="D3977" t="str">
        <f>PROPER(Transactions!D3977)</f>
        <v>Clothing</v>
      </c>
      <c r="E3977" t="s">
        <v>151</v>
      </c>
      <c r="F3977" t="s">
        <v>152</v>
      </c>
      <c r="G3977">
        <v>1</v>
      </c>
      <c r="H3977">
        <v>24.49</v>
      </c>
      <c r="I3977" s="7">
        <f>IF(Transactions!I3977="",0,Transactions!I3977)</f>
        <v>0.3</v>
      </c>
      <c r="J3977" s="9">
        <f t="shared" si="62"/>
        <v>17.142999999999997</v>
      </c>
      <c r="K3977" t="s">
        <v>16</v>
      </c>
      <c r="L3977" t="s">
        <v>17</v>
      </c>
      <c r="M3977" t="str">
        <f>REPLACE(Transactions!M3977,1,4,"")</f>
        <v>19</v>
      </c>
    </row>
    <row r="3978" spans="1:13" x14ac:dyDescent="0.2">
      <c r="A3978">
        <v>759462</v>
      </c>
      <c r="B3978" s="5">
        <v>44804</v>
      </c>
      <c r="C3978">
        <v>75484</v>
      </c>
      <c r="D3978" t="str">
        <f>PROPER(Transactions!D3978)</f>
        <v>Home &amp; Garden</v>
      </c>
      <c r="E3978" t="s">
        <v>149</v>
      </c>
      <c r="F3978" t="s">
        <v>150</v>
      </c>
      <c r="G3978">
        <v>1</v>
      </c>
      <c r="H3978">
        <v>19.989999999999998</v>
      </c>
      <c r="I3978" s="7">
        <f>IF(Transactions!I3978="",0,Transactions!I3978)</f>
        <v>0</v>
      </c>
      <c r="J3978" s="9">
        <f t="shared" si="62"/>
        <v>19.989999999999998</v>
      </c>
      <c r="K3978" t="s">
        <v>16</v>
      </c>
      <c r="L3978" t="s">
        <v>17</v>
      </c>
      <c r="M3978" t="str">
        <f>REPLACE(Transactions!M3978,1,4,"")</f>
        <v>17</v>
      </c>
    </row>
    <row r="3979" spans="1:13" x14ac:dyDescent="0.2">
      <c r="A3979">
        <v>759560</v>
      </c>
      <c r="B3979" s="5">
        <v>45371</v>
      </c>
      <c r="C3979">
        <v>58023</v>
      </c>
      <c r="D3979" t="str">
        <f>PROPER(Transactions!D3979)</f>
        <v>Electronics</v>
      </c>
      <c r="E3979" t="s">
        <v>77</v>
      </c>
      <c r="F3979" t="s">
        <v>78</v>
      </c>
      <c r="G3979">
        <v>1</v>
      </c>
      <c r="H3979">
        <v>499.99</v>
      </c>
      <c r="I3979" s="7">
        <f>IF(Transactions!I3979="",0,Transactions!I3979)</f>
        <v>0</v>
      </c>
      <c r="J3979" s="9">
        <f t="shared" si="62"/>
        <v>499.99</v>
      </c>
      <c r="K3979" t="s">
        <v>16</v>
      </c>
      <c r="L3979" t="s">
        <v>17</v>
      </c>
      <c r="M3979" t="str">
        <f>REPLACE(Transactions!M3979,1,4,"")</f>
        <v>3</v>
      </c>
    </row>
    <row r="3980" spans="1:13" x14ac:dyDescent="0.2">
      <c r="A3980">
        <v>759711</v>
      </c>
      <c r="B3980" s="5">
        <v>44756</v>
      </c>
      <c r="C3980">
        <v>93205</v>
      </c>
      <c r="D3980" t="str">
        <f>PROPER(Transactions!D3980)</f>
        <v>Pharmacy</v>
      </c>
      <c r="E3980" t="s">
        <v>41</v>
      </c>
      <c r="F3980" t="s">
        <v>42</v>
      </c>
      <c r="G3980">
        <v>2</v>
      </c>
      <c r="H3980">
        <v>5.99</v>
      </c>
      <c r="I3980" s="7">
        <f>IF(Transactions!I3980="",0,Transactions!I3980)</f>
        <v>0</v>
      </c>
      <c r="J3980" s="9">
        <f t="shared" si="62"/>
        <v>11.98</v>
      </c>
      <c r="K3980" t="s">
        <v>16</v>
      </c>
      <c r="L3980" t="s">
        <v>37</v>
      </c>
      <c r="M3980" t="str">
        <f>REPLACE(Transactions!M3980,1,4,"")</f>
        <v>18</v>
      </c>
    </row>
    <row r="3981" spans="1:13" x14ac:dyDescent="0.2">
      <c r="A3981">
        <v>759732</v>
      </c>
      <c r="B3981" s="5">
        <v>45201</v>
      </c>
      <c r="C3981">
        <v>95492</v>
      </c>
      <c r="D3981" t="str">
        <f>PROPER(Transactions!D3981)</f>
        <v>Clothing</v>
      </c>
      <c r="E3981" t="s">
        <v>141</v>
      </c>
      <c r="F3981" t="s">
        <v>142</v>
      </c>
      <c r="G3981">
        <v>2</v>
      </c>
      <c r="H3981">
        <v>17.239999999999998</v>
      </c>
      <c r="I3981" s="7">
        <f>IF(Transactions!I3981="",0,Transactions!I3981)</f>
        <v>0.25</v>
      </c>
      <c r="J3981" s="9">
        <f t="shared" si="62"/>
        <v>25.86</v>
      </c>
      <c r="K3981" t="s">
        <v>36</v>
      </c>
      <c r="L3981" t="s">
        <v>17</v>
      </c>
      <c r="M3981" t="str">
        <f>REPLACE(Transactions!M3981,1,4,"")</f>
        <v>11</v>
      </c>
    </row>
    <row r="3982" spans="1:13" x14ac:dyDescent="0.2">
      <c r="A3982">
        <v>759998</v>
      </c>
      <c r="B3982" s="5">
        <v>45530</v>
      </c>
      <c r="C3982">
        <v>91591</v>
      </c>
      <c r="D3982" t="str">
        <f>PROPER(Transactions!D3982)</f>
        <v>Grocery</v>
      </c>
      <c r="E3982" t="s">
        <v>74</v>
      </c>
      <c r="F3982" t="s">
        <v>75</v>
      </c>
      <c r="G3982">
        <v>5</v>
      </c>
      <c r="H3982">
        <v>2.54</v>
      </c>
      <c r="I3982" s="7">
        <f>IF(Transactions!I3982="",0,Transactions!I3982)</f>
        <v>0.15</v>
      </c>
      <c r="J3982" s="9">
        <f t="shared" si="62"/>
        <v>10.795</v>
      </c>
      <c r="K3982" t="s">
        <v>95</v>
      </c>
      <c r="L3982" t="s">
        <v>17</v>
      </c>
      <c r="M3982" t="str">
        <f>REPLACE(Transactions!M3982,1,4,"")</f>
        <v>10</v>
      </c>
    </row>
    <row r="3983" spans="1:13" x14ac:dyDescent="0.2">
      <c r="A3983">
        <v>760008</v>
      </c>
      <c r="B3983" s="5">
        <v>45613</v>
      </c>
      <c r="C3983">
        <v>88757</v>
      </c>
      <c r="D3983" t="str">
        <f>PROPER(Transactions!D3983)</f>
        <v>Automotive</v>
      </c>
      <c r="E3983" t="s">
        <v>131</v>
      </c>
      <c r="F3983" t="s">
        <v>132</v>
      </c>
      <c r="G3983">
        <v>1</v>
      </c>
      <c r="H3983">
        <v>3.49</v>
      </c>
      <c r="I3983" s="7">
        <f>IF(Transactions!I3983="",0,Transactions!I3983)</f>
        <v>0</v>
      </c>
      <c r="J3983" s="9">
        <f t="shared" si="62"/>
        <v>3.49</v>
      </c>
      <c r="K3983" t="s">
        <v>16</v>
      </c>
      <c r="L3983" t="s">
        <v>17</v>
      </c>
      <c r="M3983" t="str">
        <f>REPLACE(Transactions!M3983,1,4,"")</f>
        <v>4</v>
      </c>
    </row>
    <row r="3984" spans="1:13" x14ac:dyDescent="0.2">
      <c r="A3984">
        <v>760181</v>
      </c>
      <c r="B3984" s="5">
        <v>44844</v>
      </c>
      <c r="C3984">
        <v>67908</v>
      </c>
      <c r="D3984" t="str">
        <f>PROPER(Transactions!D3984)</f>
        <v>Electronics</v>
      </c>
      <c r="E3984" t="s">
        <v>104</v>
      </c>
      <c r="F3984" t="s">
        <v>105</v>
      </c>
      <c r="G3984">
        <v>2</v>
      </c>
      <c r="H3984">
        <v>26.99</v>
      </c>
      <c r="I3984" s="7">
        <f>IF(Transactions!I3984="",0,Transactions!I3984)</f>
        <v>0.1</v>
      </c>
      <c r="J3984" s="9">
        <f t="shared" si="62"/>
        <v>48.582000000000001</v>
      </c>
      <c r="K3984" t="s">
        <v>16</v>
      </c>
      <c r="L3984" t="s">
        <v>17</v>
      </c>
      <c r="M3984" t="str">
        <f>REPLACE(Transactions!M3984,1,4,"")</f>
        <v>11</v>
      </c>
    </row>
    <row r="3985" spans="1:13" x14ac:dyDescent="0.2">
      <c r="A3985">
        <v>760327</v>
      </c>
      <c r="B3985" s="5">
        <v>44615</v>
      </c>
      <c r="C3985">
        <v>60509</v>
      </c>
      <c r="D3985" t="str">
        <f>PROPER(Transactions!D3985)</f>
        <v>Pharmacy</v>
      </c>
      <c r="E3985" t="s">
        <v>20</v>
      </c>
      <c r="F3985" t="s">
        <v>21</v>
      </c>
      <c r="G3985">
        <v>2</v>
      </c>
      <c r="H3985">
        <v>9.99</v>
      </c>
      <c r="I3985" s="7">
        <f>IF(Transactions!I3985="",0,Transactions!I3985)</f>
        <v>0</v>
      </c>
      <c r="J3985" s="9">
        <f t="shared" si="62"/>
        <v>19.98</v>
      </c>
      <c r="K3985" t="s">
        <v>22</v>
      </c>
      <c r="L3985" t="s">
        <v>17</v>
      </c>
      <c r="M3985" t="str">
        <f>REPLACE(Transactions!M3985,1,4,"")</f>
        <v>15</v>
      </c>
    </row>
    <row r="3986" spans="1:13" x14ac:dyDescent="0.2">
      <c r="A3986">
        <v>760351</v>
      </c>
      <c r="B3986" s="5">
        <v>45508</v>
      </c>
      <c r="C3986">
        <v>13826</v>
      </c>
      <c r="D3986" t="str">
        <f>PROPER(Transactions!D3986)</f>
        <v>Sports</v>
      </c>
      <c r="E3986" t="s">
        <v>168</v>
      </c>
      <c r="F3986" t="s">
        <v>169</v>
      </c>
      <c r="G3986">
        <v>4</v>
      </c>
      <c r="H3986">
        <v>8.5399999999999991</v>
      </c>
      <c r="I3986" s="7">
        <f>IF(Transactions!I3986="",0,Transactions!I3986)</f>
        <v>0.05</v>
      </c>
      <c r="J3986" s="9">
        <f t="shared" si="62"/>
        <v>32.451999999999998</v>
      </c>
      <c r="K3986" t="s">
        <v>36</v>
      </c>
      <c r="L3986" t="s">
        <v>17</v>
      </c>
      <c r="M3986" t="str">
        <f>REPLACE(Transactions!M3986,1,4,"")</f>
        <v>16</v>
      </c>
    </row>
    <row r="3987" spans="1:13" x14ac:dyDescent="0.2">
      <c r="A3987">
        <v>760458</v>
      </c>
      <c r="B3987" s="5">
        <v>45003</v>
      </c>
      <c r="C3987">
        <v>57226</v>
      </c>
      <c r="D3987" t="str">
        <f>PROPER(Transactions!D3987)</f>
        <v>Clothing</v>
      </c>
      <c r="E3987" t="s">
        <v>141</v>
      </c>
      <c r="F3987" t="s">
        <v>142</v>
      </c>
      <c r="G3987">
        <v>2</v>
      </c>
      <c r="H3987">
        <v>20.69</v>
      </c>
      <c r="I3987" s="7">
        <f>IF(Transactions!I3987="",0,Transactions!I3987)</f>
        <v>0.1</v>
      </c>
      <c r="J3987" s="9">
        <f t="shared" si="62"/>
        <v>37.242000000000004</v>
      </c>
      <c r="K3987" t="s">
        <v>16</v>
      </c>
      <c r="L3987" t="s">
        <v>37</v>
      </c>
      <c r="M3987" t="str">
        <f>REPLACE(Transactions!M3987,1,4,"")</f>
        <v>20</v>
      </c>
    </row>
    <row r="3988" spans="1:13" x14ac:dyDescent="0.2">
      <c r="A3988">
        <v>760529</v>
      </c>
      <c r="B3988" s="5">
        <v>44832</v>
      </c>
      <c r="C3988">
        <v>82033</v>
      </c>
      <c r="D3988" t="str">
        <f>PROPER(Transactions!D3988)</f>
        <v>Sports</v>
      </c>
      <c r="E3988" t="s">
        <v>147</v>
      </c>
      <c r="F3988" t="s">
        <v>148</v>
      </c>
      <c r="G3988">
        <v>2</v>
      </c>
      <c r="H3988">
        <v>11.04</v>
      </c>
      <c r="I3988" s="7">
        <f>IF(Transactions!I3988="",0,Transactions!I3988)</f>
        <v>0.15</v>
      </c>
      <c r="J3988" s="9">
        <f t="shared" si="62"/>
        <v>18.767999999999997</v>
      </c>
      <c r="K3988" t="s">
        <v>95</v>
      </c>
      <c r="L3988" t="s">
        <v>17</v>
      </c>
      <c r="M3988" t="str">
        <f>REPLACE(Transactions!M3988,1,4,"")</f>
        <v>19</v>
      </c>
    </row>
    <row r="3989" spans="1:13" x14ac:dyDescent="0.2">
      <c r="A3989">
        <v>760584</v>
      </c>
      <c r="B3989" s="5">
        <v>45419</v>
      </c>
      <c r="C3989">
        <v>49391</v>
      </c>
      <c r="D3989" t="str">
        <f>PROPER(Transactions!D3989)</f>
        <v>Furniture</v>
      </c>
      <c r="E3989" t="s">
        <v>51</v>
      </c>
      <c r="F3989" t="s">
        <v>52</v>
      </c>
      <c r="G3989">
        <v>3</v>
      </c>
      <c r="H3989">
        <v>27.99</v>
      </c>
      <c r="I3989" s="7">
        <f>IF(Transactions!I3989="",0,Transactions!I3989)</f>
        <v>0</v>
      </c>
      <c r="J3989" s="9">
        <f t="shared" si="62"/>
        <v>83.97</v>
      </c>
      <c r="K3989" t="s">
        <v>16</v>
      </c>
      <c r="L3989" t="s">
        <v>17</v>
      </c>
      <c r="M3989" t="str">
        <f>REPLACE(Transactions!M3989,1,4,"")</f>
        <v>8</v>
      </c>
    </row>
    <row r="3990" spans="1:13" x14ac:dyDescent="0.2">
      <c r="A3990">
        <v>760618</v>
      </c>
      <c r="B3990" s="5">
        <v>45576</v>
      </c>
      <c r="C3990">
        <v>59194</v>
      </c>
      <c r="D3990" t="str">
        <f>PROPER(Transactions!D3990)</f>
        <v>Clothing</v>
      </c>
      <c r="E3990" t="s">
        <v>135</v>
      </c>
      <c r="F3990" t="s">
        <v>136</v>
      </c>
      <c r="G3990">
        <v>2</v>
      </c>
      <c r="H3990">
        <v>9.99</v>
      </c>
      <c r="I3990" s="7">
        <f>IF(Transactions!I3990="",0,Transactions!I3990)</f>
        <v>0</v>
      </c>
      <c r="J3990" s="9">
        <f t="shared" si="62"/>
        <v>19.98</v>
      </c>
      <c r="K3990" t="s">
        <v>16</v>
      </c>
      <c r="L3990" t="s">
        <v>17</v>
      </c>
      <c r="M3990" t="str">
        <f>REPLACE(Transactions!M3990,1,4,"")</f>
        <v>10</v>
      </c>
    </row>
    <row r="3991" spans="1:13" x14ac:dyDescent="0.2">
      <c r="A3991">
        <v>760621</v>
      </c>
      <c r="B3991" s="5">
        <v>44680</v>
      </c>
      <c r="C3991">
        <v>85545</v>
      </c>
      <c r="D3991" t="str">
        <f>PROPER(Transactions!D3991)</f>
        <v>Furniture</v>
      </c>
      <c r="E3991" t="s">
        <v>26</v>
      </c>
      <c r="F3991" t="s">
        <v>27</v>
      </c>
      <c r="G3991">
        <v>4</v>
      </c>
      <c r="H3991">
        <v>34.99</v>
      </c>
      <c r="I3991" s="7">
        <f>IF(Transactions!I3991="",0,Transactions!I3991)</f>
        <v>0</v>
      </c>
      <c r="J3991" s="9">
        <f t="shared" si="62"/>
        <v>139.96</v>
      </c>
      <c r="K3991" t="s">
        <v>36</v>
      </c>
      <c r="L3991" t="s">
        <v>37</v>
      </c>
      <c r="M3991" t="str">
        <f>REPLACE(Transactions!M3991,1,4,"")</f>
        <v>9</v>
      </c>
    </row>
    <row r="3992" spans="1:13" x14ac:dyDescent="0.2">
      <c r="A3992">
        <v>760682</v>
      </c>
      <c r="B3992" s="5">
        <v>45028</v>
      </c>
      <c r="C3992">
        <v>66241</v>
      </c>
      <c r="D3992" t="str">
        <f>PROPER(Transactions!D3992)</f>
        <v>Clothing</v>
      </c>
      <c r="E3992" t="s">
        <v>193</v>
      </c>
      <c r="F3992" t="s">
        <v>194</v>
      </c>
      <c r="G3992">
        <v>2</v>
      </c>
      <c r="H3992">
        <v>55.24</v>
      </c>
      <c r="I3992" s="7">
        <f>IF(Transactions!I3992="",0,Transactions!I3992)</f>
        <v>0.15</v>
      </c>
      <c r="J3992" s="9">
        <f t="shared" si="62"/>
        <v>93.908000000000001</v>
      </c>
      <c r="K3992" t="s">
        <v>16</v>
      </c>
      <c r="L3992" t="s">
        <v>37</v>
      </c>
      <c r="M3992" t="str">
        <f>REPLACE(Transactions!M3992,1,4,"")</f>
        <v>19</v>
      </c>
    </row>
    <row r="3993" spans="1:13" x14ac:dyDescent="0.2">
      <c r="A3993">
        <v>760914</v>
      </c>
      <c r="B3993" s="5">
        <v>44967</v>
      </c>
      <c r="D3993" t="str">
        <f>PROPER(Transactions!D3993)</f>
        <v>Electronics</v>
      </c>
      <c r="E3993" t="s">
        <v>34</v>
      </c>
      <c r="F3993" t="s">
        <v>35</v>
      </c>
      <c r="G3993">
        <v>1</v>
      </c>
      <c r="H3993">
        <v>27.99</v>
      </c>
      <c r="I3993" s="7">
        <f>IF(Transactions!I3993="",0,Transactions!I3993)</f>
        <v>0</v>
      </c>
      <c r="J3993" s="9">
        <f t="shared" si="62"/>
        <v>27.99</v>
      </c>
      <c r="K3993" t="s">
        <v>36</v>
      </c>
      <c r="L3993" t="s">
        <v>17</v>
      </c>
      <c r="M3993" t="str">
        <f>REPLACE(Transactions!M3993,1,4,"")</f>
        <v>14</v>
      </c>
    </row>
    <row r="3994" spans="1:13" x14ac:dyDescent="0.2">
      <c r="A3994">
        <v>761127</v>
      </c>
      <c r="B3994" s="5">
        <v>45035</v>
      </c>
      <c r="D3994" t="str">
        <f>PROPER(Transactions!D3994)</f>
        <v>Sports</v>
      </c>
      <c r="E3994" t="s">
        <v>188</v>
      </c>
      <c r="F3994" t="s">
        <v>189</v>
      </c>
      <c r="G3994">
        <v>2</v>
      </c>
      <c r="H3994">
        <v>40.49</v>
      </c>
      <c r="I3994" s="7">
        <f>IF(Transactions!I3994="",0,Transactions!I3994)</f>
        <v>0.1</v>
      </c>
      <c r="J3994" s="9">
        <f t="shared" si="62"/>
        <v>72.882000000000005</v>
      </c>
      <c r="K3994" t="s">
        <v>36</v>
      </c>
      <c r="L3994" t="s">
        <v>23</v>
      </c>
      <c r="M3994" t="str">
        <f>REPLACE(Transactions!M3994,1,4,"")</f>
        <v>1</v>
      </c>
    </row>
    <row r="3995" spans="1:13" x14ac:dyDescent="0.2">
      <c r="A3995">
        <v>761618</v>
      </c>
      <c r="B3995" s="5">
        <v>44580</v>
      </c>
      <c r="D3995" t="str">
        <f>PROPER(Transactions!D3995)</f>
        <v>Grocery</v>
      </c>
      <c r="E3995" t="s">
        <v>177</v>
      </c>
      <c r="F3995" t="s">
        <v>178</v>
      </c>
      <c r="G3995">
        <v>5</v>
      </c>
      <c r="H3995">
        <v>9.59</v>
      </c>
      <c r="I3995" s="7">
        <f>IF(Transactions!I3995="",0,Transactions!I3995)</f>
        <v>0.2</v>
      </c>
      <c r="J3995" s="9">
        <f t="shared" si="62"/>
        <v>38.360000000000007</v>
      </c>
      <c r="K3995" t="s">
        <v>36</v>
      </c>
      <c r="L3995" t="s">
        <v>17</v>
      </c>
      <c r="M3995" t="str">
        <f>REPLACE(Transactions!M3995,1,4,"")</f>
        <v>8</v>
      </c>
    </row>
    <row r="3996" spans="1:13" x14ac:dyDescent="0.2">
      <c r="A3996">
        <v>761945</v>
      </c>
      <c r="B3996" s="5">
        <v>45203</v>
      </c>
      <c r="C3996">
        <v>47746</v>
      </c>
      <c r="D3996" t="str">
        <f>PROPER(Transactions!D3996)</f>
        <v>Automotive</v>
      </c>
      <c r="E3996" t="s">
        <v>68</v>
      </c>
      <c r="F3996" t="s">
        <v>69</v>
      </c>
      <c r="G3996">
        <v>5</v>
      </c>
      <c r="H3996">
        <v>18.739999999999998</v>
      </c>
      <c r="I3996" s="7">
        <f>IF(Transactions!I3996="",0,Transactions!I3996)</f>
        <v>0.25</v>
      </c>
      <c r="J3996" s="9">
        <f t="shared" si="62"/>
        <v>70.274999999999991</v>
      </c>
      <c r="K3996" t="s">
        <v>16</v>
      </c>
      <c r="L3996" t="s">
        <v>17</v>
      </c>
      <c r="M3996" t="str">
        <f>REPLACE(Transactions!M3996,1,4,"")</f>
        <v>3</v>
      </c>
    </row>
    <row r="3997" spans="1:13" x14ac:dyDescent="0.2">
      <c r="A3997">
        <v>762103</v>
      </c>
      <c r="B3997" s="5">
        <v>45310</v>
      </c>
      <c r="C3997">
        <v>57147</v>
      </c>
      <c r="D3997" t="str">
        <f>PROPER(Transactions!D3997)</f>
        <v>Beauty</v>
      </c>
      <c r="E3997" t="s">
        <v>109</v>
      </c>
      <c r="F3997" t="s">
        <v>110</v>
      </c>
      <c r="G3997">
        <v>4</v>
      </c>
      <c r="H3997">
        <v>6.99</v>
      </c>
      <c r="I3997" s="7">
        <f>IF(Transactions!I3997="",0,Transactions!I3997)</f>
        <v>0</v>
      </c>
      <c r="J3997" s="9">
        <f t="shared" si="62"/>
        <v>27.96</v>
      </c>
      <c r="K3997" t="s">
        <v>36</v>
      </c>
      <c r="L3997" t="s">
        <v>37</v>
      </c>
      <c r="M3997" t="str">
        <f>REPLACE(Transactions!M3997,1,4,"")</f>
        <v>11</v>
      </c>
    </row>
    <row r="3998" spans="1:13" x14ac:dyDescent="0.2">
      <c r="A3998">
        <v>762360</v>
      </c>
      <c r="B3998" s="5">
        <v>44811</v>
      </c>
      <c r="C3998">
        <v>65445</v>
      </c>
      <c r="D3998" t="str">
        <f>PROPER(Transactions!D3998)</f>
        <v>Electronics</v>
      </c>
      <c r="E3998" t="s">
        <v>186</v>
      </c>
      <c r="F3998" t="s">
        <v>187</v>
      </c>
      <c r="G3998">
        <v>3</v>
      </c>
      <c r="H3998">
        <v>34.99</v>
      </c>
      <c r="I3998" s="7">
        <f>IF(Transactions!I3998="",0,Transactions!I3998)</f>
        <v>0.3</v>
      </c>
      <c r="J3998" s="9">
        <f t="shared" si="62"/>
        <v>73.478999999999999</v>
      </c>
      <c r="K3998" t="s">
        <v>36</v>
      </c>
      <c r="L3998" t="s">
        <v>17</v>
      </c>
      <c r="M3998" t="str">
        <f>REPLACE(Transactions!M3998,1,4,"")</f>
        <v>3</v>
      </c>
    </row>
    <row r="3999" spans="1:13" x14ac:dyDescent="0.2">
      <c r="A3999">
        <v>762462</v>
      </c>
      <c r="B3999" s="5">
        <v>44649</v>
      </c>
      <c r="C3999">
        <v>38049</v>
      </c>
      <c r="D3999" t="str">
        <f>PROPER(Transactions!D3999)</f>
        <v>Sports</v>
      </c>
      <c r="E3999" t="s">
        <v>147</v>
      </c>
      <c r="F3999" t="s">
        <v>148</v>
      </c>
      <c r="G3999">
        <v>4</v>
      </c>
      <c r="H3999">
        <v>10.39</v>
      </c>
      <c r="I3999" s="7">
        <f>IF(Transactions!I3999="",0,Transactions!I3999)</f>
        <v>0.2</v>
      </c>
      <c r="J3999" s="9">
        <f t="shared" si="62"/>
        <v>33.248000000000005</v>
      </c>
      <c r="K3999" t="s">
        <v>36</v>
      </c>
      <c r="L3999" t="s">
        <v>17</v>
      </c>
      <c r="M3999" t="str">
        <f>REPLACE(Transactions!M3999,1,4,"")</f>
        <v>2</v>
      </c>
    </row>
    <row r="4000" spans="1:13" x14ac:dyDescent="0.2">
      <c r="A4000">
        <v>762846</v>
      </c>
      <c r="B4000" s="5">
        <v>45238</v>
      </c>
      <c r="C4000">
        <v>94969</v>
      </c>
      <c r="D4000" t="str">
        <f>PROPER(Transactions!D4000)</f>
        <v>Furniture</v>
      </c>
      <c r="E4000" t="s">
        <v>113</v>
      </c>
      <c r="F4000" t="s">
        <v>114</v>
      </c>
      <c r="G4000">
        <v>1</v>
      </c>
      <c r="H4000">
        <v>119.99</v>
      </c>
      <c r="I4000" s="7">
        <f>IF(Transactions!I4000="",0,Transactions!I4000)</f>
        <v>0</v>
      </c>
      <c r="J4000" s="9">
        <f t="shared" si="62"/>
        <v>119.99</v>
      </c>
      <c r="K4000" t="s">
        <v>53</v>
      </c>
      <c r="L4000" t="s">
        <v>37</v>
      </c>
      <c r="M4000" t="str">
        <f>REPLACE(Transactions!M4000,1,4,"")</f>
        <v>16</v>
      </c>
    </row>
    <row r="4001" spans="1:13" x14ac:dyDescent="0.2">
      <c r="A4001">
        <v>762854</v>
      </c>
      <c r="B4001" s="5">
        <v>44757</v>
      </c>
      <c r="C4001">
        <v>17743</v>
      </c>
      <c r="D4001" t="str">
        <f>PROPER(Transactions!D4001)</f>
        <v>Electronics</v>
      </c>
      <c r="E4001" t="s">
        <v>14</v>
      </c>
      <c r="F4001" t="s">
        <v>15</v>
      </c>
      <c r="G4001">
        <v>5</v>
      </c>
      <c r="H4001">
        <v>79.989999999999995</v>
      </c>
      <c r="I4001" s="7">
        <f>IF(Transactions!I4001="",0,Transactions!I4001)</f>
        <v>0</v>
      </c>
      <c r="J4001" s="9">
        <f t="shared" si="62"/>
        <v>399.95</v>
      </c>
      <c r="K4001" t="s">
        <v>16</v>
      </c>
      <c r="L4001" t="s">
        <v>17</v>
      </c>
      <c r="M4001" t="str">
        <f>REPLACE(Transactions!M4001,1,4,"")</f>
        <v>2</v>
      </c>
    </row>
    <row r="4002" spans="1:13" x14ac:dyDescent="0.2">
      <c r="A4002">
        <v>763149</v>
      </c>
      <c r="B4002" s="5">
        <v>44591</v>
      </c>
      <c r="C4002">
        <v>33596</v>
      </c>
      <c r="D4002" t="str">
        <f>PROPER(Transactions!D4002)</f>
        <v>Automotive</v>
      </c>
      <c r="E4002" t="s">
        <v>125</v>
      </c>
      <c r="F4002" t="s">
        <v>126</v>
      </c>
      <c r="G4002">
        <v>1</v>
      </c>
      <c r="H4002">
        <v>29.99</v>
      </c>
      <c r="I4002" s="7">
        <f>IF(Transactions!I4002="",0,Transactions!I4002)</f>
        <v>0</v>
      </c>
      <c r="J4002" s="9">
        <f t="shared" si="62"/>
        <v>29.99</v>
      </c>
      <c r="K4002" t="s">
        <v>53</v>
      </c>
      <c r="L4002" t="s">
        <v>23</v>
      </c>
      <c r="M4002" t="str">
        <f>REPLACE(Transactions!M4002,1,4,"")</f>
        <v>1</v>
      </c>
    </row>
    <row r="4003" spans="1:13" x14ac:dyDescent="0.2">
      <c r="A4003">
        <v>763202</v>
      </c>
      <c r="B4003" s="5">
        <v>45354</v>
      </c>
      <c r="C4003">
        <v>72009</v>
      </c>
      <c r="D4003" t="str">
        <f>PROPER(Transactions!D4003)</f>
        <v>Sports</v>
      </c>
      <c r="E4003" t="s">
        <v>83</v>
      </c>
      <c r="F4003" t="s">
        <v>84</v>
      </c>
      <c r="G4003">
        <v>4</v>
      </c>
      <c r="H4003">
        <v>16.989999999999998</v>
      </c>
      <c r="I4003" s="7">
        <f>IF(Transactions!I4003="",0,Transactions!I4003)</f>
        <v>0</v>
      </c>
      <c r="J4003" s="9">
        <f t="shared" si="62"/>
        <v>67.959999999999994</v>
      </c>
      <c r="K4003" t="s">
        <v>22</v>
      </c>
      <c r="L4003" t="s">
        <v>37</v>
      </c>
      <c r="M4003" t="str">
        <f>REPLACE(Transactions!M4003,1,4,"")</f>
        <v>11</v>
      </c>
    </row>
    <row r="4004" spans="1:13" x14ac:dyDescent="0.2">
      <c r="A4004">
        <v>763490</v>
      </c>
      <c r="B4004" s="5">
        <v>44595</v>
      </c>
      <c r="C4004">
        <v>10284</v>
      </c>
      <c r="D4004" t="str">
        <f>PROPER(Transactions!D4004)</f>
        <v>Beauty</v>
      </c>
      <c r="E4004" t="s">
        <v>109</v>
      </c>
      <c r="F4004" t="s">
        <v>110</v>
      </c>
      <c r="G4004">
        <v>3</v>
      </c>
      <c r="H4004">
        <v>6.29</v>
      </c>
      <c r="I4004" s="7">
        <f>IF(Transactions!I4004="",0,Transactions!I4004)</f>
        <v>0.1</v>
      </c>
      <c r="J4004" s="9">
        <f t="shared" si="62"/>
        <v>16.983000000000001</v>
      </c>
      <c r="K4004" t="s">
        <v>16</v>
      </c>
      <c r="L4004" t="s">
        <v>37</v>
      </c>
      <c r="M4004" t="str">
        <f>REPLACE(Transactions!M4004,1,4,"")</f>
        <v>1</v>
      </c>
    </row>
    <row r="4005" spans="1:13" x14ac:dyDescent="0.2">
      <c r="A4005">
        <v>763545</v>
      </c>
      <c r="B4005" s="5">
        <v>45215</v>
      </c>
      <c r="C4005">
        <v>33041</v>
      </c>
      <c r="D4005" t="str">
        <f>PROPER(Transactions!D4005)</f>
        <v>Home &amp; Garden</v>
      </c>
      <c r="E4005" t="s">
        <v>129</v>
      </c>
      <c r="F4005" t="s">
        <v>130</v>
      </c>
      <c r="G4005">
        <v>1</v>
      </c>
      <c r="H4005">
        <v>7.19</v>
      </c>
      <c r="I4005" s="7">
        <f>IF(Transactions!I4005="",0,Transactions!I4005)</f>
        <v>0.2</v>
      </c>
      <c r="J4005" s="9">
        <f t="shared" si="62"/>
        <v>5.7520000000000007</v>
      </c>
      <c r="K4005" t="s">
        <v>53</v>
      </c>
      <c r="L4005" t="s">
        <v>37</v>
      </c>
      <c r="M4005" t="str">
        <f>REPLACE(Transactions!M4005,1,4,"")</f>
        <v>2</v>
      </c>
    </row>
    <row r="4006" spans="1:13" x14ac:dyDescent="0.2">
      <c r="A4006">
        <v>763709</v>
      </c>
      <c r="B4006" s="5">
        <v>44789</v>
      </c>
      <c r="D4006" t="str">
        <f>PROPER(Transactions!D4006)</f>
        <v>Automotive</v>
      </c>
      <c r="E4006" t="s">
        <v>64</v>
      </c>
      <c r="F4006" t="s">
        <v>65</v>
      </c>
      <c r="G4006">
        <v>1</v>
      </c>
      <c r="H4006">
        <v>4.99</v>
      </c>
      <c r="I4006" s="7">
        <f>IF(Transactions!I4006="",0,Transactions!I4006)</f>
        <v>0</v>
      </c>
      <c r="J4006" s="9">
        <f t="shared" si="62"/>
        <v>4.99</v>
      </c>
      <c r="K4006" t="s">
        <v>16</v>
      </c>
      <c r="L4006" t="s">
        <v>17</v>
      </c>
      <c r="M4006" t="str">
        <f>REPLACE(Transactions!M4006,1,4,"")</f>
        <v>15</v>
      </c>
    </row>
    <row r="4007" spans="1:13" x14ac:dyDescent="0.2">
      <c r="A4007">
        <v>763843</v>
      </c>
      <c r="B4007" s="5">
        <v>45024</v>
      </c>
      <c r="C4007">
        <v>92182</v>
      </c>
      <c r="D4007" t="str">
        <f>PROPER(Transactions!D4007)</f>
        <v>Toys</v>
      </c>
      <c r="E4007" t="s">
        <v>88</v>
      </c>
      <c r="F4007" t="s">
        <v>89</v>
      </c>
      <c r="G4007">
        <v>1</v>
      </c>
      <c r="H4007">
        <v>42.49</v>
      </c>
      <c r="I4007" s="7">
        <f>IF(Transactions!I4007="",0,Transactions!I4007)</f>
        <v>0.15</v>
      </c>
      <c r="J4007" s="9">
        <f t="shared" si="62"/>
        <v>36.116500000000002</v>
      </c>
      <c r="K4007" t="s">
        <v>16</v>
      </c>
      <c r="L4007" t="s">
        <v>17</v>
      </c>
      <c r="M4007" t="str">
        <f>REPLACE(Transactions!M4007,1,4,"")</f>
        <v>1</v>
      </c>
    </row>
    <row r="4008" spans="1:13" x14ac:dyDescent="0.2">
      <c r="A4008">
        <v>763847</v>
      </c>
      <c r="B4008" s="5">
        <v>45374</v>
      </c>
      <c r="C4008">
        <v>63696</v>
      </c>
      <c r="D4008" t="str">
        <f>PROPER(Transactions!D4008)</f>
        <v>Pharmacy</v>
      </c>
      <c r="E4008" t="s">
        <v>197</v>
      </c>
      <c r="F4008" t="s">
        <v>198</v>
      </c>
      <c r="G4008">
        <v>1</v>
      </c>
      <c r="H4008">
        <v>11.99</v>
      </c>
      <c r="I4008" s="7">
        <f>IF(Transactions!I4008="",0,Transactions!I4008)</f>
        <v>0.2</v>
      </c>
      <c r="J4008" s="9">
        <f t="shared" si="62"/>
        <v>9.5920000000000005</v>
      </c>
      <c r="K4008" t="s">
        <v>95</v>
      </c>
      <c r="L4008" t="s">
        <v>37</v>
      </c>
      <c r="M4008" t="str">
        <f>REPLACE(Transactions!M4008,1,4,"")</f>
        <v>8</v>
      </c>
    </row>
    <row r="4009" spans="1:13" x14ac:dyDescent="0.2">
      <c r="A4009">
        <v>764053</v>
      </c>
      <c r="B4009" s="5">
        <v>44797</v>
      </c>
      <c r="C4009">
        <v>25476</v>
      </c>
      <c r="D4009" t="str">
        <f>PROPER(Transactions!D4009)</f>
        <v>Furniture</v>
      </c>
      <c r="E4009" t="s">
        <v>60</v>
      </c>
      <c r="F4009" t="s">
        <v>61</v>
      </c>
      <c r="G4009">
        <v>2</v>
      </c>
      <c r="H4009">
        <v>54.99</v>
      </c>
      <c r="I4009" s="7">
        <f>IF(Transactions!I4009="",0,Transactions!I4009)</f>
        <v>0</v>
      </c>
      <c r="J4009" s="9">
        <f t="shared" si="62"/>
        <v>109.98</v>
      </c>
      <c r="K4009" t="s">
        <v>16</v>
      </c>
      <c r="L4009" t="s">
        <v>17</v>
      </c>
      <c r="M4009" t="str">
        <f>REPLACE(Transactions!M4009,1,4,"")</f>
        <v>11</v>
      </c>
    </row>
    <row r="4010" spans="1:13" x14ac:dyDescent="0.2">
      <c r="A4010">
        <v>764261</v>
      </c>
      <c r="B4010" s="5">
        <v>45623</v>
      </c>
      <c r="C4010">
        <v>93763</v>
      </c>
      <c r="D4010" t="str">
        <f>PROPER(Transactions!D4010)</f>
        <v>Home &amp; Garden</v>
      </c>
      <c r="E4010" t="s">
        <v>86</v>
      </c>
      <c r="F4010" t="s">
        <v>87</v>
      </c>
      <c r="G4010">
        <v>1</v>
      </c>
      <c r="H4010">
        <v>12.34</v>
      </c>
      <c r="I4010" s="7">
        <f>IF(Transactions!I4010="",0,Transactions!I4010)</f>
        <v>0.05</v>
      </c>
      <c r="J4010" s="9">
        <f t="shared" si="62"/>
        <v>11.722999999999999</v>
      </c>
      <c r="K4010" t="s">
        <v>16</v>
      </c>
      <c r="L4010" t="s">
        <v>17</v>
      </c>
      <c r="M4010" t="str">
        <f>REPLACE(Transactions!M4010,1,4,"")</f>
        <v>6</v>
      </c>
    </row>
    <row r="4011" spans="1:13" x14ac:dyDescent="0.2">
      <c r="A4011">
        <v>764341</v>
      </c>
      <c r="B4011" s="5">
        <v>45306</v>
      </c>
      <c r="C4011">
        <v>42997</v>
      </c>
      <c r="D4011" t="str">
        <f>PROPER(Transactions!D4011)</f>
        <v>Electronics</v>
      </c>
      <c r="E4011" t="s">
        <v>104</v>
      </c>
      <c r="F4011" t="s">
        <v>105</v>
      </c>
      <c r="G4011">
        <v>2</v>
      </c>
      <c r="H4011">
        <v>25.49</v>
      </c>
      <c r="I4011" s="7">
        <f>IF(Transactions!I4011="",0,Transactions!I4011)</f>
        <v>0.15</v>
      </c>
      <c r="J4011" s="9">
        <f t="shared" si="62"/>
        <v>43.332999999999998</v>
      </c>
      <c r="K4011" t="s">
        <v>22</v>
      </c>
      <c r="L4011" t="s">
        <v>17</v>
      </c>
      <c r="M4011" t="str">
        <f>REPLACE(Transactions!M4011,1,4,"")</f>
        <v>16</v>
      </c>
    </row>
    <row r="4012" spans="1:13" x14ac:dyDescent="0.2">
      <c r="A4012">
        <v>764356</v>
      </c>
      <c r="B4012" s="5">
        <v>45499</v>
      </c>
      <c r="C4012">
        <v>95299</v>
      </c>
      <c r="D4012" t="str">
        <f>PROPER(Transactions!D4012)</f>
        <v>Toys</v>
      </c>
      <c r="E4012" t="s">
        <v>88</v>
      </c>
      <c r="F4012" t="s">
        <v>89</v>
      </c>
      <c r="G4012">
        <v>2</v>
      </c>
      <c r="H4012">
        <v>37.49</v>
      </c>
      <c r="I4012" s="7">
        <f>IF(Transactions!I4012="",0,Transactions!I4012)</f>
        <v>0.25</v>
      </c>
      <c r="J4012" s="9">
        <f t="shared" si="62"/>
        <v>56.234999999999999</v>
      </c>
      <c r="K4012" t="s">
        <v>32</v>
      </c>
      <c r="L4012" t="s">
        <v>37</v>
      </c>
      <c r="M4012" t="str">
        <f>REPLACE(Transactions!M4012,1,4,"")</f>
        <v>5</v>
      </c>
    </row>
    <row r="4013" spans="1:13" x14ac:dyDescent="0.2">
      <c r="A4013">
        <v>764417</v>
      </c>
      <c r="B4013" s="5">
        <v>44843</v>
      </c>
      <c r="C4013">
        <v>50814</v>
      </c>
      <c r="D4013" t="str">
        <f>PROPER(Transactions!D4013)</f>
        <v>Pharmacy</v>
      </c>
      <c r="E4013" t="s">
        <v>20</v>
      </c>
      <c r="F4013" t="s">
        <v>21</v>
      </c>
      <c r="G4013">
        <v>1</v>
      </c>
      <c r="H4013">
        <v>9.99</v>
      </c>
      <c r="I4013" s="7">
        <f>IF(Transactions!I4013="",0,Transactions!I4013)</f>
        <v>0</v>
      </c>
      <c r="J4013" s="9">
        <f t="shared" si="62"/>
        <v>9.99</v>
      </c>
      <c r="K4013" t="s">
        <v>32</v>
      </c>
      <c r="L4013" t="s">
        <v>37</v>
      </c>
      <c r="M4013" t="str">
        <f>REPLACE(Transactions!M4013,1,4,"")</f>
        <v>9</v>
      </c>
    </row>
    <row r="4014" spans="1:13" x14ac:dyDescent="0.2">
      <c r="A4014">
        <v>764448</v>
      </c>
      <c r="B4014" s="5">
        <v>44873</v>
      </c>
      <c r="C4014">
        <v>23178</v>
      </c>
      <c r="D4014" t="str">
        <f>PROPER(Transactions!D4014)</f>
        <v>Furniture</v>
      </c>
      <c r="E4014" t="s">
        <v>60</v>
      </c>
      <c r="F4014" t="s">
        <v>61</v>
      </c>
      <c r="G4014">
        <v>2</v>
      </c>
      <c r="H4014">
        <v>49.49</v>
      </c>
      <c r="I4014" s="7">
        <f>IF(Transactions!I4014="",0,Transactions!I4014)</f>
        <v>0.1</v>
      </c>
      <c r="J4014" s="9">
        <f t="shared" si="62"/>
        <v>89.082000000000008</v>
      </c>
      <c r="K4014" t="s">
        <v>36</v>
      </c>
      <c r="L4014" t="s">
        <v>17</v>
      </c>
      <c r="M4014" t="str">
        <f>REPLACE(Transactions!M4014,1,4,"")</f>
        <v>15</v>
      </c>
    </row>
    <row r="4015" spans="1:13" x14ac:dyDescent="0.2">
      <c r="A4015">
        <v>764524</v>
      </c>
      <c r="B4015" s="5">
        <v>44750</v>
      </c>
      <c r="C4015">
        <v>76441</v>
      </c>
      <c r="D4015" t="str">
        <f>PROPER(Transactions!D4015)</f>
        <v>Electronics</v>
      </c>
      <c r="E4015" t="s">
        <v>159</v>
      </c>
      <c r="F4015" t="s">
        <v>160</v>
      </c>
      <c r="G4015">
        <v>2</v>
      </c>
      <c r="H4015">
        <v>59.99</v>
      </c>
      <c r="I4015" s="7">
        <f>IF(Transactions!I4015="",0,Transactions!I4015)</f>
        <v>0</v>
      </c>
      <c r="J4015" s="9">
        <f t="shared" si="62"/>
        <v>119.98</v>
      </c>
      <c r="K4015" t="s">
        <v>66</v>
      </c>
      <c r="L4015" t="s">
        <v>17</v>
      </c>
      <c r="M4015" t="str">
        <f>REPLACE(Transactions!M4015,1,4,"")</f>
        <v>6</v>
      </c>
    </row>
    <row r="4016" spans="1:13" x14ac:dyDescent="0.2">
      <c r="A4016">
        <v>764544</v>
      </c>
      <c r="B4016" s="5">
        <v>44994</v>
      </c>
      <c r="C4016">
        <v>24123</v>
      </c>
      <c r="D4016" t="str">
        <f>PROPER(Transactions!D4016)</f>
        <v>Clothing</v>
      </c>
      <c r="E4016" t="s">
        <v>98</v>
      </c>
      <c r="F4016" t="s">
        <v>99</v>
      </c>
      <c r="G4016">
        <v>5</v>
      </c>
      <c r="H4016">
        <v>26.59</v>
      </c>
      <c r="I4016" s="7">
        <f>IF(Transactions!I4016="",0,Transactions!I4016)</f>
        <v>0.05</v>
      </c>
      <c r="J4016" s="9">
        <f t="shared" si="62"/>
        <v>126.30249999999998</v>
      </c>
      <c r="K4016" t="s">
        <v>16</v>
      </c>
      <c r="L4016" t="s">
        <v>37</v>
      </c>
      <c r="M4016" t="str">
        <f>REPLACE(Transactions!M4016,1,4,"")</f>
        <v>10</v>
      </c>
    </row>
    <row r="4017" spans="1:13" x14ac:dyDescent="0.2">
      <c r="A4017">
        <v>764576</v>
      </c>
      <c r="B4017" s="5">
        <v>44605</v>
      </c>
      <c r="C4017">
        <v>57616</v>
      </c>
      <c r="D4017" t="str">
        <f>PROPER(Transactions!D4017)</f>
        <v>Home &amp; Garden</v>
      </c>
      <c r="E4017" t="s">
        <v>129</v>
      </c>
      <c r="F4017" t="s">
        <v>130</v>
      </c>
      <c r="G4017">
        <v>2</v>
      </c>
      <c r="H4017">
        <v>7.19</v>
      </c>
      <c r="I4017" s="7">
        <f>IF(Transactions!I4017="",0,Transactions!I4017)</f>
        <v>0.2</v>
      </c>
      <c r="J4017" s="9">
        <f t="shared" si="62"/>
        <v>11.504000000000001</v>
      </c>
      <c r="K4017" t="s">
        <v>36</v>
      </c>
      <c r="L4017" t="s">
        <v>17</v>
      </c>
      <c r="M4017" t="str">
        <f>REPLACE(Transactions!M4017,1,4,"")</f>
        <v>10</v>
      </c>
    </row>
    <row r="4018" spans="1:13" x14ac:dyDescent="0.2">
      <c r="A4018">
        <v>764716</v>
      </c>
      <c r="B4018" s="5">
        <v>44977</v>
      </c>
      <c r="C4018">
        <v>24222</v>
      </c>
      <c r="D4018" t="str">
        <f>PROPER(Transactions!D4018)</f>
        <v>Clothing</v>
      </c>
      <c r="E4018" t="s">
        <v>193</v>
      </c>
      <c r="F4018" t="s">
        <v>194</v>
      </c>
      <c r="G4018">
        <v>2</v>
      </c>
      <c r="H4018">
        <v>48.74</v>
      </c>
      <c r="I4018" s="7">
        <f>IF(Transactions!I4018="",0,Transactions!I4018)</f>
        <v>0.25</v>
      </c>
      <c r="J4018" s="9">
        <f t="shared" si="62"/>
        <v>73.11</v>
      </c>
      <c r="K4018" t="s">
        <v>16</v>
      </c>
      <c r="L4018" t="s">
        <v>37</v>
      </c>
      <c r="M4018" t="str">
        <f>REPLACE(Transactions!M4018,1,4,"")</f>
        <v>4</v>
      </c>
    </row>
    <row r="4019" spans="1:13" x14ac:dyDescent="0.2">
      <c r="A4019">
        <v>764843</v>
      </c>
      <c r="B4019" s="5">
        <v>44821</v>
      </c>
      <c r="C4019">
        <v>29564</v>
      </c>
      <c r="D4019" t="str">
        <f>PROPER(Transactions!D4019)</f>
        <v>Home &amp; Garden</v>
      </c>
      <c r="E4019" t="s">
        <v>149</v>
      </c>
      <c r="F4019" t="s">
        <v>150</v>
      </c>
      <c r="G4019">
        <v>1</v>
      </c>
      <c r="H4019">
        <v>19.989999999999998</v>
      </c>
      <c r="I4019" s="7">
        <f>IF(Transactions!I4019="",0,Transactions!I4019)</f>
        <v>0</v>
      </c>
      <c r="J4019" s="9">
        <f t="shared" si="62"/>
        <v>19.989999999999998</v>
      </c>
      <c r="K4019" t="s">
        <v>95</v>
      </c>
      <c r="L4019" t="s">
        <v>17</v>
      </c>
      <c r="M4019" t="str">
        <f>REPLACE(Transactions!M4019,1,4,"")</f>
        <v>13</v>
      </c>
    </row>
    <row r="4020" spans="1:13" x14ac:dyDescent="0.2">
      <c r="A4020">
        <v>764856</v>
      </c>
      <c r="B4020" s="5">
        <v>44817</v>
      </c>
      <c r="C4020">
        <v>39793</v>
      </c>
      <c r="D4020" t="str">
        <f>PROPER(Transactions!D4020)</f>
        <v>Grocery</v>
      </c>
      <c r="E4020" t="s">
        <v>93</v>
      </c>
      <c r="F4020" t="s">
        <v>94</v>
      </c>
      <c r="G4020">
        <v>2</v>
      </c>
      <c r="H4020">
        <v>1.1000000000000001</v>
      </c>
      <c r="I4020" s="7">
        <f>IF(Transactions!I4020="",0,Transactions!I4020)</f>
        <v>0.15</v>
      </c>
      <c r="J4020" s="9">
        <f t="shared" si="62"/>
        <v>1.87</v>
      </c>
      <c r="K4020" t="s">
        <v>16</v>
      </c>
      <c r="L4020" t="s">
        <v>37</v>
      </c>
      <c r="M4020" t="str">
        <f>REPLACE(Transactions!M4020,1,4,"")</f>
        <v>3</v>
      </c>
    </row>
    <row r="4021" spans="1:13" x14ac:dyDescent="0.2">
      <c r="A4021">
        <v>765103</v>
      </c>
      <c r="B4021" s="5">
        <v>45550</v>
      </c>
      <c r="D4021" t="str">
        <f>PROPER(Transactions!D4021)</f>
        <v>Clothing</v>
      </c>
      <c r="E4021" t="s">
        <v>151</v>
      </c>
      <c r="F4021" t="s">
        <v>152</v>
      </c>
      <c r="G4021">
        <v>1</v>
      </c>
      <c r="H4021">
        <v>31.49</v>
      </c>
      <c r="I4021" s="7">
        <f>IF(Transactions!I4021="",0,Transactions!I4021)</f>
        <v>0.1</v>
      </c>
      <c r="J4021" s="9">
        <f t="shared" si="62"/>
        <v>28.340999999999998</v>
      </c>
      <c r="K4021" t="s">
        <v>16</v>
      </c>
      <c r="L4021" t="s">
        <v>17</v>
      </c>
      <c r="M4021" t="str">
        <f>REPLACE(Transactions!M4021,1,4,"")</f>
        <v>7</v>
      </c>
    </row>
    <row r="4022" spans="1:13" x14ac:dyDescent="0.2">
      <c r="A4022">
        <v>765235</v>
      </c>
      <c r="B4022" s="5">
        <v>45007</v>
      </c>
      <c r="C4022">
        <v>98975</v>
      </c>
      <c r="D4022" t="str">
        <f>PROPER(Transactions!D4022)</f>
        <v>Toys</v>
      </c>
      <c r="E4022" t="s">
        <v>175</v>
      </c>
      <c r="F4022" t="s">
        <v>176</v>
      </c>
      <c r="G4022">
        <v>1</v>
      </c>
      <c r="H4022">
        <v>9.59</v>
      </c>
      <c r="I4022" s="7">
        <f>IF(Transactions!I4022="",0,Transactions!I4022)</f>
        <v>0.2</v>
      </c>
      <c r="J4022" s="9">
        <f t="shared" si="62"/>
        <v>7.6720000000000006</v>
      </c>
      <c r="K4022" t="s">
        <v>16</v>
      </c>
      <c r="L4022" t="s">
        <v>17</v>
      </c>
      <c r="M4022" t="str">
        <f>REPLACE(Transactions!M4022,1,4,"")</f>
        <v>13</v>
      </c>
    </row>
    <row r="4023" spans="1:13" x14ac:dyDescent="0.2">
      <c r="A4023">
        <v>765277</v>
      </c>
      <c r="B4023" s="5">
        <v>45125</v>
      </c>
      <c r="C4023">
        <v>47188</v>
      </c>
      <c r="D4023" t="str">
        <f>PROPER(Transactions!D4023)</f>
        <v>Toys</v>
      </c>
      <c r="E4023" t="s">
        <v>88</v>
      </c>
      <c r="F4023" t="s">
        <v>89</v>
      </c>
      <c r="G4023">
        <v>1</v>
      </c>
      <c r="H4023">
        <v>49.99</v>
      </c>
      <c r="I4023" s="7">
        <f>IF(Transactions!I4023="",0,Transactions!I4023)</f>
        <v>0</v>
      </c>
      <c r="J4023" s="9">
        <f t="shared" si="62"/>
        <v>49.99</v>
      </c>
      <c r="K4023" t="s">
        <v>16</v>
      </c>
      <c r="L4023" t="s">
        <v>17</v>
      </c>
      <c r="M4023" t="str">
        <f>REPLACE(Transactions!M4023,1,4,"")</f>
        <v>10</v>
      </c>
    </row>
    <row r="4024" spans="1:13" x14ac:dyDescent="0.2">
      <c r="A4024">
        <v>765607</v>
      </c>
      <c r="B4024" s="5">
        <v>45579</v>
      </c>
      <c r="D4024" t="str">
        <f>PROPER(Transactions!D4024)</f>
        <v>Grocery</v>
      </c>
      <c r="E4024" t="s">
        <v>93</v>
      </c>
      <c r="F4024" t="s">
        <v>94</v>
      </c>
      <c r="G4024">
        <v>1</v>
      </c>
      <c r="H4024">
        <v>1.1599999999999999</v>
      </c>
      <c r="I4024" s="7">
        <f>IF(Transactions!I4024="",0,Transactions!I4024)</f>
        <v>0.1</v>
      </c>
      <c r="J4024" s="9">
        <f t="shared" si="62"/>
        <v>1.044</v>
      </c>
      <c r="K4024" t="s">
        <v>53</v>
      </c>
      <c r="L4024" t="s">
        <v>23</v>
      </c>
      <c r="M4024" t="str">
        <f>REPLACE(Transactions!M4024,1,4,"")</f>
        <v>10</v>
      </c>
    </row>
    <row r="4025" spans="1:13" x14ac:dyDescent="0.2">
      <c r="A4025">
        <v>766216</v>
      </c>
      <c r="B4025" s="5">
        <v>45357</v>
      </c>
      <c r="C4025">
        <v>97342</v>
      </c>
      <c r="D4025" t="str">
        <f>PROPER(Transactions!D4025)</f>
        <v>Clothing</v>
      </c>
      <c r="E4025" t="s">
        <v>98</v>
      </c>
      <c r="F4025" t="s">
        <v>99</v>
      </c>
      <c r="G4025">
        <v>1</v>
      </c>
      <c r="H4025">
        <v>27.99</v>
      </c>
      <c r="I4025" s="7">
        <f>IF(Transactions!I4025="",0,Transactions!I4025)</f>
        <v>0</v>
      </c>
      <c r="J4025" s="9">
        <f t="shared" si="62"/>
        <v>27.99</v>
      </c>
      <c r="K4025" t="s">
        <v>95</v>
      </c>
      <c r="L4025" t="s">
        <v>37</v>
      </c>
      <c r="M4025" t="str">
        <f>REPLACE(Transactions!M4025,1,4,"")</f>
        <v>5</v>
      </c>
    </row>
    <row r="4026" spans="1:13" x14ac:dyDescent="0.2">
      <c r="A4026">
        <v>766315</v>
      </c>
      <c r="B4026" s="5">
        <v>44914</v>
      </c>
      <c r="C4026">
        <v>14618</v>
      </c>
      <c r="D4026" t="str">
        <f>PROPER(Transactions!D4026)</f>
        <v>Furniture</v>
      </c>
      <c r="E4026" t="s">
        <v>113</v>
      </c>
      <c r="F4026" t="s">
        <v>114</v>
      </c>
      <c r="G4026">
        <v>1</v>
      </c>
      <c r="H4026">
        <v>107.99</v>
      </c>
      <c r="I4026" s="7">
        <f>IF(Transactions!I4026="",0,Transactions!I4026)</f>
        <v>0.1</v>
      </c>
      <c r="J4026" s="9">
        <f t="shared" si="62"/>
        <v>97.191000000000003</v>
      </c>
      <c r="K4026" t="s">
        <v>53</v>
      </c>
      <c r="L4026" t="s">
        <v>17</v>
      </c>
      <c r="M4026" t="str">
        <f>REPLACE(Transactions!M4026,1,4,"")</f>
        <v>15</v>
      </c>
    </row>
    <row r="4027" spans="1:13" x14ac:dyDescent="0.2">
      <c r="A4027">
        <v>766738</v>
      </c>
      <c r="B4027" s="5">
        <v>44924</v>
      </c>
      <c r="C4027">
        <v>79964</v>
      </c>
      <c r="D4027" t="str">
        <f>PROPER(Transactions!D4027)</f>
        <v>Automotive</v>
      </c>
      <c r="E4027" t="s">
        <v>111</v>
      </c>
      <c r="F4027" t="s">
        <v>112</v>
      </c>
      <c r="G4027">
        <v>3</v>
      </c>
      <c r="H4027">
        <v>11.24</v>
      </c>
      <c r="I4027" s="7">
        <f>IF(Transactions!I4027="",0,Transactions!I4027)</f>
        <v>0.25</v>
      </c>
      <c r="J4027" s="9">
        <f t="shared" si="62"/>
        <v>25.29</v>
      </c>
      <c r="K4027" t="s">
        <v>36</v>
      </c>
      <c r="L4027" t="s">
        <v>17</v>
      </c>
      <c r="M4027" t="str">
        <f>REPLACE(Transactions!M4027,1,4,"")</f>
        <v>16</v>
      </c>
    </row>
    <row r="4028" spans="1:13" x14ac:dyDescent="0.2">
      <c r="A4028">
        <v>766764</v>
      </c>
      <c r="B4028" s="5">
        <v>44668</v>
      </c>
      <c r="C4028">
        <v>88675</v>
      </c>
      <c r="D4028" t="str">
        <f>PROPER(Transactions!D4028)</f>
        <v>Automotive</v>
      </c>
      <c r="E4028" t="s">
        <v>111</v>
      </c>
      <c r="F4028" t="s">
        <v>112</v>
      </c>
      <c r="G4028">
        <v>2</v>
      </c>
      <c r="H4028">
        <v>14.99</v>
      </c>
      <c r="I4028" s="7">
        <f>IF(Transactions!I4028="",0,Transactions!I4028)</f>
        <v>0</v>
      </c>
      <c r="J4028" s="9">
        <f t="shared" si="62"/>
        <v>29.98</v>
      </c>
      <c r="K4028" t="s">
        <v>16</v>
      </c>
      <c r="L4028" t="s">
        <v>17</v>
      </c>
      <c r="M4028" t="str">
        <f>REPLACE(Transactions!M4028,1,4,"")</f>
        <v>17</v>
      </c>
    </row>
    <row r="4029" spans="1:13" x14ac:dyDescent="0.2">
      <c r="A4029">
        <v>766868</v>
      </c>
      <c r="B4029" s="5">
        <v>45163</v>
      </c>
      <c r="C4029">
        <v>32578</v>
      </c>
      <c r="D4029" t="str">
        <f>PROPER(Transactions!D4029)</f>
        <v>Clothing</v>
      </c>
      <c r="E4029" t="s">
        <v>181</v>
      </c>
      <c r="F4029" t="s">
        <v>182</v>
      </c>
      <c r="G4029">
        <v>3</v>
      </c>
      <c r="H4029">
        <v>14.99</v>
      </c>
      <c r="I4029" s="7">
        <f>IF(Transactions!I4029="",0,Transactions!I4029)</f>
        <v>0</v>
      </c>
      <c r="J4029" s="9">
        <f t="shared" si="62"/>
        <v>44.97</v>
      </c>
      <c r="K4029" t="s">
        <v>22</v>
      </c>
      <c r="L4029" t="s">
        <v>37</v>
      </c>
      <c r="M4029" t="str">
        <f>REPLACE(Transactions!M4029,1,4,"")</f>
        <v>14</v>
      </c>
    </row>
    <row r="4030" spans="1:13" x14ac:dyDescent="0.2">
      <c r="A4030">
        <v>767081</v>
      </c>
      <c r="B4030" s="5">
        <v>44862</v>
      </c>
      <c r="C4030">
        <v>55169</v>
      </c>
      <c r="D4030" t="str">
        <f>PROPER(Transactions!D4030)</f>
        <v>Furniture</v>
      </c>
      <c r="E4030" t="s">
        <v>60</v>
      </c>
      <c r="F4030" t="s">
        <v>61</v>
      </c>
      <c r="G4030">
        <v>1</v>
      </c>
      <c r="H4030">
        <v>54.99</v>
      </c>
      <c r="I4030" s="7">
        <f>IF(Transactions!I4030="",0,Transactions!I4030)</f>
        <v>0</v>
      </c>
      <c r="J4030" s="9">
        <f t="shared" si="62"/>
        <v>54.99</v>
      </c>
      <c r="K4030" t="s">
        <v>16</v>
      </c>
      <c r="L4030" t="s">
        <v>23</v>
      </c>
      <c r="M4030" t="str">
        <f>REPLACE(Transactions!M4030,1,4,"")</f>
        <v>6</v>
      </c>
    </row>
    <row r="4031" spans="1:13" x14ac:dyDescent="0.2">
      <c r="A4031">
        <v>767583</v>
      </c>
      <c r="B4031" s="5">
        <v>45321</v>
      </c>
      <c r="C4031">
        <v>16000</v>
      </c>
      <c r="D4031" t="str">
        <f>PROPER(Transactions!D4031)</f>
        <v>Sports</v>
      </c>
      <c r="E4031" t="s">
        <v>168</v>
      </c>
      <c r="F4031" t="s">
        <v>169</v>
      </c>
      <c r="G4031">
        <v>1</v>
      </c>
      <c r="H4031">
        <v>7.64</v>
      </c>
      <c r="I4031" s="7">
        <f>IF(Transactions!I4031="",0,Transactions!I4031)</f>
        <v>0.15</v>
      </c>
      <c r="J4031" s="9">
        <f t="shared" si="62"/>
        <v>6.4939999999999998</v>
      </c>
      <c r="K4031" t="s">
        <v>22</v>
      </c>
      <c r="L4031" t="s">
        <v>17</v>
      </c>
      <c r="M4031" t="str">
        <f>REPLACE(Transactions!M4031,1,4,"")</f>
        <v>10</v>
      </c>
    </row>
    <row r="4032" spans="1:13" x14ac:dyDescent="0.2">
      <c r="A4032">
        <v>767594</v>
      </c>
      <c r="B4032" s="5">
        <v>45097</v>
      </c>
      <c r="C4032">
        <v>79472</v>
      </c>
      <c r="D4032" t="str">
        <f>PROPER(Transactions!D4032)</f>
        <v>Electronics</v>
      </c>
      <c r="E4032" t="s">
        <v>77</v>
      </c>
      <c r="F4032" t="s">
        <v>78</v>
      </c>
      <c r="G4032">
        <v>2</v>
      </c>
      <c r="H4032">
        <v>474.99</v>
      </c>
      <c r="I4032" s="7">
        <f>IF(Transactions!I4032="",0,Transactions!I4032)</f>
        <v>0</v>
      </c>
      <c r="J4032" s="9">
        <f t="shared" si="62"/>
        <v>949.98</v>
      </c>
      <c r="K4032" t="s">
        <v>36</v>
      </c>
      <c r="L4032" t="s">
        <v>17</v>
      </c>
      <c r="M4032" t="str">
        <f>REPLACE(Transactions!M4032,1,4,"")</f>
        <v>16</v>
      </c>
    </row>
    <row r="4033" spans="1:13" x14ac:dyDescent="0.2">
      <c r="A4033">
        <v>767765</v>
      </c>
      <c r="B4033" s="5">
        <v>45618</v>
      </c>
      <c r="C4033">
        <v>89425</v>
      </c>
      <c r="D4033" t="str">
        <f>PROPER(Transactions!D4033)</f>
        <v>Furniture</v>
      </c>
      <c r="E4033" t="s">
        <v>113</v>
      </c>
      <c r="F4033" t="s">
        <v>114</v>
      </c>
      <c r="G4033">
        <v>5</v>
      </c>
      <c r="H4033">
        <v>101.99</v>
      </c>
      <c r="I4033" s="7">
        <f>IF(Transactions!I4033="",0,Transactions!I4033)</f>
        <v>0.15</v>
      </c>
      <c r="J4033" s="9">
        <f t="shared" si="62"/>
        <v>433.45749999999998</v>
      </c>
      <c r="K4033" t="s">
        <v>16</v>
      </c>
      <c r="L4033" t="s">
        <v>17</v>
      </c>
      <c r="M4033" t="str">
        <f>REPLACE(Transactions!M4033,1,4,"")</f>
        <v>2</v>
      </c>
    </row>
    <row r="4034" spans="1:13" x14ac:dyDescent="0.2">
      <c r="A4034">
        <v>768031</v>
      </c>
      <c r="B4034" s="5">
        <v>45617</v>
      </c>
      <c r="C4034">
        <v>29767</v>
      </c>
      <c r="D4034" t="str">
        <f>PROPER(Transactions!D4034)</f>
        <v>Furniture</v>
      </c>
      <c r="E4034" t="s">
        <v>60</v>
      </c>
      <c r="F4034" t="s">
        <v>61</v>
      </c>
      <c r="G4034">
        <v>2</v>
      </c>
      <c r="H4034">
        <v>52.24</v>
      </c>
      <c r="I4034" s="7">
        <f>IF(Transactions!I4034="",0,Transactions!I4034)</f>
        <v>0.05</v>
      </c>
      <c r="J4034" s="9">
        <f t="shared" si="62"/>
        <v>99.256</v>
      </c>
      <c r="K4034" t="s">
        <v>16</v>
      </c>
      <c r="L4034" t="s">
        <v>23</v>
      </c>
      <c r="M4034" t="str">
        <f>REPLACE(Transactions!M4034,1,4,"")</f>
        <v>4</v>
      </c>
    </row>
    <row r="4035" spans="1:13" x14ac:dyDescent="0.2">
      <c r="A4035">
        <v>768060</v>
      </c>
      <c r="B4035" s="5">
        <v>44651</v>
      </c>
      <c r="C4035">
        <v>82414</v>
      </c>
      <c r="D4035" t="str">
        <f>PROPER(Transactions!D4035)</f>
        <v>Beauty</v>
      </c>
      <c r="E4035" t="s">
        <v>49</v>
      </c>
      <c r="F4035" t="s">
        <v>50</v>
      </c>
      <c r="G4035">
        <v>1</v>
      </c>
      <c r="H4035">
        <v>8.99</v>
      </c>
      <c r="I4035" s="7">
        <f>IF(Transactions!I4035="",0,Transactions!I4035)</f>
        <v>0</v>
      </c>
      <c r="J4035" s="9">
        <f t="shared" ref="J4035:J4098" si="63">(H4035*G4035)*(1-I4035)</f>
        <v>8.99</v>
      </c>
      <c r="K4035" t="s">
        <v>16</v>
      </c>
      <c r="L4035" t="s">
        <v>17</v>
      </c>
      <c r="M4035" t="str">
        <f>REPLACE(Transactions!M4035,1,4,"")</f>
        <v>16</v>
      </c>
    </row>
    <row r="4036" spans="1:13" x14ac:dyDescent="0.2">
      <c r="A4036">
        <v>768512</v>
      </c>
      <c r="B4036" s="5">
        <v>45007</v>
      </c>
      <c r="C4036">
        <v>20362</v>
      </c>
      <c r="D4036" t="str">
        <f>PROPER(Transactions!D4036)</f>
        <v>Grocery</v>
      </c>
      <c r="E4036" t="s">
        <v>190</v>
      </c>
      <c r="F4036" t="s">
        <v>191</v>
      </c>
      <c r="G4036">
        <v>3</v>
      </c>
      <c r="H4036">
        <v>4.08</v>
      </c>
      <c r="I4036" s="7">
        <f>IF(Transactions!I4036="",0,Transactions!I4036)</f>
        <v>0.05</v>
      </c>
      <c r="J4036" s="9">
        <f t="shared" si="63"/>
        <v>11.628</v>
      </c>
      <c r="K4036" t="s">
        <v>36</v>
      </c>
      <c r="L4036" t="s">
        <v>17</v>
      </c>
      <c r="M4036" t="str">
        <f>REPLACE(Transactions!M4036,1,4,"")</f>
        <v>17</v>
      </c>
    </row>
    <row r="4037" spans="1:13" x14ac:dyDescent="0.2">
      <c r="A4037">
        <v>768551</v>
      </c>
      <c r="B4037" s="5">
        <v>44846</v>
      </c>
      <c r="C4037">
        <v>32336</v>
      </c>
      <c r="D4037" t="str">
        <f>PROPER(Transactions!D4037)</f>
        <v>Electronics</v>
      </c>
      <c r="E4037" t="s">
        <v>55</v>
      </c>
      <c r="F4037" t="s">
        <v>56</v>
      </c>
      <c r="G4037">
        <v>4</v>
      </c>
      <c r="H4037">
        <v>263.99</v>
      </c>
      <c r="I4037" s="7">
        <f>IF(Transactions!I4037="",0,Transactions!I4037)</f>
        <v>0.2</v>
      </c>
      <c r="J4037" s="9">
        <f t="shared" si="63"/>
        <v>844.76800000000003</v>
      </c>
      <c r="K4037" t="s">
        <v>22</v>
      </c>
      <c r="L4037" t="s">
        <v>23</v>
      </c>
      <c r="M4037" t="str">
        <f>REPLACE(Transactions!M4037,1,4,"")</f>
        <v>10</v>
      </c>
    </row>
    <row r="4038" spans="1:13" x14ac:dyDescent="0.2">
      <c r="A4038">
        <v>768634</v>
      </c>
      <c r="B4038" s="5">
        <v>45326</v>
      </c>
      <c r="C4038">
        <v>70859</v>
      </c>
      <c r="D4038" t="str">
        <f>PROPER(Transactions!D4038)</f>
        <v>Furniture</v>
      </c>
      <c r="E4038" t="s">
        <v>60</v>
      </c>
      <c r="F4038" t="s">
        <v>61</v>
      </c>
      <c r="G4038">
        <v>1</v>
      </c>
      <c r="H4038">
        <v>54.99</v>
      </c>
      <c r="I4038" s="7">
        <f>IF(Transactions!I4038="",0,Transactions!I4038)</f>
        <v>0</v>
      </c>
      <c r="J4038" s="9">
        <f t="shared" si="63"/>
        <v>54.99</v>
      </c>
      <c r="K4038" t="s">
        <v>22</v>
      </c>
      <c r="L4038" t="s">
        <v>17</v>
      </c>
      <c r="M4038" t="str">
        <f>REPLACE(Transactions!M4038,1,4,"")</f>
        <v>15</v>
      </c>
    </row>
    <row r="4039" spans="1:13" x14ac:dyDescent="0.2">
      <c r="A4039">
        <v>768700</v>
      </c>
      <c r="B4039" s="5">
        <v>45154</v>
      </c>
      <c r="C4039">
        <v>59616</v>
      </c>
      <c r="D4039" t="str">
        <f>PROPER(Transactions!D4039)</f>
        <v>Pharmacy</v>
      </c>
      <c r="E4039" t="s">
        <v>20</v>
      </c>
      <c r="F4039" t="s">
        <v>21</v>
      </c>
      <c r="G4039">
        <v>4</v>
      </c>
      <c r="H4039">
        <v>8.99</v>
      </c>
      <c r="I4039" s="7">
        <f>IF(Transactions!I4039="",0,Transactions!I4039)</f>
        <v>0.1</v>
      </c>
      <c r="J4039" s="9">
        <f t="shared" si="63"/>
        <v>32.364000000000004</v>
      </c>
      <c r="K4039" t="s">
        <v>16</v>
      </c>
      <c r="L4039" t="s">
        <v>17</v>
      </c>
      <c r="M4039" t="str">
        <f>REPLACE(Transactions!M4039,1,4,"")</f>
        <v>12</v>
      </c>
    </row>
    <row r="4040" spans="1:13" x14ac:dyDescent="0.2">
      <c r="A4040">
        <v>770095</v>
      </c>
      <c r="B4040" s="5">
        <v>45493</v>
      </c>
      <c r="C4040">
        <v>39595</v>
      </c>
      <c r="D4040" t="str">
        <f>PROPER(Transactions!D4040)</f>
        <v>Home &amp; Garden</v>
      </c>
      <c r="E4040" t="s">
        <v>86</v>
      </c>
      <c r="F4040" t="s">
        <v>87</v>
      </c>
      <c r="G4040">
        <v>4</v>
      </c>
      <c r="H4040">
        <v>12.34</v>
      </c>
      <c r="I4040" s="7">
        <f>IF(Transactions!I4040="",0,Transactions!I4040)</f>
        <v>0.05</v>
      </c>
      <c r="J4040" s="9">
        <f t="shared" si="63"/>
        <v>46.891999999999996</v>
      </c>
      <c r="K4040" t="s">
        <v>16</v>
      </c>
      <c r="L4040" t="s">
        <v>37</v>
      </c>
      <c r="M4040" t="str">
        <f>REPLACE(Transactions!M4040,1,4,"")</f>
        <v>15</v>
      </c>
    </row>
    <row r="4041" spans="1:13" x14ac:dyDescent="0.2">
      <c r="A4041">
        <v>770225</v>
      </c>
      <c r="B4041" s="5">
        <v>45477</v>
      </c>
      <c r="C4041">
        <v>67233</v>
      </c>
      <c r="D4041" t="str">
        <f>PROPER(Transactions!D4041)</f>
        <v>Automotive</v>
      </c>
      <c r="E4041" t="s">
        <v>111</v>
      </c>
      <c r="F4041" t="s">
        <v>112</v>
      </c>
      <c r="G4041">
        <v>5</v>
      </c>
      <c r="H4041">
        <v>14.99</v>
      </c>
      <c r="I4041" s="7">
        <f>IF(Transactions!I4041="",0,Transactions!I4041)</f>
        <v>0</v>
      </c>
      <c r="J4041" s="9">
        <f t="shared" si="63"/>
        <v>74.95</v>
      </c>
      <c r="K4041" t="s">
        <v>16</v>
      </c>
      <c r="L4041" t="s">
        <v>23</v>
      </c>
      <c r="M4041" t="str">
        <f>REPLACE(Transactions!M4041,1,4,"")</f>
        <v>11</v>
      </c>
    </row>
    <row r="4042" spans="1:13" x14ac:dyDescent="0.2">
      <c r="A4042">
        <v>770413</v>
      </c>
      <c r="B4042" s="5">
        <v>45562</v>
      </c>
      <c r="C4042">
        <v>35702</v>
      </c>
      <c r="D4042" t="str">
        <f>PROPER(Transactions!D4042)</f>
        <v>Pharmacy</v>
      </c>
      <c r="E4042" t="s">
        <v>20</v>
      </c>
      <c r="F4042" t="s">
        <v>21</v>
      </c>
      <c r="G4042">
        <v>2</v>
      </c>
      <c r="H4042">
        <v>7.99</v>
      </c>
      <c r="I4042" s="7">
        <f>IF(Transactions!I4042="",0,Transactions!I4042)</f>
        <v>0.2</v>
      </c>
      <c r="J4042" s="9">
        <f t="shared" si="63"/>
        <v>12.784000000000001</v>
      </c>
      <c r="K4042" t="s">
        <v>36</v>
      </c>
      <c r="L4042" t="s">
        <v>17</v>
      </c>
      <c r="M4042" t="str">
        <f>REPLACE(Transactions!M4042,1,4,"")</f>
        <v>1</v>
      </c>
    </row>
    <row r="4043" spans="1:13" x14ac:dyDescent="0.2">
      <c r="A4043">
        <v>770593</v>
      </c>
      <c r="B4043" s="5">
        <v>45446</v>
      </c>
      <c r="C4043">
        <v>17917</v>
      </c>
      <c r="D4043" t="str">
        <f>PROPER(Transactions!D4043)</f>
        <v>Grocery</v>
      </c>
      <c r="E4043" t="s">
        <v>107</v>
      </c>
      <c r="F4043" t="s">
        <v>108</v>
      </c>
      <c r="G4043">
        <v>1</v>
      </c>
      <c r="H4043">
        <v>2.79</v>
      </c>
      <c r="I4043" s="7">
        <f>IF(Transactions!I4043="",0,Transactions!I4043)</f>
        <v>0.2</v>
      </c>
      <c r="J4043" s="9">
        <f t="shared" si="63"/>
        <v>2.2320000000000002</v>
      </c>
      <c r="K4043" t="s">
        <v>36</v>
      </c>
      <c r="L4043" t="s">
        <v>37</v>
      </c>
      <c r="M4043" t="str">
        <f>REPLACE(Transactions!M4043,1,4,"")</f>
        <v>2</v>
      </c>
    </row>
    <row r="4044" spans="1:13" x14ac:dyDescent="0.2">
      <c r="A4044">
        <v>770613</v>
      </c>
      <c r="B4044" s="5">
        <v>44916</v>
      </c>
      <c r="C4044">
        <v>19991</v>
      </c>
      <c r="D4044" t="str">
        <f>PROPER(Transactions!D4044)</f>
        <v>Pharmacy</v>
      </c>
      <c r="E4044" t="s">
        <v>58</v>
      </c>
      <c r="F4044" t="s">
        <v>59</v>
      </c>
      <c r="G4044">
        <v>3</v>
      </c>
      <c r="H4044">
        <v>3.79</v>
      </c>
      <c r="I4044" s="7">
        <f>IF(Transactions!I4044="",0,Transactions!I4044)</f>
        <v>0.05</v>
      </c>
      <c r="J4044" s="9">
        <f t="shared" si="63"/>
        <v>10.801500000000001</v>
      </c>
      <c r="K4044" t="s">
        <v>36</v>
      </c>
      <c r="L4044" t="s">
        <v>37</v>
      </c>
      <c r="M4044" t="str">
        <f>REPLACE(Transactions!M4044,1,4,"")</f>
        <v>17</v>
      </c>
    </row>
    <row r="4045" spans="1:13" x14ac:dyDescent="0.2">
      <c r="A4045">
        <v>771090</v>
      </c>
      <c r="B4045" s="5">
        <v>44974</v>
      </c>
      <c r="C4045">
        <v>29726</v>
      </c>
      <c r="D4045" t="str">
        <f>PROPER(Transactions!D4045)</f>
        <v>Pharmacy</v>
      </c>
      <c r="E4045" t="s">
        <v>115</v>
      </c>
      <c r="F4045" t="s">
        <v>116</v>
      </c>
      <c r="G4045">
        <v>2</v>
      </c>
      <c r="H4045">
        <v>12.34</v>
      </c>
      <c r="I4045" s="7">
        <f>IF(Transactions!I4045="",0,Transactions!I4045)</f>
        <v>0.05</v>
      </c>
      <c r="J4045" s="9">
        <f t="shared" si="63"/>
        <v>23.445999999999998</v>
      </c>
      <c r="K4045" t="s">
        <v>53</v>
      </c>
      <c r="L4045" t="s">
        <v>23</v>
      </c>
      <c r="M4045" t="str">
        <f>REPLACE(Transactions!M4045,1,4,"")</f>
        <v>14</v>
      </c>
    </row>
    <row r="4046" spans="1:13" x14ac:dyDescent="0.2">
      <c r="A4046">
        <v>771096</v>
      </c>
      <c r="B4046" s="5">
        <v>45263</v>
      </c>
      <c r="C4046">
        <v>50682</v>
      </c>
      <c r="D4046" t="str">
        <f>PROPER(Transactions!D4046)</f>
        <v>Clothing</v>
      </c>
      <c r="E4046" t="s">
        <v>181</v>
      </c>
      <c r="F4046" t="s">
        <v>182</v>
      </c>
      <c r="G4046">
        <v>5</v>
      </c>
      <c r="H4046">
        <v>11.99</v>
      </c>
      <c r="I4046" s="7">
        <f>IF(Transactions!I4046="",0,Transactions!I4046)</f>
        <v>0.2</v>
      </c>
      <c r="J4046" s="9">
        <f t="shared" si="63"/>
        <v>47.960000000000008</v>
      </c>
      <c r="K4046" t="s">
        <v>22</v>
      </c>
      <c r="L4046" t="s">
        <v>17</v>
      </c>
      <c r="M4046" t="str">
        <f>REPLACE(Transactions!M4046,1,4,"")</f>
        <v>20</v>
      </c>
    </row>
    <row r="4047" spans="1:13" x14ac:dyDescent="0.2">
      <c r="A4047">
        <v>771101</v>
      </c>
      <c r="B4047" s="5">
        <v>45323</v>
      </c>
      <c r="C4047">
        <v>73153</v>
      </c>
      <c r="D4047" t="str">
        <f>PROPER(Transactions!D4047)</f>
        <v>Automotive</v>
      </c>
      <c r="E4047" t="s">
        <v>111</v>
      </c>
      <c r="F4047" t="s">
        <v>112</v>
      </c>
      <c r="G4047">
        <v>3</v>
      </c>
      <c r="H4047">
        <v>14.99</v>
      </c>
      <c r="I4047" s="7">
        <f>IF(Transactions!I4047="",0,Transactions!I4047)</f>
        <v>0</v>
      </c>
      <c r="J4047" s="9">
        <f t="shared" si="63"/>
        <v>44.97</v>
      </c>
      <c r="K4047" t="s">
        <v>36</v>
      </c>
      <c r="L4047" t="s">
        <v>23</v>
      </c>
      <c r="M4047" t="str">
        <f>REPLACE(Transactions!M4047,1,4,"")</f>
        <v>5</v>
      </c>
    </row>
    <row r="4048" spans="1:13" x14ac:dyDescent="0.2">
      <c r="A4048">
        <v>771380</v>
      </c>
      <c r="B4048" s="5">
        <v>45207</v>
      </c>
      <c r="C4048">
        <v>14835</v>
      </c>
      <c r="D4048" t="str">
        <f>PROPER(Transactions!D4048)</f>
        <v>Clothing</v>
      </c>
      <c r="E4048" t="s">
        <v>193</v>
      </c>
      <c r="F4048" t="s">
        <v>194</v>
      </c>
      <c r="G4048">
        <v>5</v>
      </c>
      <c r="H4048">
        <v>64.989999999999995</v>
      </c>
      <c r="I4048" s="7">
        <f>IF(Transactions!I4048="",0,Transactions!I4048)</f>
        <v>0</v>
      </c>
      <c r="J4048" s="9">
        <f t="shared" si="63"/>
        <v>324.95</v>
      </c>
      <c r="K4048" t="s">
        <v>32</v>
      </c>
      <c r="L4048" t="s">
        <v>17</v>
      </c>
      <c r="M4048" t="str">
        <f>REPLACE(Transactions!M4048,1,4,"")</f>
        <v>10</v>
      </c>
    </row>
    <row r="4049" spans="1:13" x14ac:dyDescent="0.2">
      <c r="A4049">
        <v>771384</v>
      </c>
      <c r="B4049" s="5">
        <v>45147</v>
      </c>
      <c r="C4049">
        <v>80742</v>
      </c>
      <c r="D4049" t="str">
        <f>PROPER(Transactions!D4049)</f>
        <v>Home &amp; Garden</v>
      </c>
      <c r="E4049" t="s">
        <v>86</v>
      </c>
      <c r="F4049" t="s">
        <v>87</v>
      </c>
      <c r="G4049">
        <v>5</v>
      </c>
      <c r="H4049">
        <v>12.99</v>
      </c>
      <c r="I4049" s="7">
        <f>IF(Transactions!I4049="",0,Transactions!I4049)</f>
        <v>0</v>
      </c>
      <c r="J4049" s="9">
        <f t="shared" si="63"/>
        <v>64.95</v>
      </c>
      <c r="K4049" t="s">
        <v>16</v>
      </c>
      <c r="L4049" t="s">
        <v>23</v>
      </c>
      <c r="M4049" t="str">
        <f>REPLACE(Transactions!M4049,1,4,"")</f>
        <v>11</v>
      </c>
    </row>
    <row r="4050" spans="1:13" x14ac:dyDescent="0.2">
      <c r="A4050">
        <v>771555</v>
      </c>
      <c r="B4050" s="5">
        <v>45547</v>
      </c>
      <c r="C4050">
        <v>73729</v>
      </c>
      <c r="D4050" t="str">
        <f>PROPER(Transactions!D4050)</f>
        <v>Pharmacy</v>
      </c>
      <c r="E4050" t="s">
        <v>41</v>
      </c>
      <c r="F4050" t="s">
        <v>42</v>
      </c>
      <c r="G4050">
        <v>5</v>
      </c>
      <c r="H4050">
        <v>5.09</v>
      </c>
      <c r="I4050" s="7">
        <f>IF(Transactions!I4050="",0,Transactions!I4050)</f>
        <v>0.15</v>
      </c>
      <c r="J4050" s="9">
        <f t="shared" si="63"/>
        <v>21.6325</v>
      </c>
      <c r="K4050" t="s">
        <v>36</v>
      </c>
      <c r="L4050" t="s">
        <v>17</v>
      </c>
      <c r="M4050" t="str">
        <f>REPLACE(Transactions!M4050,1,4,"")</f>
        <v>7</v>
      </c>
    </row>
    <row r="4051" spans="1:13" x14ac:dyDescent="0.2">
      <c r="A4051">
        <v>771670</v>
      </c>
      <c r="B4051" s="5">
        <v>45266</v>
      </c>
      <c r="C4051">
        <v>97537</v>
      </c>
      <c r="D4051" t="str">
        <f>PROPER(Transactions!D4051)</f>
        <v>Automotive</v>
      </c>
      <c r="E4051" t="s">
        <v>68</v>
      </c>
      <c r="F4051" t="s">
        <v>69</v>
      </c>
      <c r="G4051">
        <v>5</v>
      </c>
      <c r="H4051">
        <v>23.74</v>
      </c>
      <c r="I4051" s="7">
        <f>IF(Transactions!I4051="",0,Transactions!I4051)</f>
        <v>0.05</v>
      </c>
      <c r="J4051" s="9">
        <f t="shared" si="63"/>
        <v>112.76499999999999</v>
      </c>
      <c r="K4051" t="s">
        <v>16</v>
      </c>
      <c r="L4051" t="s">
        <v>37</v>
      </c>
      <c r="M4051" t="str">
        <f>REPLACE(Transactions!M4051,1,4,"")</f>
        <v>20</v>
      </c>
    </row>
    <row r="4052" spans="1:13" x14ac:dyDescent="0.2">
      <c r="A4052">
        <v>771740</v>
      </c>
      <c r="B4052" s="5">
        <v>45612</v>
      </c>
      <c r="C4052">
        <v>30884</v>
      </c>
      <c r="D4052" t="str">
        <f>PROPER(Transactions!D4052)</f>
        <v>Electronics</v>
      </c>
      <c r="E4052" t="s">
        <v>34</v>
      </c>
      <c r="F4052" t="s">
        <v>35</v>
      </c>
      <c r="G4052">
        <v>1</v>
      </c>
      <c r="H4052">
        <v>24.49</v>
      </c>
      <c r="I4052" s="7">
        <f>IF(Transactions!I4052="",0,Transactions!I4052)</f>
        <v>0.3</v>
      </c>
      <c r="J4052" s="9">
        <f t="shared" si="63"/>
        <v>17.142999999999997</v>
      </c>
      <c r="K4052" t="s">
        <v>16</v>
      </c>
      <c r="L4052" t="s">
        <v>23</v>
      </c>
      <c r="M4052" t="str">
        <f>REPLACE(Transactions!M4052,1,4,"")</f>
        <v>19</v>
      </c>
    </row>
    <row r="4053" spans="1:13" x14ac:dyDescent="0.2">
      <c r="A4053">
        <v>771754</v>
      </c>
      <c r="B4053" s="5">
        <v>44830</v>
      </c>
      <c r="C4053">
        <v>79059</v>
      </c>
      <c r="D4053" t="str">
        <f>PROPER(Transactions!D4053)</f>
        <v>Beauty</v>
      </c>
      <c r="E4053" t="s">
        <v>139</v>
      </c>
      <c r="F4053" t="s">
        <v>140</v>
      </c>
      <c r="G4053">
        <v>1</v>
      </c>
      <c r="H4053">
        <v>7.59</v>
      </c>
      <c r="I4053" s="7">
        <f>IF(Transactions!I4053="",0,Transactions!I4053)</f>
        <v>0.05</v>
      </c>
      <c r="J4053" s="9">
        <f t="shared" si="63"/>
        <v>7.2104999999999997</v>
      </c>
      <c r="K4053" t="s">
        <v>36</v>
      </c>
      <c r="L4053" t="s">
        <v>17</v>
      </c>
      <c r="M4053" t="str">
        <f>REPLACE(Transactions!M4053,1,4,"")</f>
        <v>5</v>
      </c>
    </row>
    <row r="4054" spans="1:13" x14ac:dyDescent="0.2">
      <c r="A4054">
        <v>771777</v>
      </c>
      <c r="B4054" s="5">
        <v>45291</v>
      </c>
      <c r="C4054">
        <v>59537</v>
      </c>
      <c r="D4054" t="str">
        <f>PROPER(Transactions!D4054)</f>
        <v>Pharmacy</v>
      </c>
      <c r="E4054" t="s">
        <v>115</v>
      </c>
      <c r="F4054" t="s">
        <v>116</v>
      </c>
      <c r="G4054">
        <v>1</v>
      </c>
      <c r="H4054">
        <v>9.74</v>
      </c>
      <c r="I4054" s="7">
        <f>IF(Transactions!I4054="",0,Transactions!I4054)</f>
        <v>0.25</v>
      </c>
      <c r="J4054" s="9">
        <f t="shared" si="63"/>
        <v>7.3049999999999997</v>
      </c>
      <c r="K4054" t="s">
        <v>36</v>
      </c>
      <c r="L4054" t="s">
        <v>17</v>
      </c>
      <c r="M4054" t="str">
        <f>REPLACE(Transactions!M4054,1,4,"")</f>
        <v>9</v>
      </c>
    </row>
    <row r="4055" spans="1:13" x14ac:dyDescent="0.2">
      <c r="A4055">
        <v>772073</v>
      </c>
      <c r="B4055" s="5">
        <v>45161</v>
      </c>
      <c r="C4055">
        <v>35304</v>
      </c>
      <c r="D4055" t="str">
        <f>PROPER(Transactions!D4055)</f>
        <v>Beauty</v>
      </c>
      <c r="E4055" t="s">
        <v>139</v>
      </c>
      <c r="F4055" t="s">
        <v>140</v>
      </c>
      <c r="G4055">
        <v>4</v>
      </c>
      <c r="H4055">
        <v>6.79</v>
      </c>
      <c r="I4055" s="7">
        <f>IF(Transactions!I4055="",0,Transactions!I4055)</f>
        <v>0.15</v>
      </c>
      <c r="J4055" s="9">
        <f t="shared" si="63"/>
        <v>23.085999999999999</v>
      </c>
      <c r="K4055" t="s">
        <v>16</v>
      </c>
      <c r="L4055" t="s">
        <v>37</v>
      </c>
      <c r="M4055" t="str">
        <f>REPLACE(Transactions!M4055,1,4,"")</f>
        <v>1</v>
      </c>
    </row>
    <row r="4056" spans="1:13" x14ac:dyDescent="0.2">
      <c r="A4056">
        <v>772327</v>
      </c>
      <c r="B4056" s="5">
        <v>44802</v>
      </c>
      <c r="C4056">
        <v>24139</v>
      </c>
      <c r="D4056" t="str">
        <f>PROPER(Transactions!D4056)</f>
        <v>Home &amp; Garden</v>
      </c>
      <c r="E4056" t="s">
        <v>129</v>
      </c>
      <c r="F4056" t="s">
        <v>130</v>
      </c>
      <c r="G4056">
        <v>1</v>
      </c>
      <c r="H4056">
        <v>7.64</v>
      </c>
      <c r="I4056" s="7">
        <f>IF(Transactions!I4056="",0,Transactions!I4056)</f>
        <v>0.15</v>
      </c>
      <c r="J4056" s="9">
        <f t="shared" si="63"/>
        <v>6.4939999999999998</v>
      </c>
      <c r="K4056" t="s">
        <v>16</v>
      </c>
      <c r="L4056" t="s">
        <v>37</v>
      </c>
      <c r="M4056" t="str">
        <f>REPLACE(Transactions!M4056,1,4,"")</f>
        <v>3</v>
      </c>
    </row>
    <row r="4057" spans="1:13" x14ac:dyDescent="0.2">
      <c r="A4057">
        <v>772580</v>
      </c>
      <c r="B4057" s="5">
        <v>45359</v>
      </c>
      <c r="C4057">
        <v>15965</v>
      </c>
      <c r="D4057" t="str">
        <f>PROPER(Transactions!D4057)</f>
        <v>Beauty</v>
      </c>
      <c r="E4057" t="s">
        <v>49</v>
      </c>
      <c r="F4057" t="s">
        <v>50</v>
      </c>
      <c r="G4057">
        <v>2</v>
      </c>
      <c r="H4057">
        <v>8.99</v>
      </c>
      <c r="I4057" s="7">
        <f>IF(Transactions!I4057="",0,Transactions!I4057)</f>
        <v>0</v>
      </c>
      <c r="J4057" s="9">
        <f t="shared" si="63"/>
        <v>17.98</v>
      </c>
      <c r="K4057" t="s">
        <v>22</v>
      </c>
      <c r="L4057" t="s">
        <v>17</v>
      </c>
      <c r="M4057" t="str">
        <f>REPLACE(Transactions!M4057,1,4,"")</f>
        <v>18</v>
      </c>
    </row>
    <row r="4058" spans="1:13" x14ac:dyDescent="0.2">
      <c r="A4058">
        <v>772612</v>
      </c>
      <c r="B4058" s="5">
        <v>44646</v>
      </c>
      <c r="C4058">
        <v>84991</v>
      </c>
      <c r="D4058" t="str">
        <f>PROPER(Transactions!D4058)</f>
        <v>Furniture</v>
      </c>
      <c r="E4058" t="s">
        <v>51</v>
      </c>
      <c r="F4058" t="s">
        <v>52</v>
      </c>
      <c r="G4058">
        <v>1</v>
      </c>
      <c r="H4058">
        <v>27.99</v>
      </c>
      <c r="I4058" s="7">
        <f>IF(Transactions!I4058="",0,Transactions!I4058)</f>
        <v>0</v>
      </c>
      <c r="J4058" s="9">
        <f t="shared" si="63"/>
        <v>27.99</v>
      </c>
      <c r="K4058" t="s">
        <v>16</v>
      </c>
      <c r="L4058" t="s">
        <v>17</v>
      </c>
      <c r="M4058" t="str">
        <f>REPLACE(Transactions!M4058,1,4,"")</f>
        <v>11</v>
      </c>
    </row>
    <row r="4059" spans="1:13" x14ac:dyDescent="0.2">
      <c r="A4059">
        <v>772675</v>
      </c>
      <c r="B4059" s="5">
        <v>45639</v>
      </c>
      <c r="C4059">
        <v>87118</v>
      </c>
      <c r="D4059" t="str">
        <f>PROPER(Transactions!D4059)</f>
        <v>Toys</v>
      </c>
      <c r="E4059" t="s">
        <v>175</v>
      </c>
      <c r="F4059" t="s">
        <v>176</v>
      </c>
      <c r="G4059">
        <v>4</v>
      </c>
      <c r="H4059">
        <v>11.39</v>
      </c>
      <c r="I4059" s="7">
        <f>IF(Transactions!I4059="",0,Transactions!I4059)</f>
        <v>0.05</v>
      </c>
      <c r="J4059" s="9">
        <f t="shared" si="63"/>
        <v>43.282000000000004</v>
      </c>
      <c r="K4059" t="s">
        <v>16</v>
      </c>
      <c r="L4059" t="s">
        <v>37</v>
      </c>
      <c r="M4059" t="str">
        <f>REPLACE(Transactions!M4059,1,4,"")</f>
        <v>2</v>
      </c>
    </row>
    <row r="4060" spans="1:13" x14ac:dyDescent="0.2">
      <c r="A4060">
        <v>772737</v>
      </c>
      <c r="B4060" s="5">
        <v>45333</v>
      </c>
      <c r="C4060">
        <v>87504</v>
      </c>
      <c r="D4060" t="str">
        <f>PROPER(Transactions!D4060)</f>
        <v>Clothing</v>
      </c>
      <c r="E4060" t="s">
        <v>151</v>
      </c>
      <c r="F4060" t="s">
        <v>152</v>
      </c>
      <c r="G4060">
        <v>1</v>
      </c>
      <c r="H4060">
        <v>33.24</v>
      </c>
      <c r="I4060" s="7">
        <f>IF(Transactions!I4060="",0,Transactions!I4060)</f>
        <v>0.05</v>
      </c>
      <c r="J4060" s="9">
        <f t="shared" si="63"/>
        <v>31.577999999999999</v>
      </c>
      <c r="K4060" t="s">
        <v>36</v>
      </c>
      <c r="L4060" t="s">
        <v>37</v>
      </c>
      <c r="M4060" t="str">
        <f>REPLACE(Transactions!M4060,1,4,"")</f>
        <v>15</v>
      </c>
    </row>
    <row r="4061" spans="1:13" x14ac:dyDescent="0.2">
      <c r="A4061">
        <v>772930</v>
      </c>
      <c r="B4061" s="5">
        <v>45119</v>
      </c>
      <c r="C4061">
        <v>46497</v>
      </c>
      <c r="D4061" t="str">
        <f>PROPER(Transactions!D4061)</f>
        <v>Beauty</v>
      </c>
      <c r="E4061" t="s">
        <v>118</v>
      </c>
      <c r="F4061" t="s">
        <v>119</v>
      </c>
      <c r="G4061">
        <v>3</v>
      </c>
      <c r="H4061">
        <v>4.99</v>
      </c>
      <c r="I4061" s="7">
        <f>IF(Transactions!I4061="",0,Transactions!I4061)</f>
        <v>0</v>
      </c>
      <c r="J4061" s="9">
        <f t="shared" si="63"/>
        <v>14.97</v>
      </c>
      <c r="K4061" t="s">
        <v>95</v>
      </c>
      <c r="L4061" t="s">
        <v>17</v>
      </c>
      <c r="M4061" t="str">
        <f>REPLACE(Transactions!M4061,1,4,"")</f>
        <v>12</v>
      </c>
    </row>
    <row r="4062" spans="1:13" x14ac:dyDescent="0.2">
      <c r="A4062">
        <v>773158</v>
      </c>
      <c r="B4062" s="5">
        <v>45152</v>
      </c>
      <c r="C4062">
        <v>88486</v>
      </c>
      <c r="D4062" t="str">
        <f>PROPER(Transactions!D4062)</f>
        <v>Clothing</v>
      </c>
      <c r="E4062" t="s">
        <v>98</v>
      </c>
      <c r="F4062" t="s">
        <v>99</v>
      </c>
      <c r="G4062">
        <v>1</v>
      </c>
      <c r="H4062">
        <v>26.59</v>
      </c>
      <c r="I4062" s="7">
        <f>IF(Transactions!I4062="",0,Transactions!I4062)</f>
        <v>0.05</v>
      </c>
      <c r="J4062" s="9">
        <f t="shared" si="63"/>
        <v>25.2605</v>
      </c>
      <c r="K4062" t="s">
        <v>16</v>
      </c>
      <c r="L4062" t="s">
        <v>17</v>
      </c>
      <c r="M4062" t="str">
        <f>REPLACE(Transactions!M4062,1,4,"")</f>
        <v>2</v>
      </c>
    </row>
    <row r="4063" spans="1:13" x14ac:dyDescent="0.2">
      <c r="A4063">
        <v>773220</v>
      </c>
      <c r="B4063" s="5">
        <v>45530</v>
      </c>
      <c r="C4063">
        <v>67710</v>
      </c>
      <c r="D4063" t="str">
        <f>PROPER(Transactions!D4063)</f>
        <v>Electronics</v>
      </c>
      <c r="E4063" t="s">
        <v>127</v>
      </c>
      <c r="F4063" t="s">
        <v>128</v>
      </c>
      <c r="G4063">
        <v>1</v>
      </c>
      <c r="H4063">
        <v>16.989999999999998</v>
      </c>
      <c r="I4063" s="7">
        <f>IF(Transactions!I4063="",0,Transactions!I4063)</f>
        <v>0.15</v>
      </c>
      <c r="J4063" s="9">
        <f t="shared" si="63"/>
        <v>14.441499999999998</v>
      </c>
      <c r="K4063" t="s">
        <v>36</v>
      </c>
      <c r="L4063" t="s">
        <v>17</v>
      </c>
      <c r="M4063" t="str">
        <f>REPLACE(Transactions!M4063,1,4,"")</f>
        <v>5</v>
      </c>
    </row>
    <row r="4064" spans="1:13" x14ac:dyDescent="0.2">
      <c r="A4064">
        <v>773339</v>
      </c>
      <c r="B4064" s="5">
        <v>44604</v>
      </c>
      <c r="C4064">
        <v>24481</v>
      </c>
      <c r="D4064" t="str">
        <f>PROPER(Transactions!D4064)</f>
        <v>Home &amp; Garden</v>
      </c>
      <c r="E4064" t="s">
        <v>137</v>
      </c>
      <c r="F4064" t="s">
        <v>138</v>
      </c>
      <c r="G4064">
        <v>2</v>
      </c>
      <c r="H4064">
        <v>5.99</v>
      </c>
      <c r="I4064" s="7">
        <f>IF(Transactions!I4064="",0,Transactions!I4064)</f>
        <v>0.25</v>
      </c>
      <c r="J4064" s="9">
        <f t="shared" si="63"/>
        <v>8.9849999999999994</v>
      </c>
      <c r="K4064" t="s">
        <v>36</v>
      </c>
      <c r="L4064" t="s">
        <v>17</v>
      </c>
      <c r="M4064" t="str">
        <f>REPLACE(Transactions!M4064,1,4,"")</f>
        <v>10</v>
      </c>
    </row>
    <row r="4065" spans="1:13" x14ac:dyDescent="0.2">
      <c r="A4065">
        <v>773462</v>
      </c>
      <c r="B4065" s="5">
        <v>45270</v>
      </c>
      <c r="C4065">
        <v>99463</v>
      </c>
      <c r="D4065" t="str">
        <f>PROPER(Transactions!D4065)</f>
        <v>Automotive</v>
      </c>
      <c r="E4065" t="s">
        <v>68</v>
      </c>
      <c r="F4065" t="s">
        <v>69</v>
      </c>
      <c r="G4065">
        <v>1</v>
      </c>
      <c r="H4065">
        <v>18.739999999999998</v>
      </c>
      <c r="I4065" s="7">
        <f>IF(Transactions!I4065="",0,Transactions!I4065)</f>
        <v>0.25</v>
      </c>
      <c r="J4065" s="9">
        <f t="shared" si="63"/>
        <v>14.055</v>
      </c>
      <c r="K4065" t="s">
        <v>95</v>
      </c>
      <c r="L4065" t="s">
        <v>17</v>
      </c>
      <c r="M4065" t="str">
        <f>REPLACE(Transactions!M4065,1,4,"")</f>
        <v>4</v>
      </c>
    </row>
    <row r="4066" spans="1:13" x14ac:dyDescent="0.2">
      <c r="A4066">
        <v>773603</v>
      </c>
      <c r="B4066" s="5">
        <v>45507</v>
      </c>
      <c r="C4066">
        <v>70028</v>
      </c>
      <c r="D4066" t="str">
        <f>PROPER(Transactions!D4066)</f>
        <v>Beauty</v>
      </c>
      <c r="E4066" t="s">
        <v>179</v>
      </c>
      <c r="F4066" t="s">
        <v>180</v>
      </c>
      <c r="G4066">
        <v>2</v>
      </c>
      <c r="H4066">
        <v>10.19</v>
      </c>
      <c r="I4066" s="7">
        <f>IF(Transactions!I4066="",0,Transactions!I4066)</f>
        <v>0.15</v>
      </c>
      <c r="J4066" s="9">
        <f t="shared" si="63"/>
        <v>17.323</v>
      </c>
      <c r="K4066" t="s">
        <v>36</v>
      </c>
      <c r="L4066" t="s">
        <v>37</v>
      </c>
      <c r="M4066" t="str">
        <f>REPLACE(Transactions!M4066,1,4,"")</f>
        <v>14</v>
      </c>
    </row>
    <row r="4067" spans="1:13" x14ac:dyDescent="0.2">
      <c r="A4067">
        <v>773680</v>
      </c>
      <c r="B4067" s="5">
        <v>44581</v>
      </c>
      <c r="C4067">
        <v>98954</v>
      </c>
      <c r="D4067" t="str">
        <f>PROPER(Transactions!D4067)</f>
        <v>Grocery</v>
      </c>
      <c r="E4067" t="s">
        <v>162</v>
      </c>
      <c r="F4067" t="s">
        <v>163</v>
      </c>
      <c r="G4067">
        <v>4</v>
      </c>
      <c r="H4067">
        <v>7.99</v>
      </c>
      <c r="I4067" s="7">
        <f>IF(Transactions!I4067="",0,Transactions!I4067)</f>
        <v>0</v>
      </c>
      <c r="J4067" s="9">
        <f t="shared" si="63"/>
        <v>31.96</v>
      </c>
      <c r="K4067" t="s">
        <v>32</v>
      </c>
      <c r="L4067" t="s">
        <v>17</v>
      </c>
      <c r="M4067" t="str">
        <f>REPLACE(Transactions!M4067,1,4,"")</f>
        <v>9</v>
      </c>
    </row>
    <row r="4068" spans="1:13" x14ac:dyDescent="0.2">
      <c r="A4068">
        <v>773816</v>
      </c>
      <c r="B4068" s="5">
        <v>45275</v>
      </c>
      <c r="C4068">
        <v>89137</v>
      </c>
      <c r="D4068" t="str">
        <f>PROPER(Transactions!D4068)</f>
        <v>Toys</v>
      </c>
      <c r="E4068" t="s">
        <v>88</v>
      </c>
      <c r="F4068" t="s">
        <v>89</v>
      </c>
      <c r="G4068">
        <v>2</v>
      </c>
      <c r="H4068">
        <v>49.99</v>
      </c>
      <c r="I4068" s="7">
        <f>IF(Transactions!I4068="",0,Transactions!I4068)</f>
        <v>0</v>
      </c>
      <c r="J4068" s="9">
        <f t="shared" si="63"/>
        <v>99.98</v>
      </c>
      <c r="K4068" t="s">
        <v>16</v>
      </c>
      <c r="L4068" t="s">
        <v>17</v>
      </c>
      <c r="M4068" t="str">
        <f>REPLACE(Transactions!M4068,1,4,"")</f>
        <v>16</v>
      </c>
    </row>
    <row r="4069" spans="1:13" x14ac:dyDescent="0.2">
      <c r="A4069">
        <v>773852</v>
      </c>
      <c r="B4069" s="5">
        <v>45368</v>
      </c>
      <c r="C4069">
        <v>12161</v>
      </c>
      <c r="D4069" t="str">
        <f>PROPER(Transactions!D4069)</f>
        <v>Beauty</v>
      </c>
      <c r="E4069" t="s">
        <v>109</v>
      </c>
      <c r="F4069" t="s">
        <v>110</v>
      </c>
      <c r="G4069">
        <v>3</v>
      </c>
      <c r="H4069">
        <v>4.8899999999999997</v>
      </c>
      <c r="I4069" s="7">
        <f>IF(Transactions!I4069="",0,Transactions!I4069)</f>
        <v>0.3</v>
      </c>
      <c r="J4069" s="9">
        <f t="shared" si="63"/>
        <v>10.268999999999998</v>
      </c>
      <c r="K4069" t="s">
        <v>22</v>
      </c>
      <c r="L4069" t="s">
        <v>17</v>
      </c>
      <c r="M4069" t="str">
        <f>REPLACE(Transactions!M4069,1,4,"")</f>
        <v>3</v>
      </c>
    </row>
    <row r="4070" spans="1:13" x14ac:dyDescent="0.2">
      <c r="A4070">
        <v>773990</v>
      </c>
      <c r="B4070" s="5">
        <v>44782</v>
      </c>
      <c r="C4070">
        <v>98585</v>
      </c>
      <c r="D4070" t="str">
        <f>PROPER(Transactions!D4070)</f>
        <v>Electronics</v>
      </c>
      <c r="E4070" t="s">
        <v>159</v>
      </c>
      <c r="F4070" t="s">
        <v>160</v>
      </c>
      <c r="G4070">
        <v>4</v>
      </c>
      <c r="H4070">
        <v>56.99</v>
      </c>
      <c r="I4070" s="7">
        <f>IF(Transactions!I4070="",0,Transactions!I4070)</f>
        <v>0.05</v>
      </c>
      <c r="J4070" s="9">
        <f t="shared" si="63"/>
        <v>216.56199999999998</v>
      </c>
      <c r="K4070" t="s">
        <v>36</v>
      </c>
      <c r="L4070" t="s">
        <v>17</v>
      </c>
      <c r="M4070" t="str">
        <f>REPLACE(Transactions!M4070,1,4,"")</f>
        <v>1</v>
      </c>
    </row>
    <row r="4071" spans="1:13" x14ac:dyDescent="0.2">
      <c r="A4071">
        <v>774020</v>
      </c>
      <c r="B4071" s="5">
        <v>45283</v>
      </c>
      <c r="C4071">
        <v>72722</v>
      </c>
      <c r="D4071" t="str">
        <f>PROPER(Transactions!D4071)</f>
        <v>Sports</v>
      </c>
      <c r="E4071" t="s">
        <v>188</v>
      </c>
      <c r="F4071" t="s">
        <v>189</v>
      </c>
      <c r="G4071">
        <v>1</v>
      </c>
      <c r="H4071">
        <v>31.49</v>
      </c>
      <c r="I4071" s="7">
        <f>IF(Transactions!I4071="",0,Transactions!I4071)</f>
        <v>0.3</v>
      </c>
      <c r="J4071" s="9">
        <f t="shared" si="63"/>
        <v>22.042999999999999</v>
      </c>
      <c r="K4071" t="s">
        <v>36</v>
      </c>
      <c r="L4071" t="s">
        <v>37</v>
      </c>
      <c r="M4071" t="str">
        <f>REPLACE(Transactions!M4071,1,4,"")</f>
        <v>10</v>
      </c>
    </row>
    <row r="4072" spans="1:13" x14ac:dyDescent="0.2">
      <c r="A4072">
        <v>774044</v>
      </c>
      <c r="B4072" s="5">
        <v>45319</v>
      </c>
      <c r="C4072">
        <v>20962</v>
      </c>
      <c r="D4072" t="str">
        <f>PROPER(Transactions!D4072)</f>
        <v>Beauty</v>
      </c>
      <c r="E4072" t="s">
        <v>143</v>
      </c>
      <c r="F4072" t="s">
        <v>144</v>
      </c>
      <c r="G4072">
        <v>2</v>
      </c>
      <c r="H4072">
        <v>11.24</v>
      </c>
      <c r="I4072" s="7">
        <f>IF(Transactions!I4072="",0,Transactions!I4072)</f>
        <v>0.25</v>
      </c>
      <c r="J4072" s="9">
        <f t="shared" si="63"/>
        <v>16.86</v>
      </c>
      <c r="K4072" t="s">
        <v>36</v>
      </c>
      <c r="L4072" t="s">
        <v>17</v>
      </c>
      <c r="M4072" t="str">
        <f>REPLACE(Transactions!M4072,1,4,"")</f>
        <v>5</v>
      </c>
    </row>
    <row r="4073" spans="1:13" x14ac:dyDescent="0.2">
      <c r="A4073">
        <v>774591</v>
      </c>
      <c r="B4073" s="5">
        <v>44650</v>
      </c>
      <c r="C4073">
        <v>62640</v>
      </c>
      <c r="D4073" t="str">
        <f>PROPER(Transactions!D4073)</f>
        <v>Pharmacy</v>
      </c>
      <c r="E4073" t="s">
        <v>58</v>
      </c>
      <c r="F4073" t="s">
        <v>59</v>
      </c>
      <c r="G4073">
        <v>1</v>
      </c>
      <c r="H4073">
        <v>2.79</v>
      </c>
      <c r="I4073" s="7">
        <f>IF(Transactions!I4073="",0,Transactions!I4073)</f>
        <v>0.3</v>
      </c>
      <c r="J4073" s="9">
        <f t="shared" si="63"/>
        <v>1.9529999999999998</v>
      </c>
      <c r="K4073" t="s">
        <v>36</v>
      </c>
      <c r="L4073" t="s">
        <v>17</v>
      </c>
      <c r="M4073" t="str">
        <f>REPLACE(Transactions!M4073,1,4,"")</f>
        <v>14</v>
      </c>
    </row>
    <row r="4074" spans="1:13" x14ac:dyDescent="0.2">
      <c r="A4074">
        <v>774662</v>
      </c>
      <c r="B4074" s="5">
        <v>45647</v>
      </c>
      <c r="C4074">
        <v>32933</v>
      </c>
      <c r="D4074" t="str">
        <f>PROPER(Transactions!D4074)</f>
        <v>Beauty</v>
      </c>
      <c r="E4074" t="s">
        <v>118</v>
      </c>
      <c r="F4074" t="s">
        <v>119</v>
      </c>
      <c r="G4074">
        <v>1</v>
      </c>
      <c r="H4074">
        <v>3.74</v>
      </c>
      <c r="I4074" s="7">
        <f>IF(Transactions!I4074="",0,Transactions!I4074)</f>
        <v>0.25</v>
      </c>
      <c r="J4074" s="9">
        <f t="shared" si="63"/>
        <v>2.8050000000000002</v>
      </c>
      <c r="K4074" t="s">
        <v>36</v>
      </c>
      <c r="L4074" t="s">
        <v>37</v>
      </c>
      <c r="M4074" t="str">
        <f>REPLACE(Transactions!M4074,1,4,"")</f>
        <v>15</v>
      </c>
    </row>
    <row r="4075" spans="1:13" x14ac:dyDescent="0.2">
      <c r="A4075">
        <v>774911</v>
      </c>
      <c r="B4075" s="5">
        <v>44991</v>
      </c>
      <c r="C4075">
        <v>16465</v>
      </c>
      <c r="D4075" t="str">
        <f>PROPER(Transactions!D4075)</f>
        <v>Automotive</v>
      </c>
      <c r="E4075" t="s">
        <v>125</v>
      </c>
      <c r="F4075" t="s">
        <v>126</v>
      </c>
      <c r="G4075">
        <v>5</v>
      </c>
      <c r="H4075">
        <v>29.99</v>
      </c>
      <c r="I4075" s="7">
        <f>IF(Transactions!I4075="",0,Transactions!I4075)</f>
        <v>0</v>
      </c>
      <c r="J4075" s="9">
        <f t="shared" si="63"/>
        <v>149.94999999999999</v>
      </c>
      <c r="K4075" t="s">
        <v>22</v>
      </c>
      <c r="L4075" t="s">
        <v>37</v>
      </c>
      <c r="M4075" t="str">
        <f>REPLACE(Transactions!M4075,1,4,"")</f>
        <v>6</v>
      </c>
    </row>
    <row r="4076" spans="1:13" x14ac:dyDescent="0.2">
      <c r="A4076">
        <v>774920</v>
      </c>
      <c r="B4076" s="5">
        <v>45165</v>
      </c>
      <c r="C4076">
        <v>25543</v>
      </c>
      <c r="D4076" t="str">
        <f>PROPER(Transactions!D4076)</f>
        <v>Clothing</v>
      </c>
      <c r="E4076" t="s">
        <v>98</v>
      </c>
      <c r="F4076" t="s">
        <v>99</v>
      </c>
      <c r="G4076">
        <v>2</v>
      </c>
      <c r="H4076">
        <v>19.59</v>
      </c>
      <c r="I4076" s="7">
        <f>IF(Transactions!I4076="",0,Transactions!I4076)</f>
        <v>0.3</v>
      </c>
      <c r="J4076" s="9">
        <f t="shared" si="63"/>
        <v>27.425999999999998</v>
      </c>
      <c r="K4076" t="s">
        <v>16</v>
      </c>
      <c r="L4076" t="s">
        <v>17</v>
      </c>
      <c r="M4076" t="str">
        <f>REPLACE(Transactions!M4076,1,4,"")</f>
        <v>1</v>
      </c>
    </row>
    <row r="4077" spans="1:13" x14ac:dyDescent="0.2">
      <c r="A4077">
        <v>775239</v>
      </c>
      <c r="B4077" s="5">
        <v>44627</v>
      </c>
      <c r="C4077">
        <v>71510</v>
      </c>
      <c r="D4077" t="str">
        <f>PROPER(Transactions!D4077)</f>
        <v>Clothing</v>
      </c>
      <c r="E4077" t="s">
        <v>181</v>
      </c>
      <c r="F4077" t="s">
        <v>182</v>
      </c>
      <c r="G4077">
        <v>1</v>
      </c>
      <c r="H4077">
        <v>14.99</v>
      </c>
      <c r="I4077" s="7">
        <f>IF(Transactions!I4077="",0,Transactions!I4077)</f>
        <v>0</v>
      </c>
      <c r="J4077" s="9">
        <f t="shared" si="63"/>
        <v>14.99</v>
      </c>
      <c r="K4077" t="s">
        <v>95</v>
      </c>
      <c r="L4077" t="s">
        <v>17</v>
      </c>
      <c r="M4077" t="str">
        <f>REPLACE(Transactions!M4077,1,4,"")</f>
        <v>14</v>
      </c>
    </row>
    <row r="4078" spans="1:13" x14ac:dyDescent="0.2">
      <c r="A4078">
        <v>775592</v>
      </c>
      <c r="B4078" s="5">
        <v>45648</v>
      </c>
      <c r="C4078">
        <v>56967</v>
      </c>
      <c r="D4078" t="str">
        <f>PROPER(Transactions!D4078)</f>
        <v>Grocery</v>
      </c>
      <c r="E4078" t="s">
        <v>45</v>
      </c>
      <c r="F4078" t="s">
        <v>46</v>
      </c>
      <c r="G4078">
        <v>1</v>
      </c>
      <c r="H4078">
        <v>1.7</v>
      </c>
      <c r="I4078" s="7">
        <f>IF(Transactions!I4078="",0,Transactions!I4078)</f>
        <v>0</v>
      </c>
      <c r="J4078" s="9">
        <f t="shared" si="63"/>
        <v>1.7</v>
      </c>
      <c r="K4078" t="s">
        <v>16</v>
      </c>
      <c r="L4078" t="s">
        <v>17</v>
      </c>
      <c r="M4078" t="str">
        <f>REPLACE(Transactions!M4078,1,4,"")</f>
        <v>1</v>
      </c>
    </row>
    <row r="4079" spans="1:13" x14ac:dyDescent="0.2">
      <c r="A4079">
        <v>775609</v>
      </c>
      <c r="B4079" s="5">
        <v>45548</v>
      </c>
      <c r="C4079">
        <v>49655</v>
      </c>
      <c r="D4079" t="str">
        <f>PROPER(Transactions!D4079)</f>
        <v>Furniture</v>
      </c>
      <c r="E4079" t="s">
        <v>70</v>
      </c>
      <c r="F4079" t="s">
        <v>71</v>
      </c>
      <c r="G4079">
        <v>2</v>
      </c>
      <c r="H4079">
        <v>71.989999999999995</v>
      </c>
      <c r="I4079" s="7">
        <f>IF(Transactions!I4079="",0,Transactions!I4079)</f>
        <v>0.2</v>
      </c>
      <c r="J4079" s="9">
        <f t="shared" si="63"/>
        <v>115.184</v>
      </c>
      <c r="K4079" t="s">
        <v>22</v>
      </c>
      <c r="L4079" t="s">
        <v>37</v>
      </c>
      <c r="M4079" t="str">
        <f>REPLACE(Transactions!M4079,1,4,"")</f>
        <v>11</v>
      </c>
    </row>
    <row r="4080" spans="1:13" x14ac:dyDescent="0.2">
      <c r="A4080">
        <v>775613</v>
      </c>
      <c r="B4080" s="5">
        <v>45062</v>
      </c>
      <c r="C4080">
        <v>64271</v>
      </c>
      <c r="D4080" t="str">
        <f>PROPER(Transactions!D4080)</f>
        <v>Toys</v>
      </c>
      <c r="E4080" t="s">
        <v>175</v>
      </c>
      <c r="F4080" t="s">
        <v>176</v>
      </c>
      <c r="G4080">
        <v>3</v>
      </c>
      <c r="H4080">
        <v>9.59</v>
      </c>
      <c r="I4080" s="7">
        <f>IF(Transactions!I4080="",0,Transactions!I4080)</f>
        <v>0.2</v>
      </c>
      <c r="J4080" s="9">
        <f t="shared" si="63"/>
        <v>23.016000000000002</v>
      </c>
      <c r="K4080" t="s">
        <v>22</v>
      </c>
      <c r="L4080" t="s">
        <v>17</v>
      </c>
      <c r="M4080" t="str">
        <f>REPLACE(Transactions!M4080,1,4,"")</f>
        <v>10</v>
      </c>
    </row>
    <row r="4081" spans="1:13" x14ac:dyDescent="0.2">
      <c r="A4081">
        <v>775861</v>
      </c>
      <c r="B4081" s="5">
        <v>45581</v>
      </c>
      <c r="C4081">
        <v>44422</v>
      </c>
      <c r="D4081" t="str">
        <f>PROPER(Transactions!D4081)</f>
        <v>Furniture</v>
      </c>
      <c r="E4081" t="s">
        <v>51</v>
      </c>
      <c r="F4081" t="s">
        <v>52</v>
      </c>
      <c r="G4081">
        <v>3</v>
      </c>
      <c r="H4081">
        <v>20.99</v>
      </c>
      <c r="I4081" s="7">
        <f>IF(Transactions!I4081="",0,Transactions!I4081)</f>
        <v>0.25</v>
      </c>
      <c r="J4081" s="9">
        <f t="shared" si="63"/>
        <v>47.227499999999999</v>
      </c>
      <c r="K4081" t="s">
        <v>22</v>
      </c>
      <c r="L4081" t="s">
        <v>23</v>
      </c>
      <c r="M4081" t="str">
        <f>REPLACE(Transactions!M4081,1,4,"")</f>
        <v>5</v>
      </c>
    </row>
    <row r="4082" spans="1:13" x14ac:dyDescent="0.2">
      <c r="A4082">
        <v>776083</v>
      </c>
      <c r="B4082" s="5">
        <v>45562</v>
      </c>
      <c r="C4082">
        <v>56351</v>
      </c>
      <c r="D4082" t="str">
        <f>PROPER(Transactions!D4082)</f>
        <v>Pharmacy</v>
      </c>
      <c r="E4082" t="s">
        <v>58</v>
      </c>
      <c r="F4082" t="s">
        <v>59</v>
      </c>
      <c r="G4082">
        <v>1</v>
      </c>
      <c r="H4082">
        <v>3.39</v>
      </c>
      <c r="I4082" s="7">
        <f>IF(Transactions!I4082="",0,Transactions!I4082)</f>
        <v>0.15</v>
      </c>
      <c r="J4082" s="9">
        <f t="shared" si="63"/>
        <v>2.8815</v>
      </c>
      <c r="K4082" t="s">
        <v>22</v>
      </c>
      <c r="L4082" t="s">
        <v>17</v>
      </c>
      <c r="M4082" t="str">
        <f>REPLACE(Transactions!M4082,1,4,"")</f>
        <v>2</v>
      </c>
    </row>
    <row r="4083" spans="1:13" x14ac:dyDescent="0.2">
      <c r="A4083">
        <v>776402</v>
      </c>
      <c r="B4083" s="5">
        <v>45648</v>
      </c>
      <c r="C4083">
        <v>27872</v>
      </c>
      <c r="D4083" t="str">
        <f>PROPER(Transactions!D4083)</f>
        <v>Toys</v>
      </c>
      <c r="E4083" t="s">
        <v>88</v>
      </c>
      <c r="F4083" t="s">
        <v>89</v>
      </c>
      <c r="G4083">
        <v>1</v>
      </c>
      <c r="H4083">
        <v>37.49</v>
      </c>
      <c r="I4083" s="7">
        <f>IF(Transactions!I4083="",0,Transactions!I4083)</f>
        <v>0.25</v>
      </c>
      <c r="J4083" s="9">
        <f t="shared" si="63"/>
        <v>28.1175</v>
      </c>
      <c r="K4083" t="s">
        <v>22</v>
      </c>
      <c r="L4083" t="s">
        <v>37</v>
      </c>
      <c r="M4083" t="str">
        <f>REPLACE(Transactions!M4083,1,4,"")</f>
        <v>9</v>
      </c>
    </row>
    <row r="4084" spans="1:13" x14ac:dyDescent="0.2">
      <c r="A4084">
        <v>776491</v>
      </c>
      <c r="B4084" s="5">
        <v>45580</v>
      </c>
      <c r="C4084">
        <v>23380</v>
      </c>
      <c r="D4084" t="str">
        <f>PROPER(Transactions!D4084)</f>
        <v>Furniture</v>
      </c>
      <c r="E4084" t="s">
        <v>113</v>
      </c>
      <c r="F4084" t="s">
        <v>114</v>
      </c>
      <c r="G4084">
        <v>1</v>
      </c>
      <c r="H4084">
        <v>119.99</v>
      </c>
      <c r="I4084" s="7">
        <f>IF(Transactions!I4084="",0,Transactions!I4084)</f>
        <v>0</v>
      </c>
      <c r="J4084" s="9">
        <f t="shared" si="63"/>
        <v>119.99</v>
      </c>
      <c r="K4084" t="s">
        <v>22</v>
      </c>
      <c r="L4084" t="s">
        <v>17</v>
      </c>
      <c r="M4084" t="str">
        <f>REPLACE(Transactions!M4084,1,4,"")</f>
        <v>16</v>
      </c>
    </row>
    <row r="4085" spans="1:13" x14ac:dyDescent="0.2">
      <c r="A4085">
        <v>776528</v>
      </c>
      <c r="B4085" s="5">
        <v>45474</v>
      </c>
      <c r="C4085">
        <v>63692</v>
      </c>
      <c r="D4085" t="str">
        <f>PROPER(Transactions!D4085)</f>
        <v>Furniture</v>
      </c>
      <c r="E4085" t="s">
        <v>60</v>
      </c>
      <c r="F4085" t="s">
        <v>61</v>
      </c>
      <c r="G4085">
        <v>1</v>
      </c>
      <c r="H4085">
        <v>43.99</v>
      </c>
      <c r="I4085" s="7">
        <f>IF(Transactions!I4085="",0,Transactions!I4085)</f>
        <v>0.2</v>
      </c>
      <c r="J4085" s="9">
        <f t="shared" si="63"/>
        <v>35.192</v>
      </c>
      <c r="K4085" t="s">
        <v>22</v>
      </c>
      <c r="L4085" t="s">
        <v>37</v>
      </c>
      <c r="M4085" t="str">
        <f>REPLACE(Transactions!M4085,1,4,"")</f>
        <v>1</v>
      </c>
    </row>
    <row r="4086" spans="1:13" x14ac:dyDescent="0.2">
      <c r="A4086">
        <v>776665</v>
      </c>
      <c r="B4086" s="5">
        <v>44990</v>
      </c>
      <c r="C4086">
        <v>23919</v>
      </c>
      <c r="D4086" t="str">
        <f>PROPER(Transactions!D4086)</f>
        <v>Toys</v>
      </c>
      <c r="E4086" t="s">
        <v>38</v>
      </c>
      <c r="F4086" t="s">
        <v>39</v>
      </c>
      <c r="G4086">
        <v>4</v>
      </c>
      <c r="H4086">
        <v>20.99</v>
      </c>
      <c r="I4086" s="7">
        <f>IF(Transactions!I4086="",0,Transactions!I4086)</f>
        <v>0.3</v>
      </c>
      <c r="J4086" s="9">
        <f t="shared" si="63"/>
        <v>58.771999999999991</v>
      </c>
      <c r="K4086" t="s">
        <v>22</v>
      </c>
      <c r="L4086" t="s">
        <v>17</v>
      </c>
      <c r="M4086" t="str">
        <f>REPLACE(Transactions!M4086,1,4,"")</f>
        <v>13</v>
      </c>
    </row>
    <row r="4087" spans="1:13" x14ac:dyDescent="0.2">
      <c r="A4087">
        <v>776809</v>
      </c>
      <c r="B4087" s="5">
        <v>45469</v>
      </c>
      <c r="C4087">
        <v>11400</v>
      </c>
      <c r="D4087" t="str">
        <f>PROPER(Transactions!D4087)</f>
        <v>Sports</v>
      </c>
      <c r="E4087" t="s">
        <v>100</v>
      </c>
      <c r="F4087" t="s">
        <v>101</v>
      </c>
      <c r="G4087">
        <v>1</v>
      </c>
      <c r="H4087">
        <v>20.69</v>
      </c>
      <c r="I4087" s="7">
        <f>IF(Transactions!I4087="",0,Transactions!I4087)</f>
        <v>0.1</v>
      </c>
      <c r="J4087" s="9">
        <f t="shared" si="63"/>
        <v>18.621000000000002</v>
      </c>
      <c r="K4087" t="s">
        <v>16</v>
      </c>
      <c r="L4087" t="s">
        <v>17</v>
      </c>
      <c r="M4087" t="str">
        <f>REPLACE(Transactions!M4087,1,4,"")</f>
        <v>14</v>
      </c>
    </row>
    <row r="4088" spans="1:13" x14ac:dyDescent="0.2">
      <c r="A4088">
        <v>777274</v>
      </c>
      <c r="B4088" s="5">
        <v>45558</v>
      </c>
      <c r="C4088">
        <v>22791</v>
      </c>
      <c r="D4088" t="str">
        <f>PROPER(Transactions!D4088)</f>
        <v>Beauty</v>
      </c>
      <c r="E4088" t="s">
        <v>118</v>
      </c>
      <c r="F4088" t="s">
        <v>119</v>
      </c>
      <c r="G4088">
        <v>2</v>
      </c>
      <c r="H4088">
        <v>4.49</v>
      </c>
      <c r="I4088" s="7">
        <f>IF(Transactions!I4088="",0,Transactions!I4088)</f>
        <v>0.1</v>
      </c>
      <c r="J4088" s="9">
        <f t="shared" si="63"/>
        <v>8.0820000000000007</v>
      </c>
      <c r="K4088" t="s">
        <v>22</v>
      </c>
      <c r="L4088" t="s">
        <v>37</v>
      </c>
      <c r="M4088" t="str">
        <f>REPLACE(Transactions!M4088,1,4,"")</f>
        <v>8</v>
      </c>
    </row>
    <row r="4089" spans="1:13" x14ac:dyDescent="0.2">
      <c r="A4089">
        <v>777283</v>
      </c>
      <c r="B4089" s="5">
        <v>45125</v>
      </c>
      <c r="C4089">
        <v>55083</v>
      </c>
      <c r="D4089" t="str">
        <f>PROPER(Transactions!D4089)</f>
        <v>Grocery</v>
      </c>
      <c r="E4089" t="s">
        <v>190</v>
      </c>
      <c r="F4089" t="s">
        <v>191</v>
      </c>
      <c r="G4089">
        <v>2</v>
      </c>
      <c r="H4089">
        <v>3.65</v>
      </c>
      <c r="I4089" s="7">
        <f>IF(Transactions!I4089="",0,Transactions!I4089)</f>
        <v>0.15</v>
      </c>
      <c r="J4089" s="9">
        <f t="shared" si="63"/>
        <v>6.2050000000000001</v>
      </c>
      <c r="K4089" t="s">
        <v>22</v>
      </c>
      <c r="L4089" t="s">
        <v>17</v>
      </c>
      <c r="M4089" t="str">
        <f>REPLACE(Transactions!M4089,1,4,"")</f>
        <v/>
      </c>
    </row>
    <row r="4090" spans="1:13" x14ac:dyDescent="0.2">
      <c r="A4090">
        <v>777438</v>
      </c>
      <c r="B4090" s="5">
        <v>45588</v>
      </c>
      <c r="C4090">
        <v>41187</v>
      </c>
      <c r="D4090" t="str">
        <f>PROPER(Transactions!D4090)</f>
        <v>Home &amp; Garden</v>
      </c>
      <c r="E4090" t="s">
        <v>145</v>
      </c>
      <c r="F4090" t="s">
        <v>146</v>
      </c>
      <c r="G4090">
        <v>5</v>
      </c>
      <c r="H4090">
        <v>12.74</v>
      </c>
      <c r="I4090" s="7">
        <f>IF(Transactions!I4090="",0,Transactions!I4090)</f>
        <v>0.25</v>
      </c>
      <c r="J4090" s="9">
        <f t="shared" si="63"/>
        <v>47.775000000000006</v>
      </c>
      <c r="K4090" t="s">
        <v>36</v>
      </c>
      <c r="L4090" t="s">
        <v>17</v>
      </c>
      <c r="M4090" t="str">
        <f>REPLACE(Transactions!M4090,1,4,"")</f>
        <v>11</v>
      </c>
    </row>
    <row r="4091" spans="1:13" x14ac:dyDescent="0.2">
      <c r="A4091">
        <v>777757</v>
      </c>
      <c r="B4091" s="5">
        <v>45064</v>
      </c>
      <c r="C4091">
        <v>66499</v>
      </c>
      <c r="D4091" t="str">
        <f>PROPER(Transactions!D4091)</f>
        <v>Pharmacy</v>
      </c>
      <c r="E4091" t="s">
        <v>41</v>
      </c>
      <c r="F4091" t="s">
        <v>42</v>
      </c>
      <c r="G4091">
        <v>4</v>
      </c>
      <c r="H4091">
        <v>5.39</v>
      </c>
      <c r="I4091" s="7">
        <f>IF(Transactions!I4091="",0,Transactions!I4091)</f>
        <v>0.1</v>
      </c>
      <c r="J4091" s="9">
        <f t="shared" si="63"/>
        <v>19.404</v>
      </c>
      <c r="K4091" t="s">
        <v>16</v>
      </c>
      <c r="L4091" t="s">
        <v>37</v>
      </c>
      <c r="M4091" t="str">
        <f>REPLACE(Transactions!M4091,1,4,"")</f>
        <v>18</v>
      </c>
    </row>
    <row r="4092" spans="1:13" x14ac:dyDescent="0.2">
      <c r="A4092">
        <v>778302</v>
      </c>
      <c r="B4092" s="5">
        <v>44571</v>
      </c>
      <c r="C4092">
        <v>21032</v>
      </c>
      <c r="D4092" t="str">
        <f>PROPER(Transactions!D4092)</f>
        <v>Clothing</v>
      </c>
      <c r="E4092" t="s">
        <v>193</v>
      </c>
      <c r="F4092" t="s">
        <v>194</v>
      </c>
      <c r="G4092">
        <v>1</v>
      </c>
      <c r="H4092">
        <v>45.49</v>
      </c>
      <c r="I4092" s="7">
        <f>IF(Transactions!I4092="",0,Transactions!I4092)</f>
        <v>0.3</v>
      </c>
      <c r="J4092" s="9">
        <f t="shared" si="63"/>
        <v>31.843</v>
      </c>
      <c r="K4092" t="s">
        <v>16</v>
      </c>
      <c r="L4092" t="s">
        <v>17</v>
      </c>
      <c r="M4092" t="str">
        <f>REPLACE(Transactions!M4092,1,4,"")</f>
        <v>10</v>
      </c>
    </row>
    <row r="4093" spans="1:13" x14ac:dyDescent="0.2">
      <c r="A4093">
        <v>778366</v>
      </c>
      <c r="B4093" s="5">
        <v>45541</v>
      </c>
      <c r="C4093">
        <v>29595</v>
      </c>
      <c r="D4093" t="str">
        <f>PROPER(Transactions!D4093)</f>
        <v>Beauty</v>
      </c>
      <c r="E4093" t="s">
        <v>118</v>
      </c>
      <c r="F4093" t="s">
        <v>119</v>
      </c>
      <c r="G4093">
        <v>1</v>
      </c>
      <c r="H4093">
        <v>4.24</v>
      </c>
      <c r="I4093" s="7">
        <f>IF(Transactions!I4093="",0,Transactions!I4093)</f>
        <v>0.15</v>
      </c>
      <c r="J4093" s="9">
        <f t="shared" si="63"/>
        <v>3.6040000000000001</v>
      </c>
      <c r="K4093" t="s">
        <v>36</v>
      </c>
      <c r="L4093" t="s">
        <v>17</v>
      </c>
      <c r="M4093" t="str">
        <f>REPLACE(Transactions!M4093,1,4,"")</f>
        <v>20</v>
      </c>
    </row>
    <row r="4094" spans="1:13" x14ac:dyDescent="0.2">
      <c r="A4094">
        <v>778589</v>
      </c>
      <c r="B4094" s="5">
        <v>44865</v>
      </c>
      <c r="C4094">
        <v>63344</v>
      </c>
      <c r="D4094" t="str">
        <f>PROPER(Transactions!D4094)</f>
        <v>Beauty</v>
      </c>
      <c r="E4094" t="s">
        <v>179</v>
      </c>
      <c r="F4094" t="s">
        <v>180</v>
      </c>
      <c r="G4094">
        <v>1</v>
      </c>
      <c r="H4094">
        <v>11.99</v>
      </c>
      <c r="I4094" s="7">
        <f>IF(Transactions!I4094="",0,Transactions!I4094)</f>
        <v>0</v>
      </c>
      <c r="J4094" s="9">
        <f t="shared" si="63"/>
        <v>11.99</v>
      </c>
      <c r="K4094" t="s">
        <v>36</v>
      </c>
      <c r="L4094" t="s">
        <v>17</v>
      </c>
      <c r="M4094" t="str">
        <f>REPLACE(Transactions!M4094,1,4,"")</f>
        <v>2</v>
      </c>
    </row>
    <row r="4095" spans="1:13" x14ac:dyDescent="0.2">
      <c r="A4095">
        <v>778659</v>
      </c>
      <c r="B4095" s="5">
        <v>45353</v>
      </c>
      <c r="C4095">
        <v>18647</v>
      </c>
      <c r="D4095" t="str">
        <f>PROPER(Transactions!D4095)</f>
        <v>Electronics</v>
      </c>
      <c r="E4095" t="s">
        <v>104</v>
      </c>
      <c r="F4095" t="s">
        <v>105</v>
      </c>
      <c r="G4095">
        <v>2</v>
      </c>
      <c r="H4095">
        <v>23.99</v>
      </c>
      <c r="I4095" s="7">
        <f>IF(Transactions!I4095="",0,Transactions!I4095)</f>
        <v>0.2</v>
      </c>
      <c r="J4095" s="9">
        <f t="shared" si="63"/>
        <v>38.384</v>
      </c>
      <c r="K4095" t="s">
        <v>22</v>
      </c>
      <c r="L4095" t="s">
        <v>37</v>
      </c>
      <c r="M4095" t="str">
        <f>REPLACE(Transactions!M4095,1,4,"")</f>
        <v>18</v>
      </c>
    </row>
    <row r="4096" spans="1:13" x14ac:dyDescent="0.2">
      <c r="A4096">
        <v>778665</v>
      </c>
      <c r="B4096" s="5">
        <v>44879</v>
      </c>
      <c r="C4096">
        <v>72601</v>
      </c>
      <c r="D4096" t="str">
        <f>PROPER(Transactions!D4096)</f>
        <v>Pharmacy</v>
      </c>
      <c r="E4096" t="s">
        <v>115</v>
      </c>
      <c r="F4096" t="s">
        <v>116</v>
      </c>
      <c r="G4096">
        <v>2</v>
      </c>
      <c r="H4096">
        <v>9.74</v>
      </c>
      <c r="I4096" s="7">
        <f>IF(Transactions!I4096="",0,Transactions!I4096)</f>
        <v>0.25</v>
      </c>
      <c r="J4096" s="9">
        <f t="shared" si="63"/>
        <v>14.61</v>
      </c>
      <c r="K4096" t="s">
        <v>36</v>
      </c>
      <c r="L4096" t="s">
        <v>17</v>
      </c>
      <c r="M4096" t="str">
        <f>REPLACE(Transactions!M4096,1,4,"")</f>
        <v>9</v>
      </c>
    </row>
    <row r="4097" spans="1:13" x14ac:dyDescent="0.2">
      <c r="A4097">
        <v>778712</v>
      </c>
      <c r="B4097" s="5">
        <v>45610</v>
      </c>
      <c r="C4097">
        <v>76523</v>
      </c>
      <c r="D4097" t="str">
        <f>PROPER(Transactions!D4097)</f>
        <v>Toys</v>
      </c>
      <c r="E4097" t="s">
        <v>175</v>
      </c>
      <c r="F4097" t="s">
        <v>176</v>
      </c>
      <c r="G4097">
        <v>3</v>
      </c>
      <c r="H4097">
        <v>8.39</v>
      </c>
      <c r="I4097" s="7">
        <f>IF(Transactions!I4097="",0,Transactions!I4097)</f>
        <v>0.3</v>
      </c>
      <c r="J4097" s="9">
        <f t="shared" si="63"/>
        <v>17.619</v>
      </c>
      <c r="K4097" t="s">
        <v>36</v>
      </c>
      <c r="L4097" t="s">
        <v>17</v>
      </c>
      <c r="M4097" t="str">
        <f>REPLACE(Transactions!M4097,1,4,"")</f>
        <v>3</v>
      </c>
    </row>
    <row r="4098" spans="1:13" x14ac:dyDescent="0.2">
      <c r="A4098">
        <v>779089</v>
      </c>
      <c r="B4098" s="5">
        <v>44669</v>
      </c>
      <c r="C4098">
        <v>61546</v>
      </c>
      <c r="D4098" t="str">
        <f>PROPER(Transactions!D4098)</f>
        <v>Furniture</v>
      </c>
      <c r="E4098" t="s">
        <v>51</v>
      </c>
      <c r="F4098" t="s">
        <v>52</v>
      </c>
      <c r="G4098">
        <v>1</v>
      </c>
      <c r="H4098">
        <v>25.19</v>
      </c>
      <c r="I4098" s="7">
        <f>IF(Transactions!I4098="",0,Transactions!I4098)</f>
        <v>0.1</v>
      </c>
      <c r="J4098" s="9">
        <f t="shared" si="63"/>
        <v>22.671000000000003</v>
      </c>
      <c r="K4098" t="s">
        <v>95</v>
      </c>
      <c r="L4098" t="s">
        <v>37</v>
      </c>
      <c r="M4098" t="str">
        <f>REPLACE(Transactions!M4098,1,4,"")</f>
        <v>12</v>
      </c>
    </row>
    <row r="4099" spans="1:13" x14ac:dyDescent="0.2">
      <c r="A4099">
        <v>779319</v>
      </c>
      <c r="B4099" s="5">
        <v>45185</v>
      </c>
      <c r="C4099">
        <v>55346</v>
      </c>
      <c r="D4099" t="str">
        <f>PROPER(Transactions!D4099)</f>
        <v>Home &amp; Garden</v>
      </c>
      <c r="E4099" t="s">
        <v>157</v>
      </c>
      <c r="F4099" t="s">
        <v>158</v>
      </c>
      <c r="G4099">
        <v>3</v>
      </c>
      <c r="H4099">
        <v>13.49</v>
      </c>
      <c r="I4099" s="7">
        <f>IF(Transactions!I4099="",0,Transactions!I4099)</f>
        <v>0</v>
      </c>
      <c r="J4099" s="9">
        <f t="shared" ref="J4099:J4162" si="64">(H4099*G4099)*(1-I4099)</f>
        <v>40.47</v>
      </c>
      <c r="K4099" t="s">
        <v>32</v>
      </c>
      <c r="L4099" t="s">
        <v>17</v>
      </c>
      <c r="M4099" t="str">
        <f>REPLACE(Transactions!M4099,1,4,"")</f>
        <v>17</v>
      </c>
    </row>
    <row r="4100" spans="1:13" x14ac:dyDescent="0.2">
      <c r="A4100">
        <v>779342</v>
      </c>
      <c r="B4100" s="5">
        <v>45623</v>
      </c>
      <c r="C4100">
        <v>55179</v>
      </c>
      <c r="D4100" t="str">
        <f>PROPER(Transactions!D4100)</f>
        <v>Furniture</v>
      </c>
      <c r="E4100" t="s">
        <v>70</v>
      </c>
      <c r="F4100" t="s">
        <v>71</v>
      </c>
      <c r="G4100">
        <v>1</v>
      </c>
      <c r="H4100">
        <v>80.989999999999995</v>
      </c>
      <c r="I4100" s="7">
        <f>IF(Transactions!I4100="",0,Transactions!I4100)</f>
        <v>0.1</v>
      </c>
      <c r="J4100" s="9">
        <f t="shared" si="64"/>
        <v>72.890999999999991</v>
      </c>
      <c r="K4100" t="s">
        <v>36</v>
      </c>
      <c r="L4100" t="s">
        <v>17</v>
      </c>
      <c r="M4100" t="str">
        <f>REPLACE(Transactions!M4100,1,4,"")</f>
        <v>19</v>
      </c>
    </row>
    <row r="4101" spans="1:13" x14ac:dyDescent="0.2">
      <c r="A4101">
        <v>779509</v>
      </c>
      <c r="B4101" s="5">
        <v>44606</v>
      </c>
      <c r="C4101">
        <v>54631</v>
      </c>
      <c r="D4101" t="str">
        <f>PROPER(Transactions!D4101)</f>
        <v>Electronics</v>
      </c>
      <c r="E4101" t="s">
        <v>77</v>
      </c>
      <c r="F4101" t="s">
        <v>78</v>
      </c>
      <c r="G4101">
        <v>3</v>
      </c>
      <c r="H4101">
        <v>499.99</v>
      </c>
      <c r="I4101" s="7">
        <f>IF(Transactions!I4101="",0,Transactions!I4101)</f>
        <v>0</v>
      </c>
      <c r="J4101" s="9">
        <f t="shared" si="64"/>
        <v>1499.97</v>
      </c>
      <c r="K4101" t="s">
        <v>16</v>
      </c>
      <c r="L4101" t="s">
        <v>17</v>
      </c>
      <c r="M4101" t="str">
        <f>REPLACE(Transactions!M4101,1,4,"")</f>
        <v>7</v>
      </c>
    </row>
    <row r="4102" spans="1:13" x14ac:dyDescent="0.2">
      <c r="A4102">
        <v>779562</v>
      </c>
      <c r="B4102" s="5">
        <v>45104</v>
      </c>
      <c r="C4102">
        <v>22399</v>
      </c>
      <c r="D4102" t="str">
        <f>PROPER(Transactions!D4102)</f>
        <v>Pharmacy</v>
      </c>
      <c r="E4102" t="s">
        <v>115</v>
      </c>
      <c r="F4102" t="s">
        <v>116</v>
      </c>
      <c r="G4102">
        <v>5</v>
      </c>
      <c r="H4102">
        <v>9.09</v>
      </c>
      <c r="I4102" s="7">
        <f>IF(Transactions!I4102="",0,Transactions!I4102)</f>
        <v>0.3</v>
      </c>
      <c r="J4102" s="9">
        <f t="shared" si="64"/>
        <v>31.815000000000001</v>
      </c>
      <c r="K4102" t="s">
        <v>53</v>
      </c>
      <c r="L4102" t="s">
        <v>17</v>
      </c>
      <c r="M4102" t="str">
        <f>REPLACE(Transactions!M4102,1,4,"")</f>
        <v>7</v>
      </c>
    </row>
    <row r="4103" spans="1:13" x14ac:dyDescent="0.2">
      <c r="A4103">
        <v>779654</v>
      </c>
      <c r="B4103" s="5">
        <v>44928</v>
      </c>
      <c r="C4103">
        <v>63409</v>
      </c>
      <c r="D4103" t="str">
        <f>PROPER(Transactions!D4103)</f>
        <v>Clothing</v>
      </c>
      <c r="E4103" t="s">
        <v>141</v>
      </c>
      <c r="F4103" t="s">
        <v>142</v>
      </c>
      <c r="G4103">
        <v>2</v>
      </c>
      <c r="H4103">
        <v>16.09</v>
      </c>
      <c r="I4103" s="7">
        <f>IF(Transactions!I4103="",0,Transactions!I4103)</f>
        <v>0.3</v>
      </c>
      <c r="J4103" s="9">
        <f t="shared" si="64"/>
        <v>22.526</v>
      </c>
      <c r="K4103" t="s">
        <v>95</v>
      </c>
      <c r="L4103" t="s">
        <v>17</v>
      </c>
      <c r="M4103" t="str">
        <f>REPLACE(Transactions!M4103,1,4,"")</f>
        <v>16</v>
      </c>
    </row>
    <row r="4104" spans="1:13" x14ac:dyDescent="0.2">
      <c r="A4104">
        <v>779776</v>
      </c>
      <c r="B4104" s="5">
        <v>45239</v>
      </c>
      <c r="C4104">
        <v>48669</v>
      </c>
      <c r="D4104" t="str">
        <f>PROPER(Transactions!D4104)</f>
        <v>Home &amp; Garden</v>
      </c>
      <c r="E4104" t="s">
        <v>157</v>
      </c>
      <c r="F4104" t="s">
        <v>158</v>
      </c>
      <c r="G4104">
        <v>3</v>
      </c>
      <c r="H4104">
        <v>13.49</v>
      </c>
      <c r="I4104" s="7">
        <f>IF(Transactions!I4104="",0,Transactions!I4104)</f>
        <v>0</v>
      </c>
      <c r="J4104" s="9">
        <f t="shared" si="64"/>
        <v>40.47</v>
      </c>
      <c r="K4104" t="s">
        <v>22</v>
      </c>
      <c r="L4104" t="s">
        <v>17</v>
      </c>
      <c r="M4104" t="str">
        <f>REPLACE(Transactions!M4104,1,4,"")</f>
        <v>11</v>
      </c>
    </row>
    <row r="4105" spans="1:13" x14ac:dyDescent="0.2">
      <c r="A4105">
        <v>779939</v>
      </c>
      <c r="B4105" s="5">
        <v>44724</v>
      </c>
      <c r="C4105">
        <v>92057</v>
      </c>
      <c r="D4105" t="str">
        <f>PROPER(Transactions!D4105)</f>
        <v>Home &amp; Garden</v>
      </c>
      <c r="E4105" t="s">
        <v>129</v>
      </c>
      <c r="F4105" t="s">
        <v>130</v>
      </c>
      <c r="G4105">
        <v>1</v>
      </c>
      <c r="H4105">
        <v>6.29</v>
      </c>
      <c r="I4105" s="7">
        <f>IF(Transactions!I4105="",0,Transactions!I4105)</f>
        <v>0.3</v>
      </c>
      <c r="J4105" s="9">
        <f t="shared" si="64"/>
        <v>4.4029999999999996</v>
      </c>
      <c r="K4105" t="s">
        <v>36</v>
      </c>
      <c r="L4105" t="s">
        <v>37</v>
      </c>
      <c r="M4105" t="str">
        <f>REPLACE(Transactions!M4105,1,4,"")</f>
        <v>12</v>
      </c>
    </row>
    <row r="4106" spans="1:13" x14ac:dyDescent="0.2">
      <c r="A4106">
        <v>780111</v>
      </c>
      <c r="B4106" s="5">
        <v>45039</v>
      </c>
      <c r="C4106">
        <v>86415</v>
      </c>
      <c r="D4106" t="str">
        <f>PROPER(Transactions!D4106)</f>
        <v>Sports</v>
      </c>
      <c r="E4106" t="s">
        <v>155</v>
      </c>
      <c r="F4106" t="s">
        <v>156</v>
      </c>
      <c r="G4106">
        <v>3</v>
      </c>
      <c r="H4106">
        <v>17.989999999999998</v>
      </c>
      <c r="I4106" s="7">
        <f>IF(Transactions!I4106="",0,Transactions!I4106)</f>
        <v>0.1</v>
      </c>
      <c r="J4106" s="9">
        <f t="shared" si="64"/>
        <v>48.573</v>
      </c>
      <c r="K4106" t="s">
        <v>16</v>
      </c>
      <c r="L4106" t="s">
        <v>17</v>
      </c>
      <c r="M4106" t="str">
        <f>REPLACE(Transactions!M4106,1,4,"")</f>
        <v>17</v>
      </c>
    </row>
    <row r="4107" spans="1:13" x14ac:dyDescent="0.2">
      <c r="A4107">
        <v>780212</v>
      </c>
      <c r="B4107" s="5">
        <v>45367</v>
      </c>
      <c r="C4107">
        <v>29876</v>
      </c>
      <c r="D4107" t="str">
        <f>PROPER(Transactions!D4107)</f>
        <v>Pharmacy</v>
      </c>
      <c r="E4107" t="s">
        <v>197</v>
      </c>
      <c r="F4107" t="s">
        <v>198</v>
      </c>
      <c r="G4107">
        <v>1</v>
      </c>
      <c r="H4107">
        <v>10.49</v>
      </c>
      <c r="I4107" s="7">
        <f>IF(Transactions!I4107="",0,Transactions!I4107)</f>
        <v>0.3</v>
      </c>
      <c r="J4107" s="9">
        <f t="shared" si="64"/>
        <v>7.343</v>
      </c>
      <c r="K4107" t="s">
        <v>22</v>
      </c>
      <c r="L4107" t="s">
        <v>17</v>
      </c>
      <c r="M4107" t="str">
        <f>REPLACE(Transactions!M4107,1,4,"")</f>
        <v>14</v>
      </c>
    </row>
    <row r="4108" spans="1:13" x14ac:dyDescent="0.2">
      <c r="A4108">
        <v>780394</v>
      </c>
      <c r="B4108" s="5">
        <v>44948</v>
      </c>
      <c r="C4108">
        <v>71919</v>
      </c>
      <c r="D4108" t="str">
        <f>PROPER(Transactions!D4108)</f>
        <v>Clothing</v>
      </c>
      <c r="E4108" t="s">
        <v>193</v>
      </c>
      <c r="F4108" t="s">
        <v>194</v>
      </c>
      <c r="G4108">
        <v>3</v>
      </c>
      <c r="H4108">
        <v>58.49</v>
      </c>
      <c r="I4108" s="7">
        <f>IF(Transactions!I4108="",0,Transactions!I4108)</f>
        <v>0.1</v>
      </c>
      <c r="J4108" s="9">
        <f t="shared" si="64"/>
        <v>157.923</v>
      </c>
      <c r="K4108" t="s">
        <v>36</v>
      </c>
      <c r="L4108" t="s">
        <v>37</v>
      </c>
      <c r="M4108" t="str">
        <f>REPLACE(Transactions!M4108,1,4,"")</f>
        <v>1</v>
      </c>
    </row>
    <row r="4109" spans="1:13" x14ac:dyDescent="0.2">
      <c r="A4109">
        <v>780450</v>
      </c>
      <c r="B4109" s="5">
        <v>44872</v>
      </c>
      <c r="C4109">
        <v>19646</v>
      </c>
      <c r="D4109" t="str">
        <f>PROPER(Transactions!D4109)</f>
        <v>Grocery</v>
      </c>
      <c r="E4109" t="s">
        <v>172</v>
      </c>
      <c r="F4109" t="s">
        <v>173</v>
      </c>
      <c r="G4109">
        <v>2</v>
      </c>
      <c r="H4109">
        <v>4.49</v>
      </c>
      <c r="I4109" s="7">
        <f>IF(Transactions!I4109="",0,Transactions!I4109)</f>
        <v>0</v>
      </c>
      <c r="J4109" s="9">
        <f t="shared" si="64"/>
        <v>8.98</v>
      </c>
      <c r="K4109" t="s">
        <v>22</v>
      </c>
      <c r="L4109" t="s">
        <v>17</v>
      </c>
      <c r="M4109" t="str">
        <f>REPLACE(Transactions!M4109,1,4,"")</f>
        <v>9</v>
      </c>
    </row>
    <row r="4110" spans="1:13" x14ac:dyDescent="0.2">
      <c r="A4110">
        <v>780482</v>
      </c>
      <c r="B4110" s="5">
        <v>45562</v>
      </c>
      <c r="C4110">
        <v>43118</v>
      </c>
      <c r="D4110" t="str">
        <f>PROPER(Transactions!D4110)</f>
        <v>Electronics</v>
      </c>
      <c r="E4110" t="s">
        <v>34</v>
      </c>
      <c r="F4110" t="s">
        <v>35</v>
      </c>
      <c r="G4110">
        <v>2</v>
      </c>
      <c r="H4110">
        <v>34.99</v>
      </c>
      <c r="I4110" s="7">
        <f>IF(Transactions!I4110="",0,Transactions!I4110)</f>
        <v>0</v>
      </c>
      <c r="J4110" s="9">
        <f t="shared" si="64"/>
        <v>69.98</v>
      </c>
      <c r="K4110" t="s">
        <v>32</v>
      </c>
      <c r="L4110" t="s">
        <v>17</v>
      </c>
      <c r="M4110" t="str">
        <f>REPLACE(Transactions!M4110,1,4,"")</f>
        <v>1</v>
      </c>
    </row>
    <row r="4111" spans="1:13" x14ac:dyDescent="0.2">
      <c r="A4111">
        <v>780541</v>
      </c>
      <c r="B4111" s="5">
        <v>44737</v>
      </c>
      <c r="C4111">
        <v>44328</v>
      </c>
      <c r="D4111" t="str">
        <f>PROPER(Transactions!D4111)</f>
        <v>Sports</v>
      </c>
      <c r="E4111" t="s">
        <v>83</v>
      </c>
      <c r="F4111" t="s">
        <v>84</v>
      </c>
      <c r="G4111">
        <v>4</v>
      </c>
      <c r="H4111">
        <v>14.44</v>
      </c>
      <c r="I4111" s="7">
        <f>IF(Transactions!I4111="",0,Transactions!I4111)</f>
        <v>0.15</v>
      </c>
      <c r="J4111" s="9">
        <f t="shared" si="64"/>
        <v>49.095999999999997</v>
      </c>
      <c r="K4111" t="s">
        <v>16</v>
      </c>
      <c r="L4111" t="s">
        <v>17</v>
      </c>
      <c r="M4111" t="str">
        <f>REPLACE(Transactions!M4111,1,4,"")</f>
        <v>8</v>
      </c>
    </row>
    <row r="4112" spans="1:13" x14ac:dyDescent="0.2">
      <c r="A4112">
        <v>780862</v>
      </c>
      <c r="B4112" s="5">
        <v>45363</v>
      </c>
      <c r="C4112">
        <v>44988</v>
      </c>
      <c r="D4112" t="str">
        <f>PROPER(Transactions!D4112)</f>
        <v>Sports</v>
      </c>
      <c r="E4112" t="s">
        <v>83</v>
      </c>
      <c r="F4112" t="s">
        <v>84</v>
      </c>
      <c r="G4112">
        <v>1</v>
      </c>
      <c r="H4112">
        <v>12.74</v>
      </c>
      <c r="I4112" s="7">
        <f>IF(Transactions!I4112="",0,Transactions!I4112)</f>
        <v>0.25</v>
      </c>
      <c r="J4112" s="9">
        <f t="shared" si="64"/>
        <v>9.5549999999999997</v>
      </c>
      <c r="K4112" t="s">
        <v>22</v>
      </c>
      <c r="L4112" t="s">
        <v>17</v>
      </c>
      <c r="M4112" t="str">
        <f>REPLACE(Transactions!M4112,1,4,"")</f>
        <v>14</v>
      </c>
    </row>
    <row r="4113" spans="1:13" x14ac:dyDescent="0.2">
      <c r="A4113">
        <v>780956</v>
      </c>
      <c r="B4113" s="5">
        <v>45299</v>
      </c>
      <c r="C4113">
        <v>23055</v>
      </c>
      <c r="D4113" t="str">
        <f>PROPER(Transactions!D4113)</f>
        <v>Toys</v>
      </c>
      <c r="E4113" t="s">
        <v>72</v>
      </c>
      <c r="F4113" t="s">
        <v>73</v>
      </c>
      <c r="G4113">
        <v>1</v>
      </c>
      <c r="H4113">
        <v>39.99</v>
      </c>
      <c r="I4113" s="7">
        <f>IF(Transactions!I4113="",0,Transactions!I4113)</f>
        <v>0</v>
      </c>
      <c r="J4113" s="9">
        <f t="shared" si="64"/>
        <v>39.99</v>
      </c>
      <c r="K4113" t="s">
        <v>36</v>
      </c>
      <c r="L4113" t="s">
        <v>23</v>
      </c>
      <c r="M4113" t="str">
        <f>REPLACE(Transactions!M4113,1,4,"")</f>
        <v>10</v>
      </c>
    </row>
    <row r="4114" spans="1:13" x14ac:dyDescent="0.2">
      <c r="A4114">
        <v>781290</v>
      </c>
      <c r="B4114" s="5">
        <v>44700</v>
      </c>
      <c r="C4114">
        <v>77558</v>
      </c>
      <c r="D4114" t="str">
        <f>PROPER(Transactions!D4114)</f>
        <v>Electronics</v>
      </c>
      <c r="E4114" t="s">
        <v>79</v>
      </c>
      <c r="F4114" t="s">
        <v>80</v>
      </c>
      <c r="G4114">
        <v>1</v>
      </c>
      <c r="H4114">
        <v>71.989999999999995</v>
      </c>
      <c r="I4114" s="7">
        <f>IF(Transactions!I4114="",0,Transactions!I4114)</f>
        <v>0.2</v>
      </c>
      <c r="J4114" s="9">
        <f t="shared" si="64"/>
        <v>57.591999999999999</v>
      </c>
      <c r="K4114" t="s">
        <v>95</v>
      </c>
      <c r="L4114" t="s">
        <v>17</v>
      </c>
      <c r="M4114" t="str">
        <f>REPLACE(Transactions!M4114,1,4,"")</f>
        <v>10</v>
      </c>
    </row>
    <row r="4115" spans="1:13" x14ac:dyDescent="0.2">
      <c r="A4115">
        <v>781371</v>
      </c>
      <c r="B4115" s="5">
        <v>45271</v>
      </c>
      <c r="C4115">
        <v>59744</v>
      </c>
      <c r="D4115" t="str">
        <f>PROPER(Transactions!D4115)</f>
        <v>Grocery</v>
      </c>
      <c r="E4115" t="s">
        <v>162</v>
      </c>
      <c r="F4115" t="s">
        <v>163</v>
      </c>
      <c r="G4115">
        <v>2</v>
      </c>
      <c r="H4115">
        <v>7.99</v>
      </c>
      <c r="I4115" s="7">
        <f>IF(Transactions!I4115="",0,Transactions!I4115)</f>
        <v>0</v>
      </c>
      <c r="J4115" s="9">
        <f t="shared" si="64"/>
        <v>15.98</v>
      </c>
      <c r="K4115" t="s">
        <v>36</v>
      </c>
      <c r="L4115" t="s">
        <v>23</v>
      </c>
      <c r="M4115" t="str">
        <f>REPLACE(Transactions!M4115,1,4,"")</f>
        <v>1</v>
      </c>
    </row>
    <row r="4116" spans="1:13" x14ac:dyDescent="0.2">
      <c r="A4116">
        <v>781603</v>
      </c>
      <c r="B4116" s="5">
        <v>44662</v>
      </c>
      <c r="C4116">
        <v>79105</v>
      </c>
      <c r="D4116" t="str">
        <f>PROPER(Transactions!D4116)</f>
        <v>Clothing</v>
      </c>
      <c r="E4116" t="s">
        <v>98</v>
      </c>
      <c r="F4116" t="s">
        <v>99</v>
      </c>
      <c r="G4116">
        <v>2</v>
      </c>
      <c r="H4116">
        <v>22.39</v>
      </c>
      <c r="I4116" s="7">
        <f>IF(Transactions!I4116="",0,Transactions!I4116)</f>
        <v>0.2</v>
      </c>
      <c r="J4116" s="9">
        <f t="shared" si="64"/>
        <v>35.824000000000005</v>
      </c>
      <c r="K4116" t="s">
        <v>16</v>
      </c>
      <c r="L4116" t="s">
        <v>17</v>
      </c>
      <c r="M4116" t="str">
        <f>REPLACE(Transactions!M4116,1,4,"")</f>
        <v>10</v>
      </c>
    </row>
    <row r="4117" spans="1:13" x14ac:dyDescent="0.2">
      <c r="A4117">
        <v>781944</v>
      </c>
      <c r="B4117" s="5">
        <v>45113</v>
      </c>
      <c r="C4117">
        <v>36723</v>
      </c>
      <c r="D4117" t="str">
        <f>PROPER(Transactions!D4117)</f>
        <v>Furniture</v>
      </c>
      <c r="E4117" t="s">
        <v>51</v>
      </c>
      <c r="F4117" t="s">
        <v>52</v>
      </c>
      <c r="G4117">
        <v>1</v>
      </c>
      <c r="H4117">
        <v>25.19</v>
      </c>
      <c r="I4117" s="7">
        <f>IF(Transactions!I4117="",0,Transactions!I4117)</f>
        <v>0.1</v>
      </c>
      <c r="J4117" s="9">
        <f t="shared" si="64"/>
        <v>22.671000000000003</v>
      </c>
      <c r="K4117" t="s">
        <v>32</v>
      </c>
      <c r="L4117" t="s">
        <v>17</v>
      </c>
      <c r="M4117" t="str">
        <f>REPLACE(Transactions!M4117,1,4,"")</f>
        <v>3</v>
      </c>
    </row>
    <row r="4118" spans="1:13" x14ac:dyDescent="0.2">
      <c r="A4118">
        <v>782030</v>
      </c>
      <c r="B4118" s="5">
        <v>45238</v>
      </c>
      <c r="C4118">
        <v>38064</v>
      </c>
      <c r="D4118" t="str">
        <f>PROPER(Transactions!D4118)</f>
        <v>Grocery</v>
      </c>
      <c r="E4118" t="s">
        <v>195</v>
      </c>
      <c r="F4118" t="s">
        <v>196</v>
      </c>
      <c r="G4118">
        <v>1</v>
      </c>
      <c r="H4118">
        <v>3.99</v>
      </c>
      <c r="I4118" s="7">
        <f>IF(Transactions!I4118="",0,Transactions!I4118)</f>
        <v>0.2</v>
      </c>
      <c r="J4118" s="9">
        <f t="shared" si="64"/>
        <v>3.1920000000000002</v>
      </c>
      <c r="K4118" t="s">
        <v>36</v>
      </c>
      <c r="L4118" t="s">
        <v>23</v>
      </c>
      <c r="M4118" t="str">
        <f>REPLACE(Transactions!M4118,1,4,"")</f>
        <v>10</v>
      </c>
    </row>
    <row r="4119" spans="1:13" x14ac:dyDescent="0.2">
      <c r="A4119">
        <v>782305</v>
      </c>
      <c r="B4119" s="5">
        <v>45627</v>
      </c>
      <c r="C4119">
        <v>31143</v>
      </c>
      <c r="D4119" t="str">
        <f>PROPER(Transactions!D4119)</f>
        <v>Toys</v>
      </c>
      <c r="E4119" t="s">
        <v>175</v>
      </c>
      <c r="F4119" t="s">
        <v>176</v>
      </c>
      <c r="G4119">
        <v>4</v>
      </c>
      <c r="H4119">
        <v>8.39</v>
      </c>
      <c r="I4119" s="7">
        <f>IF(Transactions!I4119="",0,Transactions!I4119)</f>
        <v>0.3</v>
      </c>
      <c r="J4119" s="9">
        <f t="shared" si="64"/>
        <v>23.492000000000001</v>
      </c>
      <c r="K4119" t="s">
        <v>16</v>
      </c>
      <c r="L4119" t="s">
        <v>23</v>
      </c>
      <c r="M4119" t="str">
        <f>REPLACE(Transactions!M4119,1,4,"")</f>
        <v>11</v>
      </c>
    </row>
    <row r="4120" spans="1:13" x14ac:dyDescent="0.2">
      <c r="A4120">
        <v>782316</v>
      </c>
      <c r="B4120" s="5">
        <v>44648</v>
      </c>
      <c r="C4120">
        <v>35219</v>
      </c>
      <c r="D4120" t="str">
        <f>PROPER(Transactions!D4120)</f>
        <v>Pharmacy</v>
      </c>
      <c r="E4120" t="s">
        <v>41</v>
      </c>
      <c r="F4120" t="s">
        <v>42</v>
      </c>
      <c r="G4120">
        <v>1</v>
      </c>
      <c r="H4120">
        <v>5.99</v>
      </c>
      <c r="I4120" s="7">
        <f>IF(Transactions!I4120="",0,Transactions!I4120)</f>
        <v>0</v>
      </c>
      <c r="J4120" s="9">
        <f t="shared" si="64"/>
        <v>5.99</v>
      </c>
      <c r="K4120" t="s">
        <v>36</v>
      </c>
      <c r="L4120" t="s">
        <v>17</v>
      </c>
      <c r="M4120" t="str">
        <f>REPLACE(Transactions!M4120,1,4,"")</f>
        <v>9</v>
      </c>
    </row>
    <row r="4121" spans="1:13" x14ac:dyDescent="0.2">
      <c r="A4121">
        <v>782355</v>
      </c>
      <c r="B4121" s="5">
        <v>45317</v>
      </c>
      <c r="C4121">
        <v>70613</v>
      </c>
      <c r="D4121" t="str">
        <f>PROPER(Transactions!D4121)</f>
        <v>Grocery</v>
      </c>
      <c r="E4121" t="s">
        <v>107</v>
      </c>
      <c r="F4121" t="s">
        <v>108</v>
      </c>
      <c r="G4121">
        <v>1</v>
      </c>
      <c r="H4121">
        <v>2.97</v>
      </c>
      <c r="I4121" s="7">
        <f>IF(Transactions!I4121="",0,Transactions!I4121)</f>
        <v>0.15</v>
      </c>
      <c r="J4121" s="9">
        <f t="shared" si="64"/>
        <v>2.5245000000000002</v>
      </c>
      <c r="K4121" t="s">
        <v>22</v>
      </c>
      <c r="L4121" t="s">
        <v>17</v>
      </c>
      <c r="M4121" t="str">
        <f>REPLACE(Transactions!M4121,1,4,"")</f>
        <v>19</v>
      </c>
    </row>
    <row r="4122" spans="1:13" x14ac:dyDescent="0.2">
      <c r="A4122">
        <v>782995</v>
      </c>
      <c r="B4122" s="5">
        <v>45027</v>
      </c>
      <c r="C4122">
        <v>90581</v>
      </c>
      <c r="D4122" t="str">
        <f>PROPER(Transactions!D4122)</f>
        <v>Home &amp; Garden</v>
      </c>
      <c r="E4122" t="s">
        <v>137</v>
      </c>
      <c r="F4122" t="s">
        <v>138</v>
      </c>
      <c r="G4122">
        <v>4</v>
      </c>
      <c r="H4122">
        <v>7.99</v>
      </c>
      <c r="I4122" s="7">
        <f>IF(Transactions!I4122="",0,Transactions!I4122)</f>
        <v>0</v>
      </c>
      <c r="J4122" s="9">
        <f t="shared" si="64"/>
        <v>31.96</v>
      </c>
      <c r="K4122" t="s">
        <v>95</v>
      </c>
      <c r="L4122" t="s">
        <v>17</v>
      </c>
      <c r="M4122" t="str">
        <f>REPLACE(Transactions!M4122,1,4,"")</f>
        <v>8</v>
      </c>
    </row>
    <row r="4123" spans="1:13" x14ac:dyDescent="0.2">
      <c r="A4123">
        <v>783052</v>
      </c>
      <c r="B4123" s="5">
        <v>44644</v>
      </c>
      <c r="C4123">
        <v>65508</v>
      </c>
      <c r="D4123" t="str">
        <f>PROPER(Transactions!D4123)</f>
        <v>Clothing</v>
      </c>
      <c r="E4123" t="s">
        <v>141</v>
      </c>
      <c r="F4123" t="s">
        <v>142</v>
      </c>
      <c r="G4123">
        <v>1</v>
      </c>
      <c r="H4123">
        <v>22.99</v>
      </c>
      <c r="I4123" s="7">
        <f>IF(Transactions!I4123="",0,Transactions!I4123)</f>
        <v>0</v>
      </c>
      <c r="J4123" s="9">
        <f t="shared" si="64"/>
        <v>22.99</v>
      </c>
      <c r="K4123" t="s">
        <v>36</v>
      </c>
      <c r="L4123" t="s">
        <v>17</v>
      </c>
      <c r="M4123" t="str">
        <f>REPLACE(Transactions!M4123,1,4,"")</f>
        <v>3</v>
      </c>
    </row>
    <row r="4124" spans="1:13" x14ac:dyDescent="0.2">
      <c r="A4124">
        <v>783157</v>
      </c>
      <c r="B4124" s="5">
        <v>44644</v>
      </c>
      <c r="C4124">
        <v>67132</v>
      </c>
      <c r="D4124" t="str">
        <f>PROPER(Transactions!D4124)</f>
        <v>Electronics</v>
      </c>
      <c r="E4124" t="s">
        <v>186</v>
      </c>
      <c r="F4124" t="s">
        <v>187</v>
      </c>
      <c r="G4124">
        <v>2</v>
      </c>
      <c r="H4124">
        <v>49.99</v>
      </c>
      <c r="I4124" s="7">
        <f>IF(Transactions!I4124="",0,Transactions!I4124)</f>
        <v>0</v>
      </c>
      <c r="J4124" s="9">
        <f t="shared" si="64"/>
        <v>99.98</v>
      </c>
      <c r="K4124" t="s">
        <v>66</v>
      </c>
      <c r="L4124" t="s">
        <v>17</v>
      </c>
      <c r="M4124" t="str">
        <f>REPLACE(Transactions!M4124,1,4,"")</f>
        <v>11</v>
      </c>
    </row>
    <row r="4125" spans="1:13" x14ac:dyDescent="0.2">
      <c r="A4125">
        <v>783521</v>
      </c>
      <c r="B4125" s="5">
        <v>44930</v>
      </c>
      <c r="C4125">
        <v>10768</v>
      </c>
      <c r="D4125" t="str">
        <f>PROPER(Transactions!D4125)</f>
        <v>Beauty</v>
      </c>
      <c r="E4125" t="s">
        <v>109</v>
      </c>
      <c r="F4125" t="s">
        <v>110</v>
      </c>
      <c r="G4125">
        <v>1</v>
      </c>
      <c r="H4125">
        <v>5.24</v>
      </c>
      <c r="I4125" s="7">
        <f>IF(Transactions!I4125="",0,Transactions!I4125)</f>
        <v>0.25</v>
      </c>
      <c r="J4125" s="9">
        <f t="shared" si="64"/>
        <v>3.93</v>
      </c>
      <c r="K4125" t="s">
        <v>22</v>
      </c>
      <c r="L4125" t="s">
        <v>17</v>
      </c>
      <c r="M4125" t="str">
        <f>REPLACE(Transactions!M4125,1,4,"")</f>
        <v>4</v>
      </c>
    </row>
    <row r="4126" spans="1:13" x14ac:dyDescent="0.2">
      <c r="A4126">
        <v>783782</v>
      </c>
      <c r="B4126" s="5">
        <v>44587</v>
      </c>
      <c r="C4126">
        <v>94723</v>
      </c>
      <c r="D4126" t="str">
        <f>PROPER(Transactions!D4126)</f>
        <v>Pharmacy</v>
      </c>
      <c r="E4126" t="s">
        <v>115</v>
      </c>
      <c r="F4126" t="s">
        <v>116</v>
      </c>
      <c r="G4126">
        <v>5</v>
      </c>
      <c r="H4126">
        <v>12.99</v>
      </c>
      <c r="I4126" s="7">
        <f>IF(Transactions!I4126="",0,Transactions!I4126)</f>
        <v>0</v>
      </c>
      <c r="J4126" s="9">
        <f t="shared" si="64"/>
        <v>64.95</v>
      </c>
      <c r="K4126" t="s">
        <v>16</v>
      </c>
      <c r="L4126" t="s">
        <v>37</v>
      </c>
      <c r="M4126" t="str">
        <f>REPLACE(Transactions!M4126,1,4,"")</f>
        <v>3</v>
      </c>
    </row>
    <row r="4127" spans="1:13" x14ac:dyDescent="0.2">
      <c r="A4127">
        <v>783889</v>
      </c>
      <c r="B4127" s="5">
        <v>44737</v>
      </c>
      <c r="C4127">
        <v>26548</v>
      </c>
      <c r="D4127" t="str">
        <f>PROPER(Transactions!D4127)</f>
        <v>Home &amp; Garden</v>
      </c>
      <c r="E4127" t="s">
        <v>157</v>
      </c>
      <c r="F4127" t="s">
        <v>158</v>
      </c>
      <c r="G4127">
        <v>2</v>
      </c>
      <c r="H4127">
        <v>11.47</v>
      </c>
      <c r="I4127" s="7">
        <f>IF(Transactions!I4127="",0,Transactions!I4127)</f>
        <v>0.15</v>
      </c>
      <c r="J4127" s="9">
        <f t="shared" si="64"/>
        <v>19.499000000000002</v>
      </c>
      <c r="K4127" t="s">
        <v>16</v>
      </c>
      <c r="L4127" t="s">
        <v>17</v>
      </c>
      <c r="M4127" t="str">
        <f>REPLACE(Transactions!M4127,1,4,"")</f>
        <v>2</v>
      </c>
    </row>
    <row r="4128" spans="1:13" x14ac:dyDescent="0.2">
      <c r="A4128">
        <v>784031</v>
      </c>
      <c r="B4128" s="5">
        <v>44909</v>
      </c>
      <c r="C4128">
        <v>14192</v>
      </c>
      <c r="D4128" t="str">
        <f>PROPER(Transactions!D4128)</f>
        <v>Clothing</v>
      </c>
      <c r="E4128" t="s">
        <v>193</v>
      </c>
      <c r="F4128" t="s">
        <v>194</v>
      </c>
      <c r="G4128">
        <v>1</v>
      </c>
      <c r="H4128">
        <v>64.989999999999995</v>
      </c>
      <c r="I4128" s="7">
        <f>IF(Transactions!I4128="",0,Transactions!I4128)</f>
        <v>0</v>
      </c>
      <c r="J4128" s="9">
        <f t="shared" si="64"/>
        <v>64.989999999999995</v>
      </c>
      <c r="K4128" t="s">
        <v>36</v>
      </c>
      <c r="L4128" t="s">
        <v>17</v>
      </c>
      <c r="M4128" t="str">
        <f>REPLACE(Transactions!M4128,1,4,"")</f>
        <v>10</v>
      </c>
    </row>
    <row r="4129" spans="1:13" x14ac:dyDescent="0.2">
      <c r="A4129">
        <v>784246</v>
      </c>
      <c r="B4129" s="5">
        <v>45351</v>
      </c>
      <c r="C4129">
        <v>56732</v>
      </c>
      <c r="D4129" t="str">
        <f>PROPER(Transactions!D4129)</f>
        <v>Clothing</v>
      </c>
      <c r="E4129" t="s">
        <v>181</v>
      </c>
      <c r="F4129" t="s">
        <v>182</v>
      </c>
      <c r="G4129">
        <v>1</v>
      </c>
      <c r="H4129">
        <v>10.49</v>
      </c>
      <c r="I4129" s="7">
        <f>IF(Transactions!I4129="",0,Transactions!I4129)</f>
        <v>0.3</v>
      </c>
      <c r="J4129" s="9">
        <f t="shared" si="64"/>
        <v>7.343</v>
      </c>
      <c r="K4129" t="s">
        <v>32</v>
      </c>
      <c r="L4129" t="s">
        <v>17</v>
      </c>
      <c r="M4129" t="str">
        <f>REPLACE(Transactions!M4129,1,4,"")</f>
        <v>14</v>
      </c>
    </row>
    <row r="4130" spans="1:13" x14ac:dyDescent="0.2">
      <c r="A4130">
        <v>784899</v>
      </c>
      <c r="B4130" s="5">
        <v>45618</v>
      </c>
      <c r="C4130">
        <v>74033</v>
      </c>
      <c r="D4130" t="str">
        <f>PROPER(Transactions!D4130)</f>
        <v>Furniture</v>
      </c>
      <c r="E4130" t="s">
        <v>70</v>
      </c>
      <c r="F4130" t="s">
        <v>71</v>
      </c>
      <c r="G4130">
        <v>1</v>
      </c>
      <c r="H4130">
        <v>85.49</v>
      </c>
      <c r="I4130" s="7">
        <f>IF(Transactions!I4130="",0,Transactions!I4130)</f>
        <v>0.05</v>
      </c>
      <c r="J4130" s="9">
        <f t="shared" si="64"/>
        <v>81.215499999999992</v>
      </c>
      <c r="K4130" t="s">
        <v>36</v>
      </c>
      <c r="L4130" t="s">
        <v>23</v>
      </c>
      <c r="M4130" t="str">
        <f>REPLACE(Transactions!M4130,1,4,"")</f>
        <v>13</v>
      </c>
    </row>
    <row r="4131" spans="1:13" x14ac:dyDescent="0.2">
      <c r="A4131">
        <v>785108</v>
      </c>
      <c r="B4131" s="5">
        <v>44828</v>
      </c>
      <c r="C4131">
        <v>20406</v>
      </c>
      <c r="D4131" t="str">
        <f>PROPER(Transactions!D4131)</f>
        <v>Electronics</v>
      </c>
      <c r="E4131" t="s">
        <v>77</v>
      </c>
      <c r="F4131" t="s">
        <v>78</v>
      </c>
      <c r="G4131">
        <v>5</v>
      </c>
      <c r="H4131">
        <v>424.99</v>
      </c>
      <c r="I4131" s="7">
        <f>IF(Transactions!I4131="",0,Transactions!I4131)</f>
        <v>0.15</v>
      </c>
      <c r="J4131" s="9">
        <f t="shared" si="64"/>
        <v>1806.2074999999998</v>
      </c>
      <c r="K4131" t="s">
        <v>16</v>
      </c>
      <c r="L4131" t="s">
        <v>17</v>
      </c>
      <c r="M4131" t="str">
        <f>REPLACE(Transactions!M4131,1,4,"")</f>
        <v>7</v>
      </c>
    </row>
    <row r="4132" spans="1:13" x14ac:dyDescent="0.2">
      <c r="A4132">
        <v>785119</v>
      </c>
      <c r="B4132" s="5">
        <v>45344</v>
      </c>
      <c r="C4132">
        <v>44691</v>
      </c>
      <c r="D4132" t="str">
        <f>PROPER(Transactions!D4132)</f>
        <v>Grocery</v>
      </c>
      <c r="E4132" t="s">
        <v>184</v>
      </c>
      <c r="F4132" t="s">
        <v>185</v>
      </c>
      <c r="G4132">
        <v>1</v>
      </c>
      <c r="H4132">
        <v>3.84</v>
      </c>
      <c r="I4132" s="7">
        <f>IF(Transactions!I4132="",0,Transactions!I4132)</f>
        <v>0.3</v>
      </c>
      <c r="J4132" s="9">
        <f t="shared" si="64"/>
        <v>2.6879999999999997</v>
      </c>
      <c r="K4132" t="s">
        <v>16</v>
      </c>
      <c r="L4132" t="s">
        <v>17</v>
      </c>
      <c r="M4132" t="str">
        <f>REPLACE(Transactions!M4132,1,4,"")</f>
        <v>3</v>
      </c>
    </row>
    <row r="4133" spans="1:13" x14ac:dyDescent="0.2">
      <c r="A4133">
        <v>785140</v>
      </c>
      <c r="B4133" s="5">
        <v>45217</v>
      </c>
      <c r="C4133">
        <v>82937</v>
      </c>
      <c r="D4133" t="str">
        <f>PROPER(Transactions!D4133)</f>
        <v>Automotive</v>
      </c>
      <c r="E4133" t="s">
        <v>125</v>
      </c>
      <c r="F4133" t="s">
        <v>126</v>
      </c>
      <c r="G4133">
        <v>2</v>
      </c>
      <c r="H4133">
        <v>20.99</v>
      </c>
      <c r="I4133" s="7">
        <f>IF(Transactions!I4133="",0,Transactions!I4133)</f>
        <v>0.3</v>
      </c>
      <c r="J4133" s="9">
        <f t="shared" si="64"/>
        <v>29.385999999999996</v>
      </c>
      <c r="K4133" t="s">
        <v>16</v>
      </c>
      <c r="L4133" t="s">
        <v>17</v>
      </c>
      <c r="M4133" t="str">
        <f>REPLACE(Transactions!M4133,1,4,"")</f>
        <v>2</v>
      </c>
    </row>
    <row r="4134" spans="1:13" x14ac:dyDescent="0.2">
      <c r="A4134">
        <v>785267</v>
      </c>
      <c r="B4134" s="5">
        <v>45375</v>
      </c>
      <c r="C4134">
        <v>67594</v>
      </c>
      <c r="D4134" t="str">
        <f>PROPER(Transactions!D4134)</f>
        <v>Sports</v>
      </c>
      <c r="E4134" t="s">
        <v>83</v>
      </c>
      <c r="F4134" t="s">
        <v>84</v>
      </c>
      <c r="G4134">
        <v>1</v>
      </c>
      <c r="H4134">
        <v>11.89</v>
      </c>
      <c r="I4134" s="7">
        <f>IF(Transactions!I4134="",0,Transactions!I4134)</f>
        <v>0.3</v>
      </c>
      <c r="J4134" s="9">
        <f t="shared" si="64"/>
        <v>8.3230000000000004</v>
      </c>
      <c r="K4134" t="s">
        <v>22</v>
      </c>
      <c r="L4134" t="s">
        <v>17</v>
      </c>
      <c r="M4134" t="str">
        <f>REPLACE(Transactions!M4134,1,4,"")</f>
        <v>8</v>
      </c>
    </row>
    <row r="4135" spans="1:13" x14ac:dyDescent="0.2">
      <c r="A4135">
        <v>785312</v>
      </c>
      <c r="B4135" s="5">
        <v>45651</v>
      </c>
      <c r="C4135">
        <v>71502</v>
      </c>
      <c r="D4135" t="str">
        <f>PROPER(Transactions!D4135)</f>
        <v>Sports</v>
      </c>
      <c r="E4135" t="s">
        <v>147</v>
      </c>
      <c r="F4135" t="s">
        <v>148</v>
      </c>
      <c r="G4135">
        <v>2</v>
      </c>
      <c r="H4135">
        <v>12.99</v>
      </c>
      <c r="I4135" s="7">
        <f>IF(Transactions!I4135="",0,Transactions!I4135)</f>
        <v>0</v>
      </c>
      <c r="J4135" s="9">
        <f t="shared" si="64"/>
        <v>25.98</v>
      </c>
      <c r="K4135" t="s">
        <v>16</v>
      </c>
      <c r="L4135" t="s">
        <v>17</v>
      </c>
      <c r="M4135" t="str">
        <f>REPLACE(Transactions!M4135,1,4,"")</f>
        <v>6</v>
      </c>
    </row>
    <row r="4136" spans="1:13" x14ac:dyDescent="0.2">
      <c r="A4136">
        <v>785386</v>
      </c>
      <c r="B4136" s="5">
        <v>45550</v>
      </c>
      <c r="C4136">
        <v>23272</v>
      </c>
      <c r="D4136" t="str">
        <f>PROPER(Transactions!D4136)</f>
        <v>Clothing</v>
      </c>
      <c r="E4136" t="s">
        <v>98</v>
      </c>
      <c r="F4136" t="s">
        <v>99</v>
      </c>
      <c r="G4136">
        <v>2</v>
      </c>
      <c r="H4136">
        <v>27.99</v>
      </c>
      <c r="I4136" s="7">
        <f>IF(Transactions!I4136="",0,Transactions!I4136)</f>
        <v>0</v>
      </c>
      <c r="J4136" s="9">
        <f t="shared" si="64"/>
        <v>55.98</v>
      </c>
      <c r="K4136" t="s">
        <v>16</v>
      </c>
      <c r="L4136" t="s">
        <v>37</v>
      </c>
      <c r="M4136" t="str">
        <f>REPLACE(Transactions!M4136,1,4,"")</f>
        <v>20</v>
      </c>
    </row>
    <row r="4137" spans="1:13" x14ac:dyDescent="0.2">
      <c r="A4137">
        <v>785836</v>
      </c>
      <c r="B4137" s="5">
        <v>45386</v>
      </c>
      <c r="C4137">
        <v>50645</v>
      </c>
      <c r="D4137" t="str">
        <f>PROPER(Transactions!D4137)</f>
        <v>Home &amp; Garden</v>
      </c>
      <c r="E4137" t="s">
        <v>153</v>
      </c>
      <c r="F4137" t="s">
        <v>154</v>
      </c>
      <c r="G4137">
        <v>3</v>
      </c>
      <c r="H4137">
        <v>26.99</v>
      </c>
      <c r="I4137" s="7">
        <f>IF(Transactions!I4137="",0,Transactions!I4137)</f>
        <v>0.1</v>
      </c>
      <c r="J4137" s="9">
        <f t="shared" si="64"/>
        <v>72.873000000000005</v>
      </c>
      <c r="K4137" t="s">
        <v>32</v>
      </c>
      <c r="L4137" t="s">
        <v>17</v>
      </c>
      <c r="M4137" t="str">
        <f>REPLACE(Transactions!M4137,1,4,"")</f>
        <v>2</v>
      </c>
    </row>
    <row r="4138" spans="1:13" x14ac:dyDescent="0.2">
      <c r="A4138">
        <v>786126</v>
      </c>
      <c r="B4138" s="5">
        <v>44893</v>
      </c>
      <c r="C4138">
        <v>71245</v>
      </c>
      <c r="D4138" t="str">
        <f>PROPER(Transactions!D4138)</f>
        <v>Home &amp; Garden</v>
      </c>
      <c r="E4138" t="s">
        <v>129</v>
      </c>
      <c r="F4138" t="s">
        <v>130</v>
      </c>
      <c r="G4138">
        <v>4</v>
      </c>
      <c r="H4138">
        <v>7.19</v>
      </c>
      <c r="I4138" s="7">
        <f>IF(Transactions!I4138="",0,Transactions!I4138)</f>
        <v>0</v>
      </c>
      <c r="J4138" s="9">
        <f t="shared" si="64"/>
        <v>28.76</v>
      </c>
      <c r="K4138" t="s">
        <v>36</v>
      </c>
      <c r="L4138" t="s">
        <v>17</v>
      </c>
      <c r="M4138" t="str">
        <f>REPLACE(Transactions!M4138,1,4,"")</f>
        <v>10</v>
      </c>
    </row>
    <row r="4139" spans="1:13" x14ac:dyDescent="0.2">
      <c r="A4139">
        <v>786152</v>
      </c>
      <c r="B4139" s="5">
        <v>44566</v>
      </c>
      <c r="C4139">
        <v>61352</v>
      </c>
      <c r="D4139" t="str">
        <f>PROPER(Transactions!D4139)</f>
        <v>Toys</v>
      </c>
      <c r="E4139" t="s">
        <v>72</v>
      </c>
      <c r="F4139" t="s">
        <v>73</v>
      </c>
      <c r="G4139">
        <v>2</v>
      </c>
      <c r="H4139">
        <v>31.99</v>
      </c>
      <c r="I4139" s="7">
        <f>IF(Transactions!I4139="",0,Transactions!I4139)</f>
        <v>0.2</v>
      </c>
      <c r="J4139" s="9">
        <f t="shared" si="64"/>
        <v>51.183999999999997</v>
      </c>
      <c r="K4139" t="s">
        <v>36</v>
      </c>
      <c r="L4139" t="s">
        <v>17</v>
      </c>
      <c r="M4139" t="str">
        <f>REPLACE(Transactions!M4139,1,4,"")</f>
        <v>11</v>
      </c>
    </row>
    <row r="4140" spans="1:13" x14ac:dyDescent="0.2">
      <c r="A4140">
        <v>786179</v>
      </c>
      <c r="B4140" s="5">
        <v>45109</v>
      </c>
      <c r="C4140">
        <v>66625</v>
      </c>
      <c r="D4140" t="str">
        <f>PROPER(Transactions!D4140)</f>
        <v>Pharmacy</v>
      </c>
      <c r="E4140" t="s">
        <v>115</v>
      </c>
      <c r="F4140" t="s">
        <v>116</v>
      </c>
      <c r="G4140">
        <v>1</v>
      </c>
      <c r="H4140">
        <v>12.34</v>
      </c>
      <c r="I4140" s="7">
        <f>IF(Transactions!I4140="",0,Transactions!I4140)</f>
        <v>0</v>
      </c>
      <c r="J4140" s="9">
        <f t="shared" si="64"/>
        <v>12.34</v>
      </c>
      <c r="K4140" t="s">
        <v>36</v>
      </c>
      <c r="L4140" t="s">
        <v>37</v>
      </c>
      <c r="M4140" t="str">
        <f>REPLACE(Transactions!M4140,1,4,"")</f>
        <v>19</v>
      </c>
    </row>
    <row r="4141" spans="1:13" x14ac:dyDescent="0.2">
      <c r="A4141">
        <v>786258</v>
      </c>
      <c r="B4141" s="5">
        <v>45552</v>
      </c>
      <c r="C4141">
        <v>77306</v>
      </c>
      <c r="D4141" t="str">
        <f>PROPER(Transactions!D4141)</f>
        <v>Toys</v>
      </c>
      <c r="E4141" t="s">
        <v>72</v>
      </c>
      <c r="F4141" t="s">
        <v>73</v>
      </c>
      <c r="G4141">
        <v>1</v>
      </c>
      <c r="H4141">
        <v>35.99</v>
      </c>
      <c r="I4141" s="7">
        <f>IF(Transactions!I4141="",0,Transactions!I4141)</f>
        <v>0.1</v>
      </c>
      <c r="J4141" s="9">
        <f t="shared" si="64"/>
        <v>32.391000000000005</v>
      </c>
      <c r="K4141" t="s">
        <v>36</v>
      </c>
      <c r="L4141" t="s">
        <v>17</v>
      </c>
      <c r="M4141" t="str">
        <f>REPLACE(Transactions!M4141,1,4,"")</f>
        <v>8</v>
      </c>
    </row>
    <row r="4142" spans="1:13" x14ac:dyDescent="0.2">
      <c r="A4142">
        <v>786371</v>
      </c>
      <c r="B4142" s="5">
        <v>45211</v>
      </c>
      <c r="C4142">
        <v>53776</v>
      </c>
      <c r="D4142" t="str">
        <f>PROPER(Transactions!D4142)</f>
        <v>Electronics</v>
      </c>
      <c r="E4142" t="s">
        <v>159</v>
      </c>
      <c r="F4142" t="s">
        <v>160</v>
      </c>
      <c r="G4142">
        <v>2</v>
      </c>
      <c r="H4142">
        <v>41.99</v>
      </c>
      <c r="I4142" s="7">
        <f>IF(Transactions!I4142="",0,Transactions!I4142)</f>
        <v>0.3</v>
      </c>
      <c r="J4142" s="9">
        <f t="shared" si="64"/>
        <v>58.786000000000001</v>
      </c>
      <c r="K4142" t="s">
        <v>16</v>
      </c>
      <c r="L4142" t="s">
        <v>17</v>
      </c>
      <c r="M4142" t="str">
        <f>REPLACE(Transactions!M4142,1,4,"")</f>
        <v>19</v>
      </c>
    </row>
    <row r="4143" spans="1:13" x14ac:dyDescent="0.2">
      <c r="A4143">
        <v>786433</v>
      </c>
      <c r="B4143" s="5">
        <v>44860</v>
      </c>
      <c r="C4143">
        <v>42254</v>
      </c>
      <c r="D4143" t="str">
        <f>PROPER(Transactions!D4143)</f>
        <v>Pharmacy</v>
      </c>
      <c r="E4143" t="s">
        <v>58</v>
      </c>
      <c r="F4143" t="s">
        <v>59</v>
      </c>
      <c r="G4143">
        <v>4</v>
      </c>
      <c r="H4143">
        <v>3.59</v>
      </c>
      <c r="I4143" s="7">
        <f>IF(Transactions!I4143="",0,Transactions!I4143)</f>
        <v>0.1</v>
      </c>
      <c r="J4143" s="9">
        <f t="shared" si="64"/>
        <v>12.923999999999999</v>
      </c>
      <c r="K4143" t="s">
        <v>22</v>
      </c>
      <c r="L4143" t="s">
        <v>37</v>
      </c>
      <c r="M4143" t="str">
        <f>REPLACE(Transactions!M4143,1,4,"")</f>
        <v>15</v>
      </c>
    </row>
    <row r="4144" spans="1:13" x14ac:dyDescent="0.2">
      <c r="A4144">
        <v>786462</v>
      </c>
      <c r="B4144" s="5">
        <v>45579</v>
      </c>
      <c r="C4144">
        <v>63679</v>
      </c>
      <c r="D4144" t="str">
        <f>PROPER(Transactions!D4144)</f>
        <v>Beauty</v>
      </c>
      <c r="E4144" t="s">
        <v>143</v>
      </c>
      <c r="F4144" t="s">
        <v>144</v>
      </c>
      <c r="G4144">
        <v>4</v>
      </c>
      <c r="H4144">
        <v>14.99</v>
      </c>
      <c r="I4144" s="7">
        <f>IF(Transactions!I4144="",0,Transactions!I4144)</f>
        <v>0</v>
      </c>
      <c r="J4144" s="9">
        <f t="shared" si="64"/>
        <v>59.96</v>
      </c>
      <c r="K4144" t="s">
        <v>16</v>
      </c>
      <c r="L4144" t="s">
        <v>17</v>
      </c>
      <c r="M4144" t="str">
        <f>REPLACE(Transactions!M4144,1,4,"")</f>
        <v>12</v>
      </c>
    </row>
    <row r="4145" spans="1:13" x14ac:dyDescent="0.2">
      <c r="A4145">
        <v>786581</v>
      </c>
      <c r="B4145" s="5">
        <v>44976</v>
      </c>
      <c r="C4145">
        <v>42690</v>
      </c>
      <c r="D4145" t="str">
        <f>PROPER(Transactions!D4145)</f>
        <v>Beauty</v>
      </c>
      <c r="E4145" t="s">
        <v>179</v>
      </c>
      <c r="F4145" t="s">
        <v>180</v>
      </c>
      <c r="G4145">
        <v>5</v>
      </c>
      <c r="H4145">
        <v>10.19</v>
      </c>
      <c r="I4145" s="7">
        <f>IF(Transactions!I4145="",0,Transactions!I4145)</f>
        <v>0.15</v>
      </c>
      <c r="J4145" s="9">
        <f t="shared" si="64"/>
        <v>43.307499999999997</v>
      </c>
      <c r="K4145" t="s">
        <v>36</v>
      </c>
      <c r="L4145" t="s">
        <v>37</v>
      </c>
      <c r="M4145" t="str">
        <f>REPLACE(Transactions!M4145,1,4,"")</f>
        <v>6</v>
      </c>
    </row>
    <row r="4146" spans="1:13" x14ac:dyDescent="0.2">
      <c r="A4146">
        <v>786661</v>
      </c>
      <c r="B4146" s="5">
        <v>45407</v>
      </c>
      <c r="C4146">
        <v>74008</v>
      </c>
      <c r="D4146" t="str">
        <f>PROPER(Transactions!D4146)</f>
        <v>Pharmacy</v>
      </c>
      <c r="E4146" t="s">
        <v>41</v>
      </c>
      <c r="F4146" t="s">
        <v>42</v>
      </c>
      <c r="G4146">
        <v>3</v>
      </c>
      <c r="H4146">
        <v>4.79</v>
      </c>
      <c r="I4146" s="7">
        <f>IF(Transactions!I4146="",0,Transactions!I4146)</f>
        <v>0.2</v>
      </c>
      <c r="J4146" s="9">
        <f t="shared" si="64"/>
        <v>11.496000000000002</v>
      </c>
      <c r="K4146" t="s">
        <v>16</v>
      </c>
      <c r="L4146" t="s">
        <v>17</v>
      </c>
      <c r="M4146" t="str">
        <f>REPLACE(Transactions!M4146,1,4,"")</f>
        <v>8</v>
      </c>
    </row>
    <row r="4147" spans="1:13" x14ac:dyDescent="0.2">
      <c r="A4147">
        <v>786663</v>
      </c>
      <c r="B4147" s="5">
        <v>45524</v>
      </c>
      <c r="C4147">
        <v>65764</v>
      </c>
      <c r="D4147" t="str">
        <f>PROPER(Transactions!D4147)</f>
        <v>Home &amp; Garden</v>
      </c>
      <c r="E4147" t="s">
        <v>129</v>
      </c>
      <c r="F4147" t="s">
        <v>130</v>
      </c>
      <c r="G4147">
        <v>1</v>
      </c>
      <c r="H4147">
        <v>8.99</v>
      </c>
      <c r="I4147" s="7">
        <f>IF(Transactions!I4147="",0,Transactions!I4147)</f>
        <v>0</v>
      </c>
      <c r="J4147" s="9">
        <f t="shared" si="64"/>
        <v>8.99</v>
      </c>
      <c r="K4147" t="s">
        <v>32</v>
      </c>
      <c r="L4147" t="s">
        <v>17</v>
      </c>
      <c r="M4147" t="str">
        <f>REPLACE(Transactions!M4147,1,4,"")</f>
        <v>18</v>
      </c>
    </row>
    <row r="4148" spans="1:13" x14ac:dyDescent="0.2">
      <c r="A4148">
        <v>786668</v>
      </c>
      <c r="B4148" s="5">
        <v>45586</v>
      </c>
      <c r="C4148">
        <v>21688</v>
      </c>
      <c r="D4148" t="str">
        <f>PROPER(Transactions!D4148)</f>
        <v>Pharmacy</v>
      </c>
      <c r="E4148" t="s">
        <v>115</v>
      </c>
      <c r="F4148" t="s">
        <v>116</v>
      </c>
      <c r="G4148">
        <v>4</v>
      </c>
      <c r="H4148">
        <v>11.69</v>
      </c>
      <c r="I4148" s="7">
        <f>IF(Transactions!I4148="",0,Transactions!I4148)</f>
        <v>0.1</v>
      </c>
      <c r="J4148" s="9">
        <f t="shared" si="64"/>
        <v>42.083999999999996</v>
      </c>
      <c r="K4148" t="s">
        <v>36</v>
      </c>
      <c r="L4148" t="s">
        <v>37</v>
      </c>
      <c r="M4148" t="str">
        <f>REPLACE(Transactions!M4148,1,4,"")</f>
        <v>10</v>
      </c>
    </row>
    <row r="4149" spans="1:13" x14ac:dyDescent="0.2">
      <c r="A4149">
        <v>786808</v>
      </c>
      <c r="B4149" s="5">
        <v>44731</v>
      </c>
      <c r="C4149">
        <v>59539</v>
      </c>
      <c r="D4149" t="str">
        <f>PROPER(Transactions!D4149)</f>
        <v>Furniture</v>
      </c>
      <c r="E4149" t="s">
        <v>113</v>
      </c>
      <c r="F4149" t="s">
        <v>114</v>
      </c>
      <c r="G4149">
        <v>3</v>
      </c>
      <c r="H4149">
        <v>113.99</v>
      </c>
      <c r="I4149" s="7">
        <f>IF(Transactions!I4149="",0,Transactions!I4149)</f>
        <v>0.05</v>
      </c>
      <c r="J4149" s="9">
        <f t="shared" si="64"/>
        <v>324.87149999999997</v>
      </c>
      <c r="K4149" t="s">
        <v>36</v>
      </c>
      <c r="L4149" t="s">
        <v>23</v>
      </c>
      <c r="M4149" t="str">
        <f>REPLACE(Transactions!M4149,1,4,"")</f>
        <v>5</v>
      </c>
    </row>
    <row r="4150" spans="1:13" x14ac:dyDescent="0.2">
      <c r="A4150">
        <v>786961</v>
      </c>
      <c r="B4150" s="5">
        <v>44852</v>
      </c>
      <c r="C4150">
        <v>51884</v>
      </c>
      <c r="D4150" t="str">
        <f>PROPER(Transactions!D4150)</f>
        <v>Grocery</v>
      </c>
      <c r="E4150" t="s">
        <v>45</v>
      </c>
      <c r="F4150" t="s">
        <v>46</v>
      </c>
      <c r="G4150">
        <v>1</v>
      </c>
      <c r="H4150">
        <v>1.7</v>
      </c>
      <c r="I4150" s="7">
        <f>IF(Transactions!I4150="",0,Transactions!I4150)</f>
        <v>0.05</v>
      </c>
      <c r="J4150" s="9">
        <f t="shared" si="64"/>
        <v>1.615</v>
      </c>
      <c r="K4150" t="s">
        <v>16</v>
      </c>
      <c r="L4150" t="s">
        <v>37</v>
      </c>
      <c r="M4150" t="str">
        <f>REPLACE(Transactions!M4150,1,4,"")</f>
        <v>6</v>
      </c>
    </row>
    <row r="4151" spans="1:13" x14ac:dyDescent="0.2">
      <c r="A4151">
        <v>787097</v>
      </c>
      <c r="B4151" s="5">
        <v>45277</v>
      </c>
      <c r="C4151">
        <v>38941</v>
      </c>
      <c r="D4151" t="str">
        <f>PROPER(Transactions!D4151)</f>
        <v>Grocery</v>
      </c>
      <c r="E4151" t="s">
        <v>74</v>
      </c>
      <c r="F4151" t="s">
        <v>75</v>
      </c>
      <c r="G4151">
        <v>1</v>
      </c>
      <c r="H4151">
        <v>2.09</v>
      </c>
      <c r="I4151" s="7">
        <f>IF(Transactions!I4151="",0,Transactions!I4151)</f>
        <v>0.3</v>
      </c>
      <c r="J4151" s="9">
        <f t="shared" si="64"/>
        <v>1.4629999999999999</v>
      </c>
      <c r="K4151" t="s">
        <v>16</v>
      </c>
      <c r="L4151" t="s">
        <v>17</v>
      </c>
      <c r="M4151" t="str">
        <f>REPLACE(Transactions!M4151,1,4,"")</f>
        <v/>
      </c>
    </row>
    <row r="4152" spans="1:13" x14ac:dyDescent="0.2">
      <c r="A4152">
        <v>787186</v>
      </c>
      <c r="B4152" s="5">
        <v>44671</v>
      </c>
      <c r="C4152">
        <v>49284</v>
      </c>
      <c r="D4152" t="str">
        <f>PROPER(Transactions!D4152)</f>
        <v>Sports</v>
      </c>
      <c r="E4152" t="s">
        <v>188</v>
      </c>
      <c r="F4152" t="s">
        <v>189</v>
      </c>
      <c r="G4152">
        <v>1</v>
      </c>
      <c r="H4152">
        <v>40.49</v>
      </c>
      <c r="I4152" s="7">
        <f>IF(Transactions!I4152="",0,Transactions!I4152)</f>
        <v>0.1</v>
      </c>
      <c r="J4152" s="9">
        <f t="shared" si="64"/>
        <v>36.441000000000003</v>
      </c>
      <c r="K4152" t="s">
        <v>16</v>
      </c>
      <c r="L4152" t="s">
        <v>17</v>
      </c>
      <c r="M4152" t="str">
        <f>REPLACE(Transactions!M4152,1,4,"")</f>
        <v>5</v>
      </c>
    </row>
    <row r="4153" spans="1:13" x14ac:dyDescent="0.2">
      <c r="A4153">
        <v>787351</v>
      </c>
      <c r="B4153" s="5">
        <v>44899</v>
      </c>
      <c r="C4153">
        <v>84930</v>
      </c>
      <c r="D4153" t="str">
        <f>PROPER(Transactions!D4153)</f>
        <v>Toys</v>
      </c>
      <c r="E4153" t="s">
        <v>170</v>
      </c>
      <c r="F4153" t="s">
        <v>171</v>
      </c>
      <c r="G4153">
        <v>5</v>
      </c>
      <c r="H4153">
        <v>14.99</v>
      </c>
      <c r="I4153" s="7">
        <f>IF(Transactions!I4153="",0,Transactions!I4153)</f>
        <v>0</v>
      </c>
      <c r="J4153" s="9">
        <f t="shared" si="64"/>
        <v>74.95</v>
      </c>
      <c r="K4153" t="s">
        <v>36</v>
      </c>
      <c r="L4153" t="s">
        <v>23</v>
      </c>
      <c r="M4153" t="str">
        <f>REPLACE(Transactions!M4153,1,4,"")</f>
        <v>9</v>
      </c>
    </row>
    <row r="4154" spans="1:13" x14ac:dyDescent="0.2">
      <c r="A4154">
        <v>787614</v>
      </c>
      <c r="B4154" s="5">
        <v>45249</v>
      </c>
      <c r="C4154">
        <v>79489</v>
      </c>
      <c r="D4154" t="str">
        <f>PROPER(Transactions!D4154)</f>
        <v>Home &amp; Garden</v>
      </c>
      <c r="E4154" t="s">
        <v>157</v>
      </c>
      <c r="F4154" t="s">
        <v>158</v>
      </c>
      <c r="G4154">
        <v>2</v>
      </c>
      <c r="H4154">
        <v>10.79</v>
      </c>
      <c r="I4154" s="7">
        <f>IF(Transactions!I4154="",0,Transactions!I4154)</f>
        <v>0.2</v>
      </c>
      <c r="J4154" s="9">
        <f t="shared" si="64"/>
        <v>17.263999999999999</v>
      </c>
      <c r="K4154" t="s">
        <v>36</v>
      </c>
      <c r="L4154" t="s">
        <v>17</v>
      </c>
      <c r="M4154" t="str">
        <f>REPLACE(Transactions!M4154,1,4,"")</f>
        <v>18</v>
      </c>
    </row>
    <row r="4155" spans="1:13" x14ac:dyDescent="0.2">
      <c r="A4155">
        <v>787768</v>
      </c>
      <c r="B4155" s="5">
        <v>44992</v>
      </c>
      <c r="C4155">
        <v>58738</v>
      </c>
      <c r="D4155" t="str">
        <f>PROPER(Transactions!D4155)</f>
        <v>Clothing</v>
      </c>
      <c r="E4155" t="s">
        <v>151</v>
      </c>
      <c r="F4155" t="s">
        <v>152</v>
      </c>
      <c r="G4155">
        <v>2</v>
      </c>
      <c r="H4155">
        <v>34.99</v>
      </c>
      <c r="I4155" s="7">
        <f>IF(Transactions!I4155="",0,Transactions!I4155)</f>
        <v>0</v>
      </c>
      <c r="J4155" s="9">
        <f t="shared" si="64"/>
        <v>69.98</v>
      </c>
      <c r="K4155" t="s">
        <v>16</v>
      </c>
      <c r="L4155" t="s">
        <v>17</v>
      </c>
      <c r="M4155" t="str">
        <f>REPLACE(Transactions!M4155,1,4,"")</f>
        <v>18</v>
      </c>
    </row>
    <row r="4156" spans="1:13" x14ac:dyDescent="0.2">
      <c r="A4156">
        <v>788320</v>
      </c>
      <c r="B4156" s="5">
        <v>45316</v>
      </c>
      <c r="C4156">
        <v>38576</v>
      </c>
      <c r="D4156" t="str">
        <f>PROPER(Transactions!D4156)</f>
        <v>Grocery</v>
      </c>
      <c r="E4156" t="s">
        <v>172</v>
      </c>
      <c r="F4156" t="s">
        <v>173</v>
      </c>
      <c r="G4156">
        <v>2</v>
      </c>
      <c r="H4156">
        <v>3.59</v>
      </c>
      <c r="I4156" s="7">
        <f>IF(Transactions!I4156="",0,Transactions!I4156)</f>
        <v>0.2</v>
      </c>
      <c r="J4156" s="9">
        <f t="shared" si="64"/>
        <v>5.7439999999999998</v>
      </c>
      <c r="K4156" t="s">
        <v>22</v>
      </c>
      <c r="L4156" t="s">
        <v>37</v>
      </c>
      <c r="M4156" t="str">
        <f>REPLACE(Transactions!M4156,1,4,"")</f>
        <v>3</v>
      </c>
    </row>
    <row r="4157" spans="1:13" x14ac:dyDescent="0.2">
      <c r="A4157">
        <v>788639</v>
      </c>
      <c r="B4157" s="5">
        <v>45281</v>
      </c>
      <c r="C4157">
        <v>82596</v>
      </c>
      <c r="D4157" t="str">
        <f>PROPER(Transactions!D4157)</f>
        <v>Sports</v>
      </c>
      <c r="E4157" t="s">
        <v>188</v>
      </c>
      <c r="F4157" t="s">
        <v>189</v>
      </c>
      <c r="G4157">
        <v>2</v>
      </c>
      <c r="H4157">
        <v>42.74</v>
      </c>
      <c r="I4157" s="7">
        <f>IF(Transactions!I4157="",0,Transactions!I4157)</f>
        <v>0.05</v>
      </c>
      <c r="J4157" s="9">
        <f t="shared" si="64"/>
        <v>81.206000000000003</v>
      </c>
      <c r="K4157" t="s">
        <v>16</v>
      </c>
      <c r="L4157" t="s">
        <v>37</v>
      </c>
      <c r="M4157" t="str">
        <f>REPLACE(Transactions!M4157,1,4,"")</f>
        <v>20</v>
      </c>
    </row>
    <row r="4158" spans="1:13" x14ac:dyDescent="0.2">
      <c r="A4158">
        <v>788733</v>
      </c>
      <c r="B4158" s="5">
        <v>45550</v>
      </c>
      <c r="C4158">
        <v>71592</v>
      </c>
      <c r="D4158" t="str">
        <f>PROPER(Transactions!D4158)</f>
        <v>Sports</v>
      </c>
      <c r="E4158" t="s">
        <v>83</v>
      </c>
      <c r="F4158" t="s">
        <v>84</v>
      </c>
      <c r="G4158">
        <v>1</v>
      </c>
      <c r="H4158">
        <v>16.989999999999998</v>
      </c>
      <c r="I4158" s="7">
        <f>IF(Transactions!I4158="",0,Transactions!I4158)</f>
        <v>0</v>
      </c>
      <c r="J4158" s="9">
        <f t="shared" si="64"/>
        <v>16.989999999999998</v>
      </c>
      <c r="K4158" t="s">
        <v>16</v>
      </c>
      <c r="L4158" t="s">
        <v>23</v>
      </c>
      <c r="M4158" t="str">
        <f>REPLACE(Transactions!M4158,1,4,"")</f>
        <v>13</v>
      </c>
    </row>
    <row r="4159" spans="1:13" x14ac:dyDescent="0.2">
      <c r="A4159">
        <v>788765</v>
      </c>
      <c r="B4159" s="5">
        <v>44936</v>
      </c>
      <c r="C4159">
        <v>23745</v>
      </c>
      <c r="D4159" t="str">
        <f>PROPER(Transactions!D4159)</f>
        <v>Clothing</v>
      </c>
      <c r="E4159" t="s">
        <v>98</v>
      </c>
      <c r="F4159" t="s">
        <v>99</v>
      </c>
      <c r="G4159">
        <v>1</v>
      </c>
      <c r="H4159">
        <v>20.99</v>
      </c>
      <c r="I4159" s="7">
        <f>IF(Transactions!I4159="",0,Transactions!I4159)</f>
        <v>0.25</v>
      </c>
      <c r="J4159" s="9">
        <f t="shared" si="64"/>
        <v>15.7425</v>
      </c>
      <c r="K4159" t="s">
        <v>22</v>
      </c>
      <c r="L4159" t="s">
        <v>17</v>
      </c>
      <c r="M4159" t="str">
        <f>REPLACE(Transactions!M4159,1,4,"")</f>
        <v>3</v>
      </c>
    </row>
    <row r="4160" spans="1:13" x14ac:dyDescent="0.2">
      <c r="A4160">
        <v>789087</v>
      </c>
      <c r="B4160" s="5">
        <v>44714</v>
      </c>
      <c r="C4160">
        <v>84315</v>
      </c>
      <c r="D4160" t="str">
        <f>PROPER(Transactions!D4160)</f>
        <v>Beauty</v>
      </c>
      <c r="E4160" t="s">
        <v>179</v>
      </c>
      <c r="F4160" t="s">
        <v>180</v>
      </c>
      <c r="G4160">
        <v>1</v>
      </c>
      <c r="H4160">
        <v>10.19</v>
      </c>
      <c r="I4160" s="7">
        <f>IF(Transactions!I4160="",0,Transactions!I4160)</f>
        <v>0.15</v>
      </c>
      <c r="J4160" s="9">
        <f t="shared" si="64"/>
        <v>8.6615000000000002</v>
      </c>
      <c r="K4160" t="s">
        <v>22</v>
      </c>
      <c r="L4160" t="s">
        <v>37</v>
      </c>
      <c r="M4160" t="str">
        <f>REPLACE(Transactions!M4160,1,4,"")</f>
        <v>2</v>
      </c>
    </row>
    <row r="4161" spans="1:13" x14ac:dyDescent="0.2">
      <c r="A4161">
        <v>789575</v>
      </c>
      <c r="B4161" s="5">
        <v>45372</v>
      </c>
      <c r="C4161">
        <v>32981</v>
      </c>
      <c r="D4161" t="str">
        <f>PROPER(Transactions!D4161)</f>
        <v>Pharmacy</v>
      </c>
      <c r="E4161" t="s">
        <v>197</v>
      </c>
      <c r="F4161" t="s">
        <v>198</v>
      </c>
      <c r="G4161">
        <v>1</v>
      </c>
      <c r="H4161">
        <v>13.49</v>
      </c>
      <c r="I4161" s="7">
        <f>IF(Transactions!I4161="",0,Transactions!I4161)</f>
        <v>0.1</v>
      </c>
      <c r="J4161" s="9">
        <f t="shared" si="64"/>
        <v>12.141</v>
      </c>
      <c r="K4161" t="s">
        <v>36</v>
      </c>
      <c r="L4161" t="s">
        <v>17</v>
      </c>
      <c r="M4161" t="str">
        <f>REPLACE(Transactions!M4161,1,4,"")</f>
        <v>18</v>
      </c>
    </row>
    <row r="4162" spans="1:13" x14ac:dyDescent="0.2">
      <c r="A4162">
        <v>789589</v>
      </c>
      <c r="B4162" s="5">
        <v>44726</v>
      </c>
      <c r="C4162">
        <v>23080</v>
      </c>
      <c r="D4162" t="str">
        <f>PROPER(Transactions!D4162)</f>
        <v>Toys</v>
      </c>
      <c r="E4162" t="s">
        <v>175</v>
      </c>
      <c r="F4162" t="s">
        <v>176</v>
      </c>
      <c r="G4162">
        <v>2</v>
      </c>
      <c r="H4162">
        <v>11.39</v>
      </c>
      <c r="I4162" s="7">
        <f>IF(Transactions!I4162="",0,Transactions!I4162)</f>
        <v>0.05</v>
      </c>
      <c r="J4162" s="9">
        <f t="shared" si="64"/>
        <v>21.641000000000002</v>
      </c>
      <c r="K4162" t="s">
        <v>95</v>
      </c>
      <c r="L4162" t="s">
        <v>17</v>
      </c>
      <c r="M4162" t="str">
        <f>REPLACE(Transactions!M4162,1,4,"")</f>
        <v>4</v>
      </c>
    </row>
    <row r="4163" spans="1:13" x14ac:dyDescent="0.2">
      <c r="A4163">
        <v>789661</v>
      </c>
      <c r="B4163" s="5">
        <v>44596</v>
      </c>
      <c r="C4163">
        <v>44412</v>
      </c>
      <c r="D4163" t="str">
        <f>PROPER(Transactions!D4163)</f>
        <v>Sports</v>
      </c>
      <c r="E4163" t="s">
        <v>155</v>
      </c>
      <c r="F4163" t="s">
        <v>156</v>
      </c>
      <c r="G4163">
        <v>1</v>
      </c>
      <c r="H4163">
        <v>19.989999999999998</v>
      </c>
      <c r="I4163" s="7">
        <f>IF(Transactions!I4163="",0,Transactions!I4163)</f>
        <v>0</v>
      </c>
      <c r="J4163" s="9">
        <f t="shared" ref="J4163:J4226" si="65">(H4163*G4163)*(1-I4163)</f>
        <v>19.989999999999998</v>
      </c>
      <c r="K4163" t="s">
        <v>32</v>
      </c>
      <c r="L4163" t="s">
        <v>37</v>
      </c>
      <c r="M4163" t="str">
        <f>REPLACE(Transactions!M4163,1,4,"")</f>
        <v>9</v>
      </c>
    </row>
    <row r="4164" spans="1:13" x14ac:dyDescent="0.2">
      <c r="A4164">
        <v>789966</v>
      </c>
      <c r="B4164" s="5">
        <v>44781</v>
      </c>
      <c r="C4164">
        <v>61868</v>
      </c>
      <c r="D4164" t="str">
        <f>PROPER(Transactions!D4164)</f>
        <v>Electronics</v>
      </c>
      <c r="E4164" t="s">
        <v>159</v>
      </c>
      <c r="F4164" t="s">
        <v>160</v>
      </c>
      <c r="G4164">
        <v>3</v>
      </c>
      <c r="H4164">
        <v>44.99</v>
      </c>
      <c r="I4164" s="7">
        <f>IF(Transactions!I4164="",0,Transactions!I4164)</f>
        <v>0.25</v>
      </c>
      <c r="J4164" s="9">
        <f t="shared" si="65"/>
        <v>101.22749999999999</v>
      </c>
      <c r="K4164" t="s">
        <v>95</v>
      </c>
      <c r="L4164" t="s">
        <v>37</v>
      </c>
      <c r="M4164" t="str">
        <f>REPLACE(Transactions!M4164,1,4,"")</f>
        <v>16</v>
      </c>
    </row>
    <row r="4165" spans="1:13" x14ac:dyDescent="0.2">
      <c r="A4165">
        <v>789976</v>
      </c>
      <c r="B4165" s="5">
        <v>44832</v>
      </c>
      <c r="C4165">
        <v>81562</v>
      </c>
      <c r="D4165" t="str">
        <f>PROPER(Transactions!D4165)</f>
        <v>Grocery</v>
      </c>
      <c r="E4165" t="s">
        <v>133</v>
      </c>
      <c r="F4165" t="s">
        <v>134</v>
      </c>
      <c r="G4165">
        <v>3</v>
      </c>
      <c r="H4165">
        <v>3.22</v>
      </c>
      <c r="I4165" s="7">
        <f>IF(Transactions!I4165="",0,Transactions!I4165)</f>
        <v>0.15</v>
      </c>
      <c r="J4165" s="9">
        <f t="shared" si="65"/>
        <v>8.2110000000000003</v>
      </c>
      <c r="K4165" t="s">
        <v>22</v>
      </c>
      <c r="L4165" t="s">
        <v>17</v>
      </c>
      <c r="M4165" t="str">
        <f>REPLACE(Transactions!M4165,1,4,"")</f>
        <v>20</v>
      </c>
    </row>
    <row r="4166" spans="1:13" x14ac:dyDescent="0.2">
      <c r="A4166">
        <v>789991</v>
      </c>
      <c r="B4166" s="5">
        <v>45001</v>
      </c>
      <c r="C4166">
        <v>64363</v>
      </c>
      <c r="D4166" t="str">
        <f>PROPER(Transactions!D4166)</f>
        <v>Beauty</v>
      </c>
      <c r="E4166" t="s">
        <v>139</v>
      </c>
      <c r="F4166" t="s">
        <v>140</v>
      </c>
      <c r="G4166">
        <v>1</v>
      </c>
      <c r="H4166">
        <v>7.59</v>
      </c>
      <c r="I4166" s="7">
        <f>IF(Transactions!I4166="",0,Transactions!I4166)</f>
        <v>0.05</v>
      </c>
      <c r="J4166" s="9">
        <f t="shared" si="65"/>
        <v>7.2104999999999997</v>
      </c>
      <c r="K4166" t="s">
        <v>22</v>
      </c>
      <c r="L4166" t="s">
        <v>23</v>
      </c>
      <c r="M4166" t="str">
        <f>REPLACE(Transactions!M4166,1,4,"")</f>
        <v>3</v>
      </c>
    </row>
    <row r="4167" spans="1:13" x14ac:dyDescent="0.2">
      <c r="A4167">
        <v>790309</v>
      </c>
      <c r="B4167" s="5">
        <v>45458</v>
      </c>
      <c r="D4167" t="str">
        <f>PROPER(Transactions!D4167)</f>
        <v>Clothing</v>
      </c>
      <c r="E4167" t="s">
        <v>165</v>
      </c>
      <c r="F4167" t="s">
        <v>166</v>
      </c>
      <c r="G4167">
        <v>1</v>
      </c>
      <c r="H4167">
        <v>85.49</v>
      </c>
      <c r="I4167" s="7">
        <f>IF(Transactions!I4167="",0,Transactions!I4167)</f>
        <v>0.05</v>
      </c>
      <c r="J4167" s="9">
        <f t="shared" si="65"/>
        <v>81.215499999999992</v>
      </c>
      <c r="K4167" t="s">
        <v>32</v>
      </c>
      <c r="L4167" t="s">
        <v>37</v>
      </c>
      <c r="M4167" t="str">
        <f>REPLACE(Transactions!M4167,1,4,"")</f>
        <v>5</v>
      </c>
    </row>
    <row r="4168" spans="1:13" x14ac:dyDescent="0.2">
      <c r="A4168">
        <v>790391</v>
      </c>
      <c r="B4168" s="5">
        <v>44898</v>
      </c>
      <c r="C4168">
        <v>14900</v>
      </c>
      <c r="D4168" t="str">
        <f>PROPER(Transactions!D4168)</f>
        <v>Grocery</v>
      </c>
      <c r="E4168" t="s">
        <v>184</v>
      </c>
      <c r="F4168" t="s">
        <v>185</v>
      </c>
      <c r="G4168">
        <v>3</v>
      </c>
      <c r="H4168">
        <v>4.3899999999999997</v>
      </c>
      <c r="I4168" s="7">
        <f>IF(Transactions!I4168="",0,Transactions!I4168)</f>
        <v>0.2</v>
      </c>
      <c r="J4168" s="9">
        <f t="shared" si="65"/>
        <v>10.536</v>
      </c>
      <c r="K4168" t="s">
        <v>16</v>
      </c>
      <c r="L4168" t="s">
        <v>17</v>
      </c>
      <c r="M4168" t="str">
        <f>REPLACE(Transactions!M4168,1,4,"")</f>
        <v>11</v>
      </c>
    </row>
    <row r="4169" spans="1:13" x14ac:dyDescent="0.2">
      <c r="A4169">
        <v>790727</v>
      </c>
      <c r="B4169" s="5">
        <v>45016</v>
      </c>
      <c r="D4169" t="str">
        <f>PROPER(Transactions!D4169)</f>
        <v>Automotive</v>
      </c>
      <c r="E4169" t="s">
        <v>64</v>
      </c>
      <c r="F4169" t="s">
        <v>65</v>
      </c>
      <c r="G4169">
        <v>1</v>
      </c>
      <c r="H4169">
        <v>3.49</v>
      </c>
      <c r="I4169" s="7">
        <f>IF(Transactions!I4169="",0,Transactions!I4169)</f>
        <v>0.3</v>
      </c>
      <c r="J4169" s="9">
        <f t="shared" si="65"/>
        <v>2.4430000000000001</v>
      </c>
      <c r="K4169" t="s">
        <v>16</v>
      </c>
      <c r="L4169" t="s">
        <v>17</v>
      </c>
      <c r="M4169" t="str">
        <f>REPLACE(Transactions!M4169,1,4,"")</f>
        <v>4</v>
      </c>
    </row>
    <row r="4170" spans="1:13" x14ac:dyDescent="0.2">
      <c r="A4170">
        <v>790746</v>
      </c>
      <c r="B4170" s="5">
        <v>45571</v>
      </c>
      <c r="C4170">
        <v>39960</v>
      </c>
      <c r="D4170" t="str">
        <f>PROPER(Transactions!D4170)</f>
        <v>Home &amp; Garden</v>
      </c>
      <c r="E4170" t="s">
        <v>149</v>
      </c>
      <c r="F4170" t="s">
        <v>150</v>
      </c>
      <c r="G4170">
        <v>3</v>
      </c>
      <c r="H4170">
        <v>17.989999999999998</v>
      </c>
      <c r="I4170" s="7">
        <f>IF(Transactions!I4170="",0,Transactions!I4170)</f>
        <v>0.1</v>
      </c>
      <c r="J4170" s="9">
        <f t="shared" si="65"/>
        <v>48.573</v>
      </c>
      <c r="K4170" t="s">
        <v>16</v>
      </c>
      <c r="L4170" t="s">
        <v>17</v>
      </c>
      <c r="M4170" t="str">
        <f>REPLACE(Transactions!M4170,1,4,"")</f>
        <v>9</v>
      </c>
    </row>
    <row r="4171" spans="1:13" x14ac:dyDescent="0.2">
      <c r="A4171">
        <v>790792</v>
      </c>
      <c r="B4171" s="5">
        <v>44847</v>
      </c>
      <c r="C4171">
        <v>34013</v>
      </c>
      <c r="D4171" t="str">
        <f>PROPER(Transactions!D4171)</f>
        <v>Grocery</v>
      </c>
      <c r="E4171" t="s">
        <v>93</v>
      </c>
      <c r="F4171" t="s">
        <v>94</v>
      </c>
      <c r="G4171">
        <v>1</v>
      </c>
      <c r="H4171">
        <v>1.29</v>
      </c>
      <c r="I4171" s="7">
        <f>IF(Transactions!I4171="",0,Transactions!I4171)</f>
        <v>0</v>
      </c>
      <c r="J4171" s="9">
        <f t="shared" si="65"/>
        <v>1.29</v>
      </c>
      <c r="K4171" t="s">
        <v>16</v>
      </c>
      <c r="L4171" t="s">
        <v>17</v>
      </c>
      <c r="M4171" t="str">
        <f>REPLACE(Transactions!M4171,1,4,"")</f>
        <v>12</v>
      </c>
    </row>
    <row r="4172" spans="1:13" x14ac:dyDescent="0.2">
      <c r="A4172">
        <v>790878</v>
      </c>
      <c r="B4172" s="5">
        <v>44699</v>
      </c>
      <c r="C4172">
        <v>17990</v>
      </c>
      <c r="D4172" t="str">
        <f>PROPER(Transactions!D4172)</f>
        <v>Furniture</v>
      </c>
      <c r="E4172" t="s">
        <v>26</v>
      </c>
      <c r="F4172" t="s">
        <v>27</v>
      </c>
      <c r="G4172">
        <v>5</v>
      </c>
      <c r="H4172">
        <v>27.99</v>
      </c>
      <c r="I4172" s="7">
        <f>IF(Transactions!I4172="",0,Transactions!I4172)</f>
        <v>0.2</v>
      </c>
      <c r="J4172" s="9">
        <f t="shared" si="65"/>
        <v>111.96</v>
      </c>
      <c r="K4172" t="s">
        <v>16</v>
      </c>
      <c r="L4172" t="s">
        <v>17</v>
      </c>
      <c r="M4172" t="str">
        <f>REPLACE(Transactions!M4172,1,4,"")</f>
        <v/>
      </c>
    </row>
    <row r="4173" spans="1:13" x14ac:dyDescent="0.2">
      <c r="A4173">
        <v>790964</v>
      </c>
      <c r="B4173" s="5">
        <v>45591</v>
      </c>
      <c r="C4173">
        <v>74644</v>
      </c>
      <c r="D4173" t="str">
        <f>PROPER(Transactions!D4173)</f>
        <v>Home &amp; Garden</v>
      </c>
      <c r="E4173" t="s">
        <v>129</v>
      </c>
      <c r="F4173" t="s">
        <v>130</v>
      </c>
      <c r="G4173">
        <v>5</v>
      </c>
      <c r="H4173">
        <v>8.99</v>
      </c>
      <c r="I4173" s="7">
        <f>IF(Transactions!I4173="",0,Transactions!I4173)</f>
        <v>0</v>
      </c>
      <c r="J4173" s="9">
        <f t="shared" si="65"/>
        <v>44.95</v>
      </c>
      <c r="K4173" t="s">
        <v>16</v>
      </c>
      <c r="L4173" t="s">
        <v>17</v>
      </c>
      <c r="M4173" t="str">
        <f>REPLACE(Transactions!M4173,1,4,"")</f>
        <v>4</v>
      </c>
    </row>
    <row r="4174" spans="1:13" x14ac:dyDescent="0.2">
      <c r="A4174">
        <v>791011</v>
      </c>
      <c r="B4174" s="5">
        <v>45295</v>
      </c>
      <c r="C4174">
        <v>87866</v>
      </c>
      <c r="D4174" t="str">
        <f>PROPER(Transactions!D4174)</f>
        <v>Automotive</v>
      </c>
      <c r="E4174" t="s">
        <v>125</v>
      </c>
      <c r="F4174" t="s">
        <v>126</v>
      </c>
      <c r="G4174">
        <v>5</v>
      </c>
      <c r="H4174">
        <v>22.49</v>
      </c>
      <c r="I4174" s="7">
        <f>IF(Transactions!I4174="",0,Transactions!I4174)</f>
        <v>0.25</v>
      </c>
      <c r="J4174" s="9">
        <f t="shared" si="65"/>
        <v>84.337499999999991</v>
      </c>
      <c r="K4174" t="s">
        <v>16</v>
      </c>
      <c r="L4174" t="s">
        <v>17</v>
      </c>
      <c r="M4174" t="str">
        <f>REPLACE(Transactions!M4174,1,4,"")</f>
        <v>8</v>
      </c>
    </row>
    <row r="4175" spans="1:13" x14ac:dyDescent="0.2">
      <c r="A4175">
        <v>791033</v>
      </c>
      <c r="B4175" s="5">
        <v>44971</v>
      </c>
      <c r="C4175">
        <v>46165</v>
      </c>
      <c r="D4175" t="str">
        <f>PROPER(Transactions!D4175)</f>
        <v>Grocery</v>
      </c>
      <c r="E4175" t="s">
        <v>93</v>
      </c>
      <c r="F4175" t="s">
        <v>94</v>
      </c>
      <c r="G4175">
        <v>3</v>
      </c>
      <c r="H4175">
        <v>1.03</v>
      </c>
      <c r="I4175" s="7">
        <f>IF(Transactions!I4175="",0,Transactions!I4175)</f>
        <v>0.2</v>
      </c>
      <c r="J4175" s="9">
        <f t="shared" si="65"/>
        <v>2.472</v>
      </c>
      <c r="K4175" t="s">
        <v>22</v>
      </c>
      <c r="L4175" t="s">
        <v>23</v>
      </c>
      <c r="M4175" t="str">
        <f>REPLACE(Transactions!M4175,1,4,"")</f>
        <v/>
      </c>
    </row>
    <row r="4176" spans="1:13" x14ac:dyDescent="0.2">
      <c r="A4176">
        <v>791163</v>
      </c>
      <c r="B4176" s="5">
        <v>44769</v>
      </c>
      <c r="C4176">
        <v>17477</v>
      </c>
      <c r="D4176" t="str">
        <f>PROPER(Transactions!D4176)</f>
        <v>Automotive</v>
      </c>
      <c r="E4176" t="s">
        <v>64</v>
      </c>
      <c r="F4176" t="s">
        <v>65</v>
      </c>
      <c r="G4176">
        <v>2</v>
      </c>
      <c r="H4176">
        <v>3.49</v>
      </c>
      <c r="I4176" s="7">
        <f>IF(Transactions!I4176="",0,Transactions!I4176)</f>
        <v>0.3</v>
      </c>
      <c r="J4176" s="9">
        <f t="shared" si="65"/>
        <v>4.8860000000000001</v>
      </c>
      <c r="K4176" t="s">
        <v>16</v>
      </c>
      <c r="L4176" t="s">
        <v>37</v>
      </c>
      <c r="M4176" t="str">
        <f>REPLACE(Transactions!M4176,1,4,"")</f>
        <v>5</v>
      </c>
    </row>
    <row r="4177" spans="1:13" x14ac:dyDescent="0.2">
      <c r="A4177">
        <v>791238</v>
      </c>
      <c r="B4177" s="5">
        <v>45238</v>
      </c>
      <c r="C4177">
        <v>86640</v>
      </c>
      <c r="D4177" t="str">
        <f>PROPER(Transactions!D4177)</f>
        <v>Toys</v>
      </c>
      <c r="E4177" t="s">
        <v>170</v>
      </c>
      <c r="F4177" t="s">
        <v>171</v>
      </c>
      <c r="G4177">
        <v>3</v>
      </c>
      <c r="H4177">
        <v>14.99</v>
      </c>
      <c r="I4177" s="7">
        <f>IF(Transactions!I4177="",0,Transactions!I4177)</f>
        <v>0</v>
      </c>
      <c r="J4177" s="9">
        <f t="shared" si="65"/>
        <v>44.97</v>
      </c>
      <c r="K4177" t="s">
        <v>22</v>
      </c>
      <c r="L4177" t="s">
        <v>37</v>
      </c>
      <c r="M4177" t="str">
        <f>REPLACE(Transactions!M4177,1,4,"")</f>
        <v>13</v>
      </c>
    </row>
    <row r="4178" spans="1:13" x14ac:dyDescent="0.2">
      <c r="A4178">
        <v>791278</v>
      </c>
      <c r="B4178" s="5">
        <v>44598</v>
      </c>
      <c r="C4178">
        <v>12813</v>
      </c>
      <c r="D4178" t="str">
        <f>PROPER(Transactions!D4178)</f>
        <v>Toys</v>
      </c>
      <c r="E4178" t="s">
        <v>175</v>
      </c>
      <c r="F4178" t="s">
        <v>176</v>
      </c>
      <c r="G4178">
        <v>5</v>
      </c>
      <c r="H4178">
        <v>11.99</v>
      </c>
      <c r="I4178" s="7">
        <f>IF(Transactions!I4178="",0,Transactions!I4178)</f>
        <v>0</v>
      </c>
      <c r="J4178" s="9">
        <f t="shared" si="65"/>
        <v>59.95</v>
      </c>
      <c r="K4178" t="s">
        <v>53</v>
      </c>
      <c r="L4178" t="s">
        <v>17</v>
      </c>
      <c r="M4178" t="str">
        <f>REPLACE(Transactions!M4178,1,4,"")</f>
        <v>2</v>
      </c>
    </row>
    <row r="4179" spans="1:13" x14ac:dyDescent="0.2">
      <c r="A4179">
        <v>791346</v>
      </c>
      <c r="B4179" s="5">
        <v>45545</v>
      </c>
      <c r="C4179">
        <v>28495</v>
      </c>
      <c r="D4179" t="str">
        <f>PROPER(Transactions!D4179)</f>
        <v>Beauty</v>
      </c>
      <c r="E4179" t="s">
        <v>143</v>
      </c>
      <c r="F4179" t="s">
        <v>144</v>
      </c>
      <c r="G4179">
        <v>2</v>
      </c>
      <c r="H4179">
        <v>11.24</v>
      </c>
      <c r="I4179" s="7">
        <f>IF(Transactions!I4179="",0,Transactions!I4179)</f>
        <v>0.25</v>
      </c>
      <c r="J4179" s="9">
        <f t="shared" si="65"/>
        <v>16.86</v>
      </c>
      <c r="K4179" t="s">
        <v>16</v>
      </c>
      <c r="L4179" t="s">
        <v>37</v>
      </c>
      <c r="M4179" t="str">
        <f>REPLACE(Transactions!M4179,1,4,"")</f>
        <v>19</v>
      </c>
    </row>
    <row r="4180" spans="1:13" x14ac:dyDescent="0.2">
      <c r="A4180">
        <v>791381</v>
      </c>
      <c r="B4180" s="5">
        <v>44768</v>
      </c>
      <c r="C4180">
        <v>35400</v>
      </c>
      <c r="D4180" t="str">
        <f>PROPER(Transactions!D4180)</f>
        <v>Pharmacy</v>
      </c>
      <c r="E4180" t="s">
        <v>20</v>
      </c>
      <c r="F4180" t="s">
        <v>21</v>
      </c>
      <c r="G4180">
        <v>1</v>
      </c>
      <c r="H4180">
        <v>9.99</v>
      </c>
      <c r="I4180" s="7">
        <f>IF(Transactions!I4180="",0,Transactions!I4180)</f>
        <v>0</v>
      </c>
      <c r="J4180" s="9">
        <f t="shared" si="65"/>
        <v>9.99</v>
      </c>
      <c r="K4180" t="s">
        <v>16</v>
      </c>
      <c r="L4180" t="s">
        <v>17</v>
      </c>
      <c r="M4180" t="str">
        <f>REPLACE(Transactions!M4180,1,4,"")</f>
        <v>18</v>
      </c>
    </row>
    <row r="4181" spans="1:13" x14ac:dyDescent="0.2">
      <c r="A4181">
        <v>791463</v>
      </c>
      <c r="B4181" s="5">
        <v>45144</v>
      </c>
      <c r="C4181">
        <v>70459</v>
      </c>
      <c r="D4181" t="str">
        <f>PROPER(Transactions!D4181)</f>
        <v>Clothing</v>
      </c>
      <c r="E4181" t="s">
        <v>165</v>
      </c>
      <c r="F4181" t="s">
        <v>166</v>
      </c>
      <c r="G4181">
        <v>3</v>
      </c>
      <c r="H4181">
        <v>85.49</v>
      </c>
      <c r="I4181" s="7">
        <f>IF(Transactions!I4181="",0,Transactions!I4181)</f>
        <v>0.05</v>
      </c>
      <c r="J4181" s="9">
        <f t="shared" si="65"/>
        <v>243.64649999999995</v>
      </c>
      <c r="K4181" t="s">
        <v>16</v>
      </c>
      <c r="L4181" t="s">
        <v>37</v>
      </c>
      <c r="M4181" t="str">
        <f>REPLACE(Transactions!M4181,1,4,"")</f>
        <v>11</v>
      </c>
    </row>
    <row r="4182" spans="1:13" x14ac:dyDescent="0.2">
      <c r="A4182">
        <v>792510</v>
      </c>
      <c r="B4182" s="5">
        <v>45568</v>
      </c>
      <c r="C4182">
        <v>39741</v>
      </c>
      <c r="D4182" t="str">
        <f>PROPER(Transactions!D4182)</f>
        <v>Furniture</v>
      </c>
      <c r="E4182" t="s">
        <v>51</v>
      </c>
      <c r="F4182" t="s">
        <v>52</v>
      </c>
      <c r="G4182">
        <v>3</v>
      </c>
      <c r="H4182">
        <v>27.99</v>
      </c>
      <c r="I4182" s="7">
        <f>IF(Transactions!I4182="",0,Transactions!I4182)</f>
        <v>0</v>
      </c>
      <c r="J4182" s="9">
        <f t="shared" si="65"/>
        <v>83.97</v>
      </c>
      <c r="K4182" t="s">
        <v>36</v>
      </c>
      <c r="L4182" t="s">
        <v>17</v>
      </c>
      <c r="M4182" t="str">
        <f>REPLACE(Transactions!M4182,1,4,"")</f>
        <v>17</v>
      </c>
    </row>
    <row r="4183" spans="1:13" x14ac:dyDescent="0.2">
      <c r="A4183">
        <v>792561</v>
      </c>
      <c r="B4183" s="5">
        <v>44939</v>
      </c>
      <c r="C4183">
        <v>46226</v>
      </c>
      <c r="D4183" t="str">
        <f>PROPER(Transactions!D4183)</f>
        <v>Furniture</v>
      </c>
      <c r="E4183" t="s">
        <v>70</v>
      </c>
      <c r="F4183" t="s">
        <v>71</v>
      </c>
      <c r="G4183">
        <v>1</v>
      </c>
      <c r="H4183">
        <v>80.989999999999995</v>
      </c>
      <c r="I4183" s="7">
        <f>IF(Transactions!I4183="",0,Transactions!I4183)</f>
        <v>0.1</v>
      </c>
      <c r="J4183" s="9">
        <f t="shared" si="65"/>
        <v>72.890999999999991</v>
      </c>
      <c r="K4183" t="s">
        <v>95</v>
      </c>
      <c r="L4183" t="s">
        <v>17</v>
      </c>
      <c r="M4183" t="str">
        <f>REPLACE(Transactions!M4183,1,4,"")</f>
        <v>16</v>
      </c>
    </row>
    <row r="4184" spans="1:13" x14ac:dyDescent="0.2">
      <c r="A4184">
        <v>792722</v>
      </c>
      <c r="B4184" s="5">
        <v>44696</v>
      </c>
      <c r="C4184">
        <v>78890</v>
      </c>
      <c r="D4184" t="str">
        <f>PROPER(Transactions!D4184)</f>
        <v>Clothing</v>
      </c>
      <c r="E4184" t="s">
        <v>141</v>
      </c>
      <c r="F4184" t="s">
        <v>142</v>
      </c>
      <c r="G4184">
        <v>1</v>
      </c>
      <c r="H4184">
        <v>20.69</v>
      </c>
      <c r="I4184" s="7">
        <f>IF(Transactions!I4184="",0,Transactions!I4184)</f>
        <v>0.1</v>
      </c>
      <c r="J4184" s="9">
        <f t="shared" si="65"/>
        <v>18.621000000000002</v>
      </c>
      <c r="K4184" t="s">
        <v>53</v>
      </c>
      <c r="L4184" t="s">
        <v>37</v>
      </c>
      <c r="M4184" t="str">
        <f>REPLACE(Transactions!M4184,1,4,"")</f>
        <v>8</v>
      </c>
    </row>
    <row r="4185" spans="1:13" x14ac:dyDescent="0.2">
      <c r="A4185">
        <v>792912</v>
      </c>
      <c r="B4185" s="5">
        <v>45085</v>
      </c>
      <c r="C4185">
        <v>83184</v>
      </c>
      <c r="D4185" t="str">
        <f>PROPER(Transactions!D4185)</f>
        <v>Home &amp; Garden</v>
      </c>
      <c r="E4185" t="s">
        <v>153</v>
      </c>
      <c r="F4185" t="s">
        <v>154</v>
      </c>
      <c r="G4185">
        <v>1</v>
      </c>
      <c r="H4185">
        <v>26.99</v>
      </c>
      <c r="I4185" s="7">
        <f>IF(Transactions!I4185="",0,Transactions!I4185)</f>
        <v>0.1</v>
      </c>
      <c r="J4185" s="9">
        <f t="shared" si="65"/>
        <v>24.291</v>
      </c>
      <c r="K4185" t="s">
        <v>95</v>
      </c>
      <c r="L4185" t="s">
        <v>37</v>
      </c>
      <c r="M4185" t="str">
        <f>REPLACE(Transactions!M4185,1,4,"")</f>
        <v>5</v>
      </c>
    </row>
    <row r="4186" spans="1:13" x14ac:dyDescent="0.2">
      <c r="A4186">
        <v>792939</v>
      </c>
      <c r="B4186" s="5">
        <v>44655</v>
      </c>
      <c r="C4186">
        <v>82981</v>
      </c>
      <c r="D4186" t="str">
        <f>PROPER(Transactions!D4186)</f>
        <v>Sports</v>
      </c>
      <c r="E4186" t="s">
        <v>147</v>
      </c>
      <c r="F4186" t="s">
        <v>148</v>
      </c>
      <c r="G4186">
        <v>3</v>
      </c>
      <c r="H4186">
        <v>11.04</v>
      </c>
      <c r="I4186" s="7">
        <f>IF(Transactions!I4186="",0,Transactions!I4186)</f>
        <v>0.15</v>
      </c>
      <c r="J4186" s="9">
        <f t="shared" si="65"/>
        <v>28.151999999999997</v>
      </c>
      <c r="K4186" t="s">
        <v>36</v>
      </c>
      <c r="L4186" t="s">
        <v>17</v>
      </c>
      <c r="M4186" t="str">
        <f>REPLACE(Transactions!M4186,1,4,"")</f>
        <v>7</v>
      </c>
    </row>
    <row r="4187" spans="1:13" x14ac:dyDescent="0.2">
      <c r="A4187">
        <v>792949</v>
      </c>
      <c r="B4187" s="5">
        <v>45049</v>
      </c>
      <c r="D4187" t="str">
        <f>PROPER(Transactions!D4187)</f>
        <v>Home &amp; Garden</v>
      </c>
      <c r="E4187" t="s">
        <v>86</v>
      </c>
      <c r="F4187" t="s">
        <v>87</v>
      </c>
      <c r="G4187">
        <v>1</v>
      </c>
      <c r="H4187">
        <v>11.69</v>
      </c>
      <c r="I4187" s="7">
        <f>IF(Transactions!I4187="",0,Transactions!I4187)</f>
        <v>0.1</v>
      </c>
      <c r="J4187" s="9">
        <f t="shared" si="65"/>
        <v>10.520999999999999</v>
      </c>
      <c r="K4187" t="s">
        <v>16</v>
      </c>
      <c r="L4187" t="s">
        <v>17</v>
      </c>
      <c r="M4187" t="str">
        <f>REPLACE(Transactions!M4187,1,4,"")</f>
        <v>6</v>
      </c>
    </row>
    <row r="4188" spans="1:13" x14ac:dyDescent="0.2">
      <c r="A4188">
        <v>793127</v>
      </c>
      <c r="B4188" s="5">
        <v>44714</v>
      </c>
      <c r="C4188">
        <v>24354</v>
      </c>
      <c r="D4188" t="str">
        <f>PROPER(Transactions!D4188)</f>
        <v>Beauty</v>
      </c>
      <c r="E4188" t="s">
        <v>143</v>
      </c>
      <c r="F4188" t="s">
        <v>144</v>
      </c>
      <c r="G4188">
        <v>1</v>
      </c>
      <c r="H4188">
        <v>11.99</v>
      </c>
      <c r="I4188" s="7">
        <f>IF(Transactions!I4188="",0,Transactions!I4188)</f>
        <v>0.2</v>
      </c>
      <c r="J4188" s="9">
        <f t="shared" si="65"/>
        <v>9.5920000000000005</v>
      </c>
      <c r="K4188" t="s">
        <v>95</v>
      </c>
      <c r="L4188" t="s">
        <v>17</v>
      </c>
      <c r="M4188" t="str">
        <f>REPLACE(Transactions!M4188,1,4,"")</f>
        <v>18</v>
      </c>
    </row>
    <row r="4189" spans="1:13" x14ac:dyDescent="0.2">
      <c r="A4189">
        <v>793176</v>
      </c>
      <c r="B4189" s="5">
        <v>45375</v>
      </c>
      <c r="C4189">
        <v>35116</v>
      </c>
      <c r="D4189" t="str">
        <f>PROPER(Transactions!D4189)</f>
        <v>Home &amp; Garden</v>
      </c>
      <c r="E4189" t="s">
        <v>157</v>
      </c>
      <c r="F4189" t="s">
        <v>158</v>
      </c>
      <c r="G4189">
        <v>2</v>
      </c>
      <c r="H4189">
        <v>10.119999999999999</v>
      </c>
      <c r="I4189" s="7">
        <f>IF(Transactions!I4189="",0,Transactions!I4189)</f>
        <v>0.25</v>
      </c>
      <c r="J4189" s="9">
        <f t="shared" si="65"/>
        <v>15.18</v>
      </c>
      <c r="K4189" t="s">
        <v>53</v>
      </c>
      <c r="L4189" t="s">
        <v>17</v>
      </c>
      <c r="M4189" t="str">
        <f>REPLACE(Transactions!M4189,1,4,"")</f>
        <v>17</v>
      </c>
    </row>
    <row r="4190" spans="1:13" x14ac:dyDescent="0.2">
      <c r="A4190">
        <v>793285</v>
      </c>
      <c r="B4190" s="5">
        <v>44938</v>
      </c>
      <c r="C4190">
        <v>24916</v>
      </c>
      <c r="D4190" t="str">
        <f>PROPER(Transactions!D4190)</f>
        <v>Home &amp; Garden</v>
      </c>
      <c r="E4190" t="s">
        <v>145</v>
      </c>
      <c r="F4190" t="s">
        <v>146</v>
      </c>
      <c r="G4190">
        <v>1</v>
      </c>
      <c r="H4190">
        <v>16.989999999999998</v>
      </c>
      <c r="I4190" s="7">
        <f>IF(Transactions!I4190="",0,Transactions!I4190)</f>
        <v>0</v>
      </c>
      <c r="J4190" s="9">
        <f t="shared" si="65"/>
        <v>16.989999999999998</v>
      </c>
      <c r="K4190" t="s">
        <v>36</v>
      </c>
      <c r="L4190" t="s">
        <v>37</v>
      </c>
      <c r="M4190" t="str">
        <f>REPLACE(Transactions!M4190,1,4,"")</f>
        <v>7</v>
      </c>
    </row>
    <row r="4191" spans="1:13" x14ac:dyDescent="0.2">
      <c r="A4191">
        <v>793342</v>
      </c>
      <c r="B4191" s="5">
        <v>45329</v>
      </c>
      <c r="C4191">
        <v>13988</v>
      </c>
      <c r="D4191" t="str">
        <f>PROPER(Transactions!D4191)</f>
        <v>Grocery</v>
      </c>
      <c r="E4191" t="s">
        <v>107</v>
      </c>
      <c r="F4191" t="s">
        <v>108</v>
      </c>
      <c r="G4191">
        <v>1</v>
      </c>
      <c r="H4191">
        <v>3.49</v>
      </c>
      <c r="I4191" s="7">
        <f>IF(Transactions!I4191="",0,Transactions!I4191)</f>
        <v>0</v>
      </c>
      <c r="J4191" s="9">
        <f t="shared" si="65"/>
        <v>3.49</v>
      </c>
      <c r="K4191" t="s">
        <v>36</v>
      </c>
      <c r="L4191" t="s">
        <v>23</v>
      </c>
      <c r="M4191" t="str">
        <f>REPLACE(Transactions!M4191,1,4,"")</f>
        <v>18</v>
      </c>
    </row>
    <row r="4192" spans="1:13" x14ac:dyDescent="0.2">
      <c r="A4192">
        <v>793422</v>
      </c>
      <c r="B4192" s="5">
        <v>45231</v>
      </c>
      <c r="C4192">
        <v>51466</v>
      </c>
      <c r="D4192" t="str">
        <f>PROPER(Transactions!D4192)</f>
        <v>Furniture</v>
      </c>
      <c r="E4192" t="s">
        <v>70</v>
      </c>
      <c r="F4192" t="s">
        <v>71</v>
      </c>
      <c r="G4192">
        <v>2</v>
      </c>
      <c r="H4192">
        <v>89.99</v>
      </c>
      <c r="I4192" s="7">
        <f>IF(Transactions!I4192="",0,Transactions!I4192)</f>
        <v>0</v>
      </c>
      <c r="J4192" s="9">
        <f t="shared" si="65"/>
        <v>179.98</v>
      </c>
      <c r="K4192" t="s">
        <v>36</v>
      </c>
      <c r="L4192" t="s">
        <v>17</v>
      </c>
      <c r="M4192" t="str">
        <f>REPLACE(Transactions!M4192,1,4,"")</f>
        <v/>
      </c>
    </row>
    <row r="4193" spans="1:13" x14ac:dyDescent="0.2">
      <c r="A4193">
        <v>793771</v>
      </c>
      <c r="B4193" s="5">
        <v>45578</v>
      </c>
      <c r="C4193">
        <v>84917</v>
      </c>
      <c r="D4193" t="str">
        <f>PROPER(Transactions!D4193)</f>
        <v>Electronics</v>
      </c>
      <c r="E4193" t="s">
        <v>14</v>
      </c>
      <c r="F4193" t="s">
        <v>15</v>
      </c>
      <c r="G4193">
        <v>1</v>
      </c>
      <c r="H4193">
        <v>79.989999999999995</v>
      </c>
      <c r="I4193" s="7">
        <f>IF(Transactions!I4193="",0,Transactions!I4193)</f>
        <v>0</v>
      </c>
      <c r="J4193" s="9">
        <f t="shared" si="65"/>
        <v>79.989999999999995</v>
      </c>
      <c r="K4193" t="s">
        <v>95</v>
      </c>
      <c r="L4193" t="s">
        <v>17</v>
      </c>
      <c r="M4193" t="str">
        <f>REPLACE(Transactions!M4193,1,4,"")</f>
        <v>5</v>
      </c>
    </row>
    <row r="4194" spans="1:13" x14ac:dyDescent="0.2">
      <c r="A4194">
        <v>793780</v>
      </c>
      <c r="B4194" s="5">
        <v>44979</v>
      </c>
      <c r="C4194">
        <v>80103</v>
      </c>
      <c r="D4194" t="str">
        <f>PROPER(Transactions!D4194)</f>
        <v>Clothing</v>
      </c>
      <c r="E4194" t="s">
        <v>135</v>
      </c>
      <c r="F4194" t="s">
        <v>136</v>
      </c>
      <c r="G4194">
        <v>3</v>
      </c>
      <c r="H4194">
        <v>9.99</v>
      </c>
      <c r="I4194" s="7">
        <f>IF(Transactions!I4194="",0,Transactions!I4194)</f>
        <v>0</v>
      </c>
      <c r="J4194" s="9">
        <f t="shared" si="65"/>
        <v>29.97</v>
      </c>
      <c r="K4194" t="s">
        <v>16</v>
      </c>
      <c r="L4194" t="s">
        <v>17</v>
      </c>
      <c r="M4194" t="str">
        <f>REPLACE(Transactions!M4194,1,4,"")</f>
        <v>7</v>
      </c>
    </row>
    <row r="4195" spans="1:13" x14ac:dyDescent="0.2">
      <c r="A4195">
        <v>793916</v>
      </c>
      <c r="B4195" s="5">
        <v>44797</v>
      </c>
      <c r="C4195">
        <v>69778</v>
      </c>
      <c r="D4195" t="str">
        <f>PROPER(Transactions!D4195)</f>
        <v>Home &amp; Garden</v>
      </c>
      <c r="E4195" t="s">
        <v>129</v>
      </c>
      <c r="F4195" t="s">
        <v>130</v>
      </c>
      <c r="G4195">
        <v>4</v>
      </c>
      <c r="H4195">
        <v>6.29</v>
      </c>
      <c r="I4195" s="7">
        <f>IF(Transactions!I4195="",0,Transactions!I4195)</f>
        <v>0.3</v>
      </c>
      <c r="J4195" s="9">
        <f t="shared" si="65"/>
        <v>17.611999999999998</v>
      </c>
      <c r="K4195" t="s">
        <v>22</v>
      </c>
      <c r="L4195" t="s">
        <v>23</v>
      </c>
      <c r="M4195" t="str">
        <f>REPLACE(Transactions!M4195,1,4,"")</f>
        <v>17</v>
      </c>
    </row>
    <row r="4196" spans="1:13" x14ac:dyDescent="0.2">
      <c r="A4196">
        <v>794709</v>
      </c>
      <c r="B4196" s="5">
        <v>45245</v>
      </c>
      <c r="C4196">
        <v>77354</v>
      </c>
      <c r="D4196" t="str">
        <f>PROPER(Transactions!D4196)</f>
        <v>Electronics</v>
      </c>
      <c r="E4196" t="s">
        <v>104</v>
      </c>
      <c r="F4196" t="s">
        <v>105</v>
      </c>
      <c r="G4196">
        <v>1</v>
      </c>
      <c r="H4196">
        <v>25.49</v>
      </c>
      <c r="I4196" s="7">
        <f>IF(Transactions!I4196="",0,Transactions!I4196)</f>
        <v>0.15</v>
      </c>
      <c r="J4196" s="9">
        <f t="shared" si="65"/>
        <v>21.666499999999999</v>
      </c>
      <c r="K4196" t="s">
        <v>95</v>
      </c>
      <c r="L4196" t="s">
        <v>17</v>
      </c>
      <c r="M4196" t="str">
        <f>REPLACE(Transactions!M4196,1,4,"")</f>
        <v>8</v>
      </c>
    </row>
    <row r="4197" spans="1:13" x14ac:dyDescent="0.2">
      <c r="A4197">
        <v>794759</v>
      </c>
      <c r="B4197" s="5">
        <v>44676</v>
      </c>
      <c r="C4197">
        <v>33464</v>
      </c>
      <c r="D4197" t="str">
        <f>PROPER(Transactions!D4197)</f>
        <v>Beauty</v>
      </c>
      <c r="E4197" t="s">
        <v>109</v>
      </c>
      <c r="F4197" t="s">
        <v>110</v>
      </c>
      <c r="G4197">
        <v>5</v>
      </c>
      <c r="H4197">
        <v>6.29</v>
      </c>
      <c r="I4197" s="7">
        <f>IF(Transactions!I4197="",0,Transactions!I4197)</f>
        <v>0.1</v>
      </c>
      <c r="J4197" s="9">
        <f t="shared" si="65"/>
        <v>28.305</v>
      </c>
      <c r="K4197" t="s">
        <v>36</v>
      </c>
      <c r="L4197" t="s">
        <v>17</v>
      </c>
      <c r="M4197" t="str">
        <f>REPLACE(Transactions!M4197,1,4,"")</f>
        <v>7</v>
      </c>
    </row>
    <row r="4198" spans="1:13" x14ac:dyDescent="0.2">
      <c r="A4198">
        <v>794821</v>
      </c>
      <c r="B4198" s="5">
        <v>44659</v>
      </c>
      <c r="C4198">
        <v>81513</v>
      </c>
      <c r="D4198" t="str">
        <f>PROPER(Transactions!D4198)</f>
        <v>Home &amp; Garden</v>
      </c>
      <c r="E4198" t="s">
        <v>137</v>
      </c>
      <c r="F4198" t="s">
        <v>138</v>
      </c>
      <c r="G4198">
        <v>1</v>
      </c>
      <c r="H4198">
        <v>6.39</v>
      </c>
      <c r="I4198" s="7">
        <f>IF(Transactions!I4198="",0,Transactions!I4198)</f>
        <v>0.2</v>
      </c>
      <c r="J4198" s="9">
        <f t="shared" si="65"/>
        <v>5.1120000000000001</v>
      </c>
      <c r="K4198" t="s">
        <v>36</v>
      </c>
      <c r="L4198" t="s">
        <v>37</v>
      </c>
      <c r="M4198" t="str">
        <f>REPLACE(Transactions!M4198,1,4,"")</f>
        <v>8</v>
      </c>
    </row>
    <row r="4199" spans="1:13" x14ac:dyDescent="0.2">
      <c r="A4199">
        <v>794988</v>
      </c>
      <c r="B4199" s="5">
        <v>45534</v>
      </c>
      <c r="C4199">
        <v>67157</v>
      </c>
      <c r="D4199" t="str">
        <f>PROPER(Transactions!D4199)</f>
        <v>Beauty</v>
      </c>
      <c r="E4199" t="s">
        <v>49</v>
      </c>
      <c r="F4199" t="s">
        <v>50</v>
      </c>
      <c r="G4199">
        <v>5</v>
      </c>
      <c r="H4199">
        <v>8.5399999999999991</v>
      </c>
      <c r="I4199" s="7">
        <f>IF(Transactions!I4199="",0,Transactions!I4199)</f>
        <v>0.05</v>
      </c>
      <c r="J4199" s="9">
        <f t="shared" si="65"/>
        <v>40.564999999999991</v>
      </c>
      <c r="K4199" t="s">
        <v>16</v>
      </c>
      <c r="L4199" t="s">
        <v>17</v>
      </c>
      <c r="M4199" t="str">
        <f>REPLACE(Transactions!M4199,1,4,"")</f>
        <v>13</v>
      </c>
    </row>
    <row r="4200" spans="1:13" x14ac:dyDescent="0.2">
      <c r="A4200">
        <v>795020</v>
      </c>
      <c r="B4200" s="5">
        <v>44904</v>
      </c>
      <c r="C4200">
        <v>20078</v>
      </c>
      <c r="D4200" t="str">
        <f>PROPER(Transactions!D4200)</f>
        <v>Pharmacy</v>
      </c>
      <c r="E4200" t="s">
        <v>197</v>
      </c>
      <c r="F4200" t="s">
        <v>198</v>
      </c>
      <c r="G4200">
        <v>4</v>
      </c>
      <c r="H4200">
        <v>11.24</v>
      </c>
      <c r="I4200" s="7">
        <f>IF(Transactions!I4200="",0,Transactions!I4200)</f>
        <v>0.25</v>
      </c>
      <c r="J4200" s="9">
        <f t="shared" si="65"/>
        <v>33.72</v>
      </c>
      <c r="K4200" t="s">
        <v>16</v>
      </c>
      <c r="L4200" t="s">
        <v>17</v>
      </c>
      <c r="M4200" t="str">
        <f>REPLACE(Transactions!M4200,1,4,"")</f>
        <v>12</v>
      </c>
    </row>
    <row r="4201" spans="1:13" x14ac:dyDescent="0.2">
      <c r="A4201">
        <v>795059</v>
      </c>
      <c r="B4201" s="5">
        <v>44873</v>
      </c>
      <c r="C4201">
        <v>78349</v>
      </c>
      <c r="D4201" t="str">
        <f>PROPER(Transactions!D4201)</f>
        <v>Clothing</v>
      </c>
      <c r="E4201" t="s">
        <v>165</v>
      </c>
      <c r="F4201" t="s">
        <v>166</v>
      </c>
      <c r="G4201">
        <v>5</v>
      </c>
      <c r="H4201">
        <v>62.99</v>
      </c>
      <c r="I4201" s="7">
        <f>IF(Transactions!I4201="",0,Transactions!I4201)</f>
        <v>0.3</v>
      </c>
      <c r="J4201" s="9">
        <f t="shared" si="65"/>
        <v>220.46499999999997</v>
      </c>
      <c r="K4201" t="s">
        <v>36</v>
      </c>
      <c r="L4201" t="s">
        <v>17</v>
      </c>
      <c r="M4201" t="str">
        <f>REPLACE(Transactions!M4201,1,4,"")</f>
        <v>5</v>
      </c>
    </row>
    <row r="4202" spans="1:13" x14ac:dyDescent="0.2">
      <c r="A4202">
        <v>795185</v>
      </c>
      <c r="B4202" s="5">
        <v>44823</v>
      </c>
      <c r="C4202">
        <v>91235</v>
      </c>
      <c r="D4202" t="str">
        <f>PROPER(Transactions!D4202)</f>
        <v>Clothing</v>
      </c>
      <c r="E4202" t="s">
        <v>165</v>
      </c>
      <c r="F4202" t="s">
        <v>166</v>
      </c>
      <c r="G4202">
        <v>2</v>
      </c>
      <c r="H4202">
        <v>76.489999999999995</v>
      </c>
      <c r="I4202" s="7">
        <f>IF(Transactions!I4202="",0,Transactions!I4202)</f>
        <v>0.15</v>
      </c>
      <c r="J4202" s="9">
        <f t="shared" si="65"/>
        <v>130.03299999999999</v>
      </c>
      <c r="K4202" t="s">
        <v>36</v>
      </c>
      <c r="L4202" t="s">
        <v>23</v>
      </c>
      <c r="M4202" t="str">
        <f>REPLACE(Transactions!M4202,1,4,"")</f>
        <v>14</v>
      </c>
    </row>
    <row r="4203" spans="1:13" x14ac:dyDescent="0.2">
      <c r="A4203">
        <v>795200</v>
      </c>
      <c r="B4203" s="5">
        <v>44800</v>
      </c>
      <c r="C4203">
        <v>96122</v>
      </c>
      <c r="D4203" t="str">
        <f>PROPER(Transactions!D4203)</f>
        <v>Automotive</v>
      </c>
      <c r="E4203" t="s">
        <v>68</v>
      </c>
      <c r="F4203" t="s">
        <v>69</v>
      </c>
      <c r="G4203">
        <v>1</v>
      </c>
      <c r="H4203">
        <v>17.489999999999998</v>
      </c>
      <c r="I4203" s="7">
        <f>IF(Transactions!I4203="",0,Transactions!I4203)</f>
        <v>0.3</v>
      </c>
      <c r="J4203" s="9">
        <f t="shared" si="65"/>
        <v>12.242999999999999</v>
      </c>
      <c r="K4203" t="s">
        <v>36</v>
      </c>
      <c r="L4203" t="s">
        <v>37</v>
      </c>
      <c r="M4203" t="str">
        <f>REPLACE(Transactions!M4203,1,4,"")</f>
        <v/>
      </c>
    </row>
    <row r="4204" spans="1:13" x14ac:dyDescent="0.2">
      <c r="A4204">
        <v>795237</v>
      </c>
      <c r="B4204" s="5">
        <v>45040</v>
      </c>
      <c r="C4204">
        <v>42015</v>
      </c>
      <c r="D4204" t="str">
        <f>PROPER(Transactions!D4204)</f>
        <v>Clothing</v>
      </c>
      <c r="E4204" t="s">
        <v>151</v>
      </c>
      <c r="F4204" t="s">
        <v>152</v>
      </c>
      <c r="G4204">
        <v>1</v>
      </c>
      <c r="H4204">
        <v>34.99</v>
      </c>
      <c r="I4204" s="7">
        <f>IF(Transactions!I4204="",0,Transactions!I4204)</f>
        <v>0</v>
      </c>
      <c r="J4204" s="9">
        <f t="shared" si="65"/>
        <v>34.99</v>
      </c>
      <c r="K4204" t="s">
        <v>22</v>
      </c>
      <c r="L4204" t="s">
        <v>37</v>
      </c>
      <c r="M4204" t="str">
        <f>REPLACE(Transactions!M4204,1,4,"")</f>
        <v>3</v>
      </c>
    </row>
    <row r="4205" spans="1:13" x14ac:dyDescent="0.2">
      <c r="A4205">
        <v>795651</v>
      </c>
      <c r="B4205" s="5">
        <v>45228</v>
      </c>
      <c r="C4205">
        <v>68980</v>
      </c>
      <c r="D4205" t="str">
        <f>PROPER(Transactions!D4205)</f>
        <v>Pharmacy</v>
      </c>
      <c r="E4205" t="s">
        <v>20</v>
      </c>
      <c r="F4205" t="s">
        <v>21</v>
      </c>
      <c r="G4205">
        <v>1</v>
      </c>
      <c r="H4205">
        <v>7.99</v>
      </c>
      <c r="I4205" s="7">
        <f>IF(Transactions!I4205="",0,Transactions!I4205)</f>
        <v>0.2</v>
      </c>
      <c r="J4205" s="9">
        <f t="shared" si="65"/>
        <v>6.3920000000000003</v>
      </c>
      <c r="K4205" t="s">
        <v>16</v>
      </c>
      <c r="L4205" t="s">
        <v>23</v>
      </c>
      <c r="M4205" t="str">
        <f>REPLACE(Transactions!M4205,1,4,"")</f>
        <v>15</v>
      </c>
    </row>
    <row r="4206" spans="1:13" x14ac:dyDescent="0.2">
      <c r="A4206">
        <v>795772</v>
      </c>
      <c r="B4206" s="5">
        <v>45585</v>
      </c>
      <c r="C4206">
        <v>53711</v>
      </c>
      <c r="D4206" t="str">
        <f>PROPER(Transactions!D4206)</f>
        <v>Home &amp; Garden</v>
      </c>
      <c r="E4206" t="s">
        <v>129</v>
      </c>
      <c r="F4206" t="s">
        <v>130</v>
      </c>
      <c r="G4206">
        <v>5</v>
      </c>
      <c r="H4206">
        <v>8.99</v>
      </c>
      <c r="I4206" s="7">
        <f>IF(Transactions!I4206="",0,Transactions!I4206)</f>
        <v>0</v>
      </c>
      <c r="J4206" s="9">
        <f t="shared" si="65"/>
        <v>44.95</v>
      </c>
      <c r="K4206" t="s">
        <v>22</v>
      </c>
      <c r="L4206" t="s">
        <v>17</v>
      </c>
      <c r="M4206" t="str">
        <f>REPLACE(Transactions!M4206,1,4,"")</f>
        <v>14</v>
      </c>
    </row>
    <row r="4207" spans="1:13" x14ac:dyDescent="0.2">
      <c r="A4207">
        <v>796023</v>
      </c>
      <c r="B4207" s="5">
        <v>45221</v>
      </c>
      <c r="C4207">
        <v>90724</v>
      </c>
      <c r="D4207" t="str">
        <f>PROPER(Transactions!D4207)</f>
        <v>Pharmacy</v>
      </c>
      <c r="E4207" t="s">
        <v>41</v>
      </c>
      <c r="F4207" t="s">
        <v>42</v>
      </c>
      <c r="G4207">
        <v>1</v>
      </c>
      <c r="H4207">
        <v>5.99</v>
      </c>
      <c r="I4207" s="7">
        <f>IF(Transactions!I4207="",0,Transactions!I4207)</f>
        <v>0</v>
      </c>
      <c r="J4207" s="9">
        <f t="shared" si="65"/>
        <v>5.99</v>
      </c>
      <c r="K4207" t="s">
        <v>95</v>
      </c>
      <c r="L4207" t="s">
        <v>17</v>
      </c>
      <c r="M4207" t="str">
        <f>REPLACE(Transactions!M4207,1,4,"")</f>
        <v>13</v>
      </c>
    </row>
    <row r="4208" spans="1:13" x14ac:dyDescent="0.2">
      <c r="A4208">
        <v>796233</v>
      </c>
      <c r="B4208" s="5">
        <v>45127</v>
      </c>
      <c r="C4208">
        <v>55054</v>
      </c>
      <c r="D4208" t="str">
        <f>PROPER(Transactions!D4208)</f>
        <v>Grocery</v>
      </c>
      <c r="E4208" t="s">
        <v>74</v>
      </c>
      <c r="F4208" t="s">
        <v>75</v>
      </c>
      <c r="G4208">
        <v>2</v>
      </c>
      <c r="H4208">
        <v>2.39</v>
      </c>
      <c r="I4208" s="7">
        <f>IF(Transactions!I4208="",0,Transactions!I4208)</f>
        <v>0.2</v>
      </c>
      <c r="J4208" s="9">
        <f t="shared" si="65"/>
        <v>3.8240000000000003</v>
      </c>
      <c r="K4208" t="s">
        <v>16</v>
      </c>
      <c r="L4208" t="s">
        <v>17</v>
      </c>
      <c r="M4208" t="str">
        <f>REPLACE(Transactions!M4208,1,4,"")</f>
        <v>9</v>
      </c>
    </row>
    <row r="4209" spans="1:13" x14ac:dyDescent="0.2">
      <c r="A4209">
        <v>796244</v>
      </c>
      <c r="B4209" s="5">
        <v>45517</v>
      </c>
      <c r="C4209">
        <v>43064</v>
      </c>
      <c r="D4209" t="str">
        <f>PROPER(Transactions!D4209)</f>
        <v>Sports</v>
      </c>
      <c r="E4209" t="s">
        <v>168</v>
      </c>
      <c r="F4209" t="s">
        <v>169</v>
      </c>
      <c r="G4209">
        <v>5</v>
      </c>
      <c r="H4209">
        <v>8.99</v>
      </c>
      <c r="I4209" s="7">
        <f>IF(Transactions!I4209="",0,Transactions!I4209)</f>
        <v>0</v>
      </c>
      <c r="J4209" s="9">
        <f t="shared" si="65"/>
        <v>44.95</v>
      </c>
      <c r="K4209" t="s">
        <v>16</v>
      </c>
      <c r="L4209" t="s">
        <v>17</v>
      </c>
      <c r="M4209" t="str">
        <f>REPLACE(Transactions!M4209,1,4,"")</f>
        <v>11</v>
      </c>
    </row>
    <row r="4210" spans="1:13" x14ac:dyDescent="0.2">
      <c r="A4210">
        <v>796404</v>
      </c>
      <c r="B4210" s="5">
        <v>44653</v>
      </c>
      <c r="C4210">
        <v>73715</v>
      </c>
      <c r="D4210" t="str">
        <f>PROPER(Transactions!D4210)</f>
        <v>Furniture</v>
      </c>
      <c r="E4210" t="s">
        <v>113</v>
      </c>
      <c r="F4210" t="s">
        <v>114</v>
      </c>
      <c r="G4210">
        <v>2</v>
      </c>
      <c r="H4210">
        <v>83.99</v>
      </c>
      <c r="I4210" s="7">
        <f>IF(Transactions!I4210="",0,Transactions!I4210)</f>
        <v>0.3</v>
      </c>
      <c r="J4210" s="9">
        <f t="shared" si="65"/>
        <v>117.58599999999998</v>
      </c>
      <c r="K4210" t="s">
        <v>36</v>
      </c>
      <c r="L4210" t="s">
        <v>17</v>
      </c>
      <c r="M4210" t="str">
        <f>REPLACE(Transactions!M4210,1,4,"")</f>
        <v>11</v>
      </c>
    </row>
    <row r="4211" spans="1:13" x14ac:dyDescent="0.2">
      <c r="A4211">
        <v>796586</v>
      </c>
      <c r="B4211" s="5">
        <v>45593</v>
      </c>
      <c r="C4211">
        <v>56000</v>
      </c>
      <c r="D4211" t="str">
        <f>PROPER(Transactions!D4211)</f>
        <v>Electronics</v>
      </c>
      <c r="E4211" t="s">
        <v>79</v>
      </c>
      <c r="F4211" t="s">
        <v>80</v>
      </c>
      <c r="G4211">
        <v>1</v>
      </c>
      <c r="H4211">
        <v>71.989999999999995</v>
      </c>
      <c r="I4211" s="7">
        <f>IF(Transactions!I4211="",0,Transactions!I4211)</f>
        <v>0.2</v>
      </c>
      <c r="J4211" s="9">
        <f t="shared" si="65"/>
        <v>57.591999999999999</v>
      </c>
      <c r="K4211" t="s">
        <v>22</v>
      </c>
      <c r="L4211" t="s">
        <v>17</v>
      </c>
      <c r="M4211" t="str">
        <f>REPLACE(Transactions!M4211,1,4,"")</f>
        <v>13</v>
      </c>
    </row>
    <row r="4212" spans="1:13" x14ac:dyDescent="0.2">
      <c r="A4212">
        <v>796657</v>
      </c>
      <c r="B4212" s="5">
        <v>44747</v>
      </c>
      <c r="D4212" t="str">
        <f>PROPER(Transactions!D4212)</f>
        <v>Pharmacy</v>
      </c>
      <c r="E4212" t="s">
        <v>115</v>
      </c>
      <c r="F4212" t="s">
        <v>116</v>
      </c>
      <c r="G4212">
        <v>1</v>
      </c>
      <c r="H4212">
        <v>10.39</v>
      </c>
      <c r="I4212" s="7">
        <f>IF(Transactions!I4212="",0,Transactions!I4212)</f>
        <v>0.2</v>
      </c>
      <c r="J4212" s="9">
        <f t="shared" si="65"/>
        <v>8.3120000000000012</v>
      </c>
      <c r="K4212" t="s">
        <v>95</v>
      </c>
      <c r="L4212" t="s">
        <v>23</v>
      </c>
      <c r="M4212" t="str">
        <f>REPLACE(Transactions!M4212,1,4,"")</f>
        <v>5</v>
      </c>
    </row>
    <row r="4213" spans="1:13" x14ac:dyDescent="0.2">
      <c r="A4213">
        <v>796920</v>
      </c>
      <c r="B4213" s="5">
        <v>44730</v>
      </c>
      <c r="C4213">
        <v>88513</v>
      </c>
      <c r="D4213" t="str">
        <f>PROPER(Transactions!D4213)</f>
        <v>Automotive</v>
      </c>
      <c r="E4213" t="s">
        <v>64</v>
      </c>
      <c r="F4213" t="s">
        <v>65</v>
      </c>
      <c r="G4213">
        <v>5</v>
      </c>
      <c r="H4213">
        <v>4.99</v>
      </c>
      <c r="I4213" s="7">
        <f>IF(Transactions!I4213="",0,Transactions!I4213)</f>
        <v>0</v>
      </c>
      <c r="J4213" s="9">
        <f t="shared" si="65"/>
        <v>24.950000000000003</v>
      </c>
      <c r="K4213" t="s">
        <v>16</v>
      </c>
      <c r="L4213" t="s">
        <v>37</v>
      </c>
      <c r="M4213" t="str">
        <f>REPLACE(Transactions!M4213,1,4,"")</f>
        <v>2</v>
      </c>
    </row>
    <row r="4214" spans="1:13" x14ac:dyDescent="0.2">
      <c r="A4214">
        <v>797194</v>
      </c>
      <c r="B4214" s="5">
        <v>44970</v>
      </c>
      <c r="D4214" t="str">
        <f>PROPER(Transactions!D4214)</f>
        <v>Grocery</v>
      </c>
      <c r="E4214" t="s">
        <v>172</v>
      </c>
      <c r="F4214" t="s">
        <v>173</v>
      </c>
      <c r="G4214">
        <v>2</v>
      </c>
      <c r="H4214">
        <v>3.82</v>
      </c>
      <c r="I4214" s="7">
        <f>IF(Transactions!I4214="",0,Transactions!I4214)</f>
        <v>0.15</v>
      </c>
      <c r="J4214" s="9">
        <f t="shared" si="65"/>
        <v>6.4939999999999998</v>
      </c>
      <c r="K4214" t="s">
        <v>16</v>
      </c>
      <c r="L4214" t="s">
        <v>37</v>
      </c>
      <c r="M4214" t="str">
        <f>REPLACE(Transactions!M4214,1,4,"")</f>
        <v>20</v>
      </c>
    </row>
    <row r="4215" spans="1:13" x14ac:dyDescent="0.2">
      <c r="A4215">
        <v>797287</v>
      </c>
      <c r="B4215" s="5">
        <v>45244</v>
      </c>
      <c r="C4215">
        <v>49940</v>
      </c>
      <c r="D4215" t="str">
        <f>PROPER(Transactions!D4215)</f>
        <v>Pharmacy</v>
      </c>
      <c r="E4215" t="s">
        <v>58</v>
      </c>
      <c r="F4215" t="s">
        <v>59</v>
      </c>
      <c r="G4215">
        <v>5</v>
      </c>
      <c r="H4215">
        <v>2.79</v>
      </c>
      <c r="I4215" s="7">
        <f>IF(Transactions!I4215="",0,Transactions!I4215)</f>
        <v>0.3</v>
      </c>
      <c r="J4215" s="9">
        <f t="shared" si="65"/>
        <v>9.7649999999999988</v>
      </c>
      <c r="K4215" t="s">
        <v>36</v>
      </c>
      <c r="L4215" t="s">
        <v>23</v>
      </c>
      <c r="M4215" t="str">
        <f>REPLACE(Transactions!M4215,1,4,"")</f>
        <v>17</v>
      </c>
    </row>
    <row r="4216" spans="1:13" x14ac:dyDescent="0.2">
      <c r="A4216">
        <v>797461</v>
      </c>
      <c r="B4216" s="5">
        <v>45346</v>
      </c>
      <c r="C4216">
        <v>79217</v>
      </c>
      <c r="D4216" t="str">
        <f>PROPER(Transactions!D4216)</f>
        <v>Clothing</v>
      </c>
      <c r="E4216" t="s">
        <v>141</v>
      </c>
      <c r="F4216" t="s">
        <v>142</v>
      </c>
      <c r="G4216">
        <v>5</v>
      </c>
      <c r="H4216">
        <v>22.99</v>
      </c>
      <c r="I4216" s="7">
        <f>IF(Transactions!I4216="",0,Transactions!I4216)</f>
        <v>0</v>
      </c>
      <c r="J4216" s="9">
        <f t="shared" si="65"/>
        <v>114.94999999999999</v>
      </c>
      <c r="K4216" t="s">
        <v>16</v>
      </c>
      <c r="L4216" t="s">
        <v>17</v>
      </c>
      <c r="M4216" t="str">
        <f>REPLACE(Transactions!M4216,1,4,"")</f>
        <v>19</v>
      </c>
    </row>
    <row r="4217" spans="1:13" x14ac:dyDescent="0.2">
      <c r="A4217">
        <v>797547</v>
      </c>
      <c r="B4217" s="5">
        <v>44684</v>
      </c>
      <c r="C4217">
        <v>92476</v>
      </c>
      <c r="D4217" t="str">
        <f>PROPER(Transactions!D4217)</f>
        <v>Toys</v>
      </c>
      <c r="E4217" t="s">
        <v>88</v>
      </c>
      <c r="F4217" t="s">
        <v>89</v>
      </c>
      <c r="G4217">
        <v>1</v>
      </c>
      <c r="H4217">
        <v>34.99</v>
      </c>
      <c r="I4217" s="7">
        <f>IF(Transactions!I4217="",0,Transactions!I4217)</f>
        <v>0.3</v>
      </c>
      <c r="J4217" s="9">
        <f t="shared" si="65"/>
        <v>24.492999999999999</v>
      </c>
      <c r="K4217" t="s">
        <v>16</v>
      </c>
      <c r="L4217" t="s">
        <v>17</v>
      </c>
      <c r="M4217" t="str">
        <f>REPLACE(Transactions!M4217,1,4,"")</f>
        <v>10</v>
      </c>
    </row>
    <row r="4218" spans="1:13" x14ac:dyDescent="0.2">
      <c r="A4218">
        <v>797576</v>
      </c>
      <c r="B4218" s="5">
        <v>44622</v>
      </c>
      <c r="C4218">
        <v>40347</v>
      </c>
      <c r="D4218" t="str">
        <f>PROPER(Transactions!D4218)</f>
        <v>Beauty</v>
      </c>
      <c r="E4218" t="s">
        <v>109</v>
      </c>
      <c r="F4218" t="s">
        <v>110</v>
      </c>
      <c r="G4218">
        <v>1</v>
      </c>
      <c r="H4218">
        <v>6.99</v>
      </c>
      <c r="I4218" s="7">
        <f>IF(Transactions!I4218="",0,Transactions!I4218)</f>
        <v>0</v>
      </c>
      <c r="J4218" s="9">
        <f t="shared" si="65"/>
        <v>6.99</v>
      </c>
      <c r="K4218" t="s">
        <v>36</v>
      </c>
      <c r="L4218" t="s">
        <v>23</v>
      </c>
      <c r="M4218" t="str">
        <f>REPLACE(Transactions!M4218,1,4,"")</f>
        <v>6</v>
      </c>
    </row>
    <row r="4219" spans="1:13" x14ac:dyDescent="0.2">
      <c r="A4219">
        <v>797726</v>
      </c>
      <c r="B4219" s="5">
        <v>45261</v>
      </c>
      <c r="C4219">
        <v>20807</v>
      </c>
      <c r="D4219" t="str">
        <f>PROPER(Transactions!D4219)</f>
        <v>Electronics</v>
      </c>
      <c r="E4219" t="s">
        <v>77</v>
      </c>
      <c r="F4219" t="s">
        <v>78</v>
      </c>
      <c r="G4219">
        <v>1</v>
      </c>
      <c r="H4219">
        <v>349.99</v>
      </c>
      <c r="I4219" s="7">
        <f>IF(Transactions!I4219="",0,Transactions!I4219)</f>
        <v>0.3</v>
      </c>
      <c r="J4219" s="9">
        <f t="shared" si="65"/>
        <v>244.99299999999999</v>
      </c>
      <c r="K4219" t="s">
        <v>36</v>
      </c>
      <c r="L4219" t="s">
        <v>37</v>
      </c>
      <c r="M4219" t="str">
        <f>REPLACE(Transactions!M4219,1,4,"")</f>
        <v>16</v>
      </c>
    </row>
    <row r="4220" spans="1:13" x14ac:dyDescent="0.2">
      <c r="A4220">
        <v>797734</v>
      </c>
      <c r="B4220" s="5">
        <v>44696</v>
      </c>
      <c r="C4220">
        <v>62271</v>
      </c>
      <c r="D4220" t="str">
        <f>PROPER(Transactions!D4220)</f>
        <v>Clothing</v>
      </c>
      <c r="E4220" t="s">
        <v>141</v>
      </c>
      <c r="F4220" t="s">
        <v>142</v>
      </c>
      <c r="G4220">
        <v>3</v>
      </c>
      <c r="H4220">
        <v>17.239999999999998</v>
      </c>
      <c r="I4220" s="7">
        <f>IF(Transactions!I4220="",0,Transactions!I4220)</f>
        <v>0.25</v>
      </c>
      <c r="J4220" s="9">
        <f t="shared" si="65"/>
        <v>38.79</v>
      </c>
      <c r="K4220" t="s">
        <v>32</v>
      </c>
      <c r="L4220" t="s">
        <v>37</v>
      </c>
      <c r="M4220" t="str">
        <f>REPLACE(Transactions!M4220,1,4,"")</f>
        <v/>
      </c>
    </row>
    <row r="4221" spans="1:13" x14ac:dyDescent="0.2">
      <c r="A4221">
        <v>797839</v>
      </c>
      <c r="B4221" s="5">
        <v>44842</v>
      </c>
      <c r="C4221">
        <v>63163</v>
      </c>
      <c r="D4221" t="str">
        <f>PROPER(Transactions!D4221)</f>
        <v>Furniture</v>
      </c>
      <c r="E4221" t="s">
        <v>51</v>
      </c>
      <c r="F4221" t="s">
        <v>52</v>
      </c>
      <c r="G4221">
        <v>5</v>
      </c>
      <c r="H4221">
        <v>25.19</v>
      </c>
      <c r="I4221" s="7">
        <f>IF(Transactions!I4221="",0,Transactions!I4221)</f>
        <v>0.1</v>
      </c>
      <c r="J4221" s="9">
        <f t="shared" si="65"/>
        <v>113.355</v>
      </c>
      <c r="K4221" t="s">
        <v>22</v>
      </c>
      <c r="L4221" t="s">
        <v>17</v>
      </c>
      <c r="M4221" t="str">
        <f>REPLACE(Transactions!M4221,1,4,"")</f>
        <v>20</v>
      </c>
    </row>
    <row r="4222" spans="1:13" x14ac:dyDescent="0.2">
      <c r="A4222">
        <v>798123</v>
      </c>
      <c r="B4222" s="5">
        <v>45025</v>
      </c>
      <c r="C4222">
        <v>42078</v>
      </c>
      <c r="D4222" t="str">
        <f>PROPER(Transactions!D4222)</f>
        <v>Automotive</v>
      </c>
      <c r="E4222" t="s">
        <v>68</v>
      </c>
      <c r="F4222" t="s">
        <v>69</v>
      </c>
      <c r="G4222">
        <v>1</v>
      </c>
      <c r="H4222">
        <v>18.739999999999998</v>
      </c>
      <c r="I4222" s="7">
        <f>IF(Transactions!I4222="",0,Transactions!I4222)</f>
        <v>0.25</v>
      </c>
      <c r="J4222" s="9">
        <f t="shared" si="65"/>
        <v>14.055</v>
      </c>
      <c r="K4222" t="s">
        <v>16</v>
      </c>
      <c r="L4222" t="s">
        <v>17</v>
      </c>
      <c r="M4222" t="str">
        <f>REPLACE(Transactions!M4222,1,4,"")</f>
        <v>3</v>
      </c>
    </row>
    <row r="4223" spans="1:13" x14ac:dyDescent="0.2">
      <c r="A4223">
        <v>798361</v>
      </c>
      <c r="B4223" s="5">
        <v>44957</v>
      </c>
      <c r="C4223">
        <v>99181</v>
      </c>
      <c r="D4223" t="str">
        <f>PROPER(Transactions!D4223)</f>
        <v>Automotive</v>
      </c>
      <c r="E4223" t="s">
        <v>125</v>
      </c>
      <c r="F4223" t="s">
        <v>126</v>
      </c>
      <c r="G4223">
        <v>4</v>
      </c>
      <c r="H4223">
        <v>20.99</v>
      </c>
      <c r="I4223" s="7">
        <f>IF(Transactions!I4223="",0,Transactions!I4223)</f>
        <v>0.3</v>
      </c>
      <c r="J4223" s="9">
        <f t="shared" si="65"/>
        <v>58.771999999999991</v>
      </c>
      <c r="K4223" t="s">
        <v>36</v>
      </c>
      <c r="L4223" t="s">
        <v>37</v>
      </c>
      <c r="M4223" t="str">
        <f>REPLACE(Transactions!M4223,1,4,"")</f>
        <v>12</v>
      </c>
    </row>
    <row r="4224" spans="1:13" x14ac:dyDescent="0.2">
      <c r="A4224">
        <v>798497</v>
      </c>
      <c r="B4224" s="5">
        <v>44595</v>
      </c>
      <c r="C4224">
        <v>17963</v>
      </c>
      <c r="D4224" t="str">
        <f>PROPER(Transactions!D4224)</f>
        <v>Furniture</v>
      </c>
      <c r="E4224" t="s">
        <v>60</v>
      </c>
      <c r="F4224" t="s">
        <v>61</v>
      </c>
      <c r="G4224">
        <v>2</v>
      </c>
      <c r="H4224">
        <v>52.24</v>
      </c>
      <c r="I4224" s="7">
        <f>IF(Transactions!I4224="",0,Transactions!I4224)</f>
        <v>0.05</v>
      </c>
      <c r="J4224" s="9">
        <f t="shared" si="65"/>
        <v>99.256</v>
      </c>
      <c r="K4224" t="s">
        <v>36</v>
      </c>
      <c r="L4224" t="s">
        <v>37</v>
      </c>
      <c r="M4224" t="str">
        <f>REPLACE(Transactions!M4224,1,4,"")</f>
        <v>20</v>
      </c>
    </row>
    <row r="4225" spans="1:13" x14ac:dyDescent="0.2">
      <c r="A4225">
        <v>798621</v>
      </c>
      <c r="B4225" s="5">
        <v>45147</v>
      </c>
      <c r="C4225">
        <v>63732</v>
      </c>
      <c r="D4225" t="str">
        <f>PROPER(Transactions!D4225)</f>
        <v>Automotive</v>
      </c>
      <c r="E4225" t="s">
        <v>68</v>
      </c>
      <c r="F4225" t="s">
        <v>69</v>
      </c>
      <c r="G4225">
        <v>1</v>
      </c>
      <c r="H4225">
        <v>19.989999999999998</v>
      </c>
      <c r="I4225" s="7">
        <f>IF(Transactions!I4225="",0,Transactions!I4225)</f>
        <v>0.2</v>
      </c>
      <c r="J4225" s="9">
        <f t="shared" si="65"/>
        <v>15.991999999999999</v>
      </c>
      <c r="K4225" t="s">
        <v>16</v>
      </c>
      <c r="L4225" t="s">
        <v>17</v>
      </c>
      <c r="M4225" t="str">
        <f>REPLACE(Transactions!M4225,1,4,"")</f>
        <v>5</v>
      </c>
    </row>
    <row r="4226" spans="1:13" x14ac:dyDescent="0.2">
      <c r="A4226">
        <v>798966</v>
      </c>
      <c r="B4226" s="5">
        <v>45111</v>
      </c>
      <c r="C4226">
        <v>99722</v>
      </c>
      <c r="D4226" t="str">
        <f>PROPER(Transactions!D4226)</f>
        <v>Grocery</v>
      </c>
      <c r="E4226" t="s">
        <v>162</v>
      </c>
      <c r="F4226" t="s">
        <v>163</v>
      </c>
      <c r="G4226">
        <v>1</v>
      </c>
      <c r="H4226">
        <v>6.39</v>
      </c>
      <c r="I4226" s="7">
        <f>IF(Transactions!I4226="",0,Transactions!I4226)</f>
        <v>0.2</v>
      </c>
      <c r="J4226" s="9">
        <f t="shared" si="65"/>
        <v>5.1120000000000001</v>
      </c>
      <c r="K4226" t="s">
        <v>22</v>
      </c>
      <c r="L4226" t="s">
        <v>17</v>
      </c>
      <c r="M4226" t="str">
        <f>REPLACE(Transactions!M4226,1,4,"")</f>
        <v>16</v>
      </c>
    </row>
    <row r="4227" spans="1:13" x14ac:dyDescent="0.2">
      <c r="A4227">
        <v>799081</v>
      </c>
      <c r="B4227" s="5">
        <v>45540</v>
      </c>
      <c r="C4227">
        <v>57346</v>
      </c>
      <c r="D4227" t="str">
        <f>PROPER(Transactions!D4227)</f>
        <v>Beauty</v>
      </c>
      <c r="E4227" t="s">
        <v>139</v>
      </c>
      <c r="F4227" t="s">
        <v>140</v>
      </c>
      <c r="G4227">
        <v>1</v>
      </c>
      <c r="H4227">
        <v>7.99</v>
      </c>
      <c r="I4227" s="7">
        <f>IF(Transactions!I4227="",0,Transactions!I4227)</f>
        <v>0</v>
      </c>
      <c r="J4227" s="9">
        <f t="shared" ref="J4227:J4290" si="66">(H4227*G4227)*(1-I4227)</f>
        <v>7.99</v>
      </c>
      <c r="K4227" t="s">
        <v>22</v>
      </c>
      <c r="L4227" t="s">
        <v>17</v>
      </c>
      <c r="M4227" t="str">
        <f>REPLACE(Transactions!M4227,1,4,"")</f>
        <v>12</v>
      </c>
    </row>
    <row r="4228" spans="1:13" x14ac:dyDescent="0.2">
      <c r="A4228">
        <v>799107</v>
      </c>
      <c r="B4228" s="5">
        <v>44893</v>
      </c>
      <c r="C4228">
        <v>75234</v>
      </c>
      <c r="D4228" t="str">
        <f>PROPER(Transactions!D4228)</f>
        <v>Grocery</v>
      </c>
      <c r="E4228" t="s">
        <v>93</v>
      </c>
      <c r="F4228" t="s">
        <v>94</v>
      </c>
      <c r="G4228">
        <v>1</v>
      </c>
      <c r="H4228">
        <v>1.29</v>
      </c>
      <c r="I4228" s="7">
        <f>IF(Transactions!I4228="",0,Transactions!I4228)</f>
        <v>0</v>
      </c>
      <c r="J4228" s="9">
        <f t="shared" si="66"/>
        <v>1.29</v>
      </c>
      <c r="K4228" t="s">
        <v>36</v>
      </c>
      <c r="L4228" t="s">
        <v>17</v>
      </c>
      <c r="M4228" t="str">
        <f>REPLACE(Transactions!M4228,1,4,"")</f>
        <v>2</v>
      </c>
    </row>
    <row r="4229" spans="1:13" x14ac:dyDescent="0.2">
      <c r="A4229">
        <v>799479</v>
      </c>
      <c r="B4229" s="5">
        <v>45590</v>
      </c>
      <c r="C4229">
        <v>87270</v>
      </c>
      <c r="D4229" t="str">
        <f>PROPER(Transactions!D4229)</f>
        <v>Furniture</v>
      </c>
      <c r="E4229" t="s">
        <v>51</v>
      </c>
      <c r="F4229" t="s">
        <v>52</v>
      </c>
      <c r="G4229">
        <v>3</v>
      </c>
      <c r="H4229">
        <v>27.99</v>
      </c>
      <c r="I4229" s="7">
        <f>IF(Transactions!I4229="",0,Transactions!I4229)</f>
        <v>0</v>
      </c>
      <c r="J4229" s="9">
        <f t="shared" si="66"/>
        <v>83.97</v>
      </c>
      <c r="K4229" t="s">
        <v>36</v>
      </c>
      <c r="L4229" t="s">
        <v>17</v>
      </c>
      <c r="M4229" t="str">
        <f>REPLACE(Transactions!M4229,1,4,"")</f>
        <v>5</v>
      </c>
    </row>
    <row r="4230" spans="1:13" x14ac:dyDescent="0.2">
      <c r="A4230">
        <v>799485</v>
      </c>
      <c r="B4230" s="5">
        <v>45237</v>
      </c>
      <c r="C4230">
        <v>88435</v>
      </c>
      <c r="D4230" t="str">
        <f>PROPER(Transactions!D4230)</f>
        <v>Sports</v>
      </c>
      <c r="E4230" t="s">
        <v>155</v>
      </c>
      <c r="F4230" t="s">
        <v>156</v>
      </c>
      <c r="G4230">
        <v>3</v>
      </c>
      <c r="H4230">
        <v>15.99</v>
      </c>
      <c r="I4230" s="7">
        <f>IF(Transactions!I4230="",0,Transactions!I4230)</f>
        <v>0.2</v>
      </c>
      <c r="J4230" s="9">
        <f t="shared" si="66"/>
        <v>38.375999999999998</v>
      </c>
      <c r="K4230" t="s">
        <v>16</v>
      </c>
      <c r="L4230" t="s">
        <v>37</v>
      </c>
      <c r="M4230" t="str">
        <f>REPLACE(Transactions!M4230,1,4,"")</f>
        <v>19</v>
      </c>
    </row>
    <row r="4231" spans="1:13" x14ac:dyDescent="0.2">
      <c r="A4231">
        <v>799535</v>
      </c>
      <c r="B4231" s="5">
        <v>45170</v>
      </c>
      <c r="C4231">
        <v>53189</v>
      </c>
      <c r="D4231" t="str">
        <f>PROPER(Transactions!D4231)</f>
        <v>Sports</v>
      </c>
      <c r="E4231" t="s">
        <v>155</v>
      </c>
      <c r="F4231" t="s">
        <v>156</v>
      </c>
      <c r="G4231">
        <v>3</v>
      </c>
      <c r="H4231">
        <v>19.989999999999998</v>
      </c>
      <c r="I4231" s="7">
        <f>IF(Transactions!I4231="",0,Transactions!I4231)</f>
        <v>0</v>
      </c>
      <c r="J4231" s="9">
        <f t="shared" si="66"/>
        <v>59.97</v>
      </c>
      <c r="K4231" t="s">
        <v>95</v>
      </c>
      <c r="L4231" t="s">
        <v>17</v>
      </c>
      <c r="M4231" t="str">
        <f>REPLACE(Transactions!M4231,1,4,"")</f>
        <v>19</v>
      </c>
    </row>
    <row r="4232" spans="1:13" x14ac:dyDescent="0.2">
      <c r="A4232">
        <v>800058</v>
      </c>
      <c r="B4232" s="5">
        <v>45262</v>
      </c>
      <c r="C4232">
        <v>58474</v>
      </c>
      <c r="D4232" t="str">
        <f>PROPER(Transactions!D4232)</f>
        <v>Sports</v>
      </c>
      <c r="E4232" t="s">
        <v>155</v>
      </c>
      <c r="F4232" t="s">
        <v>156</v>
      </c>
      <c r="G4232">
        <v>2</v>
      </c>
      <c r="H4232">
        <v>19.989999999999998</v>
      </c>
      <c r="I4232" s="7">
        <f>IF(Transactions!I4232="",0,Transactions!I4232)</f>
        <v>0</v>
      </c>
      <c r="J4232" s="9">
        <f t="shared" si="66"/>
        <v>39.979999999999997</v>
      </c>
      <c r="K4232" t="s">
        <v>16</v>
      </c>
      <c r="L4232" t="s">
        <v>17</v>
      </c>
      <c r="M4232" t="str">
        <f>REPLACE(Transactions!M4232,1,4,"")</f>
        <v>6</v>
      </c>
    </row>
    <row r="4233" spans="1:13" x14ac:dyDescent="0.2">
      <c r="A4233">
        <v>800079</v>
      </c>
      <c r="B4233" s="5">
        <v>45123</v>
      </c>
      <c r="C4233">
        <v>46314</v>
      </c>
      <c r="D4233" t="str">
        <f>PROPER(Transactions!D4233)</f>
        <v>Furniture</v>
      </c>
      <c r="E4233" t="s">
        <v>113</v>
      </c>
      <c r="F4233" t="s">
        <v>114</v>
      </c>
      <c r="G4233">
        <v>1</v>
      </c>
      <c r="H4233">
        <v>107.99</v>
      </c>
      <c r="I4233" s="7">
        <f>IF(Transactions!I4233="",0,Transactions!I4233)</f>
        <v>0.1</v>
      </c>
      <c r="J4233" s="9">
        <f t="shared" si="66"/>
        <v>97.191000000000003</v>
      </c>
      <c r="K4233" t="s">
        <v>22</v>
      </c>
      <c r="L4233" t="s">
        <v>17</v>
      </c>
      <c r="M4233" t="str">
        <f>REPLACE(Transactions!M4233,1,4,"")</f>
        <v>20</v>
      </c>
    </row>
    <row r="4234" spans="1:13" x14ac:dyDescent="0.2">
      <c r="A4234">
        <v>800104</v>
      </c>
      <c r="B4234" s="5">
        <v>45111</v>
      </c>
      <c r="C4234">
        <v>25956</v>
      </c>
      <c r="D4234" t="str">
        <f>PROPER(Transactions!D4234)</f>
        <v>Automotive</v>
      </c>
      <c r="E4234" t="s">
        <v>125</v>
      </c>
      <c r="F4234" t="s">
        <v>126</v>
      </c>
      <c r="G4234">
        <v>2</v>
      </c>
      <c r="H4234">
        <v>23.99</v>
      </c>
      <c r="I4234" s="7">
        <f>IF(Transactions!I4234="",0,Transactions!I4234)</f>
        <v>0.2</v>
      </c>
      <c r="J4234" s="9">
        <f t="shared" si="66"/>
        <v>38.384</v>
      </c>
      <c r="K4234" t="s">
        <v>95</v>
      </c>
      <c r="L4234" t="s">
        <v>17</v>
      </c>
      <c r="M4234" t="str">
        <f>REPLACE(Transactions!M4234,1,4,"")</f>
        <v>8</v>
      </c>
    </row>
    <row r="4235" spans="1:13" x14ac:dyDescent="0.2">
      <c r="A4235">
        <v>800131</v>
      </c>
      <c r="B4235" s="5">
        <v>44812</v>
      </c>
      <c r="C4235">
        <v>42481</v>
      </c>
      <c r="D4235" t="str">
        <f>PROPER(Transactions!D4235)</f>
        <v>Toys</v>
      </c>
      <c r="E4235" t="s">
        <v>170</v>
      </c>
      <c r="F4235" t="s">
        <v>171</v>
      </c>
      <c r="G4235">
        <v>1</v>
      </c>
      <c r="H4235">
        <v>13.49</v>
      </c>
      <c r="I4235" s="7">
        <f>IF(Transactions!I4235="",0,Transactions!I4235)</f>
        <v>0.1</v>
      </c>
      <c r="J4235" s="9">
        <f t="shared" si="66"/>
        <v>12.141</v>
      </c>
      <c r="K4235" t="s">
        <v>36</v>
      </c>
      <c r="L4235" t="s">
        <v>37</v>
      </c>
      <c r="M4235" t="str">
        <f>REPLACE(Transactions!M4235,1,4,"")</f>
        <v>1</v>
      </c>
    </row>
    <row r="4236" spans="1:13" x14ac:dyDescent="0.2">
      <c r="A4236">
        <v>800697</v>
      </c>
      <c r="B4236" s="5">
        <v>45551</v>
      </c>
      <c r="C4236">
        <v>43100</v>
      </c>
      <c r="D4236" t="str">
        <f>PROPER(Transactions!D4236)</f>
        <v>Grocery</v>
      </c>
      <c r="E4236" t="s">
        <v>195</v>
      </c>
      <c r="F4236" t="s">
        <v>196</v>
      </c>
      <c r="G4236">
        <v>3</v>
      </c>
      <c r="H4236">
        <v>4.74</v>
      </c>
      <c r="I4236" s="7">
        <f>IF(Transactions!I4236="",0,Transactions!I4236)</f>
        <v>0.05</v>
      </c>
      <c r="J4236" s="9">
        <f t="shared" si="66"/>
        <v>13.509</v>
      </c>
      <c r="K4236" t="s">
        <v>36</v>
      </c>
      <c r="L4236" t="s">
        <v>17</v>
      </c>
      <c r="M4236" t="str">
        <f>REPLACE(Transactions!M4236,1,4,"")</f>
        <v>5</v>
      </c>
    </row>
    <row r="4237" spans="1:13" x14ac:dyDescent="0.2">
      <c r="A4237">
        <v>800942</v>
      </c>
      <c r="B4237" s="5">
        <v>45399</v>
      </c>
      <c r="C4237">
        <v>67798</v>
      </c>
      <c r="D4237" t="str">
        <f>PROPER(Transactions!D4237)</f>
        <v>Automotive</v>
      </c>
      <c r="E4237" t="s">
        <v>68</v>
      </c>
      <c r="F4237" t="s">
        <v>69</v>
      </c>
      <c r="G4237">
        <v>2</v>
      </c>
      <c r="H4237">
        <v>24.99</v>
      </c>
      <c r="I4237" s="7">
        <f>IF(Transactions!I4237="",0,Transactions!I4237)</f>
        <v>0</v>
      </c>
      <c r="J4237" s="9">
        <f t="shared" si="66"/>
        <v>49.98</v>
      </c>
      <c r="K4237" t="s">
        <v>53</v>
      </c>
      <c r="L4237" t="s">
        <v>17</v>
      </c>
      <c r="M4237" t="str">
        <f>REPLACE(Transactions!M4237,1,4,"")</f>
        <v>20</v>
      </c>
    </row>
    <row r="4238" spans="1:13" x14ac:dyDescent="0.2">
      <c r="A4238">
        <v>801435</v>
      </c>
      <c r="B4238" s="5">
        <v>44647</v>
      </c>
      <c r="C4238">
        <v>93084</v>
      </c>
      <c r="D4238" t="str">
        <f>PROPER(Transactions!D4238)</f>
        <v>Automotive</v>
      </c>
      <c r="E4238" t="s">
        <v>111</v>
      </c>
      <c r="F4238" t="s">
        <v>112</v>
      </c>
      <c r="G4238">
        <v>1</v>
      </c>
      <c r="H4238">
        <v>11.24</v>
      </c>
      <c r="I4238" s="7">
        <f>IF(Transactions!I4238="",0,Transactions!I4238)</f>
        <v>0.25</v>
      </c>
      <c r="J4238" s="9">
        <f t="shared" si="66"/>
        <v>8.43</v>
      </c>
      <c r="K4238" t="s">
        <v>95</v>
      </c>
      <c r="L4238" t="s">
        <v>23</v>
      </c>
      <c r="M4238" t="str">
        <f>REPLACE(Transactions!M4238,1,4,"")</f>
        <v>13</v>
      </c>
    </row>
    <row r="4239" spans="1:13" x14ac:dyDescent="0.2">
      <c r="A4239">
        <v>801499</v>
      </c>
      <c r="B4239" s="5">
        <v>44627</v>
      </c>
      <c r="C4239">
        <v>93372</v>
      </c>
      <c r="D4239" t="str">
        <f>PROPER(Transactions!D4239)</f>
        <v>Sports</v>
      </c>
      <c r="E4239" t="s">
        <v>188</v>
      </c>
      <c r="F4239" t="s">
        <v>189</v>
      </c>
      <c r="G4239">
        <v>1</v>
      </c>
      <c r="H4239">
        <v>31.49</v>
      </c>
      <c r="I4239" s="7">
        <f>IF(Transactions!I4239="",0,Transactions!I4239)</f>
        <v>0.3</v>
      </c>
      <c r="J4239" s="9">
        <f t="shared" si="66"/>
        <v>22.042999999999999</v>
      </c>
      <c r="K4239" t="s">
        <v>16</v>
      </c>
      <c r="L4239" t="s">
        <v>37</v>
      </c>
      <c r="M4239" t="str">
        <f>REPLACE(Transactions!M4239,1,4,"")</f>
        <v>13</v>
      </c>
    </row>
    <row r="4240" spans="1:13" x14ac:dyDescent="0.2">
      <c r="A4240">
        <v>801624</v>
      </c>
      <c r="B4240" s="5">
        <v>45655</v>
      </c>
      <c r="C4240">
        <v>76916</v>
      </c>
      <c r="D4240" t="str">
        <f>PROPER(Transactions!D4240)</f>
        <v>Pharmacy</v>
      </c>
      <c r="E4240" t="s">
        <v>58</v>
      </c>
      <c r="F4240" t="s">
        <v>59</v>
      </c>
      <c r="G4240">
        <v>1</v>
      </c>
      <c r="H4240">
        <v>2.99</v>
      </c>
      <c r="I4240" s="7">
        <f>IF(Transactions!I4240="",0,Transactions!I4240)</f>
        <v>0.25</v>
      </c>
      <c r="J4240" s="9">
        <f t="shared" si="66"/>
        <v>2.2425000000000002</v>
      </c>
      <c r="K4240" t="s">
        <v>36</v>
      </c>
      <c r="L4240" t="s">
        <v>17</v>
      </c>
      <c r="M4240" t="str">
        <f>REPLACE(Transactions!M4240,1,4,"")</f>
        <v>4</v>
      </c>
    </row>
    <row r="4241" spans="1:13" x14ac:dyDescent="0.2">
      <c r="A4241">
        <v>801635</v>
      </c>
      <c r="B4241" s="5">
        <v>45349</v>
      </c>
      <c r="C4241">
        <v>28495</v>
      </c>
      <c r="D4241" t="str">
        <f>PROPER(Transactions!D4241)</f>
        <v>Toys</v>
      </c>
      <c r="E4241" t="s">
        <v>30</v>
      </c>
      <c r="F4241" t="s">
        <v>31</v>
      </c>
      <c r="G4241">
        <v>3</v>
      </c>
      <c r="H4241">
        <v>24.99</v>
      </c>
      <c r="I4241" s="7">
        <f>IF(Transactions!I4241="",0,Transactions!I4241)</f>
        <v>0</v>
      </c>
      <c r="J4241" s="9">
        <f t="shared" si="66"/>
        <v>74.97</v>
      </c>
      <c r="K4241" t="s">
        <v>95</v>
      </c>
      <c r="L4241" t="s">
        <v>17</v>
      </c>
      <c r="M4241" t="str">
        <f>REPLACE(Transactions!M4241,1,4,"")</f>
        <v>1</v>
      </c>
    </row>
    <row r="4242" spans="1:13" x14ac:dyDescent="0.2">
      <c r="A4242">
        <v>801961</v>
      </c>
      <c r="B4242" s="5">
        <v>45439</v>
      </c>
      <c r="C4242">
        <v>25170</v>
      </c>
      <c r="D4242" t="str">
        <f>PROPER(Transactions!D4242)</f>
        <v>Pharmacy</v>
      </c>
      <c r="E4242" t="s">
        <v>115</v>
      </c>
      <c r="F4242" t="s">
        <v>116</v>
      </c>
      <c r="G4242">
        <v>3</v>
      </c>
      <c r="H4242">
        <v>11.69</v>
      </c>
      <c r="I4242" s="7">
        <f>IF(Transactions!I4242="",0,Transactions!I4242)</f>
        <v>0</v>
      </c>
      <c r="J4242" s="9">
        <f t="shared" si="66"/>
        <v>35.07</v>
      </c>
      <c r="K4242" t="s">
        <v>36</v>
      </c>
      <c r="L4242" t="s">
        <v>37</v>
      </c>
      <c r="M4242" t="str">
        <f>REPLACE(Transactions!M4242,1,4,"")</f>
        <v>18</v>
      </c>
    </row>
    <row r="4243" spans="1:13" x14ac:dyDescent="0.2">
      <c r="A4243">
        <v>802264</v>
      </c>
      <c r="B4243" s="5">
        <v>45576</v>
      </c>
      <c r="C4243">
        <v>78253</v>
      </c>
      <c r="D4243" t="str">
        <f>PROPER(Transactions!D4243)</f>
        <v>Furniture</v>
      </c>
      <c r="E4243" t="s">
        <v>70</v>
      </c>
      <c r="F4243" t="s">
        <v>71</v>
      </c>
      <c r="G4243">
        <v>5</v>
      </c>
      <c r="H4243">
        <v>71.989999999999995</v>
      </c>
      <c r="I4243" s="7">
        <f>IF(Transactions!I4243="",0,Transactions!I4243)</f>
        <v>0.2</v>
      </c>
      <c r="J4243" s="9">
        <f t="shared" si="66"/>
        <v>287.95999999999998</v>
      </c>
      <c r="K4243" t="s">
        <v>16</v>
      </c>
      <c r="L4243" t="s">
        <v>17</v>
      </c>
      <c r="M4243" t="str">
        <f>REPLACE(Transactions!M4243,1,4,"")</f>
        <v>6</v>
      </c>
    </row>
    <row r="4244" spans="1:13" x14ac:dyDescent="0.2">
      <c r="A4244">
        <v>802309</v>
      </c>
      <c r="B4244" s="5">
        <v>45310</v>
      </c>
      <c r="C4244">
        <v>63655</v>
      </c>
      <c r="D4244" t="str">
        <f>PROPER(Transactions!D4244)</f>
        <v>Pharmacy</v>
      </c>
      <c r="E4244" t="s">
        <v>115</v>
      </c>
      <c r="F4244" t="s">
        <v>116</v>
      </c>
      <c r="G4244">
        <v>2</v>
      </c>
      <c r="H4244">
        <v>12.34</v>
      </c>
      <c r="I4244" s="7">
        <f>IF(Transactions!I4244="",0,Transactions!I4244)</f>
        <v>0.05</v>
      </c>
      <c r="J4244" s="9">
        <f t="shared" si="66"/>
        <v>23.445999999999998</v>
      </c>
      <c r="K4244" t="s">
        <v>16</v>
      </c>
      <c r="L4244" t="s">
        <v>37</v>
      </c>
      <c r="M4244" t="str">
        <f>REPLACE(Transactions!M4244,1,4,"")</f>
        <v>18</v>
      </c>
    </row>
    <row r="4245" spans="1:13" x14ac:dyDescent="0.2">
      <c r="A4245">
        <v>802353</v>
      </c>
      <c r="B4245" s="5">
        <v>44562</v>
      </c>
      <c r="C4245">
        <v>81380</v>
      </c>
      <c r="D4245" t="str">
        <f>PROPER(Transactions!D4245)</f>
        <v>Electronics</v>
      </c>
      <c r="E4245" t="s">
        <v>186</v>
      </c>
      <c r="F4245" t="s">
        <v>187</v>
      </c>
      <c r="G4245">
        <v>1</v>
      </c>
      <c r="H4245">
        <v>49.99</v>
      </c>
      <c r="I4245" s="7">
        <f>IF(Transactions!I4245="",0,Transactions!I4245)</f>
        <v>0</v>
      </c>
      <c r="J4245" s="9">
        <f t="shared" si="66"/>
        <v>49.99</v>
      </c>
      <c r="K4245" t="s">
        <v>36</v>
      </c>
      <c r="L4245" t="s">
        <v>17</v>
      </c>
      <c r="M4245" t="str">
        <f>REPLACE(Transactions!M4245,1,4,"")</f>
        <v>14</v>
      </c>
    </row>
    <row r="4246" spans="1:13" x14ac:dyDescent="0.2">
      <c r="A4246">
        <v>802387</v>
      </c>
      <c r="B4246" s="5">
        <v>45385</v>
      </c>
      <c r="C4246">
        <v>21495</v>
      </c>
      <c r="D4246" t="str">
        <f>PROPER(Transactions!D4246)</f>
        <v>Furniture</v>
      </c>
      <c r="E4246" t="s">
        <v>70</v>
      </c>
      <c r="F4246" t="s">
        <v>71</v>
      </c>
      <c r="G4246">
        <v>1</v>
      </c>
      <c r="H4246">
        <v>71.989999999999995</v>
      </c>
      <c r="I4246" s="7">
        <f>IF(Transactions!I4246="",0,Transactions!I4246)</f>
        <v>0.2</v>
      </c>
      <c r="J4246" s="9">
        <f t="shared" si="66"/>
        <v>57.591999999999999</v>
      </c>
      <c r="K4246" t="s">
        <v>16</v>
      </c>
      <c r="L4246" t="s">
        <v>17</v>
      </c>
      <c r="M4246" t="str">
        <f>REPLACE(Transactions!M4246,1,4,"")</f>
        <v>4</v>
      </c>
    </row>
    <row r="4247" spans="1:13" x14ac:dyDescent="0.2">
      <c r="A4247">
        <v>802664</v>
      </c>
      <c r="B4247" s="5">
        <v>45538</v>
      </c>
      <c r="C4247">
        <v>23770</v>
      </c>
      <c r="D4247" t="str">
        <f>PROPER(Transactions!D4247)</f>
        <v>Grocery</v>
      </c>
      <c r="E4247" t="s">
        <v>184</v>
      </c>
      <c r="F4247" t="s">
        <v>185</v>
      </c>
      <c r="G4247">
        <v>4</v>
      </c>
      <c r="H4247">
        <v>5.49</v>
      </c>
      <c r="I4247" s="7">
        <f>IF(Transactions!I4247="",0,Transactions!I4247)</f>
        <v>0</v>
      </c>
      <c r="J4247" s="9">
        <f t="shared" si="66"/>
        <v>21.96</v>
      </c>
      <c r="K4247" t="s">
        <v>36</v>
      </c>
      <c r="L4247" t="s">
        <v>17</v>
      </c>
      <c r="M4247" t="str">
        <f>REPLACE(Transactions!M4247,1,4,"")</f>
        <v>7</v>
      </c>
    </row>
    <row r="4248" spans="1:13" x14ac:dyDescent="0.2">
      <c r="A4248">
        <v>802957</v>
      </c>
      <c r="B4248" s="5">
        <v>45496</v>
      </c>
      <c r="C4248">
        <v>67509</v>
      </c>
      <c r="D4248" t="str">
        <f>PROPER(Transactions!D4248)</f>
        <v>Clothing</v>
      </c>
      <c r="E4248" t="s">
        <v>181</v>
      </c>
      <c r="F4248" t="s">
        <v>182</v>
      </c>
      <c r="G4248">
        <v>2</v>
      </c>
      <c r="H4248">
        <v>13.49</v>
      </c>
      <c r="I4248" s="7">
        <f>IF(Transactions!I4248="",0,Transactions!I4248)</f>
        <v>0</v>
      </c>
      <c r="J4248" s="9">
        <f t="shared" si="66"/>
        <v>26.98</v>
      </c>
      <c r="K4248" t="s">
        <v>36</v>
      </c>
      <c r="L4248" t="s">
        <v>17</v>
      </c>
      <c r="M4248" t="str">
        <f>REPLACE(Transactions!M4248,1,4,"")</f>
        <v>3</v>
      </c>
    </row>
    <row r="4249" spans="1:13" x14ac:dyDescent="0.2">
      <c r="A4249">
        <v>803098</v>
      </c>
      <c r="B4249" s="5">
        <v>44635</v>
      </c>
      <c r="C4249">
        <v>54450</v>
      </c>
      <c r="D4249" t="str">
        <f>PROPER(Transactions!D4249)</f>
        <v>Pharmacy</v>
      </c>
      <c r="E4249" t="s">
        <v>41</v>
      </c>
      <c r="F4249" t="s">
        <v>42</v>
      </c>
      <c r="G4249">
        <v>2</v>
      </c>
      <c r="H4249">
        <v>4.79</v>
      </c>
      <c r="I4249" s="7">
        <f>IF(Transactions!I4249="",0,Transactions!I4249)</f>
        <v>0.2</v>
      </c>
      <c r="J4249" s="9">
        <f t="shared" si="66"/>
        <v>7.6640000000000006</v>
      </c>
      <c r="K4249" t="s">
        <v>16</v>
      </c>
      <c r="L4249" t="s">
        <v>37</v>
      </c>
      <c r="M4249" t="str">
        <f>REPLACE(Transactions!M4249,1,4,"")</f>
        <v>13</v>
      </c>
    </row>
    <row r="4250" spans="1:13" x14ac:dyDescent="0.2">
      <c r="A4250">
        <v>803215</v>
      </c>
      <c r="B4250" s="5">
        <v>44586</v>
      </c>
      <c r="C4250">
        <v>19342</v>
      </c>
      <c r="D4250" t="str">
        <f>PROPER(Transactions!D4250)</f>
        <v>Automotive</v>
      </c>
      <c r="E4250" t="s">
        <v>125</v>
      </c>
      <c r="F4250" t="s">
        <v>126</v>
      </c>
      <c r="G4250">
        <v>2</v>
      </c>
      <c r="H4250">
        <v>26.99</v>
      </c>
      <c r="I4250" s="7">
        <f>IF(Transactions!I4250="",0,Transactions!I4250)</f>
        <v>0.1</v>
      </c>
      <c r="J4250" s="9">
        <f t="shared" si="66"/>
        <v>48.582000000000001</v>
      </c>
      <c r="K4250" t="s">
        <v>36</v>
      </c>
      <c r="L4250" t="s">
        <v>23</v>
      </c>
      <c r="M4250" t="str">
        <f>REPLACE(Transactions!M4250,1,4,"")</f>
        <v>18</v>
      </c>
    </row>
    <row r="4251" spans="1:13" x14ac:dyDescent="0.2">
      <c r="A4251">
        <v>803492</v>
      </c>
      <c r="B4251" s="5">
        <v>44965</v>
      </c>
      <c r="C4251">
        <v>78186</v>
      </c>
      <c r="D4251" t="str">
        <f>PROPER(Transactions!D4251)</f>
        <v>Pharmacy</v>
      </c>
      <c r="E4251" t="s">
        <v>20</v>
      </c>
      <c r="F4251" t="s">
        <v>21</v>
      </c>
      <c r="G4251">
        <v>3</v>
      </c>
      <c r="H4251">
        <v>7.99</v>
      </c>
      <c r="I4251" s="7">
        <f>IF(Transactions!I4251="",0,Transactions!I4251)</f>
        <v>0.2</v>
      </c>
      <c r="J4251" s="9">
        <f t="shared" si="66"/>
        <v>19.175999999999998</v>
      </c>
      <c r="K4251" t="s">
        <v>95</v>
      </c>
      <c r="L4251" t="s">
        <v>37</v>
      </c>
      <c r="M4251" t="str">
        <f>REPLACE(Transactions!M4251,1,4,"")</f>
        <v>18</v>
      </c>
    </row>
    <row r="4252" spans="1:13" x14ac:dyDescent="0.2">
      <c r="A4252">
        <v>803612</v>
      </c>
      <c r="B4252" s="5">
        <v>44836</v>
      </c>
      <c r="C4252">
        <v>40448</v>
      </c>
      <c r="D4252" t="str">
        <f>PROPER(Transactions!D4252)</f>
        <v>Toys</v>
      </c>
      <c r="E4252" t="s">
        <v>30</v>
      </c>
      <c r="F4252" t="s">
        <v>31</v>
      </c>
      <c r="G4252">
        <v>2</v>
      </c>
      <c r="H4252">
        <v>18.739999999999998</v>
      </c>
      <c r="I4252" s="7">
        <f>IF(Transactions!I4252="",0,Transactions!I4252)</f>
        <v>0.25</v>
      </c>
      <c r="J4252" s="9">
        <f t="shared" si="66"/>
        <v>28.11</v>
      </c>
      <c r="K4252" t="s">
        <v>36</v>
      </c>
      <c r="L4252" t="s">
        <v>17</v>
      </c>
      <c r="M4252" t="str">
        <f>REPLACE(Transactions!M4252,1,4,"")</f>
        <v>20</v>
      </c>
    </row>
    <row r="4253" spans="1:13" x14ac:dyDescent="0.2">
      <c r="A4253">
        <v>803851</v>
      </c>
      <c r="B4253" s="5">
        <v>44712</v>
      </c>
      <c r="C4253">
        <v>13830</v>
      </c>
      <c r="D4253" t="str">
        <f>PROPER(Transactions!D4253)</f>
        <v>Toys</v>
      </c>
      <c r="E4253" t="s">
        <v>88</v>
      </c>
      <c r="F4253" t="s">
        <v>89</v>
      </c>
      <c r="G4253">
        <v>2</v>
      </c>
      <c r="H4253">
        <v>49.99</v>
      </c>
      <c r="I4253" s="7">
        <f>IF(Transactions!I4253="",0,Transactions!I4253)</f>
        <v>0</v>
      </c>
      <c r="J4253" s="9">
        <f t="shared" si="66"/>
        <v>99.98</v>
      </c>
      <c r="K4253" t="s">
        <v>16</v>
      </c>
      <c r="L4253" t="s">
        <v>37</v>
      </c>
      <c r="M4253" t="str">
        <f>REPLACE(Transactions!M4253,1,4,"")</f>
        <v>3</v>
      </c>
    </row>
    <row r="4254" spans="1:13" x14ac:dyDescent="0.2">
      <c r="A4254">
        <v>803908</v>
      </c>
      <c r="B4254" s="5">
        <v>44687</v>
      </c>
      <c r="C4254">
        <v>23066</v>
      </c>
      <c r="D4254" t="str">
        <f>PROPER(Transactions!D4254)</f>
        <v>Home &amp; Garden</v>
      </c>
      <c r="E4254" t="s">
        <v>129</v>
      </c>
      <c r="F4254" t="s">
        <v>130</v>
      </c>
      <c r="G4254">
        <v>2</v>
      </c>
      <c r="H4254">
        <v>6.74</v>
      </c>
      <c r="I4254" s="7">
        <f>IF(Transactions!I4254="",0,Transactions!I4254)</f>
        <v>0.25</v>
      </c>
      <c r="J4254" s="9">
        <f t="shared" si="66"/>
        <v>10.11</v>
      </c>
      <c r="K4254" t="s">
        <v>95</v>
      </c>
      <c r="L4254" t="s">
        <v>37</v>
      </c>
      <c r="M4254" t="str">
        <f>REPLACE(Transactions!M4254,1,4,"")</f>
        <v>5</v>
      </c>
    </row>
    <row r="4255" spans="1:13" x14ac:dyDescent="0.2">
      <c r="A4255">
        <v>804055</v>
      </c>
      <c r="B4255" s="5">
        <v>45124</v>
      </c>
      <c r="C4255">
        <v>47344</v>
      </c>
      <c r="D4255" t="str">
        <f>PROPER(Transactions!D4255)</f>
        <v>Home &amp; Garden</v>
      </c>
      <c r="E4255" t="s">
        <v>157</v>
      </c>
      <c r="F4255" t="s">
        <v>158</v>
      </c>
      <c r="G4255">
        <v>1</v>
      </c>
      <c r="H4255">
        <v>13.49</v>
      </c>
      <c r="I4255" s="7">
        <f>IF(Transactions!I4255="",0,Transactions!I4255)</f>
        <v>0</v>
      </c>
      <c r="J4255" s="9">
        <f t="shared" si="66"/>
        <v>13.49</v>
      </c>
      <c r="K4255" t="s">
        <v>16</v>
      </c>
      <c r="L4255" t="s">
        <v>17</v>
      </c>
      <c r="M4255" t="str">
        <f>REPLACE(Transactions!M4255,1,4,"")</f>
        <v>15</v>
      </c>
    </row>
    <row r="4256" spans="1:13" x14ac:dyDescent="0.2">
      <c r="A4256">
        <v>804468</v>
      </c>
      <c r="B4256" s="5">
        <v>44927</v>
      </c>
      <c r="C4256">
        <v>60774</v>
      </c>
      <c r="D4256" t="str">
        <f>PROPER(Transactions!D4256)</f>
        <v>Clothing</v>
      </c>
      <c r="E4256" t="s">
        <v>98</v>
      </c>
      <c r="F4256" t="s">
        <v>99</v>
      </c>
      <c r="G4256">
        <v>2</v>
      </c>
      <c r="H4256">
        <v>27.99</v>
      </c>
      <c r="I4256" s="7">
        <f>IF(Transactions!I4256="",0,Transactions!I4256)</f>
        <v>0</v>
      </c>
      <c r="J4256" s="9">
        <f t="shared" si="66"/>
        <v>55.98</v>
      </c>
      <c r="K4256" t="s">
        <v>16</v>
      </c>
      <c r="L4256" t="s">
        <v>17</v>
      </c>
      <c r="M4256" t="str">
        <f>REPLACE(Transactions!M4256,1,4,"")</f>
        <v>4</v>
      </c>
    </row>
    <row r="4257" spans="1:13" x14ac:dyDescent="0.2">
      <c r="A4257">
        <v>804863</v>
      </c>
      <c r="B4257" s="5">
        <v>45285</v>
      </c>
      <c r="C4257">
        <v>31240</v>
      </c>
      <c r="D4257" t="str">
        <f>PROPER(Transactions!D4257)</f>
        <v>Beauty</v>
      </c>
      <c r="E4257" t="s">
        <v>118</v>
      </c>
      <c r="F4257" t="s">
        <v>119</v>
      </c>
      <c r="G4257">
        <v>1</v>
      </c>
      <c r="H4257">
        <v>3.99</v>
      </c>
      <c r="I4257" s="7">
        <f>IF(Transactions!I4257="",0,Transactions!I4257)</f>
        <v>0.2</v>
      </c>
      <c r="J4257" s="9">
        <f t="shared" si="66"/>
        <v>3.1920000000000002</v>
      </c>
      <c r="K4257" t="s">
        <v>22</v>
      </c>
      <c r="L4257" t="s">
        <v>17</v>
      </c>
      <c r="M4257" t="str">
        <f>REPLACE(Transactions!M4257,1,4,"")</f>
        <v>14</v>
      </c>
    </row>
    <row r="4258" spans="1:13" x14ac:dyDescent="0.2">
      <c r="A4258">
        <v>804896</v>
      </c>
      <c r="B4258" s="5">
        <v>44832</v>
      </c>
      <c r="C4258">
        <v>83229</v>
      </c>
      <c r="D4258" t="str">
        <f>PROPER(Transactions!D4258)</f>
        <v>Home &amp; Garden</v>
      </c>
      <c r="E4258" t="s">
        <v>157</v>
      </c>
      <c r="F4258" t="s">
        <v>158</v>
      </c>
      <c r="G4258">
        <v>5</v>
      </c>
      <c r="H4258">
        <v>10.79</v>
      </c>
      <c r="I4258" s="7">
        <f>IF(Transactions!I4258="",0,Transactions!I4258)</f>
        <v>0.2</v>
      </c>
      <c r="J4258" s="9">
        <f t="shared" si="66"/>
        <v>43.16</v>
      </c>
      <c r="K4258" t="s">
        <v>32</v>
      </c>
      <c r="L4258" t="s">
        <v>23</v>
      </c>
      <c r="M4258" t="str">
        <f>REPLACE(Transactions!M4258,1,4,"")</f>
        <v>18</v>
      </c>
    </row>
    <row r="4259" spans="1:13" x14ac:dyDescent="0.2">
      <c r="A4259">
        <v>804903</v>
      </c>
      <c r="B4259" s="5">
        <v>44797</v>
      </c>
      <c r="C4259">
        <v>90865</v>
      </c>
      <c r="D4259" t="str">
        <f>PROPER(Transactions!D4259)</f>
        <v>Toys</v>
      </c>
      <c r="E4259" t="s">
        <v>30</v>
      </c>
      <c r="F4259" t="s">
        <v>31</v>
      </c>
      <c r="G4259">
        <v>4</v>
      </c>
      <c r="H4259">
        <v>24.99</v>
      </c>
      <c r="I4259" s="7">
        <f>IF(Transactions!I4259="",0,Transactions!I4259)</f>
        <v>0</v>
      </c>
      <c r="J4259" s="9">
        <f t="shared" si="66"/>
        <v>99.96</v>
      </c>
      <c r="K4259" t="s">
        <v>16</v>
      </c>
      <c r="L4259" t="s">
        <v>17</v>
      </c>
      <c r="M4259" t="str">
        <f>REPLACE(Transactions!M4259,1,4,"")</f>
        <v>10</v>
      </c>
    </row>
    <row r="4260" spans="1:13" x14ac:dyDescent="0.2">
      <c r="A4260">
        <v>804952</v>
      </c>
      <c r="B4260" s="5">
        <v>45417</v>
      </c>
      <c r="C4260">
        <v>35058</v>
      </c>
      <c r="D4260" t="str">
        <f>PROPER(Transactions!D4260)</f>
        <v>Automotive</v>
      </c>
      <c r="E4260" t="s">
        <v>68</v>
      </c>
      <c r="F4260" t="s">
        <v>69</v>
      </c>
      <c r="G4260">
        <v>2</v>
      </c>
      <c r="H4260">
        <v>24.99</v>
      </c>
      <c r="I4260" s="7">
        <f>IF(Transactions!I4260="",0,Transactions!I4260)</f>
        <v>0</v>
      </c>
      <c r="J4260" s="9">
        <f t="shared" si="66"/>
        <v>49.98</v>
      </c>
      <c r="K4260" t="s">
        <v>36</v>
      </c>
      <c r="L4260" t="s">
        <v>37</v>
      </c>
      <c r="M4260" t="str">
        <f>REPLACE(Transactions!M4260,1,4,"")</f>
        <v>1</v>
      </c>
    </row>
    <row r="4261" spans="1:13" x14ac:dyDescent="0.2">
      <c r="A4261">
        <v>805239</v>
      </c>
      <c r="B4261" s="5">
        <v>45001</v>
      </c>
      <c r="C4261">
        <v>82263</v>
      </c>
      <c r="D4261" t="str">
        <f>PROPER(Transactions!D4261)</f>
        <v>Toys</v>
      </c>
      <c r="E4261" t="s">
        <v>38</v>
      </c>
      <c r="F4261" t="s">
        <v>39</v>
      </c>
      <c r="G4261">
        <v>1</v>
      </c>
      <c r="H4261">
        <v>22.49</v>
      </c>
      <c r="I4261" s="7">
        <f>IF(Transactions!I4261="",0,Transactions!I4261)</f>
        <v>0.25</v>
      </c>
      <c r="J4261" s="9">
        <f t="shared" si="66"/>
        <v>16.8675</v>
      </c>
      <c r="K4261" t="s">
        <v>53</v>
      </c>
      <c r="L4261" t="s">
        <v>17</v>
      </c>
      <c r="M4261" t="str">
        <f>REPLACE(Transactions!M4261,1,4,"")</f>
        <v>1</v>
      </c>
    </row>
    <row r="4262" spans="1:13" x14ac:dyDescent="0.2">
      <c r="A4262">
        <v>805483</v>
      </c>
      <c r="B4262" s="5">
        <v>44930</v>
      </c>
      <c r="C4262">
        <v>78847</v>
      </c>
      <c r="D4262" t="str">
        <f>PROPER(Transactions!D4262)</f>
        <v>Automotive</v>
      </c>
      <c r="E4262" t="s">
        <v>64</v>
      </c>
      <c r="F4262" t="s">
        <v>65</v>
      </c>
      <c r="G4262">
        <v>2</v>
      </c>
      <c r="H4262">
        <v>4.24</v>
      </c>
      <c r="I4262" s="7">
        <f>IF(Transactions!I4262="",0,Transactions!I4262)</f>
        <v>0.15</v>
      </c>
      <c r="J4262" s="9">
        <f t="shared" si="66"/>
        <v>7.2080000000000002</v>
      </c>
      <c r="K4262" t="s">
        <v>36</v>
      </c>
      <c r="L4262" t="s">
        <v>17</v>
      </c>
      <c r="M4262" t="str">
        <f>REPLACE(Transactions!M4262,1,4,"")</f>
        <v>5</v>
      </c>
    </row>
    <row r="4263" spans="1:13" x14ac:dyDescent="0.2">
      <c r="A4263">
        <v>805804</v>
      </c>
      <c r="B4263" s="5">
        <v>45361</v>
      </c>
      <c r="C4263">
        <v>31237</v>
      </c>
      <c r="D4263" t="str">
        <f>PROPER(Transactions!D4263)</f>
        <v>Toys</v>
      </c>
      <c r="E4263" t="s">
        <v>72</v>
      </c>
      <c r="F4263" t="s">
        <v>73</v>
      </c>
      <c r="G4263">
        <v>4</v>
      </c>
      <c r="H4263">
        <v>31.99</v>
      </c>
      <c r="I4263" s="7">
        <f>IF(Transactions!I4263="",0,Transactions!I4263)</f>
        <v>0.2</v>
      </c>
      <c r="J4263" s="9">
        <f t="shared" si="66"/>
        <v>102.36799999999999</v>
      </c>
      <c r="K4263" t="s">
        <v>36</v>
      </c>
      <c r="L4263" t="s">
        <v>17</v>
      </c>
      <c r="M4263" t="str">
        <f>REPLACE(Transactions!M4263,1,4,"")</f>
        <v>12</v>
      </c>
    </row>
    <row r="4264" spans="1:13" x14ac:dyDescent="0.2">
      <c r="A4264">
        <v>806262</v>
      </c>
      <c r="B4264" s="5">
        <v>44584</v>
      </c>
      <c r="C4264">
        <v>67272</v>
      </c>
      <c r="D4264" t="str">
        <f>PROPER(Transactions!D4264)</f>
        <v>Electronics</v>
      </c>
      <c r="E4264" t="s">
        <v>34</v>
      </c>
      <c r="F4264" t="s">
        <v>35</v>
      </c>
      <c r="G4264">
        <v>5</v>
      </c>
      <c r="H4264">
        <v>34.99</v>
      </c>
      <c r="I4264" s="7">
        <f>IF(Transactions!I4264="",0,Transactions!I4264)</f>
        <v>0</v>
      </c>
      <c r="J4264" s="9">
        <f t="shared" si="66"/>
        <v>174.95000000000002</v>
      </c>
      <c r="K4264" t="s">
        <v>22</v>
      </c>
      <c r="L4264" t="s">
        <v>37</v>
      </c>
      <c r="M4264" t="str">
        <f>REPLACE(Transactions!M4264,1,4,"")</f>
        <v>17</v>
      </c>
    </row>
    <row r="4265" spans="1:13" x14ac:dyDescent="0.2">
      <c r="A4265">
        <v>806275</v>
      </c>
      <c r="B4265" s="5">
        <v>45254</v>
      </c>
      <c r="C4265">
        <v>75362</v>
      </c>
      <c r="D4265" t="str">
        <f>PROPER(Transactions!D4265)</f>
        <v>Toys</v>
      </c>
      <c r="E4265" t="s">
        <v>72</v>
      </c>
      <c r="F4265" t="s">
        <v>73</v>
      </c>
      <c r="G4265">
        <v>3</v>
      </c>
      <c r="H4265">
        <v>39.99</v>
      </c>
      <c r="I4265" s="7">
        <f>IF(Transactions!I4265="",0,Transactions!I4265)</f>
        <v>0</v>
      </c>
      <c r="J4265" s="9">
        <f t="shared" si="66"/>
        <v>119.97</v>
      </c>
      <c r="K4265" t="s">
        <v>36</v>
      </c>
      <c r="L4265" t="s">
        <v>37</v>
      </c>
      <c r="M4265" t="str">
        <f>REPLACE(Transactions!M4265,1,4,"")</f>
        <v>13</v>
      </c>
    </row>
    <row r="4266" spans="1:13" x14ac:dyDescent="0.2">
      <c r="A4266">
        <v>806292</v>
      </c>
      <c r="B4266" s="5">
        <v>45541</v>
      </c>
      <c r="C4266">
        <v>84995</v>
      </c>
      <c r="D4266" t="str">
        <f>PROPER(Transactions!D4266)</f>
        <v>Electronics</v>
      </c>
      <c r="E4266" t="s">
        <v>55</v>
      </c>
      <c r="F4266" t="s">
        <v>56</v>
      </c>
      <c r="G4266">
        <v>3</v>
      </c>
      <c r="H4266">
        <v>263.99</v>
      </c>
      <c r="I4266" s="7">
        <f>IF(Transactions!I4266="",0,Transactions!I4266)</f>
        <v>0.2</v>
      </c>
      <c r="J4266" s="9">
        <f t="shared" si="66"/>
        <v>633.57600000000002</v>
      </c>
      <c r="K4266" t="s">
        <v>16</v>
      </c>
      <c r="L4266" t="s">
        <v>17</v>
      </c>
      <c r="M4266" t="str">
        <f>REPLACE(Transactions!M4266,1,4,"")</f>
        <v>14</v>
      </c>
    </row>
    <row r="4267" spans="1:13" x14ac:dyDescent="0.2">
      <c r="A4267">
        <v>806551</v>
      </c>
      <c r="B4267" s="5">
        <v>45014</v>
      </c>
      <c r="C4267">
        <v>35533</v>
      </c>
      <c r="D4267" t="str">
        <f>PROPER(Transactions!D4267)</f>
        <v>Home &amp; Garden</v>
      </c>
      <c r="E4267" t="s">
        <v>153</v>
      </c>
      <c r="F4267" t="s">
        <v>154</v>
      </c>
      <c r="G4267">
        <v>1</v>
      </c>
      <c r="H4267">
        <v>28.49</v>
      </c>
      <c r="I4267" s="7">
        <f>IF(Transactions!I4267="",0,Transactions!I4267)</f>
        <v>0.05</v>
      </c>
      <c r="J4267" s="9">
        <f t="shared" si="66"/>
        <v>27.065499999999997</v>
      </c>
      <c r="K4267" t="s">
        <v>16</v>
      </c>
      <c r="L4267" t="s">
        <v>23</v>
      </c>
      <c r="M4267" t="str">
        <f>REPLACE(Transactions!M4267,1,4,"")</f>
        <v>16</v>
      </c>
    </row>
    <row r="4268" spans="1:13" x14ac:dyDescent="0.2">
      <c r="A4268">
        <v>806667</v>
      </c>
      <c r="B4268" s="5">
        <v>45037</v>
      </c>
      <c r="C4268">
        <v>59030</v>
      </c>
      <c r="D4268" t="str">
        <f>PROPER(Transactions!D4268)</f>
        <v>Electronics</v>
      </c>
      <c r="E4268" t="s">
        <v>159</v>
      </c>
      <c r="F4268" t="s">
        <v>160</v>
      </c>
      <c r="G4268">
        <v>1</v>
      </c>
      <c r="H4268">
        <v>44.99</v>
      </c>
      <c r="I4268" s="7">
        <f>IF(Transactions!I4268="",0,Transactions!I4268)</f>
        <v>0.25</v>
      </c>
      <c r="J4268" s="9">
        <f t="shared" si="66"/>
        <v>33.7425</v>
      </c>
      <c r="K4268" t="s">
        <v>16</v>
      </c>
      <c r="L4268" t="s">
        <v>17</v>
      </c>
      <c r="M4268" t="str">
        <f>REPLACE(Transactions!M4268,1,4,"")</f>
        <v>14</v>
      </c>
    </row>
    <row r="4269" spans="1:13" x14ac:dyDescent="0.2">
      <c r="A4269">
        <v>806981</v>
      </c>
      <c r="B4269" s="5">
        <v>45477</v>
      </c>
      <c r="C4269">
        <v>95267</v>
      </c>
      <c r="D4269" t="str">
        <f>PROPER(Transactions!D4269)</f>
        <v>Pharmacy</v>
      </c>
      <c r="E4269" t="s">
        <v>20</v>
      </c>
      <c r="F4269" t="s">
        <v>21</v>
      </c>
      <c r="G4269">
        <v>2</v>
      </c>
      <c r="H4269">
        <v>9.99</v>
      </c>
      <c r="I4269" s="7">
        <f>IF(Transactions!I4269="",0,Transactions!I4269)</f>
        <v>0</v>
      </c>
      <c r="J4269" s="9">
        <f t="shared" si="66"/>
        <v>19.98</v>
      </c>
      <c r="K4269" t="s">
        <v>16</v>
      </c>
      <c r="L4269" t="s">
        <v>17</v>
      </c>
      <c r="M4269" t="str">
        <f>REPLACE(Transactions!M4269,1,4,"")</f>
        <v>19</v>
      </c>
    </row>
    <row r="4270" spans="1:13" x14ac:dyDescent="0.2">
      <c r="A4270">
        <v>807267</v>
      </c>
      <c r="B4270" s="5">
        <v>44975</v>
      </c>
      <c r="C4270">
        <v>63134</v>
      </c>
      <c r="D4270" t="str">
        <f>PROPER(Transactions!D4270)</f>
        <v>Sports</v>
      </c>
      <c r="E4270" t="s">
        <v>188</v>
      </c>
      <c r="F4270" t="s">
        <v>189</v>
      </c>
      <c r="G4270">
        <v>2</v>
      </c>
      <c r="H4270">
        <v>42.74</v>
      </c>
      <c r="I4270" s="7">
        <f>IF(Transactions!I4270="",0,Transactions!I4270)</f>
        <v>0.05</v>
      </c>
      <c r="J4270" s="9">
        <f t="shared" si="66"/>
        <v>81.206000000000003</v>
      </c>
      <c r="K4270" t="s">
        <v>36</v>
      </c>
      <c r="L4270" t="s">
        <v>17</v>
      </c>
      <c r="M4270" t="str">
        <f>REPLACE(Transactions!M4270,1,4,"")</f>
        <v>17</v>
      </c>
    </row>
    <row r="4271" spans="1:13" x14ac:dyDescent="0.2">
      <c r="A4271">
        <v>807331</v>
      </c>
      <c r="B4271" s="5">
        <v>44902</v>
      </c>
      <c r="C4271">
        <v>69425</v>
      </c>
      <c r="D4271" t="str">
        <f>PROPER(Transactions!D4271)</f>
        <v>Home &amp; Garden</v>
      </c>
      <c r="E4271" t="s">
        <v>153</v>
      </c>
      <c r="F4271" t="s">
        <v>154</v>
      </c>
      <c r="G4271">
        <v>1</v>
      </c>
      <c r="H4271">
        <v>25.49</v>
      </c>
      <c r="I4271" s="7">
        <f>IF(Transactions!I4271="",0,Transactions!I4271)</f>
        <v>0.15</v>
      </c>
      <c r="J4271" s="9">
        <f t="shared" si="66"/>
        <v>21.666499999999999</v>
      </c>
      <c r="K4271" t="s">
        <v>16</v>
      </c>
      <c r="L4271" t="s">
        <v>17</v>
      </c>
      <c r="M4271" t="str">
        <f>REPLACE(Transactions!M4271,1,4,"")</f>
        <v>8</v>
      </c>
    </row>
    <row r="4272" spans="1:13" x14ac:dyDescent="0.2">
      <c r="A4272">
        <v>807384</v>
      </c>
      <c r="B4272" s="5">
        <v>45439</v>
      </c>
      <c r="C4272">
        <v>64684</v>
      </c>
      <c r="D4272" t="str">
        <f>PROPER(Transactions!D4272)</f>
        <v>Pharmacy</v>
      </c>
      <c r="E4272" t="s">
        <v>58</v>
      </c>
      <c r="F4272" t="s">
        <v>59</v>
      </c>
      <c r="G4272">
        <v>4</v>
      </c>
      <c r="H4272">
        <v>2.79</v>
      </c>
      <c r="I4272" s="7">
        <f>IF(Transactions!I4272="",0,Transactions!I4272)</f>
        <v>0.3</v>
      </c>
      <c r="J4272" s="9">
        <f t="shared" si="66"/>
        <v>7.8119999999999994</v>
      </c>
      <c r="K4272" t="s">
        <v>16</v>
      </c>
      <c r="L4272" t="s">
        <v>17</v>
      </c>
      <c r="M4272" t="str">
        <f>REPLACE(Transactions!M4272,1,4,"")</f>
        <v>11</v>
      </c>
    </row>
    <row r="4273" spans="1:13" x14ac:dyDescent="0.2">
      <c r="A4273">
        <v>807907</v>
      </c>
      <c r="B4273" s="5">
        <v>45237</v>
      </c>
      <c r="C4273">
        <v>19838</v>
      </c>
      <c r="D4273" t="str">
        <f>PROPER(Transactions!D4273)</f>
        <v>Toys</v>
      </c>
      <c r="E4273" t="s">
        <v>72</v>
      </c>
      <c r="F4273" t="s">
        <v>73</v>
      </c>
      <c r="G4273">
        <v>3</v>
      </c>
      <c r="H4273">
        <v>39.99</v>
      </c>
      <c r="I4273" s="7">
        <f>IF(Transactions!I4273="",0,Transactions!I4273)</f>
        <v>0</v>
      </c>
      <c r="J4273" s="9">
        <f t="shared" si="66"/>
        <v>119.97</v>
      </c>
      <c r="K4273" t="s">
        <v>16</v>
      </c>
      <c r="L4273" t="s">
        <v>17</v>
      </c>
      <c r="M4273" t="str">
        <f>REPLACE(Transactions!M4273,1,4,"")</f>
        <v>2</v>
      </c>
    </row>
    <row r="4274" spans="1:13" x14ac:dyDescent="0.2">
      <c r="A4274">
        <v>808142</v>
      </c>
      <c r="B4274" s="5">
        <v>45144</v>
      </c>
      <c r="C4274">
        <v>59964</v>
      </c>
      <c r="D4274" t="str">
        <f>PROPER(Transactions!D4274)</f>
        <v>Automotive</v>
      </c>
      <c r="E4274" t="s">
        <v>111</v>
      </c>
      <c r="F4274" t="s">
        <v>112</v>
      </c>
      <c r="G4274">
        <v>4</v>
      </c>
      <c r="H4274">
        <v>14.99</v>
      </c>
      <c r="I4274" s="7">
        <f>IF(Transactions!I4274="",0,Transactions!I4274)</f>
        <v>0</v>
      </c>
      <c r="J4274" s="9">
        <f t="shared" si="66"/>
        <v>59.96</v>
      </c>
      <c r="K4274" t="s">
        <v>36</v>
      </c>
      <c r="L4274" t="s">
        <v>23</v>
      </c>
      <c r="M4274" t="str">
        <f>REPLACE(Transactions!M4274,1,4,"")</f>
        <v>20</v>
      </c>
    </row>
    <row r="4275" spans="1:13" x14ac:dyDescent="0.2">
      <c r="A4275">
        <v>808527</v>
      </c>
      <c r="B4275" s="5">
        <v>44931</v>
      </c>
      <c r="D4275" t="str">
        <f>PROPER(Transactions!D4275)</f>
        <v>Home &amp; Garden</v>
      </c>
      <c r="E4275" t="s">
        <v>153</v>
      </c>
      <c r="F4275" t="s">
        <v>154</v>
      </c>
      <c r="G4275">
        <v>1</v>
      </c>
      <c r="H4275">
        <v>25.49</v>
      </c>
      <c r="I4275" s="7">
        <f>IF(Transactions!I4275="",0,Transactions!I4275)</f>
        <v>0.15</v>
      </c>
      <c r="J4275" s="9">
        <f t="shared" si="66"/>
        <v>21.666499999999999</v>
      </c>
      <c r="K4275" t="s">
        <v>32</v>
      </c>
      <c r="L4275" t="s">
        <v>17</v>
      </c>
      <c r="M4275" t="str">
        <f>REPLACE(Transactions!M4275,1,4,"")</f>
        <v>18</v>
      </c>
    </row>
    <row r="4276" spans="1:13" x14ac:dyDescent="0.2">
      <c r="A4276">
        <v>808633</v>
      </c>
      <c r="B4276" s="5">
        <v>44996</v>
      </c>
      <c r="C4276">
        <v>82875</v>
      </c>
      <c r="D4276" t="str">
        <f>PROPER(Transactions!D4276)</f>
        <v>Automotive</v>
      </c>
      <c r="E4276" t="s">
        <v>111</v>
      </c>
      <c r="F4276" t="s">
        <v>112</v>
      </c>
      <c r="G4276">
        <v>1</v>
      </c>
      <c r="H4276">
        <v>10.49</v>
      </c>
      <c r="I4276" s="7">
        <f>IF(Transactions!I4276="",0,Transactions!I4276)</f>
        <v>0.3</v>
      </c>
      <c r="J4276" s="9">
        <f t="shared" si="66"/>
        <v>7.343</v>
      </c>
      <c r="K4276" t="s">
        <v>95</v>
      </c>
      <c r="L4276" t="s">
        <v>17</v>
      </c>
      <c r="M4276" t="str">
        <f>REPLACE(Transactions!M4276,1,4,"")</f>
        <v/>
      </c>
    </row>
    <row r="4277" spans="1:13" x14ac:dyDescent="0.2">
      <c r="A4277">
        <v>808819</v>
      </c>
      <c r="B4277" s="5">
        <v>44918</v>
      </c>
      <c r="C4277">
        <v>87011</v>
      </c>
      <c r="D4277" t="str">
        <f>PROPER(Transactions!D4277)</f>
        <v>Furniture</v>
      </c>
      <c r="E4277" t="s">
        <v>26</v>
      </c>
      <c r="F4277" t="s">
        <v>27</v>
      </c>
      <c r="G4277">
        <v>2</v>
      </c>
      <c r="H4277">
        <v>24.49</v>
      </c>
      <c r="I4277" s="7">
        <f>IF(Transactions!I4277="",0,Transactions!I4277)</f>
        <v>0.3</v>
      </c>
      <c r="J4277" s="9">
        <f t="shared" si="66"/>
        <v>34.285999999999994</v>
      </c>
      <c r="K4277" t="s">
        <v>36</v>
      </c>
      <c r="L4277" t="s">
        <v>37</v>
      </c>
      <c r="M4277" t="str">
        <f>REPLACE(Transactions!M4277,1,4,"")</f>
        <v>18</v>
      </c>
    </row>
    <row r="4278" spans="1:13" x14ac:dyDescent="0.2">
      <c r="A4278">
        <v>809030</v>
      </c>
      <c r="B4278" s="5">
        <v>44781</v>
      </c>
      <c r="C4278">
        <v>11468</v>
      </c>
      <c r="D4278" t="str">
        <f>PROPER(Transactions!D4278)</f>
        <v>Sports</v>
      </c>
      <c r="E4278" t="s">
        <v>155</v>
      </c>
      <c r="F4278" t="s">
        <v>156</v>
      </c>
      <c r="G4278">
        <v>1</v>
      </c>
      <c r="H4278">
        <v>17.989999999999998</v>
      </c>
      <c r="I4278" s="7">
        <f>IF(Transactions!I4278="",0,Transactions!I4278)</f>
        <v>0.1</v>
      </c>
      <c r="J4278" s="9">
        <f t="shared" si="66"/>
        <v>16.190999999999999</v>
      </c>
      <c r="K4278" t="s">
        <v>16</v>
      </c>
      <c r="L4278" t="s">
        <v>17</v>
      </c>
      <c r="M4278" t="str">
        <f>REPLACE(Transactions!M4278,1,4,"")</f>
        <v>11</v>
      </c>
    </row>
    <row r="4279" spans="1:13" x14ac:dyDescent="0.2">
      <c r="A4279">
        <v>809083</v>
      </c>
      <c r="B4279" s="5">
        <v>45497</v>
      </c>
      <c r="C4279">
        <v>62461</v>
      </c>
      <c r="D4279" t="str">
        <f>PROPER(Transactions!D4279)</f>
        <v>Sports</v>
      </c>
      <c r="E4279" t="s">
        <v>147</v>
      </c>
      <c r="F4279" t="s">
        <v>148</v>
      </c>
      <c r="G4279">
        <v>5</v>
      </c>
      <c r="H4279">
        <v>12.34</v>
      </c>
      <c r="I4279" s="7">
        <f>IF(Transactions!I4279="",0,Transactions!I4279)</f>
        <v>0.05</v>
      </c>
      <c r="J4279" s="9">
        <f t="shared" si="66"/>
        <v>58.615000000000002</v>
      </c>
      <c r="K4279" t="s">
        <v>36</v>
      </c>
      <c r="L4279" t="s">
        <v>17</v>
      </c>
      <c r="M4279" t="str">
        <f>REPLACE(Transactions!M4279,1,4,"")</f>
        <v>6</v>
      </c>
    </row>
    <row r="4280" spans="1:13" x14ac:dyDescent="0.2">
      <c r="A4280">
        <v>809147</v>
      </c>
      <c r="B4280" s="5">
        <v>45071</v>
      </c>
      <c r="D4280" t="str">
        <f>PROPER(Transactions!D4280)</f>
        <v>Furniture</v>
      </c>
      <c r="E4280" t="s">
        <v>26</v>
      </c>
      <c r="F4280" t="s">
        <v>27</v>
      </c>
      <c r="G4280">
        <v>1</v>
      </c>
      <c r="H4280">
        <v>26.24</v>
      </c>
      <c r="I4280" s="7">
        <f>IF(Transactions!I4280="",0,Transactions!I4280)</f>
        <v>0.25</v>
      </c>
      <c r="J4280" s="9">
        <f t="shared" si="66"/>
        <v>19.68</v>
      </c>
      <c r="K4280" t="s">
        <v>32</v>
      </c>
      <c r="L4280" t="s">
        <v>17</v>
      </c>
      <c r="M4280" t="str">
        <f>REPLACE(Transactions!M4280,1,4,"")</f>
        <v>19</v>
      </c>
    </row>
    <row r="4281" spans="1:13" x14ac:dyDescent="0.2">
      <c r="A4281">
        <v>809217</v>
      </c>
      <c r="B4281" s="5">
        <v>45458</v>
      </c>
      <c r="C4281">
        <v>68841</v>
      </c>
      <c r="D4281" t="str">
        <f>PROPER(Transactions!D4281)</f>
        <v>Furniture</v>
      </c>
      <c r="E4281" t="s">
        <v>70</v>
      </c>
      <c r="F4281" t="s">
        <v>71</v>
      </c>
      <c r="G4281">
        <v>2</v>
      </c>
      <c r="H4281">
        <v>89.99</v>
      </c>
      <c r="I4281" s="7">
        <f>IF(Transactions!I4281="",0,Transactions!I4281)</f>
        <v>0</v>
      </c>
      <c r="J4281" s="9">
        <f t="shared" si="66"/>
        <v>179.98</v>
      </c>
      <c r="K4281" t="s">
        <v>36</v>
      </c>
      <c r="L4281" t="s">
        <v>23</v>
      </c>
      <c r="M4281" t="str">
        <f>REPLACE(Transactions!M4281,1,4,"")</f>
        <v>5</v>
      </c>
    </row>
    <row r="4282" spans="1:13" x14ac:dyDescent="0.2">
      <c r="A4282">
        <v>809253</v>
      </c>
      <c r="B4282" s="5">
        <v>44946</v>
      </c>
      <c r="C4282">
        <v>85598</v>
      </c>
      <c r="D4282" t="str">
        <f>PROPER(Transactions!D4282)</f>
        <v>Electronics</v>
      </c>
      <c r="E4282" t="s">
        <v>55</v>
      </c>
      <c r="F4282" t="s">
        <v>56</v>
      </c>
      <c r="G4282">
        <v>5</v>
      </c>
      <c r="H4282">
        <v>280.49</v>
      </c>
      <c r="I4282" s="7">
        <f>IF(Transactions!I4282="",0,Transactions!I4282)</f>
        <v>0.15</v>
      </c>
      <c r="J4282" s="9">
        <f t="shared" si="66"/>
        <v>1192.0825</v>
      </c>
      <c r="K4282" t="s">
        <v>36</v>
      </c>
      <c r="L4282" t="s">
        <v>37</v>
      </c>
      <c r="M4282" t="str">
        <f>REPLACE(Transactions!M4282,1,4,"")</f>
        <v>16</v>
      </c>
    </row>
    <row r="4283" spans="1:13" x14ac:dyDescent="0.2">
      <c r="A4283">
        <v>809527</v>
      </c>
      <c r="B4283" s="5">
        <v>44968</v>
      </c>
      <c r="C4283">
        <v>54297</v>
      </c>
      <c r="D4283" t="str">
        <f>PROPER(Transactions!D4283)</f>
        <v>Clothing</v>
      </c>
      <c r="E4283" t="s">
        <v>165</v>
      </c>
      <c r="F4283" t="s">
        <v>166</v>
      </c>
      <c r="G4283">
        <v>5</v>
      </c>
      <c r="H4283">
        <v>80.989999999999995</v>
      </c>
      <c r="I4283" s="7">
        <f>IF(Transactions!I4283="",0,Transactions!I4283)</f>
        <v>0.1</v>
      </c>
      <c r="J4283" s="9">
        <f t="shared" si="66"/>
        <v>364.45499999999998</v>
      </c>
      <c r="K4283" t="s">
        <v>16</v>
      </c>
      <c r="L4283" t="s">
        <v>37</v>
      </c>
      <c r="M4283" t="str">
        <f>REPLACE(Transactions!M4283,1,4,"")</f>
        <v>19</v>
      </c>
    </row>
    <row r="4284" spans="1:13" x14ac:dyDescent="0.2">
      <c r="A4284">
        <v>809633</v>
      </c>
      <c r="B4284" s="5">
        <v>44661</v>
      </c>
      <c r="C4284">
        <v>56237</v>
      </c>
      <c r="D4284" t="str">
        <f>PROPER(Transactions!D4284)</f>
        <v>Sports</v>
      </c>
      <c r="E4284" t="s">
        <v>155</v>
      </c>
      <c r="F4284" t="s">
        <v>156</v>
      </c>
      <c r="G4284">
        <v>1</v>
      </c>
      <c r="H4284">
        <v>18.989999999999998</v>
      </c>
      <c r="I4284" s="7">
        <f>IF(Transactions!I4284="",0,Transactions!I4284)</f>
        <v>0.05</v>
      </c>
      <c r="J4284" s="9">
        <f t="shared" si="66"/>
        <v>18.040499999999998</v>
      </c>
      <c r="K4284" t="s">
        <v>36</v>
      </c>
      <c r="L4284" t="s">
        <v>17</v>
      </c>
      <c r="M4284" t="str">
        <f>REPLACE(Transactions!M4284,1,4,"")</f>
        <v>1</v>
      </c>
    </row>
    <row r="4285" spans="1:13" x14ac:dyDescent="0.2">
      <c r="A4285">
        <v>809729</v>
      </c>
      <c r="B4285" s="5">
        <v>44897</v>
      </c>
      <c r="C4285">
        <v>60616</v>
      </c>
      <c r="D4285" t="str">
        <f>PROPER(Transactions!D4285)</f>
        <v>Beauty</v>
      </c>
      <c r="E4285" t="s">
        <v>179</v>
      </c>
      <c r="F4285" t="s">
        <v>180</v>
      </c>
      <c r="G4285">
        <v>1</v>
      </c>
      <c r="H4285">
        <v>10.19</v>
      </c>
      <c r="I4285" s="7">
        <f>IF(Transactions!I4285="",0,Transactions!I4285)</f>
        <v>0.15</v>
      </c>
      <c r="J4285" s="9">
        <f t="shared" si="66"/>
        <v>8.6615000000000002</v>
      </c>
      <c r="K4285" t="s">
        <v>95</v>
      </c>
      <c r="L4285" t="s">
        <v>17</v>
      </c>
      <c r="M4285" t="str">
        <f>REPLACE(Transactions!M4285,1,4,"")</f>
        <v>4</v>
      </c>
    </row>
    <row r="4286" spans="1:13" x14ac:dyDescent="0.2">
      <c r="A4286">
        <v>809952</v>
      </c>
      <c r="B4286" s="5">
        <v>44733</v>
      </c>
      <c r="C4286">
        <v>35486</v>
      </c>
      <c r="D4286" t="str">
        <f>PROPER(Transactions!D4286)</f>
        <v>Toys</v>
      </c>
      <c r="E4286" t="s">
        <v>170</v>
      </c>
      <c r="F4286" t="s">
        <v>171</v>
      </c>
      <c r="G4286">
        <v>4</v>
      </c>
      <c r="H4286">
        <v>10.49</v>
      </c>
      <c r="I4286" s="7">
        <f>IF(Transactions!I4286="",0,Transactions!I4286)</f>
        <v>0.3</v>
      </c>
      <c r="J4286" s="9">
        <f t="shared" si="66"/>
        <v>29.372</v>
      </c>
      <c r="K4286" t="s">
        <v>36</v>
      </c>
      <c r="L4286" t="s">
        <v>17</v>
      </c>
      <c r="M4286" t="str">
        <f>REPLACE(Transactions!M4286,1,4,"")</f>
        <v>14</v>
      </c>
    </row>
    <row r="4287" spans="1:13" x14ac:dyDescent="0.2">
      <c r="A4287">
        <v>810265</v>
      </c>
      <c r="B4287" s="5">
        <v>45496</v>
      </c>
      <c r="C4287">
        <v>98418</v>
      </c>
      <c r="D4287" t="str">
        <f>PROPER(Transactions!D4287)</f>
        <v>Toys</v>
      </c>
      <c r="E4287" t="s">
        <v>175</v>
      </c>
      <c r="F4287" t="s">
        <v>176</v>
      </c>
      <c r="G4287">
        <v>4</v>
      </c>
      <c r="H4287">
        <v>11.99</v>
      </c>
      <c r="I4287" s="7">
        <f>IF(Transactions!I4287="",0,Transactions!I4287)</f>
        <v>0</v>
      </c>
      <c r="J4287" s="9">
        <f t="shared" si="66"/>
        <v>47.96</v>
      </c>
      <c r="K4287" t="s">
        <v>16</v>
      </c>
      <c r="L4287" t="s">
        <v>37</v>
      </c>
      <c r="M4287" t="str">
        <f>REPLACE(Transactions!M4287,1,4,"")</f>
        <v>1</v>
      </c>
    </row>
    <row r="4288" spans="1:13" x14ac:dyDescent="0.2">
      <c r="A4288">
        <v>810332</v>
      </c>
      <c r="B4288" s="5">
        <v>45485</v>
      </c>
      <c r="D4288" t="str">
        <f>PROPER(Transactions!D4288)</f>
        <v>Electronics</v>
      </c>
      <c r="E4288" t="s">
        <v>79</v>
      </c>
      <c r="F4288" t="s">
        <v>80</v>
      </c>
      <c r="G4288">
        <v>2</v>
      </c>
      <c r="H4288">
        <v>89.99</v>
      </c>
      <c r="I4288" s="7">
        <f>IF(Transactions!I4288="",0,Transactions!I4288)</f>
        <v>0</v>
      </c>
      <c r="J4288" s="9">
        <f t="shared" si="66"/>
        <v>179.98</v>
      </c>
      <c r="K4288" t="s">
        <v>36</v>
      </c>
      <c r="L4288" t="s">
        <v>23</v>
      </c>
      <c r="M4288" t="str">
        <f>REPLACE(Transactions!M4288,1,4,"")</f>
        <v>1</v>
      </c>
    </row>
    <row r="4289" spans="1:13" x14ac:dyDescent="0.2">
      <c r="A4289">
        <v>810500</v>
      </c>
      <c r="B4289" s="5">
        <v>45320</v>
      </c>
      <c r="C4289">
        <v>89169</v>
      </c>
      <c r="D4289" t="str">
        <f>PROPER(Transactions!D4289)</f>
        <v>Pharmacy</v>
      </c>
      <c r="E4289" t="s">
        <v>41</v>
      </c>
      <c r="F4289" t="s">
        <v>42</v>
      </c>
      <c r="G4289">
        <v>1</v>
      </c>
      <c r="H4289">
        <v>5.99</v>
      </c>
      <c r="I4289" s="7">
        <f>IF(Transactions!I4289="",0,Transactions!I4289)</f>
        <v>0</v>
      </c>
      <c r="J4289" s="9">
        <f t="shared" si="66"/>
        <v>5.99</v>
      </c>
      <c r="K4289" t="s">
        <v>22</v>
      </c>
      <c r="L4289" t="s">
        <v>17</v>
      </c>
      <c r="M4289" t="str">
        <f>REPLACE(Transactions!M4289,1,4,"")</f>
        <v>19</v>
      </c>
    </row>
    <row r="4290" spans="1:13" x14ac:dyDescent="0.2">
      <c r="A4290">
        <v>810725</v>
      </c>
      <c r="B4290" s="5">
        <v>45333</v>
      </c>
      <c r="C4290">
        <v>16790</v>
      </c>
      <c r="D4290" t="str">
        <f>PROPER(Transactions!D4290)</f>
        <v>Electronics</v>
      </c>
      <c r="E4290" t="s">
        <v>79</v>
      </c>
      <c r="F4290" t="s">
        <v>80</v>
      </c>
      <c r="G4290">
        <v>3</v>
      </c>
      <c r="H4290">
        <v>80.989999999999995</v>
      </c>
      <c r="I4290" s="7">
        <f>IF(Transactions!I4290="",0,Transactions!I4290)</f>
        <v>0.1</v>
      </c>
      <c r="J4290" s="9">
        <f t="shared" si="66"/>
        <v>218.67299999999997</v>
      </c>
      <c r="K4290" t="s">
        <v>36</v>
      </c>
      <c r="L4290" t="s">
        <v>37</v>
      </c>
      <c r="M4290" t="str">
        <f>REPLACE(Transactions!M4290,1,4,"")</f>
        <v>2</v>
      </c>
    </row>
    <row r="4291" spans="1:13" x14ac:dyDescent="0.2">
      <c r="A4291">
        <v>810783</v>
      </c>
      <c r="B4291" s="5">
        <v>44754</v>
      </c>
      <c r="C4291">
        <v>57810</v>
      </c>
      <c r="D4291" t="str">
        <f>PROPER(Transactions!D4291)</f>
        <v>Pharmacy</v>
      </c>
      <c r="E4291" t="s">
        <v>41</v>
      </c>
      <c r="F4291" t="s">
        <v>42</v>
      </c>
      <c r="G4291">
        <v>5</v>
      </c>
      <c r="H4291">
        <v>4.79</v>
      </c>
      <c r="I4291" s="7">
        <f>IF(Transactions!I4291="",0,Transactions!I4291)</f>
        <v>0.2</v>
      </c>
      <c r="J4291" s="9">
        <f t="shared" ref="J4291:J4354" si="67">(H4291*G4291)*(1-I4291)</f>
        <v>19.16</v>
      </c>
      <c r="K4291" t="s">
        <v>16</v>
      </c>
      <c r="L4291" t="s">
        <v>17</v>
      </c>
      <c r="M4291" t="str">
        <f>REPLACE(Transactions!M4291,1,4,"")</f>
        <v>6</v>
      </c>
    </row>
    <row r="4292" spans="1:13" x14ac:dyDescent="0.2">
      <c r="A4292">
        <v>810992</v>
      </c>
      <c r="B4292" s="5">
        <v>45032</v>
      </c>
      <c r="C4292">
        <v>10375</v>
      </c>
      <c r="D4292" t="str">
        <f>PROPER(Transactions!D4292)</f>
        <v>Home &amp; Garden</v>
      </c>
      <c r="E4292" t="s">
        <v>149</v>
      </c>
      <c r="F4292" t="s">
        <v>150</v>
      </c>
      <c r="G4292">
        <v>2</v>
      </c>
      <c r="H4292">
        <v>16.989999999999998</v>
      </c>
      <c r="I4292" s="7">
        <f>IF(Transactions!I4292="",0,Transactions!I4292)</f>
        <v>0.15</v>
      </c>
      <c r="J4292" s="9">
        <f t="shared" si="67"/>
        <v>28.882999999999996</v>
      </c>
      <c r="K4292" t="s">
        <v>36</v>
      </c>
      <c r="L4292" t="s">
        <v>17</v>
      </c>
      <c r="M4292" t="str">
        <f>REPLACE(Transactions!M4292,1,4,"")</f>
        <v>20</v>
      </c>
    </row>
    <row r="4293" spans="1:13" x14ac:dyDescent="0.2">
      <c r="A4293">
        <v>811267</v>
      </c>
      <c r="B4293" s="5">
        <v>44711</v>
      </c>
      <c r="C4293">
        <v>39303</v>
      </c>
      <c r="D4293" t="str">
        <f>PROPER(Transactions!D4293)</f>
        <v>Grocery</v>
      </c>
      <c r="E4293" t="s">
        <v>45</v>
      </c>
      <c r="F4293" t="s">
        <v>46</v>
      </c>
      <c r="G4293">
        <v>1</v>
      </c>
      <c r="H4293">
        <v>1.79</v>
      </c>
      <c r="I4293" s="7">
        <f>IF(Transactions!I4293="",0,Transactions!I4293)</f>
        <v>0</v>
      </c>
      <c r="J4293" s="9">
        <f t="shared" si="67"/>
        <v>1.79</v>
      </c>
      <c r="K4293" t="s">
        <v>16</v>
      </c>
      <c r="L4293" t="s">
        <v>17</v>
      </c>
      <c r="M4293" t="str">
        <f>REPLACE(Transactions!M4293,1,4,"")</f>
        <v>8</v>
      </c>
    </row>
    <row r="4294" spans="1:13" x14ac:dyDescent="0.2">
      <c r="A4294">
        <v>811346</v>
      </c>
      <c r="B4294" s="5">
        <v>45414</v>
      </c>
      <c r="D4294" t="str">
        <f>PROPER(Transactions!D4294)</f>
        <v>Electronics</v>
      </c>
      <c r="E4294" t="s">
        <v>127</v>
      </c>
      <c r="F4294" t="s">
        <v>128</v>
      </c>
      <c r="G4294">
        <v>4</v>
      </c>
      <c r="H4294">
        <v>14.99</v>
      </c>
      <c r="I4294" s="7">
        <f>IF(Transactions!I4294="",0,Transactions!I4294)</f>
        <v>0.25</v>
      </c>
      <c r="J4294" s="9">
        <f t="shared" si="67"/>
        <v>44.97</v>
      </c>
      <c r="K4294" t="s">
        <v>22</v>
      </c>
      <c r="L4294" t="s">
        <v>17</v>
      </c>
      <c r="M4294" t="str">
        <f>REPLACE(Transactions!M4294,1,4,"")</f>
        <v>11</v>
      </c>
    </row>
    <row r="4295" spans="1:13" x14ac:dyDescent="0.2">
      <c r="A4295">
        <v>811902</v>
      </c>
      <c r="B4295" s="5">
        <v>45198</v>
      </c>
      <c r="C4295">
        <v>36149</v>
      </c>
      <c r="D4295" t="str">
        <f>PROPER(Transactions!D4295)</f>
        <v>Clothing</v>
      </c>
      <c r="E4295" t="s">
        <v>165</v>
      </c>
      <c r="F4295" t="s">
        <v>166</v>
      </c>
      <c r="G4295">
        <v>2</v>
      </c>
      <c r="H4295">
        <v>89.99</v>
      </c>
      <c r="I4295" s="7">
        <f>IF(Transactions!I4295="",0,Transactions!I4295)</f>
        <v>0</v>
      </c>
      <c r="J4295" s="9">
        <f t="shared" si="67"/>
        <v>179.98</v>
      </c>
      <c r="K4295" t="s">
        <v>16</v>
      </c>
      <c r="L4295" t="s">
        <v>37</v>
      </c>
      <c r="M4295" t="str">
        <f>REPLACE(Transactions!M4295,1,4,"")</f>
        <v>14</v>
      </c>
    </row>
    <row r="4296" spans="1:13" x14ac:dyDescent="0.2">
      <c r="A4296">
        <v>812014</v>
      </c>
      <c r="B4296" s="5">
        <v>45031</v>
      </c>
      <c r="C4296">
        <v>40977</v>
      </c>
      <c r="D4296" t="str">
        <f>PROPER(Transactions!D4296)</f>
        <v>Sports</v>
      </c>
      <c r="E4296" t="s">
        <v>100</v>
      </c>
      <c r="F4296" t="s">
        <v>101</v>
      </c>
      <c r="G4296">
        <v>1</v>
      </c>
      <c r="H4296">
        <v>17.239999999999998</v>
      </c>
      <c r="I4296" s="7">
        <f>IF(Transactions!I4296="",0,Transactions!I4296)</f>
        <v>0.25</v>
      </c>
      <c r="J4296" s="9">
        <f t="shared" si="67"/>
        <v>12.93</v>
      </c>
      <c r="K4296" t="s">
        <v>53</v>
      </c>
      <c r="L4296" t="s">
        <v>17</v>
      </c>
      <c r="M4296" t="str">
        <f>REPLACE(Transactions!M4296,1,4,"")</f>
        <v>10</v>
      </c>
    </row>
    <row r="4297" spans="1:13" x14ac:dyDescent="0.2">
      <c r="A4297">
        <v>812237</v>
      </c>
      <c r="B4297" s="5">
        <v>44702</v>
      </c>
      <c r="C4297">
        <v>49593</v>
      </c>
      <c r="D4297" t="str">
        <f>PROPER(Transactions!D4297)</f>
        <v>Grocery</v>
      </c>
      <c r="E4297" t="s">
        <v>74</v>
      </c>
      <c r="F4297" t="s">
        <v>75</v>
      </c>
      <c r="G4297">
        <v>1</v>
      </c>
      <c r="H4297">
        <v>2.2400000000000002</v>
      </c>
      <c r="I4297" s="7">
        <f>IF(Transactions!I4297="",0,Transactions!I4297)</f>
        <v>0.25</v>
      </c>
      <c r="J4297" s="9">
        <f t="shared" si="67"/>
        <v>1.6800000000000002</v>
      </c>
      <c r="K4297" t="s">
        <v>36</v>
      </c>
      <c r="L4297" t="s">
        <v>17</v>
      </c>
      <c r="M4297" t="str">
        <f>REPLACE(Transactions!M4297,1,4,"")</f>
        <v>7</v>
      </c>
    </row>
    <row r="4298" spans="1:13" x14ac:dyDescent="0.2">
      <c r="A4298">
        <v>812543</v>
      </c>
      <c r="B4298" s="5">
        <v>45628</v>
      </c>
      <c r="C4298">
        <v>25592</v>
      </c>
      <c r="D4298" t="str">
        <f>PROPER(Transactions!D4298)</f>
        <v>Automotive</v>
      </c>
      <c r="E4298" t="s">
        <v>64</v>
      </c>
      <c r="F4298" t="s">
        <v>65</v>
      </c>
      <c r="G4298">
        <v>1</v>
      </c>
      <c r="H4298">
        <v>4.99</v>
      </c>
      <c r="I4298" s="7">
        <f>IF(Transactions!I4298="",0,Transactions!I4298)</f>
        <v>0</v>
      </c>
      <c r="J4298" s="9">
        <f t="shared" si="67"/>
        <v>4.99</v>
      </c>
      <c r="K4298" t="s">
        <v>95</v>
      </c>
      <c r="L4298" t="s">
        <v>17</v>
      </c>
      <c r="M4298" t="str">
        <f>REPLACE(Transactions!M4298,1,4,"")</f>
        <v>6</v>
      </c>
    </row>
    <row r="4299" spans="1:13" x14ac:dyDescent="0.2">
      <c r="A4299">
        <v>812605</v>
      </c>
      <c r="B4299" s="5">
        <v>45285</v>
      </c>
      <c r="C4299">
        <v>27459</v>
      </c>
      <c r="D4299" t="str">
        <f>PROPER(Transactions!D4299)</f>
        <v>Beauty</v>
      </c>
      <c r="E4299" t="s">
        <v>179</v>
      </c>
      <c r="F4299" t="s">
        <v>180</v>
      </c>
      <c r="G4299">
        <v>3</v>
      </c>
      <c r="H4299">
        <v>11.39</v>
      </c>
      <c r="I4299" s="7">
        <f>IF(Transactions!I4299="",0,Transactions!I4299)</f>
        <v>0.05</v>
      </c>
      <c r="J4299" s="9">
        <f t="shared" si="67"/>
        <v>32.461500000000001</v>
      </c>
      <c r="K4299" t="s">
        <v>22</v>
      </c>
      <c r="L4299" t="s">
        <v>23</v>
      </c>
      <c r="M4299" t="str">
        <f>REPLACE(Transactions!M4299,1,4,"")</f>
        <v>13</v>
      </c>
    </row>
    <row r="4300" spans="1:13" x14ac:dyDescent="0.2">
      <c r="A4300">
        <v>812621</v>
      </c>
      <c r="B4300" s="5">
        <v>45169</v>
      </c>
      <c r="C4300">
        <v>75880</v>
      </c>
      <c r="D4300" t="str">
        <f>PROPER(Transactions!D4300)</f>
        <v>Grocery</v>
      </c>
      <c r="E4300" t="s">
        <v>195</v>
      </c>
      <c r="F4300" t="s">
        <v>196</v>
      </c>
      <c r="G4300">
        <v>1</v>
      </c>
      <c r="H4300">
        <v>4.24</v>
      </c>
      <c r="I4300" s="7">
        <f>IF(Transactions!I4300="",0,Transactions!I4300)</f>
        <v>0</v>
      </c>
      <c r="J4300" s="9">
        <f t="shared" si="67"/>
        <v>4.24</v>
      </c>
      <c r="K4300" t="s">
        <v>16</v>
      </c>
      <c r="L4300" t="s">
        <v>17</v>
      </c>
      <c r="M4300" t="str">
        <f>REPLACE(Transactions!M4300,1,4,"")</f>
        <v>16</v>
      </c>
    </row>
    <row r="4301" spans="1:13" x14ac:dyDescent="0.2">
      <c r="A4301">
        <v>812756</v>
      </c>
      <c r="B4301" s="5">
        <v>44982</v>
      </c>
      <c r="C4301">
        <v>76022</v>
      </c>
      <c r="D4301" t="str">
        <f>PROPER(Transactions!D4301)</f>
        <v>Electronics</v>
      </c>
      <c r="E4301" t="s">
        <v>79</v>
      </c>
      <c r="F4301" t="s">
        <v>80</v>
      </c>
      <c r="G4301">
        <v>1</v>
      </c>
      <c r="H4301">
        <v>71.989999999999995</v>
      </c>
      <c r="I4301" s="7">
        <f>IF(Transactions!I4301="",0,Transactions!I4301)</f>
        <v>0.2</v>
      </c>
      <c r="J4301" s="9">
        <f t="shared" si="67"/>
        <v>57.591999999999999</v>
      </c>
      <c r="K4301" t="s">
        <v>22</v>
      </c>
      <c r="L4301" t="s">
        <v>37</v>
      </c>
      <c r="M4301" t="str">
        <f>REPLACE(Transactions!M4301,1,4,"")</f>
        <v>3</v>
      </c>
    </row>
    <row r="4302" spans="1:13" x14ac:dyDescent="0.2">
      <c r="A4302">
        <v>812898</v>
      </c>
      <c r="B4302" s="5">
        <v>45087</v>
      </c>
      <c r="C4302">
        <v>25963</v>
      </c>
      <c r="D4302" t="str">
        <f>PROPER(Transactions!D4302)</f>
        <v>Pharmacy</v>
      </c>
      <c r="E4302" t="s">
        <v>197</v>
      </c>
      <c r="F4302" t="s">
        <v>198</v>
      </c>
      <c r="G4302">
        <v>2</v>
      </c>
      <c r="H4302">
        <v>12.74</v>
      </c>
      <c r="I4302" s="7">
        <f>IF(Transactions!I4302="",0,Transactions!I4302)</f>
        <v>0.15</v>
      </c>
      <c r="J4302" s="9">
        <f t="shared" si="67"/>
        <v>21.658000000000001</v>
      </c>
      <c r="K4302" t="s">
        <v>16</v>
      </c>
      <c r="L4302" t="s">
        <v>17</v>
      </c>
      <c r="M4302" t="str">
        <f>REPLACE(Transactions!M4302,1,4,"")</f>
        <v>17</v>
      </c>
    </row>
    <row r="4303" spans="1:13" x14ac:dyDescent="0.2">
      <c r="A4303">
        <v>813126</v>
      </c>
      <c r="B4303" s="5">
        <v>45264</v>
      </c>
      <c r="C4303">
        <v>85300</v>
      </c>
      <c r="D4303" t="str">
        <f>PROPER(Transactions!D4303)</f>
        <v>Automotive</v>
      </c>
      <c r="E4303" t="s">
        <v>125</v>
      </c>
      <c r="F4303" t="s">
        <v>126</v>
      </c>
      <c r="G4303">
        <v>2</v>
      </c>
      <c r="H4303">
        <v>25.49</v>
      </c>
      <c r="I4303" s="7">
        <f>IF(Transactions!I4303="",0,Transactions!I4303)</f>
        <v>0.15</v>
      </c>
      <c r="J4303" s="9">
        <f t="shared" si="67"/>
        <v>43.332999999999998</v>
      </c>
      <c r="K4303" t="s">
        <v>22</v>
      </c>
      <c r="L4303" t="s">
        <v>17</v>
      </c>
      <c r="M4303" t="str">
        <f>REPLACE(Transactions!M4303,1,4,"")</f>
        <v>4</v>
      </c>
    </row>
    <row r="4304" spans="1:13" x14ac:dyDescent="0.2">
      <c r="A4304">
        <v>813158</v>
      </c>
      <c r="B4304" s="5">
        <v>45412</v>
      </c>
      <c r="C4304">
        <v>27553</v>
      </c>
      <c r="D4304" t="str">
        <f>PROPER(Transactions!D4304)</f>
        <v>Furniture</v>
      </c>
      <c r="E4304" t="s">
        <v>26</v>
      </c>
      <c r="F4304" t="s">
        <v>27</v>
      </c>
      <c r="G4304">
        <v>5</v>
      </c>
      <c r="H4304">
        <v>34.99</v>
      </c>
      <c r="I4304" s="7">
        <f>IF(Transactions!I4304="",0,Transactions!I4304)</f>
        <v>0</v>
      </c>
      <c r="J4304" s="9">
        <f t="shared" si="67"/>
        <v>174.95000000000002</v>
      </c>
      <c r="K4304" t="s">
        <v>22</v>
      </c>
      <c r="L4304" t="s">
        <v>17</v>
      </c>
      <c r="M4304" t="str">
        <f>REPLACE(Transactions!M4304,1,4,"")</f>
        <v>6</v>
      </c>
    </row>
    <row r="4305" spans="1:13" x14ac:dyDescent="0.2">
      <c r="A4305">
        <v>813260</v>
      </c>
      <c r="B4305" s="5">
        <v>45246</v>
      </c>
      <c r="C4305">
        <v>90398</v>
      </c>
      <c r="D4305" t="str">
        <f>PROPER(Transactions!D4305)</f>
        <v>Furniture</v>
      </c>
      <c r="E4305" t="s">
        <v>51</v>
      </c>
      <c r="F4305" t="s">
        <v>52</v>
      </c>
      <c r="G4305">
        <v>1</v>
      </c>
      <c r="H4305">
        <v>19.59</v>
      </c>
      <c r="I4305" s="7">
        <f>IF(Transactions!I4305="",0,Transactions!I4305)</f>
        <v>0.3</v>
      </c>
      <c r="J4305" s="9">
        <f t="shared" si="67"/>
        <v>13.712999999999999</v>
      </c>
      <c r="K4305" t="s">
        <v>16</v>
      </c>
      <c r="L4305" t="s">
        <v>17</v>
      </c>
      <c r="M4305" t="str">
        <f>REPLACE(Transactions!M4305,1,4,"")</f>
        <v>12</v>
      </c>
    </row>
    <row r="4306" spans="1:13" x14ac:dyDescent="0.2">
      <c r="A4306">
        <v>813492</v>
      </c>
      <c r="B4306" s="5">
        <v>45242</v>
      </c>
      <c r="C4306">
        <v>78850</v>
      </c>
      <c r="D4306" t="str">
        <f>PROPER(Transactions!D4306)</f>
        <v>Home &amp; Garden</v>
      </c>
      <c r="E4306" t="s">
        <v>153</v>
      </c>
      <c r="F4306" t="s">
        <v>154</v>
      </c>
      <c r="G4306">
        <v>4</v>
      </c>
      <c r="H4306">
        <v>20.99</v>
      </c>
      <c r="I4306" s="7">
        <f>IF(Transactions!I4306="",0,Transactions!I4306)</f>
        <v>0</v>
      </c>
      <c r="J4306" s="9">
        <f t="shared" si="67"/>
        <v>83.96</v>
      </c>
      <c r="K4306" t="s">
        <v>36</v>
      </c>
      <c r="L4306" t="s">
        <v>17</v>
      </c>
      <c r="M4306" t="str">
        <f>REPLACE(Transactions!M4306,1,4,"")</f>
        <v>20</v>
      </c>
    </row>
    <row r="4307" spans="1:13" x14ac:dyDescent="0.2">
      <c r="A4307">
        <v>813542</v>
      </c>
      <c r="B4307" s="5">
        <v>45519</v>
      </c>
      <c r="C4307">
        <v>31373</v>
      </c>
      <c r="D4307" t="str">
        <f>PROPER(Transactions!D4307)</f>
        <v>Electronics</v>
      </c>
      <c r="E4307" t="s">
        <v>159</v>
      </c>
      <c r="F4307" t="s">
        <v>160</v>
      </c>
      <c r="G4307">
        <v>1</v>
      </c>
      <c r="H4307">
        <v>59.99</v>
      </c>
      <c r="I4307" s="7">
        <f>IF(Transactions!I4307="",0,Transactions!I4307)</f>
        <v>0</v>
      </c>
      <c r="J4307" s="9">
        <f t="shared" si="67"/>
        <v>59.99</v>
      </c>
      <c r="K4307" t="s">
        <v>16</v>
      </c>
      <c r="L4307" t="s">
        <v>17</v>
      </c>
      <c r="M4307" t="str">
        <f>REPLACE(Transactions!M4307,1,4,"")</f>
        <v>18</v>
      </c>
    </row>
    <row r="4308" spans="1:13" x14ac:dyDescent="0.2">
      <c r="A4308">
        <v>813766</v>
      </c>
      <c r="B4308" s="5">
        <v>44613</v>
      </c>
      <c r="C4308">
        <v>10103</v>
      </c>
      <c r="D4308" t="str">
        <f>PROPER(Transactions!D4308)</f>
        <v>Sports</v>
      </c>
      <c r="E4308" t="s">
        <v>168</v>
      </c>
      <c r="F4308" t="s">
        <v>169</v>
      </c>
      <c r="G4308">
        <v>2</v>
      </c>
      <c r="H4308">
        <v>6.74</v>
      </c>
      <c r="I4308" s="7">
        <f>IF(Transactions!I4308="",0,Transactions!I4308)</f>
        <v>0.25</v>
      </c>
      <c r="J4308" s="9">
        <f t="shared" si="67"/>
        <v>10.11</v>
      </c>
      <c r="K4308" t="s">
        <v>53</v>
      </c>
      <c r="L4308" t="s">
        <v>37</v>
      </c>
      <c r="M4308" t="str">
        <f>REPLACE(Transactions!M4308,1,4,"")</f>
        <v>9</v>
      </c>
    </row>
    <row r="4309" spans="1:13" x14ac:dyDescent="0.2">
      <c r="A4309">
        <v>813782</v>
      </c>
      <c r="B4309" s="5">
        <v>44605</v>
      </c>
      <c r="C4309">
        <v>41692</v>
      </c>
      <c r="D4309" t="str">
        <f>PROPER(Transactions!D4309)</f>
        <v>Grocery</v>
      </c>
      <c r="E4309" t="s">
        <v>91</v>
      </c>
      <c r="F4309" t="s">
        <v>92</v>
      </c>
      <c r="G4309">
        <v>3</v>
      </c>
      <c r="H4309">
        <v>5.66</v>
      </c>
      <c r="I4309" s="7">
        <f>IF(Transactions!I4309="",0,Transactions!I4309)</f>
        <v>0.1</v>
      </c>
      <c r="J4309" s="9">
        <f t="shared" si="67"/>
        <v>15.282</v>
      </c>
      <c r="K4309" t="s">
        <v>36</v>
      </c>
      <c r="L4309" t="s">
        <v>17</v>
      </c>
      <c r="M4309" t="str">
        <f>REPLACE(Transactions!M4309,1,4,"")</f>
        <v>12</v>
      </c>
    </row>
    <row r="4310" spans="1:13" x14ac:dyDescent="0.2">
      <c r="A4310">
        <v>814132</v>
      </c>
      <c r="B4310" s="5">
        <v>45041</v>
      </c>
      <c r="C4310">
        <v>35283</v>
      </c>
      <c r="D4310" t="str">
        <f>PROPER(Transactions!D4310)</f>
        <v>Clothing</v>
      </c>
      <c r="E4310" t="s">
        <v>193</v>
      </c>
      <c r="F4310" t="s">
        <v>194</v>
      </c>
      <c r="G4310">
        <v>1</v>
      </c>
      <c r="H4310">
        <v>64.989999999999995</v>
      </c>
      <c r="I4310" s="7">
        <f>IF(Transactions!I4310="",0,Transactions!I4310)</f>
        <v>0</v>
      </c>
      <c r="J4310" s="9">
        <f t="shared" si="67"/>
        <v>64.989999999999995</v>
      </c>
      <c r="K4310" t="s">
        <v>95</v>
      </c>
      <c r="L4310" t="s">
        <v>17</v>
      </c>
      <c r="M4310" t="str">
        <f>REPLACE(Transactions!M4310,1,4,"")</f>
        <v>14</v>
      </c>
    </row>
    <row r="4311" spans="1:13" x14ac:dyDescent="0.2">
      <c r="A4311">
        <v>814170</v>
      </c>
      <c r="B4311" s="5">
        <v>44941</v>
      </c>
      <c r="C4311">
        <v>33582</v>
      </c>
      <c r="D4311" t="str">
        <f>PROPER(Transactions!D4311)</f>
        <v>Pharmacy</v>
      </c>
      <c r="E4311" t="s">
        <v>41</v>
      </c>
      <c r="F4311" t="s">
        <v>42</v>
      </c>
      <c r="G4311">
        <v>3</v>
      </c>
      <c r="H4311">
        <v>4.79</v>
      </c>
      <c r="I4311" s="7">
        <f>IF(Transactions!I4311="",0,Transactions!I4311)</f>
        <v>0.2</v>
      </c>
      <c r="J4311" s="9">
        <f t="shared" si="67"/>
        <v>11.496000000000002</v>
      </c>
      <c r="K4311" t="s">
        <v>22</v>
      </c>
      <c r="L4311" t="s">
        <v>17</v>
      </c>
      <c r="M4311" t="str">
        <f>REPLACE(Transactions!M4311,1,4,"")</f>
        <v>2</v>
      </c>
    </row>
    <row r="4312" spans="1:13" x14ac:dyDescent="0.2">
      <c r="A4312">
        <v>814200</v>
      </c>
      <c r="B4312" s="5">
        <v>45510</v>
      </c>
      <c r="C4312">
        <v>98130</v>
      </c>
      <c r="D4312" t="str">
        <f>PROPER(Transactions!D4312)</f>
        <v>Grocery</v>
      </c>
      <c r="E4312" t="s">
        <v>93</v>
      </c>
      <c r="F4312" t="s">
        <v>94</v>
      </c>
      <c r="G4312">
        <v>1</v>
      </c>
      <c r="H4312">
        <v>1.1000000000000001</v>
      </c>
      <c r="I4312" s="7">
        <f>IF(Transactions!I4312="",0,Transactions!I4312)</f>
        <v>0.15</v>
      </c>
      <c r="J4312" s="9">
        <f t="shared" si="67"/>
        <v>0.93500000000000005</v>
      </c>
      <c r="K4312" t="s">
        <v>22</v>
      </c>
      <c r="L4312" t="s">
        <v>23</v>
      </c>
      <c r="M4312" t="str">
        <f>REPLACE(Transactions!M4312,1,4,"")</f>
        <v>15</v>
      </c>
    </row>
    <row r="4313" spans="1:13" x14ac:dyDescent="0.2">
      <c r="A4313">
        <v>814313</v>
      </c>
      <c r="B4313" s="5">
        <v>44788</v>
      </c>
      <c r="C4313">
        <v>91975</v>
      </c>
      <c r="D4313" t="str">
        <f>PROPER(Transactions!D4313)</f>
        <v>Electronics</v>
      </c>
      <c r="E4313" t="s">
        <v>77</v>
      </c>
      <c r="F4313" t="s">
        <v>78</v>
      </c>
      <c r="G4313">
        <v>2</v>
      </c>
      <c r="H4313">
        <v>374.99</v>
      </c>
      <c r="I4313" s="7">
        <f>IF(Transactions!I4313="",0,Transactions!I4313)</f>
        <v>0.25</v>
      </c>
      <c r="J4313" s="9">
        <f t="shared" si="67"/>
        <v>562.48500000000001</v>
      </c>
      <c r="K4313" t="s">
        <v>22</v>
      </c>
      <c r="L4313" t="s">
        <v>17</v>
      </c>
      <c r="M4313" t="str">
        <f>REPLACE(Transactions!M4313,1,4,"")</f>
        <v>9</v>
      </c>
    </row>
    <row r="4314" spans="1:13" x14ac:dyDescent="0.2">
      <c r="A4314">
        <v>814365</v>
      </c>
      <c r="B4314" s="5">
        <v>45620</v>
      </c>
      <c r="C4314">
        <v>28645</v>
      </c>
      <c r="D4314" t="str">
        <f>PROPER(Transactions!D4314)</f>
        <v>Automotive</v>
      </c>
      <c r="E4314" t="s">
        <v>125</v>
      </c>
      <c r="F4314" t="s">
        <v>126</v>
      </c>
      <c r="G4314">
        <v>1</v>
      </c>
      <c r="H4314">
        <v>22.49</v>
      </c>
      <c r="I4314" s="7">
        <f>IF(Transactions!I4314="",0,Transactions!I4314)</f>
        <v>0.25</v>
      </c>
      <c r="J4314" s="9">
        <f t="shared" si="67"/>
        <v>16.8675</v>
      </c>
      <c r="K4314" t="s">
        <v>16</v>
      </c>
      <c r="L4314" t="s">
        <v>17</v>
      </c>
      <c r="M4314" t="str">
        <f>REPLACE(Transactions!M4314,1,4,"")</f>
        <v>3</v>
      </c>
    </row>
    <row r="4315" spans="1:13" x14ac:dyDescent="0.2">
      <c r="A4315">
        <v>814435</v>
      </c>
      <c r="B4315" s="5">
        <v>44726</v>
      </c>
      <c r="C4315">
        <v>11511</v>
      </c>
      <c r="D4315" t="str">
        <f>PROPER(Transactions!D4315)</f>
        <v>Pharmacy</v>
      </c>
      <c r="E4315" t="s">
        <v>20</v>
      </c>
      <c r="F4315" t="s">
        <v>21</v>
      </c>
      <c r="G4315">
        <v>2</v>
      </c>
      <c r="H4315">
        <v>8.49</v>
      </c>
      <c r="I4315" s="7">
        <f>IF(Transactions!I4315="",0,Transactions!I4315)</f>
        <v>0.15</v>
      </c>
      <c r="J4315" s="9">
        <f t="shared" si="67"/>
        <v>14.433</v>
      </c>
      <c r="K4315" t="s">
        <v>16</v>
      </c>
      <c r="L4315" t="s">
        <v>37</v>
      </c>
      <c r="M4315" t="str">
        <f>REPLACE(Transactions!M4315,1,4,"")</f>
        <v/>
      </c>
    </row>
    <row r="4316" spans="1:13" x14ac:dyDescent="0.2">
      <c r="A4316">
        <v>814578</v>
      </c>
      <c r="B4316" s="5">
        <v>45207</v>
      </c>
      <c r="C4316">
        <v>56030</v>
      </c>
      <c r="D4316" t="str">
        <f>PROPER(Transactions!D4316)</f>
        <v>Furniture</v>
      </c>
      <c r="E4316" t="s">
        <v>26</v>
      </c>
      <c r="F4316" t="s">
        <v>27</v>
      </c>
      <c r="G4316">
        <v>1</v>
      </c>
      <c r="H4316">
        <v>31.49</v>
      </c>
      <c r="I4316" s="7">
        <f>IF(Transactions!I4316="",0,Transactions!I4316)</f>
        <v>0.1</v>
      </c>
      <c r="J4316" s="9">
        <f t="shared" si="67"/>
        <v>28.340999999999998</v>
      </c>
      <c r="K4316" t="s">
        <v>95</v>
      </c>
      <c r="L4316" t="s">
        <v>17</v>
      </c>
      <c r="M4316" t="str">
        <f>REPLACE(Transactions!M4316,1,4,"")</f>
        <v>8</v>
      </c>
    </row>
    <row r="4317" spans="1:13" x14ac:dyDescent="0.2">
      <c r="A4317">
        <v>814744</v>
      </c>
      <c r="B4317" s="5">
        <v>44619</v>
      </c>
      <c r="C4317">
        <v>15553</v>
      </c>
      <c r="D4317" t="str">
        <f>PROPER(Transactions!D4317)</f>
        <v>Home &amp; Garden</v>
      </c>
      <c r="E4317" t="s">
        <v>86</v>
      </c>
      <c r="F4317" t="s">
        <v>87</v>
      </c>
      <c r="G4317">
        <v>1</v>
      </c>
      <c r="H4317">
        <v>10.39</v>
      </c>
      <c r="I4317" s="7">
        <f>IF(Transactions!I4317="",0,Transactions!I4317)</f>
        <v>0.2</v>
      </c>
      <c r="J4317" s="9">
        <f t="shared" si="67"/>
        <v>8.3120000000000012</v>
      </c>
      <c r="K4317" t="s">
        <v>22</v>
      </c>
      <c r="L4317" t="s">
        <v>17</v>
      </c>
      <c r="M4317" t="str">
        <f>REPLACE(Transactions!M4317,1,4,"")</f>
        <v>8</v>
      </c>
    </row>
    <row r="4318" spans="1:13" x14ac:dyDescent="0.2">
      <c r="A4318">
        <v>814990</v>
      </c>
      <c r="B4318" s="5">
        <v>44960</v>
      </c>
      <c r="C4318">
        <v>35084</v>
      </c>
      <c r="D4318" t="str">
        <f>PROPER(Transactions!D4318)</f>
        <v>Pharmacy</v>
      </c>
      <c r="E4318" t="s">
        <v>197</v>
      </c>
      <c r="F4318" t="s">
        <v>198</v>
      </c>
      <c r="G4318">
        <v>4</v>
      </c>
      <c r="H4318">
        <v>14.99</v>
      </c>
      <c r="I4318" s="7">
        <f>IF(Transactions!I4318="",0,Transactions!I4318)</f>
        <v>0</v>
      </c>
      <c r="J4318" s="9">
        <f t="shared" si="67"/>
        <v>59.96</v>
      </c>
      <c r="K4318" t="s">
        <v>95</v>
      </c>
      <c r="L4318" t="s">
        <v>17</v>
      </c>
      <c r="M4318" t="str">
        <f>REPLACE(Transactions!M4318,1,4,"")</f>
        <v>13</v>
      </c>
    </row>
    <row r="4319" spans="1:13" x14ac:dyDescent="0.2">
      <c r="A4319">
        <v>814993</v>
      </c>
      <c r="B4319" s="5">
        <v>44988</v>
      </c>
      <c r="C4319">
        <v>43227</v>
      </c>
      <c r="D4319" t="str">
        <f>PROPER(Transactions!D4319)</f>
        <v>Sports</v>
      </c>
      <c r="E4319" t="s">
        <v>168</v>
      </c>
      <c r="F4319" t="s">
        <v>169</v>
      </c>
      <c r="G4319">
        <v>3</v>
      </c>
      <c r="H4319">
        <v>6.29</v>
      </c>
      <c r="I4319" s="7">
        <f>IF(Transactions!I4319="",0,Transactions!I4319)</f>
        <v>0.3</v>
      </c>
      <c r="J4319" s="9">
        <f t="shared" si="67"/>
        <v>13.209</v>
      </c>
      <c r="K4319" t="s">
        <v>16</v>
      </c>
      <c r="L4319" t="s">
        <v>23</v>
      </c>
      <c r="M4319" t="str">
        <f>REPLACE(Transactions!M4319,1,4,"")</f>
        <v>19</v>
      </c>
    </row>
    <row r="4320" spans="1:13" x14ac:dyDescent="0.2">
      <c r="A4320">
        <v>815152</v>
      </c>
      <c r="B4320" s="5">
        <v>44964</v>
      </c>
      <c r="C4320">
        <v>14694</v>
      </c>
      <c r="D4320" t="str">
        <f>PROPER(Transactions!D4320)</f>
        <v>Pharmacy</v>
      </c>
      <c r="E4320" t="s">
        <v>115</v>
      </c>
      <c r="F4320" t="s">
        <v>116</v>
      </c>
      <c r="G4320">
        <v>4</v>
      </c>
      <c r="H4320">
        <v>9.74</v>
      </c>
      <c r="I4320" s="7">
        <f>IF(Transactions!I4320="",0,Transactions!I4320)</f>
        <v>0.25</v>
      </c>
      <c r="J4320" s="9">
        <f t="shared" si="67"/>
        <v>29.22</v>
      </c>
      <c r="K4320" t="s">
        <v>95</v>
      </c>
      <c r="L4320" t="s">
        <v>17</v>
      </c>
      <c r="M4320" t="str">
        <f>REPLACE(Transactions!M4320,1,4,"")</f>
        <v>10</v>
      </c>
    </row>
    <row r="4321" spans="1:13" x14ac:dyDescent="0.2">
      <c r="A4321">
        <v>815282</v>
      </c>
      <c r="B4321" s="5">
        <v>45319</v>
      </c>
      <c r="C4321">
        <v>23923</v>
      </c>
      <c r="D4321" t="str">
        <f>PROPER(Transactions!D4321)</f>
        <v>Furniture</v>
      </c>
      <c r="E4321" t="s">
        <v>60</v>
      </c>
      <c r="F4321" t="s">
        <v>61</v>
      </c>
      <c r="G4321">
        <v>1</v>
      </c>
      <c r="H4321">
        <v>54.99</v>
      </c>
      <c r="I4321" s="7">
        <f>IF(Transactions!I4321="",0,Transactions!I4321)</f>
        <v>0</v>
      </c>
      <c r="J4321" s="9">
        <f t="shared" si="67"/>
        <v>54.99</v>
      </c>
      <c r="K4321" t="s">
        <v>16</v>
      </c>
      <c r="L4321" t="s">
        <v>23</v>
      </c>
      <c r="M4321" t="str">
        <f>REPLACE(Transactions!M4321,1,4,"")</f>
        <v>12</v>
      </c>
    </row>
    <row r="4322" spans="1:13" x14ac:dyDescent="0.2">
      <c r="A4322">
        <v>815368</v>
      </c>
      <c r="B4322" s="5">
        <v>45148</v>
      </c>
      <c r="C4322">
        <v>66830</v>
      </c>
      <c r="D4322" t="str">
        <f>PROPER(Transactions!D4322)</f>
        <v>Sports</v>
      </c>
      <c r="E4322" t="s">
        <v>168</v>
      </c>
      <c r="F4322" t="s">
        <v>169</v>
      </c>
      <c r="G4322">
        <v>3</v>
      </c>
      <c r="H4322">
        <v>8.99</v>
      </c>
      <c r="I4322" s="7">
        <f>IF(Transactions!I4322="",0,Transactions!I4322)</f>
        <v>0</v>
      </c>
      <c r="J4322" s="9">
        <f t="shared" si="67"/>
        <v>26.97</v>
      </c>
      <c r="K4322" t="s">
        <v>16</v>
      </c>
      <c r="L4322" t="s">
        <v>23</v>
      </c>
      <c r="M4322" t="str">
        <f>REPLACE(Transactions!M4322,1,4,"")</f>
        <v>18</v>
      </c>
    </row>
    <row r="4323" spans="1:13" x14ac:dyDescent="0.2">
      <c r="A4323">
        <v>815567</v>
      </c>
      <c r="B4323" s="5">
        <v>44613</v>
      </c>
      <c r="C4323">
        <v>51915</v>
      </c>
      <c r="D4323" t="str">
        <f>PROPER(Transactions!D4323)</f>
        <v>Automotive</v>
      </c>
      <c r="E4323" t="s">
        <v>68</v>
      </c>
      <c r="F4323" t="s">
        <v>69</v>
      </c>
      <c r="G4323">
        <v>2</v>
      </c>
      <c r="H4323">
        <v>24.99</v>
      </c>
      <c r="I4323" s="7">
        <f>IF(Transactions!I4323="",0,Transactions!I4323)</f>
        <v>0</v>
      </c>
      <c r="J4323" s="9">
        <f t="shared" si="67"/>
        <v>49.98</v>
      </c>
      <c r="K4323" t="s">
        <v>16</v>
      </c>
      <c r="L4323" t="s">
        <v>17</v>
      </c>
      <c r="M4323" t="str">
        <f>REPLACE(Transactions!M4323,1,4,"")</f>
        <v>12</v>
      </c>
    </row>
    <row r="4324" spans="1:13" x14ac:dyDescent="0.2">
      <c r="A4324">
        <v>815698</v>
      </c>
      <c r="B4324" s="5">
        <v>44970</v>
      </c>
      <c r="C4324">
        <v>29357</v>
      </c>
      <c r="D4324" t="str">
        <f>PROPER(Transactions!D4324)</f>
        <v>Pharmacy</v>
      </c>
      <c r="E4324" t="s">
        <v>58</v>
      </c>
      <c r="F4324" t="s">
        <v>59</v>
      </c>
      <c r="G4324">
        <v>1</v>
      </c>
      <c r="H4324">
        <v>3.19</v>
      </c>
      <c r="I4324" s="7">
        <f>IF(Transactions!I4324="",0,Transactions!I4324)</f>
        <v>0.2</v>
      </c>
      <c r="J4324" s="9">
        <f t="shared" si="67"/>
        <v>2.552</v>
      </c>
      <c r="K4324" t="s">
        <v>36</v>
      </c>
      <c r="L4324" t="s">
        <v>37</v>
      </c>
      <c r="M4324" t="str">
        <f>REPLACE(Transactions!M4324,1,4,"")</f>
        <v>10</v>
      </c>
    </row>
    <row r="4325" spans="1:13" x14ac:dyDescent="0.2">
      <c r="A4325">
        <v>815997</v>
      </c>
      <c r="B4325" s="5">
        <v>45467</v>
      </c>
      <c r="C4325">
        <v>84709</v>
      </c>
      <c r="D4325" t="str">
        <f>PROPER(Transactions!D4325)</f>
        <v>Pharmacy</v>
      </c>
      <c r="E4325" t="s">
        <v>41</v>
      </c>
      <c r="F4325" t="s">
        <v>42</v>
      </c>
      <c r="G4325">
        <v>1</v>
      </c>
      <c r="H4325">
        <v>5.39</v>
      </c>
      <c r="I4325" s="7">
        <f>IF(Transactions!I4325="",0,Transactions!I4325)</f>
        <v>0.1</v>
      </c>
      <c r="J4325" s="9">
        <f t="shared" si="67"/>
        <v>4.851</v>
      </c>
      <c r="K4325" t="s">
        <v>16</v>
      </c>
      <c r="L4325" t="s">
        <v>23</v>
      </c>
      <c r="M4325" t="str">
        <f>REPLACE(Transactions!M4325,1,4,"")</f>
        <v/>
      </c>
    </row>
    <row r="4326" spans="1:13" x14ac:dyDescent="0.2">
      <c r="A4326">
        <v>816042</v>
      </c>
      <c r="B4326" s="5">
        <v>45579</v>
      </c>
      <c r="C4326">
        <v>44210</v>
      </c>
      <c r="D4326" t="str">
        <f>PROPER(Transactions!D4326)</f>
        <v>Electronics</v>
      </c>
      <c r="E4326" t="s">
        <v>77</v>
      </c>
      <c r="F4326" t="s">
        <v>78</v>
      </c>
      <c r="G4326">
        <v>2</v>
      </c>
      <c r="H4326">
        <v>349.99</v>
      </c>
      <c r="I4326" s="7">
        <f>IF(Transactions!I4326="",0,Transactions!I4326)</f>
        <v>0.3</v>
      </c>
      <c r="J4326" s="9">
        <f t="shared" si="67"/>
        <v>489.98599999999999</v>
      </c>
      <c r="K4326" t="s">
        <v>95</v>
      </c>
      <c r="L4326" t="s">
        <v>17</v>
      </c>
      <c r="M4326" t="str">
        <f>REPLACE(Transactions!M4326,1,4,"")</f>
        <v>1</v>
      </c>
    </row>
    <row r="4327" spans="1:13" x14ac:dyDescent="0.2">
      <c r="A4327">
        <v>816178</v>
      </c>
      <c r="B4327" s="5">
        <v>45621</v>
      </c>
      <c r="C4327">
        <v>71943</v>
      </c>
      <c r="D4327" t="str">
        <f>PROPER(Transactions!D4327)</f>
        <v>Automotive</v>
      </c>
      <c r="E4327" t="s">
        <v>131</v>
      </c>
      <c r="F4327" t="s">
        <v>132</v>
      </c>
      <c r="G4327">
        <v>1</v>
      </c>
      <c r="H4327">
        <v>3.49</v>
      </c>
      <c r="I4327" s="7">
        <f>IF(Transactions!I4327="",0,Transactions!I4327)</f>
        <v>0</v>
      </c>
      <c r="J4327" s="9">
        <f t="shared" si="67"/>
        <v>3.49</v>
      </c>
      <c r="K4327" t="s">
        <v>16</v>
      </c>
      <c r="L4327" t="s">
        <v>37</v>
      </c>
      <c r="M4327" t="str">
        <f>REPLACE(Transactions!M4327,1,4,"")</f>
        <v>7</v>
      </c>
    </row>
    <row r="4328" spans="1:13" x14ac:dyDescent="0.2">
      <c r="A4328">
        <v>816306</v>
      </c>
      <c r="B4328" s="5">
        <v>45495</v>
      </c>
      <c r="D4328" t="str">
        <f>PROPER(Transactions!D4328)</f>
        <v>Grocery</v>
      </c>
      <c r="E4328" t="s">
        <v>162</v>
      </c>
      <c r="F4328" t="s">
        <v>163</v>
      </c>
      <c r="G4328">
        <v>1</v>
      </c>
      <c r="H4328">
        <v>7.99</v>
      </c>
      <c r="I4328" s="7">
        <f>IF(Transactions!I4328="",0,Transactions!I4328)</f>
        <v>0</v>
      </c>
      <c r="J4328" s="9">
        <f t="shared" si="67"/>
        <v>7.99</v>
      </c>
      <c r="K4328" t="s">
        <v>16</v>
      </c>
      <c r="L4328" t="s">
        <v>17</v>
      </c>
      <c r="M4328" t="str">
        <f>REPLACE(Transactions!M4328,1,4,"")</f>
        <v>14</v>
      </c>
    </row>
    <row r="4329" spans="1:13" x14ac:dyDescent="0.2">
      <c r="A4329">
        <v>816454</v>
      </c>
      <c r="B4329" s="5">
        <v>44812</v>
      </c>
      <c r="C4329">
        <v>58428</v>
      </c>
      <c r="D4329" t="str">
        <f>PROPER(Transactions!D4329)</f>
        <v>Clothing</v>
      </c>
      <c r="E4329" t="s">
        <v>135</v>
      </c>
      <c r="F4329" t="s">
        <v>136</v>
      </c>
      <c r="G4329">
        <v>1</v>
      </c>
      <c r="H4329">
        <v>8.99</v>
      </c>
      <c r="I4329" s="7">
        <f>IF(Transactions!I4329="",0,Transactions!I4329)</f>
        <v>0.1</v>
      </c>
      <c r="J4329" s="9">
        <f t="shared" si="67"/>
        <v>8.0910000000000011</v>
      </c>
      <c r="K4329" t="s">
        <v>22</v>
      </c>
      <c r="L4329" t="s">
        <v>17</v>
      </c>
      <c r="M4329" t="str">
        <f>REPLACE(Transactions!M4329,1,4,"")</f>
        <v>11</v>
      </c>
    </row>
    <row r="4330" spans="1:13" x14ac:dyDescent="0.2">
      <c r="A4330">
        <v>816574</v>
      </c>
      <c r="B4330" s="5">
        <v>45367</v>
      </c>
      <c r="C4330">
        <v>12268</v>
      </c>
      <c r="D4330" t="str">
        <f>PROPER(Transactions!D4330)</f>
        <v>Automotive</v>
      </c>
      <c r="E4330" t="s">
        <v>64</v>
      </c>
      <c r="F4330" t="s">
        <v>65</v>
      </c>
      <c r="G4330">
        <v>5</v>
      </c>
      <c r="H4330">
        <v>4.99</v>
      </c>
      <c r="I4330" s="7">
        <f>IF(Transactions!I4330="",0,Transactions!I4330)</f>
        <v>0</v>
      </c>
      <c r="J4330" s="9">
        <f t="shared" si="67"/>
        <v>24.950000000000003</v>
      </c>
      <c r="K4330" t="s">
        <v>95</v>
      </c>
      <c r="L4330" t="s">
        <v>37</v>
      </c>
      <c r="M4330" t="str">
        <f>REPLACE(Transactions!M4330,1,4,"")</f>
        <v>7</v>
      </c>
    </row>
    <row r="4331" spans="1:13" x14ac:dyDescent="0.2">
      <c r="A4331">
        <v>816584</v>
      </c>
      <c r="B4331" s="5">
        <v>45271</v>
      </c>
      <c r="C4331">
        <v>17169</v>
      </c>
      <c r="D4331" t="str">
        <f>PROPER(Transactions!D4331)</f>
        <v>Toys</v>
      </c>
      <c r="E4331" t="s">
        <v>170</v>
      </c>
      <c r="F4331" t="s">
        <v>171</v>
      </c>
      <c r="G4331">
        <v>5</v>
      </c>
      <c r="H4331">
        <v>14.24</v>
      </c>
      <c r="I4331" s="7">
        <f>IF(Transactions!I4331="",0,Transactions!I4331)</f>
        <v>0.05</v>
      </c>
      <c r="J4331" s="9">
        <f t="shared" si="67"/>
        <v>67.64</v>
      </c>
      <c r="K4331" t="s">
        <v>22</v>
      </c>
      <c r="L4331" t="s">
        <v>17</v>
      </c>
      <c r="M4331" t="str">
        <f>REPLACE(Transactions!M4331,1,4,"")</f>
        <v>8</v>
      </c>
    </row>
    <row r="4332" spans="1:13" x14ac:dyDescent="0.2">
      <c r="A4332">
        <v>816661</v>
      </c>
      <c r="B4332" s="5">
        <v>44787</v>
      </c>
      <c r="C4332">
        <v>61876</v>
      </c>
      <c r="D4332" t="str">
        <f>PROPER(Transactions!D4332)</f>
        <v>Clothing</v>
      </c>
      <c r="E4332" t="s">
        <v>181</v>
      </c>
      <c r="F4332" t="s">
        <v>182</v>
      </c>
      <c r="G4332">
        <v>5</v>
      </c>
      <c r="H4332">
        <v>11.99</v>
      </c>
      <c r="I4332" s="7">
        <f>IF(Transactions!I4332="",0,Transactions!I4332)</f>
        <v>0.2</v>
      </c>
      <c r="J4332" s="9">
        <f t="shared" si="67"/>
        <v>47.960000000000008</v>
      </c>
      <c r="K4332" t="s">
        <v>16</v>
      </c>
      <c r="L4332" t="s">
        <v>17</v>
      </c>
      <c r="M4332" t="str">
        <f>REPLACE(Transactions!M4332,1,4,"")</f>
        <v>10</v>
      </c>
    </row>
    <row r="4333" spans="1:13" x14ac:dyDescent="0.2">
      <c r="A4333">
        <v>816739</v>
      </c>
      <c r="B4333" s="5">
        <v>44904</v>
      </c>
      <c r="D4333" t="str">
        <f>PROPER(Transactions!D4333)</f>
        <v>Clothing</v>
      </c>
      <c r="E4333" t="s">
        <v>165</v>
      </c>
      <c r="F4333" t="s">
        <v>166</v>
      </c>
      <c r="G4333">
        <v>2</v>
      </c>
      <c r="H4333">
        <v>76.489999999999995</v>
      </c>
      <c r="I4333" s="7">
        <f>IF(Transactions!I4333="",0,Transactions!I4333)</f>
        <v>0.15</v>
      </c>
      <c r="J4333" s="9">
        <f t="shared" si="67"/>
        <v>130.03299999999999</v>
      </c>
      <c r="K4333" t="s">
        <v>16</v>
      </c>
      <c r="L4333" t="s">
        <v>17</v>
      </c>
      <c r="M4333" t="str">
        <f>REPLACE(Transactions!M4333,1,4,"")</f>
        <v>19</v>
      </c>
    </row>
    <row r="4334" spans="1:13" x14ac:dyDescent="0.2">
      <c r="A4334">
        <v>816881</v>
      </c>
      <c r="B4334" s="5">
        <v>44995</v>
      </c>
      <c r="C4334">
        <v>28577</v>
      </c>
      <c r="D4334" t="str">
        <f>PROPER(Transactions!D4334)</f>
        <v>Pharmacy</v>
      </c>
      <c r="E4334" t="s">
        <v>115</v>
      </c>
      <c r="F4334" t="s">
        <v>116</v>
      </c>
      <c r="G4334">
        <v>5</v>
      </c>
      <c r="H4334">
        <v>12.99</v>
      </c>
      <c r="I4334" s="7">
        <f>IF(Transactions!I4334="",0,Transactions!I4334)</f>
        <v>0</v>
      </c>
      <c r="J4334" s="9">
        <f t="shared" si="67"/>
        <v>64.95</v>
      </c>
      <c r="K4334" t="s">
        <v>16</v>
      </c>
      <c r="L4334" t="s">
        <v>17</v>
      </c>
      <c r="M4334" t="str">
        <f>REPLACE(Transactions!M4334,1,4,"")</f>
        <v>14</v>
      </c>
    </row>
    <row r="4335" spans="1:13" x14ac:dyDescent="0.2">
      <c r="A4335">
        <v>817040</v>
      </c>
      <c r="B4335" s="5">
        <v>45412</v>
      </c>
      <c r="C4335">
        <v>31455</v>
      </c>
      <c r="D4335" t="str">
        <f>PROPER(Transactions!D4335)</f>
        <v>Clothing</v>
      </c>
      <c r="E4335" t="s">
        <v>135</v>
      </c>
      <c r="F4335" t="s">
        <v>136</v>
      </c>
      <c r="G4335">
        <v>2</v>
      </c>
      <c r="H4335">
        <v>8.49</v>
      </c>
      <c r="I4335" s="7">
        <f>IF(Transactions!I4335="",0,Transactions!I4335)</f>
        <v>0.15</v>
      </c>
      <c r="J4335" s="9">
        <f t="shared" si="67"/>
        <v>14.433</v>
      </c>
      <c r="K4335" t="s">
        <v>22</v>
      </c>
      <c r="L4335" t="s">
        <v>17</v>
      </c>
      <c r="M4335" t="str">
        <f>REPLACE(Transactions!M4335,1,4,"")</f>
        <v>19</v>
      </c>
    </row>
    <row r="4336" spans="1:13" x14ac:dyDescent="0.2">
      <c r="A4336">
        <v>817274</v>
      </c>
      <c r="B4336" s="5">
        <v>45247</v>
      </c>
      <c r="C4336">
        <v>63514</v>
      </c>
      <c r="D4336" t="str">
        <f>PROPER(Transactions!D4336)</f>
        <v>Clothing</v>
      </c>
      <c r="E4336" t="s">
        <v>98</v>
      </c>
      <c r="F4336" t="s">
        <v>99</v>
      </c>
      <c r="G4336">
        <v>5</v>
      </c>
      <c r="H4336">
        <v>25.19</v>
      </c>
      <c r="I4336" s="7">
        <f>IF(Transactions!I4336="",0,Transactions!I4336)</f>
        <v>0.1</v>
      </c>
      <c r="J4336" s="9">
        <f t="shared" si="67"/>
        <v>113.355</v>
      </c>
      <c r="K4336" t="s">
        <v>36</v>
      </c>
      <c r="L4336" t="s">
        <v>17</v>
      </c>
      <c r="M4336" t="str">
        <f>REPLACE(Transactions!M4336,1,4,"")</f>
        <v>16</v>
      </c>
    </row>
    <row r="4337" spans="1:13" x14ac:dyDescent="0.2">
      <c r="A4337">
        <v>817506</v>
      </c>
      <c r="B4337" s="5">
        <v>45485</v>
      </c>
      <c r="C4337">
        <v>52368</v>
      </c>
      <c r="D4337" t="str">
        <f>PROPER(Transactions!D4337)</f>
        <v>Toys</v>
      </c>
      <c r="E4337" t="s">
        <v>170</v>
      </c>
      <c r="F4337" t="s">
        <v>171</v>
      </c>
      <c r="G4337">
        <v>1</v>
      </c>
      <c r="H4337">
        <v>14.24</v>
      </c>
      <c r="I4337" s="7">
        <f>IF(Transactions!I4337="",0,Transactions!I4337)</f>
        <v>0.05</v>
      </c>
      <c r="J4337" s="9">
        <f t="shared" si="67"/>
        <v>13.527999999999999</v>
      </c>
      <c r="K4337" t="s">
        <v>36</v>
      </c>
      <c r="L4337" t="s">
        <v>17</v>
      </c>
      <c r="M4337" t="str">
        <f>REPLACE(Transactions!M4337,1,4,"")</f>
        <v/>
      </c>
    </row>
    <row r="4338" spans="1:13" x14ac:dyDescent="0.2">
      <c r="A4338">
        <v>818162</v>
      </c>
      <c r="B4338" s="5">
        <v>44746</v>
      </c>
      <c r="C4338">
        <v>82165</v>
      </c>
      <c r="D4338" t="str">
        <f>PROPER(Transactions!D4338)</f>
        <v>Automotive</v>
      </c>
      <c r="E4338" t="s">
        <v>68</v>
      </c>
      <c r="F4338" t="s">
        <v>69</v>
      </c>
      <c r="G4338">
        <v>2</v>
      </c>
      <c r="H4338">
        <v>19.989999999999998</v>
      </c>
      <c r="I4338" s="7">
        <f>IF(Transactions!I4338="",0,Transactions!I4338)</f>
        <v>0.2</v>
      </c>
      <c r="J4338" s="9">
        <f t="shared" si="67"/>
        <v>31.983999999999998</v>
      </c>
      <c r="K4338" t="s">
        <v>36</v>
      </c>
      <c r="L4338" t="s">
        <v>37</v>
      </c>
      <c r="M4338" t="str">
        <f>REPLACE(Transactions!M4338,1,4,"")</f>
        <v>7</v>
      </c>
    </row>
    <row r="4339" spans="1:13" x14ac:dyDescent="0.2">
      <c r="A4339">
        <v>818319</v>
      </c>
      <c r="B4339" s="5">
        <v>45031</v>
      </c>
      <c r="C4339">
        <v>15207</v>
      </c>
      <c r="D4339" t="str">
        <f>PROPER(Transactions!D4339)</f>
        <v>Automotive</v>
      </c>
      <c r="E4339" t="s">
        <v>131</v>
      </c>
      <c r="F4339" t="s">
        <v>132</v>
      </c>
      <c r="G4339">
        <v>1</v>
      </c>
      <c r="H4339">
        <v>3.49</v>
      </c>
      <c r="I4339" s="7">
        <f>IF(Transactions!I4339="",0,Transactions!I4339)</f>
        <v>0</v>
      </c>
      <c r="J4339" s="9">
        <f t="shared" si="67"/>
        <v>3.49</v>
      </c>
      <c r="K4339" t="s">
        <v>32</v>
      </c>
      <c r="L4339" t="s">
        <v>37</v>
      </c>
      <c r="M4339" t="str">
        <f>REPLACE(Transactions!M4339,1,4,"")</f>
        <v>2</v>
      </c>
    </row>
    <row r="4340" spans="1:13" x14ac:dyDescent="0.2">
      <c r="A4340">
        <v>818326</v>
      </c>
      <c r="B4340" s="5">
        <v>45588</v>
      </c>
      <c r="C4340">
        <v>74371</v>
      </c>
      <c r="D4340" t="str">
        <f>PROPER(Transactions!D4340)</f>
        <v>Beauty</v>
      </c>
      <c r="E4340" t="s">
        <v>139</v>
      </c>
      <c r="F4340" t="s">
        <v>140</v>
      </c>
      <c r="G4340">
        <v>1</v>
      </c>
      <c r="H4340">
        <v>5.99</v>
      </c>
      <c r="I4340" s="7">
        <f>IF(Transactions!I4340="",0,Transactions!I4340)</f>
        <v>0.25</v>
      </c>
      <c r="J4340" s="9">
        <f t="shared" si="67"/>
        <v>4.4924999999999997</v>
      </c>
      <c r="K4340" t="s">
        <v>95</v>
      </c>
      <c r="L4340" t="s">
        <v>17</v>
      </c>
      <c r="M4340" t="str">
        <f>REPLACE(Transactions!M4340,1,4,"")</f>
        <v>15</v>
      </c>
    </row>
    <row r="4341" spans="1:13" x14ac:dyDescent="0.2">
      <c r="A4341">
        <v>818537</v>
      </c>
      <c r="B4341" s="5">
        <v>45474</v>
      </c>
      <c r="C4341">
        <v>37351</v>
      </c>
      <c r="D4341" t="str">
        <f>PROPER(Transactions!D4341)</f>
        <v>Clothing</v>
      </c>
      <c r="E4341" t="s">
        <v>135</v>
      </c>
      <c r="F4341" t="s">
        <v>136</v>
      </c>
      <c r="G4341">
        <v>5</v>
      </c>
      <c r="H4341">
        <v>9.99</v>
      </c>
      <c r="I4341" s="7">
        <f>IF(Transactions!I4341="",0,Transactions!I4341)</f>
        <v>0</v>
      </c>
      <c r="J4341" s="9">
        <f t="shared" si="67"/>
        <v>49.95</v>
      </c>
      <c r="K4341" t="s">
        <v>36</v>
      </c>
      <c r="L4341" t="s">
        <v>17</v>
      </c>
      <c r="M4341" t="str">
        <f>REPLACE(Transactions!M4341,1,4,"")</f>
        <v>2</v>
      </c>
    </row>
    <row r="4342" spans="1:13" x14ac:dyDescent="0.2">
      <c r="A4342">
        <v>818874</v>
      </c>
      <c r="B4342" s="5">
        <v>44801</v>
      </c>
      <c r="C4342">
        <v>49175</v>
      </c>
      <c r="D4342" t="str">
        <f>PROPER(Transactions!D4342)</f>
        <v>Home &amp; Garden</v>
      </c>
      <c r="E4342" t="s">
        <v>86</v>
      </c>
      <c r="F4342" t="s">
        <v>87</v>
      </c>
      <c r="G4342">
        <v>1</v>
      </c>
      <c r="H4342">
        <v>12.99</v>
      </c>
      <c r="I4342" s="7">
        <f>IF(Transactions!I4342="",0,Transactions!I4342)</f>
        <v>0</v>
      </c>
      <c r="J4342" s="9">
        <f t="shared" si="67"/>
        <v>12.99</v>
      </c>
      <c r="K4342" t="s">
        <v>36</v>
      </c>
      <c r="L4342" t="s">
        <v>17</v>
      </c>
      <c r="M4342" t="str">
        <f>REPLACE(Transactions!M4342,1,4,"")</f>
        <v>4</v>
      </c>
    </row>
    <row r="4343" spans="1:13" x14ac:dyDescent="0.2">
      <c r="A4343">
        <v>818894</v>
      </c>
      <c r="B4343" s="5">
        <v>45608</v>
      </c>
      <c r="C4343">
        <v>40122</v>
      </c>
      <c r="D4343" t="str">
        <f>PROPER(Transactions!D4343)</f>
        <v>Grocery</v>
      </c>
      <c r="E4343" t="s">
        <v>107</v>
      </c>
      <c r="F4343" t="s">
        <v>108</v>
      </c>
      <c r="G4343">
        <v>1</v>
      </c>
      <c r="H4343">
        <v>3.14</v>
      </c>
      <c r="I4343" s="7">
        <f>IF(Transactions!I4343="",0,Transactions!I4343)</f>
        <v>0.1</v>
      </c>
      <c r="J4343" s="9">
        <f t="shared" si="67"/>
        <v>2.8260000000000001</v>
      </c>
      <c r="K4343" t="s">
        <v>36</v>
      </c>
      <c r="L4343" t="s">
        <v>17</v>
      </c>
      <c r="M4343" t="str">
        <f>REPLACE(Transactions!M4343,1,4,"")</f>
        <v>20</v>
      </c>
    </row>
    <row r="4344" spans="1:13" x14ac:dyDescent="0.2">
      <c r="A4344">
        <v>818971</v>
      </c>
      <c r="B4344" s="5">
        <v>45503</v>
      </c>
      <c r="C4344">
        <v>55486</v>
      </c>
      <c r="D4344" t="str">
        <f>PROPER(Transactions!D4344)</f>
        <v>Pharmacy</v>
      </c>
      <c r="E4344" t="s">
        <v>20</v>
      </c>
      <c r="F4344" t="s">
        <v>21</v>
      </c>
      <c r="G4344">
        <v>3</v>
      </c>
      <c r="H4344">
        <v>9.99</v>
      </c>
      <c r="I4344" s="7">
        <f>IF(Transactions!I4344="",0,Transactions!I4344)</f>
        <v>0</v>
      </c>
      <c r="J4344" s="9">
        <f t="shared" si="67"/>
        <v>29.97</v>
      </c>
      <c r="K4344" t="s">
        <v>16</v>
      </c>
      <c r="L4344" t="s">
        <v>37</v>
      </c>
      <c r="M4344" t="str">
        <f>REPLACE(Transactions!M4344,1,4,"")</f>
        <v>14</v>
      </c>
    </row>
    <row r="4345" spans="1:13" x14ac:dyDescent="0.2">
      <c r="A4345">
        <v>819183</v>
      </c>
      <c r="B4345" s="5">
        <v>44713</v>
      </c>
      <c r="C4345">
        <v>93256</v>
      </c>
      <c r="D4345" t="str">
        <f>PROPER(Transactions!D4345)</f>
        <v>Beauty</v>
      </c>
      <c r="E4345" t="s">
        <v>143</v>
      </c>
      <c r="F4345" t="s">
        <v>144</v>
      </c>
      <c r="G4345">
        <v>3</v>
      </c>
      <c r="H4345">
        <v>10.49</v>
      </c>
      <c r="I4345" s="7">
        <f>IF(Transactions!I4345="",0,Transactions!I4345)</f>
        <v>0.3</v>
      </c>
      <c r="J4345" s="9">
        <f t="shared" si="67"/>
        <v>22.028999999999996</v>
      </c>
      <c r="K4345" t="s">
        <v>16</v>
      </c>
      <c r="L4345" t="s">
        <v>37</v>
      </c>
      <c r="M4345" t="str">
        <f>REPLACE(Transactions!M4345,1,4,"")</f>
        <v>17</v>
      </c>
    </row>
    <row r="4346" spans="1:13" x14ac:dyDescent="0.2">
      <c r="A4346">
        <v>819194</v>
      </c>
      <c r="B4346" s="5">
        <v>45382</v>
      </c>
      <c r="C4346">
        <v>99906</v>
      </c>
      <c r="D4346" t="str">
        <f>PROPER(Transactions!D4346)</f>
        <v>Automotive</v>
      </c>
      <c r="E4346" t="s">
        <v>111</v>
      </c>
      <c r="F4346" t="s">
        <v>112</v>
      </c>
      <c r="G4346">
        <v>5</v>
      </c>
      <c r="H4346">
        <v>11.99</v>
      </c>
      <c r="I4346" s="7">
        <f>IF(Transactions!I4346="",0,Transactions!I4346)</f>
        <v>0.2</v>
      </c>
      <c r="J4346" s="9">
        <f t="shared" si="67"/>
        <v>47.960000000000008</v>
      </c>
      <c r="K4346" t="s">
        <v>16</v>
      </c>
      <c r="L4346" t="s">
        <v>17</v>
      </c>
      <c r="M4346" t="str">
        <f>REPLACE(Transactions!M4346,1,4,"")</f>
        <v>1</v>
      </c>
    </row>
    <row r="4347" spans="1:13" x14ac:dyDescent="0.2">
      <c r="A4347">
        <v>819335</v>
      </c>
      <c r="B4347" s="5">
        <v>44930</v>
      </c>
      <c r="C4347">
        <v>40907</v>
      </c>
      <c r="D4347" t="str">
        <f>PROPER(Transactions!D4347)</f>
        <v>Beauty</v>
      </c>
      <c r="E4347" t="s">
        <v>49</v>
      </c>
      <c r="F4347" t="s">
        <v>50</v>
      </c>
      <c r="G4347">
        <v>5</v>
      </c>
      <c r="H4347">
        <v>8.99</v>
      </c>
      <c r="I4347" s="7">
        <f>IF(Transactions!I4347="",0,Transactions!I4347)</f>
        <v>0</v>
      </c>
      <c r="J4347" s="9">
        <f t="shared" si="67"/>
        <v>44.95</v>
      </c>
      <c r="K4347" t="s">
        <v>16</v>
      </c>
      <c r="L4347" t="s">
        <v>17</v>
      </c>
      <c r="M4347" t="str">
        <f>REPLACE(Transactions!M4347,1,4,"")</f>
        <v>19</v>
      </c>
    </row>
    <row r="4348" spans="1:13" x14ac:dyDescent="0.2">
      <c r="A4348">
        <v>819454</v>
      </c>
      <c r="B4348" s="5">
        <v>45580</v>
      </c>
      <c r="C4348">
        <v>37763</v>
      </c>
      <c r="D4348" t="str">
        <f>PROPER(Transactions!D4348)</f>
        <v>Pharmacy</v>
      </c>
      <c r="E4348" t="s">
        <v>197</v>
      </c>
      <c r="F4348" t="s">
        <v>198</v>
      </c>
      <c r="G4348">
        <v>1</v>
      </c>
      <c r="H4348">
        <v>10.49</v>
      </c>
      <c r="I4348" s="7">
        <f>IF(Transactions!I4348="",0,Transactions!I4348)</f>
        <v>0.3</v>
      </c>
      <c r="J4348" s="9">
        <f t="shared" si="67"/>
        <v>7.343</v>
      </c>
      <c r="K4348" t="s">
        <v>36</v>
      </c>
      <c r="L4348" t="s">
        <v>17</v>
      </c>
      <c r="M4348" t="str">
        <f>REPLACE(Transactions!M4348,1,4,"")</f>
        <v>2</v>
      </c>
    </row>
    <row r="4349" spans="1:13" x14ac:dyDescent="0.2">
      <c r="A4349">
        <v>819487</v>
      </c>
      <c r="B4349" s="5">
        <v>45500</v>
      </c>
      <c r="C4349">
        <v>43672</v>
      </c>
      <c r="D4349" t="str">
        <f>PROPER(Transactions!D4349)</f>
        <v>Clothing</v>
      </c>
      <c r="E4349" t="s">
        <v>165</v>
      </c>
      <c r="F4349" t="s">
        <v>166</v>
      </c>
      <c r="G4349">
        <v>4</v>
      </c>
      <c r="H4349">
        <v>89.99</v>
      </c>
      <c r="I4349" s="7">
        <f>IF(Transactions!I4349="",0,Transactions!I4349)</f>
        <v>0</v>
      </c>
      <c r="J4349" s="9">
        <f t="shared" si="67"/>
        <v>359.96</v>
      </c>
      <c r="K4349" t="s">
        <v>16</v>
      </c>
      <c r="L4349" t="s">
        <v>37</v>
      </c>
      <c r="M4349" t="str">
        <f>REPLACE(Transactions!M4349,1,4,"")</f>
        <v>12</v>
      </c>
    </row>
    <row r="4350" spans="1:13" x14ac:dyDescent="0.2">
      <c r="A4350">
        <v>819678</v>
      </c>
      <c r="B4350" s="5">
        <v>44628</v>
      </c>
      <c r="C4350">
        <v>77922</v>
      </c>
      <c r="D4350" t="str">
        <f>PROPER(Transactions!D4350)</f>
        <v>Beauty</v>
      </c>
      <c r="E4350" t="s">
        <v>118</v>
      </c>
      <c r="F4350" t="s">
        <v>119</v>
      </c>
      <c r="G4350">
        <v>1</v>
      </c>
      <c r="H4350">
        <v>3.49</v>
      </c>
      <c r="I4350" s="7">
        <f>IF(Transactions!I4350="",0,Transactions!I4350)</f>
        <v>0.3</v>
      </c>
      <c r="J4350" s="9">
        <f t="shared" si="67"/>
        <v>2.4430000000000001</v>
      </c>
      <c r="K4350" t="s">
        <v>16</v>
      </c>
      <c r="L4350" t="s">
        <v>17</v>
      </c>
      <c r="M4350" t="str">
        <f>REPLACE(Transactions!M4350,1,4,"")</f>
        <v>12</v>
      </c>
    </row>
    <row r="4351" spans="1:13" x14ac:dyDescent="0.2">
      <c r="A4351">
        <v>820141</v>
      </c>
      <c r="B4351" s="5">
        <v>45627</v>
      </c>
      <c r="C4351">
        <v>57087</v>
      </c>
      <c r="D4351" t="str">
        <f>PROPER(Transactions!D4351)</f>
        <v>Toys</v>
      </c>
      <c r="E4351" t="s">
        <v>38</v>
      </c>
      <c r="F4351" t="s">
        <v>39</v>
      </c>
      <c r="G4351">
        <v>1</v>
      </c>
      <c r="H4351">
        <v>20.99</v>
      </c>
      <c r="I4351" s="7">
        <f>IF(Transactions!I4351="",0,Transactions!I4351)</f>
        <v>0.3</v>
      </c>
      <c r="J4351" s="9">
        <f t="shared" si="67"/>
        <v>14.692999999999998</v>
      </c>
      <c r="K4351" t="s">
        <v>95</v>
      </c>
      <c r="L4351" t="s">
        <v>17</v>
      </c>
      <c r="M4351" t="str">
        <f>REPLACE(Transactions!M4351,1,4,"")</f>
        <v>18</v>
      </c>
    </row>
    <row r="4352" spans="1:13" x14ac:dyDescent="0.2">
      <c r="A4352">
        <v>820208</v>
      </c>
      <c r="B4352" s="5">
        <v>45305</v>
      </c>
      <c r="C4352">
        <v>80205</v>
      </c>
      <c r="D4352" t="str">
        <f>PROPER(Transactions!D4352)</f>
        <v>Furniture</v>
      </c>
      <c r="E4352" t="s">
        <v>51</v>
      </c>
      <c r="F4352" t="s">
        <v>52</v>
      </c>
      <c r="G4352">
        <v>3</v>
      </c>
      <c r="H4352">
        <v>27.99</v>
      </c>
      <c r="I4352" s="7">
        <f>IF(Transactions!I4352="",0,Transactions!I4352)</f>
        <v>0</v>
      </c>
      <c r="J4352" s="9">
        <f t="shared" si="67"/>
        <v>83.97</v>
      </c>
      <c r="K4352" t="s">
        <v>16</v>
      </c>
      <c r="L4352" t="s">
        <v>37</v>
      </c>
      <c r="M4352" t="str">
        <f>REPLACE(Transactions!M4352,1,4,"")</f>
        <v>14</v>
      </c>
    </row>
    <row r="4353" spans="1:13" x14ac:dyDescent="0.2">
      <c r="A4353">
        <v>820480</v>
      </c>
      <c r="B4353" s="5">
        <v>45350</v>
      </c>
      <c r="C4353">
        <v>95790</v>
      </c>
      <c r="D4353" t="str">
        <f>PROPER(Transactions!D4353)</f>
        <v>Clothing</v>
      </c>
      <c r="E4353" t="s">
        <v>98</v>
      </c>
      <c r="F4353" t="s">
        <v>99</v>
      </c>
      <c r="G4353">
        <v>1</v>
      </c>
      <c r="H4353">
        <v>19.59</v>
      </c>
      <c r="I4353" s="7">
        <f>IF(Transactions!I4353="",0,Transactions!I4353)</f>
        <v>0.3</v>
      </c>
      <c r="J4353" s="9">
        <f t="shared" si="67"/>
        <v>13.712999999999999</v>
      </c>
      <c r="K4353" t="s">
        <v>36</v>
      </c>
      <c r="L4353" t="s">
        <v>17</v>
      </c>
      <c r="M4353" t="str">
        <f>REPLACE(Transactions!M4353,1,4,"")</f>
        <v>15</v>
      </c>
    </row>
    <row r="4354" spans="1:13" x14ac:dyDescent="0.2">
      <c r="A4354">
        <v>820579</v>
      </c>
      <c r="B4354" s="5">
        <v>45233</v>
      </c>
      <c r="C4354">
        <v>71700</v>
      </c>
      <c r="D4354" t="str">
        <f>PROPER(Transactions!D4354)</f>
        <v>Furniture</v>
      </c>
      <c r="E4354" t="s">
        <v>26</v>
      </c>
      <c r="F4354" t="s">
        <v>27</v>
      </c>
      <c r="G4354">
        <v>2</v>
      </c>
      <c r="H4354">
        <v>34.99</v>
      </c>
      <c r="I4354" s="7">
        <f>IF(Transactions!I4354="",0,Transactions!I4354)</f>
        <v>0</v>
      </c>
      <c r="J4354" s="9">
        <f t="shared" si="67"/>
        <v>69.98</v>
      </c>
      <c r="K4354" t="s">
        <v>16</v>
      </c>
      <c r="L4354" t="s">
        <v>17</v>
      </c>
      <c r="M4354" t="str">
        <f>REPLACE(Transactions!M4354,1,4,"")</f>
        <v>14</v>
      </c>
    </row>
    <row r="4355" spans="1:13" x14ac:dyDescent="0.2">
      <c r="A4355">
        <v>820801</v>
      </c>
      <c r="B4355" s="5">
        <v>45153</v>
      </c>
      <c r="C4355">
        <v>12130</v>
      </c>
      <c r="D4355" t="str">
        <f>PROPER(Transactions!D4355)</f>
        <v>Toys</v>
      </c>
      <c r="E4355" t="s">
        <v>38</v>
      </c>
      <c r="F4355" t="s">
        <v>39</v>
      </c>
      <c r="G4355">
        <v>1</v>
      </c>
      <c r="H4355">
        <v>28.49</v>
      </c>
      <c r="I4355" s="7">
        <f>IF(Transactions!I4355="",0,Transactions!I4355)</f>
        <v>0.05</v>
      </c>
      <c r="J4355" s="9">
        <f t="shared" ref="J4355:J4418" si="68">(H4355*G4355)*(1-I4355)</f>
        <v>27.065499999999997</v>
      </c>
      <c r="K4355" t="s">
        <v>16</v>
      </c>
      <c r="L4355" t="s">
        <v>37</v>
      </c>
      <c r="M4355" t="str">
        <f>REPLACE(Transactions!M4355,1,4,"")</f>
        <v>4</v>
      </c>
    </row>
    <row r="4356" spans="1:13" x14ac:dyDescent="0.2">
      <c r="A4356">
        <v>820861</v>
      </c>
      <c r="B4356" s="5">
        <v>45541</v>
      </c>
      <c r="C4356">
        <v>21062</v>
      </c>
      <c r="D4356" t="str">
        <f>PROPER(Transactions!D4356)</f>
        <v>Beauty</v>
      </c>
      <c r="E4356" t="s">
        <v>49</v>
      </c>
      <c r="F4356" t="s">
        <v>50</v>
      </c>
      <c r="G4356">
        <v>1</v>
      </c>
      <c r="H4356">
        <v>8.99</v>
      </c>
      <c r="I4356" s="7">
        <f>IF(Transactions!I4356="",0,Transactions!I4356)</f>
        <v>0</v>
      </c>
      <c r="J4356" s="9">
        <f t="shared" si="68"/>
        <v>8.99</v>
      </c>
      <c r="K4356" t="s">
        <v>16</v>
      </c>
      <c r="L4356" t="s">
        <v>17</v>
      </c>
      <c r="M4356" t="str">
        <f>REPLACE(Transactions!M4356,1,4,"")</f>
        <v>20</v>
      </c>
    </row>
    <row r="4357" spans="1:13" x14ac:dyDescent="0.2">
      <c r="A4357">
        <v>821161</v>
      </c>
      <c r="B4357" s="5">
        <v>45367</v>
      </c>
      <c r="C4357">
        <v>10767</v>
      </c>
      <c r="D4357" t="str">
        <f>PROPER(Transactions!D4357)</f>
        <v>Beauty</v>
      </c>
      <c r="E4357" t="s">
        <v>139</v>
      </c>
      <c r="F4357" t="s">
        <v>140</v>
      </c>
      <c r="G4357">
        <v>1</v>
      </c>
      <c r="H4357">
        <v>7.59</v>
      </c>
      <c r="I4357" s="7">
        <f>IF(Transactions!I4357="",0,Transactions!I4357)</f>
        <v>0.05</v>
      </c>
      <c r="J4357" s="9">
        <f t="shared" si="68"/>
        <v>7.2104999999999997</v>
      </c>
      <c r="K4357" t="s">
        <v>95</v>
      </c>
      <c r="L4357" t="s">
        <v>17</v>
      </c>
      <c r="M4357" t="str">
        <f>REPLACE(Transactions!M4357,1,4,"")</f>
        <v>14</v>
      </c>
    </row>
    <row r="4358" spans="1:13" x14ac:dyDescent="0.2">
      <c r="A4358">
        <v>821313</v>
      </c>
      <c r="B4358" s="5">
        <v>45250</v>
      </c>
      <c r="C4358">
        <v>43808</v>
      </c>
      <c r="D4358" t="str">
        <f>PROPER(Transactions!D4358)</f>
        <v>Grocery</v>
      </c>
      <c r="E4358" t="s">
        <v>133</v>
      </c>
      <c r="F4358" t="s">
        <v>134</v>
      </c>
      <c r="G4358">
        <v>3</v>
      </c>
      <c r="H4358">
        <v>3.79</v>
      </c>
      <c r="I4358" s="7">
        <f>IF(Transactions!I4358="",0,Transactions!I4358)</f>
        <v>0</v>
      </c>
      <c r="J4358" s="9">
        <f t="shared" si="68"/>
        <v>11.370000000000001</v>
      </c>
      <c r="K4358" t="s">
        <v>36</v>
      </c>
      <c r="L4358" t="s">
        <v>17</v>
      </c>
      <c r="M4358" t="str">
        <f>REPLACE(Transactions!M4358,1,4,"")</f>
        <v>3</v>
      </c>
    </row>
    <row r="4359" spans="1:13" x14ac:dyDescent="0.2">
      <c r="A4359">
        <v>821383</v>
      </c>
      <c r="B4359" s="5">
        <v>45217</v>
      </c>
      <c r="C4359">
        <v>19630</v>
      </c>
      <c r="D4359" t="str">
        <f>PROPER(Transactions!D4359)</f>
        <v>Electronics</v>
      </c>
      <c r="E4359" t="s">
        <v>79</v>
      </c>
      <c r="F4359" t="s">
        <v>80</v>
      </c>
      <c r="G4359">
        <v>5</v>
      </c>
      <c r="H4359">
        <v>62.99</v>
      </c>
      <c r="I4359" s="7">
        <f>IF(Transactions!I4359="",0,Transactions!I4359)</f>
        <v>0.3</v>
      </c>
      <c r="J4359" s="9">
        <f t="shared" si="68"/>
        <v>220.46499999999997</v>
      </c>
      <c r="K4359" t="s">
        <v>36</v>
      </c>
      <c r="L4359" t="s">
        <v>23</v>
      </c>
      <c r="M4359" t="str">
        <f>REPLACE(Transactions!M4359,1,4,"")</f>
        <v>12</v>
      </c>
    </row>
    <row r="4360" spans="1:13" x14ac:dyDescent="0.2">
      <c r="A4360">
        <v>821497</v>
      </c>
      <c r="B4360" s="5">
        <v>45577</v>
      </c>
      <c r="C4360">
        <v>30992</v>
      </c>
      <c r="D4360" t="str">
        <f>PROPER(Transactions!D4360)</f>
        <v>Furniture</v>
      </c>
      <c r="E4360" t="s">
        <v>51</v>
      </c>
      <c r="F4360" t="s">
        <v>52</v>
      </c>
      <c r="G4360">
        <v>2</v>
      </c>
      <c r="H4360">
        <v>19.59</v>
      </c>
      <c r="I4360" s="7">
        <f>IF(Transactions!I4360="",0,Transactions!I4360)</f>
        <v>0.3</v>
      </c>
      <c r="J4360" s="9">
        <f t="shared" si="68"/>
        <v>27.425999999999998</v>
      </c>
      <c r="K4360" t="s">
        <v>32</v>
      </c>
      <c r="L4360" t="s">
        <v>23</v>
      </c>
      <c r="M4360" t="str">
        <f>REPLACE(Transactions!M4360,1,4,"")</f>
        <v>13</v>
      </c>
    </row>
    <row r="4361" spans="1:13" x14ac:dyDescent="0.2">
      <c r="A4361">
        <v>821518</v>
      </c>
      <c r="B4361" s="5">
        <v>45330</v>
      </c>
      <c r="C4361">
        <v>62288</v>
      </c>
      <c r="D4361" t="str">
        <f>PROPER(Transactions!D4361)</f>
        <v>Home &amp; Garden</v>
      </c>
      <c r="E4361" t="s">
        <v>129</v>
      </c>
      <c r="F4361" t="s">
        <v>130</v>
      </c>
      <c r="G4361">
        <v>1</v>
      </c>
      <c r="H4361">
        <v>8.99</v>
      </c>
      <c r="I4361" s="7">
        <f>IF(Transactions!I4361="",0,Transactions!I4361)</f>
        <v>0</v>
      </c>
      <c r="J4361" s="9">
        <f t="shared" si="68"/>
        <v>8.99</v>
      </c>
      <c r="K4361" t="s">
        <v>36</v>
      </c>
      <c r="L4361" t="s">
        <v>17</v>
      </c>
      <c r="M4361" t="str">
        <f>REPLACE(Transactions!M4361,1,4,"")</f>
        <v>3</v>
      </c>
    </row>
    <row r="4362" spans="1:13" x14ac:dyDescent="0.2">
      <c r="A4362">
        <v>821563</v>
      </c>
      <c r="B4362" s="5">
        <v>44917</v>
      </c>
      <c r="C4362">
        <v>37317</v>
      </c>
      <c r="D4362" t="str">
        <f>PROPER(Transactions!D4362)</f>
        <v>Electronics</v>
      </c>
      <c r="E4362" t="s">
        <v>79</v>
      </c>
      <c r="F4362" t="s">
        <v>80</v>
      </c>
      <c r="G4362">
        <v>1</v>
      </c>
      <c r="H4362">
        <v>89.99</v>
      </c>
      <c r="I4362" s="7">
        <f>IF(Transactions!I4362="",0,Transactions!I4362)</f>
        <v>0</v>
      </c>
      <c r="J4362" s="9">
        <f t="shared" si="68"/>
        <v>89.99</v>
      </c>
      <c r="K4362" t="s">
        <v>36</v>
      </c>
      <c r="L4362" t="s">
        <v>17</v>
      </c>
      <c r="M4362" t="str">
        <f>REPLACE(Transactions!M4362,1,4,"")</f>
        <v>14</v>
      </c>
    </row>
    <row r="4363" spans="1:13" x14ac:dyDescent="0.2">
      <c r="A4363">
        <v>821608</v>
      </c>
      <c r="B4363" s="5">
        <v>45153</v>
      </c>
      <c r="C4363">
        <v>98056</v>
      </c>
      <c r="D4363" t="str">
        <f>PROPER(Transactions!D4363)</f>
        <v>Automotive</v>
      </c>
      <c r="E4363" t="s">
        <v>125</v>
      </c>
      <c r="F4363" t="s">
        <v>126</v>
      </c>
      <c r="G4363">
        <v>2</v>
      </c>
      <c r="H4363">
        <v>25.49</v>
      </c>
      <c r="I4363" s="7">
        <f>IF(Transactions!I4363="",0,Transactions!I4363)</f>
        <v>0.15</v>
      </c>
      <c r="J4363" s="9">
        <f t="shared" si="68"/>
        <v>43.332999999999998</v>
      </c>
      <c r="K4363" t="s">
        <v>16</v>
      </c>
      <c r="L4363" t="s">
        <v>17</v>
      </c>
      <c r="M4363" t="str">
        <f>REPLACE(Transactions!M4363,1,4,"")</f>
        <v>5</v>
      </c>
    </row>
    <row r="4364" spans="1:13" x14ac:dyDescent="0.2">
      <c r="A4364">
        <v>821722</v>
      </c>
      <c r="B4364" s="5">
        <v>45466</v>
      </c>
      <c r="C4364">
        <v>79471</v>
      </c>
      <c r="D4364" t="str">
        <f>PROPER(Transactions!D4364)</f>
        <v>Toys</v>
      </c>
      <c r="E4364" t="s">
        <v>72</v>
      </c>
      <c r="F4364" t="s">
        <v>73</v>
      </c>
      <c r="G4364">
        <v>4</v>
      </c>
      <c r="H4364">
        <v>33.99</v>
      </c>
      <c r="I4364" s="7">
        <f>IF(Transactions!I4364="",0,Transactions!I4364)</f>
        <v>0</v>
      </c>
      <c r="J4364" s="9">
        <f t="shared" si="68"/>
        <v>135.96</v>
      </c>
      <c r="K4364" t="s">
        <v>16</v>
      </c>
      <c r="L4364" t="s">
        <v>37</v>
      </c>
      <c r="M4364" t="str">
        <f>REPLACE(Transactions!M4364,1,4,"")</f>
        <v>8</v>
      </c>
    </row>
    <row r="4365" spans="1:13" x14ac:dyDescent="0.2">
      <c r="A4365">
        <v>822052</v>
      </c>
      <c r="B4365" s="5">
        <v>45167</v>
      </c>
      <c r="C4365">
        <v>45865</v>
      </c>
      <c r="D4365" t="str">
        <f>PROPER(Transactions!D4365)</f>
        <v>Automotive</v>
      </c>
      <c r="E4365" t="s">
        <v>111</v>
      </c>
      <c r="F4365" t="s">
        <v>112</v>
      </c>
      <c r="G4365">
        <v>4</v>
      </c>
      <c r="H4365">
        <v>13.49</v>
      </c>
      <c r="I4365" s="7">
        <f>IF(Transactions!I4365="",0,Transactions!I4365)</f>
        <v>0.1</v>
      </c>
      <c r="J4365" s="9">
        <f t="shared" si="68"/>
        <v>48.564</v>
      </c>
      <c r="K4365" t="s">
        <v>53</v>
      </c>
      <c r="L4365" t="s">
        <v>37</v>
      </c>
      <c r="M4365" t="str">
        <f>REPLACE(Transactions!M4365,1,4,"")</f>
        <v>16</v>
      </c>
    </row>
    <row r="4366" spans="1:13" x14ac:dyDescent="0.2">
      <c r="A4366">
        <v>822412</v>
      </c>
      <c r="B4366" s="5">
        <v>45284</v>
      </c>
      <c r="D4366" t="str">
        <f>PROPER(Transactions!D4366)</f>
        <v>Home &amp; Garden</v>
      </c>
      <c r="E4366" t="s">
        <v>86</v>
      </c>
      <c r="F4366" t="s">
        <v>87</v>
      </c>
      <c r="G4366">
        <v>1</v>
      </c>
      <c r="H4366">
        <v>9.09</v>
      </c>
      <c r="I4366" s="7">
        <f>IF(Transactions!I4366="",0,Transactions!I4366)</f>
        <v>0.3</v>
      </c>
      <c r="J4366" s="9">
        <f t="shared" si="68"/>
        <v>6.3629999999999995</v>
      </c>
      <c r="K4366" t="s">
        <v>22</v>
      </c>
      <c r="L4366" t="s">
        <v>17</v>
      </c>
      <c r="M4366" t="str">
        <f>REPLACE(Transactions!M4366,1,4,"")</f>
        <v>2</v>
      </c>
    </row>
    <row r="4367" spans="1:13" x14ac:dyDescent="0.2">
      <c r="A4367">
        <v>822931</v>
      </c>
      <c r="B4367" s="5">
        <v>45217</v>
      </c>
      <c r="C4367">
        <v>80894</v>
      </c>
      <c r="D4367" t="str">
        <f>PROPER(Transactions!D4367)</f>
        <v>Toys</v>
      </c>
      <c r="E4367" t="s">
        <v>175</v>
      </c>
      <c r="F4367" t="s">
        <v>176</v>
      </c>
      <c r="G4367">
        <v>2</v>
      </c>
      <c r="H4367">
        <v>9.59</v>
      </c>
      <c r="I4367" s="7">
        <f>IF(Transactions!I4367="",0,Transactions!I4367)</f>
        <v>0.2</v>
      </c>
      <c r="J4367" s="9">
        <f t="shared" si="68"/>
        <v>15.344000000000001</v>
      </c>
      <c r="K4367" t="s">
        <v>36</v>
      </c>
      <c r="L4367" t="s">
        <v>17</v>
      </c>
      <c r="M4367" t="str">
        <f>REPLACE(Transactions!M4367,1,4,"")</f>
        <v>10</v>
      </c>
    </row>
    <row r="4368" spans="1:13" x14ac:dyDescent="0.2">
      <c r="A4368">
        <v>822935</v>
      </c>
      <c r="B4368" s="5">
        <v>44866</v>
      </c>
      <c r="C4368">
        <v>74912</v>
      </c>
      <c r="D4368" t="str">
        <f>PROPER(Transactions!D4368)</f>
        <v>Clothing</v>
      </c>
      <c r="E4368" t="s">
        <v>98</v>
      </c>
      <c r="F4368" t="s">
        <v>99</v>
      </c>
      <c r="G4368">
        <v>1</v>
      </c>
      <c r="H4368">
        <v>26.59</v>
      </c>
      <c r="I4368" s="7">
        <f>IF(Transactions!I4368="",0,Transactions!I4368)</f>
        <v>0.05</v>
      </c>
      <c r="J4368" s="9">
        <f t="shared" si="68"/>
        <v>25.2605</v>
      </c>
      <c r="K4368" t="s">
        <v>16</v>
      </c>
      <c r="L4368" t="s">
        <v>17</v>
      </c>
      <c r="M4368" t="str">
        <f>REPLACE(Transactions!M4368,1,4,"")</f>
        <v>4</v>
      </c>
    </row>
    <row r="4369" spans="1:13" x14ac:dyDescent="0.2">
      <c r="A4369">
        <v>822963</v>
      </c>
      <c r="B4369" s="5">
        <v>45238</v>
      </c>
      <c r="C4369">
        <v>31191</v>
      </c>
      <c r="D4369" t="str">
        <f>PROPER(Transactions!D4369)</f>
        <v>Clothing</v>
      </c>
      <c r="E4369" t="s">
        <v>141</v>
      </c>
      <c r="F4369" t="s">
        <v>142</v>
      </c>
      <c r="G4369">
        <v>2</v>
      </c>
      <c r="H4369">
        <v>19.54</v>
      </c>
      <c r="I4369" s="7">
        <f>IF(Transactions!I4369="",0,Transactions!I4369)</f>
        <v>0.15</v>
      </c>
      <c r="J4369" s="9">
        <f t="shared" si="68"/>
        <v>33.217999999999996</v>
      </c>
      <c r="K4369" t="s">
        <v>32</v>
      </c>
      <c r="L4369" t="s">
        <v>17</v>
      </c>
      <c r="M4369" t="str">
        <f>REPLACE(Transactions!M4369,1,4,"")</f>
        <v>8</v>
      </c>
    </row>
    <row r="4370" spans="1:13" x14ac:dyDescent="0.2">
      <c r="A4370">
        <v>823138</v>
      </c>
      <c r="B4370" s="5">
        <v>45323</v>
      </c>
      <c r="C4370">
        <v>81972</v>
      </c>
      <c r="D4370" t="str">
        <f>PROPER(Transactions!D4370)</f>
        <v>Sports</v>
      </c>
      <c r="E4370" t="s">
        <v>147</v>
      </c>
      <c r="F4370" t="s">
        <v>148</v>
      </c>
      <c r="G4370">
        <v>4</v>
      </c>
      <c r="H4370">
        <v>10.39</v>
      </c>
      <c r="I4370" s="7">
        <f>IF(Transactions!I4370="",0,Transactions!I4370)</f>
        <v>0.2</v>
      </c>
      <c r="J4370" s="9">
        <f t="shared" si="68"/>
        <v>33.248000000000005</v>
      </c>
      <c r="K4370" t="s">
        <v>16</v>
      </c>
      <c r="L4370" t="s">
        <v>17</v>
      </c>
      <c r="M4370" t="str">
        <f>REPLACE(Transactions!M4370,1,4,"")</f>
        <v>1</v>
      </c>
    </row>
    <row r="4371" spans="1:13" x14ac:dyDescent="0.2">
      <c r="A4371">
        <v>823180</v>
      </c>
      <c r="B4371" s="5">
        <v>45021</v>
      </c>
      <c r="C4371">
        <v>58099</v>
      </c>
      <c r="D4371" t="str">
        <f>PROPER(Transactions!D4371)</f>
        <v>Toys</v>
      </c>
      <c r="E4371" t="s">
        <v>88</v>
      </c>
      <c r="F4371" t="s">
        <v>89</v>
      </c>
      <c r="G4371">
        <v>5</v>
      </c>
      <c r="H4371">
        <v>42.49</v>
      </c>
      <c r="I4371" s="7">
        <f>IF(Transactions!I4371="",0,Transactions!I4371)</f>
        <v>0.15</v>
      </c>
      <c r="J4371" s="9">
        <f t="shared" si="68"/>
        <v>180.58250000000001</v>
      </c>
      <c r="K4371" t="s">
        <v>22</v>
      </c>
      <c r="L4371" t="s">
        <v>37</v>
      </c>
      <c r="M4371" t="str">
        <f>REPLACE(Transactions!M4371,1,4,"")</f>
        <v>10</v>
      </c>
    </row>
    <row r="4372" spans="1:13" x14ac:dyDescent="0.2">
      <c r="A4372">
        <v>823318</v>
      </c>
      <c r="B4372" s="5">
        <v>44854</v>
      </c>
      <c r="C4372">
        <v>53819</v>
      </c>
      <c r="D4372" t="str">
        <f>PROPER(Transactions!D4372)</f>
        <v>Pharmacy</v>
      </c>
      <c r="E4372" t="s">
        <v>58</v>
      </c>
      <c r="F4372" t="s">
        <v>59</v>
      </c>
      <c r="G4372">
        <v>1</v>
      </c>
      <c r="H4372">
        <v>3.19</v>
      </c>
      <c r="I4372" s="7">
        <f>IF(Transactions!I4372="",0,Transactions!I4372)</f>
        <v>0.2</v>
      </c>
      <c r="J4372" s="9">
        <f t="shared" si="68"/>
        <v>2.552</v>
      </c>
      <c r="K4372" t="s">
        <v>22</v>
      </c>
      <c r="L4372" t="s">
        <v>17</v>
      </c>
      <c r="M4372" t="str">
        <f>REPLACE(Transactions!M4372,1,4,"")</f>
        <v>19</v>
      </c>
    </row>
    <row r="4373" spans="1:13" x14ac:dyDescent="0.2">
      <c r="A4373">
        <v>823386</v>
      </c>
      <c r="B4373" s="5">
        <v>45461</v>
      </c>
      <c r="C4373">
        <v>62286</v>
      </c>
      <c r="D4373" t="str">
        <f>PROPER(Transactions!D4373)</f>
        <v>Pharmacy</v>
      </c>
      <c r="E4373" t="s">
        <v>197</v>
      </c>
      <c r="F4373" t="s">
        <v>198</v>
      </c>
      <c r="G4373">
        <v>4</v>
      </c>
      <c r="H4373">
        <v>14.24</v>
      </c>
      <c r="I4373" s="7">
        <f>IF(Transactions!I4373="",0,Transactions!I4373)</f>
        <v>0.05</v>
      </c>
      <c r="J4373" s="9">
        <f t="shared" si="68"/>
        <v>54.111999999999995</v>
      </c>
      <c r="K4373" t="s">
        <v>16</v>
      </c>
      <c r="L4373" t="s">
        <v>37</v>
      </c>
      <c r="M4373" t="str">
        <f>REPLACE(Transactions!M4373,1,4,"")</f>
        <v>20</v>
      </c>
    </row>
    <row r="4374" spans="1:13" x14ac:dyDescent="0.2">
      <c r="A4374">
        <v>823732</v>
      </c>
      <c r="B4374" s="5">
        <v>44878</v>
      </c>
      <c r="C4374">
        <v>40815</v>
      </c>
      <c r="D4374" t="str">
        <f>PROPER(Transactions!D4374)</f>
        <v>Home &amp; Garden</v>
      </c>
      <c r="E4374" t="s">
        <v>153</v>
      </c>
      <c r="F4374" t="s">
        <v>154</v>
      </c>
      <c r="G4374">
        <v>2</v>
      </c>
      <c r="H4374">
        <v>29.99</v>
      </c>
      <c r="I4374" s="7">
        <f>IF(Transactions!I4374="",0,Transactions!I4374)</f>
        <v>0</v>
      </c>
      <c r="J4374" s="9">
        <f t="shared" si="68"/>
        <v>59.98</v>
      </c>
      <c r="K4374" t="s">
        <v>16</v>
      </c>
      <c r="L4374" t="s">
        <v>37</v>
      </c>
      <c r="M4374" t="str">
        <f>REPLACE(Transactions!M4374,1,4,"")</f>
        <v>10</v>
      </c>
    </row>
    <row r="4375" spans="1:13" x14ac:dyDescent="0.2">
      <c r="A4375">
        <v>823892</v>
      </c>
      <c r="B4375" s="5">
        <v>44967</v>
      </c>
      <c r="C4375">
        <v>29073</v>
      </c>
      <c r="D4375" t="str">
        <f>PROPER(Transactions!D4375)</f>
        <v>Home &amp; Garden</v>
      </c>
      <c r="E4375" t="s">
        <v>129</v>
      </c>
      <c r="F4375" t="s">
        <v>130</v>
      </c>
      <c r="G4375">
        <v>1</v>
      </c>
      <c r="H4375">
        <v>8.99</v>
      </c>
      <c r="I4375" s="7">
        <f>IF(Transactions!I4375="",0,Transactions!I4375)</f>
        <v>0</v>
      </c>
      <c r="J4375" s="9">
        <f t="shared" si="68"/>
        <v>8.99</v>
      </c>
      <c r="K4375" t="s">
        <v>16</v>
      </c>
      <c r="L4375" t="s">
        <v>37</v>
      </c>
      <c r="M4375" t="str">
        <f>REPLACE(Transactions!M4375,1,4,"")</f>
        <v>20</v>
      </c>
    </row>
    <row r="4376" spans="1:13" x14ac:dyDescent="0.2">
      <c r="A4376">
        <v>824080</v>
      </c>
      <c r="B4376" s="5">
        <v>45507</v>
      </c>
      <c r="C4376">
        <v>34190</v>
      </c>
      <c r="D4376" t="str">
        <f>PROPER(Transactions!D4376)</f>
        <v>Grocery</v>
      </c>
      <c r="E4376" t="s">
        <v>172</v>
      </c>
      <c r="F4376" t="s">
        <v>173</v>
      </c>
      <c r="G4376">
        <v>4</v>
      </c>
      <c r="H4376">
        <v>4.49</v>
      </c>
      <c r="I4376" s="7">
        <f>IF(Transactions!I4376="",0,Transactions!I4376)</f>
        <v>0</v>
      </c>
      <c r="J4376" s="9">
        <f t="shared" si="68"/>
        <v>17.96</v>
      </c>
      <c r="K4376" t="s">
        <v>16</v>
      </c>
      <c r="L4376" t="s">
        <v>17</v>
      </c>
      <c r="M4376" t="str">
        <f>REPLACE(Transactions!M4376,1,4,"")</f>
        <v>7</v>
      </c>
    </row>
    <row r="4377" spans="1:13" x14ac:dyDescent="0.2">
      <c r="A4377">
        <v>824549</v>
      </c>
      <c r="B4377" s="5">
        <v>44770</v>
      </c>
      <c r="C4377">
        <v>91565</v>
      </c>
      <c r="D4377" t="str">
        <f>PROPER(Transactions!D4377)</f>
        <v>Automotive</v>
      </c>
      <c r="E4377" t="s">
        <v>111</v>
      </c>
      <c r="F4377" t="s">
        <v>112</v>
      </c>
      <c r="G4377">
        <v>3</v>
      </c>
      <c r="H4377">
        <v>11.24</v>
      </c>
      <c r="I4377" s="7">
        <f>IF(Transactions!I4377="",0,Transactions!I4377)</f>
        <v>0.25</v>
      </c>
      <c r="J4377" s="9">
        <f t="shared" si="68"/>
        <v>25.29</v>
      </c>
      <c r="K4377" t="s">
        <v>36</v>
      </c>
      <c r="L4377" t="s">
        <v>37</v>
      </c>
      <c r="M4377" t="str">
        <f>REPLACE(Transactions!M4377,1,4,"")</f>
        <v>19</v>
      </c>
    </row>
    <row r="4378" spans="1:13" x14ac:dyDescent="0.2">
      <c r="A4378">
        <v>824619</v>
      </c>
      <c r="B4378" s="5">
        <v>44597</v>
      </c>
      <c r="C4378">
        <v>88335</v>
      </c>
      <c r="D4378" t="str">
        <f>PROPER(Transactions!D4378)</f>
        <v>Clothing</v>
      </c>
      <c r="E4378" t="s">
        <v>121</v>
      </c>
      <c r="F4378" t="s">
        <v>122</v>
      </c>
      <c r="G4378">
        <v>1</v>
      </c>
      <c r="H4378">
        <v>9.74</v>
      </c>
      <c r="I4378" s="7">
        <f>IF(Transactions!I4378="",0,Transactions!I4378)</f>
        <v>0.25</v>
      </c>
      <c r="J4378" s="9">
        <f t="shared" si="68"/>
        <v>7.3049999999999997</v>
      </c>
      <c r="K4378" t="s">
        <v>53</v>
      </c>
      <c r="L4378" t="s">
        <v>37</v>
      </c>
      <c r="M4378" t="str">
        <f>REPLACE(Transactions!M4378,1,4,"")</f>
        <v>16</v>
      </c>
    </row>
    <row r="4379" spans="1:13" x14ac:dyDescent="0.2">
      <c r="A4379">
        <v>824632</v>
      </c>
      <c r="B4379" s="5">
        <v>44832</v>
      </c>
      <c r="C4379">
        <v>95847</v>
      </c>
      <c r="D4379" t="str">
        <f>PROPER(Transactions!D4379)</f>
        <v>Grocery</v>
      </c>
      <c r="E4379" t="s">
        <v>45</v>
      </c>
      <c r="F4379" t="s">
        <v>46</v>
      </c>
      <c r="G4379">
        <v>1</v>
      </c>
      <c r="H4379">
        <v>1.79</v>
      </c>
      <c r="I4379" s="7">
        <f>IF(Transactions!I4379="",0,Transactions!I4379)</f>
        <v>0</v>
      </c>
      <c r="J4379" s="9">
        <f t="shared" si="68"/>
        <v>1.79</v>
      </c>
      <c r="K4379" t="s">
        <v>36</v>
      </c>
      <c r="L4379" t="s">
        <v>37</v>
      </c>
      <c r="M4379" t="str">
        <f>REPLACE(Transactions!M4379,1,4,"")</f>
        <v/>
      </c>
    </row>
    <row r="4380" spans="1:13" x14ac:dyDescent="0.2">
      <c r="A4380">
        <v>824893</v>
      </c>
      <c r="B4380" s="5">
        <v>45619</v>
      </c>
      <c r="C4380">
        <v>11423</v>
      </c>
      <c r="D4380" t="str">
        <f>PROPER(Transactions!D4380)</f>
        <v>Pharmacy</v>
      </c>
      <c r="E4380" t="s">
        <v>58</v>
      </c>
      <c r="F4380" t="s">
        <v>59</v>
      </c>
      <c r="G4380">
        <v>4</v>
      </c>
      <c r="H4380">
        <v>3.99</v>
      </c>
      <c r="I4380" s="7">
        <f>IF(Transactions!I4380="",0,Transactions!I4380)</f>
        <v>0</v>
      </c>
      <c r="J4380" s="9">
        <f t="shared" si="68"/>
        <v>15.96</v>
      </c>
      <c r="K4380" t="s">
        <v>36</v>
      </c>
      <c r="L4380" t="s">
        <v>37</v>
      </c>
      <c r="M4380" t="str">
        <f>REPLACE(Transactions!M4380,1,4,"")</f>
        <v>10</v>
      </c>
    </row>
    <row r="4381" spans="1:13" x14ac:dyDescent="0.2">
      <c r="A4381">
        <v>824904</v>
      </c>
      <c r="B4381" s="5">
        <v>45233</v>
      </c>
      <c r="C4381">
        <v>86619</v>
      </c>
      <c r="D4381" t="str">
        <f>PROPER(Transactions!D4381)</f>
        <v>Electronics</v>
      </c>
      <c r="E4381" t="s">
        <v>79</v>
      </c>
      <c r="F4381" t="s">
        <v>80</v>
      </c>
      <c r="G4381">
        <v>3</v>
      </c>
      <c r="H4381">
        <v>89.99</v>
      </c>
      <c r="I4381" s="7">
        <f>IF(Transactions!I4381="",0,Transactions!I4381)</f>
        <v>0</v>
      </c>
      <c r="J4381" s="9">
        <f t="shared" si="68"/>
        <v>269.96999999999997</v>
      </c>
      <c r="K4381" t="s">
        <v>95</v>
      </c>
      <c r="L4381" t="s">
        <v>37</v>
      </c>
      <c r="M4381" t="str">
        <f>REPLACE(Transactions!M4381,1,4,"")</f>
        <v/>
      </c>
    </row>
    <row r="4382" spans="1:13" x14ac:dyDescent="0.2">
      <c r="A4382">
        <v>825078</v>
      </c>
      <c r="B4382" s="5">
        <v>44947</v>
      </c>
      <c r="C4382">
        <v>59467</v>
      </c>
      <c r="D4382" t="str">
        <f>PROPER(Transactions!D4382)</f>
        <v>Electronics</v>
      </c>
      <c r="E4382" t="s">
        <v>77</v>
      </c>
      <c r="F4382" t="s">
        <v>78</v>
      </c>
      <c r="G4382">
        <v>4</v>
      </c>
      <c r="H4382">
        <v>374.99</v>
      </c>
      <c r="I4382" s="7">
        <f>IF(Transactions!I4382="",0,Transactions!I4382)</f>
        <v>0</v>
      </c>
      <c r="J4382" s="9">
        <f t="shared" si="68"/>
        <v>1499.96</v>
      </c>
      <c r="K4382" t="s">
        <v>16</v>
      </c>
      <c r="L4382" t="s">
        <v>23</v>
      </c>
      <c r="M4382" t="str">
        <f>REPLACE(Transactions!M4382,1,4,"")</f>
        <v>2</v>
      </c>
    </row>
    <row r="4383" spans="1:13" x14ac:dyDescent="0.2">
      <c r="A4383">
        <v>825208</v>
      </c>
      <c r="B4383" s="5">
        <v>44818</v>
      </c>
      <c r="C4383">
        <v>93963</v>
      </c>
      <c r="D4383" t="str">
        <f>PROPER(Transactions!D4383)</f>
        <v>Automotive</v>
      </c>
      <c r="E4383" t="s">
        <v>64</v>
      </c>
      <c r="F4383" t="s">
        <v>65</v>
      </c>
      <c r="G4383">
        <v>5</v>
      </c>
      <c r="H4383">
        <v>3.74</v>
      </c>
      <c r="I4383" s="7">
        <f>IF(Transactions!I4383="",0,Transactions!I4383)</f>
        <v>0</v>
      </c>
      <c r="J4383" s="9">
        <f t="shared" si="68"/>
        <v>18.700000000000003</v>
      </c>
      <c r="K4383" t="s">
        <v>36</v>
      </c>
      <c r="L4383" t="s">
        <v>17</v>
      </c>
      <c r="M4383" t="str">
        <f>REPLACE(Transactions!M4383,1,4,"")</f>
        <v>15</v>
      </c>
    </row>
    <row r="4384" spans="1:13" x14ac:dyDescent="0.2">
      <c r="A4384">
        <v>825303</v>
      </c>
      <c r="B4384" s="5">
        <v>45160</v>
      </c>
      <c r="C4384">
        <v>51733</v>
      </c>
      <c r="D4384" t="str">
        <f>PROPER(Transactions!D4384)</f>
        <v>Clothing</v>
      </c>
      <c r="E4384" t="s">
        <v>121</v>
      </c>
      <c r="F4384" t="s">
        <v>122</v>
      </c>
      <c r="G4384">
        <v>5</v>
      </c>
      <c r="H4384">
        <v>11.69</v>
      </c>
      <c r="I4384" s="7">
        <f>IF(Transactions!I4384="",0,Transactions!I4384)</f>
        <v>0.1</v>
      </c>
      <c r="J4384" s="9">
        <f t="shared" si="68"/>
        <v>52.604999999999997</v>
      </c>
      <c r="K4384" t="s">
        <v>36</v>
      </c>
      <c r="L4384" t="s">
        <v>17</v>
      </c>
      <c r="M4384" t="str">
        <f>REPLACE(Transactions!M4384,1,4,"")</f>
        <v>17</v>
      </c>
    </row>
    <row r="4385" spans="1:13" x14ac:dyDescent="0.2">
      <c r="A4385">
        <v>825908</v>
      </c>
      <c r="B4385" s="5">
        <v>44648</v>
      </c>
      <c r="C4385">
        <v>18783</v>
      </c>
      <c r="D4385" t="str">
        <f>PROPER(Transactions!D4385)</f>
        <v>Furniture</v>
      </c>
      <c r="E4385" t="s">
        <v>113</v>
      </c>
      <c r="F4385" t="s">
        <v>114</v>
      </c>
      <c r="G4385">
        <v>2</v>
      </c>
      <c r="H4385">
        <v>107.99</v>
      </c>
      <c r="I4385" s="7">
        <f>IF(Transactions!I4385="",0,Transactions!I4385)</f>
        <v>0.1</v>
      </c>
      <c r="J4385" s="9">
        <f t="shared" si="68"/>
        <v>194.38200000000001</v>
      </c>
      <c r="K4385" t="s">
        <v>36</v>
      </c>
      <c r="L4385" t="s">
        <v>17</v>
      </c>
      <c r="M4385" t="str">
        <f>REPLACE(Transactions!M4385,1,4,"")</f>
        <v>17</v>
      </c>
    </row>
    <row r="4386" spans="1:13" x14ac:dyDescent="0.2">
      <c r="A4386">
        <v>826045</v>
      </c>
      <c r="B4386" s="5">
        <v>45440</v>
      </c>
      <c r="C4386">
        <v>48500</v>
      </c>
      <c r="D4386" t="str">
        <f>PROPER(Transactions!D4386)</f>
        <v>Furniture</v>
      </c>
      <c r="E4386" t="s">
        <v>60</v>
      </c>
      <c r="F4386" t="s">
        <v>61</v>
      </c>
      <c r="G4386">
        <v>1</v>
      </c>
      <c r="H4386">
        <v>41.24</v>
      </c>
      <c r="I4386" s="7">
        <f>IF(Transactions!I4386="",0,Transactions!I4386)</f>
        <v>0.25</v>
      </c>
      <c r="J4386" s="9">
        <f t="shared" si="68"/>
        <v>30.93</v>
      </c>
      <c r="K4386" t="s">
        <v>16</v>
      </c>
      <c r="L4386" t="s">
        <v>17</v>
      </c>
      <c r="M4386" t="str">
        <f>REPLACE(Transactions!M4386,1,4,"")</f>
        <v>11</v>
      </c>
    </row>
    <row r="4387" spans="1:13" x14ac:dyDescent="0.2">
      <c r="A4387">
        <v>826171</v>
      </c>
      <c r="B4387" s="5">
        <v>44923</v>
      </c>
      <c r="C4387">
        <v>83373</v>
      </c>
      <c r="D4387" t="str">
        <f>PROPER(Transactions!D4387)</f>
        <v>Grocery</v>
      </c>
      <c r="E4387" t="s">
        <v>74</v>
      </c>
      <c r="F4387" t="s">
        <v>75</v>
      </c>
      <c r="G4387">
        <v>1</v>
      </c>
      <c r="H4387">
        <v>2.54</v>
      </c>
      <c r="I4387" s="7">
        <f>IF(Transactions!I4387="",0,Transactions!I4387)</f>
        <v>0.15</v>
      </c>
      <c r="J4387" s="9">
        <f t="shared" si="68"/>
        <v>2.1589999999999998</v>
      </c>
      <c r="K4387" t="s">
        <v>36</v>
      </c>
      <c r="L4387" t="s">
        <v>17</v>
      </c>
      <c r="M4387" t="str">
        <f>REPLACE(Transactions!M4387,1,4,"")</f>
        <v>16</v>
      </c>
    </row>
    <row r="4388" spans="1:13" x14ac:dyDescent="0.2">
      <c r="A4388">
        <v>826267</v>
      </c>
      <c r="B4388" s="5">
        <v>45375</v>
      </c>
      <c r="C4388">
        <v>34056</v>
      </c>
      <c r="D4388" t="str">
        <f>PROPER(Transactions!D4388)</f>
        <v>Automotive</v>
      </c>
      <c r="E4388" t="s">
        <v>68</v>
      </c>
      <c r="F4388" t="s">
        <v>69</v>
      </c>
      <c r="G4388">
        <v>4</v>
      </c>
      <c r="H4388">
        <v>19.989999999999998</v>
      </c>
      <c r="I4388" s="7">
        <f>IF(Transactions!I4388="",0,Transactions!I4388)</f>
        <v>0.2</v>
      </c>
      <c r="J4388" s="9">
        <f t="shared" si="68"/>
        <v>63.967999999999996</v>
      </c>
      <c r="K4388" t="s">
        <v>36</v>
      </c>
      <c r="L4388" t="s">
        <v>17</v>
      </c>
      <c r="M4388" t="str">
        <f>REPLACE(Transactions!M4388,1,4,"")</f>
        <v/>
      </c>
    </row>
    <row r="4389" spans="1:13" x14ac:dyDescent="0.2">
      <c r="A4389">
        <v>826406</v>
      </c>
      <c r="B4389" s="5">
        <v>44620</v>
      </c>
      <c r="C4389">
        <v>43779</v>
      </c>
      <c r="D4389" t="str">
        <f>PROPER(Transactions!D4389)</f>
        <v>Furniture</v>
      </c>
      <c r="E4389" t="s">
        <v>113</v>
      </c>
      <c r="F4389" t="s">
        <v>114</v>
      </c>
      <c r="G4389">
        <v>1</v>
      </c>
      <c r="H4389">
        <v>95.99</v>
      </c>
      <c r="I4389" s="7">
        <f>IF(Transactions!I4389="",0,Transactions!I4389)</f>
        <v>0.2</v>
      </c>
      <c r="J4389" s="9">
        <f t="shared" si="68"/>
        <v>76.792000000000002</v>
      </c>
      <c r="K4389" t="s">
        <v>22</v>
      </c>
      <c r="L4389" t="s">
        <v>37</v>
      </c>
      <c r="M4389" t="str">
        <f>REPLACE(Transactions!M4389,1,4,"")</f>
        <v>8</v>
      </c>
    </row>
    <row r="4390" spans="1:13" x14ac:dyDescent="0.2">
      <c r="A4390">
        <v>826720</v>
      </c>
      <c r="B4390" s="5">
        <v>44656</v>
      </c>
      <c r="C4390">
        <v>69114</v>
      </c>
      <c r="D4390" t="str">
        <f>PROPER(Transactions!D4390)</f>
        <v>Pharmacy</v>
      </c>
      <c r="E4390" t="s">
        <v>20</v>
      </c>
      <c r="F4390" t="s">
        <v>21</v>
      </c>
      <c r="G4390">
        <v>5</v>
      </c>
      <c r="H4390">
        <v>9.99</v>
      </c>
      <c r="I4390" s="7">
        <f>IF(Transactions!I4390="",0,Transactions!I4390)</f>
        <v>0</v>
      </c>
      <c r="J4390" s="9">
        <f t="shared" si="68"/>
        <v>49.95</v>
      </c>
      <c r="K4390" t="s">
        <v>16</v>
      </c>
      <c r="L4390" t="s">
        <v>17</v>
      </c>
      <c r="M4390" t="str">
        <f>REPLACE(Transactions!M4390,1,4,"")</f>
        <v>1</v>
      </c>
    </row>
    <row r="4391" spans="1:13" x14ac:dyDescent="0.2">
      <c r="A4391">
        <v>826768</v>
      </c>
      <c r="B4391" s="5">
        <v>45243</v>
      </c>
      <c r="C4391">
        <v>74711</v>
      </c>
      <c r="D4391" t="str">
        <f>PROPER(Transactions!D4391)</f>
        <v>Pharmacy</v>
      </c>
      <c r="E4391" t="s">
        <v>41</v>
      </c>
      <c r="F4391" t="s">
        <v>42</v>
      </c>
      <c r="G4391">
        <v>1</v>
      </c>
      <c r="H4391">
        <v>5.09</v>
      </c>
      <c r="I4391" s="7">
        <f>IF(Transactions!I4391="",0,Transactions!I4391)</f>
        <v>0.15</v>
      </c>
      <c r="J4391" s="9">
        <f t="shared" si="68"/>
        <v>4.3264999999999993</v>
      </c>
      <c r="K4391" t="s">
        <v>16</v>
      </c>
      <c r="L4391" t="s">
        <v>37</v>
      </c>
      <c r="M4391" t="str">
        <f>REPLACE(Transactions!M4391,1,4,"")</f>
        <v>19</v>
      </c>
    </row>
    <row r="4392" spans="1:13" x14ac:dyDescent="0.2">
      <c r="A4392">
        <v>826846</v>
      </c>
      <c r="B4392" s="5">
        <v>45554</v>
      </c>
      <c r="C4392">
        <v>27886</v>
      </c>
      <c r="D4392" t="str">
        <f>PROPER(Transactions!D4392)</f>
        <v>Sports</v>
      </c>
      <c r="E4392" t="s">
        <v>168</v>
      </c>
      <c r="F4392" t="s">
        <v>169</v>
      </c>
      <c r="G4392">
        <v>3</v>
      </c>
      <c r="H4392">
        <v>6.74</v>
      </c>
      <c r="I4392" s="7">
        <f>IF(Transactions!I4392="",0,Transactions!I4392)</f>
        <v>0.25</v>
      </c>
      <c r="J4392" s="9">
        <f t="shared" si="68"/>
        <v>15.164999999999999</v>
      </c>
      <c r="K4392" t="s">
        <v>16</v>
      </c>
      <c r="L4392" t="s">
        <v>17</v>
      </c>
      <c r="M4392" t="str">
        <f>REPLACE(Transactions!M4392,1,4,"")</f>
        <v/>
      </c>
    </row>
    <row r="4393" spans="1:13" x14ac:dyDescent="0.2">
      <c r="A4393">
        <v>826883</v>
      </c>
      <c r="B4393" s="5">
        <v>45251</v>
      </c>
      <c r="C4393">
        <v>62234</v>
      </c>
      <c r="D4393" t="str">
        <f>PROPER(Transactions!D4393)</f>
        <v>Electronics</v>
      </c>
      <c r="E4393" t="s">
        <v>159</v>
      </c>
      <c r="F4393" t="s">
        <v>160</v>
      </c>
      <c r="G4393">
        <v>2</v>
      </c>
      <c r="H4393">
        <v>59.99</v>
      </c>
      <c r="I4393" s="7">
        <f>IF(Transactions!I4393="",0,Transactions!I4393)</f>
        <v>0</v>
      </c>
      <c r="J4393" s="9">
        <f t="shared" si="68"/>
        <v>119.98</v>
      </c>
      <c r="K4393" t="s">
        <v>22</v>
      </c>
      <c r="L4393" t="s">
        <v>37</v>
      </c>
      <c r="M4393" t="str">
        <f>REPLACE(Transactions!M4393,1,4,"")</f>
        <v>13</v>
      </c>
    </row>
    <row r="4394" spans="1:13" x14ac:dyDescent="0.2">
      <c r="A4394">
        <v>827007</v>
      </c>
      <c r="B4394" s="5">
        <v>44680</v>
      </c>
      <c r="C4394">
        <v>29985</v>
      </c>
      <c r="D4394" t="str">
        <f>PROPER(Transactions!D4394)</f>
        <v>Furniture</v>
      </c>
      <c r="E4394" t="s">
        <v>51</v>
      </c>
      <c r="F4394" t="s">
        <v>52</v>
      </c>
      <c r="G4394">
        <v>4</v>
      </c>
      <c r="H4394">
        <v>23.79</v>
      </c>
      <c r="I4394" s="7">
        <f>IF(Transactions!I4394="",0,Transactions!I4394)</f>
        <v>0.15</v>
      </c>
      <c r="J4394" s="9">
        <f t="shared" si="68"/>
        <v>80.885999999999996</v>
      </c>
      <c r="K4394" t="s">
        <v>16</v>
      </c>
      <c r="L4394" t="s">
        <v>17</v>
      </c>
      <c r="M4394" t="str">
        <f>REPLACE(Transactions!M4394,1,4,"")</f>
        <v/>
      </c>
    </row>
    <row r="4395" spans="1:13" x14ac:dyDescent="0.2">
      <c r="A4395">
        <v>827045</v>
      </c>
      <c r="B4395" s="5">
        <v>45294</v>
      </c>
      <c r="C4395">
        <v>57962</v>
      </c>
      <c r="D4395" t="str">
        <f>PROPER(Transactions!D4395)</f>
        <v>Home &amp; Garden</v>
      </c>
      <c r="E4395" t="s">
        <v>137</v>
      </c>
      <c r="F4395" t="s">
        <v>138</v>
      </c>
      <c r="G4395">
        <v>5</v>
      </c>
      <c r="H4395">
        <v>5.99</v>
      </c>
      <c r="I4395" s="7">
        <f>IF(Transactions!I4395="",0,Transactions!I4395)</f>
        <v>0.25</v>
      </c>
      <c r="J4395" s="9">
        <f t="shared" si="68"/>
        <v>22.462500000000002</v>
      </c>
      <c r="K4395" t="s">
        <v>95</v>
      </c>
      <c r="L4395" t="s">
        <v>17</v>
      </c>
      <c r="M4395" t="str">
        <f>REPLACE(Transactions!M4395,1,4,"")</f>
        <v>6</v>
      </c>
    </row>
    <row r="4396" spans="1:13" x14ac:dyDescent="0.2">
      <c r="A4396">
        <v>827307</v>
      </c>
      <c r="B4396" s="5">
        <v>45657</v>
      </c>
      <c r="C4396">
        <v>61993</v>
      </c>
      <c r="D4396" t="str">
        <f>PROPER(Transactions!D4396)</f>
        <v>Electronics</v>
      </c>
      <c r="E4396" t="s">
        <v>104</v>
      </c>
      <c r="F4396" t="s">
        <v>105</v>
      </c>
      <c r="G4396">
        <v>5</v>
      </c>
      <c r="H4396">
        <v>29.99</v>
      </c>
      <c r="I4396" s="7">
        <f>IF(Transactions!I4396="",0,Transactions!I4396)</f>
        <v>0</v>
      </c>
      <c r="J4396" s="9">
        <f t="shared" si="68"/>
        <v>149.94999999999999</v>
      </c>
      <c r="K4396" t="s">
        <v>32</v>
      </c>
      <c r="L4396" t="s">
        <v>37</v>
      </c>
      <c r="M4396" t="str">
        <f>REPLACE(Transactions!M4396,1,4,"")</f>
        <v>18</v>
      </c>
    </row>
    <row r="4397" spans="1:13" x14ac:dyDescent="0.2">
      <c r="A4397">
        <v>827923</v>
      </c>
      <c r="B4397" s="5">
        <v>45309</v>
      </c>
      <c r="C4397">
        <v>73042</v>
      </c>
      <c r="D4397" t="str">
        <f>PROPER(Transactions!D4397)</f>
        <v>Automotive</v>
      </c>
      <c r="E4397" t="s">
        <v>111</v>
      </c>
      <c r="F4397" t="s">
        <v>112</v>
      </c>
      <c r="G4397">
        <v>1</v>
      </c>
      <c r="H4397">
        <v>11.24</v>
      </c>
      <c r="I4397" s="7">
        <f>IF(Transactions!I4397="",0,Transactions!I4397)</f>
        <v>0.25</v>
      </c>
      <c r="J4397" s="9">
        <f t="shared" si="68"/>
        <v>8.43</v>
      </c>
      <c r="K4397" t="s">
        <v>53</v>
      </c>
      <c r="L4397" t="s">
        <v>17</v>
      </c>
      <c r="M4397" t="str">
        <f>REPLACE(Transactions!M4397,1,4,"")</f>
        <v>8</v>
      </c>
    </row>
    <row r="4398" spans="1:13" x14ac:dyDescent="0.2">
      <c r="A4398">
        <v>828082</v>
      </c>
      <c r="B4398" s="5">
        <v>45422</v>
      </c>
      <c r="C4398">
        <v>59377</v>
      </c>
      <c r="D4398" t="str">
        <f>PROPER(Transactions!D4398)</f>
        <v>Automotive</v>
      </c>
      <c r="E4398" t="s">
        <v>125</v>
      </c>
      <c r="F4398" t="s">
        <v>126</v>
      </c>
      <c r="G4398">
        <v>2</v>
      </c>
      <c r="H4398">
        <v>23.99</v>
      </c>
      <c r="I4398" s="7">
        <f>IF(Transactions!I4398="",0,Transactions!I4398)</f>
        <v>0.2</v>
      </c>
      <c r="J4398" s="9">
        <f t="shared" si="68"/>
        <v>38.384</v>
      </c>
      <c r="K4398" t="s">
        <v>16</v>
      </c>
      <c r="L4398" t="s">
        <v>23</v>
      </c>
      <c r="M4398" t="str">
        <f>REPLACE(Transactions!M4398,1,4,"")</f>
        <v>11</v>
      </c>
    </row>
    <row r="4399" spans="1:13" x14ac:dyDescent="0.2">
      <c r="A4399">
        <v>828199</v>
      </c>
      <c r="B4399" s="5">
        <v>45534</v>
      </c>
      <c r="C4399">
        <v>63455</v>
      </c>
      <c r="D4399" t="str">
        <f>PROPER(Transactions!D4399)</f>
        <v>Pharmacy</v>
      </c>
      <c r="E4399" t="s">
        <v>58</v>
      </c>
      <c r="F4399" t="s">
        <v>59</v>
      </c>
      <c r="G4399">
        <v>3</v>
      </c>
      <c r="H4399">
        <v>3.19</v>
      </c>
      <c r="I4399" s="7">
        <f>IF(Transactions!I4399="",0,Transactions!I4399)</f>
        <v>0.2</v>
      </c>
      <c r="J4399" s="9">
        <f t="shared" si="68"/>
        <v>7.6560000000000006</v>
      </c>
      <c r="K4399" t="s">
        <v>22</v>
      </c>
      <c r="L4399" t="s">
        <v>17</v>
      </c>
      <c r="M4399" t="str">
        <f>REPLACE(Transactions!M4399,1,4,"")</f>
        <v>2</v>
      </c>
    </row>
    <row r="4400" spans="1:13" x14ac:dyDescent="0.2">
      <c r="A4400">
        <v>828368</v>
      </c>
      <c r="B4400" s="5">
        <v>45238</v>
      </c>
      <c r="C4400">
        <v>85314</v>
      </c>
      <c r="D4400" t="str">
        <f>PROPER(Transactions!D4400)</f>
        <v>Furniture</v>
      </c>
      <c r="E4400" t="s">
        <v>70</v>
      </c>
      <c r="F4400" t="s">
        <v>71</v>
      </c>
      <c r="G4400">
        <v>1</v>
      </c>
      <c r="H4400">
        <v>62.99</v>
      </c>
      <c r="I4400" s="7">
        <f>IF(Transactions!I4400="",0,Transactions!I4400)</f>
        <v>0.3</v>
      </c>
      <c r="J4400" s="9">
        <f t="shared" si="68"/>
        <v>44.092999999999996</v>
      </c>
      <c r="K4400" t="s">
        <v>36</v>
      </c>
      <c r="L4400" t="s">
        <v>37</v>
      </c>
      <c r="M4400" t="str">
        <f>REPLACE(Transactions!M4400,1,4,"")</f>
        <v>2</v>
      </c>
    </row>
    <row r="4401" spans="1:13" x14ac:dyDescent="0.2">
      <c r="A4401">
        <v>828575</v>
      </c>
      <c r="B4401" s="5">
        <v>45521</v>
      </c>
      <c r="C4401">
        <v>46741</v>
      </c>
      <c r="D4401" t="str">
        <f>PROPER(Transactions!D4401)</f>
        <v>Electronics</v>
      </c>
      <c r="E4401" t="s">
        <v>127</v>
      </c>
      <c r="F4401" t="s">
        <v>128</v>
      </c>
      <c r="G4401">
        <v>1</v>
      </c>
      <c r="H4401">
        <v>19.989999999999998</v>
      </c>
      <c r="I4401" s="7">
        <f>IF(Transactions!I4401="",0,Transactions!I4401)</f>
        <v>0</v>
      </c>
      <c r="J4401" s="9">
        <f t="shared" si="68"/>
        <v>19.989999999999998</v>
      </c>
      <c r="K4401" t="s">
        <v>16</v>
      </c>
      <c r="L4401" t="s">
        <v>37</v>
      </c>
      <c r="M4401" t="str">
        <f>REPLACE(Transactions!M4401,1,4,"")</f>
        <v>17</v>
      </c>
    </row>
    <row r="4402" spans="1:13" x14ac:dyDescent="0.2">
      <c r="A4402">
        <v>828597</v>
      </c>
      <c r="B4402" s="5">
        <v>45243</v>
      </c>
      <c r="C4402">
        <v>99139</v>
      </c>
      <c r="D4402" t="str">
        <f>PROPER(Transactions!D4402)</f>
        <v>Toys</v>
      </c>
      <c r="E4402" t="s">
        <v>30</v>
      </c>
      <c r="F4402" t="s">
        <v>31</v>
      </c>
      <c r="G4402">
        <v>1</v>
      </c>
      <c r="H4402">
        <v>17.489999999999998</v>
      </c>
      <c r="I4402" s="7">
        <f>IF(Transactions!I4402="",0,Transactions!I4402)</f>
        <v>0.3</v>
      </c>
      <c r="J4402" s="9">
        <f t="shared" si="68"/>
        <v>12.242999999999999</v>
      </c>
      <c r="K4402" t="s">
        <v>53</v>
      </c>
      <c r="L4402" t="s">
        <v>23</v>
      </c>
      <c r="M4402" t="str">
        <f>REPLACE(Transactions!M4402,1,4,"")</f>
        <v>6</v>
      </c>
    </row>
    <row r="4403" spans="1:13" x14ac:dyDescent="0.2">
      <c r="A4403">
        <v>828614</v>
      </c>
      <c r="B4403" s="5">
        <v>45293</v>
      </c>
      <c r="D4403" t="str">
        <f>PROPER(Transactions!D4403)</f>
        <v>Electronics</v>
      </c>
      <c r="E4403" t="s">
        <v>34</v>
      </c>
      <c r="F4403" t="s">
        <v>35</v>
      </c>
      <c r="G4403">
        <v>1</v>
      </c>
      <c r="H4403">
        <v>29.74</v>
      </c>
      <c r="I4403" s="7">
        <f>IF(Transactions!I4403="",0,Transactions!I4403)</f>
        <v>0.15</v>
      </c>
      <c r="J4403" s="9">
        <f t="shared" si="68"/>
        <v>25.278999999999996</v>
      </c>
      <c r="K4403" t="s">
        <v>95</v>
      </c>
      <c r="L4403" t="s">
        <v>23</v>
      </c>
      <c r="M4403" t="str">
        <f>REPLACE(Transactions!M4403,1,4,"")</f>
        <v>20</v>
      </c>
    </row>
    <row r="4404" spans="1:13" x14ac:dyDescent="0.2">
      <c r="A4404">
        <v>829066</v>
      </c>
      <c r="B4404" s="5">
        <v>45534</v>
      </c>
      <c r="C4404">
        <v>89467</v>
      </c>
      <c r="D4404" t="str">
        <f>PROPER(Transactions!D4404)</f>
        <v>Sports</v>
      </c>
      <c r="E4404" t="s">
        <v>147</v>
      </c>
      <c r="F4404" t="s">
        <v>148</v>
      </c>
      <c r="G4404">
        <v>4</v>
      </c>
      <c r="H4404">
        <v>12.99</v>
      </c>
      <c r="I4404" s="7">
        <f>IF(Transactions!I4404="",0,Transactions!I4404)</f>
        <v>0</v>
      </c>
      <c r="J4404" s="9">
        <f t="shared" si="68"/>
        <v>51.96</v>
      </c>
      <c r="K4404" t="s">
        <v>16</v>
      </c>
      <c r="L4404" t="s">
        <v>17</v>
      </c>
      <c r="M4404" t="str">
        <f>REPLACE(Transactions!M4404,1,4,"")</f>
        <v>15</v>
      </c>
    </row>
    <row r="4405" spans="1:13" x14ac:dyDescent="0.2">
      <c r="A4405">
        <v>829169</v>
      </c>
      <c r="B4405" s="5">
        <v>45413</v>
      </c>
      <c r="C4405">
        <v>76770</v>
      </c>
      <c r="D4405" t="str">
        <f>PROPER(Transactions!D4405)</f>
        <v>Grocery</v>
      </c>
      <c r="E4405" t="s">
        <v>74</v>
      </c>
      <c r="F4405" t="s">
        <v>75</v>
      </c>
      <c r="G4405">
        <v>5</v>
      </c>
      <c r="H4405">
        <v>2.2400000000000002</v>
      </c>
      <c r="I4405" s="7">
        <f>IF(Transactions!I4405="",0,Transactions!I4405)</f>
        <v>0.25</v>
      </c>
      <c r="J4405" s="9">
        <f t="shared" si="68"/>
        <v>8.4</v>
      </c>
      <c r="K4405" t="s">
        <v>16</v>
      </c>
      <c r="L4405" t="s">
        <v>17</v>
      </c>
      <c r="M4405" t="str">
        <f>REPLACE(Transactions!M4405,1,4,"")</f>
        <v>4</v>
      </c>
    </row>
    <row r="4406" spans="1:13" x14ac:dyDescent="0.2">
      <c r="A4406">
        <v>829472</v>
      </c>
      <c r="B4406" s="5">
        <v>45480</v>
      </c>
      <c r="C4406">
        <v>66332</v>
      </c>
      <c r="D4406" t="str">
        <f>PROPER(Transactions!D4406)</f>
        <v>Home &amp; Garden</v>
      </c>
      <c r="E4406" t="s">
        <v>86</v>
      </c>
      <c r="F4406" t="s">
        <v>87</v>
      </c>
      <c r="G4406">
        <v>2</v>
      </c>
      <c r="H4406">
        <v>11.69</v>
      </c>
      <c r="I4406" s="7">
        <f>IF(Transactions!I4406="",0,Transactions!I4406)</f>
        <v>0</v>
      </c>
      <c r="J4406" s="9">
        <f t="shared" si="68"/>
        <v>23.38</v>
      </c>
      <c r="K4406" t="s">
        <v>16</v>
      </c>
      <c r="L4406" t="s">
        <v>17</v>
      </c>
      <c r="M4406" t="str">
        <f>REPLACE(Transactions!M4406,1,4,"")</f>
        <v>8</v>
      </c>
    </row>
    <row r="4407" spans="1:13" x14ac:dyDescent="0.2">
      <c r="A4407">
        <v>829748</v>
      </c>
      <c r="B4407" s="5">
        <v>45458</v>
      </c>
      <c r="C4407">
        <v>84780</v>
      </c>
      <c r="D4407" t="str">
        <f>PROPER(Transactions!D4407)</f>
        <v>Grocery</v>
      </c>
      <c r="E4407" t="s">
        <v>195</v>
      </c>
      <c r="F4407" t="s">
        <v>196</v>
      </c>
      <c r="G4407">
        <v>5</v>
      </c>
      <c r="H4407">
        <v>4.74</v>
      </c>
      <c r="I4407" s="7">
        <f>IF(Transactions!I4407="",0,Transactions!I4407)</f>
        <v>0.05</v>
      </c>
      <c r="J4407" s="9">
        <f t="shared" si="68"/>
        <v>22.515000000000001</v>
      </c>
      <c r="K4407" t="s">
        <v>36</v>
      </c>
      <c r="L4407" t="s">
        <v>37</v>
      </c>
      <c r="M4407" t="str">
        <f>REPLACE(Transactions!M4407,1,4,"")</f>
        <v>15</v>
      </c>
    </row>
    <row r="4408" spans="1:13" x14ac:dyDescent="0.2">
      <c r="A4408">
        <v>829834</v>
      </c>
      <c r="B4408" s="5">
        <v>45081</v>
      </c>
      <c r="C4408">
        <v>84695</v>
      </c>
      <c r="D4408" t="str">
        <f>PROPER(Transactions!D4408)</f>
        <v>Beauty</v>
      </c>
      <c r="E4408" t="s">
        <v>143</v>
      </c>
      <c r="F4408" t="s">
        <v>144</v>
      </c>
      <c r="G4408">
        <v>1</v>
      </c>
      <c r="H4408">
        <v>10.49</v>
      </c>
      <c r="I4408" s="7">
        <f>IF(Transactions!I4408="",0,Transactions!I4408)</f>
        <v>0.3</v>
      </c>
      <c r="J4408" s="9">
        <f t="shared" si="68"/>
        <v>7.343</v>
      </c>
      <c r="K4408" t="s">
        <v>95</v>
      </c>
      <c r="L4408" t="s">
        <v>37</v>
      </c>
      <c r="M4408" t="str">
        <f>REPLACE(Transactions!M4408,1,4,"")</f>
        <v>13</v>
      </c>
    </row>
    <row r="4409" spans="1:13" x14ac:dyDescent="0.2">
      <c r="A4409">
        <v>829973</v>
      </c>
      <c r="B4409" s="5">
        <v>44892</v>
      </c>
      <c r="C4409">
        <v>77163</v>
      </c>
      <c r="D4409" t="str">
        <f>PROPER(Transactions!D4409)</f>
        <v>Furniture</v>
      </c>
      <c r="E4409" t="s">
        <v>60</v>
      </c>
      <c r="F4409" t="s">
        <v>61</v>
      </c>
      <c r="G4409">
        <v>1</v>
      </c>
      <c r="H4409">
        <v>52.24</v>
      </c>
      <c r="I4409" s="7">
        <f>IF(Transactions!I4409="",0,Transactions!I4409)</f>
        <v>0.05</v>
      </c>
      <c r="J4409" s="9">
        <f t="shared" si="68"/>
        <v>49.628</v>
      </c>
      <c r="K4409" t="s">
        <v>22</v>
      </c>
      <c r="L4409" t="s">
        <v>17</v>
      </c>
      <c r="M4409" t="str">
        <f>REPLACE(Transactions!M4409,1,4,"")</f>
        <v>14</v>
      </c>
    </row>
    <row r="4410" spans="1:13" x14ac:dyDescent="0.2">
      <c r="A4410">
        <v>830006</v>
      </c>
      <c r="B4410" s="5">
        <v>44849</v>
      </c>
      <c r="C4410">
        <v>23595</v>
      </c>
      <c r="D4410" t="str">
        <f>PROPER(Transactions!D4410)</f>
        <v>Electronics</v>
      </c>
      <c r="E4410" t="s">
        <v>55</v>
      </c>
      <c r="F4410" t="s">
        <v>56</v>
      </c>
      <c r="G4410">
        <v>2</v>
      </c>
      <c r="H4410">
        <v>313.49</v>
      </c>
      <c r="I4410" s="7">
        <f>IF(Transactions!I4410="",0,Transactions!I4410)</f>
        <v>0.05</v>
      </c>
      <c r="J4410" s="9">
        <f t="shared" si="68"/>
        <v>595.63099999999997</v>
      </c>
      <c r="K4410" t="s">
        <v>36</v>
      </c>
      <c r="L4410" t="s">
        <v>37</v>
      </c>
      <c r="M4410" t="str">
        <f>REPLACE(Transactions!M4410,1,4,"")</f>
        <v>14</v>
      </c>
    </row>
    <row r="4411" spans="1:13" x14ac:dyDescent="0.2">
      <c r="A4411">
        <v>830072</v>
      </c>
      <c r="B4411" s="5">
        <v>45457</v>
      </c>
      <c r="D4411" t="str">
        <f>PROPER(Transactions!D4411)</f>
        <v>Sports</v>
      </c>
      <c r="E4411" t="s">
        <v>188</v>
      </c>
      <c r="F4411" t="s">
        <v>189</v>
      </c>
      <c r="G4411">
        <v>2</v>
      </c>
      <c r="H4411">
        <v>35.99</v>
      </c>
      <c r="I4411" s="7">
        <f>IF(Transactions!I4411="",0,Transactions!I4411)</f>
        <v>0.2</v>
      </c>
      <c r="J4411" s="9">
        <f t="shared" si="68"/>
        <v>57.584000000000003</v>
      </c>
      <c r="K4411" t="s">
        <v>95</v>
      </c>
      <c r="L4411" t="s">
        <v>37</v>
      </c>
      <c r="M4411" t="str">
        <f>REPLACE(Transactions!M4411,1,4,"")</f>
        <v>2</v>
      </c>
    </row>
    <row r="4412" spans="1:13" x14ac:dyDescent="0.2">
      <c r="A4412">
        <v>830115</v>
      </c>
      <c r="B4412" s="5">
        <v>45261</v>
      </c>
      <c r="C4412">
        <v>21870</v>
      </c>
      <c r="D4412" t="str">
        <f>PROPER(Transactions!D4412)</f>
        <v>Automotive</v>
      </c>
      <c r="E4412" t="s">
        <v>64</v>
      </c>
      <c r="F4412" t="s">
        <v>65</v>
      </c>
      <c r="G4412">
        <v>2</v>
      </c>
      <c r="H4412">
        <v>3.74</v>
      </c>
      <c r="I4412" s="7">
        <f>IF(Transactions!I4412="",0,Transactions!I4412)</f>
        <v>0.25</v>
      </c>
      <c r="J4412" s="9">
        <f t="shared" si="68"/>
        <v>5.61</v>
      </c>
      <c r="K4412" t="s">
        <v>16</v>
      </c>
      <c r="L4412" t="s">
        <v>23</v>
      </c>
      <c r="M4412" t="str">
        <f>REPLACE(Transactions!M4412,1,4,"")</f>
        <v>5</v>
      </c>
    </row>
    <row r="4413" spans="1:13" x14ac:dyDescent="0.2">
      <c r="A4413">
        <v>830248</v>
      </c>
      <c r="B4413" s="5">
        <v>45445</v>
      </c>
      <c r="C4413">
        <v>67567</v>
      </c>
      <c r="D4413" t="str">
        <f>PROPER(Transactions!D4413)</f>
        <v>Electronics</v>
      </c>
      <c r="E4413" t="s">
        <v>34</v>
      </c>
      <c r="F4413" t="s">
        <v>35</v>
      </c>
      <c r="G4413">
        <v>3</v>
      </c>
      <c r="H4413">
        <v>31.49</v>
      </c>
      <c r="I4413" s="7">
        <f>IF(Transactions!I4413="",0,Transactions!I4413)</f>
        <v>0.1</v>
      </c>
      <c r="J4413" s="9">
        <f t="shared" si="68"/>
        <v>85.022999999999996</v>
      </c>
      <c r="K4413" t="s">
        <v>36</v>
      </c>
      <c r="L4413" t="s">
        <v>37</v>
      </c>
      <c r="M4413" t="str">
        <f>REPLACE(Transactions!M4413,1,4,"")</f>
        <v>11</v>
      </c>
    </row>
    <row r="4414" spans="1:13" x14ac:dyDescent="0.2">
      <c r="A4414">
        <v>830398</v>
      </c>
      <c r="B4414" s="5">
        <v>44716</v>
      </c>
      <c r="C4414">
        <v>59280</v>
      </c>
      <c r="D4414" t="str">
        <f>PROPER(Transactions!D4414)</f>
        <v>Furniture</v>
      </c>
      <c r="E4414" t="s">
        <v>60</v>
      </c>
      <c r="F4414" t="s">
        <v>61</v>
      </c>
      <c r="G4414">
        <v>2</v>
      </c>
      <c r="H4414">
        <v>41.24</v>
      </c>
      <c r="I4414" s="7">
        <f>IF(Transactions!I4414="",0,Transactions!I4414)</f>
        <v>0.25</v>
      </c>
      <c r="J4414" s="9">
        <f t="shared" si="68"/>
        <v>61.86</v>
      </c>
      <c r="K4414" t="s">
        <v>16</v>
      </c>
      <c r="L4414" t="s">
        <v>17</v>
      </c>
      <c r="M4414" t="str">
        <f>REPLACE(Transactions!M4414,1,4,"")</f>
        <v>10</v>
      </c>
    </row>
    <row r="4415" spans="1:13" x14ac:dyDescent="0.2">
      <c r="A4415">
        <v>831217</v>
      </c>
      <c r="B4415" s="5">
        <v>44710</v>
      </c>
      <c r="C4415">
        <v>67275</v>
      </c>
      <c r="D4415" t="str">
        <f>PROPER(Transactions!D4415)</f>
        <v>Clothing</v>
      </c>
      <c r="E4415" t="s">
        <v>181</v>
      </c>
      <c r="F4415" t="s">
        <v>182</v>
      </c>
      <c r="G4415">
        <v>1</v>
      </c>
      <c r="H4415">
        <v>13.49</v>
      </c>
      <c r="I4415" s="7">
        <f>IF(Transactions!I4415="",0,Transactions!I4415)</f>
        <v>0.1</v>
      </c>
      <c r="J4415" s="9">
        <f t="shared" si="68"/>
        <v>12.141</v>
      </c>
      <c r="K4415" t="s">
        <v>53</v>
      </c>
      <c r="L4415" t="s">
        <v>17</v>
      </c>
      <c r="M4415" t="str">
        <f>REPLACE(Transactions!M4415,1,4,"")</f>
        <v>11</v>
      </c>
    </row>
    <row r="4416" spans="1:13" x14ac:dyDescent="0.2">
      <c r="A4416">
        <v>831266</v>
      </c>
      <c r="B4416" s="5">
        <v>44627</v>
      </c>
      <c r="D4416" t="str">
        <f>PROPER(Transactions!D4416)</f>
        <v>Home &amp; Garden</v>
      </c>
      <c r="E4416" t="s">
        <v>129</v>
      </c>
      <c r="F4416" t="s">
        <v>130</v>
      </c>
      <c r="G4416">
        <v>2</v>
      </c>
      <c r="H4416">
        <v>8.5399999999999991</v>
      </c>
      <c r="I4416" s="7">
        <f>IF(Transactions!I4416="",0,Transactions!I4416)</f>
        <v>0.05</v>
      </c>
      <c r="J4416" s="9">
        <f t="shared" si="68"/>
        <v>16.225999999999999</v>
      </c>
      <c r="K4416" t="s">
        <v>16</v>
      </c>
      <c r="L4416" t="s">
        <v>23</v>
      </c>
      <c r="M4416" t="str">
        <f>REPLACE(Transactions!M4416,1,4,"")</f>
        <v>19</v>
      </c>
    </row>
    <row r="4417" spans="1:13" x14ac:dyDescent="0.2">
      <c r="A4417">
        <v>831283</v>
      </c>
      <c r="B4417" s="5">
        <v>44785</v>
      </c>
      <c r="C4417">
        <v>53457</v>
      </c>
      <c r="D4417" t="str">
        <f>PROPER(Transactions!D4417)</f>
        <v>Electronics</v>
      </c>
      <c r="E4417" t="s">
        <v>34</v>
      </c>
      <c r="F4417" t="s">
        <v>35</v>
      </c>
      <c r="G4417">
        <v>1</v>
      </c>
      <c r="H4417">
        <v>29.74</v>
      </c>
      <c r="I4417" s="7">
        <f>IF(Transactions!I4417="",0,Transactions!I4417)</f>
        <v>0.15</v>
      </c>
      <c r="J4417" s="9">
        <f t="shared" si="68"/>
        <v>25.278999999999996</v>
      </c>
      <c r="K4417" t="s">
        <v>66</v>
      </c>
      <c r="L4417" t="s">
        <v>17</v>
      </c>
      <c r="M4417" t="str">
        <f>REPLACE(Transactions!M4417,1,4,"")</f>
        <v>9</v>
      </c>
    </row>
    <row r="4418" spans="1:13" x14ac:dyDescent="0.2">
      <c r="A4418">
        <v>831388</v>
      </c>
      <c r="B4418" s="5">
        <v>44684</v>
      </c>
      <c r="C4418">
        <v>41990</v>
      </c>
      <c r="D4418" t="str">
        <f>PROPER(Transactions!D4418)</f>
        <v>Furniture</v>
      </c>
      <c r="E4418" t="s">
        <v>113</v>
      </c>
      <c r="F4418" t="s">
        <v>114</v>
      </c>
      <c r="G4418">
        <v>2</v>
      </c>
      <c r="H4418">
        <v>89.99</v>
      </c>
      <c r="I4418" s="7">
        <f>IF(Transactions!I4418="",0,Transactions!I4418)</f>
        <v>0.25</v>
      </c>
      <c r="J4418" s="9">
        <f t="shared" si="68"/>
        <v>134.98499999999999</v>
      </c>
      <c r="K4418" t="s">
        <v>22</v>
      </c>
      <c r="L4418" t="s">
        <v>37</v>
      </c>
      <c r="M4418" t="str">
        <f>REPLACE(Transactions!M4418,1,4,"")</f>
        <v>13</v>
      </c>
    </row>
    <row r="4419" spans="1:13" x14ac:dyDescent="0.2">
      <c r="A4419">
        <v>831405</v>
      </c>
      <c r="B4419" s="5">
        <v>44763</v>
      </c>
      <c r="C4419">
        <v>78202</v>
      </c>
      <c r="D4419" t="str">
        <f>PROPER(Transactions!D4419)</f>
        <v>Beauty</v>
      </c>
      <c r="E4419" t="s">
        <v>49</v>
      </c>
      <c r="F4419" t="s">
        <v>50</v>
      </c>
      <c r="G4419">
        <v>4</v>
      </c>
      <c r="H4419">
        <v>7.64</v>
      </c>
      <c r="I4419" s="7">
        <f>IF(Transactions!I4419="",0,Transactions!I4419)</f>
        <v>0.15</v>
      </c>
      <c r="J4419" s="9">
        <f t="shared" ref="J4419:J4482" si="69">(H4419*G4419)*(1-I4419)</f>
        <v>25.975999999999999</v>
      </c>
      <c r="K4419" t="s">
        <v>16</v>
      </c>
      <c r="L4419" t="s">
        <v>17</v>
      </c>
      <c r="M4419" t="str">
        <f>REPLACE(Transactions!M4419,1,4,"")</f>
        <v>20</v>
      </c>
    </row>
    <row r="4420" spans="1:13" x14ac:dyDescent="0.2">
      <c r="A4420">
        <v>831531</v>
      </c>
      <c r="B4420" s="5">
        <v>45423</v>
      </c>
      <c r="C4420">
        <v>59969</v>
      </c>
      <c r="D4420" t="str">
        <f>PROPER(Transactions!D4420)</f>
        <v>Electronics</v>
      </c>
      <c r="E4420" t="s">
        <v>79</v>
      </c>
      <c r="F4420" t="s">
        <v>80</v>
      </c>
      <c r="G4420">
        <v>4</v>
      </c>
      <c r="H4420">
        <v>76.489999999999995</v>
      </c>
      <c r="I4420" s="7">
        <f>IF(Transactions!I4420="",0,Transactions!I4420)</f>
        <v>0.15</v>
      </c>
      <c r="J4420" s="9">
        <f t="shared" si="69"/>
        <v>260.06599999999997</v>
      </c>
      <c r="K4420" t="s">
        <v>32</v>
      </c>
      <c r="L4420" t="s">
        <v>17</v>
      </c>
      <c r="M4420" t="str">
        <f>REPLACE(Transactions!M4420,1,4,"")</f>
        <v>11</v>
      </c>
    </row>
    <row r="4421" spans="1:13" x14ac:dyDescent="0.2">
      <c r="A4421">
        <v>832275</v>
      </c>
      <c r="B4421" s="5">
        <v>45115</v>
      </c>
      <c r="C4421">
        <v>65131</v>
      </c>
      <c r="D4421" t="str">
        <f>PROPER(Transactions!D4421)</f>
        <v>Automotive</v>
      </c>
      <c r="E4421" t="s">
        <v>64</v>
      </c>
      <c r="F4421" t="s">
        <v>65</v>
      </c>
      <c r="G4421">
        <v>4</v>
      </c>
      <c r="H4421">
        <v>4.24</v>
      </c>
      <c r="I4421" s="7">
        <f>IF(Transactions!I4421="",0,Transactions!I4421)</f>
        <v>0.15</v>
      </c>
      <c r="J4421" s="9">
        <f t="shared" si="69"/>
        <v>14.416</v>
      </c>
      <c r="K4421" t="s">
        <v>16</v>
      </c>
      <c r="L4421" t="s">
        <v>17</v>
      </c>
      <c r="M4421" t="str">
        <f>REPLACE(Transactions!M4421,1,4,"")</f>
        <v>8</v>
      </c>
    </row>
    <row r="4422" spans="1:13" x14ac:dyDescent="0.2">
      <c r="A4422">
        <v>832411</v>
      </c>
      <c r="B4422" s="5">
        <v>45427</v>
      </c>
      <c r="C4422">
        <v>81791</v>
      </c>
      <c r="D4422" t="str">
        <f>PROPER(Transactions!D4422)</f>
        <v>Beauty</v>
      </c>
      <c r="E4422" t="s">
        <v>49</v>
      </c>
      <c r="F4422" t="s">
        <v>50</v>
      </c>
      <c r="G4422">
        <v>4</v>
      </c>
      <c r="H4422">
        <v>8.99</v>
      </c>
      <c r="I4422" s="7">
        <f>IF(Transactions!I4422="",0,Transactions!I4422)</f>
        <v>0</v>
      </c>
      <c r="J4422" s="9">
        <f t="shared" si="69"/>
        <v>35.96</v>
      </c>
      <c r="K4422" t="s">
        <v>36</v>
      </c>
      <c r="L4422" t="s">
        <v>17</v>
      </c>
      <c r="M4422" t="str">
        <f>REPLACE(Transactions!M4422,1,4,"")</f>
        <v>5</v>
      </c>
    </row>
    <row r="4423" spans="1:13" x14ac:dyDescent="0.2">
      <c r="A4423">
        <v>832517</v>
      </c>
      <c r="B4423" s="5">
        <v>44900</v>
      </c>
      <c r="C4423">
        <v>78218</v>
      </c>
      <c r="D4423" t="str">
        <f>PROPER(Transactions!D4423)</f>
        <v>Furniture</v>
      </c>
      <c r="E4423" t="s">
        <v>26</v>
      </c>
      <c r="F4423" t="s">
        <v>27</v>
      </c>
      <c r="G4423">
        <v>1</v>
      </c>
      <c r="H4423">
        <v>34.99</v>
      </c>
      <c r="I4423" s="7">
        <f>IF(Transactions!I4423="",0,Transactions!I4423)</f>
        <v>0</v>
      </c>
      <c r="J4423" s="9">
        <f t="shared" si="69"/>
        <v>34.99</v>
      </c>
      <c r="K4423" t="s">
        <v>16</v>
      </c>
      <c r="L4423" t="s">
        <v>17</v>
      </c>
      <c r="M4423" t="str">
        <f>REPLACE(Transactions!M4423,1,4,"")</f>
        <v>10</v>
      </c>
    </row>
    <row r="4424" spans="1:13" x14ac:dyDescent="0.2">
      <c r="A4424">
        <v>832814</v>
      </c>
      <c r="B4424" s="5">
        <v>45353</v>
      </c>
      <c r="D4424" t="str">
        <f>PROPER(Transactions!D4424)</f>
        <v>Toys</v>
      </c>
      <c r="E4424" t="s">
        <v>175</v>
      </c>
      <c r="F4424" t="s">
        <v>176</v>
      </c>
      <c r="G4424">
        <v>2</v>
      </c>
      <c r="H4424">
        <v>10.19</v>
      </c>
      <c r="I4424" s="7">
        <f>IF(Transactions!I4424="",0,Transactions!I4424)</f>
        <v>0.15</v>
      </c>
      <c r="J4424" s="9">
        <f t="shared" si="69"/>
        <v>17.323</v>
      </c>
      <c r="K4424" t="s">
        <v>22</v>
      </c>
      <c r="L4424" t="s">
        <v>17</v>
      </c>
      <c r="M4424" t="str">
        <f>REPLACE(Transactions!M4424,1,4,"")</f>
        <v>17</v>
      </c>
    </row>
    <row r="4425" spans="1:13" x14ac:dyDescent="0.2">
      <c r="A4425">
        <v>833170</v>
      </c>
      <c r="B4425" s="5">
        <v>45510</v>
      </c>
      <c r="C4425">
        <v>17056</v>
      </c>
      <c r="D4425" t="str">
        <f>PROPER(Transactions!D4425)</f>
        <v>Beauty</v>
      </c>
      <c r="E4425" t="s">
        <v>49</v>
      </c>
      <c r="F4425" t="s">
        <v>50</v>
      </c>
      <c r="G4425">
        <v>1</v>
      </c>
      <c r="H4425">
        <v>8.99</v>
      </c>
      <c r="I4425" s="7">
        <f>IF(Transactions!I4425="",0,Transactions!I4425)</f>
        <v>0</v>
      </c>
      <c r="J4425" s="9">
        <f t="shared" si="69"/>
        <v>8.99</v>
      </c>
      <c r="K4425" t="s">
        <v>95</v>
      </c>
      <c r="L4425" t="s">
        <v>37</v>
      </c>
      <c r="M4425" t="str">
        <f>REPLACE(Transactions!M4425,1,4,"")</f>
        <v>15</v>
      </c>
    </row>
    <row r="4426" spans="1:13" x14ac:dyDescent="0.2">
      <c r="A4426">
        <v>834063</v>
      </c>
      <c r="B4426" s="5">
        <v>44838</v>
      </c>
      <c r="C4426">
        <v>69624</v>
      </c>
      <c r="D4426" t="str">
        <f>PROPER(Transactions!D4426)</f>
        <v>Furniture</v>
      </c>
      <c r="E4426" t="s">
        <v>70</v>
      </c>
      <c r="F4426" t="s">
        <v>71</v>
      </c>
      <c r="G4426">
        <v>2</v>
      </c>
      <c r="H4426">
        <v>67.489999999999995</v>
      </c>
      <c r="I4426" s="7">
        <f>IF(Transactions!I4426="",0,Transactions!I4426)</f>
        <v>0.25</v>
      </c>
      <c r="J4426" s="9">
        <f t="shared" si="69"/>
        <v>101.23499999999999</v>
      </c>
      <c r="K4426" t="s">
        <v>16</v>
      </c>
      <c r="L4426" t="s">
        <v>37</v>
      </c>
      <c r="M4426" t="str">
        <f>REPLACE(Transactions!M4426,1,4,"")</f>
        <v>6</v>
      </c>
    </row>
    <row r="4427" spans="1:13" x14ac:dyDescent="0.2">
      <c r="A4427">
        <v>834122</v>
      </c>
      <c r="B4427" s="5">
        <v>45454</v>
      </c>
      <c r="C4427">
        <v>76764</v>
      </c>
      <c r="D4427" t="str">
        <f>PROPER(Transactions!D4427)</f>
        <v>Beauty</v>
      </c>
      <c r="E4427" t="s">
        <v>179</v>
      </c>
      <c r="F4427" t="s">
        <v>180</v>
      </c>
      <c r="G4427">
        <v>4</v>
      </c>
      <c r="H4427">
        <v>10.79</v>
      </c>
      <c r="I4427" s="7">
        <f>IF(Transactions!I4427="",0,Transactions!I4427)</f>
        <v>0.1</v>
      </c>
      <c r="J4427" s="9">
        <f t="shared" si="69"/>
        <v>38.844000000000001</v>
      </c>
      <c r="K4427" t="s">
        <v>22</v>
      </c>
      <c r="L4427" t="s">
        <v>17</v>
      </c>
      <c r="M4427" t="str">
        <f>REPLACE(Transactions!M4427,1,4,"")</f>
        <v>17</v>
      </c>
    </row>
    <row r="4428" spans="1:13" x14ac:dyDescent="0.2">
      <c r="A4428">
        <v>834248</v>
      </c>
      <c r="B4428" s="5">
        <v>45500</v>
      </c>
      <c r="C4428">
        <v>63203</v>
      </c>
      <c r="D4428" t="str">
        <f>PROPER(Transactions!D4428)</f>
        <v>Home &amp; Garden</v>
      </c>
      <c r="E4428" t="s">
        <v>153</v>
      </c>
      <c r="F4428" t="s">
        <v>154</v>
      </c>
      <c r="G4428">
        <v>2</v>
      </c>
      <c r="H4428">
        <v>22.49</v>
      </c>
      <c r="I4428" s="7">
        <f>IF(Transactions!I4428="",0,Transactions!I4428)</f>
        <v>0.25</v>
      </c>
      <c r="J4428" s="9">
        <f t="shared" si="69"/>
        <v>33.734999999999999</v>
      </c>
      <c r="K4428" t="s">
        <v>16</v>
      </c>
      <c r="L4428" t="s">
        <v>17</v>
      </c>
      <c r="M4428" t="str">
        <f>REPLACE(Transactions!M4428,1,4,"")</f>
        <v>13</v>
      </c>
    </row>
    <row r="4429" spans="1:13" x14ac:dyDescent="0.2">
      <c r="A4429">
        <v>834413</v>
      </c>
      <c r="B4429" s="5">
        <v>45245</v>
      </c>
      <c r="C4429">
        <v>96089</v>
      </c>
      <c r="D4429" t="str">
        <f>PROPER(Transactions!D4429)</f>
        <v>Beauty</v>
      </c>
      <c r="E4429" t="s">
        <v>179</v>
      </c>
      <c r="F4429" t="s">
        <v>180</v>
      </c>
      <c r="G4429">
        <v>3</v>
      </c>
      <c r="H4429">
        <v>11.99</v>
      </c>
      <c r="I4429" s="7">
        <f>IF(Transactions!I4429="",0,Transactions!I4429)</f>
        <v>0</v>
      </c>
      <c r="J4429" s="9">
        <f t="shared" si="69"/>
        <v>35.97</v>
      </c>
      <c r="K4429" t="s">
        <v>32</v>
      </c>
      <c r="L4429" t="s">
        <v>17</v>
      </c>
      <c r="M4429" t="str">
        <f>REPLACE(Transactions!M4429,1,4,"")</f>
        <v>9</v>
      </c>
    </row>
    <row r="4430" spans="1:13" x14ac:dyDescent="0.2">
      <c r="A4430">
        <v>834447</v>
      </c>
      <c r="B4430" s="5">
        <v>44574</v>
      </c>
      <c r="C4430">
        <v>96540</v>
      </c>
      <c r="D4430" t="str">
        <f>PROPER(Transactions!D4430)</f>
        <v>Sports</v>
      </c>
      <c r="E4430" t="s">
        <v>188</v>
      </c>
      <c r="F4430" t="s">
        <v>189</v>
      </c>
      <c r="G4430">
        <v>1</v>
      </c>
      <c r="H4430">
        <v>44.99</v>
      </c>
      <c r="I4430" s="7">
        <f>IF(Transactions!I4430="",0,Transactions!I4430)</f>
        <v>0</v>
      </c>
      <c r="J4430" s="9">
        <f t="shared" si="69"/>
        <v>44.99</v>
      </c>
      <c r="K4430" t="s">
        <v>22</v>
      </c>
      <c r="L4430" t="s">
        <v>17</v>
      </c>
      <c r="M4430" t="str">
        <f>REPLACE(Transactions!M4430,1,4,"")</f>
        <v>19</v>
      </c>
    </row>
    <row r="4431" spans="1:13" x14ac:dyDescent="0.2">
      <c r="A4431">
        <v>834552</v>
      </c>
      <c r="B4431" s="5">
        <v>44982</v>
      </c>
      <c r="C4431">
        <v>46975</v>
      </c>
      <c r="D4431" t="str">
        <f>PROPER(Transactions!D4431)</f>
        <v>Electronics</v>
      </c>
      <c r="E4431" t="s">
        <v>159</v>
      </c>
      <c r="F4431" t="s">
        <v>160</v>
      </c>
      <c r="G4431">
        <v>3</v>
      </c>
      <c r="H4431">
        <v>59.99</v>
      </c>
      <c r="I4431" s="7">
        <f>IF(Transactions!I4431="",0,Transactions!I4431)</f>
        <v>0</v>
      </c>
      <c r="J4431" s="9">
        <f t="shared" si="69"/>
        <v>179.97</v>
      </c>
      <c r="K4431" t="s">
        <v>36</v>
      </c>
      <c r="L4431" t="s">
        <v>17</v>
      </c>
      <c r="M4431" t="str">
        <f>REPLACE(Transactions!M4431,1,4,"")</f>
        <v>3</v>
      </c>
    </row>
    <row r="4432" spans="1:13" x14ac:dyDescent="0.2">
      <c r="A4432">
        <v>834565</v>
      </c>
      <c r="B4432" s="5">
        <v>45628</v>
      </c>
      <c r="D4432" t="str">
        <f>PROPER(Transactions!D4432)</f>
        <v>Grocery</v>
      </c>
      <c r="E4432" t="s">
        <v>190</v>
      </c>
      <c r="F4432" t="s">
        <v>191</v>
      </c>
      <c r="G4432">
        <v>1</v>
      </c>
      <c r="H4432">
        <v>4.08</v>
      </c>
      <c r="I4432" s="7">
        <f>IF(Transactions!I4432="",0,Transactions!I4432)</f>
        <v>0.05</v>
      </c>
      <c r="J4432" s="9">
        <f t="shared" si="69"/>
        <v>3.8759999999999999</v>
      </c>
      <c r="K4432" t="s">
        <v>16</v>
      </c>
      <c r="L4432" t="s">
        <v>17</v>
      </c>
      <c r="M4432" t="str">
        <f>REPLACE(Transactions!M4432,1,4,"")</f>
        <v>14</v>
      </c>
    </row>
    <row r="4433" spans="1:13" x14ac:dyDescent="0.2">
      <c r="A4433">
        <v>834692</v>
      </c>
      <c r="B4433" s="5">
        <v>44967</v>
      </c>
      <c r="C4433">
        <v>94666</v>
      </c>
      <c r="D4433" t="str">
        <f>PROPER(Transactions!D4433)</f>
        <v>Beauty</v>
      </c>
      <c r="E4433" t="s">
        <v>118</v>
      </c>
      <c r="F4433" t="s">
        <v>119</v>
      </c>
      <c r="G4433">
        <v>3</v>
      </c>
      <c r="H4433">
        <v>3.74</v>
      </c>
      <c r="I4433" s="7">
        <f>IF(Transactions!I4433="",0,Transactions!I4433)</f>
        <v>0.25</v>
      </c>
      <c r="J4433" s="9">
        <f t="shared" si="69"/>
        <v>8.4150000000000009</v>
      </c>
      <c r="K4433" t="s">
        <v>36</v>
      </c>
      <c r="L4433" t="s">
        <v>17</v>
      </c>
      <c r="M4433" t="str">
        <f>REPLACE(Transactions!M4433,1,4,"")</f>
        <v>19</v>
      </c>
    </row>
    <row r="4434" spans="1:13" x14ac:dyDescent="0.2">
      <c r="A4434">
        <v>834932</v>
      </c>
      <c r="B4434" s="5">
        <v>44958</v>
      </c>
      <c r="C4434">
        <v>57127</v>
      </c>
      <c r="D4434" t="str">
        <f>PROPER(Transactions!D4434)</f>
        <v>Clothing</v>
      </c>
      <c r="E4434" t="s">
        <v>165</v>
      </c>
      <c r="F4434" t="s">
        <v>166</v>
      </c>
      <c r="G4434">
        <v>1</v>
      </c>
      <c r="H4434">
        <v>80.989999999999995</v>
      </c>
      <c r="I4434" s="7">
        <f>IF(Transactions!I4434="",0,Transactions!I4434)</f>
        <v>0.1</v>
      </c>
      <c r="J4434" s="9">
        <f t="shared" si="69"/>
        <v>72.890999999999991</v>
      </c>
      <c r="K4434" t="s">
        <v>36</v>
      </c>
      <c r="L4434" t="s">
        <v>17</v>
      </c>
      <c r="M4434" t="str">
        <f>REPLACE(Transactions!M4434,1,4,"")</f>
        <v>14</v>
      </c>
    </row>
    <row r="4435" spans="1:13" x14ac:dyDescent="0.2">
      <c r="A4435">
        <v>835559</v>
      </c>
      <c r="B4435" s="5">
        <v>45406</v>
      </c>
      <c r="C4435">
        <v>59976</v>
      </c>
      <c r="D4435" t="str">
        <f>PROPER(Transactions!D4435)</f>
        <v>Electronics</v>
      </c>
      <c r="E4435" t="s">
        <v>55</v>
      </c>
      <c r="F4435" t="s">
        <v>56</v>
      </c>
      <c r="G4435">
        <v>2</v>
      </c>
      <c r="H4435">
        <v>247.49</v>
      </c>
      <c r="I4435" s="7">
        <f>IF(Transactions!I4435="",0,Transactions!I4435)</f>
        <v>0.25</v>
      </c>
      <c r="J4435" s="9">
        <f t="shared" si="69"/>
        <v>371.23500000000001</v>
      </c>
      <c r="K4435" t="s">
        <v>36</v>
      </c>
      <c r="L4435" t="s">
        <v>17</v>
      </c>
      <c r="M4435" t="str">
        <f>REPLACE(Transactions!M4435,1,4,"")</f>
        <v>8</v>
      </c>
    </row>
    <row r="4436" spans="1:13" x14ac:dyDescent="0.2">
      <c r="A4436">
        <v>835644</v>
      </c>
      <c r="B4436" s="5">
        <v>45222</v>
      </c>
      <c r="C4436">
        <v>95939</v>
      </c>
      <c r="D4436" t="str">
        <f>PROPER(Transactions!D4436)</f>
        <v>Beauty</v>
      </c>
      <c r="E4436" t="s">
        <v>143</v>
      </c>
      <c r="F4436" t="s">
        <v>144</v>
      </c>
      <c r="G4436">
        <v>1</v>
      </c>
      <c r="H4436">
        <v>14.99</v>
      </c>
      <c r="I4436" s="7">
        <f>IF(Transactions!I4436="",0,Transactions!I4436)</f>
        <v>0</v>
      </c>
      <c r="J4436" s="9">
        <f t="shared" si="69"/>
        <v>14.99</v>
      </c>
      <c r="K4436" t="s">
        <v>66</v>
      </c>
      <c r="L4436" t="s">
        <v>23</v>
      </c>
      <c r="M4436" t="str">
        <f>REPLACE(Transactions!M4436,1,4,"")</f>
        <v>2</v>
      </c>
    </row>
    <row r="4437" spans="1:13" x14ac:dyDescent="0.2">
      <c r="A4437">
        <v>835747</v>
      </c>
      <c r="B4437" s="5">
        <v>45320</v>
      </c>
      <c r="C4437">
        <v>62814</v>
      </c>
      <c r="D4437" t="str">
        <f>PROPER(Transactions!D4437)</f>
        <v>Beauty</v>
      </c>
      <c r="E4437" t="s">
        <v>179</v>
      </c>
      <c r="F4437" t="s">
        <v>180</v>
      </c>
      <c r="G4437">
        <v>5</v>
      </c>
      <c r="H4437">
        <v>9.59</v>
      </c>
      <c r="I4437" s="7">
        <f>IF(Transactions!I4437="",0,Transactions!I4437)</f>
        <v>0.2</v>
      </c>
      <c r="J4437" s="9">
        <f t="shared" si="69"/>
        <v>38.360000000000007</v>
      </c>
      <c r="K4437" t="s">
        <v>36</v>
      </c>
      <c r="L4437" t="s">
        <v>17</v>
      </c>
      <c r="M4437" t="str">
        <f>REPLACE(Transactions!M4437,1,4,"")</f>
        <v>5</v>
      </c>
    </row>
    <row r="4438" spans="1:13" x14ac:dyDescent="0.2">
      <c r="A4438">
        <v>835806</v>
      </c>
      <c r="B4438" s="5">
        <v>44563</v>
      </c>
      <c r="C4438">
        <v>61092</v>
      </c>
      <c r="D4438" t="str">
        <f>PROPER(Transactions!D4438)</f>
        <v>Toys</v>
      </c>
      <c r="E4438" t="s">
        <v>88</v>
      </c>
      <c r="F4438" t="s">
        <v>89</v>
      </c>
      <c r="G4438">
        <v>1</v>
      </c>
      <c r="H4438">
        <v>44.99</v>
      </c>
      <c r="I4438" s="7">
        <f>IF(Transactions!I4438="",0,Transactions!I4438)</f>
        <v>0.1</v>
      </c>
      <c r="J4438" s="9">
        <f t="shared" si="69"/>
        <v>40.491</v>
      </c>
      <c r="K4438" t="s">
        <v>22</v>
      </c>
      <c r="L4438" t="s">
        <v>17</v>
      </c>
      <c r="M4438" t="str">
        <f>REPLACE(Transactions!M4438,1,4,"")</f>
        <v>17</v>
      </c>
    </row>
    <row r="4439" spans="1:13" x14ac:dyDescent="0.2">
      <c r="A4439">
        <v>836529</v>
      </c>
      <c r="B4439" s="5">
        <v>45026</v>
      </c>
      <c r="D4439" t="str">
        <f>PROPER(Transactions!D4439)</f>
        <v>Pharmacy</v>
      </c>
      <c r="E4439" t="s">
        <v>20</v>
      </c>
      <c r="F4439" t="s">
        <v>21</v>
      </c>
      <c r="G4439">
        <v>3</v>
      </c>
      <c r="H4439">
        <v>7.49</v>
      </c>
      <c r="I4439" s="7">
        <f>IF(Transactions!I4439="",0,Transactions!I4439)</f>
        <v>0.25</v>
      </c>
      <c r="J4439" s="9">
        <f t="shared" si="69"/>
        <v>16.852499999999999</v>
      </c>
      <c r="K4439" t="s">
        <v>22</v>
      </c>
      <c r="L4439" t="s">
        <v>23</v>
      </c>
      <c r="M4439" t="str">
        <f>REPLACE(Transactions!M4439,1,4,"")</f>
        <v>18</v>
      </c>
    </row>
    <row r="4440" spans="1:13" x14ac:dyDescent="0.2">
      <c r="A4440">
        <v>836538</v>
      </c>
      <c r="B4440" s="5">
        <v>44579</v>
      </c>
      <c r="C4440">
        <v>34452</v>
      </c>
      <c r="D4440" t="str">
        <f>PROPER(Transactions!D4440)</f>
        <v>Sports</v>
      </c>
      <c r="E4440" t="s">
        <v>155</v>
      </c>
      <c r="F4440" t="s">
        <v>156</v>
      </c>
      <c r="G4440">
        <v>3</v>
      </c>
      <c r="H4440">
        <v>18.989999999999998</v>
      </c>
      <c r="I4440" s="7">
        <f>IF(Transactions!I4440="",0,Transactions!I4440)</f>
        <v>0.05</v>
      </c>
      <c r="J4440" s="9">
        <f t="shared" si="69"/>
        <v>54.121499999999997</v>
      </c>
      <c r="K4440" t="s">
        <v>36</v>
      </c>
      <c r="L4440" t="s">
        <v>17</v>
      </c>
      <c r="M4440" t="str">
        <f>REPLACE(Transactions!M4440,1,4,"")</f>
        <v>9</v>
      </c>
    </row>
    <row r="4441" spans="1:13" x14ac:dyDescent="0.2">
      <c r="A4441">
        <v>836622</v>
      </c>
      <c r="B4441" s="5">
        <v>45159</v>
      </c>
      <c r="C4441">
        <v>85771</v>
      </c>
      <c r="D4441" t="str">
        <f>PROPER(Transactions!D4441)</f>
        <v>Toys</v>
      </c>
      <c r="E4441" t="s">
        <v>38</v>
      </c>
      <c r="F4441" t="s">
        <v>39</v>
      </c>
      <c r="G4441">
        <v>2</v>
      </c>
      <c r="H4441">
        <v>28.49</v>
      </c>
      <c r="I4441" s="7">
        <f>IF(Transactions!I4441="",0,Transactions!I4441)</f>
        <v>0.05</v>
      </c>
      <c r="J4441" s="9">
        <f t="shared" si="69"/>
        <v>54.130999999999993</v>
      </c>
      <c r="K4441" t="s">
        <v>16</v>
      </c>
      <c r="L4441" t="s">
        <v>37</v>
      </c>
      <c r="M4441" t="str">
        <f>REPLACE(Transactions!M4441,1,4,"")</f>
        <v>11</v>
      </c>
    </row>
    <row r="4442" spans="1:13" x14ac:dyDescent="0.2">
      <c r="A4442">
        <v>836833</v>
      </c>
      <c r="B4442" s="5">
        <v>45110</v>
      </c>
      <c r="C4442">
        <v>67899</v>
      </c>
      <c r="D4442" t="str">
        <f>PROPER(Transactions!D4442)</f>
        <v>Furniture</v>
      </c>
      <c r="E4442" t="s">
        <v>26</v>
      </c>
      <c r="F4442" t="s">
        <v>27</v>
      </c>
      <c r="G4442">
        <v>1</v>
      </c>
      <c r="H4442">
        <v>27.99</v>
      </c>
      <c r="I4442" s="7">
        <f>IF(Transactions!I4442="",0,Transactions!I4442)</f>
        <v>0.2</v>
      </c>
      <c r="J4442" s="9">
        <f t="shared" si="69"/>
        <v>22.391999999999999</v>
      </c>
      <c r="K4442" t="s">
        <v>36</v>
      </c>
      <c r="L4442" t="s">
        <v>17</v>
      </c>
      <c r="M4442" t="str">
        <f>REPLACE(Transactions!M4442,1,4,"")</f>
        <v>3</v>
      </c>
    </row>
    <row r="4443" spans="1:13" x14ac:dyDescent="0.2">
      <c r="A4443">
        <v>836925</v>
      </c>
      <c r="B4443" s="5">
        <v>45096</v>
      </c>
      <c r="C4443">
        <v>51818</v>
      </c>
      <c r="D4443" t="str">
        <f>PROPER(Transactions!D4443)</f>
        <v>Clothing</v>
      </c>
      <c r="E4443" t="s">
        <v>141</v>
      </c>
      <c r="F4443" t="s">
        <v>142</v>
      </c>
      <c r="G4443">
        <v>5</v>
      </c>
      <c r="H4443">
        <v>20.69</v>
      </c>
      <c r="I4443" s="7">
        <f>IF(Transactions!I4443="",0,Transactions!I4443)</f>
        <v>0</v>
      </c>
      <c r="J4443" s="9">
        <f t="shared" si="69"/>
        <v>103.45</v>
      </c>
      <c r="K4443" t="s">
        <v>22</v>
      </c>
      <c r="L4443" t="s">
        <v>17</v>
      </c>
      <c r="M4443" t="str">
        <f>REPLACE(Transactions!M4443,1,4,"")</f>
        <v>7</v>
      </c>
    </row>
    <row r="4444" spans="1:13" x14ac:dyDescent="0.2">
      <c r="A4444">
        <v>837092</v>
      </c>
      <c r="B4444" s="5">
        <v>44579</v>
      </c>
      <c r="C4444">
        <v>83860</v>
      </c>
      <c r="D4444" t="str">
        <f>PROPER(Transactions!D4444)</f>
        <v>Grocery</v>
      </c>
      <c r="E4444" t="s">
        <v>93</v>
      </c>
      <c r="F4444" t="s">
        <v>94</v>
      </c>
      <c r="G4444">
        <v>1</v>
      </c>
      <c r="H4444">
        <v>1.29</v>
      </c>
      <c r="I4444" s="7">
        <f>IF(Transactions!I4444="",0,Transactions!I4444)</f>
        <v>0</v>
      </c>
      <c r="J4444" s="9">
        <f t="shared" si="69"/>
        <v>1.29</v>
      </c>
      <c r="K4444" t="s">
        <v>36</v>
      </c>
      <c r="L4444" t="s">
        <v>17</v>
      </c>
      <c r="M4444" t="str">
        <f>REPLACE(Transactions!M4444,1,4,"")</f>
        <v>19</v>
      </c>
    </row>
    <row r="4445" spans="1:13" x14ac:dyDescent="0.2">
      <c r="A4445">
        <v>837679</v>
      </c>
      <c r="B4445" s="5">
        <v>45000</v>
      </c>
      <c r="C4445">
        <v>36222</v>
      </c>
      <c r="D4445" t="str">
        <f>PROPER(Transactions!D4445)</f>
        <v>Sports</v>
      </c>
      <c r="E4445" t="s">
        <v>147</v>
      </c>
      <c r="F4445" t="s">
        <v>148</v>
      </c>
      <c r="G4445">
        <v>4</v>
      </c>
      <c r="H4445">
        <v>12.34</v>
      </c>
      <c r="I4445" s="7">
        <f>IF(Transactions!I4445="",0,Transactions!I4445)</f>
        <v>0.05</v>
      </c>
      <c r="J4445" s="9">
        <f t="shared" si="69"/>
        <v>46.891999999999996</v>
      </c>
      <c r="K4445" t="s">
        <v>16</v>
      </c>
      <c r="L4445" t="s">
        <v>37</v>
      </c>
      <c r="M4445" t="str">
        <f>REPLACE(Transactions!M4445,1,4,"")</f>
        <v>10</v>
      </c>
    </row>
    <row r="4446" spans="1:13" x14ac:dyDescent="0.2">
      <c r="A4446">
        <v>837880</v>
      </c>
      <c r="B4446" s="5">
        <v>45041</v>
      </c>
      <c r="C4446">
        <v>87814</v>
      </c>
      <c r="D4446" t="str">
        <f>PROPER(Transactions!D4446)</f>
        <v>Toys</v>
      </c>
      <c r="E4446" t="s">
        <v>72</v>
      </c>
      <c r="F4446" t="s">
        <v>73</v>
      </c>
      <c r="G4446">
        <v>3</v>
      </c>
      <c r="H4446">
        <v>31.99</v>
      </c>
      <c r="I4446" s="7">
        <f>IF(Transactions!I4446="",0,Transactions!I4446)</f>
        <v>0.2</v>
      </c>
      <c r="J4446" s="9">
        <f t="shared" si="69"/>
        <v>76.775999999999996</v>
      </c>
      <c r="K4446" t="s">
        <v>16</v>
      </c>
      <c r="L4446" t="s">
        <v>17</v>
      </c>
      <c r="M4446" t="str">
        <f>REPLACE(Transactions!M4446,1,4,"")</f>
        <v>5</v>
      </c>
    </row>
    <row r="4447" spans="1:13" x14ac:dyDescent="0.2">
      <c r="A4447">
        <v>838141</v>
      </c>
      <c r="B4447" s="5">
        <v>45194</v>
      </c>
      <c r="C4447">
        <v>69843</v>
      </c>
      <c r="D4447" t="str">
        <f>PROPER(Transactions!D4447)</f>
        <v>Toys</v>
      </c>
      <c r="E4447" t="s">
        <v>38</v>
      </c>
      <c r="F4447" t="s">
        <v>39</v>
      </c>
      <c r="G4447">
        <v>4</v>
      </c>
      <c r="H4447">
        <v>23.99</v>
      </c>
      <c r="I4447" s="7">
        <f>IF(Transactions!I4447="",0,Transactions!I4447)</f>
        <v>0</v>
      </c>
      <c r="J4447" s="9">
        <f t="shared" si="69"/>
        <v>95.96</v>
      </c>
      <c r="K4447" t="s">
        <v>32</v>
      </c>
      <c r="L4447" t="s">
        <v>37</v>
      </c>
      <c r="M4447" t="str">
        <f>REPLACE(Transactions!M4447,1,4,"")</f>
        <v>7</v>
      </c>
    </row>
    <row r="4448" spans="1:13" x14ac:dyDescent="0.2">
      <c r="A4448">
        <v>838156</v>
      </c>
      <c r="B4448" s="5">
        <v>45583</v>
      </c>
      <c r="C4448">
        <v>21854</v>
      </c>
      <c r="D4448" t="str">
        <f>PROPER(Transactions!D4448)</f>
        <v>Grocery</v>
      </c>
      <c r="E4448" t="s">
        <v>45</v>
      </c>
      <c r="F4448" t="s">
        <v>46</v>
      </c>
      <c r="G4448">
        <v>4</v>
      </c>
      <c r="H4448">
        <v>1.43</v>
      </c>
      <c r="I4448" s="7">
        <f>IF(Transactions!I4448="",0,Transactions!I4448)</f>
        <v>0.2</v>
      </c>
      <c r="J4448" s="9">
        <f t="shared" si="69"/>
        <v>4.5759999999999996</v>
      </c>
      <c r="K4448" t="s">
        <v>36</v>
      </c>
      <c r="L4448" t="s">
        <v>37</v>
      </c>
      <c r="M4448" t="str">
        <f>REPLACE(Transactions!M4448,1,4,"")</f>
        <v>6</v>
      </c>
    </row>
    <row r="4449" spans="1:13" x14ac:dyDescent="0.2">
      <c r="A4449">
        <v>838186</v>
      </c>
      <c r="B4449" s="5">
        <v>45111</v>
      </c>
      <c r="C4449">
        <v>39195</v>
      </c>
      <c r="D4449" t="str">
        <f>PROPER(Transactions!D4449)</f>
        <v>Pharmacy</v>
      </c>
      <c r="E4449" t="s">
        <v>58</v>
      </c>
      <c r="F4449" t="s">
        <v>59</v>
      </c>
      <c r="G4449">
        <v>4</v>
      </c>
      <c r="H4449">
        <v>2.79</v>
      </c>
      <c r="I4449" s="7">
        <f>IF(Transactions!I4449="",0,Transactions!I4449)</f>
        <v>0.3</v>
      </c>
      <c r="J4449" s="9">
        <f t="shared" si="69"/>
        <v>7.8119999999999994</v>
      </c>
      <c r="K4449" t="s">
        <v>32</v>
      </c>
      <c r="L4449" t="s">
        <v>37</v>
      </c>
      <c r="M4449" t="str">
        <f>REPLACE(Transactions!M4449,1,4,"")</f>
        <v>12</v>
      </c>
    </row>
    <row r="4450" spans="1:13" x14ac:dyDescent="0.2">
      <c r="A4450">
        <v>838197</v>
      </c>
      <c r="B4450" s="5">
        <v>45053</v>
      </c>
      <c r="C4450">
        <v>50667</v>
      </c>
      <c r="D4450" t="str">
        <f>PROPER(Transactions!D4450)</f>
        <v>Electronics</v>
      </c>
      <c r="E4450" t="s">
        <v>186</v>
      </c>
      <c r="F4450" t="s">
        <v>187</v>
      </c>
      <c r="G4450">
        <v>4</v>
      </c>
      <c r="H4450">
        <v>37.49</v>
      </c>
      <c r="I4450" s="7">
        <f>IF(Transactions!I4450="",0,Transactions!I4450)</f>
        <v>0.25</v>
      </c>
      <c r="J4450" s="9">
        <f t="shared" si="69"/>
        <v>112.47</v>
      </c>
      <c r="K4450" t="s">
        <v>16</v>
      </c>
      <c r="L4450" t="s">
        <v>23</v>
      </c>
      <c r="M4450" t="str">
        <f>REPLACE(Transactions!M4450,1,4,"")</f>
        <v>3</v>
      </c>
    </row>
    <row r="4451" spans="1:13" x14ac:dyDescent="0.2">
      <c r="A4451">
        <v>838327</v>
      </c>
      <c r="B4451" s="5">
        <v>45453</v>
      </c>
      <c r="C4451">
        <v>38973</v>
      </c>
      <c r="D4451" t="str">
        <f>PROPER(Transactions!D4451)</f>
        <v>Sports</v>
      </c>
      <c r="E4451" t="s">
        <v>168</v>
      </c>
      <c r="F4451" t="s">
        <v>169</v>
      </c>
      <c r="G4451">
        <v>2</v>
      </c>
      <c r="H4451">
        <v>8.99</v>
      </c>
      <c r="I4451" s="7">
        <f>IF(Transactions!I4451="",0,Transactions!I4451)</f>
        <v>0</v>
      </c>
      <c r="J4451" s="9">
        <f t="shared" si="69"/>
        <v>17.98</v>
      </c>
      <c r="K4451" t="s">
        <v>36</v>
      </c>
      <c r="L4451" t="s">
        <v>17</v>
      </c>
      <c r="M4451" t="str">
        <f>REPLACE(Transactions!M4451,1,4,"")</f>
        <v>10</v>
      </c>
    </row>
    <row r="4452" spans="1:13" x14ac:dyDescent="0.2">
      <c r="A4452">
        <v>838331</v>
      </c>
      <c r="B4452" s="5">
        <v>45066</v>
      </c>
      <c r="C4452">
        <v>19431</v>
      </c>
      <c r="D4452" t="str">
        <f>PROPER(Transactions!D4452)</f>
        <v>Electronics</v>
      </c>
      <c r="E4452" t="s">
        <v>79</v>
      </c>
      <c r="F4452" t="s">
        <v>80</v>
      </c>
      <c r="G4452">
        <v>2</v>
      </c>
      <c r="H4452">
        <v>67.489999999999995</v>
      </c>
      <c r="I4452" s="7">
        <f>IF(Transactions!I4452="",0,Transactions!I4452)</f>
        <v>0.25</v>
      </c>
      <c r="J4452" s="9">
        <f t="shared" si="69"/>
        <v>101.23499999999999</v>
      </c>
      <c r="K4452" t="s">
        <v>36</v>
      </c>
      <c r="L4452" t="s">
        <v>17</v>
      </c>
      <c r="M4452" t="str">
        <f>REPLACE(Transactions!M4452,1,4,"")</f>
        <v>4</v>
      </c>
    </row>
    <row r="4453" spans="1:13" x14ac:dyDescent="0.2">
      <c r="A4453">
        <v>838344</v>
      </c>
      <c r="B4453" s="5">
        <v>45541</v>
      </c>
      <c r="C4453">
        <v>30014</v>
      </c>
      <c r="D4453" t="str">
        <f>PROPER(Transactions!D4453)</f>
        <v>Clothing</v>
      </c>
      <c r="E4453" t="s">
        <v>165</v>
      </c>
      <c r="F4453" t="s">
        <v>166</v>
      </c>
      <c r="G4453">
        <v>2</v>
      </c>
      <c r="H4453">
        <v>85.49</v>
      </c>
      <c r="I4453" s="7">
        <f>IF(Transactions!I4453="",0,Transactions!I4453)</f>
        <v>0.05</v>
      </c>
      <c r="J4453" s="9">
        <f t="shared" si="69"/>
        <v>162.43099999999998</v>
      </c>
      <c r="K4453" t="s">
        <v>32</v>
      </c>
      <c r="L4453" t="s">
        <v>17</v>
      </c>
      <c r="M4453" t="str">
        <f>REPLACE(Transactions!M4453,1,4,"")</f>
        <v>14</v>
      </c>
    </row>
    <row r="4454" spans="1:13" x14ac:dyDescent="0.2">
      <c r="A4454">
        <v>838390</v>
      </c>
      <c r="B4454" s="5">
        <v>45570</v>
      </c>
      <c r="C4454">
        <v>16490</v>
      </c>
      <c r="D4454" t="str">
        <f>PROPER(Transactions!D4454)</f>
        <v>Pharmacy</v>
      </c>
      <c r="E4454" t="s">
        <v>197</v>
      </c>
      <c r="F4454" t="s">
        <v>198</v>
      </c>
      <c r="G4454">
        <v>4</v>
      </c>
      <c r="H4454">
        <v>14.99</v>
      </c>
      <c r="I4454" s="7">
        <f>IF(Transactions!I4454="",0,Transactions!I4454)</f>
        <v>0</v>
      </c>
      <c r="J4454" s="9">
        <f t="shared" si="69"/>
        <v>59.96</v>
      </c>
      <c r="K4454" t="s">
        <v>36</v>
      </c>
      <c r="L4454" t="s">
        <v>17</v>
      </c>
      <c r="M4454" t="str">
        <f>REPLACE(Transactions!M4454,1,4,"")</f>
        <v>9</v>
      </c>
    </row>
    <row r="4455" spans="1:13" x14ac:dyDescent="0.2">
      <c r="A4455">
        <v>838447</v>
      </c>
      <c r="B4455" s="5">
        <v>45277</v>
      </c>
      <c r="C4455">
        <v>19211</v>
      </c>
      <c r="D4455" t="str">
        <f>PROPER(Transactions!D4455)</f>
        <v>Toys</v>
      </c>
      <c r="E4455" t="s">
        <v>30</v>
      </c>
      <c r="F4455" t="s">
        <v>31</v>
      </c>
      <c r="G4455">
        <v>1</v>
      </c>
      <c r="H4455">
        <v>17.489999999999998</v>
      </c>
      <c r="I4455" s="7">
        <f>IF(Transactions!I4455="",0,Transactions!I4455)</f>
        <v>0.3</v>
      </c>
      <c r="J4455" s="9">
        <f t="shared" si="69"/>
        <v>12.242999999999999</v>
      </c>
      <c r="K4455" t="s">
        <v>16</v>
      </c>
      <c r="L4455" t="s">
        <v>37</v>
      </c>
      <c r="M4455" t="str">
        <f>REPLACE(Transactions!M4455,1,4,"")</f>
        <v>3</v>
      </c>
    </row>
    <row r="4456" spans="1:13" x14ac:dyDescent="0.2">
      <c r="A4456">
        <v>838717</v>
      </c>
      <c r="B4456" s="5">
        <v>44655</v>
      </c>
      <c r="C4456">
        <v>55679</v>
      </c>
      <c r="D4456" t="str">
        <f>PROPER(Transactions!D4456)</f>
        <v>Automotive</v>
      </c>
      <c r="E4456" t="s">
        <v>68</v>
      </c>
      <c r="F4456" t="s">
        <v>69</v>
      </c>
      <c r="G4456">
        <v>4</v>
      </c>
      <c r="H4456">
        <v>17.489999999999998</v>
      </c>
      <c r="I4456" s="7">
        <f>IF(Transactions!I4456="",0,Transactions!I4456)</f>
        <v>0.3</v>
      </c>
      <c r="J4456" s="9">
        <f t="shared" si="69"/>
        <v>48.971999999999994</v>
      </c>
      <c r="K4456" t="s">
        <v>16</v>
      </c>
      <c r="L4456" t="s">
        <v>17</v>
      </c>
      <c r="M4456" t="str">
        <f>REPLACE(Transactions!M4456,1,4,"")</f>
        <v>12</v>
      </c>
    </row>
    <row r="4457" spans="1:13" x14ac:dyDescent="0.2">
      <c r="A4457">
        <v>838818</v>
      </c>
      <c r="B4457" s="5">
        <v>44679</v>
      </c>
      <c r="C4457">
        <v>61219</v>
      </c>
      <c r="D4457" t="str">
        <f>PROPER(Transactions!D4457)</f>
        <v>Furniture</v>
      </c>
      <c r="E4457" t="s">
        <v>70</v>
      </c>
      <c r="F4457" t="s">
        <v>71</v>
      </c>
      <c r="G4457">
        <v>4</v>
      </c>
      <c r="H4457">
        <v>62.99</v>
      </c>
      <c r="I4457" s="7">
        <f>IF(Transactions!I4457="",0,Transactions!I4457)</f>
        <v>0</v>
      </c>
      <c r="J4457" s="9">
        <f t="shared" si="69"/>
        <v>251.96</v>
      </c>
      <c r="K4457" t="s">
        <v>16</v>
      </c>
      <c r="L4457" t="s">
        <v>17</v>
      </c>
      <c r="M4457" t="str">
        <f>REPLACE(Transactions!M4457,1,4,"")</f>
        <v>13</v>
      </c>
    </row>
    <row r="4458" spans="1:13" x14ac:dyDescent="0.2">
      <c r="A4458">
        <v>838824</v>
      </c>
      <c r="B4458" s="5">
        <v>45556</v>
      </c>
      <c r="C4458">
        <v>79048</v>
      </c>
      <c r="D4458" t="str">
        <f>PROPER(Transactions!D4458)</f>
        <v>Clothing</v>
      </c>
      <c r="E4458" t="s">
        <v>193</v>
      </c>
      <c r="F4458" t="s">
        <v>194</v>
      </c>
      <c r="G4458">
        <v>3</v>
      </c>
      <c r="H4458">
        <v>64.989999999999995</v>
      </c>
      <c r="I4458" s="7">
        <f>IF(Transactions!I4458="",0,Transactions!I4458)</f>
        <v>0</v>
      </c>
      <c r="J4458" s="9">
        <f t="shared" si="69"/>
        <v>194.96999999999997</v>
      </c>
      <c r="K4458" t="s">
        <v>16</v>
      </c>
      <c r="L4458" t="s">
        <v>23</v>
      </c>
      <c r="M4458" t="str">
        <f>REPLACE(Transactions!M4458,1,4,"")</f>
        <v>4</v>
      </c>
    </row>
    <row r="4459" spans="1:13" x14ac:dyDescent="0.2">
      <c r="A4459">
        <v>839044</v>
      </c>
      <c r="B4459" s="5">
        <v>45159</v>
      </c>
      <c r="C4459">
        <v>29997</v>
      </c>
      <c r="D4459" t="str">
        <f>PROPER(Transactions!D4459)</f>
        <v>Toys</v>
      </c>
      <c r="E4459" t="s">
        <v>88</v>
      </c>
      <c r="F4459" t="s">
        <v>89</v>
      </c>
      <c r="G4459">
        <v>5</v>
      </c>
      <c r="H4459">
        <v>42.49</v>
      </c>
      <c r="I4459" s="7">
        <f>IF(Transactions!I4459="",0,Transactions!I4459)</f>
        <v>0.15</v>
      </c>
      <c r="J4459" s="9">
        <f t="shared" si="69"/>
        <v>180.58250000000001</v>
      </c>
      <c r="K4459" t="s">
        <v>36</v>
      </c>
      <c r="L4459" t="s">
        <v>17</v>
      </c>
      <c r="M4459" t="str">
        <f>REPLACE(Transactions!M4459,1,4,"")</f>
        <v>6</v>
      </c>
    </row>
    <row r="4460" spans="1:13" x14ac:dyDescent="0.2">
      <c r="A4460">
        <v>839142</v>
      </c>
      <c r="B4460" s="5">
        <v>45022</v>
      </c>
      <c r="C4460">
        <v>55718</v>
      </c>
      <c r="D4460" t="str">
        <f>PROPER(Transactions!D4460)</f>
        <v>Toys</v>
      </c>
      <c r="E4460" t="s">
        <v>175</v>
      </c>
      <c r="F4460" t="s">
        <v>176</v>
      </c>
      <c r="G4460">
        <v>4</v>
      </c>
      <c r="H4460">
        <v>10.79</v>
      </c>
      <c r="I4460" s="7">
        <f>IF(Transactions!I4460="",0,Transactions!I4460)</f>
        <v>0.1</v>
      </c>
      <c r="J4460" s="9">
        <f t="shared" si="69"/>
        <v>38.844000000000001</v>
      </c>
      <c r="K4460" t="s">
        <v>16</v>
      </c>
      <c r="L4460" t="s">
        <v>37</v>
      </c>
      <c r="M4460" t="str">
        <f>REPLACE(Transactions!M4460,1,4,"")</f>
        <v>7</v>
      </c>
    </row>
    <row r="4461" spans="1:13" x14ac:dyDescent="0.2">
      <c r="A4461">
        <v>839416</v>
      </c>
      <c r="B4461" s="5">
        <v>44979</v>
      </c>
      <c r="C4461">
        <v>46607</v>
      </c>
      <c r="D4461" t="str">
        <f>PROPER(Transactions!D4461)</f>
        <v>Automotive</v>
      </c>
      <c r="E4461" t="s">
        <v>111</v>
      </c>
      <c r="F4461" t="s">
        <v>112</v>
      </c>
      <c r="G4461">
        <v>3</v>
      </c>
      <c r="H4461">
        <v>14.99</v>
      </c>
      <c r="I4461" s="7">
        <f>IF(Transactions!I4461="",0,Transactions!I4461)</f>
        <v>0</v>
      </c>
      <c r="J4461" s="9">
        <f t="shared" si="69"/>
        <v>44.97</v>
      </c>
      <c r="K4461" t="s">
        <v>16</v>
      </c>
      <c r="L4461" t="s">
        <v>37</v>
      </c>
      <c r="M4461" t="str">
        <f>REPLACE(Transactions!M4461,1,4,"")</f>
        <v>10</v>
      </c>
    </row>
    <row r="4462" spans="1:13" x14ac:dyDescent="0.2">
      <c r="A4462">
        <v>839520</v>
      </c>
      <c r="B4462" s="5">
        <v>45395</v>
      </c>
      <c r="C4462">
        <v>38371</v>
      </c>
      <c r="D4462" t="str">
        <f>PROPER(Transactions!D4462)</f>
        <v>Electronics</v>
      </c>
      <c r="E4462" t="s">
        <v>127</v>
      </c>
      <c r="F4462" t="s">
        <v>128</v>
      </c>
      <c r="G4462">
        <v>1</v>
      </c>
      <c r="H4462">
        <v>16.989999999999998</v>
      </c>
      <c r="I4462" s="7">
        <f>IF(Transactions!I4462="",0,Transactions!I4462)</f>
        <v>0.15</v>
      </c>
      <c r="J4462" s="9">
        <f t="shared" si="69"/>
        <v>14.441499999999998</v>
      </c>
      <c r="K4462" t="s">
        <v>16</v>
      </c>
      <c r="L4462" t="s">
        <v>37</v>
      </c>
      <c r="M4462" t="str">
        <f>REPLACE(Transactions!M4462,1,4,"")</f>
        <v>18</v>
      </c>
    </row>
    <row r="4463" spans="1:13" x14ac:dyDescent="0.2">
      <c r="A4463">
        <v>839792</v>
      </c>
      <c r="B4463" s="5">
        <v>45612</v>
      </c>
      <c r="C4463">
        <v>13159</v>
      </c>
      <c r="D4463" t="str">
        <f>PROPER(Transactions!D4463)</f>
        <v>Sports</v>
      </c>
      <c r="E4463" t="s">
        <v>147</v>
      </c>
      <c r="F4463" t="s">
        <v>148</v>
      </c>
      <c r="G4463">
        <v>2</v>
      </c>
      <c r="H4463">
        <v>11.69</v>
      </c>
      <c r="I4463" s="7">
        <f>IF(Transactions!I4463="",0,Transactions!I4463)</f>
        <v>0.1</v>
      </c>
      <c r="J4463" s="9">
        <f t="shared" si="69"/>
        <v>21.041999999999998</v>
      </c>
      <c r="K4463" t="s">
        <v>16</v>
      </c>
      <c r="L4463" t="s">
        <v>17</v>
      </c>
      <c r="M4463" t="str">
        <f>REPLACE(Transactions!M4463,1,4,"")</f>
        <v>9</v>
      </c>
    </row>
    <row r="4464" spans="1:13" x14ac:dyDescent="0.2">
      <c r="A4464">
        <v>839857</v>
      </c>
      <c r="B4464" s="5">
        <v>45012</v>
      </c>
      <c r="C4464">
        <v>81235</v>
      </c>
      <c r="D4464" t="str">
        <f>PROPER(Transactions!D4464)</f>
        <v>Clothing</v>
      </c>
      <c r="E4464" t="s">
        <v>181</v>
      </c>
      <c r="F4464" t="s">
        <v>182</v>
      </c>
      <c r="G4464">
        <v>4</v>
      </c>
      <c r="H4464">
        <v>14.99</v>
      </c>
      <c r="I4464" s="7">
        <f>IF(Transactions!I4464="",0,Transactions!I4464)</f>
        <v>0</v>
      </c>
      <c r="J4464" s="9">
        <f t="shared" si="69"/>
        <v>59.96</v>
      </c>
      <c r="K4464" t="s">
        <v>36</v>
      </c>
      <c r="L4464" t="s">
        <v>37</v>
      </c>
      <c r="M4464" t="str">
        <f>REPLACE(Transactions!M4464,1,4,"")</f>
        <v>13</v>
      </c>
    </row>
    <row r="4465" spans="1:13" x14ac:dyDescent="0.2">
      <c r="A4465">
        <v>840067</v>
      </c>
      <c r="B4465" s="5">
        <v>45080</v>
      </c>
      <c r="C4465">
        <v>83493</v>
      </c>
      <c r="D4465" t="str">
        <f>PROPER(Transactions!D4465)</f>
        <v>Furniture</v>
      </c>
      <c r="E4465" t="s">
        <v>60</v>
      </c>
      <c r="F4465" t="s">
        <v>61</v>
      </c>
      <c r="G4465">
        <v>1</v>
      </c>
      <c r="H4465">
        <v>49.49</v>
      </c>
      <c r="I4465" s="7">
        <f>IF(Transactions!I4465="",0,Transactions!I4465)</f>
        <v>0.1</v>
      </c>
      <c r="J4465" s="9">
        <f t="shared" si="69"/>
        <v>44.541000000000004</v>
      </c>
      <c r="K4465" t="s">
        <v>53</v>
      </c>
      <c r="L4465" t="s">
        <v>37</v>
      </c>
      <c r="M4465" t="str">
        <f>REPLACE(Transactions!M4465,1,4,"")</f>
        <v>6</v>
      </c>
    </row>
    <row r="4466" spans="1:13" x14ac:dyDescent="0.2">
      <c r="A4466">
        <v>840285</v>
      </c>
      <c r="B4466" s="5">
        <v>45473</v>
      </c>
      <c r="C4466">
        <v>32591</v>
      </c>
      <c r="D4466" t="str">
        <f>PROPER(Transactions!D4466)</f>
        <v>Sports</v>
      </c>
      <c r="E4466" t="s">
        <v>147</v>
      </c>
      <c r="F4466" t="s">
        <v>148</v>
      </c>
      <c r="G4466">
        <v>2</v>
      </c>
      <c r="H4466">
        <v>12.99</v>
      </c>
      <c r="I4466" s="7">
        <f>IF(Transactions!I4466="",0,Transactions!I4466)</f>
        <v>0</v>
      </c>
      <c r="J4466" s="9">
        <f t="shared" si="69"/>
        <v>25.98</v>
      </c>
      <c r="K4466" t="s">
        <v>66</v>
      </c>
      <c r="L4466" t="s">
        <v>17</v>
      </c>
      <c r="M4466" t="str">
        <f>REPLACE(Transactions!M4466,1,4,"")</f>
        <v>9</v>
      </c>
    </row>
    <row r="4467" spans="1:13" x14ac:dyDescent="0.2">
      <c r="A4467">
        <v>840297</v>
      </c>
      <c r="B4467" s="5">
        <v>44772</v>
      </c>
      <c r="D4467" t="str">
        <f>PROPER(Transactions!D4467)</f>
        <v>Electronics</v>
      </c>
      <c r="E4467" t="s">
        <v>186</v>
      </c>
      <c r="F4467" t="s">
        <v>187</v>
      </c>
      <c r="G4467">
        <v>1</v>
      </c>
      <c r="H4467">
        <v>39.99</v>
      </c>
      <c r="I4467" s="7">
        <f>IF(Transactions!I4467="",0,Transactions!I4467)</f>
        <v>0.2</v>
      </c>
      <c r="J4467" s="9">
        <f t="shared" si="69"/>
        <v>31.992000000000004</v>
      </c>
      <c r="K4467" t="s">
        <v>95</v>
      </c>
      <c r="L4467" t="s">
        <v>37</v>
      </c>
      <c r="M4467" t="str">
        <f>REPLACE(Transactions!M4467,1,4,"")</f>
        <v>14</v>
      </c>
    </row>
    <row r="4468" spans="1:13" x14ac:dyDescent="0.2">
      <c r="A4468">
        <v>840434</v>
      </c>
      <c r="B4468" s="5">
        <v>45568</v>
      </c>
      <c r="C4468">
        <v>33872</v>
      </c>
      <c r="D4468" t="str">
        <f>PROPER(Transactions!D4468)</f>
        <v>Electronics</v>
      </c>
      <c r="E4468" t="s">
        <v>104</v>
      </c>
      <c r="F4468" t="s">
        <v>105</v>
      </c>
      <c r="G4468">
        <v>2</v>
      </c>
      <c r="H4468">
        <v>22.49</v>
      </c>
      <c r="I4468" s="7">
        <f>IF(Transactions!I4468="",0,Transactions!I4468)</f>
        <v>0.25</v>
      </c>
      <c r="J4468" s="9">
        <f t="shared" si="69"/>
        <v>33.734999999999999</v>
      </c>
      <c r="K4468" t="s">
        <v>22</v>
      </c>
      <c r="L4468" t="s">
        <v>17</v>
      </c>
      <c r="M4468" t="str">
        <f>REPLACE(Transactions!M4468,1,4,"")</f>
        <v>7</v>
      </c>
    </row>
    <row r="4469" spans="1:13" x14ac:dyDescent="0.2">
      <c r="A4469">
        <v>840445</v>
      </c>
      <c r="B4469" s="5">
        <v>45451</v>
      </c>
      <c r="C4469">
        <v>22071</v>
      </c>
      <c r="D4469" t="str">
        <f>PROPER(Transactions!D4469)</f>
        <v>Grocery</v>
      </c>
      <c r="E4469" t="s">
        <v>184</v>
      </c>
      <c r="F4469" t="s">
        <v>185</v>
      </c>
      <c r="G4469">
        <v>2</v>
      </c>
      <c r="H4469">
        <v>3.84</v>
      </c>
      <c r="I4469" s="7">
        <f>IF(Transactions!I4469="",0,Transactions!I4469)</f>
        <v>0.3</v>
      </c>
      <c r="J4469" s="9">
        <f t="shared" si="69"/>
        <v>5.3759999999999994</v>
      </c>
      <c r="K4469" t="s">
        <v>36</v>
      </c>
      <c r="L4469" t="s">
        <v>37</v>
      </c>
      <c r="M4469" t="str">
        <f>REPLACE(Transactions!M4469,1,4,"")</f>
        <v>10</v>
      </c>
    </row>
    <row r="4470" spans="1:13" x14ac:dyDescent="0.2">
      <c r="A4470">
        <v>840469</v>
      </c>
      <c r="B4470" s="5">
        <v>45494</v>
      </c>
      <c r="C4470">
        <v>23538</v>
      </c>
      <c r="D4470" t="str">
        <f>PROPER(Transactions!D4470)</f>
        <v>Beauty</v>
      </c>
      <c r="E4470" t="s">
        <v>179</v>
      </c>
      <c r="F4470" t="s">
        <v>180</v>
      </c>
      <c r="G4470">
        <v>1</v>
      </c>
      <c r="H4470">
        <v>11.39</v>
      </c>
      <c r="I4470" s="7">
        <f>IF(Transactions!I4470="",0,Transactions!I4470)</f>
        <v>0.05</v>
      </c>
      <c r="J4470" s="9">
        <f t="shared" si="69"/>
        <v>10.820500000000001</v>
      </c>
      <c r="K4470" t="s">
        <v>16</v>
      </c>
      <c r="L4470" t="s">
        <v>23</v>
      </c>
      <c r="M4470" t="str">
        <f>REPLACE(Transactions!M4470,1,4,"")</f>
        <v>18</v>
      </c>
    </row>
    <row r="4471" spans="1:13" x14ac:dyDescent="0.2">
      <c r="A4471">
        <v>840540</v>
      </c>
      <c r="B4471" s="5">
        <v>44834</v>
      </c>
      <c r="C4471">
        <v>35133</v>
      </c>
      <c r="D4471" t="str">
        <f>PROPER(Transactions!D4471)</f>
        <v>Sports</v>
      </c>
      <c r="E4471" t="s">
        <v>168</v>
      </c>
      <c r="F4471" t="s">
        <v>169</v>
      </c>
      <c r="G4471">
        <v>1</v>
      </c>
      <c r="H4471">
        <v>6.29</v>
      </c>
      <c r="I4471" s="7">
        <f>IF(Transactions!I4471="",0,Transactions!I4471)</f>
        <v>0.3</v>
      </c>
      <c r="J4471" s="9">
        <f t="shared" si="69"/>
        <v>4.4029999999999996</v>
      </c>
      <c r="K4471" t="s">
        <v>16</v>
      </c>
      <c r="L4471" t="s">
        <v>37</v>
      </c>
      <c r="M4471" t="str">
        <f>REPLACE(Transactions!M4471,1,4,"")</f>
        <v>16</v>
      </c>
    </row>
    <row r="4472" spans="1:13" x14ac:dyDescent="0.2">
      <c r="A4472">
        <v>840585</v>
      </c>
      <c r="B4472" s="5">
        <v>45033</v>
      </c>
      <c r="C4472">
        <v>41777</v>
      </c>
      <c r="D4472" t="str">
        <f>PROPER(Transactions!D4472)</f>
        <v>Furniture</v>
      </c>
      <c r="E4472" t="s">
        <v>26</v>
      </c>
      <c r="F4472" t="s">
        <v>27</v>
      </c>
      <c r="G4472">
        <v>5</v>
      </c>
      <c r="H4472">
        <v>34.99</v>
      </c>
      <c r="I4472" s="7">
        <f>IF(Transactions!I4472="",0,Transactions!I4472)</f>
        <v>0</v>
      </c>
      <c r="J4472" s="9">
        <f t="shared" si="69"/>
        <v>174.95000000000002</v>
      </c>
      <c r="K4472" t="s">
        <v>36</v>
      </c>
      <c r="L4472" t="s">
        <v>17</v>
      </c>
      <c r="M4472" t="str">
        <f>REPLACE(Transactions!M4472,1,4,"")</f>
        <v>9</v>
      </c>
    </row>
    <row r="4473" spans="1:13" x14ac:dyDescent="0.2">
      <c r="A4473">
        <v>840734</v>
      </c>
      <c r="B4473" s="5">
        <v>45035</v>
      </c>
      <c r="C4473">
        <v>71069</v>
      </c>
      <c r="D4473" t="str">
        <f>PROPER(Transactions!D4473)</f>
        <v>Clothing</v>
      </c>
      <c r="E4473" t="s">
        <v>141</v>
      </c>
      <c r="F4473" t="s">
        <v>142</v>
      </c>
      <c r="G4473">
        <v>3</v>
      </c>
      <c r="H4473">
        <v>18.39</v>
      </c>
      <c r="I4473" s="7">
        <f>IF(Transactions!I4473="",0,Transactions!I4473)</f>
        <v>0.2</v>
      </c>
      <c r="J4473" s="9">
        <f t="shared" si="69"/>
        <v>44.136000000000003</v>
      </c>
      <c r="K4473" t="s">
        <v>16</v>
      </c>
      <c r="L4473" t="s">
        <v>17</v>
      </c>
      <c r="M4473" t="str">
        <f>REPLACE(Transactions!M4473,1,4,"")</f>
        <v>20</v>
      </c>
    </row>
    <row r="4474" spans="1:13" x14ac:dyDescent="0.2">
      <c r="A4474">
        <v>840756</v>
      </c>
      <c r="B4474" s="5">
        <v>45035</v>
      </c>
      <c r="C4474">
        <v>49818</v>
      </c>
      <c r="D4474" t="str">
        <f>PROPER(Transactions!D4474)</f>
        <v>Beauty</v>
      </c>
      <c r="E4474" t="s">
        <v>139</v>
      </c>
      <c r="F4474" t="s">
        <v>140</v>
      </c>
      <c r="G4474">
        <v>1</v>
      </c>
      <c r="H4474">
        <v>7.59</v>
      </c>
      <c r="I4474" s="7">
        <f>IF(Transactions!I4474="",0,Transactions!I4474)</f>
        <v>0.05</v>
      </c>
      <c r="J4474" s="9">
        <f t="shared" si="69"/>
        <v>7.2104999999999997</v>
      </c>
      <c r="K4474" t="s">
        <v>36</v>
      </c>
      <c r="L4474" t="s">
        <v>23</v>
      </c>
      <c r="M4474" t="str">
        <f>REPLACE(Transactions!M4474,1,4,"")</f>
        <v>16</v>
      </c>
    </row>
    <row r="4475" spans="1:13" x14ac:dyDescent="0.2">
      <c r="A4475">
        <v>840796</v>
      </c>
      <c r="B4475" s="5">
        <v>45582</v>
      </c>
      <c r="C4475">
        <v>23599</v>
      </c>
      <c r="D4475" t="str">
        <f>PROPER(Transactions!D4475)</f>
        <v>Furniture</v>
      </c>
      <c r="E4475" t="s">
        <v>70</v>
      </c>
      <c r="F4475" t="s">
        <v>71</v>
      </c>
      <c r="G4475">
        <v>3</v>
      </c>
      <c r="H4475">
        <v>62.99</v>
      </c>
      <c r="I4475" s="7">
        <f>IF(Transactions!I4475="",0,Transactions!I4475)</f>
        <v>0.3</v>
      </c>
      <c r="J4475" s="9">
        <f t="shared" si="69"/>
        <v>132.279</v>
      </c>
      <c r="K4475" t="s">
        <v>16</v>
      </c>
      <c r="L4475" t="s">
        <v>17</v>
      </c>
      <c r="M4475" t="str">
        <f>REPLACE(Transactions!M4475,1,4,"")</f>
        <v>4</v>
      </c>
    </row>
    <row r="4476" spans="1:13" x14ac:dyDescent="0.2">
      <c r="A4476">
        <v>841245</v>
      </c>
      <c r="B4476" s="5">
        <v>45517</v>
      </c>
      <c r="C4476">
        <v>60135</v>
      </c>
      <c r="D4476" t="str">
        <f>PROPER(Transactions!D4476)</f>
        <v>Pharmacy</v>
      </c>
      <c r="E4476" t="s">
        <v>41</v>
      </c>
      <c r="F4476" t="s">
        <v>42</v>
      </c>
      <c r="G4476">
        <v>3</v>
      </c>
      <c r="H4476">
        <v>5.09</v>
      </c>
      <c r="I4476" s="7">
        <f>IF(Transactions!I4476="",0,Transactions!I4476)</f>
        <v>0.15</v>
      </c>
      <c r="J4476" s="9">
        <f t="shared" si="69"/>
        <v>12.9795</v>
      </c>
      <c r="K4476" t="s">
        <v>53</v>
      </c>
      <c r="L4476" t="s">
        <v>17</v>
      </c>
      <c r="M4476" t="str">
        <f>REPLACE(Transactions!M4476,1,4,"")</f>
        <v>8</v>
      </c>
    </row>
    <row r="4477" spans="1:13" x14ac:dyDescent="0.2">
      <c r="A4477">
        <v>841482</v>
      </c>
      <c r="B4477" s="5">
        <v>44714</v>
      </c>
      <c r="C4477">
        <v>58030</v>
      </c>
      <c r="D4477" t="str">
        <f>PROPER(Transactions!D4477)</f>
        <v>Sports</v>
      </c>
      <c r="E4477" t="s">
        <v>168</v>
      </c>
      <c r="F4477" t="s">
        <v>169</v>
      </c>
      <c r="G4477">
        <v>1</v>
      </c>
      <c r="H4477">
        <v>6.74</v>
      </c>
      <c r="I4477" s="7">
        <f>IF(Transactions!I4477="",0,Transactions!I4477)</f>
        <v>0.25</v>
      </c>
      <c r="J4477" s="9">
        <f t="shared" si="69"/>
        <v>5.0549999999999997</v>
      </c>
      <c r="K4477" t="s">
        <v>16</v>
      </c>
      <c r="L4477" t="s">
        <v>23</v>
      </c>
      <c r="M4477" t="str">
        <f>REPLACE(Transactions!M4477,1,4,"")</f>
        <v/>
      </c>
    </row>
    <row r="4478" spans="1:13" x14ac:dyDescent="0.2">
      <c r="A4478">
        <v>841635</v>
      </c>
      <c r="B4478" s="5">
        <v>45482</v>
      </c>
      <c r="C4478">
        <v>30958</v>
      </c>
      <c r="D4478" t="str">
        <f>PROPER(Transactions!D4478)</f>
        <v>Clothing</v>
      </c>
      <c r="E4478" t="s">
        <v>121</v>
      </c>
      <c r="F4478" t="s">
        <v>122</v>
      </c>
      <c r="G4478">
        <v>1</v>
      </c>
      <c r="H4478">
        <v>11.04</v>
      </c>
      <c r="I4478" s="7">
        <f>IF(Transactions!I4478="",0,Transactions!I4478)</f>
        <v>0.15</v>
      </c>
      <c r="J4478" s="9">
        <f t="shared" si="69"/>
        <v>9.3839999999999986</v>
      </c>
      <c r="K4478" t="s">
        <v>36</v>
      </c>
      <c r="L4478" t="s">
        <v>37</v>
      </c>
      <c r="M4478" t="str">
        <f>REPLACE(Transactions!M4478,1,4,"")</f>
        <v/>
      </c>
    </row>
    <row r="4479" spans="1:13" x14ac:dyDescent="0.2">
      <c r="A4479">
        <v>841856</v>
      </c>
      <c r="B4479" s="5">
        <v>44887</v>
      </c>
      <c r="C4479">
        <v>12410</v>
      </c>
      <c r="D4479" t="str">
        <f>PROPER(Transactions!D4479)</f>
        <v>Home &amp; Garden</v>
      </c>
      <c r="E4479" t="s">
        <v>149</v>
      </c>
      <c r="F4479" t="s">
        <v>150</v>
      </c>
      <c r="G4479">
        <v>1</v>
      </c>
      <c r="H4479">
        <v>13.99</v>
      </c>
      <c r="I4479" s="7">
        <f>IF(Transactions!I4479="",0,Transactions!I4479)</f>
        <v>0.3</v>
      </c>
      <c r="J4479" s="9">
        <f t="shared" si="69"/>
        <v>9.7929999999999993</v>
      </c>
      <c r="K4479" t="s">
        <v>22</v>
      </c>
      <c r="L4479" t="s">
        <v>17</v>
      </c>
      <c r="M4479" t="str">
        <f>REPLACE(Transactions!M4479,1,4,"")</f>
        <v>11</v>
      </c>
    </row>
    <row r="4480" spans="1:13" x14ac:dyDescent="0.2">
      <c r="A4480">
        <v>842070</v>
      </c>
      <c r="B4480" s="5">
        <v>45219</v>
      </c>
      <c r="C4480">
        <v>33895</v>
      </c>
      <c r="D4480" t="str">
        <f>PROPER(Transactions!D4480)</f>
        <v>Furniture</v>
      </c>
      <c r="E4480" t="s">
        <v>70</v>
      </c>
      <c r="F4480" t="s">
        <v>71</v>
      </c>
      <c r="G4480">
        <v>2</v>
      </c>
      <c r="H4480">
        <v>62.99</v>
      </c>
      <c r="I4480" s="7">
        <f>IF(Transactions!I4480="",0,Transactions!I4480)</f>
        <v>0.3</v>
      </c>
      <c r="J4480" s="9">
        <f t="shared" si="69"/>
        <v>88.185999999999993</v>
      </c>
      <c r="K4480" t="s">
        <v>36</v>
      </c>
      <c r="L4480" t="s">
        <v>17</v>
      </c>
      <c r="M4480" t="str">
        <f>REPLACE(Transactions!M4480,1,4,"")</f>
        <v>6</v>
      </c>
    </row>
    <row r="4481" spans="1:13" x14ac:dyDescent="0.2">
      <c r="A4481">
        <v>842391</v>
      </c>
      <c r="B4481" s="5">
        <v>45572</v>
      </c>
      <c r="D4481" t="str">
        <f>PROPER(Transactions!D4481)</f>
        <v>Sports</v>
      </c>
      <c r="E4481" t="s">
        <v>83</v>
      </c>
      <c r="F4481" t="s">
        <v>84</v>
      </c>
      <c r="G4481">
        <v>2</v>
      </c>
      <c r="H4481">
        <v>12.74</v>
      </c>
      <c r="I4481" s="7">
        <f>IF(Transactions!I4481="",0,Transactions!I4481)</f>
        <v>0.25</v>
      </c>
      <c r="J4481" s="9">
        <f t="shared" si="69"/>
        <v>19.11</v>
      </c>
      <c r="K4481" t="s">
        <v>16</v>
      </c>
      <c r="L4481" t="s">
        <v>17</v>
      </c>
      <c r="M4481" t="str">
        <f>REPLACE(Transactions!M4481,1,4,"")</f>
        <v>2</v>
      </c>
    </row>
    <row r="4482" spans="1:13" x14ac:dyDescent="0.2">
      <c r="A4482">
        <v>842561</v>
      </c>
      <c r="B4482" s="5">
        <v>44596</v>
      </c>
      <c r="C4482">
        <v>99449</v>
      </c>
      <c r="D4482" t="str">
        <f>PROPER(Transactions!D4482)</f>
        <v>Furniture</v>
      </c>
      <c r="E4482" t="s">
        <v>26</v>
      </c>
      <c r="F4482" t="s">
        <v>27</v>
      </c>
      <c r="G4482">
        <v>1</v>
      </c>
      <c r="H4482">
        <v>26.24</v>
      </c>
      <c r="I4482" s="7">
        <f>IF(Transactions!I4482="",0,Transactions!I4482)</f>
        <v>0.25</v>
      </c>
      <c r="J4482" s="9">
        <f t="shared" si="69"/>
        <v>19.68</v>
      </c>
      <c r="K4482" t="s">
        <v>32</v>
      </c>
      <c r="L4482" t="s">
        <v>37</v>
      </c>
      <c r="M4482" t="str">
        <f>REPLACE(Transactions!M4482,1,4,"")</f>
        <v>19</v>
      </c>
    </row>
    <row r="4483" spans="1:13" x14ac:dyDescent="0.2">
      <c r="A4483">
        <v>842575</v>
      </c>
      <c r="B4483" s="5">
        <v>45461</v>
      </c>
      <c r="C4483">
        <v>31125</v>
      </c>
      <c r="D4483" t="str">
        <f>PROPER(Transactions!D4483)</f>
        <v>Beauty</v>
      </c>
      <c r="E4483" t="s">
        <v>49</v>
      </c>
      <c r="F4483" t="s">
        <v>50</v>
      </c>
      <c r="G4483">
        <v>3</v>
      </c>
      <c r="H4483">
        <v>8.99</v>
      </c>
      <c r="I4483" s="7">
        <f>IF(Transactions!I4483="",0,Transactions!I4483)</f>
        <v>0</v>
      </c>
      <c r="J4483" s="9">
        <f t="shared" ref="J4483:J4546" si="70">(H4483*G4483)*(1-I4483)</f>
        <v>26.97</v>
      </c>
      <c r="K4483" t="s">
        <v>32</v>
      </c>
      <c r="L4483" t="s">
        <v>23</v>
      </c>
      <c r="M4483" t="str">
        <f>REPLACE(Transactions!M4483,1,4,"")</f>
        <v>3</v>
      </c>
    </row>
    <row r="4484" spans="1:13" x14ac:dyDescent="0.2">
      <c r="A4484">
        <v>842826</v>
      </c>
      <c r="B4484" s="5">
        <v>45632</v>
      </c>
      <c r="C4484">
        <v>32185</v>
      </c>
      <c r="D4484" t="str">
        <f>PROPER(Transactions!D4484)</f>
        <v>Pharmacy</v>
      </c>
      <c r="E4484" t="s">
        <v>197</v>
      </c>
      <c r="F4484" t="s">
        <v>198</v>
      </c>
      <c r="G4484">
        <v>1</v>
      </c>
      <c r="H4484">
        <v>11.24</v>
      </c>
      <c r="I4484" s="7">
        <f>IF(Transactions!I4484="",0,Transactions!I4484)</f>
        <v>0.25</v>
      </c>
      <c r="J4484" s="9">
        <f t="shared" si="70"/>
        <v>8.43</v>
      </c>
      <c r="K4484" t="s">
        <v>32</v>
      </c>
      <c r="L4484" t="s">
        <v>37</v>
      </c>
      <c r="M4484" t="str">
        <f>REPLACE(Transactions!M4484,1,4,"")</f>
        <v/>
      </c>
    </row>
    <row r="4485" spans="1:13" x14ac:dyDescent="0.2">
      <c r="A4485">
        <v>843787</v>
      </c>
      <c r="B4485" s="5">
        <v>45368</v>
      </c>
      <c r="C4485">
        <v>36137</v>
      </c>
      <c r="D4485" t="str">
        <f>PROPER(Transactions!D4485)</f>
        <v>Beauty</v>
      </c>
      <c r="E4485" t="s">
        <v>139</v>
      </c>
      <c r="F4485" t="s">
        <v>140</v>
      </c>
      <c r="G4485">
        <v>3</v>
      </c>
      <c r="H4485">
        <v>6.39</v>
      </c>
      <c r="I4485" s="7">
        <f>IF(Transactions!I4485="",0,Transactions!I4485)</f>
        <v>0.2</v>
      </c>
      <c r="J4485" s="9">
        <f t="shared" si="70"/>
        <v>15.335999999999999</v>
      </c>
      <c r="K4485" t="s">
        <v>22</v>
      </c>
      <c r="L4485" t="s">
        <v>17</v>
      </c>
      <c r="M4485" t="str">
        <f>REPLACE(Transactions!M4485,1,4,"")</f>
        <v>6</v>
      </c>
    </row>
    <row r="4486" spans="1:13" x14ac:dyDescent="0.2">
      <c r="A4486">
        <v>843872</v>
      </c>
      <c r="B4486" s="5">
        <v>45093</v>
      </c>
      <c r="C4486">
        <v>27604</v>
      </c>
      <c r="D4486" t="str">
        <f>PROPER(Transactions!D4486)</f>
        <v>Beauty</v>
      </c>
      <c r="E4486" t="s">
        <v>109</v>
      </c>
      <c r="F4486" t="s">
        <v>110</v>
      </c>
      <c r="G4486">
        <v>1</v>
      </c>
      <c r="H4486">
        <v>6.64</v>
      </c>
      <c r="I4486" s="7">
        <f>IF(Transactions!I4486="",0,Transactions!I4486)</f>
        <v>0.05</v>
      </c>
      <c r="J4486" s="9">
        <f t="shared" si="70"/>
        <v>6.3079999999999998</v>
      </c>
      <c r="K4486" t="s">
        <v>36</v>
      </c>
      <c r="L4486" t="s">
        <v>17</v>
      </c>
      <c r="M4486" t="str">
        <f>REPLACE(Transactions!M4486,1,4,"")</f>
        <v>10</v>
      </c>
    </row>
    <row r="4487" spans="1:13" x14ac:dyDescent="0.2">
      <c r="A4487">
        <v>844281</v>
      </c>
      <c r="B4487" s="5">
        <v>45163</v>
      </c>
      <c r="C4487">
        <v>82195</v>
      </c>
      <c r="D4487" t="str">
        <f>PROPER(Transactions!D4487)</f>
        <v>Beauty</v>
      </c>
      <c r="E4487" t="s">
        <v>179</v>
      </c>
      <c r="F4487" t="s">
        <v>180</v>
      </c>
      <c r="G4487">
        <v>1</v>
      </c>
      <c r="H4487">
        <v>8.99</v>
      </c>
      <c r="I4487" s="7">
        <f>IF(Transactions!I4487="",0,Transactions!I4487)</f>
        <v>0.25</v>
      </c>
      <c r="J4487" s="9">
        <f t="shared" si="70"/>
        <v>6.7424999999999997</v>
      </c>
      <c r="K4487" t="s">
        <v>66</v>
      </c>
      <c r="L4487" t="s">
        <v>17</v>
      </c>
      <c r="M4487" t="str">
        <f>REPLACE(Transactions!M4487,1,4,"")</f>
        <v>4</v>
      </c>
    </row>
    <row r="4488" spans="1:13" x14ac:dyDescent="0.2">
      <c r="A4488">
        <v>844341</v>
      </c>
      <c r="B4488" s="5">
        <v>45480</v>
      </c>
      <c r="C4488">
        <v>46612</v>
      </c>
      <c r="D4488" t="str">
        <f>PROPER(Transactions!D4488)</f>
        <v>Beauty</v>
      </c>
      <c r="E4488" t="s">
        <v>49</v>
      </c>
      <c r="F4488" t="s">
        <v>50</v>
      </c>
      <c r="G4488">
        <v>1</v>
      </c>
      <c r="H4488">
        <v>8.5399999999999991</v>
      </c>
      <c r="I4488" s="7">
        <f>IF(Transactions!I4488="",0,Transactions!I4488)</f>
        <v>0.05</v>
      </c>
      <c r="J4488" s="9">
        <f t="shared" si="70"/>
        <v>8.1129999999999995</v>
      </c>
      <c r="K4488" t="s">
        <v>22</v>
      </c>
      <c r="L4488" t="s">
        <v>17</v>
      </c>
      <c r="M4488" t="str">
        <f>REPLACE(Transactions!M4488,1,4,"")</f>
        <v>20</v>
      </c>
    </row>
    <row r="4489" spans="1:13" x14ac:dyDescent="0.2">
      <c r="A4489">
        <v>844615</v>
      </c>
      <c r="B4489" s="5">
        <v>44704</v>
      </c>
      <c r="C4489">
        <v>58577</v>
      </c>
      <c r="D4489" t="str">
        <f>PROPER(Transactions!D4489)</f>
        <v>Home &amp; Garden</v>
      </c>
      <c r="E4489" t="s">
        <v>86</v>
      </c>
      <c r="F4489" t="s">
        <v>87</v>
      </c>
      <c r="G4489">
        <v>4</v>
      </c>
      <c r="H4489">
        <v>11.04</v>
      </c>
      <c r="I4489" s="7">
        <f>IF(Transactions!I4489="",0,Transactions!I4489)</f>
        <v>0.15</v>
      </c>
      <c r="J4489" s="9">
        <f t="shared" si="70"/>
        <v>37.535999999999994</v>
      </c>
      <c r="K4489" t="s">
        <v>53</v>
      </c>
      <c r="L4489" t="s">
        <v>17</v>
      </c>
      <c r="M4489" t="str">
        <f>REPLACE(Transactions!M4489,1,4,"")</f>
        <v>18</v>
      </c>
    </row>
    <row r="4490" spans="1:13" x14ac:dyDescent="0.2">
      <c r="A4490">
        <v>844669</v>
      </c>
      <c r="B4490" s="5">
        <v>45090</v>
      </c>
      <c r="C4490">
        <v>95634</v>
      </c>
      <c r="D4490" t="str">
        <f>PROPER(Transactions!D4490)</f>
        <v>Furniture</v>
      </c>
      <c r="E4490" t="s">
        <v>70</v>
      </c>
      <c r="F4490" t="s">
        <v>71</v>
      </c>
      <c r="G4490">
        <v>3</v>
      </c>
      <c r="H4490">
        <v>71.989999999999995</v>
      </c>
      <c r="I4490" s="7">
        <f>IF(Transactions!I4490="",0,Transactions!I4490)</f>
        <v>0.2</v>
      </c>
      <c r="J4490" s="9">
        <f t="shared" si="70"/>
        <v>172.77599999999998</v>
      </c>
      <c r="K4490" t="s">
        <v>16</v>
      </c>
      <c r="L4490" t="s">
        <v>17</v>
      </c>
      <c r="M4490" t="str">
        <f>REPLACE(Transactions!M4490,1,4,"")</f>
        <v>8</v>
      </c>
    </row>
    <row r="4491" spans="1:13" x14ac:dyDescent="0.2">
      <c r="A4491">
        <v>844978</v>
      </c>
      <c r="B4491" s="5">
        <v>45250</v>
      </c>
      <c r="C4491">
        <v>82401</v>
      </c>
      <c r="D4491" t="str">
        <f>PROPER(Transactions!D4491)</f>
        <v>Electronics</v>
      </c>
      <c r="E4491" t="s">
        <v>186</v>
      </c>
      <c r="F4491" t="s">
        <v>187</v>
      </c>
      <c r="G4491">
        <v>4</v>
      </c>
      <c r="H4491">
        <v>49.99</v>
      </c>
      <c r="I4491" s="7">
        <f>IF(Transactions!I4491="",0,Transactions!I4491)</f>
        <v>0</v>
      </c>
      <c r="J4491" s="9">
        <f t="shared" si="70"/>
        <v>199.96</v>
      </c>
      <c r="K4491" t="s">
        <v>16</v>
      </c>
      <c r="L4491" t="s">
        <v>37</v>
      </c>
      <c r="M4491" t="str">
        <f>REPLACE(Transactions!M4491,1,4,"")</f>
        <v>12</v>
      </c>
    </row>
    <row r="4492" spans="1:13" x14ac:dyDescent="0.2">
      <c r="A4492">
        <v>845459</v>
      </c>
      <c r="B4492" s="5">
        <v>45606</v>
      </c>
      <c r="C4492">
        <v>51175</v>
      </c>
      <c r="D4492" t="str">
        <f>PROPER(Transactions!D4492)</f>
        <v>Furniture</v>
      </c>
      <c r="E4492" t="s">
        <v>113</v>
      </c>
      <c r="F4492" t="s">
        <v>114</v>
      </c>
      <c r="G4492">
        <v>1</v>
      </c>
      <c r="H4492">
        <v>113.99</v>
      </c>
      <c r="I4492" s="7">
        <f>IF(Transactions!I4492="",0,Transactions!I4492)</f>
        <v>0.05</v>
      </c>
      <c r="J4492" s="9">
        <f t="shared" si="70"/>
        <v>108.29049999999999</v>
      </c>
      <c r="K4492" t="s">
        <v>22</v>
      </c>
      <c r="L4492" t="s">
        <v>17</v>
      </c>
      <c r="M4492" t="str">
        <f>REPLACE(Transactions!M4492,1,4,"")</f>
        <v>17</v>
      </c>
    </row>
    <row r="4493" spans="1:13" x14ac:dyDescent="0.2">
      <c r="A4493">
        <v>845681</v>
      </c>
      <c r="B4493" s="5">
        <v>44982</v>
      </c>
      <c r="C4493">
        <v>21355</v>
      </c>
      <c r="D4493" t="str">
        <f>PROPER(Transactions!D4493)</f>
        <v>Furniture</v>
      </c>
      <c r="E4493" t="s">
        <v>51</v>
      </c>
      <c r="F4493" t="s">
        <v>52</v>
      </c>
      <c r="G4493">
        <v>4</v>
      </c>
      <c r="H4493">
        <v>25.19</v>
      </c>
      <c r="I4493" s="7">
        <f>IF(Transactions!I4493="",0,Transactions!I4493)</f>
        <v>0.1</v>
      </c>
      <c r="J4493" s="9">
        <f t="shared" si="70"/>
        <v>90.684000000000012</v>
      </c>
      <c r="K4493" t="s">
        <v>16</v>
      </c>
      <c r="L4493" t="s">
        <v>17</v>
      </c>
      <c r="M4493" t="str">
        <f>REPLACE(Transactions!M4493,1,4,"")</f>
        <v>9</v>
      </c>
    </row>
    <row r="4494" spans="1:13" x14ac:dyDescent="0.2">
      <c r="A4494">
        <v>845793</v>
      </c>
      <c r="B4494" s="5">
        <v>44875</v>
      </c>
      <c r="C4494">
        <v>84773</v>
      </c>
      <c r="D4494" t="str">
        <f>PROPER(Transactions!D4494)</f>
        <v>Furniture</v>
      </c>
      <c r="E4494" t="s">
        <v>26</v>
      </c>
      <c r="F4494" t="s">
        <v>27</v>
      </c>
      <c r="G4494">
        <v>2</v>
      </c>
      <c r="H4494">
        <v>29.74</v>
      </c>
      <c r="I4494" s="7">
        <f>IF(Transactions!I4494="",0,Transactions!I4494)</f>
        <v>0.15</v>
      </c>
      <c r="J4494" s="9">
        <f t="shared" si="70"/>
        <v>50.557999999999993</v>
      </c>
      <c r="K4494" t="s">
        <v>36</v>
      </c>
      <c r="L4494" t="s">
        <v>17</v>
      </c>
      <c r="M4494" t="str">
        <f>REPLACE(Transactions!M4494,1,4,"")</f>
        <v>10</v>
      </c>
    </row>
    <row r="4495" spans="1:13" x14ac:dyDescent="0.2">
      <c r="A4495">
        <v>846003</v>
      </c>
      <c r="B4495" s="5">
        <v>44755</v>
      </c>
      <c r="C4495">
        <v>39022</v>
      </c>
      <c r="D4495" t="str">
        <f>PROPER(Transactions!D4495)</f>
        <v>Grocery</v>
      </c>
      <c r="E4495" t="s">
        <v>133</v>
      </c>
      <c r="F4495" t="s">
        <v>134</v>
      </c>
      <c r="G4495">
        <v>1</v>
      </c>
      <c r="H4495">
        <v>3.22</v>
      </c>
      <c r="I4495" s="7">
        <f>IF(Transactions!I4495="",0,Transactions!I4495)</f>
        <v>0.15</v>
      </c>
      <c r="J4495" s="9">
        <f t="shared" si="70"/>
        <v>2.7370000000000001</v>
      </c>
      <c r="K4495" t="s">
        <v>22</v>
      </c>
      <c r="L4495" t="s">
        <v>37</v>
      </c>
      <c r="M4495" t="str">
        <f>REPLACE(Transactions!M4495,1,4,"")</f>
        <v>10</v>
      </c>
    </row>
    <row r="4496" spans="1:13" x14ac:dyDescent="0.2">
      <c r="A4496">
        <v>846068</v>
      </c>
      <c r="B4496" s="5">
        <v>44772</v>
      </c>
      <c r="C4496">
        <v>46978</v>
      </c>
      <c r="D4496" t="str">
        <f>PROPER(Transactions!D4496)</f>
        <v>Electronics</v>
      </c>
      <c r="E4496" t="s">
        <v>34</v>
      </c>
      <c r="F4496" t="s">
        <v>35</v>
      </c>
      <c r="G4496">
        <v>1</v>
      </c>
      <c r="H4496">
        <v>34.99</v>
      </c>
      <c r="I4496" s="7">
        <f>IF(Transactions!I4496="",0,Transactions!I4496)</f>
        <v>0</v>
      </c>
      <c r="J4496" s="9">
        <f t="shared" si="70"/>
        <v>34.99</v>
      </c>
      <c r="K4496" t="s">
        <v>16</v>
      </c>
      <c r="L4496" t="s">
        <v>17</v>
      </c>
      <c r="M4496" t="str">
        <f>REPLACE(Transactions!M4496,1,4,"")</f>
        <v>17</v>
      </c>
    </row>
    <row r="4497" spans="1:13" x14ac:dyDescent="0.2">
      <c r="A4497">
        <v>846154</v>
      </c>
      <c r="B4497" s="5">
        <v>45443</v>
      </c>
      <c r="C4497">
        <v>76644</v>
      </c>
      <c r="D4497" t="str">
        <f>PROPER(Transactions!D4497)</f>
        <v>Beauty</v>
      </c>
      <c r="E4497" t="s">
        <v>143</v>
      </c>
      <c r="F4497" t="s">
        <v>144</v>
      </c>
      <c r="G4497">
        <v>5</v>
      </c>
      <c r="H4497">
        <v>14.24</v>
      </c>
      <c r="I4497" s="7">
        <f>IF(Transactions!I4497="",0,Transactions!I4497)</f>
        <v>0.05</v>
      </c>
      <c r="J4497" s="9">
        <f t="shared" si="70"/>
        <v>67.64</v>
      </c>
      <c r="K4497" t="s">
        <v>53</v>
      </c>
      <c r="L4497" t="s">
        <v>17</v>
      </c>
      <c r="M4497" t="str">
        <f>REPLACE(Transactions!M4497,1,4,"")</f>
        <v>2</v>
      </c>
    </row>
    <row r="4498" spans="1:13" x14ac:dyDescent="0.2">
      <c r="A4498">
        <v>846216</v>
      </c>
      <c r="B4498" s="5">
        <v>45496</v>
      </c>
      <c r="C4498">
        <v>32954</v>
      </c>
      <c r="D4498" t="str">
        <f>PROPER(Transactions!D4498)</f>
        <v>Electronics</v>
      </c>
      <c r="E4498" t="s">
        <v>14</v>
      </c>
      <c r="F4498" t="s">
        <v>15</v>
      </c>
      <c r="G4498">
        <v>3</v>
      </c>
      <c r="H4498">
        <v>67.989999999999995</v>
      </c>
      <c r="I4498" s="7">
        <f>IF(Transactions!I4498="",0,Transactions!I4498)</f>
        <v>0.15</v>
      </c>
      <c r="J4498" s="9">
        <f t="shared" si="70"/>
        <v>173.37449999999998</v>
      </c>
      <c r="K4498" t="s">
        <v>32</v>
      </c>
      <c r="L4498" t="s">
        <v>17</v>
      </c>
      <c r="M4498" t="str">
        <f>REPLACE(Transactions!M4498,1,4,"")</f>
        <v>7</v>
      </c>
    </row>
    <row r="4499" spans="1:13" x14ac:dyDescent="0.2">
      <c r="A4499">
        <v>846503</v>
      </c>
      <c r="B4499" s="5">
        <v>45618</v>
      </c>
      <c r="C4499">
        <v>62473</v>
      </c>
      <c r="D4499" t="str">
        <f>PROPER(Transactions!D4499)</f>
        <v>Toys</v>
      </c>
      <c r="E4499" t="s">
        <v>88</v>
      </c>
      <c r="F4499" t="s">
        <v>89</v>
      </c>
      <c r="G4499">
        <v>3</v>
      </c>
      <c r="H4499">
        <v>47.49</v>
      </c>
      <c r="I4499" s="7">
        <f>IF(Transactions!I4499="",0,Transactions!I4499)</f>
        <v>0</v>
      </c>
      <c r="J4499" s="9">
        <f t="shared" si="70"/>
        <v>142.47</v>
      </c>
      <c r="K4499" t="s">
        <v>16</v>
      </c>
      <c r="L4499" t="s">
        <v>23</v>
      </c>
      <c r="M4499" t="str">
        <f>REPLACE(Transactions!M4499,1,4,"")</f>
        <v>14</v>
      </c>
    </row>
    <row r="4500" spans="1:13" x14ac:dyDescent="0.2">
      <c r="A4500">
        <v>846515</v>
      </c>
      <c r="B4500" s="5">
        <v>45198</v>
      </c>
      <c r="C4500">
        <v>83530</v>
      </c>
      <c r="D4500" t="str">
        <f>PROPER(Transactions!D4500)</f>
        <v>Home &amp; Garden</v>
      </c>
      <c r="E4500" t="s">
        <v>137</v>
      </c>
      <c r="F4500" t="s">
        <v>138</v>
      </c>
      <c r="G4500">
        <v>1</v>
      </c>
      <c r="H4500">
        <v>7.99</v>
      </c>
      <c r="I4500" s="7">
        <f>IF(Transactions!I4500="",0,Transactions!I4500)</f>
        <v>0</v>
      </c>
      <c r="J4500" s="9">
        <f t="shared" si="70"/>
        <v>7.99</v>
      </c>
      <c r="K4500" t="s">
        <v>16</v>
      </c>
      <c r="L4500" t="s">
        <v>17</v>
      </c>
      <c r="M4500" t="str">
        <f>REPLACE(Transactions!M4500,1,4,"")</f>
        <v>16</v>
      </c>
    </row>
    <row r="4501" spans="1:13" x14ac:dyDescent="0.2">
      <c r="A4501">
        <v>846569</v>
      </c>
      <c r="B4501" s="5">
        <v>45257</v>
      </c>
      <c r="C4501">
        <v>36745</v>
      </c>
      <c r="D4501" t="str">
        <f>PROPER(Transactions!D4501)</f>
        <v>Home &amp; Garden</v>
      </c>
      <c r="E4501" t="s">
        <v>149</v>
      </c>
      <c r="F4501" t="s">
        <v>150</v>
      </c>
      <c r="G4501">
        <v>4</v>
      </c>
      <c r="H4501">
        <v>19.989999999999998</v>
      </c>
      <c r="I4501" s="7">
        <f>IF(Transactions!I4501="",0,Transactions!I4501)</f>
        <v>0</v>
      </c>
      <c r="J4501" s="9">
        <f t="shared" si="70"/>
        <v>79.959999999999994</v>
      </c>
      <c r="K4501" t="s">
        <v>36</v>
      </c>
      <c r="L4501" t="s">
        <v>17</v>
      </c>
      <c r="M4501" t="str">
        <f>REPLACE(Transactions!M4501,1,4,"")</f>
        <v>8</v>
      </c>
    </row>
    <row r="4502" spans="1:13" x14ac:dyDescent="0.2">
      <c r="A4502">
        <v>846587</v>
      </c>
      <c r="B4502" s="5">
        <v>44921</v>
      </c>
      <c r="C4502">
        <v>43807</v>
      </c>
      <c r="D4502" t="str">
        <f>PROPER(Transactions!D4502)</f>
        <v>Clothing</v>
      </c>
      <c r="E4502" t="s">
        <v>135</v>
      </c>
      <c r="F4502" t="s">
        <v>136</v>
      </c>
      <c r="G4502">
        <v>2</v>
      </c>
      <c r="H4502">
        <v>9.49</v>
      </c>
      <c r="I4502" s="7">
        <f>IF(Transactions!I4502="",0,Transactions!I4502)</f>
        <v>0.05</v>
      </c>
      <c r="J4502" s="9">
        <f t="shared" si="70"/>
        <v>18.030999999999999</v>
      </c>
      <c r="K4502" t="s">
        <v>95</v>
      </c>
      <c r="L4502" t="s">
        <v>17</v>
      </c>
      <c r="M4502" t="str">
        <f>REPLACE(Transactions!M4502,1,4,"")</f>
        <v>10</v>
      </c>
    </row>
    <row r="4503" spans="1:13" x14ac:dyDescent="0.2">
      <c r="A4503">
        <v>846638</v>
      </c>
      <c r="B4503" s="5">
        <v>45174</v>
      </c>
      <c r="D4503" t="str">
        <f>PROPER(Transactions!D4503)</f>
        <v>Electronics</v>
      </c>
      <c r="E4503" t="s">
        <v>55</v>
      </c>
      <c r="F4503" t="s">
        <v>56</v>
      </c>
      <c r="G4503">
        <v>2</v>
      </c>
      <c r="H4503">
        <v>313.49</v>
      </c>
      <c r="I4503" s="7">
        <f>IF(Transactions!I4503="",0,Transactions!I4503)</f>
        <v>0.05</v>
      </c>
      <c r="J4503" s="9">
        <f t="shared" si="70"/>
        <v>595.63099999999997</v>
      </c>
      <c r="K4503" t="s">
        <v>53</v>
      </c>
      <c r="L4503" t="s">
        <v>17</v>
      </c>
      <c r="M4503" t="str">
        <f>REPLACE(Transactions!M4503,1,4,"")</f>
        <v>15</v>
      </c>
    </row>
    <row r="4504" spans="1:13" x14ac:dyDescent="0.2">
      <c r="A4504">
        <v>847101</v>
      </c>
      <c r="B4504" s="5">
        <v>45288</v>
      </c>
      <c r="C4504">
        <v>55184</v>
      </c>
      <c r="D4504" t="str">
        <f>PROPER(Transactions!D4504)</f>
        <v>Toys</v>
      </c>
      <c r="E4504" t="s">
        <v>30</v>
      </c>
      <c r="F4504" t="s">
        <v>31</v>
      </c>
      <c r="G4504">
        <v>2</v>
      </c>
      <c r="H4504">
        <v>24.99</v>
      </c>
      <c r="I4504" s="7">
        <f>IF(Transactions!I4504="",0,Transactions!I4504)</f>
        <v>0</v>
      </c>
      <c r="J4504" s="9">
        <f t="shared" si="70"/>
        <v>49.98</v>
      </c>
      <c r="K4504" t="s">
        <v>16</v>
      </c>
      <c r="L4504" t="s">
        <v>37</v>
      </c>
      <c r="M4504" t="str">
        <f>REPLACE(Transactions!M4504,1,4,"")</f>
        <v>13</v>
      </c>
    </row>
    <row r="4505" spans="1:13" x14ac:dyDescent="0.2">
      <c r="A4505">
        <v>847421</v>
      </c>
      <c r="B4505" s="5">
        <v>45118</v>
      </c>
      <c r="C4505">
        <v>57752</v>
      </c>
      <c r="D4505" t="str">
        <f>PROPER(Transactions!D4505)</f>
        <v>Pharmacy</v>
      </c>
      <c r="E4505" t="s">
        <v>197</v>
      </c>
      <c r="F4505" t="s">
        <v>198</v>
      </c>
      <c r="G4505">
        <v>3</v>
      </c>
      <c r="H4505">
        <v>12.74</v>
      </c>
      <c r="I4505" s="7">
        <f>IF(Transactions!I4505="",0,Transactions!I4505)</f>
        <v>0.15</v>
      </c>
      <c r="J4505" s="9">
        <f t="shared" si="70"/>
        <v>32.486999999999995</v>
      </c>
      <c r="K4505" t="s">
        <v>16</v>
      </c>
      <c r="L4505" t="s">
        <v>17</v>
      </c>
      <c r="M4505" t="str">
        <f>REPLACE(Transactions!M4505,1,4,"")</f>
        <v>18</v>
      </c>
    </row>
    <row r="4506" spans="1:13" x14ac:dyDescent="0.2">
      <c r="A4506">
        <v>847455</v>
      </c>
      <c r="B4506" s="5">
        <v>44819</v>
      </c>
      <c r="C4506">
        <v>39029</v>
      </c>
      <c r="D4506" t="str">
        <f>PROPER(Transactions!D4506)</f>
        <v>Automotive</v>
      </c>
      <c r="E4506" t="s">
        <v>111</v>
      </c>
      <c r="F4506" t="s">
        <v>112</v>
      </c>
      <c r="G4506">
        <v>2</v>
      </c>
      <c r="H4506">
        <v>10.49</v>
      </c>
      <c r="I4506" s="7">
        <f>IF(Transactions!I4506="",0,Transactions!I4506)</f>
        <v>0.3</v>
      </c>
      <c r="J4506" s="9">
        <f t="shared" si="70"/>
        <v>14.686</v>
      </c>
      <c r="K4506" t="s">
        <v>22</v>
      </c>
      <c r="L4506" t="s">
        <v>17</v>
      </c>
      <c r="M4506" t="str">
        <f>REPLACE(Transactions!M4506,1,4,"")</f>
        <v>14</v>
      </c>
    </row>
    <row r="4507" spans="1:13" x14ac:dyDescent="0.2">
      <c r="A4507">
        <v>847663</v>
      </c>
      <c r="B4507" s="5">
        <v>44658</v>
      </c>
      <c r="C4507">
        <v>43147</v>
      </c>
      <c r="D4507" t="str">
        <f>PROPER(Transactions!D4507)</f>
        <v>Home &amp; Garden</v>
      </c>
      <c r="E4507" t="s">
        <v>145</v>
      </c>
      <c r="F4507" t="s">
        <v>146</v>
      </c>
      <c r="G4507">
        <v>1</v>
      </c>
      <c r="H4507">
        <v>16.14</v>
      </c>
      <c r="I4507" s="7">
        <f>IF(Transactions!I4507="",0,Transactions!I4507)</f>
        <v>0.05</v>
      </c>
      <c r="J4507" s="9">
        <f t="shared" si="70"/>
        <v>15.333</v>
      </c>
      <c r="K4507" t="s">
        <v>16</v>
      </c>
      <c r="L4507" t="s">
        <v>17</v>
      </c>
      <c r="M4507" t="str">
        <f>REPLACE(Transactions!M4507,1,4,"")</f>
        <v>20</v>
      </c>
    </row>
    <row r="4508" spans="1:13" x14ac:dyDescent="0.2">
      <c r="A4508">
        <v>847815</v>
      </c>
      <c r="B4508" s="5">
        <v>44590</v>
      </c>
      <c r="C4508">
        <v>73405</v>
      </c>
      <c r="D4508" t="str">
        <f>PROPER(Transactions!D4508)</f>
        <v>Beauty</v>
      </c>
      <c r="E4508" t="s">
        <v>118</v>
      </c>
      <c r="F4508" t="s">
        <v>119</v>
      </c>
      <c r="G4508">
        <v>1</v>
      </c>
      <c r="H4508">
        <v>3.49</v>
      </c>
      <c r="I4508" s="7">
        <f>IF(Transactions!I4508="",0,Transactions!I4508)</f>
        <v>0.3</v>
      </c>
      <c r="J4508" s="9">
        <f t="shared" si="70"/>
        <v>2.4430000000000001</v>
      </c>
      <c r="K4508" t="s">
        <v>36</v>
      </c>
      <c r="L4508" t="s">
        <v>23</v>
      </c>
      <c r="M4508" t="str">
        <f>REPLACE(Transactions!M4508,1,4,"")</f>
        <v>12</v>
      </c>
    </row>
    <row r="4509" spans="1:13" x14ac:dyDescent="0.2">
      <c r="A4509">
        <v>847951</v>
      </c>
      <c r="B4509" s="5">
        <v>44682</v>
      </c>
      <c r="C4509">
        <v>63291</v>
      </c>
      <c r="D4509" t="str">
        <f>PROPER(Transactions!D4509)</f>
        <v>Grocery</v>
      </c>
      <c r="E4509" t="s">
        <v>91</v>
      </c>
      <c r="F4509" t="s">
        <v>92</v>
      </c>
      <c r="G4509">
        <v>3</v>
      </c>
      <c r="H4509">
        <v>5.98</v>
      </c>
      <c r="I4509" s="7">
        <f>IF(Transactions!I4509="",0,Transactions!I4509)</f>
        <v>0.05</v>
      </c>
      <c r="J4509" s="9">
        <f t="shared" si="70"/>
        <v>17.042999999999999</v>
      </c>
      <c r="K4509" t="s">
        <v>16</v>
      </c>
      <c r="L4509" t="s">
        <v>17</v>
      </c>
      <c r="M4509" t="str">
        <f>REPLACE(Transactions!M4509,1,4,"")</f>
        <v>5</v>
      </c>
    </row>
    <row r="4510" spans="1:13" x14ac:dyDescent="0.2">
      <c r="A4510">
        <v>847959</v>
      </c>
      <c r="B4510" s="5">
        <v>45370</v>
      </c>
      <c r="C4510">
        <v>32921</v>
      </c>
      <c r="D4510" t="str">
        <f>PROPER(Transactions!D4510)</f>
        <v>Toys</v>
      </c>
      <c r="E4510" t="s">
        <v>38</v>
      </c>
      <c r="F4510" t="s">
        <v>39</v>
      </c>
      <c r="G4510">
        <v>5</v>
      </c>
      <c r="H4510">
        <v>29.99</v>
      </c>
      <c r="I4510" s="7">
        <f>IF(Transactions!I4510="",0,Transactions!I4510)</f>
        <v>0</v>
      </c>
      <c r="J4510" s="9">
        <f t="shared" si="70"/>
        <v>149.94999999999999</v>
      </c>
      <c r="K4510" t="s">
        <v>16</v>
      </c>
      <c r="L4510" t="s">
        <v>17</v>
      </c>
      <c r="M4510" t="str">
        <f>REPLACE(Transactions!M4510,1,4,"")</f>
        <v>3</v>
      </c>
    </row>
    <row r="4511" spans="1:13" x14ac:dyDescent="0.2">
      <c r="A4511">
        <v>848094</v>
      </c>
      <c r="B4511" s="5">
        <v>45505</v>
      </c>
      <c r="D4511" t="str">
        <f>PROPER(Transactions!D4511)</f>
        <v>Pharmacy</v>
      </c>
      <c r="E4511" t="s">
        <v>20</v>
      </c>
      <c r="F4511" t="s">
        <v>21</v>
      </c>
      <c r="G4511">
        <v>2</v>
      </c>
      <c r="H4511">
        <v>9.99</v>
      </c>
      <c r="I4511" s="7">
        <f>IF(Transactions!I4511="",0,Transactions!I4511)</f>
        <v>0</v>
      </c>
      <c r="J4511" s="9">
        <f t="shared" si="70"/>
        <v>19.98</v>
      </c>
      <c r="K4511" t="s">
        <v>95</v>
      </c>
      <c r="L4511" t="s">
        <v>17</v>
      </c>
      <c r="M4511" t="str">
        <f>REPLACE(Transactions!M4511,1,4,"")</f>
        <v>8</v>
      </c>
    </row>
    <row r="4512" spans="1:13" x14ac:dyDescent="0.2">
      <c r="A4512">
        <v>848116</v>
      </c>
      <c r="B4512" s="5">
        <v>45044</v>
      </c>
      <c r="C4512">
        <v>99245</v>
      </c>
      <c r="D4512" t="str">
        <f>PROPER(Transactions!D4512)</f>
        <v>Home &amp; Garden</v>
      </c>
      <c r="E4512" t="s">
        <v>153</v>
      </c>
      <c r="F4512" t="s">
        <v>154</v>
      </c>
      <c r="G4512">
        <v>1</v>
      </c>
      <c r="H4512">
        <v>20.99</v>
      </c>
      <c r="I4512" s="7">
        <f>IF(Transactions!I4512="",0,Transactions!I4512)</f>
        <v>0.3</v>
      </c>
      <c r="J4512" s="9">
        <f t="shared" si="70"/>
        <v>14.692999999999998</v>
      </c>
      <c r="K4512" t="s">
        <v>16</v>
      </c>
      <c r="L4512" t="s">
        <v>23</v>
      </c>
      <c r="M4512" t="str">
        <f>REPLACE(Transactions!M4512,1,4,"")</f>
        <v>14</v>
      </c>
    </row>
    <row r="4513" spans="1:13" x14ac:dyDescent="0.2">
      <c r="A4513">
        <v>848535</v>
      </c>
      <c r="B4513" s="5">
        <v>45221</v>
      </c>
      <c r="C4513">
        <v>53754</v>
      </c>
      <c r="D4513" t="str">
        <f>PROPER(Transactions!D4513)</f>
        <v>Sports</v>
      </c>
      <c r="E4513" t="s">
        <v>155</v>
      </c>
      <c r="F4513" t="s">
        <v>156</v>
      </c>
      <c r="G4513">
        <v>5</v>
      </c>
      <c r="H4513">
        <v>19.989999999999998</v>
      </c>
      <c r="I4513" s="7">
        <f>IF(Transactions!I4513="",0,Transactions!I4513)</f>
        <v>0</v>
      </c>
      <c r="J4513" s="9">
        <f t="shared" si="70"/>
        <v>99.949999999999989</v>
      </c>
      <c r="K4513" t="s">
        <v>16</v>
      </c>
      <c r="L4513" t="s">
        <v>37</v>
      </c>
      <c r="M4513" t="str">
        <f>REPLACE(Transactions!M4513,1,4,"")</f>
        <v>3</v>
      </c>
    </row>
    <row r="4514" spans="1:13" x14ac:dyDescent="0.2">
      <c r="A4514">
        <v>848802</v>
      </c>
      <c r="B4514" s="5">
        <v>45135</v>
      </c>
      <c r="C4514">
        <v>58372</v>
      </c>
      <c r="D4514" t="str">
        <f>PROPER(Transactions!D4514)</f>
        <v>Sports</v>
      </c>
      <c r="E4514" t="s">
        <v>188</v>
      </c>
      <c r="F4514" t="s">
        <v>189</v>
      </c>
      <c r="G4514">
        <v>5</v>
      </c>
      <c r="H4514">
        <v>44.99</v>
      </c>
      <c r="I4514" s="7">
        <f>IF(Transactions!I4514="",0,Transactions!I4514)</f>
        <v>0</v>
      </c>
      <c r="J4514" s="9">
        <f t="shared" si="70"/>
        <v>224.95000000000002</v>
      </c>
      <c r="K4514" t="s">
        <v>22</v>
      </c>
      <c r="L4514" t="s">
        <v>37</v>
      </c>
      <c r="M4514" t="str">
        <f>REPLACE(Transactions!M4514,1,4,"")</f>
        <v>17</v>
      </c>
    </row>
    <row r="4515" spans="1:13" x14ac:dyDescent="0.2">
      <c r="A4515">
        <v>848981</v>
      </c>
      <c r="B4515" s="5">
        <v>44856</v>
      </c>
      <c r="C4515">
        <v>39683</v>
      </c>
      <c r="D4515" t="str">
        <f>PROPER(Transactions!D4515)</f>
        <v>Pharmacy</v>
      </c>
      <c r="E4515" t="s">
        <v>20</v>
      </c>
      <c r="F4515" t="s">
        <v>21</v>
      </c>
      <c r="G4515">
        <v>3</v>
      </c>
      <c r="H4515">
        <v>7.99</v>
      </c>
      <c r="I4515" s="7">
        <f>IF(Transactions!I4515="",0,Transactions!I4515)</f>
        <v>0.2</v>
      </c>
      <c r="J4515" s="9">
        <f t="shared" si="70"/>
        <v>19.175999999999998</v>
      </c>
      <c r="K4515" t="s">
        <v>16</v>
      </c>
      <c r="L4515" t="s">
        <v>17</v>
      </c>
      <c r="M4515" t="str">
        <f>REPLACE(Transactions!M4515,1,4,"")</f>
        <v>12</v>
      </c>
    </row>
    <row r="4516" spans="1:13" x14ac:dyDescent="0.2">
      <c r="A4516">
        <v>849471</v>
      </c>
      <c r="B4516" s="5">
        <v>45120</v>
      </c>
      <c r="C4516">
        <v>75732</v>
      </c>
      <c r="D4516" t="str">
        <f>PROPER(Transactions!D4516)</f>
        <v>Furniture</v>
      </c>
      <c r="E4516" t="s">
        <v>26</v>
      </c>
      <c r="F4516" t="s">
        <v>27</v>
      </c>
      <c r="G4516">
        <v>2</v>
      </c>
      <c r="H4516">
        <v>27.99</v>
      </c>
      <c r="I4516" s="7">
        <f>IF(Transactions!I4516="",0,Transactions!I4516)</f>
        <v>0.2</v>
      </c>
      <c r="J4516" s="9">
        <f t="shared" si="70"/>
        <v>44.783999999999999</v>
      </c>
      <c r="K4516" t="s">
        <v>16</v>
      </c>
      <c r="L4516" t="s">
        <v>37</v>
      </c>
      <c r="M4516" t="str">
        <f>REPLACE(Transactions!M4516,1,4,"")</f>
        <v>6</v>
      </c>
    </row>
    <row r="4517" spans="1:13" x14ac:dyDescent="0.2">
      <c r="A4517">
        <v>849593</v>
      </c>
      <c r="B4517" s="5">
        <v>44958</v>
      </c>
      <c r="C4517">
        <v>38330</v>
      </c>
      <c r="D4517" t="str">
        <f>PROPER(Transactions!D4517)</f>
        <v>Pharmacy</v>
      </c>
      <c r="E4517" t="s">
        <v>41</v>
      </c>
      <c r="F4517" t="s">
        <v>42</v>
      </c>
      <c r="G4517">
        <v>1</v>
      </c>
      <c r="H4517">
        <v>5.99</v>
      </c>
      <c r="I4517" s="7">
        <f>IF(Transactions!I4517="",0,Transactions!I4517)</f>
        <v>0</v>
      </c>
      <c r="J4517" s="9">
        <f t="shared" si="70"/>
        <v>5.99</v>
      </c>
      <c r="K4517" t="s">
        <v>16</v>
      </c>
      <c r="L4517" t="s">
        <v>17</v>
      </c>
      <c r="M4517" t="str">
        <f>REPLACE(Transactions!M4517,1,4,"")</f>
        <v>3</v>
      </c>
    </row>
    <row r="4518" spans="1:13" x14ac:dyDescent="0.2">
      <c r="A4518">
        <v>850046</v>
      </c>
      <c r="B4518" s="5">
        <v>45483</v>
      </c>
      <c r="C4518">
        <v>21191</v>
      </c>
      <c r="D4518" t="str">
        <f>PROPER(Transactions!D4518)</f>
        <v>Furniture</v>
      </c>
      <c r="E4518" t="s">
        <v>26</v>
      </c>
      <c r="F4518" t="s">
        <v>27</v>
      </c>
      <c r="G4518">
        <v>1</v>
      </c>
      <c r="H4518">
        <v>27.99</v>
      </c>
      <c r="I4518" s="7">
        <f>IF(Transactions!I4518="",0,Transactions!I4518)</f>
        <v>0.2</v>
      </c>
      <c r="J4518" s="9">
        <f t="shared" si="70"/>
        <v>22.391999999999999</v>
      </c>
      <c r="K4518" t="s">
        <v>36</v>
      </c>
      <c r="L4518" t="s">
        <v>17</v>
      </c>
      <c r="M4518" t="str">
        <f>REPLACE(Transactions!M4518,1,4,"")</f>
        <v>18</v>
      </c>
    </row>
    <row r="4519" spans="1:13" x14ac:dyDescent="0.2">
      <c r="A4519">
        <v>850322</v>
      </c>
      <c r="B4519" s="5">
        <v>44722</v>
      </c>
      <c r="C4519">
        <v>80015</v>
      </c>
      <c r="D4519" t="str">
        <f>PROPER(Transactions!D4519)</f>
        <v>Pharmacy</v>
      </c>
      <c r="E4519" t="s">
        <v>58</v>
      </c>
      <c r="F4519" t="s">
        <v>59</v>
      </c>
      <c r="G4519">
        <v>1</v>
      </c>
      <c r="H4519">
        <v>2.99</v>
      </c>
      <c r="I4519" s="7">
        <f>IF(Transactions!I4519="",0,Transactions!I4519)</f>
        <v>0.25</v>
      </c>
      <c r="J4519" s="9">
        <f t="shared" si="70"/>
        <v>2.2425000000000002</v>
      </c>
      <c r="K4519" t="s">
        <v>16</v>
      </c>
      <c r="L4519" t="s">
        <v>37</v>
      </c>
      <c r="M4519" t="str">
        <f>REPLACE(Transactions!M4519,1,4,"")</f>
        <v>6</v>
      </c>
    </row>
    <row r="4520" spans="1:13" x14ac:dyDescent="0.2">
      <c r="A4520">
        <v>850870</v>
      </c>
      <c r="B4520" s="5">
        <v>45120</v>
      </c>
      <c r="C4520">
        <v>48588</v>
      </c>
      <c r="D4520" t="str">
        <f>PROPER(Transactions!D4520)</f>
        <v>Toys</v>
      </c>
      <c r="E4520" t="s">
        <v>30</v>
      </c>
      <c r="F4520" t="s">
        <v>31</v>
      </c>
      <c r="G4520">
        <v>1</v>
      </c>
      <c r="H4520">
        <v>24.99</v>
      </c>
      <c r="I4520" s="7">
        <f>IF(Transactions!I4520="",0,Transactions!I4520)</f>
        <v>0</v>
      </c>
      <c r="J4520" s="9">
        <f t="shared" si="70"/>
        <v>24.99</v>
      </c>
      <c r="K4520" t="s">
        <v>36</v>
      </c>
      <c r="L4520" t="s">
        <v>17</v>
      </c>
      <c r="M4520" t="str">
        <f>REPLACE(Transactions!M4520,1,4,"")</f>
        <v>2</v>
      </c>
    </row>
    <row r="4521" spans="1:13" x14ac:dyDescent="0.2">
      <c r="A4521">
        <v>851023</v>
      </c>
      <c r="B4521" s="5">
        <v>45551</v>
      </c>
      <c r="C4521">
        <v>15633</v>
      </c>
      <c r="D4521" t="str">
        <f>PROPER(Transactions!D4521)</f>
        <v>Electronics</v>
      </c>
      <c r="E4521" t="s">
        <v>34</v>
      </c>
      <c r="F4521" t="s">
        <v>35</v>
      </c>
      <c r="G4521">
        <v>1</v>
      </c>
      <c r="H4521">
        <v>24.49</v>
      </c>
      <c r="I4521" s="7">
        <f>IF(Transactions!I4521="",0,Transactions!I4521)</f>
        <v>0.3</v>
      </c>
      <c r="J4521" s="9">
        <f t="shared" si="70"/>
        <v>17.142999999999997</v>
      </c>
      <c r="K4521" t="s">
        <v>16</v>
      </c>
      <c r="L4521" t="s">
        <v>17</v>
      </c>
      <c r="M4521" t="str">
        <f>REPLACE(Transactions!M4521,1,4,"")</f>
        <v>9</v>
      </c>
    </row>
    <row r="4522" spans="1:13" x14ac:dyDescent="0.2">
      <c r="A4522">
        <v>851064</v>
      </c>
      <c r="B4522" s="5">
        <v>45611</v>
      </c>
      <c r="C4522">
        <v>28703</v>
      </c>
      <c r="D4522" t="str">
        <f>PROPER(Transactions!D4522)</f>
        <v>Grocery</v>
      </c>
      <c r="E4522" t="s">
        <v>91</v>
      </c>
      <c r="F4522" t="s">
        <v>92</v>
      </c>
      <c r="G4522">
        <v>4</v>
      </c>
      <c r="H4522">
        <v>5.66</v>
      </c>
      <c r="I4522" s="7">
        <f>IF(Transactions!I4522="",0,Transactions!I4522)</f>
        <v>0.1</v>
      </c>
      <c r="J4522" s="9">
        <f t="shared" si="70"/>
        <v>20.376000000000001</v>
      </c>
      <c r="K4522" t="s">
        <v>32</v>
      </c>
      <c r="L4522" t="s">
        <v>17</v>
      </c>
      <c r="M4522" t="str">
        <f>REPLACE(Transactions!M4522,1,4,"")</f>
        <v>17</v>
      </c>
    </row>
    <row r="4523" spans="1:13" x14ac:dyDescent="0.2">
      <c r="A4523">
        <v>851094</v>
      </c>
      <c r="B4523" s="5">
        <v>44902</v>
      </c>
      <c r="C4523">
        <v>84418</v>
      </c>
      <c r="D4523" t="str">
        <f>PROPER(Transactions!D4523)</f>
        <v>Home &amp; Garden</v>
      </c>
      <c r="E4523" t="s">
        <v>145</v>
      </c>
      <c r="F4523" t="s">
        <v>146</v>
      </c>
      <c r="G4523">
        <v>1</v>
      </c>
      <c r="H4523">
        <v>14.44</v>
      </c>
      <c r="I4523" s="7">
        <f>IF(Transactions!I4523="",0,Transactions!I4523)</f>
        <v>0.15</v>
      </c>
      <c r="J4523" s="9">
        <f t="shared" si="70"/>
        <v>12.273999999999999</v>
      </c>
      <c r="K4523" t="s">
        <v>95</v>
      </c>
      <c r="L4523" t="s">
        <v>37</v>
      </c>
      <c r="M4523" t="str">
        <f>REPLACE(Transactions!M4523,1,4,"")</f>
        <v>2</v>
      </c>
    </row>
    <row r="4524" spans="1:13" x14ac:dyDescent="0.2">
      <c r="A4524">
        <v>851553</v>
      </c>
      <c r="B4524" s="5">
        <v>45346</v>
      </c>
      <c r="C4524">
        <v>39109</v>
      </c>
      <c r="D4524" t="str">
        <f>PROPER(Transactions!D4524)</f>
        <v>Automotive</v>
      </c>
      <c r="E4524" t="s">
        <v>125</v>
      </c>
      <c r="F4524" t="s">
        <v>126</v>
      </c>
      <c r="G4524">
        <v>2</v>
      </c>
      <c r="H4524">
        <v>23.99</v>
      </c>
      <c r="I4524" s="7">
        <f>IF(Transactions!I4524="",0,Transactions!I4524)</f>
        <v>0.2</v>
      </c>
      <c r="J4524" s="9">
        <f t="shared" si="70"/>
        <v>38.384</v>
      </c>
      <c r="K4524" t="s">
        <v>53</v>
      </c>
      <c r="L4524" t="s">
        <v>17</v>
      </c>
      <c r="M4524" t="str">
        <f>REPLACE(Transactions!M4524,1,4,"")</f>
        <v>18</v>
      </c>
    </row>
    <row r="4525" spans="1:13" x14ac:dyDescent="0.2">
      <c r="A4525">
        <v>851793</v>
      </c>
      <c r="B4525" s="5">
        <v>45395</v>
      </c>
      <c r="C4525">
        <v>93005</v>
      </c>
      <c r="D4525" t="str">
        <f>PROPER(Transactions!D4525)</f>
        <v>Toys</v>
      </c>
      <c r="E4525" t="s">
        <v>72</v>
      </c>
      <c r="F4525" t="s">
        <v>73</v>
      </c>
      <c r="G4525">
        <v>2</v>
      </c>
      <c r="H4525">
        <v>33.99</v>
      </c>
      <c r="I4525" s="7">
        <f>IF(Transactions!I4525="",0,Transactions!I4525)</f>
        <v>0.15</v>
      </c>
      <c r="J4525" s="9">
        <f t="shared" si="70"/>
        <v>57.783000000000001</v>
      </c>
      <c r="K4525" t="s">
        <v>32</v>
      </c>
      <c r="L4525" t="s">
        <v>17</v>
      </c>
      <c r="M4525" t="str">
        <f>REPLACE(Transactions!M4525,1,4,"")</f>
        <v>11</v>
      </c>
    </row>
    <row r="4526" spans="1:13" x14ac:dyDescent="0.2">
      <c r="A4526">
        <v>851916</v>
      </c>
      <c r="B4526" s="5">
        <v>44996</v>
      </c>
      <c r="C4526">
        <v>51604</v>
      </c>
      <c r="D4526" t="str">
        <f>PROPER(Transactions!D4526)</f>
        <v>Home &amp; Garden</v>
      </c>
      <c r="E4526" t="s">
        <v>137</v>
      </c>
      <c r="F4526" t="s">
        <v>138</v>
      </c>
      <c r="G4526">
        <v>1</v>
      </c>
      <c r="H4526">
        <v>7.99</v>
      </c>
      <c r="I4526" s="7">
        <f>IF(Transactions!I4526="",0,Transactions!I4526)</f>
        <v>0</v>
      </c>
      <c r="J4526" s="9">
        <f t="shared" si="70"/>
        <v>7.99</v>
      </c>
      <c r="K4526" t="s">
        <v>95</v>
      </c>
      <c r="L4526" t="s">
        <v>23</v>
      </c>
      <c r="M4526" t="str">
        <f>REPLACE(Transactions!M4526,1,4,"")</f>
        <v>20</v>
      </c>
    </row>
    <row r="4527" spans="1:13" x14ac:dyDescent="0.2">
      <c r="A4527">
        <v>852050</v>
      </c>
      <c r="B4527" s="5">
        <v>45647</v>
      </c>
      <c r="C4527">
        <v>38995</v>
      </c>
      <c r="D4527" t="str">
        <f>PROPER(Transactions!D4527)</f>
        <v>Furniture</v>
      </c>
      <c r="E4527" t="s">
        <v>113</v>
      </c>
      <c r="F4527" t="s">
        <v>114</v>
      </c>
      <c r="G4527">
        <v>4</v>
      </c>
      <c r="H4527">
        <v>113.99</v>
      </c>
      <c r="I4527" s="7">
        <f>IF(Transactions!I4527="",0,Transactions!I4527)</f>
        <v>0.05</v>
      </c>
      <c r="J4527" s="9">
        <f t="shared" si="70"/>
        <v>433.16199999999998</v>
      </c>
      <c r="K4527" t="s">
        <v>36</v>
      </c>
      <c r="L4527" t="s">
        <v>17</v>
      </c>
      <c r="M4527" t="str">
        <f>REPLACE(Transactions!M4527,1,4,"")</f>
        <v>4</v>
      </c>
    </row>
    <row r="4528" spans="1:13" x14ac:dyDescent="0.2">
      <c r="A4528">
        <v>852099</v>
      </c>
      <c r="B4528" s="5">
        <v>44773</v>
      </c>
      <c r="C4528">
        <v>88720</v>
      </c>
      <c r="D4528" t="str">
        <f>PROPER(Transactions!D4528)</f>
        <v>Grocery</v>
      </c>
      <c r="E4528" t="s">
        <v>172</v>
      </c>
      <c r="F4528" t="s">
        <v>173</v>
      </c>
      <c r="G4528">
        <v>1</v>
      </c>
      <c r="H4528">
        <v>4.2699999999999996</v>
      </c>
      <c r="I4528" s="7">
        <f>IF(Transactions!I4528="",0,Transactions!I4528)</f>
        <v>0.05</v>
      </c>
      <c r="J4528" s="9">
        <f t="shared" si="70"/>
        <v>4.0564999999999998</v>
      </c>
      <c r="K4528" t="s">
        <v>53</v>
      </c>
      <c r="L4528" t="s">
        <v>17</v>
      </c>
      <c r="M4528" t="str">
        <f>REPLACE(Transactions!M4528,1,4,"")</f>
        <v>9</v>
      </c>
    </row>
    <row r="4529" spans="1:13" x14ac:dyDescent="0.2">
      <c r="A4529">
        <v>852197</v>
      </c>
      <c r="B4529" s="5">
        <v>44911</v>
      </c>
      <c r="D4529" t="str">
        <f>PROPER(Transactions!D4529)</f>
        <v>Furniture</v>
      </c>
      <c r="E4529" t="s">
        <v>60</v>
      </c>
      <c r="F4529" t="s">
        <v>61</v>
      </c>
      <c r="G4529">
        <v>5</v>
      </c>
      <c r="H4529">
        <v>46.74</v>
      </c>
      <c r="I4529" s="7">
        <f>IF(Transactions!I4529="",0,Transactions!I4529)</f>
        <v>0.15</v>
      </c>
      <c r="J4529" s="9">
        <f t="shared" si="70"/>
        <v>198.64500000000001</v>
      </c>
      <c r="K4529" t="s">
        <v>95</v>
      </c>
      <c r="L4529" t="s">
        <v>17</v>
      </c>
      <c r="M4529" t="str">
        <f>REPLACE(Transactions!M4529,1,4,"")</f>
        <v>13</v>
      </c>
    </row>
    <row r="4530" spans="1:13" x14ac:dyDescent="0.2">
      <c r="A4530">
        <v>852417</v>
      </c>
      <c r="B4530" s="5">
        <v>45150</v>
      </c>
      <c r="C4530">
        <v>99011</v>
      </c>
      <c r="D4530" t="str">
        <f>PROPER(Transactions!D4530)</f>
        <v>Pharmacy</v>
      </c>
      <c r="E4530" t="s">
        <v>197</v>
      </c>
      <c r="F4530" t="s">
        <v>198</v>
      </c>
      <c r="G4530">
        <v>1</v>
      </c>
      <c r="H4530">
        <v>14.24</v>
      </c>
      <c r="I4530" s="7">
        <f>IF(Transactions!I4530="",0,Transactions!I4530)</f>
        <v>0.05</v>
      </c>
      <c r="J4530" s="9">
        <f t="shared" si="70"/>
        <v>13.527999999999999</v>
      </c>
      <c r="K4530" t="s">
        <v>16</v>
      </c>
      <c r="L4530" t="s">
        <v>17</v>
      </c>
      <c r="M4530" t="str">
        <f>REPLACE(Transactions!M4530,1,4,"")</f>
        <v>16</v>
      </c>
    </row>
    <row r="4531" spans="1:13" x14ac:dyDescent="0.2">
      <c r="A4531">
        <v>852747</v>
      </c>
      <c r="B4531" s="5">
        <v>45194</v>
      </c>
      <c r="C4531">
        <v>24541</v>
      </c>
      <c r="D4531" t="str">
        <f>PROPER(Transactions!D4531)</f>
        <v>Sports</v>
      </c>
      <c r="E4531" t="s">
        <v>100</v>
      </c>
      <c r="F4531" t="s">
        <v>101</v>
      </c>
      <c r="G4531">
        <v>2</v>
      </c>
      <c r="H4531">
        <v>22.99</v>
      </c>
      <c r="I4531" s="7">
        <f>IF(Transactions!I4531="",0,Transactions!I4531)</f>
        <v>0</v>
      </c>
      <c r="J4531" s="9">
        <f t="shared" si="70"/>
        <v>45.98</v>
      </c>
      <c r="K4531" t="s">
        <v>16</v>
      </c>
      <c r="L4531" t="s">
        <v>17</v>
      </c>
      <c r="M4531" t="str">
        <f>REPLACE(Transactions!M4531,1,4,"")</f>
        <v>14</v>
      </c>
    </row>
    <row r="4532" spans="1:13" x14ac:dyDescent="0.2">
      <c r="A4532">
        <v>853033</v>
      </c>
      <c r="B4532" s="5">
        <v>45554</v>
      </c>
      <c r="C4532">
        <v>29372</v>
      </c>
      <c r="D4532" t="str">
        <f>PROPER(Transactions!D4532)</f>
        <v>Sports</v>
      </c>
      <c r="E4532" t="s">
        <v>155</v>
      </c>
      <c r="F4532" t="s">
        <v>156</v>
      </c>
      <c r="G4532">
        <v>1</v>
      </c>
      <c r="H4532">
        <v>16.989999999999998</v>
      </c>
      <c r="I4532" s="7">
        <f>IF(Transactions!I4532="",0,Transactions!I4532)</f>
        <v>0.15</v>
      </c>
      <c r="J4532" s="9">
        <f t="shared" si="70"/>
        <v>14.441499999999998</v>
      </c>
      <c r="K4532" t="s">
        <v>16</v>
      </c>
      <c r="L4532" t="s">
        <v>37</v>
      </c>
      <c r="M4532" t="str">
        <f>REPLACE(Transactions!M4532,1,4,"")</f>
        <v>7</v>
      </c>
    </row>
    <row r="4533" spans="1:13" x14ac:dyDescent="0.2">
      <c r="A4533">
        <v>853367</v>
      </c>
      <c r="B4533" s="5">
        <v>45126</v>
      </c>
      <c r="C4533">
        <v>21395</v>
      </c>
      <c r="D4533" t="str">
        <f>PROPER(Transactions!D4533)</f>
        <v>Pharmacy</v>
      </c>
      <c r="E4533" t="s">
        <v>58</v>
      </c>
      <c r="F4533" t="s">
        <v>59</v>
      </c>
      <c r="G4533">
        <v>2</v>
      </c>
      <c r="H4533">
        <v>3.19</v>
      </c>
      <c r="I4533" s="7">
        <f>IF(Transactions!I4533="",0,Transactions!I4533)</f>
        <v>0.2</v>
      </c>
      <c r="J4533" s="9">
        <f t="shared" si="70"/>
        <v>5.1040000000000001</v>
      </c>
      <c r="K4533" t="s">
        <v>16</v>
      </c>
      <c r="L4533" t="s">
        <v>37</v>
      </c>
      <c r="M4533" t="str">
        <f>REPLACE(Transactions!M4533,1,4,"")</f>
        <v>17</v>
      </c>
    </row>
    <row r="4534" spans="1:13" x14ac:dyDescent="0.2">
      <c r="A4534">
        <v>853387</v>
      </c>
      <c r="B4534" s="5">
        <v>44759</v>
      </c>
      <c r="C4534">
        <v>16698</v>
      </c>
      <c r="D4534" t="str">
        <f>PROPER(Transactions!D4534)</f>
        <v>Electronics</v>
      </c>
      <c r="E4534" t="s">
        <v>77</v>
      </c>
      <c r="F4534" t="s">
        <v>78</v>
      </c>
      <c r="G4534">
        <v>5</v>
      </c>
      <c r="H4534">
        <v>499.99</v>
      </c>
      <c r="I4534" s="7">
        <f>IF(Transactions!I4534="",0,Transactions!I4534)</f>
        <v>0</v>
      </c>
      <c r="J4534" s="9">
        <f t="shared" si="70"/>
        <v>2499.9499999999998</v>
      </c>
      <c r="K4534" t="s">
        <v>53</v>
      </c>
      <c r="L4534" t="s">
        <v>17</v>
      </c>
      <c r="M4534" t="str">
        <f>REPLACE(Transactions!M4534,1,4,"")</f>
        <v>13</v>
      </c>
    </row>
    <row r="4535" spans="1:13" x14ac:dyDescent="0.2">
      <c r="A4535">
        <v>853445</v>
      </c>
      <c r="B4535" s="5">
        <v>44771</v>
      </c>
      <c r="C4535">
        <v>70103</v>
      </c>
      <c r="D4535" t="str">
        <f>PROPER(Transactions!D4535)</f>
        <v>Clothing</v>
      </c>
      <c r="E4535" t="s">
        <v>193</v>
      </c>
      <c r="F4535" t="s">
        <v>194</v>
      </c>
      <c r="G4535">
        <v>1</v>
      </c>
      <c r="H4535">
        <v>58.49</v>
      </c>
      <c r="I4535" s="7">
        <f>IF(Transactions!I4535="",0,Transactions!I4535)</f>
        <v>0.1</v>
      </c>
      <c r="J4535" s="9">
        <f t="shared" si="70"/>
        <v>52.641000000000005</v>
      </c>
      <c r="K4535" t="s">
        <v>16</v>
      </c>
      <c r="L4535" t="s">
        <v>17</v>
      </c>
      <c r="M4535" t="str">
        <f>REPLACE(Transactions!M4535,1,4,"")</f>
        <v>3</v>
      </c>
    </row>
    <row r="4536" spans="1:13" x14ac:dyDescent="0.2">
      <c r="A4536">
        <v>853657</v>
      </c>
      <c r="B4536" s="5">
        <v>45287</v>
      </c>
      <c r="C4536">
        <v>43251</v>
      </c>
      <c r="D4536" t="str">
        <f>PROPER(Transactions!D4536)</f>
        <v>Grocery</v>
      </c>
      <c r="E4536" t="s">
        <v>190</v>
      </c>
      <c r="F4536" t="s">
        <v>191</v>
      </c>
      <c r="G4536">
        <v>4</v>
      </c>
      <c r="H4536">
        <v>4.29</v>
      </c>
      <c r="I4536" s="7">
        <f>IF(Transactions!I4536="",0,Transactions!I4536)</f>
        <v>0</v>
      </c>
      <c r="J4536" s="9">
        <f t="shared" si="70"/>
        <v>17.16</v>
      </c>
      <c r="K4536" t="s">
        <v>16</v>
      </c>
      <c r="L4536" t="s">
        <v>23</v>
      </c>
      <c r="M4536" t="str">
        <f>REPLACE(Transactions!M4536,1,4,"")</f>
        <v>5</v>
      </c>
    </row>
    <row r="4537" spans="1:13" x14ac:dyDescent="0.2">
      <c r="A4537">
        <v>854046</v>
      </c>
      <c r="B4537" s="5">
        <v>45143</v>
      </c>
      <c r="D4537" t="str">
        <f>PROPER(Transactions!D4537)</f>
        <v>Electronics</v>
      </c>
      <c r="E4537" t="s">
        <v>79</v>
      </c>
      <c r="F4537" t="s">
        <v>80</v>
      </c>
      <c r="G4537">
        <v>2</v>
      </c>
      <c r="H4537">
        <v>62.99</v>
      </c>
      <c r="I4537" s="7">
        <f>IF(Transactions!I4537="",0,Transactions!I4537)</f>
        <v>0.3</v>
      </c>
      <c r="J4537" s="9">
        <f t="shared" si="70"/>
        <v>88.185999999999993</v>
      </c>
      <c r="K4537" t="s">
        <v>32</v>
      </c>
      <c r="L4537" t="s">
        <v>23</v>
      </c>
      <c r="M4537" t="str">
        <f>REPLACE(Transactions!M4537,1,4,"")</f>
        <v>7</v>
      </c>
    </row>
    <row r="4538" spans="1:13" x14ac:dyDescent="0.2">
      <c r="A4538">
        <v>854094</v>
      </c>
      <c r="B4538" s="5">
        <v>44666</v>
      </c>
      <c r="C4538">
        <v>27004</v>
      </c>
      <c r="D4538" t="str">
        <f>PROPER(Transactions!D4538)</f>
        <v>Automotive</v>
      </c>
      <c r="E4538" t="s">
        <v>68</v>
      </c>
      <c r="F4538" t="s">
        <v>69</v>
      </c>
      <c r="G4538">
        <v>1</v>
      </c>
      <c r="H4538">
        <v>17.489999999999998</v>
      </c>
      <c r="I4538" s="7">
        <f>IF(Transactions!I4538="",0,Transactions!I4538)</f>
        <v>0.3</v>
      </c>
      <c r="J4538" s="9">
        <f t="shared" si="70"/>
        <v>12.242999999999999</v>
      </c>
      <c r="K4538" t="s">
        <v>36</v>
      </c>
      <c r="L4538" t="s">
        <v>17</v>
      </c>
      <c r="M4538" t="str">
        <f>REPLACE(Transactions!M4538,1,4,"")</f>
        <v>12</v>
      </c>
    </row>
    <row r="4539" spans="1:13" x14ac:dyDescent="0.2">
      <c r="A4539">
        <v>854242</v>
      </c>
      <c r="B4539" s="5">
        <v>44566</v>
      </c>
      <c r="C4539">
        <v>58807</v>
      </c>
      <c r="D4539" t="str">
        <f>PROPER(Transactions!D4539)</f>
        <v>Beauty</v>
      </c>
      <c r="E4539" t="s">
        <v>139</v>
      </c>
      <c r="F4539" t="s">
        <v>140</v>
      </c>
      <c r="G4539">
        <v>3</v>
      </c>
      <c r="H4539">
        <v>5.59</v>
      </c>
      <c r="I4539" s="7">
        <f>IF(Transactions!I4539="",0,Transactions!I4539)</f>
        <v>0.3</v>
      </c>
      <c r="J4539" s="9">
        <f t="shared" si="70"/>
        <v>11.738999999999999</v>
      </c>
      <c r="K4539" t="s">
        <v>16</v>
      </c>
      <c r="L4539" t="s">
        <v>17</v>
      </c>
      <c r="M4539" t="str">
        <f>REPLACE(Transactions!M4539,1,4,"")</f>
        <v>18</v>
      </c>
    </row>
    <row r="4540" spans="1:13" x14ac:dyDescent="0.2">
      <c r="A4540">
        <v>854363</v>
      </c>
      <c r="B4540" s="5">
        <v>44696</v>
      </c>
      <c r="C4540">
        <v>80295</v>
      </c>
      <c r="D4540" t="str">
        <f>PROPER(Transactions!D4540)</f>
        <v>Home &amp; Garden</v>
      </c>
      <c r="E4540" t="s">
        <v>153</v>
      </c>
      <c r="F4540" t="s">
        <v>154</v>
      </c>
      <c r="G4540">
        <v>4</v>
      </c>
      <c r="H4540">
        <v>22.49</v>
      </c>
      <c r="I4540" s="7">
        <f>IF(Transactions!I4540="",0,Transactions!I4540)</f>
        <v>0.25</v>
      </c>
      <c r="J4540" s="9">
        <f t="shared" si="70"/>
        <v>67.47</v>
      </c>
      <c r="K4540" t="s">
        <v>95</v>
      </c>
      <c r="L4540" t="s">
        <v>17</v>
      </c>
      <c r="M4540" t="str">
        <f>REPLACE(Transactions!M4540,1,4,"")</f>
        <v>10</v>
      </c>
    </row>
    <row r="4541" spans="1:13" x14ac:dyDescent="0.2">
      <c r="A4541">
        <v>854824</v>
      </c>
      <c r="B4541" s="5">
        <v>44756</v>
      </c>
      <c r="C4541">
        <v>38664</v>
      </c>
      <c r="D4541" t="str">
        <f>PROPER(Transactions!D4541)</f>
        <v>Grocery</v>
      </c>
      <c r="E4541" t="s">
        <v>190</v>
      </c>
      <c r="F4541" t="s">
        <v>191</v>
      </c>
      <c r="G4541">
        <v>1</v>
      </c>
      <c r="H4541">
        <v>4.29</v>
      </c>
      <c r="I4541" s="7">
        <f>IF(Transactions!I4541="",0,Transactions!I4541)</f>
        <v>0</v>
      </c>
      <c r="J4541" s="9">
        <f t="shared" si="70"/>
        <v>4.29</v>
      </c>
      <c r="K4541" t="s">
        <v>53</v>
      </c>
      <c r="L4541" t="s">
        <v>17</v>
      </c>
      <c r="M4541" t="str">
        <f>REPLACE(Transactions!M4541,1,4,"")</f>
        <v>9</v>
      </c>
    </row>
    <row r="4542" spans="1:13" x14ac:dyDescent="0.2">
      <c r="A4542">
        <v>854830</v>
      </c>
      <c r="B4542" s="5">
        <v>44588</v>
      </c>
      <c r="C4542">
        <v>94854</v>
      </c>
      <c r="D4542" t="str">
        <f>PROPER(Transactions!D4542)</f>
        <v>Toys</v>
      </c>
      <c r="E4542" t="s">
        <v>72</v>
      </c>
      <c r="F4542" t="s">
        <v>73</v>
      </c>
      <c r="G4542">
        <v>3</v>
      </c>
      <c r="H4542">
        <v>39.99</v>
      </c>
      <c r="I4542" s="7">
        <f>IF(Transactions!I4542="",0,Transactions!I4542)</f>
        <v>0</v>
      </c>
      <c r="J4542" s="9">
        <f t="shared" si="70"/>
        <v>119.97</v>
      </c>
      <c r="K4542" t="s">
        <v>22</v>
      </c>
      <c r="L4542" t="s">
        <v>17</v>
      </c>
      <c r="M4542" t="str">
        <f>REPLACE(Transactions!M4542,1,4,"")</f>
        <v>5</v>
      </c>
    </row>
    <row r="4543" spans="1:13" x14ac:dyDescent="0.2">
      <c r="A4543">
        <v>854902</v>
      </c>
      <c r="B4543" s="5">
        <v>44876</v>
      </c>
      <c r="C4543">
        <v>95001</v>
      </c>
      <c r="D4543" t="str">
        <f>PROPER(Transactions!D4543)</f>
        <v>Pharmacy</v>
      </c>
      <c r="E4543" t="s">
        <v>41</v>
      </c>
      <c r="F4543" t="s">
        <v>42</v>
      </c>
      <c r="G4543">
        <v>3</v>
      </c>
      <c r="H4543">
        <v>5.69</v>
      </c>
      <c r="I4543" s="7">
        <f>IF(Transactions!I4543="",0,Transactions!I4543)</f>
        <v>0.05</v>
      </c>
      <c r="J4543" s="9">
        <f t="shared" si="70"/>
        <v>16.2165</v>
      </c>
      <c r="K4543" t="s">
        <v>16</v>
      </c>
      <c r="L4543" t="s">
        <v>17</v>
      </c>
      <c r="M4543" t="str">
        <f>REPLACE(Transactions!M4543,1,4,"")</f>
        <v>8</v>
      </c>
    </row>
    <row r="4544" spans="1:13" x14ac:dyDescent="0.2">
      <c r="A4544">
        <v>855053</v>
      </c>
      <c r="B4544" s="5">
        <v>45620</v>
      </c>
      <c r="C4544">
        <v>72402</v>
      </c>
      <c r="D4544" t="str">
        <f>PROPER(Transactions!D4544)</f>
        <v>Toys</v>
      </c>
      <c r="E4544" t="s">
        <v>175</v>
      </c>
      <c r="F4544" t="s">
        <v>176</v>
      </c>
      <c r="G4544">
        <v>1</v>
      </c>
      <c r="H4544">
        <v>11.39</v>
      </c>
      <c r="I4544" s="7">
        <f>IF(Transactions!I4544="",0,Transactions!I4544)</f>
        <v>0.05</v>
      </c>
      <c r="J4544" s="9">
        <f t="shared" si="70"/>
        <v>10.820500000000001</v>
      </c>
      <c r="K4544" t="s">
        <v>16</v>
      </c>
      <c r="L4544" t="s">
        <v>17</v>
      </c>
      <c r="M4544" t="str">
        <f>REPLACE(Transactions!M4544,1,4,"")</f>
        <v>9</v>
      </c>
    </row>
    <row r="4545" spans="1:13" x14ac:dyDescent="0.2">
      <c r="A4545">
        <v>855059</v>
      </c>
      <c r="B4545" s="5">
        <v>44678</v>
      </c>
      <c r="C4545">
        <v>12746</v>
      </c>
      <c r="D4545" t="str">
        <f>PROPER(Transactions!D4545)</f>
        <v>Clothing</v>
      </c>
      <c r="E4545" t="s">
        <v>181</v>
      </c>
      <c r="F4545" t="s">
        <v>182</v>
      </c>
      <c r="G4545">
        <v>1</v>
      </c>
      <c r="H4545">
        <v>14.99</v>
      </c>
      <c r="I4545" s="7">
        <f>IF(Transactions!I4545="",0,Transactions!I4545)</f>
        <v>0</v>
      </c>
      <c r="J4545" s="9">
        <f t="shared" si="70"/>
        <v>14.99</v>
      </c>
      <c r="K4545" t="s">
        <v>16</v>
      </c>
      <c r="L4545" t="s">
        <v>37</v>
      </c>
      <c r="M4545" t="str">
        <f>REPLACE(Transactions!M4545,1,4,"")</f>
        <v>5</v>
      </c>
    </row>
    <row r="4546" spans="1:13" x14ac:dyDescent="0.2">
      <c r="A4546">
        <v>855065</v>
      </c>
      <c r="B4546" s="5">
        <v>45235</v>
      </c>
      <c r="D4546" t="str">
        <f>PROPER(Transactions!D4546)</f>
        <v>Home &amp; Garden</v>
      </c>
      <c r="E4546" t="s">
        <v>149</v>
      </c>
      <c r="F4546" t="s">
        <v>150</v>
      </c>
      <c r="G4546">
        <v>1</v>
      </c>
      <c r="H4546">
        <v>19.989999999999998</v>
      </c>
      <c r="I4546" s="7">
        <f>IF(Transactions!I4546="",0,Transactions!I4546)</f>
        <v>0</v>
      </c>
      <c r="J4546" s="9">
        <f t="shared" si="70"/>
        <v>19.989999999999998</v>
      </c>
      <c r="K4546" t="s">
        <v>16</v>
      </c>
      <c r="L4546" t="s">
        <v>37</v>
      </c>
      <c r="M4546" t="str">
        <f>REPLACE(Transactions!M4546,1,4,"")</f>
        <v>8</v>
      </c>
    </row>
    <row r="4547" spans="1:13" x14ac:dyDescent="0.2">
      <c r="A4547">
        <v>855187</v>
      </c>
      <c r="B4547" s="5">
        <v>44716</v>
      </c>
      <c r="C4547">
        <v>63120</v>
      </c>
      <c r="D4547" t="str">
        <f>PROPER(Transactions!D4547)</f>
        <v>Automotive</v>
      </c>
      <c r="E4547" t="s">
        <v>68</v>
      </c>
      <c r="F4547" t="s">
        <v>69</v>
      </c>
      <c r="G4547">
        <v>4</v>
      </c>
      <c r="H4547">
        <v>24.99</v>
      </c>
      <c r="I4547" s="7">
        <f>IF(Transactions!I4547="",0,Transactions!I4547)</f>
        <v>0</v>
      </c>
      <c r="J4547" s="9">
        <f t="shared" ref="J4547:J4610" si="71">(H4547*G4547)*(1-I4547)</f>
        <v>99.96</v>
      </c>
      <c r="K4547" t="s">
        <v>36</v>
      </c>
      <c r="L4547" t="s">
        <v>17</v>
      </c>
      <c r="M4547" t="str">
        <f>REPLACE(Transactions!M4547,1,4,"")</f>
        <v>20</v>
      </c>
    </row>
    <row r="4548" spans="1:13" x14ac:dyDescent="0.2">
      <c r="A4548">
        <v>855250</v>
      </c>
      <c r="B4548" s="5">
        <v>44747</v>
      </c>
      <c r="C4548">
        <v>37300</v>
      </c>
      <c r="D4548" t="str">
        <f>PROPER(Transactions!D4548)</f>
        <v>Electronics</v>
      </c>
      <c r="E4548" t="s">
        <v>77</v>
      </c>
      <c r="F4548" t="s">
        <v>78</v>
      </c>
      <c r="G4548">
        <v>2</v>
      </c>
      <c r="H4548">
        <v>424.99</v>
      </c>
      <c r="I4548" s="7">
        <f>IF(Transactions!I4548="",0,Transactions!I4548)</f>
        <v>0.15</v>
      </c>
      <c r="J4548" s="9">
        <f t="shared" si="71"/>
        <v>722.48299999999995</v>
      </c>
      <c r="K4548" t="s">
        <v>16</v>
      </c>
      <c r="L4548" t="s">
        <v>17</v>
      </c>
      <c r="M4548" t="str">
        <f>REPLACE(Transactions!M4548,1,4,"")</f>
        <v>14</v>
      </c>
    </row>
    <row r="4549" spans="1:13" x14ac:dyDescent="0.2">
      <c r="A4549">
        <v>855303</v>
      </c>
      <c r="B4549" s="5">
        <v>44906</v>
      </c>
      <c r="C4549">
        <v>94123</v>
      </c>
      <c r="D4549" t="str">
        <f>PROPER(Transactions!D4549)</f>
        <v>Pharmacy</v>
      </c>
      <c r="E4549" t="s">
        <v>41</v>
      </c>
      <c r="F4549" t="s">
        <v>42</v>
      </c>
      <c r="G4549">
        <v>1</v>
      </c>
      <c r="H4549">
        <v>5.09</v>
      </c>
      <c r="I4549" s="7">
        <f>IF(Transactions!I4549="",0,Transactions!I4549)</f>
        <v>0.15</v>
      </c>
      <c r="J4549" s="9">
        <f t="shared" si="71"/>
        <v>4.3264999999999993</v>
      </c>
      <c r="K4549" t="s">
        <v>53</v>
      </c>
      <c r="L4549" t="s">
        <v>17</v>
      </c>
      <c r="M4549" t="str">
        <f>REPLACE(Transactions!M4549,1,4,"")</f>
        <v>20</v>
      </c>
    </row>
    <row r="4550" spans="1:13" x14ac:dyDescent="0.2">
      <c r="A4550">
        <v>855373</v>
      </c>
      <c r="B4550" s="5">
        <v>44699</v>
      </c>
      <c r="C4550">
        <v>98241</v>
      </c>
      <c r="D4550" t="str">
        <f>PROPER(Transactions!D4550)</f>
        <v>Furniture</v>
      </c>
      <c r="E4550" t="s">
        <v>26</v>
      </c>
      <c r="F4550" t="s">
        <v>27</v>
      </c>
      <c r="G4550">
        <v>1</v>
      </c>
      <c r="H4550">
        <v>29.74</v>
      </c>
      <c r="I4550" s="7">
        <f>IF(Transactions!I4550="",0,Transactions!I4550)</f>
        <v>0.15</v>
      </c>
      <c r="J4550" s="9">
        <f t="shared" si="71"/>
        <v>25.278999999999996</v>
      </c>
      <c r="K4550" t="s">
        <v>22</v>
      </c>
      <c r="L4550" t="s">
        <v>17</v>
      </c>
      <c r="M4550" t="str">
        <f>REPLACE(Transactions!M4550,1,4,"")</f>
        <v>14</v>
      </c>
    </row>
    <row r="4551" spans="1:13" x14ac:dyDescent="0.2">
      <c r="A4551">
        <v>855575</v>
      </c>
      <c r="B4551" s="5">
        <v>44581</v>
      </c>
      <c r="C4551">
        <v>64667</v>
      </c>
      <c r="D4551" t="str">
        <f>PROPER(Transactions!D4551)</f>
        <v>Toys</v>
      </c>
      <c r="E4551" t="s">
        <v>38</v>
      </c>
      <c r="F4551" t="s">
        <v>39</v>
      </c>
      <c r="G4551">
        <v>3</v>
      </c>
      <c r="H4551">
        <v>29.99</v>
      </c>
      <c r="I4551" s="7">
        <f>IF(Transactions!I4551="",0,Transactions!I4551)</f>
        <v>0</v>
      </c>
      <c r="J4551" s="9">
        <f t="shared" si="71"/>
        <v>89.97</v>
      </c>
      <c r="K4551" t="s">
        <v>36</v>
      </c>
      <c r="L4551" t="s">
        <v>17</v>
      </c>
      <c r="M4551" t="str">
        <f>REPLACE(Transactions!M4551,1,4,"")</f>
        <v>7</v>
      </c>
    </row>
    <row r="4552" spans="1:13" x14ac:dyDescent="0.2">
      <c r="A4552">
        <v>855824</v>
      </c>
      <c r="B4552" s="5">
        <v>45240</v>
      </c>
      <c r="C4552">
        <v>66049</v>
      </c>
      <c r="D4552" t="str">
        <f>PROPER(Transactions!D4552)</f>
        <v>Beauty</v>
      </c>
      <c r="E4552" t="s">
        <v>49</v>
      </c>
      <c r="F4552" t="s">
        <v>50</v>
      </c>
      <c r="G4552">
        <v>1</v>
      </c>
      <c r="H4552">
        <v>6.29</v>
      </c>
      <c r="I4552" s="7">
        <f>IF(Transactions!I4552="",0,Transactions!I4552)</f>
        <v>0.3</v>
      </c>
      <c r="J4552" s="9">
        <f t="shared" si="71"/>
        <v>4.4029999999999996</v>
      </c>
      <c r="K4552" t="s">
        <v>16</v>
      </c>
      <c r="L4552" t="s">
        <v>17</v>
      </c>
      <c r="M4552" t="str">
        <f>REPLACE(Transactions!M4552,1,4,"")</f>
        <v>19</v>
      </c>
    </row>
    <row r="4553" spans="1:13" x14ac:dyDescent="0.2">
      <c r="A4553">
        <v>855878</v>
      </c>
      <c r="B4553" s="5">
        <v>44684</v>
      </c>
      <c r="C4553">
        <v>83858</v>
      </c>
      <c r="D4553" t="str">
        <f>PROPER(Transactions!D4553)</f>
        <v>Furniture</v>
      </c>
      <c r="E4553" t="s">
        <v>26</v>
      </c>
      <c r="F4553" t="s">
        <v>27</v>
      </c>
      <c r="G4553">
        <v>2</v>
      </c>
      <c r="H4553">
        <v>31.49</v>
      </c>
      <c r="I4553" s="7">
        <f>IF(Transactions!I4553="",0,Transactions!I4553)</f>
        <v>0.1</v>
      </c>
      <c r="J4553" s="9">
        <f t="shared" si="71"/>
        <v>56.681999999999995</v>
      </c>
      <c r="K4553" t="s">
        <v>22</v>
      </c>
      <c r="L4553" t="s">
        <v>37</v>
      </c>
      <c r="M4553" t="str">
        <f>REPLACE(Transactions!M4553,1,4,"")</f>
        <v>7</v>
      </c>
    </row>
    <row r="4554" spans="1:13" x14ac:dyDescent="0.2">
      <c r="A4554">
        <v>856137</v>
      </c>
      <c r="B4554" s="5">
        <v>44703</v>
      </c>
      <c r="C4554">
        <v>59600</v>
      </c>
      <c r="D4554" t="str">
        <f>PROPER(Transactions!D4554)</f>
        <v>Furniture</v>
      </c>
      <c r="E4554" t="s">
        <v>70</v>
      </c>
      <c r="F4554" t="s">
        <v>71</v>
      </c>
      <c r="G4554">
        <v>3</v>
      </c>
      <c r="H4554">
        <v>89.99</v>
      </c>
      <c r="I4554" s="7">
        <f>IF(Transactions!I4554="",0,Transactions!I4554)</f>
        <v>0</v>
      </c>
      <c r="J4554" s="9">
        <f t="shared" si="71"/>
        <v>269.96999999999997</v>
      </c>
      <c r="K4554" t="s">
        <v>16</v>
      </c>
      <c r="L4554" t="s">
        <v>37</v>
      </c>
      <c r="M4554" t="str">
        <f>REPLACE(Transactions!M4554,1,4,"")</f>
        <v>10</v>
      </c>
    </row>
    <row r="4555" spans="1:13" x14ac:dyDescent="0.2">
      <c r="A4555">
        <v>856183</v>
      </c>
      <c r="B4555" s="5">
        <v>45074</v>
      </c>
      <c r="C4555">
        <v>28460</v>
      </c>
      <c r="D4555" t="str">
        <f>PROPER(Transactions!D4555)</f>
        <v>Furniture</v>
      </c>
      <c r="E4555" t="s">
        <v>26</v>
      </c>
      <c r="F4555" t="s">
        <v>27</v>
      </c>
      <c r="G4555">
        <v>2</v>
      </c>
      <c r="H4555">
        <v>34.99</v>
      </c>
      <c r="I4555" s="7">
        <f>IF(Transactions!I4555="",0,Transactions!I4555)</f>
        <v>0</v>
      </c>
      <c r="J4555" s="9">
        <f t="shared" si="71"/>
        <v>69.98</v>
      </c>
      <c r="K4555" t="s">
        <v>36</v>
      </c>
      <c r="L4555" t="s">
        <v>17</v>
      </c>
      <c r="M4555" t="str">
        <f>REPLACE(Transactions!M4555,1,4,"")</f>
        <v>16</v>
      </c>
    </row>
    <row r="4556" spans="1:13" x14ac:dyDescent="0.2">
      <c r="A4556">
        <v>856277</v>
      </c>
      <c r="B4556" s="5">
        <v>45605</v>
      </c>
      <c r="C4556">
        <v>96283</v>
      </c>
      <c r="D4556" t="str">
        <f>PROPER(Transactions!D4556)</f>
        <v>Pharmacy</v>
      </c>
      <c r="E4556" t="s">
        <v>41</v>
      </c>
      <c r="F4556" t="s">
        <v>42</v>
      </c>
      <c r="G4556">
        <v>1</v>
      </c>
      <c r="H4556">
        <v>5.99</v>
      </c>
      <c r="I4556" s="7">
        <f>IF(Transactions!I4556="",0,Transactions!I4556)</f>
        <v>0</v>
      </c>
      <c r="J4556" s="9">
        <f t="shared" si="71"/>
        <v>5.99</v>
      </c>
      <c r="K4556" t="s">
        <v>16</v>
      </c>
      <c r="L4556" t="s">
        <v>17</v>
      </c>
      <c r="M4556" t="str">
        <f>REPLACE(Transactions!M4556,1,4,"")</f>
        <v>16</v>
      </c>
    </row>
    <row r="4557" spans="1:13" x14ac:dyDescent="0.2">
      <c r="A4557">
        <v>856582</v>
      </c>
      <c r="B4557" s="5">
        <v>45630</v>
      </c>
      <c r="C4557">
        <v>25203</v>
      </c>
      <c r="D4557" t="str">
        <f>PROPER(Transactions!D4557)</f>
        <v>Pharmacy</v>
      </c>
      <c r="E4557" t="s">
        <v>20</v>
      </c>
      <c r="F4557" t="s">
        <v>21</v>
      </c>
      <c r="G4557">
        <v>1</v>
      </c>
      <c r="H4557">
        <v>8.99</v>
      </c>
      <c r="I4557" s="7">
        <f>IF(Transactions!I4557="",0,Transactions!I4557)</f>
        <v>0.1</v>
      </c>
      <c r="J4557" s="9">
        <f t="shared" si="71"/>
        <v>8.0910000000000011</v>
      </c>
      <c r="K4557" t="s">
        <v>36</v>
      </c>
      <c r="L4557" t="s">
        <v>17</v>
      </c>
      <c r="M4557" t="str">
        <f>REPLACE(Transactions!M4557,1,4,"")</f>
        <v>10</v>
      </c>
    </row>
    <row r="4558" spans="1:13" x14ac:dyDescent="0.2">
      <c r="A4558">
        <v>856792</v>
      </c>
      <c r="B4558" s="5">
        <v>45500</v>
      </c>
      <c r="C4558">
        <v>91509</v>
      </c>
      <c r="D4558" t="str">
        <f>PROPER(Transactions!D4558)</f>
        <v>Home &amp; Garden</v>
      </c>
      <c r="E4558" t="s">
        <v>149</v>
      </c>
      <c r="F4558" t="s">
        <v>150</v>
      </c>
      <c r="G4558">
        <v>1</v>
      </c>
      <c r="H4558">
        <v>19.989999999999998</v>
      </c>
      <c r="I4558" s="7">
        <f>IF(Transactions!I4558="",0,Transactions!I4558)</f>
        <v>0</v>
      </c>
      <c r="J4558" s="9">
        <f t="shared" si="71"/>
        <v>19.989999999999998</v>
      </c>
      <c r="K4558" t="s">
        <v>22</v>
      </c>
      <c r="L4558" t="s">
        <v>23</v>
      </c>
      <c r="M4558" t="str">
        <f>REPLACE(Transactions!M4558,1,4,"")</f>
        <v>2</v>
      </c>
    </row>
    <row r="4559" spans="1:13" x14ac:dyDescent="0.2">
      <c r="A4559">
        <v>856853</v>
      </c>
      <c r="B4559" s="5">
        <v>44581</v>
      </c>
      <c r="C4559">
        <v>85996</v>
      </c>
      <c r="D4559" t="str">
        <f>PROPER(Transactions!D4559)</f>
        <v>Automotive</v>
      </c>
      <c r="E4559" t="s">
        <v>125</v>
      </c>
      <c r="F4559" t="s">
        <v>126</v>
      </c>
      <c r="G4559">
        <v>3</v>
      </c>
      <c r="H4559">
        <v>22.49</v>
      </c>
      <c r="I4559" s="7">
        <f>IF(Transactions!I4559="",0,Transactions!I4559)</f>
        <v>0.25</v>
      </c>
      <c r="J4559" s="9">
        <f t="shared" si="71"/>
        <v>50.602499999999999</v>
      </c>
      <c r="K4559" t="s">
        <v>22</v>
      </c>
      <c r="L4559" t="s">
        <v>17</v>
      </c>
      <c r="M4559" t="str">
        <f>REPLACE(Transactions!M4559,1,4,"")</f>
        <v>5</v>
      </c>
    </row>
    <row r="4560" spans="1:13" x14ac:dyDescent="0.2">
      <c r="A4560">
        <v>856891</v>
      </c>
      <c r="B4560" s="5">
        <v>45016</v>
      </c>
      <c r="C4560">
        <v>39292</v>
      </c>
      <c r="D4560" t="str">
        <f>PROPER(Transactions!D4560)</f>
        <v>Automotive</v>
      </c>
      <c r="E4560" t="s">
        <v>131</v>
      </c>
      <c r="F4560" t="s">
        <v>132</v>
      </c>
      <c r="G4560">
        <v>4</v>
      </c>
      <c r="H4560">
        <v>3.49</v>
      </c>
      <c r="I4560" s="7">
        <f>IF(Transactions!I4560="",0,Transactions!I4560)</f>
        <v>0</v>
      </c>
      <c r="J4560" s="9">
        <f t="shared" si="71"/>
        <v>13.96</v>
      </c>
      <c r="K4560" t="s">
        <v>22</v>
      </c>
      <c r="L4560" t="s">
        <v>17</v>
      </c>
      <c r="M4560" t="str">
        <f>REPLACE(Transactions!M4560,1,4,"")</f>
        <v>1</v>
      </c>
    </row>
    <row r="4561" spans="1:13" x14ac:dyDescent="0.2">
      <c r="A4561">
        <v>856939</v>
      </c>
      <c r="B4561" s="5">
        <v>45550</v>
      </c>
      <c r="C4561">
        <v>92222</v>
      </c>
      <c r="D4561" t="str">
        <f>PROPER(Transactions!D4561)</f>
        <v>Electronics</v>
      </c>
      <c r="E4561" t="s">
        <v>127</v>
      </c>
      <c r="F4561" t="s">
        <v>128</v>
      </c>
      <c r="G4561">
        <v>3</v>
      </c>
      <c r="H4561">
        <v>18.989999999999998</v>
      </c>
      <c r="I4561" s="7">
        <f>IF(Transactions!I4561="",0,Transactions!I4561)</f>
        <v>0.05</v>
      </c>
      <c r="J4561" s="9">
        <f t="shared" si="71"/>
        <v>54.121499999999997</v>
      </c>
      <c r="K4561" t="s">
        <v>16</v>
      </c>
      <c r="L4561" t="s">
        <v>17</v>
      </c>
      <c r="M4561" t="str">
        <f>REPLACE(Transactions!M4561,1,4,"")</f>
        <v>16</v>
      </c>
    </row>
    <row r="4562" spans="1:13" x14ac:dyDescent="0.2">
      <c r="A4562">
        <v>856972</v>
      </c>
      <c r="B4562" s="5">
        <v>45357</v>
      </c>
      <c r="C4562">
        <v>55899</v>
      </c>
      <c r="D4562" t="str">
        <f>PROPER(Transactions!D4562)</f>
        <v>Home &amp; Garden</v>
      </c>
      <c r="E4562" t="s">
        <v>157</v>
      </c>
      <c r="F4562" t="s">
        <v>158</v>
      </c>
      <c r="G4562">
        <v>5</v>
      </c>
      <c r="H4562">
        <v>12.82</v>
      </c>
      <c r="I4562" s="7">
        <f>IF(Transactions!I4562="",0,Transactions!I4562)</f>
        <v>0.05</v>
      </c>
      <c r="J4562" s="9">
        <f t="shared" si="71"/>
        <v>60.894999999999989</v>
      </c>
      <c r="K4562" t="s">
        <v>36</v>
      </c>
      <c r="L4562" t="s">
        <v>17</v>
      </c>
      <c r="M4562" t="str">
        <f>REPLACE(Transactions!M4562,1,4,"")</f>
        <v>9</v>
      </c>
    </row>
    <row r="4563" spans="1:13" x14ac:dyDescent="0.2">
      <c r="A4563">
        <v>856990</v>
      </c>
      <c r="B4563" s="5">
        <v>44966</v>
      </c>
      <c r="C4563">
        <v>66477</v>
      </c>
      <c r="D4563" t="str">
        <f>PROPER(Transactions!D4563)</f>
        <v>Home &amp; Garden</v>
      </c>
      <c r="E4563" t="s">
        <v>145</v>
      </c>
      <c r="F4563" t="s">
        <v>146</v>
      </c>
      <c r="G4563">
        <v>5</v>
      </c>
      <c r="H4563">
        <v>16.989999999999998</v>
      </c>
      <c r="I4563" s="7">
        <f>IF(Transactions!I4563="",0,Transactions!I4563)</f>
        <v>0</v>
      </c>
      <c r="J4563" s="9">
        <f t="shared" si="71"/>
        <v>84.949999999999989</v>
      </c>
      <c r="K4563" t="s">
        <v>66</v>
      </c>
      <c r="L4563" t="s">
        <v>17</v>
      </c>
      <c r="M4563" t="str">
        <f>REPLACE(Transactions!M4563,1,4,"")</f>
        <v>19</v>
      </c>
    </row>
    <row r="4564" spans="1:13" x14ac:dyDescent="0.2">
      <c r="A4564">
        <v>857133</v>
      </c>
      <c r="B4564" s="5">
        <v>44764</v>
      </c>
      <c r="C4564">
        <v>84081</v>
      </c>
      <c r="D4564" t="str">
        <f>PROPER(Transactions!D4564)</f>
        <v>Toys</v>
      </c>
      <c r="E4564" t="s">
        <v>88</v>
      </c>
      <c r="F4564" t="s">
        <v>89</v>
      </c>
      <c r="G4564">
        <v>4</v>
      </c>
      <c r="H4564">
        <v>39.99</v>
      </c>
      <c r="I4564" s="7">
        <f>IF(Transactions!I4564="",0,Transactions!I4564)</f>
        <v>0.2</v>
      </c>
      <c r="J4564" s="9">
        <f t="shared" si="71"/>
        <v>127.96800000000002</v>
      </c>
      <c r="K4564" t="s">
        <v>22</v>
      </c>
      <c r="L4564" t="s">
        <v>17</v>
      </c>
      <c r="M4564" t="str">
        <f>REPLACE(Transactions!M4564,1,4,"")</f>
        <v>2</v>
      </c>
    </row>
    <row r="4565" spans="1:13" x14ac:dyDescent="0.2">
      <c r="A4565">
        <v>857168</v>
      </c>
      <c r="B4565" s="5">
        <v>45134</v>
      </c>
      <c r="C4565">
        <v>58873</v>
      </c>
      <c r="D4565" t="str">
        <f>PROPER(Transactions!D4565)</f>
        <v>Furniture</v>
      </c>
      <c r="E4565" t="s">
        <v>113</v>
      </c>
      <c r="F4565" t="s">
        <v>114</v>
      </c>
      <c r="G4565">
        <v>4</v>
      </c>
      <c r="H4565">
        <v>119.99</v>
      </c>
      <c r="I4565" s="7">
        <f>IF(Transactions!I4565="",0,Transactions!I4565)</f>
        <v>0</v>
      </c>
      <c r="J4565" s="9">
        <f t="shared" si="71"/>
        <v>479.96</v>
      </c>
      <c r="K4565" t="s">
        <v>16</v>
      </c>
      <c r="L4565" t="s">
        <v>17</v>
      </c>
      <c r="M4565" t="str">
        <f>REPLACE(Transactions!M4565,1,4,"")</f>
        <v>17</v>
      </c>
    </row>
    <row r="4566" spans="1:13" x14ac:dyDescent="0.2">
      <c r="A4566">
        <v>857168</v>
      </c>
      <c r="B4566" s="5">
        <v>45452</v>
      </c>
      <c r="C4566">
        <v>33416</v>
      </c>
      <c r="D4566" t="str">
        <f>PROPER(Transactions!D4566)</f>
        <v>Sports</v>
      </c>
      <c r="E4566" t="s">
        <v>100</v>
      </c>
      <c r="F4566" t="s">
        <v>101</v>
      </c>
      <c r="G4566">
        <v>2</v>
      </c>
      <c r="H4566">
        <v>22.99</v>
      </c>
      <c r="I4566" s="7">
        <f>IF(Transactions!I4566="",0,Transactions!I4566)</f>
        <v>0</v>
      </c>
      <c r="J4566" s="9">
        <f t="shared" si="71"/>
        <v>45.98</v>
      </c>
      <c r="K4566" t="s">
        <v>36</v>
      </c>
      <c r="L4566" t="s">
        <v>17</v>
      </c>
      <c r="M4566" t="str">
        <f>REPLACE(Transactions!M4566,1,4,"")</f>
        <v>10</v>
      </c>
    </row>
    <row r="4567" spans="1:13" x14ac:dyDescent="0.2">
      <c r="A4567">
        <v>857312</v>
      </c>
      <c r="B4567" s="5">
        <v>44778</v>
      </c>
      <c r="C4567">
        <v>40397</v>
      </c>
      <c r="D4567" t="str">
        <f>PROPER(Transactions!D4567)</f>
        <v>Automotive</v>
      </c>
      <c r="E4567" t="s">
        <v>111</v>
      </c>
      <c r="F4567" t="s">
        <v>112</v>
      </c>
      <c r="G4567">
        <v>5</v>
      </c>
      <c r="H4567">
        <v>11.24</v>
      </c>
      <c r="I4567" s="7">
        <f>IF(Transactions!I4567="",0,Transactions!I4567)</f>
        <v>0.25</v>
      </c>
      <c r="J4567" s="9">
        <f t="shared" si="71"/>
        <v>42.150000000000006</v>
      </c>
      <c r="K4567" t="s">
        <v>22</v>
      </c>
      <c r="L4567" t="s">
        <v>17</v>
      </c>
      <c r="M4567" t="str">
        <f>REPLACE(Transactions!M4567,1,4,"")</f>
        <v>1</v>
      </c>
    </row>
    <row r="4568" spans="1:13" x14ac:dyDescent="0.2">
      <c r="A4568">
        <v>857353</v>
      </c>
      <c r="B4568" s="5">
        <v>45404</v>
      </c>
      <c r="C4568">
        <v>18732</v>
      </c>
      <c r="D4568" t="str">
        <f>PROPER(Transactions!D4568)</f>
        <v>Pharmacy</v>
      </c>
      <c r="E4568" t="s">
        <v>197</v>
      </c>
      <c r="F4568" t="s">
        <v>198</v>
      </c>
      <c r="G4568">
        <v>5</v>
      </c>
      <c r="H4568">
        <v>10.49</v>
      </c>
      <c r="I4568" s="7">
        <f>IF(Transactions!I4568="",0,Transactions!I4568)</f>
        <v>0.3</v>
      </c>
      <c r="J4568" s="9">
        <f t="shared" si="71"/>
        <v>36.714999999999996</v>
      </c>
      <c r="K4568" t="s">
        <v>36</v>
      </c>
      <c r="L4568" t="s">
        <v>17</v>
      </c>
      <c r="M4568" t="str">
        <f>REPLACE(Transactions!M4568,1,4,"")</f>
        <v>5</v>
      </c>
    </row>
    <row r="4569" spans="1:13" x14ac:dyDescent="0.2">
      <c r="A4569">
        <v>857471</v>
      </c>
      <c r="B4569" s="5">
        <v>44718</v>
      </c>
      <c r="C4569">
        <v>37508</v>
      </c>
      <c r="D4569" t="str">
        <f>PROPER(Transactions!D4569)</f>
        <v>Toys</v>
      </c>
      <c r="E4569" t="s">
        <v>30</v>
      </c>
      <c r="F4569" t="s">
        <v>31</v>
      </c>
      <c r="G4569">
        <v>1</v>
      </c>
      <c r="H4569">
        <v>23.74</v>
      </c>
      <c r="I4569" s="7">
        <f>IF(Transactions!I4569="",0,Transactions!I4569)</f>
        <v>0.05</v>
      </c>
      <c r="J4569" s="9">
        <f t="shared" si="71"/>
        <v>22.552999999999997</v>
      </c>
      <c r="K4569" t="s">
        <v>36</v>
      </c>
      <c r="L4569" t="s">
        <v>17</v>
      </c>
      <c r="M4569" t="str">
        <f>REPLACE(Transactions!M4569,1,4,"")</f>
        <v>2</v>
      </c>
    </row>
    <row r="4570" spans="1:13" x14ac:dyDescent="0.2">
      <c r="A4570">
        <v>857524</v>
      </c>
      <c r="B4570" s="5">
        <v>44579</v>
      </c>
      <c r="C4570">
        <v>90750</v>
      </c>
      <c r="D4570" t="str">
        <f>PROPER(Transactions!D4570)</f>
        <v>Grocery</v>
      </c>
      <c r="E4570" t="s">
        <v>74</v>
      </c>
      <c r="F4570" t="s">
        <v>75</v>
      </c>
      <c r="G4570">
        <v>2</v>
      </c>
      <c r="H4570">
        <v>2.99</v>
      </c>
      <c r="I4570" s="7">
        <f>IF(Transactions!I4570="",0,Transactions!I4570)</f>
        <v>0</v>
      </c>
      <c r="J4570" s="9">
        <f t="shared" si="71"/>
        <v>5.98</v>
      </c>
      <c r="K4570" t="s">
        <v>95</v>
      </c>
      <c r="L4570" t="s">
        <v>37</v>
      </c>
      <c r="M4570" t="str">
        <f>REPLACE(Transactions!M4570,1,4,"")</f>
        <v>1</v>
      </c>
    </row>
    <row r="4571" spans="1:13" x14ac:dyDescent="0.2">
      <c r="A4571">
        <v>858230</v>
      </c>
      <c r="B4571" s="5">
        <v>44859</v>
      </c>
      <c r="C4571">
        <v>29261</v>
      </c>
      <c r="D4571" t="str">
        <f>PROPER(Transactions!D4571)</f>
        <v>Grocery</v>
      </c>
      <c r="E4571" t="s">
        <v>93</v>
      </c>
      <c r="F4571" t="s">
        <v>94</v>
      </c>
      <c r="G4571">
        <v>2</v>
      </c>
      <c r="H4571">
        <v>0.9</v>
      </c>
      <c r="I4571" s="7">
        <f>IF(Transactions!I4571="",0,Transactions!I4571)</f>
        <v>0.3</v>
      </c>
      <c r="J4571" s="9">
        <f t="shared" si="71"/>
        <v>1.26</v>
      </c>
      <c r="K4571" t="s">
        <v>16</v>
      </c>
      <c r="L4571" t="s">
        <v>37</v>
      </c>
      <c r="M4571" t="str">
        <f>REPLACE(Transactions!M4571,1,4,"")</f>
        <v>5</v>
      </c>
    </row>
    <row r="4572" spans="1:13" x14ac:dyDescent="0.2">
      <c r="A4572">
        <v>858332</v>
      </c>
      <c r="B4572" s="5">
        <v>45054</v>
      </c>
      <c r="C4572">
        <v>70788</v>
      </c>
      <c r="D4572" t="str">
        <f>PROPER(Transactions!D4572)</f>
        <v>Clothing</v>
      </c>
      <c r="E4572" t="s">
        <v>151</v>
      </c>
      <c r="F4572" t="s">
        <v>152</v>
      </c>
      <c r="G4572">
        <v>2</v>
      </c>
      <c r="H4572">
        <v>27.99</v>
      </c>
      <c r="I4572" s="7">
        <f>IF(Transactions!I4572="",0,Transactions!I4572)</f>
        <v>0.2</v>
      </c>
      <c r="J4572" s="9">
        <f t="shared" si="71"/>
        <v>44.783999999999999</v>
      </c>
      <c r="K4572" t="s">
        <v>36</v>
      </c>
      <c r="L4572" t="s">
        <v>17</v>
      </c>
      <c r="M4572" t="str">
        <f>REPLACE(Transactions!M4572,1,4,"")</f>
        <v>4</v>
      </c>
    </row>
    <row r="4573" spans="1:13" x14ac:dyDescent="0.2">
      <c r="A4573">
        <v>858536</v>
      </c>
      <c r="B4573" s="5">
        <v>45341</v>
      </c>
      <c r="C4573">
        <v>45193</v>
      </c>
      <c r="D4573" t="str">
        <f>PROPER(Transactions!D4573)</f>
        <v>Automotive</v>
      </c>
      <c r="E4573" t="s">
        <v>131</v>
      </c>
      <c r="F4573" t="s">
        <v>132</v>
      </c>
      <c r="G4573">
        <v>4</v>
      </c>
      <c r="H4573">
        <v>3.14</v>
      </c>
      <c r="I4573" s="7">
        <f>IF(Transactions!I4573="",0,Transactions!I4573)</f>
        <v>0.1</v>
      </c>
      <c r="J4573" s="9">
        <f t="shared" si="71"/>
        <v>11.304</v>
      </c>
      <c r="K4573" t="s">
        <v>16</v>
      </c>
      <c r="L4573" t="s">
        <v>17</v>
      </c>
      <c r="M4573" t="str">
        <f>REPLACE(Transactions!M4573,1,4,"")</f>
        <v>8</v>
      </c>
    </row>
    <row r="4574" spans="1:13" x14ac:dyDescent="0.2">
      <c r="A4574">
        <v>858545</v>
      </c>
      <c r="B4574" s="5">
        <v>45144</v>
      </c>
      <c r="D4574" t="str">
        <f>PROPER(Transactions!D4574)</f>
        <v>Furniture</v>
      </c>
      <c r="E4574" t="s">
        <v>70</v>
      </c>
      <c r="F4574" t="s">
        <v>71</v>
      </c>
      <c r="G4574">
        <v>4</v>
      </c>
      <c r="H4574">
        <v>71.989999999999995</v>
      </c>
      <c r="I4574" s="7">
        <f>IF(Transactions!I4574="",0,Transactions!I4574)</f>
        <v>0</v>
      </c>
      <c r="J4574" s="9">
        <f t="shared" si="71"/>
        <v>287.95999999999998</v>
      </c>
      <c r="K4574" t="s">
        <v>16</v>
      </c>
      <c r="L4574" t="s">
        <v>23</v>
      </c>
      <c r="M4574" t="str">
        <f>REPLACE(Transactions!M4574,1,4,"")</f>
        <v>5</v>
      </c>
    </row>
    <row r="4575" spans="1:13" x14ac:dyDescent="0.2">
      <c r="A4575">
        <v>858593</v>
      </c>
      <c r="B4575" s="5">
        <v>44794</v>
      </c>
      <c r="C4575">
        <v>98060</v>
      </c>
      <c r="D4575" t="str">
        <f>PROPER(Transactions!D4575)</f>
        <v>Home &amp; Garden</v>
      </c>
      <c r="E4575" t="s">
        <v>129</v>
      </c>
      <c r="F4575" t="s">
        <v>130</v>
      </c>
      <c r="G4575">
        <v>4</v>
      </c>
      <c r="H4575">
        <v>7.64</v>
      </c>
      <c r="I4575" s="7">
        <f>IF(Transactions!I4575="",0,Transactions!I4575)</f>
        <v>0.15</v>
      </c>
      <c r="J4575" s="9">
        <f t="shared" si="71"/>
        <v>25.975999999999999</v>
      </c>
      <c r="K4575" t="s">
        <v>16</v>
      </c>
      <c r="L4575" t="s">
        <v>37</v>
      </c>
      <c r="M4575" t="str">
        <f>REPLACE(Transactions!M4575,1,4,"")</f>
        <v>18</v>
      </c>
    </row>
    <row r="4576" spans="1:13" x14ac:dyDescent="0.2">
      <c r="A4576">
        <v>858699</v>
      </c>
      <c r="B4576" s="5">
        <v>45599</v>
      </c>
      <c r="C4576">
        <v>73119</v>
      </c>
      <c r="D4576" t="str">
        <f>PROPER(Transactions!D4576)</f>
        <v>Automotive</v>
      </c>
      <c r="E4576" t="s">
        <v>111</v>
      </c>
      <c r="F4576" t="s">
        <v>112</v>
      </c>
      <c r="G4576">
        <v>2</v>
      </c>
      <c r="H4576">
        <v>14.99</v>
      </c>
      <c r="I4576" s="7">
        <f>IF(Transactions!I4576="",0,Transactions!I4576)</f>
        <v>0</v>
      </c>
      <c r="J4576" s="9">
        <f t="shared" si="71"/>
        <v>29.98</v>
      </c>
      <c r="K4576" t="s">
        <v>95</v>
      </c>
      <c r="L4576" t="s">
        <v>17</v>
      </c>
      <c r="M4576" t="str">
        <f>REPLACE(Transactions!M4576,1,4,"")</f>
        <v>16</v>
      </c>
    </row>
    <row r="4577" spans="1:13" x14ac:dyDescent="0.2">
      <c r="A4577">
        <v>858805</v>
      </c>
      <c r="B4577" s="5">
        <v>45401</v>
      </c>
      <c r="C4577">
        <v>47799</v>
      </c>
      <c r="D4577" t="str">
        <f>PROPER(Transactions!D4577)</f>
        <v>Furniture</v>
      </c>
      <c r="E4577" t="s">
        <v>51</v>
      </c>
      <c r="F4577" t="s">
        <v>52</v>
      </c>
      <c r="G4577">
        <v>5</v>
      </c>
      <c r="H4577">
        <v>26.59</v>
      </c>
      <c r="I4577" s="7">
        <f>IF(Transactions!I4577="",0,Transactions!I4577)</f>
        <v>0.05</v>
      </c>
      <c r="J4577" s="9">
        <f t="shared" si="71"/>
        <v>126.30249999999998</v>
      </c>
      <c r="K4577" t="s">
        <v>53</v>
      </c>
      <c r="L4577" t="s">
        <v>17</v>
      </c>
      <c r="M4577" t="str">
        <f>REPLACE(Transactions!M4577,1,4,"")</f>
        <v>10</v>
      </c>
    </row>
    <row r="4578" spans="1:13" x14ac:dyDescent="0.2">
      <c r="A4578">
        <v>858950</v>
      </c>
      <c r="B4578" s="5">
        <v>44921</v>
      </c>
      <c r="C4578">
        <v>52956</v>
      </c>
      <c r="D4578" t="str">
        <f>PROPER(Transactions!D4578)</f>
        <v>Pharmacy</v>
      </c>
      <c r="E4578" t="s">
        <v>58</v>
      </c>
      <c r="F4578" t="s">
        <v>59</v>
      </c>
      <c r="G4578">
        <v>3</v>
      </c>
      <c r="H4578">
        <v>3.99</v>
      </c>
      <c r="I4578" s="7">
        <f>IF(Transactions!I4578="",0,Transactions!I4578)</f>
        <v>0</v>
      </c>
      <c r="J4578" s="9">
        <f t="shared" si="71"/>
        <v>11.97</v>
      </c>
      <c r="K4578" t="s">
        <v>53</v>
      </c>
      <c r="L4578" t="s">
        <v>17</v>
      </c>
      <c r="M4578" t="str">
        <f>REPLACE(Transactions!M4578,1,4,"")</f>
        <v>17</v>
      </c>
    </row>
    <row r="4579" spans="1:13" x14ac:dyDescent="0.2">
      <c r="A4579">
        <v>859212</v>
      </c>
      <c r="B4579" s="5">
        <v>45630</v>
      </c>
      <c r="C4579">
        <v>36054</v>
      </c>
      <c r="D4579" t="str">
        <f>PROPER(Transactions!D4579)</f>
        <v>Toys</v>
      </c>
      <c r="E4579" t="s">
        <v>72</v>
      </c>
      <c r="F4579" t="s">
        <v>73</v>
      </c>
      <c r="G4579">
        <v>2</v>
      </c>
      <c r="H4579">
        <v>39.99</v>
      </c>
      <c r="I4579" s="7">
        <f>IF(Transactions!I4579="",0,Transactions!I4579)</f>
        <v>0</v>
      </c>
      <c r="J4579" s="9">
        <f t="shared" si="71"/>
        <v>79.98</v>
      </c>
      <c r="K4579" t="s">
        <v>32</v>
      </c>
      <c r="L4579" t="s">
        <v>17</v>
      </c>
      <c r="M4579" t="str">
        <f>REPLACE(Transactions!M4579,1,4,"")</f>
        <v>1</v>
      </c>
    </row>
    <row r="4580" spans="1:13" x14ac:dyDescent="0.2">
      <c r="A4580">
        <v>859260</v>
      </c>
      <c r="B4580" s="5">
        <v>44797</v>
      </c>
      <c r="C4580">
        <v>61975</v>
      </c>
      <c r="D4580" t="str">
        <f>PROPER(Transactions!D4580)</f>
        <v>Toys</v>
      </c>
      <c r="E4580" t="s">
        <v>170</v>
      </c>
      <c r="F4580" t="s">
        <v>171</v>
      </c>
      <c r="G4580">
        <v>3</v>
      </c>
      <c r="H4580">
        <v>14.99</v>
      </c>
      <c r="I4580" s="7">
        <f>IF(Transactions!I4580="",0,Transactions!I4580)</f>
        <v>0</v>
      </c>
      <c r="J4580" s="9">
        <f t="shared" si="71"/>
        <v>44.97</v>
      </c>
      <c r="K4580" t="s">
        <v>53</v>
      </c>
      <c r="L4580" t="s">
        <v>17</v>
      </c>
      <c r="M4580" t="str">
        <f>REPLACE(Transactions!M4580,1,4,"")</f>
        <v>9</v>
      </c>
    </row>
    <row r="4581" spans="1:13" x14ac:dyDescent="0.2">
      <c r="A4581">
        <v>859378</v>
      </c>
      <c r="B4581" s="5">
        <v>44896</v>
      </c>
      <c r="C4581">
        <v>34682</v>
      </c>
      <c r="D4581" t="str">
        <f>PROPER(Transactions!D4581)</f>
        <v>Pharmacy</v>
      </c>
      <c r="E4581" t="s">
        <v>115</v>
      </c>
      <c r="F4581" t="s">
        <v>116</v>
      </c>
      <c r="G4581">
        <v>1</v>
      </c>
      <c r="H4581">
        <v>12.99</v>
      </c>
      <c r="I4581" s="7">
        <f>IF(Transactions!I4581="",0,Transactions!I4581)</f>
        <v>0</v>
      </c>
      <c r="J4581" s="9">
        <f t="shared" si="71"/>
        <v>12.99</v>
      </c>
      <c r="K4581" t="s">
        <v>16</v>
      </c>
      <c r="L4581" t="s">
        <v>17</v>
      </c>
      <c r="M4581" t="str">
        <f>REPLACE(Transactions!M4581,1,4,"")</f>
        <v>13</v>
      </c>
    </row>
    <row r="4582" spans="1:13" x14ac:dyDescent="0.2">
      <c r="A4582">
        <v>859397</v>
      </c>
      <c r="B4582" s="5">
        <v>45362</v>
      </c>
      <c r="C4582">
        <v>80934</v>
      </c>
      <c r="D4582" t="str">
        <f>PROPER(Transactions!D4582)</f>
        <v>Electronics</v>
      </c>
      <c r="E4582" t="s">
        <v>34</v>
      </c>
      <c r="F4582" t="s">
        <v>35</v>
      </c>
      <c r="G4582">
        <v>5</v>
      </c>
      <c r="H4582">
        <v>24.49</v>
      </c>
      <c r="I4582" s="7">
        <f>IF(Transactions!I4582="",0,Transactions!I4582)</f>
        <v>0.3</v>
      </c>
      <c r="J4582" s="9">
        <f t="shared" si="71"/>
        <v>85.714999999999989</v>
      </c>
      <c r="K4582" t="s">
        <v>16</v>
      </c>
      <c r="L4582" t="s">
        <v>17</v>
      </c>
      <c r="M4582" t="str">
        <f>REPLACE(Transactions!M4582,1,4,"")</f>
        <v>1</v>
      </c>
    </row>
    <row r="4583" spans="1:13" x14ac:dyDescent="0.2">
      <c r="A4583">
        <v>859414</v>
      </c>
      <c r="B4583" s="5">
        <v>44746</v>
      </c>
      <c r="C4583">
        <v>75568</v>
      </c>
      <c r="D4583" t="str">
        <f>PROPER(Transactions!D4583)</f>
        <v>Clothing</v>
      </c>
      <c r="E4583" t="s">
        <v>135</v>
      </c>
      <c r="F4583" t="s">
        <v>136</v>
      </c>
      <c r="G4583">
        <v>5</v>
      </c>
      <c r="H4583">
        <v>7.99</v>
      </c>
      <c r="I4583" s="7">
        <f>IF(Transactions!I4583="",0,Transactions!I4583)</f>
        <v>0.2</v>
      </c>
      <c r="J4583" s="9">
        <f t="shared" si="71"/>
        <v>31.960000000000004</v>
      </c>
      <c r="K4583" t="s">
        <v>36</v>
      </c>
      <c r="L4583" t="s">
        <v>17</v>
      </c>
      <c r="M4583" t="str">
        <f>REPLACE(Transactions!M4583,1,4,"")</f>
        <v>7</v>
      </c>
    </row>
    <row r="4584" spans="1:13" x14ac:dyDescent="0.2">
      <c r="A4584">
        <v>859822</v>
      </c>
      <c r="B4584" s="5">
        <v>45086</v>
      </c>
      <c r="C4584">
        <v>15776</v>
      </c>
      <c r="D4584" t="str">
        <f>PROPER(Transactions!D4584)</f>
        <v>Grocery</v>
      </c>
      <c r="E4584" t="s">
        <v>195</v>
      </c>
      <c r="F4584" t="s">
        <v>196</v>
      </c>
      <c r="G4584">
        <v>2</v>
      </c>
      <c r="H4584">
        <v>4.24</v>
      </c>
      <c r="I4584" s="7">
        <f>IF(Transactions!I4584="",0,Transactions!I4584)</f>
        <v>0.15</v>
      </c>
      <c r="J4584" s="9">
        <f t="shared" si="71"/>
        <v>7.2080000000000002</v>
      </c>
      <c r="K4584" t="s">
        <v>16</v>
      </c>
      <c r="L4584" t="s">
        <v>17</v>
      </c>
      <c r="M4584" t="str">
        <f>REPLACE(Transactions!M4584,1,4,"")</f>
        <v>2</v>
      </c>
    </row>
    <row r="4585" spans="1:13" x14ac:dyDescent="0.2">
      <c r="A4585">
        <v>860095</v>
      </c>
      <c r="B4585" s="5">
        <v>44947</v>
      </c>
      <c r="C4585">
        <v>56215</v>
      </c>
      <c r="D4585" t="str">
        <f>PROPER(Transactions!D4585)</f>
        <v>Pharmacy</v>
      </c>
      <c r="E4585" t="s">
        <v>58</v>
      </c>
      <c r="F4585" t="s">
        <v>59</v>
      </c>
      <c r="G4585">
        <v>4</v>
      </c>
      <c r="H4585">
        <v>3.99</v>
      </c>
      <c r="I4585" s="7">
        <f>IF(Transactions!I4585="",0,Transactions!I4585)</f>
        <v>0</v>
      </c>
      <c r="J4585" s="9">
        <f t="shared" si="71"/>
        <v>15.96</v>
      </c>
      <c r="K4585" t="s">
        <v>16</v>
      </c>
      <c r="L4585" t="s">
        <v>17</v>
      </c>
      <c r="M4585" t="str">
        <f>REPLACE(Transactions!M4585,1,4,"")</f>
        <v>17</v>
      </c>
    </row>
    <row r="4586" spans="1:13" x14ac:dyDescent="0.2">
      <c r="A4586">
        <v>860305</v>
      </c>
      <c r="B4586" s="5">
        <v>45492</v>
      </c>
      <c r="C4586">
        <v>81715</v>
      </c>
      <c r="D4586" t="str">
        <f>PROPER(Transactions!D4586)</f>
        <v>Grocery</v>
      </c>
      <c r="E4586" t="s">
        <v>93</v>
      </c>
      <c r="F4586" t="s">
        <v>94</v>
      </c>
      <c r="G4586">
        <v>1</v>
      </c>
      <c r="H4586">
        <v>0.97</v>
      </c>
      <c r="I4586" s="7">
        <f>IF(Transactions!I4586="",0,Transactions!I4586)</f>
        <v>0.25</v>
      </c>
      <c r="J4586" s="9">
        <f t="shared" si="71"/>
        <v>0.72750000000000004</v>
      </c>
      <c r="K4586" t="s">
        <v>16</v>
      </c>
      <c r="L4586" t="s">
        <v>17</v>
      </c>
      <c r="M4586" t="str">
        <f>REPLACE(Transactions!M4586,1,4,"")</f>
        <v>2</v>
      </c>
    </row>
    <row r="4587" spans="1:13" x14ac:dyDescent="0.2">
      <c r="A4587">
        <v>860441</v>
      </c>
      <c r="B4587" s="5">
        <v>44697</v>
      </c>
      <c r="C4587">
        <v>62743</v>
      </c>
      <c r="D4587" t="str">
        <f>PROPER(Transactions!D4587)</f>
        <v>Electronics</v>
      </c>
      <c r="E4587" t="s">
        <v>186</v>
      </c>
      <c r="F4587" t="s">
        <v>187</v>
      </c>
      <c r="G4587">
        <v>2</v>
      </c>
      <c r="H4587">
        <v>49.99</v>
      </c>
      <c r="I4587" s="7">
        <f>IF(Transactions!I4587="",0,Transactions!I4587)</f>
        <v>0</v>
      </c>
      <c r="J4587" s="9">
        <f t="shared" si="71"/>
        <v>99.98</v>
      </c>
      <c r="K4587" t="s">
        <v>16</v>
      </c>
      <c r="L4587" t="s">
        <v>23</v>
      </c>
      <c r="M4587" t="str">
        <f>REPLACE(Transactions!M4587,1,4,"")</f>
        <v>4</v>
      </c>
    </row>
    <row r="4588" spans="1:13" x14ac:dyDescent="0.2">
      <c r="A4588">
        <v>860558</v>
      </c>
      <c r="B4588" s="5">
        <v>45278</v>
      </c>
      <c r="C4588">
        <v>86149</v>
      </c>
      <c r="D4588" t="str">
        <f>PROPER(Transactions!D4588)</f>
        <v>Automotive</v>
      </c>
      <c r="E4588" t="s">
        <v>125</v>
      </c>
      <c r="F4588" t="s">
        <v>126</v>
      </c>
      <c r="G4588">
        <v>3</v>
      </c>
      <c r="H4588">
        <v>20.99</v>
      </c>
      <c r="I4588" s="7">
        <f>IF(Transactions!I4588="",0,Transactions!I4588)</f>
        <v>0.3</v>
      </c>
      <c r="J4588" s="9">
        <f t="shared" si="71"/>
        <v>44.078999999999994</v>
      </c>
      <c r="K4588" t="s">
        <v>36</v>
      </c>
      <c r="L4588" t="s">
        <v>37</v>
      </c>
      <c r="M4588" t="str">
        <f>REPLACE(Transactions!M4588,1,4,"")</f>
        <v/>
      </c>
    </row>
    <row r="4589" spans="1:13" x14ac:dyDescent="0.2">
      <c r="A4589">
        <v>860633</v>
      </c>
      <c r="B4589" s="5">
        <v>45630</v>
      </c>
      <c r="C4589">
        <v>65397</v>
      </c>
      <c r="D4589" t="str">
        <f>PROPER(Transactions!D4589)</f>
        <v>Clothing</v>
      </c>
      <c r="E4589" t="s">
        <v>121</v>
      </c>
      <c r="F4589" t="s">
        <v>122</v>
      </c>
      <c r="G4589">
        <v>4</v>
      </c>
      <c r="H4589">
        <v>12.99</v>
      </c>
      <c r="I4589" s="7">
        <f>IF(Transactions!I4589="",0,Transactions!I4589)</f>
        <v>0</v>
      </c>
      <c r="J4589" s="9">
        <f t="shared" si="71"/>
        <v>51.96</v>
      </c>
      <c r="K4589" t="s">
        <v>22</v>
      </c>
      <c r="L4589" t="s">
        <v>17</v>
      </c>
      <c r="M4589" t="str">
        <f>REPLACE(Transactions!M4589,1,4,"")</f>
        <v>5</v>
      </c>
    </row>
    <row r="4590" spans="1:13" x14ac:dyDescent="0.2">
      <c r="A4590">
        <v>860636</v>
      </c>
      <c r="B4590" s="5">
        <v>44862</v>
      </c>
      <c r="C4590">
        <v>65381</v>
      </c>
      <c r="D4590" t="str">
        <f>PROPER(Transactions!D4590)</f>
        <v>Sports</v>
      </c>
      <c r="E4590" t="s">
        <v>83</v>
      </c>
      <c r="F4590" t="s">
        <v>84</v>
      </c>
      <c r="G4590">
        <v>2</v>
      </c>
      <c r="H4590">
        <v>16.989999999999998</v>
      </c>
      <c r="I4590" s="7">
        <f>IF(Transactions!I4590="",0,Transactions!I4590)</f>
        <v>0</v>
      </c>
      <c r="J4590" s="9">
        <f t="shared" si="71"/>
        <v>33.979999999999997</v>
      </c>
      <c r="K4590" t="s">
        <v>22</v>
      </c>
      <c r="L4590" t="s">
        <v>23</v>
      </c>
      <c r="M4590" t="str">
        <f>REPLACE(Transactions!M4590,1,4,"")</f>
        <v>12</v>
      </c>
    </row>
    <row r="4591" spans="1:13" x14ac:dyDescent="0.2">
      <c r="A4591">
        <v>861165</v>
      </c>
      <c r="B4591" s="5">
        <v>45574</v>
      </c>
      <c r="C4591">
        <v>93634</v>
      </c>
      <c r="D4591" t="str">
        <f>PROPER(Transactions!D4591)</f>
        <v>Furniture</v>
      </c>
      <c r="E4591" t="s">
        <v>70</v>
      </c>
      <c r="F4591" t="s">
        <v>71</v>
      </c>
      <c r="G4591">
        <v>5</v>
      </c>
      <c r="H4591">
        <v>62.99</v>
      </c>
      <c r="I4591" s="7">
        <f>IF(Transactions!I4591="",0,Transactions!I4591)</f>
        <v>0.3</v>
      </c>
      <c r="J4591" s="9">
        <f t="shared" si="71"/>
        <v>220.46499999999997</v>
      </c>
      <c r="K4591" t="s">
        <v>32</v>
      </c>
      <c r="L4591" t="s">
        <v>17</v>
      </c>
      <c r="M4591" t="str">
        <f>REPLACE(Transactions!M4591,1,4,"")</f>
        <v>17</v>
      </c>
    </row>
    <row r="4592" spans="1:13" x14ac:dyDescent="0.2">
      <c r="A4592">
        <v>861310</v>
      </c>
      <c r="B4592" s="5">
        <v>45461</v>
      </c>
      <c r="C4592">
        <v>25455</v>
      </c>
      <c r="D4592" t="str">
        <f>PROPER(Transactions!D4592)</f>
        <v>Beauty</v>
      </c>
      <c r="E4592" t="s">
        <v>139</v>
      </c>
      <c r="F4592" t="s">
        <v>140</v>
      </c>
      <c r="G4592">
        <v>1</v>
      </c>
      <c r="H4592">
        <v>7.59</v>
      </c>
      <c r="I4592" s="7">
        <f>IF(Transactions!I4592="",0,Transactions!I4592)</f>
        <v>0.05</v>
      </c>
      <c r="J4592" s="9">
        <f t="shared" si="71"/>
        <v>7.2104999999999997</v>
      </c>
      <c r="K4592" t="s">
        <v>36</v>
      </c>
      <c r="L4592" t="s">
        <v>17</v>
      </c>
      <c r="M4592" t="str">
        <f>REPLACE(Transactions!M4592,1,4,"")</f>
        <v>4</v>
      </c>
    </row>
    <row r="4593" spans="1:13" x14ac:dyDescent="0.2">
      <c r="A4593">
        <v>861420</v>
      </c>
      <c r="B4593" s="5">
        <v>44860</v>
      </c>
      <c r="C4593">
        <v>59336</v>
      </c>
      <c r="D4593" t="str">
        <f>PROPER(Transactions!D4593)</f>
        <v>Clothing</v>
      </c>
      <c r="E4593" t="s">
        <v>181</v>
      </c>
      <c r="F4593" t="s">
        <v>182</v>
      </c>
      <c r="G4593">
        <v>2</v>
      </c>
      <c r="H4593">
        <v>11.99</v>
      </c>
      <c r="I4593" s="7">
        <f>IF(Transactions!I4593="",0,Transactions!I4593)</f>
        <v>0.2</v>
      </c>
      <c r="J4593" s="9">
        <f t="shared" si="71"/>
        <v>19.184000000000001</v>
      </c>
      <c r="K4593" t="s">
        <v>22</v>
      </c>
      <c r="L4593" t="s">
        <v>23</v>
      </c>
      <c r="M4593" t="str">
        <f>REPLACE(Transactions!M4593,1,4,"")</f>
        <v>15</v>
      </c>
    </row>
    <row r="4594" spans="1:13" x14ac:dyDescent="0.2">
      <c r="A4594">
        <v>861439</v>
      </c>
      <c r="B4594" s="5">
        <v>45120</v>
      </c>
      <c r="C4594">
        <v>83046</v>
      </c>
      <c r="D4594" t="str">
        <f>PROPER(Transactions!D4594)</f>
        <v>Electronics</v>
      </c>
      <c r="E4594" t="s">
        <v>79</v>
      </c>
      <c r="F4594" t="s">
        <v>80</v>
      </c>
      <c r="G4594">
        <v>1</v>
      </c>
      <c r="H4594">
        <v>85.49</v>
      </c>
      <c r="I4594" s="7">
        <f>IF(Transactions!I4594="",0,Transactions!I4594)</f>
        <v>0.05</v>
      </c>
      <c r="J4594" s="9">
        <f t="shared" si="71"/>
        <v>81.215499999999992</v>
      </c>
      <c r="K4594" t="s">
        <v>36</v>
      </c>
      <c r="L4594" t="s">
        <v>17</v>
      </c>
      <c r="M4594" t="str">
        <f>REPLACE(Transactions!M4594,1,4,"")</f>
        <v>20</v>
      </c>
    </row>
    <row r="4595" spans="1:13" x14ac:dyDescent="0.2">
      <c r="A4595">
        <v>861467</v>
      </c>
      <c r="B4595" s="5">
        <v>44629</v>
      </c>
      <c r="C4595">
        <v>13852</v>
      </c>
      <c r="D4595" t="str">
        <f>PROPER(Transactions!D4595)</f>
        <v>Grocery</v>
      </c>
      <c r="E4595" t="s">
        <v>162</v>
      </c>
      <c r="F4595" t="s">
        <v>163</v>
      </c>
      <c r="G4595">
        <v>5</v>
      </c>
      <c r="H4595">
        <v>7.59</v>
      </c>
      <c r="I4595" s="7">
        <f>IF(Transactions!I4595="",0,Transactions!I4595)</f>
        <v>0.05</v>
      </c>
      <c r="J4595" s="9">
        <f t="shared" si="71"/>
        <v>36.052500000000002</v>
      </c>
      <c r="K4595" t="s">
        <v>36</v>
      </c>
      <c r="L4595" t="s">
        <v>37</v>
      </c>
      <c r="M4595" t="str">
        <f>REPLACE(Transactions!M4595,1,4,"")</f>
        <v>13</v>
      </c>
    </row>
    <row r="4596" spans="1:13" x14ac:dyDescent="0.2">
      <c r="A4596">
        <v>861861</v>
      </c>
      <c r="B4596" s="5">
        <v>45122</v>
      </c>
      <c r="C4596">
        <v>91568</v>
      </c>
      <c r="D4596" t="str">
        <f>PROPER(Transactions!D4596)</f>
        <v>Clothing</v>
      </c>
      <c r="E4596" t="s">
        <v>193</v>
      </c>
      <c r="F4596" t="s">
        <v>194</v>
      </c>
      <c r="G4596">
        <v>3</v>
      </c>
      <c r="H4596">
        <v>64.989999999999995</v>
      </c>
      <c r="I4596" s="7">
        <f>IF(Transactions!I4596="",0,Transactions!I4596)</f>
        <v>0</v>
      </c>
      <c r="J4596" s="9">
        <f t="shared" si="71"/>
        <v>194.96999999999997</v>
      </c>
      <c r="K4596" t="s">
        <v>32</v>
      </c>
      <c r="L4596" t="s">
        <v>17</v>
      </c>
      <c r="M4596" t="str">
        <f>REPLACE(Transactions!M4596,1,4,"")</f>
        <v>7</v>
      </c>
    </row>
    <row r="4597" spans="1:13" x14ac:dyDescent="0.2">
      <c r="A4597">
        <v>862080</v>
      </c>
      <c r="B4597" s="5">
        <v>45020</v>
      </c>
      <c r="C4597">
        <v>28165</v>
      </c>
      <c r="D4597" t="str">
        <f>PROPER(Transactions!D4597)</f>
        <v>Toys</v>
      </c>
      <c r="E4597" t="s">
        <v>170</v>
      </c>
      <c r="F4597" t="s">
        <v>171</v>
      </c>
      <c r="G4597">
        <v>2</v>
      </c>
      <c r="H4597">
        <v>11.24</v>
      </c>
      <c r="I4597" s="7">
        <f>IF(Transactions!I4597="",0,Transactions!I4597)</f>
        <v>0.25</v>
      </c>
      <c r="J4597" s="9">
        <f t="shared" si="71"/>
        <v>16.86</v>
      </c>
      <c r="K4597" t="s">
        <v>36</v>
      </c>
      <c r="L4597" t="s">
        <v>17</v>
      </c>
      <c r="M4597" t="str">
        <f>REPLACE(Transactions!M4597,1,4,"")</f>
        <v>7</v>
      </c>
    </row>
    <row r="4598" spans="1:13" x14ac:dyDescent="0.2">
      <c r="A4598">
        <v>862237</v>
      </c>
      <c r="B4598" s="5">
        <v>44794</v>
      </c>
      <c r="C4598">
        <v>13824</v>
      </c>
      <c r="D4598" t="str">
        <f>PROPER(Transactions!D4598)</f>
        <v>Clothing</v>
      </c>
      <c r="E4598" t="s">
        <v>181</v>
      </c>
      <c r="F4598" t="s">
        <v>182</v>
      </c>
      <c r="G4598">
        <v>2</v>
      </c>
      <c r="H4598">
        <v>14.24</v>
      </c>
      <c r="I4598" s="7">
        <f>IF(Transactions!I4598="",0,Transactions!I4598)</f>
        <v>0.05</v>
      </c>
      <c r="J4598" s="9">
        <f t="shared" si="71"/>
        <v>27.055999999999997</v>
      </c>
      <c r="K4598" t="s">
        <v>16</v>
      </c>
      <c r="L4598" t="s">
        <v>17</v>
      </c>
      <c r="M4598" t="str">
        <f>REPLACE(Transactions!M4598,1,4,"")</f>
        <v>14</v>
      </c>
    </row>
    <row r="4599" spans="1:13" x14ac:dyDescent="0.2">
      <c r="A4599">
        <v>862446</v>
      </c>
      <c r="B4599" s="5">
        <v>44690</v>
      </c>
      <c r="D4599" t="str">
        <f>PROPER(Transactions!D4599)</f>
        <v>Home &amp; Garden</v>
      </c>
      <c r="E4599" t="s">
        <v>129</v>
      </c>
      <c r="F4599" t="s">
        <v>130</v>
      </c>
      <c r="G4599">
        <v>1</v>
      </c>
      <c r="H4599">
        <v>7.64</v>
      </c>
      <c r="I4599" s="7">
        <f>IF(Transactions!I4599="",0,Transactions!I4599)</f>
        <v>0.15</v>
      </c>
      <c r="J4599" s="9">
        <f t="shared" si="71"/>
        <v>6.4939999999999998</v>
      </c>
      <c r="K4599" t="s">
        <v>32</v>
      </c>
      <c r="L4599" t="s">
        <v>17</v>
      </c>
      <c r="M4599" t="str">
        <f>REPLACE(Transactions!M4599,1,4,"")</f>
        <v>19</v>
      </c>
    </row>
    <row r="4600" spans="1:13" x14ac:dyDescent="0.2">
      <c r="A4600">
        <v>862470</v>
      </c>
      <c r="B4600" s="5">
        <v>45302</v>
      </c>
      <c r="C4600">
        <v>72973</v>
      </c>
      <c r="D4600" t="str">
        <f>PROPER(Transactions!D4600)</f>
        <v>Clothing</v>
      </c>
      <c r="E4600" t="s">
        <v>98</v>
      </c>
      <c r="F4600" t="s">
        <v>99</v>
      </c>
      <c r="G4600">
        <v>2</v>
      </c>
      <c r="H4600">
        <v>27.99</v>
      </c>
      <c r="I4600" s="7">
        <f>IF(Transactions!I4600="",0,Transactions!I4600)</f>
        <v>0</v>
      </c>
      <c r="J4600" s="9">
        <f t="shared" si="71"/>
        <v>55.98</v>
      </c>
      <c r="K4600" t="s">
        <v>22</v>
      </c>
      <c r="L4600" t="s">
        <v>17</v>
      </c>
      <c r="M4600" t="str">
        <f>REPLACE(Transactions!M4600,1,4,"")</f>
        <v>15</v>
      </c>
    </row>
    <row r="4601" spans="1:13" x14ac:dyDescent="0.2">
      <c r="A4601">
        <v>862477</v>
      </c>
      <c r="B4601" s="5">
        <v>45526</v>
      </c>
      <c r="C4601">
        <v>81404</v>
      </c>
      <c r="D4601" t="str">
        <f>PROPER(Transactions!D4601)</f>
        <v>Toys</v>
      </c>
      <c r="E4601" t="s">
        <v>30</v>
      </c>
      <c r="F4601" t="s">
        <v>31</v>
      </c>
      <c r="G4601">
        <v>2</v>
      </c>
      <c r="H4601">
        <v>22.49</v>
      </c>
      <c r="I4601" s="7">
        <f>IF(Transactions!I4601="",0,Transactions!I4601)</f>
        <v>0.1</v>
      </c>
      <c r="J4601" s="9">
        <f t="shared" si="71"/>
        <v>40.481999999999999</v>
      </c>
      <c r="K4601" t="s">
        <v>36</v>
      </c>
      <c r="L4601" t="s">
        <v>37</v>
      </c>
      <c r="M4601" t="str">
        <f>REPLACE(Transactions!M4601,1,4,"")</f>
        <v>10</v>
      </c>
    </row>
    <row r="4602" spans="1:13" x14ac:dyDescent="0.2">
      <c r="A4602">
        <v>862526</v>
      </c>
      <c r="B4602" s="5">
        <v>44913</v>
      </c>
      <c r="C4602">
        <v>94452</v>
      </c>
      <c r="D4602" t="str">
        <f>PROPER(Transactions!D4602)</f>
        <v>Pharmacy</v>
      </c>
      <c r="E4602" t="s">
        <v>41</v>
      </c>
      <c r="F4602" t="s">
        <v>42</v>
      </c>
      <c r="G4602">
        <v>1</v>
      </c>
      <c r="H4602">
        <v>5.99</v>
      </c>
      <c r="I4602" s="7">
        <f>IF(Transactions!I4602="",0,Transactions!I4602)</f>
        <v>0</v>
      </c>
      <c r="J4602" s="9">
        <f t="shared" si="71"/>
        <v>5.99</v>
      </c>
      <c r="K4602" t="s">
        <v>36</v>
      </c>
      <c r="L4602" t="s">
        <v>17</v>
      </c>
      <c r="M4602" t="str">
        <f>REPLACE(Transactions!M4602,1,4,"")</f>
        <v>3</v>
      </c>
    </row>
    <row r="4603" spans="1:13" x14ac:dyDescent="0.2">
      <c r="A4603">
        <v>862593</v>
      </c>
      <c r="B4603" s="5">
        <v>44876</v>
      </c>
      <c r="C4603">
        <v>63071</v>
      </c>
      <c r="D4603" t="str">
        <f>PROPER(Transactions!D4603)</f>
        <v>Home &amp; Garden</v>
      </c>
      <c r="E4603" t="s">
        <v>129</v>
      </c>
      <c r="F4603" t="s">
        <v>130</v>
      </c>
      <c r="G4603">
        <v>1</v>
      </c>
      <c r="H4603">
        <v>7.64</v>
      </c>
      <c r="I4603" s="7">
        <f>IF(Transactions!I4603="",0,Transactions!I4603)</f>
        <v>0.15</v>
      </c>
      <c r="J4603" s="9">
        <f t="shared" si="71"/>
        <v>6.4939999999999998</v>
      </c>
      <c r="K4603" t="s">
        <v>36</v>
      </c>
      <c r="L4603" t="s">
        <v>17</v>
      </c>
      <c r="M4603" t="str">
        <f>REPLACE(Transactions!M4603,1,4,"")</f>
        <v>13</v>
      </c>
    </row>
    <row r="4604" spans="1:13" x14ac:dyDescent="0.2">
      <c r="A4604">
        <v>862706</v>
      </c>
      <c r="B4604" s="5">
        <v>45197</v>
      </c>
      <c r="C4604">
        <v>51619</v>
      </c>
      <c r="D4604" t="str">
        <f>PROPER(Transactions!D4604)</f>
        <v>Sports</v>
      </c>
      <c r="E4604" t="s">
        <v>100</v>
      </c>
      <c r="F4604" t="s">
        <v>101</v>
      </c>
      <c r="G4604">
        <v>4</v>
      </c>
      <c r="H4604">
        <v>16.09</v>
      </c>
      <c r="I4604" s="7">
        <f>IF(Transactions!I4604="",0,Transactions!I4604)</f>
        <v>0.3</v>
      </c>
      <c r="J4604" s="9">
        <f t="shared" si="71"/>
        <v>45.052</v>
      </c>
      <c r="K4604" t="s">
        <v>95</v>
      </c>
      <c r="L4604" t="s">
        <v>37</v>
      </c>
      <c r="M4604" t="str">
        <f>REPLACE(Transactions!M4604,1,4,"")</f>
        <v>18</v>
      </c>
    </row>
    <row r="4605" spans="1:13" x14ac:dyDescent="0.2">
      <c r="A4605">
        <v>862789</v>
      </c>
      <c r="B4605" s="5">
        <v>45183</v>
      </c>
      <c r="C4605">
        <v>16829</v>
      </c>
      <c r="D4605" t="str">
        <f>PROPER(Transactions!D4605)</f>
        <v>Pharmacy</v>
      </c>
      <c r="E4605" t="s">
        <v>115</v>
      </c>
      <c r="F4605" t="s">
        <v>116</v>
      </c>
      <c r="G4605">
        <v>1</v>
      </c>
      <c r="H4605">
        <v>11.04</v>
      </c>
      <c r="I4605" s="7">
        <f>IF(Transactions!I4605="",0,Transactions!I4605)</f>
        <v>0.15</v>
      </c>
      <c r="J4605" s="9">
        <f t="shared" si="71"/>
        <v>9.3839999999999986</v>
      </c>
      <c r="K4605" t="s">
        <v>36</v>
      </c>
      <c r="L4605" t="s">
        <v>17</v>
      </c>
      <c r="M4605" t="str">
        <f>REPLACE(Transactions!M4605,1,4,"")</f>
        <v>5</v>
      </c>
    </row>
    <row r="4606" spans="1:13" x14ac:dyDescent="0.2">
      <c r="A4606">
        <v>862835</v>
      </c>
      <c r="B4606" s="5">
        <v>45043</v>
      </c>
      <c r="C4606">
        <v>44068</v>
      </c>
      <c r="D4606" t="str">
        <f>PROPER(Transactions!D4606)</f>
        <v>Clothing</v>
      </c>
      <c r="E4606" t="s">
        <v>98</v>
      </c>
      <c r="F4606" t="s">
        <v>99</v>
      </c>
      <c r="G4606">
        <v>3</v>
      </c>
      <c r="H4606">
        <v>26.59</v>
      </c>
      <c r="I4606" s="7">
        <f>IF(Transactions!I4606="",0,Transactions!I4606)</f>
        <v>0.05</v>
      </c>
      <c r="J4606" s="9">
        <f t="shared" si="71"/>
        <v>75.781499999999994</v>
      </c>
      <c r="K4606" t="s">
        <v>36</v>
      </c>
      <c r="L4606" t="s">
        <v>17</v>
      </c>
      <c r="M4606" t="str">
        <f>REPLACE(Transactions!M4606,1,4,"")</f>
        <v>20</v>
      </c>
    </row>
    <row r="4607" spans="1:13" x14ac:dyDescent="0.2">
      <c r="A4607">
        <v>862992</v>
      </c>
      <c r="B4607" s="5">
        <v>45382</v>
      </c>
      <c r="C4607">
        <v>13485</v>
      </c>
      <c r="D4607" t="str">
        <f>PROPER(Transactions!D4607)</f>
        <v>Beauty</v>
      </c>
      <c r="E4607" t="s">
        <v>49</v>
      </c>
      <c r="F4607" t="s">
        <v>50</v>
      </c>
      <c r="G4607">
        <v>3</v>
      </c>
      <c r="H4607">
        <v>6.74</v>
      </c>
      <c r="I4607" s="7">
        <f>IF(Transactions!I4607="",0,Transactions!I4607)</f>
        <v>0.25</v>
      </c>
      <c r="J4607" s="9">
        <f t="shared" si="71"/>
        <v>15.164999999999999</v>
      </c>
      <c r="K4607" t="s">
        <v>95</v>
      </c>
      <c r="L4607" t="s">
        <v>17</v>
      </c>
      <c r="M4607" t="str">
        <f>REPLACE(Transactions!M4607,1,4,"")</f>
        <v>5</v>
      </c>
    </row>
    <row r="4608" spans="1:13" x14ac:dyDescent="0.2">
      <c r="A4608">
        <v>863092</v>
      </c>
      <c r="B4608" s="5">
        <v>44996</v>
      </c>
      <c r="C4608">
        <v>95436</v>
      </c>
      <c r="D4608" t="str">
        <f>PROPER(Transactions!D4608)</f>
        <v>Automotive</v>
      </c>
      <c r="E4608" t="s">
        <v>64</v>
      </c>
      <c r="F4608" t="s">
        <v>65</v>
      </c>
      <c r="G4608">
        <v>1</v>
      </c>
      <c r="H4608">
        <v>3.74</v>
      </c>
      <c r="I4608" s="7">
        <f>IF(Transactions!I4608="",0,Transactions!I4608)</f>
        <v>0.25</v>
      </c>
      <c r="J4608" s="9">
        <f t="shared" si="71"/>
        <v>2.8050000000000002</v>
      </c>
      <c r="K4608" t="s">
        <v>36</v>
      </c>
      <c r="L4608" t="s">
        <v>17</v>
      </c>
      <c r="M4608" t="str">
        <f>REPLACE(Transactions!M4608,1,4,"")</f>
        <v>17</v>
      </c>
    </row>
    <row r="4609" spans="1:13" x14ac:dyDescent="0.2">
      <c r="A4609">
        <v>863188</v>
      </c>
      <c r="B4609" s="5">
        <v>44873</v>
      </c>
      <c r="C4609">
        <v>65664</v>
      </c>
      <c r="D4609" t="str">
        <f>PROPER(Transactions!D4609)</f>
        <v>Electronics</v>
      </c>
      <c r="E4609" t="s">
        <v>14</v>
      </c>
      <c r="F4609" t="s">
        <v>15</v>
      </c>
      <c r="G4609">
        <v>1</v>
      </c>
      <c r="H4609">
        <v>59.99</v>
      </c>
      <c r="I4609" s="7">
        <f>IF(Transactions!I4609="",0,Transactions!I4609)</f>
        <v>0.25</v>
      </c>
      <c r="J4609" s="9">
        <f t="shared" si="71"/>
        <v>44.9925</v>
      </c>
      <c r="K4609" t="s">
        <v>95</v>
      </c>
      <c r="L4609" t="s">
        <v>23</v>
      </c>
      <c r="M4609" t="str">
        <f>REPLACE(Transactions!M4609,1,4,"")</f>
        <v>8</v>
      </c>
    </row>
    <row r="4610" spans="1:13" x14ac:dyDescent="0.2">
      <c r="A4610">
        <v>863245</v>
      </c>
      <c r="B4610" s="5">
        <v>45440</v>
      </c>
      <c r="C4610">
        <v>40609</v>
      </c>
      <c r="D4610" t="str">
        <f>PROPER(Transactions!D4610)</f>
        <v>Grocery</v>
      </c>
      <c r="E4610" t="s">
        <v>162</v>
      </c>
      <c r="F4610" t="s">
        <v>163</v>
      </c>
      <c r="G4610">
        <v>2</v>
      </c>
      <c r="H4610">
        <v>7.99</v>
      </c>
      <c r="I4610" s="7">
        <f>IF(Transactions!I4610="",0,Transactions!I4610)</f>
        <v>0</v>
      </c>
      <c r="J4610" s="9">
        <f t="shared" si="71"/>
        <v>15.98</v>
      </c>
      <c r="K4610" t="s">
        <v>36</v>
      </c>
      <c r="L4610" t="s">
        <v>17</v>
      </c>
      <c r="M4610" t="str">
        <f>REPLACE(Transactions!M4610,1,4,"")</f>
        <v>17</v>
      </c>
    </row>
    <row r="4611" spans="1:13" x14ac:dyDescent="0.2">
      <c r="A4611">
        <v>863420</v>
      </c>
      <c r="B4611" s="5">
        <v>44819</v>
      </c>
      <c r="C4611">
        <v>83523</v>
      </c>
      <c r="D4611" t="str">
        <f>PROPER(Transactions!D4611)</f>
        <v>Beauty</v>
      </c>
      <c r="E4611" t="s">
        <v>49</v>
      </c>
      <c r="F4611" t="s">
        <v>50</v>
      </c>
      <c r="G4611">
        <v>1</v>
      </c>
      <c r="H4611">
        <v>8.09</v>
      </c>
      <c r="I4611" s="7">
        <f>IF(Transactions!I4611="",0,Transactions!I4611)</f>
        <v>0.1</v>
      </c>
      <c r="J4611" s="9">
        <f t="shared" ref="J4611:J4674" si="72">(H4611*G4611)*(1-I4611)</f>
        <v>7.2809999999999997</v>
      </c>
      <c r="K4611" t="s">
        <v>22</v>
      </c>
      <c r="L4611" t="s">
        <v>37</v>
      </c>
      <c r="M4611" t="str">
        <f>REPLACE(Transactions!M4611,1,4,"")</f>
        <v>9</v>
      </c>
    </row>
    <row r="4612" spans="1:13" x14ac:dyDescent="0.2">
      <c r="A4612">
        <v>863685</v>
      </c>
      <c r="B4612" s="5">
        <v>44880</v>
      </c>
      <c r="C4612">
        <v>22267</v>
      </c>
      <c r="D4612" t="str">
        <f>PROPER(Transactions!D4612)</f>
        <v>Grocery</v>
      </c>
      <c r="E4612" t="s">
        <v>45</v>
      </c>
      <c r="F4612" t="s">
        <v>46</v>
      </c>
      <c r="G4612">
        <v>1</v>
      </c>
      <c r="H4612">
        <v>1.79</v>
      </c>
      <c r="I4612" s="7">
        <f>IF(Transactions!I4612="",0,Transactions!I4612)</f>
        <v>0</v>
      </c>
      <c r="J4612" s="9">
        <f t="shared" si="72"/>
        <v>1.79</v>
      </c>
      <c r="K4612" t="s">
        <v>32</v>
      </c>
      <c r="L4612" t="s">
        <v>37</v>
      </c>
      <c r="M4612" t="str">
        <f>REPLACE(Transactions!M4612,1,4,"")</f>
        <v>13</v>
      </c>
    </row>
    <row r="4613" spans="1:13" x14ac:dyDescent="0.2">
      <c r="A4613">
        <v>863723</v>
      </c>
      <c r="B4613" s="5">
        <v>45632</v>
      </c>
      <c r="C4613">
        <v>59244</v>
      </c>
      <c r="D4613" t="str">
        <f>PROPER(Transactions!D4613)</f>
        <v>Pharmacy</v>
      </c>
      <c r="E4613" t="s">
        <v>20</v>
      </c>
      <c r="F4613" t="s">
        <v>21</v>
      </c>
      <c r="G4613">
        <v>2</v>
      </c>
      <c r="H4613">
        <v>9.49</v>
      </c>
      <c r="I4613" s="7">
        <f>IF(Transactions!I4613="",0,Transactions!I4613)</f>
        <v>0.05</v>
      </c>
      <c r="J4613" s="9">
        <f t="shared" si="72"/>
        <v>18.030999999999999</v>
      </c>
      <c r="K4613" t="s">
        <v>16</v>
      </c>
      <c r="L4613" t="s">
        <v>17</v>
      </c>
      <c r="M4613" t="str">
        <f>REPLACE(Transactions!M4613,1,4,"")</f>
        <v/>
      </c>
    </row>
    <row r="4614" spans="1:13" x14ac:dyDescent="0.2">
      <c r="A4614">
        <v>863775</v>
      </c>
      <c r="B4614" s="5">
        <v>45248</v>
      </c>
      <c r="C4614">
        <v>18741</v>
      </c>
      <c r="D4614" t="str">
        <f>PROPER(Transactions!D4614)</f>
        <v>Sports</v>
      </c>
      <c r="E4614" t="s">
        <v>188</v>
      </c>
      <c r="F4614" t="s">
        <v>189</v>
      </c>
      <c r="G4614">
        <v>1</v>
      </c>
      <c r="H4614">
        <v>42.74</v>
      </c>
      <c r="I4614" s="7">
        <f>IF(Transactions!I4614="",0,Transactions!I4614)</f>
        <v>0.05</v>
      </c>
      <c r="J4614" s="9">
        <f t="shared" si="72"/>
        <v>40.603000000000002</v>
      </c>
      <c r="K4614" t="s">
        <v>32</v>
      </c>
      <c r="L4614" t="s">
        <v>17</v>
      </c>
      <c r="M4614" t="str">
        <f>REPLACE(Transactions!M4614,1,4,"")</f>
        <v>8</v>
      </c>
    </row>
    <row r="4615" spans="1:13" x14ac:dyDescent="0.2">
      <c r="A4615">
        <v>864161</v>
      </c>
      <c r="B4615" s="5">
        <v>44893</v>
      </c>
      <c r="C4615">
        <v>19800</v>
      </c>
      <c r="D4615" t="str">
        <f>PROPER(Transactions!D4615)</f>
        <v>Clothing</v>
      </c>
      <c r="E4615" t="s">
        <v>141</v>
      </c>
      <c r="F4615" t="s">
        <v>142</v>
      </c>
      <c r="G4615">
        <v>2</v>
      </c>
      <c r="H4615">
        <v>20.69</v>
      </c>
      <c r="I4615" s="7">
        <f>IF(Transactions!I4615="",0,Transactions!I4615)</f>
        <v>0.1</v>
      </c>
      <c r="J4615" s="9">
        <f t="shared" si="72"/>
        <v>37.242000000000004</v>
      </c>
      <c r="K4615" t="s">
        <v>53</v>
      </c>
      <c r="L4615" t="s">
        <v>17</v>
      </c>
      <c r="M4615" t="str">
        <f>REPLACE(Transactions!M4615,1,4,"")</f>
        <v>2</v>
      </c>
    </row>
    <row r="4616" spans="1:13" x14ac:dyDescent="0.2">
      <c r="A4616">
        <v>864295</v>
      </c>
      <c r="B4616" s="5">
        <v>45361</v>
      </c>
      <c r="C4616">
        <v>16379</v>
      </c>
      <c r="D4616" t="str">
        <f>PROPER(Transactions!D4616)</f>
        <v>Furniture</v>
      </c>
      <c r="E4616" t="s">
        <v>60</v>
      </c>
      <c r="F4616" t="s">
        <v>61</v>
      </c>
      <c r="G4616">
        <v>1</v>
      </c>
      <c r="H4616">
        <v>52.24</v>
      </c>
      <c r="I4616" s="7">
        <f>IF(Transactions!I4616="",0,Transactions!I4616)</f>
        <v>0.05</v>
      </c>
      <c r="J4616" s="9">
        <f t="shared" si="72"/>
        <v>49.628</v>
      </c>
      <c r="K4616" t="s">
        <v>22</v>
      </c>
      <c r="L4616" t="s">
        <v>17</v>
      </c>
      <c r="M4616" t="str">
        <f>REPLACE(Transactions!M4616,1,4,"")</f>
        <v>15</v>
      </c>
    </row>
    <row r="4617" spans="1:13" x14ac:dyDescent="0.2">
      <c r="A4617">
        <v>864333</v>
      </c>
      <c r="B4617" s="5">
        <v>44936</v>
      </c>
      <c r="C4617">
        <v>41891</v>
      </c>
      <c r="D4617" t="str">
        <f>PROPER(Transactions!D4617)</f>
        <v>Automotive</v>
      </c>
      <c r="E4617" t="s">
        <v>125</v>
      </c>
      <c r="F4617" t="s">
        <v>126</v>
      </c>
      <c r="G4617">
        <v>2</v>
      </c>
      <c r="H4617">
        <v>29.99</v>
      </c>
      <c r="I4617" s="7">
        <f>IF(Transactions!I4617="",0,Transactions!I4617)</f>
        <v>0</v>
      </c>
      <c r="J4617" s="9">
        <f t="shared" si="72"/>
        <v>59.98</v>
      </c>
      <c r="K4617" t="s">
        <v>95</v>
      </c>
      <c r="L4617" t="s">
        <v>23</v>
      </c>
      <c r="M4617" t="str">
        <f>REPLACE(Transactions!M4617,1,4,"")</f>
        <v>9</v>
      </c>
    </row>
    <row r="4618" spans="1:13" x14ac:dyDescent="0.2">
      <c r="A4618">
        <v>864591</v>
      </c>
      <c r="B4618" s="5">
        <v>45531</v>
      </c>
      <c r="C4618">
        <v>45995</v>
      </c>
      <c r="D4618" t="str">
        <f>PROPER(Transactions!D4618)</f>
        <v>Pharmacy</v>
      </c>
      <c r="E4618" t="s">
        <v>41</v>
      </c>
      <c r="F4618" t="s">
        <v>42</v>
      </c>
      <c r="G4618">
        <v>1</v>
      </c>
      <c r="H4618">
        <v>5.09</v>
      </c>
      <c r="I4618" s="7">
        <f>IF(Transactions!I4618="",0,Transactions!I4618)</f>
        <v>0.15</v>
      </c>
      <c r="J4618" s="9">
        <f t="shared" si="72"/>
        <v>4.3264999999999993</v>
      </c>
      <c r="K4618" t="s">
        <v>95</v>
      </c>
      <c r="L4618" t="s">
        <v>37</v>
      </c>
      <c r="M4618" t="str">
        <f>REPLACE(Transactions!M4618,1,4,"")</f>
        <v>1</v>
      </c>
    </row>
    <row r="4619" spans="1:13" x14ac:dyDescent="0.2">
      <c r="A4619">
        <v>864704</v>
      </c>
      <c r="B4619" s="5">
        <v>45261</v>
      </c>
      <c r="C4619">
        <v>84957</v>
      </c>
      <c r="D4619" t="str">
        <f>PROPER(Transactions!D4619)</f>
        <v>Clothing</v>
      </c>
      <c r="E4619" t="s">
        <v>141</v>
      </c>
      <c r="F4619" t="s">
        <v>142</v>
      </c>
      <c r="G4619">
        <v>3</v>
      </c>
      <c r="H4619">
        <v>19.54</v>
      </c>
      <c r="I4619" s="7">
        <f>IF(Transactions!I4619="",0,Transactions!I4619)</f>
        <v>0.15</v>
      </c>
      <c r="J4619" s="9">
        <f t="shared" si="72"/>
        <v>49.826999999999998</v>
      </c>
      <c r="K4619" t="s">
        <v>22</v>
      </c>
      <c r="L4619" t="s">
        <v>17</v>
      </c>
      <c r="M4619" t="str">
        <f>REPLACE(Transactions!M4619,1,4,"")</f>
        <v>5</v>
      </c>
    </row>
    <row r="4620" spans="1:13" x14ac:dyDescent="0.2">
      <c r="A4620">
        <v>864760</v>
      </c>
      <c r="B4620" s="5">
        <v>45316</v>
      </c>
      <c r="C4620">
        <v>47002</v>
      </c>
      <c r="D4620" t="str">
        <f>PROPER(Transactions!D4620)</f>
        <v>Sports</v>
      </c>
      <c r="E4620" t="s">
        <v>100</v>
      </c>
      <c r="F4620" t="s">
        <v>101</v>
      </c>
      <c r="G4620">
        <v>1</v>
      </c>
      <c r="H4620">
        <v>18.39</v>
      </c>
      <c r="I4620" s="7">
        <f>IF(Transactions!I4620="",0,Transactions!I4620)</f>
        <v>0.2</v>
      </c>
      <c r="J4620" s="9">
        <f t="shared" si="72"/>
        <v>14.712000000000002</v>
      </c>
      <c r="K4620" t="s">
        <v>22</v>
      </c>
      <c r="L4620" t="s">
        <v>23</v>
      </c>
      <c r="M4620" t="str">
        <f>REPLACE(Transactions!M4620,1,4,"")</f>
        <v>16</v>
      </c>
    </row>
    <row r="4621" spans="1:13" x14ac:dyDescent="0.2">
      <c r="A4621">
        <v>864838</v>
      </c>
      <c r="B4621" s="5">
        <v>45314</v>
      </c>
      <c r="C4621">
        <v>67146</v>
      </c>
      <c r="D4621" t="str">
        <f>PROPER(Transactions!D4621)</f>
        <v>Electronics</v>
      </c>
      <c r="E4621" t="s">
        <v>104</v>
      </c>
      <c r="F4621" t="s">
        <v>105</v>
      </c>
      <c r="G4621">
        <v>2</v>
      </c>
      <c r="H4621">
        <v>29.99</v>
      </c>
      <c r="I4621" s="7">
        <f>IF(Transactions!I4621="",0,Transactions!I4621)</f>
        <v>0</v>
      </c>
      <c r="J4621" s="9">
        <f t="shared" si="72"/>
        <v>59.98</v>
      </c>
      <c r="K4621" t="s">
        <v>36</v>
      </c>
      <c r="L4621" t="s">
        <v>17</v>
      </c>
      <c r="M4621" t="str">
        <f>REPLACE(Transactions!M4621,1,4,"")</f>
        <v>12</v>
      </c>
    </row>
    <row r="4622" spans="1:13" x14ac:dyDescent="0.2">
      <c r="A4622">
        <v>864903</v>
      </c>
      <c r="B4622" s="5">
        <v>44615</v>
      </c>
      <c r="C4622">
        <v>12586</v>
      </c>
      <c r="D4622" t="str">
        <f>PROPER(Transactions!D4622)</f>
        <v>Pharmacy</v>
      </c>
      <c r="E4622" t="s">
        <v>58</v>
      </c>
      <c r="F4622" t="s">
        <v>59</v>
      </c>
      <c r="G4622">
        <v>1</v>
      </c>
      <c r="H4622">
        <v>2.79</v>
      </c>
      <c r="I4622" s="7">
        <f>IF(Transactions!I4622="",0,Transactions!I4622)</f>
        <v>0.3</v>
      </c>
      <c r="J4622" s="9">
        <f t="shared" si="72"/>
        <v>1.9529999999999998</v>
      </c>
      <c r="K4622" t="s">
        <v>36</v>
      </c>
      <c r="L4622" t="s">
        <v>17</v>
      </c>
      <c r="M4622" t="str">
        <f>REPLACE(Transactions!M4622,1,4,"")</f>
        <v>5</v>
      </c>
    </row>
    <row r="4623" spans="1:13" x14ac:dyDescent="0.2">
      <c r="A4623">
        <v>865030</v>
      </c>
      <c r="B4623" s="5">
        <v>44705</v>
      </c>
      <c r="C4623">
        <v>45532</v>
      </c>
      <c r="D4623" t="str">
        <f>PROPER(Transactions!D4623)</f>
        <v>Clothing</v>
      </c>
      <c r="E4623" t="s">
        <v>151</v>
      </c>
      <c r="F4623" t="s">
        <v>152</v>
      </c>
      <c r="G4623">
        <v>2</v>
      </c>
      <c r="H4623">
        <v>34.99</v>
      </c>
      <c r="I4623" s="7">
        <f>IF(Transactions!I4623="",0,Transactions!I4623)</f>
        <v>0</v>
      </c>
      <c r="J4623" s="9">
        <f t="shared" si="72"/>
        <v>69.98</v>
      </c>
      <c r="K4623" t="s">
        <v>16</v>
      </c>
      <c r="L4623" t="s">
        <v>37</v>
      </c>
      <c r="M4623" t="str">
        <f>REPLACE(Transactions!M4623,1,4,"")</f>
        <v>8</v>
      </c>
    </row>
    <row r="4624" spans="1:13" x14ac:dyDescent="0.2">
      <c r="A4624">
        <v>865260</v>
      </c>
      <c r="B4624" s="5">
        <v>45656</v>
      </c>
      <c r="C4624">
        <v>22485</v>
      </c>
      <c r="D4624" t="str">
        <f>PROPER(Transactions!D4624)</f>
        <v>Beauty</v>
      </c>
      <c r="E4624" t="s">
        <v>118</v>
      </c>
      <c r="F4624" t="s">
        <v>119</v>
      </c>
      <c r="G4624">
        <v>1</v>
      </c>
      <c r="H4624">
        <v>4.49</v>
      </c>
      <c r="I4624" s="7">
        <f>IF(Transactions!I4624="",0,Transactions!I4624)</f>
        <v>0.1</v>
      </c>
      <c r="J4624" s="9">
        <f t="shared" si="72"/>
        <v>4.0410000000000004</v>
      </c>
      <c r="K4624" t="s">
        <v>36</v>
      </c>
      <c r="L4624" t="s">
        <v>17</v>
      </c>
      <c r="M4624" t="str">
        <f>REPLACE(Transactions!M4624,1,4,"")</f>
        <v>6</v>
      </c>
    </row>
    <row r="4625" spans="1:13" x14ac:dyDescent="0.2">
      <c r="A4625">
        <v>865314</v>
      </c>
      <c r="B4625" s="5">
        <v>44979</v>
      </c>
      <c r="C4625">
        <v>58088</v>
      </c>
      <c r="D4625" t="str">
        <f>PROPER(Transactions!D4625)</f>
        <v>Furniture</v>
      </c>
      <c r="E4625" t="s">
        <v>26</v>
      </c>
      <c r="F4625" t="s">
        <v>27</v>
      </c>
      <c r="G4625">
        <v>3</v>
      </c>
      <c r="H4625">
        <v>31.49</v>
      </c>
      <c r="I4625" s="7">
        <f>IF(Transactions!I4625="",0,Transactions!I4625)</f>
        <v>0.1</v>
      </c>
      <c r="J4625" s="9">
        <f t="shared" si="72"/>
        <v>85.022999999999996</v>
      </c>
      <c r="K4625" t="s">
        <v>36</v>
      </c>
      <c r="L4625" t="s">
        <v>17</v>
      </c>
      <c r="M4625" t="str">
        <f>REPLACE(Transactions!M4625,1,4,"")</f>
        <v>3</v>
      </c>
    </row>
    <row r="4626" spans="1:13" x14ac:dyDescent="0.2">
      <c r="A4626">
        <v>866194</v>
      </c>
      <c r="B4626" s="5">
        <v>44666</v>
      </c>
      <c r="C4626">
        <v>74582</v>
      </c>
      <c r="D4626" t="str">
        <f>PROPER(Transactions!D4626)</f>
        <v>Automotive</v>
      </c>
      <c r="E4626" t="s">
        <v>64</v>
      </c>
      <c r="F4626" t="s">
        <v>65</v>
      </c>
      <c r="G4626">
        <v>5</v>
      </c>
      <c r="H4626">
        <v>4.99</v>
      </c>
      <c r="I4626" s="7">
        <f>IF(Transactions!I4626="",0,Transactions!I4626)</f>
        <v>0</v>
      </c>
      <c r="J4626" s="9">
        <f t="shared" si="72"/>
        <v>24.950000000000003</v>
      </c>
      <c r="K4626" t="s">
        <v>16</v>
      </c>
      <c r="L4626" t="s">
        <v>17</v>
      </c>
      <c r="M4626" t="str">
        <f>REPLACE(Transactions!M4626,1,4,"")</f>
        <v>8</v>
      </c>
    </row>
    <row r="4627" spans="1:13" x14ac:dyDescent="0.2">
      <c r="A4627">
        <v>866472</v>
      </c>
      <c r="B4627" s="5">
        <v>45231</v>
      </c>
      <c r="C4627">
        <v>80022</v>
      </c>
      <c r="D4627" t="str">
        <f>PROPER(Transactions!D4627)</f>
        <v>Sports</v>
      </c>
      <c r="E4627" t="s">
        <v>100</v>
      </c>
      <c r="F4627" t="s">
        <v>101</v>
      </c>
      <c r="G4627">
        <v>5</v>
      </c>
      <c r="H4627">
        <v>22.99</v>
      </c>
      <c r="I4627" s="7">
        <f>IF(Transactions!I4627="",0,Transactions!I4627)</f>
        <v>0</v>
      </c>
      <c r="J4627" s="9">
        <f t="shared" si="72"/>
        <v>114.94999999999999</v>
      </c>
      <c r="K4627" t="s">
        <v>22</v>
      </c>
      <c r="L4627" t="s">
        <v>17</v>
      </c>
      <c r="M4627" t="str">
        <f>REPLACE(Transactions!M4627,1,4,"")</f>
        <v>10</v>
      </c>
    </row>
    <row r="4628" spans="1:13" x14ac:dyDescent="0.2">
      <c r="A4628">
        <v>866599</v>
      </c>
      <c r="B4628" s="5">
        <v>44963</v>
      </c>
      <c r="C4628">
        <v>94377</v>
      </c>
      <c r="D4628" t="str">
        <f>PROPER(Transactions!D4628)</f>
        <v>Electronics</v>
      </c>
      <c r="E4628" t="s">
        <v>127</v>
      </c>
      <c r="F4628" t="s">
        <v>128</v>
      </c>
      <c r="G4628">
        <v>1</v>
      </c>
      <c r="H4628">
        <v>19.989999999999998</v>
      </c>
      <c r="I4628" s="7">
        <f>IF(Transactions!I4628="",0,Transactions!I4628)</f>
        <v>0</v>
      </c>
      <c r="J4628" s="9">
        <f t="shared" si="72"/>
        <v>19.989999999999998</v>
      </c>
      <c r="K4628" t="s">
        <v>16</v>
      </c>
      <c r="L4628" t="s">
        <v>17</v>
      </c>
      <c r="M4628" t="str">
        <f>REPLACE(Transactions!M4628,1,4,"")</f>
        <v>13</v>
      </c>
    </row>
    <row r="4629" spans="1:13" x14ac:dyDescent="0.2">
      <c r="A4629">
        <v>866867</v>
      </c>
      <c r="B4629" s="5">
        <v>44993</v>
      </c>
      <c r="C4629">
        <v>35044</v>
      </c>
      <c r="D4629" t="str">
        <f>PROPER(Transactions!D4629)</f>
        <v>Beauty</v>
      </c>
      <c r="E4629" t="s">
        <v>49</v>
      </c>
      <c r="F4629" t="s">
        <v>50</v>
      </c>
      <c r="G4629">
        <v>1</v>
      </c>
      <c r="H4629">
        <v>8.09</v>
      </c>
      <c r="I4629" s="7">
        <f>IF(Transactions!I4629="",0,Transactions!I4629)</f>
        <v>0.1</v>
      </c>
      <c r="J4629" s="9">
        <f t="shared" si="72"/>
        <v>7.2809999999999997</v>
      </c>
      <c r="K4629" t="s">
        <v>36</v>
      </c>
      <c r="L4629" t="s">
        <v>17</v>
      </c>
      <c r="M4629" t="str">
        <f>REPLACE(Transactions!M4629,1,4,"")</f>
        <v>17</v>
      </c>
    </row>
    <row r="4630" spans="1:13" x14ac:dyDescent="0.2">
      <c r="A4630">
        <v>866926</v>
      </c>
      <c r="B4630" s="5">
        <v>44745</v>
      </c>
      <c r="C4630">
        <v>25155</v>
      </c>
      <c r="D4630" t="str">
        <f>PROPER(Transactions!D4630)</f>
        <v>Furniture</v>
      </c>
      <c r="E4630" t="s">
        <v>60</v>
      </c>
      <c r="F4630" t="s">
        <v>61</v>
      </c>
      <c r="G4630">
        <v>1</v>
      </c>
      <c r="H4630">
        <v>54.99</v>
      </c>
      <c r="I4630" s="7">
        <f>IF(Transactions!I4630="",0,Transactions!I4630)</f>
        <v>0</v>
      </c>
      <c r="J4630" s="9">
        <f t="shared" si="72"/>
        <v>54.99</v>
      </c>
      <c r="K4630" t="s">
        <v>36</v>
      </c>
      <c r="L4630" t="s">
        <v>37</v>
      </c>
      <c r="M4630" t="str">
        <f>REPLACE(Transactions!M4630,1,4,"")</f>
        <v>3</v>
      </c>
    </row>
    <row r="4631" spans="1:13" x14ac:dyDescent="0.2">
      <c r="A4631">
        <v>867084</v>
      </c>
      <c r="B4631" s="5">
        <v>45518</v>
      </c>
      <c r="C4631">
        <v>31889</v>
      </c>
      <c r="D4631" t="str">
        <f>PROPER(Transactions!D4631)</f>
        <v>Pharmacy</v>
      </c>
      <c r="E4631" t="s">
        <v>58</v>
      </c>
      <c r="F4631" t="s">
        <v>59</v>
      </c>
      <c r="G4631">
        <v>1</v>
      </c>
      <c r="H4631">
        <v>3.19</v>
      </c>
      <c r="I4631" s="7">
        <f>IF(Transactions!I4631="",0,Transactions!I4631)</f>
        <v>0.2</v>
      </c>
      <c r="J4631" s="9">
        <f t="shared" si="72"/>
        <v>2.552</v>
      </c>
      <c r="K4631" t="s">
        <v>16</v>
      </c>
      <c r="L4631" t="s">
        <v>37</v>
      </c>
      <c r="M4631" t="str">
        <f>REPLACE(Transactions!M4631,1,4,"")</f>
        <v>9</v>
      </c>
    </row>
    <row r="4632" spans="1:13" x14ac:dyDescent="0.2">
      <c r="A4632">
        <v>867204</v>
      </c>
      <c r="B4632" s="5">
        <v>45478</v>
      </c>
      <c r="C4632">
        <v>33369</v>
      </c>
      <c r="D4632" t="str">
        <f>PROPER(Transactions!D4632)</f>
        <v>Pharmacy</v>
      </c>
      <c r="E4632" t="s">
        <v>197</v>
      </c>
      <c r="F4632" t="s">
        <v>198</v>
      </c>
      <c r="G4632">
        <v>1</v>
      </c>
      <c r="H4632">
        <v>10.49</v>
      </c>
      <c r="I4632" s="7">
        <f>IF(Transactions!I4632="",0,Transactions!I4632)</f>
        <v>0.3</v>
      </c>
      <c r="J4632" s="9">
        <f t="shared" si="72"/>
        <v>7.343</v>
      </c>
      <c r="K4632" t="s">
        <v>16</v>
      </c>
      <c r="L4632" t="s">
        <v>37</v>
      </c>
      <c r="M4632" t="str">
        <f>REPLACE(Transactions!M4632,1,4,"")</f>
        <v>9</v>
      </c>
    </row>
    <row r="4633" spans="1:13" x14ac:dyDescent="0.2">
      <c r="A4633">
        <v>867628</v>
      </c>
      <c r="B4633" s="5">
        <v>44988</v>
      </c>
      <c r="C4633">
        <v>22974</v>
      </c>
      <c r="D4633" t="str">
        <f>PROPER(Transactions!D4633)</f>
        <v>Beauty</v>
      </c>
      <c r="E4633" t="s">
        <v>109</v>
      </c>
      <c r="F4633" t="s">
        <v>110</v>
      </c>
      <c r="G4633">
        <v>1</v>
      </c>
      <c r="H4633">
        <v>5.94</v>
      </c>
      <c r="I4633" s="7">
        <f>IF(Transactions!I4633="",0,Transactions!I4633)</f>
        <v>0.15</v>
      </c>
      <c r="J4633" s="9">
        <f t="shared" si="72"/>
        <v>5.0490000000000004</v>
      </c>
      <c r="K4633" t="s">
        <v>32</v>
      </c>
      <c r="L4633" t="s">
        <v>37</v>
      </c>
      <c r="M4633" t="str">
        <f>REPLACE(Transactions!M4633,1,4,"")</f>
        <v>9</v>
      </c>
    </row>
    <row r="4634" spans="1:13" x14ac:dyDescent="0.2">
      <c r="A4634">
        <v>867652</v>
      </c>
      <c r="B4634" s="5">
        <v>45516</v>
      </c>
      <c r="C4634">
        <v>98941</v>
      </c>
      <c r="D4634" t="str">
        <f>PROPER(Transactions!D4634)</f>
        <v>Grocery</v>
      </c>
      <c r="E4634" t="s">
        <v>177</v>
      </c>
      <c r="F4634" t="s">
        <v>178</v>
      </c>
      <c r="G4634">
        <v>4</v>
      </c>
      <c r="H4634">
        <v>8.99</v>
      </c>
      <c r="I4634" s="7">
        <f>IF(Transactions!I4634="",0,Transactions!I4634)</f>
        <v>0.25</v>
      </c>
      <c r="J4634" s="9">
        <f t="shared" si="72"/>
        <v>26.97</v>
      </c>
      <c r="K4634" t="s">
        <v>16</v>
      </c>
      <c r="L4634" t="s">
        <v>17</v>
      </c>
      <c r="M4634" t="str">
        <f>REPLACE(Transactions!M4634,1,4,"")</f>
        <v>18</v>
      </c>
    </row>
    <row r="4635" spans="1:13" x14ac:dyDescent="0.2">
      <c r="A4635">
        <v>867712</v>
      </c>
      <c r="B4635" s="5">
        <v>45592</v>
      </c>
      <c r="C4635">
        <v>31818</v>
      </c>
      <c r="D4635" t="str">
        <f>PROPER(Transactions!D4635)</f>
        <v>Electronics</v>
      </c>
      <c r="E4635" t="s">
        <v>34</v>
      </c>
      <c r="F4635" t="s">
        <v>35</v>
      </c>
      <c r="G4635">
        <v>2</v>
      </c>
      <c r="H4635">
        <v>34.99</v>
      </c>
      <c r="I4635" s="7">
        <f>IF(Transactions!I4635="",0,Transactions!I4635)</f>
        <v>0</v>
      </c>
      <c r="J4635" s="9">
        <f t="shared" si="72"/>
        <v>69.98</v>
      </c>
      <c r="K4635" t="s">
        <v>36</v>
      </c>
      <c r="L4635" t="s">
        <v>17</v>
      </c>
      <c r="M4635" t="str">
        <f>REPLACE(Transactions!M4635,1,4,"")</f>
        <v>10</v>
      </c>
    </row>
    <row r="4636" spans="1:13" x14ac:dyDescent="0.2">
      <c r="A4636">
        <v>868010</v>
      </c>
      <c r="B4636" s="5">
        <v>45469</v>
      </c>
      <c r="C4636">
        <v>33318</v>
      </c>
      <c r="D4636" t="str">
        <f>PROPER(Transactions!D4636)</f>
        <v>Home &amp; Garden</v>
      </c>
      <c r="E4636" t="s">
        <v>153</v>
      </c>
      <c r="F4636" t="s">
        <v>154</v>
      </c>
      <c r="G4636">
        <v>2</v>
      </c>
      <c r="H4636">
        <v>28.49</v>
      </c>
      <c r="I4636" s="7">
        <f>IF(Transactions!I4636="",0,Transactions!I4636)</f>
        <v>0.05</v>
      </c>
      <c r="J4636" s="9">
        <f t="shared" si="72"/>
        <v>54.130999999999993</v>
      </c>
      <c r="K4636" t="s">
        <v>36</v>
      </c>
      <c r="L4636" t="s">
        <v>37</v>
      </c>
      <c r="M4636" t="str">
        <f>REPLACE(Transactions!M4636,1,4,"")</f>
        <v>18</v>
      </c>
    </row>
    <row r="4637" spans="1:13" x14ac:dyDescent="0.2">
      <c r="A4637">
        <v>868163</v>
      </c>
      <c r="B4637" s="5">
        <v>45534</v>
      </c>
      <c r="C4637">
        <v>41606</v>
      </c>
      <c r="D4637" t="str">
        <f>PROPER(Transactions!D4637)</f>
        <v>Automotive</v>
      </c>
      <c r="E4637" t="s">
        <v>68</v>
      </c>
      <c r="F4637" t="s">
        <v>69</v>
      </c>
      <c r="G4637">
        <v>1</v>
      </c>
      <c r="H4637">
        <v>22.49</v>
      </c>
      <c r="I4637" s="7">
        <f>IF(Transactions!I4637="",0,Transactions!I4637)</f>
        <v>0.1</v>
      </c>
      <c r="J4637" s="9">
        <f t="shared" si="72"/>
        <v>20.241</v>
      </c>
      <c r="K4637" t="s">
        <v>36</v>
      </c>
      <c r="L4637" t="s">
        <v>17</v>
      </c>
      <c r="M4637" t="str">
        <f>REPLACE(Transactions!M4637,1,4,"")</f>
        <v>16</v>
      </c>
    </row>
    <row r="4638" spans="1:13" x14ac:dyDescent="0.2">
      <c r="A4638">
        <v>868492</v>
      </c>
      <c r="B4638" s="5">
        <v>45134</v>
      </c>
      <c r="C4638">
        <v>19555</v>
      </c>
      <c r="D4638" t="str">
        <f>PROPER(Transactions!D4638)</f>
        <v>Home &amp; Garden</v>
      </c>
      <c r="E4638" t="s">
        <v>157</v>
      </c>
      <c r="F4638" t="s">
        <v>158</v>
      </c>
      <c r="G4638">
        <v>2</v>
      </c>
      <c r="H4638">
        <v>11.47</v>
      </c>
      <c r="I4638" s="7">
        <f>IF(Transactions!I4638="",0,Transactions!I4638)</f>
        <v>0.15</v>
      </c>
      <c r="J4638" s="9">
        <f t="shared" si="72"/>
        <v>19.499000000000002</v>
      </c>
      <c r="K4638" t="s">
        <v>22</v>
      </c>
      <c r="L4638" t="s">
        <v>17</v>
      </c>
      <c r="M4638" t="str">
        <f>REPLACE(Transactions!M4638,1,4,"")</f>
        <v>2</v>
      </c>
    </row>
    <row r="4639" spans="1:13" x14ac:dyDescent="0.2">
      <c r="A4639">
        <v>868664</v>
      </c>
      <c r="B4639" s="5">
        <v>44621</v>
      </c>
      <c r="C4639">
        <v>45261</v>
      </c>
      <c r="D4639" t="str">
        <f>PROPER(Transactions!D4639)</f>
        <v>Clothing</v>
      </c>
      <c r="E4639" t="s">
        <v>121</v>
      </c>
      <c r="F4639" t="s">
        <v>122</v>
      </c>
      <c r="G4639">
        <v>5</v>
      </c>
      <c r="H4639">
        <v>12.99</v>
      </c>
      <c r="I4639" s="7">
        <f>IF(Transactions!I4639="",0,Transactions!I4639)</f>
        <v>0</v>
      </c>
      <c r="J4639" s="9">
        <f t="shared" si="72"/>
        <v>64.95</v>
      </c>
      <c r="K4639" t="s">
        <v>36</v>
      </c>
      <c r="L4639" t="s">
        <v>37</v>
      </c>
      <c r="M4639" t="str">
        <f>REPLACE(Transactions!M4639,1,4,"")</f>
        <v>18</v>
      </c>
    </row>
    <row r="4640" spans="1:13" x14ac:dyDescent="0.2">
      <c r="A4640">
        <v>868709</v>
      </c>
      <c r="B4640" s="5">
        <v>45311</v>
      </c>
      <c r="C4640">
        <v>80885</v>
      </c>
      <c r="D4640" t="str">
        <f>PROPER(Transactions!D4640)</f>
        <v>Toys</v>
      </c>
      <c r="E4640" t="s">
        <v>88</v>
      </c>
      <c r="F4640" t="s">
        <v>89</v>
      </c>
      <c r="G4640">
        <v>2</v>
      </c>
      <c r="H4640">
        <v>34.99</v>
      </c>
      <c r="I4640" s="7">
        <f>IF(Transactions!I4640="",0,Transactions!I4640)</f>
        <v>0.3</v>
      </c>
      <c r="J4640" s="9">
        <f t="shared" si="72"/>
        <v>48.985999999999997</v>
      </c>
      <c r="K4640" t="s">
        <v>36</v>
      </c>
      <c r="L4640" t="s">
        <v>37</v>
      </c>
      <c r="M4640" t="str">
        <f>REPLACE(Transactions!M4640,1,4,"")</f>
        <v>10</v>
      </c>
    </row>
    <row r="4641" spans="1:13" x14ac:dyDescent="0.2">
      <c r="A4641">
        <v>868808</v>
      </c>
      <c r="B4641" s="5">
        <v>45412</v>
      </c>
      <c r="C4641">
        <v>33447</v>
      </c>
      <c r="D4641" t="str">
        <f>PROPER(Transactions!D4641)</f>
        <v>Electronics</v>
      </c>
      <c r="E4641" t="s">
        <v>159</v>
      </c>
      <c r="F4641" t="s">
        <v>160</v>
      </c>
      <c r="G4641">
        <v>2</v>
      </c>
      <c r="H4641">
        <v>50.99</v>
      </c>
      <c r="I4641" s="7">
        <f>IF(Transactions!I4641="",0,Transactions!I4641)</f>
        <v>0.15</v>
      </c>
      <c r="J4641" s="9">
        <f t="shared" si="72"/>
        <v>86.683000000000007</v>
      </c>
      <c r="K4641" t="s">
        <v>53</v>
      </c>
      <c r="L4641" t="s">
        <v>37</v>
      </c>
      <c r="M4641" t="str">
        <f>REPLACE(Transactions!M4641,1,4,"")</f>
        <v>14</v>
      </c>
    </row>
    <row r="4642" spans="1:13" x14ac:dyDescent="0.2">
      <c r="A4642">
        <v>869007</v>
      </c>
      <c r="B4642" s="5">
        <v>45549</v>
      </c>
      <c r="C4642">
        <v>30531</v>
      </c>
      <c r="D4642" t="str">
        <f>PROPER(Transactions!D4642)</f>
        <v>Home &amp; Garden</v>
      </c>
      <c r="E4642" t="s">
        <v>149</v>
      </c>
      <c r="F4642" t="s">
        <v>150</v>
      </c>
      <c r="G4642">
        <v>1</v>
      </c>
      <c r="H4642">
        <v>19.989999999999998</v>
      </c>
      <c r="I4642" s="7">
        <f>IF(Transactions!I4642="",0,Transactions!I4642)</f>
        <v>0</v>
      </c>
      <c r="J4642" s="9">
        <f t="shared" si="72"/>
        <v>19.989999999999998</v>
      </c>
      <c r="K4642" t="s">
        <v>22</v>
      </c>
      <c r="L4642" t="s">
        <v>17</v>
      </c>
      <c r="M4642" t="str">
        <f>REPLACE(Transactions!M4642,1,4,"")</f>
        <v>11</v>
      </c>
    </row>
    <row r="4643" spans="1:13" x14ac:dyDescent="0.2">
      <c r="A4643">
        <v>869095</v>
      </c>
      <c r="B4643" s="5">
        <v>45180</v>
      </c>
      <c r="C4643">
        <v>96362</v>
      </c>
      <c r="D4643" t="str">
        <f>PROPER(Transactions!D4643)</f>
        <v>Pharmacy</v>
      </c>
      <c r="E4643" t="s">
        <v>115</v>
      </c>
      <c r="F4643" t="s">
        <v>116</v>
      </c>
      <c r="G4643">
        <v>2</v>
      </c>
      <c r="H4643">
        <v>10.39</v>
      </c>
      <c r="I4643" s="7">
        <f>IF(Transactions!I4643="",0,Transactions!I4643)</f>
        <v>0.2</v>
      </c>
      <c r="J4643" s="9">
        <f t="shared" si="72"/>
        <v>16.624000000000002</v>
      </c>
      <c r="K4643" t="s">
        <v>22</v>
      </c>
      <c r="L4643" t="s">
        <v>37</v>
      </c>
      <c r="M4643" t="str">
        <f>REPLACE(Transactions!M4643,1,4,"")</f>
        <v>14</v>
      </c>
    </row>
    <row r="4644" spans="1:13" x14ac:dyDescent="0.2">
      <c r="A4644">
        <v>869139</v>
      </c>
      <c r="B4644" s="5">
        <v>44641</v>
      </c>
      <c r="C4644">
        <v>26651</v>
      </c>
      <c r="D4644" t="str">
        <f>PROPER(Transactions!D4644)</f>
        <v>Toys</v>
      </c>
      <c r="E4644" t="s">
        <v>38</v>
      </c>
      <c r="F4644" t="s">
        <v>39</v>
      </c>
      <c r="G4644">
        <v>1</v>
      </c>
      <c r="H4644">
        <v>20.99</v>
      </c>
      <c r="I4644" s="7">
        <f>IF(Transactions!I4644="",0,Transactions!I4644)</f>
        <v>0.3</v>
      </c>
      <c r="J4644" s="9">
        <f t="shared" si="72"/>
        <v>14.692999999999998</v>
      </c>
      <c r="K4644" t="s">
        <v>16</v>
      </c>
      <c r="L4644" t="s">
        <v>17</v>
      </c>
      <c r="M4644" t="str">
        <f>REPLACE(Transactions!M4644,1,4,"")</f>
        <v>8</v>
      </c>
    </row>
    <row r="4645" spans="1:13" x14ac:dyDescent="0.2">
      <c r="A4645">
        <v>869372</v>
      </c>
      <c r="B4645" s="5">
        <v>45482</v>
      </c>
      <c r="C4645">
        <v>28731</v>
      </c>
      <c r="D4645" t="str">
        <f>PROPER(Transactions!D4645)</f>
        <v>Home &amp; Garden</v>
      </c>
      <c r="E4645" t="s">
        <v>157</v>
      </c>
      <c r="F4645" t="s">
        <v>158</v>
      </c>
      <c r="G4645">
        <v>2</v>
      </c>
      <c r="H4645">
        <v>13.49</v>
      </c>
      <c r="I4645" s="7">
        <f>IF(Transactions!I4645="",0,Transactions!I4645)</f>
        <v>0</v>
      </c>
      <c r="J4645" s="9">
        <f t="shared" si="72"/>
        <v>26.98</v>
      </c>
      <c r="K4645" t="s">
        <v>22</v>
      </c>
      <c r="L4645" t="s">
        <v>17</v>
      </c>
      <c r="M4645" t="str">
        <f>REPLACE(Transactions!M4645,1,4,"")</f>
        <v>6</v>
      </c>
    </row>
    <row r="4646" spans="1:13" x14ac:dyDescent="0.2">
      <c r="A4646">
        <v>869641</v>
      </c>
      <c r="B4646" s="5">
        <v>44618</v>
      </c>
      <c r="C4646">
        <v>11027</v>
      </c>
      <c r="D4646" t="str">
        <f>PROPER(Transactions!D4646)</f>
        <v>Automotive</v>
      </c>
      <c r="E4646" t="s">
        <v>125</v>
      </c>
      <c r="F4646" t="s">
        <v>126</v>
      </c>
      <c r="G4646">
        <v>2</v>
      </c>
      <c r="H4646">
        <v>29.99</v>
      </c>
      <c r="I4646" s="7">
        <f>IF(Transactions!I4646="",0,Transactions!I4646)</f>
        <v>0</v>
      </c>
      <c r="J4646" s="9">
        <f t="shared" si="72"/>
        <v>59.98</v>
      </c>
      <c r="K4646" t="s">
        <v>36</v>
      </c>
      <c r="L4646" t="s">
        <v>37</v>
      </c>
      <c r="M4646" t="str">
        <f>REPLACE(Transactions!M4646,1,4,"")</f>
        <v>16</v>
      </c>
    </row>
    <row r="4647" spans="1:13" x14ac:dyDescent="0.2">
      <c r="A4647">
        <v>870061</v>
      </c>
      <c r="B4647" s="5">
        <v>45636</v>
      </c>
      <c r="C4647">
        <v>85760</v>
      </c>
      <c r="D4647" t="str">
        <f>PROPER(Transactions!D4647)</f>
        <v>Pharmacy</v>
      </c>
      <c r="E4647" t="s">
        <v>115</v>
      </c>
      <c r="F4647" t="s">
        <v>116</v>
      </c>
      <c r="G4647">
        <v>2</v>
      </c>
      <c r="H4647">
        <v>12.99</v>
      </c>
      <c r="I4647" s="7">
        <f>IF(Transactions!I4647="",0,Transactions!I4647)</f>
        <v>0</v>
      </c>
      <c r="J4647" s="9">
        <f t="shared" si="72"/>
        <v>25.98</v>
      </c>
      <c r="K4647" t="s">
        <v>36</v>
      </c>
      <c r="L4647" t="s">
        <v>17</v>
      </c>
      <c r="M4647" t="str">
        <f>REPLACE(Transactions!M4647,1,4,"")</f>
        <v>2</v>
      </c>
    </row>
    <row r="4648" spans="1:13" x14ac:dyDescent="0.2">
      <c r="A4648">
        <v>870384</v>
      </c>
      <c r="B4648" s="5">
        <v>45563</v>
      </c>
      <c r="D4648" t="str">
        <f>PROPER(Transactions!D4648)</f>
        <v>Grocery</v>
      </c>
      <c r="E4648" t="s">
        <v>190</v>
      </c>
      <c r="F4648" t="s">
        <v>191</v>
      </c>
      <c r="G4648">
        <v>3</v>
      </c>
      <c r="H4648">
        <v>3.65</v>
      </c>
      <c r="I4648" s="7">
        <f>IF(Transactions!I4648="",0,Transactions!I4648)</f>
        <v>0.15</v>
      </c>
      <c r="J4648" s="9">
        <f t="shared" si="72"/>
        <v>9.3074999999999992</v>
      </c>
      <c r="K4648" t="s">
        <v>36</v>
      </c>
      <c r="L4648" t="s">
        <v>17</v>
      </c>
      <c r="M4648" t="str">
        <f>REPLACE(Transactions!M4648,1,4,"")</f>
        <v>18</v>
      </c>
    </row>
    <row r="4649" spans="1:13" x14ac:dyDescent="0.2">
      <c r="A4649">
        <v>870452</v>
      </c>
      <c r="B4649" s="5">
        <v>45284</v>
      </c>
      <c r="C4649">
        <v>95414</v>
      </c>
      <c r="D4649" t="str">
        <f>PROPER(Transactions!D4649)</f>
        <v>Automotive</v>
      </c>
      <c r="E4649" t="s">
        <v>68</v>
      </c>
      <c r="F4649" t="s">
        <v>69</v>
      </c>
      <c r="G4649">
        <v>1</v>
      </c>
      <c r="H4649">
        <v>21.24</v>
      </c>
      <c r="I4649" s="7">
        <f>IF(Transactions!I4649="",0,Transactions!I4649)</f>
        <v>0.15</v>
      </c>
      <c r="J4649" s="9">
        <f t="shared" si="72"/>
        <v>18.053999999999998</v>
      </c>
      <c r="K4649" t="s">
        <v>22</v>
      </c>
      <c r="L4649" t="s">
        <v>17</v>
      </c>
      <c r="M4649" t="str">
        <f>REPLACE(Transactions!M4649,1,4,"")</f>
        <v>3</v>
      </c>
    </row>
    <row r="4650" spans="1:13" x14ac:dyDescent="0.2">
      <c r="A4650">
        <v>870497</v>
      </c>
      <c r="B4650" s="5">
        <v>45635</v>
      </c>
      <c r="C4650">
        <v>96574</v>
      </c>
      <c r="D4650" t="str">
        <f>PROPER(Transactions!D4650)</f>
        <v>Automotive</v>
      </c>
      <c r="E4650" t="s">
        <v>68</v>
      </c>
      <c r="F4650" t="s">
        <v>69</v>
      </c>
      <c r="G4650">
        <v>2</v>
      </c>
      <c r="H4650">
        <v>23.74</v>
      </c>
      <c r="I4650" s="7">
        <f>IF(Transactions!I4650="",0,Transactions!I4650)</f>
        <v>0.05</v>
      </c>
      <c r="J4650" s="9">
        <f t="shared" si="72"/>
        <v>45.105999999999995</v>
      </c>
      <c r="K4650" t="s">
        <v>22</v>
      </c>
      <c r="L4650" t="s">
        <v>23</v>
      </c>
      <c r="M4650" t="str">
        <f>REPLACE(Transactions!M4650,1,4,"")</f>
        <v>6</v>
      </c>
    </row>
    <row r="4651" spans="1:13" x14ac:dyDescent="0.2">
      <c r="A4651">
        <v>870500</v>
      </c>
      <c r="B4651" s="5">
        <v>45546</v>
      </c>
      <c r="C4651">
        <v>36952</v>
      </c>
      <c r="D4651" t="str">
        <f>PROPER(Transactions!D4651)</f>
        <v>Sports</v>
      </c>
      <c r="E4651" t="s">
        <v>188</v>
      </c>
      <c r="F4651" t="s">
        <v>189</v>
      </c>
      <c r="G4651">
        <v>2</v>
      </c>
      <c r="H4651">
        <v>31.49</v>
      </c>
      <c r="I4651" s="7">
        <f>IF(Transactions!I4651="",0,Transactions!I4651)</f>
        <v>0.3</v>
      </c>
      <c r="J4651" s="9">
        <f t="shared" si="72"/>
        <v>44.085999999999999</v>
      </c>
      <c r="K4651" t="s">
        <v>16</v>
      </c>
      <c r="L4651" t="s">
        <v>17</v>
      </c>
      <c r="M4651" t="str">
        <f>REPLACE(Transactions!M4651,1,4,"")</f>
        <v>10</v>
      </c>
    </row>
    <row r="4652" spans="1:13" x14ac:dyDescent="0.2">
      <c r="A4652">
        <v>870721</v>
      </c>
      <c r="B4652" s="5">
        <v>45297</v>
      </c>
      <c r="C4652">
        <v>80795</v>
      </c>
      <c r="D4652" t="str">
        <f>PROPER(Transactions!D4652)</f>
        <v>Grocery</v>
      </c>
      <c r="E4652" t="s">
        <v>177</v>
      </c>
      <c r="F4652" t="s">
        <v>178</v>
      </c>
      <c r="G4652">
        <v>3</v>
      </c>
      <c r="H4652">
        <v>11.99</v>
      </c>
      <c r="I4652" s="7">
        <f>IF(Transactions!I4652="",0,Transactions!I4652)</f>
        <v>0</v>
      </c>
      <c r="J4652" s="9">
        <f t="shared" si="72"/>
        <v>35.97</v>
      </c>
      <c r="K4652" t="s">
        <v>95</v>
      </c>
      <c r="L4652" t="s">
        <v>17</v>
      </c>
      <c r="M4652" t="str">
        <f>REPLACE(Transactions!M4652,1,4,"")</f>
        <v>14</v>
      </c>
    </row>
    <row r="4653" spans="1:13" x14ac:dyDescent="0.2">
      <c r="A4653">
        <v>870786</v>
      </c>
      <c r="B4653" s="5">
        <v>44926</v>
      </c>
      <c r="C4653">
        <v>71087</v>
      </c>
      <c r="D4653" t="str">
        <f>PROPER(Transactions!D4653)</f>
        <v>Beauty</v>
      </c>
      <c r="E4653" t="s">
        <v>179</v>
      </c>
      <c r="F4653" t="s">
        <v>180</v>
      </c>
      <c r="G4653">
        <v>5</v>
      </c>
      <c r="H4653">
        <v>11.99</v>
      </c>
      <c r="I4653" s="7">
        <f>IF(Transactions!I4653="",0,Transactions!I4653)</f>
        <v>0</v>
      </c>
      <c r="J4653" s="9">
        <f t="shared" si="72"/>
        <v>59.95</v>
      </c>
      <c r="K4653" t="s">
        <v>36</v>
      </c>
      <c r="L4653" t="s">
        <v>17</v>
      </c>
      <c r="M4653" t="str">
        <f>REPLACE(Transactions!M4653,1,4,"")</f>
        <v>8</v>
      </c>
    </row>
    <row r="4654" spans="1:13" x14ac:dyDescent="0.2">
      <c r="A4654">
        <v>871142</v>
      </c>
      <c r="B4654" s="5">
        <v>44593</v>
      </c>
      <c r="D4654" t="str">
        <f>PROPER(Transactions!D4654)</f>
        <v>Clothing</v>
      </c>
      <c r="E4654" t="s">
        <v>181</v>
      </c>
      <c r="F4654" t="s">
        <v>182</v>
      </c>
      <c r="G4654">
        <v>5</v>
      </c>
      <c r="H4654">
        <v>12.74</v>
      </c>
      <c r="I4654" s="7">
        <f>IF(Transactions!I4654="",0,Transactions!I4654)</f>
        <v>0.15</v>
      </c>
      <c r="J4654" s="9">
        <f t="shared" si="72"/>
        <v>54.145000000000003</v>
      </c>
      <c r="K4654" t="s">
        <v>36</v>
      </c>
      <c r="L4654" t="s">
        <v>23</v>
      </c>
      <c r="M4654" t="str">
        <f>REPLACE(Transactions!M4654,1,4,"")</f>
        <v>4</v>
      </c>
    </row>
    <row r="4655" spans="1:13" x14ac:dyDescent="0.2">
      <c r="A4655">
        <v>871203</v>
      </c>
      <c r="B4655" s="5">
        <v>45332</v>
      </c>
      <c r="D4655" t="str">
        <f>PROPER(Transactions!D4655)</f>
        <v>Beauty</v>
      </c>
      <c r="E4655" t="s">
        <v>49</v>
      </c>
      <c r="F4655" t="s">
        <v>50</v>
      </c>
      <c r="G4655">
        <v>3</v>
      </c>
      <c r="H4655">
        <v>8.5399999999999991</v>
      </c>
      <c r="I4655" s="7">
        <f>IF(Transactions!I4655="",0,Transactions!I4655)</f>
        <v>0.05</v>
      </c>
      <c r="J4655" s="9">
        <f t="shared" si="72"/>
        <v>24.338999999999995</v>
      </c>
      <c r="K4655" t="s">
        <v>16</v>
      </c>
      <c r="L4655" t="s">
        <v>17</v>
      </c>
      <c r="M4655" t="str">
        <f>REPLACE(Transactions!M4655,1,4,"")</f>
        <v>12</v>
      </c>
    </row>
    <row r="4656" spans="1:13" x14ac:dyDescent="0.2">
      <c r="A4656">
        <v>871798</v>
      </c>
      <c r="B4656" s="5">
        <v>44826</v>
      </c>
      <c r="C4656">
        <v>75112</v>
      </c>
      <c r="D4656" t="str">
        <f>PROPER(Transactions!D4656)</f>
        <v>Furniture</v>
      </c>
      <c r="E4656" t="s">
        <v>51</v>
      </c>
      <c r="F4656" t="s">
        <v>52</v>
      </c>
      <c r="G4656">
        <v>3</v>
      </c>
      <c r="H4656">
        <v>22.39</v>
      </c>
      <c r="I4656" s="7">
        <f>IF(Transactions!I4656="",0,Transactions!I4656)</f>
        <v>0.2</v>
      </c>
      <c r="J4656" s="9">
        <f t="shared" si="72"/>
        <v>53.736000000000004</v>
      </c>
      <c r="K4656" t="s">
        <v>16</v>
      </c>
      <c r="L4656" t="s">
        <v>17</v>
      </c>
      <c r="M4656" t="str">
        <f>REPLACE(Transactions!M4656,1,4,"")</f>
        <v>10</v>
      </c>
    </row>
    <row r="4657" spans="1:13" x14ac:dyDescent="0.2">
      <c r="A4657">
        <v>871819</v>
      </c>
      <c r="B4657" s="5">
        <v>44857</v>
      </c>
      <c r="C4657">
        <v>27641</v>
      </c>
      <c r="D4657" t="str">
        <f>PROPER(Transactions!D4657)</f>
        <v>Electronics</v>
      </c>
      <c r="E4657" t="s">
        <v>55</v>
      </c>
      <c r="F4657" t="s">
        <v>56</v>
      </c>
      <c r="G4657">
        <v>2</v>
      </c>
      <c r="H4657">
        <v>313.49</v>
      </c>
      <c r="I4657" s="7">
        <f>IF(Transactions!I4657="",0,Transactions!I4657)</f>
        <v>0.05</v>
      </c>
      <c r="J4657" s="9">
        <f t="shared" si="72"/>
        <v>595.63099999999997</v>
      </c>
      <c r="K4657" t="s">
        <v>36</v>
      </c>
      <c r="L4657" t="s">
        <v>17</v>
      </c>
      <c r="M4657" t="str">
        <f>REPLACE(Transactions!M4657,1,4,"")</f>
        <v>8</v>
      </c>
    </row>
    <row r="4658" spans="1:13" x14ac:dyDescent="0.2">
      <c r="A4658">
        <v>871904</v>
      </c>
      <c r="B4658" s="5">
        <v>44963</v>
      </c>
      <c r="C4658">
        <v>14936</v>
      </c>
      <c r="D4658" t="str">
        <f>PROPER(Transactions!D4658)</f>
        <v>Home &amp; Garden</v>
      </c>
      <c r="E4658" t="s">
        <v>145</v>
      </c>
      <c r="F4658" t="s">
        <v>146</v>
      </c>
      <c r="G4658">
        <v>1</v>
      </c>
      <c r="H4658">
        <v>12.74</v>
      </c>
      <c r="I4658" s="7">
        <f>IF(Transactions!I4658="",0,Transactions!I4658)</f>
        <v>0.25</v>
      </c>
      <c r="J4658" s="9">
        <f t="shared" si="72"/>
        <v>9.5549999999999997</v>
      </c>
      <c r="K4658" t="s">
        <v>16</v>
      </c>
      <c r="L4658" t="s">
        <v>37</v>
      </c>
      <c r="M4658" t="str">
        <f>REPLACE(Transactions!M4658,1,4,"")</f>
        <v>17</v>
      </c>
    </row>
    <row r="4659" spans="1:13" x14ac:dyDescent="0.2">
      <c r="A4659">
        <v>871910</v>
      </c>
      <c r="B4659" s="5">
        <v>44587</v>
      </c>
      <c r="C4659">
        <v>15686</v>
      </c>
      <c r="D4659" t="str">
        <f>PROPER(Transactions!D4659)</f>
        <v>Home &amp; Garden</v>
      </c>
      <c r="E4659" t="s">
        <v>137</v>
      </c>
      <c r="F4659" t="s">
        <v>138</v>
      </c>
      <c r="G4659">
        <v>5</v>
      </c>
      <c r="H4659">
        <v>7.99</v>
      </c>
      <c r="I4659" s="7">
        <f>IF(Transactions!I4659="",0,Transactions!I4659)</f>
        <v>0</v>
      </c>
      <c r="J4659" s="9">
        <f t="shared" si="72"/>
        <v>39.950000000000003</v>
      </c>
      <c r="K4659" t="s">
        <v>36</v>
      </c>
      <c r="L4659" t="s">
        <v>17</v>
      </c>
      <c r="M4659" t="str">
        <f>REPLACE(Transactions!M4659,1,4,"")</f>
        <v>14</v>
      </c>
    </row>
    <row r="4660" spans="1:13" x14ac:dyDescent="0.2">
      <c r="A4660">
        <v>871981</v>
      </c>
      <c r="B4660" s="5">
        <v>45365</v>
      </c>
      <c r="C4660">
        <v>57849</v>
      </c>
      <c r="D4660" t="str">
        <f>PROPER(Transactions!D4660)</f>
        <v>Home &amp; Garden</v>
      </c>
      <c r="E4660" t="s">
        <v>145</v>
      </c>
      <c r="F4660" t="s">
        <v>146</v>
      </c>
      <c r="G4660">
        <v>1</v>
      </c>
      <c r="H4660">
        <v>13.59</v>
      </c>
      <c r="I4660" s="7">
        <f>IF(Transactions!I4660="",0,Transactions!I4660)</f>
        <v>0.2</v>
      </c>
      <c r="J4660" s="9">
        <f t="shared" si="72"/>
        <v>10.872</v>
      </c>
      <c r="K4660" t="s">
        <v>22</v>
      </c>
      <c r="L4660" t="s">
        <v>17</v>
      </c>
      <c r="M4660" t="str">
        <f>REPLACE(Transactions!M4660,1,4,"")</f>
        <v>5</v>
      </c>
    </row>
    <row r="4661" spans="1:13" x14ac:dyDescent="0.2">
      <c r="A4661">
        <v>871984</v>
      </c>
      <c r="B4661" s="5">
        <v>44572</v>
      </c>
      <c r="C4661">
        <v>60686</v>
      </c>
      <c r="D4661" t="str">
        <f>PROPER(Transactions!D4661)</f>
        <v>Toys</v>
      </c>
      <c r="E4661" t="s">
        <v>170</v>
      </c>
      <c r="F4661" t="s">
        <v>171</v>
      </c>
      <c r="G4661">
        <v>5</v>
      </c>
      <c r="H4661">
        <v>14.99</v>
      </c>
      <c r="I4661" s="7">
        <f>IF(Transactions!I4661="",0,Transactions!I4661)</f>
        <v>0</v>
      </c>
      <c r="J4661" s="9">
        <f t="shared" si="72"/>
        <v>74.95</v>
      </c>
      <c r="K4661" t="s">
        <v>36</v>
      </c>
      <c r="L4661" t="s">
        <v>37</v>
      </c>
      <c r="M4661" t="str">
        <f>REPLACE(Transactions!M4661,1,4,"")</f>
        <v>4</v>
      </c>
    </row>
    <row r="4662" spans="1:13" x14ac:dyDescent="0.2">
      <c r="A4662">
        <v>872151</v>
      </c>
      <c r="B4662" s="5">
        <v>45413</v>
      </c>
      <c r="C4662">
        <v>59495</v>
      </c>
      <c r="D4662" t="str">
        <f>PROPER(Transactions!D4662)</f>
        <v>Clothing</v>
      </c>
      <c r="E4662" t="s">
        <v>165</v>
      </c>
      <c r="F4662" t="s">
        <v>166</v>
      </c>
      <c r="G4662">
        <v>2</v>
      </c>
      <c r="H4662">
        <v>89.99</v>
      </c>
      <c r="I4662" s="7">
        <f>IF(Transactions!I4662="",0,Transactions!I4662)</f>
        <v>0</v>
      </c>
      <c r="J4662" s="9">
        <f t="shared" si="72"/>
        <v>179.98</v>
      </c>
      <c r="K4662" t="s">
        <v>22</v>
      </c>
      <c r="L4662" t="s">
        <v>17</v>
      </c>
      <c r="M4662" t="str">
        <f>REPLACE(Transactions!M4662,1,4,"")</f>
        <v>9</v>
      </c>
    </row>
    <row r="4663" spans="1:13" x14ac:dyDescent="0.2">
      <c r="A4663">
        <v>872212</v>
      </c>
      <c r="B4663" s="5">
        <v>45052</v>
      </c>
      <c r="C4663">
        <v>22649</v>
      </c>
      <c r="D4663" t="str">
        <f>PROPER(Transactions!D4663)</f>
        <v>Sports</v>
      </c>
      <c r="E4663" t="s">
        <v>83</v>
      </c>
      <c r="F4663" t="s">
        <v>84</v>
      </c>
      <c r="G4663">
        <v>5</v>
      </c>
      <c r="H4663">
        <v>12.74</v>
      </c>
      <c r="I4663" s="7">
        <f>IF(Transactions!I4663="",0,Transactions!I4663)</f>
        <v>0.25</v>
      </c>
      <c r="J4663" s="9">
        <f t="shared" si="72"/>
        <v>47.775000000000006</v>
      </c>
      <c r="K4663" t="s">
        <v>16</v>
      </c>
      <c r="L4663" t="s">
        <v>23</v>
      </c>
      <c r="M4663" t="str">
        <f>REPLACE(Transactions!M4663,1,4,"")</f>
        <v>2</v>
      </c>
    </row>
    <row r="4664" spans="1:13" x14ac:dyDescent="0.2">
      <c r="A4664">
        <v>872214</v>
      </c>
      <c r="B4664" s="5">
        <v>44585</v>
      </c>
      <c r="C4664">
        <v>14826</v>
      </c>
      <c r="D4664" t="str">
        <f>PROPER(Transactions!D4664)</f>
        <v>Electronics</v>
      </c>
      <c r="E4664" t="s">
        <v>127</v>
      </c>
      <c r="F4664" t="s">
        <v>128</v>
      </c>
      <c r="G4664">
        <v>2</v>
      </c>
      <c r="H4664">
        <v>15.99</v>
      </c>
      <c r="I4664" s="7">
        <f>IF(Transactions!I4664="",0,Transactions!I4664)</f>
        <v>0</v>
      </c>
      <c r="J4664" s="9">
        <f t="shared" si="72"/>
        <v>31.98</v>
      </c>
      <c r="K4664" t="s">
        <v>22</v>
      </c>
      <c r="L4664" t="s">
        <v>17</v>
      </c>
      <c r="M4664" t="str">
        <f>REPLACE(Transactions!M4664,1,4,"")</f>
        <v>17</v>
      </c>
    </row>
    <row r="4665" spans="1:13" x14ac:dyDescent="0.2">
      <c r="A4665">
        <v>872246</v>
      </c>
      <c r="B4665" s="5">
        <v>45125</v>
      </c>
      <c r="C4665">
        <v>87397</v>
      </c>
      <c r="D4665" t="str">
        <f>PROPER(Transactions!D4665)</f>
        <v>Clothing</v>
      </c>
      <c r="E4665" t="s">
        <v>151</v>
      </c>
      <c r="F4665" t="s">
        <v>152</v>
      </c>
      <c r="G4665">
        <v>1</v>
      </c>
      <c r="H4665">
        <v>33.24</v>
      </c>
      <c r="I4665" s="7">
        <f>IF(Transactions!I4665="",0,Transactions!I4665)</f>
        <v>0.05</v>
      </c>
      <c r="J4665" s="9">
        <f t="shared" si="72"/>
        <v>31.577999999999999</v>
      </c>
      <c r="K4665" t="s">
        <v>36</v>
      </c>
      <c r="L4665" t="s">
        <v>37</v>
      </c>
      <c r="M4665" t="str">
        <f>REPLACE(Transactions!M4665,1,4,"")</f>
        <v>7</v>
      </c>
    </row>
    <row r="4666" spans="1:13" x14ac:dyDescent="0.2">
      <c r="A4666">
        <v>872355</v>
      </c>
      <c r="B4666" s="5">
        <v>45118</v>
      </c>
      <c r="C4666">
        <v>50419</v>
      </c>
      <c r="D4666" t="str">
        <f>PROPER(Transactions!D4666)</f>
        <v>Grocery</v>
      </c>
      <c r="E4666" t="s">
        <v>172</v>
      </c>
      <c r="F4666" t="s">
        <v>173</v>
      </c>
      <c r="G4666">
        <v>5</v>
      </c>
      <c r="H4666">
        <v>4.49</v>
      </c>
      <c r="I4666" s="7">
        <f>IF(Transactions!I4666="",0,Transactions!I4666)</f>
        <v>0</v>
      </c>
      <c r="J4666" s="9">
        <f t="shared" si="72"/>
        <v>22.450000000000003</v>
      </c>
      <c r="K4666" t="s">
        <v>36</v>
      </c>
      <c r="L4666" t="s">
        <v>17</v>
      </c>
      <c r="M4666" t="str">
        <f>REPLACE(Transactions!M4666,1,4,"")</f>
        <v>10</v>
      </c>
    </row>
    <row r="4667" spans="1:13" x14ac:dyDescent="0.2">
      <c r="A4667">
        <v>872483</v>
      </c>
      <c r="B4667" s="5">
        <v>44960</v>
      </c>
      <c r="C4667">
        <v>77670</v>
      </c>
      <c r="D4667" t="str">
        <f>PROPER(Transactions!D4667)</f>
        <v>Beauty</v>
      </c>
      <c r="E4667" t="s">
        <v>139</v>
      </c>
      <c r="F4667" t="s">
        <v>140</v>
      </c>
      <c r="G4667">
        <v>2</v>
      </c>
      <c r="H4667">
        <v>6.39</v>
      </c>
      <c r="I4667" s="7">
        <f>IF(Transactions!I4667="",0,Transactions!I4667)</f>
        <v>0</v>
      </c>
      <c r="J4667" s="9">
        <f t="shared" si="72"/>
        <v>12.78</v>
      </c>
      <c r="K4667" t="s">
        <v>36</v>
      </c>
      <c r="L4667" t="s">
        <v>17</v>
      </c>
      <c r="M4667" t="str">
        <f>REPLACE(Transactions!M4667,1,4,"")</f>
        <v>7</v>
      </c>
    </row>
    <row r="4668" spans="1:13" x14ac:dyDescent="0.2">
      <c r="A4668">
        <v>872744</v>
      </c>
      <c r="B4668" s="5">
        <v>44943</v>
      </c>
      <c r="C4668">
        <v>16085</v>
      </c>
      <c r="D4668" t="str">
        <f>PROPER(Transactions!D4668)</f>
        <v>Automotive</v>
      </c>
      <c r="E4668" t="s">
        <v>111</v>
      </c>
      <c r="F4668" t="s">
        <v>112</v>
      </c>
      <c r="G4668">
        <v>1</v>
      </c>
      <c r="H4668">
        <v>14.99</v>
      </c>
      <c r="I4668" s="7">
        <f>IF(Transactions!I4668="",0,Transactions!I4668)</f>
        <v>0</v>
      </c>
      <c r="J4668" s="9">
        <f t="shared" si="72"/>
        <v>14.99</v>
      </c>
      <c r="K4668" t="s">
        <v>16</v>
      </c>
      <c r="L4668" t="s">
        <v>17</v>
      </c>
      <c r="M4668" t="str">
        <f>REPLACE(Transactions!M4668,1,4,"")</f>
        <v>15</v>
      </c>
    </row>
    <row r="4669" spans="1:13" x14ac:dyDescent="0.2">
      <c r="A4669">
        <v>872823</v>
      </c>
      <c r="B4669" s="5">
        <v>45387</v>
      </c>
      <c r="C4669">
        <v>21397</v>
      </c>
      <c r="D4669" t="str">
        <f>PROPER(Transactions!D4669)</f>
        <v>Electronics</v>
      </c>
      <c r="E4669" t="s">
        <v>104</v>
      </c>
      <c r="F4669" t="s">
        <v>105</v>
      </c>
      <c r="G4669">
        <v>1</v>
      </c>
      <c r="H4669">
        <v>29.99</v>
      </c>
      <c r="I4669" s="7">
        <f>IF(Transactions!I4669="",0,Transactions!I4669)</f>
        <v>0</v>
      </c>
      <c r="J4669" s="9">
        <f t="shared" si="72"/>
        <v>29.99</v>
      </c>
      <c r="K4669" t="s">
        <v>36</v>
      </c>
      <c r="L4669" t="s">
        <v>17</v>
      </c>
      <c r="M4669" t="str">
        <f>REPLACE(Transactions!M4669,1,4,"")</f>
        <v>19</v>
      </c>
    </row>
    <row r="4670" spans="1:13" x14ac:dyDescent="0.2">
      <c r="A4670">
        <v>872860</v>
      </c>
      <c r="B4670" s="5">
        <v>45456</v>
      </c>
      <c r="C4670">
        <v>80540</v>
      </c>
      <c r="D4670" t="str">
        <f>PROPER(Transactions!D4670)</f>
        <v>Electronics</v>
      </c>
      <c r="E4670" t="s">
        <v>34</v>
      </c>
      <c r="F4670" t="s">
        <v>35</v>
      </c>
      <c r="G4670">
        <v>3</v>
      </c>
      <c r="H4670">
        <v>31.49</v>
      </c>
      <c r="I4670" s="7">
        <f>IF(Transactions!I4670="",0,Transactions!I4670)</f>
        <v>0.1</v>
      </c>
      <c r="J4670" s="9">
        <f t="shared" si="72"/>
        <v>85.022999999999996</v>
      </c>
      <c r="K4670" t="s">
        <v>16</v>
      </c>
      <c r="L4670" t="s">
        <v>17</v>
      </c>
      <c r="M4670" t="str">
        <f>REPLACE(Transactions!M4670,1,4,"")</f>
        <v>12</v>
      </c>
    </row>
    <row r="4671" spans="1:13" x14ac:dyDescent="0.2">
      <c r="A4671">
        <v>873112</v>
      </c>
      <c r="B4671" s="5">
        <v>45529</v>
      </c>
      <c r="C4671">
        <v>72877</v>
      </c>
      <c r="D4671" t="str">
        <f>PROPER(Transactions!D4671)</f>
        <v>Home &amp; Garden</v>
      </c>
      <c r="E4671" t="s">
        <v>86</v>
      </c>
      <c r="F4671" t="s">
        <v>87</v>
      </c>
      <c r="G4671">
        <v>5</v>
      </c>
      <c r="H4671">
        <v>9.09</v>
      </c>
      <c r="I4671" s="7">
        <f>IF(Transactions!I4671="",0,Transactions!I4671)</f>
        <v>0.3</v>
      </c>
      <c r="J4671" s="9">
        <f t="shared" si="72"/>
        <v>31.815000000000001</v>
      </c>
      <c r="K4671" t="s">
        <v>16</v>
      </c>
      <c r="L4671" t="s">
        <v>17</v>
      </c>
      <c r="M4671" t="str">
        <f>REPLACE(Transactions!M4671,1,4,"")</f>
        <v>5</v>
      </c>
    </row>
    <row r="4672" spans="1:13" x14ac:dyDescent="0.2">
      <c r="A4672">
        <v>873151</v>
      </c>
      <c r="B4672" s="5">
        <v>44817</v>
      </c>
      <c r="D4672" t="str">
        <f>PROPER(Transactions!D4672)</f>
        <v>Home &amp; Garden</v>
      </c>
      <c r="E4672" t="s">
        <v>153</v>
      </c>
      <c r="F4672" t="s">
        <v>154</v>
      </c>
      <c r="G4672">
        <v>5</v>
      </c>
      <c r="H4672">
        <v>29.99</v>
      </c>
      <c r="I4672" s="7">
        <f>IF(Transactions!I4672="",0,Transactions!I4672)</f>
        <v>0</v>
      </c>
      <c r="J4672" s="9">
        <f t="shared" si="72"/>
        <v>149.94999999999999</v>
      </c>
      <c r="K4672" t="s">
        <v>16</v>
      </c>
      <c r="L4672" t="s">
        <v>37</v>
      </c>
      <c r="M4672" t="str">
        <f>REPLACE(Transactions!M4672,1,4,"")</f>
        <v>3</v>
      </c>
    </row>
    <row r="4673" spans="1:13" x14ac:dyDescent="0.2">
      <c r="A4673">
        <v>873212</v>
      </c>
      <c r="B4673" s="5">
        <v>44670</v>
      </c>
      <c r="C4673">
        <v>62049</v>
      </c>
      <c r="D4673" t="str">
        <f>PROPER(Transactions!D4673)</f>
        <v>Clothing</v>
      </c>
      <c r="E4673" t="s">
        <v>181</v>
      </c>
      <c r="F4673" t="s">
        <v>182</v>
      </c>
      <c r="G4673">
        <v>2</v>
      </c>
      <c r="H4673">
        <v>14.99</v>
      </c>
      <c r="I4673" s="7">
        <f>IF(Transactions!I4673="",0,Transactions!I4673)</f>
        <v>0</v>
      </c>
      <c r="J4673" s="9">
        <f t="shared" si="72"/>
        <v>29.98</v>
      </c>
      <c r="K4673" t="s">
        <v>16</v>
      </c>
      <c r="L4673" t="s">
        <v>17</v>
      </c>
      <c r="M4673" t="str">
        <f>REPLACE(Transactions!M4673,1,4,"")</f>
        <v>1</v>
      </c>
    </row>
    <row r="4674" spans="1:13" x14ac:dyDescent="0.2">
      <c r="A4674">
        <v>873253</v>
      </c>
      <c r="B4674" s="5">
        <v>45262</v>
      </c>
      <c r="C4674">
        <v>20828</v>
      </c>
      <c r="D4674" t="str">
        <f>PROPER(Transactions!D4674)</f>
        <v>Electronics</v>
      </c>
      <c r="E4674" t="s">
        <v>34</v>
      </c>
      <c r="F4674" t="s">
        <v>35</v>
      </c>
      <c r="G4674">
        <v>5</v>
      </c>
      <c r="H4674">
        <v>27.99</v>
      </c>
      <c r="I4674" s="7">
        <f>IF(Transactions!I4674="",0,Transactions!I4674)</f>
        <v>0.2</v>
      </c>
      <c r="J4674" s="9">
        <f t="shared" si="72"/>
        <v>111.96</v>
      </c>
      <c r="K4674" t="s">
        <v>16</v>
      </c>
      <c r="L4674" t="s">
        <v>17</v>
      </c>
      <c r="M4674" t="str">
        <f>REPLACE(Transactions!M4674,1,4,"")</f>
        <v>6</v>
      </c>
    </row>
    <row r="4675" spans="1:13" x14ac:dyDescent="0.2">
      <c r="A4675">
        <v>873376</v>
      </c>
      <c r="B4675" s="5">
        <v>45595</v>
      </c>
      <c r="C4675">
        <v>52840</v>
      </c>
      <c r="D4675" t="str">
        <f>PROPER(Transactions!D4675)</f>
        <v>Grocery</v>
      </c>
      <c r="E4675" t="s">
        <v>91</v>
      </c>
      <c r="F4675" t="s">
        <v>92</v>
      </c>
      <c r="G4675">
        <v>1</v>
      </c>
      <c r="H4675">
        <v>6.29</v>
      </c>
      <c r="I4675" s="7">
        <f>IF(Transactions!I4675="",0,Transactions!I4675)</f>
        <v>0</v>
      </c>
      <c r="J4675" s="9">
        <f t="shared" ref="J4675:J4738" si="73">(H4675*G4675)*(1-I4675)</f>
        <v>6.29</v>
      </c>
      <c r="K4675" t="s">
        <v>22</v>
      </c>
      <c r="L4675" t="s">
        <v>17</v>
      </c>
      <c r="M4675" t="str">
        <f>REPLACE(Transactions!M4675,1,4,"")</f>
        <v>3</v>
      </c>
    </row>
    <row r="4676" spans="1:13" x14ac:dyDescent="0.2">
      <c r="A4676">
        <v>873450</v>
      </c>
      <c r="B4676" s="5">
        <v>45148</v>
      </c>
      <c r="C4676">
        <v>87258</v>
      </c>
      <c r="D4676" t="str">
        <f>PROPER(Transactions!D4676)</f>
        <v>Sports</v>
      </c>
      <c r="E4676" t="s">
        <v>100</v>
      </c>
      <c r="F4676" t="s">
        <v>101</v>
      </c>
      <c r="G4676">
        <v>4</v>
      </c>
      <c r="H4676">
        <v>21.84</v>
      </c>
      <c r="I4676" s="7">
        <f>IF(Transactions!I4676="",0,Transactions!I4676)</f>
        <v>0.05</v>
      </c>
      <c r="J4676" s="9">
        <f t="shared" si="73"/>
        <v>82.99199999999999</v>
      </c>
      <c r="K4676" t="s">
        <v>95</v>
      </c>
      <c r="L4676" t="s">
        <v>17</v>
      </c>
      <c r="M4676" t="str">
        <f>REPLACE(Transactions!M4676,1,4,"")</f>
        <v>9</v>
      </c>
    </row>
    <row r="4677" spans="1:13" x14ac:dyDescent="0.2">
      <c r="A4677">
        <v>873794</v>
      </c>
      <c r="B4677" s="5">
        <v>45099</v>
      </c>
      <c r="C4677">
        <v>68631</v>
      </c>
      <c r="D4677" t="str">
        <f>PROPER(Transactions!D4677)</f>
        <v>Sports</v>
      </c>
      <c r="E4677" t="s">
        <v>100</v>
      </c>
      <c r="F4677" t="s">
        <v>101</v>
      </c>
      <c r="G4677">
        <v>1</v>
      </c>
      <c r="H4677">
        <v>21.84</v>
      </c>
      <c r="I4677" s="7">
        <f>IF(Transactions!I4677="",0,Transactions!I4677)</f>
        <v>0.05</v>
      </c>
      <c r="J4677" s="9">
        <f t="shared" si="73"/>
        <v>20.747999999999998</v>
      </c>
      <c r="K4677" t="s">
        <v>22</v>
      </c>
      <c r="L4677" t="s">
        <v>37</v>
      </c>
      <c r="M4677" t="str">
        <f>REPLACE(Transactions!M4677,1,4,"")</f>
        <v>3</v>
      </c>
    </row>
    <row r="4678" spans="1:13" x14ac:dyDescent="0.2">
      <c r="A4678">
        <v>874118</v>
      </c>
      <c r="B4678" s="5">
        <v>45090</v>
      </c>
      <c r="C4678">
        <v>23357</v>
      </c>
      <c r="D4678" t="str">
        <f>PROPER(Transactions!D4678)</f>
        <v>Pharmacy</v>
      </c>
      <c r="E4678" t="s">
        <v>115</v>
      </c>
      <c r="F4678" t="s">
        <v>116</v>
      </c>
      <c r="G4678">
        <v>2</v>
      </c>
      <c r="H4678">
        <v>12.99</v>
      </c>
      <c r="I4678" s="7">
        <f>IF(Transactions!I4678="",0,Transactions!I4678)</f>
        <v>0</v>
      </c>
      <c r="J4678" s="9">
        <f t="shared" si="73"/>
        <v>25.98</v>
      </c>
      <c r="K4678" t="s">
        <v>36</v>
      </c>
      <c r="L4678" t="s">
        <v>17</v>
      </c>
      <c r="M4678" t="str">
        <f>REPLACE(Transactions!M4678,1,4,"")</f>
        <v>5</v>
      </c>
    </row>
    <row r="4679" spans="1:13" x14ac:dyDescent="0.2">
      <c r="A4679">
        <v>874120</v>
      </c>
      <c r="B4679" s="5">
        <v>44831</v>
      </c>
      <c r="C4679">
        <v>42024</v>
      </c>
      <c r="D4679" t="str">
        <f>PROPER(Transactions!D4679)</f>
        <v>Grocery</v>
      </c>
      <c r="E4679" t="s">
        <v>93</v>
      </c>
      <c r="F4679" t="s">
        <v>94</v>
      </c>
      <c r="G4679">
        <v>1</v>
      </c>
      <c r="H4679">
        <v>1.29</v>
      </c>
      <c r="I4679" s="7">
        <f>IF(Transactions!I4679="",0,Transactions!I4679)</f>
        <v>0</v>
      </c>
      <c r="J4679" s="9">
        <f t="shared" si="73"/>
        <v>1.29</v>
      </c>
      <c r="K4679" t="s">
        <v>53</v>
      </c>
      <c r="L4679" t="s">
        <v>17</v>
      </c>
      <c r="M4679" t="str">
        <f>REPLACE(Transactions!M4679,1,4,"")</f>
        <v>2</v>
      </c>
    </row>
    <row r="4680" spans="1:13" x14ac:dyDescent="0.2">
      <c r="A4680">
        <v>874266</v>
      </c>
      <c r="B4680" s="5">
        <v>45411</v>
      </c>
      <c r="C4680">
        <v>23958</v>
      </c>
      <c r="D4680" t="str">
        <f>PROPER(Transactions!D4680)</f>
        <v>Automotive</v>
      </c>
      <c r="E4680" t="s">
        <v>131</v>
      </c>
      <c r="F4680" t="s">
        <v>132</v>
      </c>
      <c r="G4680">
        <v>5</v>
      </c>
      <c r="H4680">
        <v>3.49</v>
      </c>
      <c r="I4680" s="7">
        <f>IF(Transactions!I4680="",0,Transactions!I4680)</f>
        <v>0</v>
      </c>
      <c r="J4680" s="9">
        <f t="shared" si="73"/>
        <v>17.450000000000003</v>
      </c>
      <c r="K4680" t="s">
        <v>16</v>
      </c>
      <c r="L4680" t="s">
        <v>17</v>
      </c>
      <c r="M4680" t="str">
        <f>REPLACE(Transactions!M4680,1,4,"")</f>
        <v>13</v>
      </c>
    </row>
    <row r="4681" spans="1:13" x14ac:dyDescent="0.2">
      <c r="A4681">
        <v>874546</v>
      </c>
      <c r="B4681" s="5">
        <v>45524</v>
      </c>
      <c r="C4681">
        <v>64491</v>
      </c>
      <c r="D4681" t="str">
        <f>PROPER(Transactions!D4681)</f>
        <v>Home &amp; Garden</v>
      </c>
      <c r="E4681" t="s">
        <v>157</v>
      </c>
      <c r="F4681" t="s">
        <v>158</v>
      </c>
      <c r="G4681">
        <v>3</v>
      </c>
      <c r="H4681">
        <v>10.119999999999999</v>
      </c>
      <c r="I4681" s="7">
        <f>IF(Transactions!I4681="",0,Transactions!I4681)</f>
        <v>0.25</v>
      </c>
      <c r="J4681" s="9">
        <f t="shared" si="73"/>
        <v>22.77</v>
      </c>
      <c r="K4681" t="s">
        <v>16</v>
      </c>
      <c r="L4681" t="s">
        <v>17</v>
      </c>
      <c r="M4681" t="str">
        <f>REPLACE(Transactions!M4681,1,4,"")</f>
        <v>8</v>
      </c>
    </row>
    <row r="4682" spans="1:13" x14ac:dyDescent="0.2">
      <c r="A4682">
        <v>874662</v>
      </c>
      <c r="B4682" s="5">
        <v>45572</v>
      </c>
      <c r="C4682">
        <v>55123</v>
      </c>
      <c r="D4682" t="str">
        <f>PROPER(Transactions!D4682)</f>
        <v>Pharmacy</v>
      </c>
      <c r="E4682" t="s">
        <v>197</v>
      </c>
      <c r="F4682" t="s">
        <v>198</v>
      </c>
      <c r="G4682">
        <v>2</v>
      </c>
      <c r="H4682">
        <v>12.74</v>
      </c>
      <c r="I4682" s="7">
        <f>IF(Transactions!I4682="",0,Transactions!I4682)</f>
        <v>0.15</v>
      </c>
      <c r="J4682" s="9">
        <f t="shared" si="73"/>
        <v>21.658000000000001</v>
      </c>
      <c r="K4682" t="s">
        <v>16</v>
      </c>
      <c r="L4682" t="s">
        <v>17</v>
      </c>
      <c r="M4682" t="str">
        <f>REPLACE(Transactions!M4682,1,4,"")</f>
        <v>20</v>
      </c>
    </row>
    <row r="4683" spans="1:13" x14ac:dyDescent="0.2">
      <c r="A4683">
        <v>874695</v>
      </c>
      <c r="B4683" s="5">
        <v>45236</v>
      </c>
      <c r="C4683">
        <v>59280</v>
      </c>
      <c r="D4683" t="str">
        <f>PROPER(Transactions!D4683)</f>
        <v>Grocery</v>
      </c>
      <c r="E4683" t="s">
        <v>177</v>
      </c>
      <c r="F4683" t="s">
        <v>178</v>
      </c>
      <c r="G4683">
        <v>3</v>
      </c>
      <c r="H4683">
        <v>11.99</v>
      </c>
      <c r="I4683" s="7">
        <f>IF(Transactions!I4683="",0,Transactions!I4683)</f>
        <v>0</v>
      </c>
      <c r="J4683" s="9">
        <f t="shared" si="73"/>
        <v>35.97</v>
      </c>
      <c r="K4683" t="s">
        <v>36</v>
      </c>
      <c r="L4683" t="s">
        <v>23</v>
      </c>
      <c r="M4683" t="str">
        <f>REPLACE(Transactions!M4683,1,4,"")</f>
        <v>17</v>
      </c>
    </row>
    <row r="4684" spans="1:13" x14ac:dyDescent="0.2">
      <c r="A4684">
        <v>874734</v>
      </c>
      <c r="B4684" s="5">
        <v>45403</v>
      </c>
      <c r="C4684">
        <v>44937</v>
      </c>
      <c r="D4684" t="str">
        <f>PROPER(Transactions!D4684)</f>
        <v>Grocery</v>
      </c>
      <c r="E4684" t="s">
        <v>172</v>
      </c>
      <c r="F4684" t="s">
        <v>173</v>
      </c>
      <c r="G4684">
        <v>5</v>
      </c>
      <c r="H4684">
        <v>4.49</v>
      </c>
      <c r="I4684" s="7">
        <f>IF(Transactions!I4684="",0,Transactions!I4684)</f>
        <v>0</v>
      </c>
      <c r="J4684" s="9">
        <f t="shared" si="73"/>
        <v>22.450000000000003</v>
      </c>
      <c r="K4684" t="s">
        <v>22</v>
      </c>
      <c r="L4684" t="s">
        <v>37</v>
      </c>
      <c r="M4684" t="str">
        <f>REPLACE(Transactions!M4684,1,4,"")</f>
        <v>3</v>
      </c>
    </row>
    <row r="4685" spans="1:13" x14ac:dyDescent="0.2">
      <c r="A4685">
        <v>874783</v>
      </c>
      <c r="B4685" s="5">
        <v>45170</v>
      </c>
      <c r="D4685" t="str">
        <f>PROPER(Transactions!D4685)</f>
        <v>Electronics</v>
      </c>
      <c r="E4685" t="s">
        <v>104</v>
      </c>
      <c r="F4685" t="s">
        <v>105</v>
      </c>
      <c r="G4685">
        <v>1</v>
      </c>
      <c r="H4685">
        <v>29.99</v>
      </c>
      <c r="I4685" s="7">
        <f>IF(Transactions!I4685="",0,Transactions!I4685)</f>
        <v>0</v>
      </c>
      <c r="J4685" s="9">
        <f t="shared" si="73"/>
        <v>29.99</v>
      </c>
      <c r="K4685" t="s">
        <v>36</v>
      </c>
      <c r="L4685" t="s">
        <v>17</v>
      </c>
      <c r="M4685" t="str">
        <f>REPLACE(Transactions!M4685,1,4,"")</f>
        <v>14</v>
      </c>
    </row>
    <row r="4686" spans="1:13" x14ac:dyDescent="0.2">
      <c r="A4686">
        <v>874987</v>
      </c>
      <c r="B4686" s="5">
        <v>44688</v>
      </c>
      <c r="C4686">
        <v>72431</v>
      </c>
      <c r="D4686" t="str">
        <f>PROPER(Transactions!D4686)</f>
        <v>Toys</v>
      </c>
      <c r="E4686" t="s">
        <v>72</v>
      </c>
      <c r="F4686" t="s">
        <v>73</v>
      </c>
      <c r="G4686">
        <v>2</v>
      </c>
      <c r="H4686">
        <v>27.99</v>
      </c>
      <c r="I4686" s="7">
        <f>IF(Transactions!I4686="",0,Transactions!I4686)</f>
        <v>0.3</v>
      </c>
      <c r="J4686" s="9">
        <f t="shared" si="73"/>
        <v>39.185999999999993</v>
      </c>
      <c r="K4686" t="s">
        <v>36</v>
      </c>
      <c r="L4686" t="s">
        <v>17</v>
      </c>
      <c r="M4686" t="str">
        <f>REPLACE(Transactions!M4686,1,4,"")</f>
        <v>13</v>
      </c>
    </row>
    <row r="4687" spans="1:13" x14ac:dyDescent="0.2">
      <c r="A4687">
        <v>875152</v>
      </c>
      <c r="B4687" s="5">
        <v>45620</v>
      </c>
      <c r="C4687">
        <v>77058</v>
      </c>
      <c r="D4687" t="str">
        <f>PROPER(Transactions!D4687)</f>
        <v>Sports</v>
      </c>
      <c r="E4687" t="s">
        <v>147</v>
      </c>
      <c r="F4687" t="s">
        <v>148</v>
      </c>
      <c r="G4687">
        <v>4</v>
      </c>
      <c r="H4687">
        <v>12.99</v>
      </c>
      <c r="I4687" s="7">
        <f>IF(Transactions!I4687="",0,Transactions!I4687)</f>
        <v>0</v>
      </c>
      <c r="J4687" s="9">
        <f t="shared" si="73"/>
        <v>51.96</v>
      </c>
      <c r="K4687" t="s">
        <v>22</v>
      </c>
      <c r="L4687" t="s">
        <v>17</v>
      </c>
      <c r="M4687" t="str">
        <f>REPLACE(Transactions!M4687,1,4,"")</f>
        <v>8</v>
      </c>
    </row>
    <row r="4688" spans="1:13" x14ac:dyDescent="0.2">
      <c r="A4688">
        <v>875255</v>
      </c>
      <c r="B4688" s="5">
        <v>45129</v>
      </c>
      <c r="C4688">
        <v>55450</v>
      </c>
      <c r="D4688" t="str">
        <f>PROPER(Transactions!D4688)</f>
        <v>Beauty</v>
      </c>
      <c r="E4688" t="s">
        <v>139</v>
      </c>
      <c r="F4688" t="s">
        <v>140</v>
      </c>
      <c r="G4688">
        <v>4</v>
      </c>
      <c r="H4688">
        <v>6.79</v>
      </c>
      <c r="I4688" s="7">
        <f>IF(Transactions!I4688="",0,Transactions!I4688)</f>
        <v>0.15</v>
      </c>
      <c r="J4688" s="9">
        <f t="shared" si="73"/>
        <v>23.085999999999999</v>
      </c>
      <c r="K4688" t="s">
        <v>16</v>
      </c>
      <c r="L4688" t="s">
        <v>17</v>
      </c>
      <c r="M4688" t="str">
        <f>REPLACE(Transactions!M4688,1,4,"")</f>
        <v>2</v>
      </c>
    </row>
    <row r="4689" spans="1:13" x14ac:dyDescent="0.2">
      <c r="A4689">
        <v>875479</v>
      </c>
      <c r="B4689" s="5">
        <v>44620</v>
      </c>
      <c r="C4689">
        <v>79615</v>
      </c>
      <c r="D4689" t="str">
        <f>PROPER(Transactions!D4689)</f>
        <v>Furniture</v>
      </c>
      <c r="E4689" t="s">
        <v>60</v>
      </c>
      <c r="F4689" t="s">
        <v>61</v>
      </c>
      <c r="G4689">
        <v>3</v>
      </c>
      <c r="H4689">
        <v>54.99</v>
      </c>
      <c r="I4689" s="7">
        <f>IF(Transactions!I4689="",0,Transactions!I4689)</f>
        <v>0</v>
      </c>
      <c r="J4689" s="9">
        <f t="shared" si="73"/>
        <v>164.97</v>
      </c>
      <c r="K4689" t="s">
        <v>16</v>
      </c>
      <c r="L4689" t="s">
        <v>17</v>
      </c>
      <c r="M4689" t="str">
        <f>REPLACE(Transactions!M4689,1,4,"")</f>
        <v>14</v>
      </c>
    </row>
    <row r="4690" spans="1:13" x14ac:dyDescent="0.2">
      <c r="A4690">
        <v>875756</v>
      </c>
      <c r="B4690" s="5">
        <v>45345</v>
      </c>
      <c r="C4690">
        <v>56873</v>
      </c>
      <c r="D4690" t="str">
        <f>PROPER(Transactions!D4690)</f>
        <v>Pharmacy</v>
      </c>
      <c r="E4690" t="s">
        <v>58</v>
      </c>
      <c r="F4690" t="s">
        <v>59</v>
      </c>
      <c r="G4690">
        <v>2</v>
      </c>
      <c r="H4690">
        <v>3.19</v>
      </c>
      <c r="I4690" s="7">
        <f>IF(Transactions!I4690="",0,Transactions!I4690)</f>
        <v>0.2</v>
      </c>
      <c r="J4690" s="9">
        <f t="shared" si="73"/>
        <v>5.1040000000000001</v>
      </c>
      <c r="K4690" t="s">
        <v>36</v>
      </c>
      <c r="L4690" t="s">
        <v>17</v>
      </c>
      <c r="M4690" t="str">
        <f>REPLACE(Transactions!M4690,1,4,"")</f>
        <v>16</v>
      </c>
    </row>
    <row r="4691" spans="1:13" x14ac:dyDescent="0.2">
      <c r="A4691">
        <v>875886</v>
      </c>
      <c r="B4691" s="5">
        <v>45602</v>
      </c>
      <c r="C4691">
        <v>92504</v>
      </c>
      <c r="D4691" t="str">
        <f>PROPER(Transactions!D4691)</f>
        <v>Sports</v>
      </c>
      <c r="E4691" t="s">
        <v>168</v>
      </c>
      <c r="F4691" t="s">
        <v>169</v>
      </c>
      <c r="G4691">
        <v>1</v>
      </c>
      <c r="H4691">
        <v>6.74</v>
      </c>
      <c r="I4691" s="7">
        <f>IF(Transactions!I4691="",0,Transactions!I4691)</f>
        <v>0.25</v>
      </c>
      <c r="J4691" s="9">
        <f t="shared" si="73"/>
        <v>5.0549999999999997</v>
      </c>
      <c r="K4691" t="s">
        <v>36</v>
      </c>
      <c r="L4691" t="s">
        <v>17</v>
      </c>
      <c r="M4691" t="str">
        <f>REPLACE(Transactions!M4691,1,4,"")</f>
        <v>5</v>
      </c>
    </row>
    <row r="4692" spans="1:13" x14ac:dyDescent="0.2">
      <c r="A4692">
        <v>875975</v>
      </c>
      <c r="B4692" s="5">
        <v>44877</v>
      </c>
      <c r="C4692">
        <v>92189</v>
      </c>
      <c r="D4692" t="str">
        <f>PROPER(Transactions!D4692)</f>
        <v>Pharmacy</v>
      </c>
      <c r="E4692" t="s">
        <v>41</v>
      </c>
      <c r="F4692" t="s">
        <v>42</v>
      </c>
      <c r="G4692">
        <v>1</v>
      </c>
      <c r="H4692">
        <v>5.39</v>
      </c>
      <c r="I4692" s="7">
        <f>IF(Transactions!I4692="",0,Transactions!I4692)</f>
        <v>0.1</v>
      </c>
      <c r="J4692" s="9">
        <f t="shared" si="73"/>
        <v>4.851</v>
      </c>
      <c r="K4692" t="s">
        <v>95</v>
      </c>
      <c r="L4692" t="s">
        <v>17</v>
      </c>
      <c r="M4692" t="str">
        <f>REPLACE(Transactions!M4692,1,4,"")</f>
        <v>10</v>
      </c>
    </row>
    <row r="4693" spans="1:13" x14ac:dyDescent="0.2">
      <c r="A4693">
        <v>876056</v>
      </c>
      <c r="B4693" s="5">
        <v>44893</v>
      </c>
      <c r="C4693">
        <v>29037</v>
      </c>
      <c r="D4693" t="str">
        <f>PROPER(Transactions!D4693)</f>
        <v>Pharmacy</v>
      </c>
      <c r="E4693" t="s">
        <v>115</v>
      </c>
      <c r="F4693" t="s">
        <v>116</v>
      </c>
      <c r="G4693">
        <v>4</v>
      </c>
      <c r="H4693">
        <v>12.99</v>
      </c>
      <c r="I4693" s="7">
        <f>IF(Transactions!I4693="",0,Transactions!I4693)</f>
        <v>0</v>
      </c>
      <c r="J4693" s="9">
        <f t="shared" si="73"/>
        <v>51.96</v>
      </c>
      <c r="K4693" t="s">
        <v>36</v>
      </c>
      <c r="L4693" t="s">
        <v>17</v>
      </c>
      <c r="M4693" t="str">
        <f>REPLACE(Transactions!M4693,1,4,"")</f>
        <v>10</v>
      </c>
    </row>
    <row r="4694" spans="1:13" x14ac:dyDescent="0.2">
      <c r="A4694">
        <v>876338</v>
      </c>
      <c r="B4694" s="5">
        <v>44947</v>
      </c>
      <c r="C4694">
        <v>39171</v>
      </c>
      <c r="D4694" t="str">
        <f>PROPER(Transactions!D4694)</f>
        <v>Sports</v>
      </c>
      <c r="E4694" t="s">
        <v>83</v>
      </c>
      <c r="F4694" t="s">
        <v>84</v>
      </c>
      <c r="G4694">
        <v>4</v>
      </c>
      <c r="H4694">
        <v>13.59</v>
      </c>
      <c r="I4694" s="7">
        <f>IF(Transactions!I4694="",0,Transactions!I4694)</f>
        <v>0.2</v>
      </c>
      <c r="J4694" s="9">
        <f t="shared" si="73"/>
        <v>43.488</v>
      </c>
      <c r="K4694" t="s">
        <v>36</v>
      </c>
      <c r="L4694" t="s">
        <v>17</v>
      </c>
      <c r="M4694" t="str">
        <f>REPLACE(Transactions!M4694,1,4,"")</f>
        <v>13</v>
      </c>
    </row>
    <row r="4695" spans="1:13" x14ac:dyDescent="0.2">
      <c r="A4695">
        <v>876350</v>
      </c>
      <c r="B4695" s="5">
        <v>44898</v>
      </c>
      <c r="C4695">
        <v>48951</v>
      </c>
      <c r="D4695" t="str">
        <f>PROPER(Transactions!D4695)</f>
        <v>Automotive</v>
      </c>
      <c r="E4695" t="s">
        <v>68</v>
      </c>
      <c r="F4695" t="s">
        <v>69</v>
      </c>
      <c r="G4695">
        <v>1</v>
      </c>
      <c r="H4695">
        <v>17.489999999999998</v>
      </c>
      <c r="I4695" s="7">
        <f>IF(Transactions!I4695="",0,Transactions!I4695)</f>
        <v>0.3</v>
      </c>
      <c r="J4695" s="9">
        <f t="shared" si="73"/>
        <v>12.242999999999999</v>
      </c>
      <c r="K4695" t="s">
        <v>16</v>
      </c>
      <c r="L4695" t="s">
        <v>17</v>
      </c>
      <c r="M4695" t="str">
        <f>REPLACE(Transactions!M4695,1,4,"")</f>
        <v>3</v>
      </c>
    </row>
    <row r="4696" spans="1:13" x14ac:dyDescent="0.2">
      <c r="A4696">
        <v>876622</v>
      </c>
      <c r="B4696" s="5">
        <v>44658</v>
      </c>
      <c r="C4696">
        <v>58364</v>
      </c>
      <c r="D4696" t="str">
        <f>PROPER(Transactions!D4696)</f>
        <v>Toys</v>
      </c>
      <c r="E4696" t="s">
        <v>30</v>
      </c>
      <c r="F4696" t="s">
        <v>31</v>
      </c>
      <c r="G4696">
        <v>2</v>
      </c>
      <c r="H4696">
        <v>21.24</v>
      </c>
      <c r="I4696" s="7">
        <f>IF(Transactions!I4696="",0,Transactions!I4696)</f>
        <v>0.15</v>
      </c>
      <c r="J4696" s="9">
        <f t="shared" si="73"/>
        <v>36.107999999999997</v>
      </c>
      <c r="K4696" t="s">
        <v>16</v>
      </c>
      <c r="L4696" t="s">
        <v>17</v>
      </c>
      <c r="M4696" t="str">
        <f>REPLACE(Transactions!M4696,1,4,"")</f>
        <v>5</v>
      </c>
    </row>
    <row r="4697" spans="1:13" x14ac:dyDescent="0.2">
      <c r="A4697">
        <v>876770</v>
      </c>
      <c r="B4697" s="5">
        <v>45379</v>
      </c>
      <c r="C4697">
        <v>62427</v>
      </c>
      <c r="D4697" t="str">
        <f>PROPER(Transactions!D4697)</f>
        <v>Pharmacy</v>
      </c>
      <c r="E4697" t="s">
        <v>58</v>
      </c>
      <c r="F4697" t="s">
        <v>59</v>
      </c>
      <c r="G4697">
        <v>1</v>
      </c>
      <c r="H4697">
        <v>2.99</v>
      </c>
      <c r="I4697" s="7">
        <f>IF(Transactions!I4697="",0,Transactions!I4697)</f>
        <v>0.25</v>
      </c>
      <c r="J4697" s="9">
        <f t="shared" si="73"/>
        <v>2.2425000000000002</v>
      </c>
      <c r="K4697" t="s">
        <v>22</v>
      </c>
      <c r="L4697" t="s">
        <v>37</v>
      </c>
      <c r="M4697" t="str">
        <f>REPLACE(Transactions!M4697,1,4,"")</f>
        <v>10</v>
      </c>
    </row>
    <row r="4698" spans="1:13" x14ac:dyDescent="0.2">
      <c r="A4698">
        <v>876880</v>
      </c>
      <c r="B4698" s="5">
        <v>45118</v>
      </c>
      <c r="C4698">
        <v>79604</v>
      </c>
      <c r="D4698" t="str">
        <f>PROPER(Transactions!D4698)</f>
        <v>Toys</v>
      </c>
      <c r="E4698" t="s">
        <v>175</v>
      </c>
      <c r="F4698" t="s">
        <v>176</v>
      </c>
      <c r="G4698">
        <v>1</v>
      </c>
      <c r="H4698">
        <v>11.99</v>
      </c>
      <c r="I4698" s="7">
        <f>IF(Transactions!I4698="",0,Transactions!I4698)</f>
        <v>0</v>
      </c>
      <c r="J4698" s="9">
        <f t="shared" si="73"/>
        <v>11.99</v>
      </c>
      <c r="K4698" t="s">
        <v>22</v>
      </c>
      <c r="L4698" t="s">
        <v>17</v>
      </c>
      <c r="M4698" t="str">
        <f>REPLACE(Transactions!M4698,1,4,"")</f>
        <v>10</v>
      </c>
    </row>
    <row r="4699" spans="1:13" x14ac:dyDescent="0.2">
      <c r="A4699">
        <v>876962</v>
      </c>
      <c r="B4699" s="5">
        <v>44855</v>
      </c>
      <c r="C4699">
        <v>38197</v>
      </c>
      <c r="D4699" t="str">
        <f>PROPER(Transactions!D4699)</f>
        <v>Sports</v>
      </c>
      <c r="E4699" t="s">
        <v>100</v>
      </c>
      <c r="F4699" t="s">
        <v>101</v>
      </c>
      <c r="G4699">
        <v>1</v>
      </c>
      <c r="H4699">
        <v>18.39</v>
      </c>
      <c r="I4699" s="7">
        <f>IF(Transactions!I4699="",0,Transactions!I4699)</f>
        <v>0.2</v>
      </c>
      <c r="J4699" s="9">
        <f t="shared" si="73"/>
        <v>14.712000000000002</v>
      </c>
      <c r="K4699" t="s">
        <v>22</v>
      </c>
      <c r="L4699" t="s">
        <v>17</v>
      </c>
      <c r="M4699" t="str">
        <f>REPLACE(Transactions!M4699,1,4,"")</f>
        <v>17</v>
      </c>
    </row>
    <row r="4700" spans="1:13" x14ac:dyDescent="0.2">
      <c r="A4700">
        <v>877180</v>
      </c>
      <c r="B4700" s="5">
        <v>45414</v>
      </c>
      <c r="C4700">
        <v>40150</v>
      </c>
      <c r="D4700" t="str">
        <f>PROPER(Transactions!D4700)</f>
        <v>Pharmacy</v>
      </c>
      <c r="E4700" t="s">
        <v>58</v>
      </c>
      <c r="F4700" t="s">
        <v>59</v>
      </c>
      <c r="G4700">
        <v>4</v>
      </c>
      <c r="H4700">
        <v>3.59</v>
      </c>
      <c r="I4700" s="7">
        <f>IF(Transactions!I4700="",0,Transactions!I4700)</f>
        <v>0.1</v>
      </c>
      <c r="J4700" s="9">
        <f t="shared" si="73"/>
        <v>12.923999999999999</v>
      </c>
      <c r="K4700" t="s">
        <v>36</v>
      </c>
      <c r="L4700" t="s">
        <v>17</v>
      </c>
      <c r="M4700" t="str">
        <f>REPLACE(Transactions!M4700,1,4,"")</f>
        <v>14</v>
      </c>
    </row>
    <row r="4701" spans="1:13" x14ac:dyDescent="0.2">
      <c r="A4701">
        <v>877255</v>
      </c>
      <c r="B4701" s="5">
        <v>45516</v>
      </c>
      <c r="C4701">
        <v>75761</v>
      </c>
      <c r="D4701" t="str">
        <f>PROPER(Transactions!D4701)</f>
        <v>Pharmacy</v>
      </c>
      <c r="E4701" t="s">
        <v>115</v>
      </c>
      <c r="F4701" t="s">
        <v>116</v>
      </c>
      <c r="G4701">
        <v>1</v>
      </c>
      <c r="H4701">
        <v>12.99</v>
      </c>
      <c r="I4701" s="7">
        <f>IF(Transactions!I4701="",0,Transactions!I4701)</f>
        <v>0</v>
      </c>
      <c r="J4701" s="9">
        <f t="shared" si="73"/>
        <v>12.99</v>
      </c>
      <c r="K4701" t="s">
        <v>95</v>
      </c>
      <c r="L4701" t="s">
        <v>17</v>
      </c>
      <c r="M4701" t="str">
        <f>REPLACE(Transactions!M4701,1,4,"")</f>
        <v>7</v>
      </c>
    </row>
    <row r="4702" spans="1:13" x14ac:dyDescent="0.2">
      <c r="A4702">
        <v>877306</v>
      </c>
      <c r="B4702" s="5">
        <v>45359</v>
      </c>
      <c r="C4702">
        <v>62776</v>
      </c>
      <c r="D4702" t="str">
        <f>PROPER(Transactions!D4702)</f>
        <v>Electronics</v>
      </c>
      <c r="E4702" t="s">
        <v>127</v>
      </c>
      <c r="F4702" t="s">
        <v>128</v>
      </c>
      <c r="G4702">
        <v>1</v>
      </c>
      <c r="H4702">
        <v>19.989999999999998</v>
      </c>
      <c r="I4702" s="7">
        <f>IF(Transactions!I4702="",0,Transactions!I4702)</f>
        <v>0</v>
      </c>
      <c r="J4702" s="9">
        <f t="shared" si="73"/>
        <v>19.989999999999998</v>
      </c>
      <c r="K4702" t="s">
        <v>36</v>
      </c>
      <c r="L4702" t="s">
        <v>37</v>
      </c>
      <c r="M4702" t="str">
        <f>REPLACE(Transactions!M4702,1,4,"")</f>
        <v>15</v>
      </c>
    </row>
    <row r="4703" spans="1:13" x14ac:dyDescent="0.2">
      <c r="A4703">
        <v>877613</v>
      </c>
      <c r="B4703" s="5">
        <v>45283</v>
      </c>
      <c r="C4703">
        <v>75357</v>
      </c>
      <c r="D4703" t="str">
        <f>PROPER(Transactions!D4703)</f>
        <v>Toys</v>
      </c>
      <c r="E4703" t="s">
        <v>72</v>
      </c>
      <c r="F4703" t="s">
        <v>73</v>
      </c>
      <c r="G4703">
        <v>2</v>
      </c>
      <c r="H4703">
        <v>29.99</v>
      </c>
      <c r="I4703" s="7">
        <f>IF(Transactions!I4703="",0,Transactions!I4703)</f>
        <v>0.25</v>
      </c>
      <c r="J4703" s="9">
        <f t="shared" si="73"/>
        <v>44.984999999999999</v>
      </c>
      <c r="K4703" t="s">
        <v>95</v>
      </c>
      <c r="L4703" t="s">
        <v>17</v>
      </c>
      <c r="M4703" t="str">
        <f>REPLACE(Transactions!M4703,1,4,"")</f>
        <v>20</v>
      </c>
    </row>
    <row r="4704" spans="1:13" x14ac:dyDescent="0.2">
      <c r="A4704">
        <v>877655</v>
      </c>
      <c r="B4704" s="5">
        <v>44632</v>
      </c>
      <c r="C4704">
        <v>46058</v>
      </c>
      <c r="D4704" t="str">
        <f>PROPER(Transactions!D4704)</f>
        <v>Toys</v>
      </c>
      <c r="E4704" t="s">
        <v>30</v>
      </c>
      <c r="F4704" t="s">
        <v>31</v>
      </c>
      <c r="G4704">
        <v>3</v>
      </c>
      <c r="H4704">
        <v>24.99</v>
      </c>
      <c r="I4704" s="7">
        <f>IF(Transactions!I4704="",0,Transactions!I4704)</f>
        <v>0</v>
      </c>
      <c r="J4704" s="9">
        <f t="shared" si="73"/>
        <v>74.97</v>
      </c>
      <c r="K4704" t="s">
        <v>16</v>
      </c>
      <c r="L4704" t="s">
        <v>37</v>
      </c>
      <c r="M4704" t="str">
        <f>REPLACE(Transactions!M4704,1,4,"")</f>
        <v>13</v>
      </c>
    </row>
    <row r="4705" spans="1:13" x14ac:dyDescent="0.2">
      <c r="A4705">
        <v>877787</v>
      </c>
      <c r="B4705" s="5">
        <v>44621</v>
      </c>
      <c r="C4705">
        <v>60255</v>
      </c>
      <c r="D4705" t="str">
        <f>PROPER(Transactions!D4705)</f>
        <v>Automotive</v>
      </c>
      <c r="E4705" t="s">
        <v>125</v>
      </c>
      <c r="F4705" t="s">
        <v>126</v>
      </c>
      <c r="G4705">
        <v>4</v>
      </c>
      <c r="H4705">
        <v>22.49</v>
      </c>
      <c r="I4705" s="7">
        <f>IF(Transactions!I4705="",0,Transactions!I4705)</f>
        <v>0.25</v>
      </c>
      <c r="J4705" s="9">
        <f t="shared" si="73"/>
        <v>67.47</v>
      </c>
      <c r="K4705" t="s">
        <v>95</v>
      </c>
      <c r="L4705" t="s">
        <v>17</v>
      </c>
      <c r="M4705" t="str">
        <f>REPLACE(Transactions!M4705,1,4,"")</f>
        <v/>
      </c>
    </row>
    <row r="4706" spans="1:13" x14ac:dyDescent="0.2">
      <c r="A4706">
        <v>877952</v>
      </c>
      <c r="B4706" s="5">
        <v>45537</v>
      </c>
      <c r="C4706">
        <v>42733</v>
      </c>
      <c r="D4706" t="str">
        <f>PROPER(Transactions!D4706)</f>
        <v>Furniture</v>
      </c>
      <c r="E4706" t="s">
        <v>26</v>
      </c>
      <c r="F4706" t="s">
        <v>27</v>
      </c>
      <c r="G4706">
        <v>5</v>
      </c>
      <c r="H4706">
        <v>33.24</v>
      </c>
      <c r="I4706" s="7">
        <f>IF(Transactions!I4706="",0,Transactions!I4706)</f>
        <v>0.05</v>
      </c>
      <c r="J4706" s="9">
        <f t="shared" si="73"/>
        <v>157.89000000000001</v>
      </c>
      <c r="K4706" t="s">
        <v>16</v>
      </c>
      <c r="L4706" t="s">
        <v>37</v>
      </c>
      <c r="M4706" t="str">
        <f>REPLACE(Transactions!M4706,1,4,"")</f>
        <v>16</v>
      </c>
    </row>
    <row r="4707" spans="1:13" x14ac:dyDescent="0.2">
      <c r="A4707">
        <v>878019</v>
      </c>
      <c r="B4707" s="5">
        <v>44764</v>
      </c>
      <c r="C4707">
        <v>15124</v>
      </c>
      <c r="D4707" t="str">
        <f>PROPER(Transactions!D4707)</f>
        <v>Toys</v>
      </c>
      <c r="E4707" t="s">
        <v>175</v>
      </c>
      <c r="F4707" t="s">
        <v>176</v>
      </c>
      <c r="G4707">
        <v>2</v>
      </c>
      <c r="H4707">
        <v>8.39</v>
      </c>
      <c r="I4707" s="7">
        <f>IF(Transactions!I4707="",0,Transactions!I4707)</f>
        <v>0.3</v>
      </c>
      <c r="J4707" s="9">
        <f t="shared" si="73"/>
        <v>11.746</v>
      </c>
      <c r="K4707" t="s">
        <v>16</v>
      </c>
      <c r="L4707" t="s">
        <v>37</v>
      </c>
      <c r="M4707" t="str">
        <f>REPLACE(Transactions!M4707,1,4,"")</f>
        <v>16</v>
      </c>
    </row>
    <row r="4708" spans="1:13" x14ac:dyDescent="0.2">
      <c r="A4708">
        <v>878123</v>
      </c>
      <c r="B4708" s="5">
        <v>44956</v>
      </c>
      <c r="C4708">
        <v>30959</v>
      </c>
      <c r="D4708" t="str">
        <f>PROPER(Transactions!D4708)</f>
        <v>Grocery</v>
      </c>
      <c r="E4708" t="s">
        <v>107</v>
      </c>
      <c r="F4708" t="s">
        <v>108</v>
      </c>
      <c r="G4708">
        <v>5</v>
      </c>
      <c r="H4708">
        <v>3.14</v>
      </c>
      <c r="I4708" s="7">
        <f>IF(Transactions!I4708="",0,Transactions!I4708)</f>
        <v>0.1</v>
      </c>
      <c r="J4708" s="9">
        <f t="shared" si="73"/>
        <v>14.13</v>
      </c>
      <c r="K4708" t="s">
        <v>53</v>
      </c>
      <c r="L4708" t="s">
        <v>17</v>
      </c>
      <c r="M4708" t="str">
        <f>REPLACE(Transactions!M4708,1,4,"")</f>
        <v>4</v>
      </c>
    </row>
    <row r="4709" spans="1:13" x14ac:dyDescent="0.2">
      <c r="A4709">
        <v>878227</v>
      </c>
      <c r="B4709" s="5">
        <v>44895</v>
      </c>
      <c r="C4709">
        <v>34531</v>
      </c>
      <c r="D4709" t="str">
        <f>PROPER(Transactions!D4709)</f>
        <v>Pharmacy</v>
      </c>
      <c r="E4709" t="s">
        <v>41</v>
      </c>
      <c r="F4709" t="s">
        <v>42</v>
      </c>
      <c r="G4709">
        <v>1</v>
      </c>
      <c r="H4709">
        <v>4.49</v>
      </c>
      <c r="I4709" s="7">
        <f>IF(Transactions!I4709="",0,Transactions!I4709)</f>
        <v>0.25</v>
      </c>
      <c r="J4709" s="9">
        <f t="shared" si="73"/>
        <v>3.3675000000000002</v>
      </c>
      <c r="K4709" t="s">
        <v>36</v>
      </c>
      <c r="L4709" t="s">
        <v>17</v>
      </c>
      <c r="M4709" t="str">
        <f>REPLACE(Transactions!M4709,1,4,"")</f>
        <v>18</v>
      </c>
    </row>
    <row r="4710" spans="1:13" x14ac:dyDescent="0.2">
      <c r="A4710">
        <v>878341</v>
      </c>
      <c r="B4710" s="5">
        <v>44565</v>
      </c>
      <c r="C4710">
        <v>72591</v>
      </c>
      <c r="D4710" t="str">
        <f>PROPER(Transactions!D4710)</f>
        <v>Electronics</v>
      </c>
      <c r="E4710" t="s">
        <v>159</v>
      </c>
      <c r="F4710" t="s">
        <v>160</v>
      </c>
      <c r="G4710">
        <v>2</v>
      </c>
      <c r="H4710">
        <v>56.99</v>
      </c>
      <c r="I4710" s="7">
        <f>IF(Transactions!I4710="",0,Transactions!I4710)</f>
        <v>0.05</v>
      </c>
      <c r="J4710" s="9">
        <f t="shared" si="73"/>
        <v>108.28099999999999</v>
      </c>
      <c r="K4710" t="s">
        <v>22</v>
      </c>
      <c r="L4710" t="s">
        <v>37</v>
      </c>
      <c r="M4710" t="str">
        <f>REPLACE(Transactions!M4710,1,4,"")</f>
        <v>1</v>
      </c>
    </row>
    <row r="4711" spans="1:13" x14ac:dyDescent="0.2">
      <c r="A4711">
        <v>878543</v>
      </c>
      <c r="B4711" s="5">
        <v>45197</v>
      </c>
      <c r="C4711">
        <v>29836</v>
      </c>
      <c r="D4711" t="str">
        <f>PROPER(Transactions!D4711)</f>
        <v>Electronics</v>
      </c>
      <c r="E4711" t="s">
        <v>79</v>
      </c>
      <c r="F4711" t="s">
        <v>80</v>
      </c>
      <c r="G4711">
        <v>2</v>
      </c>
      <c r="H4711">
        <v>62.99</v>
      </c>
      <c r="I4711" s="7">
        <f>IF(Transactions!I4711="",0,Transactions!I4711)</f>
        <v>0.3</v>
      </c>
      <c r="J4711" s="9">
        <f t="shared" si="73"/>
        <v>88.185999999999993</v>
      </c>
      <c r="K4711" t="s">
        <v>22</v>
      </c>
      <c r="L4711" t="s">
        <v>37</v>
      </c>
      <c r="M4711" t="str">
        <f>REPLACE(Transactions!M4711,1,4,"")</f>
        <v>6</v>
      </c>
    </row>
    <row r="4712" spans="1:13" x14ac:dyDescent="0.2">
      <c r="A4712">
        <v>878690</v>
      </c>
      <c r="B4712" s="5">
        <v>45296</v>
      </c>
      <c r="C4712">
        <v>92624</v>
      </c>
      <c r="D4712" t="str">
        <f>PROPER(Transactions!D4712)</f>
        <v>Automotive</v>
      </c>
      <c r="E4712" t="s">
        <v>125</v>
      </c>
      <c r="F4712" t="s">
        <v>126</v>
      </c>
      <c r="G4712">
        <v>1</v>
      </c>
      <c r="H4712">
        <v>22.49</v>
      </c>
      <c r="I4712" s="7">
        <f>IF(Transactions!I4712="",0,Transactions!I4712)</f>
        <v>0.25</v>
      </c>
      <c r="J4712" s="9">
        <f t="shared" si="73"/>
        <v>16.8675</v>
      </c>
      <c r="K4712" t="s">
        <v>95</v>
      </c>
      <c r="L4712" t="s">
        <v>17</v>
      </c>
      <c r="M4712" t="str">
        <f>REPLACE(Transactions!M4712,1,4,"")</f>
        <v>8</v>
      </c>
    </row>
    <row r="4713" spans="1:13" x14ac:dyDescent="0.2">
      <c r="A4713">
        <v>878779</v>
      </c>
      <c r="B4713" s="5">
        <v>44700</v>
      </c>
      <c r="C4713">
        <v>77767</v>
      </c>
      <c r="D4713" t="str">
        <f>PROPER(Transactions!D4713)</f>
        <v>Home &amp; Garden</v>
      </c>
      <c r="E4713" t="s">
        <v>86</v>
      </c>
      <c r="F4713" t="s">
        <v>87</v>
      </c>
      <c r="G4713">
        <v>2</v>
      </c>
      <c r="H4713">
        <v>11.69</v>
      </c>
      <c r="I4713" s="7">
        <f>IF(Transactions!I4713="",0,Transactions!I4713)</f>
        <v>0.1</v>
      </c>
      <c r="J4713" s="9">
        <f t="shared" si="73"/>
        <v>21.041999999999998</v>
      </c>
      <c r="K4713" t="s">
        <v>36</v>
      </c>
      <c r="L4713" t="s">
        <v>17</v>
      </c>
      <c r="M4713" t="str">
        <f>REPLACE(Transactions!M4713,1,4,"")</f>
        <v>9</v>
      </c>
    </row>
    <row r="4714" spans="1:13" x14ac:dyDescent="0.2">
      <c r="A4714">
        <v>878889</v>
      </c>
      <c r="B4714" s="5">
        <v>44961</v>
      </c>
      <c r="C4714">
        <v>90960</v>
      </c>
      <c r="D4714" t="str">
        <f>PROPER(Transactions!D4714)</f>
        <v>Sports</v>
      </c>
      <c r="E4714" t="s">
        <v>188</v>
      </c>
      <c r="F4714" t="s">
        <v>189</v>
      </c>
      <c r="G4714">
        <v>3</v>
      </c>
      <c r="H4714">
        <v>33.74</v>
      </c>
      <c r="I4714" s="7">
        <f>IF(Transactions!I4714="",0,Transactions!I4714)</f>
        <v>0.25</v>
      </c>
      <c r="J4714" s="9">
        <f t="shared" si="73"/>
        <v>75.914999999999992</v>
      </c>
      <c r="K4714" t="s">
        <v>22</v>
      </c>
      <c r="L4714" t="s">
        <v>17</v>
      </c>
      <c r="M4714" t="str">
        <f>REPLACE(Transactions!M4714,1,4,"")</f>
        <v>20</v>
      </c>
    </row>
    <row r="4715" spans="1:13" x14ac:dyDescent="0.2">
      <c r="A4715">
        <v>878972</v>
      </c>
      <c r="B4715" s="5">
        <v>45281</v>
      </c>
      <c r="C4715">
        <v>54460</v>
      </c>
      <c r="D4715" t="str">
        <f>PROPER(Transactions!D4715)</f>
        <v>Automotive</v>
      </c>
      <c r="E4715" t="s">
        <v>131</v>
      </c>
      <c r="F4715" t="s">
        <v>132</v>
      </c>
      <c r="G4715">
        <v>4</v>
      </c>
      <c r="H4715">
        <v>2.97</v>
      </c>
      <c r="I4715" s="7">
        <f>IF(Transactions!I4715="",0,Transactions!I4715)</f>
        <v>0.15</v>
      </c>
      <c r="J4715" s="9">
        <f t="shared" si="73"/>
        <v>10.098000000000001</v>
      </c>
      <c r="K4715" t="s">
        <v>36</v>
      </c>
      <c r="L4715" t="s">
        <v>37</v>
      </c>
      <c r="M4715" t="str">
        <f>REPLACE(Transactions!M4715,1,4,"")</f>
        <v>9</v>
      </c>
    </row>
    <row r="4716" spans="1:13" x14ac:dyDescent="0.2">
      <c r="A4716">
        <v>878977</v>
      </c>
      <c r="B4716" s="5">
        <v>44638</v>
      </c>
      <c r="D4716" t="str">
        <f>PROPER(Transactions!D4716)</f>
        <v>Furniture</v>
      </c>
      <c r="E4716" t="s">
        <v>51</v>
      </c>
      <c r="F4716" t="s">
        <v>52</v>
      </c>
      <c r="G4716">
        <v>5</v>
      </c>
      <c r="H4716">
        <v>26.59</v>
      </c>
      <c r="I4716" s="7">
        <f>IF(Transactions!I4716="",0,Transactions!I4716)</f>
        <v>0.05</v>
      </c>
      <c r="J4716" s="9">
        <f t="shared" si="73"/>
        <v>126.30249999999998</v>
      </c>
      <c r="K4716" t="s">
        <v>66</v>
      </c>
      <c r="L4716" t="s">
        <v>17</v>
      </c>
      <c r="M4716" t="str">
        <f>REPLACE(Transactions!M4716,1,4,"")</f>
        <v>13</v>
      </c>
    </row>
    <row r="4717" spans="1:13" x14ac:dyDescent="0.2">
      <c r="A4717">
        <v>879058</v>
      </c>
      <c r="B4717" s="5">
        <v>45264</v>
      </c>
      <c r="C4717">
        <v>83649</v>
      </c>
      <c r="D4717" t="str">
        <f>PROPER(Transactions!D4717)</f>
        <v>Furniture</v>
      </c>
      <c r="E4717" t="s">
        <v>26</v>
      </c>
      <c r="F4717" t="s">
        <v>27</v>
      </c>
      <c r="G4717">
        <v>5</v>
      </c>
      <c r="H4717">
        <v>27.99</v>
      </c>
      <c r="I4717" s="7">
        <f>IF(Transactions!I4717="",0,Transactions!I4717)</f>
        <v>0.2</v>
      </c>
      <c r="J4717" s="9">
        <f t="shared" si="73"/>
        <v>111.96</v>
      </c>
      <c r="K4717" t="s">
        <v>36</v>
      </c>
      <c r="L4717" t="s">
        <v>17</v>
      </c>
      <c r="M4717" t="str">
        <f>REPLACE(Transactions!M4717,1,4,"")</f>
        <v>10</v>
      </c>
    </row>
    <row r="4718" spans="1:13" x14ac:dyDescent="0.2">
      <c r="A4718">
        <v>879061</v>
      </c>
      <c r="B4718" s="5">
        <v>44758</v>
      </c>
      <c r="C4718">
        <v>50411</v>
      </c>
      <c r="D4718" t="str">
        <f>PROPER(Transactions!D4718)</f>
        <v>Electronics</v>
      </c>
      <c r="E4718" t="s">
        <v>127</v>
      </c>
      <c r="F4718" t="s">
        <v>128</v>
      </c>
      <c r="G4718">
        <v>2</v>
      </c>
      <c r="H4718">
        <v>19.989999999999998</v>
      </c>
      <c r="I4718" s="7">
        <f>IF(Transactions!I4718="",0,Transactions!I4718)</f>
        <v>0</v>
      </c>
      <c r="J4718" s="9">
        <f t="shared" si="73"/>
        <v>39.979999999999997</v>
      </c>
      <c r="K4718" t="s">
        <v>53</v>
      </c>
      <c r="L4718" t="s">
        <v>17</v>
      </c>
      <c r="M4718" t="str">
        <f>REPLACE(Transactions!M4718,1,4,"")</f>
        <v>16</v>
      </c>
    </row>
    <row r="4719" spans="1:13" x14ac:dyDescent="0.2">
      <c r="A4719">
        <v>879387</v>
      </c>
      <c r="B4719" s="5">
        <v>44760</v>
      </c>
      <c r="C4719">
        <v>69604</v>
      </c>
      <c r="D4719" t="str">
        <f>PROPER(Transactions!D4719)</f>
        <v>Sports</v>
      </c>
      <c r="E4719" t="s">
        <v>168</v>
      </c>
      <c r="F4719" t="s">
        <v>169</v>
      </c>
      <c r="G4719">
        <v>3</v>
      </c>
      <c r="H4719">
        <v>8.99</v>
      </c>
      <c r="I4719" s="7">
        <f>IF(Transactions!I4719="",0,Transactions!I4719)</f>
        <v>0</v>
      </c>
      <c r="J4719" s="9">
        <f t="shared" si="73"/>
        <v>26.97</v>
      </c>
      <c r="K4719" t="s">
        <v>36</v>
      </c>
      <c r="L4719" t="s">
        <v>23</v>
      </c>
      <c r="M4719" t="str">
        <f>REPLACE(Transactions!M4719,1,4,"")</f>
        <v>17</v>
      </c>
    </row>
    <row r="4720" spans="1:13" x14ac:dyDescent="0.2">
      <c r="A4720">
        <v>879601</v>
      </c>
      <c r="B4720" s="5">
        <v>44694</v>
      </c>
      <c r="C4720">
        <v>30583</v>
      </c>
      <c r="D4720" t="str">
        <f>PROPER(Transactions!D4720)</f>
        <v>Pharmacy</v>
      </c>
      <c r="E4720" t="s">
        <v>41</v>
      </c>
      <c r="F4720" t="s">
        <v>42</v>
      </c>
      <c r="G4720">
        <v>1</v>
      </c>
      <c r="H4720">
        <v>4.49</v>
      </c>
      <c r="I4720" s="7">
        <f>IF(Transactions!I4720="",0,Transactions!I4720)</f>
        <v>0</v>
      </c>
      <c r="J4720" s="9">
        <f t="shared" si="73"/>
        <v>4.49</v>
      </c>
      <c r="K4720" t="s">
        <v>22</v>
      </c>
      <c r="L4720" t="s">
        <v>37</v>
      </c>
      <c r="M4720" t="str">
        <f>REPLACE(Transactions!M4720,1,4,"")</f>
        <v>2</v>
      </c>
    </row>
    <row r="4721" spans="1:13" x14ac:dyDescent="0.2">
      <c r="A4721">
        <v>879835</v>
      </c>
      <c r="B4721" s="5">
        <v>44973</v>
      </c>
      <c r="C4721">
        <v>78955</v>
      </c>
      <c r="D4721" t="str">
        <f>PROPER(Transactions!D4721)</f>
        <v>Furniture</v>
      </c>
      <c r="E4721" t="s">
        <v>51</v>
      </c>
      <c r="F4721" t="s">
        <v>52</v>
      </c>
      <c r="G4721">
        <v>5</v>
      </c>
      <c r="H4721">
        <v>23.79</v>
      </c>
      <c r="I4721" s="7">
        <f>IF(Transactions!I4721="",0,Transactions!I4721)</f>
        <v>0.15</v>
      </c>
      <c r="J4721" s="9">
        <f t="shared" si="73"/>
        <v>101.10749999999999</v>
      </c>
      <c r="K4721" t="s">
        <v>16</v>
      </c>
      <c r="L4721" t="s">
        <v>17</v>
      </c>
      <c r="M4721" t="str">
        <f>REPLACE(Transactions!M4721,1,4,"")</f>
        <v>5</v>
      </c>
    </row>
    <row r="4722" spans="1:13" x14ac:dyDescent="0.2">
      <c r="A4722">
        <v>880091</v>
      </c>
      <c r="B4722" s="5">
        <v>44667</v>
      </c>
      <c r="C4722">
        <v>23504</v>
      </c>
      <c r="D4722" t="str">
        <f>PROPER(Transactions!D4722)</f>
        <v>Beauty</v>
      </c>
      <c r="E4722" t="s">
        <v>49</v>
      </c>
      <c r="F4722" t="s">
        <v>50</v>
      </c>
      <c r="G4722">
        <v>2</v>
      </c>
      <c r="H4722">
        <v>7.64</v>
      </c>
      <c r="I4722" s="7">
        <f>IF(Transactions!I4722="",0,Transactions!I4722)</f>
        <v>0.15</v>
      </c>
      <c r="J4722" s="9">
        <f t="shared" si="73"/>
        <v>12.988</v>
      </c>
      <c r="K4722" t="s">
        <v>16</v>
      </c>
      <c r="L4722" t="s">
        <v>17</v>
      </c>
      <c r="M4722" t="str">
        <f>REPLACE(Transactions!M4722,1,4,"")</f>
        <v>20</v>
      </c>
    </row>
    <row r="4723" spans="1:13" x14ac:dyDescent="0.2">
      <c r="A4723">
        <v>880179</v>
      </c>
      <c r="B4723" s="5">
        <v>44623</v>
      </c>
      <c r="D4723" t="str">
        <f>PROPER(Transactions!D4723)</f>
        <v>Pharmacy</v>
      </c>
      <c r="E4723" t="s">
        <v>20</v>
      </c>
      <c r="F4723" t="s">
        <v>21</v>
      </c>
      <c r="G4723">
        <v>3</v>
      </c>
      <c r="H4723">
        <v>8.49</v>
      </c>
      <c r="I4723" s="7">
        <f>IF(Transactions!I4723="",0,Transactions!I4723)</f>
        <v>0.15</v>
      </c>
      <c r="J4723" s="9">
        <f t="shared" si="73"/>
        <v>21.6495</v>
      </c>
      <c r="K4723" t="s">
        <v>16</v>
      </c>
      <c r="L4723" t="s">
        <v>17</v>
      </c>
      <c r="M4723" t="str">
        <f>REPLACE(Transactions!M4723,1,4,"")</f>
        <v>12</v>
      </c>
    </row>
    <row r="4724" spans="1:13" x14ac:dyDescent="0.2">
      <c r="A4724">
        <v>880371</v>
      </c>
      <c r="B4724" s="5">
        <v>44647</v>
      </c>
      <c r="C4724">
        <v>11871</v>
      </c>
      <c r="D4724" t="str">
        <f>PROPER(Transactions!D4724)</f>
        <v>Automotive</v>
      </c>
      <c r="E4724" t="s">
        <v>64</v>
      </c>
      <c r="F4724" t="s">
        <v>65</v>
      </c>
      <c r="G4724">
        <v>2</v>
      </c>
      <c r="H4724">
        <v>4.99</v>
      </c>
      <c r="I4724" s="7">
        <f>IF(Transactions!I4724="",0,Transactions!I4724)</f>
        <v>0</v>
      </c>
      <c r="J4724" s="9">
        <f t="shared" si="73"/>
        <v>9.98</v>
      </c>
      <c r="K4724" t="s">
        <v>36</v>
      </c>
      <c r="L4724" t="s">
        <v>37</v>
      </c>
      <c r="M4724" t="str">
        <f>REPLACE(Transactions!M4724,1,4,"")</f>
        <v>2</v>
      </c>
    </row>
    <row r="4725" spans="1:13" x14ac:dyDescent="0.2">
      <c r="A4725">
        <v>880383</v>
      </c>
      <c r="B4725" s="5">
        <v>45564</v>
      </c>
      <c r="C4725">
        <v>59233</v>
      </c>
      <c r="D4725" t="str">
        <f>PROPER(Transactions!D4725)</f>
        <v>Clothing</v>
      </c>
      <c r="E4725" t="s">
        <v>135</v>
      </c>
      <c r="F4725" t="s">
        <v>136</v>
      </c>
      <c r="G4725">
        <v>1</v>
      </c>
      <c r="H4725">
        <v>7.99</v>
      </c>
      <c r="I4725" s="7">
        <f>IF(Transactions!I4725="",0,Transactions!I4725)</f>
        <v>0.2</v>
      </c>
      <c r="J4725" s="9">
        <f t="shared" si="73"/>
        <v>6.3920000000000003</v>
      </c>
      <c r="K4725" t="s">
        <v>22</v>
      </c>
      <c r="L4725" t="s">
        <v>23</v>
      </c>
      <c r="M4725" t="str">
        <f>REPLACE(Transactions!M4725,1,4,"")</f>
        <v>14</v>
      </c>
    </row>
    <row r="4726" spans="1:13" x14ac:dyDescent="0.2">
      <c r="A4726">
        <v>880418</v>
      </c>
      <c r="B4726" s="5">
        <v>45203</v>
      </c>
      <c r="C4726">
        <v>32681</v>
      </c>
      <c r="D4726" t="str">
        <f>PROPER(Transactions!D4726)</f>
        <v>Toys</v>
      </c>
      <c r="E4726" t="s">
        <v>38</v>
      </c>
      <c r="F4726" t="s">
        <v>39</v>
      </c>
      <c r="G4726">
        <v>1</v>
      </c>
      <c r="H4726">
        <v>20.99</v>
      </c>
      <c r="I4726" s="7">
        <f>IF(Transactions!I4726="",0,Transactions!I4726)</f>
        <v>0.3</v>
      </c>
      <c r="J4726" s="9">
        <f t="shared" si="73"/>
        <v>14.692999999999998</v>
      </c>
      <c r="K4726" t="s">
        <v>53</v>
      </c>
      <c r="L4726" t="s">
        <v>17</v>
      </c>
      <c r="M4726" t="str">
        <f>REPLACE(Transactions!M4726,1,4,"")</f>
        <v>7</v>
      </c>
    </row>
    <row r="4727" spans="1:13" x14ac:dyDescent="0.2">
      <c r="A4727">
        <v>880534</v>
      </c>
      <c r="B4727" s="5">
        <v>45167</v>
      </c>
      <c r="C4727">
        <v>82163</v>
      </c>
      <c r="D4727" t="str">
        <f>PROPER(Transactions!D4727)</f>
        <v>Electronics</v>
      </c>
      <c r="E4727" t="s">
        <v>77</v>
      </c>
      <c r="F4727" t="s">
        <v>78</v>
      </c>
      <c r="G4727">
        <v>2</v>
      </c>
      <c r="H4727">
        <v>499.99</v>
      </c>
      <c r="I4727" s="7">
        <f>IF(Transactions!I4727="",0,Transactions!I4727)</f>
        <v>0</v>
      </c>
      <c r="J4727" s="9">
        <f t="shared" si="73"/>
        <v>999.98</v>
      </c>
      <c r="K4727" t="s">
        <v>36</v>
      </c>
      <c r="L4727" t="s">
        <v>37</v>
      </c>
      <c r="M4727" t="str">
        <f>REPLACE(Transactions!M4727,1,4,"")</f>
        <v>19</v>
      </c>
    </row>
    <row r="4728" spans="1:13" x14ac:dyDescent="0.2">
      <c r="A4728">
        <v>880674</v>
      </c>
      <c r="B4728" s="5">
        <v>45047</v>
      </c>
      <c r="C4728">
        <v>55362</v>
      </c>
      <c r="D4728" t="str">
        <f>PROPER(Transactions!D4728)</f>
        <v>Electronics</v>
      </c>
      <c r="E4728" t="s">
        <v>55</v>
      </c>
      <c r="F4728" t="s">
        <v>56</v>
      </c>
      <c r="G4728">
        <v>1</v>
      </c>
      <c r="H4728">
        <v>313.49</v>
      </c>
      <c r="I4728" s="7">
        <f>IF(Transactions!I4728="",0,Transactions!I4728)</f>
        <v>0.05</v>
      </c>
      <c r="J4728" s="9">
        <f t="shared" si="73"/>
        <v>297.81549999999999</v>
      </c>
      <c r="K4728" t="s">
        <v>95</v>
      </c>
      <c r="L4728" t="s">
        <v>17</v>
      </c>
      <c r="M4728" t="str">
        <f>REPLACE(Transactions!M4728,1,4,"")</f>
        <v/>
      </c>
    </row>
    <row r="4729" spans="1:13" x14ac:dyDescent="0.2">
      <c r="A4729">
        <v>881032</v>
      </c>
      <c r="B4729" s="5">
        <v>44595</v>
      </c>
      <c r="C4729">
        <v>60918</v>
      </c>
      <c r="D4729" t="str">
        <f>PROPER(Transactions!D4729)</f>
        <v>Automotive</v>
      </c>
      <c r="E4729" t="s">
        <v>111</v>
      </c>
      <c r="F4729" t="s">
        <v>112</v>
      </c>
      <c r="G4729">
        <v>2</v>
      </c>
      <c r="H4729">
        <v>14.99</v>
      </c>
      <c r="I4729" s="7">
        <f>IF(Transactions!I4729="",0,Transactions!I4729)</f>
        <v>0</v>
      </c>
      <c r="J4729" s="9">
        <f t="shared" si="73"/>
        <v>29.98</v>
      </c>
      <c r="K4729" t="s">
        <v>16</v>
      </c>
      <c r="L4729" t="s">
        <v>17</v>
      </c>
      <c r="M4729" t="str">
        <f>REPLACE(Transactions!M4729,1,4,"")</f>
        <v>16</v>
      </c>
    </row>
    <row r="4730" spans="1:13" x14ac:dyDescent="0.2">
      <c r="A4730">
        <v>881512</v>
      </c>
      <c r="B4730" s="5">
        <v>45548</v>
      </c>
      <c r="C4730">
        <v>50880</v>
      </c>
      <c r="D4730" t="str">
        <f>PROPER(Transactions!D4730)</f>
        <v>Pharmacy</v>
      </c>
      <c r="E4730" t="s">
        <v>41</v>
      </c>
      <c r="F4730" t="s">
        <v>42</v>
      </c>
      <c r="G4730">
        <v>1</v>
      </c>
      <c r="H4730">
        <v>5.99</v>
      </c>
      <c r="I4730" s="7">
        <f>IF(Transactions!I4730="",0,Transactions!I4730)</f>
        <v>0</v>
      </c>
      <c r="J4730" s="9">
        <f t="shared" si="73"/>
        <v>5.99</v>
      </c>
      <c r="K4730" t="s">
        <v>36</v>
      </c>
      <c r="L4730" t="s">
        <v>17</v>
      </c>
      <c r="M4730" t="str">
        <f>REPLACE(Transactions!M4730,1,4,"")</f>
        <v>18</v>
      </c>
    </row>
    <row r="4731" spans="1:13" x14ac:dyDescent="0.2">
      <c r="A4731">
        <v>881849</v>
      </c>
      <c r="B4731" s="5">
        <v>45135</v>
      </c>
      <c r="C4731">
        <v>34129</v>
      </c>
      <c r="D4731" t="str">
        <f>PROPER(Transactions!D4731)</f>
        <v>Sports</v>
      </c>
      <c r="E4731" t="s">
        <v>100</v>
      </c>
      <c r="F4731" t="s">
        <v>101</v>
      </c>
      <c r="G4731">
        <v>1</v>
      </c>
      <c r="H4731">
        <v>19.54</v>
      </c>
      <c r="I4731" s="7">
        <f>IF(Transactions!I4731="",0,Transactions!I4731)</f>
        <v>0.15</v>
      </c>
      <c r="J4731" s="9">
        <f t="shared" si="73"/>
        <v>16.608999999999998</v>
      </c>
      <c r="K4731" t="s">
        <v>16</v>
      </c>
      <c r="L4731" t="s">
        <v>37</v>
      </c>
      <c r="M4731" t="str">
        <f>REPLACE(Transactions!M4731,1,4,"")</f>
        <v>16</v>
      </c>
    </row>
    <row r="4732" spans="1:13" x14ac:dyDescent="0.2">
      <c r="A4732">
        <v>881923</v>
      </c>
      <c r="B4732" s="5">
        <v>44711</v>
      </c>
      <c r="C4732">
        <v>51020</v>
      </c>
      <c r="D4732" t="str">
        <f>PROPER(Transactions!D4732)</f>
        <v>Automotive</v>
      </c>
      <c r="E4732" t="s">
        <v>125</v>
      </c>
      <c r="F4732" t="s">
        <v>126</v>
      </c>
      <c r="G4732">
        <v>1</v>
      </c>
      <c r="H4732">
        <v>29.99</v>
      </c>
      <c r="I4732" s="7">
        <f>IF(Transactions!I4732="",0,Transactions!I4732)</f>
        <v>0</v>
      </c>
      <c r="J4732" s="9">
        <f t="shared" si="73"/>
        <v>29.99</v>
      </c>
      <c r="K4732" t="s">
        <v>36</v>
      </c>
      <c r="L4732" t="s">
        <v>17</v>
      </c>
      <c r="M4732" t="str">
        <f>REPLACE(Transactions!M4732,1,4,"")</f>
        <v>20</v>
      </c>
    </row>
    <row r="4733" spans="1:13" x14ac:dyDescent="0.2">
      <c r="A4733">
        <v>882058</v>
      </c>
      <c r="B4733" s="5">
        <v>45656</v>
      </c>
      <c r="C4733">
        <v>59988</v>
      </c>
      <c r="D4733" t="str">
        <f>PROPER(Transactions!D4733)</f>
        <v>Home &amp; Garden</v>
      </c>
      <c r="E4733" t="s">
        <v>129</v>
      </c>
      <c r="F4733" t="s">
        <v>130</v>
      </c>
      <c r="G4733">
        <v>1</v>
      </c>
      <c r="H4733">
        <v>7.64</v>
      </c>
      <c r="I4733" s="7">
        <f>IF(Transactions!I4733="",0,Transactions!I4733)</f>
        <v>0.15</v>
      </c>
      <c r="J4733" s="9">
        <f t="shared" si="73"/>
        <v>6.4939999999999998</v>
      </c>
      <c r="K4733" t="s">
        <v>36</v>
      </c>
      <c r="L4733" t="s">
        <v>17</v>
      </c>
      <c r="M4733" t="str">
        <f>REPLACE(Transactions!M4733,1,4,"")</f>
        <v>7</v>
      </c>
    </row>
    <row r="4734" spans="1:13" x14ac:dyDescent="0.2">
      <c r="A4734">
        <v>882184</v>
      </c>
      <c r="B4734" s="5">
        <v>45462</v>
      </c>
      <c r="D4734" t="str">
        <f>PROPER(Transactions!D4734)</f>
        <v>Home &amp; Garden</v>
      </c>
      <c r="E4734" t="s">
        <v>86</v>
      </c>
      <c r="F4734" t="s">
        <v>87</v>
      </c>
      <c r="G4734">
        <v>1</v>
      </c>
      <c r="H4734">
        <v>11.04</v>
      </c>
      <c r="I4734" s="7">
        <f>IF(Transactions!I4734="",0,Transactions!I4734)</f>
        <v>0.15</v>
      </c>
      <c r="J4734" s="9">
        <f t="shared" si="73"/>
        <v>9.3839999999999986</v>
      </c>
      <c r="K4734" t="s">
        <v>16</v>
      </c>
      <c r="L4734" t="s">
        <v>17</v>
      </c>
      <c r="M4734" t="str">
        <f>REPLACE(Transactions!M4734,1,4,"")</f>
        <v>4</v>
      </c>
    </row>
    <row r="4735" spans="1:13" x14ac:dyDescent="0.2">
      <c r="A4735">
        <v>882346</v>
      </c>
      <c r="B4735" s="5">
        <v>44959</v>
      </c>
      <c r="D4735" t="str">
        <f>PROPER(Transactions!D4735)</f>
        <v>Pharmacy</v>
      </c>
      <c r="E4735" t="s">
        <v>58</v>
      </c>
      <c r="F4735" t="s">
        <v>59</v>
      </c>
      <c r="G4735">
        <v>3</v>
      </c>
      <c r="H4735">
        <v>3.99</v>
      </c>
      <c r="I4735" s="7">
        <f>IF(Transactions!I4735="",0,Transactions!I4735)</f>
        <v>0</v>
      </c>
      <c r="J4735" s="9">
        <f t="shared" si="73"/>
        <v>11.97</v>
      </c>
      <c r="K4735" t="s">
        <v>95</v>
      </c>
      <c r="L4735" t="s">
        <v>17</v>
      </c>
      <c r="M4735" t="str">
        <f>REPLACE(Transactions!M4735,1,4,"")</f>
        <v>16</v>
      </c>
    </row>
    <row r="4736" spans="1:13" x14ac:dyDescent="0.2">
      <c r="A4736">
        <v>882438</v>
      </c>
      <c r="B4736" s="5">
        <v>45369</v>
      </c>
      <c r="C4736">
        <v>97926</v>
      </c>
      <c r="D4736" t="str">
        <f>PROPER(Transactions!D4736)</f>
        <v>Furniture</v>
      </c>
      <c r="E4736" t="s">
        <v>113</v>
      </c>
      <c r="F4736" t="s">
        <v>114</v>
      </c>
      <c r="G4736">
        <v>3</v>
      </c>
      <c r="H4736">
        <v>95.99</v>
      </c>
      <c r="I4736" s="7">
        <f>IF(Transactions!I4736="",0,Transactions!I4736)</f>
        <v>0.2</v>
      </c>
      <c r="J4736" s="9">
        <f t="shared" si="73"/>
        <v>230.37599999999998</v>
      </c>
      <c r="K4736" t="s">
        <v>36</v>
      </c>
      <c r="L4736" t="s">
        <v>17</v>
      </c>
      <c r="M4736" t="str">
        <f>REPLACE(Transactions!M4736,1,4,"")</f>
        <v>20</v>
      </c>
    </row>
    <row r="4737" spans="1:13" x14ac:dyDescent="0.2">
      <c r="A4737">
        <v>882550</v>
      </c>
      <c r="B4737" s="5">
        <v>45427</v>
      </c>
      <c r="C4737">
        <v>54658</v>
      </c>
      <c r="D4737" t="str">
        <f>PROPER(Transactions!D4737)</f>
        <v>Automotive</v>
      </c>
      <c r="E4737" t="s">
        <v>131</v>
      </c>
      <c r="F4737" t="s">
        <v>132</v>
      </c>
      <c r="G4737">
        <v>1</v>
      </c>
      <c r="H4737">
        <v>3.49</v>
      </c>
      <c r="I4737" s="7">
        <f>IF(Transactions!I4737="",0,Transactions!I4737)</f>
        <v>0</v>
      </c>
      <c r="J4737" s="9">
        <f t="shared" si="73"/>
        <v>3.49</v>
      </c>
      <c r="K4737" t="s">
        <v>95</v>
      </c>
      <c r="L4737" t="s">
        <v>37</v>
      </c>
      <c r="M4737" t="str">
        <f>REPLACE(Transactions!M4737,1,4,"")</f>
        <v>9</v>
      </c>
    </row>
    <row r="4738" spans="1:13" x14ac:dyDescent="0.2">
      <c r="A4738">
        <v>883321</v>
      </c>
      <c r="B4738" s="5">
        <v>45515</v>
      </c>
      <c r="C4738">
        <v>64103</v>
      </c>
      <c r="D4738" t="str">
        <f>PROPER(Transactions!D4738)</f>
        <v>Furniture</v>
      </c>
      <c r="E4738" t="s">
        <v>70</v>
      </c>
      <c r="F4738" t="s">
        <v>71</v>
      </c>
      <c r="G4738">
        <v>3</v>
      </c>
      <c r="H4738">
        <v>89.99</v>
      </c>
      <c r="I4738" s="7">
        <f>IF(Transactions!I4738="",0,Transactions!I4738)</f>
        <v>0</v>
      </c>
      <c r="J4738" s="9">
        <f t="shared" si="73"/>
        <v>269.96999999999997</v>
      </c>
      <c r="K4738" t="s">
        <v>22</v>
      </c>
      <c r="L4738" t="s">
        <v>23</v>
      </c>
      <c r="M4738" t="str">
        <f>REPLACE(Transactions!M4738,1,4,"")</f>
        <v>18</v>
      </c>
    </row>
    <row r="4739" spans="1:13" x14ac:dyDescent="0.2">
      <c r="A4739">
        <v>883439</v>
      </c>
      <c r="B4739" s="5">
        <v>45196</v>
      </c>
      <c r="D4739" t="str">
        <f>PROPER(Transactions!D4739)</f>
        <v>Home &amp; Garden</v>
      </c>
      <c r="E4739" t="s">
        <v>86</v>
      </c>
      <c r="F4739" t="s">
        <v>87</v>
      </c>
      <c r="G4739">
        <v>2</v>
      </c>
      <c r="H4739">
        <v>12.34</v>
      </c>
      <c r="I4739" s="7">
        <f>IF(Transactions!I4739="",0,Transactions!I4739)</f>
        <v>0.05</v>
      </c>
      <c r="J4739" s="9">
        <f t="shared" ref="J4739:J4802" si="74">(H4739*G4739)*(1-I4739)</f>
        <v>23.445999999999998</v>
      </c>
      <c r="K4739" t="s">
        <v>95</v>
      </c>
      <c r="L4739" t="s">
        <v>37</v>
      </c>
      <c r="M4739" t="str">
        <f>REPLACE(Transactions!M4739,1,4,"")</f>
        <v>8</v>
      </c>
    </row>
    <row r="4740" spans="1:13" x14ac:dyDescent="0.2">
      <c r="A4740">
        <v>883718</v>
      </c>
      <c r="B4740" s="5">
        <v>45577</v>
      </c>
      <c r="C4740">
        <v>16658</v>
      </c>
      <c r="D4740" t="str">
        <f>PROPER(Transactions!D4740)</f>
        <v>Furniture</v>
      </c>
      <c r="E4740" t="s">
        <v>60</v>
      </c>
      <c r="F4740" t="s">
        <v>61</v>
      </c>
      <c r="G4740">
        <v>2</v>
      </c>
      <c r="H4740">
        <v>43.99</v>
      </c>
      <c r="I4740" s="7">
        <f>IF(Transactions!I4740="",0,Transactions!I4740)</f>
        <v>0.2</v>
      </c>
      <c r="J4740" s="9">
        <f t="shared" si="74"/>
        <v>70.384</v>
      </c>
      <c r="K4740" t="s">
        <v>36</v>
      </c>
      <c r="L4740" t="s">
        <v>17</v>
      </c>
      <c r="M4740" t="str">
        <f>REPLACE(Transactions!M4740,1,4,"")</f>
        <v>12</v>
      </c>
    </row>
    <row r="4741" spans="1:13" x14ac:dyDescent="0.2">
      <c r="A4741">
        <v>883808</v>
      </c>
      <c r="B4741" s="5">
        <v>44665</v>
      </c>
      <c r="C4741">
        <v>33524</v>
      </c>
      <c r="D4741" t="str">
        <f>PROPER(Transactions!D4741)</f>
        <v>Grocery</v>
      </c>
      <c r="E4741" t="s">
        <v>190</v>
      </c>
      <c r="F4741" t="s">
        <v>191</v>
      </c>
      <c r="G4741">
        <v>5</v>
      </c>
      <c r="H4741">
        <v>4.08</v>
      </c>
      <c r="I4741" s="7">
        <f>IF(Transactions!I4741="",0,Transactions!I4741)</f>
        <v>0.05</v>
      </c>
      <c r="J4741" s="9">
        <f t="shared" si="74"/>
        <v>19.38</v>
      </c>
      <c r="K4741" t="s">
        <v>16</v>
      </c>
      <c r="L4741" t="s">
        <v>23</v>
      </c>
      <c r="M4741" t="str">
        <f>REPLACE(Transactions!M4741,1,4,"")</f>
        <v>9</v>
      </c>
    </row>
    <row r="4742" spans="1:13" x14ac:dyDescent="0.2">
      <c r="A4742">
        <v>883816</v>
      </c>
      <c r="B4742" s="5">
        <v>44602</v>
      </c>
      <c r="D4742" t="str">
        <f>PROPER(Transactions!D4742)</f>
        <v>Clothing</v>
      </c>
      <c r="E4742" t="s">
        <v>151</v>
      </c>
      <c r="F4742" t="s">
        <v>152</v>
      </c>
      <c r="G4742">
        <v>5</v>
      </c>
      <c r="H4742">
        <v>33.24</v>
      </c>
      <c r="I4742" s="7">
        <f>IF(Transactions!I4742="",0,Transactions!I4742)</f>
        <v>0.05</v>
      </c>
      <c r="J4742" s="9">
        <f t="shared" si="74"/>
        <v>157.89000000000001</v>
      </c>
      <c r="K4742" t="s">
        <v>16</v>
      </c>
      <c r="L4742" t="s">
        <v>17</v>
      </c>
      <c r="M4742" t="str">
        <f>REPLACE(Transactions!M4742,1,4,"")</f>
        <v>6</v>
      </c>
    </row>
    <row r="4743" spans="1:13" x14ac:dyDescent="0.2">
      <c r="A4743">
        <v>884064</v>
      </c>
      <c r="B4743" s="5">
        <v>44923</v>
      </c>
      <c r="C4743">
        <v>49619</v>
      </c>
      <c r="D4743" t="str">
        <f>PROPER(Transactions!D4743)</f>
        <v>Grocery</v>
      </c>
      <c r="E4743" t="s">
        <v>184</v>
      </c>
      <c r="F4743" t="s">
        <v>185</v>
      </c>
      <c r="G4743">
        <v>1</v>
      </c>
      <c r="H4743">
        <v>5.49</v>
      </c>
      <c r="I4743" s="7">
        <f>IF(Transactions!I4743="",0,Transactions!I4743)</f>
        <v>0</v>
      </c>
      <c r="J4743" s="9">
        <f t="shared" si="74"/>
        <v>5.49</v>
      </c>
      <c r="K4743" t="s">
        <v>36</v>
      </c>
      <c r="L4743" t="s">
        <v>17</v>
      </c>
      <c r="M4743" t="str">
        <f>REPLACE(Transactions!M4743,1,4,"")</f>
        <v>2</v>
      </c>
    </row>
    <row r="4744" spans="1:13" x14ac:dyDescent="0.2">
      <c r="A4744">
        <v>884164</v>
      </c>
      <c r="B4744" s="5">
        <v>45201</v>
      </c>
      <c r="D4744" t="str">
        <f>PROPER(Transactions!D4744)</f>
        <v>Toys</v>
      </c>
      <c r="E4744" t="s">
        <v>38</v>
      </c>
      <c r="F4744" t="s">
        <v>39</v>
      </c>
      <c r="G4744">
        <v>3</v>
      </c>
      <c r="H4744">
        <v>29.99</v>
      </c>
      <c r="I4744" s="7">
        <f>IF(Transactions!I4744="",0,Transactions!I4744)</f>
        <v>0</v>
      </c>
      <c r="J4744" s="9">
        <f t="shared" si="74"/>
        <v>89.97</v>
      </c>
      <c r="K4744" t="s">
        <v>36</v>
      </c>
      <c r="L4744" t="s">
        <v>17</v>
      </c>
      <c r="M4744" t="str">
        <f>REPLACE(Transactions!M4744,1,4,"")</f>
        <v>2</v>
      </c>
    </row>
    <row r="4745" spans="1:13" x14ac:dyDescent="0.2">
      <c r="A4745">
        <v>884250</v>
      </c>
      <c r="B4745" s="5">
        <v>45156</v>
      </c>
      <c r="C4745">
        <v>94016</v>
      </c>
      <c r="D4745" t="str">
        <f>PROPER(Transactions!D4745)</f>
        <v>Clothing</v>
      </c>
      <c r="E4745" t="s">
        <v>98</v>
      </c>
      <c r="F4745" t="s">
        <v>99</v>
      </c>
      <c r="G4745">
        <v>5</v>
      </c>
      <c r="H4745">
        <v>23.79</v>
      </c>
      <c r="I4745" s="7">
        <f>IF(Transactions!I4745="",0,Transactions!I4745)</f>
        <v>0.15</v>
      </c>
      <c r="J4745" s="9">
        <f t="shared" si="74"/>
        <v>101.10749999999999</v>
      </c>
      <c r="K4745" t="s">
        <v>22</v>
      </c>
      <c r="L4745" t="s">
        <v>17</v>
      </c>
      <c r="M4745" t="str">
        <f>REPLACE(Transactions!M4745,1,4,"")</f>
        <v>16</v>
      </c>
    </row>
    <row r="4746" spans="1:13" x14ac:dyDescent="0.2">
      <c r="A4746">
        <v>884543</v>
      </c>
      <c r="B4746" s="5">
        <v>45022</v>
      </c>
      <c r="D4746" t="str">
        <f>PROPER(Transactions!D4746)</f>
        <v>Clothing</v>
      </c>
      <c r="E4746" t="s">
        <v>98</v>
      </c>
      <c r="F4746" t="s">
        <v>99</v>
      </c>
      <c r="G4746">
        <v>1</v>
      </c>
      <c r="H4746">
        <v>25.19</v>
      </c>
      <c r="I4746" s="7">
        <f>IF(Transactions!I4746="",0,Transactions!I4746)</f>
        <v>0.1</v>
      </c>
      <c r="J4746" s="9">
        <f t="shared" si="74"/>
        <v>22.671000000000003</v>
      </c>
      <c r="K4746" t="s">
        <v>22</v>
      </c>
      <c r="L4746" t="s">
        <v>17</v>
      </c>
      <c r="M4746" t="str">
        <f>REPLACE(Transactions!M4746,1,4,"")</f>
        <v>19</v>
      </c>
    </row>
    <row r="4747" spans="1:13" x14ac:dyDescent="0.2">
      <c r="A4747">
        <v>884562</v>
      </c>
      <c r="B4747" s="5">
        <v>44591</v>
      </c>
      <c r="C4747">
        <v>13753</v>
      </c>
      <c r="D4747" t="str">
        <f>PROPER(Transactions!D4747)</f>
        <v>Grocery</v>
      </c>
      <c r="E4747" t="s">
        <v>177</v>
      </c>
      <c r="F4747" t="s">
        <v>178</v>
      </c>
      <c r="G4747">
        <v>1</v>
      </c>
      <c r="H4747">
        <v>10.79</v>
      </c>
      <c r="I4747" s="7">
        <f>IF(Transactions!I4747="",0,Transactions!I4747)</f>
        <v>0.1</v>
      </c>
      <c r="J4747" s="9">
        <f t="shared" si="74"/>
        <v>9.7110000000000003</v>
      </c>
      <c r="K4747" t="s">
        <v>36</v>
      </c>
      <c r="L4747" t="s">
        <v>17</v>
      </c>
      <c r="M4747" t="str">
        <f>REPLACE(Transactions!M4747,1,4,"")</f>
        <v>13</v>
      </c>
    </row>
    <row r="4748" spans="1:13" x14ac:dyDescent="0.2">
      <c r="A4748">
        <v>884733</v>
      </c>
      <c r="B4748" s="5">
        <v>44862</v>
      </c>
      <c r="C4748">
        <v>65653</v>
      </c>
      <c r="D4748" t="str">
        <f>PROPER(Transactions!D4748)</f>
        <v>Home &amp; Garden</v>
      </c>
      <c r="E4748" t="s">
        <v>153</v>
      </c>
      <c r="F4748" t="s">
        <v>154</v>
      </c>
      <c r="G4748">
        <v>1</v>
      </c>
      <c r="H4748">
        <v>29.99</v>
      </c>
      <c r="I4748" s="7">
        <f>IF(Transactions!I4748="",0,Transactions!I4748)</f>
        <v>0</v>
      </c>
      <c r="J4748" s="9">
        <f t="shared" si="74"/>
        <v>29.99</v>
      </c>
      <c r="K4748" t="s">
        <v>36</v>
      </c>
      <c r="L4748" t="s">
        <v>17</v>
      </c>
      <c r="M4748" t="str">
        <f>REPLACE(Transactions!M4748,1,4,"")</f>
        <v>18</v>
      </c>
    </row>
    <row r="4749" spans="1:13" x14ac:dyDescent="0.2">
      <c r="A4749">
        <v>884838</v>
      </c>
      <c r="B4749" s="5">
        <v>44835</v>
      </c>
      <c r="C4749">
        <v>70409</v>
      </c>
      <c r="D4749" t="str">
        <f>PROPER(Transactions!D4749)</f>
        <v>Clothing</v>
      </c>
      <c r="E4749" t="s">
        <v>141</v>
      </c>
      <c r="F4749" t="s">
        <v>142</v>
      </c>
      <c r="G4749">
        <v>1</v>
      </c>
      <c r="H4749">
        <v>16.09</v>
      </c>
      <c r="I4749" s="7">
        <f>IF(Transactions!I4749="",0,Transactions!I4749)</f>
        <v>0.3</v>
      </c>
      <c r="J4749" s="9">
        <f t="shared" si="74"/>
        <v>11.263</v>
      </c>
      <c r="K4749" t="s">
        <v>16</v>
      </c>
      <c r="L4749" t="s">
        <v>17</v>
      </c>
      <c r="M4749" t="str">
        <f>REPLACE(Transactions!M4749,1,4,"")</f>
        <v>12</v>
      </c>
    </row>
    <row r="4750" spans="1:13" x14ac:dyDescent="0.2">
      <c r="A4750">
        <v>884897</v>
      </c>
      <c r="B4750" s="5">
        <v>45511</v>
      </c>
      <c r="C4750">
        <v>85596</v>
      </c>
      <c r="D4750" t="str">
        <f>PROPER(Transactions!D4750)</f>
        <v>Home &amp; Garden</v>
      </c>
      <c r="E4750" t="s">
        <v>149</v>
      </c>
      <c r="F4750" t="s">
        <v>150</v>
      </c>
      <c r="G4750">
        <v>5</v>
      </c>
      <c r="H4750">
        <v>19.989999999999998</v>
      </c>
      <c r="I4750" s="7">
        <f>IF(Transactions!I4750="",0,Transactions!I4750)</f>
        <v>0</v>
      </c>
      <c r="J4750" s="9">
        <f t="shared" si="74"/>
        <v>99.949999999999989</v>
      </c>
      <c r="K4750" t="s">
        <v>36</v>
      </c>
      <c r="L4750" t="s">
        <v>37</v>
      </c>
      <c r="M4750" t="str">
        <f>REPLACE(Transactions!M4750,1,4,"")</f>
        <v>14</v>
      </c>
    </row>
    <row r="4751" spans="1:13" x14ac:dyDescent="0.2">
      <c r="A4751">
        <v>885079</v>
      </c>
      <c r="B4751" s="5">
        <v>44933</v>
      </c>
      <c r="D4751" t="str">
        <f>PROPER(Transactions!D4751)</f>
        <v>Automotive</v>
      </c>
      <c r="E4751" t="s">
        <v>68</v>
      </c>
      <c r="F4751" t="s">
        <v>69</v>
      </c>
      <c r="G4751">
        <v>2</v>
      </c>
      <c r="H4751">
        <v>19.989999999999998</v>
      </c>
      <c r="I4751" s="7">
        <f>IF(Transactions!I4751="",0,Transactions!I4751)</f>
        <v>0.2</v>
      </c>
      <c r="J4751" s="9">
        <f t="shared" si="74"/>
        <v>31.983999999999998</v>
      </c>
      <c r="K4751" t="s">
        <v>16</v>
      </c>
      <c r="L4751" t="s">
        <v>37</v>
      </c>
      <c r="M4751" t="str">
        <f>REPLACE(Transactions!M4751,1,4,"")</f>
        <v>15</v>
      </c>
    </row>
    <row r="4752" spans="1:13" x14ac:dyDescent="0.2">
      <c r="A4752">
        <v>885234</v>
      </c>
      <c r="B4752" s="5">
        <v>44979</v>
      </c>
      <c r="C4752">
        <v>31517</v>
      </c>
      <c r="D4752" t="str">
        <f>PROPER(Transactions!D4752)</f>
        <v>Toys</v>
      </c>
      <c r="E4752" t="s">
        <v>88</v>
      </c>
      <c r="F4752" t="s">
        <v>89</v>
      </c>
      <c r="G4752">
        <v>5</v>
      </c>
      <c r="H4752">
        <v>37.49</v>
      </c>
      <c r="I4752" s="7">
        <f>IF(Transactions!I4752="",0,Transactions!I4752)</f>
        <v>0.25</v>
      </c>
      <c r="J4752" s="9">
        <f t="shared" si="74"/>
        <v>140.58750000000001</v>
      </c>
      <c r="K4752" t="s">
        <v>36</v>
      </c>
      <c r="L4752" t="s">
        <v>17</v>
      </c>
      <c r="M4752" t="str">
        <f>REPLACE(Transactions!M4752,1,4,"")</f>
        <v>4</v>
      </c>
    </row>
    <row r="4753" spans="1:13" x14ac:dyDescent="0.2">
      <c r="A4753">
        <v>885830</v>
      </c>
      <c r="B4753" s="5">
        <v>44927</v>
      </c>
      <c r="C4753">
        <v>79589</v>
      </c>
      <c r="D4753" t="str">
        <f>PROPER(Transactions!D4753)</f>
        <v>Electronics</v>
      </c>
      <c r="E4753" t="s">
        <v>55</v>
      </c>
      <c r="F4753" t="s">
        <v>56</v>
      </c>
      <c r="G4753">
        <v>2</v>
      </c>
      <c r="H4753">
        <v>230.99</v>
      </c>
      <c r="I4753" s="7">
        <f>IF(Transactions!I4753="",0,Transactions!I4753)</f>
        <v>0.3</v>
      </c>
      <c r="J4753" s="9">
        <f t="shared" si="74"/>
        <v>323.38599999999997</v>
      </c>
      <c r="K4753" t="s">
        <v>16</v>
      </c>
      <c r="L4753" t="s">
        <v>23</v>
      </c>
      <c r="M4753" t="str">
        <f>REPLACE(Transactions!M4753,1,4,"")</f>
        <v/>
      </c>
    </row>
    <row r="4754" spans="1:13" x14ac:dyDescent="0.2">
      <c r="A4754">
        <v>885886</v>
      </c>
      <c r="B4754" s="5">
        <v>45400</v>
      </c>
      <c r="C4754">
        <v>91679</v>
      </c>
      <c r="D4754" t="str">
        <f>PROPER(Transactions!D4754)</f>
        <v>Automotive</v>
      </c>
      <c r="E4754" t="s">
        <v>125</v>
      </c>
      <c r="F4754" t="s">
        <v>126</v>
      </c>
      <c r="G4754">
        <v>5</v>
      </c>
      <c r="H4754">
        <v>22.49</v>
      </c>
      <c r="I4754" s="7">
        <f>IF(Transactions!I4754="",0,Transactions!I4754)</f>
        <v>0.25</v>
      </c>
      <c r="J4754" s="9">
        <f t="shared" si="74"/>
        <v>84.337499999999991</v>
      </c>
      <c r="K4754" t="s">
        <v>16</v>
      </c>
      <c r="L4754" t="s">
        <v>17</v>
      </c>
      <c r="M4754" t="str">
        <f>REPLACE(Transactions!M4754,1,4,"")</f>
        <v>10</v>
      </c>
    </row>
    <row r="4755" spans="1:13" x14ac:dyDescent="0.2">
      <c r="A4755">
        <v>885931</v>
      </c>
      <c r="B4755" s="5">
        <v>44971</v>
      </c>
      <c r="C4755">
        <v>35137</v>
      </c>
      <c r="D4755" t="str">
        <f>PROPER(Transactions!D4755)</f>
        <v>Beauty</v>
      </c>
      <c r="E4755" t="s">
        <v>118</v>
      </c>
      <c r="F4755" t="s">
        <v>119</v>
      </c>
      <c r="G4755">
        <v>1</v>
      </c>
      <c r="H4755">
        <v>3.74</v>
      </c>
      <c r="I4755" s="7">
        <f>IF(Transactions!I4755="",0,Transactions!I4755)</f>
        <v>0.25</v>
      </c>
      <c r="J4755" s="9">
        <f t="shared" si="74"/>
        <v>2.8050000000000002</v>
      </c>
      <c r="K4755" t="s">
        <v>22</v>
      </c>
      <c r="L4755" t="s">
        <v>17</v>
      </c>
      <c r="M4755" t="str">
        <f>REPLACE(Transactions!M4755,1,4,"")</f>
        <v>18</v>
      </c>
    </row>
    <row r="4756" spans="1:13" x14ac:dyDescent="0.2">
      <c r="A4756">
        <v>886074</v>
      </c>
      <c r="B4756" s="5">
        <v>45343</v>
      </c>
      <c r="C4756">
        <v>74398</v>
      </c>
      <c r="D4756" t="str">
        <f>PROPER(Transactions!D4756)</f>
        <v>Toys</v>
      </c>
      <c r="E4756" t="s">
        <v>88</v>
      </c>
      <c r="F4756" t="s">
        <v>89</v>
      </c>
      <c r="G4756">
        <v>5</v>
      </c>
      <c r="H4756">
        <v>42.49</v>
      </c>
      <c r="I4756" s="7">
        <f>IF(Transactions!I4756="",0,Transactions!I4756)</f>
        <v>0.15</v>
      </c>
      <c r="J4756" s="9">
        <f t="shared" si="74"/>
        <v>180.58250000000001</v>
      </c>
      <c r="K4756" t="s">
        <v>32</v>
      </c>
      <c r="L4756" t="s">
        <v>17</v>
      </c>
      <c r="M4756" t="str">
        <f>REPLACE(Transactions!M4756,1,4,"")</f>
        <v>11</v>
      </c>
    </row>
    <row r="4757" spans="1:13" x14ac:dyDescent="0.2">
      <c r="A4757">
        <v>886349</v>
      </c>
      <c r="B4757" s="5">
        <v>44713</v>
      </c>
      <c r="C4757">
        <v>51677</v>
      </c>
      <c r="D4757" t="str">
        <f>PROPER(Transactions!D4757)</f>
        <v>Sports</v>
      </c>
      <c r="E4757" t="s">
        <v>188</v>
      </c>
      <c r="F4757" t="s">
        <v>189</v>
      </c>
      <c r="G4757">
        <v>1</v>
      </c>
      <c r="H4757">
        <v>44.99</v>
      </c>
      <c r="I4757" s="7">
        <f>IF(Transactions!I4757="",0,Transactions!I4757)</f>
        <v>0</v>
      </c>
      <c r="J4757" s="9">
        <f t="shared" si="74"/>
        <v>44.99</v>
      </c>
      <c r="K4757" t="s">
        <v>16</v>
      </c>
      <c r="L4757" t="s">
        <v>17</v>
      </c>
      <c r="M4757" t="str">
        <f>REPLACE(Transactions!M4757,1,4,"")</f>
        <v>20</v>
      </c>
    </row>
    <row r="4758" spans="1:13" x14ac:dyDescent="0.2">
      <c r="A4758">
        <v>886739</v>
      </c>
      <c r="B4758" s="5">
        <v>45360</v>
      </c>
      <c r="C4758">
        <v>34456</v>
      </c>
      <c r="D4758" t="str">
        <f>PROPER(Transactions!D4758)</f>
        <v>Electronics</v>
      </c>
      <c r="E4758" t="s">
        <v>79</v>
      </c>
      <c r="F4758" t="s">
        <v>80</v>
      </c>
      <c r="G4758">
        <v>1</v>
      </c>
      <c r="H4758">
        <v>89.99</v>
      </c>
      <c r="I4758" s="7">
        <f>IF(Transactions!I4758="",0,Transactions!I4758)</f>
        <v>0</v>
      </c>
      <c r="J4758" s="9">
        <f t="shared" si="74"/>
        <v>89.99</v>
      </c>
      <c r="K4758" t="s">
        <v>53</v>
      </c>
      <c r="L4758" t="s">
        <v>17</v>
      </c>
      <c r="M4758" t="str">
        <f>REPLACE(Transactions!M4758,1,4,"")</f>
        <v>17</v>
      </c>
    </row>
    <row r="4759" spans="1:13" x14ac:dyDescent="0.2">
      <c r="A4759">
        <v>887005</v>
      </c>
      <c r="B4759" s="5">
        <v>44736</v>
      </c>
      <c r="C4759">
        <v>41870</v>
      </c>
      <c r="D4759" t="str">
        <f>PROPER(Transactions!D4759)</f>
        <v>Furniture</v>
      </c>
      <c r="E4759" t="s">
        <v>60</v>
      </c>
      <c r="F4759" t="s">
        <v>61</v>
      </c>
      <c r="G4759">
        <v>1</v>
      </c>
      <c r="H4759">
        <v>38.49</v>
      </c>
      <c r="I4759" s="7">
        <f>IF(Transactions!I4759="",0,Transactions!I4759)</f>
        <v>0.3</v>
      </c>
      <c r="J4759" s="9">
        <f t="shared" si="74"/>
        <v>26.943000000000001</v>
      </c>
      <c r="K4759" t="s">
        <v>36</v>
      </c>
      <c r="L4759" t="s">
        <v>17</v>
      </c>
      <c r="M4759" t="str">
        <f>REPLACE(Transactions!M4759,1,4,"")</f>
        <v>16</v>
      </c>
    </row>
    <row r="4760" spans="1:13" x14ac:dyDescent="0.2">
      <c r="A4760">
        <v>887382</v>
      </c>
      <c r="B4760" s="5">
        <v>45316</v>
      </c>
      <c r="C4760">
        <v>89759</v>
      </c>
      <c r="D4760" t="str">
        <f>PROPER(Transactions!D4760)</f>
        <v>Pharmacy</v>
      </c>
      <c r="E4760" t="s">
        <v>20</v>
      </c>
      <c r="F4760" t="s">
        <v>21</v>
      </c>
      <c r="G4760">
        <v>3</v>
      </c>
      <c r="H4760">
        <v>9.99</v>
      </c>
      <c r="I4760" s="7">
        <f>IF(Transactions!I4760="",0,Transactions!I4760)</f>
        <v>0</v>
      </c>
      <c r="J4760" s="9">
        <f t="shared" si="74"/>
        <v>29.97</v>
      </c>
      <c r="K4760" t="s">
        <v>16</v>
      </c>
      <c r="L4760" t="s">
        <v>23</v>
      </c>
      <c r="M4760" t="str">
        <f>REPLACE(Transactions!M4760,1,4,"")</f>
        <v>12</v>
      </c>
    </row>
    <row r="4761" spans="1:13" x14ac:dyDescent="0.2">
      <c r="A4761">
        <v>887501</v>
      </c>
      <c r="B4761" s="5">
        <v>45229</v>
      </c>
      <c r="C4761">
        <v>63552</v>
      </c>
      <c r="D4761" t="str">
        <f>PROPER(Transactions!D4761)</f>
        <v>Beauty</v>
      </c>
      <c r="E4761" t="s">
        <v>143</v>
      </c>
      <c r="F4761" t="s">
        <v>144</v>
      </c>
      <c r="G4761">
        <v>1</v>
      </c>
      <c r="H4761">
        <v>10.49</v>
      </c>
      <c r="I4761" s="7">
        <f>IF(Transactions!I4761="",0,Transactions!I4761)</f>
        <v>0.3</v>
      </c>
      <c r="J4761" s="9">
        <f t="shared" si="74"/>
        <v>7.343</v>
      </c>
      <c r="K4761" t="s">
        <v>95</v>
      </c>
      <c r="L4761" t="s">
        <v>37</v>
      </c>
      <c r="M4761" t="str">
        <f>REPLACE(Transactions!M4761,1,4,"")</f>
        <v>11</v>
      </c>
    </row>
    <row r="4762" spans="1:13" x14ac:dyDescent="0.2">
      <c r="A4762">
        <v>887800</v>
      </c>
      <c r="B4762" s="5">
        <v>44689</v>
      </c>
      <c r="C4762">
        <v>99198</v>
      </c>
      <c r="D4762" t="str">
        <f>PROPER(Transactions!D4762)</f>
        <v>Furniture</v>
      </c>
      <c r="E4762" t="s">
        <v>70</v>
      </c>
      <c r="F4762" t="s">
        <v>71</v>
      </c>
      <c r="G4762">
        <v>1</v>
      </c>
      <c r="H4762">
        <v>62.99</v>
      </c>
      <c r="I4762" s="7">
        <f>IF(Transactions!I4762="",0,Transactions!I4762)</f>
        <v>0.3</v>
      </c>
      <c r="J4762" s="9">
        <f t="shared" si="74"/>
        <v>44.092999999999996</v>
      </c>
      <c r="K4762" t="s">
        <v>36</v>
      </c>
      <c r="L4762" t="s">
        <v>17</v>
      </c>
      <c r="M4762" t="str">
        <f>REPLACE(Transactions!M4762,1,4,"")</f>
        <v>11</v>
      </c>
    </row>
    <row r="4763" spans="1:13" x14ac:dyDescent="0.2">
      <c r="A4763">
        <v>887862</v>
      </c>
      <c r="B4763" s="5">
        <v>44658</v>
      </c>
      <c r="C4763">
        <v>39625</v>
      </c>
      <c r="D4763" t="str">
        <f>PROPER(Transactions!D4763)</f>
        <v>Electronics</v>
      </c>
      <c r="E4763" t="s">
        <v>34</v>
      </c>
      <c r="F4763" t="s">
        <v>35</v>
      </c>
      <c r="G4763">
        <v>2</v>
      </c>
      <c r="H4763">
        <v>26.24</v>
      </c>
      <c r="I4763" s="7">
        <f>IF(Transactions!I4763="",0,Transactions!I4763)</f>
        <v>0.25</v>
      </c>
      <c r="J4763" s="9">
        <f t="shared" si="74"/>
        <v>39.36</v>
      </c>
      <c r="K4763" t="s">
        <v>22</v>
      </c>
      <c r="L4763" t="s">
        <v>17</v>
      </c>
      <c r="M4763" t="str">
        <f>REPLACE(Transactions!M4763,1,4,"")</f>
        <v/>
      </c>
    </row>
    <row r="4764" spans="1:13" x14ac:dyDescent="0.2">
      <c r="A4764">
        <v>888019</v>
      </c>
      <c r="B4764" s="5">
        <v>45426</v>
      </c>
      <c r="C4764">
        <v>31519</v>
      </c>
      <c r="D4764" t="str">
        <f>PROPER(Transactions!D4764)</f>
        <v>Sports</v>
      </c>
      <c r="E4764" t="s">
        <v>155</v>
      </c>
      <c r="F4764" t="s">
        <v>156</v>
      </c>
      <c r="G4764">
        <v>5</v>
      </c>
      <c r="H4764">
        <v>16.989999999999998</v>
      </c>
      <c r="I4764" s="7">
        <f>IF(Transactions!I4764="",0,Transactions!I4764)</f>
        <v>0.15</v>
      </c>
      <c r="J4764" s="9">
        <f t="shared" si="74"/>
        <v>72.207499999999982</v>
      </c>
      <c r="K4764" t="s">
        <v>16</v>
      </c>
      <c r="L4764" t="s">
        <v>37</v>
      </c>
      <c r="M4764" t="str">
        <f>REPLACE(Transactions!M4764,1,4,"")</f>
        <v>20</v>
      </c>
    </row>
    <row r="4765" spans="1:13" x14ac:dyDescent="0.2">
      <c r="A4765">
        <v>888030</v>
      </c>
      <c r="B4765" s="5">
        <v>45015</v>
      </c>
      <c r="C4765">
        <v>86856</v>
      </c>
      <c r="D4765" t="str">
        <f>PROPER(Transactions!D4765)</f>
        <v>Pharmacy</v>
      </c>
      <c r="E4765" t="s">
        <v>20</v>
      </c>
      <c r="F4765" t="s">
        <v>21</v>
      </c>
      <c r="G4765">
        <v>4</v>
      </c>
      <c r="H4765">
        <v>9.99</v>
      </c>
      <c r="I4765" s="7">
        <f>IF(Transactions!I4765="",0,Transactions!I4765)</f>
        <v>0</v>
      </c>
      <c r="J4765" s="9">
        <f t="shared" si="74"/>
        <v>39.96</v>
      </c>
      <c r="K4765" t="s">
        <v>32</v>
      </c>
      <c r="L4765" t="s">
        <v>17</v>
      </c>
      <c r="M4765" t="str">
        <f>REPLACE(Transactions!M4765,1,4,"")</f>
        <v>3</v>
      </c>
    </row>
    <row r="4766" spans="1:13" x14ac:dyDescent="0.2">
      <c r="A4766">
        <v>888318</v>
      </c>
      <c r="B4766" s="5">
        <v>44768</v>
      </c>
      <c r="C4766">
        <v>15486</v>
      </c>
      <c r="D4766" t="str">
        <f>PROPER(Transactions!D4766)</f>
        <v>Home &amp; Garden</v>
      </c>
      <c r="E4766" t="s">
        <v>137</v>
      </c>
      <c r="F4766" t="s">
        <v>138</v>
      </c>
      <c r="G4766">
        <v>1</v>
      </c>
      <c r="H4766">
        <v>7.99</v>
      </c>
      <c r="I4766" s="7">
        <f>IF(Transactions!I4766="",0,Transactions!I4766)</f>
        <v>0</v>
      </c>
      <c r="J4766" s="9">
        <f t="shared" si="74"/>
        <v>7.99</v>
      </c>
      <c r="K4766" t="s">
        <v>22</v>
      </c>
      <c r="L4766" t="s">
        <v>37</v>
      </c>
      <c r="M4766" t="str">
        <f>REPLACE(Transactions!M4766,1,4,"")</f>
        <v>13</v>
      </c>
    </row>
    <row r="4767" spans="1:13" x14ac:dyDescent="0.2">
      <c r="A4767">
        <v>888843</v>
      </c>
      <c r="B4767" s="5">
        <v>44710</v>
      </c>
      <c r="D4767" t="str">
        <f>PROPER(Transactions!D4767)</f>
        <v>Home &amp; Garden</v>
      </c>
      <c r="E4767" t="s">
        <v>129</v>
      </c>
      <c r="F4767" t="s">
        <v>130</v>
      </c>
      <c r="G4767">
        <v>1</v>
      </c>
      <c r="H4767">
        <v>7.64</v>
      </c>
      <c r="I4767" s="7">
        <f>IF(Transactions!I4767="",0,Transactions!I4767)</f>
        <v>0.15</v>
      </c>
      <c r="J4767" s="9">
        <f t="shared" si="74"/>
        <v>6.4939999999999998</v>
      </c>
      <c r="K4767" t="s">
        <v>16</v>
      </c>
      <c r="L4767" t="s">
        <v>17</v>
      </c>
      <c r="M4767" t="str">
        <f>REPLACE(Transactions!M4767,1,4,"")</f>
        <v>2</v>
      </c>
    </row>
    <row r="4768" spans="1:13" x14ac:dyDescent="0.2">
      <c r="A4768">
        <v>888876</v>
      </c>
      <c r="B4768" s="5">
        <v>44653</v>
      </c>
      <c r="C4768">
        <v>91903</v>
      </c>
      <c r="D4768" t="str">
        <f>PROPER(Transactions!D4768)</f>
        <v>Furniture</v>
      </c>
      <c r="E4768" t="s">
        <v>113</v>
      </c>
      <c r="F4768" t="s">
        <v>114</v>
      </c>
      <c r="G4768">
        <v>1</v>
      </c>
      <c r="H4768">
        <v>89.99</v>
      </c>
      <c r="I4768" s="7">
        <f>IF(Transactions!I4768="",0,Transactions!I4768)</f>
        <v>0.25</v>
      </c>
      <c r="J4768" s="9">
        <f t="shared" si="74"/>
        <v>67.492499999999993</v>
      </c>
      <c r="K4768" t="s">
        <v>95</v>
      </c>
      <c r="L4768" t="s">
        <v>37</v>
      </c>
      <c r="M4768" t="str">
        <f>REPLACE(Transactions!M4768,1,4,"")</f>
        <v>4</v>
      </c>
    </row>
    <row r="4769" spans="1:13" x14ac:dyDescent="0.2">
      <c r="A4769">
        <v>889016</v>
      </c>
      <c r="B4769" s="5">
        <v>44897</v>
      </c>
      <c r="C4769">
        <v>10396</v>
      </c>
      <c r="D4769" t="str">
        <f>PROPER(Transactions!D4769)</f>
        <v>Toys</v>
      </c>
      <c r="E4769" t="s">
        <v>88</v>
      </c>
      <c r="F4769" t="s">
        <v>89</v>
      </c>
      <c r="G4769">
        <v>2</v>
      </c>
      <c r="H4769">
        <v>39.99</v>
      </c>
      <c r="I4769" s="7">
        <f>IF(Transactions!I4769="",0,Transactions!I4769)</f>
        <v>0.2</v>
      </c>
      <c r="J4769" s="9">
        <f t="shared" si="74"/>
        <v>63.984000000000009</v>
      </c>
      <c r="K4769" t="s">
        <v>22</v>
      </c>
      <c r="L4769" t="s">
        <v>37</v>
      </c>
      <c r="M4769" t="str">
        <f>REPLACE(Transactions!M4769,1,4,"")</f>
        <v>18</v>
      </c>
    </row>
    <row r="4770" spans="1:13" x14ac:dyDescent="0.2">
      <c r="A4770">
        <v>889068</v>
      </c>
      <c r="B4770" s="5">
        <v>44772</v>
      </c>
      <c r="C4770">
        <v>11914</v>
      </c>
      <c r="D4770" t="str">
        <f>PROPER(Transactions!D4770)</f>
        <v>Sports</v>
      </c>
      <c r="E4770" t="s">
        <v>155</v>
      </c>
      <c r="F4770" t="s">
        <v>156</v>
      </c>
      <c r="G4770">
        <v>1</v>
      </c>
      <c r="H4770">
        <v>14.99</v>
      </c>
      <c r="I4770" s="7">
        <f>IF(Transactions!I4770="",0,Transactions!I4770)</f>
        <v>0.25</v>
      </c>
      <c r="J4770" s="9">
        <f t="shared" si="74"/>
        <v>11.2425</v>
      </c>
      <c r="K4770" t="s">
        <v>36</v>
      </c>
      <c r="L4770" t="s">
        <v>17</v>
      </c>
      <c r="M4770" t="str">
        <f>REPLACE(Transactions!M4770,1,4,"")</f>
        <v>9</v>
      </c>
    </row>
    <row r="4771" spans="1:13" x14ac:dyDescent="0.2">
      <c r="A4771">
        <v>889551</v>
      </c>
      <c r="B4771" s="5">
        <v>45292</v>
      </c>
      <c r="C4771">
        <v>18532</v>
      </c>
      <c r="D4771" t="str">
        <f>PROPER(Transactions!D4771)</f>
        <v>Toys</v>
      </c>
      <c r="E4771" t="s">
        <v>38</v>
      </c>
      <c r="F4771" t="s">
        <v>39</v>
      </c>
      <c r="G4771">
        <v>2</v>
      </c>
      <c r="H4771">
        <v>28.49</v>
      </c>
      <c r="I4771" s="7">
        <f>IF(Transactions!I4771="",0,Transactions!I4771)</f>
        <v>0</v>
      </c>
      <c r="J4771" s="9">
        <f t="shared" si="74"/>
        <v>56.98</v>
      </c>
      <c r="K4771" t="s">
        <v>53</v>
      </c>
      <c r="L4771" t="s">
        <v>17</v>
      </c>
      <c r="M4771" t="str">
        <f>REPLACE(Transactions!M4771,1,4,"")</f>
        <v>18</v>
      </c>
    </row>
    <row r="4772" spans="1:13" x14ac:dyDescent="0.2">
      <c r="A4772">
        <v>889842</v>
      </c>
      <c r="B4772" s="5">
        <v>45055</v>
      </c>
      <c r="C4772">
        <v>13830</v>
      </c>
      <c r="D4772" t="str">
        <f>PROPER(Transactions!D4772)</f>
        <v>Pharmacy</v>
      </c>
      <c r="E4772" t="s">
        <v>20</v>
      </c>
      <c r="F4772" t="s">
        <v>21</v>
      </c>
      <c r="G4772">
        <v>1</v>
      </c>
      <c r="H4772">
        <v>9.49</v>
      </c>
      <c r="I4772" s="7">
        <f>IF(Transactions!I4772="",0,Transactions!I4772)</f>
        <v>0.05</v>
      </c>
      <c r="J4772" s="9">
        <f t="shared" si="74"/>
        <v>9.0154999999999994</v>
      </c>
      <c r="K4772" t="s">
        <v>16</v>
      </c>
      <c r="L4772" t="s">
        <v>37</v>
      </c>
      <c r="M4772" t="str">
        <f>REPLACE(Transactions!M4772,1,4,"")</f>
        <v>19</v>
      </c>
    </row>
    <row r="4773" spans="1:13" x14ac:dyDescent="0.2">
      <c r="A4773">
        <v>889872</v>
      </c>
      <c r="B4773" s="5">
        <v>45034</v>
      </c>
      <c r="C4773">
        <v>16177</v>
      </c>
      <c r="D4773" t="str">
        <f>PROPER(Transactions!D4773)</f>
        <v>Toys</v>
      </c>
      <c r="E4773" t="s">
        <v>88</v>
      </c>
      <c r="F4773" t="s">
        <v>89</v>
      </c>
      <c r="G4773">
        <v>4</v>
      </c>
      <c r="H4773">
        <v>42.49</v>
      </c>
      <c r="I4773" s="7">
        <f>IF(Transactions!I4773="",0,Transactions!I4773)</f>
        <v>0.15</v>
      </c>
      <c r="J4773" s="9">
        <f t="shared" si="74"/>
        <v>144.46600000000001</v>
      </c>
      <c r="K4773" t="s">
        <v>16</v>
      </c>
      <c r="L4773" t="s">
        <v>17</v>
      </c>
      <c r="M4773" t="str">
        <f>REPLACE(Transactions!M4773,1,4,"")</f>
        <v>9</v>
      </c>
    </row>
    <row r="4774" spans="1:13" x14ac:dyDescent="0.2">
      <c r="A4774">
        <v>890035</v>
      </c>
      <c r="B4774" s="5">
        <v>45627</v>
      </c>
      <c r="C4774">
        <v>44789</v>
      </c>
      <c r="D4774" t="str">
        <f>PROPER(Transactions!D4774)</f>
        <v>Clothing</v>
      </c>
      <c r="E4774" t="s">
        <v>193</v>
      </c>
      <c r="F4774" t="s">
        <v>194</v>
      </c>
      <c r="G4774">
        <v>2</v>
      </c>
      <c r="H4774">
        <v>48.74</v>
      </c>
      <c r="I4774" s="7">
        <f>IF(Transactions!I4774="",0,Transactions!I4774)</f>
        <v>0.25</v>
      </c>
      <c r="J4774" s="9">
        <f t="shared" si="74"/>
        <v>73.11</v>
      </c>
      <c r="K4774" t="s">
        <v>66</v>
      </c>
      <c r="L4774" t="s">
        <v>23</v>
      </c>
      <c r="M4774" t="str">
        <f>REPLACE(Transactions!M4774,1,4,"")</f>
        <v>7</v>
      </c>
    </row>
    <row r="4775" spans="1:13" x14ac:dyDescent="0.2">
      <c r="A4775">
        <v>890228</v>
      </c>
      <c r="B4775" s="5">
        <v>44591</v>
      </c>
      <c r="C4775">
        <v>43128</v>
      </c>
      <c r="D4775" t="str">
        <f>PROPER(Transactions!D4775)</f>
        <v>Beauty</v>
      </c>
      <c r="E4775" t="s">
        <v>109</v>
      </c>
      <c r="F4775" t="s">
        <v>110</v>
      </c>
      <c r="G4775">
        <v>1</v>
      </c>
      <c r="H4775">
        <v>6.29</v>
      </c>
      <c r="I4775" s="7">
        <f>IF(Transactions!I4775="",0,Transactions!I4775)</f>
        <v>0.1</v>
      </c>
      <c r="J4775" s="9">
        <f t="shared" si="74"/>
        <v>5.6610000000000005</v>
      </c>
      <c r="K4775" t="s">
        <v>36</v>
      </c>
      <c r="L4775" t="s">
        <v>23</v>
      </c>
      <c r="M4775" t="str">
        <f>REPLACE(Transactions!M4775,1,4,"")</f>
        <v/>
      </c>
    </row>
    <row r="4776" spans="1:13" x14ac:dyDescent="0.2">
      <c r="A4776">
        <v>890278</v>
      </c>
      <c r="B4776" s="5">
        <v>44921</v>
      </c>
      <c r="C4776">
        <v>61348</v>
      </c>
      <c r="D4776" t="str">
        <f>PROPER(Transactions!D4776)</f>
        <v>Furniture</v>
      </c>
      <c r="E4776" t="s">
        <v>51</v>
      </c>
      <c r="F4776" t="s">
        <v>52</v>
      </c>
      <c r="G4776">
        <v>1</v>
      </c>
      <c r="H4776">
        <v>26.59</v>
      </c>
      <c r="I4776" s="7">
        <f>IF(Transactions!I4776="",0,Transactions!I4776)</f>
        <v>0.05</v>
      </c>
      <c r="J4776" s="9">
        <f t="shared" si="74"/>
        <v>25.2605</v>
      </c>
      <c r="K4776" t="s">
        <v>22</v>
      </c>
      <c r="L4776" t="s">
        <v>37</v>
      </c>
      <c r="M4776" t="str">
        <f>REPLACE(Transactions!M4776,1,4,"")</f>
        <v>1</v>
      </c>
    </row>
    <row r="4777" spans="1:13" x14ac:dyDescent="0.2">
      <c r="A4777">
        <v>890369</v>
      </c>
      <c r="B4777" s="5">
        <v>45341</v>
      </c>
      <c r="C4777">
        <v>93420</v>
      </c>
      <c r="D4777" t="str">
        <f>PROPER(Transactions!D4777)</f>
        <v>Clothing</v>
      </c>
      <c r="E4777" t="s">
        <v>135</v>
      </c>
      <c r="F4777" t="s">
        <v>136</v>
      </c>
      <c r="G4777">
        <v>1</v>
      </c>
      <c r="H4777">
        <v>9.99</v>
      </c>
      <c r="I4777" s="7">
        <f>IF(Transactions!I4777="",0,Transactions!I4777)</f>
        <v>0</v>
      </c>
      <c r="J4777" s="9">
        <f t="shared" si="74"/>
        <v>9.99</v>
      </c>
      <c r="K4777" t="s">
        <v>22</v>
      </c>
      <c r="L4777" t="s">
        <v>37</v>
      </c>
      <c r="M4777" t="str">
        <f>REPLACE(Transactions!M4777,1,4,"")</f>
        <v>20</v>
      </c>
    </row>
    <row r="4778" spans="1:13" x14ac:dyDescent="0.2">
      <c r="A4778">
        <v>890719</v>
      </c>
      <c r="B4778" s="5">
        <v>44910</v>
      </c>
      <c r="C4778">
        <v>81123</v>
      </c>
      <c r="D4778" t="str">
        <f>PROPER(Transactions!D4778)</f>
        <v>Furniture</v>
      </c>
      <c r="E4778" t="s">
        <v>26</v>
      </c>
      <c r="F4778" t="s">
        <v>27</v>
      </c>
      <c r="G4778">
        <v>1</v>
      </c>
      <c r="H4778">
        <v>34.99</v>
      </c>
      <c r="I4778" s="7">
        <f>IF(Transactions!I4778="",0,Transactions!I4778)</f>
        <v>0</v>
      </c>
      <c r="J4778" s="9">
        <f t="shared" si="74"/>
        <v>34.99</v>
      </c>
      <c r="K4778" t="s">
        <v>36</v>
      </c>
      <c r="L4778" t="s">
        <v>17</v>
      </c>
      <c r="M4778" t="str">
        <f>REPLACE(Transactions!M4778,1,4,"")</f>
        <v>9</v>
      </c>
    </row>
    <row r="4779" spans="1:13" x14ac:dyDescent="0.2">
      <c r="A4779">
        <v>890795</v>
      </c>
      <c r="B4779" s="5">
        <v>45167</v>
      </c>
      <c r="C4779">
        <v>84086</v>
      </c>
      <c r="D4779" t="str">
        <f>PROPER(Transactions!D4779)</f>
        <v>Sports</v>
      </c>
      <c r="E4779" t="s">
        <v>155</v>
      </c>
      <c r="F4779" t="s">
        <v>156</v>
      </c>
      <c r="G4779">
        <v>5</v>
      </c>
      <c r="H4779">
        <v>14.99</v>
      </c>
      <c r="I4779" s="7">
        <f>IF(Transactions!I4779="",0,Transactions!I4779)</f>
        <v>0.25</v>
      </c>
      <c r="J4779" s="9">
        <f t="shared" si="74"/>
        <v>56.212500000000006</v>
      </c>
      <c r="K4779" t="s">
        <v>16</v>
      </c>
      <c r="L4779" t="s">
        <v>17</v>
      </c>
      <c r="M4779" t="str">
        <f>REPLACE(Transactions!M4779,1,4,"")</f>
        <v>8</v>
      </c>
    </row>
    <row r="4780" spans="1:13" x14ac:dyDescent="0.2">
      <c r="A4780">
        <v>891044</v>
      </c>
      <c r="B4780" s="5">
        <v>45492</v>
      </c>
      <c r="C4780">
        <v>53076</v>
      </c>
      <c r="D4780" t="str">
        <f>PROPER(Transactions!D4780)</f>
        <v>Toys</v>
      </c>
      <c r="E4780" t="s">
        <v>175</v>
      </c>
      <c r="F4780" t="s">
        <v>176</v>
      </c>
      <c r="G4780">
        <v>4</v>
      </c>
      <c r="H4780">
        <v>10.79</v>
      </c>
      <c r="I4780" s="7">
        <f>IF(Transactions!I4780="",0,Transactions!I4780)</f>
        <v>0.1</v>
      </c>
      <c r="J4780" s="9">
        <f t="shared" si="74"/>
        <v>38.844000000000001</v>
      </c>
      <c r="K4780" t="s">
        <v>22</v>
      </c>
      <c r="L4780" t="s">
        <v>17</v>
      </c>
      <c r="M4780" t="str">
        <f>REPLACE(Transactions!M4780,1,4,"")</f>
        <v>2</v>
      </c>
    </row>
    <row r="4781" spans="1:13" x14ac:dyDescent="0.2">
      <c r="A4781">
        <v>891246</v>
      </c>
      <c r="B4781" s="5">
        <v>44815</v>
      </c>
      <c r="C4781">
        <v>92755</v>
      </c>
      <c r="D4781" t="str">
        <f>PROPER(Transactions!D4781)</f>
        <v>Pharmacy</v>
      </c>
      <c r="E4781" t="s">
        <v>197</v>
      </c>
      <c r="F4781" t="s">
        <v>198</v>
      </c>
      <c r="G4781">
        <v>2</v>
      </c>
      <c r="H4781">
        <v>11.24</v>
      </c>
      <c r="I4781" s="7">
        <f>IF(Transactions!I4781="",0,Transactions!I4781)</f>
        <v>0.25</v>
      </c>
      <c r="J4781" s="9">
        <f t="shared" si="74"/>
        <v>16.86</v>
      </c>
      <c r="K4781" t="s">
        <v>16</v>
      </c>
      <c r="L4781" t="s">
        <v>17</v>
      </c>
      <c r="M4781" t="str">
        <f>REPLACE(Transactions!M4781,1,4,"")</f>
        <v>10</v>
      </c>
    </row>
    <row r="4782" spans="1:13" x14ac:dyDescent="0.2">
      <c r="A4782">
        <v>891600</v>
      </c>
      <c r="B4782" s="5">
        <v>44907</v>
      </c>
      <c r="C4782">
        <v>92622</v>
      </c>
      <c r="D4782" t="str">
        <f>PROPER(Transactions!D4782)</f>
        <v>Home &amp; Garden</v>
      </c>
      <c r="E4782" t="s">
        <v>137</v>
      </c>
      <c r="F4782" t="s">
        <v>138</v>
      </c>
      <c r="G4782">
        <v>1</v>
      </c>
      <c r="H4782">
        <v>6.79</v>
      </c>
      <c r="I4782" s="7">
        <f>IF(Transactions!I4782="",0,Transactions!I4782)</f>
        <v>0.15</v>
      </c>
      <c r="J4782" s="9">
        <f t="shared" si="74"/>
        <v>5.7714999999999996</v>
      </c>
      <c r="K4782" t="s">
        <v>16</v>
      </c>
      <c r="L4782" t="s">
        <v>37</v>
      </c>
      <c r="M4782" t="str">
        <f>REPLACE(Transactions!M4782,1,4,"")</f>
        <v>14</v>
      </c>
    </row>
    <row r="4783" spans="1:13" x14ac:dyDescent="0.2">
      <c r="A4783">
        <v>891714</v>
      </c>
      <c r="B4783" s="5">
        <v>44573</v>
      </c>
      <c r="C4783">
        <v>95460</v>
      </c>
      <c r="D4783" t="str">
        <f>PROPER(Transactions!D4783)</f>
        <v>Furniture</v>
      </c>
      <c r="E4783" t="s">
        <v>113</v>
      </c>
      <c r="F4783" t="s">
        <v>114</v>
      </c>
      <c r="G4783">
        <v>3</v>
      </c>
      <c r="H4783">
        <v>107.99</v>
      </c>
      <c r="I4783" s="7">
        <f>IF(Transactions!I4783="",0,Transactions!I4783)</f>
        <v>0.1</v>
      </c>
      <c r="J4783" s="9">
        <f t="shared" si="74"/>
        <v>291.57299999999998</v>
      </c>
      <c r="K4783" t="s">
        <v>36</v>
      </c>
      <c r="L4783" t="s">
        <v>17</v>
      </c>
      <c r="M4783" t="str">
        <f>REPLACE(Transactions!M4783,1,4,"")</f>
        <v>14</v>
      </c>
    </row>
    <row r="4784" spans="1:13" x14ac:dyDescent="0.2">
      <c r="A4784">
        <v>891843</v>
      </c>
      <c r="B4784" s="5">
        <v>45223</v>
      </c>
      <c r="C4784">
        <v>60074</v>
      </c>
      <c r="D4784" t="str">
        <f>PROPER(Transactions!D4784)</f>
        <v>Clothing</v>
      </c>
      <c r="E4784" t="s">
        <v>98</v>
      </c>
      <c r="F4784" t="s">
        <v>99</v>
      </c>
      <c r="G4784">
        <v>1</v>
      </c>
      <c r="H4784">
        <v>25.19</v>
      </c>
      <c r="I4784" s="7">
        <f>IF(Transactions!I4784="",0,Transactions!I4784)</f>
        <v>0.1</v>
      </c>
      <c r="J4784" s="9">
        <f t="shared" si="74"/>
        <v>22.671000000000003</v>
      </c>
      <c r="K4784" t="s">
        <v>16</v>
      </c>
      <c r="L4784" t="s">
        <v>17</v>
      </c>
      <c r="M4784" t="str">
        <f>REPLACE(Transactions!M4784,1,4,"")</f>
        <v>19</v>
      </c>
    </row>
    <row r="4785" spans="1:13" x14ac:dyDescent="0.2">
      <c r="A4785">
        <v>891916</v>
      </c>
      <c r="B4785" s="5">
        <v>44632</v>
      </c>
      <c r="D4785" t="str">
        <f>PROPER(Transactions!D4785)</f>
        <v>Beauty</v>
      </c>
      <c r="E4785" t="s">
        <v>109</v>
      </c>
      <c r="F4785" t="s">
        <v>110</v>
      </c>
      <c r="G4785">
        <v>4</v>
      </c>
      <c r="H4785">
        <v>6.64</v>
      </c>
      <c r="I4785" s="7">
        <f>IF(Transactions!I4785="",0,Transactions!I4785)</f>
        <v>0.05</v>
      </c>
      <c r="J4785" s="9">
        <f t="shared" si="74"/>
        <v>25.231999999999999</v>
      </c>
      <c r="K4785" t="s">
        <v>16</v>
      </c>
      <c r="L4785" t="s">
        <v>17</v>
      </c>
      <c r="M4785" t="str">
        <f>REPLACE(Transactions!M4785,1,4,"")</f>
        <v>20</v>
      </c>
    </row>
    <row r="4786" spans="1:13" x14ac:dyDescent="0.2">
      <c r="A4786">
        <v>891958</v>
      </c>
      <c r="B4786" s="5">
        <v>45216</v>
      </c>
      <c r="C4786">
        <v>58169</v>
      </c>
      <c r="D4786" t="str">
        <f>PROPER(Transactions!D4786)</f>
        <v>Electronics</v>
      </c>
      <c r="E4786" t="s">
        <v>104</v>
      </c>
      <c r="F4786" t="s">
        <v>105</v>
      </c>
      <c r="G4786">
        <v>5</v>
      </c>
      <c r="H4786">
        <v>29.99</v>
      </c>
      <c r="I4786" s="7">
        <f>IF(Transactions!I4786="",0,Transactions!I4786)</f>
        <v>0</v>
      </c>
      <c r="J4786" s="9">
        <f t="shared" si="74"/>
        <v>149.94999999999999</v>
      </c>
      <c r="K4786" t="s">
        <v>36</v>
      </c>
      <c r="L4786" t="s">
        <v>17</v>
      </c>
      <c r="M4786" t="str">
        <f>REPLACE(Transactions!M4786,1,4,"")</f>
        <v>5</v>
      </c>
    </row>
    <row r="4787" spans="1:13" x14ac:dyDescent="0.2">
      <c r="A4787">
        <v>891986</v>
      </c>
      <c r="B4787" s="5">
        <v>44634</v>
      </c>
      <c r="C4787">
        <v>73652</v>
      </c>
      <c r="D4787" t="str">
        <f>PROPER(Transactions!D4787)</f>
        <v>Home &amp; Garden</v>
      </c>
      <c r="E4787" t="s">
        <v>149</v>
      </c>
      <c r="F4787" t="s">
        <v>150</v>
      </c>
      <c r="G4787">
        <v>1</v>
      </c>
      <c r="H4787">
        <v>18.989999999999998</v>
      </c>
      <c r="I4787" s="7">
        <f>IF(Transactions!I4787="",0,Transactions!I4787)</f>
        <v>0.05</v>
      </c>
      <c r="J4787" s="9">
        <f t="shared" si="74"/>
        <v>18.040499999999998</v>
      </c>
      <c r="K4787" t="s">
        <v>22</v>
      </c>
      <c r="L4787" t="s">
        <v>17</v>
      </c>
      <c r="M4787" t="str">
        <f>REPLACE(Transactions!M4787,1,4,"")</f>
        <v>20</v>
      </c>
    </row>
    <row r="4788" spans="1:13" x14ac:dyDescent="0.2">
      <c r="A4788">
        <v>892104</v>
      </c>
      <c r="B4788" s="5">
        <v>45114</v>
      </c>
      <c r="C4788">
        <v>56315</v>
      </c>
      <c r="D4788" t="str">
        <f>PROPER(Transactions!D4788)</f>
        <v>Beauty</v>
      </c>
      <c r="E4788" t="s">
        <v>109</v>
      </c>
      <c r="F4788" t="s">
        <v>110</v>
      </c>
      <c r="G4788">
        <v>2</v>
      </c>
      <c r="H4788">
        <v>6.99</v>
      </c>
      <c r="I4788" s="7">
        <f>IF(Transactions!I4788="",0,Transactions!I4788)</f>
        <v>0</v>
      </c>
      <c r="J4788" s="9">
        <f t="shared" si="74"/>
        <v>13.98</v>
      </c>
      <c r="K4788" t="s">
        <v>95</v>
      </c>
      <c r="L4788" t="s">
        <v>17</v>
      </c>
      <c r="M4788" t="str">
        <f>REPLACE(Transactions!M4788,1,4,"")</f>
        <v>1</v>
      </c>
    </row>
    <row r="4789" spans="1:13" x14ac:dyDescent="0.2">
      <c r="A4789">
        <v>892173</v>
      </c>
      <c r="B4789" s="5">
        <v>45440</v>
      </c>
      <c r="C4789">
        <v>28025</v>
      </c>
      <c r="D4789" t="str">
        <f>PROPER(Transactions!D4789)</f>
        <v>Sports</v>
      </c>
      <c r="E4789" t="s">
        <v>147</v>
      </c>
      <c r="F4789" t="s">
        <v>148</v>
      </c>
      <c r="G4789">
        <v>3</v>
      </c>
      <c r="H4789">
        <v>12.99</v>
      </c>
      <c r="I4789" s="7">
        <f>IF(Transactions!I4789="",0,Transactions!I4789)</f>
        <v>0</v>
      </c>
      <c r="J4789" s="9">
        <f t="shared" si="74"/>
        <v>38.97</v>
      </c>
      <c r="K4789" t="s">
        <v>16</v>
      </c>
      <c r="L4789" t="s">
        <v>23</v>
      </c>
      <c r="M4789" t="str">
        <f>REPLACE(Transactions!M4789,1,4,"")</f>
        <v>18</v>
      </c>
    </row>
    <row r="4790" spans="1:13" x14ac:dyDescent="0.2">
      <c r="A4790">
        <v>892445</v>
      </c>
      <c r="B4790" s="5">
        <v>45238</v>
      </c>
      <c r="C4790">
        <v>29473</v>
      </c>
      <c r="D4790" t="str">
        <f>PROPER(Transactions!D4790)</f>
        <v>Electronics</v>
      </c>
      <c r="E4790" t="s">
        <v>34</v>
      </c>
      <c r="F4790" t="s">
        <v>35</v>
      </c>
      <c r="G4790">
        <v>1</v>
      </c>
      <c r="H4790">
        <v>29.74</v>
      </c>
      <c r="I4790" s="7">
        <f>IF(Transactions!I4790="",0,Transactions!I4790)</f>
        <v>0.15</v>
      </c>
      <c r="J4790" s="9">
        <f t="shared" si="74"/>
        <v>25.278999999999996</v>
      </c>
      <c r="K4790" t="s">
        <v>95</v>
      </c>
      <c r="L4790" t="s">
        <v>17</v>
      </c>
      <c r="M4790" t="str">
        <f>REPLACE(Transactions!M4790,1,4,"")</f>
        <v>12</v>
      </c>
    </row>
    <row r="4791" spans="1:13" x14ac:dyDescent="0.2">
      <c r="A4791">
        <v>892453</v>
      </c>
      <c r="B4791" s="5">
        <v>45654</v>
      </c>
      <c r="C4791">
        <v>71377</v>
      </c>
      <c r="D4791" t="str">
        <f>PROPER(Transactions!D4791)</f>
        <v>Toys</v>
      </c>
      <c r="E4791" t="s">
        <v>30</v>
      </c>
      <c r="F4791" t="s">
        <v>31</v>
      </c>
      <c r="G4791">
        <v>5</v>
      </c>
      <c r="H4791">
        <v>24.99</v>
      </c>
      <c r="I4791" s="7">
        <f>IF(Transactions!I4791="",0,Transactions!I4791)</f>
        <v>0</v>
      </c>
      <c r="J4791" s="9">
        <f t="shared" si="74"/>
        <v>124.94999999999999</v>
      </c>
      <c r="K4791" t="s">
        <v>16</v>
      </c>
      <c r="L4791" t="s">
        <v>17</v>
      </c>
      <c r="M4791" t="str">
        <f>REPLACE(Transactions!M4791,1,4,"")</f>
        <v>16</v>
      </c>
    </row>
    <row r="4792" spans="1:13" x14ac:dyDescent="0.2">
      <c r="A4792">
        <v>892545</v>
      </c>
      <c r="B4792" s="5">
        <v>44636</v>
      </c>
      <c r="C4792">
        <v>63412</v>
      </c>
      <c r="D4792" t="str">
        <f>PROPER(Transactions!D4792)</f>
        <v>Grocery</v>
      </c>
      <c r="E4792" t="s">
        <v>45</v>
      </c>
      <c r="F4792" t="s">
        <v>46</v>
      </c>
      <c r="G4792">
        <v>1</v>
      </c>
      <c r="H4792">
        <v>1.25</v>
      </c>
      <c r="I4792" s="7">
        <f>IF(Transactions!I4792="",0,Transactions!I4792)</f>
        <v>0.3</v>
      </c>
      <c r="J4792" s="9">
        <f t="shared" si="74"/>
        <v>0.875</v>
      </c>
      <c r="K4792" t="s">
        <v>95</v>
      </c>
      <c r="L4792" t="s">
        <v>17</v>
      </c>
      <c r="M4792" t="str">
        <f>REPLACE(Transactions!M4792,1,4,"")</f>
        <v>5</v>
      </c>
    </row>
    <row r="4793" spans="1:13" x14ac:dyDescent="0.2">
      <c r="A4793">
        <v>892911</v>
      </c>
      <c r="B4793" s="5">
        <v>44822</v>
      </c>
      <c r="C4793">
        <v>81361</v>
      </c>
      <c r="D4793" t="str">
        <f>PROPER(Transactions!D4793)</f>
        <v>Automotive</v>
      </c>
      <c r="E4793" t="s">
        <v>111</v>
      </c>
      <c r="F4793" t="s">
        <v>112</v>
      </c>
      <c r="G4793">
        <v>4</v>
      </c>
      <c r="H4793">
        <v>14.24</v>
      </c>
      <c r="I4793" s="7">
        <f>IF(Transactions!I4793="",0,Transactions!I4793)</f>
        <v>0.05</v>
      </c>
      <c r="J4793" s="9">
        <f t="shared" si="74"/>
        <v>54.111999999999995</v>
      </c>
      <c r="K4793" t="s">
        <v>22</v>
      </c>
      <c r="L4793" t="s">
        <v>17</v>
      </c>
      <c r="M4793" t="str">
        <f>REPLACE(Transactions!M4793,1,4,"")</f>
        <v>20</v>
      </c>
    </row>
    <row r="4794" spans="1:13" x14ac:dyDescent="0.2">
      <c r="A4794">
        <v>893016</v>
      </c>
      <c r="B4794" s="5">
        <v>45058</v>
      </c>
      <c r="C4794">
        <v>62148</v>
      </c>
      <c r="D4794" t="str">
        <f>PROPER(Transactions!D4794)</f>
        <v>Furniture</v>
      </c>
      <c r="E4794" t="s">
        <v>26</v>
      </c>
      <c r="F4794" t="s">
        <v>27</v>
      </c>
      <c r="G4794">
        <v>3</v>
      </c>
      <c r="H4794">
        <v>33.24</v>
      </c>
      <c r="I4794" s="7">
        <f>IF(Transactions!I4794="",0,Transactions!I4794)</f>
        <v>0.05</v>
      </c>
      <c r="J4794" s="9">
        <f t="shared" si="74"/>
        <v>94.733999999999995</v>
      </c>
      <c r="K4794" t="s">
        <v>36</v>
      </c>
      <c r="L4794" t="s">
        <v>23</v>
      </c>
      <c r="M4794" t="str">
        <f>REPLACE(Transactions!M4794,1,4,"")</f>
        <v>1</v>
      </c>
    </row>
    <row r="4795" spans="1:13" x14ac:dyDescent="0.2">
      <c r="A4795">
        <v>893033</v>
      </c>
      <c r="B4795" s="5">
        <v>44625</v>
      </c>
      <c r="C4795">
        <v>55594</v>
      </c>
      <c r="D4795" t="str">
        <f>PROPER(Transactions!D4795)</f>
        <v>Pharmacy</v>
      </c>
      <c r="E4795" t="s">
        <v>115</v>
      </c>
      <c r="F4795" t="s">
        <v>116</v>
      </c>
      <c r="G4795">
        <v>4</v>
      </c>
      <c r="H4795">
        <v>9.09</v>
      </c>
      <c r="I4795" s="7">
        <f>IF(Transactions!I4795="",0,Transactions!I4795)</f>
        <v>0.3</v>
      </c>
      <c r="J4795" s="9">
        <f t="shared" si="74"/>
        <v>25.451999999999998</v>
      </c>
      <c r="K4795" t="s">
        <v>16</v>
      </c>
      <c r="L4795" t="s">
        <v>17</v>
      </c>
      <c r="M4795" t="str">
        <f>REPLACE(Transactions!M4795,1,4,"")</f>
        <v>8</v>
      </c>
    </row>
    <row r="4796" spans="1:13" x14ac:dyDescent="0.2">
      <c r="A4796">
        <v>893072</v>
      </c>
      <c r="B4796" s="5">
        <v>45344</v>
      </c>
      <c r="C4796">
        <v>85573</v>
      </c>
      <c r="D4796" t="str">
        <f>PROPER(Transactions!D4796)</f>
        <v>Beauty</v>
      </c>
      <c r="E4796" t="s">
        <v>139</v>
      </c>
      <c r="F4796" t="s">
        <v>140</v>
      </c>
      <c r="G4796">
        <v>1</v>
      </c>
      <c r="H4796">
        <v>7.19</v>
      </c>
      <c r="I4796" s="7">
        <f>IF(Transactions!I4796="",0,Transactions!I4796)</f>
        <v>0.1</v>
      </c>
      <c r="J4796" s="9">
        <f t="shared" si="74"/>
        <v>6.4710000000000001</v>
      </c>
      <c r="K4796" t="s">
        <v>22</v>
      </c>
      <c r="L4796" t="s">
        <v>17</v>
      </c>
      <c r="M4796" t="str">
        <f>REPLACE(Transactions!M4796,1,4,"")</f>
        <v>12</v>
      </c>
    </row>
    <row r="4797" spans="1:13" x14ac:dyDescent="0.2">
      <c r="A4797">
        <v>893234</v>
      </c>
      <c r="B4797" s="5">
        <v>45007</v>
      </c>
      <c r="C4797">
        <v>86927</v>
      </c>
      <c r="D4797" t="str">
        <f>PROPER(Transactions!D4797)</f>
        <v>Toys</v>
      </c>
      <c r="E4797" t="s">
        <v>72</v>
      </c>
      <c r="F4797" t="s">
        <v>73</v>
      </c>
      <c r="G4797">
        <v>1</v>
      </c>
      <c r="H4797">
        <v>27.99</v>
      </c>
      <c r="I4797" s="7">
        <f>IF(Transactions!I4797="",0,Transactions!I4797)</f>
        <v>0.3</v>
      </c>
      <c r="J4797" s="9">
        <f t="shared" si="74"/>
        <v>19.592999999999996</v>
      </c>
      <c r="K4797" t="s">
        <v>53</v>
      </c>
      <c r="L4797" t="s">
        <v>17</v>
      </c>
      <c r="M4797" t="str">
        <f>REPLACE(Transactions!M4797,1,4,"")</f>
        <v>9</v>
      </c>
    </row>
    <row r="4798" spans="1:13" x14ac:dyDescent="0.2">
      <c r="A4798">
        <v>893351</v>
      </c>
      <c r="B4798" s="5">
        <v>45262</v>
      </c>
      <c r="C4798">
        <v>92026</v>
      </c>
      <c r="D4798" t="str">
        <f>PROPER(Transactions!D4798)</f>
        <v>Sports</v>
      </c>
      <c r="E4798" t="s">
        <v>83</v>
      </c>
      <c r="F4798" t="s">
        <v>84</v>
      </c>
      <c r="G4798">
        <v>1</v>
      </c>
      <c r="H4798">
        <v>16.989999999999998</v>
      </c>
      <c r="I4798" s="7">
        <f>IF(Transactions!I4798="",0,Transactions!I4798)</f>
        <v>0</v>
      </c>
      <c r="J4798" s="9">
        <f t="shared" si="74"/>
        <v>16.989999999999998</v>
      </c>
      <c r="K4798" t="s">
        <v>36</v>
      </c>
      <c r="L4798" t="s">
        <v>17</v>
      </c>
      <c r="M4798" t="str">
        <f>REPLACE(Transactions!M4798,1,4,"")</f>
        <v>14</v>
      </c>
    </row>
    <row r="4799" spans="1:13" x14ac:dyDescent="0.2">
      <c r="A4799">
        <v>893366</v>
      </c>
      <c r="B4799" s="5">
        <v>45109</v>
      </c>
      <c r="C4799">
        <v>11775</v>
      </c>
      <c r="D4799" t="str">
        <f>PROPER(Transactions!D4799)</f>
        <v>Beauty</v>
      </c>
      <c r="E4799" t="s">
        <v>179</v>
      </c>
      <c r="F4799" t="s">
        <v>180</v>
      </c>
      <c r="G4799">
        <v>3</v>
      </c>
      <c r="H4799">
        <v>11.99</v>
      </c>
      <c r="I4799" s="7">
        <f>IF(Transactions!I4799="",0,Transactions!I4799)</f>
        <v>0</v>
      </c>
      <c r="J4799" s="9">
        <f t="shared" si="74"/>
        <v>35.97</v>
      </c>
      <c r="K4799" t="s">
        <v>36</v>
      </c>
      <c r="L4799" t="s">
        <v>37</v>
      </c>
      <c r="M4799" t="str">
        <f>REPLACE(Transactions!M4799,1,4,"")</f>
        <v>5</v>
      </c>
    </row>
    <row r="4800" spans="1:13" x14ac:dyDescent="0.2">
      <c r="A4800">
        <v>893371</v>
      </c>
      <c r="B4800" s="5">
        <v>44663</v>
      </c>
      <c r="C4800">
        <v>35619</v>
      </c>
      <c r="D4800" t="str">
        <f>PROPER(Transactions!D4800)</f>
        <v>Automotive</v>
      </c>
      <c r="E4800" t="s">
        <v>64</v>
      </c>
      <c r="F4800" t="s">
        <v>65</v>
      </c>
      <c r="G4800">
        <v>2</v>
      </c>
      <c r="H4800">
        <v>4.49</v>
      </c>
      <c r="I4800" s="7">
        <f>IF(Transactions!I4800="",0,Transactions!I4800)</f>
        <v>0.1</v>
      </c>
      <c r="J4800" s="9">
        <f t="shared" si="74"/>
        <v>8.0820000000000007</v>
      </c>
      <c r="K4800" t="s">
        <v>16</v>
      </c>
      <c r="L4800" t="s">
        <v>17</v>
      </c>
      <c r="M4800" t="str">
        <f>REPLACE(Transactions!M4800,1,4,"")</f>
        <v>2</v>
      </c>
    </row>
    <row r="4801" spans="1:13" x14ac:dyDescent="0.2">
      <c r="A4801">
        <v>893394</v>
      </c>
      <c r="B4801" s="5">
        <v>44754</v>
      </c>
      <c r="C4801">
        <v>84044</v>
      </c>
      <c r="D4801" t="str">
        <f>PROPER(Transactions!D4801)</f>
        <v>Furniture</v>
      </c>
      <c r="E4801" t="s">
        <v>113</v>
      </c>
      <c r="F4801" t="s">
        <v>114</v>
      </c>
      <c r="G4801">
        <v>3</v>
      </c>
      <c r="H4801">
        <v>95.99</v>
      </c>
      <c r="I4801" s="7">
        <f>IF(Transactions!I4801="",0,Transactions!I4801)</f>
        <v>0.2</v>
      </c>
      <c r="J4801" s="9">
        <f t="shared" si="74"/>
        <v>230.37599999999998</v>
      </c>
      <c r="K4801" t="s">
        <v>36</v>
      </c>
      <c r="L4801" t="s">
        <v>37</v>
      </c>
      <c r="M4801" t="str">
        <f>REPLACE(Transactions!M4801,1,4,"")</f>
        <v>18</v>
      </c>
    </row>
    <row r="4802" spans="1:13" x14ac:dyDescent="0.2">
      <c r="A4802">
        <v>893566</v>
      </c>
      <c r="B4802" s="5">
        <v>45457</v>
      </c>
      <c r="D4802" t="str">
        <f>PROPER(Transactions!D4802)</f>
        <v>Clothing</v>
      </c>
      <c r="E4802" t="s">
        <v>121</v>
      </c>
      <c r="F4802" t="s">
        <v>122</v>
      </c>
      <c r="G4802">
        <v>1</v>
      </c>
      <c r="H4802">
        <v>12.99</v>
      </c>
      <c r="I4802" s="7">
        <f>IF(Transactions!I4802="",0,Transactions!I4802)</f>
        <v>0</v>
      </c>
      <c r="J4802" s="9">
        <f t="shared" si="74"/>
        <v>12.99</v>
      </c>
      <c r="K4802" t="s">
        <v>36</v>
      </c>
      <c r="L4802" t="s">
        <v>23</v>
      </c>
      <c r="M4802" t="str">
        <f>REPLACE(Transactions!M4802,1,4,"")</f>
        <v>2</v>
      </c>
    </row>
    <row r="4803" spans="1:13" x14ac:dyDescent="0.2">
      <c r="A4803">
        <v>893869</v>
      </c>
      <c r="B4803" s="5">
        <v>44886</v>
      </c>
      <c r="C4803">
        <v>67770</v>
      </c>
      <c r="D4803" t="str">
        <f>PROPER(Transactions!D4803)</f>
        <v>Beauty</v>
      </c>
      <c r="E4803" t="s">
        <v>118</v>
      </c>
      <c r="F4803" t="s">
        <v>119</v>
      </c>
      <c r="G4803">
        <v>2</v>
      </c>
      <c r="H4803">
        <v>3.99</v>
      </c>
      <c r="I4803" s="7">
        <f>IF(Transactions!I4803="",0,Transactions!I4803)</f>
        <v>0.2</v>
      </c>
      <c r="J4803" s="9">
        <f t="shared" ref="J4803:J4866" si="75">(H4803*G4803)*(1-I4803)</f>
        <v>6.3840000000000003</v>
      </c>
      <c r="K4803" t="s">
        <v>16</v>
      </c>
      <c r="L4803" t="s">
        <v>17</v>
      </c>
      <c r="M4803" t="str">
        <f>REPLACE(Transactions!M4803,1,4,"")</f>
        <v>18</v>
      </c>
    </row>
    <row r="4804" spans="1:13" x14ac:dyDescent="0.2">
      <c r="A4804">
        <v>893889</v>
      </c>
      <c r="B4804" s="5">
        <v>45059</v>
      </c>
      <c r="C4804">
        <v>76006</v>
      </c>
      <c r="D4804" t="str">
        <f>PROPER(Transactions!D4804)</f>
        <v>Toys</v>
      </c>
      <c r="E4804" t="s">
        <v>38</v>
      </c>
      <c r="F4804" t="s">
        <v>39</v>
      </c>
      <c r="G4804">
        <v>4</v>
      </c>
      <c r="H4804">
        <v>28.49</v>
      </c>
      <c r="I4804" s="7">
        <f>IF(Transactions!I4804="",0,Transactions!I4804)</f>
        <v>0.05</v>
      </c>
      <c r="J4804" s="9">
        <f t="shared" si="75"/>
        <v>108.26199999999999</v>
      </c>
      <c r="K4804" t="s">
        <v>22</v>
      </c>
      <c r="L4804" t="s">
        <v>17</v>
      </c>
      <c r="M4804" t="str">
        <f>REPLACE(Transactions!M4804,1,4,"")</f>
        <v>2</v>
      </c>
    </row>
    <row r="4805" spans="1:13" x14ac:dyDescent="0.2">
      <c r="A4805">
        <v>894053</v>
      </c>
      <c r="B4805" s="5">
        <v>45061</v>
      </c>
      <c r="D4805" t="str">
        <f>PROPER(Transactions!D4805)</f>
        <v>Sports</v>
      </c>
      <c r="E4805" t="s">
        <v>188</v>
      </c>
      <c r="F4805" t="s">
        <v>189</v>
      </c>
      <c r="G4805">
        <v>1</v>
      </c>
      <c r="H4805">
        <v>38.24</v>
      </c>
      <c r="I4805" s="7">
        <f>IF(Transactions!I4805="",0,Transactions!I4805)</f>
        <v>0.15</v>
      </c>
      <c r="J4805" s="9">
        <f t="shared" si="75"/>
        <v>32.503999999999998</v>
      </c>
      <c r="K4805" t="s">
        <v>36</v>
      </c>
      <c r="L4805" t="s">
        <v>17</v>
      </c>
      <c r="M4805" t="str">
        <f>REPLACE(Transactions!M4805,1,4,"")</f>
        <v>7</v>
      </c>
    </row>
    <row r="4806" spans="1:13" x14ac:dyDescent="0.2">
      <c r="A4806">
        <v>894141</v>
      </c>
      <c r="B4806" s="5">
        <v>44969</v>
      </c>
      <c r="C4806">
        <v>85435</v>
      </c>
      <c r="D4806" t="str">
        <f>PROPER(Transactions!D4806)</f>
        <v>Pharmacy</v>
      </c>
      <c r="E4806" t="s">
        <v>115</v>
      </c>
      <c r="F4806" t="s">
        <v>116</v>
      </c>
      <c r="G4806">
        <v>4</v>
      </c>
      <c r="H4806">
        <v>9.74</v>
      </c>
      <c r="I4806" s="7">
        <f>IF(Transactions!I4806="",0,Transactions!I4806)</f>
        <v>0.25</v>
      </c>
      <c r="J4806" s="9">
        <f t="shared" si="75"/>
        <v>29.22</v>
      </c>
      <c r="K4806" t="s">
        <v>66</v>
      </c>
      <c r="L4806" t="s">
        <v>17</v>
      </c>
      <c r="M4806" t="str">
        <f>REPLACE(Transactions!M4806,1,4,"")</f>
        <v>7</v>
      </c>
    </row>
    <row r="4807" spans="1:13" x14ac:dyDescent="0.2">
      <c r="A4807">
        <v>894188</v>
      </c>
      <c r="B4807" s="5">
        <v>45342</v>
      </c>
      <c r="C4807">
        <v>54603</v>
      </c>
      <c r="D4807" t="str">
        <f>PROPER(Transactions!D4807)</f>
        <v>Clothing</v>
      </c>
      <c r="E4807" t="s">
        <v>98</v>
      </c>
      <c r="F4807" t="s">
        <v>99</v>
      </c>
      <c r="G4807">
        <v>3</v>
      </c>
      <c r="H4807">
        <v>26.59</v>
      </c>
      <c r="I4807" s="7">
        <f>IF(Transactions!I4807="",0,Transactions!I4807)</f>
        <v>0.05</v>
      </c>
      <c r="J4807" s="9">
        <f t="shared" si="75"/>
        <v>75.781499999999994</v>
      </c>
      <c r="K4807" t="s">
        <v>22</v>
      </c>
      <c r="L4807" t="s">
        <v>17</v>
      </c>
      <c r="M4807" t="str">
        <f>REPLACE(Transactions!M4807,1,4,"")</f>
        <v>12</v>
      </c>
    </row>
    <row r="4808" spans="1:13" x14ac:dyDescent="0.2">
      <c r="A4808">
        <v>894323</v>
      </c>
      <c r="B4808" s="5">
        <v>45649</v>
      </c>
      <c r="C4808">
        <v>55702</v>
      </c>
      <c r="D4808" t="str">
        <f>PROPER(Transactions!D4808)</f>
        <v>Clothing</v>
      </c>
      <c r="E4808" t="s">
        <v>98</v>
      </c>
      <c r="F4808" t="s">
        <v>99</v>
      </c>
      <c r="G4808">
        <v>1</v>
      </c>
      <c r="H4808">
        <v>20.99</v>
      </c>
      <c r="I4808" s="7">
        <f>IF(Transactions!I4808="",0,Transactions!I4808)</f>
        <v>0.25</v>
      </c>
      <c r="J4808" s="9">
        <f t="shared" si="75"/>
        <v>15.7425</v>
      </c>
      <c r="K4808" t="s">
        <v>16</v>
      </c>
      <c r="L4808" t="s">
        <v>23</v>
      </c>
      <c r="M4808" t="str">
        <f>REPLACE(Transactions!M4808,1,4,"")</f>
        <v>8</v>
      </c>
    </row>
    <row r="4809" spans="1:13" x14ac:dyDescent="0.2">
      <c r="A4809">
        <v>894325</v>
      </c>
      <c r="B4809" s="5">
        <v>45545</v>
      </c>
      <c r="C4809">
        <v>31422</v>
      </c>
      <c r="D4809" t="str">
        <f>PROPER(Transactions!D4809)</f>
        <v>Furniture</v>
      </c>
      <c r="E4809" t="s">
        <v>113</v>
      </c>
      <c r="F4809" t="s">
        <v>114</v>
      </c>
      <c r="G4809">
        <v>2</v>
      </c>
      <c r="H4809">
        <v>119.99</v>
      </c>
      <c r="I4809" s="7">
        <f>IF(Transactions!I4809="",0,Transactions!I4809)</f>
        <v>0</v>
      </c>
      <c r="J4809" s="9">
        <f t="shared" si="75"/>
        <v>239.98</v>
      </c>
      <c r="K4809" t="s">
        <v>16</v>
      </c>
      <c r="L4809" t="s">
        <v>17</v>
      </c>
      <c r="M4809" t="str">
        <f>REPLACE(Transactions!M4809,1,4,"")</f>
        <v>3</v>
      </c>
    </row>
    <row r="4810" spans="1:13" x14ac:dyDescent="0.2">
      <c r="A4810">
        <v>894372</v>
      </c>
      <c r="B4810" s="5">
        <v>45203</v>
      </c>
      <c r="C4810">
        <v>67804</v>
      </c>
      <c r="D4810" t="str">
        <f>PROPER(Transactions!D4810)</f>
        <v>Grocery</v>
      </c>
      <c r="E4810" t="s">
        <v>184</v>
      </c>
      <c r="F4810" t="s">
        <v>185</v>
      </c>
      <c r="G4810">
        <v>5</v>
      </c>
      <c r="H4810">
        <v>5.22</v>
      </c>
      <c r="I4810" s="7">
        <f>IF(Transactions!I4810="",0,Transactions!I4810)</f>
        <v>0.05</v>
      </c>
      <c r="J4810" s="9">
        <f t="shared" si="75"/>
        <v>24.794999999999998</v>
      </c>
      <c r="K4810" t="s">
        <v>36</v>
      </c>
      <c r="L4810" t="s">
        <v>17</v>
      </c>
      <c r="M4810" t="str">
        <f>REPLACE(Transactions!M4810,1,4,"")</f>
        <v>2</v>
      </c>
    </row>
    <row r="4811" spans="1:13" x14ac:dyDescent="0.2">
      <c r="A4811">
        <v>894721</v>
      </c>
      <c r="B4811" s="5">
        <v>45304</v>
      </c>
      <c r="C4811">
        <v>21140</v>
      </c>
      <c r="D4811" t="str">
        <f>PROPER(Transactions!D4811)</f>
        <v>Home &amp; Garden</v>
      </c>
      <c r="E4811" t="s">
        <v>157</v>
      </c>
      <c r="F4811" t="s">
        <v>158</v>
      </c>
      <c r="G4811">
        <v>2</v>
      </c>
      <c r="H4811">
        <v>11.47</v>
      </c>
      <c r="I4811" s="7">
        <f>IF(Transactions!I4811="",0,Transactions!I4811)</f>
        <v>0.15</v>
      </c>
      <c r="J4811" s="9">
        <f t="shared" si="75"/>
        <v>19.499000000000002</v>
      </c>
      <c r="K4811" t="s">
        <v>36</v>
      </c>
      <c r="L4811" t="s">
        <v>37</v>
      </c>
      <c r="M4811" t="str">
        <f>REPLACE(Transactions!M4811,1,4,"")</f>
        <v>1</v>
      </c>
    </row>
    <row r="4812" spans="1:13" x14ac:dyDescent="0.2">
      <c r="A4812">
        <v>894811</v>
      </c>
      <c r="B4812" s="5">
        <v>44643</v>
      </c>
      <c r="C4812">
        <v>33765</v>
      </c>
      <c r="D4812" t="str">
        <f>PROPER(Transactions!D4812)</f>
        <v>Electronics</v>
      </c>
      <c r="E4812" t="s">
        <v>14</v>
      </c>
      <c r="F4812" t="s">
        <v>15</v>
      </c>
      <c r="G4812">
        <v>5</v>
      </c>
      <c r="H4812">
        <v>79.989999999999995</v>
      </c>
      <c r="I4812" s="7">
        <f>IF(Transactions!I4812="",0,Transactions!I4812)</f>
        <v>0</v>
      </c>
      <c r="J4812" s="9">
        <f t="shared" si="75"/>
        <v>399.95</v>
      </c>
      <c r="K4812" t="s">
        <v>36</v>
      </c>
      <c r="L4812" t="s">
        <v>23</v>
      </c>
      <c r="M4812" t="str">
        <f>REPLACE(Transactions!M4812,1,4,"")</f>
        <v>4</v>
      </c>
    </row>
    <row r="4813" spans="1:13" x14ac:dyDescent="0.2">
      <c r="A4813">
        <v>894981</v>
      </c>
      <c r="B4813" s="5">
        <v>44769</v>
      </c>
      <c r="C4813">
        <v>80612</v>
      </c>
      <c r="D4813" t="str">
        <f>PROPER(Transactions!D4813)</f>
        <v>Home &amp; Garden</v>
      </c>
      <c r="E4813" t="s">
        <v>137</v>
      </c>
      <c r="F4813" t="s">
        <v>138</v>
      </c>
      <c r="G4813">
        <v>1</v>
      </c>
      <c r="H4813">
        <v>7.99</v>
      </c>
      <c r="I4813" s="7">
        <f>IF(Transactions!I4813="",0,Transactions!I4813)</f>
        <v>0</v>
      </c>
      <c r="J4813" s="9">
        <f t="shared" si="75"/>
        <v>7.99</v>
      </c>
      <c r="K4813" t="s">
        <v>36</v>
      </c>
      <c r="L4813" t="s">
        <v>17</v>
      </c>
      <c r="M4813" t="str">
        <f>REPLACE(Transactions!M4813,1,4,"")</f>
        <v>16</v>
      </c>
    </row>
    <row r="4814" spans="1:13" x14ac:dyDescent="0.2">
      <c r="A4814">
        <v>895178</v>
      </c>
      <c r="B4814" s="5">
        <v>44651</v>
      </c>
      <c r="C4814">
        <v>71643</v>
      </c>
      <c r="D4814" t="str">
        <f>PROPER(Transactions!D4814)</f>
        <v>Pharmacy</v>
      </c>
      <c r="E4814" t="s">
        <v>115</v>
      </c>
      <c r="F4814" t="s">
        <v>116</v>
      </c>
      <c r="G4814">
        <v>1</v>
      </c>
      <c r="H4814">
        <v>10.39</v>
      </c>
      <c r="I4814" s="7">
        <f>IF(Transactions!I4814="",0,Transactions!I4814)</f>
        <v>0.2</v>
      </c>
      <c r="J4814" s="9">
        <f t="shared" si="75"/>
        <v>8.3120000000000012</v>
      </c>
      <c r="K4814" t="s">
        <v>95</v>
      </c>
      <c r="L4814" t="s">
        <v>17</v>
      </c>
      <c r="M4814" t="str">
        <f>REPLACE(Transactions!M4814,1,4,"")</f>
        <v>19</v>
      </c>
    </row>
    <row r="4815" spans="1:13" x14ac:dyDescent="0.2">
      <c r="A4815">
        <v>895379</v>
      </c>
      <c r="B4815" s="5">
        <v>45265</v>
      </c>
      <c r="C4815">
        <v>67880</v>
      </c>
      <c r="D4815" t="str">
        <f>PROPER(Transactions!D4815)</f>
        <v>Pharmacy</v>
      </c>
      <c r="E4815" t="s">
        <v>197</v>
      </c>
      <c r="F4815" t="s">
        <v>198</v>
      </c>
      <c r="G4815">
        <v>5</v>
      </c>
      <c r="H4815">
        <v>13.49</v>
      </c>
      <c r="I4815" s="7">
        <f>IF(Transactions!I4815="",0,Transactions!I4815)</f>
        <v>0.1</v>
      </c>
      <c r="J4815" s="9">
        <f t="shared" si="75"/>
        <v>60.705000000000005</v>
      </c>
      <c r="K4815" t="s">
        <v>66</v>
      </c>
      <c r="L4815" t="s">
        <v>37</v>
      </c>
      <c r="M4815" t="str">
        <f>REPLACE(Transactions!M4815,1,4,"")</f>
        <v>12</v>
      </c>
    </row>
    <row r="4816" spans="1:13" x14ac:dyDescent="0.2">
      <c r="A4816">
        <v>895430</v>
      </c>
      <c r="B4816" s="5">
        <v>45356</v>
      </c>
      <c r="C4816">
        <v>67540</v>
      </c>
      <c r="D4816" t="str">
        <f>PROPER(Transactions!D4816)</f>
        <v>Pharmacy</v>
      </c>
      <c r="E4816" t="s">
        <v>20</v>
      </c>
      <c r="F4816" t="s">
        <v>21</v>
      </c>
      <c r="G4816">
        <v>1</v>
      </c>
      <c r="H4816">
        <v>7.49</v>
      </c>
      <c r="I4816" s="7">
        <f>IF(Transactions!I4816="",0,Transactions!I4816)</f>
        <v>0.25</v>
      </c>
      <c r="J4816" s="9">
        <f t="shared" si="75"/>
        <v>5.6174999999999997</v>
      </c>
      <c r="K4816" t="s">
        <v>66</v>
      </c>
      <c r="L4816" t="s">
        <v>17</v>
      </c>
      <c r="M4816" t="str">
        <f>REPLACE(Transactions!M4816,1,4,"")</f>
        <v>17</v>
      </c>
    </row>
    <row r="4817" spans="1:13" x14ac:dyDescent="0.2">
      <c r="A4817">
        <v>895465</v>
      </c>
      <c r="B4817" s="5">
        <v>45339</v>
      </c>
      <c r="C4817">
        <v>52978</v>
      </c>
      <c r="D4817" t="str">
        <f>PROPER(Transactions!D4817)</f>
        <v>Automotive</v>
      </c>
      <c r="E4817" t="s">
        <v>125</v>
      </c>
      <c r="F4817" t="s">
        <v>126</v>
      </c>
      <c r="G4817">
        <v>3</v>
      </c>
      <c r="H4817">
        <v>26.99</v>
      </c>
      <c r="I4817" s="7">
        <f>IF(Transactions!I4817="",0,Transactions!I4817)</f>
        <v>0.1</v>
      </c>
      <c r="J4817" s="9">
        <f t="shared" si="75"/>
        <v>72.873000000000005</v>
      </c>
      <c r="K4817" t="s">
        <v>36</v>
      </c>
      <c r="L4817" t="s">
        <v>37</v>
      </c>
      <c r="M4817" t="str">
        <f>REPLACE(Transactions!M4817,1,4,"")</f>
        <v>5</v>
      </c>
    </row>
    <row r="4818" spans="1:13" x14ac:dyDescent="0.2">
      <c r="A4818">
        <v>896029</v>
      </c>
      <c r="B4818" s="5">
        <v>45219</v>
      </c>
      <c r="C4818">
        <v>71082</v>
      </c>
      <c r="D4818" t="str">
        <f>PROPER(Transactions!D4818)</f>
        <v>Sports</v>
      </c>
      <c r="E4818" t="s">
        <v>83</v>
      </c>
      <c r="F4818" t="s">
        <v>84</v>
      </c>
      <c r="G4818">
        <v>5</v>
      </c>
      <c r="H4818">
        <v>16.989999999999998</v>
      </c>
      <c r="I4818" s="7">
        <f>IF(Transactions!I4818="",0,Transactions!I4818)</f>
        <v>0</v>
      </c>
      <c r="J4818" s="9">
        <f t="shared" si="75"/>
        <v>84.949999999999989</v>
      </c>
      <c r="K4818" t="s">
        <v>36</v>
      </c>
      <c r="L4818" t="s">
        <v>17</v>
      </c>
      <c r="M4818" t="str">
        <f>REPLACE(Transactions!M4818,1,4,"")</f>
        <v>7</v>
      </c>
    </row>
    <row r="4819" spans="1:13" x14ac:dyDescent="0.2">
      <c r="A4819">
        <v>896086</v>
      </c>
      <c r="B4819" s="5">
        <v>45595</v>
      </c>
      <c r="C4819">
        <v>65613</v>
      </c>
      <c r="D4819" t="str">
        <f>PROPER(Transactions!D4819)</f>
        <v>Electronics</v>
      </c>
      <c r="E4819" t="s">
        <v>14</v>
      </c>
      <c r="F4819" t="s">
        <v>15</v>
      </c>
      <c r="G4819">
        <v>1</v>
      </c>
      <c r="H4819">
        <v>59.99</v>
      </c>
      <c r="I4819" s="7">
        <f>IF(Transactions!I4819="",0,Transactions!I4819)</f>
        <v>0</v>
      </c>
      <c r="J4819" s="9">
        <f t="shared" si="75"/>
        <v>59.99</v>
      </c>
      <c r="K4819" t="s">
        <v>16</v>
      </c>
      <c r="L4819" t="s">
        <v>17</v>
      </c>
      <c r="M4819" t="str">
        <f>REPLACE(Transactions!M4819,1,4,"")</f>
        <v>15</v>
      </c>
    </row>
    <row r="4820" spans="1:13" x14ac:dyDescent="0.2">
      <c r="A4820">
        <v>896150</v>
      </c>
      <c r="B4820" s="5">
        <v>44831</v>
      </c>
      <c r="C4820">
        <v>79685</v>
      </c>
      <c r="D4820" t="str">
        <f>PROPER(Transactions!D4820)</f>
        <v>Toys</v>
      </c>
      <c r="E4820" t="s">
        <v>38</v>
      </c>
      <c r="F4820" t="s">
        <v>39</v>
      </c>
      <c r="G4820">
        <v>1</v>
      </c>
      <c r="H4820">
        <v>29.99</v>
      </c>
      <c r="I4820" s="7">
        <f>IF(Transactions!I4820="",0,Transactions!I4820)</f>
        <v>0</v>
      </c>
      <c r="J4820" s="9">
        <f t="shared" si="75"/>
        <v>29.99</v>
      </c>
      <c r="K4820" t="s">
        <v>16</v>
      </c>
      <c r="L4820" t="s">
        <v>37</v>
      </c>
      <c r="M4820" t="str">
        <f>REPLACE(Transactions!M4820,1,4,"")</f>
        <v>14</v>
      </c>
    </row>
    <row r="4821" spans="1:13" x14ac:dyDescent="0.2">
      <c r="A4821">
        <v>896447</v>
      </c>
      <c r="B4821" s="5">
        <v>45486</v>
      </c>
      <c r="C4821">
        <v>79554</v>
      </c>
      <c r="D4821" t="str">
        <f>PROPER(Transactions!D4821)</f>
        <v>Electronics</v>
      </c>
      <c r="E4821" t="s">
        <v>79</v>
      </c>
      <c r="F4821" t="s">
        <v>80</v>
      </c>
      <c r="G4821">
        <v>1</v>
      </c>
      <c r="H4821">
        <v>89.99</v>
      </c>
      <c r="I4821" s="7">
        <f>IF(Transactions!I4821="",0,Transactions!I4821)</f>
        <v>0</v>
      </c>
      <c r="J4821" s="9">
        <f t="shared" si="75"/>
        <v>89.99</v>
      </c>
      <c r="K4821" t="s">
        <v>22</v>
      </c>
      <c r="L4821" t="s">
        <v>37</v>
      </c>
      <c r="M4821" t="str">
        <f>REPLACE(Transactions!M4821,1,4,"")</f>
        <v>3</v>
      </c>
    </row>
    <row r="4822" spans="1:13" x14ac:dyDescent="0.2">
      <c r="A4822">
        <v>896602</v>
      </c>
      <c r="B4822" s="5">
        <v>44980</v>
      </c>
      <c r="D4822" t="str">
        <f>PROPER(Transactions!D4822)</f>
        <v>Automotive</v>
      </c>
      <c r="E4822" t="s">
        <v>64</v>
      </c>
      <c r="F4822" t="s">
        <v>65</v>
      </c>
      <c r="G4822">
        <v>1</v>
      </c>
      <c r="H4822">
        <v>4.99</v>
      </c>
      <c r="I4822" s="7">
        <f>IF(Transactions!I4822="",0,Transactions!I4822)</f>
        <v>0</v>
      </c>
      <c r="J4822" s="9">
        <f t="shared" si="75"/>
        <v>4.99</v>
      </c>
      <c r="K4822" t="s">
        <v>36</v>
      </c>
      <c r="L4822" t="s">
        <v>17</v>
      </c>
      <c r="M4822" t="str">
        <f>REPLACE(Transactions!M4822,1,4,"")</f>
        <v>9</v>
      </c>
    </row>
    <row r="4823" spans="1:13" x14ac:dyDescent="0.2">
      <c r="A4823">
        <v>897050</v>
      </c>
      <c r="B4823" s="5">
        <v>44922</v>
      </c>
      <c r="C4823">
        <v>58814</v>
      </c>
      <c r="D4823" t="str">
        <f>PROPER(Transactions!D4823)</f>
        <v>Beauty</v>
      </c>
      <c r="E4823" t="s">
        <v>49</v>
      </c>
      <c r="F4823" t="s">
        <v>50</v>
      </c>
      <c r="G4823">
        <v>2</v>
      </c>
      <c r="H4823">
        <v>8.99</v>
      </c>
      <c r="I4823" s="7">
        <f>IF(Transactions!I4823="",0,Transactions!I4823)</f>
        <v>0</v>
      </c>
      <c r="J4823" s="9">
        <f t="shared" si="75"/>
        <v>17.98</v>
      </c>
      <c r="K4823" t="s">
        <v>16</v>
      </c>
      <c r="L4823" t="s">
        <v>37</v>
      </c>
      <c r="M4823" t="str">
        <f>REPLACE(Transactions!M4823,1,4,"")</f>
        <v>11</v>
      </c>
    </row>
    <row r="4824" spans="1:13" x14ac:dyDescent="0.2">
      <c r="A4824">
        <v>897250</v>
      </c>
      <c r="B4824" s="5">
        <v>44655</v>
      </c>
      <c r="C4824">
        <v>90403</v>
      </c>
      <c r="D4824" t="str">
        <f>PROPER(Transactions!D4824)</f>
        <v>Electronics</v>
      </c>
      <c r="E4824" t="s">
        <v>34</v>
      </c>
      <c r="F4824" t="s">
        <v>35</v>
      </c>
      <c r="G4824">
        <v>2</v>
      </c>
      <c r="H4824">
        <v>24.49</v>
      </c>
      <c r="I4824" s="7">
        <f>IF(Transactions!I4824="",0,Transactions!I4824)</f>
        <v>0.3</v>
      </c>
      <c r="J4824" s="9">
        <f t="shared" si="75"/>
        <v>34.285999999999994</v>
      </c>
      <c r="K4824" t="s">
        <v>16</v>
      </c>
      <c r="L4824" t="s">
        <v>17</v>
      </c>
      <c r="M4824" t="str">
        <f>REPLACE(Transactions!M4824,1,4,"")</f>
        <v>16</v>
      </c>
    </row>
    <row r="4825" spans="1:13" x14ac:dyDescent="0.2">
      <c r="A4825">
        <v>897493</v>
      </c>
      <c r="B4825" s="5">
        <v>45106</v>
      </c>
      <c r="C4825">
        <v>78599</v>
      </c>
      <c r="D4825" t="str">
        <f>PROPER(Transactions!D4825)</f>
        <v>Toys</v>
      </c>
      <c r="E4825" t="s">
        <v>30</v>
      </c>
      <c r="F4825" t="s">
        <v>31</v>
      </c>
      <c r="G4825">
        <v>2</v>
      </c>
      <c r="H4825">
        <v>23.74</v>
      </c>
      <c r="I4825" s="7">
        <f>IF(Transactions!I4825="",0,Transactions!I4825)</f>
        <v>0.05</v>
      </c>
      <c r="J4825" s="9">
        <f t="shared" si="75"/>
        <v>45.105999999999995</v>
      </c>
      <c r="K4825" t="s">
        <v>36</v>
      </c>
      <c r="L4825" t="s">
        <v>17</v>
      </c>
      <c r="M4825" t="str">
        <f>REPLACE(Transactions!M4825,1,4,"")</f>
        <v/>
      </c>
    </row>
    <row r="4826" spans="1:13" x14ac:dyDescent="0.2">
      <c r="A4826">
        <v>897537</v>
      </c>
      <c r="B4826" s="5">
        <v>45615</v>
      </c>
      <c r="C4826">
        <v>42046</v>
      </c>
      <c r="D4826" t="str">
        <f>PROPER(Transactions!D4826)</f>
        <v>Grocery</v>
      </c>
      <c r="E4826" t="s">
        <v>45</v>
      </c>
      <c r="F4826" t="s">
        <v>46</v>
      </c>
      <c r="G4826">
        <v>3</v>
      </c>
      <c r="H4826">
        <v>1.79</v>
      </c>
      <c r="I4826" s="7">
        <f>IF(Transactions!I4826="",0,Transactions!I4826)</f>
        <v>0</v>
      </c>
      <c r="J4826" s="9">
        <f t="shared" si="75"/>
        <v>5.37</v>
      </c>
      <c r="K4826" t="s">
        <v>16</v>
      </c>
      <c r="L4826" t="s">
        <v>17</v>
      </c>
      <c r="M4826" t="str">
        <f>REPLACE(Transactions!M4826,1,4,"")</f>
        <v>3</v>
      </c>
    </row>
    <row r="4827" spans="1:13" x14ac:dyDescent="0.2">
      <c r="A4827">
        <v>897549</v>
      </c>
      <c r="B4827" s="5">
        <v>44737</v>
      </c>
      <c r="C4827">
        <v>82063</v>
      </c>
      <c r="D4827" t="str">
        <f>PROPER(Transactions!D4827)</f>
        <v>Home &amp; Garden</v>
      </c>
      <c r="E4827" t="s">
        <v>145</v>
      </c>
      <c r="F4827" t="s">
        <v>146</v>
      </c>
      <c r="G4827">
        <v>4</v>
      </c>
      <c r="H4827">
        <v>12.74</v>
      </c>
      <c r="I4827" s="7">
        <f>IF(Transactions!I4827="",0,Transactions!I4827)</f>
        <v>0.25</v>
      </c>
      <c r="J4827" s="9">
        <f t="shared" si="75"/>
        <v>38.22</v>
      </c>
      <c r="K4827" t="s">
        <v>22</v>
      </c>
      <c r="L4827" t="s">
        <v>17</v>
      </c>
      <c r="M4827" t="str">
        <f>REPLACE(Transactions!M4827,1,4,"")</f>
        <v>19</v>
      </c>
    </row>
    <row r="4828" spans="1:13" x14ac:dyDescent="0.2">
      <c r="A4828">
        <v>897858</v>
      </c>
      <c r="B4828" s="5">
        <v>45611</v>
      </c>
      <c r="C4828">
        <v>37113</v>
      </c>
      <c r="D4828" t="str">
        <f>PROPER(Transactions!D4828)</f>
        <v>Grocery</v>
      </c>
      <c r="E4828" t="s">
        <v>162</v>
      </c>
      <c r="F4828" t="s">
        <v>163</v>
      </c>
      <c r="G4828">
        <v>3</v>
      </c>
      <c r="H4828">
        <v>7.99</v>
      </c>
      <c r="I4828" s="7">
        <f>IF(Transactions!I4828="",0,Transactions!I4828)</f>
        <v>0</v>
      </c>
      <c r="J4828" s="9">
        <f t="shared" si="75"/>
        <v>23.97</v>
      </c>
      <c r="K4828" t="s">
        <v>16</v>
      </c>
      <c r="L4828" t="s">
        <v>17</v>
      </c>
      <c r="M4828" t="str">
        <f>REPLACE(Transactions!M4828,1,4,"")</f>
        <v>18</v>
      </c>
    </row>
    <row r="4829" spans="1:13" x14ac:dyDescent="0.2">
      <c r="A4829">
        <v>898050</v>
      </c>
      <c r="B4829" s="5">
        <v>45339</v>
      </c>
      <c r="C4829">
        <v>33594</v>
      </c>
      <c r="D4829" t="str">
        <f>PROPER(Transactions!D4829)</f>
        <v>Toys</v>
      </c>
      <c r="E4829" t="s">
        <v>30</v>
      </c>
      <c r="F4829" t="s">
        <v>31</v>
      </c>
      <c r="G4829">
        <v>1</v>
      </c>
      <c r="H4829">
        <v>19.989999999999998</v>
      </c>
      <c r="I4829" s="7">
        <f>IF(Transactions!I4829="",0,Transactions!I4829)</f>
        <v>0.2</v>
      </c>
      <c r="J4829" s="9">
        <f t="shared" si="75"/>
        <v>15.991999999999999</v>
      </c>
      <c r="K4829" t="s">
        <v>95</v>
      </c>
      <c r="L4829" t="s">
        <v>17</v>
      </c>
      <c r="M4829" t="str">
        <f>REPLACE(Transactions!M4829,1,4,"")</f>
        <v>20</v>
      </c>
    </row>
    <row r="4830" spans="1:13" x14ac:dyDescent="0.2">
      <c r="A4830">
        <v>898404</v>
      </c>
      <c r="B4830" s="5">
        <v>45529</v>
      </c>
      <c r="C4830">
        <v>26275</v>
      </c>
      <c r="D4830" t="str">
        <f>PROPER(Transactions!D4830)</f>
        <v>Pharmacy</v>
      </c>
      <c r="E4830" t="s">
        <v>41</v>
      </c>
      <c r="F4830" t="s">
        <v>42</v>
      </c>
      <c r="G4830">
        <v>5</v>
      </c>
      <c r="H4830">
        <v>4.79</v>
      </c>
      <c r="I4830" s="7">
        <f>IF(Transactions!I4830="",0,Transactions!I4830)</f>
        <v>0.2</v>
      </c>
      <c r="J4830" s="9">
        <f t="shared" si="75"/>
        <v>19.16</v>
      </c>
      <c r="K4830" t="s">
        <v>53</v>
      </c>
      <c r="L4830" t="s">
        <v>37</v>
      </c>
      <c r="M4830" t="str">
        <f>REPLACE(Transactions!M4830,1,4,"")</f>
        <v>16</v>
      </c>
    </row>
    <row r="4831" spans="1:13" x14ac:dyDescent="0.2">
      <c r="A4831">
        <v>898678</v>
      </c>
      <c r="B4831" s="5">
        <v>44845</v>
      </c>
      <c r="C4831">
        <v>52626</v>
      </c>
      <c r="D4831" t="str">
        <f>PROPER(Transactions!D4831)</f>
        <v>Pharmacy</v>
      </c>
      <c r="E4831" t="s">
        <v>58</v>
      </c>
      <c r="F4831" t="s">
        <v>59</v>
      </c>
      <c r="G4831">
        <v>3</v>
      </c>
      <c r="H4831">
        <v>2.79</v>
      </c>
      <c r="I4831" s="7">
        <f>IF(Transactions!I4831="",0,Transactions!I4831)</f>
        <v>0.3</v>
      </c>
      <c r="J4831" s="9">
        <f t="shared" si="75"/>
        <v>5.859</v>
      </c>
      <c r="K4831" t="s">
        <v>53</v>
      </c>
      <c r="L4831" t="s">
        <v>17</v>
      </c>
      <c r="M4831" t="str">
        <f>REPLACE(Transactions!M4831,1,4,"")</f>
        <v>4</v>
      </c>
    </row>
    <row r="4832" spans="1:13" x14ac:dyDescent="0.2">
      <c r="A4832">
        <v>898687</v>
      </c>
      <c r="B4832" s="5">
        <v>45322</v>
      </c>
      <c r="C4832">
        <v>63724</v>
      </c>
      <c r="D4832" t="str">
        <f>PROPER(Transactions!D4832)</f>
        <v>Clothing</v>
      </c>
      <c r="E4832" t="s">
        <v>135</v>
      </c>
      <c r="F4832" t="s">
        <v>136</v>
      </c>
      <c r="G4832">
        <v>1</v>
      </c>
      <c r="H4832">
        <v>9.99</v>
      </c>
      <c r="I4832" s="7">
        <f>IF(Transactions!I4832="",0,Transactions!I4832)</f>
        <v>0</v>
      </c>
      <c r="J4832" s="9">
        <f t="shared" si="75"/>
        <v>9.99</v>
      </c>
      <c r="K4832" t="s">
        <v>53</v>
      </c>
      <c r="L4832" t="s">
        <v>37</v>
      </c>
      <c r="M4832" t="str">
        <f>REPLACE(Transactions!M4832,1,4,"")</f>
        <v>13</v>
      </c>
    </row>
    <row r="4833" spans="1:13" x14ac:dyDescent="0.2">
      <c r="A4833">
        <v>898696</v>
      </c>
      <c r="B4833" s="5">
        <v>44642</v>
      </c>
      <c r="C4833">
        <v>37379</v>
      </c>
      <c r="D4833" t="str">
        <f>PROPER(Transactions!D4833)</f>
        <v>Beauty</v>
      </c>
      <c r="E4833" t="s">
        <v>179</v>
      </c>
      <c r="F4833" t="s">
        <v>180</v>
      </c>
      <c r="G4833">
        <v>1</v>
      </c>
      <c r="H4833">
        <v>11.99</v>
      </c>
      <c r="I4833" s="7">
        <f>IF(Transactions!I4833="",0,Transactions!I4833)</f>
        <v>0</v>
      </c>
      <c r="J4833" s="9">
        <f t="shared" si="75"/>
        <v>11.99</v>
      </c>
      <c r="K4833" t="s">
        <v>16</v>
      </c>
      <c r="L4833" t="s">
        <v>37</v>
      </c>
      <c r="M4833" t="str">
        <f>REPLACE(Transactions!M4833,1,4,"")</f>
        <v>13</v>
      </c>
    </row>
    <row r="4834" spans="1:13" x14ac:dyDescent="0.2">
      <c r="A4834">
        <v>898754</v>
      </c>
      <c r="B4834" s="5">
        <v>45024</v>
      </c>
      <c r="C4834">
        <v>82983</v>
      </c>
      <c r="D4834" t="str">
        <f>PROPER(Transactions!D4834)</f>
        <v>Beauty</v>
      </c>
      <c r="E4834" t="s">
        <v>49</v>
      </c>
      <c r="F4834" t="s">
        <v>50</v>
      </c>
      <c r="G4834">
        <v>1</v>
      </c>
      <c r="H4834">
        <v>6.74</v>
      </c>
      <c r="I4834" s="7">
        <f>IF(Transactions!I4834="",0,Transactions!I4834)</f>
        <v>0.25</v>
      </c>
      <c r="J4834" s="9">
        <f t="shared" si="75"/>
        <v>5.0549999999999997</v>
      </c>
      <c r="K4834" t="s">
        <v>16</v>
      </c>
      <c r="L4834" t="s">
        <v>17</v>
      </c>
      <c r="M4834" t="str">
        <f>REPLACE(Transactions!M4834,1,4,"")</f>
        <v>12</v>
      </c>
    </row>
    <row r="4835" spans="1:13" x14ac:dyDescent="0.2">
      <c r="A4835">
        <v>898759</v>
      </c>
      <c r="B4835" s="5">
        <v>44808</v>
      </c>
      <c r="C4835">
        <v>39498</v>
      </c>
      <c r="D4835" t="str">
        <f>PROPER(Transactions!D4835)</f>
        <v>Clothing</v>
      </c>
      <c r="E4835" t="s">
        <v>193</v>
      </c>
      <c r="F4835" t="s">
        <v>194</v>
      </c>
      <c r="G4835">
        <v>1</v>
      </c>
      <c r="H4835">
        <v>48.74</v>
      </c>
      <c r="I4835" s="7">
        <f>IF(Transactions!I4835="",0,Transactions!I4835)</f>
        <v>0.25</v>
      </c>
      <c r="J4835" s="9">
        <f t="shared" si="75"/>
        <v>36.555</v>
      </c>
      <c r="K4835" t="s">
        <v>36</v>
      </c>
      <c r="L4835" t="s">
        <v>17</v>
      </c>
      <c r="M4835" t="str">
        <f>REPLACE(Transactions!M4835,1,4,"")</f>
        <v>4</v>
      </c>
    </row>
    <row r="4836" spans="1:13" x14ac:dyDescent="0.2">
      <c r="A4836">
        <v>899053</v>
      </c>
      <c r="B4836" s="5">
        <v>44873</v>
      </c>
      <c r="C4836">
        <v>96067</v>
      </c>
      <c r="D4836" t="str">
        <f>PROPER(Transactions!D4836)</f>
        <v>Grocery</v>
      </c>
      <c r="E4836" t="s">
        <v>74</v>
      </c>
      <c r="F4836" t="s">
        <v>75</v>
      </c>
      <c r="G4836">
        <v>1</v>
      </c>
      <c r="H4836">
        <v>2.69</v>
      </c>
      <c r="I4836" s="7">
        <f>IF(Transactions!I4836="",0,Transactions!I4836)</f>
        <v>0.1</v>
      </c>
      <c r="J4836" s="9">
        <f t="shared" si="75"/>
        <v>2.4209999999999998</v>
      </c>
      <c r="K4836" t="s">
        <v>53</v>
      </c>
      <c r="L4836" t="s">
        <v>17</v>
      </c>
      <c r="M4836" t="str">
        <f>REPLACE(Transactions!M4836,1,4,"")</f>
        <v>13</v>
      </c>
    </row>
    <row r="4837" spans="1:13" x14ac:dyDescent="0.2">
      <c r="A4837">
        <v>899271</v>
      </c>
      <c r="B4837" s="5">
        <v>44935</v>
      </c>
      <c r="C4837">
        <v>61768</v>
      </c>
      <c r="D4837" t="str">
        <f>PROPER(Transactions!D4837)</f>
        <v>Grocery</v>
      </c>
      <c r="E4837" t="s">
        <v>177</v>
      </c>
      <c r="F4837" t="s">
        <v>178</v>
      </c>
      <c r="G4837">
        <v>1</v>
      </c>
      <c r="H4837">
        <v>11.99</v>
      </c>
      <c r="I4837" s="7">
        <f>IF(Transactions!I4837="",0,Transactions!I4837)</f>
        <v>0</v>
      </c>
      <c r="J4837" s="9">
        <f t="shared" si="75"/>
        <v>11.99</v>
      </c>
      <c r="K4837" t="s">
        <v>16</v>
      </c>
      <c r="L4837" t="s">
        <v>17</v>
      </c>
      <c r="M4837" t="str">
        <f>REPLACE(Transactions!M4837,1,4,"")</f>
        <v>10</v>
      </c>
    </row>
    <row r="4838" spans="1:13" x14ac:dyDescent="0.2">
      <c r="A4838">
        <v>899277</v>
      </c>
      <c r="B4838" s="5">
        <v>45616</v>
      </c>
      <c r="C4838">
        <v>39609</v>
      </c>
      <c r="D4838" t="str">
        <f>PROPER(Transactions!D4838)</f>
        <v>Pharmacy</v>
      </c>
      <c r="E4838" t="s">
        <v>115</v>
      </c>
      <c r="F4838" t="s">
        <v>116</v>
      </c>
      <c r="G4838">
        <v>1</v>
      </c>
      <c r="H4838">
        <v>11.04</v>
      </c>
      <c r="I4838" s="7">
        <f>IF(Transactions!I4838="",0,Transactions!I4838)</f>
        <v>0.15</v>
      </c>
      <c r="J4838" s="9">
        <f t="shared" si="75"/>
        <v>9.3839999999999986</v>
      </c>
      <c r="K4838" t="s">
        <v>36</v>
      </c>
      <c r="L4838" t="s">
        <v>17</v>
      </c>
      <c r="M4838" t="str">
        <f>REPLACE(Transactions!M4838,1,4,"")</f>
        <v>2</v>
      </c>
    </row>
    <row r="4839" spans="1:13" x14ac:dyDescent="0.2">
      <c r="A4839">
        <v>899281</v>
      </c>
      <c r="B4839" s="5">
        <v>45555</v>
      </c>
      <c r="D4839" t="str">
        <f>PROPER(Transactions!D4839)</f>
        <v>Furniture</v>
      </c>
      <c r="E4839" t="s">
        <v>70</v>
      </c>
      <c r="F4839" t="s">
        <v>71</v>
      </c>
      <c r="G4839">
        <v>5</v>
      </c>
      <c r="H4839">
        <v>76.489999999999995</v>
      </c>
      <c r="I4839" s="7">
        <f>IF(Transactions!I4839="",0,Transactions!I4839)</f>
        <v>0.15</v>
      </c>
      <c r="J4839" s="9">
        <f t="shared" si="75"/>
        <v>325.08249999999998</v>
      </c>
      <c r="K4839" t="s">
        <v>22</v>
      </c>
      <c r="L4839" t="s">
        <v>17</v>
      </c>
      <c r="M4839" t="str">
        <f>REPLACE(Transactions!M4839,1,4,"")</f>
        <v>6</v>
      </c>
    </row>
    <row r="4840" spans="1:13" x14ac:dyDescent="0.2">
      <c r="A4840">
        <v>899366</v>
      </c>
      <c r="B4840" s="5">
        <v>45492</v>
      </c>
      <c r="C4840">
        <v>95092</v>
      </c>
      <c r="D4840" t="str">
        <f>PROPER(Transactions!D4840)</f>
        <v>Automotive</v>
      </c>
      <c r="E4840" t="s">
        <v>125</v>
      </c>
      <c r="F4840" t="s">
        <v>126</v>
      </c>
      <c r="G4840">
        <v>1</v>
      </c>
      <c r="H4840">
        <v>29.99</v>
      </c>
      <c r="I4840" s="7">
        <f>IF(Transactions!I4840="",0,Transactions!I4840)</f>
        <v>0</v>
      </c>
      <c r="J4840" s="9">
        <f t="shared" si="75"/>
        <v>29.99</v>
      </c>
      <c r="K4840" t="s">
        <v>36</v>
      </c>
      <c r="L4840" t="s">
        <v>17</v>
      </c>
      <c r="M4840" t="str">
        <f>REPLACE(Transactions!M4840,1,4,"")</f>
        <v>15</v>
      </c>
    </row>
    <row r="4841" spans="1:13" x14ac:dyDescent="0.2">
      <c r="A4841">
        <v>899595</v>
      </c>
      <c r="B4841" s="5">
        <v>45549</v>
      </c>
      <c r="C4841">
        <v>68370</v>
      </c>
      <c r="D4841" t="str">
        <f>PROPER(Transactions!D4841)</f>
        <v>Beauty</v>
      </c>
      <c r="E4841" t="s">
        <v>139</v>
      </c>
      <c r="F4841" t="s">
        <v>140</v>
      </c>
      <c r="G4841">
        <v>1</v>
      </c>
      <c r="H4841">
        <v>6.79</v>
      </c>
      <c r="I4841" s="7">
        <f>IF(Transactions!I4841="",0,Transactions!I4841)</f>
        <v>0.15</v>
      </c>
      <c r="J4841" s="9">
        <f t="shared" si="75"/>
        <v>5.7714999999999996</v>
      </c>
      <c r="K4841" t="s">
        <v>36</v>
      </c>
      <c r="L4841" t="s">
        <v>23</v>
      </c>
      <c r="M4841" t="str">
        <f>REPLACE(Transactions!M4841,1,4,"")</f>
        <v>8</v>
      </c>
    </row>
    <row r="4842" spans="1:13" x14ac:dyDescent="0.2">
      <c r="A4842">
        <v>899759</v>
      </c>
      <c r="B4842" s="5">
        <v>45364</v>
      </c>
      <c r="C4842">
        <v>80039</v>
      </c>
      <c r="D4842" t="str">
        <f>PROPER(Transactions!D4842)</f>
        <v>Clothing</v>
      </c>
      <c r="E4842" t="s">
        <v>165</v>
      </c>
      <c r="F4842" t="s">
        <v>166</v>
      </c>
      <c r="G4842">
        <v>5</v>
      </c>
      <c r="H4842">
        <v>80.989999999999995</v>
      </c>
      <c r="I4842" s="7">
        <f>IF(Transactions!I4842="",0,Transactions!I4842)</f>
        <v>0.1</v>
      </c>
      <c r="J4842" s="9">
        <f t="shared" si="75"/>
        <v>364.45499999999998</v>
      </c>
      <c r="K4842" t="s">
        <v>16</v>
      </c>
      <c r="L4842" t="s">
        <v>17</v>
      </c>
      <c r="M4842" t="str">
        <f>REPLACE(Transactions!M4842,1,4,"")</f>
        <v>18</v>
      </c>
    </row>
    <row r="4843" spans="1:13" x14ac:dyDescent="0.2">
      <c r="A4843">
        <v>899829</v>
      </c>
      <c r="B4843" s="5">
        <v>44682</v>
      </c>
      <c r="D4843" t="str">
        <f>PROPER(Transactions!D4843)</f>
        <v>Toys</v>
      </c>
      <c r="E4843" t="s">
        <v>72</v>
      </c>
      <c r="F4843" t="s">
        <v>73</v>
      </c>
      <c r="G4843">
        <v>2</v>
      </c>
      <c r="H4843">
        <v>39.99</v>
      </c>
      <c r="I4843" s="7">
        <f>IF(Transactions!I4843="",0,Transactions!I4843)</f>
        <v>0</v>
      </c>
      <c r="J4843" s="9">
        <f t="shared" si="75"/>
        <v>79.98</v>
      </c>
      <c r="K4843" t="s">
        <v>16</v>
      </c>
      <c r="L4843" t="s">
        <v>17</v>
      </c>
      <c r="M4843" t="str">
        <f>REPLACE(Transactions!M4843,1,4,"")</f>
        <v>6</v>
      </c>
    </row>
    <row r="4844" spans="1:13" x14ac:dyDescent="0.2">
      <c r="A4844">
        <v>899911</v>
      </c>
      <c r="B4844" s="5">
        <v>44702</v>
      </c>
      <c r="C4844">
        <v>83353</v>
      </c>
      <c r="D4844" t="str">
        <f>PROPER(Transactions!D4844)</f>
        <v>Home &amp; Garden</v>
      </c>
      <c r="E4844" t="s">
        <v>149</v>
      </c>
      <c r="F4844" t="s">
        <v>150</v>
      </c>
      <c r="G4844">
        <v>3</v>
      </c>
      <c r="H4844">
        <v>19.989999999999998</v>
      </c>
      <c r="I4844" s="7">
        <f>IF(Transactions!I4844="",0,Transactions!I4844)</f>
        <v>0</v>
      </c>
      <c r="J4844" s="9">
        <f t="shared" si="75"/>
        <v>59.97</v>
      </c>
      <c r="K4844" t="s">
        <v>95</v>
      </c>
      <c r="L4844" t="s">
        <v>17</v>
      </c>
      <c r="M4844" t="str">
        <f>REPLACE(Transactions!M4844,1,4,"")</f>
        <v>6</v>
      </c>
    </row>
    <row r="4845" spans="1:13" x14ac:dyDescent="0.2">
      <c r="A4845">
        <v>900356</v>
      </c>
      <c r="B4845" s="5">
        <v>45224</v>
      </c>
      <c r="C4845">
        <v>78061</v>
      </c>
      <c r="D4845" t="str">
        <f>PROPER(Transactions!D4845)</f>
        <v>Beauty</v>
      </c>
      <c r="E4845" t="s">
        <v>109</v>
      </c>
      <c r="F4845" t="s">
        <v>110</v>
      </c>
      <c r="G4845">
        <v>1</v>
      </c>
      <c r="H4845">
        <v>5.24</v>
      </c>
      <c r="I4845" s="7">
        <f>IF(Transactions!I4845="",0,Transactions!I4845)</f>
        <v>0.25</v>
      </c>
      <c r="J4845" s="9">
        <f t="shared" si="75"/>
        <v>3.93</v>
      </c>
      <c r="K4845" t="s">
        <v>36</v>
      </c>
      <c r="L4845" t="s">
        <v>37</v>
      </c>
      <c r="M4845" t="str">
        <f>REPLACE(Transactions!M4845,1,4,"")</f>
        <v>11</v>
      </c>
    </row>
    <row r="4846" spans="1:13" x14ac:dyDescent="0.2">
      <c r="A4846">
        <v>900575</v>
      </c>
      <c r="B4846" s="5">
        <v>44808</v>
      </c>
      <c r="C4846">
        <v>91855</v>
      </c>
      <c r="D4846" t="str">
        <f>PROPER(Transactions!D4846)</f>
        <v>Beauty</v>
      </c>
      <c r="E4846" t="s">
        <v>179</v>
      </c>
      <c r="F4846" t="s">
        <v>180</v>
      </c>
      <c r="G4846">
        <v>5</v>
      </c>
      <c r="H4846">
        <v>11.39</v>
      </c>
      <c r="I4846" s="7">
        <f>IF(Transactions!I4846="",0,Transactions!I4846)</f>
        <v>0.05</v>
      </c>
      <c r="J4846" s="9">
        <f t="shared" si="75"/>
        <v>54.102499999999999</v>
      </c>
      <c r="K4846" t="s">
        <v>36</v>
      </c>
      <c r="L4846" t="s">
        <v>37</v>
      </c>
      <c r="M4846" t="str">
        <f>REPLACE(Transactions!M4846,1,4,"")</f>
        <v>5</v>
      </c>
    </row>
    <row r="4847" spans="1:13" x14ac:dyDescent="0.2">
      <c r="A4847">
        <v>900581</v>
      </c>
      <c r="B4847" s="5">
        <v>44617</v>
      </c>
      <c r="D4847" t="str">
        <f>PROPER(Transactions!D4847)</f>
        <v>Sports</v>
      </c>
      <c r="E4847" t="s">
        <v>100</v>
      </c>
      <c r="F4847" t="s">
        <v>101</v>
      </c>
      <c r="G4847">
        <v>1</v>
      </c>
      <c r="H4847">
        <v>21.84</v>
      </c>
      <c r="I4847" s="7">
        <f>IF(Transactions!I4847="",0,Transactions!I4847)</f>
        <v>0.05</v>
      </c>
      <c r="J4847" s="9">
        <f t="shared" si="75"/>
        <v>20.747999999999998</v>
      </c>
      <c r="K4847" t="s">
        <v>95</v>
      </c>
      <c r="L4847" t="s">
        <v>37</v>
      </c>
      <c r="M4847" t="str">
        <f>REPLACE(Transactions!M4847,1,4,"")</f>
        <v>6</v>
      </c>
    </row>
    <row r="4848" spans="1:13" x14ac:dyDescent="0.2">
      <c r="A4848">
        <v>900981</v>
      </c>
      <c r="B4848" s="5">
        <v>45339</v>
      </c>
      <c r="D4848" t="str">
        <f>PROPER(Transactions!D4848)</f>
        <v>Grocery</v>
      </c>
      <c r="E4848" t="s">
        <v>184</v>
      </c>
      <c r="F4848" t="s">
        <v>185</v>
      </c>
      <c r="G4848">
        <v>5</v>
      </c>
      <c r="H4848">
        <v>5.22</v>
      </c>
      <c r="I4848" s="7">
        <f>IF(Transactions!I4848="",0,Transactions!I4848)</f>
        <v>0.05</v>
      </c>
      <c r="J4848" s="9">
        <f t="shared" si="75"/>
        <v>24.794999999999998</v>
      </c>
      <c r="K4848" t="s">
        <v>36</v>
      </c>
      <c r="L4848" t="s">
        <v>17</v>
      </c>
      <c r="M4848" t="str">
        <f>REPLACE(Transactions!M4848,1,4,"")</f>
        <v>7</v>
      </c>
    </row>
    <row r="4849" spans="1:13" x14ac:dyDescent="0.2">
      <c r="A4849">
        <v>901014</v>
      </c>
      <c r="B4849" s="5">
        <v>45637</v>
      </c>
      <c r="C4849">
        <v>82355</v>
      </c>
      <c r="D4849" t="str">
        <f>PROPER(Transactions!D4849)</f>
        <v>Clothing</v>
      </c>
      <c r="E4849" t="s">
        <v>135</v>
      </c>
      <c r="F4849" t="s">
        <v>136</v>
      </c>
      <c r="G4849">
        <v>2</v>
      </c>
      <c r="H4849">
        <v>7.49</v>
      </c>
      <c r="I4849" s="7">
        <f>IF(Transactions!I4849="",0,Transactions!I4849)</f>
        <v>0.25</v>
      </c>
      <c r="J4849" s="9">
        <f t="shared" si="75"/>
        <v>11.234999999999999</v>
      </c>
      <c r="K4849" t="s">
        <v>36</v>
      </c>
      <c r="L4849" t="s">
        <v>17</v>
      </c>
      <c r="M4849" t="str">
        <f>REPLACE(Transactions!M4849,1,4,"")</f>
        <v>19</v>
      </c>
    </row>
    <row r="4850" spans="1:13" x14ac:dyDescent="0.2">
      <c r="A4850">
        <v>901087</v>
      </c>
      <c r="B4850" s="5">
        <v>45306</v>
      </c>
      <c r="C4850">
        <v>61488</v>
      </c>
      <c r="D4850" t="str">
        <f>PROPER(Transactions!D4850)</f>
        <v>Furniture</v>
      </c>
      <c r="E4850" t="s">
        <v>70</v>
      </c>
      <c r="F4850" t="s">
        <v>71</v>
      </c>
      <c r="G4850">
        <v>2</v>
      </c>
      <c r="H4850">
        <v>67.489999999999995</v>
      </c>
      <c r="I4850" s="7">
        <f>IF(Transactions!I4850="",0,Transactions!I4850)</f>
        <v>0.25</v>
      </c>
      <c r="J4850" s="9">
        <f t="shared" si="75"/>
        <v>101.23499999999999</v>
      </c>
      <c r="K4850" t="s">
        <v>16</v>
      </c>
      <c r="L4850" t="s">
        <v>17</v>
      </c>
      <c r="M4850" t="str">
        <f>REPLACE(Transactions!M4850,1,4,"")</f>
        <v>6</v>
      </c>
    </row>
    <row r="4851" spans="1:13" x14ac:dyDescent="0.2">
      <c r="A4851">
        <v>901130</v>
      </c>
      <c r="B4851" s="5">
        <v>44846</v>
      </c>
      <c r="C4851">
        <v>89593</v>
      </c>
      <c r="D4851" t="str">
        <f>PROPER(Transactions!D4851)</f>
        <v>Automotive</v>
      </c>
      <c r="E4851" t="s">
        <v>68</v>
      </c>
      <c r="F4851" t="s">
        <v>69</v>
      </c>
      <c r="G4851">
        <v>2</v>
      </c>
      <c r="H4851">
        <v>24.99</v>
      </c>
      <c r="I4851" s="7">
        <f>IF(Transactions!I4851="",0,Transactions!I4851)</f>
        <v>0</v>
      </c>
      <c r="J4851" s="9">
        <f t="shared" si="75"/>
        <v>49.98</v>
      </c>
      <c r="K4851" t="s">
        <v>16</v>
      </c>
      <c r="L4851" t="s">
        <v>17</v>
      </c>
      <c r="M4851" t="str">
        <f>REPLACE(Transactions!M4851,1,4,"")</f>
        <v>5</v>
      </c>
    </row>
    <row r="4852" spans="1:13" x14ac:dyDescent="0.2">
      <c r="A4852">
        <v>901133</v>
      </c>
      <c r="B4852" s="5">
        <v>45387</v>
      </c>
      <c r="C4852">
        <v>92573</v>
      </c>
      <c r="D4852" t="str">
        <f>PROPER(Transactions!D4852)</f>
        <v>Grocery</v>
      </c>
      <c r="E4852" t="s">
        <v>177</v>
      </c>
      <c r="F4852" t="s">
        <v>178</v>
      </c>
      <c r="G4852">
        <v>1</v>
      </c>
      <c r="H4852">
        <v>10.19</v>
      </c>
      <c r="I4852" s="7">
        <f>IF(Transactions!I4852="",0,Transactions!I4852)</f>
        <v>0.15</v>
      </c>
      <c r="J4852" s="9">
        <f t="shared" si="75"/>
        <v>8.6615000000000002</v>
      </c>
      <c r="K4852" t="s">
        <v>22</v>
      </c>
      <c r="L4852" t="s">
        <v>37</v>
      </c>
      <c r="M4852" t="str">
        <f>REPLACE(Transactions!M4852,1,4,"")</f>
        <v/>
      </c>
    </row>
    <row r="4853" spans="1:13" x14ac:dyDescent="0.2">
      <c r="A4853">
        <v>901375</v>
      </c>
      <c r="B4853" s="5">
        <v>44653</v>
      </c>
      <c r="C4853">
        <v>33392</v>
      </c>
      <c r="D4853" t="str">
        <f>PROPER(Transactions!D4853)</f>
        <v>Pharmacy</v>
      </c>
      <c r="E4853" t="s">
        <v>20</v>
      </c>
      <c r="F4853" t="s">
        <v>21</v>
      </c>
      <c r="G4853">
        <v>3</v>
      </c>
      <c r="H4853">
        <v>9.99</v>
      </c>
      <c r="I4853" s="7">
        <f>IF(Transactions!I4853="",0,Transactions!I4853)</f>
        <v>0</v>
      </c>
      <c r="J4853" s="9">
        <f t="shared" si="75"/>
        <v>29.97</v>
      </c>
      <c r="K4853" t="s">
        <v>16</v>
      </c>
      <c r="L4853" t="s">
        <v>37</v>
      </c>
      <c r="M4853" t="str">
        <f>REPLACE(Transactions!M4853,1,4,"")</f>
        <v>9</v>
      </c>
    </row>
    <row r="4854" spans="1:13" x14ac:dyDescent="0.2">
      <c r="A4854">
        <v>901451</v>
      </c>
      <c r="B4854" s="5">
        <v>45017</v>
      </c>
      <c r="C4854">
        <v>44027</v>
      </c>
      <c r="D4854" t="str">
        <f>PROPER(Transactions!D4854)</f>
        <v>Beauty</v>
      </c>
      <c r="E4854" t="s">
        <v>143</v>
      </c>
      <c r="F4854" t="s">
        <v>144</v>
      </c>
      <c r="G4854">
        <v>3</v>
      </c>
      <c r="H4854">
        <v>12.74</v>
      </c>
      <c r="I4854" s="7">
        <f>IF(Transactions!I4854="",0,Transactions!I4854)</f>
        <v>0.15</v>
      </c>
      <c r="J4854" s="9">
        <f t="shared" si="75"/>
        <v>32.486999999999995</v>
      </c>
      <c r="K4854" t="s">
        <v>22</v>
      </c>
      <c r="L4854" t="s">
        <v>37</v>
      </c>
      <c r="M4854" t="str">
        <f>REPLACE(Transactions!M4854,1,4,"")</f>
        <v>16</v>
      </c>
    </row>
    <row r="4855" spans="1:13" x14ac:dyDescent="0.2">
      <c r="A4855">
        <v>901515</v>
      </c>
      <c r="B4855" s="5">
        <v>45303</v>
      </c>
      <c r="C4855">
        <v>49184</v>
      </c>
      <c r="D4855" t="str">
        <f>PROPER(Transactions!D4855)</f>
        <v>Automotive</v>
      </c>
      <c r="E4855" t="s">
        <v>125</v>
      </c>
      <c r="F4855" t="s">
        <v>126</v>
      </c>
      <c r="G4855">
        <v>3</v>
      </c>
      <c r="H4855">
        <v>22.49</v>
      </c>
      <c r="I4855" s="7">
        <f>IF(Transactions!I4855="",0,Transactions!I4855)</f>
        <v>0.25</v>
      </c>
      <c r="J4855" s="9">
        <f t="shared" si="75"/>
        <v>50.602499999999999</v>
      </c>
      <c r="K4855" t="s">
        <v>16</v>
      </c>
      <c r="L4855" t="s">
        <v>17</v>
      </c>
      <c r="M4855" t="str">
        <f>REPLACE(Transactions!M4855,1,4,"")</f>
        <v>7</v>
      </c>
    </row>
    <row r="4856" spans="1:13" x14ac:dyDescent="0.2">
      <c r="A4856">
        <v>901881</v>
      </c>
      <c r="B4856" s="5">
        <v>44653</v>
      </c>
      <c r="C4856">
        <v>97506</v>
      </c>
      <c r="D4856" t="str">
        <f>PROPER(Transactions!D4856)</f>
        <v>Furniture</v>
      </c>
      <c r="E4856" t="s">
        <v>113</v>
      </c>
      <c r="F4856" t="s">
        <v>114</v>
      </c>
      <c r="G4856">
        <v>1</v>
      </c>
      <c r="H4856">
        <v>119.99</v>
      </c>
      <c r="I4856" s="7">
        <f>IF(Transactions!I4856="",0,Transactions!I4856)</f>
        <v>0</v>
      </c>
      <c r="J4856" s="9">
        <f t="shared" si="75"/>
        <v>119.99</v>
      </c>
      <c r="K4856" t="s">
        <v>16</v>
      </c>
      <c r="L4856" t="s">
        <v>37</v>
      </c>
      <c r="M4856" t="str">
        <f>REPLACE(Transactions!M4856,1,4,"")</f>
        <v>20</v>
      </c>
    </row>
    <row r="4857" spans="1:13" x14ac:dyDescent="0.2">
      <c r="A4857">
        <v>902190</v>
      </c>
      <c r="B4857" s="5">
        <v>45039</v>
      </c>
      <c r="C4857">
        <v>45712</v>
      </c>
      <c r="D4857" t="str">
        <f>PROPER(Transactions!D4857)</f>
        <v>Grocery</v>
      </c>
      <c r="E4857" t="s">
        <v>177</v>
      </c>
      <c r="F4857" t="s">
        <v>178</v>
      </c>
      <c r="G4857">
        <v>1</v>
      </c>
      <c r="H4857">
        <v>9.59</v>
      </c>
      <c r="I4857" s="7">
        <f>IF(Transactions!I4857="",0,Transactions!I4857)</f>
        <v>0.2</v>
      </c>
      <c r="J4857" s="9">
        <f t="shared" si="75"/>
        <v>7.6720000000000006</v>
      </c>
      <c r="K4857" t="s">
        <v>16</v>
      </c>
      <c r="L4857" t="s">
        <v>17</v>
      </c>
      <c r="M4857" t="str">
        <f>REPLACE(Transactions!M4857,1,4,"")</f>
        <v>20</v>
      </c>
    </row>
    <row r="4858" spans="1:13" x14ac:dyDescent="0.2">
      <c r="A4858">
        <v>902194</v>
      </c>
      <c r="B4858" s="5">
        <v>45018</v>
      </c>
      <c r="C4858">
        <v>43766</v>
      </c>
      <c r="D4858" t="str">
        <f>PROPER(Transactions!D4858)</f>
        <v>Automotive</v>
      </c>
      <c r="E4858" t="s">
        <v>68</v>
      </c>
      <c r="F4858" t="s">
        <v>69</v>
      </c>
      <c r="G4858">
        <v>1</v>
      </c>
      <c r="H4858">
        <v>18.739999999999998</v>
      </c>
      <c r="I4858" s="7">
        <f>IF(Transactions!I4858="",0,Transactions!I4858)</f>
        <v>0.25</v>
      </c>
      <c r="J4858" s="9">
        <f t="shared" si="75"/>
        <v>14.055</v>
      </c>
      <c r="K4858" t="s">
        <v>32</v>
      </c>
      <c r="L4858" t="s">
        <v>37</v>
      </c>
      <c r="M4858" t="str">
        <f>REPLACE(Transactions!M4858,1,4,"")</f>
        <v>5</v>
      </c>
    </row>
    <row r="4859" spans="1:13" x14ac:dyDescent="0.2">
      <c r="A4859">
        <v>902196</v>
      </c>
      <c r="B4859" s="5">
        <v>44839</v>
      </c>
      <c r="C4859">
        <v>77225</v>
      </c>
      <c r="D4859" t="str">
        <f>PROPER(Transactions!D4859)</f>
        <v>Electronics</v>
      </c>
      <c r="E4859" t="s">
        <v>34</v>
      </c>
      <c r="F4859" t="s">
        <v>35</v>
      </c>
      <c r="G4859">
        <v>3</v>
      </c>
      <c r="H4859">
        <v>26.24</v>
      </c>
      <c r="I4859" s="7">
        <f>IF(Transactions!I4859="",0,Transactions!I4859)</f>
        <v>0.25</v>
      </c>
      <c r="J4859" s="9">
        <f t="shared" si="75"/>
        <v>59.04</v>
      </c>
      <c r="K4859" t="s">
        <v>16</v>
      </c>
      <c r="L4859" t="s">
        <v>17</v>
      </c>
      <c r="M4859" t="str">
        <f>REPLACE(Transactions!M4859,1,4,"")</f>
        <v>7</v>
      </c>
    </row>
    <row r="4860" spans="1:13" x14ac:dyDescent="0.2">
      <c r="A4860">
        <v>902366</v>
      </c>
      <c r="B4860" s="5">
        <v>44786</v>
      </c>
      <c r="C4860">
        <v>84914</v>
      </c>
      <c r="D4860" t="str">
        <f>PROPER(Transactions!D4860)</f>
        <v>Sports</v>
      </c>
      <c r="E4860" t="s">
        <v>168</v>
      </c>
      <c r="F4860" t="s">
        <v>169</v>
      </c>
      <c r="G4860">
        <v>4</v>
      </c>
      <c r="H4860">
        <v>8.09</v>
      </c>
      <c r="I4860" s="7">
        <f>IF(Transactions!I4860="",0,Transactions!I4860)</f>
        <v>0.1</v>
      </c>
      <c r="J4860" s="9">
        <f t="shared" si="75"/>
        <v>29.123999999999999</v>
      </c>
      <c r="K4860" t="s">
        <v>16</v>
      </c>
      <c r="L4860" t="s">
        <v>37</v>
      </c>
      <c r="M4860" t="str">
        <f>REPLACE(Transactions!M4860,1,4,"")</f>
        <v>2</v>
      </c>
    </row>
    <row r="4861" spans="1:13" x14ac:dyDescent="0.2">
      <c r="A4861">
        <v>902465</v>
      </c>
      <c r="B4861" s="5">
        <v>44652</v>
      </c>
      <c r="C4861">
        <v>38383</v>
      </c>
      <c r="D4861" t="str">
        <f>PROPER(Transactions!D4861)</f>
        <v>Furniture</v>
      </c>
      <c r="E4861" t="s">
        <v>26</v>
      </c>
      <c r="F4861" t="s">
        <v>27</v>
      </c>
      <c r="G4861">
        <v>5</v>
      </c>
      <c r="H4861">
        <v>34.99</v>
      </c>
      <c r="I4861" s="7">
        <f>IF(Transactions!I4861="",0,Transactions!I4861)</f>
        <v>0</v>
      </c>
      <c r="J4861" s="9">
        <f t="shared" si="75"/>
        <v>174.95000000000002</v>
      </c>
      <c r="K4861" t="s">
        <v>32</v>
      </c>
      <c r="L4861" t="s">
        <v>37</v>
      </c>
      <c r="M4861" t="str">
        <f>REPLACE(Transactions!M4861,1,4,"")</f>
        <v>12</v>
      </c>
    </row>
    <row r="4862" spans="1:13" x14ac:dyDescent="0.2">
      <c r="A4862">
        <v>902636</v>
      </c>
      <c r="B4862" s="5">
        <v>44747</v>
      </c>
      <c r="C4862">
        <v>31425</v>
      </c>
      <c r="D4862" t="str">
        <f>PROPER(Transactions!D4862)</f>
        <v>Furniture</v>
      </c>
      <c r="E4862" t="s">
        <v>113</v>
      </c>
      <c r="F4862" t="s">
        <v>114</v>
      </c>
      <c r="G4862">
        <v>2</v>
      </c>
      <c r="H4862">
        <v>95.99</v>
      </c>
      <c r="I4862" s="7">
        <f>IF(Transactions!I4862="",0,Transactions!I4862)</f>
        <v>0.2</v>
      </c>
      <c r="J4862" s="9">
        <f t="shared" si="75"/>
        <v>153.584</v>
      </c>
      <c r="K4862" t="s">
        <v>16</v>
      </c>
      <c r="L4862" t="s">
        <v>37</v>
      </c>
      <c r="M4862" t="str">
        <f>REPLACE(Transactions!M4862,1,4,"")</f>
        <v>4</v>
      </c>
    </row>
    <row r="4863" spans="1:13" x14ac:dyDescent="0.2">
      <c r="A4863">
        <v>903058</v>
      </c>
      <c r="B4863" s="5">
        <v>44646</v>
      </c>
      <c r="C4863">
        <v>96290</v>
      </c>
      <c r="D4863" t="str">
        <f>PROPER(Transactions!D4863)</f>
        <v>Pharmacy</v>
      </c>
      <c r="E4863" t="s">
        <v>58</v>
      </c>
      <c r="F4863" t="s">
        <v>59</v>
      </c>
      <c r="G4863">
        <v>1</v>
      </c>
      <c r="H4863">
        <v>3.99</v>
      </c>
      <c r="I4863" s="7">
        <f>IF(Transactions!I4863="",0,Transactions!I4863)</f>
        <v>0</v>
      </c>
      <c r="J4863" s="9">
        <f t="shared" si="75"/>
        <v>3.99</v>
      </c>
      <c r="K4863" t="s">
        <v>32</v>
      </c>
      <c r="L4863" t="s">
        <v>17</v>
      </c>
      <c r="M4863" t="str">
        <f>REPLACE(Transactions!M4863,1,4,"")</f>
        <v>9</v>
      </c>
    </row>
    <row r="4864" spans="1:13" x14ac:dyDescent="0.2">
      <c r="A4864">
        <v>903075</v>
      </c>
      <c r="B4864" s="5">
        <v>45397</v>
      </c>
      <c r="C4864">
        <v>30197</v>
      </c>
      <c r="D4864" t="str">
        <f>PROPER(Transactions!D4864)</f>
        <v>Sports</v>
      </c>
      <c r="E4864" t="s">
        <v>188</v>
      </c>
      <c r="F4864" t="s">
        <v>189</v>
      </c>
      <c r="G4864">
        <v>4</v>
      </c>
      <c r="H4864">
        <v>44.99</v>
      </c>
      <c r="I4864" s="7">
        <f>IF(Transactions!I4864="",0,Transactions!I4864)</f>
        <v>0</v>
      </c>
      <c r="J4864" s="9">
        <f t="shared" si="75"/>
        <v>179.96</v>
      </c>
      <c r="K4864" t="s">
        <v>22</v>
      </c>
      <c r="L4864" t="s">
        <v>37</v>
      </c>
      <c r="M4864" t="str">
        <f>REPLACE(Transactions!M4864,1,4,"")</f>
        <v>10</v>
      </c>
    </row>
    <row r="4865" spans="1:13" x14ac:dyDescent="0.2">
      <c r="A4865">
        <v>903183</v>
      </c>
      <c r="B4865" s="5">
        <v>44786</v>
      </c>
      <c r="C4865">
        <v>56607</v>
      </c>
      <c r="D4865" t="str">
        <f>PROPER(Transactions!D4865)</f>
        <v>Toys</v>
      </c>
      <c r="E4865" t="s">
        <v>72</v>
      </c>
      <c r="F4865" t="s">
        <v>73</v>
      </c>
      <c r="G4865">
        <v>4</v>
      </c>
      <c r="H4865">
        <v>39.99</v>
      </c>
      <c r="I4865" s="7">
        <f>IF(Transactions!I4865="",0,Transactions!I4865)</f>
        <v>0</v>
      </c>
      <c r="J4865" s="9">
        <f t="shared" si="75"/>
        <v>159.96</v>
      </c>
      <c r="K4865" t="s">
        <v>16</v>
      </c>
      <c r="L4865" t="s">
        <v>17</v>
      </c>
      <c r="M4865" t="str">
        <f>REPLACE(Transactions!M4865,1,4,"")</f>
        <v>8</v>
      </c>
    </row>
    <row r="4866" spans="1:13" x14ac:dyDescent="0.2">
      <c r="A4866">
        <v>903199</v>
      </c>
      <c r="B4866" s="5">
        <v>45088</v>
      </c>
      <c r="C4866">
        <v>91842</v>
      </c>
      <c r="D4866" t="str">
        <f>PROPER(Transactions!D4866)</f>
        <v>Beauty</v>
      </c>
      <c r="E4866" t="s">
        <v>49</v>
      </c>
      <c r="F4866" t="s">
        <v>50</v>
      </c>
      <c r="G4866">
        <v>5</v>
      </c>
      <c r="H4866">
        <v>8.09</v>
      </c>
      <c r="I4866" s="7">
        <f>IF(Transactions!I4866="",0,Transactions!I4866)</f>
        <v>0.1</v>
      </c>
      <c r="J4866" s="9">
        <f t="shared" si="75"/>
        <v>36.405000000000001</v>
      </c>
      <c r="K4866" t="s">
        <v>16</v>
      </c>
      <c r="L4866" t="s">
        <v>37</v>
      </c>
      <c r="M4866" t="str">
        <f>REPLACE(Transactions!M4866,1,4,"")</f>
        <v>8</v>
      </c>
    </row>
    <row r="4867" spans="1:13" x14ac:dyDescent="0.2">
      <c r="A4867">
        <v>903511</v>
      </c>
      <c r="B4867" s="5">
        <v>45241</v>
      </c>
      <c r="C4867">
        <v>87369</v>
      </c>
      <c r="D4867" t="str">
        <f>PROPER(Transactions!D4867)</f>
        <v>Electronics</v>
      </c>
      <c r="E4867" t="s">
        <v>186</v>
      </c>
      <c r="F4867" t="s">
        <v>187</v>
      </c>
      <c r="G4867">
        <v>4</v>
      </c>
      <c r="H4867">
        <v>49.99</v>
      </c>
      <c r="I4867" s="7">
        <f>IF(Transactions!I4867="",0,Transactions!I4867)</f>
        <v>0</v>
      </c>
      <c r="J4867" s="9">
        <f t="shared" ref="J4867:J4930" si="76">(H4867*G4867)*(1-I4867)</f>
        <v>199.96</v>
      </c>
      <c r="K4867" t="s">
        <v>36</v>
      </c>
      <c r="L4867" t="s">
        <v>37</v>
      </c>
      <c r="M4867" t="str">
        <f>REPLACE(Transactions!M4867,1,4,"")</f>
        <v>19</v>
      </c>
    </row>
    <row r="4868" spans="1:13" x14ac:dyDescent="0.2">
      <c r="A4868">
        <v>903530</v>
      </c>
      <c r="B4868" s="5">
        <v>44975</v>
      </c>
      <c r="C4868">
        <v>20182</v>
      </c>
      <c r="D4868" t="str">
        <f>PROPER(Transactions!D4868)</f>
        <v>Beauty</v>
      </c>
      <c r="E4868" t="s">
        <v>49</v>
      </c>
      <c r="F4868" t="s">
        <v>50</v>
      </c>
      <c r="G4868">
        <v>1</v>
      </c>
      <c r="H4868">
        <v>6.74</v>
      </c>
      <c r="I4868" s="7">
        <f>IF(Transactions!I4868="",0,Transactions!I4868)</f>
        <v>0.25</v>
      </c>
      <c r="J4868" s="9">
        <f t="shared" si="76"/>
        <v>5.0549999999999997</v>
      </c>
      <c r="K4868" t="s">
        <v>16</v>
      </c>
      <c r="L4868" t="s">
        <v>17</v>
      </c>
      <c r="M4868" t="str">
        <f>REPLACE(Transactions!M4868,1,4,"")</f>
        <v>15</v>
      </c>
    </row>
    <row r="4869" spans="1:13" x14ac:dyDescent="0.2">
      <c r="A4869">
        <v>903589</v>
      </c>
      <c r="B4869" s="5">
        <v>44698</v>
      </c>
      <c r="D4869" t="str">
        <f>PROPER(Transactions!D4869)</f>
        <v>Sports</v>
      </c>
      <c r="E4869" t="s">
        <v>100</v>
      </c>
      <c r="F4869" t="s">
        <v>101</v>
      </c>
      <c r="G4869">
        <v>1</v>
      </c>
      <c r="H4869">
        <v>22.99</v>
      </c>
      <c r="I4869" s="7">
        <f>IF(Transactions!I4869="",0,Transactions!I4869)</f>
        <v>0</v>
      </c>
      <c r="J4869" s="9">
        <f t="shared" si="76"/>
        <v>22.99</v>
      </c>
      <c r="K4869" t="s">
        <v>95</v>
      </c>
      <c r="L4869" t="s">
        <v>37</v>
      </c>
      <c r="M4869" t="str">
        <f>REPLACE(Transactions!M4869,1,4,"")</f>
        <v>2</v>
      </c>
    </row>
    <row r="4870" spans="1:13" x14ac:dyDescent="0.2">
      <c r="A4870">
        <v>904234</v>
      </c>
      <c r="B4870" s="5">
        <v>45104</v>
      </c>
      <c r="C4870">
        <v>22986</v>
      </c>
      <c r="D4870" t="str">
        <f>PROPER(Transactions!D4870)</f>
        <v>Electronics</v>
      </c>
      <c r="E4870" t="s">
        <v>104</v>
      </c>
      <c r="F4870" t="s">
        <v>105</v>
      </c>
      <c r="G4870">
        <v>3</v>
      </c>
      <c r="H4870">
        <v>29.99</v>
      </c>
      <c r="I4870" s="7">
        <f>IF(Transactions!I4870="",0,Transactions!I4870)</f>
        <v>0</v>
      </c>
      <c r="J4870" s="9">
        <f t="shared" si="76"/>
        <v>89.97</v>
      </c>
      <c r="K4870" t="s">
        <v>36</v>
      </c>
      <c r="L4870" t="s">
        <v>37</v>
      </c>
      <c r="M4870" t="str">
        <f>REPLACE(Transactions!M4870,1,4,"")</f>
        <v>15</v>
      </c>
    </row>
    <row r="4871" spans="1:13" x14ac:dyDescent="0.2">
      <c r="A4871">
        <v>904377</v>
      </c>
      <c r="B4871" s="5">
        <v>44571</v>
      </c>
      <c r="C4871">
        <v>36212</v>
      </c>
      <c r="D4871" t="str">
        <f>PROPER(Transactions!D4871)</f>
        <v>Toys</v>
      </c>
      <c r="E4871" t="s">
        <v>38</v>
      </c>
      <c r="F4871" t="s">
        <v>39</v>
      </c>
      <c r="G4871">
        <v>4</v>
      </c>
      <c r="H4871">
        <v>29.99</v>
      </c>
      <c r="I4871" s="7">
        <f>IF(Transactions!I4871="",0,Transactions!I4871)</f>
        <v>0</v>
      </c>
      <c r="J4871" s="9">
        <f t="shared" si="76"/>
        <v>119.96</v>
      </c>
      <c r="K4871" t="s">
        <v>95</v>
      </c>
      <c r="L4871" t="s">
        <v>17</v>
      </c>
      <c r="M4871" t="str">
        <f>REPLACE(Transactions!M4871,1,4,"")</f>
        <v>11</v>
      </c>
    </row>
    <row r="4872" spans="1:13" x14ac:dyDescent="0.2">
      <c r="A4872">
        <v>904446</v>
      </c>
      <c r="B4872" s="5">
        <v>45345</v>
      </c>
      <c r="C4872">
        <v>58725</v>
      </c>
      <c r="D4872" t="str">
        <f>PROPER(Transactions!D4872)</f>
        <v>Electronics</v>
      </c>
      <c r="E4872" t="s">
        <v>34</v>
      </c>
      <c r="F4872" t="s">
        <v>35</v>
      </c>
      <c r="G4872">
        <v>4</v>
      </c>
      <c r="H4872">
        <v>27.99</v>
      </c>
      <c r="I4872" s="7">
        <f>IF(Transactions!I4872="",0,Transactions!I4872)</f>
        <v>0.2</v>
      </c>
      <c r="J4872" s="9">
        <f t="shared" si="76"/>
        <v>89.567999999999998</v>
      </c>
      <c r="K4872" t="s">
        <v>16</v>
      </c>
      <c r="L4872" t="s">
        <v>37</v>
      </c>
      <c r="M4872" t="str">
        <f>REPLACE(Transactions!M4872,1,4,"")</f>
        <v>20</v>
      </c>
    </row>
    <row r="4873" spans="1:13" x14ac:dyDescent="0.2">
      <c r="A4873">
        <v>904595</v>
      </c>
      <c r="B4873" s="5">
        <v>45549</v>
      </c>
      <c r="C4873">
        <v>20000</v>
      </c>
      <c r="D4873" t="str">
        <f>PROPER(Transactions!D4873)</f>
        <v>Pharmacy</v>
      </c>
      <c r="E4873" t="s">
        <v>20</v>
      </c>
      <c r="F4873" t="s">
        <v>21</v>
      </c>
      <c r="G4873">
        <v>3</v>
      </c>
      <c r="H4873">
        <v>9.49</v>
      </c>
      <c r="I4873" s="7">
        <f>IF(Transactions!I4873="",0,Transactions!I4873)</f>
        <v>0.05</v>
      </c>
      <c r="J4873" s="9">
        <f t="shared" si="76"/>
        <v>27.046499999999998</v>
      </c>
      <c r="K4873" t="s">
        <v>22</v>
      </c>
      <c r="L4873" t="s">
        <v>37</v>
      </c>
      <c r="M4873" t="str">
        <f>REPLACE(Transactions!M4873,1,4,"")</f>
        <v>13</v>
      </c>
    </row>
    <row r="4874" spans="1:13" x14ac:dyDescent="0.2">
      <c r="A4874">
        <v>904612</v>
      </c>
      <c r="B4874" s="5">
        <v>45480</v>
      </c>
      <c r="C4874">
        <v>92353</v>
      </c>
      <c r="D4874" t="str">
        <f>PROPER(Transactions!D4874)</f>
        <v>Automotive</v>
      </c>
      <c r="E4874" t="s">
        <v>131</v>
      </c>
      <c r="F4874" t="s">
        <v>132</v>
      </c>
      <c r="G4874">
        <v>1</v>
      </c>
      <c r="H4874">
        <v>3.32</v>
      </c>
      <c r="I4874" s="7">
        <f>IF(Transactions!I4874="",0,Transactions!I4874)</f>
        <v>0.05</v>
      </c>
      <c r="J4874" s="9">
        <f t="shared" si="76"/>
        <v>3.1539999999999999</v>
      </c>
      <c r="K4874" t="s">
        <v>36</v>
      </c>
      <c r="L4874" t="s">
        <v>37</v>
      </c>
      <c r="M4874" t="str">
        <f>REPLACE(Transactions!M4874,1,4,"")</f>
        <v>7</v>
      </c>
    </row>
    <row r="4875" spans="1:13" x14ac:dyDescent="0.2">
      <c r="A4875">
        <v>904918</v>
      </c>
      <c r="B4875" s="5">
        <v>45405</v>
      </c>
      <c r="C4875">
        <v>71256</v>
      </c>
      <c r="D4875" t="str">
        <f>PROPER(Transactions!D4875)</f>
        <v>Automotive</v>
      </c>
      <c r="E4875" t="s">
        <v>64</v>
      </c>
      <c r="F4875" t="s">
        <v>65</v>
      </c>
      <c r="G4875">
        <v>5</v>
      </c>
      <c r="H4875">
        <v>3.49</v>
      </c>
      <c r="I4875" s="7">
        <f>IF(Transactions!I4875="",0,Transactions!I4875)</f>
        <v>0.3</v>
      </c>
      <c r="J4875" s="9">
        <f t="shared" si="76"/>
        <v>12.215000000000002</v>
      </c>
      <c r="K4875" t="s">
        <v>16</v>
      </c>
      <c r="L4875" t="s">
        <v>17</v>
      </c>
      <c r="M4875" t="str">
        <f>REPLACE(Transactions!M4875,1,4,"")</f>
        <v>17</v>
      </c>
    </row>
    <row r="4876" spans="1:13" x14ac:dyDescent="0.2">
      <c r="A4876">
        <v>904922</v>
      </c>
      <c r="B4876" s="5">
        <v>44719</v>
      </c>
      <c r="C4876">
        <v>97481</v>
      </c>
      <c r="D4876" t="str">
        <f>PROPER(Transactions!D4876)</f>
        <v>Electronics</v>
      </c>
      <c r="E4876" t="s">
        <v>55</v>
      </c>
      <c r="F4876" t="s">
        <v>56</v>
      </c>
      <c r="G4876">
        <v>3</v>
      </c>
      <c r="H4876">
        <v>280.49</v>
      </c>
      <c r="I4876" s="7">
        <f>IF(Transactions!I4876="",0,Transactions!I4876)</f>
        <v>0.15</v>
      </c>
      <c r="J4876" s="9">
        <f t="shared" si="76"/>
        <v>715.24950000000001</v>
      </c>
      <c r="K4876" t="s">
        <v>36</v>
      </c>
      <c r="L4876" t="s">
        <v>17</v>
      </c>
      <c r="M4876" t="str">
        <f>REPLACE(Transactions!M4876,1,4,"")</f>
        <v>8</v>
      </c>
    </row>
    <row r="4877" spans="1:13" x14ac:dyDescent="0.2">
      <c r="A4877">
        <v>905186</v>
      </c>
      <c r="B4877" s="5">
        <v>45244</v>
      </c>
      <c r="C4877">
        <v>82975</v>
      </c>
      <c r="D4877" t="str">
        <f>PROPER(Transactions!D4877)</f>
        <v>Toys</v>
      </c>
      <c r="E4877" t="s">
        <v>72</v>
      </c>
      <c r="F4877" t="s">
        <v>73</v>
      </c>
      <c r="G4877">
        <v>4</v>
      </c>
      <c r="H4877">
        <v>29.99</v>
      </c>
      <c r="I4877" s="7">
        <f>IF(Transactions!I4877="",0,Transactions!I4877)</f>
        <v>0.25</v>
      </c>
      <c r="J4877" s="9">
        <f t="shared" si="76"/>
        <v>89.97</v>
      </c>
      <c r="K4877" t="s">
        <v>16</v>
      </c>
      <c r="L4877" t="s">
        <v>23</v>
      </c>
      <c r="M4877" t="str">
        <f>REPLACE(Transactions!M4877,1,4,"")</f>
        <v>11</v>
      </c>
    </row>
    <row r="4878" spans="1:13" x14ac:dyDescent="0.2">
      <c r="A4878">
        <v>905336</v>
      </c>
      <c r="B4878" s="5">
        <v>44598</v>
      </c>
      <c r="C4878">
        <v>74295</v>
      </c>
      <c r="D4878" t="str">
        <f>PROPER(Transactions!D4878)</f>
        <v>Electronics</v>
      </c>
      <c r="E4878" t="s">
        <v>14</v>
      </c>
      <c r="F4878" t="s">
        <v>15</v>
      </c>
      <c r="G4878">
        <v>3</v>
      </c>
      <c r="H4878">
        <v>67.989999999999995</v>
      </c>
      <c r="I4878" s="7">
        <f>IF(Transactions!I4878="",0,Transactions!I4878)</f>
        <v>0.15</v>
      </c>
      <c r="J4878" s="9">
        <f t="shared" si="76"/>
        <v>173.37449999999998</v>
      </c>
      <c r="K4878" t="s">
        <v>36</v>
      </c>
      <c r="L4878" t="s">
        <v>37</v>
      </c>
      <c r="M4878" t="str">
        <f>REPLACE(Transactions!M4878,1,4,"")</f>
        <v>17</v>
      </c>
    </row>
    <row r="4879" spans="1:13" x14ac:dyDescent="0.2">
      <c r="A4879">
        <v>905419</v>
      </c>
      <c r="B4879" s="5">
        <v>45339</v>
      </c>
      <c r="C4879">
        <v>41378</v>
      </c>
      <c r="D4879" t="str">
        <f>PROPER(Transactions!D4879)</f>
        <v>Home &amp; Garden</v>
      </c>
      <c r="E4879" t="s">
        <v>153</v>
      </c>
      <c r="F4879" t="s">
        <v>154</v>
      </c>
      <c r="G4879">
        <v>1</v>
      </c>
      <c r="H4879">
        <v>28.49</v>
      </c>
      <c r="I4879" s="7">
        <f>IF(Transactions!I4879="",0,Transactions!I4879)</f>
        <v>0.05</v>
      </c>
      <c r="J4879" s="9">
        <f t="shared" si="76"/>
        <v>27.065499999999997</v>
      </c>
      <c r="K4879" t="s">
        <v>36</v>
      </c>
      <c r="L4879" t="s">
        <v>37</v>
      </c>
      <c r="M4879" t="str">
        <f>REPLACE(Transactions!M4879,1,4,"")</f>
        <v/>
      </c>
    </row>
    <row r="4880" spans="1:13" x14ac:dyDescent="0.2">
      <c r="A4880">
        <v>905573</v>
      </c>
      <c r="B4880" s="5">
        <v>44793</v>
      </c>
      <c r="C4880">
        <v>55460</v>
      </c>
      <c r="D4880" t="str">
        <f>PROPER(Transactions!D4880)</f>
        <v>Home &amp; Garden</v>
      </c>
      <c r="E4880" t="s">
        <v>149</v>
      </c>
      <c r="F4880" t="s">
        <v>150</v>
      </c>
      <c r="G4880">
        <v>1</v>
      </c>
      <c r="H4880">
        <v>17.989999999999998</v>
      </c>
      <c r="I4880" s="7">
        <f>IF(Transactions!I4880="",0,Transactions!I4880)</f>
        <v>0.1</v>
      </c>
      <c r="J4880" s="9">
        <f t="shared" si="76"/>
        <v>16.190999999999999</v>
      </c>
      <c r="K4880" t="s">
        <v>36</v>
      </c>
      <c r="L4880" t="s">
        <v>17</v>
      </c>
      <c r="M4880" t="str">
        <f>REPLACE(Transactions!M4880,1,4,"")</f>
        <v>7</v>
      </c>
    </row>
    <row r="4881" spans="1:13" x14ac:dyDescent="0.2">
      <c r="A4881">
        <v>905642</v>
      </c>
      <c r="B4881" s="5">
        <v>44905</v>
      </c>
      <c r="C4881">
        <v>88948</v>
      </c>
      <c r="D4881" t="str">
        <f>PROPER(Transactions!D4881)</f>
        <v>Pharmacy</v>
      </c>
      <c r="E4881" t="s">
        <v>197</v>
      </c>
      <c r="F4881" t="s">
        <v>198</v>
      </c>
      <c r="G4881">
        <v>3</v>
      </c>
      <c r="H4881">
        <v>14.99</v>
      </c>
      <c r="I4881" s="7">
        <f>IF(Transactions!I4881="",0,Transactions!I4881)</f>
        <v>0</v>
      </c>
      <c r="J4881" s="9">
        <f t="shared" si="76"/>
        <v>44.97</v>
      </c>
      <c r="K4881" t="s">
        <v>16</v>
      </c>
      <c r="L4881" t="s">
        <v>23</v>
      </c>
      <c r="M4881" t="str">
        <f>REPLACE(Transactions!M4881,1,4,"")</f>
        <v>11</v>
      </c>
    </row>
    <row r="4882" spans="1:13" x14ac:dyDescent="0.2">
      <c r="A4882">
        <v>905679</v>
      </c>
      <c r="B4882" s="5">
        <v>45354</v>
      </c>
      <c r="C4882">
        <v>22195</v>
      </c>
      <c r="D4882" t="str">
        <f>PROPER(Transactions!D4882)</f>
        <v>Clothing</v>
      </c>
      <c r="E4882" t="s">
        <v>181</v>
      </c>
      <c r="F4882" t="s">
        <v>182</v>
      </c>
      <c r="G4882">
        <v>1</v>
      </c>
      <c r="H4882">
        <v>13.49</v>
      </c>
      <c r="I4882" s="7">
        <f>IF(Transactions!I4882="",0,Transactions!I4882)</f>
        <v>0.1</v>
      </c>
      <c r="J4882" s="9">
        <f t="shared" si="76"/>
        <v>12.141</v>
      </c>
      <c r="K4882" t="s">
        <v>16</v>
      </c>
      <c r="L4882" t="s">
        <v>17</v>
      </c>
      <c r="M4882" t="str">
        <f>REPLACE(Transactions!M4882,1,4,"")</f>
        <v>10</v>
      </c>
    </row>
    <row r="4883" spans="1:13" x14ac:dyDescent="0.2">
      <c r="A4883">
        <v>905939</v>
      </c>
      <c r="B4883" s="5">
        <v>44762</v>
      </c>
      <c r="C4883">
        <v>28832</v>
      </c>
      <c r="D4883" t="str">
        <f>PROPER(Transactions!D4883)</f>
        <v>Clothing</v>
      </c>
      <c r="E4883" t="s">
        <v>151</v>
      </c>
      <c r="F4883" t="s">
        <v>152</v>
      </c>
      <c r="G4883">
        <v>2</v>
      </c>
      <c r="H4883">
        <v>27.99</v>
      </c>
      <c r="I4883" s="7">
        <f>IF(Transactions!I4883="",0,Transactions!I4883)</f>
        <v>0.2</v>
      </c>
      <c r="J4883" s="9">
        <f t="shared" si="76"/>
        <v>44.783999999999999</v>
      </c>
      <c r="K4883" t="s">
        <v>22</v>
      </c>
      <c r="L4883" t="s">
        <v>17</v>
      </c>
      <c r="M4883" t="str">
        <f>REPLACE(Transactions!M4883,1,4,"")</f>
        <v>1</v>
      </c>
    </row>
    <row r="4884" spans="1:13" x14ac:dyDescent="0.2">
      <c r="A4884">
        <v>906054</v>
      </c>
      <c r="B4884" s="5">
        <v>45287</v>
      </c>
      <c r="C4884">
        <v>41545</v>
      </c>
      <c r="D4884" t="str">
        <f>PROPER(Transactions!D4884)</f>
        <v>Automotive</v>
      </c>
      <c r="E4884" t="s">
        <v>64</v>
      </c>
      <c r="F4884" t="s">
        <v>65</v>
      </c>
      <c r="G4884">
        <v>4</v>
      </c>
      <c r="H4884">
        <v>3.74</v>
      </c>
      <c r="I4884" s="7">
        <f>IF(Transactions!I4884="",0,Transactions!I4884)</f>
        <v>0.25</v>
      </c>
      <c r="J4884" s="9">
        <f t="shared" si="76"/>
        <v>11.22</v>
      </c>
      <c r="K4884" t="s">
        <v>16</v>
      </c>
      <c r="L4884" t="s">
        <v>17</v>
      </c>
      <c r="M4884" t="str">
        <f>REPLACE(Transactions!M4884,1,4,"")</f>
        <v>11</v>
      </c>
    </row>
    <row r="4885" spans="1:13" x14ac:dyDescent="0.2">
      <c r="A4885">
        <v>906113</v>
      </c>
      <c r="B4885" s="5">
        <v>45028</v>
      </c>
      <c r="C4885">
        <v>53065</v>
      </c>
      <c r="D4885" t="str">
        <f>PROPER(Transactions!D4885)</f>
        <v>Home &amp; Garden</v>
      </c>
      <c r="E4885" t="s">
        <v>157</v>
      </c>
      <c r="F4885" t="s">
        <v>158</v>
      </c>
      <c r="G4885">
        <v>2</v>
      </c>
      <c r="H4885">
        <v>12.14</v>
      </c>
      <c r="I4885" s="7">
        <f>IF(Transactions!I4885="",0,Transactions!I4885)</f>
        <v>0.1</v>
      </c>
      <c r="J4885" s="9">
        <f t="shared" si="76"/>
        <v>21.852</v>
      </c>
      <c r="K4885" t="s">
        <v>95</v>
      </c>
      <c r="L4885" t="s">
        <v>17</v>
      </c>
      <c r="M4885" t="str">
        <f>REPLACE(Transactions!M4885,1,4,"")</f>
        <v>9</v>
      </c>
    </row>
    <row r="4886" spans="1:13" x14ac:dyDescent="0.2">
      <c r="A4886">
        <v>906272</v>
      </c>
      <c r="B4886" s="5">
        <v>45491</v>
      </c>
      <c r="C4886">
        <v>79260</v>
      </c>
      <c r="D4886" t="str">
        <f>PROPER(Transactions!D4886)</f>
        <v>Beauty</v>
      </c>
      <c r="E4886" t="s">
        <v>139</v>
      </c>
      <c r="F4886" t="s">
        <v>140</v>
      </c>
      <c r="G4886">
        <v>4</v>
      </c>
      <c r="H4886">
        <v>5.59</v>
      </c>
      <c r="I4886" s="7">
        <f>IF(Transactions!I4886="",0,Transactions!I4886)</f>
        <v>0.3</v>
      </c>
      <c r="J4886" s="9">
        <f t="shared" si="76"/>
        <v>15.651999999999999</v>
      </c>
      <c r="K4886" t="s">
        <v>16</v>
      </c>
      <c r="L4886" t="s">
        <v>23</v>
      </c>
      <c r="M4886" t="str">
        <f>REPLACE(Transactions!M4886,1,4,"")</f>
        <v>20</v>
      </c>
    </row>
    <row r="4887" spans="1:13" x14ac:dyDescent="0.2">
      <c r="A4887">
        <v>906301</v>
      </c>
      <c r="B4887" s="5">
        <v>44844</v>
      </c>
      <c r="C4887">
        <v>45533</v>
      </c>
      <c r="D4887" t="str">
        <f>PROPER(Transactions!D4887)</f>
        <v>Grocery</v>
      </c>
      <c r="E4887" t="s">
        <v>195</v>
      </c>
      <c r="F4887" t="s">
        <v>196</v>
      </c>
      <c r="G4887">
        <v>2</v>
      </c>
      <c r="H4887">
        <v>4.49</v>
      </c>
      <c r="I4887" s="7">
        <f>IF(Transactions!I4887="",0,Transactions!I4887)</f>
        <v>0.1</v>
      </c>
      <c r="J4887" s="9">
        <f t="shared" si="76"/>
        <v>8.0820000000000007</v>
      </c>
      <c r="K4887" t="s">
        <v>16</v>
      </c>
      <c r="L4887" t="s">
        <v>37</v>
      </c>
      <c r="M4887" t="str">
        <f>REPLACE(Transactions!M4887,1,4,"")</f>
        <v>4</v>
      </c>
    </row>
    <row r="4888" spans="1:13" x14ac:dyDescent="0.2">
      <c r="A4888">
        <v>906326</v>
      </c>
      <c r="B4888" s="5">
        <v>44613</v>
      </c>
      <c r="C4888">
        <v>60144</v>
      </c>
      <c r="D4888" t="str">
        <f>PROPER(Transactions!D4888)</f>
        <v>Grocery</v>
      </c>
      <c r="E4888" t="s">
        <v>45</v>
      </c>
      <c r="F4888" t="s">
        <v>46</v>
      </c>
      <c r="G4888">
        <v>3</v>
      </c>
      <c r="H4888">
        <v>1.52</v>
      </c>
      <c r="I4888" s="7">
        <f>IF(Transactions!I4888="",0,Transactions!I4888)</f>
        <v>0</v>
      </c>
      <c r="J4888" s="9">
        <f t="shared" si="76"/>
        <v>4.5600000000000005</v>
      </c>
      <c r="K4888" t="s">
        <v>95</v>
      </c>
      <c r="L4888" t="s">
        <v>37</v>
      </c>
      <c r="M4888" t="str">
        <f>REPLACE(Transactions!M4888,1,4,"")</f>
        <v>12</v>
      </c>
    </row>
    <row r="4889" spans="1:13" x14ac:dyDescent="0.2">
      <c r="A4889">
        <v>906494</v>
      </c>
      <c r="B4889" s="5">
        <v>45477</v>
      </c>
      <c r="C4889">
        <v>68798</v>
      </c>
      <c r="D4889" t="str">
        <f>PROPER(Transactions!D4889)</f>
        <v>Toys</v>
      </c>
      <c r="E4889" t="s">
        <v>38</v>
      </c>
      <c r="F4889" t="s">
        <v>39</v>
      </c>
      <c r="G4889">
        <v>1</v>
      </c>
      <c r="H4889">
        <v>28.49</v>
      </c>
      <c r="I4889" s="7">
        <f>IF(Transactions!I4889="",0,Transactions!I4889)</f>
        <v>0.05</v>
      </c>
      <c r="J4889" s="9">
        <f t="shared" si="76"/>
        <v>27.065499999999997</v>
      </c>
      <c r="K4889" t="s">
        <v>53</v>
      </c>
      <c r="L4889" t="s">
        <v>17</v>
      </c>
      <c r="M4889" t="str">
        <f>REPLACE(Transactions!M4889,1,4,"")</f>
        <v>7</v>
      </c>
    </row>
    <row r="4890" spans="1:13" x14ac:dyDescent="0.2">
      <c r="A4890">
        <v>906502</v>
      </c>
      <c r="B4890" s="5">
        <v>44766</v>
      </c>
      <c r="C4890">
        <v>81855</v>
      </c>
      <c r="D4890" t="str">
        <f>PROPER(Transactions!D4890)</f>
        <v>Toys</v>
      </c>
      <c r="E4890" t="s">
        <v>170</v>
      </c>
      <c r="F4890" t="s">
        <v>171</v>
      </c>
      <c r="G4890">
        <v>2</v>
      </c>
      <c r="H4890">
        <v>13.49</v>
      </c>
      <c r="I4890" s="7">
        <f>IF(Transactions!I4890="",0,Transactions!I4890)</f>
        <v>0.1</v>
      </c>
      <c r="J4890" s="9">
        <f t="shared" si="76"/>
        <v>24.282</v>
      </c>
      <c r="K4890" t="s">
        <v>16</v>
      </c>
      <c r="L4890" t="s">
        <v>37</v>
      </c>
      <c r="M4890" t="str">
        <f>REPLACE(Transactions!M4890,1,4,"")</f>
        <v>10</v>
      </c>
    </row>
    <row r="4891" spans="1:13" x14ac:dyDescent="0.2">
      <c r="A4891">
        <v>906687</v>
      </c>
      <c r="B4891" s="5">
        <v>45168</v>
      </c>
      <c r="C4891">
        <v>20462</v>
      </c>
      <c r="D4891" t="str">
        <f>PROPER(Transactions!D4891)</f>
        <v>Home &amp; Garden</v>
      </c>
      <c r="E4891" t="s">
        <v>137</v>
      </c>
      <c r="F4891" t="s">
        <v>138</v>
      </c>
      <c r="G4891">
        <v>5</v>
      </c>
      <c r="H4891">
        <v>6.39</v>
      </c>
      <c r="I4891" s="7">
        <f>IF(Transactions!I4891="",0,Transactions!I4891)</f>
        <v>0.2</v>
      </c>
      <c r="J4891" s="9">
        <f t="shared" si="76"/>
        <v>25.560000000000002</v>
      </c>
      <c r="K4891" t="s">
        <v>22</v>
      </c>
      <c r="L4891" t="s">
        <v>37</v>
      </c>
      <c r="M4891" t="str">
        <f>REPLACE(Transactions!M4891,1,4,"")</f>
        <v>6</v>
      </c>
    </row>
    <row r="4892" spans="1:13" x14ac:dyDescent="0.2">
      <c r="A4892">
        <v>907033</v>
      </c>
      <c r="B4892" s="5">
        <v>45328</v>
      </c>
      <c r="C4892">
        <v>98356</v>
      </c>
      <c r="D4892" t="str">
        <f>PROPER(Transactions!D4892)</f>
        <v>Grocery</v>
      </c>
      <c r="E4892" t="s">
        <v>190</v>
      </c>
      <c r="F4892" t="s">
        <v>191</v>
      </c>
      <c r="G4892">
        <v>2</v>
      </c>
      <c r="H4892">
        <v>4.29</v>
      </c>
      <c r="I4892" s="7">
        <f>IF(Transactions!I4892="",0,Transactions!I4892)</f>
        <v>0</v>
      </c>
      <c r="J4892" s="9">
        <f t="shared" si="76"/>
        <v>8.58</v>
      </c>
      <c r="K4892" t="s">
        <v>95</v>
      </c>
      <c r="L4892" t="s">
        <v>37</v>
      </c>
      <c r="M4892" t="str">
        <f>REPLACE(Transactions!M4892,1,4,"")</f>
        <v>14</v>
      </c>
    </row>
    <row r="4893" spans="1:13" x14ac:dyDescent="0.2">
      <c r="A4893">
        <v>907455</v>
      </c>
      <c r="B4893" s="5">
        <v>45634</v>
      </c>
      <c r="C4893">
        <v>51614</v>
      </c>
      <c r="D4893" t="str">
        <f>PROPER(Transactions!D4893)</f>
        <v>Toys</v>
      </c>
      <c r="E4893" t="s">
        <v>72</v>
      </c>
      <c r="F4893" t="s">
        <v>73</v>
      </c>
      <c r="G4893">
        <v>2</v>
      </c>
      <c r="H4893">
        <v>39.99</v>
      </c>
      <c r="I4893" s="7">
        <f>IF(Transactions!I4893="",0,Transactions!I4893)</f>
        <v>0</v>
      </c>
      <c r="J4893" s="9">
        <f t="shared" si="76"/>
        <v>79.98</v>
      </c>
      <c r="K4893" t="s">
        <v>95</v>
      </c>
      <c r="L4893" t="s">
        <v>23</v>
      </c>
      <c r="M4893" t="str">
        <f>REPLACE(Transactions!M4893,1,4,"")</f>
        <v>7</v>
      </c>
    </row>
    <row r="4894" spans="1:13" x14ac:dyDescent="0.2">
      <c r="A4894">
        <v>907690</v>
      </c>
      <c r="B4894" s="5">
        <v>45103</v>
      </c>
      <c r="C4894">
        <v>35761</v>
      </c>
      <c r="D4894" t="str">
        <f>PROPER(Transactions!D4894)</f>
        <v>Beauty</v>
      </c>
      <c r="E4894" t="s">
        <v>179</v>
      </c>
      <c r="F4894" t="s">
        <v>180</v>
      </c>
      <c r="G4894">
        <v>1</v>
      </c>
      <c r="H4894">
        <v>8.39</v>
      </c>
      <c r="I4894" s="7">
        <f>IF(Transactions!I4894="",0,Transactions!I4894)</f>
        <v>0.3</v>
      </c>
      <c r="J4894" s="9">
        <f t="shared" si="76"/>
        <v>5.8730000000000002</v>
      </c>
      <c r="K4894" t="s">
        <v>66</v>
      </c>
      <c r="L4894" t="s">
        <v>37</v>
      </c>
      <c r="M4894" t="str">
        <f>REPLACE(Transactions!M4894,1,4,"")</f>
        <v>3</v>
      </c>
    </row>
    <row r="4895" spans="1:13" x14ac:dyDescent="0.2">
      <c r="A4895">
        <v>907748</v>
      </c>
      <c r="B4895" s="5">
        <v>45604</v>
      </c>
      <c r="C4895">
        <v>40331</v>
      </c>
      <c r="D4895" t="str">
        <f>PROPER(Transactions!D4895)</f>
        <v>Sports</v>
      </c>
      <c r="E4895" t="s">
        <v>83</v>
      </c>
      <c r="F4895" t="s">
        <v>84</v>
      </c>
      <c r="G4895">
        <v>2</v>
      </c>
      <c r="H4895">
        <v>15.29</v>
      </c>
      <c r="I4895" s="7">
        <f>IF(Transactions!I4895="",0,Transactions!I4895)</f>
        <v>0.1</v>
      </c>
      <c r="J4895" s="9">
        <f t="shared" si="76"/>
        <v>27.521999999999998</v>
      </c>
      <c r="K4895" t="s">
        <v>36</v>
      </c>
      <c r="L4895" t="s">
        <v>17</v>
      </c>
      <c r="M4895" t="str">
        <f>REPLACE(Transactions!M4895,1,4,"")</f>
        <v>11</v>
      </c>
    </row>
    <row r="4896" spans="1:13" x14ac:dyDescent="0.2">
      <c r="A4896">
        <v>907869</v>
      </c>
      <c r="B4896" s="5">
        <v>45585</v>
      </c>
      <c r="C4896">
        <v>54926</v>
      </c>
      <c r="D4896" t="str">
        <f>PROPER(Transactions!D4896)</f>
        <v>Automotive</v>
      </c>
      <c r="E4896" t="s">
        <v>64</v>
      </c>
      <c r="F4896" t="s">
        <v>65</v>
      </c>
      <c r="G4896">
        <v>4</v>
      </c>
      <c r="H4896">
        <v>4.49</v>
      </c>
      <c r="I4896" s="7">
        <f>IF(Transactions!I4896="",0,Transactions!I4896)</f>
        <v>0.1</v>
      </c>
      <c r="J4896" s="9">
        <f t="shared" si="76"/>
        <v>16.164000000000001</v>
      </c>
      <c r="K4896" t="s">
        <v>22</v>
      </c>
      <c r="L4896" t="s">
        <v>23</v>
      </c>
      <c r="M4896" t="str">
        <f>REPLACE(Transactions!M4896,1,4,"")</f>
        <v>18</v>
      </c>
    </row>
    <row r="4897" spans="1:13" x14ac:dyDescent="0.2">
      <c r="A4897">
        <v>907988</v>
      </c>
      <c r="B4897" s="5">
        <v>44835</v>
      </c>
      <c r="C4897">
        <v>33064</v>
      </c>
      <c r="D4897" t="str">
        <f>PROPER(Transactions!D4897)</f>
        <v>Toys</v>
      </c>
      <c r="E4897" t="s">
        <v>88</v>
      </c>
      <c r="F4897" t="s">
        <v>89</v>
      </c>
      <c r="G4897">
        <v>2</v>
      </c>
      <c r="H4897">
        <v>47.49</v>
      </c>
      <c r="I4897" s="7">
        <f>IF(Transactions!I4897="",0,Transactions!I4897)</f>
        <v>0.05</v>
      </c>
      <c r="J4897" s="9">
        <f t="shared" si="76"/>
        <v>90.230999999999995</v>
      </c>
      <c r="K4897" t="s">
        <v>16</v>
      </c>
      <c r="L4897" t="s">
        <v>17</v>
      </c>
      <c r="M4897" t="str">
        <f>REPLACE(Transactions!M4897,1,4,"")</f>
        <v>17</v>
      </c>
    </row>
    <row r="4898" spans="1:13" x14ac:dyDescent="0.2">
      <c r="A4898">
        <v>908244</v>
      </c>
      <c r="B4898" s="5">
        <v>44753</v>
      </c>
      <c r="C4898">
        <v>60315</v>
      </c>
      <c r="D4898" t="str">
        <f>PROPER(Transactions!D4898)</f>
        <v>Electronics</v>
      </c>
      <c r="E4898" t="s">
        <v>55</v>
      </c>
      <c r="F4898" t="s">
        <v>56</v>
      </c>
      <c r="G4898">
        <v>1</v>
      </c>
      <c r="H4898">
        <v>329.99</v>
      </c>
      <c r="I4898" s="7">
        <f>IF(Transactions!I4898="",0,Transactions!I4898)</f>
        <v>0</v>
      </c>
      <c r="J4898" s="9">
        <f t="shared" si="76"/>
        <v>329.99</v>
      </c>
      <c r="K4898" t="s">
        <v>22</v>
      </c>
      <c r="L4898" t="s">
        <v>37</v>
      </c>
      <c r="M4898" t="str">
        <f>REPLACE(Transactions!M4898,1,4,"")</f>
        <v>17</v>
      </c>
    </row>
    <row r="4899" spans="1:13" x14ac:dyDescent="0.2">
      <c r="A4899">
        <v>908251</v>
      </c>
      <c r="B4899" s="5">
        <v>45100</v>
      </c>
      <c r="C4899">
        <v>55683</v>
      </c>
      <c r="D4899" t="str">
        <f>PROPER(Transactions!D4899)</f>
        <v>Electronics</v>
      </c>
      <c r="E4899" t="s">
        <v>104</v>
      </c>
      <c r="F4899" t="s">
        <v>105</v>
      </c>
      <c r="G4899">
        <v>1</v>
      </c>
      <c r="H4899">
        <v>29.99</v>
      </c>
      <c r="I4899" s="7">
        <f>IF(Transactions!I4899="",0,Transactions!I4899)</f>
        <v>0</v>
      </c>
      <c r="J4899" s="9">
        <f t="shared" si="76"/>
        <v>29.99</v>
      </c>
      <c r="K4899" t="s">
        <v>22</v>
      </c>
      <c r="L4899" t="s">
        <v>17</v>
      </c>
      <c r="M4899" t="str">
        <f>REPLACE(Transactions!M4899,1,4,"")</f>
        <v>16</v>
      </c>
    </row>
    <row r="4900" spans="1:13" x14ac:dyDescent="0.2">
      <c r="A4900">
        <v>908274</v>
      </c>
      <c r="B4900" s="5">
        <v>44565</v>
      </c>
      <c r="C4900">
        <v>90134</v>
      </c>
      <c r="D4900" t="str">
        <f>PROPER(Transactions!D4900)</f>
        <v>Toys</v>
      </c>
      <c r="E4900" t="s">
        <v>170</v>
      </c>
      <c r="F4900" t="s">
        <v>171</v>
      </c>
      <c r="G4900">
        <v>4</v>
      </c>
      <c r="H4900">
        <v>11.99</v>
      </c>
      <c r="I4900" s="7">
        <f>IF(Transactions!I4900="",0,Transactions!I4900)</f>
        <v>0.2</v>
      </c>
      <c r="J4900" s="9">
        <f t="shared" si="76"/>
        <v>38.368000000000002</v>
      </c>
      <c r="K4900" t="s">
        <v>36</v>
      </c>
      <c r="L4900" t="s">
        <v>17</v>
      </c>
      <c r="M4900" t="str">
        <f>REPLACE(Transactions!M4900,1,4,"")</f>
        <v>3</v>
      </c>
    </row>
    <row r="4901" spans="1:13" x14ac:dyDescent="0.2">
      <c r="A4901">
        <v>908414</v>
      </c>
      <c r="B4901" s="5">
        <v>44936</v>
      </c>
      <c r="C4901">
        <v>44983</v>
      </c>
      <c r="D4901" t="str">
        <f>PROPER(Transactions!D4901)</f>
        <v>Pharmacy</v>
      </c>
      <c r="E4901" t="s">
        <v>197</v>
      </c>
      <c r="F4901" t="s">
        <v>198</v>
      </c>
      <c r="G4901">
        <v>5</v>
      </c>
      <c r="H4901">
        <v>14.99</v>
      </c>
      <c r="I4901" s="7">
        <f>IF(Transactions!I4901="",0,Transactions!I4901)</f>
        <v>0</v>
      </c>
      <c r="J4901" s="9">
        <f t="shared" si="76"/>
        <v>74.95</v>
      </c>
      <c r="K4901" t="s">
        <v>16</v>
      </c>
      <c r="L4901" t="s">
        <v>17</v>
      </c>
      <c r="M4901" t="str">
        <f>REPLACE(Transactions!M4901,1,4,"")</f>
        <v>1</v>
      </c>
    </row>
    <row r="4902" spans="1:13" x14ac:dyDescent="0.2">
      <c r="A4902">
        <v>908422</v>
      </c>
      <c r="B4902" s="5">
        <v>45434</v>
      </c>
      <c r="C4902">
        <v>23848</v>
      </c>
      <c r="D4902" t="str">
        <f>PROPER(Transactions!D4902)</f>
        <v>Beauty</v>
      </c>
      <c r="E4902" t="s">
        <v>143</v>
      </c>
      <c r="F4902" t="s">
        <v>144</v>
      </c>
      <c r="G4902">
        <v>1</v>
      </c>
      <c r="H4902">
        <v>11.99</v>
      </c>
      <c r="I4902" s="7">
        <f>IF(Transactions!I4902="",0,Transactions!I4902)</f>
        <v>0.2</v>
      </c>
      <c r="J4902" s="9">
        <f t="shared" si="76"/>
        <v>9.5920000000000005</v>
      </c>
      <c r="K4902" t="s">
        <v>95</v>
      </c>
      <c r="L4902" t="s">
        <v>17</v>
      </c>
      <c r="M4902" t="str">
        <f>REPLACE(Transactions!M4902,1,4,"")</f>
        <v>16</v>
      </c>
    </row>
    <row r="4903" spans="1:13" x14ac:dyDescent="0.2">
      <c r="A4903">
        <v>908791</v>
      </c>
      <c r="B4903" s="5">
        <v>45561</v>
      </c>
      <c r="C4903">
        <v>82990</v>
      </c>
      <c r="D4903" t="str">
        <f>PROPER(Transactions!D4903)</f>
        <v>Home &amp; Garden</v>
      </c>
      <c r="E4903" t="s">
        <v>145</v>
      </c>
      <c r="F4903" t="s">
        <v>146</v>
      </c>
      <c r="G4903">
        <v>2</v>
      </c>
      <c r="H4903">
        <v>11.89</v>
      </c>
      <c r="I4903" s="7">
        <f>IF(Transactions!I4903="",0,Transactions!I4903)</f>
        <v>0.3</v>
      </c>
      <c r="J4903" s="9">
        <f t="shared" si="76"/>
        <v>16.646000000000001</v>
      </c>
      <c r="K4903" t="s">
        <v>16</v>
      </c>
      <c r="L4903" t="s">
        <v>17</v>
      </c>
      <c r="M4903" t="str">
        <f>REPLACE(Transactions!M4903,1,4,"")</f>
        <v>18</v>
      </c>
    </row>
    <row r="4904" spans="1:13" x14ac:dyDescent="0.2">
      <c r="A4904">
        <v>908856</v>
      </c>
      <c r="B4904" s="5">
        <v>44964</v>
      </c>
      <c r="C4904">
        <v>82975</v>
      </c>
      <c r="D4904" t="str">
        <f>PROPER(Transactions!D4904)</f>
        <v>Sports</v>
      </c>
      <c r="E4904" t="s">
        <v>83</v>
      </c>
      <c r="F4904" t="s">
        <v>84</v>
      </c>
      <c r="G4904">
        <v>2</v>
      </c>
      <c r="H4904">
        <v>11.89</v>
      </c>
      <c r="I4904" s="7">
        <f>IF(Transactions!I4904="",0,Transactions!I4904)</f>
        <v>0.3</v>
      </c>
      <c r="J4904" s="9">
        <f t="shared" si="76"/>
        <v>16.646000000000001</v>
      </c>
      <c r="K4904" t="s">
        <v>32</v>
      </c>
      <c r="L4904" t="s">
        <v>23</v>
      </c>
      <c r="M4904" t="str">
        <f>REPLACE(Transactions!M4904,1,4,"")</f>
        <v>11</v>
      </c>
    </row>
    <row r="4905" spans="1:13" x14ac:dyDescent="0.2">
      <c r="A4905">
        <v>909605</v>
      </c>
      <c r="B4905" s="5">
        <v>44845</v>
      </c>
      <c r="C4905">
        <v>12751</v>
      </c>
      <c r="D4905" t="str">
        <f>PROPER(Transactions!D4905)</f>
        <v>Beauty</v>
      </c>
      <c r="E4905" t="s">
        <v>109</v>
      </c>
      <c r="F4905" t="s">
        <v>110</v>
      </c>
      <c r="G4905">
        <v>5</v>
      </c>
      <c r="H4905">
        <v>6.99</v>
      </c>
      <c r="I4905" s="7">
        <f>IF(Transactions!I4905="",0,Transactions!I4905)</f>
        <v>0</v>
      </c>
      <c r="J4905" s="9">
        <f t="shared" si="76"/>
        <v>34.950000000000003</v>
      </c>
      <c r="K4905" t="s">
        <v>53</v>
      </c>
      <c r="L4905" t="s">
        <v>17</v>
      </c>
      <c r="M4905" t="str">
        <f>REPLACE(Transactions!M4905,1,4,"")</f>
        <v>20</v>
      </c>
    </row>
    <row r="4906" spans="1:13" x14ac:dyDescent="0.2">
      <c r="A4906">
        <v>909642</v>
      </c>
      <c r="B4906" s="5">
        <v>45229</v>
      </c>
      <c r="C4906">
        <v>74174</v>
      </c>
      <c r="D4906" t="str">
        <f>PROPER(Transactions!D4906)</f>
        <v>Toys</v>
      </c>
      <c r="E4906" t="s">
        <v>30</v>
      </c>
      <c r="F4906" t="s">
        <v>31</v>
      </c>
      <c r="G4906">
        <v>1</v>
      </c>
      <c r="H4906">
        <v>21.24</v>
      </c>
      <c r="I4906" s="7">
        <f>IF(Transactions!I4906="",0,Transactions!I4906)</f>
        <v>0.15</v>
      </c>
      <c r="J4906" s="9">
        <f t="shared" si="76"/>
        <v>18.053999999999998</v>
      </c>
      <c r="K4906" t="s">
        <v>16</v>
      </c>
      <c r="L4906" t="s">
        <v>17</v>
      </c>
      <c r="M4906" t="str">
        <f>REPLACE(Transactions!M4906,1,4,"")</f>
        <v>9</v>
      </c>
    </row>
    <row r="4907" spans="1:13" x14ac:dyDescent="0.2">
      <c r="A4907">
        <v>909652</v>
      </c>
      <c r="B4907" s="5">
        <v>44866</v>
      </c>
      <c r="C4907">
        <v>75683</v>
      </c>
      <c r="D4907" t="str">
        <f>PROPER(Transactions!D4907)</f>
        <v>Automotive</v>
      </c>
      <c r="E4907" t="s">
        <v>125</v>
      </c>
      <c r="F4907" t="s">
        <v>126</v>
      </c>
      <c r="G4907">
        <v>2</v>
      </c>
      <c r="H4907">
        <v>25.49</v>
      </c>
      <c r="I4907" s="7">
        <f>IF(Transactions!I4907="",0,Transactions!I4907)</f>
        <v>0.15</v>
      </c>
      <c r="J4907" s="9">
        <f t="shared" si="76"/>
        <v>43.332999999999998</v>
      </c>
      <c r="K4907" t="s">
        <v>16</v>
      </c>
      <c r="L4907" t="s">
        <v>37</v>
      </c>
      <c r="M4907" t="str">
        <f>REPLACE(Transactions!M4907,1,4,"")</f>
        <v>16</v>
      </c>
    </row>
    <row r="4908" spans="1:13" x14ac:dyDescent="0.2">
      <c r="A4908">
        <v>909789</v>
      </c>
      <c r="B4908" s="5">
        <v>44627</v>
      </c>
      <c r="C4908">
        <v>36900</v>
      </c>
      <c r="D4908" t="str">
        <f>PROPER(Transactions!D4908)</f>
        <v>Sports</v>
      </c>
      <c r="E4908" t="s">
        <v>168</v>
      </c>
      <c r="F4908" t="s">
        <v>169</v>
      </c>
      <c r="G4908">
        <v>1</v>
      </c>
      <c r="H4908">
        <v>8.09</v>
      </c>
      <c r="I4908" s="7">
        <f>IF(Transactions!I4908="",0,Transactions!I4908)</f>
        <v>0.1</v>
      </c>
      <c r="J4908" s="9">
        <f t="shared" si="76"/>
        <v>7.2809999999999997</v>
      </c>
      <c r="K4908" t="s">
        <v>53</v>
      </c>
      <c r="L4908" t="s">
        <v>37</v>
      </c>
      <c r="M4908" t="str">
        <f>REPLACE(Transactions!M4908,1,4,"")</f>
        <v>17</v>
      </c>
    </row>
    <row r="4909" spans="1:13" x14ac:dyDescent="0.2">
      <c r="A4909">
        <v>909932</v>
      </c>
      <c r="B4909" s="5">
        <v>45179</v>
      </c>
      <c r="C4909">
        <v>59526</v>
      </c>
      <c r="D4909" t="str">
        <f>PROPER(Transactions!D4909)</f>
        <v>Electronics</v>
      </c>
      <c r="E4909" t="s">
        <v>127</v>
      </c>
      <c r="F4909" t="s">
        <v>128</v>
      </c>
      <c r="G4909">
        <v>1</v>
      </c>
      <c r="H4909">
        <v>19.989999999999998</v>
      </c>
      <c r="I4909" s="7">
        <f>IF(Transactions!I4909="",0,Transactions!I4909)</f>
        <v>0</v>
      </c>
      <c r="J4909" s="9">
        <f t="shared" si="76"/>
        <v>19.989999999999998</v>
      </c>
      <c r="K4909" t="s">
        <v>22</v>
      </c>
      <c r="L4909" t="s">
        <v>17</v>
      </c>
      <c r="M4909" t="str">
        <f>REPLACE(Transactions!M4909,1,4,"")</f>
        <v>7</v>
      </c>
    </row>
    <row r="4910" spans="1:13" x14ac:dyDescent="0.2">
      <c r="A4910">
        <v>909947</v>
      </c>
      <c r="B4910" s="5">
        <v>45064</v>
      </c>
      <c r="C4910">
        <v>52972</v>
      </c>
      <c r="D4910" t="str">
        <f>PROPER(Transactions!D4910)</f>
        <v>Toys</v>
      </c>
      <c r="E4910" t="s">
        <v>30</v>
      </c>
      <c r="F4910" t="s">
        <v>31</v>
      </c>
      <c r="G4910">
        <v>2</v>
      </c>
      <c r="H4910">
        <v>21.24</v>
      </c>
      <c r="I4910" s="7">
        <f>IF(Transactions!I4910="",0,Transactions!I4910)</f>
        <v>0.15</v>
      </c>
      <c r="J4910" s="9">
        <f t="shared" si="76"/>
        <v>36.107999999999997</v>
      </c>
      <c r="K4910" t="s">
        <v>16</v>
      </c>
      <c r="L4910" t="s">
        <v>17</v>
      </c>
      <c r="M4910" t="str">
        <f>REPLACE(Transactions!M4910,1,4,"")</f>
        <v>10</v>
      </c>
    </row>
    <row r="4911" spans="1:13" x14ac:dyDescent="0.2">
      <c r="A4911">
        <v>910099</v>
      </c>
      <c r="B4911" s="5">
        <v>44642</v>
      </c>
      <c r="C4911">
        <v>81022</v>
      </c>
      <c r="D4911" t="str">
        <f>PROPER(Transactions!D4911)</f>
        <v>Beauty</v>
      </c>
      <c r="E4911" t="s">
        <v>118</v>
      </c>
      <c r="F4911" t="s">
        <v>119</v>
      </c>
      <c r="G4911">
        <v>2</v>
      </c>
      <c r="H4911">
        <v>3.49</v>
      </c>
      <c r="I4911" s="7">
        <f>IF(Transactions!I4911="",0,Transactions!I4911)</f>
        <v>0.3</v>
      </c>
      <c r="J4911" s="9">
        <f t="shared" si="76"/>
        <v>4.8860000000000001</v>
      </c>
      <c r="K4911" t="s">
        <v>36</v>
      </c>
      <c r="L4911" t="s">
        <v>17</v>
      </c>
      <c r="M4911" t="str">
        <f>REPLACE(Transactions!M4911,1,4,"")</f>
        <v>10</v>
      </c>
    </row>
    <row r="4912" spans="1:13" x14ac:dyDescent="0.2">
      <c r="A4912">
        <v>910247</v>
      </c>
      <c r="B4912" s="5">
        <v>45253</v>
      </c>
      <c r="C4912">
        <v>31759</v>
      </c>
      <c r="D4912" t="str">
        <f>PROPER(Transactions!D4912)</f>
        <v>Beauty</v>
      </c>
      <c r="E4912" t="s">
        <v>143</v>
      </c>
      <c r="F4912" t="s">
        <v>144</v>
      </c>
      <c r="G4912">
        <v>3</v>
      </c>
      <c r="H4912">
        <v>14.24</v>
      </c>
      <c r="I4912" s="7">
        <f>IF(Transactions!I4912="",0,Transactions!I4912)</f>
        <v>0.05</v>
      </c>
      <c r="J4912" s="9">
        <f t="shared" si="76"/>
        <v>40.583999999999996</v>
      </c>
      <c r="K4912" t="s">
        <v>53</v>
      </c>
      <c r="L4912" t="s">
        <v>17</v>
      </c>
      <c r="M4912" t="str">
        <f>REPLACE(Transactions!M4912,1,4,"")</f>
        <v>5</v>
      </c>
    </row>
    <row r="4913" spans="1:13" x14ac:dyDescent="0.2">
      <c r="A4913">
        <v>910331</v>
      </c>
      <c r="B4913" s="5">
        <v>45277</v>
      </c>
      <c r="C4913">
        <v>45670</v>
      </c>
      <c r="D4913" t="str">
        <f>PROPER(Transactions!D4913)</f>
        <v>Automotive</v>
      </c>
      <c r="E4913" t="s">
        <v>131</v>
      </c>
      <c r="F4913" t="s">
        <v>132</v>
      </c>
      <c r="G4913">
        <v>4</v>
      </c>
      <c r="H4913">
        <v>3.49</v>
      </c>
      <c r="I4913" s="7">
        <f>IF(Transactions!I4913="",0,Transactions!I4913)</f>
        <v>0</v>
      </c>
      <c r="J4913" s="9">
        <f t="shared" si="76"/>
        <v>13.96</v>
      </c>
      <c r="K4913" t="s">
        <v>16</v>
      </c>
      <c r="L4913" t="s">
        <v>17</v>
      </c>
      <c r="M4913" t="str">
        <f>REPLACE(Transactions!M4913,1,4,"")</f>
        <v>18</v>
      </c>
    </row>
    <row r="4914" spans="1:13" x14ac:dyDescent="0.2">
      <c r="A4914">
        <v>910344</v>
      </c>
      <c r="B4914" s="5">
        <v>45559</v>
      </c>
      <c r="C4914">
        <v>72336</v>
      </c>
      <c r="D4914" t="str">
        <f>PROPER(Transactions!D4914)</f>
        <v>Grocery</v>
      </c>
      <c r="E4914" t="s">
        <v>91</v>
      </c>
      <c r="F4914" t="s">
        <v>92</v>
      </c>
      <c r="G4914">
        <v>1</v>
      </c>
      <c r="H4914">
        <v>6.29</v>
      </c>
      <c r="I4914" s="7">
        <f>IF(Transactions!I4914="",0,Transactions!I4914)</f>
        <v>0</v>
      </c>
      <c r="J4914" s="9">
        <f t="shared" si="76"/>
        <v>6.29</v>
      </c>
      <c r="K4914" t="s">
        <v>16</v>
      </c>
      <c r="L4914" t="s">
        <v>37</v>
      </c>
      <c r="M4914" t="str">
        <f>REPLACE(Transactions!M4914,1,4,"")</f>
        <v>2</v>
      </c>
    </row>
    <row r="4915" spans="1:13" x14ac:dyDescent="0.2">
      <c r="A4915">
        <v>910491</v>
      </c>
      <c r="B4915" s="5">
        <v>44589</v>
      </c>
      <c r="C4915">
        <v>64466</v>
      </c>
      <c r="D4915" t="str">
        <f>PROPER(Transactions!D4915)</f>
        <v>Clothing</v>
      </c>
      <c r="E4915" t="s">
        <v>181</v>
      </c>
      <c r="F4915" t="s">
        <v>182</v>
      </c>
      <c r="G4915">
        <v>1</v>
      </c>
      <c r="H4915">
        <v>11.24</v>
      </c>
      <c r="I4915" s="7">
        <f>IF(Transactions!I4915="",0,Transactions!I4915)</f>
        <v>0.25</v>
      </c>
      <c r="J4915" s="9">
        <f t="shared" si="76"/>
        <v>8.43</v>
      </c>
      <c r="K4915" t="s">
        <v>16</v>
      </c>
      <c r="L4915" t="s">
        <v>17</v>
      </c>
      <c r="M4915" t="str">
        <f>REPLACE(Transactions!M4915,1,4,"")</f>
        <v>9</v>
      </c>
    </row>
    <row r="4916" spans="1:13" x14ac:dyDescent="0.2">
      <c r="A4916">
        <v>910694</v>
      </c>
      <c r="B4916" s="5">
        <v>45158</v>
      </c>
      <c r="C4916">
        <v>93793</v>
      </c>
      <c r="D4916" t="str">
        <f>PROPER(Transactions!D4916)</f>
        <v>Furniture</v>
      </c>
      <c r="E4916" t="s">
        <v>51</v>
      </c>
      <c r="F4916" t="s">
        <v>52</v>
      </c>
      <c r="G4916">
        <v>1</v>
      </c>
      <c r="H4916">
        <v>27.99</v>
      </c>
      <c r="I4916" s="7">
        <f>IF(Transactions!I4916="",0,Transactions!I4916)</f>
        <v>0</v>
      </c>
      <c r="J4916" s="9">
        <f t="shared" si="76"/>
        <v>27.99</v>
      </c>
      <c r="K4916" t="s">
        <v>16</v>
      </c>
      <c r="L4916" t="s">
        <v>17</v>
      </c>
      <c r="M4916" t="str">
        <f>REPLACE(Transactions!M4916,1,4,"")</f>
        <v>7</v>
      </c>
    </row>
    <row r="4917" spans="1:13" x14ac:dyDescent="0.2">
      <c r="A4917">
        <v>910885</v>
      </c>
      <c r="B4917" s="5">
        <v>45647</v>
      </c>
      <c r="C4917">
        <v>59391</v>
      </c>
      <c r="D4917" t="str">
        <f>PROPER(Transactions!D4917)</f>
        <v>Furniture</v>
      </c>
      <c r="E4917" t="s">
        <v>113</v>
      </c>
      <c r="F4917" t="s">
        <v>114</v>
      </c>
      <c r="G4917">
        <v>1</v>
      </c>
      <c r="H4917">
        <v>101.99</v>
      </c>
      <c r="I4917" s="7">
        <f>IF(Transactions!I4917="",0,Transactions!I4917)</f>
        <v>0.15</v>
      </c>
      <c r="J4917" s="9">
        <f t="shared" si="76"/>
        <v>86.691499999999991</v>
      </c>
      <c r="K4917" t="s">
        <v>36</v>
      </c>
      <c r="L4917" t="s">
        <v>17</v>
      </c>
      <c r="M4917" t="str">
        <f>REPLACE(Transactions!M4917,1,4,"")</f>
        <v>10</v>
      </c>
    </row>
    <row r="4918" spans="1:13" x14ac:dyDescent="0.2">
      <c r="A4918">
        <v>911159</v>
      </c>
      <c r="B4918" s="5">
        <v>44696</v>
      </c>
      <c r="C4918">
        <v>36945</v>
      </c>
      <c r="D4918" t="str">
        <f>PROPER(Transactions!D4918)</f>
        <v>Automotive</v>
      </c>
      <c r="E4918" t="s">
        <v>125</v>
      </c>
      <c r="F4918" t="s">
        <v>126</v>
      </c>
      <c r="G4918">
        <v>3</v>
      </c>
      <c r="H4918">
        <v>28.49</v>
      </c>
      <c r="I4918" s="7">
        <f>IF(Transactions!I4918="",0,Transactions!I4918)</f>
        <v>0.05</v>
      </c>
      <c r="J4918" s="9">
        <f t="shared" si="76"/>
        <v>81.1965</v>
      </c>
      <c r="K4918" t="s">
        <v>32</v>
      </c>
      <c r="L4918" t="s">
        <v>37</v>
      </c>
      <c r="M4918" t="str">
        <f>REPLACE(Transactions!M4918,1,4,"")</f>
        <v>15</v>
      </c>
    </row>
    <row r="4919" spans="1:13" x14ac:dyDescent="0.2">
      <c r="A4919">
        <v>911279</v>
      </c>
      <c r="B4919" s="5">
        <v>44716</v>
      </c>
      <c r="C4919">
        <v>50983</v>
      </c>
      <c r="D4919" t="str">
        <f>PROPER(Transactions!D4919)</f>
        <v>Beauty</v>
      </c>
      <c r="E4919" t="s">
        <v>179</v>
      </c>
      <c r="F4919" t="s">
        <v>180</v>
      </c>
      <c r="G4919">
        <v>5</v>
      </c>
      <c r="H4919">
        <v>10.19</v>
      </c>
      <c r="I4919" s="7">
        <f>IF(Transactions!I4919="",0,Transactions!I4919)</f>
        <v>0.15</v>
      </c>
      <c r="J4919" s="9">
        <f t="shared" si="76"/>
        <v>43.307499999999997</v>
      </c>
      <c r="K4919" t="s">
        <v>16</v>
      </c>
      <c r="L4919" t="s">
        <v>17</v>
      </c>
      <c r="M4919" t="str">
        <f>REPLACE(Transactions!M4919,1,4,"")</f>
        <v>17</v>
      </c>
    </row>
    <row r="4920" spans="1:13" x14ac:dyDescent="0.2">
      <c r="A4920">
        <v>911298</v>
      </c>
      <c r="B4920" s="5">
        <v>45188</v>
      </c>
      <c r="C4920">
        <v>89652</v>
      </c>
      <c r="D4920" t="str">
        <f>PROPER(Transactions!D4920)</f>
        <v>Furniture</v>
      </c>
      <c r="E4920" t="s">
        <v>51</v>
      </c>
      <c r="F4920" t="s">
        <v>52</v>
      </c>
      <c r="G4920">
        <v>2</v>
      </c>
      <c r="H4920">
        <v>26.59</v>
      </c>
      <c r="I4920" s="7">
        <f>IF(Transactions!I4920="",0,Transactions!I4920)</f>
        <v>0.05</v>
      </c>
      <c r="J4920" s="9">
        <f t="shared" si="76"/>
        <v>50.521000000000001</v>
      </c>
      <c r="K4920" t="s">
        <v>16</v>
      </c>
      <c r="L4920" t="s">
        <v>17</v>
      </c>
      <c r="M4920" t="str">
        <f>REPLACE(Transactions!M4920,1,4,"")</f>
        <v>9</v>
      </c>
    </row>
    <row r="4921" spans="1:13" x14ac:dyDescent="0.2">
      <c r="A4921">
        <v>911455</v>
      </c>
      <c r="B4921" s="5">
        <v>44567</v>
      </c>
      <c r="C4921">
        <v>38167</v>
      </c>
      <c r="D4921" t="str">
        <f>PROPER(Transactions!D4921)</f>
        <v>Furniture</v>
      </c>
      <c r="E4921" t="s">
        <v>113</v>
      </c>
      <c r="F4921" t="s">
        <v>114</v>
      </c>
      <c r="G4921">
        <v>2</v>
      </c>
      <c r="H4921">
        <v>119.99</v>
      </c>
      <c r="I4921" s="7">
        <f>IF(Transactions!I4921="",0,Transactions!I4921)</f>
        <v>0</v>
      </c>
      <c r="J4921" s="9">
        <f t="shared" si="76"/>
        <v>239.98</v>
      </c>
      <c r="K4921" t="s">
        <v>16</v>
      </c>
      <c r="L4921" t="s">
        <v>37</v>
      </c>
      <c r="M4921" t="str">
        <f>REPLACE(Transactions!M4921,1,4,"")</f>
        <v>12</v>
      </c>
    </row>
    <row r="4922" spans="1:13" x14ac:dyDescent="0.2">
      <c r="A4922">
        <v>911486</v>
      </c>
      <c r="B4922" s="5">
        <v>45653</v>
      </c>
      <c r="C4922">
        <v>78297</v>
      </c>
      <c r="D4922" t="str">
        <f>PROPER(Transactions!D4922)</f>
        <v>Furniture</v>
      </c>
      <c r="E4922" t="s">
        <v>70</v>
      </c>
      <c r="F4922" t="s">
        <v>71</v>
      </c>
      <c r="G4922">
        <v>4</v>
      </c>
      <c r="H4922">
        <v>76.489999999999995</v>
      </c>
      <c r="I4922" s="7">
        <f>IF(Transactions!I4922="",0,Transactions!I4922)</f>
        <v>0.15</v>
      </c>
      <c r="J4922" s="9">
        <f t="shared" si="76"/>
        <v>260.06599999999997</v>
      </c>
      <c r="K4922" t="s">
        <v>22</v>
      </c>
      <c r="L4922" t="s">
        <v>23</v>
      </c>
      <c r="M4922" t="str">
        <f>REPLACE(Transactions!M4922,1,4,"")</f>
        <v>5</v>
      </c>
    </row>
    <row r="4923" spans="1:13" x14ac:dyDescent="0.2">
      <c r="A4923">
        <v>911524</v>
      </c>
      <c r="B4923" s="5">
        <v>44936</v>
      </c>
      <c r="C4923">
        <v>46735</v>
      </c>
      <c r="D4923" t="str">
        <f>PROPER(Transactions!D4923)</f>
        <v>Home &amp; Garden</v>
      </c>
      <c r="E4923" t="s">
        <v>137</v>
      </c>
      <c r="F4923" t="s">
        <v>138</v>
      </c>
      <c r="G4923">
        <v>3</v>
      </c>
      <c r="H4923">
        <v>6.79</v>
      </c>
      <c r="I4923" s="7">
        <f>IF(Transactions!I4923="",0,Transactions!I4923)</f>
        <v>0.15</v>
      </c>
      <c r="J4923" s="9">
        <f t="shared" si="76"/>
        <v>17.314499999999999</v>
      </c>
      <c r="K4923" t="s">
        <v>36</v>
      </c>
      <c r="L4923" t="s">
        <v>37</v>
      </c>
      <c r="M4923" t="str">
        <f>REPLACE(Transactions!M4923,1,4,"")</f>
        <v>10</v>
      </c>
    </row>
    <row r="4924" spans="1:13" x14ac:dyDescent="0.2">
      <c r="A4924">
        <v>911741</v>
      </c>
      <c r="B4924" s="5">
        <v>44636</v>
      </c>
      <c r="C4924">
        <v>17881</v>
      </c>
      <c r="D4924" t="str">
        <f>PROPER(Transactions!D4924)</f>
        <v>Automotive</v>
      </c>
      <c r="E4924" t="s">
        <v>111</v>
      </c>
      <c r="F4924" t="s">
        <v>112</v>
      </c>
      <c r="G4924">
        <v>3</v>
      </c>
      <c r="H4924">
        <v>11.99</v>
      </c>
      <c r="I4924" s="7">
        <f>IF(Transactions!I4924="",0,Transactions!I4924)</f>
        <v>0.2</v>
      </c>
      <c r="J4924" s="9">
        <f t="shared" si="76"/>
        <v>28.776</v>
      </c>
      <c r="K4924" t="s">
        <v>22</v>
      </c>
      <c r="L4924" t="s">
        <v>17</v>
      </c>
      <c r="M4924" t="str">
        <f>REPLACE(Transactions!M4924,1,4,"")</f>
        <v>9</v>
      </c>
    </row>
    <row r="4925" spans="1:13" x14ac:dyDescent="0.2">
      <c r="A4925">
        <v>911828</v>
      </c>
      <c r="B4925" s="5">
        <v>45297</v>
      </c>
      <c r="C4925">
        <v>95976</v>
      </c>
      <c r="D4925" t="str">
        <f>PROPER(Transactions!D4925)</f>
        <v>Grocery</v>
      </c>
      <c r="E4925" t="s">
        <v>195</v>
      </c>
      <c r="F4925" t="s">
        <v>196</v>
      </c>
      <c r="G4925">
        <v>1</v>
      </c>
      <c r="H4925">
        <v>3.49</v>
      </c>
      <c r="I4925" s="7">
        <f>IF(Transactions!I4925="",0,Transactions!I4925)</f>
        <v>0.3</v>
      </c>
      <c r="J4925" s="9">
        <f t="shared" si="76"/>
        <v>2.4430000000000001</v>
      </c>
      <c r="K4925" t="s">
        <v>36</v>
      </c>
      <c r="L4925" t="s">
        <v>37</v>
      </c>
      <c r="M4925" t="str">
        <f>REPLACE(Transactions!M4925,1,4,"")</f>
        <v>13</v>
      </c>
    </row>
    <row r="4926" spans="1:13" x14ac:dyDescent="0.2">
      <c r="A4926">
        <v>911895</v>
      </c>
      <c r="B4926" s="5">
        <v>45384</v>
      </c>
      <c r="C4926">
        <v>40304</v>
      </c>
      <c r="D4926" t="str">
        <f>PROPER(Transactions!D4926)</f>
        <v>Automotive</v>
      </c>
      <c r="E4926" t="s">
        <v>68</v>
      </c>
      <c r="F4926" t="s">
        <v>69</v>
      </c>
      <c r="G4926">
        <v>1</v>
      </c>
      <c r="H4926">
        <v>19.989999999999998</v>
      </c>
      <c r="I4926" s="7">
        <f>IF(Transactions!I4926="",0,Transactions!I4926)</f>
        <v>0.2</v>
      </c>
      <c r="J4926" s="9">
        <f t="shared" si="76"/>
        <v>15.991999999999999</v>
      </c>
      <c r="K4926" t="s">
        <v>16</v>
      </c>
      <c r="L4926" t="s">
        <v>37</v>
      </c>
      <c r="M4926" t="str">
        <f>REPLACE(Transactions!M4926,1,4,"")</f>
        <v>2</v>
      </c>
    </row>
    <row r="4927" spans="1:13" x14ac:dyDescent="0.2">
      <c r="A4927">
        <v>912219</v>
      </c>
      <c r="B4927" s="5">
        <v>44829</v>
      </c>
      <c r="C4927">
        <v>87586</v>
      </c>
      <c r="D4927" t="str">
        <f>PROPER(Transactions!D4927)</f>
        <v>Toys</v>
      </c>
      <c r="E4927" t="s">
        <v>72</v>
      </c>
      <c r="F4927" t="s">
        <v>73</v>
      </c>
      <c r="G4927">
        <v>5</v>
      </c>
      <c r="H4927">
        <v>37.99</v>
      </c>
      <c r="I4927" s="7">
        <f>IF(Transactions!I4927="",0,Transactions!I4927)</f>
        <v>0.05</v>
      </c>
      <c r="J4927" s="9">
        <f t="shared" si="76"/>
        <v>180.45250000000001</v>
      </c>
      <c r="K4927" t="s">
        <v>16</v>
      </c>
      <c r="L4927" t="s">
        <v>17</v>
      </c>
      <c r="M4927" t="str">
        <f>REPLACE(Transactions!M4927,1,4,"")</f>
        <v>17</v>
      </c>
    </row>
    <row r="4928" spans="1:13" x14ac:dyDescent="0.2">
      <c r="A4928">
        <v>912270</v>
      </c>
      <c r="B4928" s="5">
        <v>44824</v>
      </c>
      <c r="C4928">
        <v>16754</v>
      </c>
      <c r="D4928" t="str">
        <f>PROPER(Transactions!D4928)</f>
        <v>Electronics</v>
      </c>
      <c r="E4928" t="s">
        <v>14</v>
      </c>
      <c r="F4928" t="s">
        <v>15</v>
      </c>
      <c r="G4928">
        <v>1</v>
      </c>
      <c r="H4928">
        <v>75.989999999999995</v>
      </c>
      <c r="I4928" s="7">
        <f>IF(Transactions!I4928="",0,Transactions!I4928)</f>
        <v>0.05</v>
      </c>
      <c r="J4928" s="9">
        <f t="shared" si="76"/>
        <v>72.190499999999986</v>
      </c>
      <c r="K4928" t="s">
        <v>95</v>
      </c>
      <c r="L4928" t="s">
        <v>17</v>
      </c>
      <c r="M4928" t="str">
        <f>REPLACE(Transactions!M4928,1,4,"")</f>
        <v>13</v>
      </c>
    </row>
    <row r="4929" spans="1:13" x14ac:dyDescent="0.2">
      <c r="A4929">
        <v>912361</v>
      </c>
      <c r="B4929" s="5">
        <v>45326</v>
      </c>
      <c r="C4929">
        <v>30650</v>
      </c>
      <c r="D4929" t="str">
        <f>PROPER(Transactions!D4929)</f>
        <v>Pharmacy</v>
      </c>
      <c r="E4929" t="s">
        <v>20</v>
      </c>
      <c r="F4929" t="s">
        <v>21</v>
      </c>
      <c r="G4929">
        <v>1</v>
      </c>
      <c r="H4929">
        <v>9.99</v>
      </c>
      <c r="I4929" s="7">
        <f>IF(Transactions!I4929="",0,Transactions!I4929)</f>
        <v>0</v>
      </c>
      <c r="J4929" s="9">
        <f t="shared" si="76"/>
        <v>9.99</v>
      </c>
      <c r="K4929" t="s">
        <v>95</v>
      </c>
      <c r="L4929" t="s">
        <v>17</v>
      </c>
      <c r="M4929" t="str">
        <f>REPLACE(Transactions!M4929,1,4,"")</f>
        <v>8</v>
      </c>
    </row>
    <row r="4930" spans="1:13" x14ac:dyDescent="0.2">
      <c r="A4930">
        <v>912612</v>
      </c>
      <c r="B4930" s="5">
        <v>45351</v>
      </c>
      <c r="C4930">
        <v>48837</v>
      </c>
      <c r="D4930" t="str">
        <f>PROPER(Transactions!D4930)</f>
        <v>Clothing</v>
      </c>
      <c r="E4930" t="s">
        <v>181</v>
      </c>
      <c r="F4930" t="s">
        <v>182</v>
      </c>
      <c r="G4930">
        <v>4</v>
      </c>
      <c r="H4930">
        <v>14.24</v>
      </c>
      <c r="I4930" s="7">
        <f>IF(Transactions!I4930="",0,Transactions!I4930)</f>
        <v>0.05</v>
      </c>
      <c r="J4930" s="9">
        <f t="shared" si="76"/>
        <v>54.111999999999995</v>
      </c>
      <c r="K4930" t="s">
        <v>16</v>
      </c>
      <c r="L4930" t="s">
        <v>17</v>
      </c>
      <c r="M4930" t="str">
        <f>REPLACE(Transactions!M4930,1,4,"")</f>
        <v>6</v>
      </c>
    </row>
    <row r="4931" spans="1:13" x14ac:dyDescent="0.2">
      <c r="A4931">
        <v>912727</v>
      </c>
      <c r="B4931" s="5">
        <v>44987</v>
      </c>
      <c r="C4931">
        <v>39154</v>
      </c>
      <c r="D4931" t="str">
        <f>PROPER(Transactions!D4931)</f>
        <v>Sports</v>
      </c>
      <c r="E4931" t="s">
        <v>100</v>
      </c>
      <c r="F4931" t="s">
        <v>101</v>
      </c>
      <c r="G4931">
        <v>4</v>
      </c>
      <c r="H4931">
        <v>22.99</v>
      </c>
      <c r="I4931" s="7">
        <f>IF(Transactions!I4931="",0,Transactions!I4931)</f>
        <v>0</v>
      </c>
      <c r="J4931" s="9">
        <f t="shared" ref="J4931:J4994" si="77">(H4931*G4931)*(1-I4931)</f>
        <v>91.96</v>
      </c>
      <c r="K4931" t="s">
        <v>16</v>
      </c>
      <c r="L4931" t="s">
        <v>17</v>
      </c>
      <c r="M4931" t="str">
        <f>REPLACE(Transactions!M4931,1,4,"")</f>
        <v>6</v>
      </c>
    </row>
    <row r="4932" spans="1:13" x14ac:dyDescent="0.2">
      <c r="A4932">
        <v>912834</v>
      </c>
      <c r="B4932" s="5">
        <v>45531</v>
      </c>
      <c r="C4932">
        <v>66948</v>
      </c>
      <c r="D4932" t="str">
        <f>PROPER(Transactions!D4932)</f>
        <v>Home &amp; Garden</v>
      </c>
      <c r="E4932" t="s">
        <v>153</v>
      </c>
      <c r="F4932" t="s">
        <v>154</v>
      </c>
      <c r="G4932">
        <v>1</v>
      </c>
      <c r="H4932">
        <v>29.99</v>
      </c>
      <c r="I4932" s="7">
        <f>IF(Transactions!I4932="",0,Transactions!I4932)</f>
        <v>0</v>
      </c>
      <c r="J4932" s="9">
        <f t="shared" si="77"/>
        <v>29.99</v>
      </c>
      <c r="K4932" t="s">
        <v>36</v>
      </c>
      <c r="L4932" t="s">
        <v>17</v>
      </c>
      <c r="M4932" t="str">
        <f>REPLACE(Transactions!M4932,1,4,"")</f>
        <v>15</v>
      </c>
    </row>
    <row r="4933" spans="1:13" x14ac:dyDescent="0.2">
      <c r="A4933">
        <v>912939</v>
      </c>
      <c r="B4933" s="5">
        <v>45237</v>
      </c>
      <c r="C4933">
        <v>97086</v>
      </c>
      <c r="D4933" t="str">
        <f>PROPER(Transactions!D4933)</f>
        <v>Clothing</v>
      </c>
      <c r="E4933" t="s">
        <v>165</v>
      </c>
      <c r="F4933" t="s">
        <v>166</v>
      </c>
      <c r="G4933">
        <v>4</v>
      </c>
      <c r="H4933">
        <v>76.489999999999995</v>
      </c>
      <c r="I4933" s="7">
        <f>IF(Transactions!I4933="",0,Transactions!I4933)</f>
        <v>0.15</v>
      </c>
      <c r="J4933" s="9">
        <f t="shared" si="77"/>
        <v>260.06599999999997</v>
      </c>
      <c r="K4933" t="s">
        <v>36</v>
      </c>
      <c r="L4933" t="s">
        <v>17</v>
      </c>
      <c r="M4933" t="str">
        <f>REPLACE(Transactions!M4933,1,4,"")</f>
        <v>14</v>
      </c>
    </row>
    <row r="4934" spans="1:13" x14ac:dyDescent="0.2">
      <c r="A4934">
        <v>913308</v>
      </c>
      <c r="B4934" s="5">
        <v>44738</v>
      </c>
      <c r="C4934">
        <v>95137</v>
      </c>
      <c r="D4934" t="str">
        <f>PROPER(Transactions!D4934)</f>
        <v>Toys</v>
      </c>
      <c r="E4934" t="s">
        <v>72</v>
      </c>
      <c r="F4934" t="s">
        <v>73</v>
      </c>
      <c r="G4934">
        <v>5</v>
      </c>
      <c r="H4934">
        <v>35.99</v>
      </c>
      <c r="I4934" s="7">
        <f>IF(Transactions!I4934="",0,Transactions!I4934)</f>
        <v>0.1</v>
      </c>
      <c r="J4934" s="9">
        <f t="shared" si="77"/>
        <v>161.95500000000001</v>
      </c>
      <c r="K4934" t="s">
        <v>36</v>
      </c>
      <c r="L4934" t="s">
        <v>17</v>
      </c>
      <c r="M4934" t="str">
        <f>REPLACE(Transactions!M4934,1,4,"")</f>
        <v/>
      </c>
    </row>
    <row r="4935" spans="1:13" x14ac:dyDescent="0.2">
      <c r="A4935">
        <v>913657</v>
      </c>
      <c r="B4935" s="5">
        <v>44836</v>
      </c>
      <c r="C4935">
        <v>92258</v>
      </c>
      <c r="D4935" t="str">
        <f>PROPER(Transactions!D4935)</f>
        <v>Electronics</v>
      </c>
      <c r="E4935" t="s">
        <v>159</v>
      </c>
      <c r="F4935" t="s">
        <v>160</v>
      </c>
      <c r="G4935">
        <v>2</v>
      </c>
      <c r="H4935">
        <v>59.99</v>
      </c>
      <c r="I4935" s="7">
        <f>IF(Transactions!I4935="",0,Transactions!I4935)</f>
        <v>0</v>
      </c>
      <c r="J4935" s="9">
        <f t="shared" si="77"/>
        <v>119.98</v>
      </c>
      <c r="K4935" t="s">
        <v>32</v>
      </c>
      <c r="L4935" t="s">
        <v>17</v>
      </c>
      <c r="M4935" t="str">
        <f>REPLACE(Transactions!M4935,1,4,"")</f>
        <v>1</v>
      </c>
    </row>
    <row r="4936" spans="1:13" x14ac:dyDescent="0.2">
      <c r="A4936">
        <v>913670</v>
      </c>
      <c r="B4936" s="5">
        <v>45189</v>
      </c>
      <c r="C4936">
        <v>25731</v>
      </c>
      <c r="D4936" t="str">
        <f>PROPER(Transactions!D4936)</f>
        <v>Pharmacy</v>
      </c>
      <c r="E4936" t="s">
        <v>41</v>
      </c>
      <c r="F4936" t="s">
        <v>42</v>
      </c>
      <c r="G4936">
        <v>3</v>
      </c>
      <c r="H4936">
        <v>4.79</v>
      </c>
      <c r="I4936" s="7">
        <f>IF(Transactions!I4936="",0,Transactions!I4936)</f>
        <v>0.2</v>
      </c>
      <c r="J4936" s="9">
        <f t="shared" si="77"/>
        <v>11.496000000000002</v>
      </c>
      <c r="K4936" t="s">
        <v>36</v>
      </c>
      <c r="L4936" t="s">
        <v>17</v>
      </c>
      <c r="M4936" t="str">
        <f>REPLACE(Transactions!M4936,1,4,"")</f>
        <v>5</v>
      </c>
    </row>
    <row r="4937" spans="1:13" x14ac:dyDescent="0.2">
      <c r="A4937">
        <v>914231</v>
      </c>
      <c r="B4937" s="5">
        <v>45482</v>
      </c>
      <c r="C4937">
        <v>52161</v>
      </c>
      <c r="D4937" t="str">
        <f>PROPER(Transactions!D4937)</f>
        <v>Clothing</v>
      </c>
      <c r="E4937" t="s">
        <v>98</v>
      </c>
      <c r="F4937" t="s">
        <v>99</v>
      </c>
      <c r="G4937">
        <v>5</v>
      </c>
      <c r="H4937">
        <v>22.39</v>
      </c>
      <c r="I4937" s="7">
        <f>IF(Transactions!I4937="",0,Transactions!I4937)</f>
        <v>0.2</v>
      </c>
      <c r="J4937" s="9">
        <f t="shared" si="77"/>
        <v>89.56</v>
      </c>
      <c r="K4937" t="s">
        <v>22</v>
      </c>
      <c r="L4937" t="s">
        <v>17</v>
      </c>
      <c r="M4937" t="str">
        <f>REPLACE(Transactions!M4937,1,4,"")</f>
        <v>16</v>
      </c>
    </row>
    <row r="4938" spans="1:13" x14ac:dyDescent="0.2">
      <c r="A4938">
        <v>914427</v>
      </c>
      <c r="B4938" s="5">
        <v>44808</v>
      </c>
      <c r="C4938">
        <v>10403</v>
      </c>
      <c r="D4938" t="str">
        <f>PROPER(Transactions!D4938)</f>
        <v>Beauty</v>
      </c>
      <c r="E4938" t="s">
        <v>49</v>
      </c>
      <c r="F4938" t="s">
        <v>50</v>
      </c>
      <c r="G4938">
        <v>2</v>
      </c>
      <c r="H4938">
        <v>8.99</v>
      </c>
      <c r="I4938" s="7">
        <f>IF(Transactions!I4938="",0,Transactions!I4938)</f>
        <v>0</v>
      </c>
      <c r="J4938" s="9">
        <f t="shared" si="77"/>
        <v>17.98</v>
      </c>
      <c r="K4938" t="s">
        <v>36</v>
      </c>
      <c r="L4938" t="s">
        <v>17</v>
      </c>
      <c r="M4938" t="str">
        <f>REPLACE(Transactions!M4938,1,4,"")</f>
        <v>15</v>
      </c>
    </row>
    <row r="4939" spans="1:13" x14ac:dyDescent="0.2">
      <c r="A4939">
        <v>914713</v>
      </c>
      <c r="B4939" s="5">
        <v>45450</v>
      </c>
      <c r="C4939">
        <v>97008</v>
      </c>
      <c r="D4939" t="str">
        <f>PROPER(Transactions!D4939)</f>
        <v>Pharmacy</v>
      </c>
      <c r="E4939" t="s">
        <v>20</v>
      </c>
      <c r="F4939" t="s">
        <v>21</v>
      </c>
      <c r="G4939">
        <v>1</v>
      </c>
      <c r="H4939">
        <v>6.99</v>
      </c>
      <c r="I4939" s="7">
        <f>IF(Transactions!I4939="",0,Transactions!I4939)</f>
        <v>0.3</v>
      </c>
      <c r="J4939" s="9">
        <f t="shared" si="77"/>
        <v>4.8929999999999998</v>
      </c>
      <c r="K4939" t="s">
        <v>16</v>
      </c>
      <c r="L4939" t="s">
        <v>23</v>
      </c>
      <c r="M4939" t="str">
        <f>REPLACE(Transactions!M4939,1,4,"")</f>
        <v>1</v>
      </c>
    </row>
    <row r="4940" spans="1:13" x14ac:dyDescent="0.2">
      <c r="A4940">
        <v>915090</v>
      </c>
      <c r="B4940" s="5">
        <v>45504</v>
      </c>
      <c r="C4940">
        <v>84182</v>
      </c>
      <c r="D4940" t="str">
        <f>PROPER(Transactions!D4940)</f>
        <v>Grocery</v>
      </c>
      <c r="E4940" t="s">
        <v>162</v>
      </c>
      <c r="F4940" t="s">
        <v>163</v>
      </c>
      <c r="G4940">
        <v>1</v>
      </c>
      <c r="H4940">
        <v>5.99</v>
      </c>
      <c r="I4940" s="7">
        <f>IF(Transactions!I4940="",0,Transactions!I4940)</f>
        <v>0.25</v>
      </c>
      <c r="J4940" s="9">
        <f t="shared" si="77"/>
        <v>4.4924999999999997</v>
      </c>
      <c r="K4940" t="s">
        <v>16</v>
      </c>
      <c r="L4940" t="s">
        <v>17</v>
      </c>
      <c r="M4940" t="str">
        <f>REPLACE(Transactions!M4940,1,4,"")</f>
        <v>6</v>
      </c>
    </row>
    <row r="4941" spans="1:13" x14ac:dyDescent="0.2">
      <c r="A4941">
        <v>915455</v>
      </c>
      <c r="B4941" s="5">
        <v>44840</v>
      </c>
      <c r="C4941">
        <v>18383</v>
      </c>
      <c r="D4941" t="str">
        <f>PROPER(Transactions!D4941)</f>
        <v>Automotive</v>
      </c>
      <c r="E4941" t="s">
        <v>131</v>
      </c>
      <c r="F4941" t="s">
        <v>132</v>
      </c>
      <c r="G4941">
        <v>4</v>
      </c>
      <c r="H4941">
        <v>2.79</v>
      </c>
      <c r="I4941" s="7">
        <f>IF(Transactions!I4941="",0,Transactions!I4941)</f>
        <v>0.2</v>
      </c>
      <c r="J4941" s="9">
        <f t="shared" si="77"/>
        <v>8.9280000000000008</v>
      </c>
      <c r="K4941" t="s">
        <v>16</v>
      </c>
      <c r="L4941" t="s">
        <v>37</v>
      </c>
      <c r="M4941" t="str">
        <f>REPLACE(Transactions!M4941,1,4,"")</f>
        <v>9</v>
      </c>
    </row>
    <row r="4942" spans="1:13" x14ac:dyDescent="0.2">
      <c r="A4942">
        <v>915466</v>
      </c>
      <c r="B4942" s="5">
        <v>45375</v>
      </c>
      <c r="C4942">
        <v>67759</v>
      </c>
      <c r="D4942" t="str">
        <f>PROPER(Transactions!D4942)</f>
        <v>Sports</v>
      </c>
      <c r="E4942" t="s">
        <v>83</v>
      </c>
      <c r="F4942" t="s">
        <v>84</v>
      </c>
      <c r="G4942">
        <v>1</v>
      </c>
      <c r="H4942">
        <v>16.989999999999998</v>
      </c>
      <c r="I4942" s="7">
        <f>IF(Transactions!I4942="",0,Transactions!I4942)</f>
        <v>0</v>
      </c>
      <c r="J4942" s="9">
        <f t="shared" si="77"/>
        <v>16.989999999999998</v>
      </c>
      <c r="K4942" t="s">
        <v>16</v>
      </c>
      <c r="L4942" t="s">
        <v>23</v>
      </c>
      <c r="M4942" t="str">
        <f>REPLACE(Transactions!M4942,1,4,"")</f>
        <v>7</v>
      </c>
    </row>
    <row r="4943" spans="1:13" x14ac:dyDescent="0.2">
      <c r="A4943">
        <v>915754</v>
      </c>
      <c r="B4943" s="5">
        <v>44604</v>
      </c>
      <c r="C4943">
        <v>19932</v>
      </c>
      <c r="D4943" t="str">
        <f>PROPER(Transactions!D4943)</f>
        <v>Automotive</v>
      </c>
      <c r="E4943" t="s">
        <v>125</v>
      </c>
      <c r="F4943" t="s">
        <v>126</v>
      </c>
      <c r="G4943">
        <v>1</v>
      </c>
      <c r="H4943">
        <v>29.99</v>
      </c>
      <c r="I4943" s="7">
        <f>IF(Transactions!I4943="",0,Transactions!I4943)</f>
        <v>0</v>
      </c>
      <c r="J4943" s="9">
        <f t="shared" si="77"/>
        <v>29.99</v>
      </c>
      <c r="K4943" t="s">
        <v>53</v>
      </c>
      <c r="L4943" t="s">
        <v>17</v>
      </c>
      <c r="M4943" t="str">
        <f>REPLACE(Transactions!M4943,1,4,"")</f>
        <v>2</v>
      </c>
    </row>
    <row r="4944" spans="1:13" x14ac:dyDescent="0.2">
      <c r="A4944">
        <v>915852</v>
      </c>
      <c r="B4944" s="5">
        <v>44677</v>
      </c>
      <c r="C4944">
        <v>20597</v>
      </c>
      <c r="D4944" t="str">
        <f>PROPER(Transactions!D4944)</f>
        <v>Grocery</v>
      </c>
      <c r="E4944" t="s">
        <v>45</v>
      </c>
      <c r="F4944" t="s">
        <v>46</v>
      </c>
      <c r="G4944">
        <v>3</v>
      </c>
      <c r="H4944">
        <v>1.43</v>
      </c>
      <c r="I4944" s="7">
        <f>IF(Transactions!I4944="",0,Transactions!I4944)</f>
        <v>0.2</v>
      </c>
      <c r="J4944" s="9">
        <f t="shared" si="77"/>
        <v>3.4320000000000004</v>
      </c>
      <c r="K4944" t="s">
        <v>22</v>
      </c>
      <c r="L4944" t="s">
        <v>17</v>
      </c>
      <c r="M4944" t="str">
        <f>REPLACE(Transactions!M4944,1,4,"")</f>
        <v>2</v>
      </c>
    </row>
    <row r="4945" spans="1:13" x14ac:dyDescent="0.2">
      <c r="A4945">
        <v>915856</v>
      </c>
      <c r="B4945" s="5">
        <v>44861</v>
      </c>
      <c r="C4945">
        <v>73942</v>
      </c>
      <c r="D4945" t="str">
        <f>PROPER(Transactions!D4945)</f>
        <v>Beauty</v>
      </c>
      <c r="E4945" t="s">
        <v>118</v>
      </c>
      <c r="F4945" t="s">
        <v>119</v>
      </c>
      <c r="G4945">
        <v>4</v>
      </c>
      <c r="H4945">
        <v>4.74</v>
      </c>
      <c r="I4945" s="7">
        <f>IF(Transactions!I4945="",0,Transactions!I4945)</f>
        <v>0.05</v>
      </c>
      <c r="J4945" s="9">
        <f t="shared" si="77"/>
        <v>18.012</v>
      </c>
      <c r="K4945" t="s">
        <v>32</v>
      </c>
      <c r="L4945" t="s">
        <v>17</v>
      </c>
      <c r="M4945" t="str">
        <f>REPLACE(Transactions!M4945,1,4,"")</f>
        <v>14</v>
      </c>
    </row>
    <row r="4946" spans="1:13" x14ac:dyDescent="0.2">
      <c r="A4946">
        <v>916142</v>
      </c>
      <c r="B4946" s="5">
        <v>45216</v>
      </c>
      <c r="C4946">
        <v>78619</v>
      </c>
      <c r="D4946" t="str">
        <f>PROPER(Transactions!D4946)</f>
        <v>Home &amp; Garden</v>
      </c>
      <c r="E4946" t="s">
        <v>86</v>
      </c>
      <c r="F4946" t="s">
        <v>87</v>
      </c>
      <c r="G4946">
        <v>4</v>
      </c>
      <c r="H4946">
        <v>11.04</v>
      </c>
      <c r="I4946" s="7">
        <f>IF(Transactions!I4946="",0,Transactions!I4946)</f>
        <v>0.15</v>
      </c>
      <c r="J4946" s="9">
        <f t="shared" si="77"/>
        <v>37.535999999999994</v>
      </c>
      <c r="K4946" t="s">
        <v>22</v>
      </c>
      <c r="L4946" t="s">
        <v>17</v>
      </c>
      <c r="M4946" t="str">
        <f>REPLACE(Transactions!M4946,1,4,"")</f>
        <v>4</v>
      </c>
    </row>
    <row r="4947" spans="1:13" x14ac:dyDescent="0.2">
      <c r="A4947">
        <v>916352</v>
      </c>
      <c r="B4947" s="5">
        <v>45041</v>
      </c>
      <c r="D4947" t="str">
        <f>PROPER(Transactions!D4947)</f>
        <v>Beauty</v>
      </c>
      <c r="E4947" t="s">
        <v>143</v>
      </c>
      <c r="F4947" t="s">
        <v>144</v>
      </c>
      <c r="G4947">
        <v>2</v>
      </c>
      <c r="H4947">
        <v>11.24</v>
      </c>
      <c r="I4947" s="7">
        <f>IF(Transactions!I4947="",0,Transactions!I4947)</f>
        <v>0.25</v>
      </c>
      <c r="J4947" s="9">
        <f t="shared" si="77"/>
        <v>16.86</v>
      </c>
      <c r="K4947" t="s">
        <v>36</v>
      </c>
      <c r="L4947" t="s">
        <v>17</v>
      </c>
      <c r="M4947" t="str">
        <f>REPLACE(Transactions!M4947,1,4,"")</f>
        <v>16</v>
      </c>
    </row>
    <row r="4948" spans="1:13" x14ac:dyDescent="0.2">
      <c r="A4948">
        <v>916567</v>
      </c>
      <c r="B4948" s="5">
        <v>44740</v>
      </c>
      <c r="C4948">
        <v>74415</v>
      </c>
      <c r="D4948" t="str">
        <f>PROPER(Transactions!D4948)</f>
        <v>Toys</v>
      </c>
      <c r="E4948" t="s">
        <v>30</v>
      </c>
      <c r="F4948" t="s">
        <v>31</v>
      </c>
      <c r="G4948">
        <v>1</v>
      </c>
      <c r="H4948">
        <v>17.489999999999998</v>
      </c>
      <c r="I4948" s="7">
        <f>IF(Transactions!I4948="",0,Transactions!I4948)</f>
        <v>0.3</v>
      </c>
      <c r="J4948" s="9">
        <f t="shared" si="77"/>
        <v>12.242999999999999</v>
      </c>
      <c r="K4948" t="s">
        <v>16</v>
      </c>
      <c r="L4948" t="s">
        <v>17</v>
      </c>
      <c r="M4948" t="str">
        <f>REPLACE(Transactions!M4948,1,4,"")</f>
        <v>15</v>
      </c>
    </row>
    <row r="4949" spans="1:13" x14ac:dyDescent="0.2">
      <c r="A4949">
        <v>916634</v>
      </c>
      <c r="B4949" s="5">
        <v>44685</v>
      </c>
      <c r="C4949">
        <v>67799</v>
      </c>
      <c r="D4949" t="str">
        <f>PROPER(Transactions!D4949)</f>
        <v>Beauty</v>
      </c>
      <c r="E4949" t="s">
        <v>49</v>
      </c>
      <c r="F4949" t="s">
        <v>50</v>
      </c>
      <c r="G4949">
        <v>2</v>
      </c>
      <c r="H4949">
        <v>8.09</v>
      </c>
      <c r="I4949" s="7">
        <f>IF(Transactions!I4949="",0,Transactions!I4949)</f>
        <v>0.1</v>
      </c>
      <c r="J4949" s="9">
        <f t="shared" si="77"/>
        <v>14.561999999999999</v>
      </c>
      <c r="K4949" t="s">
        <v>22</v>
      </c>
      <c r="L4949" t="s">
        <v>17</v>
      </c>
      <c r="M4949" t="str">
        <f>REPLACE(Transactions!M4949,1,4,"")</f>
        <v>4</v>
      </c>
    </row>
    <row r="4950" spans="1:13" x14ac:dyDescent="0.2">
      <c r="A4950">
        <v>916749</v>
      </c>
      <c r="B4950" s="5">
        <v>45507</v>
      </c>
      <c r="C4950">
        <v>11398</v>
      </c>
      <c r="D4950" t="str">
        <f>PROPER(Transactions!D4950)</f>
        <v>Sports</v>
      </c>
      <c r="E4950" t="s">
        <v>147</v>
      </c>
      <c r="F4950" t="s">
        <v>148</v>
      </c>
      <c r="G4950">
        <v>4</v>
      </c>
      <c r="H4950">
        <v>9.09</v>
      </c>
      <c r="I4950" s="7">
        <f>IF(Transactions!I4950="",0,Transactions!I4950)</f>
        <v>0.3</v>
      </c>
      <c r="J4950" s="9">
        <f t="shared" si="77"/>
        <v>25.451999999999998</v>
      </c>
      <c r="K4950" t="s">
        <v>53</v>
      </c>
      <c r="L4950" t="s">
        <v>37</v>
      </c>
      <c r="M4950" t="str">
        <f>REPLACE(Transactions!M4950,1,4,"")</f>
        <v>10</v>
      </c>
    </row>
    <row r="4951" spans="1:13" x14ac:dyDescent="0.2">
      <c r="A4951">
        <v>916853</v>
      </c>
      <c r="B4951" s="5">
        <v>44666</v>
      </c>
      <c r="C4951">
        <v>30831</v>
      </c>
      <c r="D4951" t="str">
        <f>PROPER(Transactions!D4951)</f>
        <v>Sports</v>
      </c>
      <c r="E4951" t="s">
        <v>168</v>
      </c>
      <c r="F4951" t="s">
        <v>169</v>
      </c>
      <c r="G4951">
        <v>2</v>
      </c>
      <c r="H4951">
        <v>8.09</v>
      </c>
      <c r="I4951" s="7">
        <f>IF(Transactions!I4951="",0,Transactions!I4951)</f>
        <v>0.1</v>
      </c>
      <c r="J4951" s="9">
        <f t="shared" si="77"/>
        <v>14.561999999999999</v>
      </c>
      <c r="K4951" t="s">
        <v>36</v>
      </c>
      <c r="L4951" t="s">
        <v>17</v>
      </c>
      <c r="M4951" t="str">
        <f>REPLACE(Transactions!M4951,1,4,"")</f>
        <v>2</v>
      </c>
    </row>
    <row r="4952" spans="1:13" x14ac:dyDescent="0.2">
      <c r="A4952">
        <v>916888</v>
      </c>
      <c r="B4952" s="5">
        <v>45056</v>
      </c>
      <c r="C4952">
        <v>82642</v>
      </c>
      <c r="D4952" t="str">
        <f>PROPER(Transactions!D4952)</f>
        <v>Furniture</v>
      </c>
      <c r="E4952" t="s">
        <v>70</v>
      </c>
      <c r="F4952" t="s">
        <v>71</v>
      </c>
      <c r="G4952">
        <v>2</v>
      </c>
      <c r="H4952">
        <v>89.99</v>
      </c>
      <c r="I4952" s="7">
        <f>IF(Transactions!I4952="",0,Transactions!I4952)</f>
        <v>0</v>
      </c>
      <c r="J4952" s="9">
        <f t="shared" si="77"/>
        <v>179.98</v>
      </c>
      <c r="K4952" t="s">
        <v>32</v>
      </c>
      <c r="L4952" t="s">
        <v>17</v>
      </c>
      <c r="M4952" t="str">
        <f>REPLACE(Transactions!M4952,1,4,"")</f>
        <v>14</v>
      </c>
    </row>
    <row r="4953" spans="1:13" x14ac:dyDescent="0.2">
      <c r="A4953">
        <v>917111</v>
      </c>
      <c r="B4953" s="5">
        <v>45295</v>
      </c>
      <c r="C4953">
        <v>35411</v>
      </c>
      <c r="D4953" t="str">
        <f>PROPER(Transactions!D4953)</f>
        <v>Pharmacy</v>
      </c>
      <c r="E4953" t="s">
        <v>115</v>
      </c>
      <c r="F4953" t="s">
        <v>116</v>
      </c>
      <c r="G4953">
        <v>2</v>
      </c>
      <c r="H4953">
        <v>12.99</v>
      </c>
      <c r="I4953" s="7">
        <f>IF(Transactions!I4953="",0,Transactions!I4953)</f>
        <v>0</v>
      </c>
      <c r="J4953" s="9">
        <f t="shared" si="77"/>
        <v>25.98</v>
      </c>
      <c r="K4953" t="s">
        <v>16</v>
      </c>
      <c r="L4953" t="s">
        <v>17</v>
      </c>
      <c r="M4953" t="str">
        <f>REPLACE(Transactions!M4953,1,4,"")</f>
        <v>4</v>
      </c>
    </row>
    <row r="4954" spans="1:13" x14ac:dyDescent="0.2">
      <c r="A4954">
        <v>917555</v>
      </c>
      <c r="B4954" s="5">
        <v>44975</v>
      </c>
      <c r="C4954">
        <v>25123</v>
      </c>
      <c r="D4954" t="str">
        <f>PROPER(Transactions!D4954)</f>
        <v>Electronics</v>
      </c>
      <c r="E4954" t="s">
        <v>77</v>
      </c>
      <c r="F4954" t="s">
        <v>78</v>
      </c>
      <c r="G4954">
        <v>3</v>
      </c>
      <c r="H4954">
        <v>424.99</v>
      </c>
      <c r="I4954" s="7">
        <f>IF(Transactions!I4954="",0,Transactions!I4954)</f>
        <v>0.15</v>
      </c>
      <c r="J4954" s="9">
        <f t="shared" si="77"/>
        <v>1083.7245</v>
      </c>
      <c r="K4954" t="s">
        <v>16</v>
      </c>
      <c r="L4954" t="s">
        <v>17</v>
      </c>
      <c r="M4954" t="str">
        <f>REPLACE(Transactions!M4954,1,4,"")</f>
        <v>3</v>
      </c>
    </row>
    <row r="4955" spans="1:13" x14ac:dyDescent="0.2">
      <c r="A4955">
        <v>917823</v>
      </c>
      <c r="B4955" s="5">
        <v>44968</v>
      </c>
      <c r="C4955">
        <v>79881</v>
      </c>
      <c r="D4955" t="str">
        <f>PROPER(Transactions!D4955)</f>
        <v>Home &amp; Garden</v>
      </c>
      <c r="E4955" t="s">
        <v>157</v>
      </c>
      <c r="F4955" t="s">
        <v>158</v>
      </c>
      <c r="G4955">
        <v>2</v>
      </c>
      <c r="H4955">
        <v>11.47</v>
      </c>
      <c r="I4955" s="7">
        <f>IF(Transactions!I4955="",0,Transactions!I4955)</f>
        <v>0.15</v>
      </c>
      <c r="J4955" s="9">
        <f t="shared" si="77"/>
        <v>19.499000000000002</v>
      </c>
      <c r="K4955" t="s">
        <v>36</v>
      </c>
      <c r="L4955" t="s">
        <v>37</v>
      </c>
      <c r="M4955" t="str">
        <f>REPLACE(Transactions!M4955,1,4,"")</f>
        <v>9</v>
      </c>
    </row>
    <row r="4956" spans="1:13" x14ac:dyDescent="0.2">
      <c r="A4956">
        <v>917824</v>
      </c>
      <c r="B4956" s="5">
        <v>44820</v>
      </c>
      <c r="C4956">
        <v>29100</v>
      </c>
      <c r="D4956" t="str">
        <f>PROPER(Transactions!D4956)</f>
        <v>Grocery</v>
      </c>
      <c r="E4956" t="s">
        <v>195</v>
      </c>
      <c r="F4956" t="s">
        <v>196</v>
      </c>
      <c r="G4956">
        <v>2</v>
      </c>
      <c r="H4956">
        <v>3.74</v>
      </c>
      <c r="I4956" s="7">
        <f>IF(Transactions!I4956="",0,Transactions!I4956)</f>
        <v>0.25</v>
      </c>
      <c r="J4956" s="9">
        <f t="shared" si="77"/>
        <v>5.61</v>
      </c>
      <c r="K4956" t="s">
        <v>16</v>
      </c>
      <c r="L4956" t="s">
        <v>17</v>
      </c>
      <c r="M4956" t="str">
        <f>REPLACE(Transactions!M4956,1,4,"")</f>
        <v>14</v>
      </c>
    </row>
    <row r="4957" spans="1:13" x14ac:dyDescent="0.2">
      <c r="A4957">
        <v>917867</v>
      </c>
      <c r="B4957" s="5">
        <v>44580</v>
      </c>
      <c r="C4957">
        <v>30236</v>
      </c>
      <c r="D4957" t="str">
        <f>PROPER(Transactions!D4957)</f>
        <v>Pharmacy</v>
      </c>
      <c r="E4957" t="s">
        <v>20</v>
      </c>
      <c r="F4957" t="s">
        <v>21</v>
      </c>
      <c r="G4957">
        <v>5</v>
      </c>
      <c r="H4957">
        <v>9.99</v>
      </c>
      <c r="I4957" s="7">
        <f>IF(Transactions!I4957="",0,Transactions!I4957)</f>
        <v>0</v>
      </c>
      <c r="J4957" s="9">
        <f t="shared" si="77"/>
        <v>49.95</v>
      </c>
      <c r="K4957" t="s">
        <v>16</v>
      </c>
      <c r="L4957" t="s">
        <v>17</v>
      </c>
      <c r="M4957" t="str">
        <f>REPLACE(Transactions!M4957,1,4,"")</f>
        <v>5</v>
      </c>
    </row>
    <row r="4958" spans="1:13" x14ac:dyDescent="0.2">
      <c r="A4958">
        <v>917971</v>
      </c>
      <c r="B4958" s="5">
        <v>44908</v>
      </c>
      <c r="C4958">
        <v>91482</v>
      </c>
      <c r="D4958" t="str">
        <f>PROPER(Transactions!D4958)</f>
        <v>Beauty</v>
      </c>
      <c r="E4958" t="s">
        <v>143</v>
      </c>
      <c r="F4958" t="s">
        <v>144</v>
      </c>
      <c r="G4958">
        <v>1</v>
      </c>
      <c r="H4958">
        <v>13.49</v>
      </c>
      <c r="I4958" s="7">
        <f>IF(Transactions!I4958="",0,Transactions!I4958)</f>
        <v>0.1</v>
      </c>
      <c r="J4958" s="9">
        <f t="shared" si="77"/>
        <v>12.141</v>
      </c>
      <c r="K4958" t="s">
        <v>36</v>
      </c>
      <c r="L4958" t="s">
        <v>17</v>
      </c>
      <c r="M4958" t="str">
        <f>REPLACE(Transactions!M4958,1,4,"")</f>
        <v>16</v>
      </c>
    </row>
    <row r="4959" spans="1:13" x14ac:dyDescent="0.2">
      <c r="A4959">
        <v>918046</v>
      </c>
      <c r="B4959" s="5">
        <v>44791</v>
      </c>
      <c r="C4959">
        <v>74584</v>
      </c>
      <c r="D4959" t="str">
        <f>PROPER(Transactions!D4959)</f>
        <v>Home &amp; Garden</v>
      </c>
      <c r="E4959" t="s">
        <v>86</v>
      </c>
      <c r="F4959" t="s">
        <v>87</v>
      </c>
      <c r="G4959">
        <v>2</v>
      </c>
      <c r="H4959">
        <v>9.09</v>
      </c>
      <c r="I4959" s="7">
        <f>IF(Transactions!I4959="",0,Transactions!I4959)</f>
        <v>0.3</v>
      </c>
      <c r="J4959" s="9">
        <f t="shared" si="77"/>
        <v>12.725999999999999</v>
      </c>
      <c r="K4959" t="s">
        <v>22</v>
      </c>
      <c r="L4959" t="s">
        <v>17</v>
      </c>
      <c r="M4959" t="str">
        <f>REPLACE(Transactions!M4959,1,4,"")</f>
        <v>9</v>
      </c>
    </row>
    <row r="4960" spans="1:13" x14ac:dyDescent="0.2">
      <c r="A4960">
        <v>918196</v>
      </c>
      <c r="B4960" s="5">
        <v>45138</v>
      </c>
      <c r="C4960">
        <v>50473</v>
      </c>
      <c r="D4960" t="str">
        <f>PROPER(Transactions!D4960)</f>
        <v>Sports</v>
      </c>
      <c r="E4960" t="s">
        <v>147</v>
      </c>
      <c r="F4960" t="s">
        <v>148</v>
      </c>
      <c r="G4960">
        <v>4</v>
      </c>
      <c r="H4960">
        <v>12.99</v>
      </c>
      <c r="I4960" s="7">
        <f>IF(Transactions!I4960="",0,Transactions!I4960)</f>
        <v>0</v>
      </c>
      <c r="J4960" s="9">
        <f t="shared" si="77"/>
        <v>51.96</v>
      </c>
      <c r="K4960" t="s">
        <v>22</v>
      </c>
      <c r="L4960" t="s">
        <v>17</v>
      </c>
      <c r="M4960" t="str">
        <f>REPLACE(Transactions!M4960,1,4,"")</f>
        <v>18</v>
      </c>
    </row>
    <row r="4961" spans="1:13" x14ac:dyDescent="0.2">
      <c r="A4961">
        <v>918212</v>
      </c>
      <c r="B4961" s="5">
        <v>45317</v>
      </c>
      <c r="C4961">
        <v>49068</v>
      </c>
      <c r="D4961" t="str">
        <f>PROPER(Transactions!D4961)</f>
        <v>Furniture</v>
      </c>
      <c r="E4961" t="s">
        <v>26</v>
      </c>
      <c r="F4961" t="s">
        <v>27</v>
      </c>
      <c r="G4961">
        <v>4</v>
      </c>
      <c r="H4961">
        <v>34.99</v>
      </c>
      <c r="I4961" s="7">
        <f>IF(Transactions!I4961="",0,Transactions!I4961)</f>
        <v>0</v>
      </c>
      <c r="J4961" s="9">
        <f t="shared" si="77"/>
        <v>139.96</v>
      </c>
      <c r="K4961" t="s">
        <v>16</v>
      </c>
      <c r="L4961" t="s">
        <v>17</v>
      </c>
      <c r="M4961" t="str">
        <f>REPLACE(Transactions!M4961,1,4,"")</f>
        <v/>
      </c>
    </row>
    <row r="4962" spans="1:13" x14ac:dyDescent="0.2">
      <c r="A4962">
        <v>918213</v>
      </c>
      <c r="B4962" s="5">
        <v>44878</v>
      </c>
      <c r="C4962">
        <v>72001</v>
      </c>
      <c r="D4962" t="str">
        <f>PROPER(Transactions!D4962)</f>
        <v>Clothing</v>
      </c>
      <c r="E4962" t="s">
        <v>135</v>
      </c>
      <c r="F4962" t="s">
        <v>136</v>
      </c>
      <c r="G4962">
        <v>1</v>
      </c>
      <c r="H4962">
        <v>9.99</v>
      </c>
      <c r="I4962" s="7">
        <f>IF(Transactions!I4962="",0,Transactions!I4962)</f>
        <v>0</v>
      </c>
      <c r="J4962" s="9">
        <f t="shared" si="77"/>
        <v>9.99</v>
      </c>
      <c r="K4962" t="s">
        <v>32</v>
      </c>
      <c r="L4962" t="s">
        <v>17</v>
      </c>
      <c r="M4962" t="str">
        <f>REPLACE(Transactions!M4962,1,4,"")</f>
        <v>18</v>
      </c>
    </row>
    <row r="4963" spans="1:13" x14ac:dyDescent="0.2">
      <c r="A4963">
        <v>918333</v>
      </c>
      <c r="B4963" s="5">
        <v>45107</v>
      </c>
      <c r="C4963">
        <v>60871</v>
      </c>
      <c r="D4963" t="str">
        <f>PROPER(Transactions!D4963)</f>
        <v>Home &amp; Garden</v>
      </c>
      <c r="E4963" t="s">
        <v>145</v>
      </c>
      <c r="F4963" t="s">
        <v>146</v>
      </c>
      <c r="G4963">
        <v>2</v>
      </c>
      <c r="H4963">
        <v>13.59</v>
      </c>
      <c r="I4963" s="7">
        <f>IF(Transactions!I4963="",0,Transactions!I4963)</f>
        <v>0.2</v>
      </c>
      <c r="J4963" s="9">
        <f t="shared" si="77"/>
        <v>21.744</v>
      </c>
      <c r="K4963" t="s">
        <v>22</v>
      </c>
      <c r="L4963" t="s">
        <v>17</v>
      </c>
      <c r="M4963" t="str">
        <f>REPLACE(Transactions!M4963,1,4,"")</f>
        <v>16</v>
      </c>
    </row>
    <row r="4964" spans="1:13" x14ac:dyDescent="0.2">
      <c r="A4964">
        <v>918387</v>
      </c>
      <c r="B4964" s="5">
        <v>44717</v>
      </c>
      <c r="C4964">
        <v>40251</v>
      </c>
      <c r="D4964" t="str">
        <f>PROPER(Transactions!D4964)</f>
        <v>Home &amp; Garden</v>
      </c>
      <c r="E4964" t="s">
        <v>157</v>
      </c>
      <c r="F4964" t="s">
        <v>158</v>
      </c>
      <c r="G4964">
        <v>1</v>
      </c>
      <c r="H4964">
        <v>13.49</v>
      </c>
      <c r="I4964" s="7">
        <f>IF(Transactions!I4964="",0,Transactions!I4964)</f>
        <v>0</v>
      </c>
      <c r="J4964" s="9">
        <f t="shared" si="77"/>
        <v>13.49</v>
      </c>
      <c r="K4964" t="s">
        <v>16</v>
      </c>
      <c r="L4964" t="s">
        <v>37</v>
      </c>
      <c r="M4964" t="str">
        <f>REPLACE(Transactions!M4964,1,4,"")</f>
        <v/>
      </c>
    </row>
    <row r="4965" spans="1:13" x14ac:dyDescent="0.2">
      <c r="A4965">
        <v>918551</v>
      </c>
      <c r="B4965" s="5">
        <v>45446</v>
      </c>
      <c r="C4965">
        <v>58979</v>
      </c>
      <c r="D4965" t="str">
        <f>PROPER(Transactions!D4965)</f>
        <v>Toys</v>
      </c>
      <c r="E4965" t="s">
        <v>38</v>
      </c>
      <c r="F4965" t="s">
        <v>39</v>
      </c>
      <c r="G4965">
        <v>4</v>
      </c>
      <c r="H4965">
        <v>29.99</v>
      </c>
      <c r="I4965" s="7">
        <f>IF(Transactions!I4965="",0,Transactions!I4965)</f>
        <v>0</v>
      </c>
      <c r="J4965" s="9">
        <f t="shared" si="77"/>
        <v>119.96</v>
      </c>
      <c r="K4965" t="s">
        <v>22</v>
      </c>
      <c r="L4965" t="s">
        <v>17</v>
      </c>
      <c r="M4965" t="str">
        <f>REPLACE(Transactions!M4965,1,4,"")</f>
        <v>5</v>
      </c>
    </row>
    <row r="4966" spans="1:13" x14ac:dyDescent="0.2">
      <c r="A4966">
        <v>918587</v>
      </c>
      <c r="B4966" s="5">
        <v>44857</v>
      </c>
      <c r="C4966">
        <v>36613</v>
      </c>
      <c r="D4966" t="str">
        <f>PROPER(Transactions!D4966)</f>
        <v>Grocery</v>
      </c>
      <c r="E4966" t="s">
        <v>190</v>
      </c>
      <c r="F4966" t="s">
        <v>191</v>
      </c>
      <c r="G4966">
        <v>1</v>
      </c>
      <c r="H4966">
        <v>4.29</v>
      </c>
      <c r="I4966" s="7">
        <f>IF(Transactions!I4966="",0,Transactions!I4966)</f>
        <v>0</v>
      </c>
      <c r="J4966" s="9">
        <f t="shared" si="77"/>
        <v>4.29</v>
      </c>
      <c r="K4966" t="s">
        <v>22</v>
      </c>
      <c r="L4966" t="s">
        <v>37</v>
      </c>
      <c r="M4966" t="str">
        <f>REPLACE(Transactions!M4966,1,4,"")</f>
        <v>1</v>
      </c>
    </row>
    <row r="4967" spans="1:13" x14ac:dyDescent="0.2">
      <c r="A4967">
        <v>918657</v>
      </c>
      <c r="B4967" s="5">
        <v>45558</v>
      </c>
      <c r="C4967">
        <v>10643</v>
      </c>
      <c r="D4967" t="str">
        <f>PROPER(Transactions!D4967)</f>
        <v>Automotive</v>
      </c>
      <c r="E4967" t="s">
        <v>111</v>
      </c>
      <c r="F4967" t="s">
        <v>112</v>
      </c>
      <c r="G4967">
        <v>2</v>
      </c>
      <c r="H4967">
        <v>14.24</v>
      </c>
      <c r="I4967" s="7">
        <f>IF(Transactions!I4967="",0,Transactions!I4967)</f>
        <v>0.05</v>
      </c>
      <c r="J4967" s="9">
        <f t="shared" si="77"/>
        <v>27.055999999999997</v>
      </c>
      <c r="K4967" t="s">
        <v>36</v>
      </c>
      <c r="L4967" t="s">
        <v>17</v>
      </c>
      <c r="M4967" t="str">
        <f>REPLACE(Transactions!M4967,1,4,"")</f>
        <v>18</v>
      </c>
    </row>
    <row r="4968" spans="1:13" x14ac:dyDescent="0.2">
      <c r="A4968">
        <v>918691</v>
      </c>
      <c r="B4968" s="5">
        <v>44699</v>
      </c>
      <c r="C4968">
        <v>94217</v>
      </c>
      <c r="D4968" t="str">
        <f>PROPER(Transactions!D4968)</f>
        <v>Pharmacy</v>
      </c>
      <c r="E4968" t="s">
        <v>58</v>
      </c>
      <c r="F4968" t="s">
        <v>59</v>
      </c>
      <c r="G4968">
        <v>4</v>
      </c>
      <c r="H4968">
        <v>3.79</v>
      </c>
      <c r="I4968" s="7">
        <f>IF(Transactions!I4968="",0,Transactions!I4968)</f>
        <v>0.05</v>
      </c>
      <c r="J4968" s="9">
        <f t="shared" si="77"/>
        <v>14.401999999999999</v>
      </c>
      <c r="K4968" t="s">
        <v>36</v>
      </c>
      <c r="L4968" t="s">
        <v>37</v>
      </c>
      <c r="M4968" t="str">
        <f>REPLACE(Transactions!M4968,1,4,"")</f>
        <v>18</v>
      </c>
    </row>
    <row r="4969" spans="1:13" x14ac:dyDescent="0.2">
      <c r="A4969">
        <v>918755</v>
      </c>
      <c r="B4969" s="5">
        <v>45566</v>
      </c>
      <c r="C4969">
        <v>86853</v>
      </c>
      <c r="D4969" t="str">
        <f>PROPER(Transactions!D4969)</f>
        <v>Automotive</v>
      </c>
      <c r="E4969" t="s">
        <v>64</v>
      </c>
      <c r="F4969" t="s">
        <v>65</v>
      </c>
      <c r="G4969">
        <v>3</v>
      </c>
      <c r="H4969">
        <v>3.49</v>
      </c>
      <c r="I4969" s="7">
        <f>IF(Transactions!I4969="",0,Transactions!I4969)</f>
        <v>0.3</v>
      </c>
      <c r="J4969" s="9">
        <f t="shared" si="77"/>
        <v>7.3289999999999997</v>
      </c>
      <c r="K4969" t="s">
        <v>32</v>
      </c>
      <c r="L4969" t="s">
        <v>37</v>
      </c>
      <c r="M4969" t="str">
        <f>REPLACE(Transactions!M4969,1,4,"")</f>
        <v>16</v>
      </c>
    </row>
    <row r="4970" spans="1:13" x14ac:dyDescent="0.2">
      <c r="A4970">
        <v>918911</v>
      </c>
      <c r="B4970" s="5">
        <v>45549</v>
      </c>
      <c r="C4970">
        <v>19720</v>
      </c>
      <c r="D4970" t="str">
        <f>PROPER(Transactions!D4970)</f>
        <v>Electronics</v>
      </c>
      <c r="E4970" t="s">
        <v>104</v>
      </c>
      <c r="F4970" t="s">
        <v>105</v>
      </c>
      <c r="G4970">
        <v>3</v>
      </c>
      <c r="H4970">
        <v>22.49</v>
      </c>
      <c r="I4970" s="7">
        <f>IF(Transactions!I4970="",0,Transactions!I4970)</f>
        <v>0.25</v>
      </c>
      <c r="J4970" s="9">
        <f t="shared" si="77"/>
        <v>50.602499999999999</v>
      </c>
      <c r="K4970" t="s">
        <v>16</v>
      </c>
      <c r="L4970" t="s">
        <v>17</v>
      </c>
      <c r="M4970" t="str">
        <f>REPLACE(Transactions!M4970,1,4,"")</f>
        <v>17</v>
      </c>
    </row>
    <row r="4971" spans="1:13" x14ac:dyDescent="0.2">
      <c r="A4971">
        <v>919059</v>
      </c>
      <c r="B4971" s="5">
        <v>45347</v>
      </c>
      <c r="C4971">
        <v>35516</v>
      </c>
      <c r="D4971" t="str">
        <f>PROPER(Transactions!D4971)</f>
        <v>Furniture</v>
      </c>
      <c r="E4971" t="s">
        <v>51</v>
      </c>
      <c r="F4971" t="s">
        <v>52</v>
      </c>
      <c r="G4971">
        <v>1</v>
      </c>
      <c r="H4971">
        <v>27.99</v>
      </c>
      <c r="I4971" s="7">
        <f>IF(Transactions!I4971="",0,Transactions!I4971)</f>
        <v>0</v>
      </c>
      <c r="J4971" s="9">
        <f t="shared" si="77"/>
        <v>27.99</v>
      </c>
      <c r="K4971" t="s">
        <v>36</v>
      </c>
      <c r="L4971" t="s">
        <v>37</v>
      </c>
      <c r="M4971" t="str">
        <f>REPLACE(Transactions!M4971,1,4,"")</f>
        <v>3</v>
      </c>
    </row>
    <row r="4972" spans="1:13" x14ac:dyDescent="0.2">
      <c r="A4972">
        <v>919286</v>
      </c>
      <c r="B4972" s="5">
        <v>44668</v>
      </c>
      <c r="C4972">
        <v>36595</v>
      </c>
      <c r="D4972" t="str">
        <f>PROPER(Transactions!D4972)</f>
        <v>Electronics</v>
      </c>
      <c r="E4972" t="s">
        <v>34</v>
      </c>
      <c r="F4972" t="s">
        <v>35</v>
      </c>
      <c r="G4972">
        <v>2</v>
      </c>
      <c r="H4972">
        <v>34.99</v>
      </c>
      <c r="I4972" s="7">
        <f>IF(Transactions!I4972="",0,Transactions!I4972)</f>
        <v>0</v>
      </c>
      <c r="J4972" s="9">
        <f t="shared" si="77"/>
        <v>69.98</v>
      </c>
      <c r="K4972" t="s">
        <v>53</v>
      </c>
      <c r="L4972" t="s">
        <v>17</v>
      </c>
      <c r="M4972" t="str">
        <f>REPLACE(Transactions!M4972,1,4,"")</f>
        <v>18</v>
      </c>
    </row>
    <row r="4973" spans="1:13" x14ac:dyDescent="0.2">
      <c r="A4973">
        <v>919502</v>
      </c>
      <c r="B4973" s="5">
        <v>44692</v>
      </c>
      <c r="D4973" t="str">
        <f>PROPER(Transactions!D4973)</f>
        <v>Automotive</v>
      </c>
      <c r="E4973" t="s">
        <v>131</v>
      </c>
      <c r="F4973" t="s">
        <v>132</v>
      </c>
      <c r="G4973">
        <v>2</v>
      </c>
      <c r="H4973">
        <v>2.79</v>
      </c>
      <c r="I4973" s="7">
        <f>IF(Transactions!I4973="",0,Transactions!I4973)</f>
        <v>0.2</v>
      </c>
      <c r="J4973" s="9">
        <f t="shared" si="77"/>
        <v>4.4640000000000004</v>
      </c>
      <c r="K4973" t="s">
        <v>36</v>
      </c>
      <c r="L4973" t="s">
        <v>37</v>
      </c>
      <c r="M4973" t="str">
        <f>REPLACE(Transactions!M4973,1,4,"")</f>
        <v>16</v>
      </c>
    </row>
    <row r="4974" spans="1:13" x14ac:dyDescent="0.2">
      <c r="A4974">
        <v>919637</v>
      </c>
      <c r="B4974" s="5">
        <v>44752</v>
      </c>
      <c r="C4974">
        <v>51525</v>
      </c>
      <c r="D4974" t="str">
        <f>PROPER(Transactions!D4974)</f>
        <v>Home &amp; Garden</v>
      </c>
      <c r="E4974" t="s">
        <v>153</v>
      </c>
      <c r="F4974" t="s">
        <v>154</v>
      </c>
      <c r="G4974">
        <v>1</v>
      </c>
      <c r="H4974">
        <v>29.99</v>
      </c>
      <c r="I4974" s="7">
        <f>IF(Transactions!I4974="",0,Transactions!I4974)</f>
        <v>0</v>
      </c>
      <c r="J4974" s="9">
        <f t="shared" si="77"/>
        <v>29.99</v>
      </c>
      <c r="K4974" t="s">
        <v>36</v>
      </c>
      <c r="L4974" t="s">
        <v>17</v>
      </c>
      <c r="M4974" t="str">
        <f>REPLACE(Transactions!M4974,1,4,"")</f>
        <v>4</v>
      </c>
    </row>
    <row r="4975" spans="1:13" x14ac:dyDescent="0.2">
      <c r="A4975">
        <v>919787</v>
      </c>
      <c r="B4975" s="5">
        <v>45160</v>
      </c>
      <c r="C4975">
        <v>20815</v>
      </c>
      <c r="D4975" t="str">
        <f>PROPER(Transactions!D4975)</f>
        <v>Furniture</v>
      </c>
      <c r="E4975" t="s">
        <v>51</v>
      </c>
      <c r="F4975" t="s">
        <v>52</v>
      </c>
      <c r="G4975">
        <v>2</v>
      </c>
      <c r="H4975">
        <v>27.99</v>
      </c>
      <c r="I4975" s="7">
        <f>IF(Transactions!I4975="",0,Transactions!I4975)</f>
        <v>0</v>
      </c>
      <c r="J4975" s="9">
        <f t="shared" si="77"/>
        <v>55.98</v>
      </c>
      <c r="K4975" t="s">
        <v>32</v>
      </c>
      <c r="L4975" t="s">
        <v>37</v>
      </c>
      <c r="M4975" t="str">
        <f>REPLACE(Transactions!M4975,1,4,"")</f>
        <v>19</v>
      </c>
    </row>
    <row r="4976" spans="1:13" x14ac:dyDescent="0.2">
      <c r="A4976">
        <v>919857</v>
      </c>
      <c r="B4976" s="5">
        <v>45354</v>
      </c>
      <c r="C4976">
        <v>48132</v>
      </c>
      <c r="D4976" t="str">
        <f>PROPER(Transactions!D4976)</f>
        <v>Beauty</v>
      </c>
      <c r="E4976" t="s">
        <v>109</v>
      </c>
      <c r="F4976" t="s">
        <v>110</v>
      </c>
      <c r="G4976">
        <v>2</v>
      </c>
      <c r="H4976">
        <v>5.59</v>
      </c>
      <c r="I4976" s="7">
        <f>IF(Transactions!I4976="",0,Transactions!I4976)</f>
        <v>0.2</v>
      </c>
      <c r="J4976" s="9">
        <f t="shared" si="77"/>
        <v>8.9440000000000008</v>
      </c>
      <c r="K4976" t="s">
        <v>16</v>
      </c>
      <c r="L4976" t="s">
        <v>17</v>
      </c>
      <c r="M4976" t="str">
        <f>REPLACE(Transactions!M4976,1,4,"")</f>
        <v>2</v>
      </c>
    </row>
    <row r="4977" spans="1:13" x14ac:dyDescent="0.2">
      <c r="A4977">
        <v>919867</v>
      </c>
      <c r="B4977" s="5">
        <v>45151</v>
      </c>
      <c r="C4977">
        <v>47024</v>
      </c>
      <c r="D4977" t="str">
        <f>PROPER(Transactions!D4977)</f>
        <v>Sports</v>
      </c>
      <c r="E4977" t="s">
        <v>155</v>
      </c>
      <c r="F4977" t="s">
        <v>156</v>
      </c>
      <c r="G4977">
        <v>2</v>
      </c>
      <c r="H4977">
        <v>19.989999999999998</v>
      </c>
      <c r="I4977" s="7">
        <f>IF(Transactions!I4977="",0,Transactions!I4977)</f>
        <v>0</v>
      </c>
      <c r="J4977" s="9">
        <f t="shared" si="77"/>
        <v>39.979999999999997</v>
      </c>
      <c r="K4977" t="s">
        <v>36</v>
      </c>
      <c r="L4977" t="s">
        <v>17</v>
      </c>
      <c r="M4977" t="str">
        <f>REPLACE(Transactions!M4977,1,4,"")</f>
        <v>20</v>
      </c>
    </row>
    <row r="4978" spans="1:13" x14ac:dyDescent="0.2">
      <c r="A4978">
        <v>920133</v>
      </c>
      <c r="B4978" s="5">
        <v>45353</v>
      </c>
      <c r="C4978">
        <v>16814</v>
      </c>
      <c r="D4978" t="str">
        <f>PROPER(Transactions!D4978)</f>
        <v>Home &amp; Garden</v>
      </c>
      <c r="E4978" t="s">
        <v>157</v>
      </c>
      <c r="F4978" t="s">
        <v>158</v>
      </c>
      <c r="G4978">
        <v>4</v>
      </c>
      <c r="H4978">
        <v>12.82</v>
      </c>
      <c r="I4978" s="7">
        <f>IF(Transactions!I4978="",0,Transactions!I4978)</f>
        <v>0.05</v>
      </c>
      <c r="J4978" s="9">
        <f t="shared" si="77"/>
        <v>48.716000000000001</v>
      </c>
      <c r="K4978" t="s">
        <v>16</v>
      </c>
      <c r="L4978" t="s">
        <v>37</v>
      </c>
      <c r="M4978" t="str">
        <f>REPLACE(Transactions!M4978,1,4,"")</f>
        <v>17</v>
      </c>
    </row>
    <row r="4979" spans="1:13" x14ac:dyDescent="0.2">
      <c r="A4979">
        <v>920175</v>
      </c>
      <c r="B4979" s="5">
        <v>45188</v>
      </c>
      <c r="C4979">
        <v>22204</v>
      </c>
      <c r="D4979" t="str">
        <f>PROPER(Transactions!D4979)</f>
        <v>Pharmacy</v>
      </c>
      <c r="E4979" t="s">
        <v>115</v>
      </c>
      <c r="F4979" t="s">
        <v>116</v>
      </c>
      <c r="G4979">
        <v>2</v>
      </c>
      <c r="H4979">
        <v>12.99</v>
      </c>
      <c r="I4979" s="7">
        <f>IF(Transactions!I4979="",0,Transactions!I4979)</f>
        <v>0</v>
      </c>
      <c r="J4979" s="9">
        <f t="shared" si="77"/>
        <v>25.98</v>
      </c>
      <c r="K4979" t="s">
        <v>22</v>
      </c>
      <c r="L4979" t="s">
        <v>37</v>
      </c>
      <c r="M4979" t="str">
        <f>REPLACE(Transactions!M4979,1,4,"")</f>
        <v>4</v>
      </c>
    </row>
    <row r="4980" spans="1:13" x14ac:dyDescent="0.2">
      <c r="A4980">
        <v>920229</v>
      </c>
      <c r="B4980" s="5">
        <v>45124</v>
      </c>
      <c r="C4980">
        <v>22281</v>
      </c>
      <c r="D4980" t="str">
        <f>PROPER(Transactions!D4980)</f>
        <v>Furniture</v>
      </c>
      <c r="E4980" t="s">
        <v>26</v>
      </c>
      <c r="F4980" t="s">
        <v>27</v>
      </c>
      <c r="G4980">
        <v>2</v>
      </c>
      <c r="H4980">
        <v>34.99</v>
      </c>
      <c r="I4980" s="7">
        <f>IF(Transactions!I4980="",0,Transactions!I4980)</f>
        <v>0</v>
      </c>
      <c r="J4980" s="9">
        <f t="shared" si="77"/>
        <v>69.98</v>
      </c>
      <c r="K4980" t="s">
        <v>16</v>
      </c>
      <c r="L4980" t="s">
        <v>23</v>
      </c>
      <c r="M4980" t="str">
        <f>REPLACE(Transactions!M4980,1,4,"")</f>
        <v>3</v>
      </c>
    </row>
    <row r="4981" spans="1:13" x14ac:dyDescent="0.2">
      <c r="A4981">
        <v>920385</v>
      </c>
      <c r="B4981" s="5">
        <v>45228</v>
      </c>
      <c r="C4981">
        <v>56739</v>
      </c>
      <c r="D4981" t="str">
        <f>PROPER(Transactions!D4981)</f>
        <v>Clothing</v>
      </c>
      <c r="E4981" t="s">
        <v>151</v>
      </c>
      <c r="F4981" t="s">
        <v>152</v>
      </c>
      <c r="G4981">
        <v>1</v>
      </c>
      <c r="H4981">
        <v>27.99</v>
      </c>
      <c r="I4981" s="7">
        <f>IF(Transactions!I4981="",0,Transactions!I4981)</f>
        <v>0.2</v>
      </c>
      <c r="J4981" s="9">
        <f t="shared" si="77"/>
        <v>22.391999999999999</v>
      </c>
      <c r="K4981" t="s">
        <v>16</v>
      </c>
      <c r="L4981" t="s">
        <v>17</v>
      </c>
      <c r="M4981" t="str">
        <f>REPLACE(Transactions!M4981,1,4,"")</f>
        <v>18</v>
      </c>
    </row>
    <row r="4982" spans="1:13" x14ac:dyDescent="0.2">
      <c r="A4982">
        <v>920849</v>
      </c>
      <c r="B4982" s="5">
        <v>45022</v>
      </c>
      <c r="D4982" t="str">
        <f>PROPER(Transactions!D4982)</f>
        <v>Grocery</v>
      </c>
      <c r="E4982" t="s">
        <v>91</v>
      </c>
      <c r="F4982" t="s">
        <v>92</v>
      </c>
      <c r="G4982">
        <v>4</v>
      </c>
      <c r="H4982">
        <v>5.66</v>
      </c>
      <c r="I4982" s="7">
        <f>IF(Transactions!I4982="",0,Transactions!I4982)</f>
        <v>0.1</v>
      </c>
      <c r="J4982" s="9">
        <f t="shared" si="77"/>
        <v>20.376000000000001</v>
      </c>
      <c r="K4982" t="s">
        <v>36</v>
      </c>
      <c r="L4982" t="s">
        <v>17</v>
      </c>
      <c r="M4982" t="str">
        <f>REPLACE(Transactions!M4982,1,4,"")</f>
        <v>13</v>
      </c>
    </row>
    <row r="4983" spans="1:13" x14ac:dyDescent="0.2">
      <c r="A4983">
        <v>920964</v>
      </c>
      <c r="B4983" s="5">
        <v>45191</v>
      </c>
      <c r="C4983">
        <v>77054</v>
      </c>
      <c r="D4983" t="str">
        <f>PROPER(Transactions!D4983)</f>
        <v>Clothing</v>
      </c>
      <c r="E4983" t="s">
        <v>135</v>
      </c>
      <c r="F4983" t="s">
        <v>136</v>
      </c>
      <c r="G4983">
        <v>1</v>
      </c>
      <c r="H4983">
        <v>7.99</v>
      </c>
      <c r="I4983" s="7">
        <f>IF(Transactions!I4983="",0,Transactions!I4983)</f>
        <v>0.2</v>
      </c>
      <c r="J4983" s="9">
        <f t="shared" si="77"/>
        <v>6.3920000000000003</v>
      </c>
      <c r="K4983" t="s">
        <v>16</v>
      </c>
      <c r="L4983" t="s">
        <v>17</v>
      </c>
      <c r="M4983" t="str">
        <f>REPLACE(Transactions!M4983,1,4,"")</f>
        <v>5</v>
      </c>
    </row>
    <row r="4984" spans="1:13" x14ac:dyDescent="0.2">
      <c r="A4984">
        <v>920986</v>
      </c>
      <c r="B4984" s="5">
        <v>45248</v>
      </c>
      <c r="D4984" t="str">
        <f>PROPER(Transactions!D4984)</f>
        <v>Sports</v>
      </c>
      <c r="E4984" t="s">
        <v>155</v>
      </c>
      <c r="F4984" t="s">
        <v>156</v>
      </c>
      <c r="G4984">
        <v>3</v>
      </c>
      <c r="H4984">
        <v>19.989999999999998</v>
      </c>
      <c r="I4984" s="7">
        <f>IF(Transactions!I4984="",0,Transactions!I4984)</f>
        <v>0</v>
      </c>
      <c r="J4984" s="9">
        <f t="shared" si="77"/>
        <v>59.97</v>
      </c>
      <c r="K4984" t="s">
        <v>16</v>
      </c>
      <c r="L4984" t="s">
        <v>37</v>
      </c>
      <c r="M4984" t="str">
        <f>REPLACE(Transactions!M4984,1,4,"")</f>
        <v>1</v>
      </c>
    </row>
    <row r="4985" spans="1:13" x14ac:dyDescent="0.2">
      <c r="A4985">
        <v>920996</v>
      </c>
      <c r="B4985" s="5">
        <v>44776</v>
      </c>
      <c r="C4985">
        <v>89156</v>
      </c>
      <c r="D4985" t="str">
        <f>PROPER(Transactions!D4985)</f>
        <v>Furniture</v>
      </c>
      <c r="E4985" t="s">
        <v>70</v>
      </c>
      <c r="F4985" t="s">
        <v>71</v>
      </c>
      <c r="G4985">
        <v>1</v>
      </c>
      <c r="H4985">
        <v>80.989999999999995</v>
      </c>
      <c r="I4985" s="7">
        <f>IF(Transactions!I4985="",0,Transactions!I4985)</f>
        <v>0.1</v>
      </c>
      <c r="J4985" s="9">
        <f t="shared" si="77"/>
        <v>72.890999999999991</v>
      </c>
      <c r="K4985" t="s">
        <v>16</v>
      </c>
      <c r="L4985" t="s">
        <v>17</v>
      </c>
      <c r="M4985" t="str">
        <f>REPLACE(Transactions!M4985,1,4,"")</f>
        <v>7</v>
      </c>
    </row>
    <row r="4986" spans="1:13" x14ac:dyDescent="0.2">
      <c r="A4986">
        <v>921204</v>
      </c>
      <c r="B4986" s="5">
        <v>45348</v>
      </c>
      <c r="C4986">
        <v>91852</v>
      </c>
      <c r="D4986" t="str">
        <f>PROPER(Transactions!D4986)</f>
        <v>Home &amp; Garden</v>
      </c>
      <c r="E4986" t="s">
        <v>129</v>
      </c>
      <c r="F4986" t="s">
        <v>130</v>
      </c>
      <c r="G4986">
        <v>5</v>
      </c>
      <c r="H4986">
        <v>8.99</v>
      </c>
      <c r="I4986" s="7">
        <f>IF(Transactions!I4986="",0,Transactions!I4986)</f>
        <v>0</v>
      </c>
      <c r="J4986" s="9">
        <f t="shared" si="77"/>
        <v>44.95</v>
      </c>
      <c r="K4986" t="s">
        <v>32</v>
      </c>
      <c r="L4986" t="s">
        <v>17</v>
      </c>
      <c r="M4986" t="str">
        <f>REPLACE(Transactions!M4986,1,4,"")</f>
        <v>18</v>
      </c>
    </row>
    <row r="4987" spans="1:13" x14ac:dyDescent="0.2">
      <c r="A4987">
        <v>921373</v>
      </c>
      <c r="B4987" s="5">
        <v>45222</v>
      </c>
      <c r="C4987">
        <v>81193</v>
      </c>
      <c r="D4987" t="str">
        <f>PROPER(Transactions!D4987)</f>
        <v>Electronics</v>
      </c>
      <c r="E4987" t="s">
        <v>159</v>
      </c>
      <c r="F4987" t="s">
        <v>160</v>
      </c>
      <c r="G4987">
        <v>2</v>
      </c>
      <c r="H4987">
        <v>56.99</v>
      </c>
      <c r="I4987" s="7">
        <f>IF(Transactions!I4987="",0,Transactions!I4987)</f>
        <v>0.05</v>
      </c>
      <c r="J4987" s="9">
        <f t="shared" si="77"/>
        <v>108.28099999999999</v>
      </c>
      <c r="K4987" t="s">
        <v>16</v>
      </c>
      <c r="L4987" t="s">
        <v>17</v>
      </c>
      <c r="M4987" t="str">
        <f>REPLACE(Transactions!M4987,1,4,"")</f>
        <v>16</v>
      </c>
    </row>
    <row r="4988" spans="1:13" x14ac:dyDescent="0.2">
      <c r="A4988">
        <v>921825</v>
      </c>
      <c r="B4988" s="5">
        <v>45418</v>
      </c>
      <c r="C4988">
        <v>94935</v>
      </c>
      <c r="D4988" t="str">
        <f>PROPER(Transactions!D4988)</f>
        <v>Grocery</v>
      </c>
      <c r="E4988" t="s">
        <v>195</v>
      </c>
      <c r="F4988" t="s">
        <v>196</v>
      </c>
      <c r="G4988">
        <v>1</v>
      </c>
      <c r="H4988">
        <v>4.99</v>
      </c>
      <c r="I4988" s="7">
        <f>IF(Transactions!I4988="",0,Transactions!I4988)</f>
        <v>0</v>
      </c>
      <c r="J4988" s="9">
        <f t="shared" si="77"/>
        <v>4.99</v>
      </c>
      <c r="K4988" t="s">
        <v>32</v>
      </c>
      <c r="L4988" t="s">
        <v>17</v>
      </c>
      <c r="M4988" t="str">
        <f>REPLACE(Transactions!M4988,1,4,"")</f>
        <v>7</v>
      </c>
    </row>
    <row r="4989" spans="1:13" x14ac:dyDescent="0.2">
      <c r="A4989">
        <v>921939</v>
      </c>
      <c r="B4989" s="5">
        <v>45654</v>
      </c>
      <c r="C4989">
        <v>51227</v>
      </c>
      <c r="D4989" t="str">
        <f>PROPER(Transactions!D4989)</f>
        <v>Home &amp; Garden</v>
      </c>
      <c r="E4989" t="s">
        <v>145</v>
      </c>
      <c r="F4989" t="s">
        <v>146</v>
      </c>
      <c r="G4989">
        <v>5</v>
      </c>
      <c r="H4989">
        <v>11.89</v>
      </c>
      <c r="I4989" s="7">
        <f>IF(Transactions!I4989="",0,Transactions!I4989)</f>
        <v>0.3</v>
      </c>
      <c r="J4989" s="9">
        <f t="shared" si="77"/>
        <v>41.615000000000002</v>
      </c>
      <c r="K4989" t="s">
        <v>36</v>
      </c>
      <c r="L4989" t="s">
        <v>17</v>
      </c>
      <c r="M4989" t="str">
        <f>REPLACE(Transactions!M4989,1,4,"")</f>
        <v>17</v>
      </c>
    </row>
    <row r="4990" spans="1:13" x14ac:dyDescent="0.2">
      <c r="A4990">
        <v>921978</v>
      </c>
      <c r="B4990" s="5">
        <v>45414</v>
      </c>
      <c r="C4990">
        <v>41258</v>
      </c>
      <c r="D4990" t="str">
        <f>PROPER(Transactions!D4990)</f>
        <v>Sports</v>
      </c>
      <c r="E4990" t="s">
        <v>155</v>
      </c>
      <c r="F4990" t="s">
        <v>156</v>
      </c>
      <c r="G4990">
        <v>1</v>
      </c>
      <c r="H4990">
        <v>19.989999999999998</v>
      </c>
      <c r="I4990" s="7">
        <f>IF(Transactions!I4990="",0,Transactions!I4990)</f>
        <v>0</v>
      </c>
      <c r="J4990" s="9">
        <f t="shared" si="77"/>
        <v>19.989999999999998</v>
      </c>
      <c r="K4990" t="s">
        <v>36</v>
      </c>
      <c r="L4990" t="s">
        <v>17</v>
      </c>
      <c r="M4990" t="str">
        <f>REPLACE(Transactions!M4990,1,4,"")</f>
        <v>8</v>
      </c>
    </row>
    <row r="4991" spans="1:13" x14ac:dyDescent="0.2">
      <c r="A4991">
        <v>922103</v>
      </c>
      <c r="B4991" s="5">
        <v>44675</v>
      </c>
      <c r="C4991">
        <v>94899</v>
      </c>
      <c r="D4991" t="str">
        <f>PROPER(Transactions!D4991)</f>
        <v>Clothing</v>
      </c>
      <c r="E4991" t="s">
        <v>193</v>
      </c>
      <c r="F4991" t="s">
        <v>194</v>
      </c>
      <c r="G4991">
        <v>1</v>
      </c>
      <c r="H4991">
        <v>45.49</v>
      </c>
      <c r="I4991" s="7">
        <f>IF(Transactions!I4991="",0,Transactions!I4991)</f>
        <v>0.3</v>
      </c>
      <c r="J4991" s="9">
        <f t="shared" si="77"/>
        <v>31.843</v>
      </c>
      <c r="K4991" t="s">
        <v>16</v>
      </c>
      <c r="L4991" t="s">
        <v>37</v>
      </c>
      <c r="M4991" t="str">
        <f>REPLACE(Transactions!M4991,1,4,"")</f>
        <v>11</v>
      </c>
    </row>
    <row r="4992" spans="1:13" x14ac:dyDescent="0.2">
      <c r="A4992">
        <v>922460</v>
      </c>
      <c r="B4992" s="5">
        <v>45565</v>
      </c>
      <c r="C4992">
        <v>11555</v>
      </c>
      <c r="D4992" t="str">
        <f>PROPER(Transactions!D4992)</f>
        <v>Pharmacy</v>
      </c>
      <c r="E4992" t="s">
        <v>115</v>
      </c>
      <c r="F4992" t="s">
        <v>116</v>
      </c>
      <c r="G4992">
        <v>1</v>
      </c>
      <c r="H4992">
        <v>11.69</v>
      </c>
      <c r="I4992" s="7">
        <f>IF(Transactions!I4992="",0,Transactions!I4992)</f>
        <v>0.1</v>
      </c>
      <c r="J4992" s="9">
        <f t="shared" si="77"/>
        <v>10.520999999999999</v>
      </c>
      <c r="K4992" t="s">
        <v>22</v>
      </c>
      <c r="L4992" t="s">
        <v>37</v>
      </c>
      <c r="M4992" t="str">
        <f>REPLACE(Transactions!M4992,1,4,"")</f>
        <v>11</v>
      </c>
    </row>
    <row r="4993" spans="1:13" x14ac:dyDescent="0.2">
      <c r="A4993">
        <v>922492</v>
      </c>
      <c r="B4993" s="5">
        <v>45329</v>
      </c>
      <c r="C4993">
        <v>17850</v>
      </c>
      <c r="D4993" t="str">
        <f>PROPER(Transactions!D4993)</f>
        <v>Toys</v>
      </c>
      <c r="E4993" t="s">
        <v>30</v>
      </c>
      <c r="F4993" t="s">
        <v>31</v>
      </c>
      <c r="G4993">
        <v>4</v>
      </c>
      <c r="H4993">
        <v>17.489999999999998</v>
      </c>
      <c r="I4993" s="7">
        <f>IF(Transactions!I4993="",0,Transactions!I4993)</f>
        <v>0.3</v>
      </c>
      <c r="J4993" s="9">
        <f t="shared" si="77"/>
        <v>48.971999999999994</v>
      </c>
      <c r="K4993" t="s">
        <v>16</v>
      </c>
      <c r="L4993" t="s">
        <v>17</v>
      </c>
      <c r="M4993" t="str">
        <f>REPLACE(Transactions!M4993,1,4,"")</f>
        <v>10</v>
      </c>
    </row>
    <row r="4994" spans="1:13" x14ac:dyDescent="0.2">
      <c r="A4994">
        <v>922674</v>
      </c>
      <c r="B4994" s="5">
        <v>45450</v>
      </c>
      <c r="D4994" t="str">
        <f>PROPER(Transactions!D4994)</f>
        <v>Automotive</v>
      </c>
      <c r="E4994" t="s">
        <v>111</v>
      </c>
      <c r="F4994" t="s">
        <v>112</v>
      </c>
      <c r="G4994">
        <v>2</v>
      </c>
      <c r="H4994">
        <v>14.99</v>
      </c>
      <c r="I4994" s="7">
        <f>IF(Transactions!I4994="",0,Transactions!I4994)</f>
        <v>0</v>
      </c>
      <c r="J4994" s="9">
        <f t="shared" si="77"/>
        <v>29.98</v>
      </c>
      <c r="K4994" t="s">
        <v>36</v>
      </c>
      <c r="L4994" t="s">
        <v>37</v>
      </c>
      <c r="M4994" t="str">
        <f>REPLACE(Transactions!M4994,1,4,"")</f>
        <v>17</v>
      </c>
    </row>
    <row r="4995" spans="1:13" x14ac:dyDescent="0.2">
      <c r="A4995">
        <v>923023</v>
      </c>
      <c r="B4995" s="5">
        <v>44565</v>
      </c>
      <c r="C4995">
        <v>34490</v>
      </c>
      <c r="D4995" t="str">
        <f>PROPER(Transactions!D4995)</f>
        <v>Furniture</v>
      </c>
      <c r="E4995" t="s">
        <v>60</v>
      </c>
      <c r="F4995" t="s">
        <v>61</v>
      </c>
      <c r="G4995">
        <v>1</v>
      </c>
      <c r="H4995">
        <v>41.24</v>
      </c>
      <c r="I4995" s="7">
        <f>IF(Transactions!I4995="",0,Transactions!I4995)</f>
        <v>0.25</v>
      </c>
      <c r="J4995" s="9">
        <f t="shared" ref="J4995:J5058" si="78">(H4995*G4995)*(1-I4995)</f>
        <v>30.93</v>
      </c>
      <c r="K4995" t="s">
        <v>22</v>
      </c>
      <c r="L4995" t="s">
        <v>17</v>
      </c>
      <c r="M4995" t="str">
        <f>REPLACE(Transactions!M4995,1,4,"")</f>
        <v>19</v>
      </c>
    </row>
    <row r="4996" spans="1:13" x14ac:dyDescent="0.2">
      <c r="A4996">
        <v>923295</v>
      </c>
      <c r="B4996" s="5">
        <v>45319</v>
      </c>
      <c r="C4996">
        <v>82219</v>
      </c>
      <c r="D4996" t="str">
        <f>PROPER(Transactions!D4996)</f>
        <v>Furniture</v>
      </c>
      <c r="E4996" t="s">
        <v>113</v>
      </c>
      <c r="F4996" t="s">
        <v>114</v>
      </c>
      <c r="G4996">
        <v>1</v>
      </c>
      <c r="H4996">
        <v>101.99</v>
      </c>
      <c r="I4996" s="7">
        <f>IF(Transactions!I4996="",0,Transactions!I4996)</f>
        <v>0.15</v>
      </c>
      <c r="J4996" s="9">
        <f t="shared" si="78"/>
        <v>86.691499999999991</v>
      </c>
      <c r="K4996" t="s">
        <v>95</v>
      </c>
      <c r="L4996" t="s">
        <v>17</v>
      </c>
      <c r="M4996" t="str">
        <f>REPLACE(Transactions!M4996,1,4,"")</f>
        <v>9</v>
      </c>
    </row>
    <row r="4997" spans="1:13" x14ac:dyDescent="0.2">
      <c r="A4997">
        <v>923632</v>
      </c>
      <c r="B4997" s="5">
        <v>44571</v>
      </c>
      <c r="C4997">
        <v>96090</v>
      </c>
      <c r="D4997" t="str">
        <f>PROPER(Transactions!D4997)</f>
        <v>Furniture</v>
      </c>
      <c r="E4997" t="s">
        <v>113</v>
      </c>
      <c r="F4997" t="s">
        <v>114</v>
      </c>
      <c r="G4997">
        <v>1</v>
      </c>
      <c r="H4997">
        <v>119.99</v>
      </c>
      <c r="I4997" s="7">
        <f>IF(Transactions!I4997="",0,Transactions!I4997)</f>
        <v>0</v>
      </c>
      <c r="J4997" s="9">
        <f t="shared" si="78"/>
        <v>119.99</v>
      </c>
      <c r="K4997" t="s">
        <v>95</v>
      </c>
      <c r="L4997" t="s">
        <v>23</v>
      </c>
      <c r="M4997" t="str">
        <f>REPLACE(Transactions!M4997,1,4,"")</f>
        <v>8</v>
      </c>
    </row>
    <row r="4998" spans="1:13" x14ac:dyDescent="0.2">
      <c r="A4998">
        <v>924149</v>
      </c>
      <c r="B4998" s="5">
        <v>45249</v>
      </c>
      <c r="C4998">
        <v>78806</v>
      </c>
      <c r="D4998" t="str">
        <f>PROPER(Transactions!D4998)</f>
        <v>Sports</v>
      </c>
      <c r="E4998" t="s">
        <v>100</v>
      </c>
      <c r="F4998" t="s">
        <v>101</v>
      </c>
      <c r="G4998">
        <v>4</v>
      </c>
      <c r="H4998">
        <v>18.39</v>
      </c>
      <c r="I4998" s="7">
        <f>IF(Transactions!I4998="",0,Transactions!I4998)</f>
        <v>0</v>
      </c>
      <c r="J4998" s="9">
        <f t="shared" si="78"/>
        <v>73.56</v>
      </c>
      <c r="K4998" t="s">
        <v>36</v>
      </c>
      <c r="L4998" t="s">
        <v>17</v>
      </c>
      <c r="M4998" t="str">
        <f>REPLACE(Transactions!M4998,1,4,"")</f>
        <v>5</v>
      </c>
    </row>
    <row r="4999" spans="1:13" x14ac:dyDescent="0.2">
      <c r="A4999">
        <v>924558</v>
      </c>
      <c r="B4999" s="5">
        <v>45358</v>
      </c>
      <c r="C4999">
        <v>79147</v>
      </c>
      <c r="D4999" t="str">
        <f>PROPER(Transactions!D4999)</f>
        <v>Automotive</v>
      </c>
      <c r="E4999" t="s">
        <v>111</v>
      </c>
      <c r="F4999" t="s">
        <v>112</v>
      </c>
      <c r="G4999">
        <v>2</v>
      </c>
      <c r="H4999">
        <v>13.49</v>
      </c>
      <c r="I4999" s="7">
        <f>IF(Transactions!I4999="",0,Transactions!I4999)</f>
        <v>0.1</v>
      </c>
      <c r="J4999" s="9">
        <f t="shared" si="78"/>
        <v>24.282</v>
      </c>
      <c r="K4999" t="s">
        <v>22</v>
      </c>
      <c r="L4999" t="s">
        <v>37</v>
      </c>
      <c r="M4999" t="str">
        <f>REPLACE(Transactions!M4999,1,4,"")</f>
        <v>17</v>
      </c>
    </row>
    <row r="5000" spans="1:13" x14ac:dyDescent="0.2">
      <c r="A5000">
        <v>924682</v>
      </c>
      <c r="B5000" s="5">
        <v>44950</v>
      </c>
      <c r="C5000">
        <v>30103</v>
      </c>
      <c r="D5000" t="str">
        <f>PROPER(Transactions!D5000)</f>
        <v>Automotive</v>
      </c>
      <c r="E5000" t="s">
        <v>68</v>
      </c>
      <c r="F5000" t="s">
        <v>69</v>
      </c>
      <c r="G5000">
        <v>2</v>
      </c>
      <c r="H5000">
        <v>21.24</v>
      </c>
      <c r="I5000" s="7">
        <f>IF(Transactions!I5000="",0,Transactions!I5000)</f>
        <v>0.15</v>
      </c>
      <c r="J5000" s="9">
        <f t="shared" si="78"/>
        <v>36.107999999999997</v>
      </c>
      <c r="K5000" t="s">
        <v>22</v>
      </c>
      <c r="L5000" t="s">
        <v>17</v>
      </c>
      <c r="M5000" t="str">
        <f>REPLACE(Transactions!M5000,1,4,"")</f>
        <v>3</v>
      </c>
    </row>
    <row r="5001" spans="1:13" x14ac:dyDescent="0.2">
      <c r="A5001">
        <v>924932</v>
      </c>
      <c r="B5001" s="5">
        <v>45631</v>
      </c>
      <c r="C5001">
        <v>42332</v>
      </c>
      <c r="D5001" t="str">
        <f>PROPER(Transactions!D5001)</f>
        <v>Clothing</v>
      </c>
      <c r="E5001" t="s">
        <v>141</v>
      </c>
      <c r="F5001" t="s">
        <v>142</v>
      </c>
      <c r="G5001">
        <v>5</v>
      </c>
      <c r="H5001">
        <v>16.09</v>
      </c>
      <c r="I5001" s="7">
        <f>IF(Transactions!I5001="",0,Transactions!I5001)</f>
        <v>0.3</v>
      </c>
      <c r="J5001" s="9">
        <f t="shared" si="78"/>
        <v>56.314999999999998</v>
      </c>
      <c r="K5001" t="s">
        <v>16</v>
      </c>
      <c r="L5001" t="s">
        <v>17</v>
      </c>
      <c r="M5001" t="str">
        <f>REPLACE(Transactions!M5001,1,4,"")</f>
        <v>12</v>
      </c>
    </row>
    <row r="5002" spans="1:13" x14ac:dyDescent="0.2">
      <c r="A5002">
        <v>925318</v>
      </c>
      <c r="B5002" s="5">
        <v>44592</v>
      </c>
      <c r="C5002">
        <v>68229</v>
      </c>
      <c r="D5002" t="str">
        <f>PROPER(Transactions!D5002)</f>
        <v>Toys</v>
      </c>
      <c r="E5002" t="s">
        <v>170</v>
      </c>
      <c r="F5002" t="s">
        <v>171</v>
      </c>
      <c r="G5002">
        <v>3</v>
      </c>
      <c r="H5002">
        <v>10.49</v>
      </c>
      <c r="I5002" s="7">
        <f>IF(Transactions!I5002="",0,Transactions!I5002)</f>
        <v>0.3</v>
      </c>
      <c r="J5002" s="9">
        <f t="shared" si="78"/>
        <v>22.028999999999996</v>
      </c>
      <c r="K5002" t="s">
        <v>22</v>
      </c>
      <c r="L5002" t="s">
        <v>17</v>
      </c>
      <c r="M5002" t="str">
        <f>REPLACE(Transactions!M5002,1,4,"")</f>
        <v>7</v>
      </c>
    </row>
    <row r="5003" spans="1:13" x14ac:dyDescent="0.2">
      <c r="A5003">
        <v>925352</v>
      </c>
      <c r="B5003" s="5">
        <v>45542</v>
      </c>
      <c r="C5003">
        <v>22115</v>
      </c>
      <c r="D5003" t="str">
        <f>PROPER(Transactions!D5003)</f>
        <v>Home &amp; Garden</v>
      </c>
      <c r="E5003" t="s">
        <v>137</v>
      </c>
      <c r="F5003" t="s">
        <v>138</v>
      </c>
      <c r="G5003">
        <v>1</v>
      </c>
      <c r="H5003">
        <v>6.39</v>
      </c>
      <c r="I5003" s="7">
        <f>IF(Transactions!I5003="",0,Transactions!I5003)</f>
        <v>0.2</v>
      </c>
      <c r="J5003" s="9">
        <f t="shared" si="78"/>
        <v>5.1120000000000001</v>
      </c>
      <c r="K5003" t="s">
        <v>36</v>
      </c>
      <c r="L5003" t="s">
        <v>17</v>
      </c>
      <c r="M5003" t="str">
        <f>REPLACE(Transactions!M5003,1,4,"")</f>
        <v>2</v>
      </c>
    </row>
    <row r="5004" spans="1:13" x14ac:dyDescent="0.2">
      <c r="A5004">
        <v>925537</v>
      </c>
      <c r="B5004" s="5">
        <v>44793</v>
      </c>
      <c r="C5004">
        <v>11967</v>
      </c>
      <c r="D5004" t="str">
        <f>PROPER(Transactions!D5004)</f>
        <v>Clothing</v>
      </c>
      <c r="E5004" t="s">
        <v>121</v>
      </c>
      <c r="F5004" t="s">
        <v>122</v>
      </c>
      <c r="G5004">
        <v>5</v>
      </c>
      <c r="H5004">
        <v>11.04</v>
      </c>
      <c r="I5004" s="7">
        <f>IF(Transactions!I5004="",0,Transactions!I5004)</f>
        <v>0.15</v>
      </c>
      <c r="J5004" s="9">
        <f t="shared" si="78"/>
        <v>46.919999999999995</v>
      </c>
      <c r="K5004" t="s">
        <v>22</v>
      </c>
      <c r="L5004" t="s">
        <v>17</v>
      </c>
      <c r="M5004" t="str">
        <f>REPLACE(Transactions!M5004,1,4,"")</f>
        <v>13</v>
      </c>
    </row>
    <row r="5005" spans="1:13" x14ac:dyDescent="0.2">
      <c r="A5005">
        <v>925814</v>
      </c>
      <c r="B5005" s="5">
        <v>44975</v>
      </c>
      <c r="C5005">
        <v>42848</v>
      </c>
      <c r="D5005" t="str">
        <f>PROPER(Transactions!D5005)</f>
        <v>Beauty</v>
      </c>
      <c r="E5005" t="s">
        <v>143</v>
      </c>
      <c r="F5005" t="s">
        <v>144</v>
      </c>
      <c r="G5005">
        <v>1</v>
      </c>
      <c r="H5005">
        <v>11.99</v>
      </c>
      <c r="I5005" s="7">
        <f>IF(Transactions!I5005="",0,Transactions!I5005)</f>
        <v>0.2</v>
      </c>
      <c r="J5005" s="9">
        <f t="shared" si="78"/>
        <v>9.5920000000000005</v>
      </c>
      <c r="K5005" t="s">
        <v>95</v>
      </c>
      <c r="L5005" t="s">
        <v>37</v>
      </c>
      <c r="M5005" t="str">
        <f>REPLACE(Transactions!M5005,1,4,"")</f>
        <v>13</v>
      </c>
    </row>
    <row r="5006" spans="1:13" x14ac:dyDescent="0.2">
      <c r="A5006">
        <v>925881</v>
      </c>
      <c r="B5006" s="5">
        <v>45507</v>
      </c>
      <c r="D5006" t="str">
        <f>PROPER(Transactions!D5006)</f>
        <v>Home &amp; Garden</v>
      </c>
      <c r="E5006" t="s">
        <v>86</v>
      </c>
      <c r="F5006" t="s">
        <v>87</v>
      </c>
      <c r="G5006">
        <v>2</v>
      </c>
      <c r="H5006">
        <v>9.74</v>
      </c>
      <c r="I5006" s="7">
        <f>IF(Transactions!I5006="",0,Transactions!I5006)</f>
        <v>0.25</v>
      </c>
      <c r="J5006" s="9">
        <f t="shared" si="78"/>
        <v>14.61</v>
      </c>
      <c r="K5006" t="s">
        <v>22</v>
      </c>
      <c r="L5006" t="s">
        <v>37</v>
      </c>
      <c r="M5006" t="str">
        <f>REPLACE(Transactions!M5006,1,4,"")</f>
        <v>20</v>
      </c>
    </row>
    <row r="5007" spans="1:13" x14ac:dyDescent="0.2">
      <c r="A5007">
        <v>925924</v>
      </c>
      <c r="B5007" s="5">
        <v>44997</v>
      </c>
      <c r="C5007">
        <v>61080</v>
      </c>
      <c r="D5007" t="str">
        <f>PROPER(Transactions!D5007)</f>
        <v>Pharmacy</v>
      </c>
      <c r="E5007" t="s">
        <v>115</v>
      </c>
      <c r="F5007" t="s">
        <v>116</v>
      </c>
      <c r="G5007">
        <v>1</v>
      </c>
      <c r="H5007">
        <v>12.99</v>
      </c>
      <c r="I5007" s="7">
        <f>IF(Transactions!I5007="",0,Transactions!I5007)</f>
        <v>0</v>
      </c>
      <c r="J5007" s="9">
        <f t="shared" si="78"/>
        <v>12.99</v>
      </c>
      <c r="K5007" t="s">
        <v>95</v>
      </c>
      <c r="L5007" t="s">
        <v>17</v>
      </c>
      <c r="M5007" t="str">
        <f>REPLACE(Transactions!M5007,1,4,"")</f>
        <v>19</v>
      </c>
    </row>
    <row r="5008" spans="1:13" x14ac:dyDescent="0.2">
      <c r="A5008">
        <v>926343</v>
      </c>
      <c r="B5008" s="5">
        <v>45000</v>
      </c>
      <c r="C5008">
        <v>32728</v>
      </c>
      <c r="D5008" t="str">
        <f>PROPER(Transactions!D5008)</f>
        <v>Toys</v>
      </c>
      <c r="E5008" t="s">
        <v>30</v>
      </c>
      <c r="F5008" t="s">
        <v>31</v>
      </c>
      <c r="G5008">
        <v>2</v>
      </c>
      <c r="H5008">
        <v>24.99</v>
      </c>
      <c r="I5008" s="7">
        <f>IF(Transactions!I5008="",0,Transactions!I5008)</f>
        <v>0</v>
      </c>
      <c r="J5008" s="9">
        <f t="shared" si="78"/>
        <v>49.98</v>
      </c>
      <c r="K5008" t="s">
        <v>16</v>
      </c>
      <c r="L5008" t="s">
        <v>23</v>
      </c>
      <c r="M5008" t="str">
        <f>REPLACE(Transactions!M5008,1,4,"")</f>
        <v>8</v>
      </c>
    </row>
    <row r="5009" spans="1:13" x14ac:dyDescent="0.2">
      <c r="A5009">
        <v>926471</v>
      </c>
      <c r="B5009" s="5">
        <v>44826</v>
      </c>
      <c r="C5009">
        <v>28978</v>
      </c>
      <c r="D5009" t="str">
        <f>PROPER(Transactions!D5009)</f>
        <v>Home &amp; Garden</v>
      </c>
      <c r="E5009" t="s">
        <v>86</v>
      </c>
      <c r="F5009" t="s">
        <v>87</v>
      </c>
      <c r="G5009">
        <v>1</v>
      </c>
      <c r="H5009">
        <v>12.34</v>
      </c>
      <c r="I5009" s="7">
        <f>IF(Transactions!I5009="",0,Transactions!I5009)</f>
        <v>0.05</v>
      </c>
      <c r="J5009" s="9">
        <f t="shared" si="78"/>
        <v>11.722999999999999</v>
      </c>
      <c r="K5009" t="s">
        <v>36</v>
      </c>
      <c r="L5009" t="s">
        <v>37</v>
      </c>
      <c r="M5009" t="str">
        <f>REPLACE(Transactions!M5009,1,4,"")</f>
        <v>10</v>
      </c>
    </row>
    <row r="5010" spans="1:13" x14ac:dyDescent="0.2">
      <c r="A5010">
        <v>926502</v>
      </c>
      <c r="B5010" s="5">
        <v>44938</v>
      </c>
      <c r="C5010">
        <v>53500</v>
      </c>
      <c r="D5010" t="str">
        <f>PROPER(Transactions!D5010)</f>
        <v>Pharmacy</v>
      </c>
      <c r="E5010" t="s">
        <v>115</v>
      </c>
      <c r="F5010" t="s">
        <v>116</v>
      </c>
      <c r="G5010">
        <v>2</v>
      </c>
      <c r="H5010">
        <v>9.09</v>
      </c>
      <c r="I5010" s="7">
        <f>IF(Transactions!I5010="",0,Transactions!I5010)</f>
        <v>0.3</v>
      </c>
      <c r="J5010" s="9">
        <f t="shared" si="78"/>
        <v>12.725999999999999</v>
      </c>
      <c r="K5010" t="s">
        <v>53</v>
      </c>
      <c r="L5010" t="s">
        <v>17</v>
      </c>
      <c r="M5010" t="str">
        <f>REPLACE(Transactions!M5010,1,4,"")</f>
        <v>17</v>
      </c>
    </row>
    <row r="5011" spans="1:13" x14ac:dyDescent="0.2">
      <c r="A5011">
        <v>926556</v>
      </c>
      <c r="B5011" s="5">
        <v>45421</v>
      </c>
      <c r="C5011">
        <v>62352</v>
      </c>
      <c r="D5011" t="str">
        <f>PROPER(Transactions!D5011)</f>
        <v>Grocery</v>
      </c>
      <c r="E5011" t="s">
        <v>190</v>
      </c>
      <c r="F5011" t="s">
        <v>191</v>
      </c>
      <c r="G5011">
        <v>4</v>
      </c>
      <c r="H5011">
        <v>4.29</v>
      </c>
      <c r="I5011" s="7">
        <f>IF(Transactions!I5011="",0,Transactions!I5011)</f>
        <v>0</v>
      </c>
      <c r="J5011" s="9">
        <f t="shared" si="78"/>
        <v>17.16</v>
      </c>
      <c r="K5011" t="s">
        <v>36</v>
      </c>
      <c r="L5011" t="s">
        <v>23</v>
      </c>
      <c r="M5011" t="str">
        <f>REPLACE(Transactions!M5011,1,4,"")</f>
        <v>7</v>
      </c>
    </row>
    <row r="5012" spans="1:13" x14ac:dyDescent="0.2">
      <c r="A5012">
        <v>926901</v>
      </c>
      <c r="B5012" s="5">
        <v>45248</v>
      </c>
      <c r="C5012">
        <v>30992</v>
      </c>
      <c r="D5012" t="str">
        <f>PROPER(Transactions!D5012)</f>
        <v>Pharmacy</v>
      </c>
      <c r="E5012" t="s">
        <v>41</v>
      </c>
      <c r="F5012" t="s">
        <v>42</v>
      </c>
      <c r="G5012">
        <v>1</v>
      </c>
      <c r="H5012">
        <v>5.99</v>
      </c>
      <c r="I5012" s="7">
        <f>IF(Transactions!I5012="",0,Transactions!I5012)</f>
        <v>0</v>
      </c>
      <c r="J5012" s="9">
        <f t="shared" si="78"/>
        <v>5.99</v>
      </c>
      <c r="K5012" t="s">
        <v>36</v>
      </c>
      <c r="L5012" t="s">
        <v>37</v>
      </c>
      <c r="M5012" t="str">
        <f>REPLACE(Transactions!M5012,1,4,"")</f>
        <v>7</v>
      </c>
    </row>
    <row r="5013" spans="1:13" x14ac:dyDescent="0.2">
      <c r="A5013">
        <v>927311</v>
      </c>
      <c r="B5013" s="5">
        <v>45341</v>
      </c>
      <c r="C5013">
        <v>58847</v>
      </c>
      <c r="D5013" t="str">
        <f>PROPER(Transactions!D5013)</f>
        <v>Pharmacy</v>
      </c>
      <c r="E5013" t="s">
        <v>197</v>
      </c>
      <c r="F5013" t="s">
        <v>198</v>
      </c>
      <c r="G5013">
        <v>5</v>
      </c>
      <c r="H5013">
        <v>10.49</v>
      </c>
      <c r="I5013" s="7">
        <f>IF(Transactions!I5013="",0,Transactions!I5013)</f>
        <v>0.3</v>
      </c>
      <c r="J5013" s="9">
        <f t="shared" si="78"/>
        <v>36.714999999999996</v>
      </c>
      <c r="K5013" t="s">
        <v>16</v>
      </c>
      <c r="L5013" t="s">
        <v>17</v>
      </c>
      <c r="M5013" t="str">
        <f>REPLACE(Transactions!M5013,1,4,"")</f>
        <v>12</v>
      </c>
    </row>
    <row r="5014" spans="1:13" x14ac:dyDescent="0.2">
      <c r="A5014">
        <v>927683</v>
      </c>
      <c r="B5014" s="5">
        <v>45541</v>
      </c>
      <c r="C5014">
        <v>53053</v>
      </c>
      <c r="D5014" t="str">
        <f>PROPER(Transactions!D5014)</f>
        <v>Beauty</v>
      </c>
      <c r="E5014" t="s">
        <v>139</v>
      </c>
      <c r="F5014" t="s">
        <v>140</v>
      </c>
      <c r="G5014">
        <v>1</v>
      </c>
      <c r="H5014">
        <v>7.59</v>
      </c>
      <c r="I5014" s="7">
        <f>IF(Transactions!I5014="",0,Transactions!I5014)</f>
        <v>0.05</v>
      </c>
      <c r="J5014" s="9">
        <f t="shared" si="78"/>
        <v>7.2104999999999997</v>
      </c>
      <c r="K5014" t="s">
        <v>36</v>
      </c>
      <c r="L5014" t="s">
        <v>17</v>
      </c>
      <c r="M5014" t="str">
        <f>REPLACE(Transactions!M5014,1,4,"")</f>
        <v/>
      </c>
    </row>
    <row r="5015" spans="1:13" x14ac:dyDescent="0.2">
      <c r="A5015">
        <v>927695</v>
      </c>
      <c r="B5015" s="5">
        <v>45118</v>
      </c>
      <c r="C5015">
        <v>15139</v>
      </c>
      <c r="D5015" t="str">
        <f>PROPER(Transactions!D5015)</f>
        <v>Grocery</v>
      </c>
      <c r="E5015" t="s">
        <v>184</v>
      </c>
      <c r="F5015" t="s">
        <v>185</v>
      </c>
      <c r="G5015">
        <v>1</v>
      </c>
      <c r="H5015">
        <v>4.3899999999999997</v>
      </c>
      <c r="I5015" s="7">
        <f>IF(Transactions!I5015="",0,Transactions!I5015)</f>
        <v>0.2</v>
      </c>
      <c r="J5015" s="9">
        <f t="shared" si="78"/>
        <v>3.512</v>
      </c>
      <c r="K5015" t="s">
        <v>36</v>
      </c>
      <c r="L5015" t="s">
        <v>17</v>
      </c>
      <c r="M5015" t="str">
        <f>REPLACE(Transactions!M5015,1,4,"")</f>
        <v>6</v>
      </c>
    </row>
    <row r="5016" spans="1:13" x14ac:dyDescent="0.2">
      <c r="A5016">
        <v>928023</v>
      </c>
      <c r="B5016" s="5">
        <v>45301</v>
      </c>
      <c r="C5016">
        <v>53641</v>
      </c>
      <c r="D5016" t="str">
        <f>PROPER(Transactions!D5016)</f>
        <v>Furniture</v>
      </c>
      <c r="E5016" t="s">
        <v>113</v>
      </c>
      <c r="F5016" t="s">
        <v>114</v>
      </c>
      <c r="G5016">
        <v>2</v>
      </c>
      <c r="H5016">
        <v>89.99</v>
      </c>
      <c r="I5016" s="7">
        <f>IF(Transactions!I5016="",0,Transactions!I5016)</f>
        <v>0.25</v>
      </c>
      <c r="J5016" s="9">
        <f t="shared" si="78"/>
        <v>134.98499999999999</v>
      </c>
      <c r="K5016" t="s">
        <v>36</v>
      </c>
      <c r="L5016" t="s">
        <v>17</v>
      </c>
      <c r="M5016" t="str">
        <f>REPLACE(Transactions!M5016,1,4,"")</f>
        <v>12</v>
      </c>
    </row>
    <row r="5017" spans="1:13" x14ac:dyDescent="0.2">
      <c r="A5017">
        <v>928419</v>
      </c>
      <c r="B5017" s="5">
        <v>45553</v>
      </c>
      <c r="C5017">
        <v>16518</v>
      </c>
      <c r="D5017" t="str">
        <f>PROPER(Transactions!D5017)</f>
        <v>Pharmacy</v>
      </c>
      <c r="E5017" t="s">
        <v>58</v>
      </c>
      <c r="F5017" t="s">
        <v>59</v>
      </c>
      <c r="G5017">
        <v>5</v>
      </c>
      <c r="H5017">
        <v>3.19</v>
      </c>
      <c r="I5017" s="7">
        <f>IF(Transactions!I5017="",0,Transactions!I5017)</f>
        <v>0.2</v>
      </c>
      <c r="J5017" s="9">
        <f t="shared" si="78"/>
        <v>12.76</v>
      </c>
      <c r="K5017" t="s">
        <v>22</v>
      </c>
      <c r="L5017" t="s">
        <v>37</v>
      </c>
      <c r="M5017" t="str">
        <f>REPLACE(Transactions!M5017,1,4,"")</f>
        <v>15</v>
      </c>
    </row>
    <row r="5018" spans="1:13" x14ac:dyDescent="0.2">
      <c r="A5018">
        <v>928630</v>
      </c>
      <c r="B5018" s="5">
        <v>45090</v>
      </c>
      <c r="C5018">
        <v>30222</v>
      </c>
      <c r="D5018" t="str">
        <f>PROPER(Transactions!D5018)</f>
        <v>Home &amp; Garden</v>
      </c>
      <c r="E5018" t="s">
        <v>137</v>
      </c>
      <c r="F5018" t="s">
        <v>138</v>
      </c>
      <c r="G5018">
        <v>5</v>
      </c>
      <c r="H5018">
        <v>7.59</v>
      </c>
      <c r="I5018" s="7">
        <f>IF(Transactions!I5018="",0,Transactions!I5018)</f>
        <v>0.05</v>
      </c>
      <c r="J5018" s="9">
        <f t="shared" si="78"/>
        <v>36.052500000000002</v>
      </c>
      <c r="K5018" t="s">
        <v>32</v>
      </c>
      <c r="L5018" t="s">
        <v>17</v>
      </c>
      <c r="M5018" t="str">
        <f>REPLACE(Transactions!M5018,1,4,"")</f>
        <v>12</v>
      </c>
    </row>
    <row r="5019" spans="1:13" x14ac:dyDescent="0.2">
      <c r="A5019">
        <v>928699</v>
      </c>
      <c r="B5019" s="5">
        <v>44638</v>
      </c>
      <c r="C5019">
        <v>79090</v>
      </c>
      <c r="D5019" t="str">
        <f>PROPER(Transactions!D5019)</f>
        <v>Electronics</v>
      </c>
      <c r="E5019" t="s">
        <v>14</v>
      </c>
      <c r="F5019" t="s">
        <v>15</v>
      </c>
      <c r="G5019">
        <v>5</v>
      </c>
      <c r="H5019">
        <v>79.989999999999995</v>
      </c>
      <c r="I5019" s="7">
        <f>IF(Transactions!I5019="",0,Transactions!I5019)</f>
        <v>0</v>
      </c>
      <c r="J5019" s="9">
        <f t="shared" si="78"/>
        <v>399.95</v>
      </c>
      <c r="K5019" t="s">
        <v>53</v>
      </c>
      <c r="L5019" t="s">
        <v>17</v>
      </c>
      <c r="M5019" t="str">
        <f>REPLACE(Transactions!M5019,1,4,"")</f>
        <v>17</v>
      </c>
    </row>
    <row r="5020" spans="1:13" x14ac:dyDescent="0.2">
      <c r="A5020">
        <v>928727</v>
      </c>
      <c r="B5020" s="5">
        <v>45481</v>
      </c>
      <c r="C5020">
        <v>11500</v>
      </c>
      <c r="D5020" t="str">
        <f>PROPER(Transactions!D5020)</f>
        <v>Beauty</v>
      </c>
      <c r="E5020" t="s">
        <v>143</v>
      </c>
      <c r="F5020" t="s">
        <v>144</v>
      </c>
      <c r="G5020">
        <v>2</v>
      </c>
      <c r="H5020">
        <v>11.99</v>
      </c>
      <c r="I5020" s="7">
        <f>IF(Transactions!I5020="",0,Transactions!I5020)</f>
        <v>0.2</v>
      </c>
      <c r="J5020" s="9">
        <f t="shared" si="78"/>
        <v>19.184000000000001</v>
      </c>
      <c r="K5020" t="s">
        <v>36</v>
      </c>
      <c r="L5020" t="s">
        <v>23</v>
      </c>
      <c r="M5020" t="str">
        <f>REPLACE(Transactions!M5020,1,4,"")</f>
        <v>14</v>
      </c>
    </row>
    <row r="5021" spans="1:13" x14ac:dyDescent="0.2">
      <c r="A5021">
        <v>928842</v>
      </c>
      <c r="B5021" s="5">
        <v>45291</v>
      </c>
      <c r="C5021">
        <v>14178</v>
      </c>
      <c r="D5021" t="str">
        <f>PROPER(Transactions!D5021)</f>
        <v>Sports</v>
      </c>
      <c r="E5021" t="s">
        <v>168</v>
      </c>
      <c r="F5021" t="s">
        <v>169</v>
      </c>
      <c r="G5021">
        <v>4</v>
      </c>
      <c r="H5021">
        <v>8.99</v>
      </c>
      <c r="I5021" s="7">
        <f>IF(Transactions!I5021="",0,Transactions!I5021)</f>
        <v>0</v>
      </c>
      <c r="J5021" s="9">
        <f t="shared" si="78"/>
        <v>35.96</v>
      </c>
      <c r="K5021" t="s">
        <v>36</v>
      </c>
      <c r="L5021" t="s">
        <v>37</v>
      </c>
      <c r="M5021" t="str">
        <f>REPLACE(Transactions!M5021,1,4,"")</f>
        <v>5</v>
      </c>
    </row>
    <row r="5022" spans="1:13" x14ac:dyDescent="0.2">
      <c r="A5022">
        <v>928930</v>
      </c>
      <c r="B5022" s="5">
        <v>44581</v>
      </c>
      <c r="C5022">
        <v>50827</v>
      </c>
      <c r="D5022" t="str">
        <f>PROPER(Transactions!D5022)</f>
        <v>Grocery</v>
      </c>
      <c r="E5022" t="s">
        <v>177</v>
      </c>
      <c r="F5022" t="s">
        <v>178</v>
      </c>
      <c r="G5022">
        <v>3</v>
      </c>
      <c r="H5022">
        <v>8.99</v>
      </c>
      <c r="I5022" s="7">
        <f>IF(Transactions!I5022="",0,Transactions!I5022)</f>
        <v>0.25</v>
      </c>
      <c r="J5022" s="9">
        <f t="shared" si="78"/>
        <v>20.227499999999999</v>
      </c>
      <c r="K5022" t="s">
        <v>36</v>
      </c>
      <c r="L5022" t="s">
        <v>17</v>
      </c>
      <c r="M5022" t="str">
        <f>REPLACE(Transactions!M5022,1,4,"")</f>
        <v>8</v>
      </c>
    </row>
    <row r="5023" spans="1:13" x14ac:dyDescent="0.2">
      <c r="A5023">
        <v>928992</v>
      </c>
      <c r="B5023" s="5">
        <v>44842</v>
      </c>
      <c r="C5023">
        <v>80300</v>
      </c>
      <c r="D5023" t="str">
        <f>PROPER(Transactions!D5023)</f>
        <v>Home &amp; Garden</v>
      </c>
      <c r="E5023" t="s">
        <v>129</v>
      </c>
      <c r="F5023" t="s">
        <v>130</v>
      </c>
      <c r="G5023">
        <v>2</v>
      </c>
      <c r="H5023">
        <v>6.29</v>
      </c>
      <c r="I5023" s="7">
        <f>IF(Transactions!I5023="",0,Transactions!I5023)</f>
        <v>0.3</v>
      </c>
      <c r="J5023" s="9">
        <f t="shared" si="78"/>
        <v>8.8059999999999992</v>
      </c>
      <c r="K5023" t="s">
        <v>16</v>
      </c>
      <c r="L5023" t="s">
        <v>23</v>
      </c>
      <c r="M5023" t="str">
        <f>REPLACE(Transactions!M5023,1,4,"")</f>
        <v>9</v>
      </c>
    </row>
    <row r="5024" spans="1:13" x14ac:dyDescent="0.2">
      <c r="A5024">
        <v>929259</v>
      </c>
      <c r="B5024" s="5">
        <v>45111</v>
      </c>
      <c r="C5024">
        <v>13662</v>
      </c>
      <c r="D5024" t="str">
        <f>PROPER(Transactions!D5024)</f>
        <v>Electronics</v>
      </c>
      <c r="E5024" t="s">
        <v>34</v>
      </c>
      <c r="F5024" t="s">
        <v>35</v>
      </c>
      <c r="G5024">
        <v>1</v>
      </c>
      <c r="H5024">
        <v>33.24</v>
      </c>
      <c r="I5024" s="7">
        <f>IF(Transactions!I5024="",0,Transactions!I5024)</f>
        <v>0.05</v>
      </c>
      <c r="J5024" s="9">
        <f t="shared" si="78"/>
        <v>31.577999999999999</v>
      </c>
      <c r="K5024" t="s">
        <v>16</v>
      </c>
      <c r="L5024" t="s">
        <v>17</v>
      </c>
      <c r="M5024" t="str">
        <f>REPLACE(Transactions!M5024,1,4,"")</f>
        <v>4</v>
      </c>
    </row>
    <row r="5025" spans="1:13" x14ac:dyDescent="0.2">
      <c r="A5025">
        <v>929384</v>
      </c>
      <c r="B5025" s="5">
        <v>44929</v>
      </c>
      <c r="C5025">
        <v>98874</v>
      </c>
      <c r="D5025" t="str">
        <f>PROPER(Transactions!D5025)</f>
        <v>Pharmacy</v>
      </c>
      <c r="E5025" t="s">
        <v>58</v>
      </c>
      <c r="F5025" t="s">
        <v>59</v>
      </c>
      <c r="G5025">
        <v>5</v>
      </c>
      <c r="H5025">
        <v>3.39</v>
      </c>
      <c r="I5025" s="7">
        <f>IF(Transactions!I5025="",0,Transactions!I5025)</f>
        <v>0.15</v>
      </c>
      <c r="J5025" s="9">
        <f t="shared" si="78"/>
        <v>14.407499999999999</v>
      </c>
      <c r="K5025" t="s">
        <v>16</v>
      </c>
      <c r="L5025" t="s">
        <v>17</v>
      </c>
      <c r="M5025" t="str">
        <f>REPLACE(Transactions!M5025,1,4,"")</f>
        <v>10</v>
      </c>
    </row>
    <row r="5026" spans="1:13" x14ac:dyDescent="0.2">
      <c r="A5026">
        <v>929484</v>
      </c>
      <c r="B5026" s="5">
        <v>45535</v>
      </c>
      <c r="D5026" t="str">
        <f>PROPER(Transactions!D5026)</f>
        <v>Home &amp; Garden</v>
      </c>
      <c r="E5026" t="s">
        <v>129</v>
      </c>
      <c r="F5026" t="s">
        <v>130</v>
      </c>
      <c r="G5026">
        <v>1</v>
      </c>
      <c r="H5026">
        <v>7.19</v>
      </c>
      <c r="I5026" s="7">
        <f>IF(Transactions!I5026="",0,Transactions!I5026)</f>
        <v>0.2</v>
      </c>
      <c r="J5026" s="9">
        <f t="shared" si="78"/>
        <v>5.7520000000000007</v>
      </c>
      <c r="K5026" t="s">
        <v>16</v>
      </c>
      <c r="L5026" t="s">
        <v>17</v>
      </c>
      <c r="M5026" t="str">
        <f>REPLACE(Transactions!M5026,1,4,"")</f>
        <v>11</v>
      </c>
    </row>
    <row r="5027" spans="1:13" x14ac:dyDescent="0.2">
      <c r="A5027">
        <v>929616</v>
      </c>
      <c r="B5027" s="5">
        <v>44655</v>
      </c>
      <c r="C5027">
        <v>89199</v>
      </c>
      <c r="D5027" t="str">
        <f>PROPER(Transactions!D5027)</f>
        <v>Toys</v>
      </c>
      <c r="E5027" t="s">
        <v>175</v>
      </c>
      <c r="F5027" t="s">
        <v>176</v>
      </c>
      <c r="G5027">
        <v>3</v>
      </c>
      <c r="H5027">
        <v>11.99</v>
      </c>
      <c r="I5027" s="7">
        <f>IF(Transactions!I5027="",0,Transactions!I5027)</f>
        <v>0</v>
      </c>
      <c r="J5027" s="9">
        <f t="shared" si="78"/>
        <v>35.97</v>
      </c>
      <c r="K5027" t="s">
        <v>16</v>
      </c>
      <c r="L5027" t="s">
        <v>37</v>
      </c>
      <c r="M5027" t="str">
        <f>REPLACE(Transactions!M5027,1,4,"")</f>
        <v/>
      </c>
    </row>
    <row r="5028" spans="1:13" x14ac:dyDescent="0.2">
      <c r="A5028">
        <v>929689</v>
      </c>
      <c r="B5028" s="5">
        <v>45431</v>
      </c>
      <c r="C5028">
        <v>88268</v>
      </c>
      <c r="D5028" t="str">
        <f>PROPER(Transactions!D5028)</f>
        <v>Electronics</v>
      </c>
      <c r="E5028" t="s">
        <v>159</v>
      </c>
      <c r="F5028" t="s">
        <v>160</v>
      </c>
      <c r="G5028">
        <v>1</v>
      </c>
      <c r="H5028">
        <v>47.99</v>
      </c>
      <c r="I5028" s="7">
        <f>IF(Transactions!I5028="",0,Transactions!I5028)</f>
        <v>0.2</v>
      </c>
      <c r="J5028" s="9">
        <f t="shared" si="78"/>
        <v>38.392000000000003</v>
      </c>
      <c r="K5028" t="s">
        <v>36</v>
      </c>
      <c r="L5028" t="s">
        <v>17</v>
      </c>
      <c r="M5028" t="str">
        <f>REPLACE(Transactions!M5028,1,4,"")</f>
        <v>8</v>
      </c>
    </row>
    <row r="5029" spans="1:13" x14ac:dyDescent="0.2">
      <c r="A5029">
        <v>929786</v>
      </c>
      <c r="B5029" s="5">
        <v>45601</v>
      </c>
      <c r="C5029">
        <v>40361</v>
      </c>
      <c r="D5029" t="str">
        <f>PROPER(Transactions!D5029)</f>
        <v>Sports</v>
      </c>
      <c r="E5029" t="s">
        <v>155</v>
      </c>
      <c r="F5029" t="s">
        <v>156</v>
      </c>
      <c r="G5029">
        <v>1</v>
      </c>
      <c r="H5029">
        <v>18.989999999999998</v>
      </c>
      <c r="I5029" s="7">
        <f>IF(Transactions!I5029="",0,Transactions!I5029)</f>
        <v>0.05</v>
      </c>
      <c r="J5029" s="9">
        <f t="shared" si="78"/>
        <v>18.040499999999998</v>
      </c>
      <c r="K5029" t="s">
        <v>22</v>
      </c>
      <c r="L5029" t="s">
        <v>17</v>
      </c>
      <c r="M5029" t="str">
        <f>REPLACE(Transactions!M5029,1,4,"")</f>
        <v>13</v>
      </c>
    </row>
    <row r="5030" spans="1:13" x14ac:dyDescent="0.2">
      <c r="A5030">
        <v>929867</v>
      </c>
      <c r="B5030" s="5">
        <v>45337</v>
      </c>
      <c r="C5030">
        <v>57009</v>
      </c>
      <c r="D5030" t="str">
        <f>PROPER(Transactions!D5030)</f>
        <v>Sports</v>
      </c>
      <c r="E5030" t="s">
        <v>155</v>
      </c>
      <c r="F5030" t="s">
        <v>156</v>
      </c>
      <c r="G5030">
        <v>2</v>
      </c>
      <c r="H5030">
        <v>15.99</v>
      </c>
      <c r="I5030" s="7">
        <f>IF(Transactions!I5030="",0,Transactions!I5030)</f>
        <v>0.2</v>
      </c>
      <c r="J5030" s="9">
        <f t="shared" si="78"/>
        <v>25.584000000000003</v>
      </c>
      <c r="K5030" t="s">
        <v>22</v>
      </c>
      <c r="L5030" t="s">
        <v>37</v>
      </c>
      <c r="M5030" t="str">
        <f>REPLACE(Transactions!M5030,1,4,"")</f>
        <v>19</v>
      </c>
    </row>
    <row r="5031" spans="1:13" x14ac:dyDescent="0.2">
      <c r="A5031">
        <v>930265</v>
      </c>
      <c r="B5031" s="5">
        <v>45115</v>
      </c>
      <c r="C5031">
        <v>90845</v>
      </c>
      <c r="D5031" t="str">
        <f>PROPER(Transactions!D5031)</f>
        <v>Sports</v>
      </c>
      <c r="E5031" t="s">
        <v>188</v>
      </c>
      <c r="F5031" t="s">
        <v>189</v>
      </c>
      <c r="G5031">
        <v>4</v>
      </c>
      <c r="H5031">
        <v>44.99</v>
      </c>
      <c r="I5031" s="7">
        <f>IF(Transactions!I5031="",0,Transactions!I5031)</f>
        <v>0</v>
      </c>
      <c r="J5031" s="9">
        <f t="shared" si="78"/>
        <v>179.96</v>
      </c>
      <c r="K5031" t="s">
        <v>16</v>
      </c>
      <c r="L5031" t="s">
        <v>17</v>
      </c>
      <c r="M5031" t="str">
        <f>REPLACE(Transactions!M5031,1,4,"")</f>
        <v>2</v>
      </c>
    </row>
    <row r="5032" spans="1:13" x14ac:dyDescent="0.2">
      <c r="A5032">
        <v>930569</v>
      </c>
      <c r="B5032" s="5">
        <v>45622</v>
      </c>
      <c r="C5032">
        <v>66721</v>
      </c>
      <c r="D5032" t="str">
        <f>PROPER(Transactions!D5032)</f>
        <v>Toys</v>
      </c>
      <c r="E5032" t="s">
        <v>38</v>
      </c>
      <c r="F5032" t="s">
        <v>39</v>
      </c>
      <c r="G5032">
        <v>1</v>
      </c>
      <c r="H5032">
        <v>28.49</v>
      </c>
      <c r="I5032" s="7">
        <f>IF(Transactions!I5032="",0,Transactions!I5032)</f>
        <v>0.05</v>
      </c>
      <c r="J5032" s="9">
        <f t="shared" si="78"/>
        <v>27.065499999999997</v>
      </c>
      <c r="K5032" t="s">
        <v>36</v>
      </c>
      <c r="L5032" t="s">
        <v>17</v>
      </c>
      <c r="M5032" t="str">
        <f>REPLACE(Transactions!M5032,1,4,"")</f>
        <v>16</v>
      </c>
    </row>
    <row r="5033" spans="1:13" x14ac:dyDescent="0.2">
      <c r="A5033">
        <v>931063</v>
      </c>
      <c r="B5033" s="5">
        <v>44796</v>
      </c>
      <c r="C5033">
        <v>67052</v>
      </c>
      <c r="D5033" t="str">
        <f>PROPER(Transactions!D5033)</f>
        <v>Home &amp; Garden</v>
      </c>
      <c r="E5033" t="s">
        <v>157</v>
      </c>
      <c r="F5033" t="s">
        <v>158</v>
      </c>
      <c r="G5033">
        <v>3</v>
      </c>
      <c r="H5033">
        <v>13.49</v>
      </c>
      <c r="I5033" s="7">
        <f>IF(Transactions!I5033="",0,Transactions!I5033)</f>
        <v>0</v>
      </c>
      <c r="J5033" s="9">
        <f t="shared" si="78"/>
        <v>40.47</v>
      </c>
      <c r="K5033" t="s">
        <v>16</v>
      </c>
      <c r="L5033" t="s">
        <v>17</v>
      </c>
      <c r="M5033" t="str">
        <f>REPLACE(Transactions!M5033,1,4,"")</f>
        <v>14</v>
      </c>
    </row>
    <row r="5034" spans="1:13" x14ac:dyDescent="0.2">
      <c r="A5034">
        <v>931149</v>
      </c>
      <c r="B5034" s="5">
        <v>45080</v>
      </c>
      <c r="C5034">
        <v>67034</v>
      </c>
      <c r="D5034" t="str">
        <f>PROPER(Transactions!D5034)</f>
        <v>Home &amp; Garden</v>
      </c>
      <c r="E5034" t="s">
        <v>129</v>
      </c>
      <c r="F5034" t="s">
        <v>130</v>
      </c>
      <c r="G5034">
        <v>1</v>
      </c>
      <c r="H5034">
        <v>8.09</v>
      </c>
      <c r="I5034" s="7">
        <f>IF(Transactions!I5034="",0,Transactions!I5034)</f>
        <v>0.1</v>
      </c>
      <c r="J5034" s="9">
        <f t="shared" si="78"/>
        <v>7.2809999999999997</v>
      </c>
      <c r="K5034" t="s">
        <v>16</v>
      </c>
      <c r="L5034" t="s">
        <v>23</v>
      </c>
      <c r="M5034" t="str">
        <f>REPLACE(Transactions!M5034,1,4,"")</f>
        <v>20</v>
      </c>
    </row>
    <row r="5035" spans="1:13" x14ac:dyDescent="0.2">
      <c r="A5035">
        <v>931240</v>
      </c>
      <c r="B5035" s="5">
        <v>44779</v>
      </c>
      <c r="C5035">
        <v>88696</v>
      </c>
      <c r="D5035" t="str">
        <f>PROPER(Transactions!D5035)</f>
        <v>Furniture</v>
      </c>
      <c r="E5035" t="s">
        <v>60</v>
      </c>
      <c r="F5035" t="s">
        <v>61</v>
      </c>
      <c r="G5035">
        <v>1</v>
      </c>
      <c r="H5035">
        <v>49.49</v>
      </c>
      <c r="I5035" s="7">
        <f>IF(Transactions!I5035="",0,Transactions!I5035)</f>
        <v>0.1</v>
      </c>
      <c r="J5035" s="9">
        <f t="shared" si="78"/>
        <v>44.541000000000004</v>
      </c>
      <c r="K5035" t="s">
        <v>16</v>
      </c>
      <c r="L5035" t="s">
        <v>23</v>
      </c>
      <c r="M5035" t="str">
        <f>REPLACE(Transactions!M5035,1,4,"")</f>
        <v>3</v>
      </c>
    </row>
    <row r="5036" spans="1:13" x14ac:dyDescent="0.2">
      <c r="A5036">
        <v>931323</v>
      </c>
      <c r="B5036" s="5">
        <v>44758</v>
      </c>
      <c r="C5036">
        <v>26284</v>
      </c>
      <c r="D5036" t="str">
        <f>PROPER(Transactions!D5036)</f>
        <v>Grocery</v>
      </c>
      <c r="E5036" t="s">
        <v>45</v>
      </c>
      <c r="F5036" t="s">
        <v>46</v>
      </c>
      <c r="G5036">
        <v>1</v>
      </c>
      <c r="H5036">
        <v>1.25</v>
      </c>
      <c r="I5036" s="7">
        <f>IF(Transactions!I5036="",0,Transactions!I5036)</f>
        <v>0.3</v>
      </c>
      <c r="J5036" s="9">
        <f t="shared" si="78"/>
        <v>0.875</v>
      </c>
      <c r="K5036" t="s">
        <v>16</v>
      </c>
      <c r="L5036" t="s">
        <v>37</v>
      </c>
      <c r="M5036" t="str">
        <f>REPLACE(Transactions!M5036,1,4,"")</f>
        <v>11</v>
      </c>
    </row>
    <row r="5037" spans="1:13" x14ac:dyDescent="0.2">
      <c r="A5037">
        <v>931360</v>
      </c>
      <c r="B5037" s="5">
        <v>44818</v>
      </c>
      <c r="C5037">
        <v>45246</v>
      </c>
      <c r="D5037" t="str">
        <f>PROPER(Transactions!D5037)</f>
        <v>Toys</v>
      </c>
      <c r="E5037" t="s">
        <v>175</v>
      </c>
      <c r="F5037" t="s">
        <v>176</v>
      </c>
      <c r="G5037">
        <v>1</v>
      </c>
      <c r="H5037">
        <v>8.39</v>
      </c>
      <c r="I5037" s="7">
        <f>IF(Transactions!I5037="",0,Transactions!I5037)</f>
        <v>0.3</v>
      </c>
      <c r="J5037" s="9">
        <f t="shared" si="78"/>
        <v>5.8730000000000002</v>
      </c>
      <c r="K5037" t="s">
        <v>36</v>
      </c>
      <c r="L5037" t="s">
        <v>17</v>
      </c>
      <c r="M5037" t="str">
        <f>REPLACE(Transactions!M5037,1,4,"")</f>
        <v>1</v>
      </c>
    </row>
    <row r="5038" spans="1:13" x14ac:dyDescent="0.2">
      <c r="A5038">
        <v>931819</v>
      </c>
      <c r="B5038" s="5">
        <v>44602</v>
      </c>
      <c r="C5038">
        <v>26653</v>
      </c>
      <c r="D5038" t="str">
        <f>PROPER(Transactions!D5038)</f>
        <v>Home &amp; Garden</v>
      </c>
      <c r="E5038" t="s">
        <v>137</v>
      </c>
      <c r="F5038" t="s">
        <v>138</v>
      </c>
      <c r="G5038">
        <v>4</v>
      </c>
      <c r="H5038">
        <v>5.99</v>
      </c>
      <c r="I5038" s="7">
        <f>IF(Transactions!I5038="",0,Transactions!I5038)</f>
        <v>0.25</v>
      </c>
      <c r="J5038" s="9">
        <f t="shared" si="78"/>
        <v>17.97</v>
      </c>
      <c r="K5038" t="s">
        <v>36</v>
      </c>
      <c r="L5038" t="s">
        <v>17</v>
      </c>
      <c r="M5038" t="str">
        <f>REPLACE(Transactions!M5038,1,4,"")</f>
        <v>15</v>
      </c>
    </row>
    <row r="5039" spans="1:13" x14ac:dyDescent="0.2">
      <c r="A5039">
        <v>932136</v>
      </c>
      <c r="B5039" s="5">
        <v>45472</v>
      </c>
      <c r="C5039">
        <v>93098</v>
      </c>
      <c r="D5039" t="str">
        <f>PROPER(Transactions!D5039)</f>
        <v>Home &amp; Garden</v>
      </c>
      <c r="E5039" t="s">
        <v>157</v>
      </c>
      <c r="F5039" t="s">
        <v>158</v>
      </c>
      <c r="G5039">
        <v>1</v>
      </c>
      <c r="H5039">
        <v>11.47</v>
      </c>
      <c r="I5039" s="7">
        <f>IF(Transactions!I5039="",0,Transactions!I5039)</f>
        <v>0.15</v>
      </c>
      <c r="J5039" s="9">
        <f t="shared" si="78"/>
        <v>9.7495000000000012</v>
      </c>
      <c r="K5039" t="s">
        <v>95</v>
      </c>
      <c r="L5039" t="s">
        <v>23</v>
      </c>
      <c r="M5039" t="str">
        <f>REPLACE(Transactions!M5039,1,4,"")</f>
        <v>12</v>
      </c>
    </row>
    <row r="5040" spans="1:13" x14ac:dyDescent="0.2">
      <c r="A5040">
        <v>932199</v>
      </c>
      <c r="B5040" s="5">
        <v>44641</v>
      </c>
      <c r="C5040">
        <v>48198</v>
      </c>
      <c r="D5040" t="str">
        <f>PROPER(Transactions!D5040)</f>
        <v>Pharmacy</v>
      </c>
      <c r="E5040" t="s">
        <v>20</v>
      </c>
      <c r="F5040" t="s">
        <v>21</v>
      </c>
      <c r="G5040">
        <v>5</v>
      </c>
      <c r="H5040">
        <v>6.99</v>
      </c>
      <c r="I5040" s="7">
        <f>IF(Transactions!I5040="",0,Transactions!I5040)</f>
        <v>0.3</v>
      </c>
      <c r="J5040" s="9">
        <f t="shared" si="78"/>
        <v>24.465</v>
      </c>
      <c r="K5040" t="s">
        <v>16</v>
      </c>
      <c r="L5040" t="s">
        <v>37</v>
      </c>
      <c r="M5040" t="str">
        <f>REPLACE(Transactions!M5040,1,4,"")</f>
        <v>11</v>
      </c>
    </row>
    <row r="5041" spans="1:13" x14ac:dyDescent="0.2">
      <c r="A5041">
        <v>932589</v>
      </c>
      <c r="B5041" s="5">
        <v>45366</v>
      </c>
      <c r="C5041">
        <v>25146</v>
      </c>
      <c r="D5041" t="str">
        <f>PROPER(Transactions!D5041)</f>
        <v>Toys</v>
      </c>
      <c r="E5041" t="s">
        <v>88</v>
      </c>
      <c r="F5041" t="s">
        <v>89</v>
      </c>
      <c r="G5041">
        <v>2</v>
      </c>
      <c r="H5041">
        <v>49.99</v>
      </c>
      <c r="I5041" s="7">
        <f>IF(Transactions!I5041="",0,Transactions!I5041)</f>
        <v>0</v>
      </c>
      <c r="J5041" s="9">
        <f t="shared" si="78"/>
        <v>99.98</v>
      </c>
      <c r="K5041" t="s">
        <v>36</v>
      </c>
      <c r="L5041" t="s">
        <v>23</v>
      </c>
      <c r="M5041" t="str">
        <f>REPLACE(Transactions!M5041,1,4,"")</f>
        <v>13</v>
      </c>
    </row>
    <row r="5042" spans="1:13" x14ac:dyDescent="0.2">
      <c r="A5042">
        <v>932903</v>
      </c>
      <c r="B5042" s="5">
        <v>44795</v>
      </c>
      <c r="C5042">
        <v>93752</v>
      </c>
      <c r="D5042" t="str">
        <f>PROPER(Transactions!D5042)</f>
        <v>Grocery</v>
      </c>
      <c r="E5042" t="s">
        <v>162</v>
      </c>
      <c r="F5042" t="s">
        <v>163</v>
      </c>
      <c r="G5042">
        <v>3</v>
      </c>
      <c r="H5042">
        <v>7.99</v>
      </c>
      <c r="I5042" s="7">
        <f>IF(Transactions!I5042="",0,Transactions!I5042)</f>
        <v>0</v>
      </c>
      <c r="J5042" s="9">
        <f t="shared" si="78"/>
        <v>23.97</v>
      </c>
      <c r="K5042" t="s">
        <v>16</v>
      </c>
      <c r="L5042" t="s">
        <v>37</v>
      </c>
      <c r="M5042" t="str">
        <f>REPLACE(Transactions!M5042,1,4,"")</f>
        <v>16</v>
      </c>
    </row>
    <row r="5043" spans="1:13" x14ac:dyDescent="0.2">
      <c r="A5043">
        <v>932938</v>
      </c>
      <c r="B5043" s="5">
        <v>45454</v>
      </c>
      <c r="C5043">
        <v>88134</v>
      </c>
      <c r="D5043" t="str">
        <f>PROPER(Transactions!D5043)</f>
        <v>Beauty</v>
      </c>
      <c r="E5043" t="s">
        <v>139</v>
      </c>
      <c r="F5043" t="s">
        <v>140</v>
      </c>
      <c r="G5043">
        <v>2</v>
      </c>
      <c r="H5043">
        <v>6.79</v>
      </c>
      <c r="I5043" s="7">
        <f>IF(Transactions!I5043="",0,Transactions!I5043)</f>
        <v>0.15</v>
      </c>
      <c r="J5043" s="9">
        <f t="shared" si="78"/>
        <v>11.542999999999999</v>
      </c>
      <c r="K5043" t="s">
        <v>36</v>
      </c>
      <c r="L5043" t="s">
        <v>17</v>
      </c>
      <c r="M5043" t="str">
        <f>REPLACE(Transactions!M5043,1,4,"")</f>
        <v>15</v>
      </c>
    </row>
    <row r="5044" spans="1:13" x14ac:dyDescent="0.2">
      <c r="A5044">
        <v>933128</v>
      </c>
      <c r="B5044" s="5">
        <v>44863</v>
      </c>
      <c r="C5044">
        <v>77878</v>
      </c>
      <c r="D5044" t="str">
        <f>PROPER(Transactions!D5044)</f>
        <v>Automotive</v>
      </c>
      <c r="E5044" t="s">
        <v>125</v>
      </c>
      <c r="F5044" t="s">
        <v>126</v>
      </c>
      <c r="G5044">
        <v>1</v>
      </c>
      <c r="H5044">
        <v>29.99</v>
      </c>
      <c r="I5044" s="7">
        <f>IF(Transactions!I5044="",0,Transactions!I5044)</f>
        <v>0</v>
      </c>
      <c r="J5044" s="9">
        <f t="shared" si="78"/>
        <v>29.99</v>
      </c>
      <c r="K5044" t="s">
        <v>36</v>
      </c>
      <c r="L5044" t="s">
        <v>37</v>
      </c>
      <c r="M5044" t="str">
        <f>REPLACE(Transactions!M5044,1,4,"")</f>
        <v>10</v>
      </c>
    </row>
    <row r="5045" spans="1:13" x14ac:dyDescent="0.2">
      <c r="A5045">
        <v>933253</v>
      </c>
      <c r="B5045" s="5">
        <v>45462</v>
      </c>
      <c r="C5045">
        <v>44899</v>
      </c>
      <c r="D5045" t="str">
        <f>PROPER(Transactions!D5045)</f>
        <v>Clothing</v>
      </c>
      <c r="E5045" t="s">
        <v>98</v>
      </c>
      <c r="F5045" t="s">
        <v>99</v>
      </c>
      <c r="G5045">
        <v>1</v>
      </c>
      <c r="H5045">
        <v>20.99</v>
      </c>
      <c r="I5045" s="7">
        <f>IF(Transactions!I5045="",0,Transactions!I5045)</f>
        <v>0.25</v>
      </c>
      <c r="J5045" s="9">
        <f t="shared" si="78"/>
        <v>15.7425</v>
      </c>
      <c r="K5045" t="s">
        <v>22</v>
      </c>
      <c r="L5045" t="s">
        <v>17</v>
      </c>
      <c r="M5045" t="str">
        <f>REPLACE(Transactions!M5045,1,4,"")</f>
        <v>18</v>
      </c>
    </row>
    <row r="5046" spans="1:13" x14ac:dyDescent="0.2">
      <c r="A5046">
        <v>933312</v>
      </c>
      <c r="B5046" s="5">
        <v>44635</v>
      </c>
      <c r="C5046">
        <v>53839</v>
      </c>
      <c r="D5046" t="str">
        <f>PROPER(Transactions!D5046)</f>
        <v>Electronics</v>
      </c>
      <c r="E5046" t="s">
        <v>159</v>
      </c>
      <c r="F5046" t="s">
        <v>160</v>
      </c>
      <c r="G5046">
        <v>2</v>
      </c>
      <c r="H5046">
        <v>50.99</v>
      </c>
      <c r="I5046" s="7">
        <f>IF(Transactions!I5046="",0,Transactions!I5046)</f>
        <v>0.15</v>
      </c>
      <c r="J5046" s="9">
        <f t="shared" si="78"/>
        <v>86.683000000000007</v>
      </c>
      <c r="K5046" t="s">
        <v>16</v>
      </c>
      <c r="L5046" t="s">
        <v>23</v>
      </c>
      <c r="M5046" t="str">
        <f>REPLACE(Transactions!M5046,1,4,"")</f>
        <v>12</v>
      </c>
    </row>
    <row r="5047" spans="1:13" x14ac:dyDescent="0.2">
      <c r="A5047">
        <v>933441</v>
      </c>
      <c r="B5047" s="5">
        <v>44974</v>
      </c>
      <c r="C5047">
        <v>32417</v>
      </c>
      <c r="D5047" t="str">
        <f>PROPER(Transactions!D5047)</f>
        <v>Electronics</v>
      </c>
      <c r="E5047" t="s">
        <v>104</v>
      </c>
      <c r="F5047" t="s">
        <v>105</v>
      </c>
      <c r="G5047">
        <v>5</v>
      </c>
      <c r="H5047">
        <v>23.99</v>
      </c>
      <c r="I5047" s="7">
        <f>IF(Transactions!I5047="",0,Transactions!I5047)</f>
        <v>0.2</v>
      </c>
      <c r="J5047" s="9">
        <f t="shared" si="78"/>
        <v>95.96</v>
      </c>
      <c r="K5047" t="s">
        <v>53</v>
      </c>
      <c r="L5047" t="s">
        <v>17</v>
      </c>
      <c r="M5047" t="str">
        <f>REPLACE(Transactions!M5047,1,4,"")</f>
        <v>14</v>
      </c>
    </row>
    <row r="5048" spans="1:13" x14ac:dyDescent="0.2">
      <c r="A5048">
        <v>933454</v>
      </c>
      <c r="B5048" s="5">
        <v>44730</v>
      </c>
      <c r="C5048">
        <v>50022</v>
      </c>
      <c r="D5048" t="str">
        <f>PROPER(Transactions!D5048)</f>
        <v>Grocery</v>
      </c>
      <c r="E5048" t="s">
        <v>190</v>
      </c>
      <c r="F5048" t="s">
        <v>191</v>
      </c>
      <c r="G5048">
        <v>1</v>
      </c>
      <c r="H5048">
        <v>3.86</v>
      </c>
      <c r="I5048" s="7">
        <f>IF(Transactions!I5048="",0,Transactions!I5048)</f>
        <v>0.1</v>
      </c>
      <c r="J5048" s="9">
        <f t="shared" si="78"/>
        <v>3.4739999999999998</v>
      </c>
      <c r="K5048" t="s">
        <v>36</v>
      </c>
      <c r="L5048" t="s">
        <v>17</v>
      </c>
      <c r="M5048" t="str">
        <f>REPLACE(Transactions!M5048,1,4,"")</f>
        <v>12</v>
      </c>
    </row>
    <row r="5049" spans="1:13" x14ac:dyDescent="0.2">
      <c r="A5049">
        <v>933510</v>
      </c>
      <c r="B5049" s="5">
        <v>44825</v>
      </c>
      <c r="C5049">
        <v>28909</v>
      </c>
      <c r="D5049" t="str">
        <f>PROPER(Transactions!D5049)</f>
        <v>Furniture</v>
      </c>
      <c r="E5049" t="s">
        <v>113</v>
      </c>
      <c r="F5049" t="s">
        <v>114</v>
      </c>
      <c r="G5049">
        <v>2</v>
      </c>
      <c r="H5049">
        <v>119.99</v>
      </c>
      <c r="I5049" s="7">
        <f>IF(Transactions!I5049="",0,Transactions!I5049)</f>
        <v>0</v>
      </c>
      <c r="J5049" s="9">
        <f t="shared" si="78"/>
        <v>239.98</v>
      </c>
      <c r="K5049" t="s">
        <v>36</v>
      </c>
      <c r="L5049" t="s">
        <v>17</v>
      </c>
      <c r="M5049" t="str">
        <f>REPLACE(Transactions!M5049,1,4,"")</f>
        <v>19</v>
      </c>
    </row>
    <row r="5050" spans="1:13" x14ac:dyDescent="0.2">
      <c r="A5050">
        <v>933558</v>
      </c>
      <c r="B5050" s="5">
        <v>44957</v>
      </c>
      <c r="C5050">
        <v>25910</v>
      </c>
      <c r="D5050" t="str">
        <f>PROPER(Transactions!D5050)</f>
        <v>Grocery</v>
      </c>
      <c r="E5050" t="s">
        <v>177</v>
      </c>
      <c r="F5050" t="s">
        <v>178</v>
      </c>
      <c r="G5050">
        <v>4</v>
      </c>
      <c r="H5050">
        <v>11.99</v>
      </c>
      <c r="I5050" s="7">
        <f>IF(Transactions!I5050="",0,Transactions!I5050)</f>
        <v>0</v>
      </c>
      <c r="J5050" s="9">
        <f t="shared" si="78"/>
        <v>47.96</v>
      </c>
      <c r="K5050" t="s">
        <v>16</v>
      </c>
      <c r="L5050" t="s">
        <v>37</v>
      </c>
      <c r="M5050" t="str">
        <f>REPLACE(Transactions!M5050,1,4,"")</f>
        <v>14</v>
      </c>
    </row>
    <row r="5051" spans="1:13" x14ac:dyDescent="0.2">
      <c r="A5051">
        <v>934735</v>
      </c>
      <c r="B5051" s="5">
        <v>45361</v>
      </c>
      <c r="C5051">
        <v>45160</v>
      </c>
      <c r="D5051" t="str">
        <f>PROPER(Transactions!D5051)</f>
        <v>Toys</v>
      </c>
      <c r="E5051" t="s">
        <v>30</v>
      </c>
      <c r="F5051" t="s">
        <v>31</v>
      </c>
      <c r="G5051">
        <v>2</v>
      </c>
      <c r="H5051">
        <v>22.49</v>
      </c>
      <c r="I5051" s="7">
        <f>IF(Transactions!I5051="",0,Transactions!I5051)</f>
        <v>0.1</v>
      </c>
      <c r="J5051" s="9">
        <f t="shared" si="78"/>
        <v>40.481999999999999</v>
      </c>
      <c r="K5051" t="s">
        <v>53</v>
      </c>
      <c r="L5051" t="s">
        <v>17</v>
      </c>
      <c r="M5051" t="str">
        <f>REPLACE(Transactions!M5051,1,4,"")</f>
        <v>5</v>
      </c>
    </row>
    <row r="5052" spans="1:13" x14ac:dyDescent="0.2">
      <c r="A5052">
        <v>934775</v>
      </c>
      <c r="B5052" s="5">
        <v>45465</v>
      </c>
      <c r="C5052">
        <v>21889</v>
      </c>
      <c r="D5052" t="str">
        <f>PROPER(Transactions!D5052)</f>
        <v>Grocery</v>
      </c>
      <c r="E5052" t="s">
        <v>93</v>
      </c>
      <c r="F5052" t="s">
        <v>94</v>
      </c>
      <c r="G5052">
        <v>4</v>
      </c>
      <c r="H5052">
        <v>0.9</v>
      </c>
      <c r="I5052" s="7">
        <f>IF(Transactions!I5052="",0,Transactions!I5052)</f>
        <v>0.3</v>
      </c>
      <c r="J5052" s="9">
        <f t="shared" si="78"/>
        <v>2.52</v>
      </c>
      <c r="K5052" t="s">
        <v>36</v>
      </c>
      <c r="L5052" t="s">
        <v>17</v>
      </c>
      <c r="M5052" t="str">
        <f>REPLACE(Transactions!M5052,1,4,"")</f>
        <v>19</v>
      </c>
    </row>
    <row r="5053" spans="1:13" x14ac:dyDescent="0.2">
      <c r="A5053">
        <v>935416</v>
      </c>
      <c r="B5053" s="5">
        <v>44793</v>
      </c>
      <c r="C5053">
        <v>65931</v>
      </c>
      <c r="D5053" t="str">
        <f>PROPER(Transactions!D5053)</f>
        <v>Automotive</v>
      </c>
      <c r="E5053" t="s">
        <v>111</v>
      </c>
      <c r="F5053" t="s">
        <v>112</v>
      </c>
      <c r="G5053">
        <v>3</v>
      </c>
      <c r="H5053">
        <v>14.99</v>
      </c>
      <c r="I5053" s="7">
        <f>IF(Transactions!I5053="",0,Transactions!I5053)</f>
        <v>0</v>
      </c>
      <c r="J5053" s="9">
        <f t="shared" si="78"/>
        <v>44.97</v>
      </c>
      <c r="K5053" t="s">
        <v>16</v>
      </c>
      <c r="L5053" t="s">
        <v>17</v>
      </c>
      <c r="M5053" t="str">
        <f>REPLACE(Transactions!M5053,1,4,"")</f>
        <v>18</v>
      </c>
    </row>
    <row r="5054" spans="1:13" x14ac:dyDescent="0.2">
      <c r="A5054">
        <v>935460</v>
      </c>
      <c r="B5054" s="5">
        <v>45229</v>
      </c>
      <c r="C5054">
        <v>30615</v>
      </c>
      <c r="D5054" t="str">
        <f>PROPER(Transactions!D5054)</f>
        <v>Beauty</v>
      </c>
      <c r="E5054" t="s">
        <v>143</v>
      </c>
      <c r="F5054" t="s">
        <v>144</v>
      </c>
      <c r="G5054">
        <v>2</v>
      </c>
      <c r="H5054">
        <v>14.99</v>
      </c>
      <c r="I5054" s="7">
        <f>IF(Transactions!I5054="",0,Transactions!I5054)</f>
        <v>0</v>
      </c>
      <c r="J5054" s="9">
        <f t="shared" si="78"/>
        <v>29.98</v>
      </c>
      <c r="K5054" t="s">
        <v>22</v>
      </c>
      <c r="L5054" t="s">
        <v>17</v>
      </c>
      <c r="M5054" t="str">
        <f>REPLACE(Transactions!M5054,1,4,"")</f>
        <v>3</v>
      </c>
    </row>
    <row r="5055" spans="1:13" x14ac:dyDescent="0.2">
      <c r="A5055">
        <v>935467</v>
      </c>
      <c r="B5055" s="5">
        <v>44820</v>
      </c>
      <c r="C5055">
        <v>31809</v>
      </c>
      <c r="D5055" t="str">
        <f>PROPER(Transactions!D5055)</f>
        <v>Furniture</v>
      </c>
      <c r="E5055" t="s">
        <v>26</v>
      </c>
      <c r="F5055" t="s">
        <v>27</v>
      </c>
      <c r="G5055">
        <v>5</v>
      </c>
      <c r="H5055">
        <v>34.99</v>
      </c>
      <c r="I5055" s="7">
        <f>IF(Transactions!I5055="",0,Transactions!I5055)</f>
        <v>0</v>
      </c>
      <c r="J5055" s="9">
        <f t="shared" si="78"/>
        <v>174.95000000000002</v>
      </c>
      <c r="K5055" t="s">
        <v>36</v>
      </c>
      <c r="L5055" t="s">
        <v>17</v>
      </c>
      <c r="M5055" t="str">
        <f>REPLACE(Transactions!M5055,1,4,"")</f>
        <v>9</v>
      </c>
    </row>
    <row r="5056" spans="1:13" x14ac:dyDescent="0.2">
      <c r="A5056">
        <v>935536</v>
      </c>
      <c r="B5056" s="5">
        <v>44978</v>
      </c>
      <c r="C5056">
        <v>19963</v>
      </c>
      <c r="D5056" t="str">
        <f>PROPER(Transactions!D5056)</f>
        <v>Toys</v>
      </c>
      <c r="E5056" t="s">
        <v>72</v>
      </c>
      <c r="F5056" t="s">
        <v>73</v>
      </c>
      <c r="G5056">
        <v>1</v>
      </c>
      <c r="H5056">
        <v>29.99</v>
      </c>
      <c r="I5056" s="7">
        <f>IF(Transactions!I5056="",0,Transactions!I5056)</f>
        <v>0.25</v>
      </c>
      <c r="J5056" s="9">
        <f t="shared" si="78"/>
        <v>22.4925</v>
      </c>
      <c r="K5056" t="s">
        <v>36</v>
      </c>
      <c r="L5056" t="s">
        <v>17</v>
      </c>
      <c r="M5056" t="str">
        <f>REPLACE(Transactions!M5056,1,4,"")</f>
        <v>20</v>
      </c>
    </row>
    <row r="5057" spans="1:13" x14ac:dyDescent="0.2">
      <c r="A5057">
        <v>935780</v>
      </c>
      <c r="B5057" s="5">
        <v>45574</v>
      </c>
      <c r="C5057">
        <v>19938</v>
      </c>
      <c r="D5057" t="str">
        <f>PROPER(Transactions!D5057)</f>
        <v>Grocery</v>
      </c>
      <c r="E5057" t="s">
        <v>93</v>
      </c>
      <c r="F5057" t="s">
        <v>94</v>
      </c>
      <c r="G5057">
        <v>1</v>
      </c>
      <c r="H5057">
        <v>1.29</v>
      </c>
      <c r="I5057" s="7">
        <f>IF(Transactions!I5057="",0,Transactions!I5057)</f>
        <v>0</v>
      </c>
      <c r="J5057" s="9">
        <f t="shared" si="78"/>
        <v>1.29</v>
      </c>
      <c r="K5057" t="s">
        <v>22</v>
      </c>
      <c r="L5057" t="s">
        <v>37</v>
      </c>
      <c r="M5057" t="str">
        <f>REPLACE(Transactions!M5057,1,4,"")</f>
        <v>18</v>
      </c>
    </row>
    <row r="5058" spans="1:13" x14ac:dyDescent="0.2">
      <c r="A5058">
        <v>935942</v>
      </c>
      <c r="B5058" s="5">
        <v>44607</v>
      </c>
      <c r="C5058">
        <v>57408</v>
      </c>
      <c r="D5058" t="str">
        <f>PROPER(Transactions!D5058)</f>
        <v>Beauty</v>
      </c>
      <c r="E5058" t="s">
        <v>143</v>
      </c>
      <c r="F5058" t="s">
        <v>144</v>
      </c>
      <c r="G5058">
        <v>1</v>
      </c>
      <c r="H5058">
        <v>13.49</v>
      </c>
      <c r="I5058" s="7">
        <f>IF(Transactions!I5058="",0,Transactions!I5058)</f>
        <v>0.1</v>
      </c>
      <c r="J5058" s="9">
        <f t="shared" si="78"/>
        <v>12.141</v>
      </c>
      <c r="K5058" t="s">
        <v>95</v>
      </c>
      <c r="L5058" t="s">
        <v>37</v>
      </c>
      <c r="M5058" t="str">
        <f>REPLACE(Transactions!M5058,1,4,"")</f>
        <v>1</v>
      </c>
    </row>
    <row r="5059" spans="1:13" x14ac:dyDescent="0.2">
      <c r="A5059">
        <v>936000</v>
      </c>
      <c r="B5059" s="5">
        <v>44575</v>
      </c>
      <c r="C5059">
        <v>72422</v>
      </c>
      <c r="D5059" t="str">
        <f>PROPER(Transactions!D5059)</f>
        <v>Automotive</v>
      </c>
      <c r="E5059" t="s">
        <v>64</v>
      </c>
      <c r="F5059" t="s">
        <v>65</v>
      </c>
      <c r="G5059">
        <v>2</v>
      </c>
      <c r="H5059">
        <v>4.24</v>
      </c>
      <c r="I5059" s="7">
        <f>IF(Transactions!I5059="",0,Transactions!I5059)</f>
        <v>0.15</v>
      </c>
      <c r="J5059" s="9">
        <f t="shared" ref="J5059:J5122" si="79">(H5059*G5059)*(1-I5059)</f>
        <v>7.2080000000000002</v>
      </c>
      <c r="K5059" t="s">
        <v>22</v>
      </c>
      <c r="L5059" t="s">
        <v>17</v>
      </c>
      <c r="M5059" t="str">
        <f>REPLACE(Transactions!M5059,1,4,"")</f>
        <v>8</v>
      </c>
    </row>
    <row r="5060" spans="1:13" x14ac:dyDescent="0.2">
      <c r="A5060">
        <v>936116</v>
      </c>
      <c r="B5060" s="5">
        <v>44854</v>
      </c>
      <c r="C5060">
        <v>51119</v>
      </c>
      <c r="D5060" t="str">
        <f>PROPER(Transactions!D5060)</f>
        <v>Pharmacy</v>
      </c>
      <c r="E5060" t="s">
        <v>20</v>
      </c>
      <c r="F5060" t="s">
        <v>21</v>
      </c>
      <c r="G5060">
        <v>2</v>
      </c>
      <c r="H5060">
        <v>8.99</v>
      </c>
      <c r="I5060" s="7">
        <f>IF(Transactions!I5060="",0,Transactions!I5060)</f>
        <v>0.1</v>
      </c>
      <c r="J5060" s="9">
        <f t="shared" si="79"/>
        <v>16.182000000000002</v>
      </c>
      <c r="K5060" t="s">
        <v>16</v>
      </c>
      <c r="L5060" t="s">
        <v>17</v>
      </c>
      <c r="M5060" t="str">
        <f>REPLACE(Transactions!M5060,1,4,"")</f>
        <v>16</v>
      </c>
    </row>
    <row r="5061" spans="1:13" x14ac:dyDescent="0.2">
      <c r="A5061">
        <v>936258</v>
      </c>
      <c r="B5061" s="5">
        <v>45429</v>
      </c>
      <c r="C5061">
        <v>88855</v>
      </c>
      <c r="D5061" t="str">
        <f>PROPER(Transactions!D5061)</f>
        <v>Automotive</v>
      </c>
      <c r="E5061" t="s">
        <v>131</v>
      </c>
      <c r="F5061" t="s">
        <v>132</v>
      </c>
      <c r="G5061">
        <v>4</v>
      </c>
      <c r="H5061">
        <v>2.97</v>
      </c>
      <c r="I5061" s="7">
        <f>IF(Transactions!I5061="",0,Transactions!I5061)</f>
        <v>0</v>
      </c>
      <c r="J5061" s="9">
        <f t="shared" si="79"/>
        <v>11.88</v>
      </c>
      <c r="K5061" t="s">
        <v>36</v>
      </c>
      <c r="L5061" t="s">
        <v>37</v>
      </c>
      <c r="M5061" t="str">
        <f>REPLACE(Transactions!M5061,1,4,"")</f>
        <v>11</v>
      </c>
    </row>
    <row r="5062" spans="1:13" x14ac:dyDescent="0.2">
      <c r="A5062">
        <v>936286</v>
      </c>
      <c r="B5062" s="5">
        <v>45032</v>
      </c>
      <c r="C5062">
        <v>13678</v>
      </c>
      <c r="D5062" t="str">
        <f>PROPER(Transactions!D5062)</f>
        <v>Automotive</v>
      </c>
      <c r="E5062" t="s">
        <v>64</v>
      </c>
      <c r="F5062" t="s">
        <v>65</v>
      </c>
      <c r="G5062">
        <v>3</v>
      </c>
      <c r="H5062">
        <v>3.74</v>
      </c>
      <c r="I5062" s="7">
        <f>IF(Transactions!I5062="",0,Transactions!I5062)</f>
        <v>0.25</v>
      </c>
      <c r="J5062" s="9">
        <f t="shared" si="79"/>
        <v>8.4150000000000009</v>
      </c>
      <c r="K5062" t="s">
        <v>36</v>
      </c>
      <c r="L5062" t="s">
        <v>37</v>
      </c>
      <c r="M5062" t="str">
        <f>REPLACE(Transactions!M5062,1,4,"")</f>
        <v>14</v>
      </c>
    </row>
    <row r="5063" spans="1:13" x14ac:dyDescent="0.2">
      <c r="A5063">
        <v>936659</v>
      </c>
      <c r="B5063" s="5">
        <v>44966</v>
      </c>
      <c r="C5063">
        <v>90662</v>
      </c>
      <c r="D5063" t="str">
        <f>PROPER(Transactions!D5063)</f>
        <v>Furniture</v>
      </c>
      <c r="E5063" t="s">
        <v>60</v>
      </c>
      <c r="F5063" t="s">
        <v>61</v>
      </c>
      <c r="G5063">
        <v>1</v>
      </c>
      <c r="H5063">
        <v>54.99</v>
      </c>
      <c r="I5063" s="7">
        <f>IF(Transactions!I5063="",0,Transactions!I5063)</f>
        <v>0</v>
      </c>
      <c r="J5063" s="9">
        <f t="shared" si="79"/>
        <v>54.99</v>
      </c>
      <c r="K5063" t="s">
        <v>95</v>
      </c>
      <c r="L5063" t="s">
        <v>17</v>
      </c>
      <c r="M5063" t="str">
        <f>REPLACE(Transactions!M5063,1,4,"")</f>
        <v>10</v>
      </c>
    </row>
    <row r="5064" spans="1:13" x14ac:dyDescent="0.2">
      <c r="A5064">
        <v>936698</v>
      </c>
      <c r="B5064" s="5">
        <v>45554</v>
      </c>
      <c r="C5064">
        <v>23574</v>
      </c>
      <c r="D5064" t="str">
        <f>PROPER(Transactions!D5064)</f>
        <v>Clothing</v>
      </c>
      <c r="E5064" t="s">
        <v>181</v>
      </c>
      <c r="F5064" t="s">
        <v>182</v>
      </c>
      <c r="G5064">
        <v>3</v>
      </c>
      <c r="H5064">
        <v>13.49</v>
      </c>
      <c r="I5064" s="7">
        <f>IF(Transactions!I5064="",0,Transactions!I5064)</f>
        <v>0.1</v>
      </c>
      <c r="J5064" s="9">
        <f t="shared" si="79"/>
        <v>36.423000000000002</v>
      </c>
      <c r="K5064" t="s">
        <v>16</v>
      </c>
      <c r="L5064" t="s">
        <v>17</v>
      </c>
      <c r="M5064" t="str">
        <f>REPLACE(Transactions!M5064,1,4,"")</f>
        <v>10</v>
      </c>
    </row>
    <row r="5065" spans="1:13" x14ac:dyDescent="0.2">
      <c r="A5065">
        <v>936782</v>
      </c>
      <c r="B5065" s="5">
        <v>45649</v>
      </c>
      <c r="C5065">
        <v>20890</v>
      </c>
      <c r="D5065" t="str">
        <f>PROPER(Transactions!D5065)</f>
        <v>Automotive</v>
      </c>
      <c r="E5065" t="s">
        <v>68</v>
      </c>
      <c r="F5065" t="s">
        <v>69</v>
      </c>
      <c r="G5065">
        <v>2</v>
      </c>
      <c r="H5065">
        <v>19.989999999999998</v>
      </c>
      <c r="I5065" s="7">
        <f>IF(Transactions!I5065="",0,Transactions!I5065)</f>
        <v>0.2</v>
      </c>
      <c r="J5065" s="9">
        <f t="shared" si="79"/>
        <v>31.983999999999998</v>
      </c>
      <c r="K5065" t="s">
        <v>36</v>
      </c>
      <c r="L5065" t="s">
        <v>17</v>
      </c>
      <c r="M5065" t="str">
        <f>REPLACE(Transactions!M5065,1,4,"")</f>
        <v>5</v>
      </c>
    </row>
    <row r="5066" spans="1:13" x14ac:dyDescent="0.2">
      <c r="A5066">
        <v>936784</v>
      </c>
      <c r="B5066" s="5">
        <v>45323</v>
      </c>
      <c r="C5066">
        <v>65744</v>
      </c>
      <c r="D5066" t="str">
        <f>PROPER(Transactions!D5066)</f>
        <v>Home &amp; Garden</v>
      </c>
      <c r="E5066" t="s">
        <v>149</v>
      </c>
      <c r="F5066" t="s">
        <v>150</v>
      </c>
      <c r="G5066">
        <v>3</v>
      </c>
      <c r="H5066">
        <v>19.989999999999998</v>
      </c>
      <c r="I5066" s="7">
        <f>IF(Transactions!I5066="",0,Transactions!I5066)</f>
        <v>0</v>
      </c>
      <c r="J5066" s="9">
        <f t="shared" si="79"/>
        <v>59.97</v>
      </c>
      <c r="K5066" t="s">
        <v>16</v>
      </c>
      <c r="L5066" t="s">
        <v>23</v>
      </c>
      <c r="M5066" t="str">
        <f>REPLACE(Transactions!M5066,1,4,"")</f>
        <v>15</v>
      </c>
    </row>
    <row r="5067" spans="1:13" x14ac:dyDescent="0.2">
      <c r="A5067">
        <v>937047</v>
      </c>
      <c r="B5067" s="5">
        <v>44564</v>
      </c>
      <c r="C5067">
        <v>25238</v>
      </c>
      <c r="D5067" t="str">
        <f>PROPER(Transactions!D5067)</f>
        <v>Home &amp; Garden</v>
      </c>
      <c r="E5067" t="s">
        <v>149</v>
      </c>
      <c r="F5067" t="s">
        <v>150</v>
      </c>
      <c r="G5067">
        <v>3</v>
      </c>
      <c r="H5067">
        <v>19.989999999999998</v>
      </c>
      <c r="I5067" s="7">
        <f>IF(Transactions!I5067="",0,Transactions!I5067)</f>
        <v>0</v>
      </c>
      <c r="J5067" s="9">
        <f t="shared" si="79"/>
        <v>59.97</v>
      </c>
      <c r="K5067" t="s">
        <v>16</v>
      </c>
      <c r="L5067" t="s">
        <v>17</v>
      </c>
      <c r="M5067" t="str">
        <f>REPLACE(Transactions!M5067,1,4,"")</f>
        <v>4</v>
      </c>
    </row>
    <row r="5068" spans="1:13" x14ac:dyDescent="0.2">
      <c r="A5068">
        <v>937117</v>
      </c>
      <c r="B5068" s="5">
        <v>45628</v>
      </c>
      <c r="C5068">
        <v>33765</v>
      </c>
      <c r="D5068" t="str">
        <f>PROPER(Transactions!D5068)</f>
        <v>Automotive</v>
      </c>
      <c r="E5068" t="s">
        <v>68</v>
      </c>
      <c r="F5068" t="s">
        <v>69</v>
      </c>
      <c r="G5068">
        <v>5</v>
      </c>
      <c r="H5068">
        <v>22.49</v>
      </c>
      <c r="I5068" s="7">
        <f>IF(Transactions!I5068="",0,Transactions!I5068)</f>
        <v>0.1</v>
      </c>
      <c r="J5068" s="9">
        <f t="shared" si="79"/>
        <v>101.205</v>
      </c>
      <c r="K5068" t="s">
        <v>95</v>
      </c>
      <c r="L5068" t="s">
        <v>17</v>
      </c>
      <c r="M5068" t="str">
        <f>REPLACE(Transactions!M5068,1,4,"")</f>
        <v>11</v>
      </c>
    </row>
    <row r="5069" spans="1:13" x14ac:dyDescent="0.2">
      <c r="A5069">
        <v>937200</v>
      </c>
      <c r="B5069" s="5">
        <v>45185</v>
      </c>
      <c r="C5069">
        <v>80728</v>
      </c>
      <c r="D5069" t="str">
        <f>PROPER(Transactions!D5069)</f>
        <v>Pharmacy</v>
      </c>
      <c r="E5069" t="s">
        <v>197</v>
      </c>
      <c r="F5069" t="s">
        <v>198</v>
      </c>
      <c r="G5069">
        <v>1</v>
      </c>
      <c r="H5069">
        <v>12.74</v>
      </c>
      <c r="I5069" s="7">
        <f>IF(Transactions!I5069="",0,Transactions!I5069)</f>
        <v>0.15</v>
      </c>
      <c r="J5069" s="9">
        <f t="shared" si="79"/>
        <v>10.829000000000001</v>
      </c>
      <c r="K5069" t="s">
        <v>16</v>
      </c>
      <c r="L5069" t="s">
        <v>23</v>
      </c>
      <c r="M5069" t="str">
        <f>REPLACE(Transactions!M5069,1,4,"")</f>
        <v/>
      </c>
    </row>
    <row r="5070" spans="1:13" x14ac:dyDescent="0.2">
      <c r="A5070">
        <v>937480</v>
      </c>
      <c r="B5070" s="5">
        <v>45566</v>
      </c>
      <c r="C5070">
        <v>82784</v>
      </c>
      <c r="D5070" t="str">
        <f>PROPER(Transactions!D5070)</f>
        <v>Sports</v>
      </c>
      <c r="E5070" t="s">
        <v>100</v>
      </c>
      <c r="F5070" t="s">
        <v>101</v>
      </c>
      <c r="G5070">
        <v>1</v>
      </c>
      <c r="H5070">
        <v>22.99</v>
      </c>
      <c r="I5070" s="7">
        <f>IF(Transactions!I5070="",0,Transactions!I5070)</f>
        <v>0</v>
      </c>
      <c r="J5070" s="9">
        <f t="shared" si="79"/>
        <v>22.99</v>
      </c>
      <c r="K5070" t="s">
        <v>53</v>
      </c>
      <c r="L5070" t="s">
        <v>17</v>
      </c>
      <c r="M5070" t="str">
        <f>REPLACE(Transactions!M5070,1,4,"")</f>
        <v>13</v>
      </c>
    </row>
    <row r="5071" spans="1:13" x14ac:dyDescent="0.2">
      <c r="A5071">
        <v>937498</v>
      </c>
      <c r="B5071" s="5">
        <v>45289</v>
      </c>
      <c r="C5071">
        <v>24427</v>
      </c>
      <c r="D5071" t="str">
        <f>PROPER(Transactions!D5071)</f>
        <v>Toys</v>
      </c>
      <c r="E5071" t="s">
        <v>30</v>
      </c>
      <c r="F5071" t="s">
        <v>31</v>
      </c>
      <c r="G5071">
        <v>1</v>
      </c>
      <c r="H5071">
        <v>17.489999999999998</v>
      </c>
      <c r="I5071" s="7">
        <f>IF(Transactions!I5071="",0,Transactions!I5071)</f>
        <v>0.3</v>
      </c>
      <c r="J5071" s="9">
        <f t="shared" si="79"/>
        <v>12.242999999999999</v>
      </c>
      <c r="K5071" t="s">
        <v>36</v>
      </c>
      <c r="L5071" t="s">
        <v>17</v>
      </c>
      <c r="M5071" t="str">
        <f>REPLACE(Transactions!M5071,1,4,"")</f>
        <v>1</v>
      </c>
    </row>
    <row r="5072" spans="1:13" x14ac:dyDescent="0.2">
      <c r="A5072">
        <v>937513</v>
      </c>
      <c r="B5072" s="5">
        <v>44840</v>
      </c>
      <c r="C5072">
        <v>53225</v>
      </c>
      <c r="D5072" t="str">
        <f>PROPER(Transactions!D5072)</f>
        <v>Beauty</v>
      </c>
      <c r="E5072" t="s">
        <v>139</v>
      </c>
      <c r="F5072" t="s">
        <v>140</v>
      </c>
      <c r="G5072">
        <v>1</v>
      </c>
      <c r="H5072">
        <v>7.99</v>
      </c>
      <c r="I5072" s="7">
        <f>IF(Transactions!I5072="",0,Transactions!I5072)</f>
        <v>0</v>
      </c>
      <c r="J5072" s="9">
        <f t="shared" si="79"/>
        <v>7.99</v>
      </c>
      <c r="K5072" t="s">
        <v>36</v>
      </c>
      <c r="L5072" t="s">
        <v>17</v>
      </c>
      <c r="M5072" t="str">
        <f>REPLACE(Transactions!M5072,1,4,"")</f>
        <v>19</v>
      </c>
    </row>
    <row r="5073" spans="1:13" x14ac:dyDescent="0.2">
      <c r="A5073">
        <v>937555</v>
      </c>
      <c r="B5073" s="5">
        <v>45618</v>
      </c>
      <c r="C5073">
        <v>12706</v>
      </c>
      <c r="D5073" t="str">
        <f>PROPER(Transactions!D5073)</f>
        <v>Home &amp; Garden</v>
      </c>
      <c r="E5073" t="s">
        <v>86</v>
      </c>
      <c r="F5073" t="s">
        <v>87</v>
      </c>
      <c r="G5073">
        <v>2</v>
      </c>
      <c r="H5073">
        <v>12.34</v>
      </c>
      <c r="I5073" s="7">
        <f>IF(Transactions!I5073="",0,Transactions!I5073)</f>
        <v>0.05</v>
      </c>
      <c r="J5073" s="9">
        <f t="shared" si="79"/>
        <v>23.445999999999998</v>
      </c>
      <c r="K5073" t="s">
        <v>36</v>
      </c>
      <c r="L5073" t="s">
        <v>37</v>
      </c>
      <c r="M5073" t="str">
        <f>REPLACE(Transactions!M5073,1,4,"")</f>
        <v>8</v>
      </c>
    </row>
    <row r="5074" spans="1:13" x14ac:dyDescent="0.2">
      <c r="A5074">
        <v>937578</v>
      </c>
      <c r="B5074" s="5">
        <v>45100</v>
      </c>
      <c r="C5074">
        <v>93359</v>
      </c>
      <c r="D5074" t="str">
        <f>PROPER(Transactions!D5074)</f>
        <v>Automotive</v>
      </c>
      <c r="E5074" t="s">
        <v>68</v>
      </c>
      <c r="F5074" t="s">
        <v>69</v>
      </c>
      <c r="G5074">
        <v>2</v>
      </c>
      <c r="H5074">
        <v>22.49</v>
      </c>
      <c r="I5074" s="7">
        <f>IF(Transactions!I5074="",0,Transactions!I5074)</f>
        <v>0</v>
      </c>
      <c r="J5074" s="9">
        <f t="shared" si="79"/>
        <v>44.98</v>
      </c>
      <c r="K5074" t="s">
        <v>53</v>
      </c>
      <c r="L5074" t="s">
        <v>17</v>
      </c>
      <c r="M5074" t="str">
        <f>REPLACE(Transactions!M5074,1,4,"")</f>
        <v>11</v>
      </c>
    </row>
    <row r="5075" spans="1:13" x14ac:dyDescent="0.2">
      <c r="A5075">
        <v>937706</v>
      </c>
      <c r="B5075" s="5">
        <v>45409</v>
      </c>
      <c r="C5075">
        <v>30878</v>
      </c>
      <c r="D5075" t="str">
        <f>PROPER(Transactions!D5075)</f>
        <v>Toys</v>
      </c>
      <c r="E5075" t="s">
        <v>175</v>
      </c>
      <c r="F5075" t="s">
        <v>176</v>
      </c>
      <c r="G5075">
        <v>1</v>
      </c>
      <c r="H5075">
        <v>11.99</v>
      </c>
      <c r="I5075" s="7">
        <f>IF(Transactions!I5075="",0,Transactions!I5075)</f>
        <v>0</v>
      </c>
      <c r="J5075" s="9">
        <f t="shared" si="79"/>
        <v>11.99</v>
      </c>
      <c r="K5075" t="s">
        <v>16</v>
      </c>
      <c r="L5075" t="s">
        <v>17</v>
      </c>
      <c r="M5075" t="str">
        <f>REPLACE(Transactions!M5075,1,4,"")</f>
        <v>9</v>
      </c>
    </row>
    <row r="5076" spans="1:13" x14ac:dyDescent="0.2">
      <c r="A5076">
        <v>937752</v>
      </c>
      <c r="B5076" s="5">
        <v>44930</v>
      </c>
      <c r="C5076">
        <v>89547</v>
      </c>
      <c r="D5076" t="str">
        <f>PROPER(Transactions!D5076)</f>
        <v>Grocery</v>
      </c>
      <c r="E5076" t="s">
        <v>184</v>
      </c>
      <c r="F5076" t="s">
        <v>185</v>
      </c>
      <c r="G5076">
        <v>5</v>
      </c>
      <c r="H5076">
        <v>3.84</v>
      </c>
      <c r="I5076" s="7">
        <f>IF(Transactions!I5076="",0,Transactions!I5076)</f>
        <v>0.3</v>
      </c>
      <c r="J5076" s="9">
        <f t="shared" si="79"/>
        <v>13.44</v>
      </c>
      <c r="K5076" t="s">
        <v>36</v>
      </c>
      <c r="L5076" t="s">
        <v>23</v>
      </c>
      <c r="M5076" t="str">
        <f>REPLACE(Transactions!M5076,1,4,"")</f>
        <v>17</v>
      </c>
    </row>
    <row r="5077" spans="1:13" x14ac:dyDescent="0.2">
      <c r="A5077">
        <v>937897</v>
      </c>
      <c r="B5077" s="5">
        <v>45614</v>
      </c>
      <c r="C5077">
        <v>18499</v>
      </c>
      <c r="D5077" t="str">
        <f>PROPER(Transactions!D5077)</f>
        <v>Home &amp; Garden</v>
      </c>
      <c r="E5077" t="s">
        <v>149</v>
      </c>
      <c r="F5077" t="s">
        <v>150</v>
      </c>
      <c r="G5077">
        <v>4</v>
      </c>
      <c r="H5077">
        <v>13.99</v>
      </c>
      <c r="I5077" s="7">
        <f>IF(Transactions!I5077="",0,Transactions!I5077)</f>
        <v>0.3</v>
      </c>
      <c r="J5077" s="9">
        <f t="shared" si="79"/>
        <v>39.171999999999997</v>
      </c>
      <c r="K5077" t="s">
        <v>16</v>
      </c>
      <c r="L5077" t="s">
        <v>17</v>
      </c>
      <c r="M5077" t="str">
        <f>REPLACE(Transactions!M5077,1,4,"")</f>
        <v>10</v>
      </c>
    </row>
    <row r="5078" spans="1:13" x14ac:dyDescent="0.2">
      <c r="A5078">
        <v>938088</v>
      </c>
      <c r="B5078" s="5">
        <v>45449</v>
      </c>
      <c r="C5078">
        <v>56264</v>
      </c>
      <c r="D5078" t="str">
        <f>PROPER(Transactions!D5078)</f>
        <v>Pharmacy</v>
      </c>
      <c r="E5078" t="s">
        <v>115</v>
      </c>
      <c r="F5078" t="s">
        <v>116</v>
      </c>
      <c r="G5078">
        <v>1</v>
      </c>
      <c r="H5078">
        <v>11.04</v>
      </c>
      <c r="I5078" s="7">
        <f>IF(Transactions!I5078="",0,Transactions!I5078)</f>
        <v>0.15</v>
      </c>
      <c r="J5078" s="9">
        <f t="shared" si="79"/>
        <v>9.3839999999999986</v>
      </c>
      <c r="K5078" t="s">
        <v>36</v>
      </c>
      <c r="L5078" t="s">
        <v>17</v>
      </c>
      <c r="M5078" t="str">
        <f>REPLACE(Transactions!M5078,1,4,"")</f>
        <v>14</v>
      </c>
    </row>
    <row r="5079" spans="1:13" x14ac:dyDescent="0.2">
      <c r="A5079">
        <v>938150</v>
      </c>
      <c r="B5079" s="5">
        <v>44709</v>
      </c>
      <c r="C5079">
        <v>75901</v>
      </c>
      <c r="D5079" t="str">
        <f>PROPER(Transactions!D5079)</f>
        <v>Toys</v>
      </c>
      <c r="E5079" t="s">
        <v>175</v>
      </c>
      <c r="F5079" t="s">
        <v>176</v>
      </c>
      <c r="G5079">
        <v>1</v>
      </c>
      <c r="H5079">
        <v>8.39</v>
      </c>
      <c r="I5079" s="7">
        <f>IF(Transactions!I5079="",0,Transactions!I5079)</f>
        <v>0.3</v>
      </c>
      <c r="J5079" s="9">
        <f t="shared" si="79"/>
        <v>5.8730000000000002</v>
      </c>
      <c r="K5079" t="s">
        <v>16</v>
      </c>
      <c r="L5079" t="s">
        <v>23</v>
      </c>
      <c r="M5079" t="str">
        <f>REPLACE(Transactions!M5079,1,4,"")</f>
        <v>6</v>
      </c>
    </row>
    <row r="5080" spans="1:13" x14ac:dyDescent="0.2">
      <c r="A5080">
        <v>938337</v>
      </c>
      <c r="B5080" s="5">
        <v>44743</v>
      </c>
      <c r="C5080">
        <v>53218</v>
      </c>
      <c r="D5080" t="str">
        <f>PROPER(Transactions!D5080)</f>
        <v>Toys</v>
      </c>
      <c r="E5080" t="s">
        <v>38</v>
      </c>
      <c r="F5080" t="s">
        <v>39</v>
      </c>
      <c r="G5080">
        <v>5</v>
      </c>
      <c r="H5080">
        <v>29.99</v>
      </c>
      <c r="I5080" s="7">
        <f>IF(Transactions!I5080="",0,Transactions!I5080)</f>
        <v>0</v>
      </c>
      <c r="J5080" s="9">
        <f t="shared" si="79"/>
        <v>149.94999999999999</v>
      </c>
      <c r="K5080" t="s">
        <v>36</v>
      </c>
      <c r="L5080" t="s">
        <v>17</v>
      </c>
      <c r="M5080" t="str">
        <f>REPLACE(Transactions!M5080,1,4,"")</f>
        <v>12</v>
      </c>
    </row>
    <row r="5081" spans="1:13" x14ac:dyDescent="0.2">
      <c r="A5081">
        <v>938397</v>
      </c>
      <c r="B5081" s="5">
        <v>45656</v>
      </c>
      <c r="C5081">
        <v>76866</v>
      </c>
      <c r="D5081" t="str">
        <f>PROPER(Transactions!D5081)</f>
        <v>Pharmacy</v>
      </c>
      <c r="E5081" t="s">
        <v>197</v>
      </c>
      <c r="F5081" t="s">
        <v>198</v>
      </c>
      <c r="G5081">
        <v>4</v>
      </c>
      <c r="H5081">
        <v>14.99</v>
      </c>
      <c r="I5081" s="7">
        <f>IF(Transactions!I5081="",0,Transactions!I5081)</f>
        <v>0</v>
      </c>
      <c r="J5081" s="9">
        <f t="shared" si="79"/>
        <v>59.96</v>
      </c>
      <c r="K5081" t="s">
        <v>95</v>
      </c>
      <c r="L5081" t="s">
        <v>23</v>
      </c>
      <c r="M5081" t="str">
        <f>REPLACE(Transactions!M5081,1,4,"")</f>
        <v>19</v>
      </c>
    </row>
    <row r="5082" spans="1:13" x14ac:dyDescent="0.2">
      <c r="A5082">
        <v>938423</v>
      </c>
      <c r="B5082" s="5">
        <v>45390</v>
      </c>
      <c r="C5082">
        <v>27369</v>
      </c>
      <c r="D5082" t="str">
        <f>PROPER(Transactions!D5082)</f>
        <v>Beauty</v>
      </c>
      <c r="E5082" t="s">
        <v>179</v>
      </c>
      <c r="F5082" t="s">
        <v>180</v>
      </c>
      <c r="G5082">
        <v>3</v>
      </c>
      <c r="H5082">
        <v>10.19</v>
      </c>
      <c r="I5082" s="7">
        <f>IF(Transactions!I5082="",0,Transactions!I5082)</f>
        <v>0.15</v>
      </c>
      <c r="J5082" s="9">
        <f t="shared" si="79"/>
        <v>25.984500000000001</v>
      </c>
      <c r="K5082" t="s">
        <v>95</v>
      </c>
      <c r="L5082" t="s">
        <v>17</v>
      </c>
      <c r="M5082" t="str">
        <f>REPLACE(Transactions!M5082,1,4,"")</f>
        <v>16</v>
      </c>
    </row>
    <row r="5083" spans="1:13" x14ac:dyDescent="0.2">
      <c r="A5083">
        <v>938465</v>
      </c>
      <c r="B5083" s="5">
        <v>44585</v>
      </c>
      <c r="C5083">
        <v>28964</v>
      </c>
      <c r="D5083" t="str">
        <f>PROPER(Transactions!D5083)</f>
        <v>Clothing</v>
      </c>
      <c r="E5083" t="s">
        <v>181</v>
      </c>
      <c r="F5083" t="s">
        <v>182</v>
      </c>
      <c r="G5083">
        <v>5</v>
      </c>
      <c r="H5083">
        <v>13.49</v>
      </c>
      <c r="I5083" s="7">
        <f>IF(Transactions!I5083="",0,Transactions!I5083)</f>
        <v>0.1</v>
      </c>
      <c r="J5083" s="9">
        <f t="shared" si="79"/>
        <v>60.705000000000005</v>
      </c>
      <c r="K5083" t="s">
        <v>53</v>
      </c>
      <c r="L5083" t="s">
        <v>37</v>
      </c>
      <c r="M5083" t="str">
        <f>REPLACE(Transactions!M5083,1,4,"")</f>
        <v>8</v>
      </c>
    </row>
    <row r="5084" spans="1:13" x14ac:dyDescent="0.2">
      <c r="A5084">
        <v>938595</v>
      </c>
      <c r="B5084" s="5">
        <v>45455</v>
      </c>
      <c r="C5084">
        <v>97371</v>
      </c>
      <c r="D5084" t="str">
        <f>PROPER(Transactions!D5084)</f>
        <v>Automotive</v>
      </c>
      <c r="E5084" t="s">
        <v>64</v>
      </c>
      <c r="F5084" t="s">
        <v>65</v>
      </c>
      <c r="G5084">
        <v>2</v>
      </c>
      <c r="H5084">
        <v>4.99</v>
      </c>
      <c r="I5084" s="7">
        <f>IF(Transactions!I5084="",0,Transactions!I5084)</f>
        <v>0</v>
      </c>
      <c r="J5084" s="9">
        <f t="shared" si="79"/>
        <v>9.98</v>
      </c>
      <c r="K5084" t="s">
        <v>22</v>
      </c>
      <c r="L5084" t="s">
        <v>17</v>
      </c>
      <c r="M5084" t="str">
        <f>REPLACE(Transactions!M5084,1,4,"")</f>
        <v>1</v>
      </c>
    </row>
    <row r="5085" spans="1:13" x14ac:dyDescent="0.2">
      <c r="A5085">
        <v>938649</v>
      </c>
      <c r="B5085" s="5">
        <v>44748</v>
      </c>
      <c r="C5085">
        <v>58111</v>
      </c>
      <c r="D5085" t="str">
        <f>PROPER(Transactions!D5085)</f>
        <v>Furniture</v>
      </c>
      <c r="E5085" t="s">
        <v>113</v>
      </c>
      <c r="F5085" t="s">
        <v>114</v>
      </c>
      <c r="G5085">
        <v>1</v>
      </c>
      <c r="H5085">
        <v>119.99</v>
      </c>
      <c r="I5085" s="7">
        <f>IF(Transactions!I5085="",0,Transactions!I5085)</f>
        <v>0</v>
      </c>
      <c r="J5085" s="9">
        <f t="shared" si="79"/>
        <v>119.99</v>
      </c>
      <c r="K5085" t="s">
        <v>16</v>
      </c>
      <c r="L5085" t="s">
        <v>17</v>
      </c>
      <c r="M5085" t="str">
        <f>REPLACE(Transactions!M5085,1,4,"")</f>
        <v>3</v>
      </c>
    </row>
    <row r="5086" spans="1:13" x14ac:dyDescent="0.2">
      <c r="A5086">
        <v>938718</v>
      </c>
      <c r="B5086" s="5">
        <v>44670</v>
      </c>
      <c r="C5086">
        <v>64366</v>
      </c>
      <c r="D5086" t="str">
        <f>PROPER(Transactions!D5086)</f>
        <v>Toys</v>
      </c>
      <c r="E5086" t="s">
        <v>38</v>
      </c>
      <c r="F5086" t="s">
        <v>39</v>
      </c>
      <c r="G5086">
        <v>2</v>
      </c>
      <c r="H5086">
        <v>29.99</v>
      </c>
      <c r="I5086" s="7">
        <f>IF(Transactions!I5086="",0,Transactions!I5086)</f>
        <v>0</v>
      </c>
      <c r="J5086" s="9">
        <f t="shared" si="79"/>
        <v>59.98</v>
      </c>
      <c r="K5086" t="s">
        <v>16</v>
      </c>
      <c r="L5086" t="s">
        <v>17</v>
      </c>
      <c r="M5086" t="str">
        <f>REPLACE(Transactions!M5086,1,4,"")</f>
        <v>16</v>
      </c>
    </row>
    <row r="5087" spans="1:13" x14ac:dyDescent="0.2">
      <c r="A5087">
        <v>939349</v>
      </c>
      <c r="B5087" s="5">
        <v>45431</v>
      </c>
      <c r="C5087">
        <v>86190</v>
      </c>
      <c r="D5087" t="str">
        <f>PROPER(Transactions!D5087)</f>
        <v>Furniture</v>
      </c>
      <c r="E5087" t="s">
        <v>70</v>
      </c>
      <c r="F5087" t="s">
        <v>71</v>
      </c>
      <c r="G5087">
        <v>2</v>
      </c>
      <c r="H5087">
        <v>71.989999999999995</v>
      </c>
      <c r="I5087" s="7">
        <f>IF(Transactions!I5087="",0,Transactions!I5087)</f>
        <v>0.2</v>
      </c>
      <c r="J5087" s="9">
        <f t="shared" si="79"/>
        <v>115.184</v>
      </c>
      <c r="K5087" t="s">
        <v>53</v>
      </c>
      <c r="L5087" t="s">
        <v>17</v>
      </c>
      <c r="M5087" t="str">
        <f>REPLACE(Transactions!M5087,1,4,"")</f>
        <v>1</v>
      </c>
    </row>
    <row r="5088" spans="1:13" x14ac:dyDescent="0.2">
      <c r="A5088">
        <v>939465</v>
      </c>
      <c r="B5088" s="5">
        <v>45422</v>
      </c>
      <c r="C5088">
        <v>30653</v>
      </c>
      <c r="D5088" t="str">
        <f>PROPER(Transactions!D5088)</f>
        <v>Grocery</v>
      </c>
      <c r="E5088" t="s">
        <v>195</v>
      </c>
      <c r="F5088" t="s">
        <v>196</v>
      </c>
      <c r="G5088">
        <v>5</v>
      </c>
      <c r="H5088">
        <v>3.99</v>
      </c>
      <c r="I5088" s="7">
        <f>IF(Transactions!I5088="",0,Transactions!I5088)</f>
        <v>0.2</v>
      </c>
      <c r="J5088" s="9">
        <f t="shared" si="79"/>
        <v>15.960000000000003</v>
      </c>
      <c r="K5088" t="s">
        <v>16</v>
      </c>
      <c r="L5088" t="s">
        <v>37</v>
      </c>
      <c r="M5088" t="str">
        <f>REPLACE(Transactions!M5088,1,4,"")</f>
        <v>13</v>
      </c>
    </row>
    <row r="5089" spans="1:13" x14ac:dyDescent="0.2">
      <c r="A5089">
        <v>940145</v>
      </c>
      <c r="B5089" s="5">
        <v>45216</v>
      </c>
      <c r="C5089">
        <v>38065</v>
      </c>
      <c r="D5089" t="str">
        <f>PROPER(Transactions!D5089)</f>
        <v>Electronics</v>
      </c>
      <c r="E5089" t="s">
        <v>186</v>
      </c>
      <c r="F5089" t="s">
        <v>187</v>
      </c>
      <c r="G5089">
        <v>4</v>
      </c>
      <c r="H5089">
        <v>47.49</v>
      </c>
      <c r="I5089" s="7">
        <f>IF(Transactions!I5089="",0,Transactions!I5089)</f>
        <v>0.05</v>
      </c>
      <c r="J5089" s="9">
        <f t="shared" si="79"/>
        <v>180.46199999999999</v>
      </c>
      <c r="K5089" t="s">
        <v>36</v>
      </c>
      <c r="L5089" t="s">
        <v>37</v>
      </c>
      <c r="M5089" t="str">
        <f>REPLACE(Transactions!M5089,1,4,"")</f>
        <v>12</v>
      </c>
    </row>
    <row r="5090" spans="1:13" x14ac:dyDescent="0.2">
      <c r="A5090">
        <v>940211</v>
      </c>
      <c r="B5090" s="5">
        <v>44654</v>
      </c>
      <c r="C5090">
        <v>80625</v>
      </c>
      <c r="D5090" t="str">
        <f>PROPER(Transactions!D5090)</f>
        <v>Toys</v>
      </c>
      <c r="E5090" t="s">
        <v>170</v>
      </c>
      <c r="F5090" t="s">
        <v>171</v>
      </c>
      <c r="G5090">
        <v>1</v>
      </c>
      <c r="H5090">
        <v>14.24</v>
      </c>
      <c r="I5090" s="7">
        <f>IF(Transactions!I5090="",0,Transactions!I5090)</f>
        <v>0.05</v>
      </c>
      <c r="J5090" s="9">
        <f t="shared" si="79"/>
        <v>13.527999999999999</v>
      </c>
      <c r="K5090" t="s">
        <v>36</v>
      </c>
      <c r="L5090" t="s">
        <v>17</v>
      </c>
      <c r="M5090" t="str">
        <f>REPLACE(Transactions!M5090,1,4,"")</f>
        <v>8</v>
      </c>
    </row>
    <row r="5091" spans="1:13" x14ac:dyDescent="0.2">
      <c r="A5091">
        <v>940578</v>
      </c>
      <c r="B5091" s="5">
        <v>45363</v>
      </c>
      <c r="C5091">
        <v>21306</v>
      </c>
      <c r="D5091" t="str">
        <f>PROPER(Transactions!D5091)</f>
        <v>Pharmacy</v>
      </c>
      <c r="E5091" t="s">
        <v>20</v>
      </c>
      <c r="F5091" t="s">
        <v>21</v>
      </c>
      <c r="G5091">
        <v>1</v>
      </c>
      <c r="H5091">
        <v>8.49</v>
      </c>
      <c r="I5091" s="7">
        <f>IF(Transactions!I5091="",0,Transactions!I5091)</f>
        <v>0.15</v>
      </c>
      <c r="J5091" s="9">
        <f t="shared" si="79"/>
        <v>7.2164999999999999</v>
      </c>
      <c r="K5091" t="s">
        <v>16</v>
      </c>
      <c r="L5091" t="s">
        <v>37</v>
      </c>
      <c r="M5091" t="str">
        <f>REPLACE(Transactions!M5091,1,4,"")</f>
        <v>3</v>
      </c>
    </row>
    <row r="5092" spans="1:13" x14ac:dyDescent="0.2">
      <c r="A5092">
        <v>940678</v>
      </c>
      <c r="B5092" s="5">
        <v>44942</v>
      </c>
      <c r="C5092">
        <v>95600</v>
      </c>
      <c r="D5092" t="str">
        <f>PROPER(Transactions!D5092)</f>
        <v>Furniture</v>
      </c>
      <c r="E5092" t="s">
        <v>51</v>
      </c>
      <c r="F5092" t="s">
        <v>52</v>
      </c>
      <c r="G5092">
        <v>2</v>
      </c>
      <c r="H5092">
        <v>27.99</v>
      </c>
      <c r="I5092" s="7">
        <f>IF(Transactions!I5092="",0,Transactions!I5092)</f>
        <v>0</v>
      </c>
      <c r="J5092" s="9">
        <f t="shared" si="79"/>
        <v>55.98</v>
      </c>
      <c r="K5092" t="s">
        <v>16</v>
      </c>
      <c r="L5092" t="s">
        <v>23</v>
      </c>
      <c r="M5092" t="str">
        <f>REPLACE(Transactions!M5092,1,4,"")</f>
        <v>4</v>
      </c>
    </row>
    <row r="5093" spans="1:13" x14ac:dyDescent="0.2">
      <c r="A5093">
        <v>941088</v>
      </c>
      <c r="B5093" s="5">
        <v>44733</v>
      </c>
      <c r="C5093">
        <v>11620</v>
      </c>
      <c r="D5093" t="str">
        <f>PROPER(Transactions!D5093)</f>
        <v>Toys</v>
      </c>
      <c r="E5093" t="s">
        <v>38</v>
      </c>
      <c r="F5093" t="s">
        <v>39</v>
      </c>
      <c r="G5093">
        <v>1</v>
      </c>
      <c r="H5093">
        <v>29.99</v>
      </c>
      <c r="I5093" s="7">
        <f>IF(Transactions!I5093="",0,Transactions!I5093)</f>
        <v>0</v>
      </c>
      <c r="J5093" s="9">
        <f t="shared" si="79"/>
        <v>29.99</v>
      </c>
      <c r="K5093" t="s">
        <v>16</v>
      </c>
      <c r="L5093" t="s">
        <v>17</v>
      </c>
      <c r="M5093" t="str">
        <f>REPLACE(Transactions!M5093,1,4,"")</f>
        <v>1</v>
      </c>
    </row>
    <row r="5094" spans="1:13" x14ac:dyDescent="0.2">
      <c r="A5094">
        <v>941096</v>
      </c>
      <c r="B5094" s="5">
        <v>45460</v>
      </c>
      <c r="C5094">
        <v>13233</v>
      </c>
      <c r="D5094" t="str">
        <f>PROPER(Transactions!D5094)</f>
        <v>Automotive</v>
      </c>
      <c r="E5094" t="s">
        <v>68</v>
      </c>
      <c r="F5094" t="s">
        <v>69</v>
      </c>
      <c r="G5094">
        <v>3</v>
      </c>
      <c r="H5094">
        <v>18.739999999999998</v>
      </c>
      <c r="I5094" s="7">
        <f>IF(Transactions!I5094="",0,Transactions!I5094)</f>
        <v>0.25</v>
      </c>
      <c r="J5094" s="9">
        <f t="shared" si="79"/>
        <v>42.164999999999999</v>
      </c>
      <c r="K5094" t="s">
        <v>22</v>
      </c>
      <c r="L5094" t="s">
        <v>17</v>
      </c>
      <c r="M5094" t="str">
        <f>REPLACE(Transactions!M5094,1,4,"")</f>
        <v>9</v>
      </c>
    </row>
    <row r="5095" spans="1:13" x14ac:dyDescent="0.2">
      <c r="A5095">
        <v>941735</v>
      </c>
      <c r="B5095" s="5">
        <v>45226</v>
      </c>
      <c r="C5095">
        <v>20625</v>
      </c>
      <c r="D5095" t="str">
        <f>PROPER(Transactions!D5095)</f>
        <v>Grocery</v>
      </c>
      <c r="E5095" t="s">
        <v>74</v>
      </c>
      <c r="F5095" t="s">
        <v>75</v>
      </c>
      <c r="G5095">
        <v>1</v>
      </c>
      <c r="H5095">
        <v>2.69</v>
      </c>
      <c r="I5095" s="7">
        <f>IF(Transactions!I5095="",0,Transactions!I5095)</f>
        <v>0.1</v>
      </c>
      <c r="J5095" s="9">
        <f t="shared" si="79"/>
        <v>2.4209999999999998</v>
      </c>
      <c r="K5095" t="s">
        <v>36</v>
      </c>
      <c r="L5095" t="s">
        <v>37</v>
      </c>
      <c r="M5095" t="str">
        <f>REPLACE(Transactions!M5095,1,4,"")</f>
        <v>15</v>
      </c>
    </row>
    <row r="5096" spans="1:13" x14ac:dyDescent="0.2">
      <c r="A5096">
        <v>941924</v>
      </c>
      <c r="B5096" s="5">
        <v>44764</v>
      </c>
      <c r="C5096">
        <v>58188</v>
      </c>
      <c r="D5096" t="str">
        <f>PROPER(Transactions!D5096)</f>
        <v>Toys</v>
      </c>
      <c r="E5096" t="s">
        <v>72</v>
      </c>
      <c r="F5096" t="s">
        <v>73</v>
      </c>
      <c r="G5096">
        <v>3</v>
      </c>
      <c r="H5096">
        <v>29.99</v>
      </c>
      <c r="I5096" s="7">
        <f>IF(Transactions!I5096="",0,Transactions!I5096)</f>
        <v>0.25</v>
      </c>
      <c r="J5096" s="9">
        <f t="shared" si="79"/>
        <v>67.477499999999992</v>
      </c>
      <c r="K5096" t="s">
        <v>16</v>
      </c>
      <c r="L5096" t="s">
        <v>37</v>
      </c>
      <c r="M5096" t="str">
        <f>REPLACE(Transactions!M5096,1,4,"")</f>
        <v>3</v>
      </c>
    </row>
    <row r="5097" spans="1:13" x14ac:dyDescent="0.2">
      <c r="A5097">
        <v>941934</v>
      </c>
      <c r="B5097" s="5">
        <v>45501</v>
      </c>
      <c r="C5097">
        <v>60636</v>
      </c>
      <c r="D5097" t="str">
        <f>PROPER(Transactions!D5097)</f>
        <v>Electronics</v>
      </c>
      <c r="E5097" t="s">
        <v>55</v>
      </c>
      <c r="F5097" t="s">
        <v>56</v>
      </c>
      <c r="G5097">
        <v>1</v>
      </c>
      <c r="H5097">
        <v>313.49</v>
      </c>
      <c r="I5097" s="7">
        <f>IF(Transactions!I5097="",0,Transactions!I5097)</f>
        <v>0.05</v>
      </c>
      <c r="J5097" s="9">
        <f t="shared" si="79"/>
        <v>297.81549999999999</v>
      </c>
      <c r="K5097" t="s">
        <v>16</v>
      </c>
      <c r="L5097" t="s">
        <v>17</v>
      </c>
      <c r="M5097" t="str">
        <f>REPLACE(Transactions!M5097,1,4,"")</f>
        <v>9</v>
      </c>
    </row>
    <row r="5098" spans="1:13" x14ac:dyDescent="0.2">
      <c r="A5098">
        <v>942080</v>
      </c>
      <c r="B5098" s="5">
        <v>44928</v>
      </c>
      <c r="C5098">
        <v>81843</v>
      </c>
      <c r="D5098" t="str">
        <f>PROPER(Transactions!D5098)</f>
        <v>Electronics</v>
      </c>
      <c r="E5098" t="s">
        <v>186</v>
      </c>
      <c r="F5098" t="s">
        <v>187</v>
      </c>
      <c r="G5098">
        <v>3</v>
      </c>
      <c r="H5098">
        <v>42.49</v>
      </c>
      <c r="I5098" s="7">
        <f>IF(Transactions!I5098="",0,Transactions!I5098)</f>
        <v>0</v>
      </c>
      <c r="J5098" s="9">
        <f t="shared" si="79"/>
        <v>127.47</v>
      </c>
      <c r="K5098" t="s">
        <v>22</v>
      </c>
      <c r="L5098" t="s">
        <v>37</v>
      </c>
      <c r="M5098" t="str">
        <f>REPLACE(Transactions!M5098,1,4,"")</f>
        <v>10</v>
      </c>
    </row>
    <row r="5099" spans="1:13" x14ac:dyDescent="0.2">
      <c r="A5099">
        <v>942104</v>
      </c>
      <c r="B5099" s="5">
        <v>45614</v>
      </c>
      <c r="C5099">
        <v>86680</v>
      </c>
      <c r="D5099" t="str">
        <f>PROPER(Transactions!D5099)</f>
        <v>Automotive</v>
      </c>
      <c r="E5099" t="s">
        <v>64</v>
      </c>
      <c r="F5099" t="s">
        <v>65</v>
      </c>
      <c r="G5099">
        <v>2</v>
      </c>
      <c r="H5099">
        <v>4.74</v>
      </c>
      <c r="I5099" s="7">
        <f>IF(Transactions!I5099="",0,Transactions!I5099)</f>
        <v>0.05</v>
      </c>
      <c r="J5099" s="9">
        <f t="shared" si="79"/>
        <v>9.0060000000000002</v>
      </c>
      <c r="K5099" t="s">
        <v>16</v>
      </c>
      <c r="L5099" t="s">
        <v>17</v>
      </c>
      <c r="M5099" t="str">
        <f>REPLACE(Transactions!M5099,1,4,"")</f>
        <v>3</v>
      </c>
    </row>
    <row r="5100" spans="1:13" x14ac:dyDescent="0.2">
      <c r="A5100">
        <v>942355</v>
      </c>
      <c r="B5100" s="5">
        <v>44578</v>
      </c>
      <c r="C5100">
        <v>18216</v>
      </c>
      <c r="D5100" t="str">
        <f>PROPER(Transactions!D5100)</f>
        <v>Grocery</v>
      </c>
      <c r="E5100" t="s">
        <v>184</v>
      </c>
      <c r="F5100" t="s">
        <v>185</v>
      </c>
      <c r="G5100">
        <v>2</v>
      </c>
      <c r="H5100">
        <v>3.84</v>
      </c>
      <c r="I5100" s="7">
        <f>IF(Transactions!I5100="",0,Transactions!I5100)</f>
        <v>0.3</v>
      </c>
      <c r="J5100" s="9">
        <f t="shared" si="79"/>
        <v>5.3759999999999994</v>
      </c>
      <c r="K5100" t="s">
        <v>16</v>
      </c>
      <c r="L5100" t="s">
        <v>17</v>
      </c>
      <c r="M5100" t="str">
        <f>REPLACE(Transactions!M5100,1,4,"")</f>
        <v>16</v>
      </c>
    </row>
    <row r="5101" spans="1:13" x14ac:dyDescent="0.2">
      <c r="A5101">
        <v>942554</v>
      </c>
      <c r="B5101" s="5">
        <v>45526</v>
      </c>
      <c r="C5101">
        <v>40837</v>
      </c>
      <c r="D5101" t="str">
        <f>PROPER(Transactions!D5101)</f>
        <v>Home &amp; Garden</v>
      </c>
      <c r="E5101" t="s">
        <v>157</v>
      </c>
      <c r="F5101" t="s">
        <v>158</v>
      </c>
      <c r="G5101">
        <v>2</v>
      </c>
      <c r="H5101">
        <v>9.44</v>
      </c>
      <c r="I5101" s="7">
        <f>IF(Transactions!I5101="",0,Transactions!I5101)</f>
        <v>0.3</v>
      </c>
      <c r="J5101" s="9">
        <f t="shared" si="79"/>
        <v>13.215999999999999</v>
      </c>
      <c r="K5101" t="s">
        <v>36</v>
      </c>
      <c r="L5101" t="s">
        <v>17</v>
      </c>
      <c r="M5101" t="str">
        <f>REPLACE(Transactions!M5101,1,4,"")</f>
        <v>1</v>
      </c>
    </row>
    <row r="5102" spans="1:13" x14ac:dyDescent="0.2">
      <c r="A5102">
        <v>942606</v>
      </c>
      <c r="B5102" s="5">
        <v>44935</v>
      </c>
      <c r="C5102">
        <v>26796</v>
      </c>
      <c r="D5102" t="str">
        <f>PROPER(Transactions!D5102)</f>
        <v>Electronics</v>
      </c>
      <c r="E5102" t="s">
        <v>14</v>
      </c>
      <c r="F5102" t="s">
        <v>15</v>
      </c>
      <c r="G5102">
        <v>2</v>
      </c>
      <c r="H5102">
        <v>63.99</v>
      </c>
      <c r="I5102" s="7">
        <f>IF(Transactions!I5102="",0,Transactions!I5102)</f>
        <v>0.2</v>
      </c>
      <c r="J5102" s="9">
        <f t="shared" si="79"/>
        <v>102.38400000000001</v>
      </c>
      <c r="K5102" t="s">
        <v>16</v>
      </c>
      <c r="L5102" t="s">
        <v>17</v>
      </c>
      <c r="M5102" t="str">
        <f>REPLACE(Transactions!M5102,1,4,"")</f>
        <v>7</v>
      </c>
    </row>
    <row r="5103" spans="1:13" x14ac:dyDescent="0.2">
      <c r="A5103">
        <v>942906</v>
      </c>
      <c r="B5103" s="5">
        <v>45291</v>
      </c>
      <c r="C5103">
        <v>92502</v>
      </c>
      <c r="D5103" t="str">
        <f>PROPER(Transactions!D5103)</f>
        <v>Beauty</v>
      </c>
      <c r="E5103" t="s">
        <v>49</v>
      </c>
      <c r="F5103" t="s">
        <v>50</v>
      </c>
      <c r="G5103">
        <v>1</v>
      </c>
      <c r="H5103">
        <v>6.29</v>
      </c>
      <c r="I5103" s="7">
        <f>IF(Transactions!I5103="",0,Transactions!I5103)</f>
        <v>0.3</v>
      </c>
      <c r="J5103" s="9">
        <f t="shared" si="79"/>
        <v>4.4029999999999996</v>
      </c>
      <c r="K5103" t="s">
        <v>95</v>
      </c>
      <c r="L5103" t="s">
        <v>17</v>
      </c>
      <c r="M5103" t="str">
        <f>REPLACE(Transactions!M5103,1,4,"")</f>
        <v>10</v>
      </c>
    </row>
    <row r="5104" spans="1:13" x14ac:dyDescent="0.2">
      <c r="A5104">
        <v>943492</v>
      </c>
      <c r="B5104" s="5">
        <v>45489</v>
      </c>
      <c r="C5104">
        <v>84676</v>
      </c>
      <c r="D5104" t="str">
        <f>PROPER(Transactions!D5104)</f>
        <v>Home &amp; Garden</v>
      </c>
      <c r="E5104" t="s">
        <v>149</v>
      </c>
      <c r="F5104" t="s">
        <v>150</v>
      </c>
      <c r="G5104">
        <v>5</v>
      </c>
      <c r="H5104">
        <v>15.99</v>
      </c>
      <c r="I5104" s="7">
        <f>IF(Transactions!I5104="",0,Transactions!I5104)</f>
        <v>0.2</v>
      </c>
      <c r="J5104" s="9">
        <f t="shared" si="79"/>
        <v>63.960000000000008</v>
      </c>
      <c r="K5104" t="s">
        <v>36</v>
      </c>
      <c r="L5104" t="s">
        <v>17</v>
      </c>
      <c r="M5104" t="str">
        <f>REPLACE(Transactions!M5104,1,4,"")</f>
        <v>8</v>
      </c>
    </row>
    <row r="5105" spans="1:13" x14ac:dyDescent="0.2">
      <c r="A5105">
        <v>943510</v>
      </c>
      <c r="B5105" s="5">
        <v>45144</v>
      </c>
      <c r="C5105">
        <v>30573</v>
      </c>
      <c r="D5105" t="str">
        <f>PROPER(Transactions!D5105)</f>
        <v>Clothing</v>
      </c>
      <c r="E5105" t="s">
        <v>121</v>
      </c>
      <c r="F5105" t="s">
        <v>122</v>
      </c>
      <c r="G5105">
        <v>3</v>
      </c>
      <c r="H5105">
        <v>12.99</v>
      </c>
      <c r="I5105" s="7">
        <f>IF(Transactions!I5105="",0,Transactions!I5105)</f>
        <v>0</v>
      </c>
      <c r="J5105" s="9">
        <f t="shared" si="79"/>
        <v>38.97</v>
      </c>
      <c r="K5105" t="s">
        <v>22</v>
      </c>
      <c r="L5105" t="s">
        <v>17</v>
      </c>
      <c r="M5105" t="str">
        <f>REPLACE(Transactions!M5105,1,4,"")</f>
        <v>18</v>
      </c>
    </row>
    <row r="5106" spans="1:13" x14ac:dyDescent="0.2">
      <c r="A5106">
        <v>943663</v>
      </c>
      <c r="B5106" s="5">
        <v>45481</v>
      </c>
      <c r="C5106">
        <v>81170</v>
      </c>
      <c r="D5106" t="str">
        <f>PROPER(Transactions!D5106)</f>
        <v>Toys</v>
      </c>
      <c r="E5106" t="s">
        <v>175</v>
      </c>
      <c r="F5106" t="s">
        <v>176</v>
      </c>
      <c r="G5106">
        <v>5</v>
      </c>
      <c r="H5106">
        <v>11.99</v>
      </c>
      <c r="I5106" s="7">
        <f>IF(Transactions!I5106="",0,Transactions!I5106)</f>
        <v>0</v>
      </c>
      <c r="J5106" s="9">
        <f t="shared" si="79"/>
        <v>59.95</v>
      </c>
      <c r="K5106" t="s">
        <v>36</v>
      </c>
      <c r="L5106" t="s">
        <v>17</v>
      </c>
      <c r="M5106" t="str">
        <f>REPLACE(Transactions!M5106,1,4,"")</f>
        <v>15</v>
      </c>
    </row>
    <row r="5107" spans="1:13" x14ac:dyDescent="0.2">
      <c r="A5107">
        <v>943678</v>
      </c>
      <c r="B5107" s="5">
        <v>45397</v>
      </c>
      <c r="C5107">
        <v>54379</v>
      </c>
      <c r="D5107" t="str">
        <f>PROPER(Transactions!D5107)</f>
        <v>Toys</v>
      </c>
      <c r="E5107" t="s">
        <v>88</v>
      </c>
      <c r="F5107" t="s">
        <v>89</v>
      </c>
      <c r="G5107">
        <v>1</v>
      </c>
      <c r="H5107">
        <v>47.49</v>
      </c>
      <c r="I5107" s="7">
        <f>IF(Transactions!I5107="",0,Transactions!I5107)</f>
        <v>0.05</v>
      </c>
      <c r="J5107" s="9">
        <f t="shared" si="79"/>
        <v>45.115499999999997</v>
      </c>
      <c r="K5107" t="s">
        <v>16</v>
      </c>
      <c r="L5107" t="s">
        <v>17</v>
      </c>
      <c r="M5107" t="str">
        <f>REPLACE(Transactions!M5107,1,4,"")</f>
        <v>4</v>
      </c>
    </row>
    <row r="5108" spans="1:13" x14ac:dyDescent="0.2">
      <c r="A5108">
        <v>944073</v>
      </c>
      <c r="B5108" s="5">
        <v>44903</v>
      </c>
      <c r="C5108">
        <v>45963</v>
      </c>
      <c r="D5108" t="str">
        <f>PROPER(Transactions!D5108)</f>
        <v>Clothing</v>
      </c>
      <c r="E5108" t="s">
        <v>181</v>
      </c>
      <c r="F5108" t="s">
        <v>182</v>
      </c>
      <c r="G5108">
        <v>4</v>
      </c>
      <c r="H5108">
        <v>11.99</v>
      </c>
      <c r="I5108" s="7">
        <f>IF(Transactions!I5108="",0,Transactions!I5108)</f>
        <v>0.2</v>
      </c>
      <c r="J5108" s="9">
        <f t="shared" si="79"/>
        <v>38.368000000000002</v>
      </c>
      <c r="K5108" t="s">
        <v>16</v>
      </c>
      <c r="L5108" t="s">
        <v>37</v>
      </c>
      <c r="M5108" t="str">
        <f>REPLACE(Transactions!M5108,1,4,"")</f>
        <v>6</v>
      </c>
    </row>
    <row r="5109" spans="1:13" x14ac:dyDescent="0.2">
      <c r="A5109">
        <v>944101</v>
      </c>
      <c r="B5109" s="5">
        <v>45013</v>
      </c>
      <c r="C5109">
        <v>46927</v>
      </c>
      <c r="D5109" t="str">
        <f>PROPER(Transactions!D5109)</f>
        <v>Furniture</v>
      </c>
      <c r="E5109" t="s">
        <v>60</v>
      </c>
      <c r="F5109" t="s">
        <v>61</v>
      </c>
      <c r="G5109">
        <v>2</v>
      </c>
      <c r="H5109">
        <v>52.24</v>
      </c>
      <c r="I5109" s="7">
        <f>IF(Transactions!I5109="",0,Transactions!I5109)</f>
        <v>0.05</v>
      </c>
      <c r="J5109" s="9">
        <f t="shared" si="79"/>
        <v>99.256</v>
      </c>
      <c r="K5109" t="s">
        <v>95</v>
      </c>
      <c r="L5109" t="s">
        <v>17</v>
      </c>
      <c r="M5109" t="str">
        <f>REPLACE(Transactions!M5109,1,4,"")</f>
        <v/>
      </c>
    </row>
    <row r="5110" spans="1:13" x14ac:dyDescent="0.2">
      <c r="A5110">
        <v>944260</v>
      </c>
      <c r="B5110" s="5">
        <v>44627</v>
      </c>
      <c r="C5110">
        <v>98325</v>
      </c>
      <c r="D5110" t="str">
        <f>PROPER(Transactions!D5110)</f>
        <v>Sports</v>
      </c>
      <c r="E5110" t="s">
        <v>83</v>
      </c>
      <c r="F5110" t="s">
        <v>84</v>
      </c>
      <c r="G5110">
        <v>2</v>
      </c>
      <c r="H5110">
        <v>11.89</v>
      </c>
      <c r="I5110" s="7">
        <f>IF(Transactions!I5110="",0,Transactions!I5110)</f>
        <v>0.3</v>
      </c>
      <c r="J5110" s="9">
        <f t="shared" si="79"/>
        <v>16.646000000000001</v>
      </c>
      <c r="K5110" t="s">
        <v>16</v>
      </c>
      <c r="L5110" t="s">
        <v>37</v>
      </c>
      <c r="M5110" t="str">
        <f>REPLACE(Transactions!M5110,1,4,"")</f>
        <v>19</v>
      </c>
    </row>
    <row r="5111" spans="1:13" x14ac:dyDescent="0.2">
      <c r="A5111">
        <v>944445</v>
      </c>
      <c r="B5111" s="5">
        <v>45437</v>
      </c>
      <c r="C5111">
        <v>65500</v>
      </c>
      <c r="D5111" t="str">
        <f>PROPER(Transactions!D5111)</f>
        <v>Clothing</v>
      </c>
      <c r="E5111" t="s">
        <v>193</v>
      </c>
      <c r="F5111" t="s">
        <v>194</v>
      </c>
      <c r="G5111">
        <v>2</v>
      </c>
      <c r="H5111">
        <v>58.49</v>
      </c>
      <c r="I5111" s="7">
        <f>IF(Transactions!I5111="",0,Transactions!I5111)</f>
        <v>0.1</v>
      </c>
      <c r="J5111" s="9">
        <f t="shared" si="79"/>
        <v>105.28200000000001</v>
      </c>
      <c r="K5111" t="s">
        <v>36</v>
      </c>
      <c r="L5111" t="s">
        <v>37</v>
      </c>
      <c r="M5111" t="str">
        <f>REPLACE(Transactions!M5111,1,4,"")</f>
        <v>8</v>
      </c>
    </row>
    <row r="5112" spans="1:13" x14ac:dyDescent="0.2">
      <c r="A5112">
        <v>944565</v>
      </c>
      <c r="B5112" s="5">
        <v>44847</v>
      </c>
      <c r="C5112">
        <v>80617</v>
      </c>
      <c r="D5112" t="str">
        <f>PROPER(Transactions!D5112)</f>
        <v>Furniture</v>
      </c>
      <c r="E5112" t="s">
        <v>60</v>
      </c>
      <c r="F5112" t="s">
        <v>61</v>
      </c>
      <c r="G5112">
        <v>4</v>
      </c>
      <c r="H5112">
        <v>52.24</v>
      </c>
      <c r="I5112" s="7">
        <f>IF(Transactions!I5112="",0,Transactions!I5112)</f>
        <v>0.05</v>
      </c>
      <c r="J5112" s="9">
        <f t="shared" si="79"/>
        <v>198.512</v>
      </c>
      <c r="K5112" t="s">
        <v>16</v>
      </c>
      <c r="L5112" t="s">
        <v>17</v>
      </c>
      <c r="M5112" t="str">
        <f>REPLACE(Transactions!M5112,1,4,"")</f>
        <v>8</v>
      </c>
    </row>
    <row r="5113" spans="1:13" x14ac:dyDescent="0.2">
      <c r="A5113">
        <v>944652</v>
      </c>
      <c r="B5113" s="5">
        <v>44712</v>
      </c>
      <c r="C5113">
        <v>65171</v>
      </c>
      <c r="D5113" t="str">
        <f>PROPER(Transactions!D5113)</f>
        <v>Toys</v>
      </c>
      <c r="E5113" t="s">
        <v>38</v>
      </c>
      <c r="F5113" t="s">
        <v>39</v>
      </c>
      <c r="G5113">
        <v>3</v>
      </c>
      <c r="H5113">
        <v>28.49</v>
      </c>
      <c r="I5113" s="7">
        <f>IF(Transactions!I5113="",0,Transactions!I5113)</f>
        <v>0.05</v>
      </c>
      <c r="J5113" s="9">
        <f t="shared" si="79"/>
        <v>81.1965</v>
      </c>
      <c r="K5113" t="s">
        <v>95</v>
      </c>
      <c r="L5113" t="s">
        <v>37</v>
      </c>
      <c r="M5113" t="str">
        <f>REPLACE(Transactions!M5113,1,4,"")</f>
        <v>6</v>
      </c>
    </row>
    <row r="5114" spans="1:13" x14ac:dyDescent="0.2">
      <c r="A5114">
        <v>944659</v>
      </c>
      <c r="B5114" s="5">
        <v>45261</v>
      </c>
      <c r="D5114" t="str">
        <f>PROPER(Transactions!D5114)</f>
        <v>Grocery</v>
      </c>
      <c r="E5114" t="s">
        <v>74</v>
      </c>
      <c r="F5114" t="s">
        <v>75</v>
      </c>
      <c r="G5114">
        <v>1</v>
      </c>
      <c r="H5114">
        <v>2.54</v>
      </c>
      <c r="I5114" s="7">
        <f>IF(Transactions!I5114="",0,Transactions!I5114)</f>
        <v>0.15</v>
      </c>
      <c r="J5114" s="9">
        <f t="shared" si="79"/>
        <v>2.1589999999999998</v>
      </c>
      <c r="K5114" t="s">
        <v>53</v>
      </c>
      <c r="L5114" t="s">
        <v>37</v>
      </c>
      <c r="M5114" t="str">
        <f>REPLACE(Transactions!M5114,1,4,"")</f>
        <v>19</v>
      </c>
    </row>
    <row r="5115" spans="1:13" x14ac:dyDescent="0.2">
      <c r="A5115">
        <v>944722</v>
      </c>
      <c r="B5115" s="5">
        <v>45605</v>
      </c>
      <c r="C5115">
        <v>70992</v>
      </c>
      <c r="D5115" t="str">
        <f>PROPER(Transactions!D5115)</f>
        <v>Pharmacy</v>
      </c>
      <c r="E5115" t="s">
        <v>115</v>
      </c>
      <c r="F5115" t="s">
        <v>116</v>
      </c>
      <c r="G5115">
        <v>1</v>
      </c>
      <c r="H5115">
        <v>11.04</v>
      </c>
      <c r="I5115" s="7">
        <f>IF(Transactions!I5115="",0,Transactions!I5115)</f>
        <v>0.15</v>
      </c>
      <c r="J5115" s="9">
        <f t="shared" si="79"/>
        <v>9.3839999999999986</v>
      </c>
      <c r="K5115" t="s">
        <v>36</v>
      </c>
      <c r="L5115" t="s">
        <v>37</v>
      </c>
      <c r="M5115" t="str">
        <f>REPLACE(Transactions!M5115,1,4,"")</f>
        <v>1</v>
      </c>
    </row>
    <row r="5116" spans="1:13" x14ac:dyDescent="0.2">
      <c r="A5116">
        <v>945366</v>
      </c>
      <c r="B5116" s="5">
        <v>45429</v>
      </c>
      <c r="C5116">
        <v>62583</v>
      </c>
      <c r="D5116" t="str">
        <f>PROPER(Transactions!D5116)</f>
        <v>Home &amp; Garden</v>
      </c>
      <c r="E5116" t="s">
        <v>86</v>
      </c>
      <c r="F5116" t="s">
        <v>87</v>
      </c>
      <c r="G5116">
        <v>1</v>
      </c>
      <c r="H5116">
        <v>12.99</v>
      </c>
      <c r="I5116" s="7">
        <f>IF(Transactions!I5116="",0,Transactions!I5116)</f>
        <v>0</v>
      </c>
      <c r="J5116" s="9">
        <f t="shared" si="79"/>
        <v>12.99</v>
      </c>
      <c r="K5116" t="s">
        <v>36</v>
      </c>
      <c r="L5116" t="s">
        <v>17</v>
      </c>
      <c r="M5116" t="str">
        <f>REPLACE(Transactions!M5116,1,4,"")</f>
        <v>6</v>
      </c>
    </row>
    <row r="5117" spans="1:13" x14ac:dyDescent="0.2">
      <c r="A5117">
        <v>945541</v>
      </c>
      <c r="B5117" s="5">
        <v>45259</v>
      </c>
      <c r="D5117" t="str">
        <f>PROPER(Transactions!D5117)</f>
        <v>Furniture</v>
      </c>
      <c r="E5117" t="s">
        <v>113</v>
      </c>
      <c r="F5117" t="s">
        <v>114</v>
      </c>
      <c r="G5117">
        <v>4</v>
      </c>
      <c r="H5117">
        <v>119.99</v>
      </c>
      <c r="I5117" s="7">
        <f>IF(Transactions!I5117="",0,Transactions!I5117)</f>
        <v>0</v>
      </c>
      <c r="J5117" s="9">
        <f t="shared" si="79"/>
        <v>479.96</v>
      </c>
      <c r="K5117" t="s">
        <v>16</v>
      </c>
      <c r="L5117" t="s">
        <v>17</v>
      </c>
      <c r="M5117" t="str">
        <f>REPLACE(Transactions!M5117,1,4,"")</f>
        <v>9</v>
      </c>
    </row>
    <row r="5118" spans="1:13" x14ac:dyDescent="0.2">
      <c r="A5118">
        <v>945883</v>
      </c>
      <c r="B5118" s="5">
        <v>45174</v>
      </c>
      <c r="C5118">
        <v>62598</v>
      </c>
      <c r="D5118" t="str">
        <f>PROPER(Transactions!D5118)</f>
        <v>Home &amp; Garden</v>
      </c>
      <c r="E5118" t="s">
        <v>149</v>
      </c>
      <c r="F5118" t="s">
        <v>150</v>
      </c>
      <c r="G5118">
        <v>4</v>
      </c>
      <c r="H5118">
        <v>13.99</v>
      </c>
      <c r="I5118" s="7">
        <f>IF(Transactions!I5118="",0,Transactions!I5118)</f>
        <v>0.3</v>
      </c>
      <c r="J5118" s="9">
        <f t="shared" si="79"/>
        <v>39.171999999999997</v>
      </c>
      <c r="K5118" t="s">
        <v>95</v>
      </c>
      <c r="L5118" t="s">
        <v>17</v>
      </c>
      <c r="M5118" t="str">
        <f>REPLACE(Transactions!M5118,1,4,"")</f>
        <v>17</v>
      </c>
    </row>
    <row r="5119" spans="1:13" x14ac:dyDescent="0.2">
      <c r="A5119">
        <v>946003</v>
      </c>
      <c r="B5119" s="5">
        <v>45367</v>
      </c>
      <c r="C5119">
        <v>89337</v>
      </c>
      <c r="D5119" t="str">
        <f>PROPER(Transactions!D5119)</f>
        <v>Electronics</v>
      </c>
      <c r="E5119" t="s">
        <v>104</v>
      </c>
      <c r="F5119" t="s">
        <v>105</v>
      </c>
      <c r="G5119">
        <v>2</v>
      </c>
      <c r="H5119">
        <v>26.99</v>
      </c>
      <c r="I5119" s="7">
        <f>IF(Transactions!I5119="",0,Transactions!I5119)</f>
        <v>0.1</v>
      </c>
      <c r="J5119" s="9">
        <f t="shared" si="79"/>
        <v>48.582000000000001</v>
      </c>
      <c r="K5119" t="s">
        <v>32</v>
      </c>
      <c r="L5119" t="s">
        <v>17</v>
      </c>
      <c r="M5119" t="str">
        <f>REPLACE(Transactions!M5119,1,4,"")</f>
        <v>17</v>
      </c>
    </row>
    <row r="5120" spans="1:13" x14ac:dyDescent="0.2">
      <c r="A5120">
        <v>946402</v>
      </c>
      <c r="B5120" s="5">
        <v>44803</v>
      </c>
      <c r="C5120">
        <v>19669</v>
      </c>
      <c r="D5120" t="str">
        <f>PROPER(Transactions!D5120)</f>
        <v>Furniture</v>
      </c>
      <c r="E5120" t="s">
        <v>113</v>
      </c>
      <c r="F5120" t="s">
        <v>114</v>
      </c>
      <c r="G5120">
        <v>5</v>
      </c>
      <c r="H5120">
        <v>89.99</v>
      </c>
      <c r="I5120" s="7">
        <f>IF(Transactions!I5120="",0,Transactions!I5120)</f>
        <v>0.25</v>
      </c>
      <c r="J5120" s="9">
        <f t="shared" si="79"/>
        <v>337.46249999999998</v>
      </c>
      <c r="K5120" t="s">
        <v>22</v>
      </c>
      <c r="L5120" t="s">
        <v>17</v>
      </c>
      <c r="M5120" t="str">
        <f>REPLACE(Transactions!M5120,1,4,"")</f>
        <v>3</v>
      </c>
    </row>
    <row r="5121" spans="1:13" x14ac:dyDescent="0.2">
      <c r="A5121">
        <v>946414</v>
      </c>
      <c r="B5121" s="5">
        <v>45386</v>
      </c>
      <c r="C5121">
        <v>12144</v>
      </c>
      <c r="D5121" t="str">
        <f>PROPER(Transactions!D5121)</f>
        <v>Automotive</v>
      </c>
      <c r="E5121" t="s">
        <v>111</v>
      </c>
      <c r="F5121" t="s">
        <v>112</v>
      </c>
      <c r="G5121">
        <v>2</v>
      </c>
      <c r="H5121">
        <v>10.49</v>
      </c>
      <c r="I5121" s="7">
        <f>IF(Transactions!I5121="",0,Transactions!I5121)</f>
        <v>0.3</v>
      </c>
      <c r="J5121" s="9">
        <f t="shared" si="79"/>
        <v>14.686</v>
      </c>
      <c r="K5121" t="s">
        <v>16</v>
      </c>
      <c r="L5121" t="s">
        <v>37</v>
      </c>
      <c r="M5121" t="str">
        <f>REPLACE(Transactions!M5121,1,4,"")</f>
        <v>19</v>
      </c>
    </row>
    <row r="5122" spans="1:13" x14ac:dyDescent="0.2">
      <c r="A5122">
        <v>946428</v>
      </c>
      <c r="B5122" s="5">
        <v>45089</v>
      </c>
      <c r="C5122">
        <v>41983</v>
      </c>
      <c r="D5122" t="str">
        <f>PROPER(Transactions!D5122)</f>
        <v>Home &amp; Garden</v>
      </c>
      <c r="E5122" t="s">
        <v>153</v>
      </c>
      <c r="F5122" t="s">
        <v>154</v>
      </c>
      <c r="G5122">
        <v>2</v>
      </c>
      <c r="H5122">
        <v>29.99</v>
      </c>
      <c r="I5122" s="7">
        <f>IF(Transactions!I5122="",0,Transactions!I5122)</f>
        <v>0</v>
      </c>
      <c r="J5122" s="9">
        <f t="shared" si="79"/>
        <v>59.98</v>
      </c>
      <c r="K5122" t="s">
        <v>95</v>
      </c>
      <c r="L5122" t="s">
        <v>23</v>
      </c>
      <c r="M5122" t="str">
        <f>REPLACE(Transactions!M5122,1,4,"")</f>
        <v/>
      </c>
    </row>
    <row r="5123" spans="1:13" x14ac:dyDescent="0.2">
      <c r="A5123">
        <v>946546</v>
      </c>
      <c r="B5123" s="5">
        <v>44766</v>
      </c>
      <c r="C5123">
        <v>80797</v>
      </c>
      <c r="D5123" t="str">
        <f>PROPER(Transactions!D5123)</f>
        <v>Sports</v>
      </c>
      <c r="E5123" t="s">
        <v>168</v>
      </c>
      <c r="F5123" t="s">
        <v>169</v>
      </c>
      <c r="G5123">
        <v>3</v>
      </c>
      <c r="H5123">
        <v>7.19</v>
      </c>
      <c r="I5123" s="7">
        <f>IF(Transactions!I5123="",0,Transactions!I5123)</f>
        <v>0.2</v>
      </c>
      <c r="J5123" s="9">
        <f t="shared" ref="J5123:J5186" si="80">(H5123*G5123)*(1-I5123)</f>
        <v>17.256</v>
      </c>
      <c r="K5123" t="s">
        <v>16</v>
      </c>
      <c r="L5123" t="s">
        <v>17</v>
      </c>
      <c r="M5123" t="str">
        <f>REPLACE(Transactions!M5123,1,4,"")</f>
        <v>1</v>
      </c>
    </row>
    <row r="5124" spans="1:13" x14ac:dyDescent="0.2">
      <c r="A5124">
        <v>946699</v>
      </c>
      <c r="B5124" s="5">
        <v>44753</v>
      </c>
      <c r="C5124">
        <v>75748</v>
      </c>
      <c r="D5124" t="str">
        <f>PROPER(Transactions!D5124)</f>
        <v>Pharmacy</v>
      </c>
      <c r="E5124" t="s">
        <v>20</v>
      </c>
      <c r="F5124" t="s">
        <v>21</v>
      </c>
      <c r="G5124">
        <v>5</v>
      </c>
      <c r="H5124">
        <v>9.49</v>
      </c>
      <c r="I5124" s="7">
        <f>IF(Transactions!I5124="",0,Transactions!I5124)</f>
        <v>0.05</v>
      </c>
      <c r="J5124" s="9">
        <f t="shared" si="80"/>
        <v>45.077500000000001</v>
      </c>
      <c r="K5124" t="s">
        <v>22</v>
      </c>
      <c r="L5124" t="s">
        <v>17</v>
      </c>
      <c r="M5124" t="str">
        <f>REPLACE(Transactions!M5124,1,4,"")</f>
        <v>19</v>
      </c>
    </row>
    <row r="5125" spans="1:13" x14ac:dyDescent="0.2">
      <c r="A5125">
        <v>947047</v>
      </c>
      <c r="B5125" s="5">
        <v>44895</v>
      </c>
      <c r="C5125">
        <v>34824</v>
      </c>
      <c r="D5125" t="str">
        <f>PROPER(Transactions!D5125)</f>
        <v>Sports</v>
      </c>
      <c r="E5125" t="s">
        <v>100</v>
      </c>
      <c r="F5125" t="s">
        <v>101</v>
      </c>
      <c r="G5125">
        <v>1</v>
      </c>
      <c r="H5125">
        <v>22.99</v>
      </c>
      <c r="I5125" s="7">
        <f>IF(Transactions!I5125="",0,Transactions!I5125)</f>
        <v>0</v>
      </c>
      <c r="J5125" s="9">
        <f t="shared" si="80"/>
        <v>22.99</v>
      </c>
      <c r="K5125" t="s">
        <v>36</v>
      </c>
      <c r="L5125" t="s">
        <v>17</v>
      </c>
      <c r="M5125" t="str">
        <f>REPLACE(Transactions!M5125,1,4,"")</f>
        <v>7</v>
      </c>
    </row>
    <row r="5126" spans="1:13" x14ac:dyDescent="0.2">
      <c r="A5126">
        <v>947055</v>
      </c>
      <c r="B5126" s="5">
        <v>44640</v>
      </c>
      <c r="C5126">
        <v>74805</v>
      </c>
      <c r="D5126" t="str">
        <f>PROPER(Transactions!D5126)</f>
        <v>Electronics</v>
      </c>
      <c r="E5126" t="s">
        <v>159</v>
      </c>
      <c r="F5126" t="s">
        <v>160</v>
      </c>
      <c r="G5126">
        <v>2</v>
      </c>
      <c r="H5126">
        <v>41.99</v>
      </c>
      <c r="I5126" s="7">
        <f>IF(Transactions!I5126="",0,Transactions!I5126)</f>
        <v>0.3</v>
      </c>
      <c r="J5126" s="9">
        <f t="shared" si="80"/>
        <v>58.786000000000001</v>
      </c>
      <c r="K5126" t="s">
        <v>16</v>
      </c>
      <c r="L5126" t="s">
        <v>23</v>
      </c>
      <c r="M5126" t="str">
        <f>REPLACE(Transactions!M5126,1,4,"")</f>
        <v>12</v>
      </c>
    </row>
    <row r="5127" spans="1:13" x14ac:dyDescent="0.2">
      <c r="A5127">
        <v>947277</v>
      </c>
      <c r="B5127" s="5">
        <v>44644</v>
      </c>
      <c r="C5127">
        <v>63982</v>
      </c>
      <c r="D5127" t="str">
        <f>PROPER(Transactions!D5127)</f>
        <v>Beauty</v>
      </c>
      <c r="E5127" t="s">
        <v>143</v>
      </c>
      <c r="F5127" t="s">
        <v>144</v>
      </c>
      <c r="G5127">
        <v>2</v>
      </c>
      <c r="H5127">
        <v>10.49</v>
      </c>
      <c r="I5127" s="7">
        <f>IF(Transactions!I5127="",0,Transactions!I5127)</f>
        <v>0.3</v>
      </c>
      <c r="J5127" s="9">
        <f t="shared" si="80"/>
        <v>14.686</v>
      </c>
      <c r="K5127" t="s">
        <v>95</v>
      </c>
      <c r="L5127" t="s">
        <v>17</v>
      </c>
      <c r="M5127" t="str">
        <f>REPLACE(Transactions!M5127,1,4,"")</f>
        <v>5</v>
      </c>
    </row>
    <row r="5128" spans="1:13" x14ac:dyDescent="0.2">
      <c r="A5128">
        <v>947379</v>
      </c>
      <c r="B5128" s="5">
        <v>45304</v>
      </c>
      <c r="C5128">
        <v>88399</v>
      </c>
      <c r="D5128" t="str">
        <f>PROPER(Transactions!D5128)</f>
        <v>Pharmacy</v>
      </c>
      <c r="E5128" t="s">
        <v>115</v>
      </c>
      <c r="F5128" t="s">
        <v>116</v>
      </c>
      <c r="G5128">
        <v>2</v>
      </c>
      <c r="H5128">
        <v>10.39</v>
      </c>
      <c r="I5128" s="7">
        <f>IF(Transactions!I5128="",0,Transactions!I5128)</f>
        <v>0</v>
      </c>
      <c r="J5128" s="9">
        <f t="shared" si="80"/>
        <v>20.78</v>
      </c>
      <c r="K5128" t="s">
        <v>16</v>
      </c>
      <c r="L5128" t="s">
        <v>23</v>
      </c>
      <c r="M5128" t="str">
        <f>REPLACE(Transactions!M5128,1,4,"")</f>
        <v>2</v>
      </c>
    </row>
    <row r="5129" spans="1:13" x14ac:dyDescent="0.2">
      <c r="A5129">
        <v>947688</v>
      </c>
      <c r="B5129" s="5">
        <v>45572</v>
      </c>
      <c r="C5129">
        <v>28245</v>
      </c>
      <c r="D5129" t="str">
        <f>PROPER(Transactions!D5129)</f>
        <v>Home &amp; Garden</v>
      </c>
      <c r="E5129" t="s">
        <v>86</v>
      </c>
      <c r="F5129" t="s">
        <v>87</v>
      </c>
      <c r="G5129">
        <v>3</v>
      </c>
      <c r="H5129">
        <v>12.34</v>
      </c>
      <c r="I5129" s="7">
        <f>IF(Transactions!I5129="",0,Transactions!I5129)</f>
        <v>0.05</v>
      </c>
      <c r="J5129" s="9">
        <f t="shared" si="80"/>
        <v>35.168999999999997</v>
      </c>
      <c r="K5129" t="s">
        <v>16</v>
      </c>
      <c r="L5129" t="s">
        <v>23</v>
      </c>
      <c r="M5129" t="str">
        <f>REPLACE(Transactions!M5129,1,4,"")</f>
        <v>12</v>
      </c>
    </row>
    <row r="5130" spans="1:13" x14ac:dyDescent="0.2">
      <c r="A5130">
        <v>947720</v>
      </c>
      <c r="B5130" s="5">
        <v>45584</v>
      </c>
      <c r="C5130">
        <v>56754</v>
      </c>
      <c r="D5130" t="str">
        <f>PROPER(Transactions!D5130)</f>
        <v>Electronics</v>
      </c>
      <c r="E5130" t="s">
        <v>77</v>
      </c>
      <c r="F5130" t="s">
        <v>78</v>
      </c>
      <c r="G5130">
        <v>2</v>
      </c>
      <c r="H5130">
        <v>499.99</v>
      </c>
      <c r="I5130" s="7">
        <f>IF(Transactions!I5130="",0,Transactions!I5130)</f>
        <v>0</v>
      </c>
      <c r="J5130" s="9">
        <f t="shared" si="80"/>
        <v>999.98</v>
      </c>
      <c r="K5130" t="s">
        <v>16</v>
      </c>
      <c r="L5130" t="s">
        <v>17</v>
      </c>
      <c r="M5130" t="str">
        <f>REPLACE(Transactions!M5130,1,4,"")</f>
        <v>8</v>
      </c>
    </row>
    <row r="5131" spans="1:13" x14ac:dyDescent="0.2">
      <c r="A5131">
        <v>947740</v>
      </c>
      <c r="B5131" s="5">
        <v>44850</v>
      </c>
      <c r="C5131">
        <v>47797</v>
      </c>
      <c r="D5131" t="str">
        <f>PROPER(Transactions!D5131)</f>
        <v>Beauty</v>
      </c>
      <c r="E5131" t="s">
        <v>118</v>
      </c>
      <c r="F5131" t="s">
        <v>119</v>
      </c>
      <c r="G5131">
        <v>3</v>
      </c>
      <c r="H5131">
        <v>4.24</v>
      </c>
      <c r="I5131" s="7">
        <f>IF(Transactions!I5131="",0,Transactions!I5131)</f>
        <v>0.15</v>
      </c>
      <c r="J5131" s="9">
        <f t="shared" si="80"/>
        <v>10.811999999999999</v>
      </c>
      <c r="K5131" t="s">
        <v>66</v>
      </c>
      <c r="L5131" t="s">
        <v>17</v>
      </c>
      <c r="M5131" t="str">
        <f>REPLACE(Transactions!M5131,1,4,"")</f>
        <v>14</v>
      </c>
    </row>
    <row r="5132" spans="1:13" x14ac:dyDescent="0.2">
      <c r="A5132">
        <v>947760</v>
      </c>
      <c r="B5132" s="5">
        <v>44621</v>
      </c>
      <c r="C5132">
        <v>92314</v>
      </c>
      <c r="D5132" t="str">
        <f>PROPER(Transactions!D5132)</f>
        <v>Electronics</v>
      </c>
      <c r="E5132" t="s">
        <v>14</v>
      </c>
      <c r="F5132" t="s">
        <v>15</v>
      </c>
      <c r="G5132">
        <v>2</v>
      </c>
      <c r="H5132">
        <v>75.989999999999995</v>
      </c>
      <c r="I5132" s="7">
        <f>IF(Transactions!I5132="",0,Transactions!I5132)</f>
        <v>0.05</v>
      </c>
      <c r="J5132" s="9">
        <f t="shared" si="80"/>
        <v>144.38099999999997</v>
      </c>
      <c r="K5132" t="s">
        <v>22</v>
      </c>
      <c r="L5132" t="s">
        <v>37</v>
      </c>
      <c r="M5132" t="str">
        <f>REPLACE(Transactions!M5132,1,4,"")</f>
        <v>9</v>
      </c>
    </row>
    <row r="5133" spans="1:13" x14ac:dyDescent="0.2">
      <c r="A5133">
        <v>947760</v>
      </c>
      <c r="B5133" s="5">
        <v>45588</v>
      </c>
      <c r="C5133">
        <v>39274</v>
      </c>
      <c r="D5133" t="str">
        <f>PROPER(Transactions!D5133)</f>
        <v>Toys</v>
      </c>
      <c r="E5133" t="s">
        <v>30</v>
      </c>
      <c r="F5133" t="s">
        <v>31</v>
      </c>
      <c r="G5133">
        <v>5</v>
      </c>
      <c r="H5133">
        <v>19.989999999999998</v>
      </c>
      <c r="I5133" s="7">
        <f>IF(Transactions!I5133="",0,Transactions!I5133)</f>
        <v>0.2</v>
      </c>
      <c r="J5133" s="9">
        <f t="shared" si="80"/>
        <v>79.959999999999994</v>
      </c>
      <c r="K5133" t="s">
        <v>22</v>
      </c>
      <c r="L5133" t="s">
        <v>17</v>
      </c>
      <c r="M5133" t="str">
        <f>REPLACE(Transactions!M5133,1,4,"")</f>
        <v>19</v>
      </c>
    </row>
    <row r="5134" spans="1:13" x14ac:dyDescent="0.2">
      <c r="A5134">
        <v>947915</v>
      </c>
      <c r="B5134" s="5">
        <v>45438</v>
      </c>
      <c r="D5134" t="str">
        <f>PROPER(Transactions!D5134)</f>
        <v>Automotive</v>
      </c>
      <c r="E5134" t="s">
        <v>68</v>
      </c>
      <c r="F5134" t="s">
        <v>69</v>
      </c>
      <c r="G5134">
        <v>1</v>
      </c>
      <c r="H5134">
        <v>23.74</v>
      </c>
      <c r="I5134" s="7">
        <f>IF(Transactions!I5134="",0,Transactions!I5134)</f>
        <v>0.05</v>
      </c>
      <c r="J5134" s="9">
        <f t="shared" si="80"/>
        <v>22.552999999999997</v>
      </c>
      <c r="K5134" t="s">
        <v>16</v>
      </c>
      <c r="L5134" t="s">
        <v>17</v>
      </c>
      <c r="M5134" t="str">
        <f>REPLACE(Transactions!M5134,1,4,"")</f>
        <v>10</v>
      </c>
    </row>
    <row r="5135" spans="1:13" x14ac:dyDescent="0.2">
      <c r="A5135">
        <v>948191</v>
      </c>
      <c r="B5135" s="5">
        <v>45174</v>
      </c>
      <c r="C5135">
        <v>77576</v>
      </c>
      <c r="D5135" t="str">
        <f>PROPER(Transactions!D5135)</f>
        <v>Beauty</v>
      </c>
      <c r="E5135" t="s">
        <v>179</v>
      </c>
      <c r="F5135" t="s">
        <v>180</v>
      </c>
      <c r="G5135">
        <v>1</v>
      </c>
      <c r="H5135">
        <v>8.99</v>
      </c>
      <c r="I5135" s="7">
        <f>IF(Transactions!I5135="",0,Transactions!I5135)</f>
        <v>0.25</v>
      </c>
      <c r="J5135" s="9">
        <f t="shared" si="80"/>
        <v>6.7424999999999997</v>
      </c>
      <c r="K5135" t="s">
        <v>16</v>
      </c>
      <c r="L5135" t="s">
        <v>17</v>
      </c>
      <c r="M5135" t="str">
        <f>REPLACE(Transactions!M5135,1,4,"")</f>
        <v>11</v>
      </c>
    </row>
    <row r="5136" spans="1:13" x14ac:dyDescent="0.2">
      <c r="A5136">
        <v>948747</v>
      </c>
      <c r="B5136" s="5">
        <v>45350</v>
      </c>
      <c r="C5136">
        <v>13721</v>
      </c>
      <c r="D5136" t="str">
        <f>PROPER(Transactions!D5136)</f>
        <v>Furniture</v>
      </c>
      <c r="E5136" t="s">
        <v>60</v>
      </c>
      <c r="F5136" t="s">
        <v>61</v>
      </c>
      <c r="G5136">
        <v>2</v>
      </c>
      <c r="H5136">
        <v>54.99</v>
      </c>
      <c r="I5136" s="7">
        <f>IF(Transactions!I5136="",0,Transactions!I5136)</f>
        <v>0</v>
      </c>
      <c r="J5136" s="9">
        <f t="shared" si="80"/>
        <v>109.98</v>
      </c>
      <c r="K5136" t="s">
        <v>16</v>
      </c>
      <c r="L5136" t="s">
        <v>17</v>
      </c>
      <c r="M5136" t="str">
        <f>REPLACE(Transactions!M5136,1,4,"")</f>
        <v>9</v>
      </c>
    </row>
    <row r="5137" spans="1:13" x14ac:dyDescent="0.2">
      <c r="A5137">
        <v>948844</v>
      </c>
      <c r="B5137" s="5">
        <v>45277</v>
      </c>
      <c r="C5137">
        <v>30665</v>
      </c>
      <c r="D5137" t="str">
        <f>PROPER(Transactions!D5137)</f>
        <v>Beauty</v>
      </c>
      <c r="E5137" t="s">
        <v>109</v>
      </c>
      <c r="F5137" t="s">
        <v>110</v>
      </c>
      <c r="G5137">
        <v>1</v>
      </c>
      <c r="H5137">
        <v>4.8899999999999997</v>
      </c>
      <c r="I5137" s="7">
        <f>IF(Transactions!I5137="",0,Transactions!I5137)</f>
        <v>0.3</v>
      </c>
      <c r="J5137" s="9">
        <f t="shared" si="80"/>
        <v>3.4229999999999996</v>
      </c>
      <c r="K5137" t="s">
        <v>36</v>
      </c>
      <c r="L5137" t="s">
        <v>17</v>
      </c>
      <c r="M5137" t="str">
        <f>REPLACE(Transactions!M5137,1,4,"")</f>
        <v>14</v>
      </c>
    </row>
    <row r="5138" spans="1:13" x14ac:dyDescent="0.2">
      <c r="A5138">
        <v>948934</v>
      </c>
      <c r="B5138" s="5">
        <v>45037</v>
      </c>
      <c r="C5138">
        <v>38830</v>
      </c>
      <c r="D5138" t="str">
        <f>PROPER(Transactions!D5138)</f>
        <v>Toys</v>
      </c>
      <c r="E5138" t="s">
        <v>175</v>
      </c>
      <c r="F5138" t="s">
        <v>176</v>
      </c>
      <c r="G5138">
        <v>1</v>
      </c>
      <c r="H5138">
        <v>11.99</v>
      </c>
      <c r="I5138" s="7">
        <f>IF(Transactions!I5138="",0,Transactions!I5138)</f>
        <v>0</v>
      </c>
      <c r="J5138" s="9">
        <f t="shared" si="80"/>
        <v>11.99</v>
      </c>
      <c r="K5138" t="s">
        <v>16</v>
      </c>
      <c r="L5138" t="s">
        <v>37</v>
      </c>
      <c r="M5138" t="str">
        <f>REPLACE(Transactions!M5138,1,4,"")</f>
        <v>14</v>
      </c>
    </row>
    <row r="5139" spans="1:13" x14ac:dyDescent="0.2">
      <c r="A5139">
        <v>948998</v>
      </c>
      <c r="B5139" s="5">
        <v>45612</v>
      </c>
      <c r="C5139">
        <v>65604</v>
      </c>
      <c r="D5139" t="str">
        <f>PROPER(Transactions!D5139)</f>
        <v>Electronics</v>
      </c>
      <c r="E5139" t="s">
        <v>55</v>
      </c>
      <c r="F5139" t="s">
        <v>56</v>
      </c>
      <c r="G5139">
        <v>1</v>
      </c>
      <c r="H5139">
        <v>280.49</v>
      </c>
      <c r="I5139" s="7">
        <f>IF(Transactions!I5139="",0,Transactions!I5139)</f>
        <v>0.15</v>
      </c>
      <c r="J5139" s="9">
        <f t="shared" si="80"/>
        <v>238.41650000000001</v>
      </c>
      <c r="K5139" t="s">
        <v>16</v>
      </c>
      <c r="L5139" t="s">
        <v>17</v>
      </c>
      <c r="M5139" t="str">
        <f>REPLACE(Transactions!M5139,1,4,"")</f>
        <v>3</v>
      </c>
    </row>
    <row r="5140" spans="1:13" x14ac:dyDescent="0.2">
      <c r="A5140">
        <v>949011</v>
      </c>
      <c r="B5140" s="5">
        <v>44752</v>
      </c>
      <c r="C5140">
        <v>53128</v>
      </c>
      <c r="D5140" t="str">
        <f>PROPER(Transactions!D5140)</f>
        <v>Toys</v>
      </c>
      <c r="E5140" t="s">
        <v>72</v>
      </c>
      <c r="F5140" t="s">
        <v>73</v>
      </c>
      <c r="G5140">
        <v>1</v>
      </c>
      <c r="H5140">
        <v>39.99</v>
      </c>
      <c r="I5140" s="7">
        <f>IF(Transactions!I5140="",0,Transactions!I5140)</f>
        <v>0</v>
      </c>
      <c r="J5140" s="9">
        <f t="shared" si="80"/>
        <v>39.99</v>
      </c>
      <c r="K5140" t="s">
        <v>16</v>
      </c>
      <c r="L5140" t="s">
        <v>37</v>
      </c>
      <c r="M5140" t="str">
        <f>REPLACE(Transactions!M5140,1,4,"")</f>
        <v>11</v>
      </c>
    </row>
    <row r="5141" spans="1:13" x14ac:dyDescent="0.2">
      <c r="A5141">
        <v>949214</v>
      </c>
      <c r="B5141" s="5">
        <v>44592</v>
      </c>
      <c r="C5141">
        <v>87454</v>
      </c>
      <c r="D5141" t="str">
        <f>PROPER(Transactions!D5141)</f>
        <v>Home &amp; Garden</v>
      </c>
      <c r="E5141" t="s">
        <v>129</v>
      </c>
      <c r="F5141" t="s">
        <v>130</v>
      </c>
      <c r="G5141">
        <v>5</v>
      </c>
      <c r="H5141">
        <v>7.64</v>
      </c>
      <c r="I5141" s="7">
        <f>IF(Transactions!I5141="",0,Transactions!I5141)</f>
        <v>0.15</v>
      </c>
      <c r="J5141" s="9">
        <f t="shared" si="80"/>
        <v>32.47</v>
      </c>
      <c r="K5141" t="s">
        <v>16</v>
      </c>
      <c r="L5141" t="s">
        <v>37</v>
      </c>
      <c r="M5141" t="str">
        <f>REPLACE(Transactions!M5141,1,4,"")</f>
        <v>9</v>
      </c>
    </row>
    <row r="5142" spans="1:13" x14ac:dyDescent="0.2">
      <c r="A5142">
        <v>949455</v>
      </c>
      <c r="B5142" s="5">
        <v>45430</v>
      </c>
      <c r="C5142">
        <v>39853</v>
      </c>
      <c r="D5142" t="str">
        <f>PROPER(Transactions!D5142)</f>
        <v>Toys</v>
      </c>
      <c r="E5142" t="s">
        <v>170</v>
      </c>
      <c r="F5142" t="s">
        <v>171</v>
      </c>
      <c r="G5142">
        <v>2</v>
      </c>
      <c r="H5142">
        <v>10.49</v>
      </c>
      <c r="I5142" s="7">
        <f>IF(Transactions!I5142="",0,Transactions!I5142)</f>
        <v>0.3</v>
      </c>
      <c r="J5142" s="9">
        <f t="shared" si="80"/>
        <v>14.686</v>
      </c>
      <c r="K5142" t="s">
        <v>16</v>
      </c>
      <c r="L5142" t="s">
        <v>17</v>
      </c>
      <c r="M5142" t="str">
        <f>REPLACE(Transactions!M5142,1,4,"")</f>
        <v>12</v>
      </c>
    </row>
    <row r="5143" spans="1:13" x14ac:dyDescent="0.2">
      <c r="A5143">
        <v>949500</v>
      </c>
      <c r="B5143" s="5">
        <v>44995</v>
      </c>
      <c r="C5143">
        <v>42225</v>
      </c>
      <c r="D5143" t="str">
        <f>PROPER(Transactions!D5143)</f>
        <v>Pharmacy</v>
      </c>
      <c r="E5143" t="s">
        <v>115</v>
      </c>
      <c r="F5143" t="s">
        <v>116</v>
      </c>
      <c r="G5143">
        <v>1</v>
      </c>
      <c r="H5143">
        <v>12.99</v>
      </c>
      <c r="I5143" s="7">
        <f>IF(Transactions!I5143="",0,Transactions!I5143)</f>
        <v>0</v>
      </c>
      <c r="J5143" s="9">
        <f t="shared" si="80"/>
        <v>12.99</v>
      </c>
      <c r="K5143" t="s">
        <v>22</v>
      </c>
      <c r="L5143" t="s">
        <v>17</v>
      </c>
      <c r="M5143" t="str">
        <f>REPLACE(Transactions!M5143,1,4,"")</f>
        <v>2</v>
      </c>
    </row>
    <row r="5144" spans="1:13" x14ac:dyDescent="0.2">
      <c r="A5144">
        <v>949952</v>
      </c>
      <c r="B5144" s="5">
        <v>45456</v>
      </c>
      <c r="C5144">
        <v>78847</v>
      </c>
      <c r="D5144" t="str">
        <f>PROPER(Transactions!D5144)</f>
        <v>Automotive</v>
      </c>
      <c r="E5144" t="s">
        <v>68</v>
      </c>
      <c r="F5144" t="s">
        <v>69</v>
      </c>
      <c r="G5144">
        <v>2</v>
      </c>
      <c r="H5144">
        <v>21.24</v>
      </c>
      <c r="I5144" s="7">
        <f>IF(Transactions!I5144="",0,Transactions!I5144)</f>
        <v>0.15</v>
      </c>
      <c r="J5144" s="9">
        <f t="shared" si="80"/>
        <v>36.107999999999997</v>
      </c>
      <c r="K5144" t="s">
        <v>16</v>
      </c>
      <c r="L5144" t="s">
        <v>17</v>
      </c>
      <c r="M5144" t="str">
        <f>REPLACE(Transactions!M5144,1,4,"")</f>
        <v>17</v>
      </c>
    </row>
    <row r="5145" spans="1:13" x14ac:dyDescent="0.2">
      <c r="A5145">
        <v>950263</v>
      </c>
      <c r="B5145" s="5">
        <v>45550</v>
      </c>
      <c r="C5145">
        <v>17477</v>
      </c>
      <c r="D5145" t="str">
        <f>PROPER(Transactions!D5145)</f>
        <v>Automotive</v>
      </c>
      <c r="E5145" t="s">
        <v>125</v>
      </c>
      <c r="F5145" t="s">
        <v>126</v>
      </c>
      <c r="G5145">
        <v>2</v>
      </c>
      <c r="H5145">
        <v>26.99</v>
      </c>
      <c r="I5145" s="7">
        <f>IF(Transactions!I5145="",0,Transactions!I5145)</f>
        <v>0.1</v>
      </c>
      <c r="J5145" s="9">
        <f t="shared" si="80"/>
        <v>48.582000000000001</v>
      </c>
      <c r="K5145" t="s">
        <v>36</v>
      </c>
      <c r="L5145" t="s">
        <v>37</v>
      </c>
      <c r="M5145" t="str">
        <f>REPLACE(Transactions!M5145,1,4,"")</f>
        <v>14</v>
      </c>
    </row>
    <row r="5146" spans="1:13" x14ac:dyDescent="0.2">
      <c r="A5146">
        <v>950473</v>
      </c>
      <c r="B5146" s="5">
        <v>45426</v>
      </c>
      <c r="C5146">
        <v>13946</v>
      </c>
      <c r="D5146" t="str">
        <f>PROPER(Transactions!D5146)</f>
        <v>Beauty</v>
      </c>
      <c r="E5146" t="s">
        <v>143</v>
      </c>
      <c r="F5146" t="s">
        <v>144</v>
      </c>
      <c r="G5146">
        <v>1</v>
      </c>
      <c r="H5146">
        <v>11.99</v>
      </c>
      <c r="I5146" s="7">
        <f>IF(Transactions!I5146="",0,Transactions!I5146)</f>
        <v>0.2</v>
      </c>
      <c r="J5146" s="9">
        <f t="shared" si="80"/>
        <v>9.5920000000000005</v>
      </c>
      <c r="K5146" t="s">
        <v>22</v>
      </c>
      <c r="L5146" t="s">
        <v>37</v>
      </c>
      <c r="M5146" t="str">
        <f>REPLACE(Transactions!M5146,1,4,"")</f>
        <v>12</v>
      </c>
    </row>
    <row r="5147" spans="1:13" x14ac:dyDescent="0.2">
      <c r="A5147">
        <v>950642</v>
      </c>
      <c r="B5147" s="5">
        <v>45636</v>
      </c>
      <c r="C5147">
        <v>46714</v>
      </c>
      <c r="D5147" t="str">
        <f>PROPER(Transactions!D5147)</f>
        <v>Toys</v>
      </c>
      <c r="E5147" t="s">
        <v>175</v>
      </c>
      <c r="F5147" t="s">
        <v>176</v>
      </c>
      <c r="G5147">
        <v>1</v>
      </c>
      <c r="H5147">
        <v>11.99</v>
      </c>
      <c r="I5147" s="7">
        <f>IF(Transactions!I5147="",0,Transactions!I5147)</f>
        <v>0</v>
      </c>
      <c r="J5147" s="9">
        <f t="shared" si="80"/>
        <v>11.99</v>
      </c>
      <c r="K5147" t="s">
        <v>36</v>
      </c>
      <c r="L5147" t="s">
        <v>17</v>
      </c>
      <c r="M5147" t="str">
        <f>REPLACE(Transactions!M5147,1,4,"")</f>
        <v>2</v>
      </c>
    </row>
    <row r="5148" spans="1:13" x14ac:dyDescent="0.2">
      <c r="A5148">
        <v>950946</v>
      </c>
      <c r="B5148" s="5">
        <v>45335</v>
      </c>
      <c r="C5148">
        <v>36426</v>
      </c>
      <c r="D5148" t="str">
        <f>PROPER(Transactions!D5148)</f>
        <v>Pharmacy</v>
      </c>
      <c r="E5148" t="s">
        <v>115</v>
      </c>
      <c r="F5148" t="s">
        <v>116</v>
      </c>
      <c r="G5148">
        <v>5</v>
      </c>
      <c r="H5148">
        <v>12.99</v>
      </c>
      <c r="I5148" s="7">
        <f>IF(Transactions!I5148="",0,Transactions!I5148)</f>
        <v>0</v>
      </c>
      <c r="J5148" s="9">
        <f t="shared" si="80"/>
        <v>64.95</v>
      </c>
      <c r="K5148" t="s">
        <v>32</v>
      </c>
      <c r="L5148" t="s">
        <v>17</v>
      </c>
      <c r="M5148" t="str">
        <f>REPLACE(Transactions!M5148,1,4,"")</f>
        <v>8</v>
      </c>
    </row>
    <row r="5149" spans="1:13" x14ac:dyDescent="0.2">
      <c r="A5149">
        <v>951694</v>
      </c>
      <c r="B5149" s="5">
        <v>44858</v>
      </c>
      <c r="C5149">
        <v>19260</v>
      </c>
      <c r="D5149" t="str">
        <f>PROPER(Transactions!D5149)</f>
        <v>Pharmacy</v>
      </c>
      <c r="E5149" t="s">
        <v>41</v>
      </c>
      <c r="F5149" t="s">
        <v>42</v>
      </c>
      <c r="G5149">
        <v>2</v>
      </c>
      <c r="H5149">
        <v>4.79</v>
      </c>
      <c r="I5149" s="7">
        <f>IF(Transactions!I5149="",0,Transactions!I5149)</f>
        <v>0.2</v>
      </c>
      <c r="J5149" s="9">
        <f t="shared" si="80"/>
        <v>7.6640000000000006</v>
      </c>
      <c r="K5149" t="s">
        <v>95</v>
      </c>
      <c r="L5149" t="s">
        <v>17</v>
      </c>
      <c r="M5149" t="str">
        <f>REPLACE(Transactions!M5149,1,4,"")</f>
        <v>5</v>
      </c>
    </row>
    <row r="5150" spans="1:13" x14ac:dyDescent="0.2">
      <c r="A5150">
        <v>951699</v>
      </c>
      <c r="B5150" s="5">
        <v>45489</v>
      </c>
      <c r="C5150">
        <v>22596</v>
      </c>
      <c r="D5150" t="str">
        <f>PROPER(Transactions!D5150)</f>
        <v>Sports</v>
      </c>
      <c r="E5150" t="s">
        <v>188</v>
      </c>
      <c r="F5150" t="s">
        <v>189</v>
      </c>
      <c r="G5150">
        <v>2</v>
      </c>
      <c r="H5150">
        <v>44.99</v>
      </c>
      <c r="I5150" s="7">
        <f>IF(Transactions!I5150="",0,Transactions!I5150)</f>
        <v>0</v>
      </c>
      <c r="J5150" s="9">
        <f t="shared" si="80"/>
        <v>89.98</v>
      </c>
      <c r="K5150" t="s">
        <v>36</v>
      </c>
      <c r="L5150" t="s">
        <v>17</v>
      </c>
      <c r="M5150" t="str">
        <f>REPLACE(Transactions!M5150,1,4,"")</f>
        <v>1</v>
      </c>
    </row>
    <row r="5151" spans="1:13" x14ac:dyDescent="0.2">
      <c r="A5151">
        <v>951848</v>
      </c>
      <c r="B5151" s="5">
        <v>44962</v>
      </c>
      <c r="C5151">
        <v>65505</v>
      </c>
      <c r="D5151" t="str">
        <f>PROPER(Transactions!D5151)</f>
        <v>Electronics</v>
      </c>
      <c r="E5151" t="s">
        <v>77</v>
      </c>
      <c r="F5151" t="s">
        <v>78</v>
      </c>
      <c r="G5151">
        <v>5</v>
      </c>
      <c r="H5151">
        <v>499.99</v>
      </c>
      <c r="I5151" s="7">
        <f>IF(Transactions!I5151="",0,Transactions!I5151)</f>
        <v>0</v>
      </c>
      <c r="J5151" s="9">
        <f t="shared" si="80"/>
        <v>2499.9499999999998</v>
      </c>
      <c r="K5151" t="s">
        <v>36</v>
      </c>
      <c r="L5151" t="s">
        <v>17</v>
      </c>
      <c r="M5151" t="str">
        <f>REPLACE(Transactions!M5151,1,4,"")</f>
        <v>12</v>
      </c>
    </row>
    <row r="5152" spans="1:13" x14ac:dyDescent="0.2">
      <c r="A5152">
        <v>952268</v>
      </c>
      <c r="B5152" s="5">
        <v>45235</v>
      </c>
      <c r="C5152">
        <v>11705</v>
      </c>
      <c r="D5152" t="str">
        <f>PROPER(Transactions!D5152)</f>
        <v>Furniture</v>
      </c>
      <c r="E5152" t="s">
        <v>70</v>
      </c>
      <c r="F5152" t="s">
        <v>71</v>
      </c>
      <c r="G5152">
        <v>2</v>
      </c>
      <c r="H5152">
        <v>85.49</v>
      </c>
      <c r="I5152" s="7">
        <f>IF(Transactions!I5152="",0,Transactions!I5152)</f>
        <v>0.05</v>
      </c>
      <c r="J5152" s="9">
        <f t="shared" si="80"/>
        <v>162.43099999999998</v>
      </c>
      <c r="K5152" t="s">
        <v>36</v>
      </c>
      <c r="L5152" t="s">
        <v>17</v>
      </c>
      <c r="M5152" t="str">
        <f>REPLACE(Transactions!M5152,1,4,"")</f>
        <v>17</v>
      </c>
    </row>
    <row r="5153" spans="1:13" x14ac:dyDescent="0.2">
      <c r="A5153">
        <v>952405</v>
      </c>
      <c r="B5153" s="5">
        <v>44715</v>
      </c>
      <c r="C5153">
        <v>19674</v>
      </c>
      <c r="D5153" t="str">
        <f>PROPER(Transactions!D5153)</f>
        <v>Grocery</v>
      </c>
      <c r="E5153" t="s">
        <v>195</v>
      </c>
      <c r="F5153" t="s">
        <v>196</v>
      </c>
      <c r="G5153">
        <v>3</v>
      </c>
      <c r="H5153">
        <v>4.49</v>
      </c>
      <c r="I5153" s="7">
        <f>IF(Transactions!I5153="",0,Transactions!I5153)</f>
        <v>0.1</v>
      </c>
      <c r="J5153" s="9">
        <f t="shared" si="80"/>
        <v>12.123000000000001</v>
      </c>
      <c r="K5153" t="s">
        <v>36</v>
      </c>
      <c r="L5153" t="s">
        <v>17</v>
      </c>
      <c r="M5153" t="str">
        <f>REPLACE(Transactions!M5153,1,4,"")</f>
        <v>7</v>
      </c>
    </row>
    <row r="5154" spans="1:13" x14ac:dyDescent="0.2">
      <c r="A5154">
        <v>952583</v>
      </c>
      <c r="B5154" s="5">
        <v>44808</v>
      </c>
      <c r="C5154">
        <v>99369</v>
      </c>
      <c r="D5154" t="str">
        <f>PROPER(Transactions!D5154)</f>
        <v>Grocery</v>
      </c>
      <c r="E5154" t="s">
        <v>91</v>
      </c>
      <c r="F5154" t="s">
        <v>92</v>
      </c>
      <c r="G5154">
        <v>3</v>
      </c>
      <c r="H5154">
        <v>6.29</v>
      </c>
      <c r="I5154" s="7">
        <f>IF(Transactions!I5154="",0,Transactions!I5154)</f>
        <v>0</v>
      </c>
      <c r="J5154" s="9">
        <f t="shared" si="80"/>
        <v>18.87</v>
      </c>
      <c r="K5154" t="s">
        <v>22</v>
      </c>
      <c r="L5154" t="s">
        <v>37</v>
      </c>
      <c r="M5154" t="str">
        <f>REPLACE(Transactions!M5154,1,4,"")</f>
        <v>5</v>
      </c>
    </row>
    <row r="5155" spans="1:13" x14ac:dyDescent="0.2">
      <c r="A5155">
        <v>952624</v>
      </c>
      <c r="B5155" s="5">
        <v>45058</v>
      </c>
      <c r="C5155">
        <v>97251</v>
      </c>
      <c r="D5155" t="str">
        <f>PROPER(Transactions!D5155)</f>
        <v>Beauty</v>
      </c>
      <c r="E5155" t="s">
        <v>179</v>
      </c>
      <c r="F5155" t="s">
        <v>180</v>
      </c>
      <c r="G5155">
        <v>1</v>
      </c>
      <c r="H5155">
        <v>8.99</v>
      </c>
      <c r="I5155" s="7">
        <f>IF(Transactions!I5155="",0,Transactions!I5155)</f>
        <v>0.25</v>
      </c>
      <c r="J5155" s="9">
        <f t="shared" si="80"/>
        <v>6.7424999999999997</v>
      </c>
      <c r="K5155" t="s">
        <v>16</v>
      </c>
      <c r="L5155" t="s">
        <v>37</v>
      </c>
      <c r="M5155" t="str">
        <f>REPLACE(Transactions!M5155,1,4,"")</f>
        <v>17</v>
      </c>
    </row>
    <row r="5156" spans="1:13" x14ac:dyDescent="0.2">
      <c r="A5156">
        <v>952631</v>
      </c>
      <c r="B5156" s="5">
        <v>45391</v>
      </c>
      <c r="C5156">
        <v>98487</v>
      </c>
      <c r="D5156" t="str">
        <f>PROPER(Transactions!D5156)</f>
        <v>Pharmacy</v>
      </c>
      <c r="E5156" t="s">
        <v>41</v>
      </c>
      <c r="F5156" t="s">
        <v>42</v>
      </c>
      <c r="G5156">
        <v>1</v>
      </c>
      <c r="H5156">
        <v>4.49</v>
      </c>
      <c r="I5156" s="7">
        <f>IF(Transactions!I5156="",0,Transactions!I5156)</f>
        <v>0.25</v>
      </c>
      <c r="J5156" s="9">
        <f t="shared" si="80"/>
        <v>3.3675000000000002</v>
      </c>
      <c r="K5156" t="s">
        <v>22</v>
      </c>
      <c r="L5156" t="s">
        <v>17</v>
      </c>
      <c r="M5156" t="str">
        <f>REPLACE(Transactions!M5156,1,4,"")</f>
        <v>15</v>
      </c>
    </row>
    <row r="5157" spans="1:13" x14ac:dyDescent="0.2">
      <c r="A5157">
        <v>952826</v>
      </c>
      <c r="B5157" s="5">
        <v>45065</v>
      </c>
      <c r="C5157">
        <v>60614</v>
      </c>
      <c r="D5157" t="str">
        <f>PROPER(Transactions!D5157)</f>
        <v>Furniture</v>
      </c>
      <c r="E5157" t="s">
        <v>51</v>
      </c>
      <c r="F5157" t="s">
        <v>52</v>
      </c>
      <c r="G5157">
        <v>2</v>
      </c>
      <c r="H5157">
        <v>27.99</v>
      </c>
      <c r="I5157" s="7">
        <f>IF(Transactions!I5157="",0,Transactions!I5157)</f>
        <v>0</v>
      </c>
      <c r="J5157" s="9">
        <f t="shared" si="80"/>
        <v>55.98</v>
      </c>
      <c r="K5157" t="s">
        <v>22</v>
      </c>
      <c r="L5157" t="s">
        <v>17</v>
      </c>
      <c r="M5157" t="str">
        <f>REPLACE(Transactions!M5157,1,4,"")</f>
        <v>16</v>
      </c>
    </row>
    <row r="5158" spans="1:13" x14ac:dyDescent="0.2">
      <c r="A5158">
        <v>953349</v>
      </c>
      <c r="B5158" s="5">
        <v>44766</v>
      </c>
      <c r="C5158">
        <v>26436</v>
      </c>
      <c r="D5158" t="str">
        <f>PROPER(Transactions!D5158)</f>
        <v>Home &amp; Garden</v>
      </c>
      <c r="E5158" t="s">
        <v>137</v>
      </c>
      <c r="F5158" t="s">
        <v>138</v>
      </c>
      <c r="G5158">
        <v>2</v>
      </c>
      <c r="H5158">
        <v>6.39</v>
      </c>
      <c r="I5158" s="7">
        <f>IF(Transactions!I5158="",0,Transactions!I5158)</f>
        <v>0.2</v>
      </c>
      <c r="J5158" s="9">
        <f t="shared" si="80"/>
        <v>10.224</v>
      </c>
      <c r="K5158" t="s">
        <v>22</v>
      </c>
      <c r="L5158" t="s">
        <v>17</v>
      </c>
      <c r="M5158" t="str">
        <f>REPLACE(Transactions!M5158,1,4,"")</f>
        <v>16</v>
      </c>
    </row>
    <row r="5159" spans="1:13" x14ac:dyDescent="0.2">
      <c r="A5159">
        <v>953564</v>
      </c>
      <c r="B5159" s="5">
        <v>45007</v>
      </c>
      <c r="C5159">
        <v>85929</v>
      </c>
      <c r="D5159" t="str">
        <f>PROPER(Transactions!D5159)</f>
        <v>Beauty</v>
      </c>
      <c r="E5159" t="s">
        <v>118</v>
      </c>
      <c r="F5159" t="s">
        <v>119</v>
      </c>
      <c r="G5159">
        <v>1</v>
      </c>
      <c r="H5159">
        <v>4.99</v>
      </c>
      <c r="I5159" s="7">
        <f>IF(Transactions!I5159="",0,Transactions!I5159)</f>
        <v>0</v>
      </c>
      <c r="J5159" s="9">
        <f t="shared" si="80"/>
        <v>4.99</v>
      </c>
      <c r="K5159" t="s">
        <v>36</v>
      </c>
      <c r="L5159" t="s">
        <v>17</v>
      </c>
      <c r="M5159" t="str">
        <f>REPLACE(Transactions!M5159,1,4,"")</f>
        <v>15</v>
      </c>
    </row>
    <row r="5160" spans="1:13" x14ac:dyDescent="0.2">
      <c r="A5160">
        <v>953693</v>
      </c>
      <c r="B5160" s="5">
        <v>45434</v>
      </c>
      <c r="D5160" t="str">
        <f>PROPER(Transactions!D5160)</f>
        <v>Pharmacy</v>
      </c>
      <c r="E5160" t="s">
        <v>58</v>
      </c>
      <c r="F5160" t="s">
        <v>59</v>
      </c>
      <c r="G5160">
        <v>1</v>
      </c>
      <c r="H5160">
        <v>3.99</v>
      </c>
      <c r="I5160" s="7">
        <f>IF(Transactions!I5160="",0,Transactions!I5160)</f>
        <v>0</v>
      </c>
      <c r="J5160" s="9">
        <f t="shared" si="80"/>
        <v>3.99</v>
      </c>
      <c r="K5160" t="s">
        <v>36</v>
      </c>
      <c r="L5160" t="s">
        <v>17</v>
      </c>
      <c r="M5160" t="str">
        <f>REPLACE(Transactions!M5160,1,4,"")</f>
        <v>14</v>
      </c>
    </row>
    <row r="5161" spans="1:13" x14ac:dyDescent="0.2">
      <c r="A5161">
        <v>953879</v>
      </c>
      <c r="B5161" s="5">
        <v>45612</v>
      </c>
      <c r="C5161">
        <v>91850</v>
      </c>
      <c r="D5161" t="str">
        <f>PROPER(Transactions!D5161)</f>
        <v>Clothing</v>
      </c>
      <c r="E5161" t="s">
        <v>151</v>
      </c>
      <c r="F5161" t="s">
        <v>152</v>
      </c>
      <c r="G5161">
        <v>3</v>
      </c>
      <c r="H5161">
        <v>34.99</v>
      </c>
      <c r="I5161" s="7">
        <f>IF(Transactions!I5161="",0,Transactions!I5161)</f>
        <v>0</v>
      </c>
      <c r="J5161" s="9">
        <f t="shared" si="80"/>
        <v>104.97</v>
      </c>
      <c r="K5161" t="s">
        <v>22</v>
      </c>
      <c r="L5161" t="s">
        <v>17</v>
      </c>
      <c r="M5161" t="str">
        <f>REPLACE(Transactions!M5161,1,4,"")</f>
        <v>17</v>
      </c>
    </row>
    <row r="5162" spans="1:13" x14ac:dyDescent="0.2">
      <c r="A5162">
        <v>953930</v>
      </c>
      <c r="B5162" s="5">
        <v>45246</v>
      </c>
      <c r="C5162">
        <v>73103</v>
      </c>
      <c r="D5162" t="str">
        <f>PROPER(Transactions!D5162)</f>
        <v>Pharmacy</v>
      </c>
      <c r="E5162" t="s">
        <v>58</v>
      </c>
      <c r="F5162" t="s">
        <v>59</v>
      </c>
      <c r="G5162">
        <v>5</v>
      </c>
      <c r="H5162">
        <v>2.99</v>
      </c>
      <c r="I5162" s="7">
        <f>IF(Transactions!I5162="",0,Transactions!I5162)</f>
        <v>0.25</v>
      </c>
      <c r="J5162" s="9">
        <f t="shared" si="80"/>
        <v>11.2125</v>
      </c>
      <c r="K5162" t="s">
        <v>36</v>
      </c>
      <c r="L5162" t="s">
        <v>37</v>
      </c>
      <c r="M5162" t="str">
        <f>REPLACE(Transactions!M5162,1,4,"")</f>
        <v>7</v>
      </c>
    </row>
    <row r="5163" spans="1:13" x14ac:dyDescent="0.2">
      <c r="A5163">
        <v>954226</v>
      </c>
      <c r="B5163" s="5">
        <v>45507</v>
      </c>
      <c r="D5163" t="str">
        <f>PROPER(Transactions!D5163)</f>
        <v>Pharmacy</v>
      </c>
      <c r="E5163" t="s">
        <v>41</v>
      </c>
      <c r="F5163" t="s">
        <v>42</v>
      </c>
      <c r="G5163">
        <v>5</v>
      </c>
      <c r="H5163">
        <v>4.1900000000000004</v>
      </c>
      <c r="I5163" s="7">
        <f>IF(Transactions!I5163="",0,Transactions!I5163)</f>
        <v>0.3</v>
      </c>
      <c r="J5163" s="9">
        <f t="shared" si="80"/>
        <v>14.665000000000001</v>
      </c>
      <c r="K5163" t="s">
        <v>22</v>
      </c>
      <c r="L5163" t="s">
        <v>17</v>
      </c>
      <c r="M5163" t="str">
        <f>REPLACE(Transactions!M5163,1,4,"")</f>
        <v>2</v>
      </c>
    </row>
    <row r="5164" spans="1:13" x14ac:dyDescent="0.2">
      <c r="A5164">
        <v>954246</v>
      </c>
      <c r="B5164" s="5">
        <v>44659</v>
      </c>
      <c r="C5164">
        <v>73761</v>
      </c>
      <c r="D5164" t="str">
        <f>PROPER(Transactions!D5164)</f>
        <v>Automotive</v>
      </c>
      <c r="E5164" t="s">
        <v>111</v>
      </c>
      <c r="F5164" t="s">
        <v>112</v>
      </c>
      <c r="G5164">
        <v>1</v>
      </c>
      <c r="H5164">
        <v>14.99</v>
      </c>
      <c r="I5164" s="7">
        <f>IF(Transactions!I5164="",0,Transactions!I5164)</f>
        <v>0</v>
      </c>
      <c r="J5164" s="9">
        <f t="shared" si="80"/>
        <v>14.99</v>
      </c>
      <c r="K5164" t="s">
        <v>53</v>
      </c>
      <c r="L5164" t="s">
        <v>17</v>
      </c>
      <c r="M5164" t="str">
        <f>REPLACE(Transactions!M5164,1,4,"")</f>
        <v>3</v>
      </c>
    </row>
    <row r="5165" spans="1:13" x14ac:dyDescent="0.2">
      <c r="A5165">
        <v>954441</v>
      </c>
      <c r="B5165" s="5">
        <v>45089</v>
      </c>
      <c r="C5165">
        <v>39567</v>
      </c>
      <c r="D5165" t="str">
        <f>PROPER(Transactions!D5165)</f>
        <v>Automotive</v>
      </c>
      <c r="E5165" t="s">
        <v>64</v>
      </c>
      <c r="F5165" t="s">
        <v>65</v>
      </c>
      <c r="G5165">
        <v>5</v>
      </c>
      <c r="H5165">
        <v>3.99</v>
      </c>
      <c r="I5165" s="7">
        <f>IF(Transactions!I5165="",0,Transactions!I5165)</f>
        <v>0.2</v>
      </c>
      <c r="J5165" s="9">
        <f t="shared" si="80"/>
        <v>15.960000000000003</v>
      </c>
      <c r="K5165" t="s">
        <v>95</v>
      </c>
      <c r="L5165" t="s">
        <v>23</v>
      </c>
      <c r="M5165" t="str">
        <f>REPLACE(Transactions!M5165,1,4,"")</f>
        <v>7</v>
      </c>
    </row>
    <row r="5166" spans="1:13" x14ac:dyDescent="0.2">
      <c r="A5166">
        <v>954520</v>
      </c>
      <c r="B5166" s="5">
        <v>45623</v>
      </c>
      <c r="C5166">
        <v>56276</v>
      </c>
      <c r="D5166" t="str">
        <f>PROPER(Transactions!D5166)</f>
        <v>Toys</v>
      </c>
      <c r="E5166" t="s">
        <v>88</v>
      </c>
      <c r="F5166" t="s">
        <v>89</v>
      </c>
      <c r="G5166">
        <v>1</v>
      </c>
      <c r="H5166">
        <v>37.49</v>
      </c>
      <c r="I5166" s="7">
        <f>IF(Transactions!I5166="",0,Transactions!I5166)</f>
        <v>0.25</v>
      </c>
      <c r="J5166" s="9">
        <f t="shared" si="80"/>
        <v>28.1175</v>
      </c>
      <c r="K5166" t="s">
        <v>16</v>
      </c>
      <c r="L5166" t="s">
        <v>37</v>
      </c>
      <c r="M5166" t="str">
        <f>REPLACE(Transactions!M5166,1,4,"")</f>
        <v>14</v>
      </c>
    </row>
    <row r="5167" spans="1:13" x14ac:dyDescent="0.2">
      <c r="A5167">
        <v>954590</v>
      </c>
      <c r="B5167" s="5">
        <v>45522</v>
      </c>
      <c r="C5167">
        <v>93545</v>
      </c>
      <c r="D5167" t="str">
        <f>PROPER(Transactions!D5167)</f>
        <v>Grocery</v>
      </c>
      <c r="E5167" t="s">
        <v>107</v>
      </c>
      <c r="F5167" t="s">
        <v>108</v>
      </c>
      <c r="G5167">
        <v>1</v>
      </c>
      <c r="H5167">
        <v>3.49</v>
      </c>
      <c r="I5167" s="7">
        <f>IF(Transactions!I5167="",0,Transactions!I5167)</f>
        <v>0</v>
      </c>
      <c r="J5167" s="9">
        <f t="shared" si="80"/>
        <v>3.49</v>
      </c>
      <c r="K5167" t="s">
        <v>22</v>
      </c>
      <c r="L5167" t="s">
        <v>37</v>
      </c>
      <c r="M5167" t="str">
        <f>REPLACE(Transactions!M5167,1,4,"")</f>
        <v>14</v>
      </c>
    </row>
    <row r="5168" spans="1:13" x14ac:dyDescent="0.2">
      <c r="A5168">
        <v>954673</v>
      </c>
      <c r="B5168" s="5">
        <v>44960</v>
      </c>
      <c r="C5168">
        <v>34069</v>
      </c>
      <c r="D5168" t="str">
        <f>PROPER(Transactions!D5168)</f>
        <v>Pharmacy</v>
      </c>
      <c r="E5168" t="s">
        <v>20</v>
      </c>
      <c r="F5168" t="s">
        <v>21</v>
      </c>
      <c r="G5168">
        <v>3</v>
      </c>
      <c r="H5168">
        <v>9.49</v>
      </c>
      <c r="I5168" s="7">
        <f>IF(Transactions!I5168="",0,Transactions!I5168)</f>
        <v>0.05</v>
      </c>
      <c r="J5168" s="9">
        <f t="shared" si="80"/>
        <v>27.046499999999998</v>
      </c>
      <c r="K5168" t="s">
        <v>16</v>
      </c>
      <c r="L5168" t="s">
        <v>37</v>
      </c>
      <c r="M5168" t="str">
        <f>REPLACE(Transactions!M5168,1,4,"")</f>
        <v>2</v>
      </c>
    </row>
    <row r="5169" spans="1:13" x14ac:dyDescent="0.2">
      <c r="A5169">
        <v>955081</v>
      </c>
      <c r="B5169" s="5">
        <v>44727</v>
      </c>
      <c r="C5169">
        <v>25816</v>
      </c>
      <c r="D5169" t="str">
        <f>PROPER(Transactions!D5169)</f>
        <v>Home &amp; Garden</v>
      </c>
      <c r="E5169" t="s">
        <v>153</v>
      </c>
      <c r="F5169" t="s">
        <v>154</v>
      </c>
      <c r="G5169">
        <v>1</v>
      </c>
      <c r="H5169">
        <v>22.49</v>
      </c>
      <c r="I5169" s="7">
        <f>IF(Transactions!I5169="",0,Transactions!I5169)</f>
        <v>0.25</v>
      </c>
      <c r="J5169" s="9">
        <f t="shared" si="80"/>
        <v>16.8675</v>
      </c>
      <c r="K5169" t="s">
        <v>22</v>
      </c>
      <c r="L5169" t="s">
        <v>17</v>
      </c>
      <c r="M5169" t="str">
        <f>REPLACE(Transactions!M5169,1,4,"")</f>
        <v>4</v>
      </c>
    </row>
    <row r="5170" spans="1:13" x14ac:dyDescent="0.2">
      <c r="A5170">
        <v>955123</v>
      </c>
      <c r="B5170" s="5">
        <v>45235</v>
      </c>
      <c r="C5170">
        <v>67044</v>
      </c>
      <c r="D5170" t="str">
        <f>PROPER(Transactions!D5170)</f>
        <v>Toys</v>
      </c>
      <c r="E5170" t="s">
        <v>38</v>
      </c>
      <c r="F5170" t="s">
        <v>39</v>
      </c>
      <c r="G5170">
        <v>1</v>
      </c>
      <c r="H5170">
        <v>29.99</v>
      </c>
      <c r="I5170" s="7">
        <f>IF(Transactions!I5170="",0,Transactions!I5170)</f>
        <v>0</v>
      </c>
      <c r="J5170" s="9">
        <f t="shared" si="80"/>
        <v>29.99</v>
      </c>
      <c r="K5170" t="s">
        <v>16</v>
      </c>
      <c r="L5170" t="s">
        <v>17</v>
      </c>
      <c r="M5170" t="str">
        <f>REPLACE(Transactions!M5170,1,4,"")</f>
        <v>3</v>
      </c>
    </row>
    <row r="5171" spans="1:13" x14ac:dyDescent="0.2">
      <c r="A5171">
        <v>955138</v>
      </c>
      <c r="B5171" s="5">
        <v>44917</v>
      </c>
      <c r="C5171">
        <v>55176</v>
      </c>
      <c r="D5171" t="str">
        <f>PROPER(Transactions!D5171)</f>
        <v>Pharmacy</v>
      </c>
      <c r="E5171" t="s">
        <v>115</v>
      </c>
      <c r="F5171" t="s">
        <v>116</v>
      </c>
      <c r="G5171">
        <v>4</v>
      </c>
      <c r="H5171">
        <v>9.74</v>
      </c>
      <c r="I5171" s="7">
        <f>IF(Transactions!I5171="",0,Transactions!I5171)</f>
        <v>0.25</v>
      </c>
      <c r="J5171" s="9">
        <f t="shared" si="80"/>
        <v>29.22</v>
      </c>
      <c r="K5171" t="s">
        <v>36</v>
      </c>
      <c r="L5171" t="s">
        <v>37</v>
      </c>
      <c r="M5171" t="str">
        <f>REPLACE(Transactions!M5171,1,4,"")</f>
        <v>19</v>
      </c>
    </row>
    <row r="5172" spans="1:13" x14ac:dyDescent="0.2">
      <c r="A5172">
        <v>955443</v>
      </c>
      <c r="B5172" s="5">
        <v>44821</v>
      </c>
      <c r="C5172">
        <v>50917</v>
      </c>
      <c r="D5172" t="str">
        <f>PROPER(Transactions!D5172)</f>
        <v>Grocery</v>
      </c>
      <c r="E5172" t="s">
        <v>93</v>
      </c>
      <c r="F5172" t="s">
        <v>94</v>
      </c>
      <c r="G5172">
        <v>2</v>
      </c>
      <c r="H5172">
        <v>1.29</v>
      </c>
      <c r="I5172" s="7">
        <f>IF(Transactions!I5172="",0,Transactions!I5172)</f>
        <v>0</v>
      </c>
      <c r="J5172" s="9">
        <f t="shared" si="80"/>
        <v>2.58</v>
      </c>
      <c r="K5172" t="s">
        <v>95</v>
      </c>
      <c r="L5172" t="s">
        <v>17</v>
      </c>
      <c r="M5172" t="str">
        <f>REPLACE(Transactions!M5172,1,4,"")</f>
        <v>2</v>
      </c>
    </row>
    <row r="5173" spans="1:13" x14ac:dyDescent="0.2">
      <c r="A5173">
        <v>955737</v>
      </c>
      <c r="B5173" s="5">
        <v>44671</v>
      </c>
      <c r="C5173">
        <v>56207</v>
      </c>
      <c r="D5173" t="str">
        <f>PROPER(Transactions!D5173)</f>
        <v>Home &amp; Garden</v>
      </c>
      <c r="E5173" t="s">
        <v>145</v>
      </c>
      <c r="F5173" t="s">
        <v>146</v>
      </c>
      <c r="G5173">
        <v>2</v>
      </c>
      <c r="H5173">
        <v>16.989999999999998</v>
      </c>
      <c r="I5173" s="7">
        <f>IF(Transactions!I5173="",0,Transactions!I5173)</f>
        <v>0</v>
      </c>
      <c r="J5173" s="9">
        <f t="shared" si="80"/>
        <v>33.979999999999997</v>
      </c>
      <c r="K5173" t="s">
        <v>36</v>
      </c>
      <c r="L5173" t="s">
        <v>17</v>
      </c>
      <c r="M5173" t="str">
        <f>REPLACE(Transactions!M5173,1,4,"")</f>
        <v>19</v>
      </c>
    </row>
    <row r="5174" spans="1:13" x14ac:dyDescent="0.2">
      <c r="A5174">
        <v>955830</v>
      </c>
      <c r="B5174" s="5">
        <v>44983</v>
      </c>
      <c r="C5174">
        <v>83837</v>
      </c>
      <c r="D5174" t="str">
        <f>PROPER(Transactions!D5174)</f>
        <v>Sports</v>
      </c>
      <c r="E5174" t="s">
        <v>83</v>
      </c>
      <c r="F5174" t="s">
        <v>84</v>
      </c>
      <c r="G5174">
        <v>5</v>
      </c>
      <c r="H5174">
        <v>16.989999999999998</v>
      </c>
      <c r="I5174" s="7">
        <f>IF(Transactions!I5174="",0,Transactions!I5174)</f>
        <v>0</v>
      </c>
      <c r="J5174" s="9">
        <f t="shared" si="80"/>
        <v>84.949999999999989</v>
      </c>
      <c r="K5174" t="s">
        <v>95</v>
      </c>
      <c r="L5174" t="s">
        <v>37</v>
      </c>
      <c r="M5174" t="str">
        <f>REPLACE(Transactions!M5174,1,4,"")</f>
        <v>15</v>
      </c>
    </row>
    <row r="5175" spans="1:13" x14ac:dyDescent="0.2">
      <c r="A5175">
        <v>956197</v>
      </c>
      <c r="B5175" s="5">
        <v>44924</v>
      </c>
      <c r="C5175">
        <v>55504</v>
      </c>
      <c r="D5175" t="str">
        <f>PROPER(Transactions!D5175)</f>
        <v>Beauty</v>
      </c>
      <c r="E5175" t="s">
        <v>179</v>
      </c>
      <c r="F5175" t="s">
        <v>180</v>
      </c>
      <c r="G5175">
        <v>1</v>
      </c>
      <c r="H5175">
        <v>11.99</v>
      </c>
      <c r="I5175" s="7">
        <f>IF(Transactions!I5175="",0,Transactions!I5175)</f>
        <v>0</v>
      </c>
      <c r="J5175" s="9">
        <f t="shared" si="80"/>
        <v>11.99</v>
      </c>
      <c r="K5175" t="s">
        <v>36</v>
      </c>
      <c r="L5175" t="s">
        <v>17</v>
      </c>
      <c r="M5175" t="str">
        <f>REPLACE(Transactions!M5175,1,4,"")</f>
        <v>18</v>
      </c>
    </row>
    <row r="5176" spans="1:13" x14ac:dyDescent="0.2">
      <c r="A5176">
        <v>956406</v>
      </c>
      <c r="B5176" s="5">
        <v>44689</v>
      </c>
      <c r="C5176">
        <v>39116</v>
      </c>
      <c r="D5176" t="str">
        <f>PROPER(Transactions!D5176)</f>
        <v>Sports</v>
      </c>
      <c r="E5176" t="s">
        <v>168</v>
      </c>
      <c r="F5176" t="s">
        <v>169</v>
      </c>
      <c r="G5176">
        <v>1</v>
      </c>
      <c r="H5176">
        <v>8.99</v>
      </c>
      <c r="I5176" s="7">
        <f>IF(Transactions!I5176="",0,Transactions!I5176)</f>
        <v>0</v>
      </c>
      <c r="J5176" s="9">
        <f t="shared" si="80"/>
        <v>8.99</v>
      </c>
      <c r="K5176" t="s">
        <v>16</v>
      </c>
      <c r="L5176" t="s">
        <v>17</v>
      </c>
      <c r="M5176" t="str">
        <f>REPLACE(Transactions!M5176,1,4,"")</f>
        <v>6</v>
      </c>
    </row>
    <row r="5177" spans="1:13" x14ac:dyDescent="0.2">
      <c r="A5177">
        <v>956675</v>
      </c>
      <c r="B5177" s="5">
        <v>45287</v>
      </c>
      <c r="C5177">
        <v>46379</v>
      </c>
      <c r="D5177" t="str">
        <f>PROPER(Transactions!D5177)</f>
        <v>Home &amp; Garden</v>
      </c>
      <c r="E5177" t="s">
        <v>149</v>
      </c>
      <c r="F5177" t="s">
        <v>150</v>
      </c>
      <c r="G5177">
        <v>1</v>
      </c>
      <c r="H5177">
        <v>16.989999999999998</v>
      </c>
      <c r="I5177" s="7">
        <f>IF(Transactions!I5177="",0,Transactions!I5177)</f>
        <v>0.15</v>
      </c>
      <c r="J5177" s="9">
        <f t="shared" si="80"/>
        <v>14.441499999999998</v>
      </c>
      <c r="K5177" t="s">
        <v>16</v>
      </c>
      <c r="L5177" t="s">
        <v>17</v>
      </c>
      <c r="M5177" t="str">
        <f>REPLACE(Transactions!M5177,1,4,"")</f>
        <v>11</v>
      </c>
    </row>
    <row r="5178" spans="1:13" x14ac:dyDescent="0.2">
      <c r="A5178">
        <v>956731</v>
      </c>
      <c r="B5178" s="5">
        <v>45115</v>
      </c>
      <c r="C5178">
        <v>57985</v>
      </c>
      <c r="D5178" t="str">
        <f>PROPER(Transactions!D5178)</f>
        <v>Pharmacy</v>
      </c>
      <c r="E5178" t="s">
        <v>115</v>
      </c>
      <c r="F5178" t="s">
        <v>116</v>
      </c>
      <c r="G5178">
        <v>5</v>
      </c>
      <c r="H5178">
        <v>9.74</v>
      </c>
      <c r="I5178" s="7">
        <f>IF(Transactions!I5178="",0,Transactions!I5178)</f>
        <v>0.25</v>
      </c>
      <c r="J5178" s="9">
        <f t="shared" si="80"/>
        <v>36.525000000000006</v>
      </c>
      <c r="K5178" t="s">
        <v>36</v>
      </c>
      <c r="L5178" t="s">
        <v>37</v>
      </c>
      <c r="M5178" t="str">
        <f>REPLACE(Transactions!M5178,1,4,"")</f>
        <v>17</v>
      </c>
    </row>
    <row r="5179" spans="1:13" x14ac:dyDescent="0.2">
      <c r="A5179">
        <v>956764</v>
      </c>
      <c r="B5179" s="5">
        <v>44681</v>
      </c>
      <c r="C5179">
        <v>73040</v>
      </c>
      <c r="D5179" t="str">
        <f>PROPER(Transactions!D5179)</f>
        <v>Grocery</v>
      </c>
      <c r="E5179" t="s">
        <v>162</v>
      </c>
      <c r="F5179" t="s">
        <v>163</v>
      </c>
      <c r="G5179">
        <v>5</v>
      </c>
      <c r="H5179">
        <v>6.39</v>
      </c>
      <c r="I5179" s="7">
        <f>IF(Transactions!I5179="",0,Transactions!I5179)</f>
        <v>0.2</v>
      </c>
      <c r="J5179" s="9">
        <f t="shared" si="80"/>
        <v>25.560000000000002</v>
      </c>
      <c r="K5179" t="s">
        <v>16</v>
      </c>
      <c r="L5179" t="s">
        <v>17</v>
      </c>
      <c r="M5179" t="str">
        <f>REPLACE(Transactions!M5179,1,4,"")</f>
        <v/>
      </c>
    </row>
    <row r="5180" spans="1:13" x14ac:dyDescent="0.2">
      <c r="A5180">
        <v>956954</v>
      </c>
      <c r="B5180" s="5">
        <v>45653</v>
      </c>
      <c r="C5180">
        <v>37171</v>
      </c>
      <c r="D5180" t="str">
        <f>PROPER(Transactions!D5180)</f>
        <v>Electronics</v>
      </c>
      <c r="E5180" t="s">
        <v>159</v>
      </c>
      <c r="F5180" t="s">
        <v>160</v>
      </c>
      <c r="G5180">
        <v>1</v>
      </c>
      <c r="H5180">
        <v>44.99</v>
      </c>
      <c r="I5180" s="7">
        <f>IF(Transactions!I5180="",0,Transactions!I5180)</f>
        <v>0</v>
      </c>
      <c r="J5180" s="9">
        <f t="shared" si="80"/>
        <v>44.99</v>
      </c>
      <c r="K5180" t="s">
        <v>22</v>
      </c>
      <c r="L5180" t="s">
        <v>37</v>
      </c>
      <c r="M5180" t="str">
        <f>REPLACE(Transactions!M5180,1,4,"")</f>
        <v>5</v>
      </c>
    </row>
    <row r="5181" spans="1:13" x14ac:dyDescent="0.2">
      <c r="A5181">
        <v>956982</v>
      </c>
      <c r="B5181" s="5">
        <v>44707</v>
      </c>
      <c r="C5181">
        <v>90774</v>
      </c>
      <c r="D5181" t="str">
        <f>PROPER(Transactions!D5181)</f>
        <v>Pharmacy</v>
      </c>
      <c r="E5181" t="s">
        <v>58</v>
      </c>
      <c r="F5181" t="s">
        <v>59</v>
      </c>
      <c r="G5181">
        <v>3</v>
      </c>
      <c r="H5181">
        <v>3.79</v>
      </c>
      <c r="I5181" s="7">
        <f>IF(Transactions!I5181="",0,Transactions!I5181)</f>
        <v>0.05</v>
      </c>
      <c r="J5181" s="9">
        <f t="shared" si="80"/>
        <v>10.801500000000001</v>
      </c>
      <c r="K5181" t="s">
        <v>53</v>
      </c>
      <c r="L5181" t="s">
        <v>37</v>
      </c>
      <c r="M5181" t="str">
        <f>REPLACE(Transactions!M5181,1,4,"")</f>
        <v>17</v>
      </c>
    </row>
    <row r="5182" spans="1:13" x14ac:dyDescent="0.2">
      <c r="A5182">
        <v>957053</v>
      </c>
      <c r="B5182" s="5">
        <v>44801</v>
      </c>
      <c r="C5182">
        <v>41415</v>
      </c>
      <c r="D5182" t="str">
        <f>PROPER(Transactions!D5182)</f>
        <v>Furniture</v>
      </c>
      <c r="E5182" t="s">
        <v>26</v>
      </c>
      <c r="F5182" t="s">
        <v>27</v>
      </c>
      <c r="G5182">
        <v>3</v>
      </c>
      <c r="H5182">
        <v>27.99</v>
      </c>
      <c r="I5182" s="7">
        <f>IF(Transactions!I5182="",0,Transactions!I5182)</f>
        <v>0.2</v>
      </c>
      <c r="J5182" s="9">
        <f t="shared" si="80"/>
        <v>67.176000000000002</v>
      </c>
      <c r="K5182" t="s">
        <v>66</v>
      </c>
      <c r="L5182" t="s">
        <v>37</v>
      </c>
      <c r="M5182" t="str">
        <f>REPLACE(Transactions!M5182,1,4,"")</f>
        <v>2</v>
      </c>
    </row>
    <row r="5183" spans="1:13" x14ac:dyDescent="0.2">
      <c r="A5183">
        <v>957079</v>
      </c>
      <c r="B5183" s="5">
        <v>45558</v>
      </c>
      <c r="C5183">
        <v>81550</v>
      </c>
      <c r="D5183" t="str">
        <f>PROPER(Transactions!D5183)</f>
        <v>Clothing</v>
      </c>
      <c r="E5183" t="s">
        <v>165</v>
      </c>
      <c r="F5183" t="s">
        <v>166</v>
      </c>
      <c r="G5183">
        <v>5</v>
      </c>
      <c r="H5183">
        <v>85.49</v>
      </c>
      <c r="I5183" s="7">
        <f>IF(Transactions!I5183="",0,Transactions!I5183)</f>
        <v>0.05</v>
      </c>
      <c r="J5183" s="9">
        <f t="shared" si="80"/>
        <v>406.07749999999999</v>
      </c>
      <c r="K5183" t="s">
        <v>95</v>
      </c>
      <c r="L5183" t="s">
        <v>17</v>
      </c>
      <c r="M5183" t="str">
        <f>REPLACE(Transactions!M5183,1,4,"")</f>
        <v>11</v>
      </c>
    </row>
    <row r="5184" spans="1:13" x14ac:dyDescent="0.2">
      <c r="A5184">
        <v>957180</v>
      </c>
      <c r="B5184" s="5">
        <v>44946</v>
      </c>
      <c r="C5184">
        <v>52330</v>
      </c>
      <c r="D5184" t="str">
        <f>PROPER(Transactions!D5184)</f>
        <v>Beauty</v>
      </c>
      <c r="E5184" t="s">
        <v>118</v>
      </c>
      <c r="F5184" t="s">
        <v>119</v>
      </c>
      <c r="G5184">
        <v>1</v>
      </c>
      <c r="H5184">
        <v>4.74</v>
      </c>
      <c r="I5184" s="7">
        <f>IF(Transactions!I5184="",0,Transactions!I5184)</f>
        <v>0.05</v>
      </c>
      <c r="J5184" s="9">
        <f t="shared" si="80"/>
        <v>4.5030000000000001</v>
      </c>
      <c r="K5184" t="s">
        <v>16</v>
      </c>
      <c r="L5184" t="s">
        <v>17</v>
      </c>
      <c r="M5184" t="str">
        <f>REPLACE(Transactions!M5184,1,4,"")</f>
        <v>3</v>
      </c>
    </row>
    <row r="5185" spans="1:13" x14ac:dyDescent="0.2">
      <c r="A5185">
        <v>957233</v>
      </c>
      <c r="B5185" s="5">
        <v>44906</v>
      </c>
      <c r="C5185">
        <v>45195</v>
      </c>
      <c r="D5185" t="str">
        <f>PROPER(Transactions!D5185)</f>
        <v>Home &amp; Garden</v>
      </c>
      <c r="E5185" t="s">
        <v>86</v>
      </c>
      <c r="F5185" t="s">
        <v>87</v>
      </c>
      <c r="G5185">
        <v>5</v>
      </c>
      <c r="H5185">
        <v>12.34</v>
      </c>
      <c r="I5185" s="7">
        <f>IF(Transactions!I5185="",0,Transactions!I5185)</f>
        <v>0.05</v>
      </c>
      <c r="J5185" s="9">
        <f t="shared" si="80"/>
        <v>58.615000000000002</v>
      </c>
      <c r="K5185" t="s">
        <v>36</v>
      </c>
      <c r="L5185" t="s">
        <v>37</v>
      </c>
      <c r="M5185" t="str">
        <f>REPLACE(Transactions!M5185,1,4,"")</f>
        <v>3</v>
      </c>
    </row>
    <row r="5186" spans="1:13" x14ac:dyDescent="0.2">
      <c r="A5186">
        <v>957279</v>
      </c>
      <c r="B5186" s="5">
        <v>44580</v>
      </c>
      <c r="C5186">
        <v>21884</v>
      </c>
      <c r="D5186" t="str">
        <f>PROPER(Transactions!D5186)</f>
        <v>Clothing</v>
      </c>
      <c r="E5186" t="s">
        <v>135</v>
      </c>
      <c r="F5186" t="s">
        <v>136</v>
      </c>
      <c r="G5186">
        <v>2</v>
      </c>
      <c r="H5186">
        <v>7.49</v>
      </c>
      <c r="I5186" s="7">
        <f>IF(Transactions!I5186="",0,Transactions!I5186)</f>
        <v>0.25</v>
      </c>
      <c r="J5186" s="9">
        <f t="shared" si="80"/>
        <v>11.234999999999999</v>
      </c>
      <c r="K5186" t="s">
        <v>22</v>
      </c>
      <c r="L5186" t="s">
        <v>17</v>
      </c>
      <c r="M5186" t="str">
        <f>REPLACE(Transactions!M5186,1,4,"")</f>
        <v>6</v>
      </c>
    </row>
    <row r="5187" spans="1:13" x14ac:dyDescent="0.2">
      <c r="A5187">
        <v>957588</v>
      </c>
      <c r="B5187" s="5">
        <v>45173</v>
      </c>
      <c r="C5187">
        <v>40121</v>
      </c>
      <c r="D5187" t="str">
        <f>PROPER(Transactions!D5187)</f>
        <v>Home &amp; Garden</v>
      </c>
      <c r="E5187" t="s">
        <v>153</v>
      </c>
      <c r="F5187" t="s">
        <v>154</v>
      </c>
      <c r="G5187">
        <v>5</v>
      </c>
      <c r="H5187">
        <v>28.49</v>
      </c>
      <c r="I5187" s="7">
        <f>IF(Transactions!I5187="",0,Transactions!I5187)</f>
        <v>0.05</v>
      </c>
      <c r="J5187" s="9">
        <f t="shared" ref="J5187:J5250" si="81">(H5187*G5187)*(1-I5187)</f>
        <v>135.32749999999999</v>
      </c>
      <c r="K5187" t="s">
        <v>36</v>
      </c>
      <c r="L5187" t="s">
        <v>17</v>
      </c>
      <c r="M5187" t="str">
        <f>REPLACE(Transactions!M5187,1,4,"")</f>
        <v>10</v>
      </c>
    </row>
    <row r="5188" spans="1:13" x14ac:dyDescent="0.2">
      <c r="A5188">
        <v>957631</v>
      </c>
      <c r="B5188" s="5">
        <v>44879</v>
      </c>
      <c r="C5188">
        <v>52388</v>
      </c>
      <c r="D5188" t="str">
        <f>PROPER(Transactions!D5188)</f>
        <v>Grocery</v>
      </c>
      <c r="E5188" t="s">
        <v>91</v>
      </c>
      <c r="F5188" t="s">
        <v>92</v>
      </c>
      <c r="G5188">
        <v>1</v>
      </c>
      <c r="H5188">
        <v>5.66</v>
      </c>
      <c r="I5188" s="7">
        <f>IF(Transactions!I5188="",0,Transactions!I5188)</f>
        <v>0.1</v>
      </c>
      <c r="J5188" s="9">
        <f t="shared" si="81"/>
        <v>5.0940000000000003</v>
      </c>
      <c r="K5188" t="s">
        <v>36</v>
      </c>
      <c r="L5188" t="s">
        <v>37</v>
      </c>
      <c r="M5188" t="str">
        <f>REPLACE(Transactions!M5188,1,4,"")</f>
        <v>5</v>
      </c>
    </row>
    <row r="5189" spans="1:13" x14ac:dyDescent="0.2">
      <c r="A5189">
        <v>957868</v>
      </c>
      <c r="B5189" s="5">
        <v>45555</v>
      </c>
      <c r="C5189">
        <v>21617</v>
      </c>
      <c r="D5189" t="str">
        <f>PROPER(Transactions!D5189)</f>
        <v>Furniture</v>
      </c>
      <c r="E5189" t="s">
        <v>70</v>
      </c>
      <c r="F5189" t="s">
        <v>71</v>
      </c>
      <c r="G5189">
        <v>1</v>
      </c>
      <c r="H5189">
        <v>85.49</v>
      </c>
      <c r="I5189" s="7">
        <f>IF(Transactions!I5189="",0,Transactions!I5189)</f>
        <v>0.05</v>
      </c>
      <c r="J5189" s="9">
        <f t="shared" si="81"/>
        <v>81.215499999999992</v>
      </c>
      <c r="K5189" t="s">
        <v>16</v>
      </c>
      <c r="L5189" t="s">
        <v>37</v>
      </c>
      <c r="M5189" t="str">
        <f>REPLACE(Transactions!M5189,1,4,"")</f>
        <v>14</v>
      </c>
    </row>
    <row r="5190" spans="1:13" x14ac:dyDescent="0.2">
      <c r="A5190">
        <v>957948</v>
      </c>
      <c r="B5190" s="5">
        <v>45610</v>
      </c>
      <c r="C5190">
        <v>10518</v>
      </c>
      <c r="D5190" t="str">
        <f>PROPER(Transactions!D5190)</f>
        <v>Sports</v>
      </c>
      <c r="E5190" t="s">
        <v>188</v>
      </c>
      <c r="F5190" t="s">
        <v>189</v>
      </c>
      <c r="G5190">
        <v>5</v>
      </c>
      <c r="H5190">
        <v>38.24</v>
      </c>
      <c r="I5190" s="7">
        <f>IF(Transactions!I5190="",0,Transactions!I5190)</f>
        <v>0.15</v>
      </c>
      <c r="J5190" s="9">
        <f t="shared" si="81"/>
        <v>162.52000000000001</v>
      </c>
      <c r="K5190" t="s">
        <v>16</v>
      </c>
      <c r="L5190" t="s">
        <v>23</v>
      </c>
      <c r="M5190" t="str">
        <f>REPLACE(Transactions!M5190,1,4,"")</f>
        <v>1</v>
      </c>
    </row>
    <row r="5191" spans="1:13" x14ac:dyDescent="0.2">
      <c r="A5191">
        <v>958119</v>
      </c>
      <c r="B5191" s="5">
        <v>45573</v>
      </c>
      <c r="C5191">
        <v>28023</v>
      </c>
      <c r="D5191" t="str">
        <f>PROPER(Transactions!D5191)</f>
        <v>Toys</v>
      </c>
      <c r="E5191" t="s">
        <v>170</v>
      </c>
      <c r="F5191" t="s">
        <v>171</v>
      </c>
      <c r="G5191">
        <v>1</v>
      </c>
      <c r="H5191">
        <v>13.49</v>
      </c>
      <c r="I5191" s="7">
        <f>IF(Transactions!I5191="",0,Transactions!I5191)</f>
        <v>0.1</v>
      </c>
      <c r="J5191" s="9">
        <f t="shared" si="81"/>
        <v>12.141</v>
      </c>
      <c r="K5191" t="s">
        <v>36</v>
      </c>
      <c r="L5191" t="s">
        <v>37</v>
      </c>
      <c r="M5191" t="str">
        <f>REPLACE(Transactions!M5191,1,4,"")</f>
        <v>9</v>
      </c>
    </row>
    <row r="5192" spans="1:13" x14ac:dyDescent="0.2">
      <c r="A5192">
        <v>958416</v>
      </c>
      <c r="B5192" s="5">
        <v>45348</v>
      </c>
      <c r="C5192">
        <v>67786</v>
      </c>
      <c r="D5192" t="str">
        <f>PROPER(Transactions!D5192)</f>
        <v>Electronics</v>
      </c>
      <c r="E5192" t="s">
        <v>127</v>
      </c>
      <c r="F5192" t="s">
        <v>128</v>
      </c>
      <c r="G5192">
        <v>1</v>
      </c>
      <c r="H5192">
        <v>19.989999999999998</v>
      </c>
      <c r="I5192" s="7">
        <f>IF(Transactions!I5192="",0,Transactions!I5192)</f>
        <v>0</v>
      </c>
      <c r="J5192" s="9">
        <f t="shared" si="81"/>
        <v>19.989999999999998</v>
      </c>
      <c r="K5192" t="s">
        <v>36</v>
      </c>
      <c r="L5192" t="s">
        <v>17</v>
      </c>
      <c r="M5192" t="str">
        <f>REPLACE(Transactions!M5192,1,4,"")</f>
        <v/>
      </c>
    </row>
    <row r="5193" spans="1:13" x14ac:dyDescent="0.2">
      <c r="A5193">
        <v>958694</v>
      </c>
      <c r="B5193" s="5">
        <v>45114</v>
      </c>
      <c r="C5193">
        <v>32232</v>
      </c>
      <c r="D5193" t="str">
        <f>PROPER(Transactions!D5193)</f>
        <v>Pharmacy</v>
      </c>
      <c r="E5193" t="s">
        <v>20</v>
      </c>
      <c r="F5193" t="s">
        <v>21</v>
      </c>
      <c r="G5193">
        <v>1</v>
      </c>
      <c r="H5193">
        <v>7.49</v>
      </c>
      <c r="I5193" s="7">
        <f>IF(Transactions!I5193="",0,Transactions!I5193)</f>
        <v>0.25</v>
      </c>
      <c r="J5193" s="9">
        <f t="shared" si="81"/>
        <v>5.6174999999999997</v>
      </c>
      <c r="K5193" t="s">
        <v>53</v>
      </c>
      <c r="L5193" t="s">
        <v>37</v>
      </c>
      <c r="M5193" t="str">
        <f>REPLACE(Transactions!M5193,1,4,"")</f>
        <v>8</v>
      </c>
    </row>
    <row r="5194" spans="1:13" x14ac:dyDescent="0.2">
      <c r="A5194">
        <v>958754</v>
      </c>
      <c r="B5194" s="5">
        <v>45001</v>
      </c>
      <c r="C5194">
        <v>78258</v>
      </c>
      <c r="D5194" t="str">
        <f>PROPER(Transactions!D5194)</f>
        <v>Toys</v>
      </c>
      <c r="E5194" t="s">
        <v>38</v>
      </c>
      <c r="F5194" t="s">
        <v>39</v>
      </c>
      <c r="G5194">
        <v>1</v>
      </c>
      <c r="H5194">
        <v>29.99</v>
      </c>
      <c r="I5194" s="7">
        <f>IF(Transactions!I5194="",0,Transactions!I5194)</f>
        <v>0</v>
      </c>
      <c r="J5194" s="9">
        <f t="shared" si="81"/>
        <v>29.99</v>
      </c>
      <c r="K5194" t="s">
        <v>16</v>
      </c>
      <c r="L5194" t="s">
        <v>17</v>
      </c>
      <c r="M5194" t="str">
        <f>REPLACE(Transactions!M5194,1,4,"")</f>
        <v>19</v>
      </c>
    </row>
    <row r="5195" spans="1:13" x14ac:dyDescent="0.2">
      <c r="A5195">
        <v>958762</v>
      </c>
      <c r="B5195" s="5">
        <v>44788</v>
      </c>
      <c r="C5195">
        <v>93501</v>
      </c>
      <c r="D5195" t="str">
        <f>PROPER(Transactions!D5195)</f>
        <v>Home &amp; Garden</v>
      </c>
      <c r="E5195" t="s">
        <v>145</v>
      </c>
      <c r="F5195" t="s">
        <v>146</v>
      </c>
      <c r="G5195">
        <v>3</v>
      </c>
      <c r="H5195">
        <v>12.74</v>
      </c>
      <c r="I5195" s="7">
        <f>IF(Transactions!I5195="",0,Transactions!I5195)</f>
        <v>0.25</v>
      </c>
      <c r="J5195" s="9">
        <f t="shared" si="81"/>
        <v>28.664999999999999</v>
      </c>
      <c r="K5195" t="s">
        <v>36</v>
      </c>
      <c r="L5195" t="s">
        <v>37</v>
      </c>
      <c r="M5195" t="str">
        <f>REPLACE(Transactions!M5195,1,4,"")</f>
        <v>2</v>
      </c>
    </row>
    <row r="5196" spans="1:13" x14ac:dyDescent="0.2">
      <c r="A5196">
        <v>959061</v>
      </c>
      <c r="B5196" s="5">
        <v>45355</v>
      </c>
      <c r="C5196">
        <v>20263</v>
      </c>
      <c r="D5196" t="str">
        <f>PROPER(Transactions!D5196)</f>
        <v>Automotive</v>
      </c>
      <c r="E5196" t="s">
        <v>111</v>
      </c>
      <c r="F5196" t="s">
        <v>112</v>
      </c>
      <c r="G5196">
        <v>2</v>
      </c>
      <c r="H5196">
        <v>11.99</v>
      </c>
      <c r="I5196" s="7">
        <f>IF(Transactions!I5196="",0,Transactions!I5196)</f>
        <v>0.2</v>
      </c>
      <c r="J5196" s="9">
        <f t="shared" si="81"/>
        <v>19.184000000000001</v>
      </c>
      <c r="K5196" t="s">
        <v>36</v>
      </c>
      <c r="L5196" t="s">
        <v>17</v>
      </c>
      <c r="M5196" t="str">
        <f>REPLACE(Transactions!M5196,1,4,"")</f>
        <v>17</v>
      </c>
    </row>
    <row r="5197" spans="1:13" x14ac:dyDescent="0.2">
      <c r="A5197">
        <v>959335</v>
      </c>
      <c r="B5197" s="5">
        <v>44929</v>
      </c>
      <c r="C5197">
        <v>89594</v>
      </c>
      <c r="D5197" t="str">
        <f>PROPER(Transactions!D5197)</f>
        <v>Pharmacy</v>
      </c>
      <c r="E5197" t="s">
        <v>20</v>
      </c>
      <c r="F5197" t="s">
        <v>21</v>
      </c>
      <c r="G5197">
        <v>2</v>
      </c>
      <c r="H5197">
        <v>9.99</v>
      </c>
      <c r="I5197" s="7">
        <f>IF(Transactions!I5197="",0,Transactions!I5197)</f>
        <v>0</v>
      </c>
      <c r="J5197" s="9">
        <f t="shared" si="81"/>
        <v>19.98</v>
      </c>
      <c r="K5197" t="s">
        <v>36</v>
      </c>
      <c r="L5197" t="s">
        <v>17</v>
      </c>
      <c r="M5197" t="str">
        <f>REPLACE(Transactions!M5197,1,4,"")</f>
        <v>17</v>
      </c>
    </row>
    <row r="5198" spans="1:13" x14ac:dyDescent="0.2">
      <c r="A5198">
        <v>959586</v>
      </c>
      <c r="B5198" s="5">
        <v>44783</v>
      </c>
      <c r="D5198" t="str">
        <f>PROPER(Transactions!D5198)</f>
        <v>Sports</v>
      </c>
      <c r="E5198" t="s">
        <v>100</v>
      </c>
      <c r="F5198" t="s">
        <v>101</v>
      </c>
      <c r="G5198">
        <v>1</v>
      </c>
      <c r="H5198">
        <v>22.99</v>
      </c>
      <c r="I5198" s="7">
        <f>IF(Transactions!I5198="",0,Transactions!I5198)</f>
        <v>0</v>
      </c>
      <c r="J5198" s="9">
        <f t="shared" si="81"/>
        <v>22.99</v>
      </c>
      <c r="K5198" t="s">
        <v>22</v>
      </c>
      <c r="L5198" t="s">
        <v>17</v>
      </c>
      <c r="M5198" t="str">
        <f>REPLACE(Transactions!M5198,1,4,"")</f>
        <v>2</v>
      </c>
    </row>
    <row r="5199" spans="1:13" x14ac:dyDescent="0.2">
      <c r="A5199">
        <v>959662</v>
      </c>
      <c r="B5199" s="5">
        <v>45324</v>
      </c>
      <c r="C5199">
        <v>57293</v>
      </c>
      <c r="D5199" t="str">
        <f>PROPER(Transactions!D5199)</f>
        <v>Sports</v>
      </c>
      <c r="E5199" t="s">
        <v>100</v>
      </c>
      <c r="F5199" t="s">
        <v>101</v>
      </c>
      <c r="G5199">
        <v>2</v>
      </c>
      <c r="H5199">
        <v>22.99</v>
      </c>
      <c r="I5199" s="7">
        <f>IF(Transactions!I5199="",0,Transactions!I5199)</f>
        <v>0</v>
      </c>
      <c r="J5199" s="9">
        <f t="shared" si="81"/>
        <v>45.98</v>
      </c>
      <c r="K5199" t="s">
        <v>22</v>
      </c>
      <c r="L5199" t="s">
        <v>37</v>
      </c>
      <c r="M5199" t="str">
        <f>REPLACE(Transactions!M5199,1,4,"")</f>
        <v>5</v>
      </c>
    </row>
    <row r="5200" spans="1:13" x14ac:dyDescent="0.2">
      <c r="A5200">
        <v>959755</v>
      </c>
      <c r="B5200" s="5">
        <v>45126</v>
      </c>
      <c r="C5200">
        <v>72752</v>
      </c>
      <c r="D5200" t="str">
        <f>PROPER(Transactions!D5200)</f>
        <v>Clothing</v>
      </c>
      <c r="E5200" t="s">
        <v>141</v>
      </c>
      <c r="F5200" t="s">
        <v>142</v>
      </c>
      <c r="G5200">
        <v>2</v>
      </c>
      <c r="H5200">
        <v>22.99</v>
      </c>
      <c r="I5200" s="7">
        <f>IF(Transactions!I5200="",0,Transactions!I5200)</f>
        <v>0</v>
      </c>
      <c r="J5200" s="9">
        <f t="shared" si="81"/>
        <v>45.98</v>
      </c>
      <c r="K5200" t="s">
        <v>16</v>
      </c>
      <c r="L5200" t="s">
        <v>17</v>
      </c>
      <c r="M5200" t="str">
        <f>REPLACE(Transactions!M5200,1,4,"")</f>
        <v>7</v>
      </c>
    </row>
    <row r="5201" spans="1:13" x14ac:dyDescent="0.2">
      <c r="A5201">
        <v>960099</v>
      </c>
      <c r="B5201" s="5">
        <v>44833</v>
      </c>
      <c r="C5201">
        <v>53437</v>
      </c>
      <c r="D5201" t="str">
        <f>PROPER(Transactions!D5201)</f>
        <v>Grocery</v>
      </c>
      <c r="E5201" t="s">
        <v>45</v>
      </c>
      <c r="F5201" t="s">
        <v>46</v>
      </c>
      <c r="G5201">
        <v>2</v>
      </c>
      <c r="H5201">
        <v>1.34</v>
      </c>
      <c r="I5201" s="7">
        <f>IF(Transactions!I5201="",0,Transactions!I5201)</f>
        <v>0.25</v>
      </c>
      <c r="J5201" s="9">
        <f t="shared" si="81"/>
        <v>2.0100000000000002</v>
      </c>
      <c r="K5201" t="s">
        <v>53</v>
      </c>
      <c r="L5201" t="s">
        <v>17</v>
      </c>
      <c r="M5201" t="str">
        <f>REPLACE(Transactions!M5201,1,4,"")</f>
        <v>7</v>
      </c>
    </row>
    <row r="5202" spans="1:13" x14ac:dyDescent="0.2">
      <c r="A5202">
        <v>960176</v>
      </c>
      <c r="B5202" s="5">
        <v>44630</v>
      </c>
      <c r="C5202">
        <v>15410</v>
      </c>
      <c r="D5202" t="str">
        <f>PROPER(Transactions!D5202)</f>
        <v>Home &amp; Garden</v>
      </c>
      <c r="E5202" t="s">
        <v>149</v>
      </c>
      <c r="F5202" t="s">
        <v>150</v>
      </c>
      <c r="G5202">
        <v>1</v>
      </c>
      <c r="H5202">
        <v>17.989999999999998</v>
      </c>
      <c r="I5202" s="7">
        <f>IF(Transactions!I5202="",0,Transactions!I5202)</f>
        <v>0.1</v>
      </c>
      <c r="J5202" s="9">
        <f t="shared" si="81"/>
        <v>16.190999999999999</v>
      </c>
      <c r="K5202" t="s">
        <v>22</v>
      </c>
      <c r="L5202" t="s">
        <v>17</v>
      </c>
      <c r="M5202" t="str">
        <f>REPLACE(Transactions!M5202,1,4,"")</f>
        <v>16</v>
      </c>
    </row>
    <row r="5203" spans="1:13" x14ac:dyDescent="0.2">
      <c r="A5203">
        <v>960197</v>
      </c>
      <c r="B5203" s="5">
        <v>45155</v>
      </c>
      <c r="C5203">
        <v>44083</v>
      </c>
      <c r="D5203" t="str">
        <f>PROPER(Transactions!D5203)</f>
        <v>Automotive</v>
      </c>
      <c r="E5203" t="s">
        <v>125</v>
      </c>
      <c r="F5203" t="s">
        <v>126</v>
      </c>
      <c r="G5203">
        <v>1</v>
      </c>
      <c r="H5203">
        <v>20.99</v>
      </c>
      <c r="I5203" s="7">
        <f>IF(Transactions!I5203="",0,Transactions!I5203)</f>
        <v>0</v>
      </c>
      <c r="J5203" s="9">
        <f t="shared" si="81"/>
        <v>20.99</v>
      </c>
      <c r="K5203" t="s">
        <v>95</v>
      </c>
      <c r="L5203" t="s">
        <v>23</v>
      </c>
      <c r="M5203" t="str">
        <f>REPLACE(Transactions!M5203,1,4,"")</f>
        <v>18</v>
      </c>
    </row>
    <row r="5204" spans="1:13" x14ac:dyDescent="0.2">
      <c r="A5204">
        <v>960301</v>
      </c>
      <c r="B5204" s="5">
        <v>45481</v>
      </c>
      <c r="C5204">
        <v>56456</v>
      </c>
      <c r="D5204" t="str">
        <f>PROPER(Transactions!D5204)</f>
        <v>Electronics</v>
      </c>
      <c r="E5204" t="s">
        <v>104</v>
      </c>
      <c r="F5204" t="s">
        <v>105</v>
      </c>
      <c r="G5204">
        <v>4</v>
      </c>
      <c r="H5204">
        <v>26.99</v>
      </c>
      <c r="I5204" s="7">
        <f>IF(Transactions!I5204="",0,Transactions!I5204)</f>
        <v>0.1</v>
      </c>
      <c r="J5204" s="9">
        <f t="shared" si="81"/>
        <v>97.164000000000001</v>
      </c>
      <c r="K5204" t="s">
        <v>95</v>
      </c>
      <c r="L5204" t="s">
        <v>37</v>
      </c>
      <c r="M5204" t="str">
        <f>REPLACE(Transactions!M5204,1,4,"")</f>
        <v>7</v>
      </c>
    </row>
    <row r="5205" spans="1:13" x14ac:dyDescent="0.2">
      <c r="A5205">
        <v>960376</v>
      </c>
      <c r="B5205" s="5">
        <v>45099</v>
      </c>
      <c r="C5205">
        <v>57523</v>
      </c>
      <c r="D5205" t="str">
        <f>PROPER(Transactions!D5205)</f>
        <v>Automotive</v>
      </c>
      <c r="E5205" t="s">
        <v>64</v>
      </c>
      <c r="F5205" t="s">
        <v>65</v>
      </c>
      <c r="G5205">
        <v>1</v>
      </c>
      <c r="H5205">
        <v>4.99</v>
      </c>
      <c r="I5205" s="7">
        <f>IF(Transactions!I5205="",0,Transactions!I5205)</f>
        <v>0</v>
      </c>
      <c r="J5205" s="9">
        <f t="shared" si="81"/>
        <v>4.99</v>
      </c>
      <c r="K5205" t="s">
        <v>22</v>
      </c>
      <c r="L5205" t="s">
        <v>17</v>
      </c>
      <c r="M5205" t="str">
        <f>REPLACE(Transactions!M5205,1,4,"")</f>
        <v>6</v>
      </c>
    </row>
    <row r="5206" spans="1:13" x14ac:dyDescent="0.2">
      <c r="A5206">
        <v>960467</v>
      </c>
      <c r="B5206" s="5">
        <v>45569</v>
      </c>
      <c r="C5206">
        <v>12586</v>
      </c>
      <c r="D5206" t="str">
        <f>PROPER(Transactions!D5206)</f>
        <v>Grocery</v>
      </c>
      <c r="E5206" t="s">
        <v>74</v>
      </c>
      <c r="F5206" t="s">
        <v>75</v>
      </c>
      <c r="G5206">
        <v>3</v>
      </c>
      <c r="H5206">
        <v>2.39</v>
      </c>
      <c r="I5206" s="7">
        <f>IF(Transactions!I5206="",0,Transactions!I5206)</f>
        <v>0.2</v>
      </c>
      <c r="J5206" s="9">
        <f t="shared" si="81"/>
        <v>5.7360000000000007</v>
      </c>
      <c r="K5206" t="s">
        <v>16</v>
      </c>
      <c r="L5206" t="s">
        <v>17</v>
      </c>
      <c r="M5206" t="str">
        <f>REPLACE(Transactions!M5206,1,4,"")</f>
        <v>2</v>
      </c>
    </row>
    <row r="5207" spans="1:13" x14ac:dyDescent="0.2">
      <c r="A5207">
        <v>960646</v>
      </c>
      <c r="B5207" s="5">
        <v>45371</v>
      </c>
      <c r="C5207">
        <v>11424</v>
      </c>
      <c r="D5207" t="str">
        <f>PROPER(Transactions!D5207)</f>
        <v>Electronics</v>
      </c>
      <c r="E5207" t="s">
        <v>127</v>
      </c>
      <c r="F5207" t="s">
        <v>128</v>
      </c>
      <c r="G5207">
        <v>1</v>
      </c>
      <c r="H5207">
        <v>14.99</v>
      </c>
      <c r="I5207" s="7">
        <f>IF(Transactions!I5207="",0,Transactions!I5207)</f>
        <v>0.25</v>
      </c>
      <c r="J5207" s="9">
        <f t="shared" si="81"/>
        <v>11.2425</v>
      </c>
      <c r="K5207" t="s">
        <v>16</v>
      </c>
      <c r="L5207" t="s">
        <v>17</v>
      </c>
      <c r="M5207" t="str">
        <f>REPLACE(Transactions!M5207,1,4,"")</f>
        <v>15</v>
      </c>
    </row>
    <row r="5208" spans="1:13" x14ac:dyDescent="0.2">
      <c r="A5208">
        <v>960811</v>
      </c>
      <c r="B5208" s="5">
        <v>45393</v>
      </c>
      <c r="C5208">
        <v>86703</v>
      </c>
      <c r="D5208" t="str">
        <f>PROPER(Transactions!D5208)</f>
        <v>Automotive</v>
      </c>
      <c r="E5208" t="s">
        <v>125</v>
      </c>
      <c r="F5208" t="s">
        <v>126</v>
      </c>
      <c r="G5208">
        <v>3</v>
      </c>
      <c r="H5208">
        <v>22.49</v>
      </c>
      <c r="I5208" s="7">
        <f>IF(Transactions!I5208="",0,Transactions!I5208)</f>
        <v>0.25</v>
      </c>
      <c r="J5208" s="9">
        <f t="shared" si="81"/>
        <v>50.602499999999999</v>
      </c>
      <c r="K5208" t="s">
        <v>22</v>
      </c>
      <c r="L5208" t="s">
        <v>37</v>
      </c>
      <c r="M5208" t="str">
        <f>REPLACE(Transactions!M5208,1,4,"")</f>
        <v>6</v>
      </c>
    </row>
    <row r="5209" spans="1:13" x14ac:dyDescent="0.2">
      <c r="A5209">
        <v>960848</v>
      </c>
      <c r="B5209" s="5">
        <v>45512</v>
      </c>
      <c r="C5209">
        <v>30862</v>
      </c>
      <c r="D5209" t="str">
        <f>PROPER(Transactions!D5209)</f>
        <v>Pharmacy</v>
      </c>
      <c r="E5209" t="s">
        <v>197</v>
      </c>
      <c r="F5209" t="s">
        <v>198</v>
      </c>
      <c r="G5209">
        <v>2</v>
      </c>
      <c r="H5209">
        <v>14.99</v>
      </c>
      <c r="I5209" s="7">
        <f>IF(Transactions!I5209="",0,Transactions!I5209)</f>
        <v>0</v>
      </c>
      <c r="J5209" s="9">
        <f t="shared" si="81"/>
        <v>29.98</v>
      </c>
      <c r="K5209" t="s">
        <v>16</v>
      </c>
      <c r="L5209" t="s">
        <v>37</v>
      </c>
      <c r="M5209" t="str">
        <f>REPLACE(Transactions!M5209,1,4,"")</f>
        <v>15</v>
      </c>
    </row>
    <row r="5210" spans="1:13" x14ac:dyDescent="0.2">
      <c r="A5210">
        <v>960899</v>
      </c>
      <c r="B5210" s="5">
        <v>45353</v>
      </c>
      <c r="C5210">
        <v>51842</v>
      </c>
      <c r="D5210" t="str">
        <f>PROPER(Transactions!D5210)</f>
        <v>Sports</v>
      </c>
      <c r="E5210" t="s">
        <v>147</v>
      </c>
      <c r="F5210" t="s">
        <v>148</v>
      </c>
      <c r="G5210">
        <v>4</v>
      </c>
      <c r="H5210">
        <v>11.04</v>
      </c>
      <c r="I5210" s="7">
        <f>IF(Transactions!I5210="",0,Transactions!I5210)</f>
        <v>0</v>
      </c>
      <c r="J5210" s="9">
        <f t="shared" si="81"/>
        <v>44.16</v>
      </c>
      <c r="K5210" t="s">
        <v>36</v>
      </c>
      <c r="L5210" t="s">
        <v>17</v>
      </c>
      <c r="M5210" t="str">
        <f>REPLACE(Transactions!M5210,1,4,"")</f>
        <v>20</v>
      </c>
    </row>
    <row r="5211" spans="1:13" x14ac:dyDescent="0.2">
      <c r="A5211">
        <v>961055</v>
      </c>
      <c r="B5211" s="5">
        <v>45149</v>
      </c>
      <c r="C5211">
        <v>52774</v>
      </c>
      <c r="D5211" t="str">
        <f>PROPER(Transactions!D5211)</f>
        <v>Home &amp; Garden</v>
      </c>
      <c r="E5211" t="s">
        <v>145</v>
      </c>
      <c r="F5211" t="s">
        <v>146</v>
      </c>
      <c r="G5211">
        <v>1</v>
      </c>
      <c r="H5211">
        <v>16.989999999999998</v>
      </c>
      <c r="I5211" s="7">
        <f>IF(Transactions!I5211="",0,Transactions!I5211)</f>
        <v>0</v>
      </c>
      <c r="J5211" s="9">
        <f t="shared" si="81"/>
        <v>16.989999999999998</v>
      </c>
      <c r="K5211" t="s">
        <v>16</v>
      </c>
      <c r="L5211" t="s">
        <v>17</v>
      </c>
      <c r="M5211" t="str">
        <f>REPLACE(Transactions!M5211,1,4,"")</f>
        <v>15</v>
      </c>
    </row>
    <row r="5212" spans="1:13" x14ac:dyDescent="0.2">
      <c r="A5212">
        <v>961227</v>
      </c>
      <c r="B5212" s="5">
        <v>45035</v>
      </c>
      <c r="D5212" t="str">
        <f>PROPER(Transactions!D5212)</f>
        <v>Pharmacy</v>
      </c>
      <c r="E5212" t="s">
        <v>58</v>
      </c>
      <c r="F5212" t="s">
        <v>59</v>
      </c>
      <c r="G5212">
        <v>3</v>
      </c>
      <c r="H5212">
        <v>3.19</v>
      </c>
      <c r="I5212" s="7">
        <f>IF(Transactions!I5212="",0,Transactions!I5212)</f>
        <v>0.2</v>
      </c>
      <c r="J5212" s="9">
        <f t="shared" si="81"/>
        <v>7.6560000000000006</v>
      </c>
      <c r="K5212" t="s">
        <v>36</v>
      </c>
      <c r="L5212" t="s">
        <v>17</v>
      </c>
      <c r="M5212" t="str">
        <f>REPLACE(Transactions!M5212,1,4,"")</f>
        <v>5</v>
      </c>
    </row>
    <row r="5213" spans="1:13" x14ac:dyDescent="0.2">
      <c r="A5213">
        <v>961308</v>
      </c>
      <c r="B5213" s="5">
        <v>44591</v>
      </c>
      <c r="C5213">
        <v>74588</v>
      </c>
      <c r="D5213" t="str">
        <f>PROPER(Transactions!D5213)</f>
        <v>Automotive</v>
      </c>
      <c r="E5213" t="s">
        <v>111</v>
      </c>
      <c r="F5213" t="s">
        <v>112</v>
      </c>
      <c r="G5213">
        <v>2</v>
      </c>
      <c r="H5213">
        <v>14.99</v>
      </c>
      <c r="I5213" s="7">
        <f>IF(Transactions!I5213="",0,Transactions!I5213)</f>
        <v>0</v>
      </c>
      <c r="J5213" s="9">
        <f t="shared" si="81"/>
        <v>29.98</v>
      </c>
      <c r="K5213" t="s">
        <v>16</v>
      </c>
      <c r="L5213" t="s">
        <v>37</v>
      </c>
      <c r="M5213" t="str">
        <f>REPLACE(Transactions!M5213,1,4,"")</f>
        <v>4</v>
      </c>
    </row>
    <row r="5214" spans="1:13" x14ac:dyDescent="0.2">
      <c r="A5214">
        <v>961375</v>
      </c>
      <c r="B5214" s="5">
        <v>45060</v>
      </c>
      <c r="C5214">
        <v>62064</v>
      </c>
      <c r="D5214" t="str">
        <f>PROPER(Transactions!D5214)</f>
        <v>Pharmacy</v>
      </c>
      <c r="E5214" t="s">
        <v>197</v>
      </c>
      <c r="F5214" t="s">
        <v>198</v>
      </c>
      <c r="G5214">
        <v>3</v>
      </c>
      <c r="H5214">
        <v>10.49</v>
      </c>
      <c r="I5214" s="7">
        <f>IF(Transactions!I5214="",0,Transactions!I5214)</f>
        <v>0.3</v>
      </c>
      <c r="J5214" s="9">
        <f t="shared" si="81"/>
        <v>22.028999999999996</v>
      </c>
      <c r="K5214" t="s">
        <v>36</v>
      </c>
      <c r="L5214" t="s">
        <v>17</v>
      </c>
      <c r="M5214" t="str">
        <f>REPLACE(Transactions!M5214,1,4,"")</f>
        <v>15</v>
      </c>
    </row>
    <row r="5215" spans="1:13" x14ac:dyDescent="0.2">
      <c r="A5215">
        <v>961529</v>
      </c>
      <c r="B5215" s="5">
        <v>44879</v>
      </c>
      <c r="C5215">
        <v>87577</v>
      </c>
      <c r="D5215" t="str">
        <f>PROPER(Transactions!D5215)</f>
        <v>Grocery</v>
      </c>
      <c r="E5215" t="s">
        <v>91</v>
      </c>
      <c r="F5215" t="s">
        <v>92</v>
      </c>
      <c r="G5215">
        <v>1</v>
      </c>
      <c r="H5215">
        <v>5.98</v>
      </c>
      <c r="I5215" s="7">
        <f>IF(Transactions!I5215="",0,Transactions!I5215)</f>
        <v>0.05</v>
      </c>
      <c r="J5215" s="9">
        <f t="shared" si="81"/>
        <v>5.681</v>
      </c>
      <c r="K5215" t="s">
        <v>16</v>
      </c>
      <c r="L5215" t="s">
        <v>17</v>
      </c>
      <c r="M5215" t="str">
        <f>REPLACE(Transactions!M5215,1,4,"")</f>
        <v>14</v>
      </c>
    </row>
    <row r="5216" spans="1:13" x14ac:dyDescent="0.2">
      <c r="A5216">
        <v>961561</v>
      </c>
      <c r="B5216" s="5">
        <v>44601</v>
      </c>
      <c r="C5216">
        <v>75150</v>
      </c>
      <c r="D5216" t="str">
        <f>PROPER(Transactions!D5216)</f>
        <v>Pharmacy</v>
      </c>
      <c r="E5216" t="s">
        <v>58</v>
      </c>
      <c r="F5216" t="s">
        <v>59</v>
      </c>
      <c r="G5216">
        <v>5</v>
      </c>
      <c r="H5216">
        <v>2.79</v>
      </c>
      <c r="I5216" s="7">
        <f>IF(Transactions!I5216="",0,Transactions!I5216)</f>
        <v>0.3</v>
      </c>
      <c r="J5216" s="9">
        <f t="shared" si="81"/>
        <v>9.7649999999999988</v>
      </c>
      <c r="K5216" t="s">
        <v>16</v>
      </c>
      <c r="L5216" t="s">
        <v>37</v>
      </c>
      <c r="M5216" t="str">
        <f>REPLACE(Transactions!M5216,1,4,"")</f>
        <v>8</v>
      </c>
    </row>
    <row r="5217" spans="1:13" x14ac:dyDescent="0.2">
      <c r="A5217">
        <v>961727</v>
      </c>
      <c r="B5217" s="5">
        <v>45631</v>
      </c>
      <c r="C5217">
        <v>79198</v>
      </c>
      <c r="D5217" t="str">
        <f>PROPER(Transactions!D5217)</f>
        <v>Toys</v>
      </c>
      <c r="E5217" t="s">
        <v>72</v>
      </c>
      <c r="F5217" t="s">
        <v>73</v>
      </c>
      <c r="G5217">
        <v>1</v>
      </c>
      <c r="H5217">
        <v>33.99</v>
      </c>
      <c r="I5217" s="7">
        <f>IF(Transactions!I5217="",0,Transactions!I5217)</f>
        <v>0.15</v>
      </c>
      <c r="J5217" s="9">
        <f t="shared" si="81"/>
        <v>28.891500000000001</v>
      </c>
      <c r="K5217" t="s">
        <v>95</v>
      </c>
      <c r="L5217" t="s">
        <v>17</v>
      </c>
      <c r="M5217" t="str">
        <f>REPLACE(Transactions!M5217,1,4,"")</f>
        <v>20</v>
      </c>
    </row>
    <row r="5218" spans="1:13" x14ac:dyDescent="0.2">
      <c r="A5218">
        <v>961889</v>
      </c>
      <c r="B5218" s="5">
        <v>44863</v>
      </c>
      <c r="C5218">
        <v>80206</v>
      </c>
      <c r="D5218" t="str">
        <f>PROPER(Transactions!D5218)</f>
        <v>Electronics</v>
      </c>
      <c r="E5218" t="s">
        <v>127</v>
      </c>
      <c r="F5218" t="s">
        <v>128</v>
      </c>
      <c r="G5218">
        <v>2</v>
      </c>
      <c r="H5218">
        <v>19.989999999999998</v>
      </c>
      <c r="I5218" s="7">
        <f>IF(Transactions!I5218="",0,Transactions!I5218)</f>
        <v>0</v>
      </c>
      <c r="J5218" s="9">
        <f t="shared" si="81"/>
        <v>39.979999999999997</v>
      </c>
      <c r="K5218" t="s">
        <v>16</v>
      </c>
      <c r="L5218" t="s">
        <v>17</v>
      </c>
      <c r="M5218" t="str">
        <f>REPLACE(Transactions!M5218,1,4,"")</f>
        <v>6</v>
      </c>
    </row>
    <row r="5219" spans="1:13" x14ac:dyDescent="0.2">
      <c r="A5219">
        <v>962007</v>
      </c>
      <c r="B5219" s="5">
        <v>45022</v>
      </c>
      <c r="C5219">
        <v>18776</v>
      </c>
      <c r="D5219" t="str">
        <f>PROPER(Transactions!D5219)</f>
        <v>Beauty</v>
      </c>
      <c r="E5219" t="s">
        <v>139</v>
      </c>
      <c r="F5219" t="s">
        <v>140</v>
      </c>
      <c r="G5219">
        <v>1</v>
      </c>
      <c r="H5219">
        <v>7.99</v>
      </c>
      <c r="I5219" s="7">
        <f>IF(Transactions!I5219="",0,Transactions!I5219)</f>
        <v>0</v>
      </c>
      <c r="J5219" s="9">
        <f t="shared" si="81"/>
        <v>7.99</v>
      </c>
      <c r="K5219" t="s">
        <v>36</v>
      </c>
      <c r="L5219" t="s">
        <v>37</v>
      </c>
      <c r="M5219" t="str">
        <f>REPLACE(Transactions!M5219,1,4,"")</f>
        <v>13</v>
      </c>
    </row>
    <row r="5220" spans="1:13" x14ac:dyDescent="0.2">
      <c r="A5220">
        <v>962236</v>
      </c>
      <c r="B5220" s="5">
        <v>45617</v>
      </c>
      <c r="C5220">
        <v>18107</v>
      </c>
      <c r="D5220" t="str">
        <f>PROPER(Transactions!D5220)</f>
        <v>Automotive</v>
      </c>
      <c r="E5220" t="s">
        <v>131</v>
      </c>
      <c r="F5220" t="s">
        <v>132</v>
      </c>
      <c r="G5220">
        <v>2</v>
      </c>
      <c r="H5220">
        <v>3.49</v>
      </c>
      <c r="I5220" s="7">
        <f>IF(Transactions!I5220="",0,Transactions!I5220)</f>
        <v>0</v>
      </c>
      <c r="J5220" s="9">
        <f t="shared" si="81"/>
        <v>6.98</v>
      </c>
      <c r="K5220" t="s">
        <v>95</v>
      </c>
      <c r="L5220" t="s">
        <v>23</v>
      </c>
      <c r="M5220" t="str">
        <f>REPLACE(Transactions!M5220,1,4,"")</f>
        <v>3</v>
      </c>
    </row>
    <row r="5221" spans="1:13" x14ac:dyDescent="0.2">
      <c r="A5221">
        <v>962305</v>
      </c>
      <c r="B5221" s="5">
        <v>45499</v>
      </c>
      <c r="C5221">
        <v>86980</v>
      </c>
      <c r="D5221" t="str">
        <f>PROPER(Transactions!D5221)</f>
        <v>Home &amp; Garden</v>
      </c>
      <c r="E5221" t="s">
        <v>137</v>
      </c>
      <c r="F5221" t="s">
        <v>138</v>
      </c>
      <c r="G5221">
        <v>2</v>
      </c>
      <c r="H5221">
        <v>7.99</v>
      </c>
      <c r="I5221" s="7">
        <f>IF(Transactions!I5221="",0,Transactions!I5221)</f>
        <v>0</v>
      </c>
      <c r="J5221" s="9">
        <f t="shared" si="81"/>
        <v>15.98</v>
      </c>
      <c r="K5221" t="s">
        <v>16</v>
      </c>
      <c r="L5221" t="s">
        <v>17</v>
      </c>
      <c r="M5221" t="str">
        <f>REPLACE(Transactions!M5221,1,4,"")</f>
        <v>20</v>
      </c>
    </row>
    <row r="5222" spans="1:13" x14ac:dyDescent="0.2">
      <c r="A5222">
        <v>962341</v>
      </c>
      <c r="B5222" s="5">
        <v>45494</v>
      </c>
      <c r="C5222">
        <v>96864</v>
      </c>
      <c r="D5222" t="str">
        <f>PROPER(Transactions!D5222)</f>
        <v>Home &amp; Garden</v>
      </c>
      <c r="E5222" t="s">
        <v>129</v>
      </c>
      <c r="F5222" t="s">
        <v>130</v>
      </c>
      <c r="G5222">
        <v>4</v>
      </c>
      <c r="H5222">
        <v>6.74</v>
      </c>
      <c r="I5222" s="7">
        <f>IF(Transactions!I5222="",0,Transactions!I5222)</f>
        <v>0.25</v>
      </c>
      <c r="J5222" s="9">
        <f t="shared" si="81"/>
        <v>20.22</v>
      </c>
      <c r="K5222" t="s">
        <v>16</v>
      </c>
      <c r="L5222" t="s">
        <v>17</v>
      </c>
      <c r="M5222" t="str">
        <f>REPLACE(Transactions!M5222,1,4,"")</f>
        <v>9</v>
      </c>
    </row>
    <row r="5223" spans="1:13" x14ac:dyDescent="0.2">
      <c r="A5223">
        <v>962696</v>
      </c>
      <c r="B5223" s="5">
        <v>44994</v>
      </c>
      <c r="C5223">
        <v>32628</v>
      </c>
      <c r="D5223" t="str">
        <f>PROPER(Transactions!D5223)</f>
        <v>Home &amp; Garden</v>
      </c>
      <c r="E5223" t="s">
        <v>157</v>
      </c>
      <c r="F5223" t="s">
        <v>158</v>
      </c>
      <c r="G5223">
        <v>3</v>
      </c>
      <c r="H5223">
        <v>10.79</v>
      </c>
      <c r="I5223" s="7">
        <f>IF(Transactions!I5223="",0,Transactions!I5223)</f>
        <v>0.2</v>
      </c>
      <c r="J5223" s="9">
        <f t="shared" si="81"/>
        <v>25.896000000000001</v>
      </c>
      <c r="K5223" t="s">
        <v>36</v>
      </c>
      <c r="L5223" t="s">
        <v>17</v>
      </c>
      <c r="M5223" t="str">
        <f>REPLACE(Transactions!M5223,1,4,"")</f>
        <v>16</v>
      </c>
    </row>
    <row r="5224" spans="1:13" x14ac:dyDescent="0.2">
      <c r="A5224">
        <v>963034</v>
      </c>
      <c r="B5224" s="5">
        <v>45073</v>
      </c>
      <c r="C5224">
        <v>43808</v>
      </c>
      <c r="D5224" t="str">
        <f>PROPER(Transactions!D5224)</f>
        <v>Clothing</v>
      </c>
      <c r="E5224" t="s">
        <v>135</v>
      </c>
      <c r="F5224" t="s">
        <v>136</v>
      </c>
      <c r="G5224">
        <v>5</v>
      </c>
      <c r="H5224">
        <v>8.49</v>
      </c>
      <c r="I5224" s="7">
        <f>IF(Transactions!I5224="",0,Transactions!I5224)</f>
        <v>0.15</v>
      </c>
      <c r="J5224" s="9">
        <f t="shared" si="81"/>
        <v>36.082500000000003</v>
      </c>
      <c r="K5224" t="s">
        <v>22</v>
      </c>
      <c r="L5224" t="s">
        <v>17</v>
      </c>
      <c r="M5224" t="str">
        <f>REPLACE(Transactions!M5224,1,4,"")</f>
        <v>11</v>
      </c>
    </row>
    <row r="5225" spans="1:13" x14ac:dyDescent="0.2">
      <c r="A5225">
        <v>963056</v>
      </c>
      <c r="B5225" s="5">
        <v>44724</v>
      </c>
      <c r="C5225">
        <v>78380</v>
      </c>
      <c r="D5225" t="str">
        <f>PROPER(Transactions!D5225)</f>
        <v>Furniture</v>
      </c>
      <c r="E5225" t="s">
        <v>70</v>
      </c>
      <c r="F5225" t="s">
        <v>71</v>
      </c>
      <c r="G5225">
        <v>1</v>
      </c>
      <c r="H5225">
        <v>89.99</v>
      </c>
      <c r="I5225" s="7">
        <f>IF(Transactions!I5225="",0,Transactions!I5225)</f>
        <v>0</v>
      </c>
      <c r="J5225" s="9">
        <f t="shared" si="81"/>
        <v>89.99</v>
      </c>
      <c r="K5225" t="s">
        <v>16</v>
      </c>
      <c r="L5225" t="s">
        <v>17</v>
      </c>
      <c r="M5225" t="str">
        <f>REPLACE(Transactions!M5225,1,4,"")</f>
        <v>17</v>
      </c>
    </row>
    <row r="5226" spans="1:13" x14ac:dyDescent="0.2">
      <c r="A5226">
        <v>963149</v>
      </c>
      <c r="B5226" s="5">
        <v>44817</v>
      </c>
      <c r="C5226">
        <v>24407</v>
      </c>
      <c r="D5226" t="str">
        <f>PROPER(Transactions!D5226)</f>
        <v>Sports</v>
      </c>
      <c r="E5226" t="s">
        <v>83</v>
      </c>
      <c r="F5226" t="s">
        <v>84</v>
      </c>
      <c r="G5226">
        <v>1</v>
      </c>
      <c r="H5226">
        <v>16.989999999999998</v>
      </c>
      <c r="I5226" s="7">
        <f>IF(Transactions!I5226="",0,Transactions!I5226)</f>
        <v>0</v>
      </c>
      <c r="J5226" s="9">
        <f t="shared" si="81"/>
        <v>16.989999999999998</v>
      </c>
      <c r="K5226" t="s">
        <v>16</v>
      </c>
      <c r="L5226" t="s">
        <v>17</v>
      </c>
      <c r="M5226" t="str">
        <f>REPLACE(Transactions!M5226,1,4,"")</f>
        <v>6</v>
      </c>
    </row>
    <row r="5227" spans="1:13" x14ac:dyDescent="0.2">
      <c r="A5227">
        <v>963157</v>
      </c>
      <c r="B5227" s="5">
        <v>45579</v>
      </c>
      <c r="C5227">
        <v>58636</v>
      </c>
      <c r="D5227" t="str">
        <f>PROPER(Transactions!D5227)</f>
        <v>Furniture</v>
      </c>
      <c r="E5227" t="s">
        <v>113</v>
      </c>
      <c r="F5227" t="s">
        <v>114</v>
      </c>
      <c r="G5227">
        <v>5</v>
      </c>
      <c r="H5227">
        <v>83.99</v>
      </c>
      <c r="I5227" s="7">
        <f>IF(Transactions!I5227="",0,Transactions!I5227)</f>
        <v>0</v>
      </c>
      <c r="J5227" s="9">
        <f t="shared" si="81"/>
        <v>419.95</v>
      </c>
      <c r="K5227" t="s">
        <v>22</v>
      </c>
      <c r="L5227" t="s">
        <v>17</v>
      </c>
      <c r="M5227" t="str">
        <f>REPLACE(Transactions!M5227,1,4,"")</f>
        <v>12</v>
      </c>
    </row>
    <row r="5228" spans="1:13" x14ac:dyDescent="0.2">
      <c r="A5228">
        <v>963318</v>
      </c>
      <c r="B5228" s="5">
        <v>44957</v>
      </c>
      <c r="D5228" t="str">
        <f>PROPER(Transactions!D5228)</f>
        <v>Clothing</v>
      </c>
      <c r="E5228" t="s">
        <v>121</v>
      </c>
      <c r="F5228" t="s">
        <v>122</v>
      </c>
      <c r="G5228">
        <v>4</v>
      </c>
      <c r="H5228">
        <v>11.04</v>
      </c>
      <c r="I5228" s="7">
        <f>IF(Transactions!I5228="",0,Transactions!I5228)</f>
        <v>0.15</v>
      </c>
      <c r="J5228" s="9">
        <f t="shared" si="81"/>
        <v>37.535999999999994</v>
      </c>
      <c r="K5228" t="s">
        <v>16</v>
      </c>
      <c r="L5228" t="s">
        <v>17</v>
      </c>
      <c r="M5228" t="str">
        <f>REPLACE(Transactions!M5228,1,4,"")</f>
        <v>8</v>
      </c>
    </row>
    <row r="5229" spans="1:13" x14ac:dyDescent="0.2">
      <c r="A5229">
        <v>963451</v>
      </c>
      <c r="B5229" s="5">
        <v>45069</v>
      </c>
      <c r="C5229">
        <v>68400</v>
      </c>
      <c r="D5229" t="str">
        <f>PROPER(Transactions!D5229)</f>
        <v>Sports</v>
      </c>
      <c r="E5229" t="s">
        <v>155</v>
      </c>
      <c r="F5229" t="s">
        <v>156</v>
      </c>
      <c r="G5229">
        <v>2</v>
      </c>
      <c r="H5229">
        <v>14.99</v>
      </c>
      <c r="I5229" s="7">
        <f>IF(Transactions!I5229="",0,Transactions!I5229)</f>
        <v>0.25</v>
      </c>
      <c r="J5229" s="9">
        <f t="shared" si="81"/>
        <v>22.484999999999999</v>
      </c>
      <c r="K5229" t="s">
        <v>95</v>
      </c>
      <c r="L5229" t="s">
        <v>37</v>
      </c>
      <c r="M5229" t="str">
        <f>REPLACE(Transactions!M5229,1,4,"")</f>
        <v>8</v>
      </c>
    </row>
    <row r="5230" spans="1:13" x14ac:dyDescent="0.2">
      <c r="A5230">
        <v>963947</v>
      </c>
      <c r="B5230" s="5">
        <v>44696</v>
      </c>
      <c r="C5230">
        <v>20014</v>
      </c>
      <c r="D5230" t="str">
        <f>PROPER(Transactions!D5230)</f>
        <v>Pharmacy</v>
      </c>
      <c r="E5230" t="s">
        <v>115</v>
      </c>
      <c r="F5230" t="s">
        <v>116</v>
      </c>
      <c r="G5230">
        <v>2</v>
      </c>
      <c r="H5230">
        <v>12.99</v>
      </c>
      <c r="I5230" s="7">
        <f>IF(Transactions!I5230="",0,Transactions!I5230)</f>
        <v>0</v>
      </c>
      <c r="J5230" s="9">
        <f t="shared" si="81"/>
        <v>25.98</v>
      </c>
      <c r="K5230" t="s">
        <v>95</v>
      </c>
      <c r="L5230" t="s">
        <v>17</v>
      </c>
      <c r="M5230" t="str">
        <f>REPLACE(Transactions!M5230,1,4,"")</f>
        <v>16</v>
      </c>
    </row>
    <row r="5231" spans="1:13" x14ac:dyDescent="0.2">
      <c r="A5231">
        <v>964007</v>
      </c>
      <c r="B5231" s="5">
        <v>44913</v>
      </c>
      <c r="C5231">
        <v>34380</v>
      </c>
      <c r="D5231" t="str">
        <f>PROPER(Transactions!D5231)</f>
        <v>Furniture</v>
      </c>
      <c r="E5231" t="s">
        <v>51</v>
      </c>
      <c r="F5231" t="s">
        <v>52</v>
      </c>
      <c r="G5231">
        <v>1</v>
      </c>
      <c r="H5231">
        <v>26.59</v>
      </c>
      <c r="I5231" s="7">
        <f>IF(Transactions!I5231="",0,Transactions!I5231)</f>
        <v>0.05</v>
      </c>
      <c r="J5231" s="9">
        <f t="shared" si="81"/>
        <v>25.2605</v>
      </c>
      <c r="K5231" t="s">
        <v>16</v>
      </c>
      <c r="L5231" t="s">
        <v>37</v>
      </c>
      <c r="M5231" t="str">
        <f>REPLACE(Transactions!M5231,1,4,"")</f>
        <v>15</v>
      </c>
    </row>
    <row r="5232" spans="1:13" x14ac:dyDescent="0.2">
      <c r="A5232">
        <v>964092</v>
      </c>
      <c r="B5232" s="5">
        <v>45488</v>
      </c>
      <c r="C5232">
        <v>49809</v>
      </c>
      <c r="D5232" t="str">
        <f>PROPER(Transactions!D5232)</f>
        <v>Beauty</v>
      </c>
      <c r="E5232" t="s">
        <v>179</v>
      </c>
      <c r="F5232" t="s">
        <v>180</v>
      </c>
      <c r="G5232">
        <v>3</v>
      </c>
      <c r="H5232">
        <v>9.59</v>
      </c>
      <c r="I5232" s="7">
        <f>IF(Transactions!I5232="",0,Transactions!I5232)</f>
        <v>0.2</v>
      </c>
      <c r="J5232" s="9">
        <f t="shared" si="81"/>
        <v>23.016000000000002</v>
      </c>
      <c r="K5232" t="s">
        <v>36</v>
      </c>
      <c r="L5232" t="s">
        <v>37</v>
      </c>
      <c r="M5232" t="str">
        <f>REPLACE(Transactions!M5232,1,4,"")</f>
        <v>1</v>
      </c>
    </row>
    <row r="5233" spans="1:13" x14ac:dyDescent="0.2">
      <c r="A5233">
        <v>964143</v>
      </c>
      <c r="B5233" s="5">
        <v>45202</v>
      </c>
      <c r="C5233">
        <v>33888</v>
      </c>
      <c r="D5233" t="str">
        <f>PROPER(Transactions!D5233)</f>
        <v>Beauty</v>
      </c>
      <c r="E5233" t="s">
        <v>139</v>
      </c>
      <c r="F5233" t="s">
        <v>140</v>
      </c>
      <c r="G5233">
        <v>1</v>
      </c>
      <c r="H5233">
        <v>7.99</v>
      </c>
      <c r="I5233" s="7">
        <f>IF(Transactions!I5233="",0,Transactions!I5233)</f>
        <v>0</v>
      </c>
      <c r="J5233" s="9">
        <f t="shared" si="81"/>
        <v>7.99</v>
      </c>
      <c r="K5233" t="s">
        <v>66</v>
      </c>
      <c r="L5233" t="s">
        <v>17</v>
      </c>
      <c r="M5233" t="str">
        <f>REPLACE(Transactions!M5233,1,4,"")</f>
        <v/>
      </c>
    </row>
    <row r="5234" spans="1:13" x14ac:dyDescent="0.2">
      <c r="A5234">
        <v>964190</v>
      </c>
      <c r="B5234" s="5">
        <v>45496</v>
      </c>
      <c r="C5234">
        <v>90219</v>
      </c>
      <c r="D5234" t="str">
        <f>PROPER(Transactions!D5234)</f>
        <v>Clothing</v>
      </c>
      <c r="E5234" t="s">
        <v>181</v>
      </c>
      <c r="F5234" t="s">
        <v>182</v>
      </c>
      <c r="G5234">
        <v>1</v>
      </c>
      <c r="H5234">
        <v>12.74</v>
      </c>
      <c r="I5234" s="7">
        <f>IF(Transactions!I5234="",0,Transactions!I5234)</f>
        <v>0.15</v>
      </c>
      <c r="J5234" s="9">
        <f t="shared" si="81"/>
        <v>10.829000000000001</v>
      </c>
      <c r="K5234" t="s">
        <v>16</v>
      </c>
      <c r="L5234" t="s">
        <v>17</v>
      </c>
      <c r="M5234" t="str">
        <f>REPLACE(Transactions!M5234,1,4,"")</f>
        <v>19</v>
      </c>
    </row>
    <row r="5235" spans="1:13" x14ac:dyDescent="0.2">
      <c r="A5235">
        <v>964286</v>
      </c>
      <c r="B5235" s="5">
        <v>44601</v>
      </c>
      <c r="C5235">
        <v>67571</v>
      </c>
      <c r="D5235" t="str">
        <f>PROPER(Transactions!D5235)</f>
        <v>Furniture</v>
      </c>
      <c r="E5235" t="s">
        <v>26</v>
      </c>
      <c r="F5235" t="s">
        <v>27</v>
      </c>
      <c r="G5235">
        <v>2</v>
      </c>
      <c r="H5235">
        <v>27.99</v>
      </c>
      <c r="I5235" s="7">
        <f>IF(Transactions!I5235="",0,Transactions!I5235)</f>
        <v>0.2</v>
      </c>
      <c r="J5235" s="9">
        <f t="shared" si="81"/>
        <v>44.783999999999999</v>
      </c>
      <c r="K5235" t="s">
        <v>36</v>
      </c>
      <c r="L5235" t="s">
        <v>17</v>
      </c>
      <c r="M5235" t="str">
        <f>REPLACE(Transactions!M5235,1,4,"")</f>
        <v/>
      </c>
    </row>
    <row r="5236" spans="1:13" x14ac:dyDescent="0.2">
      <c r="A5236">
        <v>964337</v>
      </c>
      <c r="B5236" s="5">
        <v>45118</v>
      </c>
      <c r="C5236">
        <v>10101</v>
      </c>
      <c r="D5236" t="str">
        <f>PROPER(Transactions!D5236)</f>
        <v>Pharmacy</v>
      </c>
      <c r="E5236" t="s">
        <v>20</v>
      </c>
      <c r="F5236" t="s">
        <v>21</v>
      </c>
      <c r="G5236">
        <v>1</v>
      </c>
      <c r="H5236">
        <v>7.99</v>
      </c>
      <c r="I5236" s="7">
        <f>IF(Transactions!I5236="",0,Transactions!I5236)</f>
        <v>0.2</v>
      </c>
      <c r="J5236" s="9">
        <f t="shared" si="81"/>
        <v>6.3920000000000003</v>
      </c>
      <c r="K5236" t="s">
        <v>32</v>
      </c>
      <c r="L5236" t="s">
        <v>17</v>
      </c>
      <c r="M5236" t="str">
        <f>REPLACE(Transactions!M5236,1,4,"")</f>
        <v>4</v>
      </c>
    </row>
    <row r="5237" spans="1:13" x14ac:dyDescent="0.2">
      <c r="A5237">
        <v>964441</v>
      </c>
      <c r="B5237" s="5">
        <v>44586</v>
      </c>
      <c r="C5237">
        <v>93024</v>
      </c>
      <c r="D5237" t="str">
        <f>PROPER(Transactions!D5237)</f>
        <v>Clothing</v>
      </c>
      <c r="E5237" t="s">
        <v>141</v>
      </c>
      <c r="F5237" t="s">
        <v>142</v>
      </c>
      <c r="G5237">
        <v>1</v>
      </c>
      <c r="H5237">
        <v>17.239999999999998</v>
      </c>
      <c r="I5237" s="7">
        <f>IF(Transactions!I5237="",0,Transactions!I5237)</f>
        <v>0.25</v>
      </c>
      <c r="J5237" s="9">
        <f t="shared" si="81"/>
        <v>12.93</v>
      </c>
      <c r="K5237" t="s">
        <v>22</v>
      </c>
      <c r="L5237" t="s">
        <v>37</v>
      </c>
      <c r="M5237" t="str">
        <f>REPLACE(Transactions!M5237,1,4,"")</f>
        <v>1</v>
      </c>
    </row>
    <row r="5238" spans="1:13" x14ac:dyDescent="0.2">
      <c r="A5238">
        <v>964866</v>
      </c>
      <c r="B5238" s="5">
        <v>44997</v>
      </c>
      <c r="C5238">
        <v>20021</v>
      </c>
      <c r="D5238" t="str">
        <f>PROPER(Transactions!D5238)</f>
        <v>Home &amp; Garden</v>
      </c>
      <c r="E5238" t="s">
        <v>129</v>
      </c>
      <c r="F5238" t="s">
        <v>130</v>
      </c>
      <c r="G5238">
        <v>2</v>
      </c>
      <c r="H5238">
        <v>6.29</v>
      </c>
      <c r="I5238" s="7">
        <f>IF(Transactions!I5238="",0,Transactions!I5238)</f>
        <v>0.3</v>
      </c>
      <c r="J5238" s="9">
        <f t="shared" si="81"/>
        <v>8.8059999999999992</v>
      </c>
      <c r="K5238" t="s">
        <v>95</v>
      </c>
      <c r="L5238" t="s">
        <v>37</v>
      </c>
      <c r="M5238" t="str">
        <f>REPLACE(Transactions!M5238,1,4,"")</f>
        <v>2</v>
      </c>
    </row>
    <row r="5239" spans="1:13" x14ac:dyDescent="0.2">
      <c r="A5239">
        <v>964996</v>
      </c>
      <c r="B5239" s="5">
        <v>45109</v>
      </c>
      <c r="C5239">
        <v>64432</v>
      </c>
      <c r="D5239" t="str">
        <f>PROPER(Transactions!D5239)</f>
        <v>Home &amp; Garden</v>
      </c>
      <c r="E5239" t="s">
        <v>129</v>
      </c>
      <c r="F5239" t="s">
        <v>130</v>
      </c>
      <c r="G5239">
        <v>1</v>
      </c>
      <c r="H5239">
        <v>6.29</v>
      </c>
      <c r="I5239" s="7">
        <f>IF(Transactions!I5239="",0,Transactions!I5239)</f>
        <v>0.3</v>
      </c>
      <c r="J5239" s="9">
        <f t="shared" si="81"/>
        <v>4.4029999999999996</v>
      </c>
      <c r="K5239" t="s">
        <v>16</v>
      </c>
      <c r="L5239" t="s">
        <v>17</v>
      </c>
      <c r="M5239" t="str">
        <f>REPLACE(Transactions!M5239,1,4,"")</f>
        <v>12</v>
      </c>
    </row>
    <row r="5240" spans="1:13" x14ac:dyDescent="0.2">
      <c r="A5240">
        <v>965220</v>
      </c>
      <c r="B5240" s="5">
        <v>44925</v>
      </c>
      <c r="D5240" t="str">
        <f>PROPER(Transactions!D5240)</f>
        <v>Beauty</v>
      </c>
      <c r="E5240" t="s">
        <v>139</v>
      </c>
      <c r="F5240" t="s">
        <v>140</v>
      </c>
      <c r="G5240">
        <v>2</v>
      </c>
      <c r="H5240">
        <v>7.59</v>
      </c>
      <c r="I5240" s="7">
        <f>IF(Transactions!I5240="",0,Transactions!I5240)</f>
        <v>0.05</v>
      </c>
      <c r="J5240" s="9">
        <f t="shared" si="81"/>
        <v>14.420999999999999</v>
      </c>
      <c r="K5240" t="s">
        <v>16</v>
      </c>
      <c r="L5240" t="s">
        <v>37</v>
      </c>
      <c r="M5240" t="str">
        <f>REPLACE(Transactions!M5240,1,4,"")</f>
        <v>4</v>
      </c>
    </row>
    <row r="5241" spans="1:13" x14ac:dyDescent="0.2">
      <c r="A5241">
        <v>965304</v>
      </c>
      <c r="B5241" s="5">
        <v>45489</v>
      </c>
      <c r="C5241">
        <v>73868</v>
      </c>
      <c r="D5241" t="str">
        <f>PROPER(Transactions!D5241)</f>
        <v>Home &amp; Garden</v>
      </c>
      <c r="E5241" t="s">
        <v>153</v>
      </c>
      <c r="F5241" t="s">
        <v>154</v>
      </c>
      <c r="G5241">
        <v>5</v>
      </c>
      <c r="H5241">
        <v>28.49</v>
      </c>
      <c r="I5241" s="7">
        <f>IF(Transactions!I5241="",0,Transactions!I5241)</f>
        <v>0.05</v>
      </c>
      <c r="J5241" s="9">
        <f t="shared" si="81"/>
        <v>135.32749999999999</v>
      </c>
      <c r="K5241" t="s">
        <v>36</v>
      </c>
      <c r="L5241" t="s">
        <v>37</v>
      </c>
      <c r="M5241" t="str">
        <f>REPLACE(Transactions!M5241,1,4,"")</f>
        <v>1</v>
      </c>
    </row>
    <row r="5242" spans="1:13" x14ac:dyDescent="0.2">
      <c r="A5242">
        <v>965388</v>
      </c>
      <c r="B5242" s="5">
        <v>45436</v>
      </c>
      <c r="C5242">
        <v>38405</v>
      </c>
      <c r="D5242" t="str">
        <f>PROPER(Transactions!D5242)</f>
        <v>Sports</v>
      </c>
      <c r="E5242" t="s">
        <v>100</v>
      </c>
      <c r="F5242" t="s">
        <v>101</v>
      </c>
      <c r="G5242">
        <v>3</v>
      </c>
      <c r="H5242">
        <v>22.99</v>
      </c>
      <c r="I5242" s="7">
        <f>IF(Transactions!I5242="",0,Transactions!I5242)</f>
        <v>0</v>
      </c>
      <c r="J5242" s="9">
        <f t="shared" si="81"/>
        <v>68.97</v>
      </c>
      <c r="K5242" t="s">
        <v>22</v>
      </c>
      <c r="L5242" t="s">
        <v>17</v>
      </c>
      <c r="M5242" t="str">
        <f>REPLACE(Transactions!M5242,1,4,"")</f>
        <v>10</v>
      </c>
    </row>
    <row r="5243" spans="1:13" x14ac:dyDescent="0.2">
      <c r="A5243">
        <v>965706</v>
      </c>
      <c r="B5243" s="5">
        <v>44912</v>
      </c>
      <c r="C5243">
        <v>41363</v>
      </c>
      <c r="D5243" t="str">
        <f>PROPER(Transactions!D5243)</f>
        <v>Furniture</v>
      </c>
      <c r="E5243" t="s">
        <v>70</v>
      </c>
      <c r="F5243" t="s">
        <v>71</v>
      </c>
      <c r="G5243">
        <v>1</v>
      </c>
      <c r="H5243">
        <v>80.989999999999995</v>
      </c>
      <c r="I5243" s="7">
        <f>IF(Transactions!I5243="",0,Transactions!I5243)</f>
        <v>0.1</v>
      </c>
      <c r="J5243" s="9">
        <f t="shared" si="81"/>
        <v>72.890999999999991</v>
      </c>
      <c r="K5243" t="s">
        <v>32</v>
      </c>
      <c r="L5243" t="s">
        <v>17</v>
      </c>
      <c r="M5243" t="str">
        <f>REPLACE(Transactions!M5243,1,4,"")</f>
        <v>4</v>
      </c>
    </row>
    <row r="5244" spans="1:13" x14ac:dyDescent="0.2">
      <c r="A5244">
        <v>966109</v>
      </c>
      <c r="B5244" s="5">
        <v>45080</v>
      </c>
      <c r="C5244">
        <v>41234</v>
      </c>
      <c r="D5244" t="str">
        <f>PROPER(Transactions!D5244)</f>
        <v>Electronics</v>
      </c>
      <c r="E5244" t="s">
        <v>186</v>
      </c>
      <c r="F5244" t="s">
        <v>187</v>
      </c>
      <c r="G5244">
        <v>1</v>
      </c>
      <c r="H5244">
        <v>44.99</v>
      </c>
      <c r="I5244" s="7">
        <f>IF(Transactions!I5244="",0,Transactions!I5244)</f>
        <v>0.1</v>
      </c>
      <c r="J5244" s="9">
        <f t="shared" si="81"/>
        <v>40.491</v>
      </c>
      <c r="K5244" t="s">
        <v>53</v>
      </c>
      <c r="L5244" t="s">
        <v>17</v>
      </c>
      <c r="M5244" t="str">
        <f>REPLACE(Transactions!M5244,1,4,"")</f>
        <v>9</v>
      </c>
    </row>
    <row r="5245" spans="1:13" x14ac:dyDescent="0.2">
      <c r="A5245">
        <v>966113</v>
      </c>
      <c r="B5245" s="5">
        <v>44802</v>
      </c>
      <c r="C5245">
        <v>34247</v>
      </c>
      <c r="D5245" t="str">
        <f>PROPER(Transactions!D5245)</f>
        <v>Grocery</v>
      </c>
      <c r="E5245" t="s">
        <v>133</v>
      </c>
      <c r="F5245" t="s">
        <v>134</v>
      </c>
      <c r="G5245">
        <v>5</v>
      </c>
      <c r="H5245">
        <v>3.03</v>
      </c>
      <c r="I5245" s="7">
        <f>IF(Transactions!I5245="",0,Transactions!I5245)</f>
        <v>0.2</v>
      </c>
      <c r="J5245" s="9">
        <f t="shared" si="81"/>
        <v>12.12</v>
      </c>
      <c r="K5245" t="s">
        <v>36</v>
      </c>
      <c r="L5245" t="s">
        <v>17</v>
      </c>
      <c r="M5245" t="str">
        <f>REPLACE(Transactions!M5245,1,4,"")</f>
        <v>14</v>
      </c>
    </row>
    <row r="5246" spans="1:13" x14ac:dyDescent="0.2">
      <c r="A5246">
        <v>966212</v>
      </c>
      <c r="B5246" s="5">
        <v>45331</v>
      </c>
      <c r="C5246">
        <v>13934</v>
      </c>
      <c r="D5246" t="str">
        <f>PROPER(Transactions!D5246)</f>
        <v>Pharmacy</v>
      </c>
      <c r="E5246" t="s">
        <v>197</v>
      </c>
      <c r="F5246" t="s">
        <v>198</v>
      </c>
      <c r="G5246">
        <v>2</v>
      </c>
      <c r="H5246">
        <v>14.24</v>
      </c>
      <c r="I5246" s="7">
        <f>IF(Transactions!I5246="",0,Transactions!I5246)</f>
        <v>0</v>
      </c>
      <c r="J5246" s="9">
        <f t="shared" si="81"/>
        <v>28.48</v>
      </c>
      <c r="K5246" t="s">
        <v>16</v>
      </c>
      <c r="L5246" t="s">
        <v>17</v>
      </c>
      <c r="M5246" t="str">
        <f>REPLACE(Transactions!M5246,1,4,"")</f>
        <v>9</v>
      </c>
    </row>
    <row r="5247" spans="1:13" x14ac:dyDescent="0.2">
      <c r="A5247">
        <v>966358</v>
      </c>
      <c r="B5247" s="5">
        <v>45270</v>
      </c>
      <c r="C5247">
        <v>40533</v>
      </c>
      <c r="D5247" t="str">
        <f>PROPER(Transactions!D5247)</f>
        <v>Home &amp; Garden</v>
      </c>
      <c r="E5247" t="s">
        <v>137</v>
      </c>
      <c r="F5247" t="s">
        <v>138</v>
      </c>
      <c r="G5247">
        <v>4</v>
      </c>
      <c r="H5247">
        <v>7.19</v>
      </c>
      <c r="I5247" s="7">
        <f>IF(Transactions!I5247="",0,Transactions!I5247)</f>
        <v>0.1</v>
      </c>
      <c r="J5247" s="9">
        <f t="shared" si="81"/>
        <v>25.884</v>
      </c>
      <c r="K5247" t="s">
        <v>36</v>
      </c>
      <c r="L5247" t="s">
        <v>17</v>
      </c>
      <c r="M5247" t="str">
        <f>REPLACE(Transactions!M5247,1,4,"")</f>
        <v>20</v>
      </c>
    </row>
    <row r="5248" spans="1:13" x14ac:dyDescent="0.2">
      <c r="A5248">
        <v>966810</v>
      </c>
      <c r="B5248" s="5">
        <v>44757</v>
      </c>
      <c r="C5248">
        <v>84383</v>
      </c>
      <c r="D5248" t="str">
        <f>PROPER(Transactions!D5248)</f>
        <v>Toys</v>
      </c>
      <c r="E5248" t="s">
        <v>175</v>
      </c>
      <c r="F5248" t="s">
        <v>176</v>
      </c>
      <c r="G5248">
        <v>1</v>
      </c>
      <c r="H5248">
        <v>11.39</v>
      </c>
      <c r="I5248" s="7">
        <f>IF(Transactions!I5248="",0,Transactions!I5248)</f>
        <v>0.05</v>
      </c>
      <c r="J5248" s="9">
        <f t="shared" si="81"/>
        <v>10.820500000000001</v>
      </c>
      <c r="K5248" t="s">
        <v>22</v>
      </c>
      <c r="L5248" t="s">
        <v>37</v>
      </c>
      <c r="M5248" t="str">
        <f>REPLACE(Transactions!M5248,1,4,"")</f>
        <v>2</v>
      </c>
    </row>
    <row r="5249" spans="1:13" x14ac:dyDescent="0.2">
      <c r="A5249">
        <v>966885</v>
      </c>
      <c r="B5249" s="5">
        <v>44723</v>
      </c>
      <c r="C5249">
        <v>52889</v>
      </c>
      <c r="D5249" t="str">
        <f>PROPER(Transactions!D5249)</f>
        <v>Grocery</v>
      </c>
      <c r="E5249" t="s">
        <v>91</v>
      </c>
      <c r="F5249" t="s">
        <v>92</v>
      </c>
      <c r="G5249">
        <v>2</v>
      </c>
      <c r="H5249">
        <v>6.29</v>
      </c>
      <c r="I5249" s="7">
        <f>IF(Transactions!I5249="",0,Transactions!I5249)</f>
        <v>0</v>
      </c>
      <c r="J5249" s="9">
        <f t="shared" si="81"/>
        <v>12.58</v>
      </c>
      <c r="K5249" t="s">
        <v>32</v>
      </c>
      <c r="L5249" t="s">
        <v>17</v>
      </c>
      <c r="M5249" t="str">
        <f>REPLACE(Transactions!M5249,1,4,"")</f>
        <v>12</v>
      </c>
    </row>
    <row r="5250" spans="1:13" x14ac:dyDescent="0.2">
      <c r="A5250">
        <v>967530</v>
      </c>
      <c r="B5250" s="5">
        <v>45562</v>
      </c>
      <c r="C5250">
        <v>24016</v>
      </c>
      <c r="D5250" t="str">
        <f>PROPER(Transactions!D5250)</f>
        <v>Beauty</v>
      </c>
      <c r="E5250" t="s">
        <v>143</v>
      </c>
      <c r="F5250" t="s">
        <v>144</v>
      </c>
      <c r="G5250">
        <v>5</v>
      </c>
      <c r="H5250">
        <v>11.24</v>
      </c>
      <c r="I5250" s="7">
        <f>IF(Transactions!I5250="",0,Transactions!I5250)</f>
        <v>0.25</v>
      </c>
      <c r="J5250" s="9">
        <f t="shared" si="81"/>
        <v>42.150000000000006</v>
      </c>
      <c r="K5250" t="s">
        <v>36</v>
      </c>
      <c r="L5250" t="s">
        <v>23</v>
      </c>
      <c r="M5250" t="str">
        <f>REPLACE(Transactions!M5250,1,4,"")</f>
        <v>18</v>
      </c>
    </row>
    <row r="5251" spans="1:13" x14ac:dyDescent="0.2">
      <c r="A5251">
        <v>967611</v>
      </c>
      <c r="B5251" s="5">
        <v>45486</v>
      </c>
      <c r="C5251">
        <v>65936</v>
      </c>
      <c r="D5251" t="str">
        <f>PROPER(Transactions!D5251)</f>
        <v>Clothing</v>
      </c>
      <c r="E5251" t="s">
        <v>193</v>
      </c>
      <c r="F5251" t="s">
        <v>194</v>
      </c>
      <c r="G5251">
        <v>2</v>
      </c>
      <c r="H5251">
        <v>61.74</v>
      </c>
      <c r="I5251" s="7">
        <f>IF(Transactions!I5251="",0,Transactions!I5251)</f>
        <v>0.05</v>
      </c>
      <c r="J5251" s="9">
        <f t="shared" ref="J5251:J5314" si="82">(H5251*G5251)*(1-I5251)</f>
        <v>117.306</v>
      </c>
      <c r="K5251" t="s">
        <v>16</v>
      </c>
      <c r="L5251" t="s">
        <v>17</v>
      </c>
      <c r="M5251" t="str">
        <f>REPLACE(Transactions!M5251,1,4,"")</f>
        <v>14</v>
      </c>
    </row>
    <row r="5252" spans="1:13" x14ac:dyDescent="0.2">
      <c r="A5252">
        <v>967934</v>
      </c>
      <c r="B5252" s="5">
        <v>44705</v>
      </c>
      <c r="D5252" t="str">
        <f>PROPER(Transactions!D5252)</f>
        <v>Home &amp; Garden</v>
      </c>
      <c r="E5252" t="s">
        <v>137</v>
      </c>
      <c r="F5252" t="s">
        <v>138</v>
      </c>
      <c r="G5252">
        <v>1</v>
      </c>
      <c r="H5252">
        <v>7.59</v>
      </c>
      <c r="I5252" s="7">
        <f>IF(Transactions!I5252="",0,Transactions!I5252)</f>
        <v>0.05</v>
      </c>
      <c r="J5252" s="9">
        <f t="shared" si="82"/>
        <v>7.2104999999999997</v>
      </c>
      <c r="K5252" t="s">
        <v>66</v>
      </c>
      <c r="L5252" t="s">
        <v>37</v>
      </c>
      <c r="M5252" t="str">
        <f>REPLACE(Transactions!M5252,1,4,"")</f>
        <v>13</v>
      </c>
    </row>
    <row r="5253" spans="1:13" x14ac:dyDescent="0.2">
      <c r="A5253">
        <v>967962</v>
      </c>
      <c r="B5253" s="5">
        <v>45655</v>
      </c>
      <c r="C5253">
        <v>15230</v>
      </c>
      <c r="D5253" t="str">
        <f>PROPER(Transactions!D5253)</f>
        <v>Automotive</v>
      </c>
      <c r="E5253" t="s">
        <v>68</v>
      </c>
      <c r="F5253" t="s">
        <v>69</v>
      </c>
      <c r="G5253">
        <v>2</v>
      </c>
      <c r="H5253">
        <v>24.99</v>
      </c>
      <c r="I5253" s="7">
        <f>IF(Transactions!I5253="",0,Transactions!I5253)</f>
        <v>0</v>
      </c>
      <c r="J5253" s="9">
        <f t="shared" si="82"/>
        <v>49.98</v>
      </c>
      <c r="K5253" t="s">
        <v>36</v>
      </c>
      <c r="L5253" t="s">
        <v>17</v>
      </c>
      <c r="M5253" t="str">
        <f>REPLACE(Transactions!M5253,1,4,"")</f>
        <v>7</v>
      </c>
    </row>
    <row r="5254" spans="1:13" x14ac:dyDescent="0.2">
      <c r="A5254">
        <v>968357</v>
      </c>
      <c r="B5254" s="5">
        <v>45253</v>
      </c>
      <c r="D5254" t="str">
        <f>PROPER(Transactions!D5254)</f>
        <v>Beauty</v>
      </c>
      <c r="E5254" t="s">
        <v>118</v>
      </c>
      <c r="F5254" t="s">
        <v>119</v>
      </c>
      <c r="G5254">
        <v>2</v>
      </c>
      <c r="H5254">
        <v>4.74</v>
      </c>
      <c r="I5254" s="7">
        <f>IF(Transactions!I5254="",0,Transactions!I5254)</f>
        <v>0.05</v>
      </c>
      <c r="J5254" s="9">
        <f t="shared" si="82"/>
        <v>9.0060000000000002</v>
      </c>
      <c r="K5254" t="s">
        <v>22</v>
      </c>
      <c r="L5254" t="s">
        <v>17</v>
      </c>
      <c r="M5254" t="str">
        <f>REPLACE(Transactions!M5254,1,4,"")</f>
        <v>19</v>
      </c>
    </row>
    <row r="5255" spans="1:13" x14ac:dyDescent="0.2">
      <c r="A5255">
        <v>968367</v>
      </c>
      <c r="B5255" s="5">
        <v>45025</v>
      </c>
      <c r="C5255">
        <v>90902</v>
      </c>
      <c r="D5255" t="str">
        <f>PROPER(Transactions!D5255)</f>
        <v>Grocery</v>
      </c>
      <c r="E5255" t="s">
        <v>162</v>
      </c>
      <c r="F5255" t="s">
        <v>163</v>
      </c>
      <c r="G5255">
        <v>1</v>
      </c>
      <c r="H5255">
        <v>7.99</v>
      </c>
      <c r="I5255" s="7">
        <f>IF(Transactions!I5255="",0,Transactions!I5255)</f>
        <v>0</v>
      </c>
      <c r="J5255" s="9">
        <f t="shared" si="82"/>
        <v>7.99</v>
      </c>
      <c r="K5255" t="s">
        <v>16</v>
      </c>
      <c r="L5255" t="s">
        <v>17</v>
      </c>
      <c r="M5255" t="str">
        <f>REPLACE(Transactions!M5255,1,4,"")</f>
        <v>13</v>
      </c>
    </row>
    <row r="5256" spans="1:13" x14ac:dyDescent="0.2">
      <c r="A5256">
        <v>968468</v>
      </c>
      <c r="B5256" s="5">
        <v>44857</v>
      </c>
      <c r="C5256">
        <v>15164</v>
      </c>
      <c r="D5256" t="str">
        <f>PROPER(Transactions!D5256)</f>
        <v>Home &amp; Garden</v>
      </c>
      <c r="E5256" t="s">
        <v>137</v>
      </c>
      <c r="F5256" t="s">
        <v>138</v>
      </c>
      <c r="G5256">
        <v>2</v>
      </c>
      <c r="H5256">
        <v>7.99</v>
      </c>
      <c r="I5256" s="7">
        <f>IF(Transactions!I5256="",0,Transactions!I5256)</f>
        <v>0</v>
      </c>
      <c r="J5256" s="9">
        <f t="shared" si="82"/>
        <v>15.98</v>
      </c>
      <c r="K5256" t="s">
        <v>16</v>
      </c>
      <c r="L5256" t="s">
        <v>17</v>
      </c>
      <c r="M5256" t="str">
        <f>REPLACE(Transactions!M5256,1,4,"")</f>
        <v>16</v>
      </c>
    </row>
    <row r="5257" spans="1:13" x14ac:dyDescent="0.2">
      <c r="A5257">
        <v>969404</v>
      </c>
      <c r="B5257" s="5">
        <v>44905</v>
      </c>
      <c r="C5257">
        <v>52416</v>
      </c>
      <c r="D5257" t="str">
        <f>PROPER(Transactions!D5257)</f>
        <v>Sports</v>
      </c>
      <c r="E5257" t="s">
        <v>168</v>
      </c>
      <c r="F5257" t="s">
        <v>169</v>
      </c>
      <c r="G5257">
        <v>1</v>
      </c>
      <c r="H5257">
        <v>8.99</v>
      </c>
      <c r="I5257" s="7">
        <f>IF(Transactions!I5257="",0,Transactions!I5257)</f>
        <v>0</v>
      </c>
      <c r="J5257" s="9">
        <f t="shared" si="82"/>
        <v>8.99</v>
      </c>
      <c r="K5257" t="s">
        <v>22</v>
      </c>
      <c r="L5257" t="s">
        <v>37</v>
      </c>
      <c r="M5257" t="str">
        <f>REPLACE(Transactions!M5257,1,4,"")</f>
        <v>13</v>
      </c>
    </row>
    <row r="5258" spans="1:13" x14ac:dyDescent="0.2">
      <c r="A5258">
        <v>969651</v>
      </c>
      <c r="B5258" s="5">
        <v>44627</v>
      </c>
      <c r="C5258">
        <v>17543</v>
      </c>
      <c r="D5258" t="str">
        <f>PROPER(Transactions!D5258)</f>
        <v>Pharmacy</v>
      </c>
      <c r="E5258" t="s">
        <v>58</v>
      </c>
      <c r="F5258" t="s">
        <v>59</v>
      </c>
      <c r="G5258">
        <v>1</v>
      </c>
      <c r="H5258">
        <v>2.99</v>
      </c>
      <c r="I5258" s="7">
        <f>IF(Transactions!I5258="",0,Transactions!I5258)</f>
        <v>0.25</v>
      </c>
      <c r="J5258" s="9">
        <f t="shared" si="82"/>
        <v>2.2425000000000002</v>
      </c>
      <c r="K5258" t="s">
        <v>36</v>
      </c>
      <c r="L5258" t="s">
        <v>17</v>
      </c>
      <c r="M5258" t="str">
        <f>REPLACE(Transactions!M5258,1,4,"")</f>
        <v>9</v>
      </c>
    </row>
    <row r="5259" spans="1:13" x14ac:dyDescent="0.2">
      <c r="A5259">
        <v>969801</v>
      </c>
      <c r="B5259" s="5">
        <v>44849</v>
      </c>
      <c r="C5259">
        <v>94187</v>
      </c>
      <c r="D5259" t="str">
        <f>PROPER(Transactions!D5259)</f>
        <v>Furniture</v>
      </c>
      <c r="E5259" t="s">
        <v>51</v>
      </c>
      <c r="F5259" t="s">
        <v>52</v>
      </c>
      <c r="G5259">
        <v>1</v>
      </c>
      <c r="H5259">
        <v>27.99</v>
      </c>
      <c r="I5259" s="7">
        <f>IF(Transactions!I5259="",0,Transactions!I5259)</f>
        <v>0</v>
      </c>
      <c r="J5259" s="9">
        <f t="shared" si="82"/>
        <v>27.99</v>
      </c>
      <c r="K5259" t="s">
        <v>95</v>
      </c>
      <c r="L5259" t="s">
        <v>17</v>
      </c>
      <c r="M5259" t="str">
        <f>REPLACE(Transactions!M5259,1,4,"")</f>
        <v>17</v>
      </c>
    </row>
    <row r="5260" spans="1:13" x14ac:dyDescent="0.2">
      <c r="A5260">
        <v>969818</v>
      </c>
      <c r="B5260" s="5">
        <v>44678</v>
      </c>
      <c r="C5260">
        <v>92254</v>
      </c>
      <c r="D5260" t="str">
        <f>PROPER(Transactions!D5260)</f>
        <v>Furniture</v>
      </c>
      <c r="E5260" t="s">
        <v>26</v>
      </c>
      <c r="F5260" t="s">
        <v>27</v>
      </c>
      <c r="G5260">
        <v>3</v>
      </c>
      <c r="H5260">
        <v>34.99</v>
      </c>
      <c r="I5260" s="7">
        <f>IF(Transactions!I5260="",0,Transactions!I5260)</f>
        <v>0</v>
      </c>
      <c r="J5260" s="9">
        <f t="shared" si="82"/>
        <v>104.97</v>
      </c>
      <c r="K5260" t="s">
        <v>36</v>
      </c>
      <c r="L5260" t="s">
        <v>17</v>
      </c>
      <c r="M5260" t="str">
        <f>REPLACE(Transactions!M5260,1,4,"")</f>
        <v>18</v>
      </c>
    </row>
    <row r="5261" spans="1:13" x14ac:dyDescent="0.2">
      <c r="A5261">
        <v>970018</v>
      </c>
      <c r="B5261" s="5">
        <v>45236</v>
      </c>
      <c r="C5261">
        <v>17910</v>
      </c>
      <c r="D5261" t="str">
        <f>PROPER(Transactions!D5261)</f>
        <v>Automotive</v>
      </c>
      <c r="E5261" t="s">
        <v>68</v>
      </c>
      <c r="F5261" t="s">
        <v>69</v>
      </c>
      <c r="G5261">
        <v>4</v>
      </c>
      <c r="H5261">
        <v>22.49</v>
      </c>
      <c r="I5261" s="7">
        <f>IF(Transactions!I5261="",0,Transactions!I5261)</f>
        <v>0.1</v>
      </c>
      <c r="J5261" s="9">
        <f t="shared" si="82"/>
        <v>80.963999999999999</v>
      </c>
      <c r="K5261" t="s">
        <v>36</v>
      </c>
      <c r="L5261" t="s">
        <v>17</v>
      </c>
      <c r="M5261" t="str">
        <f>REPLACE(Transactions!M5261,1,4,"")</f>
        <v>6</v>
      </c>
    </row>
    <row r="5262" spans="1:13" x14ac:dyDescent="0.2">
      <c r="A5262">
        <v>970272</v>
      </c>
      <c r="B5262" s="5">
        <v>45135</v>
      </c>
      <c r="C5262">
        <v>25321</v>
      </c>
      <c r="D5262" t="str">
        <f>PROPER(Transactions!D5262)</f>
        <v>Sports</v>
      </c>
      <c r="E5262" t="s">
        <v>147</v>
      </c>
      <c r="F5262" t="s">
        <v>148</v>
      </c>
      <c r="G5262">
        <v>4</v>
      </c>
      <c r="H5262">
        <v>12.99</v>
      </c>
      <c r="I5262" s="7">
        <f>IF(Transactions!I5262="",0,Transactions!I5262)</f>
        <v>0</v>
      </c>
      <c r="J5262" s="9">
        <f t="shared" si="82"/>
        <v>51.96</v>
      </c>
      <c r="K5262" t="s">
        <v>36</v>
      </c>
      <c r="L5262" t="s">
        <v>17</v>
      </c>
      <c r="M5262" t="str">
        <f>REPLACE(Transactions!M5262,1,4,"")</f>
        <v>20</v>
      </c>
    </row>
    <row r="5263" spans="1:13" x14ac:dyDescent="0.2">
      <c r="A5263">
        <v>970279</v>
      </c>
      <c r="B5263" s="5">
        <v>45592</v>
      </c>
      <c r="C5263">
        <v>51373</v>
      </c>
      <c r="D5263" t="str">
        <f>PROPER(Transactions!D5263)</f>
        <v>Beauty</v>
      </c>
      <c r="E5263" t="s">
        <v>109</v>
      </c>
      <c r="F5263" t="s">
        <v>110</v>
      </c>
      <c r="G5263">
        <v>4</v>
      </c>
      <c r="H5263">
        <v>4.8899999999999997</v>
      </c>
      <c r="I5263" s="7">
        <f>IF(Transactions!I5263="",0,Transactions!I5263)</f>
        <v>0.3</v>
      </c>
      <c r="J5263" s="9">
        <f t="shared" si="82"/>
        <v>13.691999999999998</v>
      </c>
      <c r="K5263" t="s">
        <v>16</v>
      </c>
      <c r="L5263" t="s">
        <v>37</v>
      </c>
      <c r="M5263" t="str">
        <f>REPLACE(Transactions!M5263,1,4,"")</f>
        <v>18</v>
      </c>
    </row>
    <row r="5264" spans="1:13" x14ac:dyDescent="0.2">
      <c r="A5264">
        <v>970979</v>
      </c>
      <c r="B5264" s="5">
        <v>45244</v>
      </c>
      <c r="C5264">
        <v>21447</v>
      </c>
      <c r="D5264" t="str">
        <f>PROPER(Transactions!D5264)</f>
        <v>Pharmacy</v>
      </c>
      <c r="E5264" t="s">
        <v>20</v>
      </c>
      <c r="F5264" t="s">
        <v>21</v>
      </c>
      <c r="G5264">
        <v>3</v>
      </c>
      <c r="H5264">
        <v>8.99</v>
      </c>
      <c r="I5264" s="7">
        <f>IF(Transactions!I5264="",0,Transactions!I5264)</f>
        <v>0.1</v>
      </c>
      <c r="J5264" s="9">
        <f t="shared" si="82"/>
        <v>24.273</v>
      </c>
      <c r="K5264" t="s">
        <v>16</v>
      </c>
      <c r="L5264" t="s">
        <v>37</v>
      </c>
      <c r="M5264" t="str">
        <f>REPLACE(Transactions!M5264,1,4,"")</f>
        <v>3</v>
      </c>
    </row>
    <row r="5265" spans="1:13" x14ac:dyDescent="0.2">
      <c r="A5265">
        <v>971128</v>
      </c>
      <c r="B5265" s="5">
        <v>44696</v>
      </c>
      <c r="C5265">
        <v>95996</v>
      </c>
      <c r="D5265" t="str">
        <f>PROPER(Transactions!D5265)</f>
        <v>Sports</v>
      </c>
      <c r="E5265" t="s">
        <v>83</v>
      </c>
      <c r="F5265" t="s">
        <v>84</v>
      </c>
      <c r="G5265">
        <v>2</v>
      </c>
      <c r="H5265">
        <v>15.29</v>
      </c>
      <c r="I5265" s="7">
        <f>IF(Transactions!I5265="",0,Transactions!I5265)</f>
        <v>0.1</v>
      </c>
      <c r="J5265" s="9">
        <f t="shared" si="82"/>
        <v>27.521999999999998</v>
      </c>
      <c r="K5265" t="s">
        <v>16</v>
      </c>
      <c r="L5265" t="s">
        <v>37</v>
      </c>
      <c r="M5265" t="str">
        <f>REPLACE(Transactions!M5265,1,4,"")</f>
        <v>3</v>
      </c>
    </row>
    <row r="5266" spans="1:13" x14ac:dyDescent="0.2">
      <c r="A5266">
        <v>971150</v>
      </c>
      <c r="B5266" s="5">
        <v>44641</v>
      </c>
      <c r="C5266">
        <v>62979</v>
      </c>
      <c r="D5266" t="str">
        <f>PROPER(Transactions!D5266)</f>
        <v>Toys</v>
      </c>
      <c r="E5266" t="s">
        <v>72</v>
      </c>
      <c r="F5266" t="s">
        <v>73</v>
      </c>
      <c r="G5266">
        <v>2</v>
      </c>
      <c r="H5266">
        <v>39.99</v>
      </c>
      <c r="I5266" s="7">
        <f>IF(Transactions!I5266="",0,Transactions!I5266)</f>
        <v>0</v>
      </c>
      <c r="J5266" s="9">
        <f t="shared" si="82"/>
        <v>79.98</v>
      </c>
      <c r="K5266" t="s">
        <v>95</v>
      </c>
      <c r="L5266" t="s">
        <v>37</v>
      </c>
      <c r="M5266" t="str">
        <f>REPLACE(Transactions!M5266,1,4,"")</f>
        <v>2</v>
      </c>
    </row>
    <row r="5267" spans="1:13" x14ac:dyDescent="0.2">
      <c r="A5267">
        <v>971159</v>
      </c>
      <c r="B5267" s="5">
        <v>45447</v>
      </c>
      <c r="C5267">
        <v>35521</v>
      </c>
      <c r="D5267" t="str">
        <f>PROPER(Transactions!D5267)</f>
        <v>Grocery</v>
      </c>
      <c r="E5267" t="s">
        <v>177</v>
      </c>
      <c r="F5267" t="s">
        <v>178</v>
      </c>
      <c r="G5267">
        <v>2</v>
      </c>
      <c r="H5267">
        <v>9.59</v>
      </c>
      <c r="I5267" s="7">
        <f>IF(Transactions!I5267="",0,Transactions!I5267)</f>
        <v>0.2</v>
      </c>
      <c r="J5267" s="9">
        <f t="shared" si="82"/>
        <v>15.344000000000001</v>
      </c>
      <c r="K5267" t="s">
        <v>22</v>
      </c>
      <c r="L5267" t="s">
        <v>17</v>
      </c>
      <c r="M5267" t="str">
        <f>REPLACE(Transactions!M5267,1,4,"")</f>
        <v>18</v>
      </c>
    </row>
    <row r="5268" spans="1:13" x14ac:dyDescent="0.2">
      <c r="A5268">
        <v>971697</v>
      </c>
      <c r="B5268" s="5">
        <v>45351</v>
      </c>
      <c r="C5268">
        <v>56723</v>
      </c>
      <c r="D5268" t="str">
        <f>PROPER(Transactions!D5268)</f>
        <v>Toys</v>
      </c>
      <c r="E5268" t="s">
        <v>72</v>
      </c>
      <c r="F5268" t="s">
        <v>73</v>
      </c>
      <c r="G5268">
        <v>5</v>
      </c>
      <c r="H5268">
        <v>31.99</v>
      </c>
      <c r="I5268" s="7">
        <f>IF(Transactions!I5268="",0,Transactions!I5268)</f>
        <v>0.2</v>
      </c>
      <c r="J5268" s="9">
        <f t="shared" si="82"/>
        <v>127.96</v>
      </c>
      <c r="K5268" t="s">
        <v>16</v>
      </c>
      <c r="L5268" t="s">
        <v>37</v>
      </c>
      <c r="M5268" t="str">
        <f>REPLACE(Transactions!M5268,1,4,"")</f>
        <v>8</v>
      </c>
    </row>
    <row r="5269" spans="1:13" x14ac:dyDescent="0.2">
      <c r="A5269">
        <v>971761</v>
      </c>
      <c r="B5269" s="5">
        <v>44947</v>
      </c>
      <c r="C5269">
        <v>50668</v>
      </c>
      <c r="D5269" t="str">
        <f>PROPER(Transactions!D5269)</f>
        <v>Grocery</v>
      </c>
      <c r="E5269" t="s">
        <v>195</v>
      </c>
      <c r="F5269" t="s">
        <v>196</v>
      </c>
      <c r="G5269">
        <v>1</v>
      </c>
      <c r="H5269">
        <v>3.99</v>
      </c>
      <c r="I5269" s="7">
        <f>IF(Transactions!I5269="",0,Transactions!I5269)</f>
        <v>0.2</v>
      </c>
      <c r="J5269" s="9">
        <f t="shared" si="82"/>
        <v>3.1920000000000002</v>
      </c>
      <c r="K5269" t="s">
        <v>95</v>
      </c>
      <c r="L5269" t="s">
        <v>17</v>
      </c>
      <c r="M5269" t="str">
        <f>REPLACE(Transactions!M5269,1,4,"")</f>
        <v>18</v>
      </c>
    </row>
    <row r="5270" spans="1:13" x14ac:dyDescent="0.2">
      <c r="A5270">
        <v>971826</v>
      </c>
      <c r="B5270" s="5">
        <v>45198</v>
      </c>
      <c r="C5270">
        <v>59177</v>
      </c>
      <c r="D5270" t="str">
        <f>PROPER(Transactions!D5270)</f>
        <v>Sports</v>
      </c>
      <c r="E5270" t="s">
        <v>188</v>
      </c>
      <c r="F5270" t="s">
        <v>189</v>
      </c>
      <c r="G5270">
        <v>1</v>
      </c>
      <c r="H5270">
        <v>33.74</v>
      </c>
      <c r="I5270" s="7">
        <f>IF(Transactions!I5270="",0,Transactions!I5270)</f>
        <v>0.25</v>
      </c>
      <c r="J5270" s="9">
        <f t="shared" si="82"/>
        <v>25.305</v>
      </c>
      <c r="K5270" t="s">
        <v>22</v>
      </c>
      <c r="L5270" t="s">
        <v>17</v>
      </c>
      <c r="M5270" t="str">
        <f>REPLACE(Transactions!M5270,1,4,"")</f>
        <v>16</v>
      </c>
    </row>
    <row r="5271" spans="1:13" x14ac:dyDescent="0.2">
      <c r="A5271">
        <v>971851</v>
      </c>
      <c r="B5271" s="5">
        <v>44803</v>
      </c>
      <c r="C5271">
        <v>97454</v>
      </c>
      <c r="D5271" t="str">
        <f>PROPER(Transactions!D5271)</f>
        <v>Clothing</v>
      </c>
      <c r="E5271" t="s">
        <v>141</v>
      </c>
      <c r="F5271" t="s">
        <v>142</v>
      </c>
      <c r="G5271">
        <v>2</v>
      </c>
      <c r="H5271">
        <v>16.09</v>
      </c>
      <c r="I5271" s="7">
        <f>IF(Transactions!I5271="",0,Transactions!I5271)</f>
        <v>0.3</v>
      </c>
      <c r="J5271" s="9">
        <f t="shared" si="82"/>
        <v>22.526</v>
      </c>
      <c r="K5271" t="s">
        <v>53</v>
      </c>
      <c r="L5271" t="s">
        <v>17</v>
      </c>
      <c r="M5271" t="str">
        <f>REPLACE(Transactions!M5271,1,4,"")</f>
        <v>4</v>
      </c>
    </row>
    <row r="5272" spans="1:13" x14ac:dyDescent="0.2">
      <c r="A5272">
        <v>972013</v>
      </c>
      <c r="B5272" s="5">
        <v>45032</v>
      </c>
      <c r="C5272">
        <v>63794</v>
      </c>
      <c r="D5272" t="str">
        <f>PROPER(Transactions!D5272)</f>
        <v>Automotive</v>
      </c>
      <c r="E5272" t="s">
        <v>111</v>
      </c>
      <c r="F5272" t="s">
        <v>112</v>
      </c>
      <c r="G5272">
        <v>5</v>
      </c>
      <c r="H5272">
        <v>11.99</v>
      </c>
      <c r="I5272" s="7">
        <f>IF(Transactions!I5272="",0,Transactions!I5272)</f>
        <v>0.2</v>
      </c>
      <c r="J5272" s="9">
        <f t="shared" si="82"/>
        <v>47.960000000000008</v>
      </c>
      <c r="K5272" t="s">
        <v>16</v>
      </c>
      <c r="L5272" t="s">
        <v>17</v>
      </c>
      <c r="M5272" t="str">
        <f>REPLACE(Transactions!M5272,1,4,"")</f>
        <v>13</v>
      </c>
    </row>
    <row r="5273" spans="1:13" x14ac:dyDescent="0.2">
      <c r="A5273">
        <v>972065</v>
      </c>
      <c r="B5273" s="5">
        <v>45397</v>
      </c>
      <c r="C5273">
        <v>88525</v>
      </c>
      <c r="D5273" t="str">
        <f>PROPER(Transactions!D5273)</f>
        <v>Clothing</v>
      </c>
      <c r="E5273" t="s">
        <v>121</v>
      </c>
      <c r="F5273" t="s">
        <v>122</v>
      </c>
      <c r="G5273">
        <v>5</v>
      </c>
      <c r="H5273">
        <v>9.74</v>
      </c>
      <c r="I5273" s="7">
        <f>IF(Transactions!I5273="",0,Transactions!I5273)</f>
        <v>0.25</v>
      </c>
      <c r="J5273" s="9">
        <f t="shared" si="82"/>
        <v>36.525000000000006</v>
      </c>
      <c r="K5273" t="s">
        <v>16</v>
      </c>
      <c r="L5273" t="s">
        <v>37</v>
      </c>
      <c r="M5273" t="str">
        <f>REPLACE(Transactions!M5273,1,4,"")</f>
        <v>9</v>
      </c>
    </row>
    <row r="5274" spans="1:13" x14ac:dyDescent="0.2">
      <c r="A5274">
        <v>972086</v>
      </c>
      <c r="B5274" s="5">
        <v>45331</v>
      </c>
      <c r="C5274">
        <v>35712</v>
      </c>
      <c r="D5274" t="str">
        <f>PROPER(Transactions!D5274)</f>
        <v>Grocery</v>
      </c>
      <c r="E5274" t="s">
        <v>162</v>
      </c>
      <c r="F5274" t="s">
        <v>163</v>
      </c>
      <c r="G5274">
        <v>1</v>
      </c>
      <c r="H5274">
        <v>5.99</v>
      </c>
      <c r="I5274" s="7">
        <f>IF(Transactions!I5274="",0,Transactions!I5274)</f>
        <v>0.25</v>
      </c>
      <c r="J5274" s="9">
        <f t="shared" si="82"/>
        <v>4.4924999999999997</v>
      </c>
      <c r="K5274" t="s">
        <v>66</v>
      </c>
      <c r="L5274" t="s">
        <v>17</v>
      </c>
      <c r="M5274" t="str">
        <f>REPLACE(Transactions!M5274,1,4,"")</f>
        <v>9</v>
      </c>
    </row>
    <row r="5275" spans="1:13" x14ac:dyDescent="0.2">
      <c r="A5275">
        <v>972132</v>
      </c>
      <c r="B5275" s="5">
        <v>44783</v>
      </c>
      <c r="D5275" t="str">
        <f>PROPER(Transactions!D5275)</f>
        <v>Automotive</v>
      </c>
      <c r="E5275" t="s">
        <v>68</v>
      </c>
      <c r="F5275" t="s">
        <v>69</v>
      </c>
      <c r="G5275">
        <v>5</v>
      </c>
      <c r="H5275">
        <v>24.99</v>
      </c>
      <c r="I5275" s="7">
        <f>IF(Transactions!I5275="",0,Transactions!I5275)</f>
        <v>0</v>
      </c>
      <c r="J5275" s="9">
        <f t="shared" si="82"/>
        <v>124.94999999999999</v>
      </c>
      <c r="K5275" t="s">
        <v>95</v>
      </c>
      <c r="L5275" t="s">
        <v>37</v>
      </c>
      <c r="M5275" t="str">
        <f>REPLACE(Transactions!M5275,1,4,"")</f>
        <v>1</v>
      </c>
    </row>
    <row r="5276" spans="1:13" x14ac:dyDescent="0.2">
      <c r="A5276">
        <v>972521</v>
      </c>
      <c r="B5276" s="5">
        <v>44920</v>
      </c>
      <c r="C5276">
        <v>72658</v>
      </c>
      <c r="D5276" t="str">
        <f>PROPER(Transactions!D5276)</f>
        <v>Electronics</v>
      </c>
      <c r="E5276" t="s">
        <v>14</v>
      </c>
      <c r="F5276" t="s">
        <v>15</v>
      </c>
      <c r="G5276">
        <v>4</v>
      </c>
      <c r="H5276">
        <v>79.989999999999995</v>
      </c>
      <c r="I5276" s="7">
        <f>IF(Transactions!I5276="",0,Transactions!I5276)</f>
        <v>0</v>
      </c>
      <c r="J5276" s="9">
        <f t="shared" si="82"/>
        <v>319.95999999999998</v>
      </c>
      <c r="K5276" t="s">
        <v>36</v>
      </c>
      <c r="L5276" t="s">
        <v>17</v>
      </c>
      <c r="M5276" t="str">
        <f>REPLACE(Transactions!M5276,1,4,"")</f>
        <v>19</v>
      </c>
    </row>
    <row r="5277" spans="1:13" x14ac:dyDescent="0.2">
      <c r="A5277">
        <v>973107</v>
      </c>
      <c r="B5277" s="5">
        <v>44596</v>
      </c>
      <c r="C5277">
        <v>21139</v>
      </c>
      <c r="D5277" t="str">
        <f>PROPER(Transactions!D5277)</f>
        <v>Sports</v>
      </c>
      <c r="E5277" t="s">
        <v>147</v>
      </c>
      <c r="F5277" t="s">
        <v>148</v>
      </c>
      <c r="G5277">
        <v>5</v>
      </c>
      <c r="H5277">
        <v>9.09</v>
      </c>
      <c r="I5277" s="7">
        <f>IF(Transactions!I5277="",0,Transactions!I5277)</f>
        <v>0.3</v>
      </c>
      <c r="J5277" s="9">
        <f t="shared" si="82"/>
        <v>31.815000000000001</v>
      </c>
      <c r="K5277" t="s">
        <v>16</v>
      </c>
      <c r="L5277" t="s">
        <v>37</v>
      </c>
      <c r="M5277" t="str">
        <f>REPLACE(Transactions!M5277,1,4,"")</f>
        <v>6</v>
      </c>
    </row>
    <row r="5278" spans="1:13" x14ac:dyDescent="0.2">
      <c r="A5278">
        <v>973278</v>
      </c>
      <c r="B5278" s="5">
        <v>45493</v>
      </c>
      <c r="C5278">
        <v>33296</v>
      </c>
      <c r="D5278" t="str">
        <f>PROPER(Transactions!D5278)</f>
        <v>Beauty</v>
      </c>
      <c r="E5278" t="s">
        <v>118</v>
      </c>
      <c r="F5278" t="s">
        <v>119</v>
      </c>
      <c r="G5278">
        <v>3</v>
      </c>
      <c r="H5278">
        <v>3.49</v>
      </c>
      <c r="I5278" s="7">
        <f>IF(Transactions!I5278="",0,Transactions!I5278)</f>
        <v>0.3</v>
      </c>
      <c r="J5278" s="9">
        <f t="shared" si="82"/>
        <v>7.3289999999999997</v>
      </c>
      <c r="K5278" t="s">
        <v>32</v>
      </c>
      <c r="L5278" t="s">
        <v>17</v>
      </c>
      <c r="M5278" t="str">
        <f>REPLACE(Transactions!M5278,1,4,"")</f>
        <v>15</v>
      </c>
    </row>
    <row r="5279" spans="1:13" x14ac:dyDescent="0.2">
      <c r="A5279">
        <v>973458</v>
      </c>
      <c r="B5279" s="5">
        <v>45551</v>
      </c>
      <c r="C5279">
        <v>17132</v>
      </c>
      <c r="D5279" t="str">
        <f>PROPER(Transactions!D5279)</f>
        <v>Pharmacy</v>
      </c>
      <c r="E5279" t="s">
        <v>115</v>
      </c>
      <c r="F5279" t="s">
        <v>116</v>
      </c>
      <c r="G5279">
        <v>1</v>
      </c>
      <c r="H5279">
        <v>12.99</v>
      </c>
      <c r="I5279" s="7">
        <f>IF(Transactions!I5279="",0,Transactions!I5279)</f>
        <v>0</v>
      </c>
      <c r="J5279" s="9">
        <f t="shared" si="82"/>
        <v>12.99</v>
      </c>
      <c r="K5279" t="s">
        <v>16</v>
      </c>
      <c r="L5279" t="s">
        <v>23</v>
      </c>
      <c r="M5279" t="str">
        <f>REPLACE(Transactions!M5279,1,4,"")</f>
        <v>15</v>
      </c>
    </row>
    <row r="5280" spans="1:13" x14ac:dyDescent="0.2">
      <c r="A5280">
        <v>974332</v>
      </c>
      <c r="B5280" s="5">
        <v>45626</v>
      </c>
      <c r="C5280">
        <v>61723</v>
      </c>
      <c r="D5280" t="str">
        <f>PROPER(Transactions!D5280)</f>
        <v>Sports</v>
      </c>
      <c r="E5280" t="s">
        <v>83</v>
      </c>
      <c r="F5280" t="s">
        <v>84</v>
      </c>
      <c r="G5280">
        <v>3</v>
      </c>
      <c r="H5280">
        <v>16.989999999999998</v>
      </c>
      <c r="I5280" s="7">
        <f>IF(Transactions!I5280="",0,Transactions!I5280)</f>
        <v>0</v>
      </c>
      <c r="J5280" s="9">
        <f t="shared" si="82"/>
        <v>50.97</v>
      </c>
      <c r="K5280" t="s">
        <v>36</v>
      </c>
      <c r="L5280" t="s">
        <v>17</v>
      </c>
      <c r="M5280" t="str">
        <f>REPLACE(Transactions!M5280,1,4,"")</f>
        <v>19</v>
      </c>
    </row>
    <row r="5281" spans="1:13" x14ac:dyDescent="0.2">
      <c r="A5281">
        <v>974334</v>
      </c>
      <c r="B5281" s="5">
        <v>45623</v>
      </c>
      <c r="C5281">
        <v>71158</v>
      </c>
      <c r="D5281" t="str">
        <f>PROPER(Transactions!D5281)</f>
        <v>Grocery</v>
      </c>
      <c r="E5281" t="s">
        <v>190</v>
      </c>
      <c r="F5281" t="s">
        <v>191</v>
      </c>
      <c r="G5281">
        <v>5</v>
      </c>
      <c r="H5281">
        <v>4.29</v>
      </c>
      <c r="I5281" s="7">
        <f>IF(Transactions!I5281="",0,Transactions!I5281)</f>
        <v>0</v>
      </c>
      <c r="J5281" s="9">
        <f t="shared" si="82"/>
        <v>21.45</v>
      </c>
      <c r="K5281" t="s">
        <v>16</v>
      </c>
      <c r="L5281" t="s">
        <v>17</v>
      </c>
      <c r="M5281" t="str">
        <f>REPLACE(Transactions!M5281,1,4,"")</f>
        <v>4</v>
      </c>
    </row>
    <row r="5282" spans="1:13" x14ac:dyDescent="0.2">
      <c r="A5282">
        <v>974336</v>
      </c>
      <c r="B5282" s="5">
        <v>44599</v>
      </c>
      <c r="C5282">
        <v>72031</v>
      </c>
      <c r="D5282" t="str">
        <f>PROPER(Transactions!D5282)</f>
        <v>Electronics</v>
      </c>
      <c r="E5282" t="s">
        <v>186</v>
      </c>
      <c r="F5282" t="s">
        <v>187</v>
      </c>
      <c r="G5282">
        <v>1</v>
      </c>
      <c r="H5282">
        <v>42.49</v>
      </c>
      <c r="I5282" s="7">
        <f>IF(Transactions!I5282="",0,Transactions!I5282)</f>
        <v>0</v>
      </c>
      <c r="J5282" s="9">
        <f t="shared" si="82"/>
        <v>42.49</v>
      </c>
      <c r="K5282" t="s">
        <v>16</v>
      </c>
      <c r="L5282" t="s">
        <v>17</v>
      </c>
      <c r="M5282" t="str">
        <f>REPLACE(Transactions!M5282,1,4,"")</f>
        <v>17</v>
      </c>
    </row>
    <row r="5283" spans="1:13" x14ac:dyDescent="0.2">
      <c r="A5283">
        <v>974371</v>
      </c>
      <c r="B5283" s="5">
        <v>44639</v>
      </c>
      <c r="C5283">
        <v>58961</v>
      </c>
      <c r="D5283" t="str">
        <f>PROPER(Transactions!D5283)</f>
        <v>Furniture</v>
      </c>
      <c r="E5283" t="s">
        <v>113</v>
      </c>
      <c r="F5283" t="s">
        <v>114</v>
      </c>
      <c r="G5283">
        <v>2</v>
      </c>
      <c r="H5283">
        <v>113.99</v>
      </c>
      <c r="I5283" s="7">
        <f>IF(Transactions!I5283="",0,Transactions!I5283)</f>
        <v>0.05</v>
      </c>
      <c r="J5283" s="9">
        <f t="shared" si="82"/>
        <v>216.58099999999999</v>
      </c>
      <c r="K5283" t="s">
        <v>22</v>
      </c>
      <c r="L5283" t="s">
        <v>37</v>
      </c>
      <c r="M5283" t="str">
        <f>REPLACE(Transactions!M5283,1,4,"")</f>
        <v>19</v>
      </c>
    </row>
    <row r="5284" spans="1:13" x14ac:dyDescent="0.2">
      <c r="A5284">
        <v>974657</v>
      </c>
      <c r="B5284" s="5">
        <v>45493</v>
      </c>
      <c r="C5284">
        <v>71987</v>
      </c>
      <c r="D5284" t="str">
        <f>PROPER(Transactions!D5284)</f>
        <v>Pharmacy</v>
      </c>
      <c r="E5284" t="s">
        <v>197</v>
      </c>
      <c r="F5284" t="s">
        <v>198</v>
      </c>
      <c r="G5284">
        <v>1</v>
      </c>
      <c r="H5284">
        <v>10.49</v>
      </c>
      <c r="I5284" s="7">
        <f>IF(Transactions!I5284="",0,Transactions!I5284)</f>
        <v>0.3</v>
      </c>
      <c r="J5284" s="9">
        <f t="shared" si="82"/>
        <v>7.343</v>
      </c>
      <c r="K5284" t="s">
        <v>36</v>
      </c>
      <c r="L5284" t="s">
        <v>17</v>
      </c>
      <c r="M5284" t="str">
        <f>REPLACE(Transactions!M5284,1,4,"")</f>
        <v>20</v>
      </c>
    </row>
    <row r="5285" spans="1:13" x14ac:dyDescent="0.2">
      <c r="A5285">
        <v>974735</v>
      </c>
      <c r="B5285" s="5">
        <v>45407</v>
      </c>
      <c r="C5285">
        <v>31621</v>
      </c>
      <c r="D5285" t="str">
        <f>PROPER(Transactions!D5285)</f>
        <v>Grocery</v>
      </c>
      <c r="E5285" t="s">
        <v>93</v>
      </c>
      <c r="F5285" t="s">
        <v>94</v>
      </c>
      <c r="G5285">
        <v>2</v>
      </c>
      <c r="H5285">
        <v>1.23</v>
      </c>
      <c r="I5285" s="7">
        <f>IF(Transactions!I5285="",0,Transactions!I5285)</f>
        <v>0.05</v>
      </c>
      <c r="J5285" s="9">
        <f t="shared" si="82"/>
        <v>2.3369999999999997</v>
      </c>
      <c r="K5285" t="s">
        <v>53</v>
      </c>
      <c r="L5285" t="s">
        <v>17</v>
      </c>
      <c r="M5285" t="str">
        <f>REPLACE(Transactions!M5285,1,4,"")</f>
        <v>9</v>
      </c>
    </row>
    <row r="5286" spans="1:13" x14ac:dyDescent="0.2">
      <c r="A5286">
        <v>974825</v>
      </c>
      <c r="B5286" s="5">
        <v>44581</v>
      </c>
      <c r="C5286">
        <v>62870</v>
      </c>
      <c r="D5286" t="str">
        <f>PROPER(Transactions!D5286)</f>
        <v>Grocery</v>
      </c>
      <c r="E5286" t="s">
        <v>172</v>
      </c>
      <c r="F5286" t="s">
        <v>173</v>
      </c>
      <c r="G5286">
        <v>4</v>
      </c>
      <c r="H5286">
        <v>3.37</v>
      </c>
      <c r="I5286" s="7">
        <f>IF(Transactions!I5286="",0,Transactions!I5286)</f>
        <v>0.25</v>
      </c>
      <c r="J5286" s="9">
        <f t="shared" si="82"/>
        <v>10.11</v>
      </c>
      <c r="K5286" t="s">
        <v>36</v>
      </c>
      <c r="L5286" t="s">
        <v>17</v>
      </c>
      <c r="M5286" t="str">
        <f>REPLACE(Transactions!M5286,1,4,"")</f>
        <v>13</v>
      </c>
    </row>
    <row r="5287" spans="1:13" x14ac:dyDescent="0.2">
      <c r="A5287">
        <v>975140</v>
      </c>
      <c r="B5287" s="5">
        <v>44700</v>
      </c>
      <c r="C5287">
        <v>94150</v>
      </c>
      <c r="D5287" t="str">
        <f>PROPER(Transactions!D5287)</f>
        <v>Automotive</v>
      </c>
      <c r="E5287" t="s">
        <v>111</v>
      </c>
      <c r="F5287" t="s">
        <v>112</v>
      </c>
      <c r="G5287">
        <v>1</v>
      </c>
      <c r="H5287">
        <v>11.24</v>
      </c>
      <c r="I5287" s="7">
        <f>IF(Transactions!I5287="",0,Transactions!I5287)</f>
        <v>0.25</v>
      </c>
      <c r="J5287" s="9">
        <f t="shared" si="82"/>
        <v>8.43</v>
      </c>
      <c r="K5287" t="s">
        <v>66</v>
      </c>
      <c r="L5287" t="s">
        <v>17</v>
      </c>
      <c r="M5287" t="str">
        <f>REPLACE(Transactions!M5287,1,4,"")</f>
        <v/>
      </c>
    </row>
    <row r="5288" spans="1:13" x14ac:dyDescent="0.2">
      <c r="A5288">
        <v>975217</v>
      </c>
      <c r="B5288" s="5">
        <v>45294</v>
      </c>
      <c r="C5288">
        <v>75726</v>
      </c>
      <c r="D5288" t="str">
        <f>PROPER(Transactions!D5288)</f>
        <v>Toys</v>
      </c>
      <c r="E5288" t="s">
        <v>88</v>
      </c>
      <c r="F5288" t="s">
        <v>89</v>
      </c>
      <c r="G5288">
        <v>5</v>
      </c>
      <c r="H5288">
        <v>49.99</v>
      </c>
      <c r="I5288" s="7">
        <f>IF(Transactions!I5288="",0,Transactions!I5288)</f>
        <v>0</v>
      </c>
      <c r="J5288" s="9">
        <f t="shared" si="82"/>
        <v>249.95000000000002</v>
      </c>
      <c r="K5288" t="s">
        <v>53</v>
      </c>
      <c r="L5288" t="s">
        <v>37</v>
      </c>
      <c r="M5288" t="str">
        <f>REPLACE(Transactions!M5288,1,4,"")</f>
        <v>13</v>
      </c>
    </row>
    <row r="5289" spans="1:13" x14ac:dyDescent="0.2">
      <c r="A5289">
        <v>975353</v>
      </c>
      <c r="B5289" s="5">
        <v>45511</v>
      </c>
      <c r="C5289">
        <v>95466</v>
      </c>
      <c r="D5289" t="str">
        <f>PROPER(Transactions!D5289)</f>
        <v>Clothing</v>
      </c>
      <c r="E5289" t="s">
        <v>181</v>
      </c>
      <c r="F5289" t="s">
        <v>182</v>
      </c>
      <c r="G5289">
        <v>5</v>
      </c>
      <c r="H5289">
        <v>14.24</v>
      </c>
      <c r="I5289" s="7">
        <f>IF(Transactions!I5289="",0,Transactions!I5289)</f>
        <v>0.05</v>
      </c>
      <c r="J5289" s="9">
        <f t="shared" si="82"/>
        <v>67.64</v>
      </c>
      <c r="K5289" t="s">
        <v>16</v>
      </c>
      <c r="L5289" t="s">
        <v>17</v>
      </c>
      <c r="M5289" t="str">
        <f>REPLACE(Transactions!M5289,1,4,"")</f>
        <v>18</v>
      </c>
    </row>
    <row r="5290" spans="1:13" x14ac:dyDescent="0.2">
      <c r="A5290">
        <v>975664</v>
      </c>
      <c r="B5290" s="5">
        <v>44751</v>
      </c>
      <c r="D5290" t="str">
        <f>PROPER(Transactions!D5290)</f>
        <v>Electronics</v>
      </c>
      <c r="E5290" t="s">
        <v>55</v>
      </c>
      <c r="F5290" t="s">
        <v>56</v>
      </c>
      <c r="G5290">
        <v>2</v>
      </c>
      <c r="H5290">
        <v>280.49</v>
      </c>
      <c r="I5290" s="7">
        <f>IF(Transactions!I5290="",0,Transactions!I5290)</f>
        <v>0.15</v>
      </c>
      <c r="J5290" s="9">
        <f t="shared" si="82"/>
        <v>476.83300000000003</v>
      </c>
      <c r="K5290" t="s">
        <v>22</v>
      </c>
      <c r="L5290" t="s">
        <v>17</v>
      </c>
      <c r="M5290" t="str">
        <f>REPLACE(Transactions!M5290,1,4,"")</f>
        <v>6</v>
      </c>
    </row>
    <row r="5291" spans="1:13" x14ac:dyDescent="0.2">
      <c r="A5291">
        <v>975996</v>
      </c>
      <c r="B5291" s="5">
        <v>45087</v>
      </c>
      <c r="C5291">
        <v>34024</v>
      </c>
      <c r="D5291" t="str">
        <f>PROPER(Transactions!D5291)</f>
        <v>Toys</v>
      </c>
      <c r="E5291" t="s">
        <v>88</v>
      </c>
      <c r="F5291" t="s">
        <v>89</v>
      </c>
      <c r="G5291">
        <v>1</v>
      </c>
      <c r="H5291">
        <v>49.99</v>
      </c>
      <c r="I5291" s="7">
        <f>IF(Transactions!I5291="",0,Transactions!I5291)</f>
        <v>0</v>
      </c>
      <c r="J5291" s="9">
        <f t="shared" si="82"/>
        <v>49.99</v>
      </c>
      <c r="K5291" t="s">
        <v>16</v>
      </c>
      <c r="L5291" t="s">
        <v>17</v>
      </c>
      <c r="M5291" t="str">
        <f>REPLACE(Transactions!M5291,1,4,"")</f>
        <v>10</v>
      </c>
    </row>
    <row r="5292" spans="1:13" x14ac:dyDescent="0.2">
      <c r="A5292">
        <v>976029</v>
      </c>
      <c r="B5292" s="5">
        <v>44746</v>
      </c>
      <c r="C5292">
        <v>28417</v>
      </c>
      <c r="D5292" t="str">
        <f>PROPER(Transactions!D5292)</f>
        <v>Electronics</v>
      </c>
      <c r="E5292" t="s">
        <v>55</v>
      </c>
      <c r="F5292" t="s">
        <v>56</v>
      </c>
      <c r="G5292">
        <v>1</v>
      </c>
      <c r="H5292">
        <v>230.99</v>
      </c>
      <c r="I5292" s="7">
        <f>IF(Transactions!I5292="",0,Transactions!I5292)</f>
        <v>0.3</v>
      </c>
      <c r="J5292" s="9">
        <f t="shared" si="82"/>
        <v>161.69299999999998</v>
      </c>
      <c r="K5292" t="s">
        <v>36</v>
      </c>
      <c r="L5292" t="s">
        <v>23</v>
      </c>
      <c r="M5292" t="str">
        <f>REPLACE(Transactions!M5292,1,4,"")</f>
        <v>2</v>
      </c>
    </row>
    <row r="5293" spans="1:13" x14ac:dyDescent="0.2">
      <c r="A5293">
        <v>976133</v>
      </c>
      <c r="B5293" s="5">
        <v>45329</v>
      </c>
      <c r="C5293">
        <v>33484</v>
      </c>
      <c r="D5293" t="str">
        <f>PROPER(Transactions!D5293)</f>
        <v>Automotive</v>
      </c>
      <c r="E5293" t="s">
        <v>131</v>
      </c>
      <c r="F5293" t="s">
        <v>132</v>
      </c>
      <c r="G5293">
        <v>5</v>
      </c>
      <c r="H5293">
        <v>3.49</v>
      </c>
      <c r="I5293" s="7">
        <f>IF(Transactions!I5293="",0,Transactions!I5293)</f>
        <v>0</v>
      </c>
      <c r="J5293" s="9">
        <f t="shared" si="82"/>
        <v>17.450000000000003</v>
      </c>
      <c r="K5293" t="s">
        <v>16</v>
      </c>
      <c r="L5293" t="s">
        <v>17</v>
      </c>
      <c r="M5293" t="str">
        <f>REPLACE(Transactions!M5293,1,4,"")</f>
        <v>1</v>
      </c>
    </row>
    <row r="5294" spans="1:13" x14ac:dyDescent="0.2">
      <c r="A5294">
        <v>976970</v>
      </c>
      <c r="B5294" s="5">
        <v>45560</v>
      </c>
      <c r="C5294">
        <v>60030</v>
      </c>
      <c r="D5294" t="str">
        <f>PROPER(Transactions!D5294)</f>
        <v>Sports</v>
      </c>
      <c r="E5294" t="s">
        <v>155</v>
      </c>
      <c r="F5294" t="s">
        <v>156</v>
      </c>
      <c r="G5294">
        <v>1</v>
      </c>
      <c r="H5294">
        <v>16.989999999999998</v>
      </c>
      <c r="I5294" s="7">
        <f>IF(Transactions!I5294="",0,Transactions!I5294)</f>
        <v>0.15</v>
      </c>
      <c r="J5294" s="9">
        <f t="shared" si="82"/>
        <v>14.441499999999998</v>
      </c>
      <c r="K5294" t="s">
        <v>16</v>
      </c>
      <c r="L5294" t="s">
        <v>37</v>
      </c>
      <c r="M5294" t="str">
        <f>REPLACE(Transactions!M5294,1,4,"")</f>
        <v/>
      </c>
    </row>
    <row r="5295" spans="1:13" x14ac:dyDescent="0.2">
      <c r="A5295">
        <v>976981</v>
      </c>
      <c r="B5295" s="5">
        <v>45439</v>
      </c>
      <c r="C5295">
        <v>33059</v>
      </c>
      <c r="D5295" t="str">
        <f>PROPER(Transactions!D5295)</f>
        <v>Beauty</v>
      </c>
      <c r="E5295" t="s">
        <v>143</v>
      </c>
      <c r="F5295" t="s">
        <v>144</v>
      </c>
      <c r="G5295">
        <v>1</v>
      </c>
      <c r="H5295">
        <v>12.74</v>
      </c>
      <c r="I5295" s="7">
        <f>IF(Transactions!I5295="",0,Transactions!I5295)</f>
        <v>0.15</v>
      </c>
      <c r="J5295" s="9">
        <f t="shared" si="82"/>
        <v>10.829000000000001</v>
      </c>
      <c r="K5295" t="s">
        <v>16</v>
      </c>
      <c r="L5295" t="s">
        <v>37</v>
      </c>
      <c r="M5295" t="str">
        <f>REPLACE(Transactions!M5295,1,4,"")</f>
        <v/>
      </c>
    </row>
    <row r="5296" spans="1:13" x14ac:dyDescent="0.2">
      <c r="A5296">
        <v>977168</v>
      </c>
      <c r="B5296" s="5">
        <v>45073</v>
      </c>
      <c r="C5296">
        <v>48679</v>
      </c>
      <c r="D5296" t="str">
        <f>PROPER(Transactions!D5296)</f>
        <v>Furniture</v>
      </c>
      <c r="E5296" t="s">
        <v>70</v>
      </c>
      <c r="F5296" t="s">
        <v>71</v>
      </c>
      <c r="G5296">
        <v>1</v>
      </c>
      <c r="H5296">
        <v>80.989999999999995</v>
      </c>
      <c r="I5296" s="7">
        <f>IF(Transactions!I5296="",0,Transactions!I5296)</f>
        <v>0.1</v>
      </c>
      <c r="J5296" s="9">
        <f t="shared" si="82"/>
        <v>72.890999999999991</v>
      </c>
      <c r="K5296" t="s">
        <v>16</v>
      </c>
      <c r="L5296" t="s">
        <v>37</v>
      </c>
      <c r="M5296" t="str">
        <f>REPLACE(Transactions!M5296,1,4,"")</f>
        <v>2</v>
      </c>
    </row>
    <row r="5297" spans="1:13" x14ac:dyDescent="0.2">
      <c r="A5297">
        <v>978031</v>
      </c>
      <c r="B5297" s="5">
        <v>44840</v>
      </c>
      <c r="C5297">
        <v>74868</v>
      </c>
      <c r="D5297" t="str">
        <f>PROPER(Transactions!D5297)</f>
        <v>Clothing</v>
      </c>
      <c r="E5297" t="s">
        <v>193</v>
      </c>
      <c r="F5297" t="s">
        <v>194</v>
      </c>
      <c r="G5297">
        <v>1</v>
      </c>
      <c r="H5297">
        <v>45.49</v>
      </c>
      <c r="I5297" s="7">
        <f>IF(Transactions!I5297="",0,Transactions!I5297)</f>
        <v>0.3</v>
      </c>
      <c r="J5297" s="9">
        <f t="shared" si="82"/>
        <v>31.843</v>
      </c>
      <c r="K5297" t="s">
        <v>66</v>
      </c>
      <c r="L5297" t="s">
        <v>17</v>
      </c>
      <c r="M5297" t="str">
        <f>REPLACE(Transactions!M5297,1,4,"")</f>
        <v>16</v>
      </c>
    </row>
    <row r="5298" spans="1:13" x14ac:dyDescent="0.2">
      <c r="A5298">
        <v>978542</v>
      </c>
      <c r="B5298" s="5">
        <v>45211</v>
      </c>
      <c r="C5298">
        <v>73718</v>
      </c>
      <c r="D5298" t="str">
        <f>PROPER(Transactions!D5298)</f>
        <v>Toys</v>
      </c>
      <c r="E5298" t="s">
        <v>30</v>
      </c>
      <c r="F5298" t="s">
        <v>31</v>
      </c>
      <c r="G5298">
        <v>5</v>
      </c>
      <c r="H5298">
        <v>24.99</v>
      </c>
      <c r="I5298" s="7">
        <f>IF(Transactions!I5298="",0,Transactions!I5298)</f>
        <v>0</v>
      </c>
      <c r="J5298" s="9">
        <f t="shared" si="82"/>
        <v>124.94999999999999</v>
      </c>
      <c r="K5298" t="s">
        <v>36</v>
      </c>
      <c r="L5298" t="s">
        <v>37</v>
      </c>
      <c r="M5298" t="str">
        <f>REPLACE(Transactions!M5298,1,4,"")</f>
        <v>20</v>
      </c>
    </row>
    <row r="5299" spans="1:13" x14ac:dyDescent="0.2">
      <c r="A5299">
        <v>978556</v>
      </c>
      <c r="B5299" s="5">
        <v>45555</v>
      </c>
      <c r="C5299">
        <v>38875</v>
      </c>
      <c r="D5299" t="str">
        <f>PROPER(Transactions!D5299)</f>
        <v>Grocery</v>
      </c>
      <c r="E5299" t="s">
        <v>74</v>
      </c>
      <c r="F5299" t="s">
        <v>75</v>
      </c>
      <c r="G5299">
        <v>4</v>
      </c>
      <c r="H5299">
        <v>2.99</v>
      </c>
      <c r="I5299" s="7">
        <f>IF(Transactions!I5299="",0,Transactions!I5299)</f>
        <v>0</v>
      </c>
      <c r="J5299" s="9">
        <f t="shared" si="82"/>
        <v>11.96</v>
      </c>
      <c r="K5299" t="s">
        <v>32</v>
      </c>
      <c r="L5299" t="s">
        <v>17</v>
      </c>
      <c r="M5299" t="str">
        <f>REPLACE(Transactions!M5299,1,4,"")</f>
        <v>2</v>
      </c>
    </row>
    <row r="5300" spans="1:13" x14ac:dyDescent="0.2">
      <c r="A5300">
        <v>978629</v>
      </c>
      <c r="B5300" s="5">
        <v>45251</v>
      </c>
      <c r="C5300">
        <v>28090</v>
      </c>
      <c r="D5300" t="str">
        <f>PROPER(Transactions!D5300)</f>
        <v>Sports</v>
      </c>
      <c r="E5300" t="s">
        <v>147</v>
      </c>
      <c r="F5300" t="s">
        <v>148</v>
      </c>
      <c r="G5300">
        <v>5</v>
      </c>
      <c r="H5300">
        <v>12.34</v>
      </c>
      <c r="I5300" s="7">
        <f>IF(Transactions!I5300="",0,Transactions!I5300)</f>
        <v>0.05</v>
      </c>
      <c r="J5300" s="9">
        <f t="shared" si="82"/>
        <v>58.615000000000002</v>
      </c>
      <c r="K5300" t="s">
        <v>22</v>
      </c>
      <c r="L5300" t="s">
        <v>37</v>
      </c>
      <c r="M5300" t="str">
        <f>REPLACE(Transactions!M5300,1,4,"")</f>
        <v>8</v>
      </c>
    </row>
    <row r="5301" spans="1:13" x14ac:dyDescent="0.2">
      <c r="A5301">
        <v>979294</v>
      </c>
      <c r="B5301" s="5">
        <v>44847</v>
      </c>
      <c r="C5301">
        <v>71827</v>
      </c>
      <c r="D5301" t="str">
        <f>PROPER(Transactions!D5301)</f>
        <v>Toys</v>
      </c>
      <c r="E5301" t="s">
        <v>72</v>
      </c>
      <c r="F5301" t="s">
        <v>73</v>
      </c>
      <c r="G5301">
        <v>2</v>
      </c>
      <c r="H5301">
        <v>27.99</v>
      </c>
      <c r="I5301" s="7">
        <f>IF(Transactions!I5301="",0,Transactions!I5301)</f>
        <v>0.3</v>
      </c>
      <c r="J5301" s="9">
        <f t="shared" si="82"/>
        <v>39.185999999999993</v>
      </c>
      <c r="K5301" t="s">
        <v>16</v>
      </c>
      <c r="L5301" t="s">
        <v>37</v>
      </c>
      <c r="M5301" t="str">
        <f>REPLACE(Transactions!M5301,1,4,"")</f>
        <v>18</v>
      </c>
    </row>
    <row r="5302" spans="1:13" x14ac:dyDescent="0.2">
      <c r="A5302">
        <v>979721</v>
      </c>
      <c r="B5302" s="5">
        <v>45279</v>
      </c>
      <c r="C5302">
        <v>63234</v>
      </c>
      <c r="D5302" t="str">
        <f>PROPER(Transactions!D5302)</f>
        <v>Furniture</v>
      </c>
      <c r="E5302" t="s">
        <v>60</v>
      </c>
      <c r="F5302" t="s">
        <v>61</v>
      </c>
      <c r="G5302">
        <v>1</v>
      </c>
      <c r="H5302">
        <v>38.49</v>
      </c>
      <c r="I5302" s="7">
        <f>IF(Transactions!I5302="",0,Transactions!I5302)</f>
        <v>0.3</v>
      </c>
      <c r="J5302" s="9">
        <f t="shared" si="82"/>
        <v>26.943000000000001</v>
      </c>
      <c r="K5302" t="s">
        <v>36</v>
      </c>
      <c r="L5302" t="s">
        <v>37</v>
      </c>
      <c r="M5302" t="str">
        <f>REPLACE(Transactions!M5302,1,4,"")</f>
        <v>1</v>
      </c>
    </row>
    <row r="5303" spans="1:13" x14ac:dyDescent="0.2">
      <c r="A5303">
        <v>979734</v>
      </c>
      <c r="B5303" s="5">
        <v>45423</v>
      </c>
      <c r="C5303">
        <v>53647</v>
      </c>
      <c r="D5303" t="str">
        <f>PROPER(Transactions!D5303)</f>
        <v>Grocery</v>
      </c>
      <c r="E5303" t="s">
        <v>184</v>
      </c>
      <c r="F5303" t="s">
        <v>185</v>
      </c>
      <c r="G5303">
        <v>1</v>
      </c>
      <c r="H5303">
        <v>5.49</v>
      </c>
      <c r="I5303" s="7">
        <f>IF(Transactions!I5303="",0,Transactions!I5303)</f>
        <v>0</v>
      </c>
      <c r="J5303" s="9">
        <f t="shared" si="82"/>
        <v>5.49</v>
      </c>
      <c r="K5303" t="s">
        <v>22</v>
      </c>
      <c r="L5303" t="s">
        <v>23</v>
      </c>
      <c r="M5303" t="str">
        <f>REPLACE(Transactions!M5303,1,4,"")</f>
        <v>13</v>
      </c>
    </row>
    <row r="5304" spans="1:13" x14ac:dyDescent="0.2">
      <c r="A5304">
        <v>979811</v>
      </c>
      <c r="B5304" s="5">
        <v>44606</v>
      </c>
      <c r="D5304" t="str">
        <f>PROPER(Transactions!D5304)</f>
        <v>Home &amp; Garden</v>
      </c>
      <c r="E5304" t="s">
        <v>137</v>
      </c>
      <c r="F5304" t="s">
        <v>138</v>
      </c>
      <c r="G5304">
        <v>5</v>
      </c>
      <c r="H5304">
        <v>6.79</v>
      </c>
      <c r="I5304" s="7">
        <f>IF(Transactions!I5304="",0,Transactions!I5304)</f>
        <v>0.15</v>
      </c>
      <c r="J5304" s="9">
        <f t="shared" si="82"/>
        <v>28.857500000000002</v>
      </c>
      <c r="K5304" t="s">
        <v>95</v>
      </c>
      <c r="L5304" t="s">
        <v>17</v>
      </c>
      <c r="M5304" t="str">
        <f>REPLACE(Transactions!M5304,1,4,"")</f>
        <v>2</v>
      </c>
    </row>
    <row r="5305" spans="1:13" x14ac:dyDescent="0.2">
      <c r="A5305">
        <v>979943</v>
      </c>
      <c r="B5305" s="5">
        <v>45515</v>
      </c>
      <c r="C5305">
        <v>95784</v>
      </c>
      <c r="D5305" t="str">
        <f>PROPER(Transactions!D5305)</f>
        <v>Sports</v>
      </c>
      <c r="E5305" t="s">
        <v>188</v>
      </c>
      <c r="F5305" t="s">
        <v>189</v>
      </c>
      <c r="G5305">
        <v>4</v>
      </c>
      <c r="H5305">
        <v>42.74</v>
      </c>
      <c r="I5305" s="7">
        <f>IF(Transactions!I5305="",0,Transactions!I5305)</f>
        <v>0.05</v>
      </c>
      <c r="J5305" s="9">
        <f t="shared" si="82"/>
        <v>162.41200000000001</v>
      </c>
      <c r="K5305" t="s">
        <v>16</v>
      </c>
      <c r="L5305" t="s">
        <v>23</v>
      </c>
      <c r="M5305" t="str">
        <f>REPLACE(Transactions!M5305,1,4,"")</f>
        <v>19</v>
      </c>
    </row>
    <row r="5306" spans="1:13" x14ac:dyDescent="0.2">
      <c r="A5306">
        <v>980303</v>
      </c>
      <c r="B5306" s="5">
        <v>44565</v>
      </c>
      <c r="C5306">
        <v>92226</v>
      </c>
      <c r="D5306" t="str">
        <f>PROPER(Transactions!D5306)</f>
        <v>Sports</v>
      </c>
      <c r="E5306" t="s">
        <v>155</v>
      </c>
      <c r="F5306" t="s">
        <v>156</v>
      </c>
      <c r="G5306">
        <v>2</v>
      </c>
      <c r="H5306">
        <v>19.989999999999998</v>
      </c>
      <c r="I5306" s="7">
        <f>IF(Transactions!I5306="",0,Transactions!I5306)</f>
        <v>0</v>
      </c>
      <c r="J5306" s="9">
        <f t="shared" si="82"/>
        <v>39.979999999999997</v>
      </c>
      <c r="K5306" t="s">
        <v>22</v>
      </c>
      <c r="L5306" t="s">
        <v>37</v>
      </c>
      <c r="M5306" t="str">
        <f>REPLACE(Transactions!M5306,1,4,"")</f>
        <v>5</v>
      </c>
    </row>
    <row r="5307" spans="1:13" x14ac:dyDescent="0.2">
      <c r="A5307">
        <v>980486</v>
      </c>
      <c r="B5307" s="5">
        <v>44663</v>
      </c>
      <c r="C5307">
        <v>81176</v>
      </c>
      <c r="D5307" t="str">
        <f>PROPER(Transactions!D5307)</f>
        <v>Electronics</v>
      </c>
      <c r="E5307" t="s">
        <v>186</v>
      </c>
      <c r="F5307" t="s">
        <v>187</v>
      </c>
      <c r="G5307">
        <v>2</v>
      </c>
      <c r="H5307">
        <v>44.99</v>
      </c>
      <c r="I5307" s="7">
        <f>IF(Transactions!I5307="",0,Transactions!I5307)</f>
        <v>0.1</v>
      </c>
      <c r="J5307" s="9">
        <f t="shared" si="82"/>
        <v>80.981999999999999</v>
      </c>
      <c r="K5307" t="s">
        <v>36</v>
      </c>
      <c r="L5307" t="s">
        <v>17</v>
      </c>
      <c r="M5307" t="str">
        <f>REPLACE(Transactions!M5307,1,4,"")</f>
        <v/>
      </c>
    </row>
    <row r="5308" spans="1:13" x14ac:dyDescent="0.2">
      <c r="A5308">
        <v>980794</v>
      </c>
      <c r="B5308" s="5">
        <v>45149</v>
      </c>
      <c r="C5308">
        <v>55871</v>
      </c>
      <c r="D5308" t="str">
        <f>PROPER(Transactions!D5308)</f>
        <v>Grocery</v>
      </c>
      <c r="E5308" t="s">
        <v>177</v>
      </c>
      <c r="F5308" t="s">
        <v>178</v>
      </c>
      <c r="G5308">
        <v>1</v>
      </c>
      <c r="H5308">
        <v>9.59</v>
      </c>
      <c r="I5308" s="7">
        <f>IF(Transactions!I5308="",0,Transactions!I5308)</f>
        <v>0.2</v>
      </c>
      <c r="J5308" s="9">
        <f t="shared" si="82"/>
        <v>7.6720000000000006</v>
      </c>
      <c r="K5308" t="s">
        <v>32</v>
      </c>
      <c r="L5308" t="s">
        <v>17</v>
      </c>
      <c r="M5308" t="str">
        <f>REPLACE(Transactions!M5308,1,4,"")</f>
        <v>7</v>
      </c>
    </row>
    <row r="5309" spans="1:13" x14ac:dyDescent="0.2">
      <c r="A5309">
        <v>981049</v>
      </c>
      <c r="B5309" s="5">
        <v>45373</v>
      </c>
      <c r="C5309">
        <v>83158</v>
      </c>
      <c r="D5309" t="str">
        <f>PROPER(Transactions!D5309)</f>
        <v>Furniture</v>
      </c>
      <c r="E5309" t="s">
        <v>26</v>
      </c>
      <c r="F5309" t="s">
        <v>27</v>
      </c>
      <c r="G5309">
        <v>1</v>
      </c>
      <c r="H5309">
        <v>33.24</v>
      </c>
      <c r="I5309" s="7">
        <f>IF(Transactions!I5309="",0,Transactions!I5309)</f>
        <v>0.05</v>
      </c>
      <c r="J5309" s="9">
        <f t="shared" si="82"/>
        <v>31.577999999999999</v>
      </c>
      <c r="K5309" t="s">
        <v>36</v>
      </c>
      <c r="L5309" t="s">
        <v>17</v>
      </c>
      <c r="M5309" t="str">
        <f>REPLACE(Transactions!M5309,1,4,"")</f>
        <v>11</v>
      </c>
    </row>
    <row r="5310" spans="1:13" x14ac:dyDescent="0.2">
      <c r="A5310">
        <v>981166</v>
      </c>
      <c r="B5310" s="5">
        <v>44663</v>
      </c>
      <c r="C5310">
        <v>69169</v>
      </c>
      <c r="D5310" t="str">
        <f>PROPER(Transactions!D5310)</f>
        <v>Electronics</v>
      </c>
      <c r="E5310" t="s">
        <v>186</v>
      </c>
      <c r="F5310" t="s">
        <v>187</v>
      </c>
      <c r="G5310">
        <v>5</v>
      </c>
      <c r="H5310">
        <v>39.99</v>
      </c>
      <c r="I5310" s="7">
        <f>IF(Transactions!I5310="",0,Transactions!I5310)</f>
        <v>0.2</v>
      </c>
      <c r="J5310" s="9">
        <f t="shared" si="82"/>
        <v>159.96000000000004</v>
      </c>
      <c r="K5310" t="s">
        <v>16</v>
      </c>
      <c r="L5310" t="s">
        <v>17</v>
      </c>
      <c r="M5310" t="str">
        <f>REPLACE(Transactions!M5310,1,4,"")</f>
        <v>16</v>
      </c>
    </row>
    <row r="5311" spans="1:13" x14ac:dyDescent="0.2">
      <c r="A5311">
        <v>981353</v>
      </c>
      <c r="B5311" s="5">
        <v>44876</v>
      </c>
      <c r="C5311">
        <v>18336</v>
      </c>
      <c r="D5311" t="str">
        <f>PROPER(Transactions!D5311)</f>
        <v>Grocery</v>
      </c>
      <c r="E5311" t="s">
        <v>107</v>
      </c>
      <c r="F5311" t="s">
        <v>108</v>
      </c>
      <c r="G5311">
        <v>3</v>
      </c>
      <c r="H5311">
        <v>3.49</v>
      </c>
      <c r="I5311" s="7">
        <f>IF(Transactions!I5311="",0,Transactions!I5311)</f>
        <v>0</v>
      </c>
      <c r="J5311" s="9">
        <f t="shared" si="82"/>
        <v>10.47</v>
      </c>
      <c r="K5311" t="s">
        <v>36</v>
      </c>
      <c r="L5311" t="s">
        <v>23</v>
      </c>
      <c r="M5311" t="str">
        <f>REPLACE(Transactions!M5311,1,4,"")</f>
        <v>9</v>
      </c>
    </row>
    <row r="5312" spans="1:13" x14ac:dyDescent="0.2">
      <c r="A5312">
        <v>981576</v>
      </c>
      <c r="B5312" s="5">
        <v>45455</v>
      </c>
      <c r="C5312">
        <v>65121</v>
      </c>
      <c r="D5312" t="str">
        <f>PROPER(Transactions!D5312)</f>
        <v>Home &amp; Garden</v>
      </c>
      <c r="E5312" t="s">
        <v>153</v>
      </c>
      <c r="F5312" t="s">
        <v>154</v>
      </c>
      <c r="G5312">
        <v>2</v>
      </c>
      <c r="H5312">
        <v>22.49</v>
      </c>
      <c r="I5312" s="7">
        <f>IF(Transactions!I5312="",0,Transactions!I5312)</f>
        <v>0.25</v>
      </c>
      <c r="J5312" s="9">
        <f t="shared" si="82"/>
        <v>33.734999999999999</v>
      </c>
      <c r="K5312" t="s">
        <v>36</v>
      </c>
      <c r="L5312" t="s">
        <v>23</v>
      </c>
      <c r="M5312" t="str">
        <f>REPLACE(Transactions!M5312,1,4,"")</f>
        <v>9</v>
      </c>
    </row>
    <row r="5313" spans="1:13" x14ac:dyDescent="0.2">
      <c r="A5313">
        <v>981869</v>
      </c>
      <c r="B5313" s="5">
        <v>44698</v>
      </c>
      <c r="C5313">
        <v>74296</v>
      </c>
      <c r="D5313" t="str">
        <f>PROPER(Transactions!D5313)</f>
        <v>Pharmacy</v>
      </c>
      <c r="E5313" t="s">
        <v>115</v>
      </c>
      <c r="F5313" t="s">
        <v>116</v>
      </c>
      <c r="G5313">
        <v>5</v>
      </c>
      <c r="H5313">
        <v>9.09</v>
      </c>
      <c r="I5313" s="7">
        <f>IF(Transactions!I5313="",0,Transactions!I5313)</f>
        <v>0.3</v>
      </c>
      <c r="J5313" s="9">
        <f t="shared" si="82"/>
        <v>31.815000000000001</v>
      </c>
      <c r="K5313" t="s">
        <v>16</v>
      </c>
      <c r="L5313" t="s">
        <v>37</v>
      </c>
      <c r="M5313" t="str">
        <f>REPLACE(Transactions!M5313,1,4,"")</f>
        <v>8</v>
      </c>
    </row>
    <row r="5314" spans="1:13" x14ac:dyDescent="0.2">
      <c r="A5314">
        <v>981996</v>
      </c>
      <c r="B5314" s="5">
        <v>45020</v>
      </c>
      <c r="C5314">
        <v>98923</v>
      </c>
      <c r="D5314" t="str">
        <f>PROPER(Transactions!D5314)</f>
        <v>Pharmacy</v>
      </c>
      <c r="E5314" t="s">
        <v>115</v>
      </c>
      <c r="F5314" t="s">
        <v>116</v>
      </c>
      <c r="G5314">
        <v>4</v>
      </c>
      <c r="H5314">
        <v>11.69</v>
      </c>
      <c r="I5314" s="7">
        <f>IF(Transactions!I5314="",0,Transactions!I5314)</f>
        <v>0.1</v>
      </c>
      <c r="J5314" s="9">
        <f t="shared" si="82"/>
        <v>42.083999999999996</v>
      </c>
      <c r="K5314" t="s">
        <v>36</v>
      </c>
      <c r="L5314" t="s">
        <v>23</v>
      </c>
      <c r="M5314" t="str">
        <f>REPLACE(Transactions!M5314,1,4,"")</f>
        <v>19</v>
      </c>
    </row>
    <row r="5315" spans="1:13" x14ac:dyDescent="0.2">
      <c r="A5315">
        <v>982161</v>
      </c>
      <c r="B5315" s="5">
        <v>45407</v>
      </c>
      <c r="C5315">
        <v>15782</v>
      </c>
      <c r="D5315" t="str">
        <f>PROPER(Transactions!D5315)</f>
        <v>Furniture</v>
      </c>
      <c r="E5315" t="s">
        <v>51</v>
      </c>
      <c r="F5315" t="s">
        <v>52</v>
      </c>
      <c r="G5315">
        <v>2</v>
      </c>
      <c r="H5315">
        <v>27.99</v>
      </c>
      <c r="I5315" s="7">
        <f>IF(Transactions!I5315="",0,Transactions!I5315)</f>
        <v>0</v>
      </c>
      <c r="J5315" s="9">
        <f t="shared" ref="J5315:J5378" si="83">(H5315*G5315)*(1-I5315)</f>
        <v>55.98</v>
      </c>
      <c r="K5315" t="s">
        <v>32</v>
      </c>
      <c r="L5315" t="s">
        <v>17</v>
      </c>
      <c r="M5315" t="str">
        <f>REPLACE(Transactions!M5315,1,4,"")</f>
        <v>15</v>
      </c>
    </row>
    <row r="5316" spans="1:13" x14ac:dyDescent="0.2">
      <c r="A5316">
        <v>982407</v>
      </c>
      <c r="B5316" s="5">
        <v>45064</v>
      </c>
      <c r="C5316">
        <v>94106</v>
      </c>
      <c r="D5316" t="str">
        <f>PROPER(Transactions!D5316)</f>
        <v>Automotive</v>
      </c>
      <c r="E5316" t="s">
        <v>64</v>
      </c>
      <c r="F5316" t="s">
        <v>65</v>
      </c>
      <c r="G5316">
        <v>2</v>
      </c>
      <c r="H5316">
        <v>4.24</v>
      </c>
      <c r="I5316" s="7">
        <f>IF(Transactions!I5316="",0,Transactions!I5316)</f>
        <v>0.15</v>
      </c>
      <c r="J5316" s="9">
        <f t="shared" si="83"/>
        <v>7.2080000000000002</v>
      </c>
      <c r="K5316" t="s">
        <v>36</v>
      </c>
      <c r="L5316" t="s">
        <v>17</v>
      </c>
      <c r="M5316" t="str">
        <f>REPLACE(Transactions!M5316,1,4,"")</f>
        <v>5</v>
      </c>
    </row>
    <row r="5317" spans="1:13" x14ac:dyDescent="0.2">
      <c r="A5317">
        <v>982417</v>
      </c>
      <c r="B5317" s="5">
        <v>45524</v>
      </c>
      <c r="C5317">
        <v>42631</v>
      </c>
      <c r="D5317" t="str">
        <f>PROPER(Transactions!D5317)</f>
        <v>Beauty</v>
      </c>
      <c r="E5317" t="s">
        <v>109</v>
      </c>
      <c r="F5317" t="s">
        <v>110</v>
      </c>
      <c r="G5317">
        <v>1</v>
      </c>
      <c r="H5317">
        <v>6.99</v>
      </c>
      <c r="I5317" s="7">
        <f>IF(Transactions!I5317="",0,Transactions!I5317)</f>
        <v>0</v>
      </c>
      <c r="J5317" s="9">
        <f t="shared" si="83"/>
        <v>6.99</v>
      </c>
      <c r="K5317" t="s">
        <v>16</v>
      </c>
      <c r="L5317" t="s">
        <v>17</v>
      </c>
      <c r="M5317" t="str">
        <f>REPLACE(Transactions!M5317,1,4,"")</f>
        <v>9</v>
      </c>
    </row>
    <row r="5318" spans="1:13" x14ac:dyDescent="0.2">
      <c r="A5318">
        <v>982442</v>
      </c>
      <c r="B5318" s="5">
        <v>44849</v>
      </c>
      <c r="C5318">
        <v>33230</v>
      </c>
      <c r="D5318" t="str">
        <f>PROPER(Transactions!D5318)</f>
        <v>Home &amp; Garden</v>
      </c>
      <c r="E5318" t="s">
        <v>149</v>
      </c>
      <c r="F5318" t="s">
        <v>150</v>
      </c>
      <c r="G5318">
        <v>4</v>
      </c>
      <c r="H5318">
        <v>14.99</v>
      </c>
      <c r="I5318" s="7">
        <f>IF(Transactions!I5318="",0,Transactions!I5318)</f>
        <v>0.25</v>
      </c>
      <c r="J5318" s="9">
        <f t="shared" si="83"/>
        <v>44.97</v>
      </c>
      <c r="K5318" t="s">
        <v>36</v>
      </c>
      <c r="L5318" t="s">
        <v>37</v>
      </c>
      <c r="M5318" t="str">
        <f>REPLACE(Transactions!M5318,1,4,"")</f>
        <v>4</v>
      </c>
    </row>
    <row r="5319" spans="1:13" x14ac:dyDescent="0.2">
      <c r="A5319">
        <v>982562</v>
      </c>
      <c r="B5319" s="5">
        <v>44922</v>
      </c>
      <c r="C5319">
        <v>43608</v>
      </c>
      <c r="D5319" t="str">
        <f>PROPER(Transactions!D5319)</f>
        <v>Toys</v>
      </c>
      <c r="E5319" t="s">
        <v>170</v>
      </c>
      <c r="F5319" t="s">
        <v>171</v>
      </c>
      <c r="G5319">
        <v>1</v>
      </c>
      <c r="H5319">
        <v>14.99</v>
      </c>
      <c r="I5319" s="7">
        <f>IF(Transactions!I5319="",0,Transactions!I5319)</f>
        <v>0</v>
      </c>
      <c r="J5319" s="9">
        <f t="shared" si="83"/>
        <v>14.99</v>
      </c>
      <c r="K5319" t="s">
        <v>16</v>
      </c>
      <c r="L5319" t="s">
        <v>23</v>
      </c>
      <c r="M5319" t="str">
        <f>REPLACE(Transactions!M5319,1,4,"")</f>
        <v>4</v>
      </c>
    </row>
    <row r="5320" spans="1:13" x14ac:dyDescent="0.2">
      <c r="A5320">
        <v>982937</v>
      </c>
      <c r="B5320" s="5">
        <v>45486</v>
      </c>
      <c r="C5320">
        <v>16880</v>
      </c>
      <c r="D5320" t="str">
        <f>PROPER(Transactions!D5320)</f>
        <v>Toys</v>
      </c>
      <c r="E5320" t="s">
        <v>30</v>
      </c>
      <c r="F5320" t="s">
        <v>31</v>
      </c>
      <c r="G5320">
        <v>2</v>
      </c>
      <c r="H5320">
        <v>17.489999999999998</v>
      </c>
      <c r="I5320" s="7">
        <f>IF(Transactions!I5320="",0,Transactions!I5320)</f>
        <v>0.3</v>
      </c>
      <c r="J5320" s="9">
        <f t="shared" si="83"/>
        <v>24.485999999999997</v>
      </c>
      <c r="K5320" t="s">
        <v>16</v>
      </c>
      <c r="L5320" t="s">
        <v>17</v>
      </c>
      <c r="M5320" t="str">
        <f>REPLACE(Transactions!M5320,1,4,"")</f>
        <v>8</v>
      </c>
    </row>
    <row r="5321" spans="1:13" x14ac:dyDescent="0.2">
      <c r="A5321">
        <v>983140</v>
      </c>
      <c r="B5321" s="5">
        <v>44677</v>
      </c>
      <c r="C5321">
        <v>17154</v>
      </c>
      <c r="D5321" t="str">
        <f>PROPER(Transactions!D5321)</f>
        <v>Beauty</v>
      </c>
      <c r="E5321" t="s">
        <v>109</v>
      </c>
      <c r="F5321" t="s">
        <v>110</v>
      </c>
      <c r="G5321">
        <v>1</v>
      </c>
      <c r="H5321">
        <v>5.24</v>
      </c>
      <c r="I5321" s="7">
        <f>IF(Transactions!I5321="",0,Transactions!I5321)</f>
        <v>0.25</v>
      </c>
      <c r="J5321" s="9">
        <f t="shared" si="83"/>
        <v>3.93</v>
      </c>
      <c r="K5321" t="s">
        <v>36</v>
      </c>
      <c r="L5321" t="s">
        <v>17</v>
      </c>
      <c r="M5321" t="str">
        <f>REPLACE(Transactions!M5321,1,4,"")</f>
        <v>2</v>
      </c>
    </row>
    <row r="5322" spans="1:13" x14ac:dyDescent="0.2">
      <c r="A5322">
        <v>983528</v>
      </c>
      <c r="B5322" s="5">
        <v>45244</v>
      </c>
      <c r="C5322">
        <v>44065</v>
      </c>
      <c r="D5322" t="str">
        <f>PROPER(Transactions!D5322)</f>
        <v>Home &amp; Garden</v>
      </c>
      <c r="E5322" t="s">
        <v>157</v>
      </c>
      <c r="F5322" t="s">
        <v>158</v>
      </c>
      <c r="G5322">
        <v>1</v>
      </c>
      <c r="H5322">
        <v>12.14</v>
      </c>
      <c r="I5322" s="7">
        <f>IF(Transactions!I5322="",0,Transactions!I5322)</f>
        <v>0.1</v>
      </c>
      <c r="J5322" s="9">
        <f t="shared" si="83"/>
        <v>10.926</v>
      </c>
      <c r="K5322" t="s">
        <v>36</v>
      </c>
      <c r="L5322" t="s">
        <v>17</v>
      </c>
      <c r="M5322" t="str">
        <f>REPLACE(Transactions!M5322,1,4,"")</f>
        <v>12</v>
      </c>
    </row>
    <row r="5323" spans="1:13" x14ac:dyDescent="0.2">
      <c r="A5323">
        <v>983855</v>
      </c>
      <c r="B5323" s="5">
        <v>45509</v>
      </c>
      <c r="C5323">
        <v>49013</v>
      </c>
      <c r="D5323" t="str">
        <f>PROPER(Transactions!D5323)</f>
        <v>Automotive</v>
      </c>
      <c r="E5323" t="s">
        <v>68</v>
      </c>
      <c r="F5323" t="s">
        <v>69</v>
      </c>
      <c r="G5323">
        <v>4</v>
      </c>
      <c r="H5323">
        <v>24.99</v>
      </c>
      <c r="I5323" s="7">
        <f>IF(Transactions!I5323="",0,Transactions!I5323)</f>
        <v>0</v>
      </c>
      <c r="J5323" s="9">
        <f t="shared" si="83"/>
        <v>99.96</v>
      </c>
      <c r="K5323" t="s">
        <v>53</v>
      </c>
      <c r="L5323" t="s">
        <v>17</v>
      </c>
      <c r="M5323" t="str">
        <f>REPLACE(Transactions!M5323,1,4,"")</f>
        <v/>
      </c>
    </row>
    <row r="5324" spans="1:13" x14ac:dyDescent="0.2">
      <c r="A5324">
        <v>984009</v>
      </c>
      <c r="B5324" s="5">
        <v>45316</v>
      </c>
      <c r="C5324">
        <v>45816</v>
      </c>
      <c r="D5324" t="str">
        <f>PROPER(Transactions!D5324)</f>
        <v>Clothing</v>
      </c>
      <c r="E5324" t="s">
        <v>98</v>
      </c>
      <c r="F5324" t="s">
        <v>99</v>
      </c>
      <c r="G5324">
        <v>2</v>
      </c>
      <c r="H5324">
        <v>27.99</v>
      </c>
      <c r="I5324" s="7">
        <f>IF(Transactions!I5324="",0,Transactions!I5324)</f>
        <v>0</v>
      </c>
      <c r="J5324" s="9">
        <f t="shared" si="83"/>
        <v>55.98</v>
      </c>
      <c r="K5324" t="s">
        <v>53</v>
      </c>
      <c r="L5324" t="s">
        <v>17</v>
      </c>
      <c r="M5324" t="str">
        <f>REPLACE(Transactions!M5324,1,4,"")</f>
        <v>7</v>
      </c>
    </row>
    <row r="5325" spans="1:13" x14ac:dyDescent="0.2">
      <c r="A5325">
        <v>984432</v>
      </c>
      <c r="B5325" s="5">
        <v>45513</v>
      </c>
      <c r="C5325">
        <v>35406</v>
      </c>
      <c r="D5325" t="str">
        <f>PROPER(Transactions!D5325)</f>
        <v>Furniture</v>
      </c>
      <c r="E5325" t="s">
        <v>51</v>
      </c>
      <c r="F5325" t="s">
        <v>52</v>
      </c>
      <c r="G5325">
        <v>1</v>
      </c>
      <c r="H5325">
        <v>19.59</v>
      </c>
      <c r="I5325" s="7">
        <f>IF(Transactions!I5325="",0,Transactions!I5325)</f>
        <v>0.3</v>
      </c>
      <c r="J5325" s="9">
        <f t="shared" si="83"/>
        <v>13.712999999999999</v>
      </c>
      <c r="K5325" t="s">
        <v>16</v>
      </c>
      <c r="L5325" t="s">
        <v>17</v>
      </c>
      <c r="M5325" t="str">
        <f>REPLACE(Transactions!M5325,1,4,"")</f>
        <v/>
      </c>
    </row>
    <row r="5326" spans="1:13" x14ac:dyDescent="0.2">
      <c r="A5326">
        <v>984552</v>
      </c>
      <c r="B5326" s="5">
        <v>45266</v>
      </c>
      <c r="C5326">
        <v>97579</v>
      </c>
      <c r="D5326" t="str">
        <f>PROPER(Transactions!D5326)</f>
        <v>Beauty</v>
      </c>
      <c r="E5326" t="s">
        <v>49</v>
      </c>
      <c r="F5326" t="s">
        <v>50</v>
      </c>
      <c r="G5326">
        <v>1</v>
      </c>
      <c r="H5326">
        <v>7.19</v>
      </c>
      <c r="I5326" s="7">
        <f>IF(Transactions!I5326="",0,Transactions!I5326)</f>
        <v>0.2</v>
      </c>
      <c r="J5326" s="9">
        <f t="shared" si="83"/>
        <v>5.7520000000000007</v>
      </c>
      <c r="K5326" t="s">
        <v>22</v>
      </c>
      <c r="L5326" t="s">
        <v>17</v>
      </c>
      <c r="M5326" t="str">
        <f>REPLACE(Transactions!M5326,1,4,"")</f>
        <v>11</v>
      </c>
    </row>
    <row r="5327" spans="1:13" x14ac:dyDescent="0.2">
      <c r="A5327">
        <v>984824</v>
      </c>
      <c r="B5327" s="5">
        <v>45311</v>
      </c>
      <c r="D5327" t="str">
        <f>PROPER(Transactions!D5327)</f>
        <v>Home &amp; Garden</v>
      </c>
      <c r="E5327" t="s">
        <v>153</v>
      </c>
      <c r="F5327" t="s">
        <v>154</v>
      </c>
      <c r="G5327">
        <v>2</v>
      </c>
      <c r="H5327">
        <v>28.49</v>
      </c>
      <c r="I5327" s="7">
        <f>IF(Transactions!I5327="",0,Transactions!I5327)</f>
        <v>0.05</v>
      </c>
      <c r="J5327" s="9">
        <f t="shared" si="83"/>
        <v>54.130999999999993</v>
      </c>
      <c r="K5327" t="s">
        <v>16</v>
      </c>
      <c r="L5327" t="s">
        <v>37</v>
      </c>
      <c r="M5327" t="str">
        <f>REPLACE(Transactions!M5327,1,4,"")</f>
        <v>3</v>
      </c>
    </row>
    <row r="5328" spans="1:13" x14ac:dyDescent="0.2">
      <c r="A5328">
        <v>984859</v>
      </c>
      <c r="B5328" s="5">
        <v>45353</v>
      </c>
      <c r="C5328">
        <v>97037</v>
      </c>
      <c r="D5328" t="str">
        <f>PROPER(Transactions!D5328)</f>
        <v>Toys</v>
      </c>
      <c r="E5328" t="s">
        <v>72</v>
      </c>
      <c r="F5328" t="s">
        <v>73</v>
      </c>
      <c r="G5328">
        <v>2</v>
      </c>
      <c r="H5328">
        <v>35.99</v>
      </c>
      <c r="I5328" s="7">
        <f>IF(Transactions!I5328="",0,Transactions!I5328)</f>
        <v>0.1</v>
      </c>
      <c r="J5328" s="9">
        <f t="shared" si="83"/>
        <v>64.782000000000011</v>
      </c>
      <c r="K5328" t="s">
        <v>36</v>
      </c>
      <c r="L5328" t="s">
        <v>37</v>
      </c>
      <c r="M5328" t="str">
        <f>REPLACE(Transactions!M5328,1,4,"")</f>
        <v>15</v>
      </c>
    </row>
    <row r="5329" spans="1:13" x14ac:dyDescent="0.2">
      <c r="A5329">
        <v>985095</v>
      </c>
      <c r="B5329" s="5">
        <v>44633</v>
      </c>
      <c r="C5329">
        <v>89010</v>
      </c>
      <c r="D5329" t="str">
        <f>PROPER(Transactions!D5329)</f>
        <v>Clothing</v>
      </c>
      <c r="E5329" t="s">
        <v>98</v>
      </c>
      <c r="F5329" t="s">
        <v>99</v>
      </c>
      <c r="G5329">
        <v>5</v>
      </c>
      <c r="H5329">
        <v>25.19</v>
      </c>
      <c r="I5329" s="7">
        <f>IF(Transactions!I5329="",0,Transactions!I5329)</f>
        <v>0.1</v>
      </c>
      <c r="J5329" s="9">
        <f t="shared" si="83"/>
        <v>113.355</v>
      </c>
      <c r="K5329" t="s">
        <v>36</v>
      </c>
      <c r="L5329" t="s">
        <v>17</v>
      </c>
      <c r="M5329" t="str">
        <f>REPLACE(Transactions!M5329,1,4,"")</f>
        <v>20</v>
      </c>
    </row>
    <row r="5330" spans="1:13" x14ac:dyDescent="0.2">
      <c r="A5330">
        <v>985795</v>
      </c>
      <c r="B5330" s="5">
        <v>45108</v>
      </c>
      <c r="C5330">
        <v>79793</v>
      </c>
      <c r="D5330" t="str">
        <f>PROPER(Transactions!D5330)</f>
        <v>Home &amp; Garden</v>
      </c>
      <c r="E5330" t="s">
        <v>137</v>
      </c>
      <c r="F5330" t="s">
        <v>138</v>
      </c>
      <c r="G5330">
        <v>2</v>
      </c>
      <c r="H5330">
        <v>7.19</v>
      </c>
      <c r="I5330" s="7">
        <f>IF(Transactions!I5330="",0,Transactions!I5330)</f>
        <v>0.1</v>
      </c>
      <c r="J5330" s="9">
        <f t="shared" si="83"/>
        <v>12.942</v>
      </c>
      <c r="K5330" t="s">
        <v>22</v>
      </c>
      <c r="L5330" t="s">
        <v>17</v>
      </c>
      <c r="M5330" t="str">
        <f>REPLACE(Transactions!M5330,1,4,"")</f>
        <v>5</v>
      </c>
    </row>
    <row r="5331" spans="1:13" x14ac:dyDescent="0.2">
      <c r="A5331">
        <v>985874</v>
      </c>
      <c r="B5331" s="5">
        <v>44826</v>
      </c>
      <c r="C5331">
        <v>64158</v>
      </c>
      <c r="D5331" t="str">
        <f>PROPER(Transactions!D5331)</f>
        <v>Toys</v>
      </c>
      <c r="E5331" t="s">
        <v>38</v>
      </c>
      <c r="F5331" t="s">
        <v>39</v>
      </c>
      <c r="G5331">
        <v>1</v>
      </c>
      <c r="H5331">
        <v>22.49</v>
      </c>
      <c r="I5331" s="7">
        <f>IF(Transactions!I5331="",0,Transactions!I5331)</f>
        <v>0.25</v>
      </c>
      <c r="J5331" s="9">
        <f t="shared" si="83"/>
        <v>16.8675</v>
      </c>
      <c r="K5331" t="s">
        <v>16</v>
      </c>
      <c r="L5331" t="s">
        <v>17</v>
      </c>
      <c r="M5331" t="str">
        <f>REPLACE(Transactions!M5331,1,4,"")</f>
        <v>3</v>
      </c>
    </row>
    <row r="5332" spans="1:13" x14ac:dyDescent="0.2">
      <c r="A5332">
        <v>986012</v>
      </c>
      <c r="B5332" s="5">
        <v>45542</v>
      </c>
      <c r="C5332">
        <v>29921</v>
      </c>
      <c r="D5332" t="str">
        <f>PROPER(Transactions!D5332)</f>
        <v>Sports</v>
      </c>
      <c r="E5332" t="s">
        <v>100</v>
      </c>
      <c r="F5332" t="s">
        <v>101</v>
      </c>
      <c r="G5332">
        <v>2</v>
      </c>
      <c r="H5332">
        <v>18.39</v>
      </c>
      <c r="I5332" s="7">
        <f>IF(Transactions!I5332="",0,Transactions!I5332)</f>
        <v>0.2</v>
      </c>
      <c r="J5332" s="9">
        <f t="shared" si="83"/>
        <v>29.424000000000003</v>
      </c>
      <c r="K5332" t="s">
        <v>16</v>
      </c>
      <c r="L5332" t="s">
        <v>37</v>
      </c>
      <c r="M5332" t="str">
        <f>REPLACE(Transactions!M5332,1,4,"")</f>
        <v>3</v>
      </c>
    </row>
    <row r="5333" spans="1:13" x14ac:dyDescent="0.2">
      <c r="A5333">
        <v>986043</v>
      </c>
      <c r="B5333" s="5">
        <v>45309</v>
      </c>
      <c r="C5333">
        <v>15305</v>
      </c>
      <c r="D5333" t="str">
        <f>PROPER(Transactions!D5333)</f>
        <v>Toys</v>
      </c>
      <c r="E5333" t="s">
        <v>72</v>
      </c>
      <c r="F5333" t="s">
        <v>73</v>
      </c>
      <c r="G5333">
        <v>1</v>
      </c>
      <c r="H5333">
        <v>37.99</v>
      </c>
      <c r="I5333" s="7">
        <f>IF(Transactions!I5333="",0,Transactions!I5333)</f>
        <v>0.05</v>
      </c>
      <c r="J5333" s="9">
        <f t="shared" si="83"/>
        <v>36.090499999999999</v>
      </c>
      <c r="K5333" t="s">
        <v>36</v>
      </c>
      <c r="L5333" t="s">
        <v>17</v>
      </c>
      <c r="M5333" t="str">
        <f>REPLACE(Transactions!M5333,1,4,"")</f>
        <v>20</v>
      </c>
    </row>
    <row r="5334" spans="1:13" x14ac:dyDescent="0.2">
      <c r="A5334">
        <v>986086</v>
      </c>
      <c r="B5334" s="5">
        <v>45030</v>
      </c>
      <c r="C5334">
        <v>17812</v>
      </c>
      <c r="D5334" t="str">
        <f>PROPER(Transactions!D5334)</f>
        <v>Grocery</v>
      </c>
      <c r="E5334" t="s">
        <v>107</v>
      </c>
      <c r="F5334" t="s">
        <v>108</v>
      </c>
      <c r="G5334">
        <v>2</v>
      </c>
      <c r="H5334">
        <v>3.49</v>
      </c>
      <c r="I5334" s="7">
        <f>IF(Transactions!I5334="",0,Transactions!I5334)</f>
        <v>0</v>
      </c>
      <c r="J5334" s="9">
        <f t="shared" si="83"/>
        <v>6.98</v>
      </c>
      <c r="K5334" t="s">
        <v>16</v>
      </c>
      <c r="L5334" t="s">
        <v>37</v>
      </c>
      <c r="M5334" t="str">
        <f>REPLACE(Transactions!M5334,1,4,"")</f>
        <v>1</v>
      </c>
    </row>
    <row r="5335" spans="1:13" x14ac:dyDescent="0.2">
      <c r="A5335">
        <v>986368</v>
      </c>
      <c r="B5335" s="5">
        <v>45138</v>
      </c>
      <c r="C5335">
        <v>95774</v>
      </c>
      <c r="D5335" t="str">
        <f>PROPER(Transactions!D5335)</f>
        <v>Toys</v>
      </c>
      <c r="E5335" t="s">
        <v>175</v>
      </c>
      <c r="F5335" t="s">
        <v>176</v>
      </c>
      <c r="G5335">
        <v>5</v>
      </c>
      <c r="H5335">
        <v>11.99</v>
      </c>
      <c r="I5335" s="7">
        <f>IF(Transactions!I5335="",0,Transactions!I5335)</f>
        <v>0</v>
      </c>
      <c r="J5335" s="9">
        <f t="shared" si="83"/>
        <v>59.95</v>
      </c>
      <c r="K5335" t="s">
        <v>36</v>
      </c>
      <c r="L5335" t="s">
        <v>17</v>
      </c>
      <c r="M5335" t="str">
        <f>REPLACE(Transactions!M5335,1,4,"")</f>
        <v>17</v>
      </c>
    </row>
    <row r="5336" spans="1:13" x14ac:dyDescent="0.2">
      <c r="A5336">
        <v>986475</v>
      </c>
      <c r="B5336" s="5">
        <v>45268</v>
      </c>
      <c r="C5336">
        <v>20534</v>
      </c>
      <c r="D5336" t="str">
        <f>PROPER(Transactions!D5336)</f>
        <v>Beauty</v>
      </c>
      <c r="E5336" t="s">
        <v>139</v>
      </c>
      <c r="F5336" t="s">
        <v>140</v>
      </c>
      <c r="G5336">
        <v>2</v>
      </c>
      <c r="H5336">
        <v>7.99</v>
      </c>
      <c r="I5336" s="7">
        <f>IF(Transactions!I5336="",0,Transactions!I5336)</f>
        <v>0</v>
      </c>
      <c r="J5336" s="9">
        <f t="shared" si="83"/>
        <v>15.98</v>
      </c>
      <c r="K5336" t="s">
        <v>16</v>
      </c>
      <c r="L5336" t="s">
        <v>37</v>
      </c>
      <c r="M5336" t="str">
        <f>REPLACE(Transactions!M5336,1,4,"")</f>
        <v>6</v>
      </c>
    </row>
    <row r="5337" spans="1:13" x14ac:dyDescent="0.2">
      <c r="A5337">
        <v>986589</v>
      </c>
      <c r="B5337" s="5">
        <v>45365</v>
      </c>
      <c r="C5337">
        <v>48986</v>
      </c>
      <c r="D5337" t="str">
        <f>PROPER(Transactions!D5337)</f>
        <v>Sports</v>
      </c>
      <c r="E5337" t="s">
        <v>168</v>
      </c>
      <c r="F5337" t="s">
        <v>169</v>
      </c>
      <c r="G5337">
        <v>1</v>
      </c>
      <c r="H5337">
        <v>8.99</v>
      </c>
      <c r="I5337" s="7">
        <f>IF(Transactions!I5337="",0,Transactions!I5337)</f>
        <v>0</v>
      </c>
      <c r="J5337" s="9">
        <f t="shared" si="83"/>
        <v>8.99</v>
      </c>
      <c r="K5337" t="s">
        <v>22</v>
      </c>
      <c r="L5337" t="s">
        <v>17</v>
      </c>
      <c r="M5337" t="str">
        <f>REPLACE(Transactions!M5337,1,4,"")</f>
        <v>6</v>
      </c>
    </row>
    <row r="5338" spans="1:13" x14ac:dyDescent="0.2">
      <c r="A5338">
        <v>986631</v>
      </c>
      <c r="B5338" s="5">
        <v>44894</v>
      </c>
      <c r="C5338">
        <v>39419</v>
      </c>
      <c r="D5338" t="str">
        <f>PROPER(Transactions!D5338)</f>
        <v>Grocery</v>
      </c>
      <c r="E5338" t="s">
        <v>45</v>
      </c>
      <c r="F5338" t="s">
        <v>46</v>
      </c>
      <c r="G5338">
        <v>2</v>
      </c>
      <c r="H5338">
        <v>1.79</v>
      </c>
      <c r="I5338" s="7">
        <f>IF(Transactions!I5338="",0,Transactions!I5338)</f>
        <v>0</v>
      </c>
      <c r="J5338" s="9">
        <f t="shared" si="83"/>
        <v>3.58</v>
      </c>
      <c r="K5338" t="s">
        <v>32</v>
      </c>
      <c r="L5338" t="s">
        <v>17</v>
      </c>
      <c r="M5338" t="str">
        <f>REPLACE(Transactions!M5338,1,4,"")</f>
        <v>15</v>
      </c>
    </row>
    <row r="5339" spans="1:13" x14ac:dyDescent="0.2">
      <c r="A5339">
        <v>986747</v>
      </c>
      <c r="B5339" s="5">
        <v>45063</v>
      </c>
      <c r="C5339">
        <v>23095</v>
      </c>
      <c r="D5339" t="str">
        <f>PROPER(Transactions!D5339)</f>
        <v>Beauty</v>
      </c>
      <c r="E5339" t="s">
        <v>109</v>
      </c>
      <c r="F5339" t="s">
        <v>110</v>
      </c>
      <c r="G5339">
        <v>3</v>
      </c>
      <c r="H5339">
        <v>6.99</v>
      </c>
      <c r="I5339" s="7">
        <f>IF(Transactions!I5339="",0,Transactions!I5339)</f>
        <v>0</v>
      </c>
      <c r="J5339" s="9">
        <f t="shared" si="83"/>
        <v>20.97</v>
      </c>
      <c r="K5339" t="s">
        <v>16</v>
      </c>
      <c r="L5339" t="s">
        <v>17</v>
      </c>
      <c r="M5339" t="str">
        <f>REPLACE(Transactions!M5339,1,4,"")</f>
        <v>14</v>
      </c>
    </row>
    <row r="5340" spans="1:13" x14ac:dyDescent="0.2">
      <c r="A5340">
        <v>986993</v>
      </c>
      <c r="B5340" s="5">
        <v>45621</v>
      </c>
      <c r="C5340">
        <v>39960</v>
      </c>
      <c r="D5340" t="str">
        <f>PROPER(Transactions!D5340)</f>
        <v>Grocery</v>
      </c>
      <c r="E5340" t="s">
        <v>133</v>
      </c>
      <c r="F5340" t="s">
        <v>134</v>
      </c>
      <c r="G5340">
        <v>4</v>
      </c>
      <c r="H5340">
        <v>2.65</v>
      </c>
      <c r="I5340" s="7">
        <f>IF(Transactions!I5340="",0,Transactions!I5340)</f>
        <v>0.3</v>
      </c>
      <c r="J5340" s="9">
        <f t="shared" si="83"/>
        <v>7.419999999999999</v>
      </c>
      <c r="K5340" t="s">
        <v>16</v>
      </c>
      <c r="L5340" t="s">
        <v>17</v>
      </c>
      <c r="M5340" t="str">
        <f>REPLACE(Transactions!M5340,1,4,"")</f>
        <v>3</v>
      </c>
    </row>
    <row r="5341" spans="1:13" x14ac:dyDescent="0.2">
      <c r="A5341">
        <v>987044</v>
      </c>
      <c r="B5341" s="5">
        <v>44965</v>
      </c>
      <c r="C5341">
        <v>44519</v>
      </c>
      <c r="D5341" t="str">
        <f>PROPER(Transactions!D5341)</f>
        <v>Pharmacy</v>
      </c>
      <c r="E5341" t="s">
        <v>115</v>
      </c>
      <c r="F5341" t="s">
        <v>116</v>
      </c>
      <c r="G5341">
        <v>2</v>
      </c>
      <c r="H5341">
        <v>12.99</v>
      </c>
      <c r="I5341" s="7">
        <f>IF(Transactions!I5341="",0,Transactions!I5341)</f>
        <v>0</v>
      </c>
      <c r="J5341" s="9">
        <f t="shared" si="83"/>
        <v>25.98</v>
      </c>
      <c r="K5341" t="s">
        <v>16</v>
      </c>
      <c r="L5341" t="s">
        <v>17</v>
      </c>
      <c r="M5341" t="str">
        <f>REPLACE(Transactions!M5341,1,4,"")</f>
        <v>1</v>
      </c>
    </row>
    <row r="5342" spans="1:13" x14ac:dyDescent="0.2">
      <c r="A5342">
        <v>987208</v>
      </c>
      <c r="B5342" s="5">
        <v>45251</v>
      </c>
      <c r="C5342">
        <v>90259</v>
      </c>
      <c r="D5342" t="str">
        <f>PROPER(Transactions!D5342)</f>
        <v>Sports</v>
      </c>
      <c r="E5342" t="s">
        <v>168</v>
      </c>
      <c r="F5342" t="s">
        <v>169</v>
      </c>
      <c r="G5342">
        <v>1</v>
      </c>
      <c r="H5342">
        <v>8.99</v>
      </c>
      <c r="I5342" s="7">
        <f>IF(Transactions!I5342="",0,Transactions!I5342)</f>
        <v>0</v>
      </c>
      <c r="J5342" s="9">
        <f t="shared" si="83"/>
        <v>8.99</v>
      </c>
      <c r="K5342" t="s">
        <v>22</v>
      </c>
      <c r="L5342" t="s">
        <v>37</v>
      </c>
      <c r="M5342" t="str">
        <f>REPLACE(Transactions!M5342,1,4,"")</f>
        <v>14</v>
      </c>
    </row>
    <row r="5343" spans="1:13" x14ac:dyDescent="0.2">
      <c r="A5343">
        <v>987599</v>
      </c>
      <c r="B5343" s="5">
        <v>44864</v>
      </c>
      <c r="C5343">
        <v>96787</v>
      </c>
      <c r="D5343" t="str">
        <f>PROPER(Transactions!D5343)</f>
        <v>Sports</v>
      </c>
      <c r="E5343" t="s">
        <v>100</v>
      </c>
      <c r="F5343" t="s">
        <v>101</v>
      </c>
      <c r="G5343">
        <v>4</v>
      </c>
      <c r="H5343">
        <v>22.99</v>
      </c>
      <c r="I5343" s="7">
        <f>IF(Transactions!I5343="",0,Transactions!I5343)</f>
        <v>0</v>
      </c>
      <c r="J5343" s="9">
        <f t="shared" si="83"/>
        <v>91.96</v>
      </c>
      <c r="K5343" t="s">
        <v>16</v>
      </c>
      <c r="L5343" t="s">
        <v>17</v>
      </c>
      <c r="M5343" t="str">
        <f>REPLACE(Transactions!M5343,1,4,"")</f>
        <v>6</v>
      </c>
    </row>
    <row r="5344" spans="1:13" x14ac:dyDescent="0.2">
      <c r="A5344">
        <v>987658</v>
      </c>
      <c r="B5344" s="5">
        <v>44904</v>
      </c>
      <c r="C5344">
        <v>85217</v>
      </c>
      <c r="D5344" t="str">
        <f>PROPER(Transactions!D5344)</f>
        <v>Electronics</v>
      </c>
      <c r="E5344" t="s">
        <v>79</v>
      </c>
      <c r="F5344" t="s">
        <v>80</v>
      </c>
      <c r="G5344">
        <v>2</v>
      </c>
      <c r="H5344">
        <v>89.99</v>
      </c>
      <c r="I5344" s="7">
        <f>IF(Transactions!I5344="",0,Transactions!I5344)</f>
        <v>0</v>
      </c>
      <c r="J5344" s="9">
        <f t="shared" si="83"/>
        <v>179.98</v>
      </c>
      <c r="K5344" t="s">
        <v>32</v>
      </c>
      <c r="L5344" t="s">
        <v>37</v>
      </c>
      <c r="M5344" t="str">
        <f>REPLACE(Transactions!M5344,1,4,"")</f>
        <v>13</v>
      </c>
    </row>
    <row r="5345" spans="1:13" x14ac:dyDescent="0.2">
      <c r="A5345">
        <v>987722</v>
      </c>
      <c r="B5345" s="5">
        <v>45575</v>
      </c>
      <c r="C5345">
        <v>25774</v>
      </c>
      <c r="D5345" t="str">
        <f>PROPER(Transactions!D5345)</f>
        <v>Beauty</v>
      </c>
      <c r="E5345" t="s">
        <v>143</v>
      </c>
      <c r="F5345" t="s">
        <v>144</v>
      </c>
      <c r="G5345">
        <v>5</v>
      </c>
      <c r="H5345">
        <v>14.99</v>
      </c>
      <c r="I5345" s="7">
        <f>IF(Transactions!I5345="",0,Transactions!I5345)</f>
        <v>0</v>
      </c>
      <c r="J5345" s="9">
        <f t="shared" si="83"/>
        <v>74.95</v>
      </c>
      <c r="K5345" t="s">
        <v>36</v>
      </c>
      <c r="L5345" t="s">
        <v>37</v>
      </c>
      <c r="M5345" t="str">
        <f>REPLACE(Transactions!M5345,1,4,"")</f>
        <v>4</v>
      </c>
    </row>
    <row r="5346" spans="1:13" x14ac:dyDescent="0.2">
      <c r="A5346">
        <v>987730</v>
      </c>
      <c r="B5346" s="5">
        <v>45283</v>
      </c>
      <c r="C5346">
        <v>47649</v>
      </c>
      <c r="D5346" t="str">
        <f>PROPER(Transactions!D5346)</f>
        <v>Beauty</v>
      </c>
      <c r="E5346" t="s">
        <v>109</v>
      </c>
      <c r="F5346" t="s">
        <v>110</v>
      </c>
      <c r="G5346">
        <v>1</v>
      </c>
      <c r="H5346">
        <v>6.99</v>
      </c>
      <c r="I5346" s="7">
        <f>IF(Transactions!I5346="",0,Transactions!I5346)</f>
        <v>0</v>
      </c>
      <c r="J5346" s="9">
        <f t="shared" si="83"/>
        <v>6.99</v>
      </c>
      <c r="K5346" t="s">
        <v>32</v>
      </c>
      <c r="L5346" t="s">
        <v>17</v>
      </c>
      <c r="M5346" t="str">
        <f>REPLACE(Transactions!M5346,1,4,"")</f>
        <v>10</v>
      </c>
    </row>
    <row r="5347" spans="1:13" x14ac:dyDescent="0.2">
      <c r="A5347">
        <v>988568</v>
      </c>
      <c r="B5347" s="5">
        <v>45502</v>
      </c>
      <c r="C5347">
        <v>74006</v>
      </c>
      <c r="D5347" t="str">
        <f>PROPER(Transactions!D5347)</f>
        <v>Furniture</v>
      </c>
      <c r="E5347" t="s">
        <v>51</v>
      </c>
      <c r="F5347" t="s">
        <v>52</v>
      </c>
      <c r="G5347">
        <v>1</v>
      </c>
      <c r="H5347">
        <v>26.59</v>
      </c>
      <c r="I5347" s="7">
        <f>IF(Transactions!I5347="",0,Transactions!I5347)</f>
        <v>0.05</v>
      </c>
      <c r="J5347" s="9">
        <f t="shared" si="83"/>
        <v>25.2605</v>
      </c>
      <c r="K5347" t="s">
        <v>16</v>
      </c>
      <c r="L5347" t="s">
        <v>17</v>
      </c>
      <c r="M5347" t="str">
        <f>REPLACE(Transactions!M5347,1,4,"")</f>
        <v>6</v>
      </c>
    </row>
    <row r="5348" spans="1:13" x14ac:dyDescent="0.2">
      <c r="A5348">
        <v>988722</v>
      </c>
      <c r="B5348" s="5">
        <v>45295</v>
      </c>
      <c r="C5348">
        <v>47287</v>
      </c>
      <c r="D5348" t="str">
        <f>PROPER(Transactions!D5348)</f>
        <v>Furniture</v>
      </c>
      <c r="E5348" t="s">
        <v>26</v>
      </c>
      <c r="F5348" t="s">
        <v>27</v>
      </c>
      <c r="G5348">
        <v>1</v>
      </c>
      <c r="H5348">
        <v>34.99</v>
      </c>
      <c r="I5348" s="7">
        <f>IF(Transactions!I5348="",0,Transactions!I5348)</f>
        <v>0</v>
      </c>
      <c r="J5348" s="9">
        <f t="shared" si="83"/>
        <v>34.99</v>
      </c>
      <c r="K5348" t="s">
        <v>95</v>
      </c>
      <c r="L5348" t="s">
        <v>17</v>
      </c>
      <c r="M5348" t="str">
        <f>REPLACE(Transactions!M5348,1,4,"")</f>
        <v>3</v>
      </c>
    </row>
    <row r="5349" spans="1:13" x14ac:dyDescent="0.2">
      <c r="A5349">
        <v>988728</v>
      </c>
      <c r="B5349" s="5">
        <v>45488</v>
      </c>
      <c r="C5349">
        <v>33069</v>
      </c>
      <c r="D5349" t="str">
        <f>PROPER(Transactions!D5349)</f>
        <v>Beauty</v>
      </c>
      <c r="E5349" t="s">
        <v>179</v>
      </c>
      <c r="F5349" t="s">
        <v>180</v>
      </c>
      <c r="G5349">
        <v>4</v>
      </c>
      <c r="H5349">
        <v>8.99</v>
      </c>
      <c r="I5349" s="7">
        <f>IF(Transactions!I5349="",0,Transactions!I5349)</f>
        <v>0.25</v>
      </c>
      <c r="J5349" s="9">
        <f t="shared" si="83"/>
        <v>26.97</v>
      </c>
      <c r="K5349" t="s">
        <v>32</v>
      </c>
      <c r="L5349" t="s">
        <v>17</v>
      </c>
      <c r="M5349" t="str">
        <f>REPLACE(Transactions!M5349,1,4,"")</f>
        <v>7</v>
      </c>
    </row>
    <row r="5350" spans="1:13" x14ac:dyDescent="0.2">
      <c r="A5350">
        <v>988767</v>
      </c>
      <c r="B5350" s="5">
        <v>45418</v>
      </c>
      <c r="C5350">
        <v>96402</v>
      </c>
      <c r="D5350" t="str">
        <f>PROPER(Transactions!D5350)</f>
        <v>Furniture</v>
      </c>
      <c r="E5350" t="s">
        <v>113</v>
      </c>
      <c r="F5350" t="s">
        <v>114</v>
      </c>
      <c r="G5350">
        <v>3</v>
      </c>
      <c r="H5350">
        <v>83.99</v>
      </c>
      <c r="I5350" s="7">
        <f>IF(Transactions!I5350="",0,Transactions!I5350)</f>
        <v>0.3</v>
      </c>
      <c r="J5350" s="9">
        <f t="shared" si="83"/>
        <v>176.37899999999996</v>
      </c>
      <c r="K5350" t="s">
        <v>36</v>
      </c>
      <c r="L5350" t="s">
        <v>37</v>
      </c>
      <c r="M5350" t="str">
        <f>REPLACE(Transactions!M5350,1,4,"")</f>
        <v>3</v>
      </c>
    </row>
    <row r="5351" spans="1:13" x14ac:dyDescent="0.2">
      <c r="A5351">
        <v>988889</v>
      </c>
      <c r="B5351" s="5">
        <v>45497</v>
      </c>
      <c r="C5351">
        <v>82035</v>
      </c>
      <c r="D5351" t="str">
        <f>PROPER(Transactions!D5351)</f>
        <v>Grocery</v>
      </c>
      <c r="E5351" t="s">
        <v>172</v>
      </c>
      <c r="F5351" t="s">
        <v>173</v>
      </c>
      <c r="G5351">
        <v>1</v>
      </c>
      <c r="H5351">
        <v>3.82</v>
      </c>
      <c r="I5351" s="7">
        <f>IF(Transactions!I5351="",0,Transactions!I5351)</f>
        <v>0.15</v>
      </c>
      <c r="J5351" s="9">
        <f t="shared" si="83"/>
        <v>3.2469999999999999</v>
      </c>
      <c r="K5351" t="s">
        <v>22</v>
      </c>
      <c r="L5351" t="s">
        <v>17</v>
      </c>
      <c r="M5351" t="str">
        <f>REPLACE(Transactions!M5351,1,4,"")</f>
        <v>15</v>
      </c>
    </row>
    <row r="5352" spans="1:13" x14ac:dyDescent="0.2">
      <c r="A5352">
        <v>989432</v>
      </c>
      <c r="B5352" s="5">
        <v>44629</v>
      </c>
      <c r="C5352">
        <v>21992</v>
      </c>
      <c r="D5352" t="str">
        <f>PROPER(Transactions!D5352)</f>
        <v>Automotive</v>
      </c>
      <c r="E5352" t="s">
        <v>68</v>
      </c>
      <c r="F5352" t="s">
        <v>69</v>
      </c>
      <c r="G5352">
        <v>4</v>
      </c>
      <c r="H5352">
        <v>24.99</v>
      </c>
      <c r="I5352" s="7">
        <f>IF(Transactions!I5352="",0,Transactions!I5352)</f>
        <v>0</v>
      </c>
      <c r="J5352" s="9">
        <f t="shared" si="83"/>
        <v>99.96</v>
      </c>
      <c r="K5352" t="s">
        <v>16</v>
      </c>
      <c r="L5352" t="s">
        <v>17</v>
      </c>
      <c r="M5352" t="str">
        <f>REPLACE(Transactions!M5352,1,4,"")</f>
        <v>8</v>
      </c>
    </row>
    <row r="5353" spans="1:13" x14ac:dyDescent="0.2">
      <c r="A5353">
        <v>989433</v>
      </c>
      <c r="B5353" s="5">
        <v>44596</v>
      </c>
      <c r="C5353">
        <v>86919</v>
      </c>
      <c r="D5353" t="str">
        <f>PROPER(Transactions!D5353)</f>
        <v>Automotive</v>
      </c>
      <c r="E5353" t="s">
        <v>64</v>
      </c>
      <c r="F5353" t="s">
        <v>65</v>
      </c>
      <c r="G5353">
        <v>4</v>
      </c>
      <c r="H5353">
        <v>4.24</v>
      </c>
      <c r="I5353" s="7">
        <f>IF(Transactions!I5353="",0,Transactions!I5353)</f>
        <v>0.15</v>
      </c>
      <c r="J5353" s="9">
        <f t="shared" si="83"/>
        <v>14.416</v>
      </c>
      <c r="K5353" t="s">
        <v>16</v>
      </c>
      <c r="L5353" t="s">
        <v>37</v>
      </c>
      <c r="M5353" t="str">
        <f>REPLACE(Transactions!M5353,1,4,"")</f>
        <v>1</v>
      </c>
    </row>
    <row r="5354" spans="1:13" x14ac:dyDescent="0.2">
      <c r="A5354">
        <v>989783</v>
      </c>
      <c r="B5354" s="5">
        <v>44935</v>
      </c>
      <c r="C5354">
        <v>27945</v>
      </c>
      <c r="D5354" t="str">
        <f>PROPER(Transactions!D5354)</f>
        <v>Pharmacy</v>
      </c>
      <c r="E5354" t="s">
        <v>115</v>
      </c>
      <c r="F5354" t="s">
        <v>116</v>
      </c>
      <c r="G5354">
        <v>2</v>
      </c>
      <c r="H5354">
        <v>10.39</v>
      </c>
      <c r="I5354" s="7">
        <f>IF(Transactions!I5354="",0,Transactions!I5354)</f>
        <v>0.2</v>
      </c>
      <c r="J5354" s="9">
        <f t="shared" si="83"/>
        <v>16.624000000000002</v>
      </c>
      <c r="K5354" t="s">
        <v>22</v>
      </c>
      <c r="L5354" t="s">
        <v>17</v>
      </c>
      <c r="M5354" t="str">
        <f>REPLACE(Transactions!M5354,1,4,"")</f>
        <v>16</v>
      </c>
    </row>
    <row r="5355" spans="1:13" x14ac:dyDescent="0.2">
      <c r="A5355">
        <v>989882</v>
      </c>
      <c r="B5355" s="5">
        <v>45622</v>
      </c>
      <c r="C5355">
        <v>74933</v>
      </c>
      <c r="D5355" t="str">
        <f>PROPER(Transactions!D5355)</f>
        <v>Electronics</v>
      </c>
      <c r="E5355" t="s">
        <v>127</v>
      </c>
      <c r="F5355" t="s">
        <v>128</v>
      </c>
      <c r="G5355">
        <v>2</v>
      </c>
      <c r="H5355">
        <v>13.99</v>
      </c>
      <c r="I5355" s="7">
        <f>IF(Transactions!I5355="",0,Transactions!I5355)</f>
        <v>0.3</v>
      </c>
      <c r="J5355" s="9">
        <f t="shared" si="83"/>
        <v>19.585999999999999</v>
      </c>
      <c r="K5355" t="s">
        <v>16</v>
      </c>
      <c r="L5355" t="s">
        <v>17</v>
      </c>
      <c r="M5355" t="str">
        <f>REPLACE(Transactions!M5355,1,4,"")</f>
        <v>12</v>
      </c>
    </row>
    <row r="5356" spans="1:13" x14ac:dyDescent="0.2">
      <c r="A5356">
        <v>989966</v>
      </c>
      <c r="B5356" s="5">
        <v>44996</v>
      </c>
      <c r="C5356">
        <v>53115</v>
      </c>
      <c r="D5356" t="str">
        <f>PROPER(Transactions!D5356)</f>
        <v>Electronics</v>
      </c>
      <c r="E5356" t="s">
        <v>14</v>
      </c>
      <c r="F5356" t="s">
        <v>15</v>
      </c>
      <c r="G5356">
        <v>3</v>
      </c>
      <c r="H5356">
        <v>75.989999999999995</v>
      </c>
      <c r="I5356" s="7">
        <f>IF(Transactions!I5356="",0,Transactions!I5356)</f>
        <v>0.05</v>
      </c>
      <c r="J5356" s="9">
        <f t="shared" si="83"/>
        <v>216.57149999999996</v>
      </c>
      <c r="K5356" t="s">
        <v>16</v>
      </c>
      <c r="L5356" t="s">
        <v>17</v>
      </c>
      <c r="M5356" t="str">
        <f>REPLACE(Transactions!M5356,1,4,"")</f>
        <v>19</v>
      </c>
    </row>
    <row r="5357" spans="1:13" x14ac:dyDescent="0.2">
      <c r="A5357">
        <v>990084</v>
      </c>
      <c r="B5357" s="5">
        <v>44703</v>
      </c>
      <c r="D5357" t="str">
        <f>PROPER(Transactions!D5357)</f>
        <v>Home &amp; Garden</v>
      </c>
      <c r="E5357" t="s">
        <v>157</v>
      </c>
      <c r="F5357" t="s">
        <v>158</v>
      </c>
      <c r="G5357">
        <v>1</v>
      </c>
      <c r="H5357">
        <v>13.49</v>
      </c>
      <c r="I5357" s="7">
        <f>IF(Transactions!I5357="",0,Transactions!I5357)</f>
        <v>0</v>
      </c>
      <c r="J5357" s="9">
        <f t="shared" si="83"/>
        <v>13.49</v>
      </c>
      <c r="K5357" t="s">
        <v>22</v>
      </c>
      <c r="L5357" t="s">
        <v>17</v>
      </c>
      <c r="M5357" t="str">
        <f>REPLACE(Transactions!M5357,1,4,"")</f>
        <v>11</v>
      </c>
    </row>
    <row r="5358" spans="1:13" x14ac:dyDescent="0.2">
      <c r="A5358">
        <v>990906</v>
      </c>
      <c r="B5358" s="5">
        <v>44891</v>
      </c>
      <c r="C5358">
        <v>54943</v>
      </c>
      <c r="D5358" t="str">
        <f>PROPER(Transactions!D5358)</f>
        <v>Home &amp; Garden</v>
      </c>
      <c r="E5358" t="s">
        <v>149</v>
      </c>
      <c r="F5358" t="s">
        <v>150</v>
      </c>
      <c r="G5358">
        <v>2</v>
      </c>
      <c r="H5358">
        <v>16.989999999999998</v>
      </c>
      <c r="I5358" s="7">
        <f>IF(Transactions!I5358="",0,Transactions!I5358)</f>
        <v>0.15</v>
      </c>
      <c r="J5358" s="9">
        <f t="shared" si="83"/>
        <v>28.882999999999996</v>
      </c>
      <c r="K5358" t="s">
        <v>36</v>
      </c>
      <c r="L5358" t="s">
        <v>17</v>
      </c>
      <c r="M5358" t="str">
        <f>REPLACE(Transactions!M5358,1,4,"")</f>
        <v>15</v>
      </c>
    </row>
    <row r="5359" spans="1:13" x14ac:dyDescent="0.2">
      <c r="A5359">
        <v>991079</v>
      </c>
      <c r="B5359" s="5">
        <v>45450</v>
      </c>
      <c r="C5359">
        <v>42803</v>
      </c>
      <c r="D5359" t="str">
        <f>PROPER(Transactions!D5359)</f>
        <v>Clothing</v>
      </c>
      <c r="E5359" t="s">
        <v>165</v>
      </c>
      <c r="F5359" t="s">
        <v>166</v>
      </c>
      <c r="G5359">
        <v>2</v>
      </c>
      <c r="H5359">
        <v>89.99</v>
      </c>
      <c r="I5359" s="7">
        <f>IF(Transactions!I5359="",0,Transactions!I5359)</f>
        <v>0</v>
      </c>
      <c r="J5359" s="9">
        <f t="shared" si="83"/>
        <v>179.98</v>
      </c>
      <c r="K5359" t="s">
        <v>22</v>
      </c>
      <c r="L5359" t="s">
        <v>37</v>
      </c>
      <c r="M5359" t="str">
        <f>REPLACE(Transactions!M5359,1,4,"")</f>
        <v>7</v>
      </c>
    </row>
    <row r="5360" spans="1:13" x14ac:dyDescent="0.2">
      <c r="A5360">
        <v>991141</v>
      </c>
      <c r="B5360" s="5">
        <v>44864</v>
      </c>
      <c r="C5360">
        <v>52651</v>
      </c>
      <c r="D5360" t="str">
        <f>PROPER(Transactions!D5360)</f>
        <v>Pharmacy</v>
      </c>
      <c r="E5360" t="s">
        <v>197</v>
      </c>
      <c r="F5360" t="s">
        <v>198</v>
      </c>
      <c r="G5360">
        <v>2</v>
      </c>
      <c r="H5360">
        <v>14.99</v>
      </c>
      <c r="I5360" s="7">
        <f>IF(Transactions!I5360="",0,Transactions!I5360)</f>
        <v>0</v>
      </c>
      <c r="J5360" s="9">
        <f t="shared" si="83"/>
        <v>29.98</v>
      </c>
      <c r="K5360" t="s">
        <v>22</v>
      </c>
      <c r="L5360" t="s">
        <v>17</v>
      </c>
      <c r="M5360" t="str">
        <f>REPLACE(Transactions!M5360,1,4,"")</f>
        <v>18</v>
      </c>
    </row>
    <row r="5361" spans="1:13" x14ac:dyDescent="0.2">
      <c r="A5361">
        <v>991275</v>
      </c>
      <c r="B5361" s="5">
        <v>44876</v>
      </c>
      <c r="C5361">
        <v>80002</v>
      </c>
      <c r="D5361" t="str">
        <f>PROPER(Transactions!D5361)</f>
        <v>Home &amp; Garden</v>
      </c>
      <c r="E5361" t="s">
        <v>86</v>
      </c>
      <c r="F5361" t="s">
        <v>87</v>
      </c>
      <c r="G5361">
        <v>1</v>
      </c>
      <c r="H5361">
        <v>10.39</v>
      </c>
      <c r="I5361" s="7">
        <f>IF(Transactions!I5361="",0,Transactions!I5361)</f>
        <v>0.2</v>
      </c>
      <c r="J5361" s="9">
        <f t="shared" si="83"/>
        <v>8.3120000000000012</v>
      </c>
      <c r="K5361" t="s">
        <v>36</v>
      </c>
      <c r="L5361" t="s">
        <v>17</v>
      </c>
      <c r="M5361" t="str">
        <f>REPLACE(Transactions!M5361,1,4,"")</f>
        <v>2</v>
      </c>
    </row>
    <row r="5362" spans="1:13" x14ac:dyDescent="0.2">
      <c r="A5362">
        <v>991506</v>
      </c>
      <c r="B5362" s="5">
        <v>45104</v>
      </c>
      <c r="C5362">
        <v>88361</v>
      </c>
      <c r="D5362" t="str">
        <f>PROPER(Transactions!D5362)</f>
        <v>Grocery</v>
      </c>
      <c r="E5362" t="s">
        <v>177</v>
      </c>
      <c r="F5362" t="s">
        <v>178</v>
      </c>
      <c r="G5362">
        <v>1</v>
      </c>
      <c r="H5362">
        <v>8.39</v>
      </c>
      <c r="I5362" s="7">
        <f>IF(Transactions!I5362="",0,Transactions!I5362)</f>
        <v>0.3</v>
      </c>
      <c r="J5362" s="9">
        <f t="shared" si="83"/>
        <v>5.8730000000000002</v>
      </c>
      <c r="K5362" t="s">
        <v>36</v>
      </c>
      <c r="L5362" t="s">
        <v>37</v>
      </c>
      <c r="M5362" t="str">
        <f>REPLACE(Transactions!M5362,1,4,"")</f>
        <v>8</v>
      </c>
    </row>
    <row r="5363" spans="1:13" x14ac:dyDescent="0.2">
      <c r="A5363">
        <v>991638</v>
      </c>
      <c r="B5363" s="5">
        <v>45037</v>
      </c>
      <c r="C5363">
        <v>33040</v>
      </c>
      <c r="D5363" t="str">
        <f>PROPER(Transactions!D5363)</f>
        <v>Electronics</v>
      </c>
      <c r="E5363" t="s">
        <v>14</v>
      </c>
      <c r="F5363" t="s">
        <v>15</v>
      </c>
      <c r="G5363">
        <v>3</v>
      </c>
      <c r="H5363">
        <v>55.99</v>
      </c>
      <c r="I5363" s="7">
        <f>IF(Transactions!I5363="",0,Transactions!I5363)</f>
        <v>0.3</v>
      </c>
      <c r="J5363" s="9">
        <f t="shared" si="83"/>
        <v>117.57899999999999</v>
      </c>
      <c r="K5363" t="s">
        <v>16</v>
      </c>
      <c r="L5363" t="s">
        <v>23</v>
      </c>
      <c r="M5363" t="str">
        <f>REPLACE(Transactions!M5363,1,4,"")</f>
        <v>17</v>
      </c>
    </row>
    <row r="5364" spans="1:13" x14ac:dyDescent="0.2">
      <c r="A5364">
        <v>991639</v>
      </c>
      <c r="B5364" s="5">
        <v>45650</v>
      </c>
      <c r="C5364">
        <v>90871</v>
      </c>
      <c r="D5364" t="str">
        <f>PROPER(Transactions!D5364)</f>
        <v>Pharmacy</v>
      </c>
      <c r="E5364" t="s">
        <v>41</v>
      </c>
      <c r="F5364" t="s">
        <v>42</v>
      </c>
      <c r="G5364">
        <v>2</v>
      </c>
      <c r="H5364">
        <v>5.09</v>
      </c>
      <c r="I5364" s="7">
        <f>IF(Transactions!I5364="",0,Transactions!I5364)</f>
        <v>0.15</v>
      </c>
      <c r="J5364" s="9">
        <f t="shared" si="83"/>
        <v>8.6529999999999987</v>
      </c>
      <c r="K5364" t="s">
        <v>16</v>
      </c>
      <c r="L5364" t="s">
        <v>17</v>
      </c>
      <c r="M5364" t="str">
        <f>REPLACE(Transactions!M5364,1,4,"")</f>
        <v>12</v>
      </c>
    </row>
    <row r="5365" spans="1:13" x14ac:dyDescent="0.2">
      <c r="A5365">
        <v>991779</v>
      </c>
      <c r="B5365" s="5">
        <v>45166</v>
      </c>
      <c r="C5365">
        <v>89234</v>
      </c>
      <c r="D5365" t="str">
        <f>PROPER(Transactions!D5365)</f>
        <v>Toys</v>
      </c>
      <c r="E5365" t="s">
        <v>72</v>
      </c>
      <c r="F5365" t="s">
        <v>73</v>
      </c>
      <c r="G5365">
        <v>1</v>
      </c>
      <c r="H5365">
        <v>39.99</v>
      </c>
      <c r="I5365" s="7">
        <f>IF(Transactions!I5365="",0,Transactions!I5365)</f>
        <v>0</v>
      </c>
      <c r="J5365" s="9">
        <f t="shared" si="83"/>
        <v>39.99</v>
      </c>
      <c r="K5365" t="s">
        <v>36</v>
      </c>
      <c r="L5365" t="s">
        <v>17</v>
      </c>
      <c r="M5365" t="str">
        <f>REPLACE(Transactions!M5365,1,4,"")</f>
        <v>18</v>
      </c>
    </row>
    <row r="5366" spans="1:13" x14ac:dyDescent="0.2">
      <c r="A5366">
        <v>991913</v>
      </c>
      <c r="B5366" s="5">
        <v>45043</v>
      </c>
      <c r="D5366" t="str">
        <f>PROPER(Transactions!D5366)</f>
        <v>Home &amp; Garden</v>
      </c>
      <c r="E5366" t="s">
        <v>149</v>
      </c>
      <c r="F5366" t="s">
        <v>150</v>
      </c>
      <c r="G5366">
        <v>1</v>
      </c>
      <c r="H5366">
        <v>16.989999999999998</v>
      </c>
      <c r="I5366" s="7">
        <f>IF(Transactions!I5366="",0,Transactions!I5366)</f>
        <v>0.15</v>
      </c>
      <c r="J5366" s="9">
        <f t="shared" si="83"/>
        <v>14.441499999999998</v>
      </c>
      <c r="K5366" t="s">
        <v>95</v>
      </c>
      <c r="L5366" t="s">
        <v>17</v>
      </c>
      <c r="M5366" t="str">
        <f>REPLACE(Transactions!M5366,1,4,"")</f>
        <v>5</v>
      </c>
    </row>
    <row r="5367" spans="1:13" x14ac:dyDescent="0.2">
      <c r="A5367">
        <v>992104</v>
      </c>
      <c r="B5367" s="5">
        <v>45254</v>
      </c>
      <c r="C5367">
        <v>48475</v>
      </c>
      <c r="D5367" t="str">
        <f>PROPER(Transactions!D5367)</f>
        <v>Grocery</v>
      </c>
      <c r="E5367" t="s">
        <v>91</v>
      </c>
      <c r="F5367" t="s">
        <v>92</v>
      </c>
      <c r="G5367">
        <v>4</v>
      </c>
      <c r="H5367">
        <v>5.98</v>
      </c>
      <c r="I5367" s="7">
        <f>IF(Transactions!I5367="",0,Transactions!I5367)</f>
        <v>0.05</v>
      </c>
      <c r="J5367" s="9">
        <f t="shared" si="83"/>
        <v>22.724</v>
      </c>
      <c r="K5367" t="s">
        <v>16</v>
      </c>
      <c r="L5367" t="s">
        <v>17</v>
      </c>
      <c r="M5367" t="str">
        <f>REPLACE(Transactions!M5367,1,4,"")</f>
        <v>10</v>
      </c>
    </row>
    <row r="5368" spans="1:13" x14ac:dyDescent="0.2">
      <c r="A5368">
        <v>992263</v>
      </c>
      <c r="B5368" s="5">
        <v>45059</v>
      </c>
      <c r="C5368">
        <v>31439</v>
      </c>
      <c r="D5368" t="str">
        <f>PROPER(Transactions!D5368)</f>
        <v>Toys</v>
      </c>
      <c r="E5368" t="s">
        <v>72</v>
      </c>
      <c r="F5368" t="s">
        <v>73</v>
      </c>
      <c r="G5368">
        <v>2</v>
      </c>
      <c r="H5368">
        <v>31.99</v>
      </c>
      <c r="I5368" s="7">
        <f>IF(Transactions!I5368="",0,Transactions!I5368)</f>
        <v>0.2</v>
      </c>
      <c r="J5368" s="9">
        <f t="shared" si="83"/>
        <v>51.183999999999997</v>
      </c>
      <c r="K5368" t="s">
        <v>36</v>
      </c>
      <c r="L5368" t="s">
        <v>37</v>
      </c>
      <c r="M5368" t="str">
        <f>REPLACE(Transactions!M5368,1,4,"")</f>
        <v/>
      </c>
    </row>
    <row r="5369" spans="1:13" x14ac:dyDescent="0.2">
      <c r="A5369">
        <v>992430</v>
      </c>
      <c r="B5369" s="5">
        <v>44871</v>
      </c>
      <c r="C5369">
        <v>24724</v>
      </c>
      <c r="D5369" t="str">
        <f>PROPER(Transactions!D5369)</f>
        <v>Pharmacy</v>
      </c>
      <c r="E5369" t="s">
        <v>115</v>
      </c>
      <c r="F5369" t="s">
        <v>116</v>
      </c>
      <c r="G5369">
        <v>1</v>
      </c>
      <c r="H5369">
        <v>12.99</v>
      </c>
      <c r="I5369" s="7">
        <f>IF(Transactions!I5369="",0,Transactions!I5369)</f>
        <v>0</v>
      </c>
      <c r="J5369" s="9">
        <f t="shared" si="83"/>
        <v>12.99</v>
      </c>
      <c r="K5369" t="s">
        <v>16</v>
      </c>
      <c r="L5369" t="s">
        <v>37</v>
      </c>
      <c r="M5369" t="str">
        <f>REPLACE(Transactions!M5369,1,4,"")</f>
        <v>2</v>
      </c>
    </row>
    <row r="5370" spans="1:13" x14ac:dyDescent="0.2">
      <c r="A5370">
        <v>992765</v>
      </c>
      <c r="B5370" s="5">
        <v>44715</v>
      </c>
      <c r="C5370">
        <v>84763</v>
      </c>
      <c r="D5370" t="str">
        <f>PROPER(Transactions!D5370)</f>
        <v>Electronics</v>
      </c>
      <c r="E5370" t="s">
        <v>79</v>
      </c>
      <c r="F5370" t="s">
        <v>80</v>
      </c>
      <c r="G5370">
        <v>1</v>
      </c>
      <c r="H5370">
        <v>67.489999999999995</v>
      </c>
      <c r="I5370" s="7">
        <f>IF(Transactions!I5370="",0,Transactions!I5370)</f>
        <v>0.25</v>
      </c>
      <c r="J5370" s="9">
        <f t="shared" si="83"/>
        <v>50.617499999999993</v>
      </c>
      <c r="K5370" t="s">
        <v>32</v>
      </c>
      <c r="L5370" t="s">
        <v>17</v>
      </c>
      <c r="M5370" t="str">
        <f>REPLACE(Transactions!M5370,1,4,"")</f>
        <v>8</v>
      </c>
    </row>
    <row r="5371" spans="1:13" x14ac:dyDescent="0.2">
      <c r="A5371">
        <v>992827</v>
      </c>
      <c r="B5371" s="5">
        <v>44812</v>
      </c>
      <c r="C5371">
        <v>82436</v>
      </c>
      <c r="D5371" t="str">
        <f>PROPER(Transactions!D5371)</f>
        <v>Pharmacy</v>
      </c>
      <c r="E5371" t="s">
        <v>58</v>
      </c>
      <c r="F5371" t="s">
        <v>59</v>
      </c>
      <c r="G5371">
        <v>2</v>
      </c>
      <c r="H5371">
        <v>2.99</v>
      </c>
      <c r="I5371" s="7">
        <f>IF(Transactions!I5371="",0,Transactions!I5371)</f>
        <v>0.25</v>
      </c>
      <c r="J5371" s="9">
        <f t="shared" si="83"/>
        <v>4.4850000000000003</v>
      </c>
      <c r="K5371" t="s">
        <v>53</v>
      </c>
      <c r="L5371" t="s">
        <v>23</v>
      </c>
      <c r="M5371" t="str">
        <f>REPLACE(Transactions!M5371,1,4,"")</f>
        <v>18</v>
      </c>
    </row>
    <row r="5372" spans="1:13" x14ac:dyDescent="0.2">
      <c r="A5372">
        <v>992865</v>
      </c>
      <c r="B5372" s="5">
        <v>44671</v>
      </c>
      <c r="C5372">
        <v>20670</v>
      </c>
      <c r="D5372" t="str">
        <f>PROPER(Transactions!D5372)</f>
        <v>Grocery</v>
      </c>
      <c r="E5372" t="s">
        <v>91</v>
      </c>
      <c r="F5372" t="s">
        <v>92</v>
      </c>
      <c r="G5372">
        <v>4</v>
      </c>
      <c r="H5372">
        <v>5.66</v>
      </c>
      <c r="I5372" s="7">
        <f>IF(Transactions!I5372="",0,Transactions!I5372)</f>
        <v>0.1</v>
      </c>
      <c r="J5372" s="9">
        <f t="shared" si="83"/>
        <v>20.376000000000001</v>
      </c>
      <c r="K5372" t="s">
        <v>36</v>
      </c>
      <c r="L5372" t="s">
        <v>17</v>
      </c>
      <c r="M5372" t="str">
        <f>REPLACE(Transactions!M5372,1,4,"")</f>
        <v>19</v>
      </c>
    </row>
    <row r="5373" spans="1:13" x14ac:dyDescent="0.2">
      <c r="A5373">
        <v>992993</v>
      </c>
      <c r="B5373" s="5">
        <v>45009</v>
      </c>
      <c r="C5373">
        <v>99002</v>
      </c>
      <c r="D5373" t="str">
        <f>PROPER(Transactions!D5373)</f>
        <v>Pharmacy</v>
      </c>
      <c r="E5373" t="s">
        <v>20</v>
      </c>
      <c r="F5373" t="s">
        <v>21</v>
      </c>
      <c r="G5373">
        <v>2</v>
      </c>
      <c r="H5373">
        <v>9.99</v>
      </c>
      <c r="I5373" s="7">
        <f>IF(Transactions!I5373="",0,Transactions!I5373)</f>
        <v>0</v>
      </c>
      <c r="J5373" s="9">
        <f t="shared" si="83"/>
        <v>19.98</v>
      </c>
      <c r="K5373" t="s">
        <v>16</v>
      </c>
      <c r="L5373" t="s">
        <v>17</v>
      </c>
      <c r="M5373" t="str">
        <f>REPLACE(Transactions!M5373,1,4,"")</f>
        <v>9</v>
      </c>
    </row>
    <row r="5374" spans="1:13" x14ac:dyDescent="0.2">
      <c r="A5374">
        <v>993053</v>
      </c>
      <c r="B5374" s="5">
        <v>45587</v>
      </c>
      <c r="C5374">
        <v>83722</v>
      </c>
      <c r="D5374" t="str">
        <f>PROPER(Transactions!D5374)</f>
        <v>Furniture</v>
      </c>
      <c r="E5374" t="s">
        <v>113</v>
      </c>
      <c r="F5374" t="s">
        <v>114</v>
      </c>
      <c r="G5374">
        <v>1</v>
      </c>
      <c r="H5374">
        <v>83.99</v>
      </c>
      <c r="I5374" s="7">
        <f>IF(Transactions!I5374="",0,Transactions!I5374)</f>
        <v>0.3</v>
      </c>
      <c r="J5374" s="9">
        <f t="shared" si="83"/>
        <v>58.792999999999992</v>
      </c>
      <c r="K5374" t="s">
        <v>22</v>
      </c>
      <c r="L5374" t="s">
        <v>17</v>
      </c>
      <c r="M5374" t="str">
        <f>REPLACE(Transactions!M5374,1,4,"")</f>
        <v>9</v>
      </c>
    </row>
    <row r="5375" spans="1:13" x14ac:dyDescent="0.2">
      <c r="A5375">
        <v>993210</v>
      </c>
      <c r="B5375" s="5">
        <v>45073</v>
      </c>
      <c r="C5375">
        <v>80069</v>
      </c>
      <c r="D5375" t="str">
        <f>PROPER(Transactions!D5375)</f>
        <v>Automotive</v>
      </c>
      <c r="E5375" t="s">
        <v>111</v>
      </c>
      <c r="F5375" t="s">
        <v>112</v>
      </c>
      <c r="G5375">
        <v>3</v>
      </c>
      <c r="H5375">
        <v>10.49</v>
      </c>
      <c r="I5375" s="7">
        <f>IF(Transactions!I5375="",0,Transactions!I5375)</f>
        <v>0.3</v>
      </c>
      <c r="J5375" s="9">
        <f t="shared" si="83"/>
        <v>22.028999999999996</v>
      </c>
      <c r="K5375" t="s">
        <v>16</v>
      </c>
      <c r="L5375" t="s">
        <v>17</v>
      </c>
      <c r="M5375" t="str">
        <f>REPLACE(Transactions!M5375,1,4,"")</f>
        <v>5</v>
      </c>
    </row>
    <row r="5376" spans="1:13" x14ac:dyDescent="0.2">
      <c r="A5376">
        <v>993521</v>
      </c>
      <c r="B5376" s="5">
        <v>44906</v>
      </c>
      <c r="C5376">
        <v>75770</v>
      </c>
      <c r="D5376" t="str">
        <f>PROPER(Transactions!D5376)</f>
        <v>Furniture</v>
      </c>
      <c r="E5376" t="s">
        <v>26</v>
      </c>
      <c r="F5376" t="s">
        <v>27</v>
      </c>
      <c r="G5376">
        <v>4</v>
      </c>
      <c r="H5376">
        <v>27.99</v>
      </c>
      <c r="I5376" s="7">
        <f>IF(Transactions!I5376="",0,Transactions!I5376)</f>
        <v>0.2</v>
      </c>
      <c r="J5376" s="9">
        <f t="shared" si="83"/>
        <v>89.567999999999998</v>
      </c>
      <c r="K5376" t="s">
        <v>36</v>
      </c>
      <c r="L5376" t="s">
        <v>23</v>
      </c>
      <c r="M5376" t="str">
        <f>REPLACE(Transactions!M5376,1,4,"")</f>
        <v>14</v>
      </c>
    </row>
    <row r="5377" spans="1:13" x14ac:dyDescent="0.2">
      <c r="A5377">
        <v>993574</v>
      </c>
      <c r="B5377" s="5">
        <v>44604</v>
      </c>
      <c r="C5377">
        <v>86266</v>
      </c>
      <c r="D5377" t="str">
        <f>PROPER(Transactions!D5377)</f>
        <v>Automotive</v>
      </c>
      <c r="E5377" t="s">
        <v>125</v>
      </c>
      <c r="F5377" t="s">
        <v>126</v>
      </c>
      <c r="G5377">
        <v>1</v>
      </c>
      <c r="H5377">
        <v>29.99</v>
      </c>
      <c r="I5377" s="7">
        <f>IF(Transactions!I5377="",0,Transactions!I5377)</f>
        <v>0</v>
      </c>
      <c r="J5377" s="9">
        <f t="shared" si="83"/>
        <v>29.99</v>
      </c>
      <c r="K5377" t="s">
        <v>36</v>
      </c>
      <c r="L5377" t="s">
        <v>17</v>
      </c>
      <c r="M5377" t="str">
        <f>REPLACE(Transactions!M5377,1,4,"")</f>
        <v>5</v>
      </c>
    </row>
    <row r="5378" spans="1:13" x14ac:dyDescent="0.2">
      <c r="A5378">
        <v>993634</v>
      </c>
      <c r="B5378" s="5">
        <v>45620</v>
      </c>
      <c r="C5378">
        <v>30603</v>
      </c>
      <c r="D5378" t="str">
        <f>PROPER(Transactions!D5378)</f>
        <v>Toys</v>
      </c>
      <c r="E5378" t="s">
        <v>88</v>
      </c>
      <c r="F5378" t="s">
        <v>89</v>
      </c>
      <c r="G5378">
        <v>3</v>
      </c>
      <c r="H5378">
        <v>44.99</v>
      </c>
      <c r="I5378" s="7">
        <f>IF(Transactions!I5378="",0,Transactions!I5378)</f>
        <v>0.1</v>
      </c>
      <c r="J5378" s="9">
        <f t="shared" si="83"/>
        <v>121.473</v>
      </c>
      <c r="K5378" t="s">
        <v>22</v>
      </c>
      <c r="L5378" t="s">
        <v>37</v>
      </c>
      <c r="M5378" t="str">
        <f>REPLACE(Transactions!M5378,1,4,"")</f>
        <v>9</v>
      </c>
    </row>
    <row r="5379" spans="1:13" x14ac:dyDescent="0.2">
      <c r="A5379">
        <v>993661</v>
      </c>
      <c r="B5379" s="5">
        <v>44868</v>
      </c>
      <c r="C5379">
        <v>79834</v>
      </c>
      <c r="D5379" t="str">
        <f>PROPER(Transactions!D5379)</f>
        <v>Electronics</v>
      </c>
      <c r="E5379" t="s">
        <v>79</v>
      </c>
      <c r="F5379" t="s">
        <v>80</v>
      </c>
      <c r="G5379">
        <v>1</v>
      </c>
      <c r="H5379">
        <v>62.99</v>
      </c>
      <c r="I5379" s="7">
        <f>IF(Transactions!I5379="",0,Transactions!I5379)</f>
        <v>0.3</v>
      </c>
      <c r="J5379" s="9">
        <f t="shared" ref="J5379:J5412" si="84">(H5379*G5379)*(1-I5379)</f>
        <v>44.092999999999996</v>
      </c>
      <c r="K5379" t="s">
        <v>16</v>
      </c>
      <c r="L5379" t="s">
        <v>37</v>
      </c>
      <c r="M5379" t="str">
        <f>REPLACE(Transactions!M5379,1,4,"")</f>
        <v>7</v>
      </c>
    </row>
    <row r="5380" spans="1:13" x14ac:dyDescent="0.2">
      <c r="A5380">
        <v>993867</v>
      </c>
      <c r="B5380" s="5">
        <v>45091</v>
      </c>
      <c r="C5380">
        <v>90599</v>
      </c>
      <c r="D5380" t="str">
        <f>PROPER(Transactions!D5380)</f>
        <v>Electronics</v>
      </c>
      <c r="E5380" t="s">
        <v>104</v>
      </c>
      <c r="F5380" t="s">
        <v>105</v>
      </c>
      <c r="G5380">
        <v>1</v>
      </c>
      <c r="H5380">
        <v>28.49</v>
      </c>
      <c r="I5380" s="7">
        <f>IF(Transactions!I5380="",0,Transactions!I5380)</f>
        <v>0.05</v>
      </c>
      <c r="J5380" s="9">
        <f t="shared" si="84"/>
        <v>27.065499999999997</v>
      </c>
      <c r="K5380" t="s">
        <v>16</v>
      </c>
      <c r="L5380" t="s">
        <v>17</v>
      </c>
      <c r="M5380" t="str">
        <f>REPLACE(Transactions!M5380,1,4,"")</f>
        <v>17</v>
      </c>
    </row>
    <row r="5381" spans="1:13" x14ac:dyDescent="0.2">
      <c r="A5381">
        <v>993930</v>
      </c>
      <c r="B5381" s="5">
        <v>45274</v>
      </c>
      <c r="C5381">
        <v>63572</v>
      </c>
      <c r="D5381" t="str">
        <f>PROPER(Transactions!D5381)</f>
        <v>Automotive</v>
      </c>
      <c r="E5381" t="s">
        <v>125</v>
      </c>
      <c r="F5381" t="s">
        <v>126</v>
      </c>
      <c r="G5381">
        <v>1</v>
      </c>
      <c r="H5381">
        <v>29.99</v>
      </c>
      <c r="I5381" s="7">
        <f>IF(Transactions!I5381="",0,Transactions!I5381)</f>
        <v>0</v>
      </c>
      <c r="J5381" s="9">
        <f t="shared" si="84"/>
        <v>29.99</v>
      </c>
      <c r="K5381" t="s">
        <v>53</v>
      </c>
      <c r="L5381" t="s">
        <v>17</v>
      </c>
      <c r="M5381" t="str">
        <f>REPLACE(Transactions!M5381,1,4,"")</f>
        <v>5</v>
      </c>
    </row>
    <row r="5382" spans="1:13" x14ac:dyDescent="0.2">
      <c r="A5382">
        <v>993978</v>
      </c>
      <c r="B5382" s="5">
        <v>44699</v>
      </c>
      <c r="C5382">
        <v>75182</v>
      </c>
      <c r="D5382" t="str">
        <f>PROPER(Transactions!D5382)</f>
        <v>Clothing</v>
      </c>
      <c r="E5382" t="s">
        <v>151</v>
      </c>
      <c r="F5382" t="s">
        <v>152</v>
      </c>
      <c r="G5382">
        <v>2</v>
      </c>
      <c r="H5382">
        <v>24.49</v>
      </c>
      <c r="I5382" s="7">
        <f>IF(Transactions!I5382="",0,Transactions!I5382)</f>
        <v>0.3</v>
      </c>
      <c r="J5382" s="9">
        <f t="shared" si="84"/>
        <v>34.285999999999994</v>
      </c>
      <c r="K5382" t="s">
        <v>32</v>
      </c>
      <c r="L5382" t="s">
        <v>23</v>
      </c>
      <c r="M5382" t="str">
        <f>REPLACE(Transactions!M5382,1,4,"")</f>
        <v>10</v>
      </c>
    </row>
    <row r="5383" spans="1:13" x14ac:dyDescent="0.2">
      <c r="A5383">
        <v>993980</v>
      </c>
      <c r="B5383" s="5">
        <v>44984</v>
      </c>
      <c r="C5383">
        <v>88551</v>
      </c>
      <c r="D5383" t="str">
        <f>PROPER(Transactions!D5383)</f>
        <v>Electronics</v>
      </c>
      <c r="E5383" t="s">
        <v>104</v>
      </c>
      <c r="F5383" t="s">
        <v>105</v>
      </c>
      <c r="G5383">
        <v>5</v>
      </c>
      <c r="H5383">
        <v>23.99</v>
      </c>
      <c r="I5383" s="7">
        <f>IF(Transactions!I5383="",0,Transactions!I5383)</f>
        <v>0.2</v>
      </c>
      <c r="J5383" s="9">
        <f t="shared" si="84"/>
        <v>95.96</v>
      </c>
      <c r="K5383" t="s">
        <v>16</v>
      </c>
      <c r="L5383" t="s">
        <v>17</v>
      </c>
      <c r="M5383" t="str">
        <f>REPLACE(Transactions!M5383,1,4,"")</f>
        <v>7</v>
      </c>
    </row>
    <row r="5384" spans="1:13" x14ac:dyDescent="0.2">
      <c r="A5384">
        <v>994386</v>
      </c>
      <c r="B5384" s="5">
        <v>44945</v>
      </c>
      <c r="C5384">
        <v>28191</v>
      </c>
      <c r="D5384" t="str">
        <f>PROPER(Transactions!D5384)</f>
        <v>Furniture</v>
      </c>
      <c r="E5384" t="s">
        <v>70</v>
      </c>
      <c r="F5384" t="s">
        <v>71</v>
      </c>
      <c r="G5384">
        <v>1</v>
      </c>
      <c r="H5384">
        <v>80.989999999999995</v>
      </c>
      <c r="I5384" s="7">
        <f>IF(Transactions!I5384="",0,Transactions!I5384)</f>
        <v>0.1</v>
      </c>
      <c r="J5384" s="9">
        <f t="shared" si="84"/>
        <v>72.890999999999991</v>
      </c>
      <c r="K5384" t="s">
        <v>53</v>
      </c>
      <c r="L5384" t="s">
        <v>17</v>
      </c>
      <c r="M5384" t="str">
        <f>REPLACE(Transactions!M5384,1,4,"")</f>
        <v>7</v>
      </c>
    </row>
    <row r="5385" spans="1:13" x14ac:dyDescent="0.2">
      <c r="A5385">
        <v>994637</v>
      </c>
      <c r="B5385" s="5">
        <v>45369</v>
      </c>
      <c r="C5385">
        <v>25389</v>
      </c>
      <c r="D5385" t="str">
        <f>PROPER(Transactions!D5385)</f>
        <v>Sports</v>
      </c>
      <c r="E5385" t="s">
        <v>100</v>
      </c>
      <c r="F5385" t="s">
        <v>101</v>
      </c>
      <c r="G5385">
        <v>2</v>
      </c>
      <c r="H5385">
        <v>22.99</v>
      </c>
      <c r="I5385" s="7">
        <f>IF(Transactions!I5385="",0,Transactions!I5385)</f>
        <v>0</v>
      </c>
      <c r="J5385" s="9">
        <f t="shared" si="84"/>
        <v>45.98</v>
      </c>
      <c r="K5385" t="s">
        <v>53</v>
      </c>
      <c r="L5385" t="s">
        <v>17</v>
      </c>
      <c r="M5385" t="str">
        <f>REPLACE(Transactions!M5385,1,4,"")</f>
        <v>13</v>
      </c>
    </row>
    <row r="5386" spans="1:13" x14ac:dyDescent="0.2">
      <c r="A5386">
        <v>994643</v>
      </c>
      <c r="B5386" s="5">
        <v>44888</v>
      </c>
      <c r="C5386">
        <v>11112</v>
      </c>
      <c r="D5386" t="str">
        <f>PROPER(Transactions!D5386)</f>
        <v>Furniture</v>
      </c>
      <c r="E5386" t="s">
        <v>70</v>
      </c>
      <c r="F5386" t="s">
        <v>71</v>
      </c>
      <c r="G5386">
        <v>2</v>
      </c>
      <c r="H5386">
        <v>76.489999999999995</v>
      </c>
      <c r="I5386" s="7">
        <f>IF(Transactions!I5386="",0,Transactions!I5386)</f>
        <v>0.15</v>
      </c>
      <c r="J5386" s="9">
        <f t="shared" si="84"/>
        <v>130.03299999999999</v>
      </c>
      <c r="K5386" t="s">
        <v>22</v>
      </c>
      <c r="L5386" t="s">
        <v>17</v>
      </c>
      <c r="M5386" t="str">
        <f>REPLACE(Transactions!M5386,1,4,"")</f>
        <v>2</v>
      </c>
    </row>
    <row r="5387" spans="1:13" x14ac:dyDescent="0.2">
      <c r="A5387">
        <v>994663</v>
      </c>
      <c r="B5387" s="5">
        <v>45631</v>
      </c>
      <c r="C5387">
        <v>26592</v>
      </c>
      <c r="D5387" t="str">
        <f>PROPER(Transactions!D5387)</f>
        <v>Sports</v>
      </c>
      <c r="E5387" t="s">
        <v>188</v>
      </c>
      <c r="F5387" t="s">
        <v>189</v>
      </c>
      <c r="G5387">
        <v>4</v>
      </c>
      <c r="H5387">
        <v>44.99</v>
      </c>
      <c r="I5387" s="7">
        <f>IF(Transactions!I5387="",0,Transactions!I5387)</f>
        <v>0</v>
      </c>
      <c r="J5387" s="9">
        <f t="shared" si="84"/>
        <v>179.96</v>
      </c>
      <c r="K5387" t="s">
        <v>16</v>
      </c>
      <c r="L5387" t="s">
        <v>17</v>
      </c>
      <c r="M5387" t="str">
        <f>REPLACE(Transactions!M5387,1,4,"")</f>
        <v>19</v>
      </c>
    </row>
    <row r="5388" spans="1:13" x14ac:dyDescent="0.2">
      <c r="A5388">
        <v>994846</v>
      </c>
      <c r="B5388" s="5">
        <v>45070</v>
      </c>
      <c r="C5388">
        <v>42410</v>
      </c>
      <c r="D5388" t="str">
        <f>PROPER(Transactions!D5388)</f>
        <v>Grocery</v>
      </c>
      <c r="E5388" t="s">
        <v>184</v>
      </c>
      <c r="F5388" t="s">
        <v>185</v>
      </c>
      <c r="G5388">
        <v>2</v>
      </c>
      <c r="H5388">
        <v>5.49</v>
      </c>
      <c r="I5388" s="7">
        <f>IF(Transactions!I5388="",0,Transactions!I5388)</f>
        <v>0</v>
      </c>
      <c r="J5388" s="9">
        <f t="shared" si="84"/>
        <v>10.98</v>
      </c>
      <c r="K5388" t="s">
        <v>32</v>
      </c>
      <c r="L5388" t="s">
        <v>37</v>
      </c>
      <c r="M5388" t="str">
        <f>REPLACE(Transactions!M5388,1,4,"")</f>
        <v>9</v>
      </c>
    </row>
    <row r="5389" spans="1:13" x14ac:dyDescent="0.2">
      <c r="A5389">
        <v>994862</v>
      </c>
      <c r="B5389" s="5">
        <v>44619</v>
      </c>
      <c r="C5389">
        <v>16068</v>
      </c>
      <c r="D5389" t="str">
        <f>PROPER(Transactions!D5389)</f>
        <v>Grocery</v>
      </c>
      <c r="E5389" t="s">
        <v>195</v>
      </c>
      <c r="F5389" t="s">
        <v>196</v>
      </c>
      <c r="G5389">
        <v>5</v>
      </c>
      <c r="H5389">
        <v>4.99</v>
      </c>
      <c r="I5389" s="7">
        <f>IF(Transactions!I5389="",0,Transactions!I5389)</f>
        <v>0</v>
      </c>
      <c r="J5389" s="9">
        <f t="shared" si="84"/>
        <v>24.950000000000003</v>
      </c>
      <c r="K5389" t="s">
        <v>36</v>
      </c>
      <c r="L5389" t="s">
        <v>37</v>
      </c>
      <c r="M5389" t="str">
        <f>REPLACE(Transactions!M5389,1,4,"")</f>
        <v>17</v>
      </c>
    </row>
    <row r="5390" spans="1:13" x14ac:dyDescent="0.2">
      <c r="A5390">
        <v>994880</v>
      </c>
      <c r="B5390" s="5">
        <v>45186</v>
      </c>
      <c r="D5390" t="str">
        <f>PROPER(Transactions!D5390)</f>
        <v>Clothing</v>
      </c>
      <c r="E5390" t="s">
        <v>193</v>
      </c>
      <c r="F5390" t="s">
        <v>194</v>
      </c>
      <c r="G5390">
        <v>2</v>
      </c>
      <c r="H5390">
        <v>48.74</v>
      </c>
      <c r="I5390" s="7">
        <f>IF(Transactions!I5390="",0,Transactions!I5390)</f>
        <v>0.25</v>
      </c>
      <c r="J5390" s="9">
        <f t="shared" si="84"/>
        <v>73.11</v>
      </c>
      <c r="K5390" t="s">
        <v>16</v>
      </c>
      <c r="L5390" t="s">
        <v>23</v>
      </c>
      <c r="M5390" t="str">
        <f>REPLACE(Transactions!M5390,1,4,"")</f>
        <v>15</v>
      </c>
    </row>
    <row r="5391" spans="1:13" x14ac:dyDescent="0.2">
      <c r="A5391">
        <v>995773</v>
      </c>
      <c r="B5391" s="5">
        <v>45253</v>
      </c>
      <c r="C5391">
        <v>72310</v>
      </c>
      <c r="D5391" t="str">
        <f>PROPER(Transactions!D5391)</f>
        <v>Automotive</v>
      </c>
      <c r="E5391" t="s">
        <v>111</v>
      </c>
      <c r="F5391" t="s">
        <v>112</v>
      </c>
      <c r="G5391">
        <v>1</v>
      </c>
      <c r="H5391">
        <v>10.49</v>
      </c>
      <c r="I5391" s="7">
        <f>IF(Transactions!I5391="",0,Transactions!I5391)</f>
        <v>0.3</v>
      </c>
      <c r="J5391" s="9">
        <f t="shared" si="84"/>
        <v>7.343</v>
      </c>
      <c r="K5391" t="s">
        <v>36</v>
      </c>
      <c r="L5391" t="s">
        <v>17</v>
      </c>
      <c r="M5391" t="str">
        <f>REPLACE(Transactions!M5391,1,4,"")</f>
        <v>8</v>
      </c>
    </row>
    <row r="5392" spans="1:13" x14ac:dyDescent="0.2">
      <c r="A5392">
        <v>995871</v>
      </c>
      <c r="B5392" s="5">
        <v>45067</v>
      </c>
      <c r="C5392">
        <v>18807</v>
      </c>
      <c r="D5392" t="str">
        <f>PROPER(Transactions!D5392)</f>
        <v>Electronics</v>
      </c>
      <c r="E5392" t="s">
        <v>104</v>
      </c>
      <c r="F5392" t="s">
        <v>105</v>
      </c>
      <c r="G5392">
        <v>4</v>
      </c>
      <c r="H5392">
        <v>25.49</v>
      </c>
      <c r="I5392" s="7">
        <f>IF(Transactions!I5392="",0,Transactions!I5392)</f>
        <v>0.15</v>
      </c>
      <c r="J5392" s="9">
        <f t="shared" si="84"/>
        <v>86.665999999999997</v>
      </c>
      <c r="K5392" t="s">
        <v>16</v>
      </c>
      <c r="L5392" t="s">
        <v>17</v>
      </c>
      <c r="M5392" t="str">
        <f>REPLACE(Transactions!M5392,1,4,"")</f>
        <v>5</v>
      </c>
    </row>
    <row r="5393" spans="1:13" x14ac:dyDescent="0.2">
      <c r="A5393">
        <v>996385</v>
      </c>
      <c r="B5393" s="5">
        <v>45516</v>
      </c>
      <c r="C5393">
        <v>96162</v>
      </c>
      <c r="D5393" t="str">
        <f>PROPER(Transactions!D5393)</f>
        <v>Pharmacy</v>
      </c>
      <c r="E5393" t="s">
        <v>197</v>
      </c>
      <c r="F5393" t="s">
        <v>198</v>
      </c>
      <c r="G5393">
        <v>5</v>
      </c>
      <c r="H5393">
        <v>14.99</v>
      </c>
      <c r="I5393" s="7">
        <f>IF(Transactions!I5393="",0,Transactions!I5393)</f>
        <v>0</v>
      </c>
      <c r="J5393" s="9">
        <f t="shared" si="84"/>
        <v>74.95</v>
      </c>
      <c r="K5393" t="s">
        <v>66</v>
      </c>
      <c r="L5393" t="s">
        <v>37</v>
      </c>
      <c r="M5393" t="str">
        <f>REPLACE(Transactions!M5393,1,4,"")</f>
        <v>12</v>
      </c>
    </row>
    <row r="5394" spans="1:13" x14ac:dyDescent="0.2">
      <c r="A5394">
        <v>996653</v>
      </c>
      <c r="B5394" s="5">
        <v>45499</v>
      </c>
      <c r="C5394">
        <v>91425</v>
      </c>
      <c r="D5394" t="str">
        <f>PROPER(Transactions!D5394)</f>
        <v>Beauty</v>
      </c>
      <c r="E5394" t="s">
        <v>179</v>
      </c>
      <c r="F5394" t="s">
        <v>180</v>
      </c>
      <c r="G5394">
        <v>4</v>
      </c>
      <c r="H5394">
        <v>11.99</v>
      </c>
      <c r="I5394" s="7">
        <f>IF(Transactions!I5394="",0,Transactions!I5394)</f>
        <v>0</v>
      </c>
      <c r="J5394" s="9">
        <f t="shared" si="84"/>
        <v>47.96</v>
      </c>
      <c r="K5394" t="s">
        <v>32</v>
      </c>
      <c r="L5394" t="s">
        <v>17</v>
      </c>
      <c r="M5394" t="str">
        <f>REPLACE(Transactions!M5394,1,4,"")</f>
        <v>3</v>
      </c>
    </row>
    <row r="5395" spans="1:13" x14ac:dyDescent="0.2">
      <c r="A5395">
        <v>997589</v>
      </c>
      <c r="B5395" s="5">
        <v>45634</v>
      </c>
      <c r="C5395">
        <v>46244</v>
      </c>
      <c r="D5395" t="str">
        <f>PROPER(Transactions!D5395)</f>
        <v>Beauty</v>
      </c>
      <c r="E5395" t="s">
        <v>139</v>
      </c>
      <c r="F5395" t="s">
        <v>140</v>
      </c>
      <c r="G5395">
        <v>2</v>
      </c>
      <c r="H5395">
        <v>7.99</v>
      </c>
      <c r="I5395" s="7">
        <f>IF(Transactions!I5395="",0,Transactions!I5395)</f>
        <v>0</v>
      </c>
      <c r="J5395" s="9">
        <f t="shared" si="84"/>
        <v>15.98</v>
      </c>
      <c r="K5395" t="s">
        <v>16</v>
      </c>
      <c r="L5395" t="s">
        <v>37</v>
      </c>
      <c r="M5395" t="str">
        <f>REPLACE(Transactions!M5395,1,4,"")</f>
        <v>10</v>
      </c>
    </row>
    <row r="5396" spans="1:13" x14ac:dyDescent="0.2">
      <c r="A5396">
        <v>997619</v>
      </c>
      <c r="B5396" s="5">
        <v>44610</v>
      </c>
      <c r="D5396" t="str">
        <f>PROPER(Transactions!D5396)</f>
        <v>Pharmacy</v>
      </c>
      <c r="E5396" t="s">
        <v>115</v>
      </c>
      <c r="F5396" t="s">
        <v>116</v>
      </c>
      <c r="G5396">
        <v>1</v>
      </c>
      <c r="H5396">
        <v>12.99</v>
      </c>
      <c r="I5396" s="7">
        <f>IF(Transactions!I5396="",0,Transactions!I5396)</f>
        <v>0</v>
      </c>
      <c r="J5396" s="9">
        <f t="shared" si="84"/>
        <v>12.99</v>
      </c>
      <c r="K5396" t="s">
        <v>36</v>
      </c>
      <c r="L5396" t="s">
        <v>17</v>
      </c>
      <c r="M5396" t="str">
        <f>REPLACE(Transactions!M5396,1,4,"")</f>
        <v>5</v>
      </c>
    </row>
    <row r="5397" spans="1:13" x14ac:dyDescent="0.2">
      <c r="A5397">
        <v>997651</v>
      </c>
      <c r="B5397" s="5">
        <v>45504</v>
      </c>
      <c r="C5397">
        <v>90150</v>
      </c>
      <c r="D5397" t="str">
        <f>PROPER(Transactions!D5397)</f>
        <v>Pharmacy</v>
      </c>
      <c r="E5397" t="s">
        <v>20</v>
      </c>
      <c r="F5397" t="s">
        <v>21</v>
      </c>
      <c r="G5397">
        <v>3</v>
      </c>
      <c r="H5397">
        <v>8.49</v>
      </c>
      <c r="I5397" s="7">
        <f>IF(Transactions!I5397="",0,Transactions!I5397)</f>
        <v>0.15</v>
      </c>
      <c r="J5397" s="9">
        <f t="shared" si="84"/>
        <v>21.6495</v>
      </c>
      <c r="K5397" t="s">
        <v>32</v>
      </c>
      <c r="L5397" t="s">
        <v>37</v>
      </c>
      <c r="M5397" t="str">
        <f>REPLACE(Transactions!M5397,1,4,"")</f>
        <v>5</v>
      </c>
    </row>
    <row r="5398" spans="1:13" x14ac:dyDescent="0.2">
      <c r="A5398">
        <v>997902</v>
      </c>
      <c r="B5398" s="5">
        <v>45168</v>
      </c>
      <c r="C5398">
        <v>49360</v>
      </c>
      <c r="D5398" t="str">
        <f>PROPER(Transactions!D5398)</f>
        <v>Sports</v>
      </c>
      <c r="E5398" t="s">
        <v>155</v>
      </c>
      <c r="F5398" t="s">
        <v>156</v>
      </c>
      <c r="G5398">
        <v>5</v>
      </c>
      <c r="H5398">
        <v>15.99</v>
      </c>
      <c r="I5398" s="7">
        <f>IF(Transactions!I5398="",0,Transactions!I5398)</f>
        <v>0.2</v>
      </c>
      <c r="J5398" s="9">
        <f t="shared" si="84"/>
        <v>63.960000000000008</v>
      </c>
      <c r="K5398" t="s">
        <v>16</v>
      </c>
      <c r="L5398" t="s">
        <v>17</v>
      </c>
      <c r="M5398" t="str">
        <f>REPLACE(Transactions!M5398,1,4,"")</f>
        <v>18</v>
      </c>
    </row>
    <row r="5399" spans="1:13" x14ac:dyDescent="0.2">
      <c r="A5399">
        <v>998048</v>
      </c>
      <c r="B5399" s="5">
        <v>44751</v>
      </c>
      <c r="C5399">
        <v>69639</v>
      </c>
      <c r="D5399" t="str">
        <f>PROPER(Transactions!D5399)</f>
        <v>Home &amp; Garden</v>
      </c>
      <c r="E5399" t="s">
        <v>157</v>
      </c>
      <c r="F5399" t="s">
        <v>158</v>
      </c>
      <c r="G5399">
        <v>2</v>
      </c>
      <c r="H5399">
        <v>11.47</v>
      </c>
      <c r="I5399" s="7">
        <f>IF(Transactions!I5399="",0,Transactions!I5399)</f>
        <v>0.15</v>
      </c>
      <c r="J5399" s="9">
        <f t="shared" si="84"/>
        <v>19.499000000000002</v>
      </c>
      <c r="K5399" t="s">
        <v>36</v>
      </c>
      <c r="L5399" t="s">
        <v>17</v>
      </c>
      <c r="M5399" t="str">
        <f>REPLACE(Transactions!M5399,1,4,"")</f>
        <v>14</v>
      </c>
    </row>
    <row r="5400" spans="1:13" x14ac:dyDescent="0.2">
      <c r="A5400">
        <v>998085</v>
      </c>
      <c r="B5400" s="5">
        <v>45561</v>
      </c>
      <c r="C5400">
        <v>19988</v>
      </c>
      <c r="D5400" t="str">
        <f>PROPER(Transactions!D5400)</f>
        <v>Furniture</v>
      </c>
      <c r="E5400" t="s">
        <v>26</v>
      </c>
      <c r="F5400" t="s">
        <v>27</v>
      </c>
      <c r="G5400">
        <v>3</v>
      </c>
      <c r="H5400">
        <v>34.99</v>
      </c>
      <c r="I5400" s="7">
        <f>IF(Transactions!I5400="",0,Transactions!I5400)</f>
        <v>0</v>
      </c>
      <c r="J5400" s="9">
        <f t="shared" si="84"/>
        <v>104.97</v>
      </c>
      <c r="K5400" t="s">
        <v>36</v>
      </c>
      <c r="L5400" t="s">
        <v>17</v>
      </c>
      <c r="M5400" t="str">
        <f>REPLACE(Transactions!M5400,1,4,"")</f>
        <v>6</v>
      </c>
    </row>
    <row r="5401" spans="1:13" x14ac:dyDescent="0.2">
      <c r="A5401">
        <v>998183</v>
      </c>
      <c r="B5401" s="5">
        <v>44649</v>
      </c>
      <c r="C5401">
        <v>98873</v>
      </c>
      <c r="D5401" t="str">
        <f>PROPER(Transactions!D5401)</f>
        <v>Sports</v>
      </c>
      <c r="E5401" t="s">
        <v>188</v>
      </c>
      <c r="F5401" t="s">
        <v>189</v>
      </c>
      <c r="G5401">
        <v>2</v>
      </c>
      <c r="H5401">
        <v>31.49</v>
      </c>
      <c r="I5401" s="7">
        <f>IF(Transactions!I5401="",0,Transactions!I5401)</f>
        <v>0.3</v>
      </c>
      <c r="J5401" s="9">
        <f t="shared" si="84"/>
        <v>44.085999999999999</v>
      </c>
      <c r="K5401" t="s">
        <v>16</v>
      </c>
      <c r="L5401" t="s">
        <v>17</v>
      </c>
      <c r="M5401" t="str">
        <f>REPLACE(Transactions!M5401,1,4,"")</f>
        <v>3</v>
      </c>
    </row>
    <row r="5402" spans="1:13" x14ac:dyDescent="0.2">
      <c r="A5402">
        <v>998255</v>
      </c>
      <c r="B5402" s="5">
        <v>45620</v>
      </c>
      <c r="C5402">
        <v>84881</v>
      </c>
      <c r="D5402" t="str">
        <f>PROPER(Transactions!D5402)</f>
        <v>Home &amp; Garden</v>
      </c>
      <c r="E5402" t="s">
        <v>153</v>
      </c>
      <c r="F5402" t="s">
        <v>154</v>
      </c>
      <c r="G5402">
        <v>2</v>
      </c>
      <c r="H5402">
        <v>23.99</v>
      </c>
      <c r="I5402" s="7">
        <f>IF(Transactions!I5402="",0,Transactions!I5402)</f>
        <v>0.2</v>
      </c>
      <c r="J5402" s="9">
        <f t="shared" si="84"/>
        <v>38.384</v>
      </c>
      <c r="K5402" t="s">
        <v>66</v>
      </c>
      <c r="L5402" t="s">
        <v>23</v>
      </c>
      <c r="M5402" t="str">
        <f>REPLACE(Transactions!M5402,1,4,"")</f>
        <v>12</v>
      </c>
    </row>
    <row r="5403" spans="1:13" x14ac:dyDescent="0.2">
      <c r="A5403">
        <v>998485</v>
      </c>
      <c r="B5403" s="5">
        <v>44980</v>
      </c>
      <c r="C5403">
        <v>68824</v>
      </c>
      <c r="D5403" t="str">
        <f>PROPER(Transactions!D5403)</f>
        <v>Electronics</v>
      </c>
      <c r="E5403" t="s">
        <v>55</v>
      </c>
      <c r="F5403" t="s">
        <v>56</v>
      </c>
      <c r="G5403">
        <v>3</v>
      </c>
      <c r="H5403">
        <v>263.99</v>
      </c>
      <c r="I5403" s="7">
        <f>IF(Transactions!I5403="",0,Transactions!I5403)</f>
        <v>0.2</v>
      </c>
      <c r="J5403" s="9">
        <f t="shared" si="84"/>
        <v>633.57600000000002</v>
      </c>
      <c r="K5403" t="s">
        <v>36</v>
      </c>
      <c r="L5403" t="s">
        <v>17</v>
      </c>
      <c r="M5403" t="str">
        <f>REPLACE(Transactions!M5403,1,4,"")</f>
        <v>2</v>
      </c>
    </row>
    <row r="5404" spans="1:13" x14ac:dyDescent="0.2">
      <c r="A5404">
        <v>998592</v>
      </c>
      <c r="B5404" s="5">
        <v>44707</v>
      </c>
      <c r="C5404">
        <v>83343</v>
      </c>
      <c r="D5404" t="str">
        <f>PROPER(Transactions!D5404)</f>
        <v>Clothing</v>
      </c>
      <c r="E5404" t="s">
        <v>165</v>
      </c>
      <c r="F5404" t="s">
        <v>166</v>
      </c>
      <c r="G5404">
        <v>2</v>
      </c>
      <c r="H5404">
        <v>67.489999999999995</v>
      </c>
      <c r="I5404" s="7">
        <f>IF(Transactions!I5404="",0,Transactions!I5404)</f>
        <v>0.25</v>
      </c>
      <c r="J5404" s="9">
        <f t="shared" si="84"/>
        <v>101.23499999999999</v>
      </c>
      <c r="K5404" t="s">
        <v>36</v>
      </c>
      <c r="L5404" t="s">
        <v>17</v>
      </c>
      <c r="M5404" t="str">
        <f>REPLACE(Transactions!M5404,1,4,"")</f>
        <v>15</v>
      </c>
    </row>
    <row r="5405" spans="1:13" x14ac:dyDescent="0.2">
      <c r="A5405">
        <v>998746</v>
      </c>
      <c r="B5405" s="5">
        <v>44638</v>
      </c>
      <c r="C5405">
        <v>84760</v>
      </c>
      <c r="D5405" t="str">
        <f>PROPER(Transactions!D5405)</f>
        <v>Beauty</v>
      </c>
      <c r="E5405" t="s">
        <v>118</v>
      </c>
      <c r="F5405" t="s">
        <v>119</v>
      </c>
      <c r="G5405">
        <v>1</v>
      </c>
      <c r="H5405">
        <v>4.74</v>
      </c>
      <c r="I5405" s="7">
        <f>IF(Transactions!I5405="",0,Transactions!I5405)</f>
        <v>0.05</v>
      </c>
      <c r="J5405" s="9">
        <f t="shared" si="84"/>
        <v>4.5030000000000001</v>
      </c>
      <c r="K5405" t="s">
        <v>16</v>
      </c>
      <c r="L5405" t="s">
        <v>23</v>
      </c>
      <c r="M5405" t="str">
        <f>REPLACE(Transactions!M5405,1,4,"")</f>
        <v>4</v>
      </c>
    </row>
    <row r="5406" spans="1:13" x14ac:dyDescent="0.2">
      <c r="A5406">
        <v>998756</v>
      </c>
      <c r="B5406" s="5">
        <v>44695</v>
      </c>
      <c r="C5406">
        <v>36568</v>
      </c>
      <c r="D5406" t="str">
        <f>PROPER(Transactions!D5406)</f>
        <v>Electronics</v>
      </c>
      <c r="E5406" t="s">
        <v>79</v>
      </c>
      <c r="F5406" t="s">
        <v>80</v>
      </c>
      <c r="G5406">
        <v>3</v>
      </c>
      <c r="H5406">
        <v>76.489999999999995</v>
      </c>
      <c r="I5406" s="7">
        <f>IF(Transactions!I5406="",0,Transactions!I5406)</f>
        <v>0.15</v>
      </c>
      <c r="J5406" s="9">
        <f t="shared" si="84"/>
        <v>195.04949999999997</v>
      </c>
      <c r="K5406" t="s">
        <v>36</v>
      </c>
      <c r="L5406" t="s">
        <v>17</v>
      </c>
      <c r="M5406" t="str">
        <f>REPLACE(Transactions!M5406,1,4,"")</f>
        <v>7</v>
      </c>
    </row>
    <row r="5407" spans="1:13" x14ac:dyDescent="0.2">
      <c r="A5407">
        <v>998816</v>
      </c>
      <c r="B5407" s="5">
        <v>45191</v>
      </c>
      <c r="C5407">
        <v>31228</v>
      </c>
      <c r="D5407" t="str">
        <f>PROPER(Transactions!D5407)</f>
        <v>Toys</v>
      </c>
      <c r="E5407" t="s">
        <v>175</v>
      </c>
      <c r="F5407" t="s">
        <v>176</v>
      </c>
      <c r="G5407">
        <v>2</v>
      </c>
      <c r="H5407">
        <v>8.39</v>
      </c>
      <c r="I5407" s="7">
        <f>IF(Transactions!I5407="",0,Transactions!I5407)</f>
        <v>0.3</v>
      </c>
      <c r="J5407" s="9">
        <f t="shared" si="84"/>
        <v>11.746</v>
      </c>
      <c r="K5407" t="s">
        <v>95</v>
      </c>
      <c r="L5407" t="s">
        <v>17</v>
      </c>
      <c r="M5407" t="str">
        <f>REPLACE(Transactions!M5407,1,4,"")</f>
        <v>10</v>
      </c>
    </row>
    <row r="5408" spans="1:13" x14ac:dyDescent="0.2">
      <c r="A5408">
        <v>999146</v>
      </c>
      <c r="B5408" s="5">
        <v>45340</v>
      </c>
      <c r="C5408">
        <v>18559</v>
      </c>
      <c r="D5408" t="str">
        <f>PROPER(Transactions!D5408)</f>
        <v>Pharmacy</v>
      </c>
      <c r="E5408" t="s">
        <v>20</v>
      </c>
      <c r="F5408" t="s">
        <v>21</v>
      </c>
      <c r="G5408">
        <v>2</v>
      </c>
      <c r="H5408">
        <v>7.99</v>
      </c>
      <c r="I5408" s="7">
        <f>IF(Transactions!I5408="",0,Transactions!I5408)</f>
        <v>0.2</v>
      </c>
      <c r="J5408" s="9">
        <f t="shared" si="84"/>
        <v>12.784000000000001</v>
      </c>
      <c r="K5408" t="s">
        <v>16</v>
      </c>
      <c r="L5408" t="s">
        <v>17</v>
      </c>
      <c r="M5408" t="str">
        <f>REPLACE(Transactions!M5408,1,4,"")</f>
        <v>5</v>
      </c>
    </row>
    <row r="5409" spans="1:13" x14ac:dyDescent="0.2">
      <c r="A5409">
        <v>999270</v>
      </c>
      <c r="B5409" s="5">
        <v>45568</v>
      </c>
      <c r="C5409">
        <v>80041</v>
      </c>
      <c r="D5409" t="str">
        <f>PROPER(Transactions!D5409)</f>
        <v>Automotive</v>
      </c>
      <c r="E5409" t="s">
        <v>125</v>
      </c>
      <c r="F5409" t="s">
        <v>126</v>
      </c>
      <c r="G5409">
        <v>1</v>
      </c>
      <c r="H5409">
        <v>22.49</v>
      </c>
      <c r="I5409" s="7">
        <f>IF(Transactions!I5409="",0,Transactions!I5409)</f>
        <v>0.25</v>
      </c>
      <c r="J5409" s="9">
        <f t="shared" si="84"/>
        <v>16.8675</v>
      </c>
      <c r="K5409" t="s">
        <v>16</v>
      </c>
      <c r="L5409" t="s">
        <v>17</v>
      </c>
      <c r="M5409" t="str">
        <f>REPLACE(Transactions!M5409,1,4,"")</f>
        <v>6</v>
      </c>
    </row>
    <row r="5410" spans="1:13" x14ac:dyDescent="0.2">
      <c r="A5410">
        <v>999310</v>
      </c>
      <c r="B5410" s="5">
        <v>44725</v>
      </c>
      <c r="C5410">
        <v>50288</v>
      </c>
      <c r="D5410" t="str">
        <f>PROPER(Transactions!D5410)</f>
        <v>Home &amp; Garden</v>
      </c>
      <c r="E5410" t="s">
        <v>157</v>
      </c>
      <c r="F5410" t="s">
        <v>158</v>
      </c>
      <c r="G5410">
        <v>1</v>
      </c>
      <c r="H5410">
        <v>13.49</v>
      </c>
      <c r="I5410" s="7">
        <f>IF(Transactions!I5410="",0,Transactions!I5410)</f>
        <v>0</v>
      </c>
      <c r="J5410" s="9">
        <f t="shared" si="84"/>
        <v>13.49</v>
      </c>
      <c r="K5410" t="s">
        <v>66</v>
      </c>
      <c r="L5410" t="s">
        <v>37</v>
      </c>
      <c r="M5410" t="str">
        <f>REPLACE(Transactions!M5410,1,4,"")</f>
        <v>15</v>
      </c>
    </row>
    <row r="5411" spans="1:13" x14ac:dyDescent="0.2">
      <c r="A5411">
        <v>999723</v>
      </c>
      <c r="B5411" s="5">
        <v>45200</v>
      </c>
      <c r="C5411">
        <v>99025</v>
      </c>
      <c r="D5411" t="str">
        <f>PROPER(Transactions!D5411)</f>
        <v>Automotive</v>
      </c>
      <c r="E5411" t="s">
        <v>111</v>
      </c>
      <c r="F5411" t="s">
        <v>112</v>
      </c>
      <c r="G5411">
        <v>2</v>
      </c>
      <c r="H5411">
        <v>14.99</v>
      </c>
      <c r="I5411" s="7">
        <f>IF(Transactions!I5411="",0,Transactions!I5411)</f>
        <v>0</v>
      </c>
      <c r="J5411" s="9">
        <f t="shared" si="84"/>
        <v>29.98</v>
      </c>
      <c r="K5411" t="s">
        <v>22</v>
      </c>
      <c r="L5411" t="s">
        <v>23</v>
      </c>
      <c r="M5411" t="str">
        <f>REPLACE(Transactions!M5411,1,4,"")</f>
        <v>15</v>
      </c>
    </row>
    <row r="5412" spans="1:13" x14ac:dyDescent="0.2">
      <c r="A5412">
        <v>999968</v>
      </c>
      <c r="B5412" s="5">
        <v>45469</v>
      </c>
      <c r="C5412">
        <v>25433</v>
      </c>
      <c r="D5412" t="str">
        <f>PROPER(Transactions!D5412)</f>
        <v>Home &amp; Garden</v>
      </c>
      <c r="E5412" t="s">
        <v>129</v>
      </c>
      <c r="F5412" t="s">
        <v>130</v>
      </c>
      <c r="G5412">
        <v>1</v>
      </c>
      <c r="H5412">
        <v>7.64</v>
      </c>
      <c r="I5412" s="7">
        <f>IF(Transactions!I5412="",0,Transactions!I5412)</f>
        <v>0.15</v>
      </c>
      <c r="J5412" s="9">
        <f t="shared" si="84"/>
        <v>6.4939999999999998</v>
      </c>
      <c r="K5412" t="s">
        <v>16</v>
      </c>
      <c r="L5412" t="s">
        <v>17</v>
      </c>
      <c r="M5412" t="str">
        <f>REPLACE(Transactions!M5412,1,4,"")</f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Transactions</vt:lpstr>
      <vt:lpstr>Transactions (Cleaned)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Lesserson</dc:creator>
  <cp:lastModifiedBy>Aaron Lesserson</cp:lastModifiedBy>
  <dcterms:created xsi:type="dcterms:W3CDTF">2026-05-11T17:37:31Z</dcterms:created>
  <dcterms:modified xsi:type="dcterms:W3CDTF">2026-05-13T12:56:25Z</dcterms:modified>
</cp:coreProperties>
</file>